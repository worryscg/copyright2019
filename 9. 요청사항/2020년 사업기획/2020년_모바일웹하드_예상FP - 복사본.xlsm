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회사\2019년도\2. 고객사\한국저작권위원회\0. 사업준비\"/>
    </mc:Choice>
  </mc:AlternateContent>
  <bookViews>
    <workbookView xWindow="465" yWindow="45" windowWidth="13245" windowHeight="6195" tabRatio="851" activeTab="2"/>
  </bookViews>
  <sheets>
    <sheet name="표지 " sheetId="1" r:id="rId1"/>
    <sheet name="개정이력" sheetId="14" r:id="rId2"/>
    <sheet name="FP산정" sheetId="7" r:id="rId3"/>
    <sheet name="FP집계" sheetId="15" r:id="rId4"/>
  </sheets>
  <functionGroups builtInGroupCount="18"/>
  <definedNames>
    <definedName name="_xlnm._FilterDatabase" localSheetId="2" hidden="1">FP산정!$A$35:$S$10000</definedName>
    <definedName name="☞_기능점수__산정방법_선택">FP산정!$Q$29:$Q$30</definedName>
    <definedName name="_xlnm.Print_Area" localSheetId="2">FP산정!$B$29:$M$55</definedName>
    <definedName name="_xlnm.Print_Area" localSheetId="3">FP집계!$B$1:$J$27</definedName>
    <definedName name="_xlnm.Print_Area" localSheetId="0">'표지 '!$A$1:$I$42</definedName>
    <definedName name="_xlnm.Print_Titles" localSheetId="2">FP산정!$33:$35</definedName>
    <definedName name="개발유형">FP산정!$Q$32:$Q$35</definedName>
    <definedName name="삭제">FP산정!$R$34</definedName>
    <definedName name="수정">FP산정!$S$33:$S$35</definedName>
    <definedName name="신규">FP산정!$R$32</definedName>
    <definedName name="유지">FP산정!$R$35</definedName>
  </definedNames>
  <calcPr calcId="152511"/>
</workbook>
</file>

<file path=xl/calcChain.xml><?xml version="1.0" encoding="utf-8"?>
<calcChain xmlns="http://schemas.openxmlformats.org/spreadsheetml/2006/main">
  <c r="L561" i="7" l="1"/>
  <c r="M561" i="7" s="1"/>
  <c r="L562" i="7"/>
  <c r="L563" i="7"/>
  <c r="L564" i="7"/>
  <c r="M564" i="7" s="1"/>
  <c r="L565" i="7"/>
  <c r="M565" i="7" s="1"/>
  <c r="L566" i="7"/>
  <c r="L567" i="7"/>
  <c r="M567" i="7" s="1"/>
  <c r="L568" i="7"/>
  <c r="M568" i="7" s="1"/>
  <c r="L569" i="7"/>
  <c r="M569" i="7" s="1"/>
  <c r="L570" i="7"/>
  <c r="L571" i="7"/>
  <c r="M571" i="7" s="1"/>
  <c r="L572" i="7"/>
  <c r="M572" i="7" s="1"/>
  <c r="L573" i="7"/>
  <c r="M573" i="7" s="1"/>
  <c r="L574" i="7"/>
  <c r="L575" i="7"/>
  <c r="M575" i="7" s="1"/>
  <c r="L576" i="7"/>
  <c r="M576" i="7" s="1"/>
  <c r="L577" i="7"/>
  <c r="M577" i="7" s="1"/>
  <c r="L578" i="7"/>
  <c r="L579" i="7"/>
  <c r="M579" i="7" s="1"/>
  <c r="L580" i="7"/>
  <c r="M580" i="7" s="1"/>
  <c r="L581" i="7"/>
  <c r="M581" i="7" s="1"/>
  <c r="L582" i="7"/>
  <c r="L583" i="7"/>
  <c r="M583" i="7" s="1"/>
  <c r="L584" i="7"/>
  <c r="M584" i="7" s="1"/>
  <c r="L585" i="7"/>
  <c r="M585" i="7" s="1"/>
  <c r="L586" i="7"/>
  <c r="L587" i="7"/>
  <c r="L588" i="7"/>
  <c r="M588" i="7" s="1"/>
  <c r="L589" i="7"/>
  <c r="M589" i="7" s="1"/>
  <c r="L590" i="7"/>
  <c r="L591" i="7"/>
  <c r="M591" i="7" s="1"/>
  <c r="L592" i="7"/>
  <c r="M592" i="7" s="1"/>
  <c r="L593" i="7"/>
  <c r="M593" i="7" s="1"/>
  <c r="L594" i="7"/>
  <c r="L595" i="7"/>
  <c r="M595" i="7" s="1"/>
  <c r="L596" i="7"/>
  <c r="M596" i="7" s="1"/>
  <c r="L597" i="7"/>
  <c r="M597" i="7" s="1"/>
  <c r="L598" i="7"/>
  <c r="L599" i="7"/>
  <c r="M599" i="7" s="1"/>
  <c r="L600" i="7"/>
  <c r="M600" i="7" s="1"/>
  <c r="L601" i="7"/>
  <c r="M601" i="7" s="1"/>
  <c r="L602" i="7"/>
  <c r="L603" i="7"/>
  <c r="M603" i="7" s="1"/>
  <c r="L604" i="7"/>
  <c r="M604" i="7" s="1"/>
  <c r="L605" i="7"/>
  <c r="M605" i="7" s="1"/>
  <c r="L606" i="7"/>
  <c r="L607" i="7"/>
  <c r="M607" i="7" s="1"/>
  <c r="L608" i="7"/>
  <c r="M608" i="7" s="1"/>
  <c r="L609" i="7"/>
  <c r="M609" i="7" s="1"/>
  <c r="L610" i="7"/>
  <c r="L611" i="7"/>
  <c r="L612" i="7"/>
  <c r="M612" i="7" s="1"/>
  <c r="L613" i="7"/>
  <c r="M613" i="7" s="1"/>
  <c r="L614" i="7"/>
  <c r="L615" i="7"/>
  <c r="M615" i="7" s="1"/>
  <c r="L616" i="7"/>
  <c r="M616" i="7" s="1"/>
  <c r="L617" i="7"/>
  <c r="M617" i="7" s="1"/>
  <c r="L618" i="7"/>
  <c r="L619" i="7"/>
  <c r="M619" i="7" s="1"/>
  <c r="L620" i="7"/>
  <c r="M620" i="7" s="1"/>
  <c r="L621" i="7"/>
  <c r="M621" i="7" s="1"/>
  <c r="L622" i="7"/>
  <c r="L623" i="7"/>
  <c r="M623" i="7" s="1"/>
  <c r="L624" i="7"/>
  <c r="M624" i="7" s="1"/>
  <c r="L625" i="7"/>
  <c r="M625" i="7" s="1"/>
  <c r="L626" i="7"/>
  <c r="L627" i="7"/>
  <c r="L628" i="7"/>
  <c r="M628" i="7" s="1"/>
  <c r="L629" i="7"/>
  <c r="M629" i="7" s="1"/>
  <c r="L630" i="7"/>
  <c r="L631" i="7"/>
  <c r="M631" i="7" s="1"/>
  <c r="L632" i="7"/>
  <c r="M632" i="7" s="1"/>
  <c r="L633" i="7"/>
  <c r="M633" i="7" s="1"/>
  <c r="L634" i="7"/>
  <c r="L635" i="7"/>
  <c r="M635" i="7" s="1"/>
  <c r="L636" i="7"/>
  <c r="M636" i="7" s="1"/>
  <c r="L637" i="7"/>
  <c r="M637" i="7" s="1"/>
  <c r="L638" i="7"/>
  <c r="L639" i="7"/>
  <c r="M639" i="7" s="1"/>
  <c r="L640" i="7"/>
  <c r="M640" i="7" s="1"/>
  <c r="L641" i="7"/>
  <c r="M641" i="7" s="1"/>
  <c r="L642" i="7"/>
  <c r="L643" i="7"/>
  <c r="M643" i="7" s="1"/>
  <c r="L644" i="7"/>
  <c r="M644" i="7" s="1"/>
  <c r="L645" i="7"/>
  <c r="M645" i="7" s="1"/>
  <c r="L646" i="7"/>
  <c r="L647" i="7"/>
  <c r="M647" i="7" s="1"/>
  <c r="L648" i="7"/>
  <c r="M648" i="7" s="1"/>
  <c r="L649" i="7"/>
  <c r="M649" i="7" s="1"/>
  <c r="L650" i="7"/>
  <c r="L651" i="7"/>
  <c r="L652" i="7"/>
  <c r="M652" i="7" s="1"/>
  <c r="L653" i="7"/>
  <c r="M653" i="7" s="1"/>
  <c r="L654" i="7"/>
  <c r="L655" i="7"/>
  <c r="M655" i="7" s="1"/>
  <c r="L656" i="7"/>
  <c r="M656" i="7" s="1"/>
  <c r="L657" i="7"/>
  <c r="M657" i="7" s="1"/>
  <c r="L658" i="7"/>
  <c r="L659" i="7"/>
  <c r="L660" i="7"/>
  <c r="M660" i="7" s="1"/>
  <c r="L661" i="7"/>
  <c r="M661" i="7" s="1"/>
  <c r="L662" i="7"/>
  <c r="L663" i="7"/>
  <c r="M663" i="7" s="1"/>
  <c r="L664" i="7"/>
  <c r="M664" i="7" s="1"/>
  <c r="L665" i="7"/>
  <c r="M665" i="7" s="1"/>
  <c r="L666" i="7"/>
  <c r="L667" i="7"/>
  <c r="M667" i="7" s="1"/>
  <c r="L668" i="7"/>
  <c r="M668" i="7" s="1"/>
  <c r="L669" i="7"/>
  <c r="M669" i="7" s="1"/>
  <c r="L670" i="7"/>
  <c r="L671" i="7"/>
  <c r="M671" i="7" s="1"/>
  <c r="L672" i="7"/>
  <c r="M672" i="7" s="1"/>
  <c r="L673" i="7"/>
  <c r="M673" i="7" s="1"/>
  <c r="L674" i="7"/>
  <c r="L675" i="7"/>
  <c r="L676" i="7"/>
  <c r="M676" i="7" s="1"/>
  <c r="L677" i="7"/>
  <c r="M677" i="7" s="1"/>
  <c r="L678" i="7"/>
  <c r="L679" i="7"/>
  <c r="M679" i="7" s="1"/>
  <c r="L680" i="7"/>
  <c r="M680" i="7" s="1"/>
  <c r="L681" i="7"/>
  <c r="M681" i="7" s="1"/>
  <c r="L682" i="7"/>
  <c r="L683" i="7"/>
  <c r="L684" i="7"/>
  <c r="M684" i="7" s="1"/>
  <c r="L685" i="7"/>
  <c r="M685" i="7" s="1"/>
  <c r="L686" i="7"/>
  <c r="L687" i="7"/>
  <c r="M687" i="7" s="1"/>
  <c r="L688" i="7"/>
  <c r="M688" i="7" s="1"/>
  <c r="L689" i="7"/>
  <c r="M689" i="7" s="1"/>
  <c r="L690" i="7"/>
  <c r="L691" i="7"/>
  <c r="M691" i="7" s="1"/>
  <c r="L692" i="7"/>
  <c r="M692" i="7" s="1"/>
  <c r="L693" i="7"/>
  <c r="M693" i="7" s="1"/>
  <c r="L694" i="7"/>
  <c r="L695" i="7"/>
  <c r="M695" i="7" s="1"/>
  <c r="L696" i="7"/>
  <c r="M696" i="7" s="1"/>
  <c r="L697" i="7"/>
  <c r="M697" i="7" s="1"/>
  <c r="L698" i="7"/>
  <c r="L699" i="7"/>
  <c r="M699" i="7" s="1"/>
  <c r="L700" i="7"/>
  <c r="M700" i="7" s="1"/>
  <c r="L701" i="7"/>
  <c r="M701" i="7" s="1"/>
  <c r="L702" i="7"/>
  <c r="L703" i="7"/>
  <c r="M703" i="7" s="1"/>
  <c r="L704" i="7"/>
  <c r="M704" i="7" s="1"/>
  <c r="L705" i="7"/>
  <c r="M705" i="7" s="1"/>
  <c r="L706" i="7"/>
  <c r="L707" i="7"/>
  <c r="L708" i="7"/>
  <c r="M708" i="7" s="1"/>
  <c r="L709" i="7"/>
  <c r="M709" i="7" s="1"/>
  <c r="L710" i="7"/>
  <c r="L711" i="7"/>
  <c r="M711" i="7" s="1"/>
  <c r="L712" i="7"/>
  <c r="M712" i="7" s="1"/>
  <c r="L713" i="7"/>
  <c r="M713" i="7" s="1"/>
  <c r="L714" i="7"/>
  <c r="L715" i="7"/>
  <c r="M715" i="7" s="1"/>
  <c r="L716" i="7"/>
  <c r="M716" i="7" s="1"/>
  <c r="L717" i="7"/>
  <c r="M717" i="7" s="1"/>
  <c r="L718" i="7"/>
  <c r="L719" i="7"/>
  <c r="M719" i="7" s="1"/>
  <c r="L720" i="7"/>
  <c r="M720" i="7" s="1"/>
  <c r="L721" i="7"/>
  <c r="M721" i="7" s="1"/>
  <c r="L722" i="7"/>
  <c r="L723" i="7"/>
  <c r="M723" i="7" s="1"/>
  <c r="L724" i="7"/>
  <c r="M724" i="7" s="1"/>
  <c r="L725" i="7"/>
  <c r="M725" i="7" s="1"/>
  <c r="L726" i="7"/>
  <c r="L727" i="7"/>
  <c r="M727" i="7" s="1"/>
  <c r="L728" i="7"/>
  <c r="M728" i="7" s="1"/>
  <c r="L729" i="7"/>
  <c r="M729" i="7" s="1"/>
  <c r="L730" i="7"/>
  <c r="L731" i="7"/>
  <c r="M731" i="7" s="1"/>
  <c r="L732" i="7"/>
  <c r="M732" i="7" s="1"/>
  <c r="L733" i="7"/>
  <c r="M733" i="7" s="1"/>
  <c r="L734" i="7"/>
  <c r="L735" i="7"/>
  <c r="M735" i="7" s="1"/>
  <c r="L736" i="7"/>
  <c r="M736" i="7" s="1"/>
  <c r="L737" i="7"/>
  <c r="M737" i="7" s="1"/>
  <c r="L738" i="7"/>
  <c r="L739" i="7"/>
  <c r="M739" i="7" s="1"/>
  <c r="L740" i="7"/>
  <c r="M740" i="7" s="1"/>
  <c r="L741" i="7"/>
  <c r="M741" i="7" s="1"/>
  <c r="L742" i="7"/>
  <c r="L743" i="7"/>
  <c r="M743" i="7" s="1"/>
  <c r="L744" i="7"/>
  <c r="M744" i="7" s="1"/>
  <c r="L745" i="7"/>
  <c r="M745" i="7" s="1"/>
  <c r="L746" i="7"/>
  <c r="L747" i="7"/>
  <c r="M747" i="7" s="1"/>
  <c r="L748" i="7"/>
  <c r="M748" i="7" s="1"/>
  <c r="L749" i="7"/>
  <c r="M749" i="7" s="1"/>
  <c r="L750" i="7"/>
  <c r="L751" i="7"/>
  <c r="M751" i="7" s="1"/>
  <c r="L752" i="7"/>
  <c r="M752" i="7" s="1"/>
  <c r="L753" i="7"/>
  <c r="M753" i="7" s="1"/>
  <c r="L754" i="7"/>
  <c r="L755" i="7"/>
  <c r="L756" i="7"/>
  <c r="M756" i="7" s="1"/>
  <c r="L757" i="7"/>
  <c r="M757" i="7" s="1"/>
  <c r="L758" i="7"/>
  <c r="L759" i="7"/>
  <c r="M759" i="7" s="1"/>
  <c r="L760" i="7"/>
  <c r="M760" i="7" s="1"/>
  <c r="L761" i="7"/>
  <c r="M761" i="7" s="1"/>
  <c r="L762" i="7"/>
  <c r="L763" i="7"/>
  <c r="M763" i="7" s="1"/>
  <c r="L764" i="7"/>
  <c r="M764" i="7" s="1"/>
  <c r="L765" i="7"/>
  <c r="M765" i="7" s="1"/>
  <c r="L766" i="7"/>
  <c r="L767" i="7"/>
  <c r="M767" i="7" s="1"/>
  <c r="L768" i="7"/>
  <c r="M768" i="7" s="1"/>
  <c r="L769" i="7"/>
  <c r="M769" i="7" s="1"/>
  <c r="L770" i="7"/>
  <c r="L771" i="7"/>
  <c r="M771" i="7" s="1"/>
  <c r="L772" i="7"/>
  <c r="M772" i="7" s="1"/>
  <c r="L773" i="7"/>
  <c r="M773" i="7" s="1"/>
  <c r="L774" i="7"/>
  <c r="L775" i="7"/>
  <c r="M775" i="7" s="1"/>
  <c r="L776" i="7"/>
  <c r="M776" i="7" s="1"/>
  <c r="L777" i="7"/>
  <c r="M777" i="7" s="1"/>
  <c r="L778" i="7"/>
  <c r="L779" i="7"/>
  <c r="L780" i="7"/>
  <c r="M780" i="7" s="1"/>
  <c r="L781" i="7"/>
  <c r="M781" i="7" s="1"/>
  <c r="L782" i="7"/>
  <c r="L783" i="7"/>
  <c r="M783" i="7" s="1"/>
  <c r="L784" i="7"/>
  <c r="M784" i="7" s="1"/>
  <c r="L785" i="7"/>
  <c r="M785" i="7" s="1"/>
  <c r="L786" i="7"/>
  <c r="L787" i="7"/>
  <c r="M787" i="7" s="1"/>
  <c r="L788" i="7"/>
  <c r="M788" i="7" s="1"/>
  <c r="L789" i="7"/>
  <c r="M789" i="7" s="1"/>
  <c r="L790" i="7"/>
  <c r="L791" i="7"/>
  <c r="M791" i="7" s="1"/>
  <c r="L792" i="7"/>
  <c r="M792" i="7" s="1"/>
  <c r="L793" i="7"/>
  <c r="M793" i="7" s="1"/>
  <c r="L794" i="7"/>
  <c r="L795" i="7"/>
  <c r="M795" i="7" s="1"/>
  <c r="L796" i="7"/>
  <c r="M796" i="7" s="1"/>
  <c r="L797" i="7"/>
  <c r="M797" i="7" s="1"/>
  <c r="L798" i="7"/>
  <c r="L799" i="7"/>
  <c r="M799" i="7" s="1"/>
  <c r="L800" i="7"/>
  <c r="M800" i="7" s="1"/>
  <c r="L801" i="7"/>
  <c r="M801" i="7" s="1"/>
  <c r="L802" i="7"/>
  <c r="L803" i="7"/>
  <c r="L804" i="7"/>
  <c r="M804" i="7" s="1"/>
  <c r="L805" i="7"/>
  <c r="M805" i="7" s="1"/>
  <c r="L806" i="7"/>
  <c r="L807" i="7"/>
  <c r="M807" i="7" s="1"/>
  <c r="L808" i="7"/>
  <c r="M808" i="7" s="1"/>
  <c r="L809" i="7"/>
  <c r="M809" i="7" s="1"/>
  <c r="L810" i="7"/>
  <c r="L811" i="7"/>
  <c r="M811" i="7" s="1"/>
  <c r="L812" i="7"/>
  <c r="M812" i="7" s="1"/>
  <c r="L813" i="7"/>
  <c r="M813" i="7" s="1"/>
  <c r="L814" i="7"/>
  <c r="L815" i="7"/>
  <c r="M815" i="7" s="1"/>
  <c r="L816" i="7"/>
  <c r="M816" i="7" s="1"/>
  <c r="L817" i="7"/>
  <c r="M817" i="7" s="1"/>
  <c r="L818" i="7"/>
  <c r="L819" i="7"/>
  <c r="L820" i="7"/>
  <c r="M820" i="7" s="1"/>
  <c r="L821" i="7"/>
  <c r="M821" i="7" s="1"/>
  <c r="L822" i="7"/>
  <c r="L823" i="7"/>
  <c r="M823" i="7" s="1"/>
  <c r="L824" i="7"/>
  <c r="M824" i="7" s="1"/>
  <c r="L825" i="7"/>
  <c r="M825" i="7" s="1"/>
  <c r="L826" i="7"/>
  <c r="L827" i="7"/>
  <c r="M827" i="7" s="1"/>
  <c r="L828" i="7"/>
  <c r="M828" i="7" s="1"/>
  <c r="L829" i="7"/>
  <c r="M829" i="7" s="1"/>
  <c r="L830" i="7"/>
  <c r="L831" i="7"/>
  <c r="M831" i="7" s="1"/>
  <c r="L832" i="7"/>
  <c r="M832" i="7" s="1"/>
  <c r="L833" i="7"/>
  <c r="M833" i="7" s="1"/>
  <c r="L834" i="7"/>
  <c r="L835" i="7"/>
  <c r="M835" i="7" s="1"/>
  <c r="L836" i="7"/>
  <c r="M836" i="7" s="1"/>
  <c r="L837" i="7"/>
  <c r="M837" i="7" s="1"/>
  <c r="L838" i="7"/>
  <c r="L839" i="7"/>
  <c r="M839" i="7" s="1"/>
  <c r="L840" i="7"/>
  <c r="M840" i="7" s="1"/>
  <c r="L841" i="7"/>
  <c r="M841" i="7" s="1"/>
  <c r="L842" i="7"/>
  <c r="L843" i="7"/>
  <c r="L844" i="7"/>
  <c r="M844" i="7" s="1"/>
  <c r="L845" i="7"/>
  <c r="M845" i="7" s="1"/>
  <c r="L846" i="7"/>
  <c r="L847" i="7"/>
  <c r="M847" i="7" s="1"/>
  <c r="L848" i="7"/>
  <c r="M848" i="7" s="1"/>
  <c r="L849" i="7"/>
  <c r="M849" i="7" s="1"/>
  <c r="L850" i="7"/>
  <c r="L851" i="7"/>
  <c r="M851" i="7" s="1"/>
  <c r="L852" i="7"/>
  <c r="M852" i="7" s="1"/>
  <c r="L853" i="7"/>
  <c r="M853" i="7" s="1"/>
  <c r="L854" i="7"/>
  <c r="L855" i="7"/>
  <c r="M855" i="7" s="1"/>
  <c r="L856" i="7"/>
  <c r="M856" i="7" s="1"/>
  <c r="L857" i="7"/>
  <c r="M857" i="7" s="1"/>
  <c r="L858" i="7"/>
  <c r="L859" i="7"/>
  <c r="M859" i="7" s="1"/>
  <c r="L860" i="7"/>
  <c r="M860" i="7" s="1"/>
  <c r="L861" i="7"/>
  <c r="M861" i="7" s="1"/>
  <c r="L862" i="7"/>
  <c r="L863" i="7"/>
  <c r="M863" i="7" s="1"/>
  <c r="L864" i="7"/>
  <c r="M864" i="7" s="1"/>
  <c r="L865" i="7"/>
  <c r="M865" i="7" s="1"/>
  <c r="L866" i="7"/>
  <c r="L867" i="7"/>
  <c r="L868" i="7"/>
  <c r="M868" i="7" s="1"/>
  <c r="L869" i="7"/>
  <c r="M869" i="7" s="1"/>
  <c r="L870" i="7"/>
  <c r="L871" i="7"/>
  <c r="M871" i="7" s="1"/>
  <c r="L872" i="7"/>
  <c r="M872" i="7" s="1"/>
  <c r="L873" i="7"/>
  <c r="M873" i="7" s="1"/>
  <c r="L874" i="7"/>
  <c r="L875" i="7"/>
  <c r="M875" i="7" s="1"/>
  <c r="L876" i="7"/>
  <c r="M876" i="7" s="1"/>
  <c r="L877" i="7"/>
  <c r="M877" i="7" s="1"/>
  <c r="L878" i="7"/>
  <c r="L879" i="7"/>
  <c r="M879" i="7" s="1"/>
  <c r="L880" i="7"/>
  <c r="M880" i="7" s="1"/>
  <c r="L881" i="7"/>
  <c r="M881" i="7" s="1"/>
  <c r="L882" i="7"/>
  <c r="L883" i="7"/>
  <c r="L884" i="7"/>
  <c r="M884" i="7" s="1"/>
  <c r="L885" i="7"/>
  <c r="M885" i="7" s="1"/>
  <c r="L886" i="7"/>
  <c r="L887" i="7"/>
  <c r="M887" i="7" s="1"/>
  <c r="L888" i="7"/>
  <c r="M888" i="7" s="1"/>
  <c r="L889" i="7"/>
  <c r="M889" i="7" s="1"/>
  <c r="L890" i="7"/>
  <c r="L891" i="7"/>
  <c r="M891" i="7" s="1"/>
  <c r="L892" i="7"/>
  <c r="M892" i="7" s="1"/>
  <c r="L893" i="7"/>
  <c r="M893" i="7" s="1"/>
  <c r="L894" i="7"/>
  <c r="L895" i="7"/>
  <c r="M895" i="7" s="1"/>
  <c r="L896" i="7"/>
  <c r="M896" i="7" s="1"/>
  <c r="L897" i="7"/>
  <c r="M897" i="7" s="1"/>
  <c r="L898" i="7"/>
  <c r="L899" i="7"/>
  <c r="M899" i="7" s="1"/>
  <c r="L900" i="7"/>
  <c r="M900" i="7" s="1"/>
  <c r="L901" i="7"/>
  <c r="M901" i="7" s="1"/>
  <c r="L902" i="7"/>
  <c r="L903" i="7"/>
  <c r="M903" i="7" s="1"/>
  <c r="L904" i="7"/>
  <c r="M904" i="7" s="1"/>
  <c r="L905" i="7"/>
  <c r="M905" i="7" s="1"/>
  <c r="L906" i="7"/>
  <c r="L907" i="7"/>
  <c r="L908" i="7"/>
  <c r="M908" i="7" s="1"/>
  <c r="L909" i="7"/>
  <c r="M909" i="7" s="1"/>
  <c r="L910" i="7"/>
  <c r="L911" i="7"/>
  <c r="M911" i="7" s="1"/>
  <c r="L912" i="7"/>
  <c r="M912" i="7" s="1"/>
  <c r="L913" i="7"/>
  <c r="M913" i="7" s="1"/>
  <c r="L914" i="7"/>
  <c r="L915" i="7"/>
  <c r="L916" i="7"/>
  <c r="M916" i="7" s="1"/>
  <c r="L917" i="7"/>
  <c r="M917" i="7" s="1"/>
  <c r="L918" i="7"/>
  <c r="L919" i="7"/>
  <c r="M919" i="7" s="1"/>
  <c r="L920" i="7"/>
  <c r="M920" i="7" s="1"/>
  <c r="L921" i="7"/>
  <c r="M921" i="7" s="1"/>
  <c r="L922" i="7"/>
  <c r="L923" i="7"/>
  <c r="M923" i="7" s="1"/>
  <c r="L924" i="7"/>
  <c r="M924" i="7" s="1"/>
  <c r="L925" i="7"/>
  <c r="M925" i="7" s="1"/>
  <c r="L926" i="7"/>
  <c r="L927" i="7"/>
  <c r="M927" i="7" s="1"/>
  <c r="L928" i="7"/>
  <c r="M928" i="7" s="1"/>
  <c r="L929" i="7"/>
  <c r="M929" i="7" s="1"/>
  <c r="L930" i="7"/>
  <c r="L931" i="7"/>
  <c r="L932" i="7"/>
  <c r="M932" i="7" s="1"/>
  <c r="L933" i="7"/>
  <c r="M933" i="7" s="1"/>
  <c r="L934" i="7"/>
  <c r="L935" i="7"/>
  <c r="M935" i="7" s="1"/>
  <c r="L936" i="7"/>
  <c r="M936" i="7" s="1"/>
  <c r="L937" i="7"/>
  <c r="M937" i="7" s="1"/>
  <c r="L938" i="7"/>
  <c r="L939" i="7"/>
  <c r="L940" i="7"/>
  <c r="M940" i="7" s="1"/>
  <c r="L941" i="7"/>
  <c r="M941" i="7" s="1"/>
  <c r="L942" i="7"/>
  <c r="L943" i="7"/>
  <c r="M943" i="7" s="1"/>
  <c r="L944" i="7"/>
  <c r="M944" i="7" s="1"/>
  <c r="L945" i="7"/>
  <c r="M945" i="7" s="1"/>
  <c r="L946" i="7"/>
  <c r="L947" i="7"/>
  <c r="M947" i="7" s="1"/>
  <c r="L948" i="7"/>
  <c r="M948" i="7" s="1"/>
  <c r="L949" i="7"/>
  <c r="M949" i="7" s="1"/>
  <c r="L950" i="7"/>
  <c r="L951" i="7"/>
  <c r="M951" i="7" s="1"/>
  <c r="L952" i="7"/>
  <c r="M952" i="7" s="1"/>
  <c r="L953" i="7"/>
  <c r="M953" i="7" s="1"/>
  <c r="L954" i="7"/>
  <c r="L955" i="7"/>
  <c r="M955" i="7" s="1"/>
  <c r="L956" i="7"/>
  <c r="M956" i="7" s="1"/>
  <c r="L957" i="7"/>
  <c r="M957" i="7" s="1"/>
  <c r="L958" i="7"/>
  <c r="L959" i="7"/>
  <c r="M959" i="7" s="1"/>
  <c r="L960" i="7"/>
  <c r="M960" i="7" s="1"/>
  <c r="L961" i="7"/>
  <c r="M961" i="7" s="1"/>
  <c r="L962" i="7"/>
  <c r="L963" i="7"/>
  <c r="L964" i="7"/>
  <c r="M964" i="7" s="1"/>
  <c r="L965" i="7"/>
  <c r="M965" i="7" s="1"/>
  <c r="L966" i="7"/>
  <c r="L967" i="7"/>
  <c r="M967" i="7" s="1"/>
  <c r="L968" i="7"/>
  <c r="M968" i="7" s="1"/>
  <c r="L969" i="7"/>
  <c r="M969" i="7" s="1"/>
  <c r="L970" i="7"/>
  <c r="L971" i="7"/>
  <c r="M971" i="7" s="1"/>
  <c r="L972" i="7"/>
  <c r="M972" i="7" s="1"/>
  <c r="L973" i="7"/>
  <c r="M973" i="7" s="1"/>
  <c r="L974" i="7"/>
  <c r="L975" i="7"/>
  <c r="M975" i="7" s="1"/>
  <c r="L976" i="7"/>
  <c r="M976" i="7" s="1"/>
  <c r="L977" i="7"/>
  <c r="M977" i="7" s="1"/>
  <c r="L978" i="7"/>
  <c r="L979" i="7"/>
  <c r="M979" i="7" s="1"/>
  <c r="L980" i="7"/>
  <c r="M980" i="7" s="1"/>
  <c r="L981" i="7"/>
  <c r="M981" i="7" s="1"/>
  <c r="L982" i="7"/>
  <c r="L983" i="7"/>
  <c r="M983" i="7" s="1"/>
  <c r="L984" i="7"/>
  <c r="M984" i="7" s="1"/>
  <c r="L985" i="7"/>
  <c r="M985" i="7" s="1"/>
  <c r="L986" i="7"/>
  <c r="L987" i="7"/>
  <c r="M987" i="7" s="1"/>
  <c r="L988" i="7"/>
  <c r="M988" i="7" s="1"/>
  <c r="L989" i="7"/>
  <c r="M989" i="7" s="1"/>
  <c r="L990" i="7"/>
  <c r="L991" i="7"/>
  <c r="M991" i="7" s="1"/>
  <c r="L992" i="7"/>
  <c r="M992" i="7" s="1"/>
  <c r="L993" i="7"/>
  <c r="M993" i="7" s="1"/>
  <c r="L994" i="7"/>
  <c r="L995" i="7"/>
  <c r="M995" i="7" s="1"/>
  <c r="L996" i="7"/>
  <c r="M996" i="7" s="1"/>
  <c r="L997" i="7"/>
  <c r="M997" i="7" s="1"/>
  <c r="L998" i="7"/>
  <c r="L999" i="7"/>
  <c r="M999" i="7" s="1"/>
  <c r="L1000" i="7"/>
  <c r="M1000" i="7" s="1"/>
  <c r="L1001" i="7"/>
  <c r="M1001" i="7" s="1"/>
  <c r="L1002" i="7"/>
  <c r="L1003" i="7"/>
  <c r="M1003" i="7" s="1"/>
  <c r="L1004" i="7"/>
  <c r="M1004" i="7" s="1"/>
  <c r="L1005" i="7"/>
  <c r="M1005" i="7" s="1"/>
  <c r="L1006" i="7"/>
  <c r="L1007" i="7"/>
  <c r="M1007" i="7" s="1"/>
  <c r="L1008" i="7"/>
  <c r="M1008" i="7" s="1"/>
  <c r="L1009" i="7"/>
  <c r="M1009" i="7" s="1"/>
  <c r="L1010" i="7"/>
  <c r="L1011" i="7"/>
  <c r="L1012" i="7"/>
  <c r="M1012" i="7" s="1"/>
  <c r="L1013" i="7"/>
  <c r="M1013" i="7" s="1"/>
  <c r="L1014" i="7"/>
  <c r="L1015" i="7"/>
  <c r="M1015" i="7" s="1"/>
  <c r="L1016" i="7"/>
  <c r="M1016" i="7" s="1"/>
  <c r="L1017" i="7"/>
  <c r="M1017" i="7" s="1"/>
  <c r="L1018" i="7"/>
  <c r="L1019" i="7"/>
  <c r="M1019" i="7" s="1"/>
  <c r="L1020" i="7"/>
  <c r="M1020" i="7" s="1"/>
  <c r="L1021" i="7"/>
  <c r="M1021" i="7" s="1"/>
  <c r="L1022" i="7"/>
  <c r="L1023" i="7"/>
  <c r="M1023" i="7" s="1"/>
  <c r="L1024" i="7"/>
  <c r="M1024" i="7" s="1"/>
  <c r="L1025" i="7"/>
  <c r="M1025" i="7" s="1"/>
  <c r="L1026" i="7"/>
  <c r="L1027" i="7"/>
  <c r="M1027" i="7" s="1"/>
  <c r="L1028" i="7"/>
  <c r="M1028" i="7" s="1"/>
  <c r="L1029" i="7"/>
  <c r="M1029" i="7" s="1"/>
  <c r="L1030" i="7"/>
  <c r="L1031" i="7"/>
  <c r="M1031" i="7" s="1"/>
  <c r="L1032" i="7"/>
  <c r="M1032" i="7" s="1"/>
  <c r="L1033" i="7"/>
  <c r="M1033" i="7" s="1"/>
  <c r="L1034" i="7"/>
  <c r="L1035" i="7"/>
  <c r="L1036" i="7"/>
  <c r="M1036" i="7" s="1"/>
  <c r="L1037" i="7"/>
  <c r="M1037" i="7" s="1"/>
  <c r="L1038" i="7"/>
  <c r="L1039" i="7"/>
  <c r="M1039" i="7" s="1"/>
  <c r="L1040" i="7"/>
  <c r="M1040" i="7" s="1"/>
  <c r="L1041" i="7"/>
  <c r="M1041" i="7" s="1"/>
  <c r="L1042" i="7"/>
  <c r="L1043" i="7"/>
  <c r="M1043" i="7" s="1"/>
  <c r="L1044" i="7"/>
  <c r="M1044" i="7" s="1"/>
  <c r="L1045" i="7"/>
  <c r="M1045" i="7" s="1"/>
  <c r="L1046" i="7"/>
  <c r="L1047" i="7"/>
  <c r="M1047" i="7" s="1"/>
  <c r="L1048" i="7"/>
  <c r="M1048" i="7" s="1"/>
  <c r="L1049" i="7"/>
  <c r="M1049" i="7" s="1"/>
  <c r="L1050" i="7"/>
  <c r="L1051" i="7"/>
  <c r="M1051" i="7" s="1"/>
  <c r="L1052" i="7"/>
  <c r="M1052" i="7" s="1"/>
  <c r="L1053" i="7"/>
  <c r="M1053" i="7" s="1"/>
  <c r="L1054" i="7"/>
  <c r="L1055" i="7"/>
  <c r="M1055" i="7" s="1"/>
  <c r="L1056" i="7"/>
  <c r="M1056" i="7" s="1"/>
  <c r="L1057" i="7"/>
  <c r="M1057" i="7" s="1"/>
  <c r="L1058" i="7"/>
  <c r="L1059" i="7"/>
  <c r="L1060" i="7"/>
  <c r="M1060" i="7" s="1"/>
  <c r="L1061" i="7"/>
  <c r="M1061" i="7" s="1"/>
  <c r="L1062" i="7"/>
  <c r="L1063" i="7"/>
  <c r="M1063" i="7" s="1"/>
  <c r="L1064" i="7"/>
  <c r="M1064" i="7" s="1"/>
  <c r="L1065" i="7"/>
  <c r="M1065" i="7" s="1"/>
  <c r="L1066" i="7"/>
  <c r="L1067" i="7"/>
  <c r="M1067" i="7" s="1"/>
  <c r="L1068" i="7"/>
  <c r="M1068" i="7" s="1"/>
  <c r="L1069" i="7"/>
  <c r="M1069" i="7" s="1"/>
  <c r="L1070" i="7"/>
  <c r="L1071" i="7"/>
  <c r="M1071" i="7" s="1"/>
  <c r="L1072" i="7"/>
  <c r="M1072" i="7" s="1"/>
  <c r="L1073" i="7"/>
  <c r="M1073" i="7" s="1"/>
  <c r="L1074" i="7"/>
  <c r="L1075" i="7"/>
  <c r="L1076" i="7"/>
  <c r="M1076" i="7" s="1"/>
  <c r="L1077" i="7"/>
  <c r="M1077" i="7" s="1"/>
  <c r="L1078" i="7"/>
  <c r="L1079" i="7"/>
  <c r="M1079" i="7" s="1"/>
  <c r="L1080" i="7"/>
  <c r="M1080" i="7" s="1"/>
  <c r="L1081" i="7"/>
  <c r="M1081" i="7" s="1"/>
  <c r="L1082" i="7"/>
  <c r="L1083" i="7"/>
  <c r="M1083" i="7" s="1"/>
  <c r="L1084" i="7"/>
  <c r="M1084" i="7" s="1"/>
  <c r="L1085" i="7"/>
  <c r="M1085" i="7" s="1"/>
  <c r="L1086" i="7"/>
  <c r="L1087" i="7"/>
  <c r="M1087" i="7" s="1"/>
  <c r="L1088" i="7"/>
  <c r="M1088" i="7" s="1"/>
  <c r="L1089" i="7"/>
  <c r="M1089" i="7" s="1"/>
  <c r="L1090" i="7"/>
  <c r="L1091" i="7"/>
  <c r="M1091" i="7" s="1"/>
  <c r="L1092" i="7"/>
  <c r="M1092" i="7" s="1"/>
  <c r="L1093" i="7"/>
  <c r="M1093" i="7" s="1"/>
  <c r="L1094" i="7"/>
  <c r="L1095" i="7"/>
  <c r="M1095" i="7" s="1"/>
  <c r="L1096" i="7"/>
  <c r="M1096" i="7" s="1"/>
  <c r="L1097" i="7"/>
  <c r="M1097" i="7" s="1"/>
  <c r="L1098" i="7"/>
  <c r="L1099" i="7"/>
  <c r="L1100" i="7"/>
  <c r="M1100" i="7" s="1"/>
  <c r="L1101" i="7"/>
  <c r="M1101" i="7" s="1"/>
  <c r="L1102" i="7"/>
  <c r="L1103" i="7"/>
  <c r="M1103" i="7" s="1"/>
  <c r="L1104" i="7"/>
  <c r="M1104" i="7" s="1"/>
  <c r="L1105" i="7"/>
  <c r="M1105" i="7" s="1"/>
  <c r="L1106" i="7"/>
  <c r="L1107" i="7"/>
  <c r="M1107" i="7" s="1"/>
  <c r="L1108" i="7"/>
  <c r="M1108" i="7" s="1"/>
  <c r="L1109" i="7"/>
  <c r="M1109" i="7" s="1"/>
  <c r="L1110" i="7"/>
  <c r="L1111" i="7"/>
  <c r="M1111" i="7" s="1"/>
  <c r="L1112" i="7"/>
  <c r="M1112" i="7" s="1"/>
  <c r="L1113" i="7"/>
  <c r="M1113" i="7" s="1"/>
  <c r="L1114" i="7"/>
  <c r="L1115" i="7"/>
  <c r="M1115" i="7" s="1"/>
  <c r="L1116" i="7"/>
  <c r="M1116" i="7" s="1"/>
  <c r="L1117" i="7"/>
  <c r="M1117" i="7" s="1"/>
  <c r="L1118" i="7"/>
  <c r="L1119" i="7"/>
  <c r="M1119" i="7" s="1"/>
  <c r="L1120" i="7"/>
  <c r="M1120" i="7" s="1"/>
  <c r="L1121" i="7"/>
  <c r="M1121" i="7" s="1"/>
  <c r="L1122" i="7"/>
  <c r="L1123" i="7"/>
  <c r="L1124" i="7"/>
  <c r="M1124" i="7" s="1"/>
  <c r="L1125" i="7"/>
  <c r="M1125" i="7" s="1"/>
  <c r="L1126" i="7"/>
  <c r="L1127" i="7"/>
  <c r="M1127" i="7" s="1"/>
  <c r="L1128" i="7"/>
  <c r="M1128" i="7" s="1"/>
  <c r="L1129" i="7"/>
  <c r="M1129" i="7" s="1"/>
  <c r="L1130" i="7"/>
  <c r="L1131" i="7"/>
  <c r="M1131" i="7" s="1"/>
  <c r="L1132" i="7"/>
  <c r="M1132" i="7" s="1"/>
  <c r="L1133" i="7"/>
  <c r="M1133" i="7" s="1"/>
  <c r="L1134" i="7"/>
  <c r="L1135" i="7"/>
  <c r="M1135" i="7" s="1"/>
  <c r="L1136" i="7"/>
  <c r="M1136" i="7" s="1"/>
  <c r="L1137" i="7"/>
  <c r="M1137" i="7" s="1"/>
  <c r="L1138" i="7"/>
  <c r="L1139" i="7"/>
  <c r="L1140" i="7"/>
  <c r="M1140" i="7" s="1"/>
  <c r="L1141" i="7"/>
  <c r="M1141" i="7" s="1"/>
  <c r="L1142" i="7"/>
  <c r="L1143" i="7"/>
  <c r="M1143" i="7" s="1"/>
  <c r="L1144" i="7"/>
  <c r="M1144" i="7" s="1"/>
  <c r="L1145" i="7"/>
  <c r="M1145" i="7" s="1"/>
  <c r="L1146" i="7"/>
  <c r="L1147" i="7"/>
  <c r="M1147" i="7" s="1"/>
  <c r="L1148" i="7"/>
  <c r="M1148" i="7" s="1"/>
  <c r="L1149" i="7"/>
  <c r="M1149" i="7" s="1"/>
  <c r="L1150" i="7"/>
  <c r="L1151" i="7"/>
  <c r="M1151" i="7" s="1"/>
  <c r="L1152" i="7"/>
  <c r="M1152" i="7" s="1"/>
  <c r="L1153" i="7"/>
  <c r="M1153" i="7" s="1"/>
  <c r="L1154" i="7"/>
  <c r="L1155" i="7"/>
  <c r="M1155" i="7" s="1"/>
  <c r="L1156" i="7"/>
  <c r="M1156" i="7" s="1"/>
  <c r="L1157" i="7"/>
  <c r="M1157" i="7" s="1"/>
  <c r="L1158" i="7"/>
  <c r="L1159" i="7"/>
  <c r="M1159" i="7" s="1"/>
  <c r="L1160" i="7"/>
  <c r="M1160" i="7" s="1"/>
  <c r="L1161" i="7"/>
  <c r="M1161" i="7" s="1"/>
  <c r="L1162" i="7"/>
  <c r="L1163" i="7"/>
  <c r="L1164" i="7"/>
  <c r="M1164" i="7" s="1"/>
  <c r="L1165" i="7"/>
  <c r="M1165" i="7" s="1"/>
  <c r="L1166" i="7"/>
  <c r="L1167" i="7"/>
  <c r="M1167" i="7" s="1"/>
  <c r="L1168" i="7"/>
  <c r="M1168" i="7" s="1"/>
  <c r="L1169" i="7"/>
  <c r="M1169" i="7" s="1"/>
  <c r="L1170" i="7"/>
  <c r="L1171" i="7"/>
  <c r="L1172" i="7"/>
  <c r="M1172" i="7" s="1"/>
  <c r="L1173" i="7"/>
  <c r="M1173" i="7" s="1"/>
  <c r="L1174" i="7"/>
  <c r="L1175" i="7"/>
  <c r="M1175" i="7" s="1"/>
  <c r="L1176" i="7"/>
  <c r="M1176" i="7" s="1"/>
  <c r="L1177" i="7"/>
  <c r="M1177" i="7" s="1"/>
  <c r="L1178" i="7"/>
  <c r="L1179" i="7"/>
  <c r="M1179" i="7" s="1"/>
  <c r="L1180" i="7"/>
  <c r="M1180" i="7" s="1"/>
  <c r="L1181" i="7"/>
  <c r="M1181" i="7" s="1"/>
  <c r="L1182" i="7"/>
  <c r="L1183" i="7"/>
  <c r="M1183" i="7" s="1"/>
  <c r="L1184" i="7"/>
  <c r="M1184" i="7" s="1"/>
  <c r="L1185" i="7"/>
  <c r="M1185" i="7" s="1"/>
  <c r="L1186" i="7"/>
  <c r="L1187" i="7"/>
  <c r="M1187" i="7" s="1"/>
  <c r="L1188" i="7"/>
  <c r="M1188" i="7" s="1"/>
  <c r="L1189" i="7"/>
  <c r="M1189" i="7" s="1"/>
  <c r="L1190" i="7"/>
  <c r="L1191" i="7"/>
  <c r="M1191" i="7" s="1"/>
  <c r="L1192" i="7"/>
  <c r="M1192" i="7" s="1"/>
  <c r="L1193" i="7"/>
  <c r="M1193" i="7" s="1"/>
  <c r="L1194" i="7"/>
  <c r="L1195" i="7"/>
  <c r="M1195" i="7" s="1"/>
  <c r="L1196" i="7"/>
  <c r="M1196" i="7" s="1"/>
  <c r="L1197" i="7"/>
  <c r="M1197" i="7" s="1"/>
  <c r="L1198" i="7"/>
  <c r="L1199" i="7"/>
  <c r="L1200" i="7"/>
  <c r="M1200" i="7" s="1"/>
  <c r="L1201" i="7"/>
  <c r="M1201" i="7" s="1"/>
  <c r="L1202" i="7"/>
  <c r="L1203" i="7"/>
  <c r="M1203" i="7" s="1"/>
  <c r="L1204" i="7"/>
  <c r="M1204" i="7" s="1"/>
  <c r="L1205" i="7"/>
  <c r="M1205" i="7" s="1"/>
  <c r="L1206" i="7"/>
  <c r="L1207" i="7"/>
  <c r="L1208" i="7"/>
  <c r="M1208" i="7" s="1"/>
  <c r="L1209" i="7"/>
  <c r="M1209" i="7" s="1"/>
  <c r="L1210" i="7"/>
  <c r="L1211" i="7"/>
  <c r="M1211" i="7" s="1"/>
  <c r="L1212" i="7"/>
  <c r="M1212" i="7" s="1"/>
  <c r="L1213" i="7"/>
  <c r="M1213" i="7" s="1"/>
  <c r="L1214" i="7"/>
  <c r="L1215" i="7"/>
  <c r="L1216" i="7"/>
  <c r="M1216" i="7" s="1"/>
  <c r="L1217" i="7"/>
  <c r="M1217" i="7" s="1"/>
  <c r="L1218" i="7"/>
  <c r="L1219" i="7"/>
  <c r="M1219" i="7" s="1"/>
  <c r="L1220" i="7"/>
  <c r="M1220" i="7" s="1"/>
  <c r="L1221" i="7"/>
  <c r="M1221" i="7" s="1"/>
  <c r="L1222" i="7"/>
  <c r="L1223" i="7"/>
  <c r="M1223" i="7" s="1"/>
  <c r="L1224" i="7"/>
  <c r="M1224" i="7" s="1"/>
  <c r="L1225" i="7"/>
  <c r="M1225" i="7" s="1"/>
  <c r="L1226" i="7"/>
  <c r="L1227" i="7"/>
  <c r="M1227" i="7" s="1"/>
  <c r="L1228" i="7"/>
  <c r="M1228" i="7" s="1"/>
  <c r="L1229" i="7"/>
  <c r="M1229" i="7" s="1"/>
  <c r="L1230" i="7"/>
  <c r="L1231" i="7"/>
  <c r="L1232" i="7"/>
  <c r="M1232" i="7" s="1"/>
  <c r="L1233" i="7"/>
  <c r="M1233" i="7" s="1"/>
  <c r="L1234" i="7"/>
  <c r="L1235" i="7"/>
  <c r="M1235" i="7" s="1"/>
  <c r="L1236" i="7"/>
  <c r="M1236" i="7" s="1"/>
  <c r="L1237" i="7"/>
  <c r="M1237" i="7" s="1"/>
  <c r="L1238" i="7"/>
  <c r="L1239" i="7"/>
  <c r="L1240" i="7"/>
  <c r="M1240" i="7" s="1"/>
  <c r="L1241" i="7"/>
  <c r="M1241" i="7" s="1"/>
  <c r="L1242" i="7"/>
  <c r="L1243" i="7"/>
  <c r="M1243" i="7" s="1"/>
  <c r="L1244" i="7"/>
  <c r="M1244" i="7" s="1"/>
  <c r="L1245" i="7"/>
  <c r="M1245" i="7" s="1"/>
  <c r="L1246" i="7"/>
  <c r="L1247" i="7"/>
  <c r="L1248" i="7"/>
  <c r="M1248" i="7" s="1"/>
  <c r="L1249" i="7"/>
  <c r="M1249" i="7" s="1"/>
  <c r="L1250" i="7"/>
  <c r="L1251" i="7"/>
  <c r="M1251" i="7" s="1"/>
  <c r="L1252" i="7"/>
  <c r="M1252" i="7" s="1"/>
  <c r="L1253" i="7"/>
  <c r="M1253" i="7" s="1"/>
  <c r="L1254" i="7"/>
  <c r="L1255" i="7"/>
  <c r="M1255" i="7" s="1"/>
  <c r="L1256" i="7"/>
  <c r="M1256" i="7" s="1"/>
  <c r="L1257" i="7"/>
  <c r="M1257" i="7" s="1"/>
  <c r="L1258" i="7"/>
  <c r="L1259" i="7"/>
  <c r="M1259" i="7" s="1"/>
  <c r="L1260" i="7"/>
  <c r="M1260" i="7" s="1"/>
  <c r="L1261" i="7"/>
  <c r="M1261" i="7" s="1"/>
  <c r="L1262" i="7"/>
  <c r="L1263" i="7"/>
  <c r="L1264" i="7"/>
  <c r="M1264" i="7" s="1"/>
  <c r="L1265" i="7"/>
  <c r="M1265" i="7" s="1"/>
  <c r="L1266" i="7"/>
  <c r="L1267" i="7"/>
  <c r="M1267" i="7" s="1"/>
  <c r="L1268" i="7"/>
  <c r="M1268" i="7" s="1"/>
  <c r="L1269" i="7"/>
  <c r="M1269" i="7" s="1"/>
  <c r="L1270" i="7"/>
  <c r="L1271" i="7"/>
  <c r="L1272" i="7"/>
  <c r="M1272" i="7" s="1"/>
  <c r="L1273" i="7"/>
  <c r="M1273" i="7" s="1"/>
  <c r="L1274" i="7"/>
  <c r="L1275" i="7"/>
  <c r="M1275" i="7" s="1"/>
  <c r="L1276" i="7"/>
  <c r="M1276" i="7" s="1"/>
  <c r="L1277" i="7"/>
  <c r="M1277" i="7" s="1"/>
  <c r="L1278" i="7"/>
  <c r="L1279" i="7"/>
  <c r="L1280" i="7"/>
  <c r="M1280" i="7" s="1"/>
  <c r="L1281" i="7"/>
  <c r="M1281" i="7" s="1"/>
  <c r="L1282" i="7"/>
  <c r="L1283" i="7"/>
  <c r="M1283" i="7" s="1"/>
  <c r="L1284" i="7"/>
  <c r="M1284" i="7" s="1"/>
  <c r="L1285" i="7"/>
  <c r="M1285" i="7" s="1"/>
  <c r="L1286" i="7"/>
  <c r="L1287" i="7"/>
  <c r="M1287" i="7" s="1"/>
  <c r="L1288" i="7"/>
  <c r="M1288" i="7" s="1"/>
  <c r="L1289" i="7"/>
  <c r="M1289" i="7" s="1"/>
  <c r="L1290" i="7"/>
  <c r="L1291" i="7"/>
  <c r="M1291" i="7" s="1"/>
  <c r="L1292" i="7"/>
  <c r="M1292" i="7" s="1"/>
  <c r="L1293" i="7"/>
  <c r="M1293" i="7" s="1"/>
  <c r="L1294" i="7"/>
  <c r="L1295" i="7"/>
  <c r="L1296" i="7"/>
  <c r="M1296" i="7" s="1"/>
  <c r="L1297" i="7"/>
  <c r="M1297" i="7" s="1"/>
  <c r="L1298" i="7"/>
  <c r="L1299" i="7"/>
  <c r="M1299" i="7" s="1"/>
  <c r="L1300" i="7"/>
  <c r="M1300" i="7" s="1"/>
  <c r="L1301" i="7"/>
  <c r="M1301" i="7" s="1"/>
  <c r="L1302" i="7"/>
  <c r="L1303" i="7"/>
  <c r="L1304" i="7"/>
  <c r="M1304" i="7" s="1"/>
  <c r="L1305" i="7"/>
  <c r="M1305" i="7" s="1"/>
  <c r="L1306" i="7"/>
  <c r="L1307" i="7"/>
  <c r="M1307" i="7" s="1"/>
  <c r="L1308" i="7"/>
  <c r="M1308" i="7" s="1"/>
  <c r="L1309" i="7"/>
  <c r="M1309" i="7" s="1"/>
  <c r="L1310" i="7"/>
  <c r="L1311" i="7"/>
  <c r="L1312" i="7"/>
  <c r="M1312" i="7" s="1"/>
  <c r="L1313" i="7"/>
  <c r="M1313" i="7" s="1"/>
  <c r="L1314" i="7"/>
  <c r="L1315" i="7"/>
  <c r="M1315" i="7" s="1"/>
  <c r="L1316" i="7"/>
  <c r="M1316" i="7" s="1"/>
  <c r="L1317" i="7"/>
  <c r="M1317" i="7" s="1"/>
  <c r="L1318" i="7"/>
  <c r="L1319" i="7"/>
  <c r="M1319" i="7" s="1"/>
  <c r="L1320" i="7"/>
  <c r="M1320" i="7" s="1"/>
  <c r="L1321" i="7"/>
  <c r="M1321" i="7" s="1"/>
  <c r="L1322" i="7"/>
  <c r="L1323" i="7"/>
  <c r="M1323" i="7" s="1"/>
  <c r="L1324" i="7"/>
  <c r="M1324" i="7" s="1"/>
  <c r="L1325" i="7"/>
  <c r="M1325" i="7" s="1"/>
  <c r="L1326" i="7"/>
  <c r="L1327" i="7"/>
  <c r="L1328" i="7"/>
  <c r="M1328" i="7" s="1"/>
  <c r="L1329" i="7"/>
  <c r="M1329" i="7" s="1"/>
  <c r="L1330" i="7"/>
  <c r="L1331" i="7"/>
  <c r="M1331" i="7" s="1"/>
  <c r="L1332" i="7"/>
  <c r="M1332" i="7" s="1"/>
  <c r="L1333" i="7"/>
  <c r="M1333" i="7" s="1"/>
  <c r="L1334" i="7"/>
  <c r="L1335" i="7"/>
  <c r="L1336" i="7"/>
  <c r="M1336" i="7" s="1"/>
  <c r="L1337" i="7"/>
  <c r="M1337" i="7" s="1"/>
  <c r="L1338" i="7"/>
  <c r="L1339" i="7"/>
  <c r="M1339" i="7" s="1"/>
  <c r="L1340" i="7"/>
  <c r="M1340" i="7" s="1"/>
  <c r="L1341" i="7"/>
  <c r="M1341" i="7" s="1"/>
  <c r="L1342" i="7"/>
  <c r="L1343" i="7"/>
  <c r="L1344" i="7"/>
  <c r="M1344" i="7" s="1"/>
  <c r="L1345" i="7"/>
  <c r="M1345" i="7" s="1"/>
  <c r="L1346" i="7"/>
  <c r="L1347" i="7"/>
  <c r="M1347" i="7" s="1"/>
  <c r="L1348" i="7"/>
  <c r="M1348" i="7" s="1"/>
  <c r="L1349" i="7"/>
  <c r="M1349" i="7" s="1"/>
  <c r="L1350" i="7"/>
  <c r="L1351" i="7"/>
  <c r="M1351" i="7" s="1"/>
  <c r="L1352" i="7"/>
  <c r="M1352" i="7" s="1"/>
  <c r="L1353" i="7"/>
  <c r="M1353" i="7" s="1"/>
  <c r="L1354" i="7"/>
  <c r="L1355" i="7"/>
  <c r="M1355" i="7" s="1"/>
  <c r="L1356" i="7"/>
  <c r="M1356" i="7" s="1"/>
  <c r="L1357" i="7"/>
  <c r="M1357" i="7" s="1"/>
  <c r="L1358" i="7"/>
  <c r="L1359" i="7"/>
  <c r="L1360" i="7"/>
  <c r="M1360" i="7" s="1"/>
  <c r="L1361" i="7"/>
  <c r="M1361" i="7" s="1"/>
  <c r="L1362" i="7"/>
  <c r="L1363" i="7"/>
  <c r="M1363" i="7" s="1"/>
  <c r="L1364" i="7"/>
  <c r="M1364" i="7" s="1"/>
  <c r="L1365" i="7"/>
  <c r="M1365" i="7" s="1"/>
  <c r="L1366" i="7"/>
  <c r="L1367" i="7"/>
  <c r="L1368" i="7"/>
  <c r="M1368" i="7" s="1"/>
  <c r="L1369" i="7"/>
  <c r="M1369" i="7" s="1"/>
  <c r="L1370" i="7"/>
  <c r="L1371" i="7"/>
  <c r="M1371" i="7" s="1"/>
  <c r="L1372" i="7"/>
  <c r="M1372" i="7" s="1"/>
  <c r="L1373" i="7"/>
  <c r="M1373" i="7" s="1"/>
  <c r="L1374" i="7"/>
  <c r="L1375" i="7"/>
  <c r="L1376" i="7"/>
  <c r="M1376" i="7" s="1"/>
  <c r="L1377" i="7"/>
  <c r="M1377" i="7" s="1"/>
  <c r="L1378" i="7"/>
  <c r="L1379" i="7"/>
  <c r="M1379" i="7" s="1"/>
  <c r="L1380" i="7"/>
  <c r="M1380" i="7" s="1"/>
  <c r="L1381" i="7"/>
  <c r="M1381" i="7" s="1"/>
  <c r="L1382" i="7"/>
  <c r="L1383" i="7"/>
  <c r="M1383" i="7" s="1"/>
  <c r="L1384" i="7"/>
  <c r="M1384" i="7" s="1"/>
  <c r="L1385" i="7"/>
  <c r="M1385" i="7" s="1"/>
  <c r="L1386" i="7"/>
  <c r="L1387" i="7"/>
  <c r="M1387" i="7" s="1"/>
  <c r="L1388" i="7"/>
  <c r="M1388" i="7" s="1"/>
  <c r="L1389" i="7"/>
  <c r="M1389" i="7" s="1"/>
  <c r="L1390" i="7"/>
  <c r="L1391" i="7"/>
  <c r="L1392" i="7"/>
  <c r="M1392" i="7" s="1"/>
  <c r="L1393" i="7"/>
  <c r="M1393" i="7" s="1"/>
  <c r="L1394" i="7"/>
  <c r="L1395" i="7"/>
  <c r="M1395" i="7" s="1"/>
  <c r="L1396" i="7"/>
  <c r="M1396" i="7" s="1"/>
  <c r="L1397" i="7"/>
  <c r="M1397" i="7" s="1"/>
  <c r="L1398" i="7"/>
  <c r="L1399" i="7"/>
  <c r="L1400" i="7"/>
  <c r="M1400" i="7" s="1"/>
  <c r="L1401" i="7"/>
  <c r="M1401" i="7" s="1"/>
  <c r="L1402" i="7"/>
  <c r="L1403" i="7"/>
  <c r="M1403" i="7" s="1"/>
  <c r="L1404" i="7"/>
  <c r="M1404" i="7" s="1"/>
  <c r="L1405" i="7"/>
  <c r="M1405" i="7" s="1"/>
  <c r="L1406" i="7"/>
  <c r="L1407" i="7"/>
  <c r="L1408" i="7"/>
  <c r="M1408" i="7" s="1"/>
  <c r="L1409" i="7"/>
  <c r="M1409" i="7" s="1"/>
  <c r="L1410" i="7"/>
  <c r="L1411" i="7"/>
  <c r="M1411" i="7" s="1"/>
  <c r="L1412" i="7"/>
  <c r="M1412" i="7" s="1"/>
  <c r="L1413" i="7"/>
  <c r="M1413" i="7" s="1"/>
  <c r="L1414" i="7"/>
  <c r="L1415" i="7"/>
  <c r="M1415" i="7" s="1"/>
  <c r="L1416" i="7"/>
  <c r="M1416" i="7" s="1"/>
  <c r="L1417" i="7"/>
  <c r="M1417" i="7" s="1"/>
  <c r="L1418" i="7"/>
  <c r="L1419" i="7"/>
  <c r="M1419" i="7" s="1"/>
  <c r="L1420" i="7"/>
  <c r="M1420" i="7" s="1"/>
  <c r="L1421" i="7"/>
  <c r="M1421" i="7" s="1"/>
  <c r="L1422" i="7"/>
  <c r="L1423" i="7"/>
  <c r="L1424" i="7"/>
  <c r="M1424" i="7" s="1"/>
  <c r="L1425" i="7"/>
  <c r="M1425" i="7" s="1"/>
  <c r="L1426" i="7"/>
  <c r="L1427" i="7"/>
  <c r="M1427" i="7" s="1"/>
  <c r="L1428" i="7"/>
  <c r="M1428" i="7" s="1"/>
  <c r="L1429" i="7"/>
  <c r="M1429" i="7" s="1"/>
  <c r="L1430" i="7"/>
  <c r="L1431" i="7"/>
  <c r="L1432" i="7"/>
  <c r="M1432" i="7" s="1"/>
  <c r="L1433" i="7"/>
  <c r="M1433" i="7" s="1"/>
  <c r="L1434" i="7"/>
  <c r="L1435" i="7"/>
  <c r="M1435" i="7" s="1"/>
  <c r="L1436" i="7"/>
  <c r="M1436" i="7" s="1"/>
  <c r="L1437" i="7"/>
  <c r="M1437" i="7" s="1"/>
  <c r="L1438" i="7"/>
  <c r="L1439" i="7"/>
  <c r="L1440" i="7"/>
  <c r="M1440" i="7" s="1"/>
  <c r="L1441" i="7"/>
  <c r="M1441" i="7" s="1"/>
  <c r="L1442" i="7"/>
  <c r="L1443" i="7"/>
  <c r="M1443" i="7" s="1"/>
  <c r="L1444" i="7"/>
  <c r="M1444" i="7" s="1"/>
  <c r="L1445" i="7"/>
  <c r="M1445" i="7" s="1"/>
  <c r="L1446" i="7"/>
  <c r="L1447" i="7"/>
  <c r="M1447" i="7" s="1"/>
  <c r="L1448" i="7"/>
  <c r="M1448" i="7" s="1"/>
  <c r="L1449" i="7"/>
  <c r="M1449" i="7" s="1"/>
  <c r="L1450" i="7"/>
  <c r="L1451" i="7"/>
  <c r="M1451" i="7" s="1"/>
  <c r="L1452" i="7"/>
  <c r="M1452" i="7" s="1"/>
  <c r="L1453" i="7"/>
  <c r="M1453" i="7" s="1"/>
  <c r="L1454" i="7"/>
  <c r="L1455" i="7"/>
  <c r="L1456" i="7"/>
  <c r="M1456" i="7" s="1"/>
  <c r="L1457" i="7"/>
  <c r="M1457" i="7" s="1"/>
  <c r="L1458" i="7"/>
  <c r="L1459" i="7"/>
  <c r="M1459" i="7" s="1"/>
  <c r="L1460" i="7"/>
  <c r="M1460" i="7" s="1"/>
  <c r="L1461" i="7"/>
  <c r="M1461" i="7" s="1"/>
  <c r="L1462" i="7"/>
  <c r="L1463" i="7"/>
  <c r="L1464" i="7"/>
  <c r="M1464" i="7" s="1"/>
  <c r="L1465" i="7"/>
  <c r="M1465" i="7" s="1"/>
  <c r="L1466" i="7"/>
  <c r="L1467" i="7"/>
  <c r="M1467" i="7" s="1"/>
  <c r="L1468" i="7"/>
  <c r="M1468" i="7" s="1"/>
  <c r="L1469" i="7"/>
  <c r="M1469" i="7" s="1"/>
  <c r="L1470" i="7"/>
  <c r="L1471" i="7"/>
  <c r="L1472" i="7"/>
  <c r="M1472" i="7" s="1"/>
  <c r="L1473" i="7"/>
  <c r="M1473" i="7" s="1"/>
  <c r="L1474" i="7"/>
  <c r="L1475" i="7"/>
  <c r="M1475" i="7" s="1"/>
  <c r="L1476" i="7"/>
  <c r="M1476" i="7" s="1"/>
  <c r="L1477" i="7"/>
  <c r="M1477" i="7" s="1"/>
  <c r="L1478" i="7"/>
  <c r="L1479" i="7"/>
  <c r="M1479" i="7" s="1"/>
  <c r="L1480" i="7"/>
  <c r="M1480" i="7" s="1"/>
  <c r="L1481" i="7"/>
  <c r="M1481" i="7" s="1"/>
  <c r="L1482" i="7"/>
  <c r="L1483" i="7"/>
  <c r="M1483" i="7" s="1"/>
  <c r="L1484" i="7"/>
  <c r="M1484" i="7" s="1"/>
  <c r="L1485" i="7"/>
  <c r="M1485" i="7" s="1"/>
  <c r="L1486" i="7"/>
  <c r="L1487" i="7"/>
  <c r="L1488" i="7"/>
  <c r="M1488" i="7" s="1"/>
  <c r="L1489" i="7"/>
  <c r="M1489" i="7" s="1"/>
  <c r="L1490" i="7"/>
  <c r="L1491" i="7"/>
  <c r="M1491" i="7" s="1"/>
  <c r="L1492" i="7"/>
  <c r="M1492" i="7" s="1"/>
  <c r="L1493" i="7"/>
  <c r="M1493" i="7" s="1"/>
  <c r="L1494" i="7"/>
  <c r="L1495" i="7"/>
  <c r="L1496" i="7"/>
  <c r="M1496" i="7" s="1"/>
  <c r="L1497" i="7"/>
  <c r="M1497" i="7" s="1"/>
  <c r="L1498" i="7"/>
  <c r="L1499" i="7"/>
  <c r="M1499" i="7" s="1"/>
  <c r="L1500" i="7"/>
  <c r="M1500" i="7" s="1"/>
  <c r="L1501" i="7"/>
  <c r="M1501" i="7" s="1"/>
  <c r="L1502" i="7"/>
  <c r="L1503" i="7"/>
  <c r="L1504" i="7"/>
  <c r="M1504" i="7" s="1"/>
  <c r="L1505" i="7"/>
  <c r="M1505" i="7" s="1"/>
  <c r="L1506" i="7"/>
  <c r="L1507" i="7"/>
  <c r="M1507" i="7" s="1"/>
  <c r="L1508" i="7"/>
  <c r="M1508" i="7" s="1"/>
  <c r="L1509" i="7"/>
  <c r="M1509" i="7" s="1"/>
  <c r="L1510" i="7"/>
  <c r="L1511" i="7"/>
  <c r="M1511" i="7" s="1"/>
  <c r="L1512" i="7"/>
  <c r="M1512" i="7" s="1"/>
  <c r="L1513" i="7"/>
  <c r="M1513" i="7" s="1"/>
  <c r="L1514" i="7"/>
  <c r="L1515" i="7"/>
  <c r="M1515" i="7" s="1"/>
  <c r="L1516" i="7"/>
  <c r="M1516" i="7" s="1"/>
  <c r="L1517" i="7"/>
  <c r="M1517" i="7" s="1"/>
  <c r="L1518" i="7"/>
  <c r="L1519" i="7"/>
  <c r="L1520" i="7"/>
  <c r="M1520" i="7" s="1"/>
  <c r="L1521" i="7"/>
  <c r="M1521" i="7" s="1"/>
  <c r="L1522" i="7"/>
  <c r="L1523" i="7"/>
  <c r="M1523" i="7" s="1"/>
  <c r="L1524" i="7"/>
  <c r="M1524" i="7" s="1"/>
  <c r="L1525" i="7"/>
  <c r="M1525" i="7" s="1"/>
  <c r="L1526" i="7"/>
  <c r="L1527" i="7"/>
  <c r="L1528" i="7"/>
  <c r="M1528" i="7" s="1"/>
  <c r="L1529" i="7"/>
  <c r="M1529" i="7" s="1"/>
  <c r="L1530" i="7"/>
  <c r="L1531" i="7"/>
  <c r="M1531" i="7" s="1"/>
  <c r="L1532" i="7"/>
  <c r="M1532" i="7" s="1"/>
  <c r="L1533" i="7"/>
  <c r="M1533" i="7" s="1"/>
  <c r="L1534" i="7"/>
  <c r="L1535" i="7"/>
  <c r="L1536" i="7"/>
  <c r="M1536" i="7" s="1"/>
  <c r="L1537" i="7"/>
  <c r="M1537" i="7" s="1"/>
  <c r="L1538" i="7"/>
  <c r="L1539" i="7"/>
  <c r="M1539" i="7" s="1"/>
  <c r="L1540" i="7"/>
  <c r="M1540" i="7" s="1"/>
  <c r="L1541" i="7"/>
  <c r="M1541" i="7" s="1"/>
  <c r="L1542" i="7"/>
  <c r="L1543" i="7"/>
  <c r="M1543" i="7" s="1"/>
  <c r="L1544" i="7"/>
  <c r="M1544" i="7" s="1"/>
  <c r="L1545" i="7"/>
  <c r="M1545" i="7" s="1"/>
  <c r="L1546" i="7"/>
  <c r="L1547" i="7"/>
  <c r="M1547" i="7" s="1"/>
  <c r="L1548" i="7"/>
  <c r="M1548" i="7" s="1"/>
  <c r="L1549" i="7"/>
  <c r="M1549" i="7" s="1"/>
  <c r="L1550" i="7"/>
  <c r="L1551" i="7"/>
  <c r="L1552" i="7"/>
  <c r="M1552" i="7" s="1"/>
  <c r="L1553" i="7"/>
  <c r="M1553" i="7" s="1"/>
  <c r="L1554" i="7"/>
  <c r="L1555" i="7"/>
  <c r="M1555" i="7" s="1"/>
  <c r="L1556" i="7"/>
  <c r="M1556" i="7" s="1"/>
  <c r="L1557" i="7"/>
  <c r="M1557" i="7" s="1"/>
  <c r="L1558" i="7"/>
  <c r="L1559" i="7"/>
  <c r="L1560" i="7"/>
  <c r="M1560" i="7" s="1"/>
  <c r="L1561" i="7"/>
  <c r="M1561" i="7" s="1"/>
  <c r="L1562" i="7"/>
  <c r="L1563" i="7"/>
  <c r="M1563" i="7" s="1"/>
  <c r="L1564" i="7"/>
  <c r="M1564" i="7" s="1"/>
  <c r="L1565" i="7"/>
  <c r="M1565" i="7" s="1"/>
  <c r="L1566" i="7"/>
  <c r="L1567" i="7"/>
  <c r="L1568" i="7"/>
  <c r="M1568" i="7" s="1"/>
  <c r="L1569" i="7"/>
  <c r="M1569" i="7" s="1"/>
  <c r="L1570" i="7"/>
  <c r="L1571" i="7"/>
  <c r="M1571" i="7" s="1"/>
  <c r="L1572" i="7"/>
  <c r="M1572" i="7" s="1"/>
  <c r="L1573" i="7"/>
  <c r="M1573" i="7" s="1"/>
  <c r="L1574" i="7"/>
  <c r="L1575" i="7"/>
  <c r="M1575" i="7" s="1"/>
  <c r="L1576" i="7"/>
  <c r="M1576" i="7" s="1"/>
  <c r="L1577" i="7"/>
  <c r="M1577" i="7" s="1"/>
  <c r="L1578" i="7"/>
  <c r="L1579" i="7"/>
  <c r="M1579" i="7" s="1"/>
  <c r="L1580" i="7"/>
  <c r="M1580" i="7" s="1"/>
  <c r="L1581" i="7"/>
  <c r="M1581" i="7" s="1"/>
  <c r="L1582" i="7"/>
  <c r="L1583" i="7"/>
  <c r="L1584" i="7"/>
  <c r="M1584" i="7" s="1"/>
  <c r="L1585" i="7"/>
  <c r="M1585" i="7" s="1"/>
  <c r="L1586" i="7"/>
  <c r="L1587" i="7"/>
  <c r="M1587" i="7" s="1"/>
  <c r="L1588" i="7"/>
  <c r="M1588" i="7" s="1"/>
  <c r="L1589" i="7"/>
  <c r="M1589" i="7" s="1"/>
  <c r="L1590" i="7"/>
  <c r="L1591" i="7"/>
  <c r="L1592" i="7"/>
  <c r="M1592" i="7" s="1"/>
  <c r="L1593" i="7"/>
  <c r="M1593" i="7" s="1"/>
  <c r="L1594" i="7"/>
  <c r="L1595" i="7"/>
  <c r="M1595" i="7" s="1"/>
  <c r="L1596" i="7"/>
  <c r="M1596" i="7" s="1"/>
  <c r="L1597" i="7"/>
  <c r="M1597" i="7" s="1"/>
  <c r="L1598" i="7"/>
  <c r="L1599" i="7"/>
  <c r="L1600" i="7"/>
  <c r="M1600" i="7" s="1"/>
  <c r="L1601" i="7"/>
  <c r="M1601" i="7" s="1"/>
  <c r="L1602" i="7"/>
  <c r="L1603" i="7"/>
  <c r="M1603" i="7" s="1"/>
  <c r="L1604" i="7"/>
  <c r="M1604" i="7" s="1"/>
  <c r="L1605" i="7"/>
  <c r="M1605" i="7" s="1"/>
  <c r="L1606" i="7"/>
  <c r="L1607" i="7"/>
  <c r="M1607" i="7" s="1"/>
  <c r="L1608" i="7"/>
  <c r="M1608" i="7" s="1"/>
  <c r="L1609" i="7"/>
  <c r="M1609" i="7" s="1"/>
  <c r="L1610" i="7"/>
  <c r="L1611" i="7"/>
  <c r="M1611" i="7" s="1"/>
  <c r="L1612" i="7"/>
  <c r="M1612" i="7" s="1"/>
  <c r="L1613" i="7"/>
  <c r="M1613" i="7" s="1"/>
  <c r="L1614" i="7"/>
  <c r="L1615" i="7"/>
  <c r="L1616" i="7"/>
  <c r="M1616" i="7" s="1"/>
  <c r="L1617" i="7"/>
  <c r="M1617" i="7" s="1"/>
  <c r="L1618" i="7"/>
  <c r="L1619" i="7"/>
  <c r="M1619" i="7" s="1"/>
  <c r="L1620" i="7"/>
  <c r="M1620" i="7" s="1"/>
  <c r="L1621" i="7"/>
  <c r="M1621" i="7" s="1"/>
  <c r="L1622" i="7"/>
  <c r="L1623" i="7"/>
  <c r="L1624" i="7"/>
  <c r="M1624" i="7" s="1"/>
  <c r="L1625" i="7"/>
  <c r="M1625" i="7" s="1"/>
  <c r="L1626" i="7"/>
  <c r="L1627" i="7"/>
  <c r="M1627" i="7" s="1"/>
  <c r="L1628" i="7"/>
  <c r="M1628" i="7" s="1"/>
  <c r="L1629" i="7"/>
  <c r="M1629" i="7" s="1"/>
  <c r="L1630" i="7"/>
  <c r="L1631" i="7"/>
  <c r="L1632" i="7"/>
  <c r="M1632" i="7" s="1"/>
  <c r="L1633" i="7"/>
  <c r="M1633" i="7" s="1"/>
  <c r="L1634" i="7"/>
  <c r="M1634" i="7" s="1"/>
  <c r="L1635" i="7"/>
  <c r="M1635" i="7" s="1"/>
  <c r="L1636" i="7"/>
  <c r="M1636" i="7" s="1"/>
  <c r="L1637" i="7"/>
  <c r="M1637" i="7" s="1"/>
  <c r="L1638" i="7"/>
  <c r="L1639" i="7"/>
  <c r="L1640" i="7"/>
  <c r="M1640" i="7" s="1"/>
  <c r="L1641" i="7"/>
  <c r="M1641" i="7" s="1"/>
  <c r="L1642" i="7"/>
  <c r="M1642" i="7" s="1"/>
  <c r="L1643" i="7"/>
  <c r="M1643" i="7" s="1"/>
  <c r="L1644" i="7"/>
  <c r="M1644" i="7" s="1"/>
  <c r="L1645" i="7"/>
  <c r="M1645" i="7" s="1"/>
  <c r="L1646" i="7"/>
  <c r="M1646" i="7" s="1"/>
  <c r="L1647" i="7"/>
  <c r="M1647" i="7" s="1"/>
  <c r="L1648" i="7"/>
  <c r="M1648" i="7" s="1"/>
  <c r="L1649" i="7"/>
  <c r="M1649" i="7" s="1"/>
  <c r="L1650" i="7"/>
  <c r="L1651" i="7"/>
  <c r="M1651" i="7" s="1"/>
  <c r="L1652" i="7"/>
  <c r="M1652" i="7" s="1"/>
  <c r="L1653" i="7"/>
  <c r="M1653" i="7" s="1"/>
  <c r="L1654" i="7"/>
  <c r="M1654" i="7" s="1"/>
  <c r="L1655" i="7"/>
  <c r="L1656" i="7"/>
  <c r="M1656" i="7" s="1"/>
  <c r="L1657" i="7"/>
  <c r="M1657" i="7" s="1"/>
  <c r="L1658" i="7"/>
  <c r="L1659" i="7"/>
  <c r="M1659" i="7" s="1"/>
  <c r="L1660" i="7"/>
  <c r="M1660" i="7" s="1"/>
  <c r="L1661" i="7"/>
  <c r="M1661" i="7" s="1"/>
  <c r="L1662" i="7"/>
  <c r="L1663" i="7"/>
  <c r="L1664" i="7"/>
  <c r="M1664" i="7" s="1"/>
  <c r="L1665" i="7"/>
  <c r="M1665" i="7" s="1"/>
  <c r="L1666" i="7"/>
  <c r="M1666" i="7" s="1"/>
  <c r="L1667" i="7"/>
  <c r="M1667" i="7" s="1"/>
  <c r="L1668" i="7"/>
  <c r="M1668" i="7" s="1"/>
  <c r="L1669" i="7"/>
  <c r="M1669" i="7" s="1"/>
  <c r="L1670" i="7"/>
  <c r="L1671" i="7"/>
  <c r="L1672" i="7"/>
  <c r="M1672" i="7" s="1"/>
  <c r="L1673" i="7"/>
  <c r="M1673" i="7" s="1"/>
  <c r="L1674" i="7"/>
  <c r="M1674" i="7" s="1"/>
  <c r="L1675" i="7"/>
  <c r="M1675" i="7" s="1"/>
  <c r="L1676" i="7"/>
  <c r="M1676" i="7" s="1"/>
  <c r="L1677" i="7"/>
  <c r="M1677" i="7" s="1"/>
  <c r="L1678" i="7"/>
  <c r="M1678" i="7" s="1"/>
  <c r="L1679" i="7"/>
  <c r="M1679" i="7" s="1"/>
  <c r="L1680" i="7"/>
  <c r="M1680" i="7" s="1"/>
  <c r="L1681" i="7"/>
  <c r="M1681" i="7" s="1"/>
  <c r="L1682" i="7"/>
  <c r="L1683" i="7"/>
  <c r="M1683" i="7" s="1"/>
  <c r="L1684" i="7"/>
  <c r="M1684" i="7" s="1"/>
  <c r="L1685" i="7"/>
  <c r="M1685" i="7" s="1"/>
  <c r="L1686" i="7"/>
  <c r="M1686" i="7" s="1"/>
  <c r="L1687" i="7"/>
  <c r="L1688" i="7"/>
  <c r="M1688" i="7" s="1"/>
  <c r="L1689" i="7"/>
  <c r="M1689" i="7" s="1"/>
  <c r="L1690" i="7"/>
  <c r="L1691" i="7"/>
  <c r="M1691" i="7" s="1"/>
  <c r="L1692" i="7"/>
  <c r="M1692" i="7" s="1"/>
  <c r="L1693" i="7"/>
  <c r="M1693" i="7" s="1"/>
  <c r="L1694" i="7"/>
  <c r="L1695" i="7"/>
  <c r="L1696" i="7"/>
  <c r="M1696" i="7" s="1"/>
  <c r="L1697" i="7"/>
  <c r="M1697" i="7" s="1"/>
  <c r="L1698" i="7"/>
  <c r="M1698" i="7" s="1"/>
  <c r="L1699" i="7"/>
  <c r="M1699" i="7" s="1"/>
  <c r="L1700" i="7"/>
  <c r="M1700" i="7" s="1"/>
  <c r="L1701" i="7"/>
  <c r="M1701" i="7" s="1"/>
  <c r="L1702" i="7"/>
  <c r="L1703" i="7"/>
  <c r="L1704" i="7"/>
  <c r="M1704" i="7" s="1"/>
  <c r="L1705" i="7"/>
  <c r="M1705" i="7" s="1"/>
  <c r="L1706" i="7"/>
  <c r="M1706" i="7" s="1"/>
  <c r="L1707" i="7"/>
  <c r="M1707" i="7" s="1"/>
  <c r="L1708" i="7"/>
  <c r="M1708" i="7" s="1"/>
  <c r="L1709" i="7"/>
  <c r="M1709" i="7" s="1"/>
  <c r="L1710" i="7"/>
  <c r="M1710" i="7" s="1"/>
  <c r="L1711" i="7"/>
  <c r="M1711" i="7" s="1"/>
  <c r="L1712" i="7"/>
  <c r="M1712" i="7" s="1"/>
  <c r="L1713" i="7"/>
  <c r="M1713" i="7" s="1"/>
  <c r="L1714" i="7"/>
  <c r="L1715" i="7"/>
  <c r="M1715" i="7" s="1"/>
  <c r="L1716" i="7"/>
  <c r="M1716" i="7" s="1"/>
  <c r="L1717" i="7"/>
  <c r="M1717" i="7" s="1"/>
  <c r="L1718" i="7"/>
  <c r="M1718" i="7" s="1"/>
  <c r="L1719" i="7"/>
  <c r="L1720" i="7"/>
  <c r="M1720" i="7" s="1"/>
  <c r="L1721" i="7"/>
  <c r="M1721" i="7" s="1"/>
  <c r="L1722" i="7"/>
  <c r="L1723" i="7"/>
  <c r="M1723" i="7" s="1"/>
  <c r="L1724" i="7"/>
  <c r="M1724" i="7" s="1"/>
  <c r="L1725" i="7"/>
  <c r="M1725" i="7" s="1"/>
  <c r="L1726" i="7"/>
  <c r="L1727" i="7"/>
  <c r="L1728" i="7"/>
  <c r="M1728" i="7" s="1"/>
  <c r="L1729" i="7"/>
  <c r="M1729" i="7" s="1"/>
  <c r="L1730" i="7"/>
  <c r="M1730" i="7" s="1"/>
  <c r="L1731" i="7"/>
  <c r="M1731" i="7" s="1"/>
  <c r="L1732" i="7"/>
  <c r="M1732" i="7" s="1"/>
  <c r="L1733" i="7"/>
  <c r="M1733" i="7" s="1"/>
  <c r="L1734" i="7"/>
  <c r="L1735" i="7"/>
  <c r="L1736" i="7"/>
  <c r="M1736" i="7" s="1"/>
  <c r="L1737" i="7"/>
  <c r="M1737" i="7" s="1"/>
  <c r="L1738" i="7"/>
  <c r="M1738" i="7" s="1"/>
  <c r="L1739" i="7"/>
  <c r="M1739" i="7" s="1"/>
  <c r="L1740" i="7"/>
  <c r="M1740" i="7" s="1"/>
  <c r="L1741" i="7"/>
  <c r="M1741" i="7" s="1"/>
  <c r="L1742" i="7"/>
  <c r="M1742" i="7" s="1"/>
  <c r="L1743" i="7"/>
  <c r="M1743" i="7" s="1"/>
  <c r="L1744" i="7"/>
  <c r="M1744" i="7" s="1"/>
  <c r="L1745" i="7"/>
  <c r="M1745" i="7" s="1"/>
  <c r="L1746" i="7"/>
  <c r="L1747" i="7"/>
  <c r="M1747" i="7" s="1"/>
  <c r="L1748" i="7"/>
  <c r="M1748" i="7" s="1"/>
  <c r="L1749" i="7"/>
  <c r="M1749" i="7" s="1"/>
  <c r="L1750" i="7"/>
  <c r="M1750" i="7" s="1"/>
  <c r="L1751" i="7"/>
  <c r="L1752" i="7"/>
  <c r="M1752" i="7" s="1"/>
  <c r="L1753" i="7"/>
  <c r="M1753" i="7" s="1"/>
  <c r="L1754" i="7"/>
  <c r="L1755" i="7"/>
  <c r="M1755" i="7" s="1"/>
  <c r="L1756" i="7"/>
  <c r="M1756" i="7" s="1"/>
  <c r="L1757" i="7"/>
  <c r="M1757" i="7" s="1"/>
  <c r="L1758" i="7"/>
  <c r="L1759" i="7"/>
  <c r="L1760" i="7"/>
  <c r="M1760" i="7" s="1"/>
  <c r="L1761" i="7"/>
  <c r="M1761" i="7" s="1"/>
  <c r="L1762" i="7"/>
  <c r="M1762" i="7" s="1"/>
  <c r="L1763" i="7"/>
  <c r="M1763" i="7" s="1"/>
  <c r="L1764" i="7"/>
  <c r="M1764" i="7" s="1"/>
  <c r="L1765" i="7"/>
  <c r="M1765" i="7" s="1"/>
  <c r="L1766" i="7"/>
  <c r="L1767" i="7"/>
  <c r="L1768" i="7"/>
  <c r="M1768" i="7" s="1"/>
  <c r="L1769" i="7"/>
  <c r="M1769" i="7" s="1"/>
  <c r="L1770" i="7"/>
  <c r="M1770" i="7" s="1"/>
  <c r="L1771" i="7"/>
  <c r="M1771" i="7" s="1"/>
  <c r="L1772" i="7"/>
  <c r="M1772" i="7" s="1"/>
  <c r="L1773" i="7"/>
  <c r="M1773" i="7" s="1"/>
  <c r="L1774" i="7"/>
  <c r="M1774" i="7" s="1"/>
  <c r="L1775" i="7"/>
  <c r="M1775" i="7" s="1"/>
  <c r="L1776" i="7"/>
  <c r="M1776" i="7" s="1"/>
  <c r="L1777" i="7"/>
  <c r="M1777" i="7" s="1"/>
  <c r="L1778" i="7"/>
  <c r="L1779" i="7"/>
  <c r="M1779" i="7" s="1"/>
  <c r="L1780" i="7"/>
  <c r="M1780" i="7" s="1"/>
  <c r="L1781" i="7"/>
  <c r="M1781" i="7" s="1"/>
  <c r="L1782" i="7"/>
  <c r="M1782" i="7" s="1"/>
  <c r="L1783" i="7"/>
  <c r="L1784" i="7"/>
  <c r="M1784" i="7" s="1"/>
  <c r="L1785" i="7"/>
  <c r="M1785" i="7" s="1"/>
  <c r="L1786" i="7"/>
  <c r="L1787" i="7"/>
  <c r="M1787" i="7" s="1"/>
  <c r="L1788" i="7"/>
  <c r="M1788" i="7" s="1"/>
  <c r="L1789" i="7"/>
  <c r="M1789" i="7" s="1"/>
  <c r="L1790" i="7"/>
  <c r="L1791" i="7"/>
  <c r="M1791" i="7" s="1"/>
  <c r="L1792" i="7"/>
  <c r="M1792" i="7" s="1"/>
  <c r="L1793" i="7"/>
  <c r="M1793" i="7" s="1"/>
  <c r="L1794" i="7"/>
  <c r="M1794" i="7" s="1"/>
  <c r="L1795" i="7"/>
  <c r="M1795" i="7" s="1"/>
  <c r="L1796" i="7"/>
  <c r="M1796" i="7" s="1"/>
  <c r="L1797" i="7"/>
  <c r="M1797" i="7" s="1"/>
  <c r="L1798" i="7"/>
  <c r="L1799" i="7"/>
  <c r="L1800" i="7"/>
  <c r="M1800" i="7" s="1"/>
  <c r="L1801" i="7"/>
  <c r="M1801" i="7" s="1"/>
  <c r="L1802" i="7"/>
  <c r="M1802" i="7" s="1"/>
  <c r="L1803" i="7"/>
  <c r="M1803" i="7" s="1"/>
  <c r="L1804" i="7"/>
  <c r="M1804" i="7" s="1"/>
  <c r="L1805" i="7"/>
  <c r="M1805" i="7" s="1"/>
  <c r="L1806" i="7"/>
  <c r="M1806" i="7" s="1"/>
  <c r="L1807" i="7"/>
  <c r="M1807" i="7" s="1"/>
  <c r="L1808" i="7"/>
  <c r="M1808" i="7" s="1"/>
  <c r="L1809" i="7"/>
  <c r="M1809" i="7" s="1"/>
  <c r="L1810" i="7"/>
  <c r="L1811" i="7"/>
  <c r="M1811" i="7" s="1"/>
  <c r="L1812" i="7"/>
  <c r="M1812" i="7" s="1"/>
  <c r="L1813" i="7"/>
  <c r="M1813" i="7" s="1"/>
  <c r="L1814" i="7"/>
  <c r="M1814" i="7" s="1"/>
  <c r="L1815" i="7"/>
  <c r="M1815" i="7" s="1"/>
  <c r="L1816" i="7"/>
  <c r="M1816" i="7" s="1"/>
  <c r="L1817" i="7"/>
  <c r="M1817" i="7" s="1"/>
  <c r="L1818" i="7"/>
  <c r="L1819" i="7"/>
  <c r="M1819" i="7" s="1"/>
  <c r="L1820" i="7"/>
  <c r="M1820" i="7" s="1"/>
  <c r="L1821" i="7"/>
  <c r="M1821" i="7" s="1"/>
  <c r="L1822" i="7"/>
  <c r="L1823" i="7"/>
  <c r="L1824" i="7"/>
  <c r="M1824" i="7" s="1"/>
  <c r="L1825" i="7"/>
  <c r="M1825" i="7" s="1"/>
  <c r="L1826" i="7"/>
  <c r="M1826" i="7" s="1"/>
  <c r="L1827" i="7"/>
  <c r="M1827" i="7" s="1"/>
  <c r="L1828" i="7"/>
  <c r="M1828" i="7" s="1"/>
  <c r="L1829" i="7"/>
  <c r="M1829" i="7" s="1"/>
  <c r="L1830" i="7"/>
  <c r="L1831" i="7"/>
  <c r="L1832" i="7"/>
  <c r="M1832" i="7" s="1"/>
  <c r="L1833" i="7"/>
  <c r="M1833" i="7" s="1"/>
  <c r="L1834" i="7"/>
  <c r="M1834" i="7" s="1"/>
  <c r="L1835" i="7"/>
  <c r="M1835" i="7" s="1"/>
  <c r="L1836" i="7"/>
  <c r="M1836" i="7" s="1"/>
  <c r="L1837" i="7"/>
  <c r="M1837" i="7" s="1"/>
  <c r="L1838" i="7"/>
  <c r="M1838" i="7" s="1"/>
  <c r="L1839" i="7"/>
  <c r="M1839" i="7" s="1"/>
  <c r="L1840" i="7"/>
  <c r="M1840" i="7" s="1"/>
  <c r="L1841" i="7"/>
  <c r="M1841" i="7" s="1"/>
  <c r="L1842" i="7"/>
  <c r="L1843" i="7"/>
  <c r="M1843" i="7" s="1"/>
  <c r="L1844" i="7"/>
  <c r="M1844" i="7" s="1"/>
  <c r="L1845" i="7"/>
  <c r="M1845" i="7" s="1"/>
  <c r="L1846" i="7"/>
  <c r="M1846" i="7" s="1"/>
  <c r="L1847" i="7"/>
  <c r="L1848" i="7"/>
  <c r="M1848" i="7" s="1"/>
  <c r="L1849" i="7"/>
  <c r="M1849" i="7" s="1"/>
  <c r="L1850" i="7"/>
  <c r="L1851" i="7"/>
  <c r="M1851" i="7" s="1"/>
  <c r="L1852" i="7"/>
  <c r="M1852" i="7" s="1"/>
  <c r="L1853" i="7"/>
  <c r="M1853" i="7" s="1"/>
  <c r="L1854" i="7"/>
  <c r="L1855" i="7"/>
  <c r="L1856" i="7"/>
  <c r="M1856" i="7" s="1"/>
  <c r="L1857" i="7"/>
  <c r="M1857" i="7" s="1"/>
  <c r="L1858" i="7"/>
  <c r="M1858" i="7" s="1"/>
  <c r="L1859" i="7"/>
  <c r="M1859" i="7" s="1"/>
  <c r="L1860" i="7"/>
  <c r="M1860" i="7" s="1"/>
  <c r="L1861" i="7"/>
  <c r="M1861" i="7" s="1"/>
  <c r="L1862" i="7"/>
  <c r="L1863" i="7"/>
  <c r="M1863" i="7" s="1"/>
  <c r="L1864" i="7"/>
  <c r="M1864" i="7" s="1"/>
  <c r="L1865" i="7"/>
  <c r="M1865" i="7" s="1"/>
  <c r="L1866" i="7"/>
  <c r="M1866" i="7" s="1"/>
  <c r="L1867" i="7"/>
  <c r="M1867" i="7" s="1"/>
  <c r="L1868" i="7"/>
  <c r="M1868" i="7" s="1"/>
  <c r="L1869" i="7"/>
  <c r="M1869" i="7" s="1"/>
  <c r="L1870" i="7"/>
  <c r="M1870" i="7" s="1"/>
  <c r="L1871" i="7"/>
  <c r="M1871" i="7" s="1"/>
  <c r="L1872" i="7"/>
  <c r="M1872" i="7" s="1"/>
  <c r="L1873" i="7"/>
  <c r="M1873" i="7" s="1"/>
  <c r="L1874" i="7"/>
  <c r="L1875" i="7"/>
  <c r="M1875" i="7" s="1"/>
  <c r="L1876" i="7"/>
  <c r="M1876" i="7" s="1"/>
  <c r="L1877" i="7"/>
  <c r="M1877" i="7" s="1"/>
  <c r="L1878" i="7"/>
  <c r="M1878" i="7" s="1"/>
  <c r="L1879" i="7"/>
  <c r="L1880" i="7"/>
  <c r="M1880" i="7" s="1"/>
  <c r="L1881" i="7"/>
  <c r="M1881" i="7" s="1"/>
  <c r="L1882" i="7"/>
  <c r="L1883" i="7"/>
  <c r="M1883" i="7" s="1"/>
  <c r="L1884" i="7"/>
  <c r="M1884" i="7" s="1"/>
  <c r="L1885" i="7"/>
  <c r="M1885" i="7" s="1"/>
  <c r="L1886" i="7"/>
  <c r="L1887" i="7"/>
  <c r="L1888" i="7"/>
  <c r="M1888" i="7" s="1"/>
  <c r="L1889" i="7"/>
  <c r="M1889" i="7" s="1"/>
  <c r="L1890" i="7"/>
  <c r="M1890" i="7" s="1"/>
  <c r="L1891" i="7"/>
  <c r="M1891" i="7" s="1"/>
  <c r="L1892" i="7"/>
  <c r="M1892" i="7" s="1"/>
  <c r="L1893" i="7"/>
  <c r="M1893" i="7" s="1"/>
  <c r="L1894" i="7"/>
  <c r="L1895" i="7"/>
  <c r="L1896" i="7"/>
  <c r="M1896" i="7" s="1"/>
  <c r="L1897" i="7"/>
  <c r="M1897" i="7" s="1"/>
  <c r="L1898" i="7"/>
  <c r="M1898" i="7" s="1"/>
  <c r="L1899" i="7"/>
  <c r="M1899" i="7" s="1"/>
  <c r="L1900" i="7"/>
  <c r="M1900" i="7" s="1"/>
  <c r="L1901" i="7"/>
  <c r="M1901" i="7" s="1"/>
  <c r="L1902" i="7"/>
  <c r="M1902" i="7" s="1"/>
  <c r="L1903" i="7"/>
  <c r="M1903" i="7" s="1"/>
  <c r="L1904" i="7"/>
  <c r="M1904" i="7" s="1"/>
  <c r="L1905" i="7"/>
  <c r="M1905" i="7" s="1"/>
  <c r="L1906" i="7"/>
  <c r="L1907" i="7"/>
  <c r="M1907" i="7" s="1"/>
  <c r="L1908" i="7"/>
  <c r="M1908" i="7" s="1"/>
  <c r="L1909" i="7"/>
  <c r="M1909" i="7" s="1"/>
  <c r="L1910" i="7"/>
  <c r="M1910" i="7" s="1"/>
  <c r="L1911" i="7"/>
  <c r="L1912" i="7"/>
  <c r="M1912" i="7" s="1"/>
  <c r="L1913" i="7"/>
  <c r="M1913" i="7" s="1"/>
  <c r="L1914" i="7"/>
  <c r="L1915" i="7"/>
  <c r="M1915" i="7" s="1"/>
  <c r="L1916" i="7"/>
  <c r="M1916" i="7" s="1"/>
  <c r="L1917" i="7"/>
  <c r="M1917" i="7" s="1"/>
  <c r="L1918" i="7"/>
  <c r="L1919" i="7"/>
  <c r="M1919" i="7" s="1"/>
  <c r="L1920" i="7"/>
  <c r="M1920" i="7" s="1"/>
  <c r="L1921" i="7"/>
  <c r="M1921" i="7" s="1"/>
  <c r="L1922" i="7"/>
  <c r="M1922" i="7" s="1"/>
  <c r="L1923" i="7"/>
  <c r="M1923" i="7" s="1"/>
  <c r="L1924" i="7"/>
  <c r="M1924" i="7" s="1"/>
  <c r="L1925" i="7"/>
  <c r="M1925" i="7" s="1"/>
  <c r="L1926" i="7"/>
  <c r="L1927" i="7"/>
  <c r="L1928" i="7"/>
  <c r="M1928" i="7" s="1"/>
  <c r="L1929" i="7"/>
  <c r="M1929" i="7" s="1"/>
  <c r="L1930" i="7"/>
  <c r="M1930" i="7" s="1"/>
  <c r="L1931" i="7"/>
  <c r="M1931" i="7" s="1"/>
  <c r="L1932" i="7"/>
  <c r="M1932" i="7" s="1"/>
  <c r="L1933" i="7"/>
  <c r="M1933" i="7" s="1"/>
  <c r="L1934" i="7"/>
  <c r="M1934" i="7" s="1"/>
  <c r="L1935" i="7"/>
  <c r="M1935" i="7" s="1"/>
  <c r="L1936" i="7"/>
  <c r="M1936" i="7" s="1"/>
  <c r="L1937" i="7"/>
  <c r="M1937" i="7" s="1"/>
  <c r="L1938" i="7"/>
  <c r="L1939" i="7"/>
  <c r="M1939" i="7" s="1"/>
  <c r="L1940" i="7"/>
  <c r="M1940" i="7" s="1"/>
  <c r="L1941" i="7"/>
  <c r="M1941" i="7" s="1"/>
  <c r="L1942" i="7"/>
  <c r="M1942" i="7" s="1"/>
  <c r="L1943" i="7"/>
  <c r="M1943" i="7" s="1"/>
  <c r="L1944" i="7"/>
  <c r="M1944" i="7" s="1"/>
  <c r="L1945" i="7"/>
  <c r="M1945" i="7" s="1"/>
  <c r="L1946" i="7"/>
  <c r="L1947" i="7"/>
  <c r="M1947" i="7" s="1"/>
  <c r="L1948" i="7"/>
  <c r="M1948" i="7" s="1"/>
  <c r="L1949" i="7"/>
  <c r="M1949" i="7" s="1"/>
  <c r="L1950" i="7"/>
  <c r="L1951" i="7"/>
  <c r="L1952" i="7"/>
  <c r="M1952" i="7" s="1"/>
  <c r="L1953" i="7"/>
  <c r="M1953" i="7" s="1"/>
  <c r="L1954" i="7"/>
  <c r="M1954" i="7" s="1"/>
  <c r="L1955" i="7"/>
  <c r="M1955" i="7" s="1"/>
  <c r="L1956" i="7"/>
  <c r="M1956" i="7" s="1"/>
  <c r="L1957" i="7"/>
  <c r="M1957" i="7" s="1"/>
  <c r="L1958" i="7"/>
  <c r="L1959" i="7"/>
  <c r="L1960" i="7"/>
  <c r="M1960" i="7" s="1"/>
  <c r="L1961" i="7"/>
  <c r="M1961" i="7" s="1"/>
  <c r="L1962" i="7"/>
  <c r="M1962" i="7" s="1"/>
  <c r="L1963" i="7"/>
  <c r="M1963" i="7" s="1"/>
  <c r="L1964" i="7"/>
  <c r="M1964" i="7" s="1"/>
  <c r="L1965" i="7"/>
  <c r="M1965" i="7" s="1"/>
  <c r="L1966" i="7"/>
  <c r="M1966" i="7" s="1"/>
  <c r="L1967" i="7"/>
  <c r="M1967" i="7" s="1"/>
  <c r="L1968" i="7"/>
  <c r="M1968" i="7" s="1"/>
  <c r="L1969" i="7"/>
  <c r="M1969" i="7" s="1"/>
  <c r="L1970" i="7"/>
  <c r="L1971" i="7"/>
  <c r="M1971" i="7" s="1"/>
  <c r="L1972" i="7"/>
  <c r="M1972" i="7" s="1"/>
  <c r="L1973" i="7"/>
  <c r="M1973" i="7" s="1"/>
  <c r="L1974" i="7"/>
  <c r="M1974" i="7" s="1"/>
  <c r="L1975" i="7"/>
  <c r="L1976" i="7"/>
  <c r="M1976" i="7" s="1"/>
  <c r="L1977" i="7"/>
  <c r="M1977" i="7" s="1"/>
  <c r="L1978" i="7"/>
  <c r="L1979" i="7"/>
  <c r="M1979" i="7" s="1"/>
  <c r="L1980" i="7"/>
  <c r="M1980" i="7" s="1"/>
  <c r="L1981" i="7"/>
  <c r="M1981" i="7" s="1"/>
  <c r="L1982" i="7"/>
  <c r="L1983" i="7"/>
  <c r="L1984" i="7"/>
  <c r="M1984" i="7" s="1"/>
  <c r="L1985" i="7"/>
  <c r="M1985" i="7" s="1"/>
  <c r="L1986" i="7"/>
  <c r="M1986" i="7" s="1"/>
  <c r="L1987" i="7"/>
  <c r="M1987" i="7" s="1"/>
  <c r="L1988" i="7"/>
  <c r="M1988" i="7" s="1"/>
  <c r="L1989" i="7"/>
  <c r="M1989" i="7" s="1"/>
  <c r="L1990" i="7"/>
  <c r="L1991" i="7"/>
  <c r="M1991" i="7" s="1"/>
  <c r="L1992" i="7"/>
  <c r="M1992" i="7" s="1"/>
  <c r="L1993" i="7"/>
  <c r="M1993" i="7" s="1"/>
  <c r="L1994" i="7"/>
  <c r="M1994" i="7" s="1"/>
  <c r="L1995" i="7"/>
  <c r="M1995" i="7" s="1"/>
  <c r="L1996" i="7"/>
  <c r="M1996" i="7" s="1"/>
  <c r="L1997" i="7"/>
  <c r="M1997" i="7" s="1"/>
  <c r="L1998" i="7"/>
  <c r="M1998" i="7" s="1"/>
  <c r="L1999" i="7"/>
  <c r="M1999" i="7" s="1"/>
  <c r="L2000" i="7"/>
  <c r="M2000" i="7" s="1"/>
  <c r="L2001" i="7"/>
  <c r="M2001" i="7" s="1"/>
  <c r="L2002" i="7"/>
  <c r="L2003" i="7"/>
  <c r="M2003" i="7" s="1"/>
  <c r="L2004" i="7"/>
  <c r="M2004" i="7" s="1"/>
  <c r="L2005" i="7"/>
  <c r="M2005" i="7" s="1"/>
  <c r="L2006" i="7"/>
  <c r="M2006" i="7" s="1"/>
  <c r="L2007" i="7"/>
  <c r="L2008" i="7"/>
  <c r="M2008" i="7" s="1"/>
  <c r="L2009" i="7"/>
  <c r="M2009" i="7" s="1"/>
  <c r="L2010" i="7"/>
  <c r="L2011" i="7"/>
  <c r="M2011" i="7" s="1"/>
  <c r="L2012" i="7"/>
  <c r="M2012" i="7" s="1"/>
  <c r="L2013" i="7"/>
  <c r="M2013" i="7" s="1"/>
  <c r="L2014" i="7"/>
  <c r="L2015" i="7"/>
  <c r="L2016" i="7"/>
  <c r="M2016" i="7" s="1"/>
  <c r="L2017" i="7"/>
  <c r="M2017" i="7" s="1"/>
  <c r="L2018" i="7"/>
  <c r="M2018" i="7" s="1"/>
  <c r="L2019" i="7"/>
  <c r="M2019" i="7" s="1"/>
  <c r="L2020" i="7"/>
  <c r="M2020" i="7" s="1"/>
  <c r="L2021" i="7"/>
  <c r="M2021" i="7" s="1"/>
  <c r="L2022" i="7"/>
  <c r="L2023" i="7"/>
  <c r="L2024" i="7"/>
  <c r="M2024" i="7" s="1"/>
  <c r="L2025" i="7"/>
  <c r="M2025" i="7" s="1"/>
  <c r="L2026" i="7"/>
  <c r="M2026" i="7" s="1"/>
  <c r="L2027" i="7"/>
  <c r="M2027" i="7" s="1"/>
  <c r="L2028" i="7"/>
  <c r="M2028" i="7" s="1"/>
  <c r="L2029" i="7"/>
  <c r="M2029" i="7" s="1"/>
  <c r="L2030" i="7"/>
  <c r="M2030" i="7" s="1"/>
  <c r="L2031" i="7"/>
  <c r="M2031" i="7" s="1"/>
  <c r="L2032" i="7"/>
  <c r="M2032" i="7" s="1"/>
  <c r="L2033" i="7"/>
  <c r="M2033" i="7" s="1"/>
  <c r="L2034" i="7"/>
  <c r="L2035" i="7"/>
  <c r="M2035" i="7" s="1"/>
  <c r="L2036" i="7"/>
  <c r="M2036" i="7" s="1"/>
  <c r="L2037" i="7"/>
  <c r="M2037" i="7" s="1"/>
  <c r="L2038" i="7"/>
  <c r="M2038" i="7" s="1"/>
  <c r="L2039" i="7"/>
  <c r="L2040" i="7"/>
  <c r="M2040" i="7" s="1"/>
  <c r="L2041" i="7"/>
  <c r="M2041" i="7" s="1"/>
  <c r="L2042" i="7"/>
  <c r="L2043" i="7"/>
  <c r="M2043" i="7" s="1"/>
  <c r="L2044" i="7"/>
  <c r="M2044" i="7" s="1"/>
  <c r="L2045" i="7"/>
  <c r="M2045" i="7" s="1"/>
  <c r="L2046" i="7"/>
  <c r="L2047" i="7"/>
  <c r="M2047" i="7" s="1"/>
  <c r="L2048" i="7"/>
  <c r="M2048" i="7" s="1"/>
  <c r="L2049" i="7"/>
  <c r="M2049" i="7" s="1"/>
  <c r="L2050" i="7"/>
  <c r="M2050" i="7" s="1"/>
  <c r="L2051" i="7"/>
  <c r="M2051" i="7" s="1"/>
  <c r="L2052" i="7"/>
  <c r="M2052" i="7" s="1"/>
  <c r="L2053" i="7"/>
  <c r="M2053" i="7" s="1"/>
  <c r="L2054" i="7"/>
  <c r="L2055" i="7"/>
  <c r="L2056" i="7"/>
  <c r="M2056" i="7" s="1"/>
  <c r="L2057" i="7"/>
  <c r="M2057" i="7" s="1"/>
  <c r="L2058" i="7"/>
  <c r="M2058" i="7" s="1"/>
  <c r="L2059" i="7"/>
  <c r="M2059" i="7" s="1"/>
  <c r="L2060" i="7"/>
  <c r="M2060" i="7" s="1"/>
  <c r="L2061" i="7"/>
  <c r="M2061" i="7" s="1"/>
  <c r="L2062" i="7"/>
  <c r="M2062" i="7" s="1"/>
  <c r="L2063" i="7"/>
  <c r="M2063" i="7" s="1"/>
  <c r="L2064" i="7"/>
  <c r="M2064" i="7" s="1"/>
  <c r="L2065" i="7"/>
  <c r="M2065" i="7" s="1"/>
  <c r="L2066" i="7"/>
  <c r="L2067" i="7"/>
  <c r="M2067" i="7" s="1"/>
  <c r="L2068" i="7"/>
  <c r="M2068" i="7" s="1"/>
  <c r="L2069" i="7"/>
  <c r="M2069" i="7" s="1"/>
  <c r="L2070" i="7"/>
  <c r="M2070" i="7" s="1"/>
  <c r="L2071" i="7"/>
  <c r="M2071" i="7" s="1"/>
  <c r="L2072" i="7"/>
  <c r="M2072" i="7" s="1"/>
  <c r="L2073" i="7"/>
  <c r="M2073" i="7" s="1"/>
  <c r="L2074" i="7"/>
  <c r="L2075" i="7"/>
  <c r="M2075" i="7" s="1"/>
  <c r="L2076" i="7"/>
  <c r="M2076" i="7" s="1"/>
  <c r="L2077" i="7"/>
  <c r="M2077" i="7" s="1"/>
  <c r="L2078" i="7"/>
  <c r="L2079" i="7"/>
  <c r="L2080" i="7"/>
  <c r="M2080" i="7" s="1"/>
  <c r="L2081" i="7"/>
  <c r="M2081" i="7" s="1"/>
  <c r="L2082" i="7"/>
  <c r="M2082" i="7" s="1"/>
  <c r="L2083" i="7"/>
  <c r="M2083" i="7" s="1"/>
  <c r="L2084" i="7"/>
  <c r="M2084" i="7" s="1"/>
  <c r="L2085" i="7"/>
  <c r="M2085" i="7" s="1"/>
  <c r="L2086" i="7"/>
  <c r="L2087" i="7"/>
  <c r="L2088" i="7"/>
  <c r="M2088" i="7" s="1"/>
  <c r="L2089" i="7"/>
  <c r="M2089" i="7" s="1"/>
  <c r="L2090" i="7"/>
  <c r="M2090" i="7" s="1"/>
  <c r="L2091" i="7"/>
  <c r="M2091" i="7" s="1"/>
  <c r="L2092" i="7"/>
  <c r="M2092" i="7" s="1"/>
  <c r="L2093" i="7"/>
  <c r="M2093" i="7" s="1"/>
  <c r="L2094" i="7"/>
  <c r="M2094" i="7" s="1"/>
  <c r="L2095" i="7"/>
  <c r="M2095" i="7" s="1"/>
  <c r="L2096" i="7"/>
  <c r="M2096" i="7" s="1"/>
  <c r="L2097" i="7"/>
  <c r="M2097" i="7" s="1"/>
  <c r="L2098" i="7"/>
  <c r="L2099" i="7"/>
  <c r="M2099" i="7" s="1"/>
  <c r="L2100" i="7"/>
  <c r="M2100" i="7" s="1"/>
  <c r="L2101" i="7"/>
  <c r="M2101" i="7" s="1"/>
  <c r="L2102" i="7"/>
  <c r="M2102" i="7" s="1"/>
  <c r="L2103" i="7"/>
  <c r="L2104" i="7"/>
  <c r="M2104" i="7" s="1"/>
  <c r="L2105" i="7"/>
  <c r="M2105" i="7" s="1"/>
  <c r="L2106" i="7"/>
  <c r="L2107" i="7"/>
  <c r="M2107" i="7" s="1"/>
  <c r="L2108" i="7"/>
  <c r="M2108" i="7" s="1"/>
  <c r="L2109" i="7"/>
  <c r="M2109" i="7" s="1"/>
  <c r="L2110" i="7"/>
  <c r="L2111" i="7"/>
  <c r="L2112" i="7"/>
  <c r="M2112" i="7" s="1"/>
  <c r="L2113" i="7"/>
  <c r="M2113" i="7" s="1"/>
  <c r="L2114" i="7"/>
  <c r="M2114" i="7" s="1"/>
  <c r="L2115" i="7"/>
  <c r="M2115" i="7" s="1"/>
  <c r="L2116" i="7"/>
  <c r="M2116" i="7" s="1"/>
  <c r="L2117" i="7"/>
  <c r="M2117" i="7" s="1"/>
  <c r="L2118" i="7"/>
  <c r="L2119" i="7"/>
  <c r="M2119" i="7" s="1"/>
  <c r="L2120" i="7"/>
  <c r="M2120" i="7" s="1"/>
  <c r="L2121" i="7"/>
  <c r="M2121" i="7" s="1"/>
  <c r="L2122" i="7"/>
  <c r="M2122" i="7" s="1"/>
  <c r="L2123" i="7"/>
  <c r="M2123" i="7" s="1"/>
  <c r="L2124" i="7"/>
  <c r="M2124" i="7" s="1"/>
  <c r="L2125" i="7"/>
  <c r="M2125" i="7" s="1"/>
  <c r="L2126" i="7"/>
  <c r="M2126" i="7" s="1"/>
  <c r="L2127" i="7"/>
  <c r="M2127" i="7" s="1"/>
  <c r="L2128" i="7"/>
  <c r="M2128" i="7" s="1"/>
  <c r="L2129" i="7"/>
  <c r="M2129" i="7" s="1"/>
  <c r="L2130" i="7"/>
  <c r="L2131" i="7"/>
  <c r="M2131" i="7" s="1"/>
  <c r="L2132" i="7"/>
  <c r="M2132" i="7" s="1"/>
  <c r="L2133" i="7"/>
  <c r="M2133" i="7" s="1"/>
  <c r="L2134" i="7"/>
  <c r="M2134" i="7" s="1"/>
  <c r="L2135" i="7"/>
  <c r="L2136" i="7"/>
  <c r="M2136" i="7" s="1"/>
  <c r="L2137" i="7"/>
  <c r="M2137" i="7" s="1"/>
  <c r="L2138" i="7"/>
  <c r="L2139" i="7"/>
  <c r="M2139" i="7" s="1"/>
  <c r="L2140" i="7"/>
  <c r="M2140" i="7" s="1"/>
  <c r="L2141" i="7"/>
  <c r="M2141" i="7" s="1"/>
  <c r="L2142" i="7"/>
  <c r="L2143" i="7"/>
  <c r="L2144" i="7"/>
  <c r="M2144" i="7" s="1"/>
  <c r="L2145" i="7"/>
  <c r="M2145" i="7" s="1"/>
  <c r="L2146" i="7"/>
  <c r="M2146" i="7" s="1"/>
  <c r="L2147" i="7"/>
  <c r="M2147" i="7" s="1"/>
  <c r="L2148" i="7"/>
  <c r="M2148" i="7" s="1"/>
  <c r="L2149" i="7"/>
  <c r="M2149" i="7" s="1"/>
  <c r="L2150" i="7"/>
  <c r="L2151" i="7"/>
  <c r="L2152" i="7"/>
  <c r="M2152" i="7" s="1"/>
  <c r="L2153" i="7"/>
  <c r="M2153" i="7" s="1"/>
  <c r="L2154" i="7"/>
  <c r="M2154" i="7" s="1"/>
  <c r="L2155" i="7"/>
  <c r="M2155" i="7" s="1"/>
  <c r="L2156" i="7"/>
  <c r="M2156" i="7" s="1"/>
  <c r="L2157" i="7"/>
  <c r="M2157" i="7" s="1"/>
  <c r="L2158" i="7"/>
  <c r="M2158" i="7" s="1"/>
  <c r="L2159" i="7"/>
  <c r="M2159" i="7" s="1"/>
  <c r="L2160" i="7"/>
  <c r="M2160" i="7" s="1"/>
  <c r="L2161" i="7"/>
  <c r="M2161" i="7" s="1"/>
  <c r="L2162" i="7"/>
  <c r="L2163" i="7"/>
  <c r="M2163" i="7" s="1"/>
  <c r="L2164" i="7"/>
  <c r="M2164" i="7" s="1"/>
  <c r="L2165" i="7"/>
  <c r="M2165" i="7" s="1"/>
  <c r="L2166" i="7"/>
  <c r="M2166" i="7" s="1"/>
  <c r="L2167" i="7"/>
  <c r="L2168" i="7"/>
  <c r="M2168" i="7" s="1"/>
  <c r="L2169" i="7"/>
  <c r="M2169" i="7" s="1"/>
  <c r="L2170" i="7"/>
  <c r="L2171" i="7"/>
  <c r="M2171" i="7" s="1"/>
  <c r="L2172" i="7"/>
  <c r="M2172" i="7" s="1"/>
  <c r="L2173" i="7"/>
  <c r="M2173" i="7" s="1"/>
  <c r="L2174" i="7"/>
  <c r="L2175" i="7"/>
  <c r="M2175" i="7" s="1"/>
  <c r="L2176" i="7"/>
  <c r="M2176" i="7" s="1"/>
  <c r="L2177" i="7"/>
  <c r="M2177" i="7" s="1"/>
  <c r="L2178" i="7"/>
  <c r="M2178" i="7" s="1"/>
  <c r="L2179" i="7"/>
  <c r="M2179" i="7" s="1"/>
  <c r="L2180" i="7"/>
  <c r="M2180" i="7" s="1"/>
  <c r="L2181" i="7"/>
  <c r="M2181" i="7" s="1"/>
  <c r="L2182" i="7"/>
  <c r="L2183" i="7"/>
  <c r="L2184" i="7"/>
  <c r="M2184" i="7" s="1"/>
  <c r="L2185" i="7"/>
  <c r="M2185" i="7" s="1"/>
  <c r="L2186" i="7"/>
  <c r="M2186" i="7" s="1"/>
  <c r="L2187" i="7"/>
  <c r="M2187" i="7" s="1"/>
  <c r="L2188" i="7"/>
  <c r="M2188" i="7" s="1"/>
  <c r="L2189" i="7"/>
  <c r="M2189" i="7" s="1"/>
  <c r="L2190" i="7"/>
  <c r="M2190" i="7" s="1"/>
  <c r="L2191" i="7"/>
  <c r="M2191" i="7" s="1"/>
  <c r="L2192" i="7"/>
  <c r="M2192" i="7" s="1"/>
  <c r="L2193" i="7"/>
  <c r="M2193" i="7" s="1"/>
  <c r="L2194" i="7"/>
  <c r="L2195" i="7"/>
  <c r="M2195" i="7" s="1"/>
  <c r="L2196" i="7"/>
  <c r="M2196" i="7" s="1"/>
  <c r="L2197" i="7"/>
  <c r="M2197" i="7" s="1"/>
  <c r="L2198" i="7"/>
  <c r="M2198" i="7" s="1"/>
  <c r="L2199" i="7"/>
  <c r="M2199" i="7" s="1"/>
  <c r="L2200" i="7"/>
  <c r="M2200" i="7" s="1"/>
  <c r="L2201" i="7"/>
  <c r="M2201" i="7" s="1"/>
  <c r="L2202" i="7"/>
  <c r="L2203" i="7"/>
  <c r="M2203" i="7" s="1"/>
  <c r="L2204" i="7"/>
  <c r="M2204" i="7" s="1"/>
  <c r="L2205" i="7"/>
  <c r="M2205" i="7" s="1"/>
  <c r="L2206" i="7"/>
  <c r="L2207" i="7"/>
  <c r="L2208" i="7"/>
  <c r="M2208" i="7" s="1"/>
  <c r="L2209" i="7"/>
  <c r="M2209" i="7" s="1"/>
  <c r="L2210" i="7"/>
  <c r="M2210" i="7" s="1"/>
  <c r="L2211" i="7"/>
  <c r="M2211" i="7" s="1"/>
  <c r="L2212" i="7"/>
  <c r="M2212" i="7" s="1"/>
  <c r="L2213" i="7"/>
  <c r="M2213" i="7" s="1"/>
  <c r="L2214" i="7"/>
  <c r="L2215" i="7"/>
  <c r="L2216" i="7"/>
  <c r="M2216" i="7" s="1"/>
  <c r="L2217" i="7"/>
  <c r="M2217" i="7" s="1"/>
  <c r="L2218" i="7"/>
  <c r="M2218" i="7" s="1"/>
  <c r="L2219" i="7"/>
  <c r="M2219" i="7" s="1"/>
  <c r="L2220" i="7"/>
  <c r="M2220" i="7" s="1"/>
  <c r="L2221" i="7"/>
  <c r="M2221" i="7" s="1"/>
  <c r="L2222" i="7"/>
  <c r="M2222" i="7" s="1"/>
  <c r="L2223" i="7"/>
  <c r="M2223" i="7" s="1"/>
  <c r="L2224" i="7"/>
  <c r="M2224" i="7" s="1"/>
  <c r="L2225" i="7"/>
  <c r="M2225" i="7" s="1"/>
  <c r="L2226" i="7"/>
  <c r="L2227" i="7"/>
  <c r="M2227" i="7" s="1"/>
  <c r="L2228" i="7"/>
  <c r="M2228" i="7" s="1"/>
  <c r="L2229" i="7"/>
  <c r="M2229" i="7" s="1"/>
  <c r="L2230" i="7"/>
  <c r="M2230" i="7" s="1"/>
  <c r="L2231" i="7"/>
  <c r="L2232" i="7"/>
  <c r="M2232" i="7" s="1"/>
  <c r="L2233" i="7"/>
  <c r="M2233" i="7" s="1"/>
  <c r="L2234" i="7"/>
  <c r="L2235" i="7"/>
  <c r="M2235" i="7" s="1"/>
  <c r="L2236" i="7"/>
  <c r="M2236" i="7" s="1"/>
  <c r="L2237" i="7"/>
  <c r="M2237" i="7" s="1"/>
  <c r="L2238" i="7"/>
  <c r="L2239" i="7"/>
  <c r="L2240" i="7"/>
  <c r="M2240" i="7" s="1"/>
  <c r="L2241" i="7"/>
  <c r="M2241" i="7" s="1"/>
  <c r="L2242" i="7"/>
  <c r="M2242" i="7" s="1"/>
  <c r="L2243" i="7"/>
  <c r="M2243" i="7" s="1"/>
  <c r="L2244" i="7"/>
  <c r="M2244" i="7" s="1"/>
  <c r="L2245" i="7"/>
  <c r="M2245" i="7" s="1"/>
  <c r="L2246" i="7"/>
  <c r="L2247" i="7"/>
  <c r="M2247" i="7" s="1"/>
  <c r="L2248" i="7"/>
  <c r="M2248" i="7" s="1"/>
  <c r="L2249" i="7"/>
  <c r="M2249" i="7" s="1"/>
  <c r="L2250" i="7"/>
  <c r="M2250" i="7" s="1"/>
  <c r="L2251" i="7"/>
  <c r="M2251" i="7" s="1"/>
  <c r="L2252" i="7"/>
  <c r="M2252" i="7" s="1"/>
  <c r="L2253" i="7"/>
  <c r="M2253" i="7" s="1"/>
  <c r="L2254" i="7"/>
  <c r="M2254" i="7" s="1"/>
  <c r="L2255" i="7"/>
  <c r="M2255" i="7" s="1"/>
  <c r="L2256" i="7"/>
  <c r="M2256" i="7" s="1"/>
  <c r="L2257" i="7"/>
  <c r="M2257" i="7" s="1"/>
  <c r="L2258" i="7"/>
  <c r="L2259" i="7"/>
  <c r="M2259" i="7" s="1"/>
  <c r="L2260" i="7"/>
  <c r="M2260" i="7" s="1"/>
  <c r="L2261" i="7"/>
  <c r="M2261" i="7" s="1"/>
  <c r="L2262" i="7"/>
  <c r="M2262" i="7" s="1"/>
  <c r="L2263" i="7"/>
  <c r="L2264" i="7"/>
  <c r="M2264" i="7" s="1"/>
  <c r="L2265" i="7"/>
  <c r="M2265" i="7" s="1"/>
  <c r="L2266" i="7"/>
  <c r="L2267" i="7"/>
  <c r="M2267" i="7" s="1"/>
  <c r="L2268" i="7"/>
  <c r="M2268" i="7" s="1"/>
  <c r="L2269" i="7"/>
  <c r="M2269" i="7" s="1"/>
  <c r="L2270" i="7"/>
  <c r="L2271" i="7"/>
  <c r="L2272" i="7"/>
  <c r="M2272" i="7" s="1"/>
  <c r="L2273" i="7"/>
  <c r="M2273" i="7" s="1"/>
  <c r="L2274" i="7"/>
  <c r="M2274" i="7" s="1"/>
  <c r="L2275" i="7"/>
  <c r="M2275" i="7" s="1"/>
  <c r="L2276" i="7"/>
  <c r="M2276" i="7" s="1"/>
  <c r="L2277" i="7"/>
  <c r="M2277" i="7" s="1"/>
  <c r="L2278" i="7"/>
  <c r="L2279" i="7"/>
  <c r="L2280" i="7"/>
  <c r="M2280" i="7" s="1"/>
  <c r="L2281" i="7"/>
  <c r="M2281" i="7" s="1"/>
  <c r="L2282" i="7"/>
  <c r="M2282" i="7" s="1"/>
  <c r="L2283" i="7"/>
  <c r="M2283" i="7" s="1"/>
  <c r="L2284" i="7"/>
  <c r="M2284" i="7" s="1"/>
  <c r="L2285" i="7"/>
  <c r="M2285" i="7" s="1"/>
  <c r="L2286" i="7"/>
  <c r="M2286" i="7" s="1"/>
  <c r="L2287" i="7"/>
  <c r="M2287" i="7" s="1"/>
  <c r="L2288" i="7"/>
  <c r="M2288" i="7" s="1"/>
  <c r="L2289" i="7"/>
  <c r="M2289" i="7" s="1"/>
  <c r="L2290" i="7"/>
  <c r="L2291" i="7"/>
  <c r="M2291" i="7" s="1"/>
  <c r="L2292" i="7"/>
  <c r="M2292" i="7" s="1"/>
  <c r="L2293" i="7"/>
  <c r="M2293" i="7" s="1"/>
  <c r="L2294" i="7"/>
  <c r="M2294" i="7" s="1"/>
  <c r="L2295" i="7"/>
  <c r="L2296" i="7"/>
  <c r="M2296" i="7" s="1"/>
  <c r="L2297" i="7"/>
  <c r="M2297" i="7" s="1"/>
  <c r="L2298" i="7"/>
  <c r="L2299" i="7"/>
  <c r="M2299" i="7" s="1"/>
  <c r="L2300" i="7"/>
  <c r="M2300" i="7" s="1"/>
  <c r="L2301" i="7"/>
  <c r="M2301" i="7" s="1"/>
  <c r="L2302" i="7"/>
  <c r="L2303" i="7"/>
  <c r="M2303" i="7" s="1"/>
  <c r="L2304" i="7"/>
  <c r="M2304" i="7" s="1"/>
  <c r="L2305" i="7"/>
  <c r="M2305" i="7" s="1"/>
  <c r="L2306" i="7"/>
  <c r="M2306" i="7" s="1"/>
  <c r="L2307" i="7"/>
  <c r="M2307" i="7" s="1"/>
  <c r="L2308" i="7"/>
  <c r="M2308" i="7" s="1"/>
  <c r="L2309" i="7"/>
  <c r="M2309" i="7" s="1"/>
  <c r="L2310" i="7"/>
  <c r="L2311" i="7"/>
  <c r="L2312" i="7"/>
  <c r="M2312" i="7" s="1"/>
  <c r="L2313" i="7"/>
  <c r="M2313" i="7" s="1"/>
  <c r="L2314" i="7"/>
  <c r="M2314" i="7" s="1"/>
  <c r="L2315" i="7"/>
  <c r="M2315" i="7" s="1"/>
  <c r="L2316" i="7"/>
  <c r="M2316" i="7" s="1"/>
  <c r="L2317" i="7"/>
  <c r="M2317" i="7" s="1"/>
  <c r="L2318" i="7"/>
  <c r="M2318" i="7" s="1"/>
  <c r="L2319" i="7"/>
  <c r="M2319" i="7" s="1"/>
  <c r="L2320" i="7"/>
  <c r="M2320" i="7" s="1"/>
  <c r="L2321" i="7"/>
  <c r="M2321" i="7" s="1"/>
  <c r="L2322" i="7"/>
  <c r="L2323" i="7"/>
  <c r="M2323" i="7" s="1"/>
  <c r="L2324" i="7"/>
  <c r="M2324" i="7" s="1"/>
  <c r="L2325" i="7"/>
  <c r="M2325" i="7" s="1"/>
  <c r="L2326" i="7"/>
  <c r="M2326" i="7" s="1"/>
  <c r="L2327" i="7"/>
  <c r="M2327" i="7" s="1"/>
  <c r="L2328" i="7"/>
  <c r="M2328" i="7" s="1"/>
  <c r="L2329" i="7"/>
  <c r="M2329" i="7" s="1"/>
  <c r="L2330" i="7"/>
  <c r="L2331" i="7"/>
  <c r="M2331" i="7" s="1"/>
  <c r="L2332" i="7"/>
  <c r="M2332" i="7" s="1"/>
  <c r="L2333" i="7"/>
  <c r="M2333" i="7" s="1"/>
  <c r="L2334" i="7"/>
  <c r="L2335" i="7"/>
  <c r="L2336" i="7"/>
  <c r="M2336" i="7" s="1"/>
  <c r="L2337" i="7"/>
  <c r="M2337" i="7" s="1"/>
  <c r="L2338" i="7"/>
  <c r="M2338" i="7" s="1"/>
  <c r="L2339" i="7"/>
  <c r="M2339" i="7" s="1"/>
  <c r="L2340" i="7"/>
  <c r="M2340" i="7" s="1"/>
  <c r="L2341" i="7"/>
  <c r="M2341" i="7" s="1"/>
  <c r="L2342" i="7"/>
  <c r="L2343" i="7"/>
  <c r="L2344" i="7"/>
  <c r="M2344" i="7" s="1"/>
  <c r="L2345" i="7"/>
  <c r="M2345" i="7" s="1"/>
  <c r="L2346" i="7"/>
  <c r="M2346" i="7" s="1"/>
  <c r="L2347" i="7"/>
  <c r="M2347" i="7" s="1"/>
  <c r="L2348" i="7"/>
  <c r="M2348" i="7" s="1"/>
  <c r="L2349" i="7"/>
  <c r="M2349" i="7" s="1"/>
  <c r="L2350" i="7"/>
  <c r="M2350" i="7" s="1"/>
  <c r="L2351" i="7"/>
  <c r="M2351" i="7" s="1"/>
  <c r="L2352" i="7"/>
  <c r="M2352" i="7" s="1"/>
  <c r="L2353" i="7"/>
  <c r="M2353" i="7" s="1"/>
  <c r="L2354" i="7"/>
  <c r="L2355" i="7"/>
  <c r="M2355" i="7" s="1"/>
  <c r="L2356" i="7"/>
  <c r="M2356" i="7" s="1"/>
  <c r="L2357" i="7"/>
  <c r="M2357" i="7" s="1"/>
  <c r="L2358" i="7"/>
  <c r="M2358" i="7" s="1"/>
  <c r="L2359" i="7"/>
  <c r="L2360" i="7"/>
  <c r="M2360" i="7" s="1"/>
  <c r="L2361" i="7"/>
  <c r="M2361" i="7" s="1"/>
  <c r="L2362" i="7"/>
  <c r="L2363" i="7"/>
  <c r="M2363" i="7" s="1"/>
  <c r="L2364" i="7"/>
  <c r="M2364" i="7" s="1"/>
  <c r="L2365" i="7"/>
  <c r="M2365" i="7" s="1"/>
  <c r="L2366" i="7"/>
  <c r="L2367" i="7"/>
  <c r="L2368" i="7"/>
  <c r="M2368" i="7" s="1"/>
  <c r="L2369" i="7"/>
  <c r="M2369" i="7" s="1"/>
  <c r="L2370" i="7"/>
  <c r="M2370" i="7" s="1"/>
  <c r="L2371" i="7"/>
  <c r="M2371" i="7" s="1"/>
  <c r="L2372" i="7"/>
  <c r="M2372" i="7" s="1"/>
  <c r="L2373" i="7"/>
  <c r="M2373" i="7" s="1"/>
  <c r="L2374" i="7"/>
  <c r="L2375" i="7"/>
  <c r="M2375" i="7" s="1"/>
  <c r="L2376" i="7"/>
  <c r="M2376" i="7" s="1"/>
  <c r="L2377" i="7"/>
  <c r="M2377" i="7" s="1"/>
  <c r="L2378" i="7"/>
  <c r="M2378" i="7" s="1"/>
  <c r="L2379" i="7"/>
  <c r="M2379" i="7" s="1"/>
  <c r="L2380" i="7"/>
  <c r="M2380" i="7" s="1"/>
  <c r="L2381" i="7"/>
  <c r="M2381" i="7" s="1"/>
  <c r="L2382" i="7"/>
  <c r="M2382" i="7" s="1"/>
  <c r="L2383" i="7"/>
  <c r="M2383" i="7" s="1"/>
  <c r="L2384" i="7"/>
  <c r="M2384" i="7" s="1"/>
  <c r="L2385" i="7"/>
  <c r="M2385" i="7" s="1"/>
  <c r="L2386" i="7"/>
  <c r="L2387" i="7"/>
  <c r="M2387" i="7" s="1"/>
  <c r="L2388" i="7"/>
  <c r="M2388" i="7" s="1"/>
  <c r="L2389" i="7"/>
  <c r="M2389" i="7" s="1"/>
  <c r="L2390" i="7"/>
  <c r="M2390" i="7" s="1"/>
  <c r="L2391" i="7"/>
  <c r="L2392" i="7"/>
  <c r="M2392" i="7" s="1"/>
  <c r="L2393" i="7"/>
  <c r="M2393" i="7" s="1"/>
  <c r="L2394" i="7"/>
  <c r="L2395" i="7"/>
  <c r="M2395" i="7" s="1"/>
  <c r="L2396" i="7"/>
  <c r="M2396" i="7" s="1"/>
  <c r="L2397" i="7"/>
  <c r="M2397" i="7" s="1"/>
  <c r="L2398" i="7"/>
  <c r="L2399" i="7"/>
  <c r="L2400" i="7"/>
  <c r="M2400" i="7" s="1"/>
  <c r="L2401" i="7"/>
  <c r="M2401" i="7" s="1"/>
  <c r="L2402" i="7"/>
  <c r="M2402" i="7" s="1"/>
  <c r="L2403" i="7"/>
  <c r="M2403" i="7" s="1"/>
  <c r="L2404" i="7"/>
  <c r="M2404" i="7" s="1"/>
  <c r="L2405" i="7"/>
  <c r="M2405" i="7" s="1"/>
  <c r="L2406" i="7"/>
  <c r="L2407" i="7"/>
  <c r="L2408" i="7"/>
  <c r="M2408" i="7" s="1"/>
  <c r="L2409" i="7"/>
  <c r="M2409" i="7" s="1"/>
  <c r="L2410" i="7"/>
  <c r="M2410" i="7" s="1"/>
  <c r="L2411" i="7"/>
  <c r="M2411" i="7" s="1"/>
  <c r="L2412" i="7"/>
  <c r="M2412" i="7" s="1"/>
  <c r="L2413" i="7"/>
  <c r="M2413" i="7" s="1"/>
  <c r="L2414" i="7"/>
  <c r="M2414" i="7" s="1"/>
  <c r="L2415" i="7"/>
  <c r="M2415" i="7" s="1"/>
  <c r="L2416" i="7"/>
  <c r="M2416" i="7" s="1"/>
  <c r="L2417" i="7"/>
  <c r="M2417" i="7" s="1"/>
  <c r="L2418" i="7"/>
  <c r="L2419" i="7"/>
  <c r="M2419" i="7" s="1"/>
  <c r="L2420" i="7"/>
  <c r="M2420" i="7" s="1"/>
  <c r="L2421" i="7"/>
  <c r="M2421" i="7" s="1"/>
  <c r="L2422" i="7"/>
  <c r="M2422" i="7" s="1"/>
  <c r="L2423" i="7"/>
  <c r="L2424" i="7"/>
  <c r="M2424" i="7" s="1"/>
  <c r="L2425" i="7"/>
  <c r="M2425" i="7" s="1"/>
  <c r="L2426" i="7"/>
  <c r="L2427" i="7"/>
  <c r="M2427" i="7" s="1"/>
  <c r="L2428" i="7"/>
  <c r="M2428" i="7" s="1"/>
  <c r="L2429" i="7"/>
  <c r="M2429" i="7" s="1"/>
  <c r="L2430" i="7"/>
  <c r="L2431" i="7"/>
  <c r="M2431" i="7" s="1"/>
  <c r="L2432" i="7"/>
  <c r="M2432" i="7" s="1"/>
  <c r="L2433" i="7"/>
  <c r="M2433" i="7" s="1"/>
  <c r="L2434" i="7"/>
  <c r="M2434" i="7" s="1"/>
  <c r="L2435" i="7"/>
  <c r="M2435" i="7" s="1"/>
  <c r="L2436" i="7"/>
  <c r="M2436" i="7" s="1"/>
  <c r="L2437" i="7"/>
  <c r="M2437" i="7" s="1"/>
  <c r="L2438" i="7"/>
  <c r="L2439" i="7"/>
  <c r="L2440" i="7"/>
  <c r="M2440" i="7" s="1"/>
  <c r="L2441" i="7"/>
  <c r="M2441" i="7" s="1"/>
  <c r="L2442" i="7"/>
  <c r="M2442" i="7" s="1"/>
  <c r="L2443" i="7"/>
  <c r="M2443" i="7" s="1"/>
  <c r="L2444" i="7"/>
  <c r="M2444" i="7" s="1"/>
  <c r="L2445" i="7"/>
  <c r="M2445" i="7" s="1"/>
  <c r="L2446" i="7"/>
  <c r="M2446" i="7" s="1"/>
  <c r="L2447" i="7"/>
  <c r="M2447" i="7" s="1"/>
  <c r="L2448" i="7"/>
  <c r="M2448" i="7" s="1"/>
  <c r="L2449" i="7"/>
  <c r="M2449" i="7" s="1"/>
  <c r="L2450" i="7"/>
  <c r="L2451" i="7"/>
  <c r="M2451" i="7" s="1"/>
  <c r="L2452" i="7"/>
  <c r="M2452" i="7" s="1"/>
  <c r="L2453" i="7"/>
  <c r="M2453" i="7" s="1"/>
  <c r="L2454" i="7"/>
  <c r="M2454" i="7" s="1"/>
  <c r="L2455" i="7"/>
  <c r="M2455" i="7" s="1"/>
  <c r="L2456" i="7"/>
  <c r="M2456" i="7" s="1"/>
  <c r="L2457" i="7"/>
  <c r="M2457" i="7" s="1"/>
  <c r="L2458" i="7"/>
  <c r="L2459" i="7"/>
  <c r="M2459" i="7" s="1"/>
  <c r="L2460" i="7"/>
  <c r="M2460" i="7" s="1"/>
  <c r="L2461" i="7"/>
  <c r="M2461" i="7" s="1"/>
  <c r="L2462" i="7"/>
  <c r="L2463" i="7"/>
  <c r="L2464" i="7"/>
  <c r="M2464" i="7" s="1"/>
  <c r="L2465" i="7"/>
  <c r="M2465" i="7" s="1"/>
  <c r="L2466" i="7"/>
  <c r="M2466" i="7" s="1"/>
  <c r="L2467" i="7"/>
  <c r="M2467" i="7" s="1"/>
  <c r="L2468" i="7"/>
  <c r="M2468" i="7" s="1"/>
  <c r="L2469" i="7"/>
  <c r="M2469" i="7" s="1"/>
  <c r="L2470" i="7"/>
  <c r="L2471" i="7"/>
  <c r="L2472" i="7"/>
  <c r="M2472" i="7" s="1"/>
  <c r="L2473" i="7"/>
  <c r="M2473" i="7" s="1"/>
  <c r="L2474" i="7"/>
  <c r="M2474" i="7" s="1"/>
  <c r="L2475" i="7"/>
  <c r="M2475" i="7" s="1"/>
  <c r="L2476" i="7"/>
  <c r="M2476" i="7" s="1"/>
  <c r="L2477" i="7"/>
  <c r="M2477" i="7" s="1"/>
  <c r="L2478" i="7"/>
  <c r="M2478" i="7" s="1"/>
  <c r="L2479" i="7"/>
  <c r="M2479" i="7" s="1"/>
  <c r="L2480" i="7"/>
  <c r="M2480" i="7" s="1"/>
  <c r="L2481" i="7"/>
  <c r="M2481" i="7" s="1"/>
  <c r="L2482" i="7"/>
  <c r="L2483" i="7"/>
  <c r="M2483" i="7" s="1"/>
  <c r="L2484" i="7"/>
  <c r="M2484" i="7" s="1"/>
  <c r="L2485" i="7"/>
  <c r="M2485" i="7" s="1"/>
  <c r="L2486" i="7"/>
  <c r="M2486" i="7" s="1"/>
  <c r="L2487" i="7"/>
  <c r="L2488" i="7"/>
  <c r="M2488" i="7" s="1"/>
  <c r="L2489" i="7"/>
  <c r="M2489" i="7" s="1"/>
  <c r="L2490" i="7"/>
  <c r="L2491" i="7"/>
  <c r="M2491" i="7" s="1"/>
  <c r="L2492" i="7"/>
  <c r="M2492" i="7" s="1"/>
  <c r="L2493" i="7"/>
  <c r="M2493" i="7" s="1"/>
  <c r="L2494" i="7"/>
  <c r="L2495" i="7"/>
  <c r="L2496" i="7"/>
  <c r="M2496" i="7" s="1"/>
  <c r="L2497" i="7"/>
  <c r="M2497" i="7" s="1"/>
  <c r="L2498" i="7"/>
  <c r="M2498" i="7" s="1"/>
  <c r="L2499" i="7"/>
  <c r="M2499" i="7" s="1"/>
  <c r="L2500" i="7"/>
  <c r="M2500" i="7" s="1"/>
  <c r="L2501" i="7"/>
  <c r="M2501" i="7" s="1"/>
  <c r="L2502" i="7"/>
  <c r="L2503" i="7"/>
  <c r="M2503" i="7" s="1"/>
  <c r="L2504" i="7"/>
  <c r="M2504" i="7" s="1"/>
  <c r="L2505" i="7"/>
  <c r="M2505" i="7" s="1"/>
  <c r="L2506" i="7"/>
  <c r="M2506" i="7" s="1"/>
  <c r="L2507" i="7"/>
  <c r="M2507" i="7" s="1"/>
  <c r="L2508" i="7"/>
  <c r="M2508" i="7" s="1"/>
  <c r="L2509" i="7"/>
  <c r="M2509" i="7" s="1"/>
  <c r="L2510" i="7"/>
  <c r="M2510" i="7" s="1"/>
  <c r="L2511" i="7"/>
  <c r="M2511" i="7" s="1"/>
  <c r="L2512" i="7"/>
  <c r="M2512" i="7" s="1"/>
  <c r="L2513" i="7"/>
  <c r="M2513" i="7" s="1"/>
  <c r="L2514" i="7"/>
  <c r="L2515" i="7"/>
  <c r="M2515" i="7" s="1"/>
  <c r="L2516" i="7"/>
  <c r="M2516" i="7" s="1"/>
  <c r="L2517" i="7"/>
  <c r="M2517" i="7" s="1"/>
  <c r="L2518" i="7"/>
  <c r="M2518" i="7" s="1"/>
  <c r="L2519" i="7"/>
  <c r="L2520" i="7"/>
  <c r="M2520" i="7" s="1"/>
  <c r="L2521" i="7"/>
  <c r="M2521" i="7" s="1"/>
  <c r="L2522" i="7"/>
  <c r="L2523" i="7"/>
  <c r="M2523" i="7" s="1"/>
  <c r="L2524" i="7"/>
  <c r="M2524" i="7" s="1"/>
  <c r="L2525" i="7"/>
  <c r="M2525" i="7" s="1"/>
  <c r="L2526" i="7"/>
  <c r="L2527" i="7"/>
  <c r="L2528" i="7"/>
  <c r="M2528" i="7" s="1"/>
  <c r="L2529" i="7"/>
  <c r="M2529" i="7" s="1"/>
  <c r="L2530" i="7"/>
  <c r="M2530" i="7" s="1"/>
  <c r="L2531" i="7"/>
  <c r="M2531" i="7" s="1"/>
  <c r="L2532" i="7"/>
  <c r="M2532" i="7" s="1"/>
  <c r="L2533" i="7"/>
  <c r="M2533" i="7" s="1"/>
  <c r="L2534" i="7"/>
  <c r="L2535" i="7"/>
  <c r="L2536" i="7"/>
  <c r="M2536" i="7" s="1"/>
  <c r="L2537" i="7"/>
  <c r="M2537" i="7" s="1"/>
  <c r="L2538" i="7"/>
  <c r="M2538" i="7" s="1"/>
  <c r="L2539" i="7"/>
  <c r="M2539" i="7" s="1"/>
  <c r="L2540" i="7"/>
  <c r="M2540" i="7" s="1"/>
  <c r="L2541" i="7"/>
  <c r="M2541" i="7" s="1"/>
  <c r="L2542" i="7"/>
  <c r="M2542" i="7" s="1"/>
  <c r="L2543" i="7"/>
  <c r="M2543" i="7" s="1"/>
  <c r="L2544" i="7"/>
  <c r="M2544" i="7" s="1"/>
  <c r="L2545" i="7"/>
  <c r="M2545" i="7" s="1"/>
  <c r="L2546" i="7"/>
  <c r="L2547" i="7"/>
  <c r="M2547" i="7" s="1"/>
  <c r="L2548" i="7"/>
  <c r="M2548" i="7" s="1"/>
  <c r="L2549" i="7"/>
  <c r="M2549" i="7" s="1"/>
  <c r="L2550" i="7"/>
  <c r="M2550" i="7" s="1"/>
  <c r="L2551" i="7"/>
  <c r="L2552" i="7"/>
  <c r="M2552" i="7" s="1"/>
  <c r="L2553" i="7"/>
  <c r="M2553" i="7" s="1"/>
  <c r="L2554" i="7"/>
  <c r="L2555" i="7"/>
  <c r="M2555" i="7" s="1"/>
  <c r="L2556" i="7"/>
  <c r="M2556" i="7" s="1"/>
  <c r="L2557" i="7"/>
  <c r="M2557" i="7" s="1"/>
  <c r="L2558" i="7"/>
  <c r="L2559" i="7"/>
  <c r="M2559" i="7" s="1"/>
  <c r="L2560" i="7"/>
  <c r="M2560" i="7" s="1"/>
  <c r="L2561" i="7"/>
  <c r="M2561" i="7" s="1"/>
  <c r="L2562" i="7"/>
  <c r="M2562" i="7" s="1"/>
  <c r="L2563" i="7"/>
  <c r="M2563" i="7" s="1"/>
  <c r="L2564" i="7"/>
  <c r="M2564" i="7" s="1"/>
  <c r="L2565" i="7"/>
  <c r="M2565" i="7" s="1"/>
  <c r="L2566" i="7"/>
  <c r="M2566" i="7" s="1"/>
  <c r="L2567" i="7"/>
  <c r="L2568" i="7"/>
  <c r="M2568" i="7" s="1"/>
  <c r="L2569" i="7"/>
  <c r="M2569" i="7" s="1"/>
  <c r="L2570" i="7"/>
  <c r="L2571" i="7"/>
  <c r="M2571" i="7" s="1"/>
  <c r="L2572" i="7"/>
  <c r="M2572" i="7" s="1"/>
  <c r="L2573" i="7"/>
  <c r="M2573" i="7" s="1"/>
  <c r="L2574" i="7"/>
  <c r="M2574" i="7" s="1"/>
  <c r="L2575" i="7"/>
  <c r="M2575" i="7" s="1"/>
  <c r="L2576" i="7"/>
  <c r="M2576" i="7" s="1"/>
  <c r="L2577" i="7"/>
  <c r="M2577" i="7" s="1"/>
  <c r="L2578" i="7"/>
  <c r="M2578" i="7" s="1"/>
  <c r="L2579" i="7"/>
  <c r="M2579" i="7" s="1"/>
  <c r="L2580" i="7"/>
  <c r="M2580" i="7" s="1"/>
  <c r="L2581" i="7"/>
  <c r="M2581" i="7" s="1"/>
  <c r="L2582" i="7"/>
  <c r="M2582" i="7" s="1"/>
  <c r="L2583" i="7"/>
  <c r="L2584" i="7"/>
  <c r="M2584" i="7" s="1"/>
  <c r="L2585" i="7"/>
  <c r="M2585" i="7" s="1"/>
  <c r="L2586" i="7"/>
  <c r="L2587" i="7"/>
  <c r="M2587" i="7" s="1"/>
  <c r="L2588" i="7"/>
  <c r="M2588" i="7" s="1"/>
  <c r="L2589" i="7"/>
  <c r="M2589" i="7" s="1"/>
  <c r="L2590" i="7"/>
  <c r="M2590" i="7" s="1"/>
  <c r="L2591" i="7"/>
  <c r="L2592" i="7"/>
  <c r="M2592" i="7" s="1"/>
  <c r="L2593" i="7"/>
  <c r="M2593" i="7" s="1"/>
  <c r="L2594" i="7"/>
  <c r="M2594" i="7" s="1"/>
  <c r="L2595" i="7"/>
  <c r="M2595" i="7" s="1"/>
  <c r="L2596" i="7"/>
  <c r="M2596" i="7" s="1"/>
  <c r="L2597" i="7"/>
  <c r="M2597" i="7" s="1"/>
  <c r="L2598" i="7"/>
  <c r="M2598" i="7" s="1"/>
  <c r="L2599" i="7"/>
  <c r="M2599" i="7" s="1"/>
  <c r="L2600" i="7"/>
  <c r="M2600" i="7" s="1"/>
  <c r="L2601" i="7"/>
  <c r="M2601" i="7" s="1"/>
  <c r="L2602" i="7"/>
  <c r="L2603" i="7"/>
  <c r="M2603" i="7" s="1"/>
  <c r="L2604" i="7"/>
  <c r="M2604" i="7" s="1"/>
  <c r="L2605" i="7"/>
  <c r="M2605" i="7" s="1"/>
  <c r="L2606" i="7"/>
  <c r="M2606" i="7" s="1"/>
  <c r="L2607" i="7"/>
  <c r="L2608" i="7"/>
  <c r="M2608" i="7" s="1"/>
  <c r="L2609" i="7"/>
  <c r="M2609" i="7" s="1"/>
  <c r="L2610" i="7"/>
  <c r="M2610" i="7" s="1"/>
  <c r="L2611" i="7"/>
  <c r="M2611" i="7" s="1"/>
  <c r="L2612" i="7"/>
  <c r="M2612" i="7" s="1"/>
  <c r="L2613" i="7"/>
  <c r="M2613" i="7" s="1"/>
  <c r="L2614" i="7"/>
  <c r="M2614" i="7" s="1"/>
  <c r="L2615" i="7"/>
  <c r="M2615" i="7" s="1"/>
  <c r="L2616" i="7"/>
  <c r="M2616" i="7" s="1"/>
  <c r="L2617" i="7"/>
  <c r="M2617" i="7" s="1"/>
  <c r="L2618" i="7"/>
  <c r="L2619" i="7"/>
  <c r="M2619" i="7" s="1"/>
  <c r="L2620" i="7"/>
  <c r="M2620" i="7" s="1"/>
  <c r="L2621" i="7"/>
  <c r="M2621" i="7" s="1"/>
  <c r="L2622" i="7"/>
  <c r="M2622" i="7" s="1"/>
  <c r="L2623" i="7"/>
  <c r="L2624" i="7"/>
  <c r="M2624" i="7" s="1"/>
  <c r="L2625" i="7"/>
  <c r="M2625" i="7" s="1"/>
  <c r="L2626" i="7"/>
  <c r="M2626" i="7" s="1"/>
  <c r="L2627" i="7"/>
  <c r="M2627" i="7" s="1"/>
  <c r="L2628" i="7"/>
  <c r="M2628" i="7" s="1"/>
  <c r="L2629" i="7"/>
  <c r="M2629" i="7" s="1"/>
  <c r="L2630" i="7"/>
  <c r="M2630" i="7" s="1"/>
  <c r="L2631" i="7"/>
  <c r="L2632" i="7"/>
  <c r="M2632" i="7" s="1"/>
  <c r="L2633" i="7"/>
  <c r="M2633" i="7" s="1"/>
  <c r="L2634" i="7"/>
  <c r="L2635" i="7"/>
  <c r="M2635" i="7" s="1"/>
  <c r="L2636" i="7"/>
  <c r="M2636" i="7" s="1"/>
  <c r="L2637" i="7"/>
  <c r="M2637" i="7" s="1"/>
  <c r="L2638" i="7"/>
  <c r="M2638" i="7" s="1"/>
  <c r="L2639" i="7"/>
  <c r="M2639" i="7" s="1"/>
  <c r="L2640" i="7"/>
  <c r="M2640" i="7" s="1"/>
  <c r="L2641" i="7"/>
  <c r="M2641" i="7" s="1"/>
  <c r="L2642" i="7"/>
  <c r="M2642" i="7" s="1"/>
  <c r="L2643" i="7"/>
  <c r="M2643" i="7" s="1"/>
  <c r="L2644" i="7"/>
  <c r="M2644" i="7" s="1"/>
  <c r="L2645" i="7"/>
  <c r="M2645" i="7" s="1"/>
  <c r="L2646" i="7"/>
  <c r="M2646" i="7" s="1"/>
  <c r="L2647" i="7"/>
  <c r="L2648" i="7"/>
  <c r="M2648" i="7" s="1"/>
  <c r="L2649" i="7"/>
  <c r="M2649" i="7" s="1"/>
  <c r="L2650" i="7"/>
  <c r="L2651" i="7"/>
  <c r="M2651" i="7" s="1"/>
  <c r="L2652" i="7"/>
  <c r="M2652" i="7" s="1"/>
  <c r="L2653" i="7"/>
  <c r="M2653" i="7" s="1"/>
  <c r="L2654" i="7"/>
  <c r="M2654" i="7" s="1"/>
  <c r="L2655" i="7"/>
  <c r="L2656" i="7"/>
  <c r="M2656" i="7" s="1"/>
  <c r="L2657" i="7"/>
  <c r="M2657" i="7" s="1"/>
  <c r="L2658" i="7"/>
  <c r="M2658" i="7" s="1"/>
  <c r="L2659" i="7"/>
  <c r="M2659" i="7" s="1"/>
  <c r="L2660" i="7"/>
  <c r="M2660" i="7" s="1"/>
  <c r="L2661" i="7"/>
  <c r="M2661" i="7" s="1"/>
  <c r="L2662" i="7"/>
  <c r="M2662" i="7" s="1"/>
  <c r="L2663" i="7"/>
  <c r="M2663" i="7" s="1"/>
  <c r="L2664" i="7"/>
  <c r="M2664" i="7" s="1"/>
  <c r="L2665" i="7"/>
  <c r="M2665" i="7" s="1"/>
  <c r="L2666" i="7"/>
  <c r="L2667" i="7"/>
  <c r="M2667" i="7" s="1"/>
  <c r="L2668" i="7"/>
  <c r="M2668" i="7" s="1"/>
  <c r="L2669" i="7"/>
  <c r="M2669" i="7" s="1"/>
  <c r="L2670" i="7"/>
  <c r="M2670" i="7" s="1"/>
  <c r="L2671" i="7"/>
  <c r="L2672" i="7"/>
  <c r="M2672" i="7" s="1"/>
  <c r="L2673" i="7"/>
  <c r="M2673" i="7" s="1"/>
  <c r="L2674" i="7"/>
  <c r="M2674" i="7" s="1"/>
  <c r="L2675" i="7"/>
  <c r="M2675" i="7" s="1"/>
  <c r="L2676" i="7"/>
  <c r="M2676" i="7" s="1"/>
  <c r="L2677" i="7"/>
  <c r="M2677" i="7" s="1"/>
  <c r="L2678" i="7"/>
  <c r="M2678" i="7" s="1"/>
  <c r="L2679" i="7"/>
  <c r="L2680" i="7"/>
  <c r="M2680" i="7" s="1"/>
  <c r="L2681" i="7"/>
  <c r="M2681" i="7" s="1"/>
  <c r="L2682" i="7"/>
  <c r="L2683" i="7"/>
  <c r="M2683" i="7" s="1"/>
  <c r="L2684" i="7"/>
  <c r="M2684" i="7" s="1"/>
  <c r="L2685" i="7"/>
  <c r="M2685" i="7" s="1"/>
  <c r="L2686" i="7"/>
  <c r="M2686" i="7" s="1"/>
  <c r="L2687" i="7"/>
  <c r="M2687" i="7" s="1"/>
  <c r="L2688" i="7"/>
  <c r="M2688" i="7" s="1"/>
  <c r="L2689" i="7"/>
  <c r="M2689" i="7" s="1"/>
  <c r="L2690" i="7"/>
  <c r="M2690" i="7" s="1"/>
  <c r="L2691" i="7"/>
  <c r="M2691" i="7" s="1"/>
  <c r="L2692" i="7"/>
  <c r="M2692" i="7" s="1"/>
  <c r="L2693" i="7"/>
  <c r="M2693" i="7" s="1"/>
  <c r="L2694" i="7"/>
  <c r="M2694" i="7" s="1"/>
  <c r="L2695" i="7"/>
  <c r="L2696" i="7"/>
  <c r="M2696" i="7" s="1"/>
  <c r="L2697" i="7"/>
  <c r="M2697" i="7" s="1"/>
  <c r="L2698" i="7"/>
  <c r="L2699" i="7"/>
  <c r="M2699" i="7" s="1"/>
  <c r="L2700" i="7"/>
  <c r="M2700" i="7" s="1"/>
  <c r="L2701" i="7"/>
  <c r="M2701" i="7" s="1"/>
  <c r="L2702" i="7"/>
  <c r="M2702" i="7" s="1"/>
  <c r="L2703" i="7"/>
  <c r="M2703" i="7" s="1"/>
  <c r="L2704" i="7"/>
  <c r="M2704" i="7" s="1"/>
  <c r="L2705" i="7"/>
  <c r="M2705" i="7" s="1"/>
  <c r="L2706" i="7"/>
  <c r="M2706" i="7" s="1"/>
  <c r="L2707" i="7"/>
  <c r="M2707" i="7" s="1"/>
  <c r="L2708" i="7"/>
  <c r="M2708" i="7" s="1"/>
  <c r="L2709" i="7"/>
  <c r="M2709" i="7" s="1"/>
  <c r="L2710" i="7"/>
  <c r="M2710" i="7" s="1"/>
  <c r="L2711" i="7"/>
  <c r="L2712" i="7"/>
  <c r="M2712" i="7" s="1"/>
  <c r="L2713" i="7"/>
  <c r="M2713" i="7" s="1"/>
  <c r="L2714" i="7"/>
  <c r="L2715" i="7"/>
  <c r="M2715" i="7" s="1"/>
  <c r="L2716" i="7"/>
  <c r="M2716" i="7" s="1"/>
  <c r="L2717" i="7"/>
  <c r="M2717" i="7" s="1"/>
  <c r="L2718" i="7"/>
  <c r="M2718" i="7" s="1"/>
  <c r="L2719" i="7"/>
  <c r="L2720" i="7"/>
  <c r="M2720" i="7" s="1"/>
  <c r="L2721" i="7"/>
  <c r="M2721" i="7" s="1"/>
  <c r="L2722" i="7"/>
  <c r="M2722" i="7" s="1"/>
  <c r="L2723" i="7"/>
  <c r="M2723" i="7" s="1"/>
  <c r="L2724" i="7"/>
  <c r="M2724" i="7" s="1"/>
  <c r="L2725" i="7"/>
  <c r="M2725" i="7" s="1"/>
  <c r="L2726" i="7"/>
  <c r="M2726" i="7" s="1"/>
  <c r="L2727" i="7"/>
  <c r="M2727" i="7" s="1"/>
  <c r="L2728" i="7"/>
  <c r="M2728" i="7" s="1"/>
  <c r="L2729" i="7"/>
  <c r="M2729" i="7" s="1"/>
  <c r="L2730" i="7"/>
  <c r="L2731" i="7"/>
  <c r="M2731" i="7" s="1"/>
  <c r="L2732" i="7"/>
  <c r="M2732" i="7" s="1"/>
  <c r="L2733" i="7"/>
  <c r="M2733" i="7" s="1"/>
  <c r="L2734" i="7"/>
  <c r="M2734" i="7" s="1"/>
  <c r="L2735" i="7"/>
  <c r="L2736" i="7"/>
  <c r="M2736" i="7" s="1"/>
  <c r="L2737" i="7"/>
  <c r="M2737" i="7" s="1"/>
  <c r="L2738" i="7"/>
  <c r="M2738" i="7" s="1"/>
  <c r="L2739" i="7"/>
  <c r="M2739" i="7" s="1"/>
  <c r="L2740" i="7"/>
  <c r="M2740" i="7" s="1"/>
  <c r="L2741" i="7"/>
  <c r="M2741" i="7" s="1"/>
  <c r="L2742" i="7"/>
  <c r="M2742" i="7" s="1"/>
  <c r="L2743" i="7"/>
  <c r="M2743" i="7" s="1"/>
  <c r="L2744" i="7"/>
  <c r="M2744" i="7" s="1"/>
  <c r="L2745" i="7"/>
  <c r="M2745" i="7" s="1"/>
  <c r="L2746" i="7"/>
  <c r="L2747" i="7"/>
  <c r="M2747" i="7" s="1"/>
  <c r="L2748" i="7"/>
  <c r="M2748" i="7" s="1"/>
  <c r="L2749" i="7"/>
  <c r="M2749" i="7" s="1"/>
  <c r="L2750" i="7"/>
  <c r="M2750" i="7" s="1"/>
  <c r="L2751" i="7"/>
  <c r="L2752" i="7"/>
  <c r="M2752" i="7" s="1"/>
  <c r="L2753" i="7"/>
  <c r="M2753" i="7" s="1"/>
  <c r="L2754" i="7"/>
  <c r="M2754" i="7" s="1"/>
  <c r="L2755" i="7"/>
  <c r="M2755" i="7" s="1"/>
  <c r="L2756" i="7"/>
  <c r="M2756" i="7" s="1"/>
  <c r="L2757" i="7"/>
  <c r="M2757" i="7" s="1"/>
  <c r="L2758" i="7"/>
  <c r="M2758" i="7" s="1"/>
  <c r="L2759" i="7"/>
  <c r="L2760" i="7"/>
  <c r="M2760" i="7" s="1"/>
  <c r="L2761" i="7"/>
  <c r="M2761" i="7" s="1"/>
  <c r="L2762" i="7"/>
  <c r="L2763" i="7"/>
  <c r="M2763" i="7" s="1"/>
  <c r="L2764" i="7"/>
  <c r="M2764" i="7" s="1"/>
  <c r="L2765" i="7"/>
  <c r="M2765" i="7" s="1"/>
  <c r="L2766" i="7"/>
  <c r="M2766" i="7" s="1"/>
  <c r="L2767" i="7"/>
  <c r="M2767" i="7" s="1"/>
  <c r="L2768" i="7"/>
  <c r="M2768" i="7" s="1"/>
  <c r="L2769" i="7"/>
  <c r="M2769" i="7" s="1"/>
  <c r="L2770" i="7"/>
  <c r="M2770" i="7" s="1"/>
  <c r="L2771" i="7"/>
  <c r="M2771" i="7" s="1"/>
  <c r="L2772" i="7"/>
  <c r="M2772" i="7" s="1"/>
  <c r="L2773" i="7"/>
  <c r="M2773" i="7" s="1"/>
  <c r="L2774" i="7"/>
  <c r="M2774" i="7" s="1"/>
  <c r="L2775" i="7"/>
  <c r="L2776" i="7"/>
  <c r="M2776" i="7" s="1"/>
  <c r="L2777" i="7"/>
  <c r="M2777" i="7" s="1"/>
  <c r="L2778" i="7"/>
  <c r="L2779" i="7"/>
  <c r="M2779" i="7" s="1"/>
  <c r="L2780" i="7"/>
  <c r="M2780" i="7" s="1"/>
  <c r="L2781" i="7"/>
  <c r="M2781" i="7" s="1"/>
  <c r="L2782" i="7"/>
  <c r="M2782" i="7" s="1"/>
  <c r="L2783" i="7"/>
  <c r="L2784" i="7"/>
  <c r="M2784" i="7" s="1"/>
  <c r="L2785" i="7"/>
  <c r="M2785" i="7" s="1"/>
  <c r="L2786" i="7"/>
  <c r="M2786" i="7" s="1"/>
  <c r="L2787" i="7"/>
  <c r="M2787" i="7" s="1"/>
  <c r="L2788" i="7"/>
  <c r="M2788" i="7" s="1"/>
  <c r="L2789" i="7"/>
  <c r="M2789" i="7" s="1"/>
  <c r="L2790" i="7"/>
  <c r="M2790" i="7" s="1"/>
  <c r="L2791" i="7"/>
  <c r="M2791" i="7" s="1"/>
  <c r="L2792" i="7"/>
  <c r="M2792" i="7" s="1"/>
  <c r="L2793" i="7"/>
  <c r="M2793" i="7" s="1"/>
  <c r="L2794" i="7"/>
  <c r="L2795" i="7"/>
  <c r="M2795" i="7" s="1"/>
  <c r="L2796" i="7"/>
  <c r="M2796" i="7" s="1"/>
  <c r="L2797" i="7"/>
  <c r="M2797" i="7" s="1"/>
  <c r="L2798" i="7"/>
  <c r="M2798" i="7" s="1"/>
  <c r="L2799" i="7"/>
  <c r="L2800" i="7"/>
  <c r="M2800" i="7" s="1"/>
  <c r="L2801" i="7"/>
  <c r="M2801" i="7" s="1"/>
  <c r="L2802" i="7"/>
  <c r="M2802" i="7" s="1"/>
  <c r="L2803" i="7"/>
  <c r="M2803" i="7" s="1"/>
  <c r="L2804" i="7"/>
  <c r="M2804" i="7" s="1"/>
  <c r="L2805" i="7"/>
  <c r="M2805" i="7" s="1"/>
  <c r="L2806" i="7"/>
  <c r="M2806" i="7" s="1"/>
  <c r="L2807" i="7"/>
  <c r="L2808" i="7"/>
  <c r="M2808" i="7" s="1"/>
  <c r="L2809" i="7"/>
  <c r="M2809" i="7" s="1"/>
  <c r="L2810" i="7"/>
  <c r="L2811" i="7"/>
  <c r="M2811" i="7" s="1"/>
  <c r="L2812" i="7"/>
  <c r="M2812" i="7" s="1"/>
  <c r="L2813" i="7"/>
  <c r="M2813" i="7" s="1"/>
  <c r="L2814" i="7"/>
  <c r="M2814" i="7" s="1"/>
  <c r="L2815" i="7"/>
  <c r="M2815" i="7" s="1"/>
  <c r="L2816" i="7"/>
  <c r="M2816" i="7" s="1"/>
  <c r="L2817" i="7"/>
  <c r="M2817" i="7" s="1"/>
  <c r="L2818" i="7"/>
  <c r="M2818" i="7" s="1"/>
  <c r="L2819" i="7"/>
  <c r="M2819" i="7" s="1"/>
  <c r="L2820" i="7"/>
  <c r="M2820" i="7" s="1"/>
  <c r="L2821" i="7"/>
  <c r="M2821" i="7" s="1"/>
  <c r="L2822" i="7"/>
  <c r="M2822" i="7" s="1"/>
  <c r="L2823" i="7"/>
  <c r="L2824" i="7"/>
  <c r="M2824" i="7" s="1"/>
  <c r="L2825" i="7"/>
  <c r="M2825" i="7" s="1"/>
  <c r="L2826" i="7"/>
  <c r="L2827" i="7"/>
  <c r="M2827" i="7" s="1"/>
  <c r="L2828" i="7"/>
  <c r="M2828" i="7" s="1"/>
  <c r="L2829" i="7"/>
  <c r="M2829" i="7" s="1"/>
  <c r="L2830" i="7"/>
  <c r="M2830" i="7" s="1"/>
  <c r="L2831" i="7"/>
  <c r="M2831" i="7" s="1"/>
  <c r="L2832" i="7"/>
  <c r="M2832" i="7" s="1"/>
  <c r="L2833" i="7"/>
  <c r="M2833" i="7" s="1"/>
  <c r="L2834" i="7"/>
  <c r="M2834" i="7" s="1"/>
  <c r="L2835" i="7"/>
  <c r="M2835" i="7" s="1"/>
  <c r="L2836" i="7"/>
  <c r="M2836" i="7" s="1"/>
  <c r="L2837" i="7"/>
  <c r="M2837" i="7" s="1"/>
  <c r="L2838" i="7"/>
  <c r="M2838" i="7" s="1"/>
  <c r="L2839" i="7"/>
  <c r="M2839" i="7" s="1"/>
  <c r="L2840" i="7"/>
  <c r="M2840" i="7" s="1"/>
  <c r="L2841" i="7"/>
  <c r="M2841" i="7" s="1"/>
  <c r="L2842" i="7"/>
  <c r="L2843" i="7"/>
  <c r="M2843" i="7" s="1"/>
  <c r="L2844" i="7"/>
  <c r="M2844" i="7" s="1"/>
  <c r="L2845" i="7"/>
  <c r="M2845" i="7" s="1"/>
  <c r="L2846" i="7"/>
  <c r="M2846" i="7" s="1"/>
  <c r="L2847" i="7"/>
  <c r="M2847" i="7" s="1"/>
  <c r="L2848" i="7"/>
  <c r="M2848" i="7" s="1"/>
  <c r="L2849" i="7"/>
  <c r="M2849" i="7" s="1"/>
  <c r="L2850" i="7"/>
  <c r="M2850" i="7" s="1"/>
  <c r="L2851" i="7"/>
  <c r="M2851" i="7" s="1"/>
  <c r="L2852" i="7"/>
  <c r="M2852" i="7" s="1"/>
  <c r="L2853" i="7"/>
  <c r="M2853" i="7" s="1"/>
  <c r="L2854" i="7"/>
  <c r="M2854" i="7" s="1"/>
  <c r="L2855" i="7"/>
  <c r="L2856" i="7"/>
  <c r="M2856" i="7" s="1"/>
  <c r="L2857" i="7"/>
  <c r="M2857" i="7" s="1"/>
  <c r="L2858" i="7"/>
  <c r="L2859" i="7"/>
  <c r="M2859" i="7" s="1"/>
  <c r="L2860" i="7"/>
  <c r="M2860" i="7" s="1"/>
  <c r="L2861" i="7"/>
  <c r="M2861" i="7" s="1"/>
  <c r="L2862" i="7"/>
  <c r="M2862" i="7" s="1"/>
  <c r="L2863" i="7"/>
  <c r="L2864" i="7"/>
  <c r="M2864" i="7" s="1"/>
  <c r="L2865" i="7"/>
  <c r="M2865" i="7" s="1"/>
  <c r="L2866" i="7"/>
  <c r="M2866" i="7" s="1"/>
  <c r="L2867" i="7"/>
  <c r="M2867" i="7" s="1"/>
  <c r="L2868" i="7"/>
  <c r="M2868" i="7" s="1"/>
  <c r="L2869" i="7"/>
  <c r="M2869" i="7" s="1"/>
  <c r="L2870" i="7"/>
  <c r="M2870" i="7" s="1"/>
  <c r="L2871" i="7"/>
  <c r="M2871" i="7" s="1"/>
  <c r="L2872" i="7"/>
  <c r="M2872" i="7" s="1"/>
  <c r="L2873" i="7"/>
  <c r="M2873" i="7" s="1"/>
  <c r="L2874" i="7"/>
  <c r="L2875" i="7"/>
  <c r="M2875" i="7" s="1"/>
  <c r="L2876" i="7"/>
  <c r="M2876" i="7" s="1"/>
  <c r="L2877" i="7"/>
  <c r="M2877" i="7" s="1"/>
  <c r="L2878" i="7"/>
  <c r="M2878" i="7" s="1"/>
  <c r="L2879" i="7"/>
  <c r="M2879" i="7" s="1"/>
  <c r="L2880" i="7"/>
  <c r="M2880" i="7" s="1"/>
  <c r="L2881" i="7"/>
  <c r="M2881" i="7" s="1"/>
  <c r="L2882" i="7"/>
  <c r="M2882" i="7" s="1"/>
  <c r="L2883" i="7"/>
  <c r="M2883" i="7" s="1"/>
  <c r="L2884" i="7"/>
  <c r="M2884" i="7" s="1"/>
  <c r="L2885" i="7"/>
  <c r="M2885" i="7" s="1"/>
  <c r="L2886" i="7"/>
  <c r="M2886" i="7" s="1"/>
  <c r="L2887" i="7"/>
  <c r="M2887" i="7" s="1"/>
  <c r="L2888" i="7"/>
  <c r="M2888" i="7" s="1"/>
  <c r="L2889" i="7"/>
  <c r="M2889" i="7" s="1"/>
  <c r="L2890" i="7"/>
  <c r="L2891" i="7"/>
  <c r="M2891" i="7" s="1"/>
  <c r="L2892" i="7"/>
  <c r="M2892" i="7" s="1"/>
  <c r="L2893" i="7"/>
  <c r="M2893" i="7" s="1"/>
  <c r="L2894" i="7"/>
  <c r="M2894" i="7" s="1"/>
  <c r="L2895" i="7"/>
  <c r="L2896" i="7"/>
  <c r="M2896" i="7" s="1"/>
  <c r="L2897" i="7"/>
  <c r="M2897" i="7" s="1"/>
  <c r="L2898" i="7"/>
  <c r="M2898" i="7" s="1"/>
  <c r="L2899" i="7"/>
  <c r="M2899" i="7" s="1"/>
  <c r="L2900" i="7"/>
  <c r="M2900" i="7" s="1"/>
  <c r="L2901" i="7"/>
  <c r="M2901" i="7" s="1"/>
  <c r="L2902" i="7"/>
  <c r="M2902" i="7" s="1"/>
  <c r="L2903" i="7"/>
  <c r="M2903" i="7" s="1"/>
  <c r="L2904" i="7"/>
  <c r="M2904" i="7" s="1"/>
  <c r="L2905" i="7"/>
  <c r="M2905" i="7" s="1"/>
  <c r="L2906" i="7"/>
  <c r="L2907" i="7"/>
  <c r="M2907" i="7" s="1"/>
  <c r="L2908" i="7"/>
  <c r="M2908" i="7" s="1"/>
  <c r="L2909" i="7"/>
  <c r="M2909" i="7" s="1"/>
  <c r="L2910" i="7"/>
  <c r="M2910" i="7" s="1"/>
  <c r="L2911" i="7"/>
  <c r="M2911" i="7" s="1"/>
  <c r="L2912" i="7"/>
  <c r="M2912" i="7" s="1"/>
  <c r="L2913" i="7"/>
  <c r="M2913" i="7" s="1"/>
  <c r="L2914" i="7"/>
  <c r="M2914" i="7" s="1"/>
  <c r="L2915" i="7"/>
  <c r="M2915" i="7" s="1"/>
  <c r="L2916" i="7"/>
  <c r="M2916" i="7" s="1"/>
  <c r="L2917" i="7"/>
  <c r="M2917" i="7" s="1"/>
  <c r="L2918" i="7"/>
  <c r="M2918" i="7" s="1"/>
  <c r="L2919" i="7"/>
  <c r="L2920" i="7"/>
  <c r="M2920" i="7" s="1"/>
  <c r="L2921" i="7"/>
  <c r="M2921" i="7" s="1"/>
  <c r="L2922" i="7"/>
  <c r="L2923" i="7"/>
  <c r="M2923" i="7" s="1"/>
  <c r="L2924" i="7"/>
  <c r="M2924" i="7" s="1"/>
  <c r="L2925" i="7"/>
  <c r="M2925" i="7" s="1"/>
  <c r="L2926" i="7"/>
  <c r="M2926" i="7" s="1"/>
  <c r="L2927" i="7"/>
  <c r="L2928" i="7"/>
  <c r="M2928" i="7" s="1"/>
  <c r="L2929" i="7"/>
  <c r="M2929" i="7" s="1"/>
  <c r="L2930" i="7"/>
  <c r="M2930" i="7" s="1"/>
  <c r="L2931" i="7"/>
  <c r="M2931" i="7" s="1"/>
  <c r="L2932" i="7"/>
  <c r="M2932" i="7" s="1"/>
  <c r="L2933" i="7"/>
  <c r="M2933" i="7" s="1"/>
  <c r="L2934" i="7"/>
  <c r="M2934" i="7" s="1"/>
  <c r="L2935" i="7"/>
  <c r="M2935" i="7" s="1"/>
  <c r="L2936" i="7"/>
  <c r="M2936" i="7" s="1"/>
  <c r="L2937" i="7"/>
  <c r="M2937" i="7" s="1"/>
  <c r="L2938" i="7"/>
  <c r="L2939" i="7"/>
  <c r="M2939" i="7" s="1"/>
  <c r="L2940" i="7"/>
  <c r="M2940" i="7" s="1"/>
  <c r="L2941" i="7"/>
  <c r="M2941" i="7" s="1"/>
  <c r="L2942" i="7"/>
  <c r="M2942" i="7" s="1"/>
  <c r="L2943" i="7"/>
  <c r="M2943" i="7" s="1"/>
  <c r="L2944" i="7"/>
  <c r="M2944" i="7" s="1"/>
  <c r="L2945" i="7"/>
  <c r="M2945" i="7" s="1"/>
  <c r="L2946" i="7"/>
  <c r="M2946" i="7" s="1"/>
  <c r="L2947" i="7"/>
  <c r="M2947" i="7" s="1"/>
  <c r="L2948" i="7"/>
  <c r="M2948" i="7" s="1"/>
  <c r="L2949" i="7"/>
  <c r="M2949" i="7" s="1"/>
  <c r="L2950" i="7"/>
  <c r="M2950" i="7" s="1"/>
  <c r="L2951" i="7"/>
  <c r="L2952" i="7"/>
  <c r="M2952" i="7" s="1"/>
  <c r="L2953" i="7"/>
  <c r="M2953" i="7" s="1"/>
  <c r="L2954" i="7"/>
  <c r="L2955" i="7"/>
  <c r="M2955" i="7" s="1"/>
  <c r="L2956" i="7"/>
  <c r="M2956" i="7" s="1"/>
  <c r="L2957" i="7"/>
  <c r="M2957" i="7" s="1"/>
  <c r="L2958" i="7"/>
  <c r="M2958" i="7" s="1"/>
  <c r="L2959" i="7"/>
  <c r="M2959" i="7" s="1"/>
  <c r="L2960" i="7"/>
  <c r="M2960" i="7" s="1"/>
  <c r="L2961" i="7"/>
  <c r="M2961" i="7" s="1"/>
  <c r="L2962" i="7"/>
  <c r="M2962" i="7" s="1"/>
  <c r="L2963" i="7"/>
  <c r="M2963" i="7" s="1"/>
  <c r="L2964" i="7"/>
  <c r="M2964" i="7" s="1"/>
  <c r="L2965" i="7"/>
  <c r="M2965" i="7" s="1"/>
  <c r="L2966" i="7"/>
  <c r="M2966" i="7" s="1"/>
  <c r="L2967" i="7"/>
  <c r="M2967" i="7" s="1"/>
  <c r="L2968" i="7"/>
  <c r="M2968" i="7" s="1"/>
  <c r="L2969" i="7"/>
  <c r="M2969" i="7" s="1"/>
  <c r="L2970" i="7"/>
  <c r="L2971" i="7"/>
  <c r="M2971" i="7" s="1"/>
  <c r="L2972" i="7"/>
  <c r="M2972" i="7" s="1"/>
  <c r="L2973" i="7"/>
  <c r="M2973" i="7" s="1"/>
  <c r="L2974" i="7"/>
  <c r="M2974" i="7" s="1"/>
  <c r="L2975" i="7"/>
  <c r="M2975" i="7" s="1"/>
  <c r="L2976" i="7"/>
  <c r="M2976" i="7" s="1"/>
  <c r="L2977" i="7"/>
  <c r="M2977" i="7" s="1"/>
  <c r="L2978" i="7"/>
  <c r="M2978" i="7" s="1"/>
  <c r="L2979" i="7"/>
  <c r="M2979" i="7" s="1"/>
  <c r="L2980" i="7"/>
  <c r="M2980" i="7" s="1"/>
  <c r="L2981" i="7"/>
  <c r="M2981" i="7" s="1"/>
  <c r="L2982" i="7"/>
  <c r="M2982" i="7" s="1"/>
  <c r="L2983" i="7"/>
  <c r="L2984" i="7"/>
  <c r="M2984" i="7" s="1"/>
  <c r="L2985" i="7"/>
  <c r="M2985" i="7" s="1"/>
  <c r="L2986" i="7"/>
  <c r="L2987" i="7"/>
  <c r="M2987" i="7" s="1"/>
  <c r="L2988" i="7"/>
  <c r="M2988" i="7" s="1"/>
  <c r="L2989" i="7"/>
  <c r="M2989" i="7" s="1"/>
  <c r="L2990" i="7"/>
  <c r="M2990" i="7" s="1"/>
  <c r="L2991" i="7"/>
  <c r="L2992" i="7"/>
  <c r="M2992" i="7" s="1"/>
  <c r="L2993" i="7"/>
  <c r="M2993" i="7" s="1"/>
  <c r="L2994" i="7"/>
  <c r="M2994" i="7" s="1"/>
  <c r="L2995" i="7"/>
  <c r="M2995" i="7" s="1"/>
  <c r="L2996" i="7"/>
  <c r="M2996" i="7" s="1"/>
  <c r="L2997" i="7"/>
  <c r="M2997" i="7" s="1"/>
  <c r="L2998" i="7"/>
  <c r="M2998" i="7" s="1"/>
  <c r="L2999" i="7"/>
  <c r="M2999" i="7" s="1"/>
  <c r="L3000" i="7"/>
  <c r="M3000" i="7" s="1"/>
  <c r="L3001" i="7"/>
  <c r="M3001" i="7" s="1"/>
  <c r="L3002" i="7"/>
  <c r="L3003" i="7"/>
  <c r="M3003" i="7" s="1"/>
  <c r="L3004" i="7"/>
  <c r="M3004" i="7" s="1"/>
  <c r="L3005" i="7"/>
  <c r="M3005" i="7" s="1"/>
  <c r="L3006" i="7"/>
  <c r="M3006" i="7" s="1"/>
  <c r="L3007" i="7"/>
  <c r="M3007" i="7" s="1"/>
  <c r="L3008" i="7"/>
  <c r="M3008" i="7" s="1"/>
  <c r="L3009" i="7"/>
  <c r="M3009" i="7" s="1"/>
  <c r="L3010" i="7"/>
  <c r="M3010" i="7" s="1"/>
  <c r="L3011" i="7"/>
  <c r="M3011" i="7" s="1"/>
  <c r="L3012" i="7"/>
  <c r="M3012" i="7" s="1"/>
  <c r="L3013" i="7"/>
  <c r="M3013" i="7" s="1"/>
  <c r="L3014" i="7"/>
  <c r="M3014" i="7" s="1"/>
  <c r="L3015" i="7"/>
  <c r="M3015" i="7" s="1"/>
  <c r="L3016" i="7"/>
  <c r="M3016" i="7" s="1"/>
  <c r="L3017" i="7"/>
  <c r="M3017" i="7" s="1"/>
  <c r="L3018" i="7"/>
  <c r="L3019" i="7"/>
  <c r="M3019" i="7" s="1"/>
  <c r="L3020" i="7"/>
  <c r="M3020" i="7" s="1"/>
  <c r="L3021" i="7"/>
  <c r="M3021" i="7" s="1"/>
  <c r="L3022" i="7"/>
  <c r="M3022" i="7" s="1"/>
  <c r="L3023" i="7"/>
  <c r="L3024" i="7"/>
  <c r="M3024" i="7" s="1"/>
  <c r="L3025" i="7"/>
  <c r="M3025" i="7" s="1"/>
  <c r="L3026" i="7"/>
  <c r="M3026" i="7" s="1"/>
  <c r="L3027" i="7"/>
  <c r="M3027" i="7" s="1"/>
  <c r="L3028" i="7"/>
  <c r="M3028" i="7" s="1"/>
  <c r="L3029" i="7"/>
  <c r="M3029" i="7" s="1"/>
  <c r="L3030" i="7"/>
  <c r="M3030" i="7" s="1"/>
  <c r="L3031" i="7"/>
  <c r="M3031" i="7" s="1"/>
  <c r="L3032" i="7"/>
  <c r="M3032" i="7" s="1"/>
  <c r="L3033" i="7"/>
  <c r="M3033" i="7" s="1"/>
  <c r="L3034" i="7"/>
  <c r="L3035" i="7"/>
  <c r="M3035" i="7" s="1"/>
  <c r="L3036" i="7"/>
  <c r="M3036" i="7" s="1"/>
  <c r="L3037" i="7"/>
  <c r="M3037" i="7" s="1"/>
  <c r="L3038" i="7"/>
  <c r="M3038" i="7" s="1"/>
  <c r="L3039" i="7"/>
  <c r="M3039" i="7" s="1"/>
  <c r="L3040" i="7"/>
  <c r="M3040" i="7" s="1"/>
  <c r="L3041" i="7"/>
  <c r="M3041" i="7" s="1"/>
  <c r="L3042" i="7"/>
  <c r="M3042" i="7" s="1"/>
  <c r="L3043" i="7"/>
  <c r="M3043" i="7" s="1"/>
  <c r="L3044" i="7"/>
  <c r="M3044" i="7" s="1"/>
  <c r="L3045" i="7"/>
  <c r="M3045" i="7" s="1"/>
  <c r="L3046" i="7"/>
  <c r="M3046" i="7" s="1"/>
  <c r="L3047" i="7"/>
  <c r="L3048" i="7"/>
  <c r="M3048" i="7" s="1"/>
  <c r="L3049" i="7"/>
  <c r="M3049" i="7" s="1"/>
  <c r="L3050" i="7"/>
  <c r="L3051" i="7"/>
  <c r="M3051" i="7" s="1"/>
  <c r="L3052" i="7"/>
  <c r="M3052" i="7" s="1"/>
  <c r="L3053" i="7"/>
  <c r="M3053" i="7" s="1"/>
  <c r="L3054" i="7"/>
  <c r="M3054" i="7" s="1"/>
  <c r="L3055" i="7"/>
  <c r="L3056" i="7"/>
  <c r="M3056" i="7" s="1"/>
  <c r="L3057" i="7"/>
  <c r="M3057" i="7" s="1"/>
  <c r="L3058" i="7"/>
  <c r="M3058" i="7" s="1"/>
  <c r="L3059" i="7"/>
  <c r="M3059" i="7" s="1"/>
  <c r="L3060" i="7"/>
  <c r="M3060" i="7" s="1"/>
  <c r="L3061" i="7"/>
  <c r="M3061" i="7" s="1"/>
  <c r="L3062" i="7"/>
  <c r="M3062" i="7" s="1"/>
  <c r="L3063" i="7"/>
  <c r="M3063" i="7" s="1"/>
  <c r="L3064" i="7"/>
  <c r="M3064" i="7" s="1"/>
  <c r="L3065" i="7"/>
  <c r="M3065" i="7" s="1"/>
  <c r="L3066" i="7"/>
  <c r="L3067" i="7"/>
  <c r="M3067" i="7" s="1"/>
  <c r="L3068" i="7"/>
  <c r="M3068" i="7" s="1"/>
  <c r="L3069" i="7"/>
  <c r="M3069" i="7" s="1"/>
  <c r="L3070" i="7"/>
  <c r="M3070" i="7" s="1"/>
  <c r="L3071" i="7"/>
  <c r="M3071" i="7" s="1"/>
  <c r="L3072" i="7"/>
  <c r="M3072" i="7" s="1"/>
  <c r="L3073" i="7"/>
  <c r="M3073" i="7" s="1"/>
  <c r="L3074" i="7"/>
  <c r="M3074" i="7" s="1"/>
  <c r="L3075" i="7"/>
  <c r="M3075" i="7" s="1"/>
  <c r="L3076" i="7"/>
  <c r="M3076" i="7" s="1"/>
  <c r="L3077" i="7"/>
  <c r="M3077" i="7" s="1"/>
  <c r="L3078" i="7"/>
  <c r="M3078" i="7" s="1"/>
  <c r="L3079" i="7"/>
  <c r="L3080" i="7"/>
  <c r="M3080" i="7" s="1"/>
  <c r="L3081" i="7"/>
  <c r="M3081" i="7" s="1"/>
  <c r="L3082" i="7"/>
  <c r="L3083" i="7"/>
  <c r="M3083" i="7" s="1"/>
  <c r="L3084" i="7"/>
  <c r="M3084" i="7" s="1"/>
  <c r="L3085" i="7"/>
  <c r="M3085" i="7" s="1"/>
  <c r="L3086" i="7"/>
  <c r="M3086" i="7" s="1"/>
  <c r="L3087" i="7"/>
  <c r="M3087" i="7" s="1"/>
  <c r="L3088" i="7"/>
  <c r="M3088" i="7" s="1"/>
  <c r="L3089" i="7"/>
  <c r="M3089" i="7" s="1"/>
  <c r="L3090" i="7"/>
  <c r="M3090" i="7" s="1"/>
  <c r="L3091" i="7"/>
  <c r="M3091" i="7" s="1"/>
  <c r="L3092" i="7"/>
  <c r="M3092" i="7" s="1"/>
  <c r="L3093" i="7"/>
  <c r="M3093" i="7" s="1"/>
  <c r="L3094" i="7"/>
  <c r="M3094" i="7" s="1"/>
  <c r="L3095" i="7"/>
  <c r="M3095" i="7" s="1"/>
  <c r="L3096" i="7"/>
  <c r="M3096" i="7" s="1"/>
  <c r="L3097" i="7"/>
  <c r="M3097" i="7" s="1"/>
  <c r="L3098" i="7"/>
  <c r="L3099" i="7"/>
  <c r="M3099" i="7" s="1"/>
  <c r="L3100" i="7"/>
  <c r="M3100" i="7" s="1"/>
  <c r="L3101" i="7"/>
  <c r="M3101" i="7" s="1"/>
  <c r="L3102" i="7"/>
  <c r="M3102" i="7" s="1"/>
  <c r="L3103" i="7"/>
  <c r="M3103" i="7" s="1"/>
  <c r="L3104" i="7"/>
  <c r="M3104" i="7" s="1"/>
  <c r="L3105" i="7"/>
  <c r="M3105" i="7" s="1"/>
  <c r="L3106" i="7"/>
  <c r="M3106" i="7" s="1"/>
  <c r="L3107" i="7"/>
  <c r="M3107" i="7" s="1"/>
  <c r="L3108" i="7"/>
  <c r="M3108" i="7" s="1"/>
  <c r="L3109" i="7"/>
  <c r="M3109" i="7" s="1"/>
  <c r="L3110" i="7"/>
  <c r="M3110" i="7" s="1"/>
  <c r="L3111" i="7"/>
  <c r="L3112" i="7"/>
  <c r="M3112" i="7" s="1"/>
  <c r="L3113" i="7"/>
  <c r="M3113" i="7" s="1"/>
  <c r="L3114" i="7"/>
  <c r="L3115" i="7"/>
  <c r="M3115" i="7" s="1"/>
  <c r="L3116" i="7"/>
  <c r="M3116" i="7" s="1"/>
  <c r="L3117" i="7"/>
  <c r="M3117" i="7" s="1"/>
  <c r="L3118" i="7"/>
  <c r="M3118" i="7" s="1"/>
  <c r="L3119" i="7"/>
  <c r="L3120" i="7"/>
  <c r="M3120" i="7" s="1"/>
  <c r="L3121" i="7"/>
  <c r="M3121" i="7" s="1"/>
  <c r="L3122" i="7"/>
  <c r="M3122" i="7" s="1"/>
  <c r="L3123" i="7"/>
  <c r="M3123" i="7" s="1"/>
  <c r="L3124" i="7"/>
  <c r="M3124" i="7" s="1"/>
  <c r="L3125" i="7"/>
  <c r="M3125" i="7" s="1"/>
  <c r="L3126" i="7"/>
  <c r="M3126" i="7" s="1"/>
  <c r="L3127" i="7"/>
  <c r="M3127" i="7" s="1"/>
  <c r="L3128" i="7"/>
  <c r="M3128" i="7" s="1"/>
  <c r="L3129" i="7"/>
  <c r="M3129" i="7" s="1"/>
  <c r="L3130" i="7"/>
  <c r="L3131" i="7"/>
  <c r="M3131" i="7" s="1"/>
  <c r="L3132" i="7"/>
  <c r="M3132" i="7" s="1"/>
  <c r="L3133" i="7"/>
  <c r="M3133" i="7" s="1"/>
  <c r="L3134" i="7"/>
  <c r="M3134" i="7" s="1"/>
  <c r="L3135" i="7"/>
  <c r="M3135" i="7" s="1"/>
  <c r="L3136" i="7"/>
  <c r="M3136" i="7" s="1"/>
  <c r="L3137" i="7"/>
  <c r="M3137" i="7" s="1"/>
  <c r="L3138" i="7"/>
  <c r="M3138" i="7" s="1"/>
  <c r="L3139" i="7"/>
  <c r="M3139" i="7" s="1"/>
  <c r="L3140" i="7"/>
  <c r="M3140" i="7" s="1"/>
  <c r="L3141" i="7"/>
  <c r="M3141" i="7" s="1"/>
  <c r="L3142" i="7"/>
  <c r="M3142" i="7" s="1"/>
  <c r="L3143" i="7"/>
  <c r="M3143" i="7" s="1"/>
  <c r="L3144" i="7"/>
  <c r="M3144" i="7" s="1"/>
  <c r="L3145" i="7"/>
  <c r="M3145" i="7" s="1"/>
  <c r="L3146" i="7"/>
  <c r="L3147" i="7"/>
  <c r="M3147" i="7" s="1"/>
  <c r="L3148" i="7"/>
  <c r="M3148" i="7" s="1"/>
  <c r="L3149" i="7"/>
  <c r="M3149" i="7" s="1"/>
  <c r="L3150" i="7"/>
  <c r="M3150" i="7" s="1"/>
  <c r="L3151" i="7"/>
  <c r="L3152" i="7"/>
  <c r="M3152" i="7" s="1"/>
  <c r="L3153" i="7"/>
  <c r="M3153" i="7" s="1"/>
  <c r="L3154" i="7"/>
  <c r="M3154" i="7" s="1"/>
  <c r="L3155" i="7"/>
  <c r="M3155" i="7" s="1"/>
  <c r="L3156" i="7"/>
  <c r="M3156" i="7" s="1"/>
  <c r="L3157" i="7"/>
  <c r="M3157" i="7" s="1"/>
  <c r="L3158" i="7"/>
  <c r="M3158" i="7" s="1"/>
  <c r="L3159" i="7"/>
  <c r="M3159" i="7" s="1"/>
  <c r="L3160" i="7"/>
  <c r="M3160" i="7" s="1"/>
  <c r="L3161" i="7"/>
  <c r="M3161" i="7" s="1"/>
  <c r="L3162" i="7"/>
  <c r="L3163" i="7"/>
  <c r="M3163" i="7" s="1"/>
  <c r="L3164" i="7"/>
  <c r="M3164" i="7" s="1"/>
  <c r="L3165" i="7"/>
  <c r="M3165" i="7" s="1"/>
  <c r="L3166" i="7"/>
  <c r="M3166" i="7" s="1"/>
  <c r="L3167" i="7"/>
  <c r="M3167" i="7" s="1"/>
  <c r="L3168" i="7"/>
  <c r="M3168" i="7" s="1"/>
  <c r="L3169" i="7"/>
  <c r="M3169" i="7" s="1"/>
  <c r="L3170" i="7"/>
  <c r="M3170" i="7" s="1"/>
  <c r="L3171" i="7"/>
  <c r="M3171" i="7" s="1"/>
  <c r="L3172" i="7"/>
  <c r="M3172" i="7" s="1"/>
  <c r="L3173" i="7"/>
  <c r="M3173" i="7" s="1"/>
  <c r="L3174" i="7"/>
  <c r="M3174" i="7" s="1"/>
  <c r="L3175" i="7"/>
  <c r="M3175" i="7" s="1"/>
  <c r="L3176" i="7"/>
  <c r="M3176" i="7" s="1"/>
  <c r="L3177" i="7"/>
  <c r="M3177" i="7" s="1"/>
  <c r="L3178" i="7"/>
  <c r="L3179" i="7"/>
  <c r="M3179" i="7" s="1"/>
  <c r="L3180" i="7"/>
  <c r="M3180" i="7" s="1"/>
  <c r="L3181" i="7"/>
  <c r="M3181" i="7" s="1"/>
  <c r="L3182" i="7"/>
  <c r="M3182" i="7" s="1"/>
  <c r="L3183" i="7"/>
  <c r="M3183" i="7" s="1"/>
  <c r="L3184" i="7"/>
  <c r="M3184" i="7" s="1"/>
  <c r="L3185" i="7"/>
  <c r="M3185" i="7" s="1"/>
  <c r="L3186" i="7"/>
  <c r="M3186" i="7" s="1"/>
  <c r="L3187" i="7"/>
  <c r="M3187" i="7" s="1"/>
  <c r="L3188" i="7"/>
  <c r="M3188" i="7" s="1"/>
  <c r="L3189" i="7"/>
  <c r="M3189" i="7" s="1"/>
  <c r="L3190" i="7"/>
  <c r="M3190" i="7" s="1"/>
  <c r="L3191" i="7"/>
  <c r="L3192" i="7"/>
  <c r="M3192" i="7" s="1"/>
  <c r="L3193" i="7"/>
  <c r="M3193" i="7" s="1"/>
  <c r="L3194" i="7"/>
  <c r="L3195" i="7"/>
  <c r="M3195" i="7" s="1"/>
  <c r="L3196" i="7"/>
  <c r="M3196" i="7" s="1"/>
  <c r="L3197" i="7"/>
  <c r="M3197" i="7" s="1"/>
  <c r="L3198" i="7"/>
  <c r="M3198" i="7" s="1"/>
  <c r="L3199" i="7"/>
  <c r="M3199" i="7" s="1"/>
  <c r="L3200" i="7"/>
  <c r="M3200" i="7" s="1"/>
  <c r="L3201" i="7"/>
  <c r="M3201" i="7" s="1"/>
  <c r="L3202" i="7"/>
  <c r="M3202" i="7" s="1"/>
  <c r="L3203" i="7"/>
  <c r="M3203" i="7" s="1"/>
  <c r="L3204" i="7"/>
  <c r="M3204" i="7" s="1"/>
  <c r="L3205" i="7"/>
  <c r="M3205" i="7" s="1"/>
  <c r="L3206" i="7"/>
  <c r="M3206" i="7" s="1"/>
  <c r="L3207" i="7"/>
  <c r="M3207" i="7" s="1"/>
  <c r="L3208" i="7"/>
  <c r="M3208" i="7" s="1"/>
  <c r="L3209" i="7"/>
  <c r="M3209" i="7" s="1"/>
  <c r="L3210" i="7"/>
  <c r="L3211" i="7"/>
  <c r="M3211" i="7" s="1"/>
  <c r="L3212" i="7"/>
  <c r="M3212" i="7" s="1"/>
  <c r="L3213" i="7"/>
  <c r="M3213" i="7" s="1"/>
  <c r="L3214" i="7"/>
  <c r="M3214" i="7" s="1"/>
  <c r="L3215" i="7"/>
  <c r="M3215" i="7" s="1"/>
  <c r="L3216" i="7"/>
  <c r="M3216" i="7" s="1"/>
  <c r="L3217" i="7"/>
  <c r="M3217" i="7" s="1"/>
  <c r="L3218" i="7"/>
  <c r="M3218" i="7" s="1"/>
  <c r="L3219" i="7"/>
  <c r="M3219" i="7" s="1"/>
  <c r="L3220" i="7"/>
  <c r="M3220" i="7" s="1"/>
  <c r="L3221" i="7"/>
  <c r="M3221" i="7" s="1"/>
  <c r="L3222" i="7"/>
  <c r="M3222" i="7" s="1"/>
  <c r="L3223" i="7"/>
  <c r="L3224" i="7"/>
  <c r="M3224" i="7" s="1"/>
  <c r="L3225" i="7"/>
  <c r="M3225" i="7" s="1"/>
  <c r="L3226" i="7"/>
  <c r="L3227" i="7"/>
  <c r="M3227" i="7" s="1"/>
  <c r="L3228" i="7"/>
  <c r="M3228" i="7" s="1"/>
  <c r="L3229" i="7"/>
  <c r="M3229" i="7" s="1"/>
  <c r="L3230" i="7"/>
  <c r="M3230" i="7" s="1"/>
  <c r="L3231" i="7"/>
  <c r="M3231" i="7" s="1"/>
  <c r="L3232" i="7"/>
  <c r="M3232" i="7" s="1"/>
  <c r="L3233" i="7"/>
  <c r="M3233" i="7" s="1"/>
  <c r="L3234" i="7"/>
  <c r="M3234" i="7" s="1"/>
  <c r="L3235" i="7"/>
  <c r="M3235" i="7" s="1"/>
  <c r="L3236" i="7"/>
  <c r="M3236" i="7" s="1"/>
  <c r="L3237" i="7"/>
  <c r="M3237" i="7" s="1"/>
  <c r="L3238" i="7"/>
  <c r="M3238" i="7" s="1"/>
  <c r="L3239" i="7"/>
  <c r="M3239" i="7" s="1"/>
  <c r="L3240" i="7"/>
  <c r="M3240" i="7" s="1"/>
  <c r="L3241" i="7"/>
  <c r="M3241" i="7" s="1"/>
  <c r="L3242" i="7"/>
  <c r="L3243" i="7"/>
  <c r="M3243" i="7" s="1"/>
  <c r="L3244" i="7"/>
  <c r="M3244" i="7" s="1"/>
  <c r="L3245" i="7"/>
  <c r="M3245" i="7" s="1"/>
  <c r="L3246" i="7"/>
  <c r="M3246" i="7" s="1"/>
  <c r="L3247" i="7"/>
  <c r="M3247" i="7" s="1"/>
  <c r="L3248" i="7"/>
  <c r="M3248" i="7" s="1"/>
  <c r="L3249" i="7"/>
  <c r="M3249" i="7" s="1"/>
  <c r="L3250" i="7"/>
  <c r="M3250" i="7" s="1"/>
  <c r="L3251" i="7"/>
  <c r="M3251" i="7" s="1"/>
  <c r="L3252" i="7"/>
  <c r="M3252" i="7" s="1"/>
  <c r="L3253" i="7"/>
  <c r="M3253" i="7" s="1"/>
  <c r="L3254" i="7"/>
  <c r="M3254" i="7" s="1"/>
  <c r="L3255" i="7"/>
  <c r="L3256" i="7"/>
  <c r="M3256" i="7" s="1"/>
  <c r="L3257" i="7"/>
  <c r="M3257" i="7" s="1"/>
  <c r="L3258" i="7"/>
  <c r="L3259" i="7"/>
  <c r="M3259" i="7" s="1"/>
  <c r="L3260" i="7"/>
  <c r="M3260" i="7" s="1"/>
  <c r="L3261" i="7"/>
  <c r="M3261" i="7" s="1"/>
  <c r="L3262" i="7"/>
  <c r="M3262" i="7" s="1"/>
  <c r="L3263" i="7"/>
  <c r="M3263" i="7" s="1"/>
  <c r="L3264" i="7"/>
  <c r="M3264" i="7" s="1"/>
  <c r="L3265" i="7"/>
  <c r="M3265" i="7" s="1"/>
  <c r="L3266" i="7"/>
  <c r="M3266" i="7" s="1"/>
  <c r="L3267" i="7"/>
  <c r="M3267" i="7" s="1"/>
  <c r="L3268" i="7"/>
  <c r="M3268" i="7" s="1"/>
  <c r="L3269" i="7"/>
  <c r="M3269" i="7" s="1"/>
  <c r="L3270" i="7"/>
  <c r="M3270" i="7" s="1"/>
  <c r="L3271" i="7"/>
  <c r="L3272" i="7"/>
  <c r="M3272" i="7" s="1"/>
  <c r="L3273" i="7"/>
  <c r="M3273" i="7" s="1"/>
  <c r="L3274" i="7"/>
  <c r="L3275" i="7"/>
  <c r="M3275" i="7" s="1"/>
  <c r="L3276" i="7"/>
  <c r="M3276" i="7" s="1"/>
  <c r="L3277" i="7"/>
  <c r="M3277" i="7" s="1"/>
  <c r="L3278" i="7"/>
  <c r="M3278" i="7" s="1"/>
  <c r="L3279" i="7"/>
  <c r="M3279" i="7" s="1"/>
  <c r="L3280" i="7"/>
  <c r="M3280" i="7" s="1"/>
  <c r="L3281" i="7"/>
  <c r="M3281" i="7" s="1"/>
  <c r="L3282" i="7"/>
  <c r="M3282" i="7" s="1"/>
  <c r="L3283" i="7"/>
  <c r="M3283" i="7" s="1"/>
  <c r="L3284" i="7"/>
  <c r="M3284" i="7" s="1"/>
  <c r="L3285" i="7"/>
  <c r="M3285" i="7" s="1"/>
  <c r="L3286" i="7"/>
  <c r="M3286" i="7" s="1"/>
  <c r="L3287" i="7"/>
  <c r="M3287" i="7" s="1"/>
  <c r="L3288" i="7"/>
  <c r="M3288" i="7" s="1"/>
  <c r="L3289" i="7"/>
  <c r="M3289" i="7" s="1"/>
  <c r="L3290" i="7"/>
  <c r="L3291" i="7"/>
  <c r="M3291" i="7" s="1"/>
  <c r="L3292" i="7"/>
  <c r="M3292" i="7" s="1"/>
  <c r="L3293" i="7"/>
  <c r="M3293" i="7" s="1"/>
  <c r="L3294" i="7"/>
  <c r="M3294" i="7" s="1"/>
  <c r="L3295" i="7"/>
  <c r="M3295" i="7" s="1"/>
  <c r="L3296" i="7"/>
  <c r="M3296" i="7" s="1"/>
  <c r="L3297" i="7"/>
  <c r="M3297" i="7" s="1"/>
  <c r="L3298" i="7"/>
  <c r="M3298" i="7" s="1"/>
  <c r="L3299" i="7"/>
  <c r="M3299" i="7" s="1"/>
  <c r="L3300" i="7"/>
  <c r="M3300" i="7" s="1"/>
  <c r="L3301" i="7"/>
  <c r="M3301" i="7" s="1"/>
  <c r="L3302" i="7"/>
  <c r="M3302" i="7" s="1"/>
  <c r="L3303" i="7"/>
  <c r="M3303" i="7" s="1"/>
  <c r="L3304" i="7"/>
  <c r="M3304" i="7" s="1"/>
  <c r="L3305" i="7"/>
  <c r="M3305" i="7" s="1"/>
  <c r="L3306" i="7"/>
  <c r="L3307" i="7"/>
  <c r="M3307" i="7" s="1"/>
  <c r="L3308" i="7"/>
  <c r="M3308" i="7" s="1"/>
  <c r="L3309" i="7"/>
  <c r="M3309" i="7" s="1"/>
  <c r="L3310" i="7"/>
  <c r="M3310" i="7" s="1"/>
  <c r="L3311" i="7"/>
  <c r="M3311" i="7" s="1"/>
  <c r="L3312" i="7"/>
  <c r="M3312" i="7" s="1"/>
  <c r="L3313" i="7"/>
  <c r="M3313" i="7" s="1"/>
  <c r="L3314" i="7"/>
  <c r="M3314" i="7" s="1"/>
  <c r="L3315" i="7"/>
  <c r="M3315" i="7" s="1"/>
  <c r="L3316" i="7"/>
  <c r="M3316" i="7" s="1"/>
  <c r="L3317" i="7"/>
  <c r="M3317" i="7" s="1"/>
  <c r="L3318" i="7"/>
  <c r="M3318" i="7" s="1"/>
  <c r="L3319" i="7"/>
  <c r="L3320" i="7"/>
  <c r="M3320" i="7" s="1"/>
  <c r="L3321" i="7"/>
  <c r="M3321" i="7" s="1"/>
  <c r="L3322" i="7"/>
  <c r="L3323" i="7"/>
  <c r="M3323" i="7" s="1"/>
  <c r="L3324" i="7"/>
  <c r="M3324" i="7" s="1"/>
  <c r="L3325" i="7"/>
  <c r="M3325" i="7" s="1"/>
  <c r="L3326" i="7"/>
  <c r="M3326" i="7" s="1"/>
  <c r="L3327" i="7"/>
  <c r="M3327" i="7" s="1"/>
  <c r="L3328" i="7"/>
  <c r="M3328" i="7" s="1"/>
  <c r="L3329" i="7"/>
  <c r="M3329" i="7" s="1"/>
  <c r="L3330" i="7"/>
  <c r="M3330" i="7" s="1"/>
  <c r="L3331" i="7"/>
  <c r="M3331" i="7" s="1"/>
  <c r="L3332" i="7"/>
  <c r="M3332" i="7" s="1"/>
  <c r="L3333" i="7"/>
  <c r="M3333" i="7" s="1"/>
  <c r="L3334" i="7"/>
  <c r="M3334" i="7" s="1"/>
  <c r="L3335" i="7"/>
  <c r="M3335" i="7" s="1"/>
  <c r="L3336" i="7"/>
  <c r="M3336" i="7" s="1"/>
  <c r="L3337" i="7"/>
  <c r="M3337" i="7" s="1"/>
  <c r="L3338" i="7"/>
  <c r="L3339" i="7"/>
  <c r="M3339" i="7" s="1"/>
  <c r="L3340" i="7"/>
  <c r="M3340" i="7" s="1"/>
  <c r="L3341" i="7"/>
  <c r="M3341" i="7" s="1"/>
  <c r="L3342" i="7"/>
  <c r="M3342" i="7" s="1"/>
  <c r="L3343" i="7"/>
  <c r="M3343" i="7" s="1"/>
  <c r="L3344" i="7"/>
  <c r="M3344" i="7" s="1"/>
  <c r="L3345" i="7"/>
  <c r="M3345" i="7" s="1"/>
  <c r="L3346" i="7"/>
  <c r="M3346" i="7" s="1"/>
  <c r="L3347" i="7"/>
  <c r="M3347" i="7" s="1"/>
  <c r="L3348" i="7"/>
  <c r="M3348" i="7" s="1"/>
  <c r="L3349" i="7"/>
  <c r="M3349" i="7" s="1"/>
  <c r="L3350" i="7"/>
  <c r="M3350" i="7" s="1"/>
  <c r="L3351" i="7"/>
  <c r="L3352" i="7"/>
  <c r="M3352" i="7" s="1"/>
  <c r="L3353" i="7"/>
  <c r="M3353" i="7" s="1"/>
  <c r="L3354" i="7"/>
  <c r="L3355" i="7"/>
  <c r="M3355" i="7" s="1"/>
  <c r="L3356" i="7"/>
  <c r="M3356" i="7" s="1"/>
  <c r="L3357" i="7"/>
  <c r="M3357" i="7" s="1"/>
  <c r="L3358" i="7"/>
  <c r="M3358" i="7" s="1"/>
  <c r="L3359" i="7"/>
  <c r="M3359" i="7" s="1"/>
  <c r="L3360" i="7"/>
  <c r="M3360" i="7" s="1"/>
  <c r="L3361" i="7"/>
  <c r="M3361" i="7" s="1"/>
  <c r="L3362" i="7"/>
  <c r="M3362" i="7" s="1"/>
  <c r="L3363" i="7"/>
  <c r="M3363" i="7" s="1"/>
  <c r="L3364" i="7"/>
  <c r="M3364" i="7" s="1"/>
  <c r="L3365" i="7"/>
  <c r="M3365" i="7" s="1"/>
  <c r="L3366" i="7"/>
  <c r="M3366" i="7" s="1"/>
  <c r="L3367" i="7"/>
  <c r="M3367" i="7" s="1"/>
  <c r="L3368" i="7"/>
  <c r="M3368" i="7" s="1"/>
  <c r="L3369" i="7"/>
  <c r="M3369" i="7" s="1"/>
  <c r="L3370" i="7"/>
  <c r="L3371" i="7"/>
  <c r="M3371" i="7" s="1"/>
  <c r="L3372" i="7"/>
  <c r="M3372" i="7" s="1"/>
  <c r="L3373" i="7"/>
  <c r="M3373" i="7" s="1"/>
  <c r="L3374" i="7"/>
  <c r="M3374" i="7" s="1"/>
  <c r="L3375" i="7"/>
  <c r="L3376" i="7"/>
  <c r="M3376" i="7" s="1"/>
  <c r="L3377" i="7"/>
  <c r="M3377" i="7" s="1"/>
  <c r="L3378" i="7"/>
  <c r="M3378" i="7" s="1"/>
  <c r="L3379" i="7"/>
  <c r="M3379" i="7" s="1"/>
  <c r="L3380" i="7"/>
  <c r="M3380" i="7" s="1"/>
  <c r="L3381" i="7"/>
  <c r="M3381" i="7" s="1"/>
  <c r="L3382" i="7"/>
  <c r="M3382" i="7" s="1"/>
  <c r="L3383" i="7"/>
  <c r="L3384" i="7"/>
  <c r="M3384" i="7" s="1"/>
  <c r="L3385" i="7"/>
  <c r="M3385" i="7" s="1"/>
  <c r="L3386" i="7"/>
  <c r="L3387" i="7"/>
  <c r="M3387" i="7" s="1"/>
  <c r="L3388" i="7"/>
  <c r="M3388" i="7" s="1"/>
  <c r="L3389" i="7"/>
  <c r="M3389" i="7" s="1"/>
  <c r="L3390" i="7"/>
  <c r="M3390" i="7" s="1"/>
  <c r="L3391" i="7"/>
  <c r="M3391" i="7" s="1"/>
  <c r="L3392" i="7"/>
  <c r="M3392" i="7" s="1"/>
  <c r="L3393" i="7"/>
  <c r="M3393" i="7" s="1"/>
  <c r="L3394" i="7"/>
  <c r="M3394" i="7" s="1"/>
  <c r="L3395" i="7"/>
  <c r="M3395" i="7" s="1"/>
  <c r="L3396" i="7"/>
  <c r="M3396" i="7" s="1"/>
  <c r="L3397" i="7"/>
  <c r="M3397" i="7" s="1"/>
  <c r="L3398" i="7"/>
  <c r="M3398" i="7" s="1"/>
  <c r="L3399" i="7"/>
  <c r="M3399" i="7" s="1"/>
  <c r="L3400" i="7"/>
  <c r="M3400" i="7" s="1"/>
  <c r="L3401" i="7"/>
  <c r="M3401" i="7" s="1"/>
  <c r="L3402" i="7"/>
  <c r="L3403" i="7"/>
  <c r="M3403" i="7" s="1"/>
  <c r="L3404" i="7"/>
  <c r="M3404" i="7" s="1"/>
  <c r="L3405" i="7"/>
  <c r="M3405" i="7" s="1"/>
  <c r="L3406" i="7"/>
  <c r="M3406" i="7" s="1"/>
  <c r="L3407" i="7"/>
  <c r="M3407" i="7" s="1"/>
  <c r="L3408" i="7"/>
  <c r="M3408" i="7" s="1"/>
  <c r="L3409" i="7"/>
  <c r="M3409" i="7" s="1"/>
  <c r="L3410" i="7"/>
  <c r="M3410" i="7" s="1"/>
  <c r="L3411" i="7"/>
  <c r="M3411" i="7" s="1"/>
  <c r="L3412" i="7"/>
  <c r="M3412" i="7" s="1"/>
  <c r="L3413" i="7"/>
  <c r="M3413" i="7" s="1"/>
  <c r="L3414" i="7"/>
  <c r="M3414" i="7" s="1"/>
  <c r="L3415" i="7"/>
  <c r="M3415" i="7" s="1"/>
  <c r="L3416" i="7"/>
  <c r="M3416" i="7" s="1"/>
  <c r="L3417" i="7"/>
  <c r="M3417" i="7" s="1"/>
  <c r="L3418" i="7"/>
  <c r="L3419" i="7"/>
  <c r="M3419" i="7" s="1"/>
  <c r="L3420" i="7"/>
  <c r="M3420" i="7" s="1"/>
  <c r="L3421" i="7"/>
  <c r="M3421" i="7" s="1"/>
  <c r="L3422" i="7"/>
  <c r="M3422" i="7" s="1"/>
  <c r="L3423" i="7"/>
  <c r="M3423" i="7" s="1"/>
  <c r="L3424" i="7"/>
  <c r="M3424" i="7" s="1"/>
  <c r="L3425" i="7"/>
  <c r="M3425" i="7" s="1"/>
  <c r="L3426" i="7"/>
  <c r="M3426" i="7" s="1"/>
  <c r="L3427" i="7"/>
  <c r="M3427" i="7" s="1"/>
  <c r="L3428" i="7"/>
  <c r="M3428" i="7" s="1"/>
  <c r="L3429" i="7"/>
  <c r="M3429" i="7" s="1"/>
  <c r="L3430" i="7"/>
  <c r="M3430" i="7" s="1"/>
  <c r="L3431" i="7"/>
  <c r="M3431" i="7" s="1"/>
  <c r="L3432" i="7"/>
  <c r="M3432" i="7" s="1"/>
  <c r="L3433" i="7"/>
  <c r="M3433" i="7" s="1"/>
  <c r="L3434" i="7"/>
  <c r="L3435" i="7"/>
  <c r="M3435" i="7" s="1"/>
  <c r="L3436" i="7"/>
  <c r="M3436" i="7" s="1"/>
  <c r="L3437" i="7"/>
  <c r="M3437" i="7" s="1"/>
  <c r="L3438" i="7"/>
  <c r="M3438" i="7" s="1"/>
  <c r="L3439" i="7"/>
  <c r="M3439" i="7" s="1"/>
  <c r="L3440" i="7"/>
  <c r="M3440" i="7" s="1"/>
  <c r="L3441" i="7"/>
  <c r="M3441" i="7" s="1"/>
  <c r="L3442" i="7"/>
  <c r="M3442" i="7" s="1"/>
  <c r="L3443" i="7"/>
  <c r="M3443" i="7" s="1"/>
  <c r="L3444" i="7"/>
  <c r="M3444" i="7" s="1"/>
  <c r="L3445" i="7"/>
  <c r="M3445" i="7" s="1"/>
  <c r="L3446" i="7"/>
  <c r="M3446" i="7" s="1"/>
  <c r="L3447" i="7"/>
  <c r="M3447" i="7" s="1"/>
  <c r="L3448" i="7"/>
  <c r="M3448" i="7" s="1"/>
  <c r="L3449" i="7"/>
  <c r="M3449" i="7" s="1"/>
  <c r="L3450" i="7"/>
  <c r="L3451" i="7"/>
  <c r="M3451" i="7" s="1"/>
  <c r="L3452" i="7"/>
  <c r="M3452" i="7" s="1"/>
  <c r="L3453" i="7"/>
  <c r="M3453" i="7" s="1"/>
  <c r="L3454" i="7"/>
  <c r="M3454" i="7" s="1"/>
  <c r="L3455" i="7"/>
  <c r="M3455" i="7" s="1"/>
  <c r="L3456" i="7"/>
  <c r="M3456" i="7" s="1"/>
  <c r="L3457" i="7"/>
  <c r="M3457" i="7" s="1"/>
  <c r="L3458" i="7"/>
  <c r="M3458" i="7" s="1"/>
  <c r="L3459" i="7"/>
  <c r="M3459" i="7" s="1"/>
  <c r="L3460" i="7"/>
  <c r="M3460" i="7" s="1"/>
  <c r="L3461" i="7"/>
  <c r="M3461" i="7" s="1"/>
  <c r="L3462" i="7"/>
  <c r="M3462" i="7" s="1"/>
  <c r="L3463" i="7"/>
  <c r="M3463" i="7" s="1"/>
  <c r="L3464" i="7"/>
  <c r="M3464" i="7" s="1"/>
  <c r="L3465" i="7"/>
  <c r="M3465" i="7" s="1"/>
  <c r="L3466" i="7"/>
  <c r="L3467" i="7"/>
  <c r="M3467" i="7" s="1"/>
  <c r="L3468" i="7"/>
  <c r="M3468" i="7" s="1"/>
  <c r="L3469" i="7"/>
  <c r="M3469" i="7" s="1"/>
  <c r="L3470" i="7"/>
  <c r="M3470" i="7" s="1"/>
  <c r="L3471" i="7"/>
  <c r="M3471" i="7" s="1"/>
  <c r="L3472" i="7"/>
  <c r="M3472" i="7" s="1"/>
  <c r="L3473" i="7"/>
  <c r="M3473" i="7" s="1"/>
  <c r="L3474" i="7"/>
  <c r="M3474" i="7" s="1"/>
  <c r="L3475" i="7"/>
  <c r="M3475" i="7" s="1"/>
  <c r="L3476" i="7"/>
  <c r="M3476" i="7" s="1"/>
  <c r="L3477" i="7"/>
  <c r="M3477" i="7" s="1"/>
  <c r="L3478" i="7"/>
  <c r="M3478" i="7" s="1"/>
  <c r="L3479" i="7"/>
  <c r="L3480" i="7"/>
  <c r="M3480" i="7" s="1"/>
  <c r="L3481" i="7"/>
  <c r="M3481" i="7" s="1"/>
  <c r="L3482" i="7"/>
  <c r="L3483" i="7"/>
  <c r="M3483" i="7" s="1"/>
  <c r="L3484" i="7"/>
  <c r="M3484" i="7" s="1"/>
  <c r="L3485" i="7"/>
  <c r="M3485" i="7" s="1"/>
  <c r="L3486" i="7"/>
  <c r="M3486" i="7" s="1"/>
  <c r="L3487" i="7"/>
  <c r="M3487" i="7" s="1"/>
  <c r="L3488" i="7"/>
  <c r="M3488" i="7" s="1"/>
  <c r="L3489" i="7"/>
  <c r="M3489" i="7" s="1"/>
  <c r="L3490" i="7"/>
  <c r="M3490" i="7" s="1"/>
  <c r="L3491" i="7"/>
  <c r="M3491" i="7" s="1"/>
  <c r="L3492" i="7"/>
  <c r="M3492" i="7" s="1"/>
  <c r="L3493" i="7"/>
  <c r="M3493" i="7" s="1"/>
  <c r="L3494" i="7"/>
  <c r="M3494" i="7" s="1"/>
  <c r="L3495" i="7"/>
  <c r="M3495" i="7" s="1"/>
  <c r="L3496" i="7"/>
  <c r="M3496" i="7" s="1"/>
  <c r="L3497" i="7"/>
  <c r="M3497" i="7" s="1"/>
  <c r="L3498" i="7"/>
  <c r="L3499" i="7"/>
  <c r="M3499" i="7" s="1"/>
  <c r="L3500" i="7"/>
  <c r="M3500" i="7" s="1"/>
  <c r="L3501" i="7"/>
  <c r="M3501" i="7" s="1"/>
  <c r="L3502" i="7"/>
  <c r="M3502" i="7" s="1"/>
  <c r="L3503" i="7"/>
  <c r="L3504" i="7"/>
  <c r="M3504" i="7" s="1"/>
  <c r="L3505" i="7"/>
  <c r="M3505" i="7" s="1"/>
  <c r="L3506" i="7"/>
  <c r="M3506" i="7" s="1"/>
  <c r="L3507" i="7"/>
  <c r="M3507" i="7" s="1"/>
  <c r="L3508" i="7"/>
  <c r="M3508" i="7" s="1"/>
  <c r="L3509" i="7"/>
  <c r="M3509" i="7" s="1"/>
  <c r="L3510" i="7"/>
  <c r="M3510" i="7" s="1"/>
  <c r="L3511" i="7"/>
  <c r="L3512" i="7"/>
  <c r="M3512" i="7" s="1"/>
  <c r="L3513" i="7"/>
  <c r="M3513" i="7" s="1"/>
  <c r="L3514" i="7"/>
  <c r="L3515" i="7"/>
  <c r="M3515" i="7" s="1"/>
  <c r="L3516" i="7"/>
  <c r="M3516" i="7" s="1"/>
  <c r="L3517" i="7"/>
  <c r="M3517" i="7" s="1"/>
  <c r="L3518" i="7"/>
  <c r="M3518" i="7" s="1"/>
  <c r="L3519" i="7"/>
  <c r="M3519" i="7" s="1"/>
  <c r="L3520" i="7"/>
  <c r="M3520" i="7" s="1"/>
  <c r="L3521" i="7"/>
  <c r="M3521" i="7" s="1"/>
  <c r="L3522" i="7"/>
  <c r="M3522" i="7" s="1"/>
  <c r="L3523" i="7"/>
  <c r="M3523" i="7" s="1"/>
  <c r="L3524" i="7"/>
  <c r="M3524" i="7" s="1"/>
  <c r="L3525" i="7"/>
  <c r="M3525" i="7" s="1"/>
  <c r="L3526" i="7"/>
  <c r="M3526" i="7" s="1"/>
  <c r="L3527" i="7"/>
  <c r="L3528" i="7"/>
  <c r="M3528" i="7" s="1"/>
  <c r="L3529" i="7"/>
  <c r="M3529" i="7" s="1"/>
  <c r="L3530" i="7"/>
  <c r="L3531" i="7"/>
  <c r="M3531" i="7" s="1"/>
  <c r="L3532" i="7"/>
  <c r="M3532" i="7" s="1"/>
  <c r="L3533" i="7"/>
  <c r="M3533" i="7" s="1"/>
  <c r="L3534" i="7"/>
  <c r="M3534" i="7" s="1"/>
  <c r="L3535" i="7"/>
  <c r="M3535" i="7" s="1"/>
  <c r="L3536" i="7"/>
  <c r="M3536" i="7" s="1"/>
  <c r="L3537" i="7"/>
  <c r="M3537" i="7" s="1"/>
  <c r="L3538" i="7"/>
  <c r="M3538" i="7" s="1"/>
  <c r="L3539" i="7"/>
  <c r="M3539" i="7" s="1"/>
  <c r="L3540" i="7"/>
  <c r="M3540" i="7" s="1"/>
  <c r="L3541" i="7"/>
  <c r="M3541" i="7" s="1"/>
  <c r="L3542" i="7"/>
  <c r="M3542" i="7" s="1"/>
  <c r="L3543" i="7"/>
  <c r="M3543" i="7" s="1"/>
  <c r="L3544" i="7"/>
  <c r="M3544" i="7" s="1"/>
  <c r="L3545" i="7"/>
  <c r="M3545" i="7" s="1"/>
  <c r="L3546" i="7"/>
  <c r="L3547" i="7"/>
  <c r="M3547" i="7" s="1"/>
  <c r="L3548" i="7"/>
  <c r="M3548" i="7" s="1"/>
  <c r="L3549" i="7"/>
  <c r="M3549" i="7" s="1"/>
  <c r="L3550" i="7"/>
  <c r="M3550" i="7" s="1"/>
  <c r="L3551" i="7"/>
  <c r="M3551" i="7" s="1"/>
  <c r="L3552" i="7"/>
  <c r="M3552" i="7" s="1"/>
  <c r="L3553" i="7"/>
  <c r="M3553" i="7" s="1"/>
  <c r="L3554" i="7"/>
  <c r="M3554" i="7" s="1"/>
  <c r="L3555" i="7"/>
  <c r="M3555" i="7" s="1"/>
  <c r="L3556" i="7"/>
  <c r="M3556" i="7" s="1"/>
  <c r="L3557" i="7"/>
  <c r="M3557" i="7" s="1"/>
  <c r="L3558" i="7"/>
  <c r="M3558" i="7" s="1"/>
  <c r="L3559" i="7"/>
  <c r="M3559" i="7" s="1"/>
  <c r="L3560" i="7"/>
  <c r="M3560" i="7" s="1"/>
  <c r="L3561" i="7"/>
  <c r="M3561" i="7" s="1"/>
  <c r="L3562" i="7"/>
  <c r="L3563" i="7"/>
  <c r="M3563" i="7" s="1"/>
  <c r="L3564" i="7"/>
  <c r="M3564" i="7" s="1"/>
  <c r="L3565" i="7"/>
  <c r="M3565" i="7" s="1"/>
  <c r="L3566" i="7"/>
  <c r="M3566" i="7" s="1"/>
  <c r="L3567" i="7"/>
  <c r="M3567" i="7" s="1"/>
  <c r="L3568" i="7"/>
  <c r="M3568" i="7" s="1"/>
  <c r="L3569" i="7"/>
  <c r="M3569" i="7" s="1"/>
  <c r="L3570" i="7"/>
  <c r="M3570" i="7" s="1"/>
  <c r="L3571" i="7"/>
  <c r="M3571" i="7" s="1"/>
  <c r="L3572" i="7"/>
  <c r="M3572" i="7" s="1"/>
  <c r="L3573" i="7"/>
  <c r="M3573" i="7" s="1"/>
  <c r="L3574" i="7"/>
  <c r="M3574" i="7" s="1"/>
  <c r="L3575" i="7"/>
  <c r="L3576" i="7"/>
  <c r="M3576" i="7" s="1"/>
  <c r="L3577" i="7"/>
  <c r="M3577" i="7" s="1"/>
  <c r="L3578" i="7"/>
  <c r="L3579" i="7"/>
  <c r="M3579" i="7" s="1"/>
  <c r="L3580" i="7"/>
  <c r="M3580" i="7" s="1"/>
  <c r="L3581" i="7"/>
  <c r="M3581" i="7" s="1"/>
  <c r="L3582" i="7"/>
  <c r="M3582" i="7" s="1"/>
  <c r="L3583" i="7"/>
  <c r="M3583" i="7" s="1"/>
  <c r="L3584" i="7"/>
  <c r="M3584" i="7" s="1"/>
  <c r="L3585" i="7"/>
  <c r="M3585" i="7" s="1"/>
  <c r="L3586" i="7"/>
  <c r="M3586" i="7" s="1"/>
  <c r="L3587" i="7"/>
  <c r="M3587" i="7" s="1"/>
  <c r="L3588" i="7"/>
  <c r="M3588" i="7" s="1"/>
  <c r="L3589" i="7"/>
  <c r="M3589" i="7" s="1"/>
  <c r="L3590" i="7"/>
  <c r="M3590" i="7" s="1"/>
  <c r="L3591" i="7"/>
  <c r="M3591" i="7" s="1"/>
  <c r="L3592" i="7"/>
  <c r="M3592" i="7" s="1"/>
  <c r="L3593" i="7"/>
  <c r="M3593" i="7" s="1"/>
  <c r="L3594" i="7"/>
  <c r="L3595" i="7"/>
  <c r="M3595" i="7" s="1"/>
  <c r="L3596" i="7"/>
  <c r="M3596" i="7" s="1"/>
  <c r="L3597" i="7"/>
  <c r="M3597" i="7" s="1"/>
  <c r="L3598" i="7"/>
  <c r="M3598" i="7" s="1"/>
  <c r="L3599" i="7"/>
  <c r="M3599" i="7" s="1"/>
  <c r="L3600" i="7"/>
  <c r="M3600" i="7" s="1"/>
  <c r="L3601" i="7"/>
  <c r="M3601" i="7" s="1"/>
  <c r="L3602" i="7"/>
  <c r="M3602" i="7" s="1"/>
  <c r="L3603" i="7"/>
  <c r="M3603" i="7" s="1"/>
  <c r="L3604" i="7"/>
  <c r="M3604" i="7" s="1"/>
  <c r="L3605" i="7"/>
  <c r="M3605" i="7" s="1"/>
  <c r="L3606" i="7"/>
  <c r="M3606" i="7" s="1"/>
  <c r="L3607" i="7"/>
  <c r="M3607" i="7" s="1"/>
  <c r="L3608" i="7"/>
  <c r="M3608" i="7" s="1"/>
  <c r="L3609" i="7"/>
  <c r="M3609" i="7" s="1"/>
  <c r="L3610" i="7"/>
  <c r="L3611" i="7"/>
  <c r="M3611" i="7" s="1"/>
  <c r="L3612" i="7"/>
  <c r="M3612" i="7" s="1"/>
  <c r="L3613" i="7"/>
  <c r="M3613" i="7" s="1"/>
  <c r="L3614" i="7"/>
  <c r="M3614" i="7" s="1"/>
  <c r="L3615" i="7"/>
  <c r="M3615" i="7" s="1"/>
  <c r="L3616" i="7"/>
  <c r="M3616" i="7" s="1"/>
  <c r="L3617" i="7"/>
  <c r="M3617" i="7" s="1"/>
  <c r="L3618" i="7"/>
  <c r="M3618" i="7" s="1"/>
  <c r="L3619" i="7"/>
  <c r="M3619" i="7" s="1"/>
  <c r="L3620" i="7"/>
  <c r="M3620" i="7" s="1"/>
  <c r="L3621" i="7"/>
  <c r="M3621" i="7" s="1"/>
  <c r="L3622" i="7"/>
  <c r="M3622" i="7" s="1"/>
  <c r="L3623" i="7"/>
  <c r="M3623" i="7" s="1"/>
  <c r="L3624" i="7"/>
  <c r="M3624" i="7" s="1"/>
  <c r="L3625" i="7"/>
  <c r="M3625" i="7" s="1"/>
  <c r="L3626" i="7"/>
  <c r="L3627" i="7"/>
  <c r="M3627" i="7" s="1"/>
  <c r="L3628" i="7"/>
  <c r="M3628" i="7" s="1"/>
  <c r="L3629" i="7"/>
  <c r="M3629" i="7" s="1"/>
  <c r="L3630" i="7"/>
  <c r="M3630" i="7" s="1"/>
  <c r="L3631" i="7"/>
  <c r="L3632" i="7"/>
  <c r="M3632" i="7" s="1"/>
  <c r="L3633" i="7"/>
  <c r="M3633" i="7" s="1"/>
  <c r="L3634" i="7"/>
  <c r="M3634" i="7" s="1"/>
  <c r="L3635" i="7"/>
  <c r="M3635" i="7" s="1"/>
  <c r="L3636" i="7"/>
  <c r="M3636" i="7" s="1"/>
  <c r="L3637" i="7"/>
  <c r="M3637" i="7" s="1"/>
  <c r="L3638" i="7"/>
  <c r="M3638" i="7" s="1"/>
  <c r="L3639" i="7"/>
  <c r="M3639" i="7" s="1"/>
  <c r="L3640" i="7"/>
  <c r="M3640" i="7" s="1"/>
  <c r="L3641" i="7"/>
  <c r="M3641" i="7" s="1"/>
  <c r="L3642" i="7"/>
  <c r="L3643" i="7"/>
  <c r="M3643" i="7" s="1"/>
  <c r="L3644" i="7"/>
  <c r="M3644" i="7" s="1"/>
  <c r="L3645" i="7"/>
  <c r="M3645" i="7" s="1"/>
  <c r="L3646" i="7"/>
  <c r="M3646" i="7" s="1"/>
  <c r="L3647" i="7"/>
  <c r="M3647" i="7" s="1"/>
  <c r="L3648" i="7"/>
  <c r="M3648" i="7" s="1"/>
  <c r="L3649" i="7"/>
  <c r="M3649" i="7" s="1"/>
  <c r="L3650" i="7"/>
  <c r="M3650" i="7" s="1"/>
  <c r="L3651" i="7"/>
  <c r="M3651" i="7" s="1"/>
  <c r="L3652" i="7"/>
  <c r="M3652" i="7" s="1"/>
  <c r="L3653" i="7"/>
  <c r="M3653" i="7" s="1"/>
  <c r="L3654" i="7"/>
  <c r="M3654" i="7" s="1"/>
  <c r="L3655" i="7"/>
  <c r="L3656" i="7"/>
  <c r="M3656" i="7" s="1"/>
  <c r="L3657" i="7"/>
  <c r="M3657" i="7" s="1"/>
  <c r="L3658" i="7"/>
  <c r="L3659" i="7"/>
  <c r="M3659" i="7" s="1"/>
  <c r="L3660" i="7"/>
  <c r="M3660" i="7" s="1"/>
  <c r="L3661" i="7"/>
  <c r="M3661" i="7" s="1"/>
  <c r="L3662" i="7"/>
  <c r="M3662" i="7" s="1"/>
  <c r="L3663" i="7"/>
  <c r="M3663" i="7" s="1"/>
  <c r="L3664" i="7"/>
  <c r="M3664" i="7" s="1"/>
  <c r="L3665" i="7"/>
  <c r="M3665" i="7" s="1"/>
  <c r="L3666" i="7"/>
  <c r="M3666" i="7" s="1"/>
  <c r="L3667" i="7"/>
  <c r="M3667" i="7" s="1"/>
  <c r="L3668" i="7"/>
  <c r="M3668" i="7" s="1"/>
  <c r="L3669" i="7"/>
  <c r="M3669" i="7" s="1"/>
  <c r="L3670" i="7"/>
  <c r="M3670" i="7" s="1"/>
  <c r="L3671" i="7"/>
  <c r="M3671" i="7" s="1"/>
  <c r="L3672" i="7"/>
  <c r="M3672" i="7" s="1"/>
  <c r="L3673" i="7"/>
  <c r="M3673" i="7" s="1"/>
  <c r="L3674" i="7"/>
  <c r="L3675" i="7"/>
  <c r="M3675" i="7" s="1"/>
  <c r="L3676" i="7"/>
  <c r="M3676" i="7" s="1"/>
  <c r="L3677" i="7"/>
  <c r="M3677" i="7" s="1"/>
  <c r="L3678" i="7"/>
  <c r="M3678" i="7" s="1"/>
  <c r="L3679" i="7"/>
  <c r="M3679" i="7" s="1"/>
  <c r="L3680" i="7"/>
  <c r="M3680" i="7" s="1"/>
  <c r="L3681" i="7"/>
  <c r="M3681" i="7" s="1"/>
  <c r="L3682" i="7"/>
  <c r="M3682" i="7" s="1"/>
  <c r="L3683" i="7"/>
  <c r="M3683" i="7" s="1"/>
  <c r="L3684" i="7"/>
  <c r="M3684" i="7" s="1"/>
  <c r="L3685" i="7"/>
  <c r="M3685" i="7" s="1"/>
  <c r="L3686" i="7"/>
  <c r="M3686" i="7" s="1"/>
  <c r="L3687" i="7"/>
  <c r="M3687" i="7" s="1"/>
  <c r="L3688" i="7"/>
  <c r="M3688" i="7" s="1"/>
  <c r="L3689" i="7"/>
  <c r="M3689" i="7" s="1"/>
  <c r="L3690" i="7"/>
  <c r="M3690" i="7" s="1"/>
  <c r="L3691" i="7"/>
  <c r="M3691" i="7" s="1"/>
  <c r="L3692" i="7"/>
  <c r="M3692" i="7" s="1"/>
  <c r="L3693" i="7"/>
  <c r="L3694" i="7"/>
  <c r="M3694" i="7" s="1"/>
  <c r="L3695" i="7"/>
  <c r="M3695" i="7" s="1"/>
  <c r="L3696" i="7"/>
  <c r="M3696" i="7" s="1"/>
  <c r="L3697" i="7"/>
  <c r="M3697" i="7" s="1"/>
  <c r="L3698" i="7"/>
  <c r="M3698" i="7" s="1"/>
  <c r="L3699" i="7"/>
  <c r="M3699" i="7" s="1"/>
  <c r="L3700" i="7"/>
  <c r="M3700" i="7" s="1"/>
  <c r="L3701" i="7"/>
  <c r="M3701" i="7" s="1"/>
  <c r="L3702" i="7"/>
  <c r="L3703" i="7"/>
  <c r="M3703" i="7" s="1"/>
  <c r="L3704" i="7"/>
  <c r="M3704" i="7" s="1"/>
  <c r="L3705" i="7"/>
  <c r="M3705" i="7" s="1"/>
  <c r="L3706" i="7"/>
  <c r="M3706" i="7" s="1"/>
  <c r="L3707" i="7"/>
  <c r="M3707" i="7" s="1"/>
  <c r="L3708" i="7"/>
  <c r="M3708" i="7" s="1"/>
  <c r="L3709" i="7"/>
  <c r="M3709" i="7" s="1"/>
  <c r="L3710" i="7"/>
  <c r="M3710" i="7" s="1"/>
  <c r="L3711" i="7"/>
  <c r="L3712" i="7"/>
  <c r="M3712" i="7" s="1"/>
  <c r="L3713" i="7"/>
  <c r="M3713" i="7" s="1"/>
  <c r="L3714" i="7"/>
  <c r="M3714" i="7" s="1"/>
  <c r="L3715" i="7"/>
  <c r="M3715" i="7" s="1"/>
  <c r="L3716" i="7"/>
  <c r="M3716" i="7" s="1"/>
  <c r="L3717" i="7"/>
  <c r="M3717" i="7" s="1"/>
  <c r="L3718" i="7"/>
  <c r="M3718" i="7" s="1"/>
  <c r="L3719" i="7"/>
  <c r="M3719" i="7" s="1"/>
  <c r="L3720" i="7"/>
  <c r="M3720" i="7" s="1"/>
  <c r="L3721" i="7"/>
  <c r="M3721" i="7" s="1"/>
  <c r="L3722" i="7"/>
  <c r="M3722" i="7" s="1"/>
  <c r="L3723" i="7"/>
  <c r="M3723" i="7" s="1"/>
  <c r="L3724" i="7"/>
  <c r="M3724" i="7" s="1"/>
  <c r="L3725" i="7"/>
  <c r="L3726" i="7"/>
  <c r="M3726" i="7" s="1"/>
  <c r="L3727" i="7"/>
  <c r="M3727" i="7" s="1"/>
  <c r="L3728" i="7"/>
  <c r="M3728" i="7" s="1"/>
  <c r="L3729" i="7"/>
  <c r="M3729" i="7" s="1"/>
  <c r="L3730" i="7"/>
  <c r="M3730" i="7" s="1"/>
  <c r="L3731" i="7"/>
  <c r="M3731" i="7" s="1"/>
  <c r="L3732" i="7"/>
  <c r="M3732" i="7" s="1"/>
  <c r="L3733" i="7"/>
  <c r="M3733" i="7" s="1"/>
  <c r="L3734" i="7"/>
  <c r="L3735" i="7"/>
  <c r="L3736" i="7"/>
  <c r="M3736" i="7" s="1"/>
  <c r="L3737" i="7"/>
  <c r="M3737" i="7" s="1"/>
  <c r="L3738" i="7"/>
  <c r="M3738" i="7" s="1"/>
  <c r="L3739" i="7"/>
  <c r="M3739" i="7" s="1"/>
  <c r="L3740" i="7"/>
  <c r="M3740" i="7" s="1"/>
  <c r="L3741" i="7"/>
  <c r="M3741" i="7" s="1"/>
  <c r="L3742" i="7"/>
  <c r="M3742" i="7" s="1"/>
  <c r="L3743" i="7"/>
  <c r="M3743" i="7" s="1"/>
  <c r="L3744" i="7"/>
  <c r="M3744" i="7" s="1"/>
  <c r="L3745" i="7"/>
  <c r="M3745" i="7" s="1"/>
  <c r="L3746" i="7"/>
  <c r="M3746" i="7" s="1"/>
  <c r="L3747" i="7"/>
  <c r="M3747" i="7" s="1"/>
  <c r="L3748" i="7"/>
  <c r="M3748" i="7" s="1"/>
  <c r="L3749" i="7"/>
  <c r="M3749" i="7" s="1"/>
  <c r="L3750" i="7"/>
  <c r="M3750" i="7" s="1"/>
  <c r="L3751" i="7"/>
  <c r="M3751" i="7" s="1"/>
  <c r="L3752" i="7"/>
  <c r="M3752" i="7" s="1"/>
  <c r="L3753" i="7"/>
  <c r="M3753" i="7" s="1"/>
  <c r="L3754" i="7"/>
  <c r="M3754" i="7" s="1"/>
  <c r="L3755" i="7"/>
  <c r="M3755" i="7" s="1"/>
  <c r="L3756" i="7"/>
  <c r="M3756" i="7" s="1"/>
  <c r="L3757" i="7"/>
  <c r="L3758" i="7"/>
  <c r="M3758" i="7" s="1"/>
  <c r="L3759" i="7"/>
  <c r="M3759" i="7" s="1"/>
  <c r="L3760" i="7"/>
  <c r="M3760" i="7" s="1"/>
  <c r="L3761" i="7"/>
  <c r="M3761" i="7" s="1"/>
  <c r="L3762" i="7"/>
  <c r="M3762" i="7" s="1"/>
  <c r="L3763" i="7"/>
  <c r="M3763" i="7" s="1"/>
  <c r="L3764" i="7"/>
  <c r="M3764" i="7" s="1"/>
  <c r="L3765" i="7"/>
  <c r="M3765" i="7" s="1"/>
  <c r="L3766" i="7"/>
  <c r="L3767" i="7"/>
  <c r="M3767" i="7" s="1"/>
  <c r="L3768" i="7"/>
  <c r="M3768" i="7" s="1"/>
  <c r="L3769" i="7"/>
  <c r="M3769" i="7" s="1"/>
  <c r="L3770" i="7"/>
  <c r="M3770" i="7" s="1"/>
  <c r="L3771" i="7"/>
  <c r="M3771" i="7" s="1"/>
  <c r="L3772" i="7"/>
  <c r="M3772" i="7" s="1"/>
  <c r="L3773" i="7"/>
  <c r="M3773" i="7" s="1"/>
  <c r="L3774" i="7"/>
  <c r="M3774" i="7" s="1"/>
  <c r="L3775" i="7"/>
  <c r="M3775" i="7" s="1"/>
  <c r="L3776" i="7"/>
  <c r="M3776" i="7" s="1"/>
  <c r="L3777" i="7"/>
  <c r="M3777" i="7" s="1"/>
  <c r="L3778" i="7"/>
  <c r="M3778" i="7" s="1"/>
  <c r="L3779" i="7"/>
  <c r="M3779" i="7" s="1"/>
  <c r="L3780" i="7"/>
  <c r="M3780" i="7" s="1"/>
  <c r="L3781" i="7"/>
  <c r="M3781" i="7" s="1"/>
  <c r="L3782" i="7"/>
  <c r="M3782" i="7" s="1"/>
  <c r="L3783" i="7"/>
  <c r="M3783" i="7" s="1"/>
  <c r="L3784" i="7"/>
  <c r="M3784" i="7" s="1"/>
  <c r="L3785" i="7"/>
  <c r="M3785" i="7" s="1"/>
  <c r="L3786" i="7"/>
  <c r="M3786" i="7" s="1"/>
  <c r="L3787" i="7"/>
  <c r="M3787" i="7" s="1"/>
  <c r="L3788" i="7"/>
  <c r="M3788" i="7" s="1"/>
  <c r="L3789" i="7"/>
  <c r="L3790" i="7"/>
  <c r="M3790" i="7" s="1"/>
  <c r="L3791" i="7"/>
  <c r="M3791" i="7" s="1"/>
  <c r="L3792" i="7"/>
  <c r="M3792" i="7" s="1"/>
  <c r="L3793" i="7"/>
  <c r="M3793" i="7" s="1"/>
  <c r="L3794" i="7"/>
  <c r="M3794" i="7" s="1"/>
  <c r="L3795" i="7"/>
  <c r="M3795" i="7" s="1"/>
  <c r="L3796" i="7"/>
  <c r="M3796" i="7" s="1"/>
  <c r="L3797" i="7"/>
  <c r="M3797" i="7" s="1"/>
  <c r="L3798" i="7"/>
  <c r="M3798" i="7" s="1"/>
  <c r="L3799" i="7"/>
  <c r="L3800" i="7"/>
  <c r="M3800" i="7" s="1"/>
  <c r="L3801" i="7"/>
  <c r="M3801" i="7" s="1"/>
  <c r="L3802" i="7"/>
  <c r="M3802" i="7" s="1"/>
  <c r="L3803" i="7"/>
  <c r="M3803" i="7" s="1"/>
  <c r="L3804" i="7"/>
  <c r="M3804" i="7" s="1"/>
  <c r="L3805" i="7"/>
  <c r="M3805" i="7" s="1"/>
  <c r="L3806" i="7"/>
  <c r="L3807" i="7"/>
  <c r="M3807" i="7" s="1"/>
  <c r="L3808" i="7"/>
  <c r="M3808" i="7" s="1"/>
  <c r="L3809" i="7"/>
  <c r="M3809" i="7" s="1"/>
  <c r="L3810" i="7"/>
  <c r="M3810" i="7" s="1"/>
  <c r="L3811" i="7"/>
  <c r="M3811" i="7" s="1"/>
  <c r="L3812" i="7"/>
  <c r="M3812" i="7" s="1"/>
  <c r="L3813" i="7"/>
  <c r="M3813" i="7" s="1"/>
  <c r="L3814" i="7"/>
  <c r="M3814" i="7" s="1"/>
  <c r="L3815" i="7"/>
  <c r="M3815" i="7" s="1"/>
  <c r="L3816" i="7"/>
  <c r="M3816" i="7" s="1"/>
  <c r="L3817" i="7"/>
  <c r="M3817" i="7" s="1"/>
  <c r="L3818" i="7"/>
  <c r="M3818" i="7" s="1"/>
  <c r="L3819" i="7"/>
  <c r="M3819" i="7" s="1"/>
  <c r="L3820" i="7"/>
  <c r="M3820" i="7" s="1"/>
  <c r="L3821" i="7"/>
  <c r="M3821" i="7" s="1"/>
  <c r="L3822" i="7"/>
  <c r="L3823" i="7"/>
  <c r="L3824" i="7"/>
  <c r="M3824" i="7" s="1"/>
  <c r="L3825" i="7"/>
  <c r="M3825" i="7" s="1"/>
  <c r="L3826" i="7"/>
  <c r="M3826" i="7" s="1"/>
  <c r="L3827" i="7"/>
  <c r="M3827" i="7" s="1"/>
  <c r="L3828" i="7"/>
  <c r="M3828" i="7" s="1"/>
  <c r="L3829" i="7"/>
  <c r="M3829" i="7" s="1"/>
  <c r="L3830" i="7"/>
  <c r="M3830" i="7" s="1"/>
  <c r="L3831" i="7"/>
  <c r="M3831" i="7" s="1"/>
  <c r="L3832" i="7"/>
  <c r="M3832" i="7" s="1"/>
  <c r="L3833" i="7"/>
  <c r="M3833" i="7" s="1"/>
  <c r="L3834" i="7"/>
  <c r="M3834" i="7" s="1"/>
  <c r="L3835" i="7"/>
  <c r="M3835" i="7" s="1"/>
  <c r="L3836" i="7"/>
  <c r="M3836" i="7" s="1"/>
  <c r="L3837" i="7"/>
  <c r="M3837" i="7" s="1"/>
  <c r="L3838" i="7"/>
  <c r="M3838" i="7" s="1"/>
  <c r="L3839" i="7"/>
  <c r="M3839" i="7" s="1"/>
  <c r="L3840" i="7"/>
  <c r="M3840" i="7" s="1"/>
  <c r="L3841" i="7"/>
  <c r="M3841" i="7" s="1"/>
  <c r="L3842" i="7"/>
  <c r="M3842" i="7" s="1"/>
  <c r="L3843" i="7"/>
  <c r="M3843" i="7" s="1"/>
  <c r="L3844" i="7"/>
  <c r="M3844" i="7" s="1"/>
  <c r="L3845" i="7"/>
  <c r="M3845" i="7" s="1"/>
  <c r="L3846" i="7"/>
  <c r="M3846" i="7" s="1"/>
  <c r="L3847" i="7"/>
  <c r="M3847" i="7" s="1"/>
  <c r="L3848" i="7"/>
  <c r="M3848" i="7" s="1"/>
  <c r="L3849" i="7"/>
  <c r="M3849" i="7" s="1"/>
  <c r="L3850" i="7"/>
  <c r="M3850" i="7" s="1"/>
  <c r="L3851" i="7"/>
  <c r="M3851" i="7" s="1"/>
  <c r="L3852" i="7"/>
  <c r="M3852" i="7" s="1"/>
  <c r="L3853" i="7"/>
  <c r="M3853" i="7" s="1"/>
  <c r="L3854" i="7"/>
  <c r="M3854" i="7" s="1"/>
  <c r="L3855" i="7"/>
  <c r="M3855" i="7" s="1"/>
  <c r="L3856" i="7"/>
  <c r="M3856" i="7" s="1"/>
  <c r="L3857" i="7"/>
  <c r="M3857" i="7" s="1"/>
  <c r="L3858" i="7"/>
  <c r="M3858" i="7" s="1"/>
  <c r="L3859" i="7"/>
  <c r="M3859" i="7" s="1"/>
  <c r="L3860" i="7"/>
  <c r="M3860" i="7" s="1"/>
  <c r="L3861" i="7"/>
  <c r="M3861" i="7" s="1"/>
  <c r="L3862" i="7"/>
  <c r="M3862" i="7" s="1"/>
  <c r="L3863" i="7"/>
  <c r="M3863" i="7" s="1"/>
  <c r="L3864" i="7"/>
  <c r="M3864" i="7" s="1"/>
  <c r="L3865" i="7"/>
  <c r="M3865" i="7" s="1"/>
  <c r="L3866" i="7"/>
  <c r="M3866" i="7" s="1"/>
  <c r="L3867" i="7"/>
  <c r="M3867" i="7" s="1"/>
  <c r="L3868" i="7"/>
  <c r="M3868" i="7" s="1"/>
  <c r="L3869" i="7"/>
  <c r="M3869" i="7" s="1"/>
  <c r="L3870" i="7"/>
  <c r="L3871" i="7"/>
  <c r="M3871" i="7" s="1"/>
  <c r="L3872" i="7"/>
  <c r="M3872" i="7" s="1"/>
  <c r="L3873" i="7"/>
  <c r="M3873" i="7" s="1"/>
  <c r="L3874" i="7"/>
  <c r="M3874" i="7" s="1"/>
  <c r="L3875" i="7"/>
  <c r="M3875" i="7" s="1"/>
  <c r="L3876" i="7"/>
  <c r="M3876" i="7" s="1"/>
  <c r="L3877" i="7"/>
  <c r="M3877" i="7" s="1"/>
  <c r="L3878" i="7"/>
  <c r="M3878" i="7" s="1"/>
  <c r="L3879" i="7"/>
  <c r="L3880" i="7"/>
  <c r="M3880" i="7" s="1"/>
  <c r="L3881" i="7"/>
  <c r="M3881" i="7" s="1"/>
  <c r="L3882" i="7"/>
  <c r="M3882" i="7" s="1"/>
  <c r="L3883" i="7"/>
  <c r="M3883" i="7" s="1"/>
  <c r="L3884" i="7"/>
  <c r="M3884" i="7" s="1"/>
  <c r="L3885" i="7"/>
  <c r="M3885" i="7" s="1"/>
  <c r="L3886" i="7"/>
  <c r="L3887" i="7"/>
  <c r="M3887" i="7" s="1"/>
  <c r="L3888" i="7"/>
  <c r="M3888" i="7" s="1"/>
  <c r="L3889" i="7"/>
  <c r="M3889" i="7" s="1"/>
  <c r="L3890" i="7"/>
  <c r="M3890" i="7" s="1"/>
  <c r="L3891" i="7"/>
  <c r="M3891" i="7" s="1"/>
  <c r="L3892" i="7"/>
  <c r="M3892" i="7" s="1"/>
  <c r="L3893" i="7"/>
  <c r="M3893" i="7" s="1"/>
  <c r="L3894" i="7"/>
  <c r="M3894" i="7" s="1"/>
  <c r="L3895" i="7"/>
  <c r="M3895" i="7" s="1"/>
  <c r="L3896" i="7"/>
  <c r="M3896" i="7" s="1"/>
  <c r="L3897" i="7"/>
  <c r="M3897" i="7" s="1"/>
  <c r="L3898" i="7"/>
  <c r="M3898" i="7" s="1"/>
  <c r="L3899" i="7"/>
  <c r="M3899" i="7" s="1"/>
  <c r="L3900" i="7"/>
  <c r="M3900" i="7" s="1"/>
  <c r="L3901" i="7"/>
  <c r="M3901" i="7" s="1"/>
  <c r="L3902" i="7"/>
  <c r="M3902" i="7" s="1"/>
  <c r="L3903" i="7"/>
  <c r="M3903" i="7" s="1"/>
  <c r="L3904" i="7"/>
  <c r="M3904" i="7" s="1"/>
  <c r="L3905" i="7"/>
  <c r="M3905" i="7" s="1"/>
  <c r="L3906" i="7"/>
  <c r="M3906" i="7" s="1"/>
  <c r="L3907" i="7"/>
  <c r="M3907" i="7" s="1"/>
  <c r="L3908" i="7"/>
  <c r="M3908" i="7" s="1"/>
  <c r="L3909" i="7"/>
  <c r="M3909" i="7" s="1"/>
  <c r="L3910" i="7"/>
  <c r="M3910" i="7" s="1"/>
  <c r="L3911" i="7"/>
  <c r="M3911" i="7" s="1"/>
  <c r="L3912" i="7"/>
  <c r="M3912" i="7" s="1"/>
  <c r="L3913" i="7"/>
  <c r="M3913" i="7" s="1"/>
  <c r="L3914" i="7"/>
  <c r="M3914" i="7" s="1"/>
  <c r="L3915" i="7"/>
  <c r="M3915" i="7" s="1"/>
  <c r="L3916" i="7"/>
  <c r="M3916" i="7" s="1"/>
  <c r="L3917" i="7"/>
  <c r="M3917" i="7" s="1"/>
  <c r="L3918" i="7"/>
  <c r="M3918" i="7" s="1"/>
  <c r="L3919" i="7"/>
  <c r="M3919" i="7" s="1"/>
  <c r="L3920" i="7"/>
  <c r="M3920" i="7" s="1"/>
  <c r="L3921" i="7"/>
  <c r="M3921" i="7" s="1"/>
  <c r="L3922" i="7"/>
  <c r="M3922" i="7" s="1"/>
  <c r="L3923" i="7"/>
  <c r="M3923" i="7" s="1"/>
  <c r="L3924" i="7"/>
  <c r="M3924" i="7" s="1"/>
  <c r="L3925" i="7"/>
  <c r="M3925" i="7" s="1"/>
  <c r="L3926" i="7"/>
  <c r="M3926" i="7" s="1"/>
  <c r="L3927" i="7"/>
  <c r="L3928" i="7"/>
  <c r="M3928" i="7" s="1"/>
  <c r="L3929" i="7"/>
  <c r="M3929" i="7" s="1"/>
  <c r="L3930" i="7"/>
  <c r="M3930" i="7" s="1"/>
  <c r="L3931" i="7"/>
  <c r="M3931" i="7" s="1"/>
  <c r="L3932" i="7"/>
  <c r="M3932" i="7" s="1"/>
  <c r="L3933" i="7"/>
  <c r="M3933" i="7" s="1"/>
  <c r="L3934" i="7"/>
  <c r="L3935" i="7"/>
  <c r="M3935" i="7" s="1"/>
  <c r="L3936" i="7"/>
  <c r="M3936" i="7" s="1"/>
  <c r="L3937" i="7"/>
  <c r="M3937" i="7" s="1"/>
  <c r="L3938" i="7"/>
  <c r="M3938" i="7" s="1"/>
  <c r="L3939" i="7"/>
  <c r="M3939" i="7" s="1"/>
  <c r="L3940" i="7"/>
  <c r="M3940" i="7" s="1"/>
  <c r="L3941" i="7"/>
  <c r="M3941" i="7" s="1"/>
  <c r="L3942" i="7"/>
  <c r="M3942" i="7" s="1"/>
  <c r="L3943" i="7"/>
  <c r="M3943" i="7" s="1"/>
  <c r="L3944" i="7"/>
  <c r="M3944" i="7" s="1"/>
  <c r="L3945" i="7"/>
  <c r="M3945" i="7" s="1"/>
  <c r="L3946" i="7"/>
  <c r="M3946" i="7" s="1"/>
  <c r="L3947" i="7"/>
  <c r="M3947" i="7" s="1"/>
  <c r="L3948" i="7"/>
  <c r="M3948" i="7" s="1"/>
  <c r="L3949" i="7"/>
  <c r="M3949" i="7" s="1"/>
  <c r="L3950" i="7"/>
  <c r="L3951" i="7"/>
  <c r="M3951" i="7" s="1"/>
  <c r="L3952" i="7"/>
  <c r="M3952" i="7" s="1"/>
  <c r="L3953" i="7"/>
  <c r="M3953" i="7" s="1"/>
  <c r="L3954" i="7"/>
  <c r="M3954" i="7" s="1"/>
  <c r="L3955" i="7"/>
  <c r="M3955" i="7" s="1"/>
  <c r="L3956" i="7"/>
  <c r="M3956" i="7" s="1"/>
  <c r="L3957" i="7"/>
  <c r="M3957" i="7" s="1"/>
  <c r="L3958" i="7"/>
  <c r="M3958" i="7" s="1"/>
  <c r="L3959" i="7"/>
  <c r="L3960" i="7"/>
  <c r="M3960" i="7" s="1"/>
  <c r="L3961" i="7"/>
  <c r="M3961" i="7" s="1"/>
  <c r="L3962" i="7"/>
  <c r="M3962" i="7" s="1"/>
  <c r="L3963" i="7"/>
  <c r="M3963" i="7" s="1"/>
  <c r="L3964" i="7"/>
  <c r="M3964" i="7" s="1"/>
  <c r="L3965" i="7"/>
  <c r="M3965" i="7" s="1"/>
  <c r="L3966" i="7"/>
  <c r="M3966" i="7" s="1"/>
  <c r="L3967" i="7"/>
  <c r="M3967" i="7" s="1"/>
  <c r="L3968" i="7"/>
  <c r="M3968" i="7" s="1"/>
  <c r="L3969" i="7"/>
  <c r="M3969" i="7" s="1"/>
  <c r="L3970" i="7"/>
  <c r="M3970" i="7" s="1"/>
  <c r="L3971" i="7"/>
  <c r="M3971" i="7" s="1"/>
  <c r="L3972" i="7"/>
  <c r="M3972" i="7" s="1"/>
  <c r="L3973" i="7"/>
  <c r="M3973" i="7" s="1"/>
  <c r="L3974" i="7"/>
  <c r="M3974" i="7" s="1"/>
  <c r="L3975" i="7"/>
  <c r="M3975" i="7" s="1"/>
  <c r="L3976" i="7"/>
  <c r="M3976" i="7" s="1"/>
  <c r="L3977" i="7"/>
  <c r="M3977" i="7" s="1"/>
  <c r="L3978" i="7"/>
  <c r="M3978" i="7" s="1"/>
  <c r="L3979" i="7"/>
  <c r="M3979" i="7" s="1"/>
  <c r="L3980" i="7"/>
  <c r="M3980" i="7" s="1"/>
  <c r="L3981" i="7"/>
  <c r="M3981" i="7" s="1"/>
  <c r="L3982" i="7"/>
  <c r="M3982" i="7" s="1"/>
  <c r="L3983" i="7"/>
  <c r="M3983" i="7" s="1"/>
  <c r="L3984" i="7"/>
  <c r="M3984" i="7" s="1"/>
  <c r="L3985" i="7"/>
  <c r="M3985" i="7" s="1"/>
  <c r="L3986" i="7"/>
  <c r="M3986" i="7" s="1"/>
  <c r="L3987" i="7"/>
  <c r="M3987" i="7" s="1"/>
  <c r="L3988" i="7"/>
  <c r="M3988" i="7" s="1"/>
  <c r="L3989" i="7"/>
  <c r="M3989" i="7" s="1"/>
  <c r="L3990" i="7"/>
  <c r="M3990" i="7" s="1"/>
  <c r="L3991" i="7"/>
  <c r="M3991" i="7" s="1"/>
  <c r="L3992" i="7"/>
  <c r="M3992" i="7" s="1"/>
  <c r="L3993" i="7"/>
  <c r="M3993" i="7" s="1"/>
  <c r="L3994" i="7"/>
  <c r="M3994" i="7" s="1"/>
  <c r="L3995" i="7"/>
  <c r="M3995" i="7" s="1"/>
  <c r="L3996" i="7"/>
  <c r="M3996" i="7" s="1"/>
  <c r="L3997" i="7"/>
  <c r="M3997" i="7" s="1"/>
  <c r="L3998" i="7"/>
  <c r="L3999" i="7"/>
  <c r="M3999" i="7" s="1"/>
  <c r="L4000" i="7"/>
  <c r="M4000" i="7" s="1"/>
  <c r="L4001" i="7"/>
  <c r="M4001" i="7" s="1"/>
  <c r="L4002" i="7"/>
  <c r="M4002" i="7" s="1"/>
  <c r="L4003" i="7"/>
  <c r="M4003" i="7" s="1"/>
  <c r="L4004" i="7"/>
  <c r="M4004" i="7" s="1"/>
  <c r="L4005" i="7"/>
  <c r="M4005" i="7" s="1"/>
  <c r="L4006" i="7"/>
  <c r="M4006" i="7" s="1"/>
  <c r="L4007" i="7"/>
  <c r="M4007" i="7" s="1"/>
  <c r="L4008" i="7"/>
  <c r="M4008" i="7" s="1"/>
  <c r="L4009" i="7"/>
  <c r="M4009" i="7" s="1"/>
  <c r="L4010" i="7"/>
  <c r="M4010" i="7" s="1"/>
  <c r="L4011" i="7"/>
  <c r="M4011" i="7" s="1"/>
  <c r="L4012" i="7"/>
  <c r="M4012" i="7" s="1"/>
  <c r="L4013" i="7"/>
  <c r="M4013" i="7" s="1"/>
  <c r="L4014" i="7"/>
  <c r="L4015" i="7"/>
  <c r="M4015" i="7" s="1"/>
  <c r="L4016" i="7"/>
  <c r="M4016" i="7" s="1"/>
  <c r="L4017" i="7"/>
  <c r="M4017" i="7" s="1"/>
  <c r="L4018" i="7"/>
  <c r="M4018" i="7" s="1"/>
  <c r="L4019" i="7"/>
  <c r="M4019" i="7" s="1"/>
  <c r="L4020" i="7"/>
  <c r="M4020" i="7" s="1"/>
  <c r="L4021" i="7"/>
  <c r="M4021" i="7" s="1"/>
  <c r="L4022" i="7"/>
  <c r="M4022" i="7" s="1"/>
  <c r="L4023" i="7"/>
  <c r="M4023" i="7" s="1"/>
  <c r="L4024" i="7"/>
  <c r="M4024" i="7" s="1"/>
  <c r="L4025" i="7"/>
  <c r="M4025" i="7" s="1"/>
  <c r="L4026" i="7"/>
  <c r="M4026" i="7" s="1"/>
  <c r="L4027" i="7"/>
  <c r="M4027" i="7" s="1"/>
  <c r="L4028" i="7"/>
  <c r="M4028" i="7" s="1"/>
  <c r="L4029" i="7"/>
  <c r="M4029" i="7" s="1"/>
  <c r="L4030" i="7"/>
  <c r="M4030" i="7" s="1"/>
  <c r="L4031" i="7"/>
  <c r="M4031" i="7" s="1"/>
  <c r="L4032" i="7"/>
  <c r="M4032" i="7" s="1"/>
  <c r="L4033" i="7"/>
  <c r="M4033" i="7" s="1"/>
  <c r="L4034" i="7"/>
  <c r="M4034" i="7" s="1"/>
  <c r="L4035" i="7"/>
  <c r="M4035" i="7" s="1"/>
  <c r="L4036" i="7"/>
  <c r="M4036" i="7" s="1"/>
  <c r="L4037" i="7"/>
  <c r="M4037" i="7" s="1"/>
  <c r="L4038" i="7"/>
  <c r="M4038" i="7" s="1"/>
  <c r="L4039" i="7"/>
  <c r="L4040" i="7"/>
  <c r="M4040" i="7" s="1"/>
  <c r="L4041" i="7"/>
  <c r="M4041" i="7" s="1"/>
  <c r="L4042" i="7"/>
  <c r="M4042" i="7" s="1"/>
  <c r="L4043" i="7"/>
  <c r="M4043" i="7" s="1"/>
  <c r="L4044" i="7"/>
  <c r="M4044" i="7" s="1"/>
  <c r="L4045" i="7"/>
  <c r="M4045" i="7" s="1"/>
  <c r="L4046" i="7"/>
  <c r="M4046" i="7" s="1"/>
  <c r="L4047" i="7"/>
  <c r="M4047" i="7" s="1"/>
  <c r="L4048" i="7"/>
  <c r="M4048" i="7" s="1"/>
  <c r="L4049" i="7"/>
  <c r="M4049" i="7" s="1"/>
  <c r="L4050" i="7"/>
  <c r="M4050" i="7" s="1"/>
  <c r="L4051" i="7"/>
  <c r="M4051" i="7" s="1"/>
  <c r="L4052" i="7"/>
  <c r="M4052" i="7" s="1"/>
  <c r="L4053" i="7"/>
  <c r="M4053" i="7" s="1"/>
  <c r="L4054" i="7"/>
  <c r="M4054" i="7" s="1"/>
  <c r="L4055" i="7"/>
  <c r="L4056" i="7"/>
  <c r="M4056" i="7" s="1"/>
  <c r="L4057" i="7"/>
  <c r="M4057" i="7" s="1"/>
  <c r="L4058" i="7"/>
  <c r="M4058" i="7" s="1"/>
  <c r="L4059" i="7"/>
  <c r="M4059" i="7" s="1"/>
  <c r="L4060" i="7"/>
  <c r="M4060" i="7" s="1"/>
  <c r="L4061" i="7"/>
  <c r="M4061" i="7" s="1"/>
  <c r="L4062" i="7"/>
  <c r="L4063" i="7"/>
  <c r="M4063" i="7" s="1"/>
  <c r="L4064" i="7"/>
  <c r="M4064" i="7" s="1"/>
  <c r="L4065" i="7"/>
  <c r="M4065" i="7" s="1"/>
  <c r="L4066" i="7"/>
  <c r="M4066" i="7" s="1"/>
  <c r="L4067" i="7"/>
  <c r="M4067" i="7" s="1"/>
  <c r="L4068" i="7"/>
  <c r="M4068" i="7" s="1"/>
  <c r="L4069" i="7"/>
  <c r="M4069" i="7" s="1"/>
  <c r="L4070" i="7"/>
  <c r="M4070" i="7" s="1"/>
  <c r="L4071" i="7"/>
  <c r="M4071" i="7" s="1"/>
  <c r="L4072" i="7"/>
  <c r="M4072" i="7" s="1"/>
  <c r="L4073" i="7"/>
  <c r="M4073" i="7" s="1"/>
  <c r="L4074" i="7"/>
  <c r="M4074" i="7" s="1"/>
  <c r="L4075" i="7"/>
  <c r="M4075" i="7" s="1"/>
  <c r="L4076" i="7"/>
  <c r="M4076" i="7" s="1"/>
  <c r="L4077" i="7"/>
  <c r="M4077" i="7" s="1"/>
  <c r="L4078" i="7"/>
  <c r="L4079" i="7"/>
  <c r="L4080" i="7"/>
  <c r="M4080" i="7" s="1"/>
  <c r="L4081" i="7"/>
  <c r="M4081" i="7" s="1"/>
  <c r="L4082" i="7"/>
  <c r="M4082" i="7" s="1"/>
  <c r="L4083" i="7"/>
  <c r="M4083" i="7" s="1"/>
  <c r="L4084" i="7"/>
  <c r="M4084" i="7" s="1"/>
  <c r="L4085" i="7"/>
  <c r="M4085" i="7" s="1"/>
  <c r="L4086" i="7"/>
  <c r="M4086" i="7" s="1"/>
  <c r="L4087" i="7"/>
  <c r="L4088" i="7"/>
  <c r="M4088" i="7" s="1"/>
  <c r="L4089" i="7"/>
  <c r="M4089" i="7" s="1"/>
  <c r="L4090" i="7"/>
  <c r="M4090" i="7" s="1"/>
  <c r="L4091" i="7"/>
  <c r="M4091" i="7" s="1"/>
  <c r="L4092" i="7"/>
  <c r="M4092" i="7" s="1"/>
  <c r="L4093" i="7"/>
  <c r="M4093" i="7" s="1"/>
  <c r="L4094" i="7"/>
  <c r="M4094" i="7" s="1"/>
  <c r="L4095" i="7"/>
  <c r="M4095" i="7" s="1"/>
  <c r="L4096" i="7"/>
  <c r="M4096" i="7" s="1"/>
  <c r="L4097" i="7"/>
  <c r="M4097" i="7" s="1"/>
  <c r="L4098" i="7"/>
  <c r="M4098" i="7" s="1"/>
  <c r="L4099" i="7"/>
  <c r="M4099" i="7" s="1"/>
  <c r="L4100" i="7"/>
  <c r="M4100" i="7" s="1"/>
  <c r="L4101" i="7"/>
  <c r="M4101" i="7" s="1"/>
  <c r="L4102" i="7"/>
  <c r="M4102" i="7" s="1"/>
  <c r="L4103" i="7"/>
  <c r="M4103" i="7" s="1"/>
  <c r="L4104" i="7"/>
  <c r="M4104" i="7" s="1"/>
  <c r="L4105" i="7"/>
  <c r="M4105" i="7" s="1"/>
  <c r="L4106" i="7"/>
  <c r="M4106" i="7" s="1"/>
  <c r="L4107" i="7"/>
  <c r="M4107" i="7" s="1"/>
  <c r="L4108" i="7"/>
  <c r="M4108" i="7" s="1"/>
  <c r="L4109" i="7"/>
  <c r="M4109" i="7" s="1"/>
  <c r="L4110" i="7"/>
  <c r="M4110" i="7" s="1"/>
  <c r="L4111" i="7"/>
  <c r="M4111" i="7" s="1"/>
  <c r="L4112" i="7"/>
  <c r="M4112" i="7" s="1"/>
  <c r="L4113" i="7"/>
  <c r="M4113" i="7" s="1"/>
  <c r="L4114" i="7"/>
  <c r="M4114" i="7" s="1"/>
  <c r="L4115" i="7"/>
  <c r="M4115" i="7" s="1"/>
  <c r="L4116" i="7"/>
  <c r="M4116" i="7" s="1"/>
  <c r="L4117" i="7"/>
  <c r="M4117" i="7" s="1"/>
  <c r="L4118" i="7"/>
  <c r="M4118" i="7" s="1"/>
  <c r="L4119" i="7"/>
  <c r="M4119" i="7" s="1"/>
  <c r="L4120" i="7"/>
  <c r="M4120" i="7" s="1"/>
  <c r="L4121" i="7"/>
  <c r="M4121" i="7" s="1"/>
  <c r="L4122" i="7"/>
  <c r="M4122" i="7" s="1"/>
  <c r="L4123" i="7"/>
  <c r="M4123" i="7" s="1"/>
  <c r="L4124" i="7"/>
  <c r="M4124" i="7" s="1"/>
  <c r="L4125" i="7"/>
  <c r="M4125" i="7" s="1"/>
  <c r="L4126" i="7"/>
  <c r="L4127" i="7"/>
  <c r="M4127" i="7" s="1"/>
  <c r="L4128" i="7"/>
  <c r="M4128" i="7" s="1"/>
  <c r="L4129" i="7"/>
  <c r="M4129" i="7" s="1"/>
  <c r="L4130" i="7"/>
  <c r="M4130" i="7" s="1"/>
  <c r="L4131" i="7"/>
  <c r="M4131" i="7" s="1"/>
  <c r="L4132" i="7"/>
  <c r="M4132" i="7" s="1"/>
  <c r="L4133" i="7"/>
  <c r="M4133" i="7" s="1"/>
  <c r="L4134" i="7"/>
  <c r="M4134" i="7" s="1"/>
  <c r="L4135" i="7"/>
  <c r="M4135" i="7" s="1"/>
  <c r="L4136" i="7"/>
  <c r="M4136" i="7" s="1"/>
  <c r="L4137" i="7"/>
  <c r="M4137" i="7" s="1"/>
  <c r="L4138" i="7"/>
  <c r="M4138" i="7" s="1"/>
  <c r="L4139" i="7"/>
  <c r="M4139" i="7" s="1"/>
  <c r="L4140" i="7"/>
  <c r="M4140" i="7" s="1"/>
  <c r="L4141" i="7"/>
  <c r="M4141" i="7" s="1"/>
  <c r="L4142" i="7"/>
  <c r="L4143" i="7"/>
  <c r="M4143" i="7" s="1"/>
  <c r="L4144" i="7"/>
  <c r="M4144" i="7" s="1"/>
  <c r="L4145" i="7"/>
  <c r="M4145" i="7" s="1"/>
  <c r="L4146" i="7"/>
  <c r="M4146" i="7" s="1"/>
  <c r="L4147" i="7"/>
  <c r="M4147" i="7" s="1"/>
  <c r="L4148" i="7"/>
  <c r="M4148" i="7" s="1"/>
  <c r="L4149" i="7"/>
  <c r="M4149" i="7" s="1"/>
  <c r="L4150" i="7"/>
  <c r="M4150" i="7" s="1"/>
  <c r="L4151" i="7"/>
  <c r="M4151" i="7" s="1"/>
  <c r="L4152" i="7"/>
  <c r="M4152" i="7" s="1"/>
  <c r="L4153" i="7"/>
  <c r="M4153" i="7" s="1"/>
  <c r="L4154" i="7"/>
  <c r="M4154" i="7" s="1"/>
  <c r="L4155" i="7"/>
  <c r="M4155" i="7" s="1"/>
  <c r="L4156" i="7"/>
  <c r="M4156" i="7" s="1"/>
  <c r="L4157" i="7"/>
  <c r="M4157" i="7" s="1"/>
  <c r="L4158" i="7"/>
  <c r="M4158" i="7" s="1"/>
  <c r="L4159" i="7"/>
  <c r="M4159" i="7" s="1"/>
  <c r="L4160" i="7"/>
  <c r="M4160" i="7" s="1"/>
  <c r="L4161" i="7"/>
  <c r="M4161" i="7" s="1"/>
  <c r="L4162" i="7"/>
  <c r="M4162" i="7" s="1"/>
  <c r="L4163" i="7"/>
  <c r="M4163" i="7" s="1"/>
  <c r="L4164" i="7"/>
  <c r="M4164" i="7" s="1"/>
  <c r="L4165" i="7"/>
  <c r="M4165" i="7" s="1"/>
  <c r="L4166" i="7"/>
  <c r="M4166" i="7" s="1"/>
  <c r="L4167" i="7"/>
  <c r="L4168" i="7"/>
  <c r="M4168" i="7" s="1"/>
  <c r="L4169" i="7"/>
  <c r="M4169" i="7" s="1"/>
  <c r="L4170" i="7"/>
  <c r="M4170" i="7" s="1"/>
  <c r="L4171" i="7"/>
  <c r="M4171" i="7" s="1"/>
  <c r="L4172" i="7"/>
  <c r="M4172" i="7" s="1"/>
  <c r="L4173" i="7"/>
  <c r="M4173" i="7" s="1"/>
  <c r="L4174" i="7"/>
  <c r="M4174" i="7" s="1"/>
  <c r="L4175" i="7"/>
  <c r="M4175" i="7" s="1"/>
  <c r="L4176" i="7"/>
  <c r="M4176" i="7" s="1"/>
  <c r="L4177" i="7"/>
  <c r="M4177" i="7" s="1"/>
  <c r="L4178" i="7"/>
  <c r="M4178" i="7" s="1"/>
  <c r="L4179" i="7"/>
  <c r="M4179" i="7" s="1"/>
  <c r="L4180" i="7"/>
  <c r="M4180" i="7" s="1"/>
  <c r="L4181" i="7"/>
  <c r="M4181" i="7" s="1"/>
  <c r="L4182" i="7"/>
  <c r="M4182" i="7" s="1"/>
  <c r="L4183" i="7"/>
  <c r="M4183" i="7" s="1"/>
  <c r="L4184" i="7"/>
  <c r="M4184" i="7" s="1"/>
  <c r="L4185" i="7"/>
  <c r="M4185" i="7" s="1"/>
  <c r="L4186" i="7"/>
  <c r="M4186" i="7" s="1"/>
  <c r="L4187" i="7"/>
  <c r="M4187" i="7" s="1"/>
  <c r="L4188" i="7"/>
  <c r="M4188" i="7" s="1"/>
  <c r="L4189" i="7"/>
  <c r="M4189" i="7" s="1"/>
  <c r="L4190" i="7"/>
  <c r="L4191" i="7"/>
  <c r="M4191" i="7" s="1"/>
  <c r="L4192" i="7"/>
  <c r="M4192" i="7" s="1"/>
  <c r="L4193" i="7"/>
  <c r="M4193" i="7" s="1"/>
  <c r="L4194" i="7"/>
  <c r="M4194" i="7" s="1"/>
  <c r="L4195" i="7"/>
  <c r="M4195" i="7" s="1"/>
  <c r="L4196" i="7"/>
  <c r="M4196" i="7" s="1"/>
  <c r="L4197" i="7"/>
  <c r="M4197" i="7" s="1"/>
  <c r="L4198" i="7"/>
  <c r="M4198" i="7" s="1"/>
  <c r="L4199" i="7"/>
  <c r="M4199" i="7" s="1"/>
  <c r="L4200" i="7"/>
  <c r="M4200" i="7" s="1"/>
  <c r="L4201" i="7"/>
  <c r="M4201" i="7" s="1"/>
  <c r="L4202" i="7"/>
  <c r="M4202" i="7" s="1"/>
  <c r="L4203" i="7"/>
  <c r="M4203" i="7" s="1"/>
  <c r="L4204" i="7"/>
  <c r="M4204" i="7" s="1"/>
  <c r="L4205" i="7"/>
  <c r="M4205" i="7" s="1"/>
  <c r="L4206" i="7"/>
  <c r="L4207" i="7"/>
  <c r="L4208" i="7"/>
  <c r="M4208" i="7" s="1"/>
  <c r="L4209" i="7"/>
  <c r="M4209" i="7" s="1"/>
  <c r="L4210" i="7"/>
  <c r="M4210" i="7" s="1"/>
  <c r="L4211" i="7"/>
  <c r="M4211" i="7" s="1"/>
  <c r="L4212" i="7"/>
  <c r="M4212" i="7" s="1"/>
  <c r="L4213" i="7"/>
  <c r="M4213" i="7" s="1"/>
  <c r="L4214" i="7"/>
  <c r="M4214" i="7" s="1"/>
  <c r="L4215" i="7"/>
  <c r="M4215" i="7" s="1"/>
  <c r="L4216" i="7"/>
  <c r="M4216" i="7" s="1"/>
  <c r="L4217" i="7"/>
  <c r="M4217" i="7" s="1"/>
  <c r="L4218" i="7"/>
  <c r="M4218" i="7" s="1"/>
  <c r="L4219" i="7"/>
  <c r="M4219" i="7" s="1"/>
  <c r="L4220" i="7"/>
  <c r="M4220" i="7" s="1"/>
  <c r="L4221" i="7"/>
  <c r="M4221" i="7" s="1"/>
  <c r="L4222" i="7"/>
  <c r="M4222" i="7" s="1"/>
  <c r="L4223" i="7"/>
  <c r="M4223" i="7" s="1"/>
  <c r="L4224" i="7"/>
  <c r="M4224" i="7" s="1"/>
  <c r="L4225" i="7"/>
  <c r="M4225" i="7" s="1"/>
  <c r="L4226" i="7"/>
  <c r="M4226" i="7" s="1"/>
  <c r="L4227" i="7"/>
  <c r="M4227" i="7" s="1"/>
  <c r="L4228" i="7"/>
  <c r="M4228" i="7" s="1"/>
  <c r="L4229" i="7"/>
  <c r="M4229" i="7" s="1"/>
  <c r="L4230" i="7"/>
  <c r="M4230" i="7" s="1"/>
  <c r="L4231" i="7"/>
  <c r="M4231" i="7" s="1"/>
  <c r="L4232" i="7"/>
  <c r="M4232" i="7" s="1"/>
  <c r="L4233" i="7"/>
  <c r="M4233" i="7" s="1"/>
  <c r="L4234" i="7"/>
  <c r="M4234" i="7" s="1"/>
  <c r="L4235" i="7"/>
  <c r="M4235" i="7" s="1"/>
  <c r="L4236" i="7"/>
  <c r="M4236" i="7" s="1"/>
  <c r="L4237" i="7"/>
  <c r="M4237" i="7" s="1"/>
  <c r="L4238" i="7"/>
  <c r="M4238" i="7" s="1"/>
  <c r="L4239" i="7"/>
  <c r="M4239" i="7" s="1"/>
  <c r="L4240" i="7"/>
  <c r="M4240" i="7" s="1"/>
  <c r="L4241" i="7"/>
  <c r="M4241" i="7" s="1"/>
  <c r="L4242" i="7"/>
  <c r="M4242" i="7" s="1"/>
  <c r="L4243" i="7"/>
  <c r="M4243" i="7" s="1"/>
  <c r="L4244" i="7"/>
  <c r="M4244" i="7" s="1"/>
  <c r="L4245" i="7"/>
  <c r="M4245" i="7" s="1"/>
  <c r="L4246" i="7"/>
  <c r="M4246" i="7" s="1"/>
  <c r="L4247" i="7"/>
  <c r="M4247" i="7" s="1"/>
  <c r="L4248" i="7"/>
  <c r="M4248" i="7" s="1"/>
  <c r="L4249" i="7"/>
  <c r="M4249" i="7" s="1"/>
  <c r="L4250" i="7"/>
  <c r="M4250" i="7" s="1"/>
  <c r="L4251" i="7"/>
  <c r="M4251" i="7" s="1"/>
  <c r="L4252" i="7"/>
  <c r="M4252" i="7" s="1"/>
  <c r="L4253" i="7"/>
  <c r="M4253" i="7" s="1"/>
  <c r="L4254" i="7"/>
  <c r="L4255" i="7"/>
  <c r="M4255" i="7" s="1"/>
  <c r="L4256" i="7"/>
  <c r="M4256" i="7" s="1"/>
  <c r="L4257" i="7"/>
  <c r="M4257" i="7" s="1"/>
  <c r="L4258" i="7"/>
  <c r="M4258" i="7" s="1"/>
  <c r="L4259" i="7"/>
  <c r="M4259" i="7" s="1"/>
  <c r="L4260" i="7"/>
  <c r="M4260" i="7" s="1"/>
  <c r="L4261" i="7"/>
  <c r="M4261" i="7" s="1"/>
  <c r="L4262" i="7"/>
  <c r="M4262" i="7" s="1"/>
  <c r="L4263" i="7"/>
  <c r="L4264" i="7"/>
  <c r="M4264" i="7" s="1"/>
  <c r="L4265" i="7"/>
  <c r="M4265" i="7" s="1"/>
  <c r="L4266" i="7"/>
  <c r="M4266" i="7" s="1"/>
  <c r="L4267" i="7"/>
  <c r="M4267" i="7" s="1"/>
  <c r="L4268" i="7"/>
  <c r="M4268" i="7" s="1"/>
  <c r="L4269" i="7"/>
  <c r="M4269" i="7" s="1"/>
  <c r="L4270" i="7"/>
  <c r="L4271" i="7"/>
  <c r="M4271" i="7" s="1"/>
  <c r="L4272" i="7"/>
  <c r="M4272" i="7" s="1"/>
  <c r="L4273" i="7"/>
  <c r="M4273" i="7" s="1"/>
  <c r="L4274" i="7"/>
  <c r="M4274" i="7" s="1"/>
  <c r="L4275" i="7"/>
  <c r="M4275" i="7" s="1"/>
  <c r="L4276" i="7"/>
  <c r="M4276" i="7" s="1"/>
  <c r="L4277" i="7"/>
  <c r="M4277" i="7" s="1"/>
  <c r="L4278" i="7"/>
  <c r="M4278" i="7" s="1"/>
  <c r="L4279" i="7"/>
  <c r="M4279" i="7" s="1"/>
  <c r="L4280" i="7"/>
  <c r="M4280" i="7" s="1"/>
  <c r="L4281" i="7"/>
  <c r="M4281" i="7" s="1"/>
  <c r="L4282" i="7"/>
  <c r="M4282" i="7" s="1"/>
  <c r="L4283" i="7"/>
  <c r="M4283" i="7" s="1"/>
  <c r="L4284" i="7"/>
  <c r="M4284" i="7" s="1"/>
  <c r="L4285" i="7"/>
  <c r="M4285" i="7" s="1"/>
  <c r="L4286" i="7"/>
  <c r="M4286" i="7" s="1"/>
  <c r="L4287" i="7"/>
  <c r="M4287" i="7" s="1"/>
  <c r="L4288" i="7"/>
  <c r="M4288" i="7" s="1"/>
  <c r="L4289" i="7"/>
  <c r="M4289" i="7" s="1"/>
  <c r="L4290" i="7"/>
  <c r="M4290" i="7" s="1"/>
  <c r="L4291" i="7"/>
  <c r="M4291" i="7" s="1"/>
  <c r="L4292" i="7"/>
  <c r="M4292" i="7" s="1"/>
  <c r="L4293" i="7"/>
  <c r="M4293" i="7" s="1"/>
  <c r="L4294" i="7"/>
  <c r="M4294" i="7" s="1"/>
  <c r="L4295" i="7"/>
  <c r="M4295" i="7" s="1"/>
  <c r="L4296" i="7"/>
  <c r="M4296" i="7" s="1"/>
  <c r="L4297" i="7"/>
  <c r="M4297" i="7" s="1"/>
  <c r="L4298" i="7"/>
  <c r="M4298" i="7" s="1"/>
  <c r="L4299" i="7"/>
  <c r="M4299" i="7" s="1"/>
  <c r="L4300" i="7"/>
  <c r="M4300" i="7" s="1"/>
  <c r="L4301" i="7"/>
  <c r="M4301" i="7" s="1"/>
  <c r="L4302" i="7"/>
  <c r="M4302" i="7" s="1"/>
  <c r="L4303" i="7"/>
  <c r="M4303" i="7" s="1"/>
  <c r="L4304" i="7"/>
  <c r="M4304" i="7" s="1"/>
  <c r="L4305" i="7"/>
  <c r="M4305" i="7" s="1"/>
  <c r="L4306" i="7"/>
  <c r="M4306" i="7" s="1"/>
  <c r="L4307" i="7"/>
  <c r="M4307" i="7" s="1"/>
  <c r="L4308" i="7"/>
  <c r="M4308" i="7" s="1"/>
  <c r="L4309" i="7"/>
  <c r="M4309" i="7" s="1"/>
  <c r="L4310" i="7"/>
  <c r="M4310" i="7" s="1"/>
  <c r="L4311" i="7"/>
  <c r="M4311" i="7" s="1"/>
  <c r="L4312" i="7"/>
  <c r="M4312" i="7" s="1"/>
  <c r="L4313" i="7"/>
  <c r="M4313" i="7" s="1"/>
  <c r="L4314" i="7"/>
  <c r="M4314" i="7" s="1"/>
  <c r="L4315" i="7"/>
  <c r="M4315" i="7" s="1"/>
  <c r="L4316" i="7"/>
  <c r="M4316" i="7" s="1"/>
  <c r="L4317" i="7"/>
  <c r="M4317" i="7" s="1"/>
  <c r="L4318" i="7"/>
  <c r="L4319" i="7"/>
  <c r="M4319" i="7" s="1"/>
  <c r="L4320" i="7"/>
  <c r="M4320" i="7" s="1"/>
  <c r="L4321" i="7"/>
  <c r="M4321" i="7" s="1"/>
  <c r="L4322" i="7"/>
  <c r="M4322" i="7" s="1"/>
  <c r="L4323" i="7"/>
  <c r="M4323" i="7" s="1"/>
  <c r="L4324" i="7"/>
  <c r="M4324" i="7" s="1"/>
  <c r="L4325" i="7"/>
  <c r="M4325" i="7" s="1"/>
  <c r="L4326" i="7"/>
  <c r="M4326" i="7" s="1"/>
  <c r="L4327" i="7"/>
  <c r="M4327" i="7" s="1"/>
  <c r="L4328" i="7"/>
  <c r="M4328" i="7" s="1"/>
  <c r="L4329" i="7"/>
  <c r="M4329" i="7" s="1"/>
  <c r="L4330" i="7"/>
  <c r="M4330" i="7" s="1"/>
  <c r="L4331" i="7"/>
  <c r="M4331" i="7" s="1"/>
  <c r="L4332" i="7"/>
  <c r="M4332" i="7" s="1"/>
  <c r="L4333" i="7"/>
  <c r="M4333" i="7" s="1"/>
  <c r="L4334" i="7"/>
  <c r="L4335" i="7"/>
  <c r="M4335" i="7" s="1"/>
  <c r="L4336" i="7"/>
  <c r="M4336" i="7" s="1"/>
  <c r="L4337" i="7"/>
  <c r="M4337" i="7" s="1"/>
  <c r="L4338" i="7"/>
  <c r="M4338" i="7" s="1"/>
  <c r="L4339" i="7"/>
  <c r="M4339" i="7" s="1"/>
  <c r="L4340" i="7"/>
  <c r="M4340" i="7" s="1"/>
  <c r="L4341" i="7"/>
  <c r="M4341" i="7" s="1"/>
  <c r="L4342" i="7"/>
  <c r="M4342" i="7" s="1"/>
  <c r="L4343" i="7"/>
  <c r="M4343" i="7" s="1"/>
  <c r="L4344" i="7"/>
  <c r="M4344" i="7" s="1"/>
  <c r="L4345" i="7"/>
  <c r="M4345" i="7" s="1"/>
  <c r="L4346" i="7"/>
  <c r="M4346" i="7" s="1"/>
  <c r="L4347" i="7"/>
  <c r="M4347" i="7" s="1"/>
  <c r="L4348" i="7"/>
  <c r="M4348" i="7" s="1"/>
  <c r="L4349" i="7"/>
  <c r="M4349" i="7" s="1"/>
  <c r="L4350" i="7"/>
  <c r="M4350" i="7" s="1"/>
  <c r="L4351" i="7"/>
  <c r="M4351" i="7" s="1"/>
  <c r="L4352" i="7"/>
  <c r="M4352" i="7" s="1"/>
  <c r="L4353" i="7"/>
  <c r="M4353" i="7" s="1"/>
  <c r="L4354" i="7"/>
  <c r="M4354" i="7" s="1"/>
  <c r="L4355" i="7"/>
  <c r="M4355" i="7" s="1"/>
  <c r="L4356" i="7"/>
  <c r="M4356" i="7" s="1"/>
  <c r="L4357" i="7"/>
  <c r="M4357" i="7" s="1"/>
  <c r="L4358" i="7"/>
  <c r="M4358" i="7" s="1"/>
  <c r="L4359" i="7"/>
  <c r="M4359" i="7" s="1"/>
  <c r="L4360" i="7"/>
  <c r="M4360" i="7" s="1"/>
  <c r="L4361" i="7"/>
  <c r="M4361" i="7" s="1"/>
  <c r="L4362" i="7"/>
  <c r="M4362" i="7" s="1"/>
  <c r="L4363" i="7"/>
  <c r="M4363" i="7" s="1"/>
  <c r="L4364" i="7"/>
  <c r="M4364" i="7" s="1"/>
  <c r="L4365" i="7"/>
  <c r="M4365" i="7" s="1"/>
  <c r="L4366" i="7"/>
  <c r="M4366" i="7" s="1"/>
  <c r="L4367" i="7"/>
  <c r="M4367" i="7" s="1"/>
  <c r="L4368" i="7"/>
  <c r="M4368" i="7" s="1"/>
  <c r="L4369" i="7"/>
  <c r="M4369" i="7" s="1"/>
  <c r="L4370" i="7"/>
  <c r="M4370" i="7" s="1"/>
  <c r="L4371" i="7"/>
  <c r="M4371" i="7" s="1"/>
  <c r="L4372" i="7"/>
  <c r="M4372" i="7" s="1"/>
  <c r="L4373" i="7"/>
  <c r="M4373" i="7" s="1"/>
  <c r="L4374" i="7"/>
  <c r="M4374" i="7" s="1"/>
  <c r="L4375" i="7"/>
  <c r="M4375" i="7" s="1"/>
  <c r="L4376" i="7"/>
  <c r="M4376" i="7" s="1"/>
  <c r="L4377" i="7"/>
  <c r="M4377" i="7" s="1"/>
  <c r="L4378" i="7"/>
  <c r="M4378" i="7" s="1"/>
  <c r="L4379" i="7"/>
  <c r="M4379" i="7" s="1"/>
  <c r="L4380" i="7"/>
  <c r="M4380" i="7" s="1"/>
  <c r="L4381" i="7"/>
  <c r="M4381" i="7" s="1"/>
  <c r="L4382" i="7"/>
  <c r="L4383" i="7"/>
  <c r="M4383" i="7" s="1"/>
  <c r="L4384" i="7"/>
  <c r="M4384" i="7" s="1"/>
  <c r="L4385" i="7"/>
  <c r="M4385" i="7" s="1"/>
  <c r="L4386" i="7"/>
  <c r="M4386" i="7" s="1"/>
  <c r="L4387" i="7"/>
  <c r="M4387" i="7" s="1"/>
  <c r="L4388" i="7"/>
  <c r="M4388" i="7" s="1"/>
  <c r="L4389" i="7"/>
  <c r="M4389" i="7" s="1"/>
  <c r="L4390" i="7"/>
  <c r="M4390" i="7" s="1"/>
  <c r="L4391" i="7"/>
  <c r="L4392" i="7"/>
  <c r="M4392" i="7" s="1"/>
  <c r="L4393" i="7"/>
  <c r="M4393" i="7" s="1"/>
  <c r="L4394" i="7"/>
  <c r="M4394" i="7" s="1"/>
  <c r="L4395" i="7"/>
  <c r="M4395" i="7" s="1"/>
  <c r="L4396" i="7"/>
  <c r="M4396" i="7" s="1"/>
  <c r="L4397" i="7"/>
  <c r="M4397" i="7" s="1"/>
  <c r="L4398" i="7"/>
  <c r="L4399" i="7"/>
  <c r="M4399" i="7" s="1"/>
  <c r="L4400" i="7"/>
  <c r="M4400" i="7" s="1"/>
  <c r="L4401" i="7"/>
  <c r="M4401" i="7" s="1"/>
  <c r="L4402" i="7"/>
  <c r="M4402" i="7" s="1"/>
  <c r="L4403" i="7"/>
  <c r="M4403" i="7" s="1"/>
  <c r="L4404" i="7"/>
  <c r="M4404" i="7" s="1"/>
  <c r="L4405" i="7"/>
  <c r="M4405" i="7" s="1"/>
  <c r="L4406" i="7"/>
  <c r="M4406" i="7" s="1"/>
  <c r="L4407" i="7"/>
  <c r="M4407" i="7" s="1"/>
  <c r="L4408" i="7"/>
  <c r="M4408" i="7" s="1"/>
  <c r="L4409" i="7"/>
  <c r="M4409" i="7" s="1"/>
  <c r="L4410" i="7"/>
  <c r="M4410" i="7" s="1"/>
  <c r="L4411" i="7"/>
  <c r="M4411" i="7" s="1"/>
  <c r="L4412" i="7"/>
  <c r="M4412" i="7" s="1"/>
  <c r="L4413" i="7"/>
  <c r="M4413" i="7" s="1"/>
  <c r="L4414" i="7"/>
  <c r="M4414" i="7" s="1"/>
  <c r="L4415" i="7"/>
  <c r="M4415" i="7" s="1"/>
  <c r="L4416" i="7"/>
  <c r="M4416" i="7" s="1"/>
  <c r="L4417" i="7"/>
  <c r="M4417" i="7" s="1"/>
  <c r="L4418" i="7"/>
  <c r="M4418" i="7" s="1"/>
  <c r="L4419" i="7"/>
  <c r="M4419" i="7" s="1"/>
  <c r="L4420" i="7"/>
  <c r="M4420" i="7" s="1"/>
  <c r="L4421" i="7"/>
  <c r="M4421" i="7" s="1"/>
  <c r="L4422" i="7"/>
  <c r="M4422" i="7" s="1"/>
  <c r="L4423" i="7"/>
  <c r="M4423" i="7" s="1"/>
  <c r="L4424" i="7"/>
  <c r="M4424" i="7" s="1"/>
  <c r="L4425" i="7"/>
  <c r="M4425" i="7" s="1"/>
  <c r="L4426" i="7"/>
  <c r="M4426" i="7" s="1"/>
  <c r="L4427" i="7"/>
  <c r="M4427" i="7" s="1"/>
  <c r="L4428" i="7"/>
  <c r="M4428" i="7" s="1"/>
  <c r="L4429" i="7"/>
  <c r="M4429" i="7" s="1"/>
  <c r="L4430" i="7"/>
  <c r="M4430" i="7" s="1"/>
  <c r="L4431" i="7"/>
  <c r="M4431" i="7" s="1"/>
  <c r="L4432" i="7"/>
  <c r="M4432" i="7" s="1"/>
  <c r="L4433" i="7"/>
  <c r="M4433" i="7" s="1"/>
  <c r="L4434" i="7"/>
  <c r="M4434" i="7" s="1"/>
  <c r="L4435" i="7"/>
  <c r="M4435" i="7" s="1"/>
  <c r="L4436" i="7"/>
  <c r="M4436" i="7" s="1"/>
  <c r="L4437" i="7"/>
  <c r="M4437" i="7" s="1"/>
  <c r="L4438" i="7"/>
  <c r="M4438" i="7" s="1"/>
  <c r="L4439" i="7"/>
  <c r="L4440" i="7"/>
  <c r="M4440" i="7" s="1"/>
  <c r="L4441" i="7"/>
  <c r="M4441" i="7" s="1"/>
  <c r="L4442" i="7"/>
  <c r="M4442" i="7" s="1"/>
  <c r="L4443" i="7"/>
  <c r="M4443" i="7" s="1"/>
  <c r="L4444" i="7"/>
  <c r="M4444" i="7" s="1"/>
  <c r="L4445" i="7"/>
  <c r="M4445" i="7" s="1"/>
  <c r="L4446" i="7"/>
  <c r="L4447" i="7"/>
  <c r="M4447" i="7" s="1"/>
  <c r="L4448" i="7"/>
  <c r="M4448" i="7" s="1"/>
  <c r="L4449" i="7"/>
  <c r="M4449" i="7" s="1"/>
  <c r="L4450" i="7"/>
  <c r="M4450" i="7" s="1"/>
  <c r="L4451" i="7"/>
  <c r="M4451" i="7" s="1"/>
  <c r="L4452" i="7"/>
  <c r="M4452" i="7" s="1"/>
  <c r="L4453" i="7"/>
  <c r="M4453" i="7" s="1"/>
  <c r="L4454" i="7"/>
  <c r="M4454" i="7" s="1"/>
  <c r="L4455" i="7"/>
  <c r="M4455" i="7" s="1"/>
  <c r="L4456" i="7"/>
  <c r="M4456" i="7" s="1"/>
  <c r="L4457" i="7"/>
  <c r="M4457" i="7" s="1"/>
  <c r="L4458" i="7"/>
  <c r="M4458" i="7" s="1"/>
  <c r="L4459" i="7"/>
  <c r="M4459" i="7" s="1"/>
  <c r="L4460" i="7"/>
  <c r="M4460" i="7" s="1"/>
  <c r="L4461" i="7"/>
  <c r="M4461" i="7" s="1"/>
  <c r="L4462" i="7"/>
  <c r="L4463" i="7"/>
  <c r="M4463" i="7" s="1"/>
  <c r="L4464" i="7"/>
  <c r="M4464" i="7" s="1"/>
  <c r="L4465" i="7"/>
  <c r="M4465" i="7" s="1"/>
  <c r="L4466" i="7"/>
  <c r="M4466" i="7" s="1"/>
  <c r="L4467" i="7"/>
  <c r="M4467" i="7" s="1"/>
  <c r="L4468" i="7"/>
  <c r="M4468" i="7" s="1"/>
  <c r="L4469" i="7"/>
  <c r="M4469" i="7" s="1"/>
  <c r="L4470" i="7"/>
  <c r="M4470" i="7" s="1"/>
  <c r="L4471" i="7"/>
  <c r="L4472" i="7"/>
  <c r="M4472" i="7" s="1"/>
  <c r="L4473" i="7"/>
  <c r="M4473" i="7" s="1"/>
  <c r="L4474" i="7"/>
  <c r="M4474" i="7" s="1"/>
  <c r="L4475" i="7"/>
  <c r="M4475" i="7" s="1"/>
  <c r="L4476" i="7"/>
  <c r="M4476" i="7" s="1"/>
  <c r="L4477" i="7"/>
  <c r="M4477" i="7" s="1"/>
  <c r="L4478" i="7"/>
  <c r="M4478" i="7" s="1"/>
  <c r="L4479" i="7"/>
  <c r="M4479" i="7" s="1"/>
  <c r="L4480" i="7"/>
  <c r="M4480" i="7" s="1"/>
  <c r="L4481" i="7"/>
  <c r="M4481" i="7" s="1"/>
  <c r="L4482" i="7"/>
  <c r="M4482" i="7" s="1"/>
  <c r="L4483" i="7"/>
  <c r="M4483" i="7" s="1"/>
  <c r="L4484" i="7"/>
  <c r="M4484" i="7" s="1"/>
  <c r="L4485" i="7"/>
  <c r="M4485" i="7" s="1"/>
  <c r="L4486" i="7"/>
  <c r="M4486" i="7" s="1"/>
  <c r="L4487" i="7"/>
  <c r="M4487" i="7" s="1"/>
  <c r="L4488" i="7"/>
  <c r="M4488" i="7" s="1"/>
  <c r="L4489" i="7"/>
  <c r="M4489" i="7" s="1"/>
  <c r="L4490" i="7"/>
  <c r="M4490" i="7" s="1"/>
  <c r="L4491" i="7"/>
  <c r="M4491" i="7" s="1"/>
  <c r="L4492" i="7"/>
  <c r="M4492" i="7" s="1"/>
  <c r="L4493" i="7"/>
  <c r="M4493" i="7" s="1"/>
  <c r="L4494" i="7"/>
  <c r="M4494" i="7" s="1"/>
  <c r="L4495" i="7"/>
  <c r="M4495" i="7" s="1"/>
  <c r="L4496" i="7"/>
  <c r="M4496" i="7" s="1"/>
  <c r="L4497" i="7"/>
  <c r="M4497" i="7" s="1"/>
  <c r="L4498" i="7"/>
  <c r="M4498" i="7" s="1"/>
  <c r="L4499" i="7"/>
  <c r="M4499" i="7" s="1"/>
  <c r="L4500" i="7"/>
  <c r="M4500" i="7" s="1"/>
  <c r="L4501" i="7"/>
  <c r="M4501" i="7" s="1"/>
  <c r="L4502" i="7"/>
  <c r="M4502" i="7" s="1"/>
  <c r="L4503" i="7"/>
  <c r="M4503" i="7" s="1"/>
  <c r="L4504" i="7"/>
  <c r="M4504" i="7" s="1"/>
  <c r="L4505" i="7"/>
  <c r="M4505" i="7" s="1"/>
  <c r="L4506" i="7"/>
  <c r="M4506" i="7" s="1"/>
  <c r="L4507" i="7"/>
  <c r="M4507" i="7" s="1"/>
  <c r="L4508" i="7"/>
  <c r="M4508" i="7" s="1"/>
  <c r="L4509" i="7"/>
  <c r="M4509" i="7" s="1"/>
  <c r="L4510" i="7"/>
  <c r="L4511" i="7"/>
  <c r="M4511" i="7" s="1"/>
  <c r="L4512" i="7"/>
  <c r="M4512" i="7" s="1"/>
  <c r="L4513" i="7"/>
  <c r="M4513" i="7" s="1"/>
  <c r="L4514" i="7"/>
  <c r="M4514" i="7" s="1"/>
  <c r="L4515" i="7"/>
  <c r="M4515" i="7" s="1"/>
  <c r="L4516" i="7"/>
  <c r="M4516" i="7" s="1"/>
  <c r="L4517" i="7"/>
  <c r="M4517" i="7" s="1"/>
  <c r="L4518" i="7"/>
  <c r="M4518" i="7" s="1"/>
  <c r="L4519" i="7"/>
  <c r="M4519" i="7" s="1"/>
  <c r="L4520" i="7"/>
  <c r="M4520" i="7" s="1"/>
  <c r="L4521" i="7"/>
  <c r="M4521" i="7" s="1"/>
  <c r="L4522" i="7"/>
  <c r="M4522" i="7" s="1"/>
  <c r="L4523" i="7"/>
  <c r="M4523" i="7" s="1"/>
  <c r="L4524" i="7"/>
  <c r="M4524" i="7" s="1"/>
  <c r="L4525" i="7"/>
  <c r="M4525" i="7" s="1"/>
  <c r="L4526" i="7"/>
  <c r="L4527" i="7"/>
  <c r="M4527" i="7" s="1"/>
  <c r="L4528" i="7"/>
  <c r="M4528" i="7" s="1"/>
  <c r="L4529" i="7"/>
  <c r="M4529" i="7" s="1"/>
  <c r="L4530" i="7"/>
  <c r="M4530" i="7" s="1"/>
  <c r="L4531" i="7"/>
  <c r="M4531" i="7" s="1"/>
  <c r="L4532" i="7"/>
  <c r="M4532" i="7" s="1"/>
  <c r="L4533" i="7"/>
  <c r="M4533" i="7" s="1"/>
  <c r="L4534" i="7"/>
  <c r="M4534" i="7" s="1"/>
  <c r="L4535" i="7"/>
  <c r="M4535" i="7" s="1"/>
  <c r="L4536" i="7"/>
  <c r="M4536" i="7" s="1"/>
  <c r="L4537" i="7"/>
  <c r="M4537" i="7" s="1"/>
  <c r="L4538" i="7"/>
  <c r="M4538" i="7" s="1"/>
  <c r="L4539" i="7"/>
  <c r="M4539" i="7" s="1"/>
  <c r="L4540" i="7"/>
  <c r="M4540" i="7" s="1"/>
  <c r="L4541" i="7"/>
  <c r="M4541" i="7" s="1"/>
  <c r="L4542" i="7"/>
  <c r="M4542" i="7" s="1"/>
  <c r="L4543" i="7"/>
  <c r="M4543" i="7" s="1"/>
  <c r="L4544" i="7"/>
  <c r="M4544" i="7" s="1"/>
  <c r="L4545" i="7"/>
  <c r="M4545" i="7" s="1"/>
  <c r="L4546" i="7"/>
  <c r="M4546" i="7" s="1"/>
  <c r="L4547" i="7"/>
  <c r="M4547" i="7" s="1"/>
  <c r="L4548" i="7"/>
  <c r="M4548" i="7" s="1"/>
  <c r="L4549" i="7"/>
  <c r="M4549" i="7" s="1"/>
  <c r="L4550" i="7"/>
  <c r="M4550" i="7" s="1"/>
  <c r="L4551" i="7"/>
  <c r="L4552" i="7"/>
  <c r="M4552" i="7" s="1"/>
  <c r="L4553" i="7"/>
  <c r="M4553" i="7" s="1"/>
  <c r="L4554" i="7"/>
  <c r="M4554" i="7" s="1"/>
  <c r="L4555" i="7"/>
  <c r="M4555" i="7" s="1"/>
  <c r="L4556" i="7"/>
  <c r="M4556" i="7" s="1"/>
  <c r="L4557" i="7"/>
  <c r="M4557" i="7" s="1"/>
  <c r="L4558" i="7"/>
  <c r="M4558" i="7" s="1"/>
  <c r="L4559" i="7"/>
  <c r="M4559" i="7" s="1"/>
  <c r="L4560" i="7"/>
  <c r="M4560" i="7" s="1"/>
  <c r="L4561" i="7"/>
  <c r="M4561" i="7" s="1"/>
  <c r="L4562" i="7"/>
  <c r="M4562" i="7" s="1"/>
  <c r="L4563" i="7"/>
  <c r="M4563" i="7" s="1"/>
  <c r="L4564" i="7"/>
  <c r="M4564" i="7" s="1"/>
  <c r="L4565" i="7"/>
  <c r="M4565" i="7" s="1"/>
  <c r="L4566" i="7"/>
  <c r="M4566" i="7" s="1"/>
  <c r="L4567" i="7"/>
  <c r="L4568" i="7"/>
  <c r="M4568" i="7" s="1"/>
  <c r="L4569" i="7"/>
  <c r="M4569" i="7" s="1"/>
  <c r="L4570" i="7"/>
  <c r="M4570" i="7" s="1"/>
  <c r="L4571" i="7"/>
  <c r="M4571" i="7" s="1"/>
  <c r="L4572" i="7"/>
  <c r="M4572" i="7" s="1"/>
  <c r="L4573" i="7"/>
  <c r="M4573" i="7" s="1"/>
  <c r="L4574" i="7"/>
  <c r="L4575" i="7"/>
  <c r="M4575" i="7" s="1"/>
  <c r="L4576" i="7"/>
  <c r="M4576" i="7" s="1"/>
  <c r="L4577" i="7"/>
  <c r="M4577" i="7" s="1"/>
  <c r="L4578" i="7"/>
  <c r="M4578" i="7" s="1"/>
  <c r="L4579" i="7"/>
  <c r="M4579" i="7" s="1"/>
  <c r="L4580" i="7"/>
  <c r="M4580" i="7" s="1"/>
  <c r="L4581" i="7"/>
  <c r="M4581" i="7" s="1"/>
  <c r="L4582" i="7"/>
  <c r="M4582" i="7" s="1"/>
  <c r="L4583" i="7"/>
  <c r="M4583" i="7" s="1"/>
  <c r="L4584" i="7"/>
  <c r="M4584" i="7" s="1"/>
  <c r="L4585" i="7"/>
  <c r="M4585" i="7" s="1"/>
  <c r="L4586" i="7"/>
  <c r="M4586" i="7" s="1"/>
  <c r="L4587" i="7"/>
  <c r="M4587" i="7" s="1"/>
  <c r="L4588" i="7"/>
  <c r="M4588" i="7" s="1"/>
  <c r="L4589" i="7"/>
  <c r="M4589" i="7" s="1"/>
  <c r="L4590" i="7"/>
  <c r="L4591" i="7"/>
  <c r="L4592" i="7"/>
  <c r="M4592" i="7" s="1"/>
  <c r="L4593" i="7"/>
  <c r="M4593" i="7" s="1"/>
  <c r="L4594" i="7"/>
  <c r="M4594" i="7" s="1"/>
  <c r="L4595" i="7"/>
  <c r="M4595" i="7" s="1"/>
  <c r="L4596" i="7"/>
  <c r="M4596" i="7" s="1"/>
  <c r="L4597" i="7"/>
  <c r="M4597" i="7" s="1"/>
  <c r="L4598" i="7"/>
  <c r="M4598" i="7" s="1"/>
  <c r="L4599" i="7"/>
  <c r="L4600" i="7"/>
  <c r="M4600" i="7" s="1"/>
  <c r="L4601" i="7"/>
  <c r="M4601" i="7" s="1"/>
  <c r="L4602" i="7"/>
  <c r="M4602" i="7" s="1"/>
  <c r="L4603" i="7"/>
  <c r="M4603" i="7" s="1"/>
  <c r="L4604" i="7"/>
  <c r="M4604" i="7" s="1"/>
  <c r="L4605" i="7"/>
  <c r="M4605" i="7" s="1"/>
  <c r="L4606" i="7"/>
  <c r="M4606" i="7" s="1"/>
  <c r="L4607" i="7"/>
  <c r="M4607" i="7" s="1"/>
  <c r="L4608" i="7"/>
  <c r="M4608" i="7" s="1"/>
  <c r="L4609" i="7"/>
  <c r="M4609" i="7" s="1"/>
  <c r="L4610" i="7"/>
  <c r="M4610" i="7" s="1"/>
  <c r="L4611" i="7"/>
  <c r="M4611" i="7" s="1"/>
  <c r="L4612" i="7"/>
  <c r="M4612" i="7" s="1"/>
  <c r="L4613" i="7"/>
  <c r="M4613" i="7" s="1"/>
  <c r="L4614" i="7"/>
  <c r="M4614" i="7" s="1"/>
  <c r="L4615" i="7"/>
  <c r="M4615" i="7" s="1"/>
  <c r="L4616" i="7"/>
  <c r="M4616" i="7" s="1"/>
  <c r="L4617" i="7"/>
  <c r="M4617" i="7" s="1"/>
  <c r="L4618" i="7"/>
  <c r="M4618" i="7" s="1"/>
  <c r="L4619" i="7"/>
  <c r="M4619" i="7" s="1"/>
  <c r="L4620" i="7"/>
  <c r="M4620" i="7" s="1"/>
  <c r="L4621" i="7"/>
  <c r="M4621" i="7" s="1"/>
  <c r="L4622" i="7"/>
  <c r="M4622" i="7" s="1"/>
  <c r="L4623" i="7"/>
  <c r="M4623" i="7" s="1"/>
  <c r="L4624" i="7"/>
  <c r="M4624" i="7" s="1"/>
  <c r="L4625" i="7"/>
  <c r="M4625" i="7" s="1"/>
  <c r="L4626" i="7"/>
  <c r="M4626" i="7" s="1"/>
  <c r="L4627" i="7"/>
  <c r="M4627" i="7" s="1"/>
  <c r="L4628" i="7"/>
  <c r="M4628" i="7" s="1"/>
  <c r="L4629" i="7"/>
  <c r="M4629" i="7" s="1"/>
  <c r="L4630" i="7"/>
  <c r="M4630" i="7" s="1"/>
  <c r="L4631" i="7"/>
  <c r="M4631" i="7" s="1"/>
  <c r="L4632" i="7"/>
  <c r="M4632" i="7" s="1"/>
  <c r="L4633" i="7"/>
  <c r="M4633" i="7" s="1"/>
  <c r="L4634" i="7"/>
  <c r="M4634" i="7" s="1"/>
  <c r="L4635" i="7"/>
  <c r="M4635" i="7" s="1"/>
  <c r="L4636" i="7"/>
  <c r="M4636" i="7" s="1"/>
  <c r="L4637" i="7"/>
  <c r="M4637" i="7" s="1"/>
  <c r="L4638" i="7"/>
  <c r="L4639" i="7"/>
  <c r="M4639" i="7" s="1"/>
  <c r="L4640" i="7"/>
  <c r="M4640" i="7" s="1"/>
  <c r="L4641" i="7"/>
  <c r="M4641" i="7" s="1"/>
  <c r="L4642" i="7"/>
  <c r="M4642" i="7" s="1"/>
  <c r="L4643" i="7"/>
  <c r="M4643" i="7" s="1"/>
  <c r="L4644" i="7"/>
  <c r="M4644" i="7" s="1"/>
  <c r="L4645" i="7"/>
  <c r="M4645" i="7" s="1"/>
  <c r="L4646" i="7"/>
  <c r="M4646" i="7" s="1"/>
  <c r="L4647" i="7"/>
  <c r="M4647" i="7" s="1"/>
  <c r="L4648" i="7"/>
  <c r="M4648" i="7" s="1"/>
  <c r="L4649" i="7"/>
  <c r="M4649" i="7" s="1"/>
  <c r="L4650" i="7"/>
  <c r="M4650" i="7" s="1"/>
  <c r="L4651" i="7"/>
  <c r="M4651" i="7" s="1"/>
  <c r="L4652" i="7"/>
  <c r="M4652" i="7" s="1"/>
  <c r="L4653" i="7"/>
  <c r="M4653" i="7" s="1"/>
  <c r="L4654" i="7"/>
  <c r="L4655" i="7"/>
  <c r="M4655" i="7" s="1"/>
  <c r="L4656" i="7"/>
  <c r="M4656" i="7" s="1"/>
  <c r="L4657" i="7"/>
  <c r="M4657" i="7" s="1"/>
  <c r="L4658" i="7"/>
  <c r="M4658" i="7" s="1"/>
  <c r="L4659" i="7"/>
  <c r="M4659" i="7" s="1"/>
  <c r="L4660" i="7"/>
  <c r="M4660" i="7" s="1"/>
  <c r="L4661" i="7"/>
  <c r="M4661" i="7" s="1"/>
  <c r="L4662" i="7"/>
  <c r="M4662" i="7" s="1"/>
  <c r="L4663" i="7"/>
  <c r="M4663" i="7" s="1"/>
  <c r="L4664" i="7"/>
  <c r="M4664" i="7" s="1"/>
  <c r="L4665" i="7"/>
  <c r="M4665" i="7" s="1"/>
  <c r="L4666" i="7"/>
  <c r="M4666" i="7" s="1"/>
  <c r="L4667" i="7"/>
  <c r="M4667" i="7" s="1"/>
  <c r="L4668" i="7"/>
  <c r="M4668" i="7" s="1"/>
  <c r="L4669" i="7"/>
  <c r="M4669" i="7" s="1"/>
  <c r="L4670" i="7"/>
  <c r="M4670" i="7" s="1"/>
  <c r="L4671" i="7"/>
  <c r="M4671" i="7" s="1"/>
  <c r="L4672" i="7"/>
  <c r="M4672" i="7" s="1"/>
  <c r="L4673" i="7"/>
  <c r="M4673" i="7" s="1"/>
  <c r="L4674" i="7"/>
  <c r="M4674" i="7" s="1"/>
  <c r="L4675" i="7"/>
  <c r="M4675" i="7" s="1"/>
  <c r="L4676" i="7"/>
  <c r="M4676" i="7" s="1"/>
  <c r="L4677" i="7"/>
  <c r="M4677" i="7" s="1"/>
  <c r="L4678" i="7"/>
  <c r="M4678" i="7" s="1"/>
  <c r="L4679" i="7"/>
  <c r="L4680" i="7"/>
  <c r="M4680" i="7" s="1"/>
  <c r="L4681" i="7"/>
  <c r="M4681" i="7" s="1"/>
  <c r="L4682" i="7"/>
  <c r="M4682" i="7" s="1"/>
  <c r="L4683" i="7"/>
  <c r="M4683" i="7" s="1"/>
  <c r="L4684" i="7"/>
  <c r="M4684" i="7" s="1"/>
  <c r="L4685" i="7"/>
  <c r="M4685" i="7" s="1"/>
  <c r="L4686" i="7"/>
  <c r="M4686" i="7" s="1"/>
  <c r="L4687" i="7"/>
  <c r="M4687" i="7" s="1"/>
  <c r="L4688" i="7"/>
  <c r="M4688" i="7" s="1"/>
  <c r="L4689" i="7"/>
  <c r="M4689" i="7" s="1"/>
  <c r="L4690" i="7"/>
  <c r="M4690" i="7" s="1"/>
  <c r="L4691" i="7"/>
  <c r="M4691" i="7" s="1"/>
  <c r="L4692" i="7"/>
  <c r="M4692" i="7" s="1"/>
  <c r="L4693" i="7"/>
  <c r="M4693" i="7" s="1"/>
  <c r="L4694" i="7"/>
  <c r="M4694" i="7" s="1"/>
  <c r="L4695" i="7"/>
  <c r="M4695" i="7" s="1"/>
  <c r="L4696" i="7"/>
  <c r="M4696" i="7" s="1"/>
  <c r="L4697" i="7"/>
  <c r="M4697" i="7" s="1"/>
  <c r="L4698" i="7"/>
  <c r="M4698" i="7" s="1"/>
  <c r="L4699" i="7"/>
  <c r="M4699" i="7" s="1"/>
  <c r="L4700" i="7"/>
  <c r="M4700" i="7" s="1"/>
  <c r="L4701" i="7"/>
  <c r="M4701" i="7" s="1"/>
  <c r="L4702" i="7"/>
  <c r="M4702" i="7" s="1"/>
  <c r="L4703" i="7"/>
  <c r="M4703" i="7" s="1"/>
  <c r="L4704" i="7"/>
  <c r="M4704" i="7" s="1"/>
  <c r="L4705" i="7"/>
  <c r="M4705" i="7" s="1"/>
  <c r="L4706" i="7"/>
  <c r="L4707" i="7"/>
  <c r="M4707" i="7" s="1"/>
  <c r="L4708" i="7"/>
  <c r="M4708" i="7" s="1"/>
  <c r="L4709" i="7"/>
  <c r="M4709" i="7" s="1"/>
  <c r="L4710" i="7"/>
  <c r="M4710" i="7" s="1"/>
  <c r="L4711" i="7"/>
  <c r="M4711" i="7" s="1"/>
  <c r="L4712" i="7"/>
  <c r="M4712" i="7" s="1"/>
  <c r="L4713" i="7"/>
  <c r="M4713" i="7" s="1"/>
  <c r="L4714" i="7"/>
  <c r="M4714" i="7" s="1"/>
  <c r="L4715" i="7"/>
  <c r="M4715" i="7" s="1"/>
  <c r="L4716" i="7"/>
  <c r="M4716" i="7" s="1"/>
  <c r="L4717" i="7"/>
  <c r="M4717" i="7" s="1"/>
  <c r="L4718" i="7"/>
  <c r="M4718" i="7" s="1"/>
  <c r="L4719" i="7"/>
  <c r="L4720" i="7"/>
  <c r="M4720" i="7" s="1"/>
  <c r="L4721" i="7"/>
  <c r="M4721" i="7" s="1"/>
  <c r="L4722" i="7"/>
  <c r="M4722" i="7" s="1"/>
  <c r="L4723" i="7"/>
  <c r="M4723" i="7" s="1"/>
  <c r="L4724" i="7"/>
  <c r="M4724" i="7" s="1"/>
  <c r="L4725" i="7"/>
  <c r="M4725" i="7" s="1"/>
  <c r="L4726" i="7"/>
  <c r="M4726" i="7" s="1"/>
  <c r="L4727" i="7"/>
  <c r="L4728" i="7"/>
  <c r="M4728" i="7" s="1"/>
  <c r="L4729" i="7"/>
  <c r="M4729" i="7" s="1"/>
  <c r="L4730" i="7"/>
  <c r="M4730" i="7" s="1"/>
  <c r="L4731" i="7"/>
  <c r="M4731" i="7" s="1"/>
  <c r="L4732" i="7"/>
  <c r="M4732" i="7" s="1"/>
  <c r="L4733" i="7"/>
  <c r="M4733" i="7" s="1"/>
  <c r="L4734" i="7"/>
  <c r="M4734" i="7" s="1"/>
  <c r="L4735" i="7"/>
  <c r="M4735" i="7" s="1"/>
  <c r="L4736" i="7"/>
  <c r="M4736" i="7" s="1"/>
  <c r="L4737" i="7"/>
  <c r="M4737" i="7" s="1"/>
  <c r="L4738" i="7"/>
  <c r="M4738" i="7" s="1"/>
  <c r="L4739" i="7"/>
  <c r="M4739" i="7" s="1"/>
  <c r="L4740" i="7"/>
  <c r="M4740" i="7" s="1"/>
  <c r="L4741" i="7"/>
  <c r="M4741" i="7" s="1"/>
  <c r="L4742" i="7"/>
  <c r="M4742" i="7" s="1"/>
  <c r="L4743" i="7"/>
  <c r="M4743" i="7" s="1"/>
  <c r="L4744" i="7"/>
  <c r="M4744" i="7" s="1"/>
  <c r="L4745" i="7"/>
  <c r="M4745" i="7" s="1"/>
  <c r="L4746" i="7"/>
  <c r="M4746" i="7" s="1"/>
  <c r="L4747" i="7"/>
  <c r="M4747" i="7" s="1"/>
  <c r="L4748" i="7"/>
  <c r="M4748" i="7" s="1"/>
  <c r="L4749" i="7"/>
  <c r="M4749" i="7" s="1"/>
  <c r="L4750" i="7"/>
  <c r="M4750" i="7" s="1"/>
  <c r="L4751" i="7"/>
  <c r="M4751" i="7" s="1"/>
  <c r="L4752" i="7"/>
  <c r="M4752" i="7" s="1"/>
  <c r="L4753" i="7"/>
  <c r="M4753" i="7" s="1"/>
  <c r="L4754" i="7"/>
  <c r="M4754" i="7" s="1"/>
  <c r="L4755" i="7"/>
  <c r="M4755" i="7" s="1"/>
  <c r="L4756" i="7"/>
  <c r="M4756" i="7" s="1"/>
  <c r="L4757" i="7"/>
  <c r="M4757" i="7" s="1"/>
  <c r="L4758" i="7"/>
  <c r="M4758" i="7" s="1"/>
  <c r="L4759" i="7"/>
  <c r="M4759" i="7" s="1"/>
  <c r="L4760" i="7"/>
  <c r="M4760" i="7" s="1"/>
  <c r="L4761" i="7"/>
  <c r="M4761" i="7" s="1"/>
  <c r="L4762" i="7"/>
  <c r="M4762" i="7" s="1"/>
  <c r="L4763" i="7"/>
  <c r="M4763" i="7" s="1"/>
  <c r="L4764" i="7"/>
  <c r="M4764" i="7" s="1"/>
  <c r="L4765" i="7"/>
  <c r="M4765" i="7" s="1"/>
  <c r="L4766" i="7"/>
  <c r="M4766" i="7" s="1"/>
  <c r="L4767" i="7"/>
  <c r="M4767" i="7" s="1"/>
  <c r="L4768" i="7"/>
  <c r="M4768" i="7" s="1"/>
  <c r="L4769" i="7"/>
  <c r="M4769" i="7" s="1"/>
  <c r="L4770" i="7"/>
  <c r="M4770" i="7" s="1"/>
  <c r="L4771" i="7"/>
  <c r="M4771" i="7" s="1"/>
  <c r="L4772" i="7"/>
  <c r="M4772" i="7" s="1"/>
  <c r="L4773" i="7"/>
  <c r="M4773" i="7" s="1"/>
  <c r="L4774" i="7"/>
  <c r="M4774" i="7" s="1"/>
  <c r="L4775" i="7"/>
  <c r="M4775" i="7" s="1"/>
  <c r="L4776" i="7"/>
  <c r="M4776" i="7" s="1"/>
  <c r="L4777" i="7"/>
  <c r="M4777" i="7" s="1"/>
  <c r="L4778" i="7"/>
  <c r="M4778" i="7" s="1"/>
  <c r="L4779" i="7"/>
  <c r="M4779" i="7" s="1"/>
  <c r="L4780" i="7"/>
  <c r="M4780" i="7" s="1"/>
  <c r="L4781" i="7"/>
  <c r="M4781" i="7" s="1"/>
  <c r="L4782" i="7"/>
  <c r="M4782" i="7" s="1"/>
  <c r="L4783" i="7"/>
  <c r="M4783" i="7" s="1"/>
  <c r="L4784" i="7"/>
  <c r="M4784" i="7" s="1"/>
  <c r="L4785" i="7"/>
  <c r="M4785" i="7" s="1"/>
  <c r="L4786" i="7"/>
  <c r="M4786" i="7" s="1"/>
  <c r="L4787" i="7"/>
  <c r="M4787" i="7" s="1"/>
  <c r="L4788" i="7"/>
  <c r="M4788" i="7" s="1"/>
  <c r="L4789" i="7"/>
  <c r="M4789" i="7" s="1"/>
  <c r="L4790" i="7"/>
  <c r="M4790" i="7" s="1"/>
  <c r="L4791" i="7"/>
  <c r="M4791" i="7" s="1"/>
  <c r="L4792" i="7"/>
  <c r="M4792" i="7" s="1"/>
  <c r="L4793" i="7"/>
  <c r="M4793" i="7" s="1"/>
  <c r="L4794" i="7"/>
  <c r="L4795" i="7"/>
  <c r="M4795" i="7" s="1"/>
  <c r="L4796" i="7"/>
  <c r="M4796" i="7" s="1"/>
  <c r="L4797" i="7"/>
  <c r="M4797" i="7" s="1"/>
  <c r="L4798" i="7"/>
  <c r="M4798" i="7" s="1"/>
  <c r="L4799" i="7"/>
  <c r="M4799" i="7" s="1"/>
  <c r="L4800" i="7"/>
  <c r="M4800" i="7" s="1"/>
  <c r="L4801" i="7"/>
  <c r="M4801" i="7" s="1"/>
  <c r="L4802" i="7"/>
  <c r="M4802" i="7" s="1"/>
  <c r="L4803" i="7"/>
  <c r="M4803" i="7" s="1"/>
  <c r="L4804" i="7"/>
  <c r="M4804" i="7" s="1"/>
  <c r="L4805" i="7"/>
  <c r="M4805" i="7" s="1"/>
  <c r="L4806" i="7"/>
  <c r="M4806" i="7" s="1"/>
  <c r="L4807" i="7"/>
  <c r="M4807" i="7" s="1"/>
  <c r="L4808" i="7"/>
  <c r="M4808" i="7" s="1"/>
  <c r="L4809" i="7"/>
  <c r="M4809" i="7" s="1"/>
  <c r="L4810" i="7"/>
  <c r="M4810" i="7" s="1"/>
  <c r="L4811" i="7"/>
  <c r="M4811" i="7" s="1"/>
  <c r="L4812" i="7"/>
  <c r="M4812" i="7" s="1"/>
  <c r="L4813" i="7"/>
  <c r="M4813" i="7" s="1"/>
  <c r="L4814" i="7"/>
  <c r="M4814" i="7" s="1"/>
  <c r="L4815" i="7"/>
  <c r="L4816" i="7"/>
  <c r="M4816" i="7" s="1"/>
  <c r="L4817" i="7"/>
  <c r="M4817" i="7" s="1"/>
  <c r="L4818" i="7"/>
  <c r="M4818" i="7" s="1"/>
  <c r="L4819" i="7"/>
  <c r="M4819" i="7" s="1"/>
  <c r="L4820" i="7"/>
  <c r="M4820" i="7" s="1"/>
  <c r="L4821" i="7"/>
  <c r="M4821" i="7" s="1"/>
  <c r="L4822" i="7"/>
  <c r="M4822" i="7" s="1"/>
  <c r="L4823" i="7"/>
  <c r="M4823" i="7" s="1"/>
  <c r="L4824" i="7"/>
  <c r="M4824" i="7" s="1"/>
  <c r="L4825" i="7"/>
  <c r="M4825" i="7" s="1"/>
  <c r="L4826" i="7"/>
  <c r="M4826" i="7" s="1"/>
  <c r="L4827" i="7"/>
  <c r="M4827" i="7" s="1"/>
  <c r="L4828" i="7"/>
  <c r="M4828" i="7" s="1"/>
  <c r="L4829" i="7"/>
  <c r="M4829" i="7" s="1"/>
  <c r="L4830" i="7"/>
  <c r="M4830" i="7" s="1"/>
  <c r="L4831" i="7"/>
  <c r="M4831" i="7" s="1"/>
  <c r="L4832" i="7"/>
  <c r="M4832" i="7" s="1"/>
  <c r="L4833" i="7"/>
  <c r="M4833" i="7" s="1"/>
  <c r="L4834" i="7"/>
  <c r="M4834" i="7" s="1"/>
  <c r="L4835" i="7"/>
  <c r="M4835" i="7" s="1"/>
  <c r="L4836" i="7"/>
  <c r="M4836" i="7" s="1"/>
  <c r="L4837" i="7"/>
  <c r="M4837" i="7" s="1"/>
  <c r="L4838" i="7"/>
  <c r="M4838" i="7" s="1"/>
  <c r="L4839" i="7"/>
  <c r="M4839" i="7" s="1"/>
  <c r="L4840" i="7"/>
  <c r="M4840" i="7" s="1"/>
  <c r="L4841" i="7"/>
  <c r="M4841" i="7" s="1"/>
  <c r="L4842" i="7"/>
  <c r="M4842" i="7" s="1"/>
  <c r="L4843" i="7"/>
  <c r="M4843" i="7" s="1"/>
  <c r="L4844" i="7"/>
  <c r="M4844" i="7" s="1"/>
  <c r="L4845" i="7"/>
  <c r="M4845" i="7" s="1"/>
  <c r="L4846" i="7"/>
  <c r="L4847" i="7"/>
  <c r="M4847" i="7" s="1"/>
  <c r="L4848" i="7"/>
  <c r="M4848" i="7" s="1"/>
  <c r="L4849" i="7"/>
  <c r="M4849" i="7" s="1"/>
  <c r="L4850" i="7"/>
  <c r="M4850" i="7" s="1"/>
  <c r="L4851" i="7"/>
  <c r="M4851" i="7" s="1"/>
  <c r="L4852" i="7"/>
  <c r="M4852" i="7" s="1"/>
  <c r="L4853" i="7"/>
  <c r="M4853" i="7" s="1"/>
  <c r="L4854" i="7"/>
  <c r="M4854" i="7" s="1"/>
  <c r="L4855" i="7"/>
  <c r="M4855" i="7" s="1"/>
  <c r="L4856" i="7"/>
  <c r="M4856" i="7" s="1"/>
  <c r="L4857" i="7"/>
  <c r="M4857" i="7" s="1"/>
  <c r="L4858" i="7"/>
  <c r="M4858" i="7" s="1"/>
  <c r="L4859" i="7"/>
  <c r="M4859" i="7" s="1"/>
  <c r="L4860" i="7"/>
  <c r="M4860" i="7" s="1"/>
  <c r="L4861" i="7"/>
  <c r="M4861" i="7" s="1"/>
  <c r="L4862" i="7"/>
  <c r="M4862" i="7" s="1"/>
  <c r="L4863" i="7"/>
  <c r="M4863" i="7" s="1"/>
  <c r="L4864" i="7"/>
  <c r="M4864" i="7" s="1"/>
  <c r="L4865" i="7"/>
  <c r="M4865" i="7" s="1"/>
  <c r="L4866" i="7"/>
  <c r="M4866" i="7" s="1"/>
  <c r="L4867" i="7"/>
  <c r="M4867" i="7" s="1"/>
  <c r="L4868" i="7"/>
  <c r="M4868" i="7" s="1"/>
  <c r="L4869" i="7"/>
  <c r="M4869" i="7" s="1"/>
  <c r="L4870" i="7"/>
  <c r="L4871" i="7"/>
  <c r="L4872" i="7"/>
  <c r="M4872" i="7" s="1"/>
  <c r="L4873" i="7"/>
  <c r="M4873" i="7" s="1"/>
  <c r="L4874" i="7"/>
  <c r="M4874" i="7" s="1"/>
  <c r="L4875" i="7"/>
  <c r="M4875" i="7" s="1"/>
  <c r="L4876" i="7"/>
  <c r="M4876" i="7" s="1"/>
  <c r="L4877" i="7"/>
  <c r="M4877" i="7" s="1"/>
  <c r="L4878" i="7"/>
  <c r="M4878" i="7" s="1"/>
  <c r="L4879" i="7"/>
  <c r="M4879" i="7" s="1"/>
  <c r="L4880" i="7"/>
  <c r="M4880" i="7" s="1"/>
  <c r="L4881" i="7"/>
  <c r="M4881" i="7" s="1"/>
  <c r="L4882" i="7"/>
  <c r="M4882" i="7" s="1"/>
  <c r="L4883" i="7"/>
  <c r="M4883" i="7" s="1"/>
  <c r="L4884" i="7"/>
  <c r="M4884" i="7" s="1"/>
  <c r="L4885" i="7"/>
  <c r="M4885" i="7" s="1"/>
  <c r="L4886" i="7"/>
  <c r="M4886" i="7" s="1"/>
  <c r="L4887" i="7"/>
  <c r="M4887" i="7" s="1"/>
  <c r="L4888" i="7"/>
  <c r="M4888" i="7" s="1"/>
  <c r="L4889" i="7"/>
  <c r="M4889" i="7" s="1"/>
  <c r="L4890" i="7"/>
  <c r="M4890" i="7" s="1"/>
  <c r="L4891" i="7"/>
  <c r="M4891" i="7" s="1"/>
  <c r="L4892" i="7"/>
  <c r="M4892" i="7" s="1"/>
  <c r="L4893" i="7"/>
  <c r="M4893" i="7" s="1"/>
  <c r="L4894" i="7"/>
  <c r="M4894" i="7" s="1"/>
  <c r="L4895" i="7"/>
  <c r="M4895" i="7" s="1"/>
  <c r="L4896" i="7"/>
  <c r="M4896" i="7" s="1"/>
  <c r="L4897" i="7"/>
  <c r="M4897" i="7" s="1"/>
  <c r="L4898" i="7"/>
  <c r="M4898" i="7" s="1"/>
  <c r="L4899" i="7"/>
  <c r="M4899" i="7" s="1"/>
  <c r="L4900" i="7"/>
  <c r="M4900" i="7" s="1"/>
  <c r="L4901" i="7"/>
  <c r="M4901" i="7" s="1"/>
  <c r="L4902" i="7"/>
  <c r="M4902" i="7" s="1"/>
  <c r="L4903" i="7"/>
  <c r="M4903" i="7" s="1"/>
  <c r="L4904" i="7"/>
  <c r="M4904" i="7" s="1"/>
  <c r="L4905" i="7"/>
  <c r="M4905" i="7" s="1"/>
  <c r="L4906" i="7"/>
  <c r="M4906" i="7" s="1"/>
  <c r="L4907" i="7"/>
  <c r="M4907" i="7" s="1"/>
  <c r="L4908" i="7"/>
  <c r="M4908" i="7" s="1"/>
  <c r="L4909" i="7"/>
  <c r="M4909" i="7" s="1"/>
  <c r="L4910" i="7"/>
  <c r="M4910" i="7" s="1"/>
  <c r="L4911" i="7"/>
  <c r="M4911" i="7" s="1"/>
  <c r="L4912" i="7"/>
  <c r="M4912" i="7" s="1"/>
  <c r="L4913" i="7"/>
  <c r="M4913" i="7" s="1"/>
  <c r="L4914" i="7"/>
  <c r="M4914" i="7" s="1"/>
  <c r="L4915" i="7"/>
  <c r="M4915" i="7" s="1"/>
  <c r="L4916" i="7"/>
  <c r="M4916" i="7" s="1"/>
  <c r="L4917" i="7"/>
  <c r="M4917" i="7" s="1"/>
  <c r="L4918" i="7"/>
  <c r="M4918" i="7" s="1"/>
  <c r="L4919" i="7"/>
  <c r="M4919" i="7" s="1"/>
  <c r="L4920" i="7"/>
  <c r="M4920" i="7" s="1"/>
  <c r="L4921" i="7"/>
  <c r="M4921" i="7" s="1"/>
  <c r="L4922" i="7"/>
  <c r="M4922" i="7" s="1"/>
  <c r="L4923" i="7"/>
  <c r="M4923" i="7" s="1"/>
  <c r="L4924" i="7"/>
  <c r="M4924" i="7" s="1"/>
  <c r="L4925" i="7"/>
  <c r="M4925" i="7" s="1"/>
  <c r="L4926" i="7"/>
  <c r="M4926" i="7" s="1"/>
  <c r="L4927" i="7"/>
  <c r="M4927" i="7" s="1"/>
  <c r="L4928" i="7"/>
  <c r="M4928" i="7" s="1"/>
  <c r="L4929" i="7"/>
  <c r="M4929" i="7" s="1"/>
  <c r="L4930" i="7"/>
  <c r="M4930" i="7" s="1"/>
  <c r="L4931" i="7"/>
  <c r="M4931" i="7" s="1"/>
  <c r="L4932" i="7"/>
  <c r="M4932" i="7" s="1"/>
  <c r="L4933" i="7"/>
  <c r="M4933" i="7" s="1"/>
  <c r="L4934" i="7"/>
  <c r="M4934" i="7" s="1"/>
  <c r="L4935" i="7"/>
  <c r="M4935" i="7" s="1"/>
  <c r="L4936" i="7"/>
  <c r="M4936" i="7" s="1"/>
  <c r="L4937" i="7"/>
  <c r="M4937" i="7" s="1"/>
  <c r="L4938" i="7"/>
  <c r="M4938" i="7" s="1"/>
  <c r="L4939" i="7"/>
  <c r="M4939" i="7" s="1"/>
  <c r="L4940" i="7"/>
  <c r="M4940" i="7" s="1"/>
  <c r="L4941" i="7"/>
  <c r="M4941" i="7" s="1"/>
  <c r="L4942" i="7"/>
  <c r="M4942" i="7" s="1"/>
  <c r="L4943" i="7"/>
  <c r="M4943" i="7" s="1"/>
  <c r="L4944" i="7"/>
  <c r="M4944" i="7" s="1"/>
  <c r="L4945" i="7"/>
  <c r="M4945" i="7" s="1"/>
  <c r="L4946" i="7"/>
  <c r="M4946" i="7" s="1"/>
  <c r="L4947" i="7"/>
  <c r="M4947" i="7" s="1"/>
  <c r="L4948" i="7"/>
  <c r="M4948" i="7" s="1"/>
  <c r="L4949" i="7"/>
  <c r="M4949" i="7" s="1"/>
  <c r="L4950" i="7"/>
  <c r="M4950" i="7" s="1"/>
  <c r="L4951" i="7"/>
  <c r="M4951" i="7" s="1"/>
  <c r="L4952" i="7"/>
  <c r="M4952" i="7" s="1"/>
  <c r="L4953" i="7"/>
  <c r="M4953" i="7" s="1"/>
  <c r="L4954" i="7"/>
  <c r="M4954" i="7" s="1"/>
  <c r="L4955" i="7"/>
  <c r="M4955" i="7" s="1"/>
  <c r="L4956" i="7"/>
  <c r="M4956" i="7" s="1"/>
  <c r="L4957" i="7"/>
  <c r="M4957" i="7" s="1"/>
  <c r="L4958" i="7"/>
  <c r="M4958" i="7" s="1"/>
  <c r="L4959" i="7"/>
  <c r="M4959" i="7" s="1"/>
  <c r="L4960" i="7"/>
  <c r="M4960" i="7" s="1"/>
  <c r="L4961" i="7"/>
  <c r="M4961" i="7" s="1"/>
  <c r="L4962" i="7"/>
  <c r="M4962" i="7" s="1"/>
  <c r="L4963" i="7"/>
  <c r="M4963" i="7" s="1"/>
  <c r="L4964" i="7"/>
  <c r="M4964" i="7" s="1"/>
  <c r="L4965" i="7"/>
  <c r="M4965" i="7" s="1"/>
  <c r="L4966" i="7"/>
  <c r="M4966" i="7" s="1"/>
  <c r="L4967" i="7"/>
  <c r="L4968" i="7"/>
  <c r="M4968" i="7" s="1"/>
  <c r="L4969" i="7"/>
  <c r="M4969" i="7" s="1"/>
  <c r="L4970" i="7"/>
  <c r="M4970" i="7" s="1"/>
  <c r="L4971" i="7"/>
  <c r="M4971" i="7" s="1"/>
  <c r="L4972" i="7"/>
  <c r="M4972" i="7" s="1"/>
  <c r="L4973" i="7"/>
  <c r="M4973" i="7" s="1"/>
  <c r="L4974" i="7"/>
  <c r="M4974" i="7" s="1"/>
  <c r="L4975" i="7"/>
  <c r="M4975" i="7" s="1"/>
  <c r="L4976" i="7"/>
  <c r="M4976" i="7" s="1"/>
  <c r="L4977" i="7"/>
  <c r="M4977" i="7" s="1"/>
  <c r="L4978" i="7"/>
  <c r="M4978" i="7" s="1"/>
  <c r="L4979" i="7"/>
  <c r="M4979" i="7" s="1"/>
  <c r="L4980" i="7"/>
  <c r="M4980" i="7" s="1"/>
  <c r="L4981" i="7"/>
  <c r="M4981" i="7" s="1"/>
  <c r="L4982" i="7"/>
  <c r="M4982" i="7" s="1"/>
  <c r="L4983" i="7"/>
  <c r="M4983" i="7" s="1"/>
  <c r="L4984" i="7"/>
  <c r="M4984" i="7" s="1"/>
  <c r="L4985" i="7"/>
  <c r="M4985" i="7" s="1"/>
  <c r="L4986" i="7"/>
  <c r="M4986" i="7" s="1"/>
  <c r="L4987" i="7"/>
  <c r="M4987" i="7" s="1"/>
  <c r="L4988" i="7"/>
  <c r="M4988" i="7" s="1"/>
  <c r="L4989" i="7"/>
  <c r="M4989" i="7" s="1"/>
  <c r="L4990" i="7"/>
  <c r="M4990" i="7" s="1"/>
  <c r="L4991" i="7"/>
  <c r="L4992" i="7"/>
  <c r="M4992" i="7" s="1"/>
  <c r="L4993" i="7"/>
  <c r="M4993" i="7" s="1"/>
  <c r="L4994" i="7"/>
  <c r="L4995" i="7"/>
  <c r="M4995" i="7" s="1"/>
  <c r="L4996" i="7"/>
  <c r="M4996" i="7" s="1"/>
  <c r="L4997" i="7"/>
  <c r="M4997" i="7" s="1"/>
  <c r="L4998" i="7"/>
  <c r="L4999" i="7"/>
  <c r="M4999" i="7" s="1"/>
  <c r="L5000" i="7"/>
  <c r="M5000" i="7" s="1"/>
  <c r="L5001" i="7"/>
  <c r="M5001" i="7" s="1"/>
  <c r="L5002" i="7"/>
  <c r="M5002" i="7" s="1"/>
  <c r="L5003" i="7"/>
  <c r="M5003" i="7" s="1"/>
  <c r="L5004" i="7"/>
  <c r="M5004" i="7" s="1"/>
  <c r="L5005" i="7"/>
  <c r="M5005" i="7" s="1"/>
  <c r="L5006" i="7"/>
  <c r="M5006" i="7" s="1"/>
  <c r="L5007" i="7"/>
  <c r="L5008" i="7"/>
  <c r="M5008" i="7" s="1"/>
  <c r="L5009" i="7"/>
  <c r="M5009" i="7" s="1"/>
  <c r="L5010" i="7"/>
  <c r="M5010" i="7" s="1"/>
  <c r="L5011" i="7"/>
  <c r="M5011" i="7" s="1"/>
  <c r="L5012" i="7"/>
  <c r="M5012" i="7" s="1"/>
  <c r="L5013" i="7"/>
  <c r="M5013" i="7" s="1"/>
  <c r="L5014" i="7"/>
  <c r="M5014" i="7" s="1"/>
  <c r="L5015" i="7"/>
  <c r="L5016" i="7"/>
  <c r="M5016" i="7" s="1"/>
  <c r="L5017" i="7"/>
  <c r="M5017" i="7" s="1"/>
  <c r="L5018" i="7"/>
  <c r="M5018" i="7" s="1"/>
  <c r="L5019" i="7"/>
  <c r="M5019" i="7" s="1"/>
  <c r="L5020" i="7"/>
  <c r="M5020" i="7" s="1"/>
  <c r="L5021" i="7"/>
  <c r="M5021" i="7" s="1"/>
  <c r="L5022" i="7"/>
  <c r="M5022" i="7" s="1"/>
  <c r="L5023" i="7"/>
  <c r="M5023" i="7" s="1"/>
  <c r="L5024" i="7"/>
  <c r="M5024" i="7" s="1"/>
  <c r="L5025" i="7"/>
  <c r="M5025" i="7" s="1"/>
  <c r="L5026" i="7"/>
  <c r="M5026" i="7" s="1"/>
  <c r="L5027" i="7"/>
  <c r="M5027" i="7" s="1"/>
  <c r="L5028" i="7"/>
  <c r="M5028" i="7" s="1"/>
  <c r="L5029" i="7"/>
  <c r="M5029" i="7" s="1"/>
  <c r="L5030" i="7"/>
  <c r="M5030" i="7" s="1"/>
  <c r="L5031" i="7"/>
  <c r="M5031" i="7" s="1"/>
  <c r="L5032" i="7"/>
  <c r="M5032" i="7" s="1"/>
  <c r="L5033" i="7"/>
  <c r="M5033" i="7" s="1"/>
  <c r="L5034" i="7"/>
  <c r="M5034" i="7" s="1"/>
  <c r="L5035" i="7"/>
  <c r="M5035" i="7" s="1"/>
  <c r="L5036" i="7"/>
  <c r="M5036" i="7" s="1"/>
  <c r="L5037" i="7"/>
  <c r="M5037" i="7" s="1"/>
  <c r="L5038" i="7"/>
  <c r="M5038" i="7" s="1"/>
  <c r="L5039" i="7"/>
  <c r="M5039" i="7" s="1"/>
  <c r="L5040" i="7"/>
  <c r="M5040" i="7" s="1"/>
  <c r="L5041" i="7"/>
  <c r="M5041" i="7" s="1"/>
  <c r="L5042" i="7"/>
  <c r="M5042" i="7" s="1"/>
  <c r="L5043" i="7"/>
  <c r="M5043" i="7" s="1"/>
  <c r="L5044" i="7"/>
  <c r="M5044" i="7" s="1"/>
  <c r="L5045" i="7"/>
  <c r="M5045" i="7" s="1"/>
  <c r="L5046" i="7"/>
  <c r="M5046" i="7" s="1"/>
  <c r="L5047" i="7"/>
  <c r="M5047" i="7" s="1"/>
  <c r="L5048" i="7"/>
  <c r="M5048" i="7" s="1"/>
  <c r="L5049" i="7"/>
  <c r="M5049" i="7" s="1"/>
  <c r="L5050" i="7"/>
  <c r="M5050" i="7" s="1"/>
  <c r="L5051" i="7"/>
  <c r="M5051" i="7" s="1"/>
  <c r="L5052" i="7"/>
  <c r="M5052" i="7" s="1"/>
  <c r="L5053" i="7"/>
  <c r="M5053" i="7" s="1"/>
  <c r="L5054" i="7"/>
  <c r="M5054" i="7" s="1"/>
  <c r="L5055" i="7"/>
  <c r="M5055" i="7" s="1"/>
  <c r="L5056" i="7"/>
  <c r="M5056" i="7" s="1"/>
  <c r="L5057" i="7"/>
  <c r="M5057" i="7" s="1"/>
  <c r="L5058" i="7"/>
  <c r="M5058" i="7" s="1"/>
  <c r="L5059" i="7"/>
  <c r="M5059" i="7" s="1"/>
  <c r="L5060" i="7"/>
  <c r="M5060" i="7" s="1"/>
  <c r="L5061" i="7"/>
  <c r="M5061" i="7" s="1"/>
  <c r="L5062" i="7"/>
  <c r="M5062" i="7" s="1"/>
  <c r="L5063" i="7"/>
  <c r="M5063" i="7" s="1"/>
  <c r="L5064" i="7"/>
  <c r="M5064" i="7" s="1"/>
  <c r="L5065" i="7"/>
  <c r="M5065" i="7" s="1"/>
  <c r="L5066" i="7"/>
  <c r="M5066" i="7" s="1"/>
  <c r="L5067" i="7"/>
  <c r="M5067" i="7" s="1"/>
  <c r="L5068" i="7"/>
  <c r="M5068" i="7" s="1"/>
  <c r="L5069" i="7"/>
  <c r="M5069" i="7" s="1"/>
  <c r="L5070" i="7"/>
  <c r="M5070" i="7" s="1"/>
  <c r="L5071" i="7"/>
  <c r="M5071" i="7" s="1"/>
  <c r="L5072" i="7"/>
  <c r="M5072" i="7" s="1"/>
  <c r="L5073" i="7"/>
  <c r="M5073" i="7" s="1"/>
  <c r="L5074" i="7"/>
  <c r="M5074" i="7" s="1"/>
  <c r="L5075" i="7"/>
  <c r="M5075" i="7" s="1"/>
  <c r="L5076" i="7"/>
  <c r="M5076" i="7" s="1"/>
  <c r="L5077" i="7"/>
  <c r="M5077" i="7" s="1"/>
  <c r="L5078" i="7"/>
  <c r="M5078" i="7" s="1"/>
  <c r="L5079" i="7"/>
  <c r="M5079" i="7" s="1"/>
  <c r="L5080" i="7"/>
  <c r="M5080" i="7" s="1"/>
  <c r="L5081" i="7"/>
  <c r="M5081" i="7" s="1"/>
  <c r="L5082" i="7"/>
  <c r="M5082" i="7" s="1"/>
  <c r="L5083" i="7"/>
  <c r="M5083" i="7" s="1"/>
  <c r="L5084" i="7"/>
  <c r="M5084" i="7" s="1"/>
  <c r="L5085" i="7"/>
  <c r="M5085" i="7" s="1"/>
  <c r="L5086" i="7"/>
  <c r="M5086" i="7" s="1"/>
  <c r="L5087" i="7"/>
  <c r="M5087" i="7" s="1"/>
  <c r="L5088" i="7"/>
  <c r="M5088" i="7" s="1"/>
  <c r="L5089" i="7"/>
  <c r="M5089" i="7" s="1"/>
  <c r="L5090" i="7"/>
  <c r="M5090" i="7" s="1"/>
  <c r="L5091" i="7"/>
  <c r="M5091" i="7" s="1"/>
  <c r="L5092" i="7"/>
  <c r="M5092" i="7" s="1"/>
  <c r="L5093" i="7"/>
  <c r="M5093" i="7" s="1"/>
  <c r="L5094" i="7"/>
  <c r="M5094" i="7" s="1"/>
  <c r="L5095" i="7"/>
  <c r="M5095" i="7" s="1"/>
  <c r="L5096" i="7"/>
  <c r="M5096" i="7" s="1"/>
  <c r="L5097" i="7"/>
  <c r="M5097" i="7" s="1"/>
  <c r="L5098" i="7"/>
  <c r="M5098" i="7" s="1"/>
  <c r="L5099" i="7"/>
  <c r="M5099" i="7" s="1"/>
  <c r="L5100" i="7"/>
  <c r="M5100" i="7" s="1"/>
  <c r="L5101" i="7"/>
  <c r="M5101" i="7" s="1"/>
  <c r="L5102" i="7"/>
  <c r="M5102" i="7" s="1"/>
  <c r="L5103" i="7"/>
  <c r="M5103" i="7" s="1"/>
  <c r="L5104" i="7"/>
  <c r="M5104" i="7" s="1"/>
  <c r="L5105" i="7"/>
  <c r="M5105" i="7" s="1"/>
  <c r="L5106" i="7"/>
  <c r="M5106" i="7" s="1"/>
  <c r="L5107" i="7"/>
  <c r="M5107" i="7" s="1"/>
  <c r="L5108" i="7"/>
  <c r="M5108" i="7" s="1"/>
  <c r="L5109" i="7"/>
  <c r="M5109" i="7" s="1"/>
  <c r="L5110" i="7"/>
  <c r="M5110" i="7" s="1"/>
  <c r="L5111" i="7"/>
  <c r="L5112" i="7"/>
  <c r="M5112" i="7" s="1"/>
  <c r="L5113" i="7"/>
  <c r="M5113" i="7" s="1"/>
  <c r="L5114" i="7"/>
  <c r="M5114" i="7" s="1"/>
  <c r="L5115" i="7"/>
  <c r="M5115" i="7" s="1"/>
  <c r="L5116" i="7"/>
  <c r="M5116" i="7" s="1"/>
  <c r="L5117" i="7"/>
  <c r="M5117" i="7" s="1"/>
  <c r="L5118" i="7"/>
  <c r="M5118" i="7" s="1"/>
  <c r="L5119" i="7"/>
  <c r="M5119" i="7" s="1"/>
  <c r="L5120" i="7"/>
  <c r="M5120" i="7" s="1"/>
  <c r="L5121" i="7"/>
  <c r="M5121" i="7" s="1"/>
  <c r="L5122" i="7"/>
  <c r="L5123" i="7"/>
  <c r="M5123" i="7" s="1"/>
  <c r="L5124" i="7"/>
  <c r="M5124" i="7" s="1"/>
  <c r="L5125" i="7"/>
  <c r="M5125" i="7" s="1"/>
  <c r="L5126" i="7"/>
  <c r="L5127" i="7"/>
  <c r="M5127" i="7" s="1"/>
  <c r="L5128" i="7"/>
  <c r="M5128" i="7" s="1"/>
  <c r="L5129" i="7"/>
  <c r="M5129" i="7" s="1"/>
  <c r="L5130" i="7"/>
  <c r="M5130" i="7" s="1"/>
  <c r="L5131" i="7"/>
  <c r="M5131" i="7" s="1"/>
  <c r="L5132" i="7"/>
  <c r="M5132" i="7" s="1"/>
  <c r="L5133" i="7"/>
  <c r="M5133" i="7" s="1"/>
  <c r="L5134" i="7"/>
  <c r="M5134" i="7" s="1"/>
  <c r="L5135" i="7"/>
  <c r="M5135" i="7" s="1"/>
  <c r="L5136" i="7"/>
  <c r="M5136" i="7" s="1"/>
  <c r="L5137" i="7"/>
  <c r="M5137" i="7" s="1"/>
  <c r="L5138" i="7"/>
  <c r="M5138" i="7" s="1"/>
  <c r="L5139" i="7"/>
  <c r="M5139" i="7" s="1"/>
  <c r="L5140" i="7"/>
  <c r="M5140" i="7" s="1"/>
  <c r="L5141" i="7"/>
  <c r="M5141" i="7" s="1"/>
  <c r="L5142" i="7"/>
  <c r="M5142" i="7" s="1"/>
  <c r="L5143" i="7"/>
  <c r="M5143" i="7" s="1"/>
  <c r="L5144" i="7"/>
  <c r="M5144" i="7" s="1"/>
  <c r="L5145" i="7"/>
  <c r="M5145" i="7" s="1"/>
  <c r="L5146" i="7"/>
  <c r="M5146" i="7" s="1"/>
  <c r="L5147" i="7"/>
  <c r="M5147" i="7" s="1"/>
  <c r="L5148" i="7"/>
  <c r="M5148" i="7" s="1"/>
  <c r="L5149" i="7"/>
  <c r="M5149" i="7" s="1"/>
  <c r="L5150" i="7"/>
  <c r="M5150" i="7" s="1"/>
  <c r="L5151" i="7"/>
  <c r="M5151" i="7" s="1"/>
  <c r="L5152" i="7"/>
  <c r="M5152" i="7" s="1"/>
  <c r="L5153" i="7"/>
  <c r="M5153" i="7" s="1"/>
  <c r="L5154" i="7"/>
  <c r="M5154" i="7" s="1"/>
  <c r="L5155" i="7"/>
  <c r="M5155" i="7" s="1"/>
  <c r="L5156" i="7"/>
  <c r="M5156" i="7" s="1"/>
  <c r="L5157" i="7"/>
  <c r="M5157" i="7" s="1"/>
  <c r="L5158" i="7"/>
  <c r="M5158" i="7" s="1"/>
  <c r="L5159" i="7"/>
  <c r="L5160" i="7"/>
  <c r="M5160" i="7" s="1"/>
  <c r="L5161" i="7"/>
  <c r="M5161" i="7" s="1"/>
  <c r="L5162" i="7"/>
  <c r="M5162" i="7" s="1"/>
  <c r="L5163" i="7"/>
  <c r="M5163" i="7" s="1"/>
  <c r="L5164" i="7"/>
  <c r="M5164" i="7" s="1"/>
  <c r="L5165" i="7"/>
  <c r="M5165" i="7" s="1"/>
  <c r="L5166" i="7"/>
  <c r="M5166" i="7" s="1"/>
  <c r="L5167" i="7"/>
  <c r="M5167" i="7" s="1"/>
  <c r="L5168" i="7"/>
  <c r="M5168" i="7" s="1"/>
  <c r="L5169" i="7"/>
  <c r="M5169" i="7" s="1"/>
  <c r="L5170" i="7"/>
  <c r="M5170" i="7" s="1"/>
  <c r="L5171" i="7"/>
  <c r="M5171" i="7" s="1"/>
  <c r="L5172" i="7"/>
  <c r="M5172" i="7" s="1"/>
  <c r="L5173" i="7"/>
  <c r="M5173" i="7" s="1"/>
  <c r="L5174" i="7"/>
  <c r="M5174" i="7" s="1"/>
  <c r="L5175" i="7"/>
  <c r="M5175" i="7" s="1"/>
  <c r="L5176" i="7"/>
  <c r="M5176" i="7" s="1"/>
  <c r="L5177" i="7"/>
  <c r="M5177" i="7" s="1"/>
  <c r="L5178" i="7"/>
  <c r="M5178" i="7" s="1"/>
  <c r="L5179" i="7"/>
  <c r="M5179" i="7" s="1"/>
  <c r="L5180" i="7"/>
  <c r="M5180" i="7" s="1"/>
  <c r="L5181" i="7"/>
  <c r="M5181" i="7" s="1"/>
  <c r="L5182" i="7"/>
  <c r="M5182" i="7" s="1"/>
  <c r="L5183" i="7"/>
  <c r="M5183" i="7" s="1"/>
  <c r="L5184" i="7"/>
  <c r="M5184" i="7" s="1"/>
  <c r="L5185" i="7"/>
  <c r="M5185" i="7" s="1"/>
  <c r="L5186" i="7"/>
  <c r="M5186" i="7" s="1"/>
  <c r="L5187" i="7"/>
  <c r="M5187" i="7" s="1"/>
  <c r="L5188" i="7"/>
  <c r="M5188" i="7" s="1"/>
  <c r="L5189" i="7"/>
  <c r="M5189" i="7" s="1"/>
  <c r="L5190" i="7"/>
  <c r="M5190" i="7" s="1"/>
  <c r="L5191" i="7"/>
  <c r="M5191" i="7" s="1"/>
  <c r="L5192" i="7"/>
  <c r="M5192" i="7" s="1"/>
  <c r="L5193" i="7"/>
  <c r="M5193" i="7" s="1"/>
  <c r="L5194" i="7"/>
  <c r="M5194" i="7" s="1"/>
  <c r="L5195" i="7"/>
  <c r="M5195" i="7" s="1"/>
  <c r="L5196" i="7"/>
  <c r="M5196" i="7" s="1"/>
  <c r="L5197" i="7"/>
  <c r="M5197" i="7" s="1"/>
  <c r="L5198" i="7"/>
  <c r="M5198" i="7" s="1"/>
  <c r="L5199" i="7"/>
  <c r="M5199" i="7" s="1"/>
  <c r="L5200" i="7"/>
  <c r="M5200" i="7" s="1"/>
  <c r="L5201" i="7"/>
  <c r="M5201" i="7" s="1"/>
  <c r="L5202" i="7"/>
  <c r="M5202" i="7" s="1"/>
  <c r="L5203" i="7"/>
  <c r="M5203" i="7" s="1"/>
  <c r="L5204" i="7"/>
  <c r="M5204" i="7" s="1"/>
  <c r="L5205" i="7"/>
  <c r="M5205" i="7" s="1"/>
  <c r="L5206" i="7"/>
  <c r="M5206" i="7" s="1"/>
  <c r="L5207" i="7"/>
  <c r="L5208" i="7"/>
  <c r="M5208" i="7" s="1"/>
  <c r="L5209" i="7"/>
  <c r="M5209" i="7" s="1"/>
  <c r="L5210" i="7"/>
  <c r="M5210" i="7" s="1"/>
  <c r="L5211" i="7"/>
  <c r="M5211" i="7" s="1"/>
  <c r="L5212" i="7"/>
  <c r="M5212" i="7" s="1"/>
  <c r="L5213" i="7"/>
  <c r="M5213" i="7" s="1"/>
  <c r="L5214" i="7"/>
  <c r="M5214" i="7" s="1"/>
  <c r="L5215" i="7"/>
  <c r="M5215" i="7" s="1"/>
  <c r="L5216" i="7"/>
  <c r="M5216" i="7" s="1"/>
  <c r="L5217" i="7"/>
  <c r="M5217" i="7" s="1"/>
  <c r="L5218" i="7"/>
  <c r="M5218" i="7" s="1"/>
  <c r="L5219" i="7"/>
  <c r="M5219" i="7" s="1"/>
  <c r="L5220" i="7"/>
  <c r="M5220" i="7" s="1"/>
  <c r="L5221" i="7"/>
  <c r="M5221" i="7" s="1"/>
  <c r="L5222" i="7"/>
  <c r="M5222" i="7" s="1"/>
  <c r="L5223" i="7"/>
  <c r="M5223" i="7" s="1"/>
  <c r="L5224" i="7"/>
  <c r="M5224" i="7" s="1"/>
  <c r="L5225" i="7"/>
  <c r="M5225" i="7" s="1"/>
  <c r="L5226" i="7"/>
  <c r="M5226" i="7" s="1"/>
  <c r="L5227" i="7"/>
  <c r="M5227" i="7" s="1"/>
  <c r="L5228" i="7"/>
  <c r="M5228" i="7" s="1"/>
  <c r="L5229" i="7"/>
  <c r="M5229" i="7" s="1"/>
  <c r="L5230" i="7"/>
  <c r="M5230" i="7" s="1"/>
  <c r="L5231" i="7"/>
  <c r="M5231" i="7" s="1"/>
  <c r="L5232" i="7"/>
  <c r="M5232" i="7" s="1"/>
  <c r="L5233" i="7"/>
  <c r="M5233" i="7" s="1"/>
  <c r="L5234" i="7"/>
  <c r="M5234" i="7" s="1"/>
  <c r="L5235" i="7"/>
  <c r="M5235" i="7" s="1"/>
  <c r="L5236" i="7"/>
  <c r="M5236" i="7" s="1"/>
  <c r="L5237" i="7"/>
  <c r="M5237" i="7" s="1"/>
  <c r="L5238" i="7"/>
  <c r="M5238" i="7" s="1"/>
  <c r="L5239" i="7"/>
  <c r="M5239" i="7" s="1"/>
  <c r="L5240" i="7"/>
  <c r="M5240" i="7" s="1"/>
  <c r="L5241" i="7"/>
  <c r="M5241" i="7" s="1"/>
  <c r="L5242" i="7"/>
  <c r="M5242" i="7" s="1"/>
  <c r="L5243" i="7"/>
  <c r="M5243" i="7" s="1"/>
  <c r="L5244" i="7"/>
  <c r="M5244" i="7" s="1"/>
  <c r="L5245" i="7"/>
  <c r="M5245" i="7" s="1"/>
  <c r="L5246" i="7"/>
  <c r="M5246" i="7" s="1"/>
  <c r="L5247" i="7"/>
  <c r="M5247" i="7" s="1"/>
  <c r="L5248" i="7"/>
  <c r="M5248" i="7" s="1"/>
  <c r="L5249" i="7"/>
  <c r="M5249" i="7" s="1"/>
  <c r="L5250" i="7"/>
  <c r="L5251" i="7"/>
  <c r="M5251" i="7" s="1"/>
  <c r="L5252" i="7"/>
  <c r="M5252" i="7" s="1"/>
  <c r="L5253" i="7"/>
  <c r="M5253" i="7" s="1"/>
  <c r="L5254" i="7"/>
  <c r="L5255" i="7"/>
  <c r="M5255" i="7" s="1"/>
  <c r="L5256" i="7"/>
  <c r="M5256" i="7" s="1"/>
  <c r="L5257" i="7"/>
  <c r="M5257" i="7" s="1"/>
  <c r="L5258" i="7"/>
  <c r="M5258" i="7" s="1"/>
  <c r="L5259" i="7"/>
  <c r="M5259" i="7" s="1"/>
  <c r="L5260" i="7"/>
  <c r="M5260" i="7" s="1"/>
  <c r="L5261" i="7"/>
  <c r="M5261" i="7" s="1"/>
  <c r="L5262" i="7"/>
  <c r="M5262" i="7" s="1"/>
  <c r="L5263" i="7"/>
  <c r="M5263" i="7" s="1"/>
  <c r="L5264" i="7"/>
  <c r="M5264" i="7" s="1"/>
  <c r="L5265" i="7"/>
  <c r="M5265" i="7" s="1"/>
  <c r="L5266" i="7"/>
  <c r="M5266" i="7" s="1"/>
  <c r="L5267" i="7"/>
  <c r="M5267" i="7" s="1"/>
  <c r="L5268" i="7"/>
  <c r="M5268" i="7" s="1"/>
  <c r="L5269" i="7"/>
  <c r="M5269" i="7" s="1"/>
  <c r="L5270" i="7"/>
  <c r="M5270" i="7" s="1"/>
  <c r="L5271" i="7"/>
  <c r="M5271" i="7" s="1"/>
  <c r="L5272" i="7"/>
  <c r="M5272" i="7" s="1"/>
  <c r="L5273" i="7"/>
  <c r="M5273" i="7" s="1"/>
  <c r="L5274" i="7"/>
  <c r="M5274" i="7" s="1"/>
  <c r="L5275" i="7"/>
  <c r="M5275" i="7" s="1"/>
  <c r="L5276" i="7"/>
  <c r="M5276" i="7" s="1"/>
  <c r="L5277" i="7"/>
  <c r="M5277" i="7" s="1"/>
  <c r="L5278" i="7"/>
  <c r="M5278" i="7" s="1"/>
  <c r="L5279" i="7"/>
  <c r="M5279" i="7" s="1"/>
  <c r="L5280" i="7"/>
  <c r="M5280" i="7" s="1"/>
  <c r="L5281" i="7"/>
  <c r="M5281" i="7" s="1"/>
  <c r="L5282" i="7"/>
  <c r="M5282" i="7" s="1"/>
  <c r="L5283" i="7"/>
  <c r="M5283" i="7" s="1"/>
  <c r="L5284" i="7"/>
  <c r="M5284" i="7" s="1"/>
  <c r="L5285" i="7"/>
  <c r="M5285" i="7" s="1"/>
  <c r="L5286" i="7"/>
  <c r="M5286" i="7" s="1"/>
  <c r="L5287" i="7"/>
  <c r="L5288" i="7"/>
  <c r="M5288" i="7" s="1"/>
  <c r="L5289" i="7"/>
  <c r="M5289" i="7" s="1"/>
  <c r="L5290" i="7"/>
  <c r="M5290" i="7" s="1"/>
  <c r="L5291" i="7"/>
  <c r="M5291" i="7" s="1"/>
  <c r="L5292" i="7"/>
  <c r="M5292" i="7" s="1"/>
  <c r="L5293" i="7"/>
  <c r="M5293" i="7" s="1"/>
  <c r="L5294" i="7"/>
  <c r="M5294" i="7" s="1"/>
  <c r="L5295" i="7"/>
  <c r="M5295" i="7" s="1"/>
  <c r="L5296" i="7"/>
  <c r="M5296" i="7" s="1"/>
  <c r="L5297" i="7"/>
  <c r="M5297" i="7" s="1"/>
  <c r="L5298" i="7"/>
  <c r="M5298" i="7" s="1"/>
  <c r="L5299" i="7"/>
  <c r="M5299" i="7" s="1"/>
  <c r="L5300" i="7"/>
  <c r="M5300" i="7" s="1"/>
  <c r="L5301" i="7"/>
  <c r="M5301" i="7" s="1"/>
  <c r="L5302" i="7"/>
  <c r="M5302" i="7" s="1"/>
  <c r="L5303" i="7"/>
  <c r="M5303" i="7" s="1"/>
  <c r="L5304" i="7"/>
  <c r="M5304" i="7" s="1"/>
  <c r="L5305" i="7"/>
  <c r="M5305" i="7" s="1"/>
  <c r="L5306" i="7"/>
  <c r="M5306" i="7" s="1"/>
  <c r="L5307" i="7"/>
  <c r="M5307" i="7" s="1"/>
  <c r="L5308" i="7"/>
  <c r="M5308" i="7" s="1"/>
  <c r="L5309" i="7"/>
  <c r="M5309" i="7" s="1"/>
  <c r="L5310" i="7"/>
  <c r="M5310" i="7" s="1"/>
  <c r="L5311" i="7"/>
  <c r="M5311" i="7" s="1"/>
  <c r="L5312" i="7"/>
  <c r="M5312" i="7" s="1"/>
  <c r="L5313" i="7"/>
  <c r="M5313" i="7" s="1"/>
  <c r="L5314" i="7"/>
  <c r="M5314" i="7" s="1"/>
  <c r="L5315" i="7"/>
  <c r="M5315" i="7" s="1"/>
  <c r="L5316" i="7"/>
  <c r="M5316" i="7" s="1"/>
  <c r="L5317" i="7"/>
  <c r="M5317" i="7" s="1"/>
  <c r="L5318" i="7"/>
  <c r="M5318" i="7" s="1"/>
  <c r="L5319" i="7"/>
  <c r="M5319" i="7" s="1"/>
  <c r="L5320" i="7"/>
  <c r="M5320" i="7" s="1"/>
  <c r="L5321" i="7"/>
  <c r="M5321" i="7" s="1"/>
  <c r="L5322" i="7"/>
  <c r="M5322" i="7" s="1"/>
  <c r="L5323" i="7"/>
  <c r="M5323" i="7" s="1"/>
  <c r="L5324" i="7"/>
  <c r="M5324" i="7" s="1"/>
  <c r="L5325" i="7"/>
  <c r="M5325" i="7" s="1"/>
  <c r="L5326" i="7"/>
  <c r="M5326" i="7" s="1"/>
  <c r="L5327" i="7"/>
  <c r="M5327" i="7" s="1"/>
  <c r="L5328" i="7"/>
  <c r="M5328" i="7" s="1"/>
  <c r="L5329" i="7"/>
  <c r="M5329" i="7" s="1"/>
  <c r="L5330" i="7"/>
  <c r="M5330" i="7" s="1"/>
  <c r="L5331" i="7"/>
  <c r="M5331" i="7" s="1"/>
  <c r="L5332" i="7"/>
  <c r="M5332" i="7" s="1"/>
  <c r="L5333" i="7"/>
  <c r="M5333" i="7" s="1"/>
  <c r="L5334" i="7"/>
  <c r="M5334" i="7" s="1"/>
  <c r="L5335" i="7"/>
  <c r="M5335" i="7" s="1"/>
  <c r="L5336" i="7"/>
  <c r="M5336" i="7" s="1"/>
  <c r="L5337" i="7"/>
  <c r="M5337" i="7" s="1"/>
  <c r="L5338" i="7"/>
  <c r="M5338" i="7" s="1"/>
  <c r="L5339" i="7"/>
  <c r="M5339" i="7" s="1"/>
  <c r="L5340" i="7"/>
  <c r="M5340" i="7" s="1"/>
  <c r="L5341" i="7"/>
  <c r="M5341" i="7" s="1"/>
  <c r="L5342" i="7"/>
  <c r="M5342" i="7" s="1"/>
  <c r="L5343" i="7"/>
  <c r="M5343" i="7" s="1"/>
  <c r="L5344" i="7"/>
  <c r="M5344" i="7" s="1"/>
  <c r="L5345" i="7"/>
  <c r="M5345" i="7" s="1"/>
  <c r="L5346" i="7"/>
  <c r="M5346" i="7" s="1"/>
  <c r="L5347" i="7"/>
  <c r="M5347" i="7" s="1"/>
  <c r="L5348" i="7"/>
  <c r="M5348" i="7" s="1"/>
  <c r="L5349" i="7"/>
  <c r="M5349" i="7" s="1"/>
  <c r="L5350" i="7"/>
  <c r="M5350" i="7" s="1"/>
  <c r="L5351" i="7"/>
  <c r="M5351" i="7" s="1"/>
  <c r="L5352" i="7"/>
  <c r="M5352" i="7" s="1"/>
  <c r="L5353" i="7"/>
  <c r="M5353" i="7" s="1"/>
  <c r="L5354" i="7"/>
  <c r="M5354" i="7" s="1"/>
  <c r="L5355" i="7"/>
  <c r="M5355" i="7" s="1"/>
  <c r="L5356" i="7"/>
  <c r="M5356" i="7" s="1"/>
  <c r="L5357" i="7"/>
  <c r="M5357" i="7" s="1"/>
  <c r="L5358" i="7"/>
  <c r="M5358" i="7" s="1"/>
  <c r="L5359" i="7"/>
  <c r="L5360" i="7"/>
  <c r="M5360" i="7" s="1"/>
  <c r="L5361" i="7"/>
  <c r="M5361" i="7" s="1"/>
  <c r="L5362" i="7"/>
  <c r="M5362" i="7" s="1"/>
  <c r="L5363" i="7"/>
  <c r="M5363" i="7" s="1"/>
  <c r="L5364" i="7"/>
  <c r="M5364" i="7" s="1"/>
  <c r="L5365" i="7"/>
  <c r="M5365" i="7" s="1"/>
  <c r="L5366" i="7"/>
  <c r="M5366" i="7" s="1"/>
  <c r="L5367" i="7"/>
  <c r="M5367" i="7" s="1"/>
  <c r="L5368" i="7"/>
  <c r="M5368" i="7" s="1"/>
  <c r="L5369" i="7"/>
  <c r="M5369" i="7" s="1"/>
  <c r="L5370" i="7"/>
  <c r="M5370" i="7" s="1"/>
  <c r="L5371" i="7"/>
  <c r="M5371" i="7" s="1"/>
  <c r="L5372" i="7"/>
  <c r="M5372" i="7" s="1"/>
  <c r="L5373" i="7"/>
  <c r="M5373" i="7" s="1"/>
  <c r="L5374" i="7"/>
  <c r="M5374" i="7" s="1"/>
  <c r="L5375" i="7"/>
  <c r="M5375" i="7" s="1"/>
  <c r="L5376" i="7"/>
  <c r="M5376" i="7" s="1"/>
  <c r="L5377" i="7"/>
  <c r="M5377" i="7" s="1"/>
  <c r="L5378" i="7"/>
  <c r="L5379" i="7"/>
  <c r="M5379" i="7" s="1"/>
  <c r="L5380" i="7"/>
  <c r="M5380" i="7" s="1"/>
  <c r="L5381" i="7"/>
  <c r="M5381" i="7" s="1"/>
  <c r="L5382" i="7"/>
  <c r="L5383" i="7"/>
  <c r="M5383" i="7" s="1"/>
  <c r="L5384" i="7"/>
  <c r="M5384" i="7" s="1"/>
  <c r="L5385" i="7"/>
  <c r="M5385" i="7" s="1"/>
  <c r="L5386" i="7"/>
  <c r="M5386" i="7" s="1"/>
  <c r="L5387" i="7"/>
  <c r="M5387" i="7" s="1"/>
  <c r="L5388" i="7"/>
  <c r="M5388" i="7" s="1"/>
  <c r="L5389" i="7"/>
  <c r="M5389" i="7" s="1"/>
  <c r="L5390" i="7"/>
  <c r="M5390" i="7" s="1"/>
  <c r="L5391" i="7"/>
  <c r="M5391" i="7" s="1"/>
  <c r="L5392" i="7"/>
  <c r="M5392" i="7" s="1"/>
  <c r="L5393" i="7"/>
  <c r="M5393" i="7" s="1"/>
  <c r="L5394" i="7"/>
  <c r="M5394" i="7" s="1"/>
  <c r="L5395" i="7"/>
  <c r="M5395" i="7" s="1"/>
  <c r="L5396" i="7"/>
  <c r="M5396" i="7" s="1"/>
  <c r="L5397" i="7"/>
  <c r="M5397" i="7" s="1"/>
  <c r="L5398" i="7"/>
  <c r="M5398" i="7" s="1"/>
  <c r="L5399" i="7"/>
  <c r="M5399" i="7" s="1"/>
  <c r="L5400" i="7"/>
  <c r="M5400" i="7" s="1"/>
  <c r="L5401" i="7"/>
  <c r="M5401" i="7" s="1"/>
  <c r="L5402" i="7"/>
  <c r="M5402" i="7" s="1"/>
  <c r="L5403" i="7"/>
  <c r="M5403" i="7" s="1"/>
  <c r="L5404" i="7"/>
  <c r="M5404" i="7" s="1"/>
  <c r="L5405" i="7"/>
  <c r="M5405" i="7" s="1"/>
  <c r="L5406" i="7"/>
  <c r="M5406" i="7" s="1"/>
  <c r="L5407" i="7"/>
  <c r="M5407" i="7" s="1"/>
  <c r="L5408" i="7"/>
  <c r="M5408" i="7" s="1"/>
  <c r="L5409" i="7"/>
  <c r="M5409" i="7" s="1"/>
  <c r="L5410" i="7"/>
  <c r="M5410" i="7" s="1"/>
  <c r="L5411" i="7"/>
  <c r="M5411" i="7" s="1"/>
  <c r="L5412" i="7"/>
  <c r="M5412" i="7" s="1"/>
  <c r="L5413" i="7"/>
  <c r="M5413" i="7" s="1"/>
  <c r="L5414" i="7"/>
  <c r="M5414" i="7" s="1"/>
  <c r="L5415" i="7"/>
  <c r="M5415" i="7" s="1"/>
  <c r="L5416" i="7"/>
  <c r="M5416" i="7" s="1"/>
  <c r="L5417" i="7"/>
  <c r="M5417" i="7" s="1"/>
  <c r="L5418" i="7"/>
  <c r="M5418" i="7" s="1"/>
  <c r="L5419" i="7"/>
  <c r="M5419" i="7" s="1"/>
  <c r="L5420" i="7"/>
  <c r="M5420" i="7" s="1"/>
  <c r="L5421" i="7"/>
  <c r="M5421" i="7" s="1"/>
  <c r="L5422" i="7"/>
  <c r="M5422" i="7" s="1"/>
  <c r="L5423" i="7"/>
  <c r="M5423" i="7" s="1"/>
  <c r="L5424" i="7"/>
  <c r="M5424" i="7" s="1"/>
  <c r="L5425" i="7"/>
  <c r="M5425" i="7" s="1"/>
  <c r="L5426" i="7"/>
  <c r="M5426" i="7" s="1"/>
  <c r="L5427" i="7"/>
  <c r="M5427" i="7" s="1"/>
  <c r="L5428" i="7"/>
  <c r="M5428" i="7" s="1"/>
  <c r="L5429" i="7"/>
  <c r="M5429" i="7" s="1"/>
  <c r="L5430" i="7"/>
  <c r="M5430" i="7" s="1"/>
  <c r="L5431" i="7"/>
  <c r="L5432" i="7"/>
  <c r="M5432" i="7" s="1"/>
  <c r="L5433" i="7"/>
  <c r="M5433" i="7" s="1"/>
  <c r="L5434" i="7"/>
  <c r="M5434" i="7" s="1"/>
  <c r="L5435" i="7"/>
  <c r="M5435" i="7" s="1"/>
  <c r="L5436" i="7"/>
  <c r="M5436" i="7" s="1"/>
  <c r="L5437" i="7"/>
  <c r="M5437" i="7" s="1"/>
  <c r="L5438" i="7"/>
  <c r="M5438" i="7" s="1"/>
  <c r="L5439" i="7"/>
  <c r="L5440" i="7"/>
  <c r="M5440" i="7" s="1"/>
  <c r="L5441" i="7"/>
  <c r="M5441" i="7" s="1"/>
  <c r="L5442" i="7"/>
  <c r="M5442" i="7" s="1"/>
  <c r="L5443" i="7"/>
  <c r="M5443" i="7" s="1"/>
  <c r="L5444" i="7"/>
  <c r="M5444" i="7" s="1"/>
  <c r="L5445" i="7"/>
  <c r="M5445" i="7" s="1"/>
  <c r="L5446" i="7"/>
  <c r="M5446" i="7" s="1"/>
  <c r="L5447" i="7"/>
  <c r="M5447" i="7" s="1"/>
  <c r="L5448" i="7"/>
  <c r="M5448" i="7" s="1"/>
  <c r="L5449" i="7"/>
  <c r="M5449" i="7" s="1"/>
  <c r="L5450" i="7"/>
  <c r="M5450" i="7" s="1"/>
  <c r="L5451" i="7"/>
  <c r="M5451" i="7" s="1"/>
  <c r="L5452" i="7"/>
  <c r="M5452" i="7" s="1"/>
  <c r="L5453" i="7"/>
  <c r="M5453" i="7" s="1"/>
  <c r="L5454" i="7"/>
  <c r="M5454" i="7" s="1"/>
  <c r="L5455" i="7"/>
  <c r="M5455" i="7" s="1"/>
  <c r="L5456" i="7"/>
  <c r="M5456" i="7" s="1"/>
  <c r="L5457" i="7"/>
  <c r="M5457" i="7" s="1"/>
  <c r="L5458" i="7"/>
  <c r="M5458" i="7" s="1"/>
  <c r="L5459" i="7"/>
  <c r="M5459" i="7" s="1"/>
  <c r="L5460" i="7"/>
  <c r="M5460" i="7" s="1"/>
  <c r="L5461" i="7"/>
  <c r="M5461" i="7" s="1"/>
  <c r="L5462" i="7"/>
  <c r="M5462" i="7" s="1"/>
  <c r="L5463" i="7"/>
  <c r="M5463" i="7" s="1"/>
  <c r="L5464" i="7"/>
  <c r="M5464" i="7" s="1"/>
  <c r="L5465" i="7"/>
  <c r="M5465" i="7" s="1"/>
  <c r="L5466" i="7"/>
  <c r="M5466" i="7" s="1"/>
  <c r="L5467" i="7"/>
  <c r="M5467" i="7" s="1"/>
  <c r="L5468" i="7"/>
  <c r="M5468" i="7" s="1"/>
  <c r="L5469" i="7"/>
  <c r="M5469" i="7" s="1"/>
  <c r="L5470" i="7"/>
  <c r="M5470" i="7" s="1"/>
  <c r="L5471" i="7"/>
  <c r="M5471" i="7" s="1"/>
  <c r="L5472" i="7"/>
  <c r="M5472" i="7" s="1"/>
  <c r="L5473" i="7"/>
  <c r="M5473" i="7" s="1"/>
  <c r="L5474" i="7"/>
  <c r="M5474" i="7" s="1"/>
  <c r="L5475" i="7"/>
  <c r="M5475" i="7" s="1"/>
  <c r="L5476" i="7"/>
  <c r="M5476" i="7" s="1"/>
  <c r="L5477" i="7"/>
  <c r="M5477" i="7" s="1"/>
  <c r="L5478" i="7"/>
  <c r="M5478" i="7" s="1"/>
  <c r="L5479" i="7"/>
  <c r="M5479" i="7" s="1"/>
  <c r="L5480" i="7"/>
  <c r="M5480" i="7" s="1"/>
  <c r="L5481" i="7"/>
  <c r="M5481" i="7" s="1"/>
  <c r="L5482" i="7"/>
  <c r="M5482" i="7" s="1"/>
  <c r="L5483" i="7"/>
  <c r="M5483" i="7" s="1"/>
  <c r="L5484" i="7"/>
  <c r="M5484" i="7" s="1"/>
  <c r="L5485" i="7"/>
  <c r="M5485" i="7" s="1"/>
  <c r="L5486" i="7"/>
  <c r="M5486" i="7" s="1"/>
  <c r="L5487" i="7"/>
  <c r="M5487" i="7" s="1"/>
  <c r="L5488" i="7"/>
  <c r="M5488" i="7" s="1"/>
  <c r="L5489" i="7"/>
  <c r="M5489" i="7" s="1"/>
  <c r="L5490" i="7"/>
  <c r="M5490" i="7" s="1"/>
  <c r="L5491" i="7"/>
  <c r="M5491" i="7" s="1"/>
  <c r="L5492" i="7"/>
  <c r="M5492" i="7" s="1"/>
  <c r="L5493" i="7"/>
  <c r="M5493" i="7" s="1"/>
  <c r="L5494" i="7"/>
  <c r="M5494" i="7" s="1"/>
  <c r="L5495" i="7"/>
  <c r="M5495" i="7" s="1"/>
  <c r="L5496" i="7"/>
  <c r="M5496" i="7" s="1"/>
  <c r="L5497" i="7"/>
  <c r="M5497" i="7" s="1"/>
  <c r="L5498" i="7"/>
  <c r="M5498" i="7" s="1"/>
  <c r="L5499" i="7"/>
  <c r="M5499" i="7" s="1"/>
  <c r="L5500" i="7"/>
  <c r="M5500" i="7" s="1"/>
  <c r="L5501" i="7"/>
  <c r="M5501" i="7" s="1"/>
  <c r="L5502" i="7"/>
  <c r="M5502" i="7" s="1"/>
  <c r="L5503" i="7"/>
  <c r="M5503" i="7" s="1"/>
  <c r="L5504" i="7"/>
  <c r="M5504" i="7" s="1"/>
  <c r="L5505" i="7"/>
  <c r="M5505" i="7" s="1"/>
  <c r="L5506" i="7"/>
  <c r="M5506" i="7" s="1"/>
  <c r="L5507" i="7"/>
  <c r="M5507" i="7" s="1"/>
  <c r="L5508" i="7"/>
  <c r="M5508" i="7" s="1"/>
  <c r="L5509" i="7"/>
  <c r="M5509" i="7" s="1"/>
  <c r="L5510" i="7"/>
  <c r="M5510" i="7" s="1"/>
  <c r="L5511" i="7"/>
  <c r="M5511" i="7" s="1"/>
  <c r="L5512" i="7"/>
  <c r="M5512" i="7" s="1"/>
  <c r="L5513" i="7"/>
  <c r="M5513" i="7" s="1"/>
  <c r="L5514" i="7"/>
  <c r="M5514" i="7" s="1"/>
  <c r="L5515" i="7"/>
  <c r="M5515" i="7" s="1"/>
  <c r="L5516" i="7"/>
  <c r="M5516" i="7" s="1"/>
  <c r="L5517" i="7"/>
  <c r="M5517" i="7" s="1"/>
  <c r="L5518" i="7"/>
  <c r="M5518" i="7" s="1"/>
  <c r="L5519" i="7"/>
  <c r="M5519" i="7" s="1"/>
  <c r="L5520" i="7"/>
  <c r="M5520" i="7" s="1"/>
  <c r="L5521" i="7"/>
  <c r="M5521" i="7" s="1"/>
  <c r="L5522" i="7"/>
  <c r="M5522" i="7" s="1"/>
  <c r="L5523" i="7"/>
  <c r="M5523" i="7" s="1"/>
  <c r="L5524" i="7"/>
  <c r="M5524" i="7" s="1"/>
  <c r="L5525" i="7"/>
  <c r="M5525" i="7" s="1"/>
  <c r="L5526" i="7"/>
  <c r="M5526" i="7" s="1"/>
  <c r="L5527" i="7"/>
  <c r="M5527" i="7" s="1"/>
  <c r="L5528" i="7"/>
  <c r="M5528" i="7" s="1"/>
  <c r="L5529" i="7"/>
  <c r="M5529" i="7" s="1"/>
  <c r="L5530" i="7"/>
  <c r="M5530" i="7" s="1"/>
  <c r="L5531" i="7"/>
  <c r="M5531" i="7" s="1"/>
  <c r="L5532" i="7"/>
  <c r="M5532" i="7" s="1"/>
  <c r="L5533" i="7"/>
  <c r="M5533" i="7" s="1"/>
  <c r="L5534" i="7"/>
  <c r="M5534" i="7" s="1"/>
  <c r="L5535" i="7"/>
  <c r="M5535" i="7" s="1"/>
  <c r="L5536" i="7"/>
  <c r="M5536" i="7" s="1"/>
  <c r="L5537" i="7"/>
  <c r="M5537" i="7" s="1"/>
  <c r="L5538" i="7"/>
  <c r="M5538" i="7" s="1"/>
  <c r="L5539" i="7"/>
  <c r="M5539" i="7" s="1"/>
  <c r="L5540" i="7"/>
  <c r="M5540" i="7" s="1"/>
  <c r="L5541" i="7"/>
  <c r="M5541" i="7" s="1"/>
  <c r="L5542" i="7"/>
  <c r="M5542" i="7" s="1"/>
  <c r="L5543" i="7"/>
  <c r="M5543" i="7" s="1"/>
  <c r="L5544" i="7"/>
  <c r="M5544" i="7" s="1"/>
  <c r="L5545" i="7"/>
  <c r="L5546" i="7"/>
  <c r="M5546" i="7" s="1"/>
  <c r="L5547" i="7"/>
  <c r="M5547" i="7" s="1"/>
  <c r="L5548" i="7"/>
  <c r="M5548" i="7" s="1"/>
  <c r="L5549" i="7"/>
  <c r="M5549" i="7" s="1"/>
  <c r="L5550" i="7"/>
  <c r="M5550" i="7" s="1"/>
  <c r="L5551" i="7"/>
  <c r="M5551" i="7" s="1"/>
  <c r="L5552" i="7"/>
  <c r="M5552" i="7" s="1"/>
  <c r="L5553" i="7"/>
  <c r="M5553" i="7" s="1"/>
  <c r="L5554" i="7"/>
  <c r="M5554" i="7" s="1"/>
  <c r="L5555" i="7"/>
  <c r="M5555" i="7" s="1"/>
  <c r="L5556" i="7"/>
  <c r="M5556" i="7" s="1"/>
  <c r="L5557" i="7"/>
  <c r="M5557" i="7" s="1"/>
  <c r="L5558" i="7"/>
  <c r="M5558" i="7" s="1"/>
  <c r="L5559" i="7"/>
  <c r="M5559" i="7" s="1"/>
  <c r="L5560" i="7"/>
  <c r="M5560" i="7" s="1"/>
  <c r="L5561" i="7"/>
  <c r="M5561" i="7" s="1"/>
  <c r="L5562" i="7"/>
  <c r="M5562" i="7" s="1"/>
  <c r="L5563" i="7"/>
  <c r="M5563" i="7" s="1"/>
  <c r="L5564" i="7"/>
  <c r="M5564" i="7" s="1"/>
  <c r="L5565" i="7"/>
  <c r="M5565" i="7" s="1"/>
  <c r="L5566" i="7"/>
  <c r="M5566" i="7" s="1"/>
  <c r="L5567" i="7"/>
  <c r="M5567" i="7" s="1"/>
  <c r="L5568" i="7"/>
  <c r="M5568" i="7" s="1"/>
  <c r="L5569" i="7"/>
  <c r="M5569" i="7" s="1"/>
  <c r="L5570" i="7"/>
  <c r="M5570" i="7" s="1"/>
  <c r="L5571" i="7"/>
  <c r="M5571" i="7" s="1"/>
  <c r="L5572" i="7"/>
  <c r="M5572" i="7" s="1"/>
  <c r="L5573" i="7"/>
  <c r="M5573" i="7" s="1"/>
  <c r="L5574" i="7"/>
  <c r="M5574" i="7" s="1"/>
  <c r="L5575" i="7"/>
  <c r="M5575" i="7" s="1"/>
  <c r="L5576" i="7"/>
  <c r="M5576" i="7" s="1"/>
  <c r="L5577" i="7"/>
  <c r="M5577" i="7" s="1"/>
  <c r="L5578" i="7"/>
  <c r="M5578" i="7" s="1"/>
  <c r="L5579" i="7"/>
  <c r="M5579" i="7" s="1"/>
  <c r="L5580" i="7"/>
  <c r="M5580" i="7" s="1"/>
  <c r="L5581" i="7"/>
  <c r="M5581" i="7" s="1"/>
  <c r="L5582" i="7"/>
  <c r="M5582" i="7" s="1"/>
  <c r="L5583" i="7"/>
  <c r="M5583" i="7" s="1"/>
  <c r="L5584" i="7"/>
  <c r="M5584" i="7" s="1"/>
  <c r="L5585" i="7"/>
  <c r="L5586" i="7"/>
  <c r="M5586" i="7" s="1"/>
  <c r="L5587" i="7"/>
  <c r="M5587" i="7" s="1"/>
  <c r="L5588" i="7"/>
  <c r="M5588" i="7" s="1"/>
  <c r="L5589" i="7"/>
  <c r="M5589" i="7" s="1"/>
  <c r="L5590" i="7"/>
  <c r="M5590" i="7" s="1"/>
  <c r="L5591" i="7"/>
  <c r="M5591" i="7" s="1"/>
  <c r="L5592" i="7"/>
  <c r="M5592" i="7" s="1"/>
  <c r="L5593" i="7"/>
  <c r="M5593" i="7" s="1"/>
  <c r="L5594" i="7"/>
  <c r="M5594" i="7" s="1"/>
  <c r="L5595" i="7"/>
  <c r="M5595" i="7" s="1"/>
  <c r="L5596" i="7"/>
  <c r="M5596" i="7" s="1"/>
  <c r="L5597" i="7"/>
  <c r="M5597" i="7" s="1"/>
  <c r="L5598" i="7"/>
  <c r="M5598" i="7" s="1"/>
  <c r="L5599" i="7"/>
  <c r="M5599" i="7" s="1"/>
  <c r="L5600" i="7"/>
  <c r="M5600" i="7" s="1"/>
  <c r="L5601" i="7"/>
  <c r="M5601" i="7" s="1"/>
  <c r="L5602" i="7"/>
  <c r="M5602" i="7" s="1"/>
  <c r="L5603" i="7"/>
  <c r="M5603" i="7" s="1"/>
  <c r="L5604" i="7"/>
  <c r="M5604" i="7" s="1"/>
  <c r="L5605" i="7"/>
  <c r="M5605" i="7" s="1"/>
  <c r="L5606" i="7"/>
  <c r="M5606" i="7" s="1"/>
  <c r="L5607" i="7"/>
  <c r="M5607" i="7" s="1"/>
  <c r="L5608" i="7"/>
  <c r="M5608" i="7" s="1"/>
  <c r="L5609" i="7"/>
  <c r="M5609" i="7" s="1"/>
  <c r="L5610" i="7"/>
  <c r="M5610" i="7" s="1"/>
  <c r="L5611" i="7"/>
  <c r="M5611" i="7" s="1"/>
  <c r="L5612" i="7"/>
  <c r="M5612" i="7" s="1"/>
  <c r="L5613" i="7"/>
  <c r="M5613" i="7" s="1"/>
  <c r="L5614" i="7"/>
  <c r="M5614" i="7" s="1"/>
  <c r="L5615" i="7"/>
  <c r="M5615" i="7" s="1"/>
  <c r="L5616" i="7"/>
  <c r="M5616" i="7" s="1"/>
  <c r="L5617" i="7"/>
  <c r="M5617" i="7" s="1"/>
  <c r="L5618" i="7"/>
  <c r="M5618" i="7" s="1"/>
  <c r="L5619" i="7"/>
  <c r="M5619" i="7" s="1"/>
  <c r="L5620" i="7"/>
  <c r="M5620" i="7" s="1"/>
  <c r="L5621" i="7"/>
  <c r="M5621" i="7" s="1"/>
  <c r="L5622" i="7"/>
  <c r="M5622" i="7" s="1"/>
  <c r="L5623" i="7"/>
  <c r="M5623" i="7" s="1"/>
  <c r="L5624" i="7"/>
  <c r="M5624" i="7" s="1"/>
  <c r="L5625" i="7"/>
  <c r="M5625" i="7" s="1"/>
  <c r="L5626" i="7"/>
  <c r="M5626" i="7" s="1"/>
  <c r="L5627" i="7"/>
  <c r="M5627" i="7" s="1"/>
  <c r="L5628" i="7"/>
  <c r="M5628" i="7" s="1"/>
  <c r="L5629" i="7"/>
  <c r="M5629" i="7" s="1"/>
  <c r="L5630" i="7"/>
  <c r="M5630" i="7" s="1"/>
  <c r="L5631" i="7"/>
  <c r="M5631" i="7" s="1"/>
  <c r="L5632" i="7"/>
  <c r="M5632" i="7" s="1"/>
  <c r="L5633" i="7"/>
  <c r="M5633" i="7" s="1"/>
  <c r="L5634" i="7"/>
  <c r="M5634" i="7" s="1"/>
  <c r="L5635" i="7"/>
  <c r="M5635" i="7" s="1"/>
  <c r="L5636" i="7"/>
  <c r="M5636" i="7" s="1"/>
  <c r="L5637" i="7"/>
  <c r="M5637" i="7" s="1"/>
  <c r="L5638" i="7"/>
  <c r="M5638" i="7" s="1"/>
  <c r="L5639" i="7"/>
  <c r="M5639" i="7" s="1"/>
  <c r="L5640" i="7"/>
  <c r="M5640" i="7" s="1"/>
  <c r="L5641" i="7"/>
  <c r="M5641" i="7" s="1"/>
  <c r="L5642" i="7"/>
  <c r="M5642" i="7" s="1"/>
  <c r="L5643" i="7"/>
  <c r="M5643" i="7" s="1"/>
  <c r="L5644" i="7"/>
  <c r="M5644" i="7" s="1"/>
  <c r="L5645" i="7"/>
  <c r="M5645" i="7" s="1"/>
  <c r="L5646" i="7"/>
  <c r="M5646" i="7" s="1"/>
  <c r="L5647" i="7"/>
  <c r="M5647" i="7" s="1"/>
  <c r="L5648" i="7"/>
  <c r="M5648" i="7" s="1"/>
  <c r="L5649" i="7"/>
  <c r="M5649" i="7" s="1"/>
  <c r="L5650" i="7"/>
  <c r="M5650" i="7" s="1"/>
  <c r="L5651" i="7"/>
  <c r="M5651" i="7" s="1"/>
  <c r="L5652" i="7"/>
  <c r="M5652" i="7" s="1"/>
  <c r="L5653" i="7"/>
  <c r="M5653" i="7" s="1"/>
  <c r="L5654" i="7"/>
  <c r="M5654" i="7" s="1"/>
  <c r="L5655" i="7"/>
  <c r="M5655" i="7" s="1"/>
  <c r="L5656" i="7"/>
  <c r="M5656" i="7" s="1"/>
  <c r="L5657" i="7"/>
  <c r="M5657" i="7" s="1"/>
  <c r="L5658" i="7"/>
  <c r="M5658" i="7" s="1"/>
  <c r="L5659" i="7"/>
  <c r="M5659" i="7" s="1"/>
  <c r="L5660" i="7"/>
  <c r="M5660" i="7" s="1"/>
  <c r="L5661" i="7"/>
  <c r="M5661" i="7" s="1"/>
  <c r="L5662" i="7"/>
  <c r="M5662" i="7" s="1"/>
  <c r="L5663" i="7"/>
  <c r="M5663" i="7" s="1"/>
  <c r="L5664" i="7"/>
  <c r="M5664" i="7" s="1"/>
  <c r="L5665" i="7"/>
  <c r="M5665" i="7" s="1"/>
  <c r="L5666" i="7"/>
  <c r="M5666" i="7" s="1"/>
  <c r="L5667" i="7"/>
  <c r="M5667" i="7" s="1"/>
  <c r="L5668" i="7"/>
  <c r="M5668" i="7" s="1"/>
  <c r="L5669" i="7"/>
  <c r="M5669" i="7" s="1"/>
  <c r="L5670" i="7"/>
  <c r="M5670" i="7" s="1"/>
  <c r="L5671" i="7"/>
  <c r="M5671" i="7" s="1"/>
  <c r="L5672" i="7"/>
  <c r="M5672" i="7" s="1"/>
  <c r="L5673" i="7"/>
  <c r="M5673" i="7" s="1"/>
  <c r="L5674" i="7"/>
  <c r="M5674" i="7" s="1"/>
  <c r="L5675" i="7"/>
  <c r="M5675" i="7" s="1"/>
  <c r="L5676" i="7"/>
  <c r="M5676" i="7" s="1"/>
  <c r="L5677" i="7"/>
  <c r="M5677" i="7" s="1"/>
  <c r="L5678" i="7"/>
  <c r="M5678" i="7" s="1"/>
  <c r="L5679" i="7"/>
  <c r="M5679" i="7" s="1"/>
  <c r="L5680" i="7"/>
  <c r="M5680" i="7" s="1"/>
  <c r="L5681" i="7"/>
  <c r="M5681" i="7" s="1"/>
  <c r="L5682" i="7"/>
  <c r="M5682" i="7" s="1"/>
  <c r="L5683" i="7"/>
  <c r="M5683" i="7" s="1"/>
  <c r="L5684" i="7"/>
  <c r="M5684" i="7" s="1"/>
  <c r="L5685" i="7"/>
  <c r="M5685" i="7" s="1"/>
  <c r="L5686" i="7"/>
  <c r="M5686" i="7" s="1"/>
  <c r="L5687" i="7"/>
  <c r="M5687" i="7" s="1"/>
  <c r="L5688" i="7"/>
  <c r="M5688" i="7" s="1"/>
  <c r="L5689" i="7"/>
  <c r="M5689" i="7" s="1"/>
  <c r="L5690" i="7"/>
  <c r="M5690" i="7" s="1"/>
  <c r="L5691" i="7"/>
  <c r="M5691" i="7" s="1"/>
  <c r="L5692" i="7"/>
  <c r="M5692" i="7" s="1"/>
  <c r="L5693" i="7"/>
  <c r="M5693" i="7" s="1"/>
  <c r="L5694" i="7"/>
  <c r="M5694" i="7" s="1"/>
  <c r="L5695" i="7"/>
  <c r="M5695" i="7" s="1"/>
  <c r="L5696" i="7"/>
  <c r="M5696" i="7" s="1"/>
  <c r="L5697" i="7"/>
  <c r="M5697" i="7" s="1"/>
  <c r="L5698" i="7"/>
  <c r="M5698" i="7" s="1"/>
  <c r="L5699" i="7"/>
  <c r="M5699" i="7" s="1"/>
  <c r="L5700" i="7"/>
  <c r="M5700" i="7" s="1"/>
  <c r="L5701" i="7"/>
  <c r="M5701" i="7" s="1"/>
  <c r="L5702" i="7"/>
  <c r="M5702" i="7" s="1"/>
  <c r="L5703" i="7"/>
  <c r="M5703" i="7" s="1"/>
  <c r="L5704" i="7"/>
  <c r="M5704" i="7" s="1"/>
  <c r="L5705" i="7"/>
  <c r="M5705" i="7" s="1"/>
  <c r="L5706" i="7"/>
  <c r="M5706" i="7" s="1"/>
  <c r="L5707" i="7"/>
  <c r="M5707" i="7" s="1"/>
  <c r="L5708" i="7"/>
  <c r="M5708" i="7" s="1"/>
  <c r="L5709" i="7"/>
  <c r="M5709" i="7" s="1"/>
  <c r="L5710" i="7"/>
  <c r="M5710" i="7" s="1"/>
  <c r="L5711" i="7"/>
  <c r="M5711" i="7" s="1"/>
  <c r="L5712" i="7"/>
  <c r="M5712" i="7" s="1"/>
  <c r="L5713" i="7"/>
  <c r="M5713" i="7" s="1"/>
  <c r="L5714" i="7"/>
  <c r="M5714" i="7" s="1"/>
  <c r="L5715" i="7"/>
  <c r="M5715" i="7" s="1"/>
  <c r="L5716" i="7"/>
  <c r="M5716" i="7" s="1"/>
  <c r="L5717" i="7"/>
  <c r="M5717" i="7" s="1"/>
  <c r="L5718" i="7"/>
  <c r="M5718" i="7" s="1"/>
  <c r="L5719" i="7"/>
  <c r="M5719" i="7" s="1"/>
  <c r="L5720" i="7"/>
  <c r="M5720" i="7" s="1"/>
  <c r="L5721" i="7"/>
  <c r="M5721" i="7" s="1"/>
  <c r="L5722" i="7"/>
  <c r="M5722" i="7" s="1"/>
  <c r="L5723" i="7"/>
  <c r="M5723" i="7" s="1"/>
  <c r="L5724" i="7"/>
  <c r="M5724" i="7" s="1"/>
  <c r="L5725" i="7"/>
  <c r="M5725" i="7" s="1"/>
  <c r="L5726" i="7"/>
  <c r="M5726" i="7" s="1"/>
  <c r="L5727" i="7"/>
  <c r="M5727" i="7" s="1"/>
  <c r="L5728" i="7"/>
  <c r="M5728" i="7" s="1"/>
  <c r="L5729" i="7"/>
  <c r="M5729" i="7" s="1"/>
  <c r="L5730" i="7"/>
  <c r="M5730" i="7" s="1"/>
  <c r="L5731" i="7"/>
  <c r="M5731" i="7" s="1"/>
  <c r="L5732" i="7"/>
  <c r="M5732" i="7" s="1"/>
  <c r="L5733" i="7"/>
  <c r="M5733" i="7" s="1"/>
  <c r="L5734" i="7"/>
  <c r="M5734" i="7" s="1"/>
  <c r="L5735" i="7"/>
  <c r="M5735" i="7" s="1"/>
  <c r="L5736" i="7"/>
  <c r="M5736" i="7" s="1"/>
  <c r="L5737" i="7"/>
  <c r="M5737" i="7" s="1"/>
  <c r="L5738" i="7"/>
  <c r="M5738" i="7" s="1"/>
  <c r="L5739" i="7"/>
  <c r="M5739" i="7" s="1"/>
  <c r="L5740" i="7"/>
  <c r="M5740" i="7" s="1"/>
  <c r="L5741" i="7"/>
  <c r="M5741" i="7" s="1"/>
  <c r="L5742" i="7"/>
  <c r="M5742" i="7" s="1"/>
  <c r="L5743" i="7"/>
  <c r="M5743" i="7" s="1"/>
  <c r="L5744" i="7"/>
  <c r="M5744" i="7" s="1"/>
  <c r="L5745" i="7"/>
  <c r="M5745" i="7" s="1"/>
  <c r="L5746" i="7"/>
  <c r="M5746" i="7" s="1"/>
  <c r="L5747" i="7"/>
  <c r="M5747" i="7" s="1"/>
  <c r="L5748" i="7"/>
  <c r="M5748" i="7" s="1"/>
  <c r="L5749" i="7"/>
  <c r="M5749" i="7" s="1"/>
  <c r="L5750" i="7"/>
  <c r="M5750" i="7" s="1"/>
  <c r="L5751" i="7"/>
  <c r="M5751" i="7" s="1"/>
  <c r="L5752" i="7"/>
  <c r="M5752" i="7" s="1"/>
  <c r="L5753" i="7"/>
  <c r="M5753" i="7" s="1"/>
  <c r="L5754" i="7"/>
  <c r="M5754" i="7" s="1"/>
  <c r="L5755" i="7"/>
  <c r="M5755" i="7" s="1"/>
  <c r="L5756" i="7"/>
  <c r="M5756" i="7" s="1"/>
  <c r="L5757" i="7"/>
  <c r="M5757" i="7" s="1"/>
  <c r="L5758" i="7"/>
  <c r="M5758" i="7" s="1"/>
  <c r="L5759" i="7"/>
  <c r="M5759" i="7" s="1"/>
  <c r="L5760" i="7"/>
  <c r="M5760" i="7" s="1"/>
  <c r="L5761" i="7"/>
  <c r="M5761" i="7" s="1"/>
  <c r="L5762" i="7"/>
  <c r="M5762" i="7" s="1"/>
  <c r="L5763" i="7"/>
  <c r="M5763" i="7" s="1"/>
  <c r="L5764" i="7"/>
  <c r="M5764" i="7" s="1"/>
  <c r="L5765" i="7"/>
  <c r="M5765" i="7" s="1"/>
  <c r="L5766" i="7"/>
  <c r="M5766" i="7" s="1"/>
  <c r="L5767" i="7"/>
  <c r="M5767" i="7" s="1"/>
  <c r="L5768" i="7"/>
  <c r="M5768" i="7" s="1"/>
  <c r="L5769" i="7"/>
  <c r="M5769" i="7" s="1"/>
  <c r="L5770" i="7"/>
  <c r="M5770" i="7" s="1"/>
  <c r="L5771" i="7"/>
  <c r="M5771" i="7" s="1"/>
  <c r="L5772" i="7"/>
  <c r="M5772" i="7" s="1"/>
  <c r="L5773" i="7"/>
  <c r="M5773" i="7" s="1"/>
  <c r="L5774" i="7"/>
  <c r="M5774" i="7" s="1"/>
  <c r="L5775" i="7"/>
  <c r="M5775" i="7" s="1"/>
  <c r="L5776" i="7"/>
  <c r="M5776" i="7" s="1"/>
  <c r="L5777" i="7"/>
  <c r="M5777" i="7" s="1"/>
  <c r="L5778" i="7"/>
  <c r="M5778" i="7" s="1"/>
  <c r="L5779" i="7"/>
  <c r="M5779" i="7" s="1"/>
  <c r="L5780" i="7"/>
  <c r="M5780" i="7" s="1"/>
  <c r="L5781" i="7"/>
  <c r="M5781" i="7" s="1"/>
  <c r="L5782" i="7"/>
  <c r="M5782" i="7" s="1"/>
  <c r="L5783" i="7"/>
  <c r="M5783" i="7" s="1"/>
  <c r="L5784" i="7"/>
  <c r="M5784" i="7" s="1"/>
  <c r="L5785" i="7"/>
  <c r="M5785" i="7" s="1"/>
  <c r="L5786" i="7"/>
  <c r="M5786" i="7" s="1"/>
  <c r="L5787" i="7"/>
  <c r="M5787" i="7" s="1"/>
  <c r="L5788" i="7"/>
  <c r="M5788" i="7" s="1"/>
  <c r="L5789" i="7"/>
  <c r="M5789" i="7" s="1"/>
  <c r="L5790" i="7"/>
  <c r="M5790" i="7" s="1"/>
  <c r="L5791" i="7"/>
  <c r="M5791" i="7" s="1"/>
  <c r="L5792" i="7"/>
  <c r="M5792" i="7" s="1"/>
  <c r="L5793" i="7"/>
  <c r="M5793" i="7" s="1"/>
  <c r="L5794" i="7"/>
  <c r="M5794" i="7" s="1"/>
  <c r="L5795" i="7"/>
  <c r="M5795" i="7" s="1"/>
  <c r="L5796" i="7"/>
  <c r="M5796" i="7" s="1"/>
  <c r="L5797" i="7"/>
  <c r="M5797" i="7" s="1"/>
  <c r="L5798" i="7"/>
  <c r="M5798" i="7" s="1"/>
  <c r="L5799" i="7"/>
  <c r="M5799" i="7" s="1"/>
  <c r="L5800" i="7"/>
  <c r="M5800" i="7" s="1"/>
  <c r="L5801" i="7"/>
  <c r="M5801" i="7" s="1"/>
  <c r="L5802" i="7"/>
  <c r="M5802" i="7" s="1"/>
  <c r="L5803" i="7"/>
  <c r="M5803" i="7" s="1"/>
  <c r="L5804" i="7"/>
  <c r="M5804" i="7" s="1"/>
  <c r="L5805" i="7"/>
  <c r="M5805" i="7" s="1"/>
  <c r="L5806" i="7"/>
  <c r="M5806" i="7" s="1"/>
  <c r="L5807" i="7"/>
  <c r="M5807" i="7" s="1"/>
  <c r="L5808" i="7"/>
  <c r="M5808" i="7" s="1"/>
  <c r="L5809" i="7"/>
  <c r="M5809" i="7" s="1"/>
  <c r="L5810" i="7"/>
  <c r="L5811" i="7"/>
  <c r="M5811" i="7" s="1"/>
  <c r="L5812" i="7"/>
  <c r="M5812" i="7" s="1"/>
  <c r="L5813" i="7"/>
  <c r="M5813" i="7" s="1"/>
  <c r="L5814" i="7"/>
  <c r="M5814" i="7" s="1"/>
  <c r="L5815" i="7"/>
  <c r="M5815" i="7" s="1"/>
  <c r="L5816" i="7"/>
  <c r="M5816" i="7" s="1"/>
  <c r="L5817" i="7"/>
  <c r="M5817" i="7" s="1"/>
  <c r="L5818" i="7"/>
  <c r="M5818" i="7" s="1"/>
  <c r="L5819" i="7"/>
  <c r="M5819" i="7" s="1"/>
  <c r="L5820" i="7"/>
  <c r="M5820" i="7" s="1"/>
  <c r="L5821" i="7"/>
  <c r="M5821" i="7" s="1"/>
  <c r="L5822" i="7"/>
  <c r="M5822" i="7" s="1"/>
  <c r="L5823" i="7"/>
  <c r="M5823" i="7" s="1"/>
  <c r="L5824" i="7"/>
  <c r="M5824" i="7" s="1"/>
  <c r="L5825" i="7"/>
  <c r="M5825" i="7" s="1"/>
  <c r="L5826" i="7"/>
  <c r="M5826" i="7" s="1"/>
  <c r="L5827" i="7"/>
  <c r="M5827" i="7" s="1"/>
  <c r="L5828" i="7"/>
  <c r="M5828" i="7" s="1"/>
  <c r="L5829" i="7"/>
  <c r="M5829" i="7" s="1"/>
  <c r="L5830" i="7"/>
  <c r="M5830" i="7" s="1"/>
  <c r="L5831" i="7"/>
  <c r="M5831" i="7" s="1"/>
  <c r="L5832" i="7"/>
  <c r="M5832" i="7" s="1"/>
  <c r="L5833" i="7"/>
  <c r="M5833" i="7" s="1"/>
  <c r="L5834" i="7"/>
  <c r="M5834" i="7" s="1"/>
  <c r="L5835" i="7"/>
  <c r="M5835" i="7" s="1"/>
  <c r="L5836" i="7"/>
  <c r="M5836" i="7" s="1"/>
  <c r="L5837" i="7"/>
  <c r="M5837" i="7" s="1"/>
  <c r="L5838" i="7"/>
  <c r="M5838" i="7" s="1"/>
  <c r="L5839" i="7"/>
  <c r="M5839" i="7" s="1"/>
  <c r="L5840" i="7"/>
  <c r="M5840" i="7" s="1"/>
  <c r="L5841" i="7"/>
  <c r="M5841" i="7" s="1"/>
  <c r="L5842" i="7"/>
  <c r="M5842" i="7" s="1"/>
  <c r="L5843" i="7"/>
  <c r="M5843" i="7" s="1"/>
  <c r="L5844" i="7"/>
  <c r="M5844" i="7" s="1"/>
  <c r="L5845" i="7"/>
  <c r="M5845" i="7" s="1"/>
  <c r="L5846" i="7"/>
  <c r="M5846" i="7" s="1"/>
  <c r="L5847" i="7"/>
  <c r="M5847" i="7" s="1"/>
  <c r="L5848" i="7"/>
  <c r="M5848" i="7" s="1"/>
  <c r="L5849" i="7"/>
  <c r="M5849" i="7" s="1"/>
  <c r="L5850" i="7"/>
  <c r="M5850" i="7" s="1"/>
  <c r="L5851" i="7"/>
  <c r="M5851" i="7" s="1"/>
  <c r="L5852" i="7"/>
  <c r="M5852" i="7" s="1"/>
  <c r="L5853" i="7"/>
  <c r="M5853" i="7" s="1"/>
  <c r="L5854" i="7"/>
  <c r="M5854" i="7" s="1"/>
  <c r="L5855" i="7"/>
  <c r="M5855" i="7" s="1"/>
  <c r="L5856" i="7"/>
  <c r="M5856" i="7" s="1"/>
  <c r="L5857" i="7"/>
  <c r="M5857" i="7" s="1"/>
  <c r="L5858" i="7"/>
  <c r="M5858" i="7" s="1"/>
  <c r="L5859" i="7"/>
  <c r="M5859" i="7" s="1"/>
  <c r="L5860" i="7"/>
  <c r="M5860" i="7" s="1"/>
  <c r="L5861" i="7"/>
  <c r="M5861" i="7" s="1"/>
  <c r="L5862" i="7"/>
  <c r="M5862" i="7" s="1"/>
  <c r="L5863" i="7"/>
  <c r="M5863" i="7" s="1"/>
  <c r="L5864" i="7"/>
  <c r="M5864" i="7" s="1"/>
  <c r="L5865" i="7"/>
  <c r="M5865" i="7" s="1"/>
  <c r="L5866" i="7"/>
  <c r="M5866" i="7" s="1"/>
  <c r="L5867" i="7"/>
  <c r="M5867" i="7" s="1"/>
  <c r="L5868" i="7"/>
  <c r="M5868" i="7" s="1"/>
  <c r="L5869" i="7"/>
  <c r="M5869" i="7" s="1"/>
  <c r="L5870" i="7"/>
  <c r="M5870" i="7" s="1"/>
  <c r="L5871" i="7"/>
  <c r="M5871" i="7" s="1"/>
  <c r="L5872" i="7"/>
  <c r="M5872" i="7" s="1"/>
  <c r="L5873" i="7"/>
  <c r="M5873" i="7" s="1"/>
  <c r="L5874" i="7"/>
  <c r="M5874" i="7" s="1"/>
  <c r="L5875" i="7"/>
  <c r="M5875" i="7" s="1"/>
  <c r="L5876" i="7"/>
  <c r="M5876" i="7" s="1"/>
  <c r="L5877" i="7"/>
  <c r="M5877" i="7" s="1"/>
  <c r="L5878" i="7"/>
  <c r="M5878" i="7" s="1"/>
  <c r="L5879" i="7"/>
  <c r="M5879" i="7" s="1"/>
  <c r="L5880" i="7"/>
  <c r="M5880" i="7" s="1"/>
  <c r="L5881" i="7"/>
  <c r="M5881" i="7" s="1"/>
  <c r="L5882" i="7"/>
  <c r="M5882" i="7" s="1"/>
  <c r="L5883" i="7"/>
  <c r="M5883" i="7" s="1"/>
  <c r="L5884" i="7"/>
  <c r="M5884" i="7" s="1"/>
  <c r="L5885" i="7"/>
  <c r="M5885" i="7" s="1"/>
  <c r="L5886" i="7"/>
  <c r="M5886" i="7" s="1"/>
  <c r="L5887" i="7"/>
  <c r="M5887" i="7" s="1"/>
  <c r="L5888" i="7"/>
  <c r="M5888" i="7" s="1"/>
  <c r="L5889" i="7"/>
  <c r="M5889" i="7" s="1"/>
  <c r="L5890" i="7"/>
  <c r="M5890" i="7" s="1"/>
  <c r="L5891" i="7"/>
  <c r="M5891" i="7" s="1"/>
  <c r="L5892" i="7"/>
  <c r="M5892" i="7" s="1"/>
  <c r="L5893" i="7"/>
  <c r="M5893" i="7" s="1"/>
  <c r="L5894" i="7"/>
  <c r="M5894" i="7" s="1"/>
  <c r="L5895" i="7"/>
  <c r="M5895" i="7" s="1"/>
  <c r="L5896" i="7"/>
  <c r="M5896" i="7" s="1"/>
  <c r="L5897" i="7"/>
  <c r="M5897" i="7" s="1"/>
  <c r="L5898" i="7"/>
  <c r="M5898" i="7" s="1"/>
  <c r="L5899" i="7"/>
  <c r="M5899" i="7" s="1"/>
  <c r="L5900" i="7"/>
  <c r="M5900" i="7" s="1"/>
  <c r="L5901" i="7"/>
  <c r="M5901" i="7" s="1"/>
  <c r="L5902" i="7"/>
  <c r="M5902" i="7" s="1"/>
  <c r="L5903" i="7"/>
  <c r="M5903" i="7" s="1"/>
  <c r="L5904" i="7"/>
  <c r="M5904" i="7" s="1"/>
  <c r="L5905" i="7"/>
  <c r="M5905" i="7" s="1"/>
  <c r="L5906" i="7"/>
  <c r="M5906" i="7" s="1"/>
  <c r="L5907" i="7"/>
  <c r="M5907" i="7" s="1"/>
  <c r="L5908" i="7"/>
  <c r="M5908" i="7" s="1"/>
  <c r="L5909" i="7"/>
  <c r="M5909" i="7" s="1"/>
  <c r="L5910" i="7"/>
  <c r="M5910" i="7" s="1"/>
  <c r="L5911" i="7"/>
  <c r="M5911" i="7" s="1"/>
  <c r="L5912" i="7"/>
  <c r="M5912" i="7" s="1"/>
  <c r="L5913" i="7"/>
  <c r="M5913" i="7" s="1"/>
  <c r="L5914" i="7"/>
  <c r="M5914" i="7" s="1"/>
  <c r="L5915" i="7"/>
  <c r="M5915" i="7" s="1"/>
  <c r="L5916" i="7"/>
  <c r="M5916" i="7" s="1"/>
  <c r="L5917" i="7"/>
  <c r="M5917" i="7" s="1"/>
  <c r="L5918" i="7"/>
  <c r="M5918" i="7" s="1"/>
  <c r="L5919" i="7"/>
  <c r="M5919" i="7" s="1"/>
  <c r="L5920" i="7"/>
  <c r="M5920" i="7" s="1"/>
  <c r="L5921" i="7"/>
  <c r="M5921" i="7" s="1"/>
  <c r="L5922" i="7"/>
  <c r="M5922" i="7" s="1"/>
  <c r="L5923" i="7"/>
  <c r="M5923" i="7" s="1"/>
  <c r="L5924" i="7"/>
  <c r="M5924" i="7" s="1"/>
  <c r="L5925" i="7"/>
  <c r="M5925" i="7" s="1"/>
  <c r="L5926" i="7"/>
  <c r="M5926" i="7" s="1"/>
  <c r="L5927" i="7"/>
  <c r="M5927" i="7" s="1"/>
  <c r="L5928" i="7"/>
  <c r="M5928" i="7" s="1"/>
  <c r="L5929" i="7"/>
  <c r="M5929" i="7" s="1"/>
  <c r="L5930" i="7"/>
  <c r="M5930" i="7" s="1"/>
  <c r="L5931" i="7"/>
  <c r="M5931" i="7" s="1"/>
  <c r="L5932" i="7"/>
  <c r="M5932" i="7" s="1"/>
  <c r="L5933" i="7"/>
  <c r="M5933" i="7" s="1"/>
  <c r="L5934" i="7"/>
  <c r="M5934" i="7" s="1"/>
  <c r="L5935" i="7"/>
  <c r="M5935" i="7" s="1"/>
  <c r="L5936" i="7"/>
  <c r="M5936" i="7" s="1"/>
  <c r="L5937" i="7"/>
  <c r="M5937" i="7" s="1"/>
  <c r="L5938" i="7"/>
  <c r="M5938" i="7" s="1"/>
  <c r="L5939" i="7"/>
  <c r="M5939" i="7" s="1"/>
  <c r="L5940" i="7"/>
  <c r="M5940" i="7" s="1"/>
  <c r="L5941" i="7"/>
  <c r="M5941" i="7" s="1"/>
  <c r="L5942" i="7"/>
  <c r="M5942" i="7" s="1"/>
  <c r="L5943" i="7"/>
  <c r="M5943" i="7" s="1"/>
  <c r="L5944" i="7"/>
  <c r="M5944" i="7" s="1"/>
  <c r="L5945" i="7"/>
  <c r="M5945" i="7" s="1"/>
  <c r="L5946" i="7"/>
  <c r="M5946" i="7" s="1"/>
  <c r="L5947" i="7"/>
  <c r="M5947" i="7" s="1"/>
  <c r="L5948" i="7"/>
  <c r="M5948" i="7" s="1"/>
  <c r="L5949" i="7"/>
  <c r="M5949" i="7" s="1"/>
  <c r="L5950" i="7"/>
  <c r="M5950" i="7" s="1"/>
  <c r="L5951" i="7"/>
  <c r="M5951" i="7" s="1"/>
  <c r="L5952" i="7"/>
  <c r="M5952" i="7" s="1"/>
  <c r="L5953" i="7"/>
  <c r="M5953" i="7" s="1"/>
  <c r="L5954" i="7"/>
  <c r="M5954" i="7" s="1"/>
  <c r="L5955" i="7"/>
  <c r="M5955" i="7" s="1"/>
  <c r="L5956" i="7"/>
  <c r="M5956" i="7" s="1"/>
  <c r="L5957" i="7"/>
  <c r="M5957" i="7" s="1"/>
  <c r="L5958" i="7"/>
  <c r="M5958" i="7" s="1"/>
  <c r="L5959" i="7"/>
  <c r="M5959" i="7" s="1"/>
  <c r="L5960" i="7"/>
  <c r="M5960" i="7" s="1"/>
  <c r="L5961" i="7"/>
  <c r="M5961" i="7" s="1"/>
  <c r="L5962" i="7"/>
  <c r="M5962" i="7" s="1"/>
  <c r="L5963" i="7"/>
  <c r="M5963" i="7" s="1"/>
  <c r="L5964" i="7"/>
  <c r="M5964" i="7" s="1"/>
  <c r="L5965" i="7"/>
  <c r="M5965" i="7" s="1"/>
  <c r="L5966" i="7"/>
  <c r="M5966" i="7" s="1"/>
  <c r="L5967" i="7"/>
  <c r="M5967" i="7" s="1"/>
  <c r="L5968" i="7"/>
  <c r="M5968" i="7" s="1"/>
  <c r="L5969" i="7"/>
  <c r="M5969" i="7" s="1"/>
  <c r="L5970" i="7"/>
  <c r="M5970" i="7" s="1"/>
  <c r="L5971" i="7"/>
  <c r="M5971" i="7" s="1"/>
  <c r="L5972" i="7"/>
  <c r="M5972" i="7" s="1"/>
  <c r="L5973" i="7"/>
  <c r="M5973" i="7" s="1"/>
  <c r="L5974" i="7"/>
  <c r="M5974" i="7" s="1"/>
  <c r="L5975" i="7"/>
  <c r="M5975" i="7" s="1"/>
  <c r="L5976" i="7"/>
  <c r="M5976" i="7" s="1"/>
  <c r="L5977" i="7"/>
  <c r="M5977" i="7" s="1"/>
  <c r="L5978" i="7"/>
  <c r="M5978" i="7" s="1"/>
  <c r="L5979" i="7"/>
  <c r="M5979" i="7" s="1"/>
  <c r="L5980" i="7"/>
  <c r="M5980" i="7" s="1"/>
  <c r="L5981" i="7"/>
  <c r="M5981" i="7" s="1"/>
  <c r="L5982" i="7"/>
  <c r="M5982" i="7" s="1"/>
  <c r="L5983" i="7"/>
  <c r="M5983" i="7" s="1"/>
  <c r="L5984" i="7"/>
  <c r="M5984" i="7" s="1"/>
  <c r="L5985" i="7"/>
  <c r="M5985" i="7" s="1"/>
  <c r="L5986" i="7"/>
  <c r="M5986" i="7" s="1"/>
  <c r="L5987" i="7"/>
  <c r="M5987" i="7" s="1"/>
  <c r="L5988" i="7"/>
  <c r="M5988" i="7" s="1"/>
  <c r="L5989" i="7"/>
  <c r="M5989" i="7" s="1"/>
  <c r="L5990" i="7"/>
  <c r="M5990" i="7" s="1"/>
  <c r="L5991" i="7"/>
  <c r="M5991" i="7" s="1"/>
  <c r="L5992" i="7"/>
  <c r="M5992" i="7" s="1"/>
  <c r="L5993" i="7"/>
  <c r="M5993" i="7" s="1"/>
  <c r="L5994" i="7"/>
  <c r="M5994" i="7" s="1"/>
  <c r="L5995" i="7"/>
  <c r="M5995" i="7" s="1"/>
  <c r="L5996" i="7"/>
  <c r="M5996" i="7" s="1"/>
  <c r="L5997" i="7"/>
  <c r="M5997" i="7" s="1"/>
  <c r="L5998" i="7"/>
  <c r="M5998" i="7" s="1"/>
  <c r="L5999" i="7"/>
  <c r="M5999" i="7" s="1"/>
  <c r="L6000" i="7"/>
  <c r="M6000" i="7" s="1"/>
  <c r="L6001" i="7"/>
  <c r="M6001" i="7" s="1"/>
  <c r="L6002" i="7"/>
  <c r="M6002" i="7" s="1"/>
  <c r="L6003" i="7"/>
  <c r="M6003" i="7" s="1"/>
  <c r="L6004" i="7"/>
  <c r="M6004" i="7" s="1"/>
  <c r="L6005" i="7"/>
  <c r="M6005" i="7" s="1"/>
  <c r="L6006" i="7"/>
  <c r="M6006" i="7" s="1"/>
  <c r="L6007" i="7"/>
  <c r="M6007" i="7" s="1"/>
  <c r="L6008" i="7"/>
  <c r="M6008" i="7" s="1"/>
  <c r="L6009" i="7"/>
  <c r="M6009" i="7" s="1"/>
  <c r="L6010" i="7"/>
  <c r="M6010" i="7" s="1"/>
  <c r="L6011" i="7"/>
  <c r="M6011" i="7" s="1"/>
  <c r="L6012" i="7"/>
  <c r="M6012" i="7" s="1"/>
  <c r="L6013" i="7"/>
  <c r="M6013" i="7" s="1"/>
  <c r="L6014" i="7"/>
  <c r="M6014" i="7" s="1"/>
  <c r="L6015" i="7"/>
  <c r="M6015" i="7" s="1"/>
  <c r="L6016" i="7"/>
  <c r="M6016" i="7" s="1"/>
  <c r="L6017" i="7"/>
  <c r="M6017" i="7" s="1"/>
  <c r="L6018" i="7"/>
  <c r="M6018" i="7" s="1"/>
  <c r="L6019" i="7"/>
  <c r="M6019" i="7" s="1"/>
  <c r="L6020" i="7"/>
  <c r="M6020" i="7" s="1"/>
  <c r="L6021" i="7"/>
  <c r="M6021" i="7" s="1"/>
  <c r="L6022" i="7"/>
  <c r="M6022" i="7" s="1"/>
  <c r="L6023" i="7"/>
  <c r="M6023" i="7" s="1"/>
  <c r="L6024" i="7"/>
  <c r="M6024" i="7" s="1"/>
  <c r="L6025" i="7"/>
  <c r="M6025" i="7" s="1"/>
  <c r="L6026" i="7"/>
  <c r="L6027" i="7"/>
  <c r="M6027" i="7" s="1"/>
  <c r="L6028" i="7"/>
  <c r="M6028" i="7" s="1"/>
  <c r="L6029" i="7"/>
  <c r="M6029" i="7" s="1"/>
  <c r="L6030" i="7"/>
  <c r="M6030" i="7" s="1"/>
  <c r="L6031" i="7"/>
  <c r="M6031" i="7" s="1"/>
  <c r="L6032" i="7"/>
  <c r="M6032" i="7" s="1"/>
  <c r="L6033" i="7"/>
  <c r="M6033" i="7" s="1"/>
  <c r="L6034" i="7"/>
  <c r="M6034" i="7" s="1"/>
  <c r="L6035" i="7"/>
  <c r="M6035" i="7" s="1"/>
  <c r="L6036" i="7"/>
  <c r="M6036" i="7" s="1"/>
  <c r="L6037" i="7"/>
  <c r="M6037" i="7" s="1"/>
  <c r="L6038" i="7"/>
  <c r="M6038" i="7" s="1"/>
  <c r="L6039" i="7"/>
  <c r="M6039" i="7" s="1"/>
  <c r="L6040" i="7"/>
  <c r="M6040" i="7" s="1"/>
  <c r="L6041" i="7"/>
  <c r="M6041" i="7" s="1"/>
  <c r="L6042" i="7"/>
  <c r="M6042" i="7" s="1"/>
  <c r="L6043" i="7"/>
  <c r="M6043" i="7" s="1"/>
  <c r="L6044" i="7"/>
  <c r="M6044" i="7" s="1"/>
  <c r="L6045" i="7"/>
  <c r="M6045" i="7" s="1"/>
  <c r="L6046" i="7"/>
  <c r="M6046" i="7" s="1"/>
  <c r="L6047" i="7"/>
  <c r="M6047" i="7" s="1"/>
  <c r="L6048" i="7"/>
  <c r="M6048" i="7" s="1"/>
  <c r="L6049" i="7"/>
  <c r="M6049" i="7" s="1"/>
  <c r="L6050" i="7"/>
  <c r="M6050" i="7" s="1"/>
  <c r="L6051" i="7"/>
  <c r="M6051" i="7" s="1"/>
  <c r="L6052" i="7"/>
  <c r="M6052" i="7" s="1"/>
  <c r="L6053" i="7"/>
  <c r="M6053" i="7" s="1"/>
  <c r="L6054" i="7"/>
  <c r="M6054" i="7" s="1"/>
  <c r="L6055" i="7"/>
  <c r="M6055" i="7" s="1"/>
  <c r="L6056" i="7"/>
  <c r="M6056" i="7" s="1"/>
  <c r="L6057" i="7"/>
  <c r="M6057" i="7" s="1"/>
  <c r="L6058" i="7"/>
  <c r="M6058" i="7" s="1"/>
  <c r="L6059" i="7"/>
  <c r="M6059" i="7" s="1"/>
  <c r="L6060" i="7"/>
  <c r="M6060" i="7" s="1"/>
  <c r="L6061" i="7"/>
  <c r="M6061" i="7" s="1"/>
  <c r="L6062" i="7"/>
  <c r="M6062" i="7" s="1"/>
  <c r="L6063" i="7"/>
  <c r="M6063" i="7" s="1"/>
  <c r="L6064" i="7"/>
  <c r="M6064" i="7" s="1"/>
  <c r="L6065" i="7"/>
  <c r="M6065" i="7" s="1"/>
  <c r="L6066" i="7"/>
  <c r="M6066" i="7" s="1"/>
  <c r="L6067" i="7"/>
  <c r="M6067" i="7" s="1"/>
  <c r="L6068" i="7"/>
  <c r="M6068" i="7" s="1"/>
  <c r="L6069" i="7"/>
  <c r="M6069" i="7" s="1"/>
  <c r="L6070" i="7"/>
  <c r="M6070" i="7" s="1"/>
  <c r="L6071" i="7"/>
  <c r="M6071" i="7" s="1"/>
  <c r="L6072" i="7"/>
  <c r="M6072" i="7" s="1"/>
  <c r="L6073" i="7"/>
  <c r="M6073" i="7" s="1"/>
  <c r="L6074" i="7"/>
  <c r="M6074" i="7" s="1"/>
  <c r="L6075" i="7"/>
  <c r="M6075" i="7" s="1"/>
  <c r="L6076" i="7"/>
  <c r="M6076" i="7" s="1"/>
  <c r="L6077" i="7"/>
  <c r="M6077" i="7" s="1"/>
  <c r="L6078" i="7"/>
  <c r="M6078" i="7" s="1"/>
  <c r="L6079" i="7"/>
  <c r="M6079" i="7" s="1"/>
  <c r="L6080" i="7"/>
  <c r="M6080" i="7" s="1"/>
  <c r="L6081" i="7"/>
  <c r="M6081" i="7" s="1"/>
  <c r="L6082" i="7"/>
  <c r="M6082" i="7" s="1"/>
  <c r="L6083" i="7"/>
  <c r="M6083" i="7" s="1"/>
  <c r="L6084" i="7"/>
  <c r="M6084" i="7" s="1"/>
  <c r="L6085" i="7"/>
  <c r="M6085" i="7" s="1"/>
  <c r="L6086" i="7"/>
  <c r="M6086" i="7" s="1"/>
  <c r="L6087" i="7"/>
  <c r="M6087" i="7" s="1"/>
  <c r="L6088" i="7"/>
  <c r="M6088" i="7" s="1"/>
  <c r="L6089" i="7"/>
  <c r="M6089" i="7" s="1"/>
  <c r="L6090" i="7"/>
  <c r="M6090" i="7" s="1"/>
  <c r="L6091" i="7"/>
  <c r="M6091" i="7" s="1"/>
  <c r="L6092" i="7"/>
  <c r="M6092" i="7" s="1"/>
  <c r="L6093" i="7"/>
  <c r="M6093" i="7" s="1"/>
  <c r="L6094" i="7"/>
  <c r="M6094" i="7" s="1"/>
  <c r="L6095" i="7"/>
  <c r="M6095" i="7" s="1"/>
  <c r="L6096" i="7"/>
  <c r="M6096" i="7" s="1"/>
  <c r="L6097" i="7"/>
  <c r="M6097" i="7" s="1"/>
  <c r="L6098" i="7"/>
  <c r="M6098" i="7" s="1"/>
  <c r="L6099" i="7"/>
  <c r="M6099" i="7" s="1"/>
  <c r="L6100" i="7"/>
  <c r="M6100" i="7" s="1"/>
  <c r="L6101" i="7"/>
  <c r="M6101" i="7" s="1"/>
  <c r="L6102" i="7"/>
  <c r="M6102" i="7" s="1"/>
  <c r="L6103" i="7"/>
  <c r="M6103" i="7" s="1"/>
  <c r="L6104" i="7"/>
  <c r="M6104" i="7" s="1"/>
  <c r="L6105" i="7"/>
  <c r="M6105" i="7" s="1"/>
  <c r="L6106" i="7"/>
  <c r="M6106" i="7" s="1"/>
  <c r="L6107" i="7"/>
  <c r="M6107" i="7" s="1"/>
  <c r="L6108" i="7"/>
  <c r="M6108" i="7" s="1"/>
  <c r="L6109" i="7"/>
  <c r="M6109" i="7" s="1"/>
  <c r="L6110" i="7"/>
  <c r="M6110" i="7" s="1"/>
  <c r="L6111" i="7"/>
  <c r="M6111" i="7" s="1"/>
  <c r="L6112" i="7"/>
  <c r="M6112" i="7" s="1"/>
  <c r="L6113" i="7"/>
  <c r="M6113" i="7" s="1"/>
  <c r="L6114" i="7"/>
  <c r="M6114" i="7" s="1"/>
  <c r="L6115" i="7"/>
  <c r="M6115" i="7" s="1"/>
  <c r="L6116" i="7"/>
  <c r="M6116" i="7" s="1"/>
  <c r="L6117" i="7"/>
  <c r="M6117" i="7" s="1"/>
  <c r="L6118" i="7"/>
  <c r="M6118" i="7" s="1"/>
  <c r="L6119" i="7"/>
  <c r="M6119" i="7" s="1"/>
  <c r="L6120" i="7"/>
  <c r="M6120" i="7" s="1"/>
  <c r="L6121" i="7"/>
  <c r="M6121" i="7" s="1"/>
  <c r="L6122" i="7"/>
  <c r="M6122" i="7" s="1"/>
  <c r="L6123" i="7"/>
  <c r="M6123" i="7" s="1"/>
  <c r="L6124" i="7"/>
  <c r="M6124" i="7" s="1"/>
  <c r="L6125" i="7"/>
  <c r="M6125" i="7" s="1"/>
  <c r="L6126" i="7"/>
  <c r="M6126" i="7" s="1"/>
  <c r="L6127" i="7"/>
  <c r="M6127" i="7" s="1"/>
  <c r="L6128" i="7"/>
  <c r="M6128" i="7" s="1"/>
  <c r="L6129" i="7"/>
  <c r="M6129" i="7" s="1"/>
  <c r="L6130" i="7"/>
  <c r="M6130" i="7" s="1"/>
  <c r="L6131" i="7"/>
  <c r="M6131" i="7" s="1"/>
  <c r="L6132" i="7"/>
  <c r="M6132" i="7" s="1"/>
  <c r="L6133" i="7"/>
  <c r="M6133" i="7" s="1"/>
  <c r="L6134" i="7"/>
  <c r="M6134" i="7" s="1"/>
  <c r="L6135" i="7"/>
  <c r="M6135" i="7" s="1"/>
  <c r="L6136" i="7"/>
  <c r="M6136" i="7" s="1"/>
  <c r="L6137" i="7"/>
  <c r="M6137" i="7" s="1"/>
  <c r="L6138" i="7"/>
  <c r="M6138" i="7" s="1"/>
  <c r="L6139" i="7"/>
  <c r="M6139" i="7" s="1"/>
  <c r="L6140" i="7"/>
  <c r="M6140" i="7" s="1"/>
  <c r="L6141" i="7"/>
  <c r="M6141" i="7" s="1"/>
  <c r="L6142" i="7"/>
  <c r="M6142" i="7" s="1"/>
  <c r="L6143" i="7"/>
  <c r="M6143" i="7" s="1"/>
  <c r="L6144" i="7"/>
  <c r="M6144" i="7" s="1"/>
  <c r="L6145" i="7"/>
  <c r="M6145" i="7" s="1"/>
  <c r="L6146" i="7"/>
  <c r="M6146" i="7" s="1"/>
  <c r="L6147" i="7"/>
  <c r="M6147" i="7" s="1"/>
  <c r="L6148" i="7"/>
  <c r="M6148" i="7" s="1"/>
  <c r="L6149" i="7"/>
  <c r="M6149" i="7" s="1"/>
  <c r="L6150" i="7"/>
  <c r="M6150" i="7" s="1"/>
  <c r="L6151" i="7"/>
  <c r="M6151" i="7" s="1"/>
  <c r="L6152" i="7"/>
  <c r="M6152" i="7" s="1"/>
  <c r="L6153" i="7"/>
  <c r="M6153" i="7" s="1"/>
  <c r="L6154" i="7"/>
  <c r="M6154" i="7" s="1"/>
  <c r="L6155" i="7"/>
  <c r="M6155" i="7" s="1"/>
  <c r="L6156" i="7"/>
  <c r="M6156" i="7" s="1"/>
  <c r="L6157" i="7"/>
  <c r="M6157" i="7" s="1"/>
  <c r="L6158" i="7"/>
  <c r="M6158" i="7" s="1"/>
  <c r="L6159" i="7"/>
  <c r="M6159" i="7" s="1"/>
  <c r="L6160" i="7"/>
  <c r="M6160" i="7" s="1"/>
  <c r="L6161" i="7"/>
  <c r="M6161" i="7" s="1"/>
  <c r="L6162" i="7"/>
  <c r="M6162" i="7" s="1"/>
  <c r="L6163" i="7"/>
  <c r="M6163" i="7" s="1"/>
  <c r="L6164" i="7"/>
  <c r="M6164" i="7" s="1"/>
  <c r="L6165" i="7"/>
  <c r="M6165" i="7" s="1"/>
  <c r="L6166" i="7"/>
  <c r="M6166" i="7" s="1"/>
  <c r="L6167" i="7"/>
  <c r="M6167" i="7" s="1"/>
  <c r="L6168" i="7"/>
  <c r="M6168" i="7" s="1"/>
  <c r="L6169" i="7"/>
  <c r="M6169" i="7" s="1"/>
  <c r="L6170" i="7"/>
  <c r="M6170" i="7" s="1"/>
  <c r="L6171" i="7"/>
  <c r="M6171" i="7" s="1"/>
  <c r="L6172" i="7"/>
  <c r="M6172" i="7" s="1"/>
  <c r="L6173" i="7"/>
  <c r="M6173" i="7" s="1"/>
  <c r="L6174" i="7"/>
  <c r="M6174" i="7" s="1"/>
  <c r="L6175" i="7"/>
  <c r="M6175" i="7" s="1"/>
  <c r="L6176" i="7"/>
  <c r="M6176" i="7" s="1"/>
  <c r="L6177" i="7"/>
  <c r="M6177" i="7" s="1"/>
  <c r="L6178" i="7"/>
  <c r="M6178" i="7" s="1"/>
  <c r="L6179" i="7"/>
  <c r="M6179" i="7" s="1"/>
  <c r="L6180" i="7"/>
  <c r="M6180" i="7" s="1"/>
  <c r="L6181" i="7"/>
  <c r="M6181" i="7" s="1"/>
  <c r="L6182" i="7"/>
  <c r="M6182" i="7" s="1"/>
  <c r="L6183" i="7"/>
  <c r="M6183" i="7" s="1"/>
  <c r="L6184" i="7"/>
  <c r="M6184" i="7" s="1"/>
  <c r="L6185" i="7"/>
  <c r="M6185" i="7" s="1"/>
  <c r="L6186" i="7"/>
  <c r="M6186" i="7" s="1"/>
  <c r="L6187" i="7"/>
  <c r="M6187" i="7" s="1"/>
  <c r="L6188" i="7"/>
  <c r="M6188" i="7" s="1"/>
  <c r="L6189" i="7"/>
  <c r="M6189" i="7" s="1"/>
  <c r="L6190" i="7"/>
  <c r="M6190" i="7" s="1"/>
  <c r="L6191" i="7"/>
  <c r="M6191" i="7" s="1"/>
  <c r="L6192" i="7"/>
  <c r="M6192" i="7" s="1"/>
  <c r="L6193" i="7"/>
  <c r="M6193" i="7" s="1"/>
  <c r="L6194" i="7"/>
  <c r="M6194" i="7" s="1"/>
  <c r="L6195" i="7"/>
  <c r="M6195" i="7" s="1"/>
  <c r="L6196" i="7"/>
  <c r="M6196" i="7" s="1"/>
  <c r="L6197" i="7"/>
  <c r="M6197" i="7" s="1"/>
  <c r="L6198" i="7"/>
  <c r="M6198" i="7" s="1"/>
  <c r="L6199" i="7"/>
  <c r="M6199" i="7" s="1"/>
  <c r="L6200" i="7"/>
  <c r="M6200" i="7" s="1"/>
  <c r="L6201" i="7"/>
  <c r="M6201" i="7" s="1"/>
  <c r="L6202" i="7"/>
  <c r="M6202" i="7" s="1"/>
  <c r="L6203" i="7"/>
  <c r="M6203" i="7" s="1"/>
  <c r="L6204" i="7"/>
  <c r="M6204" i="7" s="1"/>
  <c r="L6205" i="7"/>
  <c r="M6205" i="7" s="1"/>
  <c r="L6206" i="7"/>
  <c r="M6206" i="7" s="1"/>
  <c r="L6207" i="7"/>
  <c r="M6207" i="7" s="1"/>
  <c r="L6208" i="7"/>
  <c r="M6208" i="7" s="1"/>
  <c r="L6209" i="7"/>
  <c r="M6209" i="7" s="1"/>
  <c r="L6210" i="7"/>
  <c r="M6210" i="7" s="1"/>
  <c r="L6211" i="7"/>
  <c r="M6211" i="7" s="1"/>
  <c r="L6212" i="7"/>
  <c r="M6212" i="7" s="1"/>
  <c r="L6213" i="7"/>
  <c r="M6213" i="7" s="1"/>
  <c r="L6214" i="7"/>
  <c r="M6214" i="7" s="1"/>
  <c r="L6215" i="7"/>
  <c r="M6215" i="7" s="1"/>
  <c r="L6216" i="7"/>
  <c r="M6216" i="7" s="1"/>
  <c r="L6217" i="7"/>
  <c r="M6217" i="7" s="1"/>
  <c r="L6218" i="7"/>
  <c r="M6218" i="7" s="1"/>
  <c r="L6219" i="7"/>
  <c r="M6219" i="7" s="1"/>
  <c r="L6220" i="7"/>
  <c r="M6220" i="7" s="1"/>
  <c r="L6221" i="7"/>
  <c r="M6221" i="7" s="1"/>
  <c r="L6222" i="7"/>
  <c r="M6222" i="7" s="1"/>
  <c r="L6223" i="7"/>
  <c r="M6223" i="7" s="1"/>
  <c r="L6224" i="7"/>
  <c r="M6224" i="7" s="1"/>
  <c r="L6225" i="7"/>
  <c r="M6225" i="7" s="1"/>
  <c r="L6226" i="7"/>
  <c r="M6226" i="7" s="1"/>
  <c r="L6227" i="7"/>
  <c r="M6227" i="7" s="1"/>
  <c r="L6228" i="7"/>
  <c r="M6228" i="7" s="1"/>
  <c r="L6229" i="7"/>
  <c r="M6229" i="7" s="1"/>
  <c r="L6230" i="7"/>
  <c r="M6230" i="7" s="1"/>
  <c r="L6231" i="7"/>
  <c r="M6231" i="7" s="1"/>
  <c r="L6232" i="7"/>
  <c r="M6232" i="7" s="1"/>
  <c r="L6233" i="7"/>
  <c r="M6233" i="7" s="1"/>
  <c r="L6234" i="7"/>
  <c r="M6234" i="7" s="1"/>
  <c r="L6235" i="7"/>
  <c r="M6235" i="7" s="1"/>
  <c r="L6236" i="7"/>
  <c r="M6236" i="7" s="1"/>
  <c r="L6237" i="7"/>
  <c r="M6237" i="7" s="1"/>
  <c r="L6238" i="7"/>
  <c r="M6238" i="7" s="1"/>
  <c r="L6239" i="7"/>
  <c r="M6239" i="7" s="1"/>
  <c r="L6240" i="7"/>
  <c r="M6240" i="7" s="1"/>
  <c r="L6241" i="7"/>
  <c r="M6241" i="7" s="1"/>
  <c r="L6242" i="7"/>
  <c r="M6242" i="7" s="1"/>
  <c r="L6243" i="7"/>
  <c r="M6243" i="7" s="1"/>
  <c r="L6244" i="7"/>
  <c r="M6244" i="7" s="1"/>
  <c r="L6245" i="7"/>
  <c r="M6245" i="7" s="1"/>
  <c r="L6246" i="7"/>
  <c r="M6246" i="7" s="1"/>
  <c r="L6247" i="7"/>
  <c r="M6247" i="7" s="1"/>
  <c r="L6248" i="7"/>
  <c r="M6248" i="7" s="1"/>
  <c r="L6249" i="7"/>
  <c r="M6249" i="7" s="1"/>
  <c r="L6250" i="7"/>
  <c r="M6250" i="7" s="1"/>
  <c r="L6251" i="7"/>
  <c r="M6251" i="7" s="1"/>
  <c r="L6252" i="7"/>
  <c r="M6252" i="7" s="1"/>
  <c r="L6253" i="7"/>
  <c r="M6253" i="7" s="1"/>
  <c r="L6254" i="7"/>
  <c r="M6254" i="7" s="1"/>
  <c r="L6255" i="7"/>
  <c r="M6255" i="7" s="1"/>
  <c r="L6256" i="7"/>
  <c r="M6256" i="7" s="1"/>
  <c r="L6257" i="7"/>
  <c r="M6257" i="7" s="1"/>
  <c r="L6258" i="7"/>
  <c r="M6258" i="7" s="1"/>
  <c r="L6259" i="7"/>
  <c r="M6259" i="7" s="1"/>
  <c r="L6260" i="7"/>
  <c r="M6260" i="7" s="1"/>
  <c r="L6261" i="7"/>
  <c r="M6261" i="7" s="1"/>
  <c r="L6262" i="7"/>
  <c r="L6263" i="7"/>
  <c r="M6263" i="7" s="1"/>
  <c r="L6264" i="7"/>
  <c r="M6264" i="7" s="1"/>
  <c r="L6265" i="7"/>
  <c r="M6265" i="7" s="1"/>
  <c r="L6266" i="7"/>
  <c r="M6266" i="7" s="1"/>
  <c r="L6267" i="7"/>
  <c r="M6267" i="7" s="1"/>
  <c r="L6268" i="7"/>
  <c r="M6268" i="7" s="1"/>
  <c r="L6269" i="7"/>
  <c r="M6269" i="7" s="1"/>
  <c r="L6270" i="7"/>
  <c r="M6270" i="7" s="1"/>
  <c r="L6271" i="7"/>
  <c r="M6271" i="7" s="1"/>
  <c r="L6272" i="7"/>
  <c r="M6272" i="7" s="1"/>
  <c r="L6273" i="7"/>
  <c r="M6273" i="7" s="1"/>
  <c r="L6274" i="7"/>
  <c r="M6274" i="7" s="1"/>
  <c r="L6275" i="7"/>
  <c r="M6275" i="7" s="1"/>
  <c r="L6276" i="7"/>
  <c r="M6276" i="7" s="1"/>
  <c r="L6277" i="7"/>
  <c r="M6277" i="7" s="1"/>
  <c r="L6278" i="7"/>
  <c r="M6278" i="7" s="1"/>
  <c r="L6279" i="7"/>
  <c r="M6279" i="7" s="1"/>
  <c r="L6280" i="7"/>
  <c r="M6280" i="7" s="1"/>
  <c r="L6281" i="7"/>
  <c r="M6281" i="7" s="1"/>
  <c r="L6282" i="7"/>
  <c r="M6282" i="7" s="1"/>
  <c r="L6283" i="7"/>
  <c r="M6283" i="7" s="1"/>
  <c r="L6284" i="7"/>
  <c r="M6284" i="7" s="1"/>
  <c r="L6285" i="7"/>
  <c r="M6285" i="7" s="1"/>
  <c r="L6286" i="7"/>
  <c r="M6286" i="7" s="1"/>
  <c r="L6287" i="7"/>
  <c r="M6287" i="7" s="1"/>
  <c r="L6288" i="7"/>
  <c r="M6288" i="7" s="1"/>
  <c r="L6289" i="7"/>
  <c r="M6289" i="7" s="1"/>
  <c r="L6290" i="7"/>
  <c r="M6290" i="7" s="1"/>
  <c r="L6291" i="7"/>
  <c r="M6291" i="7" s="1"/>
  <c r="L6292" i="7"/>
  <c r="M6292" i="7" s="1"/>
  <c r="L6293" i="7"/>
  <c r="M6293" i="7" s="1"/>
  <c r="L6294" i="7"/>
  <c r="M6294" i="7" s="1"/>
  <c r="L6295" i="7"/>
  <c r="M6295" i="7" s="1"/>
  <c r="L6296" i="7"/>
  <c r="M6296" i="7" s="1"/>
  <c r="L6297" i="7"/>
  <c r="M6297" i="7" s="1"/>
  <c r="L6298" i="7"/>
  <c r="M6298" i="7" s="1"/>
  <c r="L6299" i="7"/>
  <c r="M6299" i="7" s="1"/>
  <c r="L6300" i="7"/>
  <c r="M6300" i="7" s="1"/>
  <c r="L6301" i="7"/>
  <c r="M6301" i="7" s="1"/>
  <c r="L6302" i="7"/>
  <c r="M6302" i="7" s="1"/>
  <c r="L6303" i="7"/>
  <c r="M6303" i="7" s="1"/>
  <c r="L6304" i="7"/>
  <c r="M6304" i="7" s="1"/>
  <c r="L6305" i="7"/>
  <c r="M6305" i="7" s="1"/>
  <c r="L6306" i="7"/>
  <c r="M6306" i="7" s="1"/>
  <c r="L6307" i="7"/>
  <c r="M6307" i="7" s="1"/>
  <c r="L6308" i="7"/>
  <c r="M6308" i="7" s="1"/>
  <c r="L6309" i="7"/>
  <c r="M6309" i="7" s="1"/>
  <c r="L6310" i="7"/>
  <c r="M6310" i="7" s="1"/>
  <c r="L6311" i="7"/>
  <c r="M6311" i="7" s="1"/>
  <c r="L6312" i="7"/>
  <c r="M6312" i="7" s="1"/>
  <c r="L6313" i="7"/>
  <c r="M6313" i="7" s="1"/>
  <c r="L6314" i="7"/>
  <c r="M6314" i="7" s="1"/>
  <c r="L6315" i="7"/>
  <c r="M6315" i="7" s="1"/>
  <c r="L6316" i="7"/>
  <c r="M6316" i="7" s="1"/>
  <c r="L6317" i="7"/>
  <c r="M6317" i="7" s="1"/>
  <c r="L6318" i="7"/>
  <c r="M6318" i="7" s="1"/>
  <c r="L6319" i="7"/>
  <c r="M6319" i="7" s="1"/>
  <c r="L6320" i="7"/>
  <c r="M6320" i="7" s="1"/>
  <c r="L6321" i="7"/>
  <c r="M6321" i="7" s="1"/>
  <c r="L6322" i="7"/>
  <c r="M6322" i="7" s="1"/>
  <c r="L6323" i="7"/>
  <c r="M6323" i="7" s="1"/>
  <c r="L6324" i="7"/>
  <c r="M6324" i="7" s="1"/>
  <c r="L6325" i="7"/>
  <c r="M6325" i="7" s="1"/>
  <c r="L6326" i="7"/>
  <c r="M6326" i="7" s="1"/>
  <c r="L6327" i="7"/>
  <c r="M6327" i="7" s="1"/>
  <c r="L6328" i="7"/>
  <c r="M6328" i="7" s="1"/>
  <c r="L6329" i="7"/>
  <c r="M6329" i="7" s="1"/>
  <c r="L6330" i="7"/>
  <c r="M6330" i="7" s="1"/>
  <c r="L6331" i="7"/>
  <c r="M6331" i="7" s="1"/>
  <c r="L6332" i="7"/>
  <c r="M6332" i="7" s="1"/>
  <c r="L6333" i="7"/>
  <c r="M6333" i="7" s="1"/>
  <c r="L6334" i="7"/>
  <c r="M6334" i="7" s="1"/>
  <c r="L6335" i="7"/>
  <c r="M6335" i="7" s="1"/>
  <c r="L6336" i="7"/>
  <c r="M6336" i="7" s="1"/>
  <c r="L6337" i="7"/>
  <c r="M6337" i="7" s="1"/>
  <c r="L6338" i="7"/>
  <c r="M6338" i="7" s="1"/>
  <c r="L6339" i="7"/>
  <c r="M6339" i="7" s="1"/>
  <c r="L6340" i="7"/>
  <c r="M6340" i="7" s="1"/>
  <c r="L6341" i="7"/>
  <c r="M6341" i="7" s="1"/>
  <c r="L6342" i="7"/>
  <c r="M6342" i="7" s="1"/>
  <c r="L6343" i="7"/>
  <c r="M6343" i="7" s="1"/>
  <c r="L6344" i="7"/>
  <c r="M6344" i="7" s="1"/>
  <c r="L6345" i="7"/>
  <c r="M6345" i="7" s="1"/>
  <c r="L6346" i="7"/>
  <c r="M6346" i="7" s="1"/>
  <c r="L6347" i="7"/>
  <c r="M6347" i="7" s="1"/>
  <c r="L6348" i="7"/>
  <c r="M6348" i="7" s="1"/>
  <c r="L6349" i="7"/>
  <c r="M6349" i="7" s="1"/>
  <c r="L6350" i="7"/>
  <c r="M6350" i="7" s="1"/>
  <c r="L6351" i="7"/>
  <c r="M6351" i="7" s="1"/>
  <c r="L6352" i="7"/>
  <c r="M6352" i="7" s="1"/>
  <c r="L6353" i="7"/>
  <c r="M6353" i="7" s="1"/>
  <c r="L6354" i="7"/>
  <c r="M6354" i="7" s="1"/>
  <c r="L6355" i="7"/>
  <c r="M6355" i="7" s="1"/>
  <c r="L6356" i="7"/>
  <c r="M6356" i="7" s="1"/>
  <c r="L6357" i="7"/>
  <c r="M6357" i="7" s="1"/>
  <c r="L6358" i="7"/>
  <c r="M6358" i="7" s="1"/>
  <c r="L6359" i="7"/>
  <c r="M6359" i="7" s="1"/>
  <c r="L6360" i="7"/>
  <c r="M6360" i="7" s="1"/>
  <c r="L6361" i="7"/>
  <c r="M6361" i="7" s="1"/>
  <c r="L6362" i="7"/>
  <c r="M6362" i="7" s="1"/>
  <c r="L6363" i="7"/>
  <c r="M6363" i="7" s="1"/>
  <c r="L6364" i="7"/>
  <c r="M6364" i="7" s="1"/>
  <c r="L6365" i="7"/>
  <c r="M6365" i="7" s="1"/>
  <c r="L6366" i="7"/>
  <c r="M6366" i="7" s="1"/>
  <c r="L6367" i="7"/>
  <c r="M6367" i="7" s="1"/>
  <c r="L6368" i="7"/>
  <c r="M6368" i="7" s="1"/>
  <c r="L6369" i="7"/>
  <c r="M6369" i="7" s="1"/>
  <c r="L6370" i="7"/>
  <c r="M6370" i="7" s="1"/>
  <c r="L6371" i="7"/>
  <c r="M6371" i="7" s="1"/>
  <c r="L6372" i="7"/>
  <c r="M6372" i="7" s="1"/>
  <c r="L6373" i="7"/>
  <c r="M6373" i="7" s="1"/>
  <c r="L6374" i="7"/>
  <c r="M6374" i="7" s="1"/>
  <c r="L6375" i="7"/>
  <c r="M6375" i="7" s="1"/>
  <c r="L6376" i="7"/>
  <c r="M6376" i="7" s="1"/>
  <c r="L6377" i="7"/>
  <c r="M6377" i="7" s="1"/>
  <c r="L6378" i="7"/>
  <c r="M6378" i="7" s="1"/>
  <c r="L6379" i="7"/>
  <c r="M6379" i="7" s="1"/>
  <c r="L6380" i="7"/>
  <c r="M6380" i="7" s="1"/>
  <c r="L6381" i="7"/>
  <c r="M6381" i="7" s="1"/>
  <c r="L6382" i="7"/>
  <c r="M6382" i="7" s="1"/>
  <c r="L6383" i="7"/>
  <c r="M6383" i="7" s="1"/>
  <c r="L6384" i="7"/>
  <c r="M6384" i="7" s="1"/>
  <c r="L6385" i="7"/>
  <c r="M6385" i="7" s="1"/>
  <c r="L6386" i="7"/>
  <c r="M6386" i="7" s="1"/>
  <c r="L6387" i="7"/>
  <c r="M6387" i="7" s="1"/>
  <c r="L6388" i="7"/>
  <c r="M6388" i="7" s="1"/>
  <c r="L6389" i="7"/>
  <c r="M6389" i="7" s="1"/>
  <c r="L6390" i="7"/>
  <c r="M6390" i="7" s="1"/>
  <c r="L6391" i="7"/>
  <c r="M6391" i="7" s="1"/>
  <c r="L6392" i="7"/>
  <c r="M6392" i="7" s="1"/>
  <c r="L6393" i="7"/>
  <c r="M6393" i="7" s="1"/>
  <c r="L6394" i="7"/>
  <c r="M6394" i="7" s="1"/>
  <c r="L6395" i="7"/>
  <c r="M6395" i="7" s="1"/>
  <c r="L6396" i="7"/>
  <c r="M6396" i="7" s="1"/>
  <c r="L6397" i="7"/>
  <c r="M6397" i="7" s="1"/>
  <c r="L6398" i="7"/>
  <c r="M6398" i="7" s="1"/>
  <c r="L6399" i="7"/>
  <c r="M6399" i="7" s="1"/>
  <c r="L6400" i="7"/>
  <c r="M6400" i="7" s="1"/>
  <c r="L6401" i="7"/>
  <c r="M6401" i="7" s="1"/>
  <c r="L6402" i="7"/>
  <c r="M6402" i="7" s="1"/>
  <c r="L6403" i="7"/>
  <c r="M6403" i="7" s="1"/>
  <c r="L6404" i="7"/>
  <c r="M6404" i="7" s="1"/>
  <c r="L6405" i="7"/>
  <c r="M6405" i="7" s="1"/>
  <c r="L6406" i="7"/>
  <c r="M6406" i="7" s="1"/>
  <c r="L6407" i="7"/>
  <c r="M6407" i="7" s="1"/>
  <c r="L6408" i="7"/>
  <c r="M6408" i="7" s="1"/>
  <c r="L6409" i="7"/>
  <c r="M6409" i="7" s="1"/>
  <c r="L6410" i="7"/>
  <c r="M6410" i="7" s="1"/>
  <c r="L6411" i="7"/>
  <c r="M6411" i="7" s="1"/>
  <c r="L6412" i="7"/>
  <c r="M6412" i="7" s="1"/>
  <c r="L6413" i="7"/>
  <c r="M6413" i="7" s="1"/>
  <c r="L6414" i="7"/>
  <c r="M6414" i="7" s="1"/>
  <c r="L6415" i="7"/>
  <c r="M6415" i="7" s="1"/>
  <c r="L6416" i="7"/>
  <c r="M6416" i="7" s="1"/>
  <c r="L6417" i="7"/>
  <c r="L6418" i="7"/>
  <c r="M6418" i="7" s="1"/>
  <c r="L6419" i="7"/>
  <c r="M6419" i="7" s="1"/>
  <c r="L6420" i="7"/>
  <c r="M6420" i="7" s="1"/>
  <c r="L6421" i="7"/>
  <c r="M6421" i="7" s="1"/>
  <c r="L6422" i="7"/>
  <c r="M6422" i="7" s="1"/>
  <c r="L6423" i="7"/>
  <c r="M6423" i="7" s="1"/>
  <c r="L6424" i="7"/>
  <c r="M6424" i="7" s="1"/>
  <c r="L6425" i="7"/>
  <c r="M6425" i="7" s="1"/>
  <c r="L6426" i="7"/>
  <c r="M6426" i="7" s="1"/>
  <c r="L6427" i="7"/>
  <c r="M6427" i="7" s="1"/>
  <c r="L6428" i="7"/>
  <c r="M6428" i="7" s="1"/>
  <c r="L6429" i="7"/>
  <c r="M6429" i="7" s="1"/>
  <c r="L6430" i="7"/>
  <c r="M6430" i="7" s="1"/>
  <c r="L6431" i="7"/>
  <c r="M6431" i="7" s="1"/>
  <c r="L6432" i="7"/>
  <c r="M6432" i="7" s="1"/>
  <c r="L6433" i="7"/>
  <c r="M6433" i="7" s="1"/>
  <c r="L6434" i="7"/>
  <c r="M6434" i="7" s="1"/>
  <c r="L6435" i="7"/>
  <c r="M6435" i="7" s="1"/>
  <c r="L6436" i="7"/>
  <c r="M6436" i="7" s="1"/>
  <c r="L6437" i="7"/>
  <c r="M6437" i="7" s="1"/>
  <c r="L6438" i="7"/>
  <c r="M6438" i="7" s="1"/>
  <c r="L6439" i="7"/>
  <c r="M6439" i="7" s="1"/>
  <c r="L6440" i="7"/>
  <c r="M6440" i="7" s="1"/>
  <c r="L6441" i="7"/>
  <c r="M6441" i="7" s="1"/>
  <c r="L6442" i="7"/>
  <c r="M6442" i="7" s="1"/>
  <c r="L6443" i="7"/>
  <c r="M6443" i="7" s="1"/>
  <c r="L6444" i="7"/>
  <c r="M6444" i="7" s="1"/>
  <c r="L6445" i="7"/>
  <c r="M6445" i="7" s="1"/>
  <c r="L6446" i="7"/>
  <c r="M6446" i="7" s="1"/>
  <c r="L6447" i="7"/>
  <c r="M6447" i="7" s="1"/>
  <c r="L6448" i="7"/>
  <c r="M6448" i="7" s="1"/>
  <c r="L6449" i="7"/>
  <c r="M6449" i="7" s="1"/>
  <c r="L6450" i="7"/>
  <c r="M6450" i="7" s="1"/>
  <c r="L6451" i="7"/>
  <c r="M6451" i="7" s="1"/>
  <c r="L6452" i="7"/>
  <c r="M6452" i="7" s="1"/>
  <c r="L6453" i="7"/>
  <c r="M6453" i="7" s="1"/>
  <c r="L6454" i="7"/>
  <c r="M6454" i="7" s="1"/>
  <c r="L6455" i="7"/>
  <c r="M6455" i="7" s="1"/>
  <c r="L6456" i="7"/>
  <c r="M6456" i="7" s="1"/>
  <c r="L6457" i="7"/>
  <c r="M6457" i="7" s="1"/>
  <c r="L6458" i="7"/>
  <c r="M6458" i="7" s="1"/>
  <c r="L6459" i="7"/>
  <c r="M6459" i="7" s="1"/>
  <c r="L6460" i="7"/>
  <c r="M6460" i="7" s="1"/>
  <c r="L6461" i="7"/>
  <c r="M6461" i="7" s="1"/>
  <c r="L6462" i="7"/>
  <c r="M6462" i="7" s="1"/>
  <c r="L6463" i="7"/>
  <c r="M6463" i="7" s="1"/>
  <c r="L6464" i="7"/>
  <c r="M6464" i="7" s="1"/>
  <c r="L6465" i="7"/>
  <c r="M6465" i="7" s="1"/>
  <c r="L6466" i="7"/>
  <c r="M6466" i="7" s="1"/>
  <c r="L6467" i="7"/>
  <c r="M6467" i="7" s="1"/>
  <c r="L6468" i="7"/>
  <c r="M6468" i="7" s="1"/>
  <c r="L6469" i="7"/>
  <c r="M6469" i="7" s="1"/>
  <c r="L6470" i="7"/>
  <c r="M6470" i="7" s="1"/>
  <c r="L6471" i="7"/>
  <c r="M6471" i="7" s="1"/>
  <c r="L6472" i="7"/>
  <c r="M6472" i="7" s="1"/>
  <c r="L6473" i="7"/>
  <c r="M6473" i="7" s="1"/>
  <c r="L6474" i="7"/>
  <c r="M6474" i="7" s="1"/>
  <c r="L6475" i="7"/>
  <c r="M6475" i="7" s="1"/>
  <c r="L6476" i="7"/>
  <c r="M6476" i="7" s="1"/>
  <c r="L6477" i="7"/>
  <c r="M6477" i="7" s="1"/>
  <c r="L6478" i="7"/>
  <c r="M6478" i="7" s="1"/>
  <c r="L6479" i="7"/>
  <c r="M6479" i="7" s="1"/>
  <c r="L6480" i="7"/>
  <c r="M6480" i="7" s="1"/>
  <c r="L6481" i="7"/>
  <c r="M6481" i="7" s="1"/>
  <c r="L6482" i="7"/>
  <c r="M6482" i="7" s="1"/>
  <c r="L6483" i="7"/>
  <c r="M6483" i="7" s="1"/>
  <c r="L6484" i="7"/>
  <c r="M6484" i="7" s="1"/>
  <c r="L6485" i="7"/>
  <c r="M6485" i="7" s="1"/>
  <c r="L6486" i="7"/>
  <c r="M6486" i="7" s="1"/>
  <c r="L6487" i="7"/>
  <c r="M6487" i="7" s="1"/>
  <c r="L6488" i="7"/>
  <c r="M6488" i="7" s="1"/>
  <c r="L6489" i="7"/>
  <c r="M6489" i="7" s="1"/>
  <c r="L6490" i="7"/>
  <c r="M6490" i="7" s="1"/>
  <c r="L6491" i="7"/>
  <c r="M6491" i="7" s="1"/>
  <c r="L6492" i="7"/>
  <c r="M6492" i="7" s="1"/>
  <c r="L6493" i="7"/>
  <c r="M6493" i="7" s="1"/>
  <c r="L6494" i="7"/>
  <c r="M6494" i="7" s="1"/>
  <c r="L6495" i="7"/>
  <c r="M6495" i="7" s="1"/>
  <c r="L6496" i="7"/>
  <c r="M6496" i="7" s="1"/>
  <c r="L6497" i="7"/>
  <c r="M6497" i="7" s="1"/>
  <c r="L6498" i="7"/>
  <c r="M6498" i="7" s="1"/>
  <c r="L6499" i="7"/>
  <c r="M6499" i="7" s="1"/>
  <c r="L6500" i="7"/>
  <c r="M6500" i="7" s="1"/>
  <c r="L6501" i="7"/>
  <c r="M6501" i="7" s="1"/>
  <c r="L6502" i="7"/>
  <c r="M6502" i="7" s="1"/>
  <c r="L6503" i="7"/>
  <c r="M6503" i="7" s="1"/>
  <c r="L6504" i="7"/>
  <c r="M6504" i="7" s="1"/>
  <c r="L6505" i="7"/>
  <c r="M6505" i="7" s="1"/>
  <c r="L6506" i="7"/>
  <c r="M6506" i="7" s="1"/>
  <c r="L6507" i="7"/>
  <c r="M6507" i="7" s="1"/>
  <c r="L6508" i="7"/>
  <c r="M6508" i="7" s="1"/>
  <c r="L6509" i="7"/>
  <c r="M6509" i="7" s="1"/>
  <c r="L6510" i="7"/>
  <c r="M6510" i="7" s="1"/>
  <c r="L6511" i="7"/>
  <c r="M6511" i="7" s="1"/>
  <c r="L6512" i="7"/>
  <c r="M6512" i="7" s="1"/>
  <c r="L6513" i="7"/>
  <c r="M6513" i="7" s="1"/>
  <c r="L6514" i="7"/>
  <c r="M6514" i="7" s="1"/>
  <c r="L6515" i="7"/>
  <c r="M6515" i="7" s="1"/>
  <c r="L6516" i="7"/>
  <c r="M6516" i="7" s="1"/>
  <c r="L6517" i="7"/>
  <c r="M6517" i="7" s="1"/>
  <c r="L6518" i="7"/>
  <c r="M6518" i="7" s="1"/>
  <c r="L6519" i="7"/>
  <c r="M6519" i="7" s="1"/>
  <c r="L6520" i="7"/>
  <c r="M6520" i="7" s="1"/>
  <c r="L6521" i="7"/>
  <c r="M6521" i="7" s="1"/>
  <c r="L6522" i="7"/>
  <c r="M6522" i="7" s="1"/>
  <c r="L6523" i="7"/>
  <c r="M6523" i="7" s="1"/>
  <c r="L6524" i="7"/>
  <c r="M6524" i="7" s="1"/>
  <c r="L6525" i="7"/>
  <c r="M6525" i="7" s="1"/>
  <c r="L6526" i="7"/>
  <c r="M6526" i="7" s="1"/>
  <c r="L6527" i="7"/>
  <c r="M6527" i="7" s="1"/>
  <c r="L6528" i="7"/>
  <c r="M6528" i="7" s="1"/>
  <c r="L6529" i="7"/>
  <c r="M6529" i="7" s="1"/>
  <c r="L6530" i="7"/>
  <c r="M6530" i="7" s="1"/>
  <c r="L6531" i="7"/>
  <c r="M6531" i="7" s="1"/>
  <c r="L6532" i="7"/>
  <c r="M6532" i="7" s="1"/>
  <c r="L6533" i="7"/>
  <c r="M6533" i="7" s="1"/>
  <c r="L6534" i="7"/>
  <c r="M6534" i="7" s="1"/>
  <c r="L6535" i="7"/>
  <c r="M6535" i="7" s="1"/>
  <c r="L6536" i="7"/>
  <c r="M6536" i="7" s="1"/>
  <c r="L6537" i="7"/>
  <c r="M6537" i="7" s="1"/>
  <c r="L6538" i="7"/>
  <c r="M6538" i="7" s="1"/>
  <c r="L6539" i="7"/>
  <c r="M6539" i="7" s="1"/>
  <c r="L6540" i="7"/>
  <c r="M6540" i="7" s="1"/>
  <c r="L6541" i="7"/>
  <c r="M6541" i="7" s="1"/>
  <c r="L6542" i="7"/>
  <c r="M6542" i="7" s="1"/>
  <c r="L6543" i="7"/>
  <c r="M6543" i="7" s="1"/>
  <c r="L6544" i="7"/>
  <c r="M6544" i="7" s="1"/>
  <c r="L6545" i="7"/>
  <c r="M6545" i="7" s="1"/>
  <c r="L6546" i="7"/>
  <c r="M6546" i="7" s="1"/>
  <c r="L6547" i="7"/>
  <c r="M6547" i="7" s="1"/>
  <c r="L6548" i="7"/>
  <c r="M6548" i="7" s="1"/>
  <c r="L6549" i="7"/>
  <c r="M6549" i="7" s="1"/>
  <c r="L6550" i="7"/>
  <c r="M6550" i="7" s="1"/>
  <c r="L6551" i="7"/>
  <c r="M6551" i="7" s="1"/>
  <c r="L6552" i="7"/>
  <c r="M6552" i="7" s="1"/>
  <c r="L6553" i="7"/>
  <c r="M6553" i="7" s="1"/>
  <c r="L6554" i="7"/>
  <c r="M6554" i="7" s="1"/>
  <c r="L6555" i="7"/>
  <c r="M6555" i="7" s="1"/>
  <c r="L6556" i="7"/>
  <c r="M6556" i="7" s="1"/>
  <c r="L6557" i="7"/>
  <c r="M6557" i="7" s="1"/>
  <c r="L6558" i="7"/>
  <c r="M6558" i="7" s="1"/>
  <c r="L6559" i="7"/>
  <c r="M6559" i="7" s="1"/>
  <c r="L6560" i="7"/>
  <c r="M6560" i="7" s="1"/>
  <c r="L6561" i="7"/>
  <c r="M6561" i="7" s="1"/>
  <c r="L6562" i="7"/>
  <c r="M6562" i="7" s="1"/>
  <c r="L6563" i="7"/>
  <c r="M6563" i="7" s="1"/>
  <c r="L6564" i="7"/>
  <c r="M6564" i="7" s="1"/>
  <c r="L6565" i="7"/>
  <c r="M6565" i="7" s="1"/>
  <c r="L6566" i="7"/>
  <c r="M6566" i="7" s="1"/>
  <c r="L6567" i="7"/>
  <c r="M6567" i="7" s="1"/>
  <c r="L6568" i="7"/>
  <c r="M6568" i="7" s="1"/>
  <c r="L6569" i="7"/>
  <c r="M6569" i="7" s="1"/>
  <c r="L6570" i="7"/>
  <c r="M6570" i="7" s="1"/>
  <c r="L6571" i="7"/>
  <c r="M6571" i="7" s="1"/>
  <c r="L6572" i="7"/>
  <c r="M6572" i="7" s="1"/>
  <c r="L6573" i="7"/>
  <c r="M6573" i="7" s="1"/>
  <c r="L6574" i="7"/>
  <c r="M6574" i="7" s="1"/>
  <c r="L6575" i="7"/>
  <c r="M6575" i="7" s="1"/>
  <c r="L6576" i="7"/>
  <c r="M6576" i="7" s="1"/>
  <c r="L6577" i="7"/>
  <c r="M6577" i="7" s="1"/>
  <c r="L6578" i="7"/>
  <c r="M6578" i="7" s="1"/>
  <c r="L6579" i="7"/>
  <c r="M6579" i="7" s="1"/>
  <c r="L6580" i="7"/>
  <c r="M6580" i="7" s="1"/>
  <c r="L6581" i="7"/>
  <c r="M6581" i="7" s="1"/>
  <c r="L6582" i="7"/>
  <c r="M6582" i="7" s="1"/>
  <c r="L6583" i="7"/>
  <c r="M6583" i="7" s="1"/>
  <c r="L6584" i="7"/>
  <c r="M6584" i="7" s="1"/>
  <c r="L6585" i="7"/>
  <c r="M6585" i="7" s="1"/>
  <c r="L6586" i="7"/>
  <c r="M6586" i="7" s="1"/>
  <c r="L6587" i="7"/>
  <c r="M6587" i="7" s="1"/>
  <c r="L6588" i="7"/>
  <c r="M6588" i="7" s="1"/>
  <c r="L6589" i="7"/>
  <c r="M6589" i="7" s="1"/>
  <c r="L6590" i="7"/>
  <c r="M6590" i="7" s="1"/>
  <c r="L6591" i="7"/>
  <c r="M6591" i="7" s="1"/>
  <c r="L6592" i="7"/>
  <c r="M6592" i="7" s="1"/>
  <c r="L6593" i="7"/>
  <c r="M6593" i="7" s="1"/>
  <c r="L6594" i="7"/>
  <c r="M6594" i="7" s="1"/>
  <c r="L6595" i="7"/>
  <c r="M6595" i="7" s="1"/>
  <c r="L6596" i="7"/>
  <c r="M6596" i="7" s="1"/>
  <c r="L6597" i="7"/>
  <c r="M6597" i="7" s="1"/>
  <c r="L6598" i="7"/>
  <c r="M6598" i="7" s="1"/>
  <c r="L6599" i="7"/>
  <c r="M6599" i="7" s="1"/>
  <c r="L6600" i="7"/>
  <c r="M6600" i="7" s="1"/>
  <c r="L6601" i="7"/>
  <c r="M6601" i="7" s="1"/>
  <c r="L6602" i="7"/>
  <c r="M6602" i="7" s="1"/>
  <c r="L6603" i="7"/>
  <c r="M6603" i="7" s="1"/>
  <c r="L6604" i="7"/>
  <c r="M6604" i="7" s="1"/>
  <c r="L6605" i="7"/>
  <c r="M6605" i="7" s="1"/>
  <c r="L6606" i="7"/>
  <c r="M6606" i="7" s="1"/>
  <c r="L6607" i="7"/>
  <c r="M6607" i="7" s="1"/>
  <c r="L6608" i="7"/>
  <c r="M6608" i="7" s="1"/>
  <c r="L6609" i="7"/>
  <c r="M6609" i="7" s="1"/>
  <c r="L6610" i="7"/>
  <c r="M6610" i="7" s="1"/>
  <c r="L6611" i="7"/>
  <c r="M6611" i="7" s="1"/>
  <c r="L6612" i="7"/>
  <c r="M6612" i="7" s="1"/>
  <c r="L6613" i="7"/>
  <c r="M6613" i="7" s="1"/>
  <c r="L6614" i="7"/>
  <c r="M6614" i="7" s="1"/>
  <c r="L6615" i="7"/>
  <c r="M6615" i="7" s="1"/>
  <c r="L6616" i="7"/>
  <c r="M6616" i="7" s="1"/>
  <c r="L6617" i="7"/>
  <c r="M6617" i="7" s="1"/>
  <c r="L6618" i="7"/>
  <c r="M6618" i="7" s="1"/>
  <c r="L6619" i="7"/>
  <c r="M6619" i="7" s="1"/>
  <c r="L6620" i="7"/>
  <c r="M6620" i="7" s="1"/>
  <c r="L6621" i="7"/>
  <c r="M6621" i="7" s="1"/>
  <c r="L6622" i="7"/>
  <c r="M6622" i="7" s="1"/>
  <c r="L6623" i="7"/>
  <c r="M6623" i="7" s="1"/>
  <c r="L6624" i="7"/>
  <c r="M6624" i="7" s="1"/>
  <c r="L6625" i="7"/>
  <c r="M6625" i="7" s="1"/>
  <c r="L6626" i="7"/>
  <c r="M6626" i="7" s="1"/>
  <c r="L6627" i="7"/>
  <c r="M6627" i="7" s="1"/>
  <c r="L6628" i="7"/>
  <c r="M6628" i="7" s="1"/>
  <c r="L6629" i="7"/>
  <c r="M6629" i="7" s="1"/>
  <c r="L6630" i="7"/>
  <c r="M6630" i="7" s="1"/>
  <c r="L6631" i="7"/>
  <c r="M6631" i="7" s="1"/>
  <c r="L6632" i="7"/>
  <c r="M6632" i="7" s="1"/>
  <c r="L6633" i="7"/>
  <c r="M6633" i="7" s="1"/>
  <c r="L6634" i="7"/>
  <c r="M6634" i="7" s="1"/>
  <c r="L6635" i="7"/>
  <c r="M6635" i="7" s="1"/>
  <c r="L6636" i="7"/>
  <c r="M6636" i="7" s="1"/>
  <c r="L6637" i="7"/>
  <c r="M6637" i="7" s="1"/>
  <c r="L6638" i="7"/>
  <c r="M6638" i="7" s="1"/>
  <c r="L6639" i="7"/>
  <c r="M6639" i="7" s="1"/>
  <c r="L6640" i="7"/>
  <c r="M6640" i="7" s="1"/>
  <c r="L6641" i="7"/>
  <c r="M6641" i="7" s="1"/>
  <c r="L6642" i="7"/>
  <c r="M6642" i="7" s="1"/>
  <c r="L6643" i="7"/>
  <c r="M6643" i="7" s="1"/>
  <c r="L6644" i="7"/>
  <c r="M6644" i="7" s="1"/>
  <c r="L6645" i="7"/>
  <c r="M6645" i="7" s="1"/>
  <c r="L6646" i="7"/>
  <c r="M6646" i="7" s="1"/>
  <c r="L6647" i="7"/>
  <c r="M6647" i="7" s="1"/>
  <c r="L6648" i="7"/>
  <c r="M6648" i="7" s="1"/>
  <c r="L6649" i="7"/>
  <c r="M6649" i="7" s="1"/>
  <c r="L6650" i="7"/>
  <c r="M6650" i="7" s="1"/>
  <c r="L6651" i="7"/>
  <c r="M6651" i="7" s="1"/>
  <c r="L6652" i="7"/>
  <c r="M6652" i="7" s="1"/>
  <c r="L6653" i="7"/>
  <c r="M6653" i="7" s="1"/>
  <c r="L6654" i="7"/>
  <c r="M6654" i="7" s="1"/>
  <c r="L6655" i="7"/>
  <c r="M6655" i="7" s="1"/>
  <c r="L6656" i="7"/>
  <c r="M6656" i="7" s="1"/>
  <c r="L6657" i="7"/>
  <c r="M6657" i="7" s="1"/>
  <c r="L6658" i="7"/>
  <c r="M6658" i="7" s="1"/>
  <c r="L6659" i="7"/>
  <c r="M6659" i="7" s="1"/>
  <c r="L6660" i="7"/>
  <c r="M6660" i="7" s="1"/>
  <c r="L6661" i="7"/>
  <c r="M6661" i="7" s="1"/>
  <c r="L6662" i="7"/>
  <c r="M6662" i="7" s="1"/>
  <c r="L6663" i="7"/>
  <c r="M6663" i="7" s="1"/>
  <c r="L6664" i="7"/>
  <c r="M6664" i="7" s="1"/>
  <c r="L6665" i="7"/>
  <c r="M6665" i="7" s="1"/>
  <c r="L6666" i="7"/>
  <c r="M6666" i="7" s="1"/>
  <c r="L6667" i="7"/>
  <c r="M6667" i="7" s="1"/>
  <c r="L6668" i="7"/>
  <c r="M6668" i="7" s="1"/>
  <c r="L6669" i="7"/>
  <c r="M6669" i="7" s="1"/>
  <c r="L6670" i="7"/>
  <c r="M6670" i="7" s="1"/>
  <c r="L6671" i="7"/>
  <c r="M6671" i="7" s="1"/>
  <c r="L6672" i="7"/>
  <c r="M6672" i="7" s="1"/>
  <c r="L6673" i="7"/>
  <c r="M6673" i="7" s="1"/>
  <c r="L6674" i="7"/>
  <c r="M6674" i="7" s="1"/>
  <c r="L6675" i="7"/>
  <c r="M6675" i="7" s="1"/>
  <c r="L6676" i="7"/>
  <c r="M6676" i="7" s="1"/>
  <c r="L6677" i="7"/>
  <c r="M6677" i="7" s="1"/>
  <c r="L6678" i="7"/>
  <c r="M6678" i="7" s="1"/>
  <c r="L6679" i="7"/>
  <c r="M6679" i="7" s="1"/>
  <c r="L6680" i="7"/>
  <c r="M6680" i="7" s="1"/>
  <c r="L6681" i="7"/>
  <c r="M6681" i="7" s="1"/>
  <c r="L6682" i="7"/>
  <c r="M6682" i="7" s="1"/>
  <c r="L6683" i="7"/>
  <c r="M6683" i="7" s="1"/>
  <c r="L6684" i="7"/>
  <c r="M6684" i="7" s="1"/>
  <c r="L6685" i="7"/>
  <c r="M6685" i="7" s="1"/>
  <c r="L6686" i="7"/>
  <c r="M6686" i="7" s="1"/>
  <c r="L6687" i="7"/>
  <c r="M6687" i="7" s="1"/>
  <c r="L6688" i="7"/>
  <c r="M6688" i="7" s="1"/>
  <c r="L6689" i="7"/>
  <c r="M6689" i="7" s="1"/>
  <c r="L6690" i="7"/>
  <c r="M6690" i="7" s="1"/>
  <c r="L6691" i="7"/>
  <c r="M6691" i="7" s="1"/>
  <c r="L6692" i="7"/>
  <c r="M6692" i="7" s="1"/>
  <c r="L6693" i="7"/>
  <c r="M6693" i="7" s="1"/>
  <c r="L6694" i="7"/>
  <c r="M6694" i="7" s="1"/>
  <c r="L6695" i="7"/>
  <c r="M6695" i="7" s="1"/>
  <c r="L6696" i="7"/>
  <c r="M6696" i="7" s="1"/>
  <c r="L6697" i="7"/>
  <c r="M6697" i="7" s="1"/>
  <c r="L6698" i="7"/>
  <c r="M6698" i="7" s="1"/>
  <c r="L6699" i="7"/>
  <c r="M6699" i="7" s="1"/>
  <c r="L6700" i="7"/>
  <c r="M6700" i="7" s="1"/>
  <c r="L6701" i="7"/>
  <c r="M6701" i="7" s="1"/>
  <c r="L6702" i="7"/>
  <c r="M6702" i="7" s="1"/>
  <c r="L6703" i="7"/>
  <c r="M6703" i="7" s="1"/>
  <c r="L6704" i="7"/>
  <c r="M6704" i="7" s="1"/>
  <c r="L6705" i="7"/>
  <c r="M6705" i="7" s="1"/>
  <c r="L6706" i="7"/>
  <c r="M6706" i="7" s="1"/>
  <c r="L6707" i="7"/>
  <c r="M6707" i="7" s="1"/>
  <c r="L6708" i="7"/>
  <c r="M6708" i="7" s="1"/>
  <c r="L6709" i="7"/>
  <c r="M6709" i="7" s="1"/>
  <c r="L6710" i="7"/>
  <c r="M6710" i="7" s="1"/>
  <c r="L6711" i="7"/>
  <c r="M6711" i="7" s="1"/>
  <c r="L6712" i="7"/>
  <c r="M6712" i="7" s="1"/>
  <c r="L6713" i="7"/>
  <c r="M6713" i="7" s="1"/>
  <c r="L6714" i="7"/>
  <c r="M6714" i="7" s="1"/>
  <c r="L6715" i="7"/>
  <c r="M6715" i="7" s="1"/>
  <c r="L6716" i="7"/>
  <c r="M6716" i="7" s="1"/>
  <c r="L6717" i="7"/>
  <c r="M6717" i="7" s="1"/>
  <c r="L6718" i="7"/>
  <c r="M6718" i="7" s="1"/>
  <c r="L6719" i="7"/>
  <c r="M6719" i="7" s="1"/>
  <c r="L6720" i="7"/>
  <c r="M6720" i="7" s="1"/>
  <c r="L6721" i="7"/>
  <c r="M6721" i="7" s="1"/>
  <c r="L6722" i="7"/>
  <c r="M6722" i="7" s="1"/>
  <c r="L6723" i="7"/>
  <c r="M6723" i="7" s="1"/>
  <c r="L6724" i="7"/>
  <c r="M6724" i="7" s="1"/>
  <c r="L6725" i="7"/>
  <c r="M6725" i="7" s="1"/>
  <c r="L6726" i="7"/>
  <c r="M6726" i="7" s="1"/>
  <c r="L6727" i="7"/>
  <c r="M6727" i="7" s="1"/>
  <c r="L6728" i="7"/>
  <c r="M6728" i="7" s="1"/>
  <c r="L6729" i="7"/>
  <c r="M6729" i="7" s="1"/>
  <c r="L6730" i="7"/>
  <c r="M6730" i="7" s="1"/>
  <c r="L6731" i="7"/>
  <c r="M6731" i="7" s="1"/>
  <c r="L6732" i="7"/>
  <c r="M6732" i="7" s="1"/>
  <c r="L6733" i="7"/>
  <c r="M6733" i="7" s="1"/>
  <c r="L6734" i="7"/>
  <c r="M6734" i="7" s="1"/>
  <c r="L6735" i="7"/>
  <c r="M6735" i="7" s="1"/>
  <c r="L6736" i="7"/>
  <c r="M6736" i="7" s="1"/>
  <c r="L6737" i="7"/>
  <c r="M6737" i="7" s="1"/>
  <c r="L6738" i="7"/>
  <c r="M6738" i="7" s="1"/>
  <c r="L6739" i="7"/>
  <c r="M6739" i="7" s="1"/>
  <c r="L6740" i="7"/>
  <c r="M6740" i="7" s="1"/>
  <c r="L6741" i="7"/>
  <c r="M6741" i="7" s="1"/>
  <c r="L6742" i="7"/>
  <c r="M6742" i="7" s="1"/>
  <c r="L6743" i="7"/>
  <c r="M6743" i="7" s="1"/>
  <c r="L6744" i="7"/>
  <c r="M6744" i="7" s="1"/>
  <c r="L6745" i="7"/>
  <c r="M6745" i="7" s="1"/>
  <c r="L6746" i="7"/>
  <c r="M6746" i="7" s="1"/>
  <c r="L6747" i="7"/>
  <c r="M6747" i="7" s="1"/>
  <c r="L6748" i="7"/>
  <c r="M6748" i="7" s="1"/>
  <c r="L6749" i="7"/>
  <c r="M6749" i="7" s="1"/>
  <c r="L6750" i="7"/>
  <c r="M6750" i="7" s="1"/>
  <c r="L6751" i="7"/>
  <c r="M6751" i="7" s="1"/>
  <c r="L6752" i="7"/>
  <c r="M6752" i="7" s="1"/>
  <c r="L6753" i="7"/>
  <c r="M6753" i="7" s="1"/>
  <c r="L6754" i="7"/>
  <c r="M6754" i="7" s="1"/>
  <c r="L6755" i="7"/>
  <c r="M6755" i="7" s="1"/>
  <c r="L6756" i="7"/>
  <c r="M6756" i="7" s="1"/>
  <c r="L6757" i="7"/>
  <c r="M6757" i="7" s="1"/>
  <c r="L6758" i="7"/>
  <c r="M6758" i="7" s="1"/>
  <c r="L6759" i="7"/>
  <c r="M6759" i="7" s="1"/>
  <c r="L6760" i="7"/>
  <c r="M6760" i="7" s="1"/>
  <c r="L6761" i="7"/>
  <c r="M6761" i="7" s="1"/>
  <c r="L6762" i="7"/>
  <c r="M6762" i="7" s="1"/>
  <c r="L6763" i="7"/>
  <c r="M6763" i="7" s="1"/>
  <c r="L6764" i="7"/>
  <c r="M6764" i="7" s="1"/>
  <c r="L6765" i="7"/>
  <c r="M6765" i="7" s="1"/>
  <c r="L6766" i="7"/>
  <c r="M6766" i="7" s="1"/>
  <c r="L6767" i="7"/>
  <c r="M6767" i="7" s="1"/>
  <c r="L6768" i="7"/>
  <c r="M6768" i="7" s="1"/>
  <c r="L6769" i="7"/>
  <c r="M6769" i="7" s="1"/>
  <c r="L6770" i="7"/>
  <c r="M6770" i="7" s="1"/>
  <c r="L6771" i="7"/>
  <c r="M6771" i="7" s="1"/>
  <c r="L6772" i="7"/>
  <c r="M6772" i="7" s="1"/>
  <c r="L6773" i="7"/>
  <c r="M6773" i="7" s="1"/>
  <c r="L6774" i="7"/>
  <c r="M6774" i="7" s="1"/>
  <c r="L6775" i="7"/>
  <c r="M6775" i="7" s="1"/>
  <c r="L6776" i="7"/>
  <c r="M6776" i="7" s="1"/>
  <c r="L6777" i="7"/>
  <c r="M6777" i="7" s="1"/>
  <c r="L6778" i="7"/>
  <c r="M6778" i="7" s="1"/>
  <c r="L6779" i="7"/>
  <c r="M6779" i="7" s="1"/>
  <c r="L6780" i="7"/>
  <c r="M6780" i="7" s="1"/>
  <c r="L6781" i="7"/>
  <c r="M6781" i="7" s="1"/>
  <c r="L6782" i="7"/>
  <c r="M6782" i="7" s="1"/>
  <c r="L6783" i="7"/>
  <c r="M6783" i="7" s="1"/>
  <c r="L6784" i="7"/>
  <c r="M6784" i="7" s="1"/>
  <c r="L6785" i="7"/>
  <c r="M6785" i="7" s="1"/>
  <c r="L6786" i="7"/>
  <c r="M6786" i="7" s="1"/>
  <c r="L6787" i="7"/>
  <c r="M6787" i="7" s="1"/>
  <c r="L6788" i="7"/>
  <c r="M6788" i="7" s="1"/>
  <c r="L6789" i="7"/>
  <c r="M6789" i="7" s="1"/>
  <c r="L6790" i="7"/>
  <c r="M6790" i="7" s="1"/>
  <c r="L6791" i="7"/>
  <c r="M6791" i="7" s="1"/>
  <c r="L6792" i="7"/>
  <c r="M6792" i="7" s="1"/>
  <c r="L6793" i="7"/>
  <c r="M6793" i="7" s="1"/>
  <c r="L6794" i="7"/>
  <c r="M6794" i="7" s="1"/>
  <c r="L6795" i="7"/>
  <c r="M6795" i="7" s="1"/>
  <c r="L6796" i="7"/>
  <c r="M6796" i="7" s="1"/>
  <c r="L6797" i="7"/>
  <c r="M6797" i="7" s="1"/>
  <c r="L6798" i="7"/>
  <c r="M6798" i="7" s="1"/>
  <c r="L6799" i="7"/>
  <c r="M6799" i="7" s="1"/>
  <c r="L6800" i="7"/>
  <c r="M6800" i="7" s="1"/>
  <c r="L6801" i="7"/>
  <c r="M6801" i="7" s="1"/>
  <c r="L6802" i="7"/>
  <c r="M6802" i="7" s="1"/>
  <c r="L6803" i="7"/>
  <c r="M6803" i="7" s="1"/>
  <c r="L6804" i="7"/>
  <c r="M6804" i="7" s="1"/>
  <c r="L6805" i="7"/>
  <c r="M6805" i="7" s="1"/>
  <c r="L6806" i="7"/>
  <c r="M6806" i="7" s="1"/>
  <c r="L6807" i="7"/>
  <c r="M6807" i="7" s="1"/>
  <c r="L6808" i="7"/>
  <c r="M6808" i="7" s="1"/>
  <c r="L6809" i="7"/>
  <c r="M6809" i="7" s="1"/>
  <c r="L6810" i="7"/>
  <c r="M6810" i="7" s="1"/>
  <c r="L6811" i="7"/>
  <c r="M6811" i="7" s="1"/>
  <c r="L6812" i="7"/>
  <c r="M6812" i="7" s="1"/>
  <c r="L6813" i="7"/>
  <c r="M6813" i="7" s="1"/>
  <c r="L6814" i="7"/>
  <c r="M6814" i="7" s="1"/>
  <c r="L6815" i="7"/>
  <c r="M6815" i="7" s="1"/>
  <c r="L6816" i="7"/>
  <c r="M6816" i="7" s="1"/>
  <c r="L6817" i="7"/>
  <c r="M6817" i="7" s="1"/>
  <c r="L6818" i="7"/>
  <c r="M6818" i="7" s="1"/>
  <c r="L6819" i="7"/>
  <c r="M6819" i="7" s="1"/>
  <c r="L6820" i="7"/>
  <c r="M6820" i="7" s="1"/>
  <c r="L6821" i="7"/>
  <c r="M6821" i="7" s="1"/>
  <c r="L6822" i="7"/>
  <c r="M6822" i="7" s="1"/>
  <c r="L6823" i="7"/>
  <c r="M6823" i="7" s="1"/>
  <c r="L6824" i="7"/>
  <c r="M6824" i="7" s="1"/>
  <c r="L6825" i="7"/>
  <c r="M6825" i="7" s="1"/>
  <c r="L6826" i="7"/>
  <c r="M6826" i="7" s="1"/>
  <c r="L6827" i="7"/>
  <c r="M6827" i="7" s="1"/>
  <c r="L6828" i="7"/>
  <c r="M6828" i="7" s="1"/>
  <c r="L6829" i="7"/>
  <c r="M6829" i="7" s="1"/>
  <c r="L6830" i="7"/>
  <c r="M6830" i="7" s="1"/>
  <c r="L6831" i="7"/>
  <c r="M6831" i="7" s="1"/>
  <c r="L6832" i="7"/>
  <c r="M6832" i="7" s="1"/>
  <c r="L6833" i="7"/>
  <c r="M6833" i="7" s="1"/>
  <c r="L6834" i="7"/>
  <c r="M6834" i="7" s="1"/>
  <c r="L6835" i="7"/>
  <c r="M6835" i="7" s="1"/>
  <c r="L6836" i="7"/>
  <c r="M6836" i="7" s="1"/>
  <c r="L6837" i="7"/>
  <c r="M6837" i="7" s="1"/>
  <c r="L6838" i="7"/>
  <c r="M6838" i="7" s="1"/>
  <c r="L6839" i="7"/>
  <c r="M6839" i="7" s="1"/>
  <c r="L6840" i="7"/>
  <c r="M6840" i="7" s="1"/>
  <c r="L6841" i="7"/>
  <c r="M6841" i="7" s="1"/>
  <c r="L6842" i="7"/>
  <c r="M6842" i="7" s="1"/>
  <c r="L6843" i="7"/>
  <c r="M6843" i="7" s="1"/>
  <c r="L6844" i="7"/>
  <c r="M6844" i="7" s="1"/>
  <c r="L6845" i="7"/>
  <c r="M6845" i="7" s="1"/>
  <c r="L6846" i="7"/>
  <c r="M6846" i="7" s="1"/>
  <c r="L6847" i="7"/>
  <c r="M6847" i="7" s="1"/>
  <c r="L6848" i="7"/>
  <c r="M6848" i="7" s="1"/>
  <c r="L6849" i="7"/>
  <c r="M6849" i="7" s="1"/>
  <c r="L6850" i="7"/>
  <c r="M6850" i="7" s="1"/>
  <c r="L6851" i="7"/>
  <c r="M6851" i="7" s="1"/>
  <c r="L6852" i="7"/>
  <c r="M6852" i="7" s="1"/>
  <c r="L6853" i="7"/>
  <c r="M6853" i="7" s="1"/>
  <c r="L6854" i="7"/>
  <c r="M6854" i="7" s="1"/>
  <c r="L6855" i="7"/>
  <c r="M6855" i="7" s="1"/>
  <c r="L6856" i="7"/>
  <c r="M6856" i="7" s="1"/>
  <c r="L6857" i="7"/>
  <c r="M6857" i="7" s="1"/>
  <c r="L6858" i="7"/>
  <c r="M6858" i="7" s="1"/>
  <c r="L6859" i="7"/>
  <c r="M6859" i="7" s="1"/>
  <c r="L6860" i="7"/>
  <c r="M6860" i="7" s="1"/>
  <c r="L6861" i="7"/>
  <c r="M6861" i="7" s="1"/>
  <c r="L6862" i="7"/>
  <c r="M6862" i="7" s="1"/>
  <c r="L6863" i="7"/>
  <c r="M6863" i="7" s="1"/>
  <c r="L6864" i="7"/>
  <c r="M6864" i="7" s="1"/>
  <c r="L6865" i="7"/>
  <c r="M6865" i="7" s="1"/>
  <c r="L6866" i="7"/>
  <c r="M6866" i="7" s="1"/>
  <c r="L6867" i="7"/>
  <c r="M6867" i="7" s="1"/>
  <c r="L6868" i="7"/>
  <c r="M6868" i="7" s="1"/>
  <c r="L6869" i="7"/>
  <c r="M6869" i="7" s="1"/>
  <c r="L6870" i="7"/>
  <c r="M6870" i="7" s="1"/>
  <c r="L6871" i="7"/>
  <c r="M6871" i="7" s="1"/>
  <c r="L6872" i="7"/>
  <c r="M6872" i="7" s="1"/>
  <c r="L6873" i="7"/>
  <c r="M6873" i="7" s="1"/>
  <c r="L6874" i="7"/>
  <c r="M6874" i="7" s="1"/>
  <c r="L6875" i="7"/>
  <c r="M6875" i="7" s="1"/>
  <c r="L6876" i="7"/>
  <c r="M6876" i="7" s="1"/>
  <c r="L6877" i="7"/>
  <c r="M6877" i="7" s="1"/>
  <c r="L6878" i="7"/>
  <c r="M6878" i="7" s="1"/>
  <c r="L6879" i="7"/>
  <c r="M6879" i="7" s="1"/>
  <c r="L6880" i="7"/>
  <c r="M6880" i="7" s="1"/>
  <c r="L6881" i="7"/>
  <c r="M6881" i="7" s="1"/>
  <c r="L6882" i="7"/>
  <c r="M6882" i="7" s="1"/>
  <c r="L6883" i="7"/>
  <c r="M6883" i="7" s="1"/>
  <c r="L6884" i="7"/>
  <c r="M6884" i="7" s="1"/>
  <c r="L6885" i="7"/>
  <c r="M6885" i="7" s="1"/>
  <c r="L6886" i="7"/>
  <c r="M6886" i="7" s="1"/>
  <c r="L6887" i="7"/>
  <c r="M6887" i="7" s="1"/>
  <c r="L6888" i="7"/>
  <c r="M6888" i="7" s="1"/>
  <c r="L6889" i="7"/>
  <c r="M6889" i="7" s="1"/>
  <c r="L6890" i="7"/>
  <c r="M6890" i="7" s="1"/>
  <c r="L6891" i="7"/>
  <c r="M6891" i="7" s="1"/>
  <c r="L6892" i="7"/>
  <c r="M6892" i="7" s="1"/>
  <c r="L6893" i="7"/>
  <c r="M6893" i="7" s="1"/>
  <c r="L6894" i="7"/>
  <c r="M6894" i="7" s="1"/>
  <c r="L6895" i="7"/>
  <c r="M6895" i="7" s="1"/>
  <c r="L6896" i="7"/>
  <c r="M6896" i="7" s="1"/>
  <c r="L6897" i="7"/>
  <c r="M6897" i="7" s="1"/>
  <c r="L6898" i="7"/>
  <c r="M6898" i="7" s="1"/>
  <c r="L6899" i="7"/>
  <c r="M6899" i="7" s="1"/>
  <c r="L6900" i="7"/>
  <c r="M6900" i="7" s="1"/>
  <c r="L6901" i="7"/>
  <c r="M6901" i="7" s="1"/>
  <c r="L6902" i="7"/>
  <c r="M6902" i="7" s="1"/>
  <c r="L6903" i="7"/>
  <c r="M6903" i="7" s="1"/>
  <c r="L6904" i="7"/>
  <c r="M6904" i="7" s="1"/>
  <c r="L6905" i="7"/>
  <c r="M6905" i="7" s="1"/>
  <c r="L6906" i="7"/>
  <c r="M6906" i="7" s="1"/>
  <c r="L6907" i="7"/>
  <c r="M6907" i="7" s="1"/>
  <c r="L6908" i="7"/>
  <c r="M6908" i="7" s="1"/>
  <c r="L6909" i="7"/>
  <c r="M6909" i="7" s="1"/>
  <c r="L6910" i="7"/>
  <c r="M6910" i="7" s="1"/>
  <c r="L6911" i="7"/>
  <c r="M6911" i="7" s="1"/>
  <c r="L6912" i="7"/>
  <c r="M6912" i="7" s="1"/>
  <c r="L6913" i="7"/>
  <c r="M6913" i="7" s="1"/>
  <c r="L6914" i="7"/>
  <c r="L6915" i="7"/>
  <c r="M6915" i="7" s="1"/>
  <c r="L6916" i="7"/>
  <c r="M6916" i="7" s="1"/>
  <c r="L6917" i="7"/>
  <c r="M6917" i="7" s="1"/>
  <c r="L6918" i="7"/>
  <c r="M6918" i="7" s="1"/>
  <c r="L6919" i="7"/>
  <c r="M6919" i="7" s="1"/>
  <c r="L6920" i="7"/>
  <c r="M6920" i="7" s="1"/>
  <c r="L6921" i="7"/>
  <c r="M6921" i="7" s="1"/>
  <c r="L6922" i="7"/>
  <c r="M6922" i="7" s="1"/>
  <c r="L6923" i="7"/>
  <c r="M6923" i="7" s="1"/>
  <c r="L6924" i="7"/>
  <c r="M6924" i="7" s="1"/>
  <c r="L6925" i="7"/>
  <c r="M6925" i="7" s="1"/>
  <c r="L6926" i="7"/>
  <c r="M6926" i="7" s="1"/>
  <c r="L6927" i="7"/>
  <c r="M6927" i="7" s="1"/>
  <c r="L6928" i="7"/>
  <c r="M6928" i="7" s="1"/>
  <c r="L6929" i="7"/>
  <c r="M6929" i="7" s="1"/>
  <c r="L6930" i="7"/>
  <c r="M6930" i="7" s="1"/>
  <c r="L6931" i="7"/>
  <c r="M6931" i="7" s="1"/>
  <c r="L6932" i="7"/>
  <c r="M6932" i="7" s="1"/>
  <c r="L6933" i="7"/>
  <c r="M6933" i="7" s="1"/>
  <c r="L6934" i="7"/>
  <c r="M6934" i="7" s="1"/>
  <c r="L6935" i="7"/>
  <c r="M6935" i="7" s="1"/>
  <c r="L6936" i="7"/>
  <c r="M6936" i="7" s="1"/>
  <c r="L6937" i="7"/>
  <c r="M6937" i="7" s="1"/>
  <c r="L6938" i="7"/>
  <c r="M6938" i="7" s="1"/>
  <c r="L6939" i="7"/>
  <c r="M6939" i="7" s="1"/>
  <c r="L6940" i="7"/>
  <c r="M6940" i="7" s="1"/>
  <c r="L6941" i="7"/>
  <c r="M6941" i="7" s="1"/>
  <c r="L6942" i="7"/>
  <c r="M6942" i="7" s="1"/>
  <c r="L6943" i="7"/>
  <c r="M6943" i="7" s="1"/>
  <c r="L6944" i="7"/>
  <c r="M6944" i="7" s="1"/>
  <c r="L6945" i="7"/>
  <c r="M6945" i="7" s="1"/>
  <c r="L6946" i="7"/>
  <c r="M6946" i="7" s="1"/>
  <c r="L6947" i="7"/>
  <c r="M6947" i="7" s="1"/>
  <c r="L6948" i="7"/>
  <c r="M6948" i="7" s="1"/>
  <c r="L6949" i="7"/>
  <c r="M6949" i="7" s="1"/>
  <c r="L6950" i="7"/>
  <c r="M6950" i="7" s="1"/>
  <c r="L6951" i="7"/>
  <c r="M6951" i="7" s="1"/>
  <c r="L6952" i="7"/>
  <c r="M6952" i="7" s="1"/>
  <c r="L6953" i="7"/>
  <c r="M6953" i="7" s="1"/>
  <c r="L6954" i="7"/>
  <c r="M6954" i="7" s="1"/>
  <c r="L6955" i="7"/>
  <c r="M6955" i="7" s="1"/>
  <c r="L6956" i="7"/>
  <c r="M6956" i="7" s="1"/>
  <c r="L6957" i="7"/>
  <c r="M6957" i="7" s="1"/>
  <c r="L6958" i="7"/>
  <c r="M6958" i="7" s="1"/>
  <c r="L6959" i="7"/>
  <c r="M6959" i="7" s="1"/>
  <c r="L6960" i="7"/>
  <c r="M6960" i="7" s="1"/>
  <c r="L6961" i="7"/>
  <c r="M6961" i="7" s="1"/>
  <c r="L6962" i="7"/>
  <c r="M6962" i="7" s="1"/>
  <c r="L6963" i="7"/>
  <c r="M6963" i="7" s="1"/>
  <c r="L6964" i="7"/>
  <c r="M6964" i="7" s="1"/>
  <c r="L6965" i="7"/>
  <c r="M6965" i="7" s="1"/>
  <c r="L6966" i="7"/>
  <c r="M6966" i="7" s="1"/>
  <c r="L6967" i="7"/>
  <c r="M6967" i="7" s="1"/>
  <c r="L6968" i="7"/>
  <c r="M6968" i="7" s="1"/>
  <c r="L6969" i="7"/>
  <c r="M6969" i="7" s="1"/>
  <c r="L6970" i="7"/>
  <c r="M6970" i="7" s="1"/>
  <c r="L6971" i="7"/>
  <c r="M6971" i="7" s="1"/>
  <c r="L6972" i="7"/>
  <c r="M6972" i="7" s="1"/>
  <c r="L6973" i="7"/>
  <c r="M6973" i="7" s="1"/>
  <c r="L6974" i="7"/>
  <c r="M6974" i="7" s="1"/>
  <c r="L6975" i="7"/>
  <c r="M6975" i="7" s="1"/>
  <c r="L6976" i="7"/>
  <c r="M6976" i="7" s="1"/>
  <c r="L6977" i="7"/>
  <c r="M6977" i="7" s="1"/>
  <c r="L6978" i="7"/>
  <c r="M6978" i="7" s="1"/>
  <c r="L6979" i="7"/>
  <c r="M6979" i="7" s="1"/>
  <c r="L6980" i="7"/>
  <c r="M6980" i="7" s="1"/>
  <c r="L6981" i="7"/>
  <c r="M6981" i="7" s="1"/>
  <c r="L6982" i="7"/>
  <c r="M6982" i="7" s="1"/>
  <c r="L6983" i="7"/>
  <c r="M6983" i="7" s="1"/>
  <c r="L6984" i="7"/>
  <c r="M6984" i="7" s="1"/>
  <c r="L6985" i="7"/>
  <c r="M6985" i="7" s="1"/>
  <c r="L6986" i="7"/>
  <c r="M6986" i="7" s="1"/>
  <c r="L6987" i="7"/>
  <c r="M6987" i="7" s="1"/>
  <c r="L6988" i="7"/>
  <c r="M6988" i="7" s="1"/>
  <c r="L6989" i="7"/>
  <c r="M6989" i="7" s="1"/>
  <c r="L6990" i="7"/>
  <c r="M6990" i="7" s="1"/>
  <c r="L6991" i="7"/>
  <c r="M6991" i="7" s="1"/>
  <c r="L6992" i="7"/>
  <c r="M6992" i="7" s="1"/>
  <c r="L6993" i="7"/>
  <c r="M6993" i="7" s="1"/>
  <c r="L6994" i="7"/>
  <c r="M6994" i="7" s="1"/>
  <c r="L6995" i="7"/>
  <c r="M6995" i="7" s="1"/>
  <c r="L6996" i="7"/>
  <c r="M6996" i="7" s="1"/>
  <c r="L6997" i="7"/>
  <c r="M6997" i="7" s="1"/>
  <c r="L6998" i="7"/>
  <c r="M6998" i="7" s="1"/>
  <c r="L6999" i="7"/>
  <c r="M6999" i="7" s="1"/>
  <c r="L7000" i="7"/>
  <c r="M7000" i="7" s="1"/>
  <c r="L7001" i="7"/>
  <c r="M7001" i="7" s="1"/>
  <c r="L7002" i="7"/>
  <c r="M7002" i="7" s="1"/>
  <c r="L7003" i="7"/>
  <c r="M7003" i="7" s="1"/>
  <c r="L7004" i="7"/>
  <c r="M7004" i="7" s="1"/>
  <c r="L7005" i="7"/>
  <c r="M7005" i="7" s="1"/>
  <c r="L7006" i="7"/>
  <c r="M7006" i="7" s="1"/>
  <c r="L7007" i="7"/>
  <c r="M7007" i="7" s="1"/>
  <c r="L7008" i="7"/>
  <c r="M7008" i="7" s="1"/>
  <c r="L7009" i="7"/>
  <c r="M7009" i="7" s="1"/>
  <c r="L7010" i="7"/>
  <c r="M7010" i="7" s="1"/>
  <c r="L7011" i="7"/>
  <c r="M7011" i="7" s="1"/>
  <c r="L7012" i="7"/>
  <c r="M7012" i="7" s="1"/>
  <c r="L7013" i="7"/>
  <c r="M7013" i="7" s="1"/>
  <c r="L7014" i="7"/>
  <c r="M7014" i="7" s="1"/>
  <c r="L7015" i="7"/>
  <c r="M7015" i="7" s="1"/>
  <c r="L7016" i="7"/>
  <c r="M7016" i="7" s="1"/>
  <c r="L7017" i="7"/>
  <c r="M7017" i="7" s="1"/>
  <c r="L7018" i="7"/>
  <c r="M7018" i="7" s="1"/>
  <c r="L7019" i="7"/>
  <c r="M7019" i="7" s="1"/>
  <c r="L7020" i="7"/>
  <c r="M7020" i="7" s="1"/>
  <c r="L7021" i="7"/>
  <c r="M7021" i="7" s="1"/>
  <c r="L7022" i="7"/>
  <c r="M7022" i="7" s="1"/>
  <c r="L7023" i="7"/>
  <c r="M7023" i="7" s="1"/>
  <c r="L7024" i="7"/>
  <c r="M7024" i="7" s="1"/>
  <c r="L7025" i="7"/>
  <c r="M7025" i="7" s="1"/>
  <c r="L7026" i="7"/>
  <c r="M7026" i="7" s="1"/>
  <c r="L7027" i="7"/>
  <c r="M7027" i="7" s="1"/>
  <c r="L7028" i="7"/>
  <c r="M7028" i="7" s="1"/>
  <c r="L7029" i="7"/>
  <c r="M7029" i="7" s="1"/>
  <c r="L7030" i="7"/>
  <c r="M7030" i="7" s="1"/>
  <c r="L7031" i="7"/>
  <c r="M7031" i="7" s="1"/>
  <c r="L7032" i="7"/>
  <c r="M7032" i="7" s="1"/>
  <c r="L7033" i="7"/>
  <c r="M7033" i="7" s="1"/>
  <c r="L7034" i="7"/>
  <c r="M7034" i="7" s="1"/>
  <c r="L7035" i="7"/>
  <c r="M7035" i="7" s="1"/>
  <c r="L7036" i="7"/>
  <c r="M7036" i="7" s="1"/>
  <c r="L7037" i="7"/>
  <c r="M7037" i="7" s="1"/>
  <c r="L7038" i="7"/>
  <c r="M7038" i="7" s="1"/>
  <c r="L7039" i="7"/>
  <c r="M7039" i="7" s="1"/>
  <c r="L7040" i="7"/>
  <c r="M7040" i="7" s="1"/>
  <c r="L7041" i="7"/>
  <c r="M7041" i="7" s="1"/>
  <c r="L7042" i="7"/>
  <c r="M7042" i="7" s="1"/>
  <c r="L7043" i="7"/>
  <c r="M7043" i="7" s="1"/>
  <c r="L7044" i="7"/>
  <c r="M7044" i="7" s="1"/>
  <c r="L7045" i="7"/>
  <c r="M7045" i="7" s="1"/>
  <c r="L7046" i="7"/>
  <c r="M7046" i="7" s="1"/>
  <c r="L7047" i="7"/>
  <c r="M7047" i="7" s="1"/>
  <c r="L7048" i="7"/>
  <c r="M7048" i="7" s="1"/>
  <c r="L7049" i="7"/>
  <c r="M7049" i="7" s="1"/>
  <c r="L7050" i="7"/>
  <c r="M7050" i="7" s="1"/>
  <c r="L7051" i="7"/>
  <c r="M7051" i="7" s="1"/>
  <c r="L7052" i="7"/>
  <c r="M7052" i="7" s="1"/>
  <c r="L7053" i="7"/>
  <c r="M7053" i="7" s="1"/>
  <c r="L7054" i="7"/>
  <c r="M7054" i="7" s="1"/>
  <c r="L7055" i="7"/>
  <c r="M7055" i="7" s="1"/>
  <c r="L7056" i="7"/>
  <c r="M7056" i="7" s="1"/>
  <c r="L7057" i="7"/>
  <c r="M7057" i="7" s="1"/>
  <c r="L7058" i="7"/>
  <c r="M7058" i="7" s="1"/>
  <c r="L7059" i="7"/>
  <c r="M7059" i="7" s="1"/>
  <c r="L7060" i="7"/>
  <c r="M7060" i="7" s="1"/>
  <c r="L7061" i="7"/>
  <c r="M7061" i="7" s="1"/>
  <c r="L7062" i="7"/>
  <c r="M7062" i="7" s="1"/>
  <c r="L7063" i="7"/>
  <c r="M7063" i="7" s="1"/>
  <c r="L7064" i="7"/>
  <c r="M7064" i="7" s="1"/>
  <c r="L7065" i="7"/>
  <c r="M7065" i="7" s="1"/>
  <c r="L7066" i="7"/>
  <c r="M7066" i="7" s="1"/>
  <c r="L7067" i="7"/>
  <c r="M7067" i="7" s="1"/>
  <c r="L7068" i="7"/>
  <c r="M7068" i="7" s="1"/>
  <c r="L7069" i="7"/>
  <c r="M7069" i="7" s="1"/>
  <c r="L7070" i="7"/>
  <c r="M7070" i="7" s="1"/>
  <c r="L7071" i="7"/>
  <c r="M7071" i="7" s="1"/>
  <c r="L7072" i="7"/>
  <c r="M7072" i="7" s="1"/>
  <c r="L7073" i="7"/>
  <c r="M7073" i="7" s="1"/>
  <c r="L7074" i="7"/>
  <c r="M7074" i="7" s="1"/>
  <c r="L7075" i="7"/>
  <c r="M7075" i="7" s="1"/>
  <c r="L7076" i="7"/>
  <c r="M7076" i="7" s="1"/>
  <c r="L7077" i="7"/>
  <c r="M7077" i="7" s="1"/>
  <c r="L7078" i="7"/>
  <c r="M7078" i="7" s="1"/>
  <c r="L7079" i="7"/>
  <c r="M7079" i="7" s="1"/>
  <c r="L7080" i="7"/>
  <c r="M7080" i="7" s="1"/>
  <c r="L7081" i="7"/>
  <c r="M7081" i="7" s="1"/>
  <c r="L7082" i="7"/>
  <c r="M7082" i="7" s="1"/>
  <c r="L7083" i="7"/>
  <c r="M7083" i="7" s="1"/>
  <c r="L7084" i="7"/>
  <c r="M7084" i="7" s="1"/>
  <c r="L7085" i="7"/>
  <c r="M7085" i="7" s="1"/>
  <c r="L7086" i="7"/>
  <c r="M7086" i="7" s="1"/>
  <c r="L7087" i="7"/>
  <c r="M7087" i="7" s="1"/>
  <c r="L7088" i="7"/>
  <c r="M7088" i="7" s="1"/>
  <c r="L7089" i="7"/>
  <c r="M7089" i="7" s="1"/>
  <c r="L7090" i="7"/>
  <c r="M7090" i="7" s="1"/>
  <c r="L7091" i="7"/>
  <c r="M7091" i="7" s="1"/>
  <c r="L7092" i="7"/>
  <c r="M7092" i="7" s="1"/>
  <c r="L7093" i="7"/>
  <c r="M7093" i="7" s="1"/>
  <c r="L7094" i="7"/>
  <c r="M7094" i="7" s="1"/>
  <c r="L7095" i="7"/>
  <c r="M7095" i="7" s="1"/>
  <c r="L7096" i="7"/>
  <c r="M7096" i="7" s="1"/>
  <c r="L7097" i="7"/>
  <c r="M7097" i="7" s="1"/>
  <c r="L7098" i="7"/>
  <c r="M7098" i="7" s="1"/>
  <c r="L7099" i="7"/>
  <c r="M7099" i="7" s="1"/>
  <c r="L7100" i="7"/>
  <c r="M7100" i="7" s="1"/>
  <c r="L7101" i="7"/>
  <c r="M7101" i="7" s="1"/>
  <c r="L7102" i="7"/>
  <c r="M7102" i="7" s="1"/>
  <c r="L7103" i="7"/>
  <c r="M7103" i="7" s="1"/>
  <c r="L7104" i="7"/>
  <c r="M7104" i="7" s="1"/>
  <c r="L7105" i="7"/>
  <c r="M7105" i="7" s="1"/>
  <c r="L7106" i="7"/>
  <c r="M7106" i="7" s="1"/>
  <c r="L7107" i="7"/>
  <c r="M7107" i="7" s="1"/>
  <c r="L7108" i="7"/>
  <c r="M7108" i="7" s="1"/>
  <c r="L7109" i="7"/>
  <c r="M7109" i="7" s="1"/>
  <c r="L7110" i="7"/>
  <c r="M7110" i="7" s="1"/>
  <c r="L7111" i="7"/>
  <c r="M7111" i="7" s="1"/>
  <c r="L7112" i="7"/>
  <c r="M7112" i="7" s="1"/>
  <c r="L7113" i="7"/>
  <c r="M7113" i="7" s="1"/>
  <c r="L7114" i="7"/>
  <c r="M7114" i="7" s="1"/>
  <c r="L7115" i="7"/>
  <c r="M7115" i="7" s="1"/>
  <c r="L7116" i="7"/>
  <c r="M7116" i="7" s="1"/>
  <c r="L7117" i="7"/>
  <c r="M7117" i="7" s="1"/>
  <c r="L7118" i="7"/>
  <c r="M7118" i="7" s="1"/>
  <c r="L7119" i="7"/>
  <c r="M7119" i="7" s="1"/>
  <c r="L7120" i="7"/>
  <c r="M7120" i="7" s="1"/>
  <c r="L7121" i="7"/>
  <c r="M7121" i="7" s="1"/>
  <c r="L7122" i="7"/>
  <c r="M7122" i="7" s="1"/>
  <c r="L7123" i="7"/>
  <c r="M7123" i="7" s="1"/>
  <c r="L7124" i="7"/>
  <c r="M7124" i="7" s="1"/>
  <c r="L7125" i="7"/>
  <c r="M7125" i="7" s="1"/>
  <c r="L7126" i="7"/>
  <c r="M7126" i="7" s="1"/>
  <c r="L7127" i="7"/>
  <c r="M7127" i="7" s="1"/>
  <c r="L7128" i="7"/>
  <c r="M7128" i="7" s="1"/>
  <c r="L7129" i="7"/>
  <c r="M7129" i="7" s="1"/>
  <c r="L7130" i="7"/>
  <c r="M7130" i="7" s="1"/>
  <c r="L7131" i="7"/>
  <c r="M7131" i="7" s="1"/>
  <c r="L7132" i="7"/>
  <c r="M7132" i="7" s="1"/>
  <c r="L7133" i="7"/>
  <c r="M7133" i="7" s="1"/>
  <c r="L7134" i="7"/>
  <c r="M7134" i="7" s="1"/>
  <c r="L7135" i="7"/>
  <c r="M7135" i="7" s="1"/>
  <c r="L7136" i="7"/>
  <c r="M7136" i="7" s="1"/>
  <c r="L7137" i="7"/>
  <c r="M7137" i="7" s="1"/>
  <c r="L7138" i="7"/>
  <c r="M7138" i="7" s="1"/>
  <c r="L7139" i="7"/>
  <c r="M7139" i="7" s="1"/>
  <c r="L7140" i="7"/>
  <c r="M7140" i="7" s="1"/>
  <c r="L7141" i="7"/>
  <c r="M7141" i="7" s="1"/>
  <c r="L7142" i="7"/>
  <c r="M7142" i="7" s="1"/>
  <c r="L7143" i="7"/>
  <c r="M7143" i="7" s="1"/>
  <c r="L7144" i="7"/>
  <c r="M7144" i="7" s="1"/>
  <c r="L7145" i="7"/>
  <c r="M7145" i="7" s="1"/>
  <c r="L7146" i="7"/>
  <c r="M7146" i="7" s="1"/>
  <c r="L7147" i="7"/>
  <c r="M7147" i="7" s="1"/>
  <c r="L7148" i="7"/>
  <c r="M7148" i="7" s="1"/>
  <c r="L7149" i="7"/>
  <c r="M7149" i="7" s="1"/>
  <c r="L7150" i="7"/>
  <c r="M7150" i="7" s="1"/>
  <c r="L7151" i="7"/>
  <c r="M7151" i="7" s="1"/>
  <c r="L7152" i="7"/>
  <c r="M7152" i="7" s="1"/>
  <c r="L7153" i="7"/>
  <c r="M7153" i="7" s="1"/>
  <c r="L7154" i="7"/>
  <c r="M7154" i="7" s="1"/>
  <c r="L7155" i="7"/>
  <c r="M7155" i="7" s="1"/>
  <c r="L7156" i="7"/>
  <c r="M7156" i="7" s="1"/>
  <c r="L7157" i="7"/>
  <c r="M7157" i="7" s="1"/>
  <c r="L7158" i="7"/>
  <c r="M7158" i="7" s="1"/>
  <c r="L7159" i="7"/>
  <c r="M7159" i="7" s="1"/>
  <c r="L7160" i="7"/>
  <c r="M7160" i="7" s="1"/>
  <c r="L7161" i="7"/>
  <c r="M7161" i="7" s="1"/>
  <c r="L7162" i="7"/>
  <c r="M7162" i="7" s="1"/>
  <c r="L7163" i="7"/>
  <c r="M7163" i="7" s="1"/>
  <c r="L7164" i="7"/>
  <c r="M7164" i="7" s="1"/>
  <c r="L7165" i="7"/>
  <c r="M7165" i="7" s="1"/>
  <c r="L7166" i="7"/>
  <c r="M7166" i="7" s="1"/>
  <c r="L7167" i="7"/>
  <c r="M7167" i="7" s="1"/>
  <c r="L7168" i="7"/>
  <c r="M7168" i="7" s="1"/>
  <c r="L7169" i="7"/>
  <c r="M7169" i="7" s="1"/>
  <c r="L7170" i="7"/>
  <c r="M7170" i="7" s="1"/>
  <c r="L7171" i="7"/>
  <c r="M7171" i="7" s="1"/>
  <c r="L7172" i="7"/>
  <c r="M7172" i="7" s="1"/>
  <c r="L7173" i="7"/>
  <c r="M7173" i="7" s="1"/>
  <c r="L7174" i="7"/>
  <c r="M7174" i="7" s="1"/>
  <c r="L7175" i="7"/>
  <c r="M7175" i="7" s="1"/>
  <c r="L7176" i="7"/>
  <c r="M7176" i="7" s="1"/>
  <c r="L7177" i="7"/>
  <c r="M7177" i="7" s="1"/>
  <c r="L7178" i="7"/>
  <c r="M7178" i="7" s="1"/>
  <c r="L7179" i="7"/>
  <c r="M7179" i="7" s="1"/>
  <c r="L7180" i="7"/>
  <c r="M7180" i="7" s="1"/>
  <c r="L7181" i="7"/>
  <c r="M7181" i="7" s="1"/>
  <c r="L7182" i="7"/>
  <c r="M7182" i="7" s="1"/>
  <c r="L7183" i="7"/>
  <c r="M7183" i="7" s="1"/>
  <c r="L7184" i="7"/>
  <c r="M7184" i="7" s="1"/>
  <c r="L7185" i="7"/>
  <c r="M7185" i="7" s="1"/>
  <c r="L7186" i="7"/>
  <c r="M7186" i="7" s="1"/>
  <c r="L7187" i="7"/>
  <c r="M7187" i="7" s="1"/>
  <c r="L7188" i="7"/>
  <c r="M7188" i="7" s="1"/>
  <c r="L7189" i="7"/>
  <c r="M7189" i="7" s="1"/>
  <c r="L7190" i="7"/>
  <c r="M7190" i="7" s="1"/>
  <c r="L7191" i="7"/>
  <c r="M7191" i="7" s="1"/>
  <c r="L7192" i="7"/>
  <c r="M7192" i="7" s="1"/>
  <c r="L7193" i="7"/>
  <c r="M7193" i="7" s="1"/>
  <c r="L7194" i="7"/>
  <c r="M7194" i="7" s="1"/>
  <c r="L7195" i="7"/>
  <c r="M7195" i="7" s="1"/>
  <c r="L7196" i="7"/>
  <c r="M7196" i="7" s="1"/>
  <c r="L7197" i="7"/>
  <c r="M7197" i="7" s="1"/>
  <c r="L7198" i="7"/>
  <c r="M7198" i="7" s="1"/>
  <c r="L7199" i="7"/>
  <c r="M7199" i="7" s="1"/>
  <c r="L7200" i="7"/>
  <c r="M7200" i="7" s="1"/>
  <c r="L7201" i="7"/>
  <c r="M7201" i="7" s="1"/>
  <c r="L7202" i="7"/>
  <c r="M7202" i="7" s="1"/>
  <c r="L7203" i="7"/>
  <c r="M7203" i="7" s="1"/>
  <c r="L7204" i="7"/>
  <c r="M7204" i="7" s="1"/>
  <c r="L7205" i="7"/>
  <c r="M7205" i="7" s="1"/>
  <c r="L7206" i="7"/>
  <c r="M7206" i="7" s="1"/>
  <c r="L7207" i="7"/>
  <c r="M7207" i="7" s="1"/>
  <c r="L7208" i="7"/>
  <c r="M7208" i="7" s="1"/>
  <c r="L7209" i="7"/>
  <c r="M7209" i="7" s="1"/>
  <c r="L7210" i="7"/>
  <c r="M7210" i="7" s="1"/>
  <c r="L7211" i="7"/>
  <c r="M7211" i="7" s="1"/>
  <c r="L7212" i="7"/>
  <c r="M7212" i="7" s="1"/>
  <c r="L7213" i="7"/>
  <c r="M7213" i="7" s="1"/>
  <c r="L7214" i="7"/>
  <c r="M7214" i="7" s="1"/>
  <c r="L7215" i="7"/>
  <c r="M7215" i="7" s="1"/>
  <c r="L7216" i="7"/>
  <c r="M7216" i="7" s="1"/>
  <c r="L7217" i="7"/>
  <c r="M7217" i="7" s="1"/>
  <c r="L7218" i="7"/>
  <c r="M7218" i="7" s="1"/>
  <c r="L7219" i="7"/>
  <c r="M7219" i="7" s="1"/>
  <c r="L7220" i="7"/>
  <c r="M7220" i="7" s="1"/>
  <c r="L7221" i="7"/>
  <c r="M7221" i="7" s="1"/>
  <c r="L7222" i="7"/>
  <c r="M7222" i="7" s="1"/>
  <c r="L7223" i="7"/>
  <c r="M7223" i="7" s="1"/>
  <c r="L7224" i="7"/>
  <c r="M7224" i="7" s="1"/>
  <c r="L7225" i="7"/>
  <c r="M7225" i="7" s="1"/>
  <c r="L7226" i="7"/>
  <c r="M7226" i="7" s="1"/>
  <c r="L7227" i="7"/>
  <c r="M7227" i="7" s="1"/>
  <c r="L7228" i="7"/>
  <c r="M7228" i="7" s="1"/>
  <c r="L7229" i="7"/>
  <c r="M7229" i="7" s="1"/>
  <c r="L7230" i="7"/>
  <c r="M7230" i="7" s="1"/>
  <c r="L7231" i="7"/>
  <c r="M7231" i="7" s="1"/>
  <c r="L7232" i="7"/>
  <c r="M7232" i="7" s="1"/>
  <c r="L7233" i="7"/>
  <c r="M7233" i="7" s="1"/>
  <c r="L7234" i="7"/>
  <c r="M7234" i="7" s="1"/>
  <c r="L7235" i="7"/>
  <c r="M7235" i="7" s="1"/>
  <c r="L7236" i="7"/>
  <c r="M7236" i="7" s="1"/>
  <c r="L7237" i="7"/>
  <c r="M7237" i="7" s="1"/>
  <c r="L7238" i="7"/>
  <c r="M7238" i="7" s="1"/>
  <c r="L7239" i="7"/>
  <c r="M7239" i="7" s="1"/>
  <c r="L7240" i="7"/>
  <c r="M7240" i="7" s="1"/>
  <c r="L7241" i="7"/>
  <c r="M7241" i="7" s="1"/>
  <c r="L7242" i="7"/>
  <c r="M7242" i="7" s="1"/>
  <c r="L7243" i="7"/>
  <c r="M7243" i="7" s="1"/>
  <c r="L7244" i="7"/>
  <c r="M7244" i="7" s="1"/>
  <c r="L7245" i="7"/>
  <c r="M7245" i="7" s="1"/>
  <c r="L7246" i="7"/>
  <c r="M7246" i="7" s="1"/>
  <c r="L7247" i="7"/>
  <c r="M7247" i="7" s="1"/>
  <c r="L7248" i="7"/>
  <c r="M7248" i="7" s="1"/>
  <c r="L7249" i="7"/>
  <c r="M7249" i="7" s="1"/>
  <c r="L7250" i="7"/>
  <c r="M7250" i="7" s="1"/>
  <c r="L7251" i="7"/>
  <c r="M7251" i="7" s="1"/>
  <c r="L7252" i="7"/>
  <c r="M7252" i="7" s="1"/>
  <c r="L7253" i="7"/>
  <c r="M7253" i="7" s="1"/>
  <c r="L7254" i="7"/>
  <c r="M7254" i="7" s="1"/>
  <c r="L7255" i="7"/>
  <c r="M7255" i="7" s="1"/>
  <c r="L7256" i="7"/>
  <c r="M7256" i="7" s="1"/>
  <c r="L7257" i="7"/>
  <c r="M7257" i="7" s="1"/>
  <c r="L7258" i="7"/>
  <c r="M7258" i="7" s="1"/>
  <c r="L7259" i="7"/>
  <c r="M7259" i="7" s="1"/>
  <c r="L7260" i="7"/>
  <c r="M7260" i="7" s="1"/>
  <c r="L7261" i="7"/>
  <c r="M7261" i="7" s="1"/>
  <c r="L7262" i="7"/>
  <c r="M7262" i="7" s="1"/>
  <c r="L7263" i="7"/>
  <c r="M7263" i="7" s="1"/>
  <c r="L7264" i="7"/>
  <c r="M7264" i="7" s="1"/>
  <c r="L7265" i="7"/>
  <c r="M7265" i="7" s="1"/>
  <c r="L7266" i="7"/>
  <c r="M7266" i="7" s="1"/>
  <c r="L7267" i="7"/>
  <c r="M7267" i="7" s="1"/>
  <c r="L7268" i="7"/>
  <c r="M7268" i="7" s="1"/>
  <c r="L7269" i="7"/>
  <c r="M7269" i="7" s="1"/>
  <c r="L7270" i="7"/>
  <c r="M7270" i="7" s="1"/>
  <c r="L7271" i="7"/>
  <c r="M7271" i="7" s="1"/>
  <c r="L7272" i="7"/>
  <c r="M7272" i="7" s="1"/>
  <c r="L7273" i="7"/>
  <c r="M7273" i="7" s="1"/>
  <c r="L7274" i="7"/>
  <c r="M7274" i="7" s="1"/>
  <c r="L7275" i="7"/>
  <c r="M7275" i="7" s="1"/>
  <c r="L7276" i="7"/>
  <c r="M7276" i="7" s="1"/>
  <c r="L7277" i="7"/>
  <c r="M7277" i="7" s="1"/>
  <c r="L7278" i="7"/>
  <c r="M7278" i="7" s="1"/>
  <c r="L7279" i="7"/>
  <c r="M7279" i="7" s="1"/>
  <c r="L7280" i="7"/>
  <c r="M7280" i="7" s="1"/>
  <c r="L7281" i="7"/>
  <c r="M7281" i="7" s="1"/>
  <c r="L7282" i="7"/>
  <c r="M7282" i="7" s="1"/>
  <c r="L7283" i="7"/>
  <c r="M7283" i="7" s="1"/>
  <c r="L7284" i="7"/>
  <c r="M7284" i="7" s="1"/>
  <c r="L7285" i="7"/>
  <c r="M7285" i="7" s="1"/>
  <c r="L7286" i="7"/>
  <c r="M7286" i="7" s="1"/>
  <c r="L7287" i="7"/>
  <c r="M7287" i="7" s="1"/>
  <c r="L7288" i="7"/>
  <c r="M7288" i="7" s="1"/>
  <c r="L7289" i="7"/>
  <c r="M7289" i="7" s="1"/>
  <c r="L7290" i="7"/>
  <c r="M7290" i="7" s="1"/>
  <c r="L7291" i="7"/>
  <c r="M7291" i="7" s="1"/>
  <c r="L7292" i="7"/>
  <c r="M7292" i="7" s="1"/>
  <c r="L7293" i="7"/>
  <c r="M7293" i="7" s="1"/>
  <c r="L7294" i="7"/>
  <c r="M7294" i="7" s="1"/>
  <c r="L7295" i="7"/>
  <c r="M7295" i="7" s="1"/>
  <c r="L7296" i="7"/>
  <c r="M7296" i="7" s="1"/>
  <c r="L7297" i="7"/>
  <c r="M7297" i="7" s="1"/>
  <c r="L7298" i="7"/>
  <c r="M7298" i="7" s="1"/>
  <c r="L7299" i="7"/>
  <c r="M7299" i="7" s="1"/>
  <c r="L7300" i="7"/>
  <c r="M7300" i="7" s="1"/>
  <c r="L7301" i="7"/>
  <c r="M7301" i="7" s="1"/>
  <c r="L7302" i="7"/>
  <c r="M7302" i="7" s="1"/>
  <c r="L7303" i="7"/>
  <c r="M7303" i="7" s="1"/>
  <c r="L7304" i="7"/>
  <c r="M7304" i="7" s="1"/>
  <c r="L7305" i="7"/>
  <c r="M7305" i="7" s="1"/>
  <c r="L7306" i="7"/>
  <c r="M7306" i="7" s="1"/>
  <c r="L7307" i="7"/>
  <c r="M7307" i="7" s="1"/>
  <c r="L7308" i="7"/>
  <c r="M7308" i="7" s="1"/>
  <c r="L7309" i="7"/>
  <c r="M7309" i="7" s="1"/>
  <c r="L7310" i="7"/>
  <c r="M7310" i="7" s="1"/>
  <c r="L7311" i="7"/>
  <c r="M7311" i="7" s="1"/>
  <c r="L7312" i="7"/>
  <c r="M7312" i="7" s="1"/>
  <c r="L7313" i="7"/>
  <c r="M7313" i="7" s="1"/>
  <c r="L7314" i="7"/>
  <c r="M7314" i="7" s="1"/>
  <c r="L7315" i="7"/>
  <c r="M7315" i="7" s="1"/>
  <c r="L7316" i="7"/>
  <c r="M7316" i="7" s="1"/>
  <c r="L7317" i="7"/>
  <c r="M7317" i="7" s="1"/>
  <c r="L7318" i="7"/>
  <c r="M7318" i="7" s="1"/>
  <c r="L7319" i="7"/>
  <c r="M7319" i="7" s="1"/>
  <c r="L7320" i="7"/>
  <c r="M7320" i="7" s="1"/>
  <c r="L7321" i="7"/>
  <c r="M7321" i="7" s="1"/>
  <c r="L7322" i="7"/>
  <c r="M7322" i="7" s="1"/>
  <c r="L7323" i="7"/>
  <c r="M7323" i="7" s="1"/>
  <c r="L7324" i="7"/>
  <c r="M7324" i="7" s="1"/>
  <c r="L7325" i="7"/>
  <c r="M7325" i="7" s="1"/>
  <c r="L7326" i="7"/>
  <c r="M7326" i="7" s="1"/>
  <c r="L7327" i="7"/>
  <c r="M7327" i="7" s="1"/>
  <c r="L7328" i="7"/>
  <c r="M7328" i="7" s="1"/>
  <c r="L7329" i="7"/>
  <c r="M7329" i="7" s="1"/>
  <c r="L7330" i="7"/>
  <c r="M7330" i="7" s="1"/>
  <c r="L7331" i="7"/>
  <c r="M7331" i="7" s="1"/>
  <c r="L7332" i="7"/>
  <c r="M7332" i="7" s="1"/>
  <c r="L7333" i="7"/>
  <c r="M7333" i="7" s="1"/>
  <c r="L7334" i="7"/>
  <c r="M7334" i="7" s="1"/>
  <c r="L7335" i="7"/>
  <c r="M7335" i="7" s="1"/>
  <c r="L7336" i="7"/>
  <c r="M7336" i="7" s="1"/>
  <c r="L7337" i="7"/>
  <c r="M7337" i="7" s="1"/>
  <c r="L7338" i="7"/>
  <c r="M7338" i="7" s="1"/>
  <c r="L7339" i="7"/>
  <c r="M7339" i="7" s="1"/>
  <c r="L7340" i="7"/>
  <c r="M7340" i="7" s="1"/>
  <c r="L7341" i="7"/>
  <c r="M7341" i="7" s="1"/>
  <c r="L7342" i="7"/>
  <c r="M7342" i="7" s="1"/>
  <c r="L7343" i="7"/>
  <c r="M7343" i="7" s="1"/>
  <c r="L7344" i="7"/>
  <c r="M7344" i="7" s="1"/>
  <c r="L7345" i="7"/>
  <c r="M7345" i="7" s="1"/>
  <c r="L7346" i="7"/>
  <c r="M7346" i="7" s="1"/>
  <c r="L7347" i="7"/>
  <c r="M7347" i="7" s="1"/>
  <c r="L7348" i="7"/>
  <c r="M7348" i="7" s="1"/>
  <c r="L7349" i="7"/>
  <c r="M7349" i="7" s="1"/>
  <c r="L7350" i="7"/>
  <c r="M7350" i="7" s="1"/>
  <c r="L7351" i="7"/>
  <c r="M7351" i="7" s="1"/>
  <c r="L7352" i="7"/>
  <c r="M7352" i="7" s="1"/>
  <c r="L7353" i="7"/>
  <c r="M7353" i="7" s="1"/>
  <c r="L7354" i="7"/>
  <c r="M7354" i="7" s="1"/>
  <c r="L7355" i="7"/>
  <c r="M7355" i="7" s="1"/>
  <c r="L7356" i="7"/>
  <c r="M7356" i="7" s="1"/>
  <c r="L7357" i="7"/>
  <c r="M7357" i="7" s="1"/>
  <c r="L7358" i="7"/>
  <c r="M7358" i="7" s="1"/>
  <c r="L7359" i="7"/>
  <c r="M7359" i="7" s="1"/>
  <c r="L7360" i="7"/>
  <c r="M7360" i="7" s="1"/>
  <c r="L7361" i="7"/>
  <c r="M7361" i="7" s="1"/>
  <c r="L7362" i="7"/>
  <c r="M7362" i="7" s="1"/>
  <c r="L7363" i="7"/>
  <c r="M7363" i="7" s="1"/>
  <c r="L7364" i="7"/>
  <c r="M7364" i="7" s="1"/>
  <c r="L7365" i="7"/>
  <c r="M7365" i="7" s="1"/>
  <c r="L7366" i="7"/>
  <c r="M7366" i="7" s="1"/>
  <c r="L7367" i="7"/>
  <c r="M7367" i="7" s="1"/>
  <c r="L7368" i="7"/>
  <c r="M7368" i="7" s="1"/>
  <c r="L7369" i="7"/>
  <c r="M7369" i="7" s="1"/>
  <c r="L7370" i="7"/>
  <c r="M7370" i="7" s="1"/>
  <c r="L7371" i="7"/>
  <c r="M7371" i="7" s="1"/>
  <c r="L7372" i="7"/>
  <c r="M7372" i="7" s="1"/>
  <c r="L7373" i="7"/>
  <c r="M7373" i="7" s="1"/>
  <c r="L7374" i="7"/>
  <c r="M7374" i="7" s="1"/>
  <c r="L7375" i="7"/>
  <c r="M7375" i="7" s="1"/>
  <c r="L7376" i="7"/>
  <c r="M7376" i="7" s="1"/>
  <c r="L7377" i="7"/>
  <c r="M7377" i="7" s="1"/>
  <c r="L7378" i="7"/>
  <c r="M7378" i="7" s="1"/>
  <c r="L7379" i="7"/>
  <c r="M7379" i="7" s="1"/>
  <c r="L7380" i="7"/>
  <c r="M7380" i="7" s="1"/>
  <c r="L7381" i="7"/>
  <c r="M7381" i="7" s="1"/>
  <c r="L7382" i="7"/>
  <c r="M7382" i="7" s="1"/>
  <c r="L7383" i="7"/>
  <c r="M7383" i="7" s="1"/>
  <c r="L7384" i="7"/>
  <c r="M7384" i="7" s="1"/>
  <c r="L7385" i="7"/>
  <c r="M7385" i="7" s="1"/>
  <c r="L7386" i="7"/>
  <c r="M7386" i="7" s="1"/>
  <c r="L7387" i="7"/>
  <c r="M7387" i="7" s="1"/>
  <c r="L7388" i="7"/>
  <c r="M7388" i="7" s="1"/>
  <c r="L7389" i="7"/>
  <c r="M7389" i="7" s="1"/>
  <c r="L7390" i="7"/>
  <c r="M7390" i="7" s="1"/>
  <c r="L7391" i="7"/>
  <c r="M7391" i="7" s="1"/>
  <c r="L7392" i="7"/>
  <c r="M7392" i="7" s="1"/>
  <c r="L7393" i="7"/>
  <c r="M7393" i="7" s="1"/>
  <c r="L7394" i="7"/>
  <c r="M7394" i="7" s="1"/>
  <c r="L7395" i="7"/>
  <c r="M7395" i="7" s="1"/>
  <c r="L7396" i="7"/>
  <c r="M7396" i="7" s="1"/>
  <c r="L7397" i="7"/>
  <c r="M7397" i="7" s="1"/>
  <c r="L7398" i="7"/>
  <c r="M7398" i="7" s="1"/>
  <c r="L7399" i="7"/>
  <c r="M7399" i="7" s="1"/>
  <c r="L7400" i="7"/>
  <c r="M7400" i="7" s="1"/>
  <c r="L7401" i="7"/>
  <c r="M7401" i="7" s="1"/>
  <c r="L7402" i="7"/>
  <c r="M7402" i="7" s="1"/>
  <c r="L7403" i="7"/>
  <c r="M7403" i="7" s="1"/>
  <c r="L7404" i="7"/>
  <c r="M7404" i="7" s="1"/>
  <c r="L7405" i="7"/>
  <c r="M7405" i="7" s="1"/>
  <c r="L7406" i="7"/>
  <c r="M7406" i="7" s="1"/>
  <c r="L7407" i="7"/>
  <c r="M7407" i="7" s="1"/>
  <c r="L7408" i="7"/>
  <c r="M7408" i="7" s="1"/>
  <c r="L7409" i="7"/>
  <c r="M7409" i="7" s="1"/>
  <c r="L7410" i="7"/>
  <c r="M7410" i="7" s="1"/>
  <c r="L7411" i="7"/>
  <c r="M7411" i="7" s="1"/>
  <c r="L7412" i="7"/>
  <c r="M7412" i="7" s="1"/>
  <c r="L7413" i="7"/>
  <c r="M7413" i="7" s="1"/>
  <c r="L7414" i="7"/>
  <c r="M7414" i="7" s="1"/>
  <c r="L7415" i="7"/>
  <c r="M7415" i="7" s="1"/>
  <c r="L7416" i="7"/>
  <c r="M7416" i="7" s="1"/>
  <c r="L7417" i="7"/>
  <c r="M7417" i="7" s="1"/>
  <c r="L7418" i="7"/>
  <c r="M7418" i="7" s="1"/>
  <c r="L7419" i="7"/>
  <c r="M7419" i="7" s="1"/>
  <c r="L7420" i="7"/>
  <c r="M7420" i="7" s="1"/>
  <c r="L7421" i="7"/>
  <c r="M7421" i="7" s="1"/>
  <c r="L7422" i="7"/>
  <c r="M7422" i="7" s="1"/>
  <c r="L7423" i="7"/>
  <c r="M7423" i="7" s="1"/>
  <c r="L7424" i="7"/>
  <c r="M7424" i="7" s="1"/>
  <c r="L7425" i="7"/>
  <c r="M7425" i="7" s="1"/>
  <c r="L7426" i="7"/>
  <c r="M7426" i="7" s="1"/>
  <c r="L7427" i="7"/>
  <c r="M7427" i="7" s="1"/>
  <c r="L7428" i="7"/>
  <c r="M7428" i="7" s="1"/>
  <c r="L7429" i="7"/>
  <c r="M7429" i="7" s="1"/>
  <c r="L7430" i="7"/>
  <c r="M7430" i="7" s="1"/>
  <c r="L7431" i="7"/>
  <c r="M7431" i="7" s="1"/>
  <c r="L7432" i="7"/>
  <c r="M7432" i="7" s="1"/>
  <c r="L7433" i="7"/>
  <c r="M7433" i="7" s="1"/>
  <c r="L7434" i="7"/>
  <c r="M7434" i="7" s="1"/>
  <c r="L7435" i="7"/>
  <c r="M7435" i="7" s="1"/>
  <c r="L7436" i="7"/>
  <c r="M7436" i="7" s="1"/>
  <c r="L7437" i="7"/>
  <c r="M7437" i="7" s="1"/>
  <c r="L7438" i="7"/>
  <c r="M7438" i="7" s="1"/>
  <c r="L7439" i="7"/>
  <c r="M7439" i="7" s="1"/>
  <c r="L7440" i="7"/>
  <c r="M7440" i="7" s="1"/>
  <c r="L7441" i="7"/>
  <c r="M7441" i="7" s="1"/>
  <c r="L7442" i="7"/>
  <c r="M7442" i="7" s="1"/>
  <c r="L7443" i="7"/>
  <c r="M7443" i="7" s="1"/>
  <c r="L7444" i="7"/>
  <c r="M7444" i="7" s="1"/>
  <c r="L7445" i="7"/>
  <c r="M7445" i="7" s="1"/>
  <c r="L7446" i="7"/>
  <c r="M7446" i="7" s="1"/>
  <c r="L7447" i="7"/>
  <c r="M7447" i="7" s="1"/>
  <c r="L7448" i="7"/>
  <c r="M7448" i="7" s="1"/>
  <c r="L7449" i="7"/>
  <c r="M7449" i="7" s="1"/>
  <c r="L7450" i="7"/>
  <c r="M7450" i="7" s="1"/>
  <c r="L7451" i="7"/>
  <c r="M7451" i="7" s="1"/>
  <c r="L7452" i="7"/>
  <c r="M7452" i="7" s="1"/>
  <c r="L7453" i="7"/>
  <c r="M7453" i="7" s="1"/>
  <c r="L7454" i="7"/>
  <c r="M7454" i="7" s="1"/>
  <c r="L7455" i="7"/>
  <c r="M7455" i="7" s="1"/>
  <c r="L7456" i="7"/>
  <c r="M7456" i="7" s="1"/>
  <c r="L7457" i="7"/>
  <c r="M7457" i="7" s="1"/>
  <c r="L7458" i="7"/>
  <c r="M7458" i="7" s="1"/>
  <c r="L7459" i="7"/>
  <c r="M7459" i="7" s="1"/>
  <c r="L7460" i="7"/>
  <c r="M7460" i="7" s="1"/>
  <c r="L7461" i="7"/>
  <c r="M7461" i="7" s="1"/>
  <c r="L7462" i="7"/>
  <c r="M7462" i="7" s="1"/>
  <c r="L7463" i="7"/>
  <c r="M7463" i="7" s="1"/>
  <c r="L7464" i="7"/>
  <c r="M7464" i="7" s="1"/>
  <c r="L7465" i="7"/>
  <c r="M7465" i="7" s="1"/>
  <c r="L7466" i="7"/>
  <c r="M7466" i="7" s="1"/>
  <c r="L7467" i="7"/>
  <c r="M7467" i="7" s="1"/>
  <c r="L7468" i="7"/>
  <c r="M7468" i="7" s="1"/>
  <c r="L7469" i="7"/>
  <c r="M7469" i="7" s="1"/>
  <c r="L7470" i="7"/>
  <c r="M7470" i="7" s="1"/>
  <c r="L7471" i="7"/>
  <c r="M7471" i="7" s="1"/>
  <c r="L7472" i="7"/>
  <c r="M7472" i="7" s="1"/>
  <c r="L7473" i="7"/>
  <c r="M7473" i="7" s="1"/>
  <c r="L7474" i="7"/>
  <c r="M7474" i="7" s="1"/>
  <c r="L7475" i="7"/>
  <c r="M7475" i="7" s="1"/>
  <c r="L7476" i="7"/>
  <c r="M7476" i="7" s="1"/>
  <c r="L7477" i="7"/>
  <c r="M7477" i="7" s="1"/>
  <c r="L7478" i="7"/>
  <c r="M7478" i="7" s="1"/>
  <c r="L7479" i="7"/>
  <c r="M7479" i="7" s="1"/>
  <c r="L7480" i="7"/>
  <c r="M7480" i="7" s="1"/>
  <c r="L7481" i="7"/>
  <c r="M7481" i="7" s="1"/>
  <c r="L7482" i="7"/>
  <c r="M7482" i="7" s="1"/>
  <c r="L7483" i="7"/>
  <c r="M7483" i="7" s="1"/>
  <c r="L7484" i="7"/>
  <c r="M7484" i="7" s="1"/>
  <c r="L7485" i="7"/>
  <c r="M7485" i="7" s="1"/>
  <c r="L7486" i="7"/>
  <c r="M7486" i="7" s="1"/>
  <c r="L7487" i="7"/>
  <c r="M7487" i="7" s="1"/>
  <c r="L7488" i="7"/>
  <c r="M7488" i="7" s="1"/>
  <c r="L7489" i="7"/>
  <c r="M7489" i="7" s="1"/>
  <c r="L7490" i="7"/>
  <c r="M7490" i="7" s="1"/>
  <c r="L7491" i="7"/>
  <c r="M7491" i="7" s="1"/>
  <c r="L7492" i="7"/>
  <c r="M7492" i="7" s="1"/>
  <c r="L7493" i="7"/>
  <c r="M7493" i="7" s="1"/>
  <c r="L7494" i="7"/>
  <c r="M7494" i="7" s="1"/>
  <c r="L7495" i="7"/>
  <c r="M7495" i="7" s="1"/>
  <c r="L7496" i="7"/>
  <c r="M7496" i="7" s="1"/>
  <c r="L7497" i="7"/>
  <c r="M7497" i="7" s="1"/>
  <c r="L7498" i="7"/>
  <c r="M7498" i="7" s="1"/>
  <c r="L7499" i="7"/>
  <c r="M7499" i="7" s="1"/>
  <c r="L7500" i="7"/>
  <c r="M7500" i="7" s="1"/>
  <c r="L7501" i="7"/>
  <c r="M7501" i="7" s="1"/>
  <c r="L7502" i="7"/>
  <c r="M7502" i="7" s="1"/>
  <c r="L7503" i="7"/>
  <c r="M7503" i="7" s="1"/>
  <c r="L7504" i="7"/>
  <c r="M7504" i="7" s="1"/>
  <c r="L7505" i="7"/>
  <c r="M7505" i="7" s="1"/>
  <c r="L7506" i="7"/>
  <c r="M7506" i="7" s="1"/>
  <c r="L7507" i="7"/>
  <c r="M7507" i="7" s="1"/>
  <c r="L7508" i="7"/>
  <c r="M7508" i="7" s="1"/>
  <c r="L7509" i="7"/>
  <c r="M7509" i="7" s="1"/>
  <c r="L7510" i="7"/>
  <c r="M7510" i="7" s="1"/>
  <c r="L7511" i="7"/>
  <c r="M7511" i="7" s="1"/>
  <c r="L7512" i="7"/>
  <c r="M7512" i="7" s="1"/>
  <c r="L7513" i="7"/>
  <c r="M7513" i="7" s="1"/>
  <c r="L7514" i="7"/>
  <c r="M7514" i="7" s="1"/>
  <c r="L7515" i="7"/>
  <c r="M7515" i="7" s="1"/>
  <c r="L7516" i="7"/>
  <c r="M7516" i="7" s="1"/>
  <c r="L7517" i="7"/>
  <c r="M7517" i="7" s="1"/>
  <c r="L7518" i="7"/>
  <c r="M7518" i="7" s="1"/>
  <c r="L7519" i="7"/>
  <c r="M7519" i="7" s="1"/>
  <c r="L7520" i="7"/>
  <c r="M7520" i="7" s="1"/>
  <c r="L7521" i="7"/>
  <c r="M7521" i="7" s="1"/>
  <c r="L7522" i="7"/>
  <c r="M7522" i="7" s="1"/>
  <c r="L7523" i="7"/>
  <c r="M7523" i="7" s="1"/>
  <c r="L7524" i="7"/>
  <c r="M7524" i="7" s="1"/>
  <c r="L7525" i="7"/>
  <c r="M7525" i="7" s="1"/>
  <c r="L7526" i="7"/>
  <c r="M7526" i="7" s="1"/>
  <c r="L7527" i="7"/>
  <c r="M7527" i="7" s="1"/>
  <c r="L7528" i="7"/>
  <c r="M7528" i="7" s="1"/>
  <c r="L7529" i="7"/>
  <c r="M7529" i="7" s="1"/>
  <c r="L7530" i="7"/>
  <c r="M7530" i="7" s="1"/>
  <c r="L7531" i="7"/>
  <c r="M7531" i="7" s="1"/>
  <c r="L7532" i="7"/>
  <c r="M7532" i="7" s="1"/>
  <c r="L7533" i="7"/>
  <c r="M7533" i="7" s="1"/>
  <c r="L7534" i="7"/>
  <c r="M7534" i="7" s="1"/>
  <c r="L7535" i="7"/>
  <c r="M7535" i="7" s="1"/>
  <c r="L7536" i="7"/>
  <c r="M7536" i="7" s="1"/>
  <c r="L7537" i="7"/>
  <c r="M7537" i="7" s="1"/>
  <c r="L7538" i="7"/>
  <c r="M7538" i="7" s="1"/>
  <c r="L7539" i="7"/>
  <c r="M7539" i="7" s="1"/>
  <c r="L7540" i="7"/>
  <c r="M7540" i="7" s="1"/>
  <c r="L7541" i="7"/>
  <c r="M7541" i="7" s="1"/>
  <c r="L7542" i="7"/>
  <c r="M7542" i="7" s="1"/>
  <c r="L7543" i="7"/>
  <c r="M7543" i="7" s="1"/>
  <c r="L7544" i="7"/>
  <c r="M7544" i="7" s="1"/>
  <c r="L7545" i="7"/>
  <c r="M7545" i="7" s="1"/>
  <c r="L7546" i="7"/>
  <c r="M7546" i="7" s="1"/>
  <c r="L7547" i="7"/>
  <c r="M7547" i="7" s="1"/>
  <c r="L7548" i="7"/>
  <c r="M7548" i="7" s="1"/>
  <c r="L7549" i="7"/>
  <c r="M7549" i="7" s="1"/>
  <c r="L7550" i="7"/>
  <c r="M7550" i="7" s="1"/>
  <c r="L7551" i="7"/>
  <c r="L7552" i="7"/>
  <c r="M7552" i="7" s="1"/>
  <c r="L7553" i="7"/>
  <c r="M7553" i="7" s="1"/>
  <c r="L7554" i="7"/>
  <c r="M7554" i="7" s="1"/>
  <c r="L7555" i="7"/>
  <c r="M7555" i="7" s="1"/>
  <c r="L7556" i="7"/>
  <c r="M7556" i="7" s="1"/>
  <c r="L7557" i="7"/>
  <c r="M7557" i="7" s="1"/>
  <c r="L7558" i="7"/>
  <c r="M7558" i="7" s="1"/>
  <c r="L7559" i="7"/>
  <c r="M7559" i="7" s="1"/>
  <c r="L7560" i="7"/>
  <c r="M7560" i="7" s="1"/>
  <c r="L7561" i="7"/>
  <c r="M7561" i="7" s="1"/>
  <c r="L7562" i="7"/>
  <c r="M7562" i="7" s="1"/>
  <c r="L7563" i="7"/>
  <c r="M7563" i="7" s="1"/>
  <c r="L7564" i="7"/>
  <c r="M7564" i="7" s="1"/>
  <c r="L7565" i="7"/>
  <c r="M7565" i="7" s="1"/>
  <c r="L7566" i="7"/>
  <c r="M7566" i="7" s="1"/>
  <c r="L7567" i="7"/>
  <c r="M7567" i="7" s="1"/>
  <c r="L7568" i="7"/>
  <c r="M7568" i="7" s="1"/>
  <c r="L7569" i="7"/>
  <c r="M7569" i="7" s="1"/>
  <c r="L7570" i="7"/>
  <c r="M7570" i="7" s="1"/>
  <c r="L7571" i="7"/>
  <c r="M7571" i="7" s="1"/>
  <c r="L7572" i="7"/>
  <c r="M7572" i="7" s="1"/>
  <c r="L7573" i="7"/>
  <c r="M7573" i="7" s="1"/>
  <c r="L7574" i="7"/>
  <c r="M7574" i="7" s="1"/>
  <c r="L7575" i="7"/>
  <c r="M7575" i="7" s="1"/>
  <c r="L7576" i="7"/>
  <c r="M7576" i="7" s="1"/>
  <c r="L7577" i="7"/>
  <c r="M7577" i="7" s="1"/>
  <c r="L7578" i="7"/>
  <c r="M7578" i="7" s="1"/>
  <c r="L7579" i="7"/>
  <c r="M7579" i="7" s="1"/>
  <c r="L7580" i="7"/>
  <c r="M7580" i="7" s="1"/>
  <c r="L7581" i="7"/>
  <c r="M7581" i="7" s="1"/>
  <c r="L7582" i="7"/>
  <c r="M7582" i="7" s="1"/>
  <c r="L7583" i="7"/>
  <c r="M7583" i="7" s="1"/>
  <c r="L7584" i="7"/>
  <c r="M7584" i="7" s="1"/>
  <c r="L7585" i="7"/>
  <c r="M7585" i="7" s="1"/>
  <c r="L7586" i="7"/>
  <c r="M7586" i="7" s="1"/>
  <c r="L7587" i="7"/>
  <c r="M7587" i="7" s="1"/>
  <c r="L7588" i="7"/>
  <c r="M7588" i="7" s="1"/>
  <c r="L7589" i="7"/>
  <c r="M7589" i="7" s="1"/>
  <c r="L7590" i="7"/>
  <c r="M7590" i="7" s="1"/>
  <c r="L7591" i="7"/>
  <c r="M7591" i="7" s="1"/>
  <c r="L7592" i="7"/>
  <c r="M7592" i="7" s="1"/>
  <c r="L7593" i="7"/>
  <c r="M7593" i="7" s="1"/>
  <c r="L7594" i="7"/>
  <c r="M7594" i="7" s="1"/>
  <c r="L7595" i="7"/>
  <c r="M7595" i="7" s="1"/>
  <c r="L7596" i="7"/>
  <c r="M7596" i="7" s="1"/>
  <c r="L7597" i="7"/>
  <c r="M7597" i="7" s="1"/>
  <c r="L7598" i="7"/>
  <c r="M7598" i="7" s="1"/>
  <c r="L7599" i="7"/>
  <c r="M7599" i="7" s="1"/>
  <c r="L7600" i="7"/>
  <c r="M7600" i="7" s="1"/>
  <c r="L7601" i="7"/>
  <c r="M7601" i="7" s="1"/>
  <c r="L7602" i="7"/>
  <c r="M7602" i="7" s="1"/>
  <c r="L7603" i="7"/>
  <c r="M7603" i="7" s="1"/>
  <c r="L7604" i="7"/>
  <c r="M7604" i="7" s="1"/>
  <c r="L7605" i="7"/>
  <c r="M7605" i="7" s="1"/>
  <c r="L7606" i="7"/>
  <c r="M7606" i="7" s="1"/>
  <c r="L7607" i="7"/>
  <c r="M7607" i="7" s="1"/>
  <c r="L7608" i="7"/>
  <c r="M7608" i="7" s="1"/>
  <c r="L7609" i="7"/>
  <c r="M7609" i="7" s="1"/>
  <c r="L7610" i="7"/>
  <c r="M7610" i="7" s="1"/>
  <c r="L7611" i="7"/>
  <c r="M7611" i="7" s="1"/>
  <c r="L7612" i="7"/>
  <c r="M7612" i="7" s="1"/>
  <c r="L7613" i="7"/>
  <c r="M7613" i="7" s="1"/>
  <c r="L7614" i="7"/>
  <c r="M7614" i="7" s="1"/>
  <c r="L7615" i="7"/>
  <c r="M7615" i="7" s="1"/>
  <c r="L7616" i="7"/>
  <c r="M7616" i="7" s="1"/>
  <c r="L7617" i="7"/>
  <c r="M7617" i="7" s="1"/>
  <c r="L7618" i="7"/>
  <c r="M7618" i="7" s="1"/>
  <c r="L7619" i="7"/>
  <c r="M7619" i="7" s="1"/>
  <c r="L7620" i="7"/>
  <c r="M7620" i="7" s="1"/>
  <c r="L7621" i="7"/>
  <c r="M7621" i="7" s="1"/>
  <c r="L7622" i="7"/>
  <c r="M7622" i="7" s="1"/>
  <c r="L7623" i="7"/>
  <c r="M7623" i="7" s="1"/>
  <c r="L7624" i="7"/>
  <c r="M7624" i="7" s="1"/>
  <c r="L7625" i="7"/>
  <c r="M7625" i="7" s="1"/>
  <c r="L7626" i="7"/>
  <c r="M7626" i="7" s="1"/>
  <c r="L7627" i="7"/>
  <c r="M7627" i="7" s="1"/>
  <c r="L7628" i="7"/>
  <c r="M7628" i="7" s="1"/>
  <c r="L7629" i="7"/>
  <c r="M7629" i="7" s="1"/>
  <c r="L7630" i="7"/>
  <c r="M7630" i="7" s="1"/>
  <c r="L7631" i="7"/>
  <c r="M7631" i="7" s="1"/>
  <c r="L7632" i="7"/>
  <c r="M7632" i="7" s="1"/>
  <c r="L7633" i="7"/>
  <c r="M7633" i="7" s="1"/>
  <c r="L7634" i="7"/>
  <c r="M7634" i="7" s="1"/>
  <c r="L7635" i="7"/>
  <c r="M7635" i="7" s="1"/>
  <c r="L7636" i="7"/>
  <c r="M7636" i="7" s="1"/>
  <c r="L7637" i="7"/>
  <c r="M7637" i="7" s="1"/>
  <c r="L7638" i="7"/>
  <c r="M7638" i="7" s="1"/>
  <c r="L7639" i="7"/>
  <c r="M7639" i="7" s="1"/>
  <c r="L7640" i="7"/>
  <c r="M7640" i="7" s="1"/>
  <c r="L7641" i="7"/>
  <c r="M7641" i="7" s="1"/>
  <c r="L7642" i="7"/>
  <c r="M7642" i="7" s="1"/>
  <c r="L7643" i="7"/>
  <c r="M7643" i="7" s="1"/>
  <c r="L7644" i="7"/>
  <c r="M7644" i="7" s="1"/>
  <c r="L7645" i="7"/>
  <c r="M7645" i="7" s="1"/>
  <c r="L7646" i="7"/>
  <c r="M7646" i="7" s="1"/>
  <c r="L7647" i="7"/>
  <c r="M7647" i="7" s="1"/>
  <c r="L7648" i="7"/>
  <c r="M7648" i="7" s="1"/>
  <c r="L7649" i="7"/>
  <c r="M7649" i="7" s="1"/>
  <c r="L7650" i="7"/>
  <c r="M7650" i="7" s="1"/>
  <c r="L7651" i="7"/>
  <c r="M7651" i="7" s="1"/>
  <c r="L7652" i="7"/>
  <c r="M7652" i="7" s="1"/>
  <c r="L7653" i="7"/>
  <c r="M7653" i="7" s="1"/>
  <c r="L7654" i="7"/>
  <c r="M7654" i="7" s="1"/>
  <c r="L7655" i="7"/>
  <c r="M7655" i="7" s="1"/>
  <c r="L7656" i="7"/>
  <c r="M7656" i="7" s="1"/>
  <c r="L7657" i="7"/>
  <c r="M7657" i="7" s="1"/>
  <c r="L7658" i="7"/>
  <c r="M7658" i="7" s="1"/>
  <c r="L7659" i="7"/>
  <c r="M7659" i="7" s="1"/>
  <c r="L7660" i="7"/>
  <c r="M7660" i="7" s="1"/>
  <c r="L7661" i="7"/>
  <c r="M7661" i="7" s="1"/>
  <c r="L7662" i="7"/>
  <c r="M7662" i="7" s="1"/>
  <c r="L7663" i="7"/>
  <c r="M7663" i="7" s="1"/>
  <c r="L7664" i="7"/>
  <c r="M7664" i="7" s="1"/>
  <c r="L7665" i="7"/>
  <c r="M7665" i="7" s="1"/>
  <c r="L7666" i="7"/>
  <c r="M7666" i="7" s="1"/>
  <c r="L7667" i="7"/>
  <c r="M7667" i="7" s="1"/>
  <c r="L7668" i="7"/>
  <c r="M7668" i="7" s="1"/>
  <c r="L7669" i="7"/>
  <c r="M7669" i="7" s="1"/>
  <c r="L7670" i="7"/>
  <c r="M7670" i="7" s="1"/>
  <c r="L7671" i="7"/>
  <c r="M7671" i="7" s="1"/>
  <c r="L7672" i="7"/>
  <c r="M7672" i="7" s="1"/>
  <c r="L7673" i="7"/>
  <c r="M7673" i="7" s="1"/>
  <c r="L7674" i="7"/>
  <c r="M7674" i="7" s="1"/>
  <c r="L7675" i="7"/>
  <c r="M7675" i="7" s="1"/>
  <c r="L7676" i="7"/>
  <c r="M7676" i="7" s="1"/>
  <c r="L7677" i="7"/>
  <c r="M7677" i="7" s="1"/>
  <c r="L7678" i="7"/>
  <c r="M7678" i="7" s="1"/>
  <c r="L7679" i="7"/>
  <c r="M7679" i="7" s="1"/>
  <c r="L7680" i="7"/>
  <c r="M7680" i="7" s="1"/>
  <c r="L7681" i="7"/>
  <c r="M7681" i="7" s="1"/>
  <c r="L7682" i="7"/>
  <c r="M7682" i="7" s="1"/>
  <c r="L7683" i="7"/>
  <c r="M7683" i="7" s="1"/>
  <c r="L7684" i="7"/>
  <c r="M7684" i="7" s="1"/>
  <c r="L7685" i="7"/>
  <c r="M7685" i="7" s="1"/>
  <c r="L7686" i="7"/>
  <c r="M7686" i="7" s="1"/>
  <c r="L7687" i="7"/>
  <c r="M7687" i="7" s="1"/>
  <c r="L7688" i="7"/>
  <c r="M7688" i="7" s="1"/>
  <c r="L7689" i="7"/>
  <c r="M7689" i="7" s="1"/>
  <c r="L7690" i="7"/>
  <c r="M7690" i="7" s="1"/>
  <c r="L7691" i="7"/>
  <c r="M7691" i="7" s="1"/>
  <c r="L7692" i="7"/>
  <c r="M7692" i="7" s="1"/>
  <c r="L7693" i="7"/>
  <c r="M7693" i="7" s="1"/>
  <c r="L7694" i="7"/>
  <c r="M7694" i="7" s="1"/>
  <c r="L7695" i="7"/>
  <c r="M7695" i="7" s="1"/>
  <c r="L7696" i="7"/>
  <c r="M7696" i="7" s="1"/>
  <c r="L7697" i="7"/>
  <c r="M7697" i="7" s="1"/>
  <c r="L7698" i="7"/>
  <c r="M7698" i="7" s="1"/>
  <c r="L7699" i="7"/>
  <c r="M7699" i="7" s="1"/>
  <c r="L7700" i="7"/>
  <c r="M7700" i="7" s="1"/>
  <c r="L7701" i="7"/>
  <c r="M7701" i="7" s="1"/>
  <c r="L7702" i="7"/>
  <c r="M7702" i="7" s="1"/>
  <c r="L7703" i="7"/>
  <c r="M7703" i="7" s="1"/>
  <c r="L7704" i="7"/>
  <c r="M7704" i="7" s="1"/>
  <c r="L7705" i="7"/>
  <c r="M7705" i="7" s="1"/>
  <c r="L7706" i="7"/>
  <c r="M7706" i="7" s="1"/>
  <c r="L7707" i="7"/>
  <c r="M7707" i="7" s="1"/>
  <c r="L7708" i="7"/>
  <c r="M7708" i="7" s="1"/>
  <c r="L7709" i="7"/>
  <c r="M7709" i="7" s="1"/>
  <c r="L7710" i="7"/>
  <c r="M7710" i="7" s="1"/>
  <c r="L7711" i="7"/>
  <c r="M7711" i="7" s="1"/>
  <c r="L7712" i="7"/>
  <c r="M7712" i="7" s="1"/>
  <c r="L7713" i="7"/>
  <c r="M7713" i="7" s="1"/>
  <c r="L7714" i="7"/>
  <c r="M7714" i="7" s="1"/>
  <c r="L7715" i="7"/>
  <c r="M7715" i="7" s="1"/>
  <c r="L7716" i="7"/>
  <c r="M7716" i="7" s="1"/>
  <c r="L7717" i="7"/>
  <c r="M7717" i="7" s="1"/>
  <c r="L7718" i="7"/>
  <c r="M7718" i="7" s="1"/>
  <c r="L7719" i="7"/>
  <c r="M7719" i="7" s="1"/>
  <c r="L7720" i="7"/>
  <c r="M7720" i="7" s="1"/>
  <c r="L7721" i="7"/>
  <c r="M7721" i="7" s="1"/>
  <c r="L7722" i="7"/>
  <c r="M7722" i="7" s="1"/>
  <c r="L7723" i="7"/>
  <c r="M7723" i="7" s="1"/>
  <c r="L7724" i="7"/>
  <c r="M7724" i="7" s="1"/>
  <c r="L7725" i="7"/>
  <c r="M7725" i="7" s="1"/>
  <c r="L7726" i="7"/>
  <c r="M7726" i="7" s="1"/>
  <c r="L7727" i="7"/>
  <c r="M7727" i="7" s="1"/>
  <c r="L7728" i="7"/>
  <c r="M7728" i="7" s="1"/>
  <c r="L7729" i="7"/>
  <c r="M7729" i="7" s="1"/>
  <c r="L7730" i="7"/>
  <c r="M7730" i="7" s="1"/>
  <c r="L7731" i="7"/>
  <c r="M7731" i="7" s="1"/>
  <c r="L7732" i="7"/>
  <c r="M7732" i="7" s="1"/>
  <c r="L7733" i="7"/>
  <c r="M7733" i="7" s="1"/>
  <c r="L7734" i="7"/>
  <c r="M7734" i="7" s="1"/>
  <c r="L7735" i="7"/>
  <c r="M7735" i="7" s="1"/>
  <c r="L7736" i="7"/>
  <c r="M7736" i="7" s="1"/>
  <c r="L7737" i="7"/>
  <c r="M7737" i="7" s="1"/>
  <c r="L7738" i="7"/>
  <c r="M7738" i="7" s="1"/>
  <c r="L7739" i="7"/>
  <c r="M7739" i="7" s="1"/>
  <c r="L7740" i="7"/>
  <c r="M7740" i="7" s="1"/>
  <c r="L7741" i="7"/>
  <c r="M7741" i="7" s="1"/>
  <c r="L7742" i="7"/>
  <c r="M7742" i="7" s="1"/>
  <c r="L7743" i="7"/>
  <c r="M7743" i="7" s="1"/>
  <c r="L7744" i="7"/>
  <c r="M7744" i="7" s="1"/>
  <c r="L7745" i="7"/>
  <c r="M7745" i="7" s="1"/>
  <c r="L7746" i="7"/>
  <c r="M7746" i="7" s="1"/>
  <c r="L7747" i="7"/>
  <c r="M7747" i="7" s="1"/>
  <c r="L7748" i="7"/>
  <c r="M7748" i="7" s="1"/>
  <c r="L7749" i="7"/>
  <c r="M7749" i="7" s="1"/>
  <c r="L7750" i="7"/>
  <c r="M7750" i="7" s="1"/>
  <c r="L7751" i="7"/>
  <c r="M7751" i="7" s="1"/>
  <c r="L7752" i="7"/>
  <c r="M7752" i="7" s="1"/>
  <c r="L7753" i="7"/>
  <c r="M7753" i="7" s="1"/>
  <c r="L7754" i="7"/>
  <c r="M7754" i="7" s="1"/>
  <c r="L7755" i="7"/>
  <c r="M7755" i="7" s="1"/>
  <c r="L7756" i="7"/>
  <c r="M7756" i="7" s="1"/>
  <c r="L7757" i="7"/>
  <c r="M7757" i="7" s="1"/>
  <c r="L7758" i="7"/>
  <c r="M7758" i="7" s="1"/>
  <c r="L7759" i="7"/>
  <c r="M7759" i="7" s="1"/>
  <c r="L7760" i="7"/>
  <c r="M7760" i="7" s="1"/>
  <c r="L7761" i="7"/>
  <c r="M7761" i="7" s="1"/>
  <c r="L7762" i="7"/>
  <c r="M7762" i="7" s="1"/>
  <c r="L7763" i="7"/>
  <c r="M7763" i="7" s="1"/>
  <c r="L7764" i="7"/>
  <c r="M7764" i="7" s="1"/>
  <c r="L7765" i="7"/>
  <c r="M7765" i="7" s="1"/>
  <c r="L7766" i="7"/>
  <c r="M7766" i="7" s="1"/>
  <c r="L7767" i="7"/>
  <c r="M7767" i="7" s="1"/>
  <c r="L7768" i="7"/>
  <c r="M7768" i="7" s="1"/>
  <c r="L7769" i="7"/>
  <c r="M7769" i="7" s="1"/>
  <c r="L7770" i="7"/>
  <c r="M7770" i="7" s="1"/>
  <c r="L7771" i="7"/>
  <c r="M7771" i="7" s="1"/>
  <c r="L7772" i="7"/>
  <c r="M7772" i="7" s="1"/>
  <c r="L7773" i="7"/>
  <c r="M7773" i="7" s="1"/>
  <c r="L7774" i="7"/>
  <c r="M7774" i="7" s="1"/>
  <c r="L7775" i="7"/>
  <c r="M7775" i="7" s="1"/>
  <c r="L7776" i="7"/>
  <c r="M7776" i="7" s="1"/>
  <c r="L7777" i="7"/>
  <c r="M7777" i="7" s="1"/>
  <c r="L7778" i="7"/>
  <c r="M7778" i="7" s="1"/>
  <c r="L7779" i="7"/>
  <c r="M7779" i="7" s="1"/>
  <c r="L7780" i="7"/>
  <c r="M7780" i="7" s="1"/>
  <c r="L7781" i="7"/>
  <c r="M7781" i="7" s="1"/>
  <c r="L7782" i="7"/>
  <c r="M7782" i="7" s="1"/>
  <c r="L7783" i="7"/>
  <c r="M7783" i="7" s="1"/>
  <c r="L7784" i="7"/>
  <c r="M7784" i="7" s="1"/>
  <c r="L7785" i="7"/>
  <c r="M7785" i="7" s="1"/>
  <c r="L7786" i="7"/>
  <c r="M7786" i="7" s="1"/>
  <c r="L7787" i="7"/>
  <c r="M7787" i="7" s="1"/>
  <c r="L7788" i="7"/>
  <c r="M7788" i="7" s="1"/>
  <c r="L7789" i="7"/>
  <c r="M7789" i="7" s="1"/>
  <c r="L7790" i="7"/>
  <c r="M7790" i="7" s="1"/>
  <c r="L7791" i="7"/>
  <c r="M7791" i="7" s="1"/>
  <c r="L7792" i="7"/>
  <c r="M7792" i="7" s="1"/>
  <c r="L7793" i="7"/>
  <c r="M7793" i="7" s="1"/>
  <c r="L7794" i="7"/>
  <c r="M7794" i="7" s="1"/>
  <c r="L7795" i="7"/>
  <c r="M7795" i="7" s="1"/>
  <c r="L7796" i="7"/>
  <c r="M7796" i="7" s="1"/>
  <c r="L7797" i="7"/>
  <c r="M7797" i="7" s="1"/>
  <c r="L7798" i="7"/>
  <c r="M7798" i="7" s="1"/>
  <c r="L7799" i="7"/>
  <c r="M7799" i="7" s="1"/>
  <c r="L7800" i="7"/>
  <c r="M7800" i="7" s="1"/>
  <c r="L7801" i="7"/>
  <c r="M7801" i="7" s="1"/>
  <c r="L7802" i="7"/>
  <c r="M7802" i="7" s="1"/>
  <c r="L7803" i="7"/>
  <c r="M7803" i="7" s="1"/>
  <c r="L7804" i="7"/>
  <c r="M7804" i="7" s="1"/>
  <c r="L7805" i="7"/>
  <c r="M7805" i="7" s="1"/>
  <c r="L7806" i="7"/>
  <c r="M7806" i="7" s="1"/>
  <c r="L7807" i="7"/>
  <c r="M7807" i="7" s="1"/>
  <c r="L7808" i="7"/>
  <c r="M7808" i="7" s="1"/>
  <c r="L7809" i="7"/>
  <c r="M7809" i="7" s="1"/>
  <c r="L7810" i="7"/>
  <c r="M7810" i="7" s="1"/>
  <c r="L7811" i="7"/>
  <c r="M7811" i="7" s="1"/>
  <c r="L7812" i="7"/>
  <c r="M7812" i="7" s="1"/>
  <c r="L7813" i="7"/>
  <c r="M7813" i="7" s="1"/>
  <c r="L7814" i="7"/>
  <c r="M7814" i="7" s="1"/>
  <c r="L7815" i="7"/>
  <c r="M7815" i="7" s="1"/>
  <c r="L7816" i="7"/>
  <c r="M7816" i="7" s="1"/>
  <c r="L7817" i="7"/>
  <c r="M7817" i="7" s="1"/>
  <c r="L7818" i="7"/>
  <c r="M7818" i="7" s="1"/>
  <c r="L7819" i="7"/>
  <c r="M7819" i="7" s="1"/>
  <c r="L7820" i="7"/>
  <c r="M7820" i="7" s="1"/>
  <c r="L7821" i="7"/>
  <c r="M7821" i="7" s="1"/>
  <c r="L7822" i="7"/>
  <c r="M7822" i="7" s="1"/>
  <c r="L7823" i="7"/>
  <c r="M7823" i="7" s="1"/>
  <c r="L7824" i="7"/>
  <c r="M7824" i="7" s="1"/>
  <c r="L7825" i="7"/>
  <c r="M7825" i="7" s="1"/>
  <c r="L7826" i="7"/>
  <c r="M7826" i="7" s="1"/>
  <c r="L7827" i="7"/>
  <c r="M7827" i="7" s="1"/>
  <c r="L7828" i="7"/>
  <c r="M7828" i="7" s="1"/>
  <c r="L7829" i="7"/>
  <c r="M7829" i="7" s="1"/>
  <c r="L7830" i="7"/>
  <c r="M7830" i="7" s="1"/>
  <c r="L7831" i="7"/>
  <c r="M7831" i="7" s="1"/>
  <c r="L7832" i="7"/>
  <c r="M7832" i="7" s="1"/>
  <c r="L7833" i="7"/>
  <c r="M7833" i="7" s="1"/>
  <c r="L7834" i="7"/>
  <c r="M7834" i="7" s="1"/>
  <c r="L7835" i="7"/>
  <c r="M7835" i="7" s="1"/>
  <c r="L7836" i="7"/>
  <c r="M7836" i="7" s="1"/>
  <c r="L7837" i="7"/>
  <c r="M7837" i="7" s="1"/>
  <c r="L7838" i="7"/>
  <c r="M7838" i="7" s="1"/>
  <c r="L7839" i="7"/>
  <c r="M7839" i="7" s="1"/>
  <c r="L7840" i="7"/>
  <c r="M7840" i="7" s="1"/>
  <c r="L7841" i="7"/>
  <c r="M7841" i="7" s="1"/>
  <c r="L7842" i="7"/>
  <c r="M7842" i="7" s="1"/>
  <c r="L7843" i="7"/>
  <c r="M7843" i="7" s="1"/>
  <c r="L7844" i="7"/>
  <c r="M7844" i="7" s="1"/>
  <c r="L7845" i="7"/>
  <c r="M7845" i="7" s="1"/>
  <c r="L7846" i="7"/>
  <c r="M7846" i="7" s="1"/>
  <c r="L7847" i="7"/>
  <c r="M7847" i="7" s="1"/>
  <c r="L7848" i="7"/>
  <c r="M7848" i="7" s="1"/>
  <c r="L7849" i="7"/>
  <c r="M7849" i="7" s="1"/>
  <c r="L7850" i="7"/>
  <c r="M7850" i="7" s="1"/>
  <c r="L7851" i="7"/>
  <c r="M7851" i="7" s="1"/>
  <c r="L7852" i="7"/>
  <c r="M7852" i="7" s="1"/>
  <c r="L7853" i="7"/>
  <c r="M7853" i="7" s="1"/>
  <c r="L7854" i="7"/>
  <c r="M7854" i="7" s="1"/>
  <c r="L7855" i="7"/>
  <c r="M7855" i="7" s="1"/>
  <c r="L7856" i="7"/>
  <c r="M7856" i="7" s="1"/>
  <c r="L7857" i="7"/>
  <c r="M7857" i="7" s="1"/>
  <c r="L7858" i="7"/>
  <c r="M7858" i="7" s="1"/>
  <c r="L7859" i="7"/>
  <c r="M7859" i="7" s="1"/>
  <c r="L7860" i="7"/>
  <c r="M7860" i="7" s="1"/>
  <c r="L7861" i="7"/>
  <c r="M7861" i="7" s="1"/>
  <c r="L7862" i="7"/>
  <c r="M7862" i="7" s="1"/>
  <c r="L7863" i="7"/>
  <c r="M7863" i="7" s="1"/>
  <c r="L7864" i="7"/>
  <c r="M7864" i="7" s="1"/>
  <c r="L7865" i="7"/>
  <c r="M7865" i="7" s="1"/>
  <c r="L7866" i="7"/>
  <c r="M7866" i="7" s="1"/>
  <c r="L7867" i="7"/>
  <c r="M7867" i="7" s="1"/>
  <c r="L7868" i="7"/>
  <c r="M7868" i="7" s="1"/>
  <c r="L7869" i="7"/>
  <c r="M7869" i="7" s="1"/>
  <c r="L7870" i="7"/>
  <c r="M7870" i="7" s="1"/>
  <c r="L7871" i="7"/>
  <c r="M7871" i="7" s="1"/>
  <c r="L7872" i="7"/>
  <c r="M7872" i="7" s="1"/>
  <c r="L7873" i="7"/>
  <c r="M7873" i="7" s="1"/>
  <c r="L7874" i="7"/>
  <c r="M7874" i="7" s="1"/>
  <c r="L7875" i="7"/>
  <c r="M7875" i="7" s="1"/>
  <c r="L7876" i="7"/>
  <c r="M7876" i="7" s="1"/>
  <c r="L7877" i="7"/>
  <c r="M7877" i="7" s="1"/>
  <c r="L7878" i="7"/>
  <c r="M7878" i="7" s="1"/>
  <c r="L7879" i="7"/>
  <c r="M7879" i="7" s="1"/>
  <c r="L7880" i="7"/>
  <c r="M7880" i="7" s="1"/>
  <c r="L7881" i="7"/>
  <c r="M7881" i="7" s="1"/>
  <c r="L7882" i="7"/>
  <c r="M7882" i="7" s="1"/>
  <c r="L7883" i="7"/>
  <c r="M7883" i="7" s="1"/>
  <c r="L7884" i="7"/>
  <c r="M7884" i="7" s="1"/>
  <c r="L7885" i="7"/>
  <c r="M7885" i="7" s="1"/>
  <c r="L7886" i="7"/>
  <c r="M7886" i="7" s="1"/>
  <c r="L7887" i="7"/>
  <c r="M7887" i="7" s="1"/>
  <c r="L7888" i="7"/>
  <c r="M7888" i="7" s="1"/>
  <c r="L7889" i="7"/>
  <c r="M7889" i="7" s="1"/>
  <c r="L7890" i="7"/>
  <c r="M7890" i="7" s="1"/>
  <c r="L7891" i="7"/>
  <c r="M7891" i="7" s="1"/>
  <c r="L7892" i="7"/>
  <c r="M7892" i="7" s="1"/>
  <c r="L7893" i="7"/>
  <c r="M7893" i="7" s="1"/>
  <c r="L7894" i="7"/>
  <c r="M7894" i="7" s="1"/>
  <c r="L7895" i="7"/>
  <c r="M7895" i="7" s="1"/>
  <c r="L7896" i="7"/>
  <c r="M7896" i="7" s="1"/>
  <c r="L7897" i="7"/>
  <c r="M7897" i="7" s="1"/>
  <c r="L7898" i="7"/>
  <c r="M7898" i="7" s="1"/>
  <c r="L7899" i="7"/>
  <c r="M7899" i="7" s="1"/>
  <c r="L7900" i="7"/>
  <c r="M7900" i="7" s="1"/>
  <c r="L7901" i="7"/>
  <c r="M7901" i="7" s="1"/>
  <c r="L7902" i="7"/>
  <c r="M7902" i="7" s="1"/>
  <c r="L7903" i="7"/>
  <c r="M7903" i="7" s="1"/>
  <c r="L7904" i="7"/>
  <c r="M7904" i="7" s="1"/>
  <c r="L7905" i="7"/>
  <c r="M7905" i="7" s="1"/>
  <c r="L7906" i="7"/>
  <c r="M7906" i="7" s="1"/>
  <c r="L7907" i="7"/>
  <c r="M7907" i="7" s="1"/>
  <c r="L7908" i="7"/>
  <c r="M7908" i="7" s="1"/>
  <c r="L7909" i="7"/>
  <c r="M7909" i="7" s="1"/>
  <c r="L7910" i="7"/>
  <c r="M7910" i="7" s="1"/>
  <c r="L7911" i="7"/>
  <c r="M7911" i="7" s="1"/>
  <c r="L7912" i="7"/>
  <c r="M7912" i="7" s="1"/>
  <c r="L7913" i="7"/>
  <c r="M7913" i="7" s="1"/>
  <c r="L7914" i="7"/>
  <c r="M7914" i="7" s="1"/>
  <c r="L7915" i="7"/>
  <c r="M7915" i="7" s="1"/>
  <c r="L7916" i="7"/>
  <c r="M7916" i="7" s="1"/>
  <c r="L7917" i="7"/>
  <c r="M7917" i="7" s="1"/>
  <c r="L7918" i="7"/>
  <c r="M7918" i="7" s="1"/>
  <c r="L7919" i="7"/>
  <c r="M7919" i="7" s="1"/>
  <c r="L7920" i="7"/>
  <c r="M7920" i="7" s="1"/>
  <c r="L7921" i="7"/>
  <c r="M7921" i="7" s="1"/>
  <c r="L7922" i="7"/>
  <c r="M7922" i="7" s="1"/>
  <c r="L7923" i="7"/>
  <c r="M7923" i="7" s="1"/>
  <c r="L7924" i="7"/>
  <c r="M7924" i="7" s="1"/>
  <c r="L7925" i="7"/>
  <c r="M7925" i="7" s="1"/>
  <c r="L7926" i="7"/>
  <c r="M7926" i="7" s="1"/>
  <c r="L7927" i="7"/>
  <c r="M7927" i="7" s="1"/>
  <c r="L7928" i="7"/>
  <c r="M7928" i="7" s="1"/>
  <c r="L7929" i="7"/>
  <c r="M7929" i="7" s="1"/>
  <c r="L7930" i="7"/>
  <c r="M7930" i="7" s="1"/>
  <c r="L7931" i="7"/>
  <c r="M7931" i="7" s="1"/>
  <c r="L7932" i="7"/>
  <c r="M7932" i="7" s="1"/>
  <c r="L7933" i="7"/>
  <c r="M7933" i="7" s="1"/>
  <c r="L7934" i="7"/>
  <c r="M7934" i="7" s="1"/>
  <c r="L7935" i="7"/>
  <c r="M7935" i="7" s="1"/>
  <c r="L7936" i="7"/>
  <c r="M7936" i="7" s="1"/>
  <c r="L7937" i="7"/>
  <c r="M7937" i="7" s="1"/>
  <c r="L7938" i="7"/>
  <c r="M7938" i="7" s="1"/>
  <c r="L7939" i="7"/>
  <c r="M7939" i="7" s="1"/>
  <c r="L7940" i="7"/>
  <c r="M7940" i="7" s="1"/>
  <c r="L7941" i="7"/>
  <c r="M7941" i="7" s="1"/>
  <c r="L7942" i="7"/>
  <c r="M7942" i="7" s="1"/>
  <c r="L7943" i="7"/>
  <c r="M7943" i="7" s="1"/>
  <c r="L7944" i="7"/>
  <c r="M7944" i="7" s="1"/>
  <c r="L7945" i="7"/>
  <c r="M7945" i="7" s="1"/>
  <c r="L7946" i="7"/>
  <c r="M7946" i="7" s="1"/>
  <c r="L7947" i="7"/>
  <c r="M7947" i="7" s="1"/>
  <c r="L7948" i="7"/>
  <c r="M7948" i="7" s="1"/>
  <c r="L7949" i="7"/>
  <c r="M7949" i="7" s="1"/>
  <c r="L7950" i="7"/>
  <c r="M7950" i="7" s="1"/>
  <c r="L7951" i="7"/>
  <c r="M7951" i="7" s="1"/>
  <c r="L7952" i="7"/>
  <c r="M7952" i="7" s="1"/>
  <c r="L7953" i="7"/>
  <c r="M7953" i="7" s="1"/>
  <c r="L7954" i="7"/>
  <c r="M7954" i="7" s="1"/>
  <c r="L7955" i="7"/>
  <c r="M7955" i="7" s="1"/>
  <c r="L7956" i="7"/>
  <c r="M7956" i="7" s="1"/>
  <c r="L7957" i="7"/>
  <c r="M7957" i="7" s="1"/>
  <c r="L7958" i="7"/>
  <c r="M7958" i="7" s="1"/>
  <c r="L7959" i="7"/>
  <c r="M7959" i="7" s="1"/>
  <c r="L7960" i="7"/>
  <c r="M7960" i="7" s="1"/>
  <c r="L7961" i="7"/>
  <c r="M7961" i="7" s="1"/>
  <c r="L7962" i="7"/>
  <c r="M7962" i="7" s="1"/>
  <c r="L7963" i="7"/>
  <c r="M7963" i="7" s="1"/>
  <c r="L7964" i="7"/>
  <c r="M7964" i="7" s="1"/>
  <c r="L7965" i="7"/>
  <c r="M7965" i="7" s="1"/>
  <c r="L7966" i="7"/>
  <c r="M7966" i="7" s="1"/>
  <c r="L7967" i="7"/>
  <c r="M7967" i="7" s="1"/>
  <c r="L7968" i="7"/>
  <c r="M7968" i="7" s="1"/>
  <c r="L7969" i="7"/>
  <c r="M7969" i="7" s="1"/>
  <c r="L7970" i="7"/>
  <c r="M7970" i="7" s="1"/>
  <c r="L7971" i="7"/>
  <c r="M7971" i="7" s="1"/>
  <c r="L7972" i="7"/>
  <c r="M7972" i="7" s="1"/>
  <c r="L7973" i="7"/>
  <c r="M7973" i="7" s="1"/>
  <c r="L7974" i="7"/>
  <c r="M7974" i="7" s="1"/>
  <c r="L7975" i="7"/>
  <c r="M7975" i="7" s="1"/>
  <c r="L7976" i="7"/>
  <c r="M7976" i="7" s="1"/>
  <c r="L7977" i="7"/>
  <c r="M7977" i="7" s="1"/>
  <c r="L7978" i="7"/>
  <c r="M7978" i="7" s="1"/>
  <c r="L7979" i="7"/>
  <c r="M7979" i="7" s="1"/>
  <c r="L7980" i="7"/>
  <c r="M7980" i="7" s="1"/>
  <c r="L7981" i="7"/>
  <c r="M7981" i="7" s="1"/>
  <c r="L7982" i="7"/>
  <c r="M7982" i="7" s="1"/>
  <c r="L7983" i="7"/>
  <c r="M7983" i="7" s="1"/>
  <c r="L7984" i="7"/>
  <c r="M7984" i="7" s="1"/>
  <c r="L7985" i="7"/>
  <c r="M7985" i="7" s="1"/>
  <c r="L7986" i="7"/>
  <c r="M7986" i="7" s="1"/>
  <c r="L7987" i="7"/>
  <c r="M7987" i="7" s="1"/>
  <c r="L7988" i="7"/>
  <c r="M7988" i="7" s="1"/>
  <c r="L7989" i="7"/>
  <c r="M7989" i="7" s="1"/>
  <c r="L7990" i="7"/>
  <c r="M7990" i="7" s="1"/>
  <c r="L7991" i="7"/>
  <c r="M7991" i="7" s="1"/>
  <c r="L7992" i="7"/>
  <c r="M7992" i="7" s="1"/>
  <c r="L7993" i="7"/>
  <c r="M7993" i="7" s="1"/>
  <c r="L7994" i="7"/>
  <c r="M7994" i="7" s="1"/>
  <c r="L7995" i="7"/>
  <c r="M7995" i="7" s="1"/>
  <c r="L7996" i="7"/>
  <c r="M7996" i="7" s="1"/>
  <c r="L7997" i="7"/>
  <c r="M7997" i="7" s="1"/>
  <c r="L7998" i="7"/>
  <c r="M7998" i="7" s="1"/>
  <c r="L7999" i="7"/>
  <c r="M7999" i="7" s="1"/>
  <c r="L8000" i="7"/>
  <c r="M8000" i="7" s="1"/>
  <c r="L8001" i="7"/>
  <c r="M8001" i="7" s="1"/>
  <c r="L8002" i="7"/>
  <c r="M8002" i="7" s="1"/>
  <c r="L8003" i="7"/>
  <c r="M8003" i="7" s="1"/>
  <c r="L8004" i="7"/>
  <c r="M8004" i="7" s="1"/>
  <c r="L8005" i="7"/>
  <c r="M8005" i="7" s="1"/>
  <c r="L8006" i="7"/>
  <c r="M8006" i="7" s="1"/>
  <c r="L8007" i="7"/>
  <c r="M8007" i="7" s="1"/>
  <c r="L8008" i="7"/>
  <c r="M8008" i="7" s="1"/>
  <c r="L8009" i="7"/>
  <c r="M8009" i="7" s="1"/>
  <c r="L8010" i="7"/>
  <c r="M8010" i="7" s="1"/>
  <c r="L8011" i="7"/>
  <c r="M8011" i="7" s="1"/>
  <c r="L8012" i="7"/>
  <c r="M8012" i="7" s="1"/>
  <c r="L8013" i="7"/>
  <c r="M8013" i="7" s="1"/>
  <c r="L8014" i="7"/>
  <c r="M8014" i="7" s="1"/>
  <c r="L8015" i="7"/>
  <c r="M8015" i="7" s="1"/>
  <c r="L8016" i="7"/>
  <c r="M8016" i="7" s="1"/>
  <c r="L8017" i="7"/>
  <c r="M8017" i="7" s="1"/>
  <c r="L8018" i="7"/>
  <c r="M8018" i="7" s="1"/>
  <c r="L8019" i="7"/>
  <c r="M8019" i="7" s="1"/>
  <c r="L8020" i="7"/>
  <c r="M8020" i="7" s="1"/>
  <c r="L8021" i="7"/>
  <c r="M8021" i="7" s="1"/>
  <c r="L8022" i="7"/>
  <c r="M8022" i="7" s="1"/>
  <c r="L8023" i="7"/>
  <c r="M8023" i="7" s="1"/>
  <c r="L8024" i="7"/>
  <c r="M8024" i="7" s="1"/>
  <c r="L8025" i="7"/>
  <c r="M8025" i="7" s="1"/>
  <c r="L8026" i="7"/>
  <c r="M8026" i="7" s="1"/>
  <c r="L8027" i="7"/>
  <c r="M8027" i="7" s="1"/>
  <c r="L8028" i="7"/>
  <c r="M8028" i="7" s="1"/>
  <c r="L8029" i="7"/>
  <c r="M8029" i="7" s="1"/>
  <c r="L8030" i="7"/>
  <c r="M8030" i="7" s="1"/>
  <c r="L8031" i="7"/>
  <c r="M8031" i="7" s="1"/>
  <c r="L8032" i="7"/>
  <c r="M8032" i="7" s="1"/>
  <c r="L8033" i="7"/>
  <c r="M8033" i="7" s="1"/>
  <c r="L8034" i="7"/>
  <c r="M8034" i="7" s="1"/>
  <c r="L8035" i="7"/>
  <c r="M8035" i="7" s="1"/>
  <c r="L8036" i="7"/>
  <c r="M8036" i="7" s="1"/>
  <c r="L8037" i="7"/>
  <c r="M8037" i="7" s="1"/>
  <c r="L8038" i="7"/>
  <c r="M8038" i="7" s="1"/>
  <c r="L8039" i="7"/>
  <c r="M8039" i="7" s="1"/>
  <c r="L8040" i="7"/>
  <c r="M8040" i="7" s="1"/>
  <c r="L8041" i="7"/>
  <c r="M8041" i="7" s="1"/>
  <c r="L8042" i="7"/>
  <c r="M8042" i="7" s="1"/>
  <c r="L8043" i="7"/>
  <c r="M8043" i="7" s="1"/>
  <c r="L8044" i="7"/>
  <c r="M8044" i="7" s="1"/>
  <c r="L8045" i="7"/>
  <c r="M8045" i="7" s="1"/>
  <c r="L8046" i="7"/>
  <c r="M8046" i="7" s="1"/>
  <c r="L8047" i="7"/>
  <c r="M8047" i="7" s="1"/>
  <c r="L8048" i="7"/>
  <c r="M8048" i="7" s="1"/>
  <c r="L8049" i="7"/>
  <c r="M8049" i="7" s="1"/>
  <c r="L8050" i="7"/>
  <c r="M8050" i="7" s="1"/>
  <c r="L8051" i="7"/>
  <c r="M8051" i="7" s="1"/>
  <c r="L8052" i="7"/>
  <c r="M8052" i="7" s="1"/>
  <c r="L8053" i="7"/>
  <c r="M8053" i="7" s="1"/>
  <c r="L8054" i="7"/>
  <c r="M8054" i="7" s="1"/>
  <c r="L8055" i="7"/>
  <c r="M8055" i="7" s="1"/>
  <c r="L8056" i="7"/>
  <c r="M8056" i="7" s="1"/>
  <c r="L8057" i="7"/>
  <c r="M8057" i="7" s="1"/>
  <c r="L8058" i="7"/>
  <c r="M8058" i="7" s="1"/>
  <c r="L8059" i="7"/>
  <c r="M8059" i="7" s="1"/>
  <c r="L8060" i="7"/>
  <c r="M8060" i="7" s="1"/>
  <c r="L8061" i="7"/>
  <c r="M8061" i="7" s="1"/>
  <c r="L8062" i="7"/>
  <c r="M8062" i="7" s="1"/>
  <c r="L8063" i="7"/>
  <c r="M8063" i="7" s="1"/>
  <c r="L8064" i="7"/>
  <c r="M8064" i="7" s="1"/>
  <c r="L8065" i="7"/>
  <c r="M8065" i="7" s="1"/>
  <c r="L8066" i="7"/>
  <c r="M8066" i="7" s="1"/>
  <c r="L8067" i="7"/>
  <c r="M8067" i="7" s="1"/>
  <c r="L8068" i="7"/>
  <c r="M8068" i="7" s="1"/>
  <c r="L8069" i="7"/>
  <c r="M8069" i="7" s="1"/>
  <c r="L8070" i="7"/>
  <c r="M8070" i="7" s="1"/>
  <c r="L8071" i="7"/>
  <c r="M8071" i="7" s="1"/>
  <c r="L8072" i="7"/>
  <c r="M8072" i="7" s="1"/>
  <c r="L8073" i="7"/>
  <c r="M8073" i="7" s="1"/>
  <c r="L8074" i="7"/>
  <c r="M8074" i="7" s="1"/>
  <c r="L8075" i="7"/>
  <c r="M8075" i="7" s="1"/>
  <c r="L8076" i="7"/>
  <c r="M8076" i="7" s="1"/>
  <c r="L8077" i="7"/>
  <c r="M8077" i="7" s="1"/>
  <c r="L8078" i="7"/>
  <c r="M8078" i="7" s="1"/>
  <c r="L8079" i="7"/>
  <c r="M8079" i="7" s="1"/>
  <c r="L8080" i="7"/>
  <c r="M8080" i="7" s="1"/>
  <c r="L8081" i="7"/>
  <c r="M8081" i="7" s="1"/>
  <c r="L8082" i="7"/>
  <c r="M8082" i="7" s="1"/>
  <c r="L8083" i="7"/>
  <c r="M8083" i="7" s="1"/>
  <c r="L8084" i="7"/>
  <c r="M8084" i="7" s="1"/>
  <c r="L8085" i="7"/>
  <c r="M8085" i="7" s="1"/>
  <c r="L8086" i="7"/>
  <c r="M8086" i="7" s="1"/>
  <c r="L8087" i="7"/>
  <c r="M8087" i="7" s="1"/>
  <c r="L8088" i="7"/>
  <c r="M8088" i="7" s="1"/>
  <c r="L8089" i="7"/>
  <c r="M8089" i="7" s="1"/>
  <c r="L8090" i="7"/>
  <c r="M8090" i="7" s="1"/>
  <c r="L8091" i="7"/>
  <c r="M8091" i="7" s="1"/>
  <c r="L8092" i="7"/>
  <c r="M8092" i="7" s="1"/>
  <c r="L8093" i="7"/>
  <c r="M8093" i="7" s="1"/>
  <c r="L8094" i="7"/>
  <c r="M8094" i="7" s="1"/>
  <c r="L8095" i="7"/>
  <c r="M8095" i="7" s="1"/>
  <c r="L8096" i="7"/>
  <c r="M8096" i="7" s="1"/>
  <c r="L8097" i="7"/>
  <c r="M8097" i="7" s="1"/>
  <c r="L8098" i="7"/>
  <c r="M8098" i="7" s="1"/>
  <c r="L8099" i="7"/>
  <c r="M8099" i="7" s="1"/>
  <c r="L8100" i="7"/>
  <c r="M8100" i="7" s="1"/>
  <c r="L8101" i="7"/>
  <c r="M8101" i="7" s="1"/>
  <c r="L8102" i="7"/>
  <c r="M8102" i="7" s="1"/>
  <c r="L8103" i="7"/>
  <c r="M8103" i="7" s="1"/>
  <c r="L8104" i="7"/>
  <c r="M8104" i="7" s="1"/>
  <c r="L8105" i="7"/>
  <c r="M8105" i="7" s="1"/>
  <c r="L8106" i="7"/>
  <c r="M8106" i="7" s="1"/>
  <c r="L8107" i="7"/>
  <c r="M8107" i="7" s="1"/>
  <c r="L8108" i="7"/>
  <c r="M8108" i="7" s="1"/>
  <c r="L8109" i="7"/>
  <c r="M8109" i="7" s="1"/>
  <c r="L8110" i="7"/>
  <c r="M8110" i="7" s="1"/>
  <c r="L8111" i="7"/>
  <c r="M8111" i="7" s="1"/>
  <c r="L8112" i="7"/>
  <c r="M8112" i="7" s="1"/>
  <c r="L8113" i="7"/>
  <c r="M8113" i="7" s="1"/>
  <c r="L8114" i="7"/>
  <c r="M8114" i="7" s="1"/>
  <c r="L8115" i="7"/>
  <c r="M8115" i="7" s="1"/>
  <c r="L8116" i="7"/>
  <c r="M8116" i="7" s="1"/>
  <c r="L8117" i="7"/>
  <c r="M8117" i="7" s="1"/>
  <c r="L8118" i="7"/>
  <c r="M8118" i="7" s="1"/>
  <c r="L8119" i="7"/>
  <c r="M8119" i="7" s="1"/>
  <c r="L8120" i="7"/>
  <c r="M8120" i="7" s="1"/>
  <c r="L8121" i="7"/>
  <c r="M8121" i="7" s="1"/>
  <c r="L8122" i="7"/>
  <c r="M8122" i="7" s="1"/>
  <c r="L8123" i="7"/>
  <c r="M8123" i="7" s="1"/>
  <c r="L8124" i="7"/>
  <c r="M8124" i="7" s="1"/>
  <c r="L8125" i="7"/>
  <c r="M8125" i="7" s="1"/>
  <c r="L8126" i="7"/>
  <c r="M8126" i="7" s="1"/>
  <c r="L8127" i="7"/>
  <c r="M8127" i="7" s="1"/>
  <c r="L8128" i="7"/>
  <c r="M8128" i="7" s="1"/>
  <c r="L8129" i="7"/>
  <c r="M8129" i="7" s="1"/>
  <c r="L8130" i="7"/>
  <c r="M8130" i="7" s="1"/>
  <c r="L8131" i="7"/>
  <c r="M8131" i="7" s="1"/>
  <c r="L8132" i="7"/>
  <c r="M8132" i="7" s="1"/>
  <c r="L8133" i="7"/>
  <c r="M8133" i="7" s="1"/>
  <c r="L8134" i="7"/>
  <c r="M8134" i="7" s="1"/>
  <c r="L8135" i="7"/>
  <c r="M8135" i="7" s="1"/>
  <c r="L8136" i="7"/>
  <c r="M8136" i="7" s="1"/>
  <c r="L8137" i="7"/>
  <c r="M8137" i="7" s="1"/>
  <c r="L8138" i="7"/>
  <c r="M8138" i="7" s="1"/>
  <c r="L8139" i="7"/>
  <c r="M8139" i="7" s="1"/>
  <c r="L8140" i="7"/>
  <c r="M8140" i="7" s="1"/>
  <c r="L8141" i="7"/>
  <c r="M8141" i="7" s="1"/>
  <c r="L8142" i="7"/>
  <c r="M8142" i="7" s="1"/>
  <c r="L8143" i="7"/>
  <c r="M8143" i="7" s="1"/>
  <c r="L8144" i="7"/>
  <c r="M8144" i="7" s="1"/>
  <c r="L8145" i="7"/>
  <c r="M8145" i="7" s="1"/>
  <c r="L8146" i="7"/>
  <c r="M8146" i="7" s="1"/>
  <c r="L8147" i="7"/>
  <c r="M8147" i="7" s="1"/>
  <c r="L8148" i="7"/>
  <c r="M8148" i="7" s="1"/>
  <c r="L8149" i="7"/>
  <c r="M8149" i="7" s="1"/>
  <c r="L8150" i="7"/>
  <c r="M8150" i="7" s="1"/>
  <c r="L8151" i="7"/>
  <c r="M8151" i="7" s="1"/>
  <c r="L8152" i="7"/>
  <c r="M8152" i="7" s="1"/>
  <c r="L8153" i="7"/>
  <c r="M8153" i="7" s="1"/>
  <c r="L8154" i="7"/>
  <c r="M8154" i="7" s="1"/>
  <c r="L8155" i="7"/>
  <c r="M8155" i="7" s="1"/>
  <c r="L8156" i="7"/>
  <c r="M8156" i="7" s="1"/>
  <c r="L8157" i="7"/>
  <c r="M8157" i="7" s="1"/>
  <c r="L8158" i="7"/>
  <c r="M8158" i="7" s="1"/>
  <c r="L8159" i="7"/>
  <c r="M8159" i="7" s="1"/>
  <c r="L8160" i="7"/>
  <c r="M8160" i="7" s="1"/>
  <c r="L8161" i="7"/>
  <c r="M8161" i="7" s="1"/>
  <c r="L8162" i="7"/>
  <c r="M8162" i="7" s="1"/>
  <c r="L8163" i="7"/>
  <c r="M8163" i="7" s="1"/>
  <c r="L8164" i="7"/>
  <c r="M8164" i="7" s="1"/>
  <c r="L8165" i="7"/>
  <c r="M8165" i="7" s="1"/>
  <c r="L8166" i="7"/>
  <c r="M8166" i="7" s="1"/>
  <c r="L8167" i="7"/>
  <c r="M8167" i="7" s="1"/>
  <c r="L8168" i="7"/>
  <c r="M8168" i="7" s="1"/>
  <c r="L8169" i="7"/>
  <c r="M8169" i="7" s="1"/>
  <c r="L8170" i="7"/>
  <c r="M8170" i="7" s="1"/>
  <c r="L8171" i="7"/>
  <c r="M8171" i="7" s="1"/>
  <c r="L8172" i="7"/>
  <c r="M8172" i="7" s="1"/>
  <c r="L8173" i="7"/>
  <c r="M8173" i="7" s="1"/>
  <c r="L8174" i="7"/>
  <c r="M8174" i="7" s="1"/>
  <c r="L8175" i="7"/>
  <c r="M8175" i="7" s="1"/>
  <c r="L8176" i="7"/>
  <c r="M8176" i="7" s="1"/>
  <c r="L8177" i="7"/>
  <c r="M8177" i="7" s="1"/>
  <c r="L8178" i="7"/>
  <c r="M8178" i="7" s="1"/>
  <c r="L8179" i="7"/>
  <c r="M8179" i="7" s="1"/>
  <c r="L8180" i="7"/>
  <c r="M8180" i="7" s="1"/>
  <c r="L8181" i="7"/>
  <c r="M8181" i="7" s="1"/>
  <c r="L8182" i="7"/>
  <c r="M8182" i="7" s="1"/>
  <c r="L8183" i="7"/>
  <c r="M8183" i="7" s="1"/>
  <c r="L8184" i="7"/>
  <c r="M8184" i="7" s="1"/>
  <c r="L8185" i="7"/>
  <c r="M8185" i="7" s="1"/>
  <c r="L8186" i="7"/>
  <c r="M8186" i="7" s="1"/>
  <c r="L8187" i="7"/>
  <c r="M8187" i="7" s="1"/>
  <c r="L8188" i="7"/>
  <c r="M8188" i="7" s="1"/>
  <c r="L8189" i="7"/>
  <c r="M8189" i="7" s="1"/>
  <c r="L8190" i="7"/>
  <c r="M8190" i="7" s="1"/>
  <c r="L8191" i="7"/>
  <c r="M8191" i="7" s="1"/>
  <c r="L8192" i="7"/>
  <c r="M8192" i="7" s="1"/>
  <c r="L8193" i="7"/>
  <c r="M8193" i="7" s="1"/>
  <c r="L8194" i="7"/>
  <c r="M8194" i="7" s="1"/>
  <c r="L8195" i="7"/>
  <c r="M8195" i="7" s="1"/>
  <c r="L8196" i="7"/>
  <c r="M8196" i="7" s="1"/>
  <c r="L8197" i="7"/>
  <c r="M8197" i="7" s="1"/>
  <c r="L8198" i="7"/>
  <c r="M8198" i="7" s="1"/>
  <c r="L8199" i="7"/>
  <c r="M8199" i="7" s="1"/>
  <c r="L8200" i="7"/>
  <c r="M8200" i="7" s="1"/>
  <c r="L8201" i="7"/>
  <c r="M8201" i="7" s="1"/>
  <c r="L8202" i="7"/>
  <c r="M8202" i="7" s="1"/>
  <c r="L8203" i="7"/>
  <c r="M8203" i="7" s="1"/>
  <c r="L8204" i="7"/>
  <c r="M8204" i="7" s="1"/>
  <c r="L8205" i="7"/>
  <c r="M8205" i="7" s="1"/>
  <c r="L8206" i="7"/>
  <c r="M8206" i="7" s="1"/>
  <c r="L8207" i="7"/>
  <c r="M8207" i="7" s="1"/>
  <c r="L8208" i="7"/>
  <c r="M8208" i="7" s="1"/>
  <c r="L8209" i="7"/>
  <c r="M8209" i="7" s="1"/>
  <c r="L8210" i="7"/>
  <c r="M8210" i="7" s="1"/>
  <c r="L8211" i="7"/>
  <c r="M8211" i="7" s="1"/>
  <c r="L8212" i="7"/>
  <c r="M8212" i="7" s="1"/>
  <c r="L8213" i="7"/>
  <c r="M8213" i="7" s="1"/>
  <c r="L8214" i="7"/>
  <c r="M8214" i="7" s="1"/>
  <c r="L8215" i="7"/>
  <c r="M8215" i="7" s="1"/>
  <c r="L8216" i="7"/>
  <c r="M8216" i="7" s="1"/>
  <c r="L8217" i="7"/>
  <c r="M8217" i="7" s="1"/>
  <c r="L8218" i="7"/>
  <c r="M8218" i="7" s="1"/>
  <c r="L8219" i="7"/>
  <c r="M8219" i="7" s="1"/>
  <c r="L8220" i="7"/>
  <c r="M8220" i="7" s="1"/>
  <c r="L8221" i="7"/>
  <c r="M8221" i="7" s="1"/>
  <c r="L8222" i="7"/>
  <c r="M8222" i="7" s="1"/>
  <c r="L8223" i="7"/>
  <c r="M8223" i="7" s="1"/>
  <c r="L8224" i="7"/>
  <c r="M8224" i="7" s="1"/>
  <c r="L8225" i="7"/>
  <c r="M8225" i="7" s="1"/>
  <c r="L8226" i="7"/>
  <c r="M8226" i="7" s="1"/>
  <c r="L8227" i="7"/>
  <c r="M8227" i="7" s="1"/>
  <c r="L8228" i="7"/>
  <c r="M8228" i="7" s="1"/>
  <c r="L8229" i="7"/>
  <c r="M8229" i="7" s="1"/>
  <c r="L8230" i="7"/>
  <c r="M8230" i="7" s="1"/>
  <c r="L8231" i="7"/>
  <c r="M8231" i="7" s="1"/>
  <c r="L8232" i="7"/>
  <c r="M8232" i="7" s="1"/>
  <c r="L8233" i="7"/>
  <c r="M8233" i="7" s="1"/>
  <c r="L8234" i="7"/>
  <c r="M8234" i="7" s="1"/>
  <c r="L8235" i="7"/>
  <c r="M8235" i="7" s="1"/>
  <c r="L8236" i="7"/>
  <c r="M8236" i="7" s="1"/>
  <c r="L8237" i="7"/>
  <c r="M8237" i="7" s="1"/>
  <c r="L8238" i="7"/>
  <c r="M8238" i="7" s="1"/>
  <c r="L8239" i="7"/>
  <c r="M8239" i="7" s="1"/>
  <c r="L8240" i="7"/>
  <c r="M8240" i="7" s="1"/>
  <c r="L8241" i="7"/>
  <c r="M8241" i="7" s="1"/>
  <c r="L8242" i="7"/>
  <c r="M8242" i="7" s="1"/>
  <c r="L8243" i="7"/>
  <c r="M8243" i="7" s="1"/>
  <c r="L8244" i="7"/>
  <c r="M8244" i="7" s="1"/>
  <c r="L8245" i="7"/>
  <c r="M8245" i="7" s="1"/>
  <c r="L8246" i="7"/>
  <c r="M8246" i="7" s="1"/>
  <c r="L8247" i="7"/>
  <c r="M8247" i="7" s="1"/>
  <c r="L8248" i="7"/>
  <c r="M8248" i="7" s="1"/>
  <c r="L8249" i="7"/>
  <c r="M8249" i="7" s="1"/>
  <c r="L8250" i="7"/>
  <c r="M8250" i="7" s="1"/>
  <c r="L8251" i="7"/>
  <c r="M8251" i="7" s="1"/>
  <c r="L8252" i="7"/>
  <c r="M8252" i="7" s="1"/>
  <c r="L8253" i="7"/>
  <c r="M8253" i="7" s="1"/>
  <c r="L8254" i="7"/>
  <c r="M8254" i="7" s="1"/>
  <c r="L8255" i="7"/>
  <c r="M8255" i="7" s="1"/>
  <c r="L8256" i="7"/>
  <c r="M8256" i="7" s="1"/>
  <c r="L8257" i="7"/>
  <c r="M8257" i="7" s="1"/>
  <c r="L8258" i="7"/>
  <c r="M8258" i="7" s="1"/>
  <c r="L8259" i="7"/>
  <c r="M8259" i="7" s="1"/>
  <c r="L8260" i="7"/>
  <c r="M8260" i="7" s="1"/>
  <c r="L8261" i="7"/>
  <c r="M8261" i="7" s="1"/>
  <c r="L8262" i="7"/>
  <c r="M8262" i="7" s="1"/>
  <c r="L8263" i="7"/>
  <c r="M8263" i="7" s="1"/>
  <c r="L8264" i="7"/>
  <c r="M8264" i="7" s="1"/>
  <c r="L8265" i="7"/>
  <c r="M8265" i="7" s="1"/>
  <c r="L8266" i="7"/>
  <c r="M8266" i="7" s="1"/>
  <c r="L8267" i="7"/>
  <c r="M8267" i="7" s="1"/>
  <c r="L8268" i="7"/>
  <c r="M8268" i="7" s="1"/>
  <c r="L8269" i="7"/>
  <c r="M8269" i="7" s="1"/>
  <c r="L8270" i="7"/>
  <c r="M8270" i="7" s="1"/>
  <c r="L8271" i="7"/>
  <c r="M8271" i="7" s="1"/>
  <c r="L8272" i="7"/>
  <c r="M8272" i="7" s="1"/>
  <c r="L8273" i="7"/>
  <c r="M8273" i="7" s="1"/>
  <c r="L8274" i="7"/>
  <c r="M8274" i="7" s="1"/>
  <c r="L8275" i="7"/>
  <c r="M8275" i="7" s="1"/>
  <c r="L8276" i="7"/>
  <c r="M8276" i="7" s="1"/>
  <c r="L8277" i="7"/>
  <c r="M8277" i="7" s="1"/>
  <c r="L8278" i="7"/>
  <c r="M8278" i="7" s="1"/>
  <c r="L8279" i="7"/>
  <c r="M8279" i="7" s="1"/>
  <c r="L8280" i="7"/>
  <c r="M8280" i="7" s="1"/>
  <c r="L8281" i="7"/>
  <c r="M8281" i="7" s="1"/>
  <c r="L8282" i="7"/>
  <c r="M8282" i="7" s="1"/>
  <c r="L8283" i="7"/>
  <c r="M8283" i="7" s="1"/>
  <c r="L8284" i="7"/>
  <c r="M8284" i="7" s="1"/>
  <c r="L8285" i="7"/>
  <c r="M8285" i="7" s="1"/>
  <c r="L8286" i="7"/>
  <c r="M8286" i="7" s="1"/>
  <c r="L8287" i="7"/>
  <c r="M8287" i="7" s="1"/>
  <c r="L8288" i="7"/>
  <c r="M8288" i="7" s="1"/>
  <c r="L8289" i="7"/>
  <c r="M8289" i="7" s="1"/>
  <c r="L8290" i="7"/>
  <c r="M8290" i="7" s="1"/>
  <c r="L8291" i="7"/>
  <c r="M8291" i="7" s="1"/>
  <c r="L8292" i="7"/>
  <c r="M8292" i="7" s="1"/>
  <c r="L8293" i="7"/>
  <c r="M8293" i="7" s="1"/>
  <c r="L8294" i="7"/>
  <c r="M8294" i="7" s="1"/>
  <c r="L8295" i="7"/>
  <c r="M8295" i="7" s="1"/>
  <c r="L8296" i="7"/>
  <c r="M8296" i="7" s="1"/>
  <c r="L8297" i="7"/>
  <c r="M8297" i="7" s="1"/>
  <c r="L8298" i="7"/>
  <c r="M8298" i="7" s="1"/>
  <c r="L8299" i="7"/>
  <c r="M8299" i="7" s="1"/>
  <c r="L8300" i="7"/>
  <c r="M8300" i="7" s="1"/>
  <c r="L8301" i="7"/>
  <c r="M8301" i="7" s="1"/>
  <c r="L8302" i="7"/>
  <c r="M8302" i="7" s="1"/>
  <c r="L8303" i="7"/>
  <c r="M8303" i="7" s="1"/>
  <c r="L8304" i="7"/>
  <c r="M8304" i="7" s="1"/>
  <c r="L8305" i="7"/>
  <c r="M8305" i="7" s="1"/>
  <c r="L8306" i="7"/>
  <c r="M8306" i="7" s="1"/>
  <c r="L8307" i="7"/>
  <c r="M8307" i="7" s="1"/>
  <c r="L8308" i="7"/>
  <c r="M8308" i="7" s="1"/>
  <c r="L8309" i="7"/>
  <c r="M8309" i="7" s="1"/>
  <c r="L8310" i="7"/>
  <c r="M8310" i="7" s="1"/>
  <c r="L8311" i="7"/>
  <c r="M8311" i="7" s="1"/>
  <c r="L8312" i="7"/>
  <c r="M8312" i="7" s="1"/>
  <c r="L8313" i="7"/>
  <c r="M8313" i="7" s="1"/>
  <c r="L8314" i="7"/>
  <c r="M8314" i="7" s="1"/>
  <c r="L8315" i="7"/>
  <c r="M8315" i="7" s="1"/>
  <c r="L8316" i="7"/>
  <c r="M8316" i="7" s="1"/>
  <c r="L8317" i="7"/>
  <c r="M8317" i="7" s="1"/>
  <c r="L8318" i="7"/>
  <c r="M8318" i="7" s="1"/>
  <c r="L8319" i="7"/>
  <c r="M8319" i="7" s="1"/>
  <c r="L8320" i="7"/>
  <c r="M8320" i="7" s="1"/>
  <c r="L8321" i="7"/>
  <c r="M8321" i="7" s="1"/>
  <c r="L8322" i="7"/>
  <c r="M8322" i="7" s="1"/>
  <c r="L8323" i="7"/>
  <c r="M8323" i="7" s="1"/>
  <c r="L8324" i="7"/>
  <c r="M8324" i="7" s="1"/>
  <c r="L8325" i="7"/>
  <c r="M8325" i="7" s="1"/>
  <c r="L8326" i="7"/>
  <c r="M8326" i="7" s="1"/>
  <c r="L8327" i="7"/>
  <c r="M8327" i="7" s="1"/>
  <c r="L8328" i="7"/>
  <c r="M8328" i="7" s="1"/>
  <c r="L8329" i="7"/>
  <c r="M8329" i="7" s="1"/>
  <c r="L8330" i="7"/>
  <c r="M8330" i="7" s="1"/>
  <c r="L8331" i="7"/>
  <c r="M8331" i="7" s="1"/>
  <c r="L8332" i="7"/>
  <c r="M8332" i="7" s="1"/>
  <c r="L8333" i="7"/>
  <c r="M8333" i="7" s="1"/>
  <c r="L8334" i="7"/>
  <c r="M8334" i="7" s="1"/>
  <c r="L8335" i="7"/>
  <c r="M8335" i="7" s="1"/>
  <c r="L8336" i="7"/>
  <c r="M8336" i="7" s="1"/>
  <c r="L8337" i="7"/>
  <c r="M8337" i="7" s="1"/>
  <c r="L8338" i="7"/>
  <c r="M8338" i="7" s="1"/>
  <c r="L8339" i="7"/>
  <c r="M8339" i="7" s="1"/>
  <c r="L8340" i="7"/>
  <c r="M8340" i="7" s="1"/>
  <c r="L8341" i="7"/>
  <c r="M8341" i="7" s="1"/>
  <c r="L8342" i="7"/>
  <c r="M8342" i="7" s="1"/>
  <c r="L8343" i="7"/>
  <c r="M8343" i="7" s="1"/>
  <c r="L8344" i="7"/>
  <c r="M8344" i="7" s="1"/>
  <c r="L8345" i="7"/>
  <c r="M8345" i="7" s="1"/>
  <c r="L8346" i="7"/>
  <c r="M8346" i="7" s="1"/>
  <c r="L8347" i="7"/>
  <c r="M8347" i="7" s="1"/>
  <c r="L8348" i="7"/>
  <c r="M8348" i="7" s="1"/>
  <c r="L8349" i="7"/>
  <c r="M8349" i="7" s="1"/>
  <c r="L8350" i="7"/>
  <c r="M8350" i="7" s="1"/>
  <c r="L8351" i="7"/>
  <c r="M8351" i="7" s="1"/>
  <c r="L8352" i="7"/>
  <c r="M8352" i="7" s="1"/>
  <c r="L8353" i="7"/>
  <c r="M8353" i="7" s="1"/>
  <c r="L8354" i="7"/>
  <c r="M8354" i="7" s="1"/>
  <c r="L8355" i="7"/>
  <c r="M8355" i="7" s="1"/>
  <c r="L8356" i="7"/>
  <c r="M8356" i="7" s="1"/>
  <c r="L8357" i="7"/>
  <c r="M8357" i="7" s="1"/>
  <c r="L8358" i="7"/>
  <c r="M8358" i="7" s="1"/>
  <c r="L8359" i="7"/>
  <c r="M8359" i="7" s="1"/>
  <c r="L8360" i="7"/>
  <c r="M8360" i="7" s="1"/>
  <c r="L8361" i="7"/>
  <c r="M8361" i="7" s="1"/>
  <c r="L8362" i="7"/>
  <c r="M8362" i="7" s="1"/>
  <c r="L8363" i="7"/>
  <c r="M8363" i="7" s="1"/>
  <c r="L8364" i="7"/>
  <c r="M8364" i="7" s="1"/>
  <c r="L8365" i="7"/>
  <c r="M8365" i="7" s="1"/>
  <c r="L8366" i="7"/>
  <c r="M8366" i="7" s="1"/>
  <c r="L8367" i="7"/>
  <c r="M8367" i="7" s="1"/>
  <c r="L8368" i="7"/>
  <c r="M8368" i="7" s="1"/>
  <c r="L8369" i="7"/>
  <c r="M8369" i="7" s="1"/>
  <c r="L8370" i="7"/>
  <c r="M8370" i="7" s="1"/>
  <c r="L8371" i="7"/>
  <c r="M8371" i="7" s="1"/>
  <c r="L8372" i="7"/>
  <c r="M8372" i="7" s="1"/>
  <c r="L8373" i="7"/>
  <c r="M8373" i="7" s="1"/>
  <c r="L8374" i="7"/>
  <c r="M8374" i="7" s="1"/>
  <c r="L8375" i="7"/>
  <c r="M8375" i="7" s="1"/>
  <c r="L8376" i="7"/>
  <c r="M8376" i="7" s="1"/>
  <c r="L8377" i="7"/>
  <c r="M8377" i="7" s="1"/>
  <c r="L8378" i="7"/>
  <c r="M8378" i="7" s="1"/>
  <c r="L8379" i="7"/>
  <c r="M8379" i="7" s="1"/>
  <c r="L8380" i="7"/>
  <c r="M8380" i="7" s="1"/>
  <c r="L8381" i="7"/>
  <c r="M8381" i="7" s="1"/>
  <c r="L8382" i="7"/>
  <c r="M8382" i="7" s="1"/>
  <c r="L8383" i="7"/>
  <c r="M8383" i="7" s="1"/>
  <c r="L8384" i="7"/>
  <c r="M8384" i="7" s="1"/>
  <c r="L8385" i="7"/>
  <c r="M8385" i="7" s="1"/>
  <c r="L8386" i="7"/>
  <c r="M8386" i="7" s="1"/>
  <c r="L8387" i="7"/>
  <c r="M8387" i="7" s="1"/>
  <c r="L8388" i="7"/>
  <c r="M8388" i="7" s="1"/>
  <c r="L8389" i="7"/>
  <c r="M8389" i="7" s="1"/>
  <c r="L8390" i="7"/>
  <c r="M8390" i="7" s="1"/>
  <c r="L8391" i="7"/>
  <c r="M8391" i="7" s="1"/>
  <c r="L8392" i="7"/>
  <c r="M8392" i="7" s="1"/>
  <c r="L8393" i="7"/>
  <c r="M8393" i="7" s="1"/>
  <c r="L8394" i="7"/>
  <c r="M8394" i="7" s="1"/>
  <c r="L8395" i="7"/>
  <c r="M8395" i="7" s="1"/>
  <c r="L8396" i="7"/>
  <c r="M8396" i="7" s="1"/>
  <c r="L8397" i="7"/>
  <c r="M8397" i="7" s="1"/>
  <c r="L8398" i="7"/>
  <c r="M8398" i="7" s="1"/>
  <c r="L8399" i="7"/>
  <c r="M8399" i="7" s="1"/>
  <c r="L8400" i="7"/>
  <c r="M8400" i="7" s="1"/>
  <c r="L8401" i="7"/>
  <c r="M8401" i="7" s="1"/>
  <c r="L8402" i="7"/>
  <c r="M8402" i="7" s="1"/>
  <c r="L8403" i="7"/>
  <c r="M8403" i="7" s="1"/>
  <c r="L8404" i="7"/>
  <c r="M8404" i="7" s="1"/>
  <c r="L8405" i="7"/>
  <c r="M8405" i="7" s="1"/>
  <c r="L8406" i="7"/>
  <c r="M8406" i="7" s="1"/>
  <c r="L8407" i="7"/>
  <c r="M8407" i="7" s="1"/>
  <c r="L8408" i="7"/>
  <c r="M8408" i="7" s="1"/>
  <c r="L8409" i="7"/>
  <c r="M8409" i="7" s="1"/>
  <c r="L8410" i="7"/>
  <c r="M8410" i="7" s="1"/>
  <c r="L8411" i="7"/>
  <c r="M8411" i="7" s="1"/>
  <c r="L8412" i="7"/>
  <c r="M8412" i="7" s="1"/>
  <c r="L8413" i="7"/>
  <c r="M8413" i="7" s="1"/>
  <c r="L8414" i="7"/>
  <c r="M8414" i="7" s="1"/>
  <c r="L8415" i="7"/>
  <c r="M8415" i="7" s="1"/>
  <c r="L8416" i="7"/>
  <c r="M8416" i="7" s="1"/>
  <c r="L8417" i="7"/>
  <c r="M8417" i="7" s="1"/>
  <c r="L8418" i="7"/>
  <c r="M8418" i="7" s="1"/>
  <c r="L8419" i="7"/>
  <c r="M8419" i="7" s="1"/>
  <c r="L8420" i="7"/>
  <c r="M8420" i="7" s="1"/>
  <c r="L8421" i="7"/>
  <c r="M8421" i="7" s="1"/>
  <c r="L8422" i="7"/>
  <c r="M8422" i="7" s="1"/>
  <c r="L8423" i="7"/>
  <c r="M8423" i="7" s="1"/>
  <c r="L8424" i="7"/>
  <c r="M8424" i="7" s="1"/>
  <c r="L8425" i="7"/>
  <c r="M8425" i="7" s="1"/>
  <c r="L8426" i="7"/>
  <c r="M8426" i="7" s="1"/>
  <c r="L8427" i="7"/>
  <c r="M8427" i="7" s="1"/>
  <c r="L8428" i="7"/>
  <c r="M8428" i="7" s="1"/>
  <c r="L8429" i="7"/>
  <c r="M8429" i="7" s="1"/>
  <c r="L8430" i="7"/>
  <c r="M8430" i="7" s="1"/>
  <c r="L8431" i="7"/>
  <c r="M8431" i="7" s="1"/>
  <c r="L8432" i="7"/>
  <c r="M8432" i="7" s="1"/>
  <c r="L8433" i="7"/>
  <c r="M8433" i="7" s="1"/>
  <c r="L8434" i="7"/>
  <c r="M8434" i="7" s="1"/>
  <c r="L8435" i="7"/>
  <c r="M8435" i="7" s="1"/>
  <c r="L8436" i="7"/>
  <c r="M8436" i="7" s="1"/>
  <c r="L8437" i="7"/>
  <c r="M8437" i="7" s="1"/>
  <c r="L8438" i="7"/>
  <c r="M8438" i="7" s="1"/>
  <c r="L8439" i="7"/>
  <c r="M8439" i="7" s="1"/>
  <c r="L8440" i="7"/>
  <c r="M8440" i="7" s="1"/>
  <c r="L8441" i="7"/>
  <c r="M8441" i="7" s="1"/>
  <c r="L8442" i="7"/>
  <c r="M8442" i="7" s="1"/>
  <c r="L8443" i="7"/>
  <c r="M8443" i="7" s="1"/>
  <c r="L8444" i="7"/>
  <c r="M8444" i="7" s="1"/>
  <c r="L8445" i="7"/>
  <c r="M8445" i="7" s="1"/>
  <c r="L8446" i="7"/>
  <c r="M8446" i="7" s="1"/>
  <c r="L8447" i="7"/>
  <c r="M8447" i="7" s="1"/>
  <c r="L8448" i="7"/>
  <c r="M8448" i="7" s="1"/>
  <c r="L8449" i="7"/>
  <c r="M8449" i="7" s="1"/>
  <c r="L8450" i="7"/>
  <c r="M8450" i="7" s="1"/>
  <c r="L8451" i="7"/>
  <c r="M8451" i="7" s="1"/>
  <c r="L8452" i="7"/>
  <c r="M8452" i="7" s="1"/>
  <c r="L8453" i="7"/>
  <c r="M8453" i="7" s="1"/>
  <c r="L8454" i="7"/>
  <c r="M8454" i="7" s="1"/>
  <c r="L8455" i="7"/>
  <c r="M8455" i="7" s="1"/>
  <c r="L8456" i="7"/>
  <c r="M8456" i="7" s="1"/>
  <c r="L8457" i="7"/>
  <c r="M8457" i="7" s="1"/>
  <c r="L8458" i="7"/>
  <c r="M8458" i="7" s="1"/>
  <c r="L8459" i="7"/>
  <c r="M8459" i="7" s="1"/>
  <c r="L8460" i="7"/>
  <c r="M8460" i="7" s="1"/>
  <c r="L8461" i="7"/>
  <c r="M8461" i="7" s="1"/>
  <c r="L8462" i="7"/>
  <c r="M8462" i="7" s="1"/>
  <c r="L8463" i="7"/>
  <c r="M8463" i="7" s="1"/>
  <c r="L8464" i="7"/>
  <c r="M8464" i="7" s="1"/>
  <c r="L8465" i="7"/>
  <c r="M8465" i="7" s="1"/>
  <c r="L8466" i="7"/>
  <c r="M8466" i="7" s="1"/>
  <c r="L8467" i="7"/>
  <c r="M8467" i="7" s="1"/>
  <c r="L8468" i="7"/>
  <c r="M8468" i="7" s="1"/>
  <c r="L8469" i="7"/>
  <c r="M8469" i="7" s="1"/>
  <c r="L8470" i="7"/>
  <c r="M8470" i="7" s="1"/>
  <c r="L8471" i="7"/>
  <c r="M8471" i="7" s="1"/>
  <c r="L8472" i="7"/>
  <c r="M8472" i="7" s="1"/>
  <c r="L8473" i="7"/>
  <c r="M8473" i="7" s="1"/>
  <c r="L8474" i="7"/>
  <c r="M8474" i="7" s="1"/>
  <c r="L8475" i="7"/>
  <c r="M8475" i="7" s="1"/>
  <c r="L8476" i="7"/>
  <c r="M8476" i="7" s="1"/>
  <c r="L8477" i="7"/>
  <c r="M8477" i="7" s="1"/>
  <c r="L8478" i="7"/>
  <c r="M8478" i="7" s="1"/>
  <c r="L8479" i="7"/>
  <c r="M8479" i="7" s="1"/>
  <c r="L8480" i="7"/>
  <c r="M8480" i="7" s="1"/>
  <c r="L8481" i="7"/>
  <c r="M8481" i="7" s="1"/>
  <c r="L8482" i="7"/>
  <c r="M8482" i="7" s="1"/>
  <c r="L8483" i="7"/>
  <c r="M8483" i="7" s="1"/>
  <c r="L8484" i="7"/>
  <c r="M8484" i="7" s="1"/>
  <c r="L8485" i="7"/>
  <c r="M8485" i="7" s="1"/>
  <c r="L8486" i="7"/>
  <c r="M8486" i="7" s="1"/>
  <c r="L8487" i="7"/>
  <c r="M8487" i="7" s="1"/>
  <c r="L8488" i="7"/>
  <c r="M8488" i="7" s="1"/>
  <c r="L8489" i="7"/>
  <c r="M8489" i="7" s="1"/>
  <c r="L8490" i="7"/>
  <c r="M8490" i="7" s="1"/>
  <c r="L8491" i="7"/>
  <c r="M8491" i="7" s="1"/>
  <c r="L8492" i="7"/>
  <c r="M8492" i="7" s="1"/>
  <c r="L8493" i="7"/>
  <c r="M8493" i="7" s="1"/>
  <c r="L8494" i="7"/>
  <c r="M8494" i="7" s="1"/>
  <c r="L8495" i="7"/>
  <c r="M8495" i="7" s="1"/>
  <c r="L8496" i="7"/>
  <c r="M8496" i="7" s="1"/>
  <c r="L8497" i="7"/>
  <c r="M8497" i="7" s="1"/>
  <c r="L8498" i="7"/>
  <c r="M8498" i="7" s="1"/>
  <c r="L8499" i="7"/>
  <c r="M8499" i="7" s="1"/>
  <c r="L8500" i="7"/>
  <c r="M8500" i="7" s="1"/>
  <c r="L8501" i="7"/>
  <c r="M8501" i="7" s="1"/>
  <c r="L8502" i="7"/>
  <c r="M8502" i="7" s="1"/>
  <c r="L8503" i="7"/>
  <c r="M8503" i="7" s="1"/>
  <c r="L8504" i="7"/>
  <c r="M8504" i="7" s="1"/>
  <c r="L8505" i="7"/>
  <c r="M8505" i="7" s="1"/>
  <c r="L8506" i="7"/>
  <c r="M8506" i="7" s="1"/>
  <c r="L8507" i="7"/>
  <c r="M8507" i="7" s="1"/>
  <c r="L8508" i="7"/>
  <c r="M8508" i="7" s="1"/>
  <c r="L8509" i="7"/>
  <c r="M8509" i="7" s="1"/>
  <c r="L8510" i="7"/>
  <c r="M8510" i="7" s="1"/>
  <c r="L8511" i="7"/>
  <c r="M8511" i="7" s="1"/>
  <c r="L8512" i="7"/>
  <c r="M8512" i="7" s="1"/>
  <c r="L8513" i="7"/>
  <c r="M8513" i="7" s="1"/>
  <c r="L8514" i="7"/>
  <c r="M8514" i="7" s="1"/>
  <c r="L8515" i="7"/>
  <c r="M8515" i="7" s="1"/>
  <c r="L8516" i="7"/>
  <c r="M8516" i="7" s="1"/>
  <c r="L8517" i="7"/>
  <c r="M8517" i="7" s="1"/>
  <c r="L8518" i="7"/>
  <c r="L8519" i="7"/>
  <c r="M8519" i="7" s="1"/>
  <c r="L8520" i="7"/>
  <c r="M8520" i="7" s="1"/>
  <c r="L8521" i="7"/>
  <c r="M8521" i="7" s="1"/>
  <c r="L8522" i="7"/>
  <c r="M8522" i="7" s="1"/>
  <c r="L8523" i="7"/>
  <c r="M8523" i="7" s="1"/>
  <c r="L8524" i="7"/>
  <c r="M8524" i="7" s="1"/>
  <c r="L8525" i="7"/>
  <c r="M8525" i="7" s="1"/>
  <c r="L8526" i="7"/>
  <c r="M8526" i="7" s="1"/>
  <c r="L8527" i="7"/>
  <c r="M8527" i="7" s="1"/>
  <c r="L8528" i="7"/>
  <c r="M8528" i="7" s="1"/>
  <c r="L8529" i="7"/>
  <c r="M8529" i="7" s="1"/>
  <c r="L8530" i="7"/>
  <c r="M8530" i="7" s="1"/>
  <c r="L8531" i="7"/>
  <c r="M8531" i="7" s="1"/>
  <c r="L8532" i="7"/>
  <c r="M8532" i="7" s="1"/>
  <c r="L8533" i="7"/>
  <c r="M8533" i="7" s="1"/>
  <c r="L8534" i="7"/>
  <c r="M8534" i="7" s="1"/>
  <c r="L8535" i="7"/>
  <c r="M8535" i="7" s="1"/>
  <c r="L8536" i="7"/>
  <c r="M8536" i="7" s="1"/>
  <c r="L8537" i="7"/>
  <c r="M8537" i="7" s="1"/>
  <c r="L8538" i="7"/>
  <c r="M8538" i="7" s="1"/>
  <c r="L8539" i="7"/>
  <c r="M8539" i="7" s="1"/>
  <c r="L8540" i="7"/>
  <c r="M8540" i="7" s="1"/>
  <c r="L8541" i="7"/>
  <c r="M8541" i="7" s="1"/>
  <c r="L8542" i="7"/>
  <c r="M8542" i="7" s="1"/>
  <c r="L8543" i="7"/>
  <c r="M8543" i="7" s="1"/>
  <c r="L8544" i="7"/>
  <c r="M8544" i="7" s="1"/>
  <c r="L8545" i="7"/>
  <c r="M8545" i="7" s="1"/>
  <c r="L8546" i="7"/>
  <c r="M8546" i="7" s="1"/>
  <c r="L8547" i="7"/>
  <c r="M8547" i="7" s="1"/>
  <c r="L8548" i="7"/>
  <c r="M8548" i="7" s="1"/>
  <c r="L8549" i="7"/>
  <c r="M8549" i="7" s="1"/>
  <c r="L8550" i="7"/>
  <c r="M8550" i="7" s="1"/>
  <c r="L8551" i="7"/>
  <c r="M8551" i="7" s="1"/>
  <c r="L8552" i="7"/>
  <c r="M8552" i="7" s="1"/>
  <c r="L8553" i="7"/>
  <c r="M8553" i="7" s="1"/>
  <c r="L8554" i="7"/>
  <c r="M8554" i="7" s="1"/>
  <c r="L8555" i="7"/>
  <c r="M8555" i="7" s="1"/>
  <c r="L8556" i="7"/>
  <c r="M8556" i="7" s="1"/>
  <c r="L8557" i="7"/>
  <c r="M8557" i="7" s="1"/>
  <c r="L8558" i="7"/>
  <c r="M8558" i="7" s="1"/>
  <c r="L8559" i="7"/>
  <c r="M8559" i="7" s="1"/>
  <c r="L8560" i="7"/>
  <c r="M8560" i="7" s="1"/>
  <c r="L8561" i="7"/>
  <c r="M8561" i="7" s="1"/>
  <c r="L8562" i="7"/>
  <c r="M8562" i="7" s="1"/>
  <c r="L8563" i="7"/>
  <c r="M8563" i="7" s="1"/>
  <c r="L8564" i="7"/>
  <c r="M8564" i="7" s="1"/>
  <c r="L8565" i="7"/>
  <c r="M8565" i="7" s="1"/>
  <c r="L8566" i="7"/>
  <c r="M8566" i="7" s="1"/>
  <c r="L8567" i="7"/>
  <c r="M8567" i="7" s="1"/>
  <c r="L8568" i="7"/>
  <c r="M8568" i="7" s="1"/>
  <c r="L8569" i="7"/>
  <c r="M8569" i="7" s="1"/>
  <c r="L8570" i="7"/>
  <c r="M8570" i="7" s="1"/>
  <c r="L8571" i="7"/>
  <c r="M8571" i="7" s="1"/>
  <c r="L8572" i="7"/>
  <c r="M8572" i="7" s="1"/>
  <c r="L8573" i="7"/>
  <c r="M8573" i="7" s="1"/>
  <c r="L8574" i="7"/>
  <c r="M8574" i="7" s="1"/>
  <c r="L8575" i="7"/>
  <c r="M8575" i="7" s="1"/>
  <c r="L8576" i="7"/>
  <c r="M8576" i="7" s="1"/>
  <c r="L8577" i="7"/>
  <c r="M8577" i="7" s="1"/>
  <c r="L8578" i="7"/>
  <c r="M8578" i="7" s="1"/>
  <c r="L8579" i="7"/>
  <c r="M8579" i="7" s="1"/>
  <c r="L8580" i="7"/>
  <c r="M8580" i="7" s="1"/>
  <c r="L8581" i="7"/>
  <c r="M8581" i="7" s="1"/>
  <c r="L8582" i="7"/>
  <c r="M8582" i="7" s="1"/>
  <c r="L8583" i="7"/>
  <c r="M8583" i="7" s="1"/>
  <c r="L8584" i="7"/>
  <c r="M8584" i="7" s="1"/>
  <c r="L8585" i="7"/>
  <c r="M8585" i="7" s="1"/>
  <c r="L8586" i="7"/>
  <c r="M8586" i="7" s="1"/>
  <c r="L8587" i="7"/>
  <c r="M8587" i="7" s="1"/>
  <c r="L8588" i="7"/>
  <c r="M8588" i="7" s="1"/>
  <c r="L8589" i="7"/>
  <c r="M8589" i="7" s="1"/>
  <c r="L8590" i="7"/>
  <c r="M8590" i="7" s="1"/>
  <c r="L8591" i="7"/>
  <c r="M8591" i="7" s="1"/>
  <c r="L8592" i="7"/>
  <c r="M8592" i="7" s="1"/>
  <c r="L8593" i="7"/>
  <c r="M8593" i="7" s="1"/>
  <c r="L8594" i="7"/>
  <c r="M8594" i="7" s="1"/>
  <c r="L8595" i="7"/>
  <c r="M8595" i="7" s="1"/>
  <c r="L8596" i="7"/>
  <c r="M8596" i="7" s="1"/>
  <c r="L8597" i="7"/>
  <c r="M8597" i="7" s="1"/>
  <c r="L8598" i="7"/>
  <c r="M8598" i="7" s="1"/>
  <c r="L8599" i="7"/>
  <c r="M8599" i="7" s="1"/>
  <c r="L8600" i="7"/>
  <c r="M8600" i="7" s="1"/>
  <c r="L8601" i="7"/>
  <c r="M8601" i="7" s="1"/>
  <c r="L8602" i="7"/>
  <c r="M8602" i="7" s="1"/>
  <c r="L8603" i="7"/>
  <c r="M8603" i="7" s="1"/>
  <c r="L8604" i="7"/>
  <c r="M8604" i="7" s="1"/>
  <c r="L8605" i="7"/>
  <c r="M8605" i="7" s="1"/>
  <c r="L8606" i="7"/>
  <c r="M8606" i="7" s="1"/>
  <c r="L8607" i="7"/>
  <c r="M8607" i="7" s="1"/>
  <c r="L8608" i="7"/>
  <c r="M8608" i="7" s="1"/>
  <c r="L8609" i="7"/>
  <c r="M8609" i="7" s="1"/>
  <c r="L8610" i="7"/>
  <c r="M8610" i="7" s="1"/>
  <c r="L8611" i="7"/>
  <c r="M8611" i="7" s="1"/>
  <c r="L8612" i="7"/>
  <c r="M8612" i="7" s="1"/>
  <c r="L8613" i="7"/>
  <c r="M8613" i="7" s="1"/>
  <c r="L8614" i="7"/>
  <c r="M8614" i="7" s="1"/>
  <c r="L8615" i="7"/>
  <c r="M8615" i="7" s="1"/>
  <c r="L8616" i="7"/>
  <c r="M8616" i="7" s="1"/>
  <c r="L8617" i="7"/>
  <c r="M8617" i="7" s="1"/>
  <c r="L8618" i="7"/>
  <c r="M8618" i="7" s="1"/>
  <c r="L8619" i="7"/>
  <c r="M8619" i="7" s="1"/>
  <c r="L8620" i="7"/>
  <c r="M8620" i="7" s="1"/>
  <c r="L8621" i="7"/>
  <c r="M8621" i="7" s="1"/>
  <c r="L8622" i="7"/>
  <c r="M8622" i="7" s="1"/>
  <c r="L8623" i="7"/>
  <c r="M8623" i="7" s="1"/>
  <c r="L8624" i="7"/>
  <c r="M8624" i="7" s="1"/>
  <c r="L8625" i="7"/>
  <c r="M8625" i="7" s="1"/>
  <c r="L8626" i="7"/>
  <c r="M8626" i="7" s="1"/>
  <c r="L8627" i="7"/>
  <c r="M8627" i="7" s="1"/>
  <c r="L8628" i="7"/>
  <c r="M8628" i="7" s="1"/>
  <c r="L8629" i="7"/>
  <c r="M8629" i="7" s="1"/>
  <c r="L8630" i="7"/>
  <c r="M8630" i="7" s="1"/>
  <c r="L8631" i="7"/>
  <c r="M8631" i="7" s="1"/>
  <c r="L8632" i="7"/>
  <c r="M8632" i="7" s="1"/>
  <c r="L8633" i="7"/>
  <c r="M8633" i="7" s="1"/>
  <c r="L8634" i="7"/>
  <c r="M8634" i="7" s="1"/>
  <c r="L8635" i="7"/>
  <c r="M8635" i="7" s="1"/>
  <c r="L8636" i="7"/>
  <c r="M8636" i="7" s="1"/>
  <c r="L8637" i="7"/>
  <c r="M8637" i="7" s="1"/>
  <c r="L8638" i="7"/>
  <c r="M8638" i="7" s="1"/>
  <c r="L8639" i="7"/>
  <c r="M8639" i="7" s="1"/>
  <c r="L8640" i="7"/>
  <c r="M8640" i="7" s="1"/>
  <c r="L8641" i="7"/>
  <c r="M8641" i="7" s="1"/>
  <c r="L8642" i="7"/>
  <c r="M8642" i="7" s="1"/>
  <c r="L8643" i="7"/>
  <c r="M8643" i="7" s="1"/>
  <c r="L8644" i="7"/>
  <c r="M8644" i="7" s="1"/>
  <c r="L8645" i="7"/>
  <c r="M8645" i="7" s="1"/>
  <c r="L8646" i="7"/>
  <c r="M8646" i="7" s="1"/>
  <c r="L8647" i="7"/>
  <c r="M8647" i="7" s="1"/>
  <c r="L8648" i="7"/>
  <c r="M8648" i="7" s="1"/>
  <c r="L8649" i="7"/>
  <c r="M8649" i="7" s="1"/>
  <c r="L8650" i="7"/>
  <c r="M8650" i="7" s="1"/>
  <c r="L8651" i="7"/>
  <c r="M8651" i="7" s="1"/>
  <c r="L8652" i="7"/>
  <c r="M8652" i="7" s="1"/>
  <c r="L8653" i="7"/>
  <c r="M8653" i="7" s="1"/>
  <c r="L8654" i="7"/>
  <c r="M8654" i="7" s="1"/>
  <c r="L8655" i="7"/>
  <c r="M8655" i="7" s="1"/>
  <c r="L8656" i="7"/>
  <c r="M8656" i="7" s="1"/>
  <c r="L8657" i="7"/>
  <c r="M8657" i="7" s="1"/>
  <c r="L8658" i="7"/>
  <c r="M8658" i="7" s="1"/>
  <c r="L8659" i="7"/>
  <c r="M8659" i="7" s="1"/>
  <c r="L8660" i="7"/>
  <c r="M8660" i="7" s="1"/>
  <c r="L8661" i="7"/>
  <c r="M8661" i="7" s="1"/>
  <c r="L8662" i="7"/>
  <c r="M8662" i="7" s="1"/>
  <c r="L8663" i="7"/>
  <c r="M8663" i="7" s="1"/>
  <c r="L8664" i="7"/>
  <c r="M8664" i="7" s="1"/>
  <c r="L8665" i="7"/>
  <c r="M8665" i="7" s="1"/>
  <c r="L8666" i="7"/>
  <c r="M8666" i="7" s="1"/>
  <c r="L8667" i="7"/>
  <c r="M8667" i="7" s="1"/>
  <c r="L8668" i="7"/>
  <c r="M8668" i="7" s="1"/>
  <c r="L8669" i="7"/>
  <c r="M8669" i="7" s="1"/>
  <c r="L8670" i="7"/>
  <c r="M8670" i="7" s="1"/>
  <c r="L8671" i="7"/>
  <c r="M8671" i="7" s="1"/>
  <c r="L8672" i="7"/>
  <c r="M8672" i="7" s="1"/>
  <c r="L8673" i="7"/>
  <c r="M8673" i="7" s="1"/>
  <c r="L8674" i="7"/>
  <c r="M8674" i="7" s="1"/>
  <c r="L8675" i="7"/>
  <c r="M8675" i="7" s="1"/>
  <c r="L8676" i="7"/>
  <c r="M8676" i="7" s="1"/>
  <c r="L8677" i="7"/>
  <c r="M8677" i="7" s="1"/>
  <c r="L8678" i="7"/>
  <c r="M8678" i="7" s="1"/>
  <c r="L8679" i="7"/>
  <c r="M8679" i="7" s="1"/>
  <c r="L8680" i="7"/>
  <c r="M8680" i="7" s="1"/>
  <c r="L8681" i="7"/>
  <c r="M8681" i="7" s="1"/>
  <c r="L8682" i="7"/>
  <c r="M8682" i="7" s="1"/>
  <c r="L8683" i="7"/>
  <c r="M8683" i="7" s="1"/>
  <c r="L8684" i="7"/>
  <c r="M8684" i="7" s="1"/>
  <c r="L8685" i="7"/>
  <c r="M8685" i="7" s="1"/>
  <c r="L8686" i="7"/>
  <c r="M8686" i="7" s="1"/>
  <c r="L8687" i="7"/>
  <c r="M8687" i="7" s="1"/>
  <c r="L8688" i="7"/>
  <c r="M8688" i="7" s="1"/>
  <c r="L8689" i="7"/>
  <c r="M8689" i="7" s="1"/>
  <c r="L8690" i="7"/>
  <c r="M8690" i="7" s="1"/>
  <c r="L8691" i="7"/>
  <c r="M8691" i="7" s="1"/>
  <c r="L8692" i="7"/>
  <c r="M8692" i="7" s="1"/>
  <c r="L8693" i="7"/>
  <c r="M8693" i="7" s="1"/>
  <c r="L8694" i="7"/>
  <c r="M8694" i="7" s="1"/>
  <c r="L8695" i="7"/>
  <c r="M8695" i="7" s="1"/>
  <c r="L8696" i="7"/>
  <c r="M8696" i="7" s="1"/>
  <c r="L8697" i="7"/>
  <c r="M8697" i="7" s="1"/>
  <c r="L8698" i="7"/>
  <c r="M8698" i="7" s="1"/>
  <c r="L8699" i="7"/>
  <c r="M8699" i="7" s="1"/>
  <c r="L8700" i="7"/>
  <c r="M8700" i="7" s="1"/>
  <c r="L8701" i="7"/>
  <c r="M8701" i="7" s="1"/>
  <c r="L8702" i="7"/>
  <c r="M8702" i="7" s="1"/>
  <c r="L8703" i="7"/>
  <c r="M8703" i="7" s="1"/>
  <c r="L8704" i="7"/>
  <c r="M8704" i="7" s="1"/>
  <c r="L8705" i="7"/>
  <c r="M8705" i="7" s="1"/>
  <c r="L8706" i="7"/>
  <c r="M8706" i="7" s="1"/>
  <c r="L8707" i="7"/>
  <c r="M8707" i="7" s="1"/>
  <c r="L8708" i="7"/>
  <c r="M8708" i="7" s="1"/>
  <c r="L8709" i="7"/>
  <c r="M8709" i="7" s="1"/>
  <c r="L8710" i="7"/>
  <c r="M8710" i="7" s="1"/>
  <c r="L8711" i="7"/>
  <c r="M8711" i="7" s="1"/>
  <c r="L8712" i="7"/>
  <c r="M8712" i="7" s="1"/>
  <c r="L8713" i="7"/>
  <c r="M8713" i="7" s="1"/>
  <c r="L8714" i="7"/>
  <c r="M8714" i="7" s="1"/>
  <c r="L8715" i="7"/>
  <c r="M8715" i="7" s="1"/>
  <c r="L8716" i="7"/>
  <c r="M8716" i="7" s="1"/>
  <c r="L8717" i="7"/>
  <c r="M8717" i="7" s="1"/>
  <c r="L8718" i="7"/>
  <c r="M8718" i="7" s="1"/>
  <c r="L8719" i="7"/>
  <c r="M8719" i="7" s="1"/>
  <c r="L8720" i="7"/>
  <c r="M8720" i="7" s="1"/>
  <c r="L8721" i="7"/>
  <c r="M8721" i="7" s="1"/>
  <c r="L8722" i="7"/>
  <c r="M8722" i="7" s="1"/>
  <c r="L8723" i="7"/>
  <c r="M8723" i="7" s="1"/>
  <c r="L8724" i="7"/>
  <c r="M8724" i="7" s="1"/>
  <c r="L8725" i="7"/>
  <c r="M8725" i="7" s="1"/>
  <c r="L8726" i="7"/>
  <c r="M8726" i="7" s="1"/>
  <c r="L8727" i="7"/>
  <c r="M8727" i="7" s="1"/>
  <c r="L8728" i="7"/>
  <c r="M8728" i="7" s="1"/>
  <c r="L8729" i="7"/>
  <c r="M8729" i="7" s="1"/>
  <c r="L8730" i="7"/>
  <c r="M8730" i="7" s="1"/>
  <c r="L8731" i="7"/>
  <c r="M8731" i="7" s="1"/>
  <c r="L8732" i="7"/>
  <c r="M8732" i="7" s="1"/>
  <c r="L8733" i="7"/>
  <c r="M8733" i="7" s="1"/>
  <c r="L8734" i="7"/>
  <c r="M8734" i="7" s="1"/>
  <c r="L8735" i="7"/>
  <c r="M8735" i="7" s="1"/>
  <c r="L8736" i="7"/>
  <c r="M8736" i="7" s="1"/>
  <c r="L8737" i="7"/>
  <c r="M8737" i="7" s="1"/>
  <c r="L8738" i="7"/>
  <c r="M8738" i="7" s="1"/>
  <c r="L8739" i="7"/>
  <c r="M8739" i="7" s="1"/>
  <c r="L8740" i="7"/>
  <c r="M8740" i="7" s="1"/>
  <c r="L8741" i="7"/>
  <c r="M8741" i="7" s="1"/>
  <c r="L8742" i="7"/>
  <c r="M8742" i="7" s="1"/>
  <c r="L8743" i="7"/>
  <c r="M8743" i="7" s="1"/>
  <c r="L8744" i="7"/>
  <c r="M8744" i="7" s="1"/>
  <c r="L8745" i="7"/>
  <c r="M8745" i="7" s="1"/>
  <c r="L8746" i="7"/>
  <c r="M8746" i="7" s="1"/>
  <c r="L8747" i="7"/>
  <c r="M8747" i="7" s="1"/>
  <c r="L8748" i="7"/>
  <c r="M8748" i="7" s="1"/>
  <c r="L8749" i="7"/>
  <c r="M8749" i="7" s="1"/>
  <c r="L8750" i="7"/>
  <c r="M8750" i="7" s="1"/>
  <c r="L8751" i="7"/>
  <c r="M8751" i="7" s="1"/>
  <c r="L8752" i="7"/>
  <c r="M8752" i="7" s="1"/>
  <c r="L8753" i="7"/>
  <c r="M8753" i="7" s="1"/>
  <c r="L8754" i="7"/>
  <c r="M8754" i="7" s="1"/>
  <c r="L8755" i="7"/>
  <c r="M8755" i="7" s="1"/>
  <c r="L8756" i="7"/>
  <c r="M8756" i="7" s="1"/>
  <c r="L8757" i="7"/>
  <c r="M8757" i="7" s="1"/>
  <c r="L8758" i="7"/>
  <c r="M8758" i="7" s="1"/>
  <c r="L8759" i="7"/>
  <c r="M8759" i="7" s="1"/>
  <c r="L8760" i="7"/>
  <c r="M8760" i="7" s="1"/>
  <c r="L8761" i="7"/>
  <c r="M8761" i="7" s="1"/>
  <c r="L8762" i="7"/>
  <c r="M8762" i="7" s="1"/>
  <c r="L8763" i="7"/>
  <c r="M8763" i="7" s="1"/>
  <c r="L8764" i="7"/>
  <c r="M8764" i="7" s="1"/>
  <c r="L8765" i="7"/>
  <c r="M8765" i="7" s="1"/>
  <c r="L8766" i="7"/>
  <c r="M8766" i="7" s="1"/>
  <c r="L8767" i="7"/>
  <c r="M8767" i="7" s="1"/>
  <c r="L8768" i="7"/>
  <c r="M8768" i="7" s="1"/>
  <c r="L8769" i="7"/>
  <c r="M8769" i="7" s="1"/>
  <c r="L8770" i="7"/>
  <c r="M8770" i="7" s="1"/>
  <c r="L8771" i="7"/>
  <c r="M8771" i="7" s="1"/>
  <c r="L8772" i="7"/>
  <c r="M8772" i="7" s="1"/>
  <c r="L8773" i="7"/>
  <c r="M8773" i="7" s="1"/>
  <c r="L8774" i="7"/>
  <c r="M8774" i="7" s="1"/>
  <c r="L8775" i="7"/>
  <c r="M8775" i="7" s="1"/>
  <c r="L8776" i="7"/>
  <c r="M8776" i="7" s="1"/>
  <c r="L8777" i="7"/>
  <c r="M8777" i="7" s="1"/>
  <c r="L8778" i="7"/>
  <c r="M8778" i="7" s="1"/>
  <c r="L8779" i="7"/>
  <c r="M8779" i="7" s="1"/>
  <c r="L8780" i="7"/>
  <c r="M8780" i="7" s="1"/>
  <c r="L8781" i="7"/>
  <c r="M8781" i="7" s="1"/>
  <c r="L8782" i="7"/>
  <c r="M8782" i="7" s="1"/>
  <c r="L8783" i="7"/>
  <c r="M8783" i="7" s="1"/>
  <c r="L8784" i="7"/>
  <c r="M8784" i="7" s="1"/>
  <c r="L8785" i="7"/>
  <c r="M8785" i="7" s="1"/>
  <c r="L8786" i="7"/>
  <c r="M8786" i="7" s="1"/>
  <c r="L8787" i="7"/>
  <c r="M8787" i="7" s="1"/>
  <c r="L8788" i="7"/>
  <c r="M8788" i="7" s="1"/>
  <c r="L8789" i="7"/>
  <c r="M8789" i="7" s="1"/>
  <c r="L8790" i="7"/>
  <c r="M8790" i="7" s="1"/>
  <c r="L8791" i="7"/>
  <c r="M8791" i="7" s="1"/>
  <c r="L8792" i="7"/>
  <c r="M8792" i="7" s="1"/>
  <c r="L8793" i="7"/>
  <c r="M8793" i="7" s="1"/>
  <c r="L8794" i="7"/>
  <c r="M8794" i="7" s="1"/>
  <c r="L8795" i="7"/>
  <c r="M8795" i="7" s="1"/>
  <c r="L8796" i="7"/>
  <c r="M8796" i="7" s="1"/>
  <c r="L8797" i="7"/>
  <c r="M8797" i="7" s="1"/>
  <c r="L8798" i="7"/>
  <c r="M8798" i="7" s="1"/>
  <c r="L8799" i="7"/>
  <c r="M8799" i="7" s="1"/>
  <c r="L8800" i="7"/>
  <c r="M8800" i="7" s="1"/>
  <c r="L8801" i="7"/>
  <c r="M8801" i="7" s="1"/>
  <c r="L8802" i="7"/>
  <c r="M8802" i="7" s="1"/>
  <c r="L8803" i="7"/>
  <c r="M8803" i="7" s="1"/>
  <c r="L8804" i="7"/>
  <c r="M8804" i="7" s="1"/>
  <c r="L8805" i="7"/>
  <c r="M8805" i="7" s="1"/>
  <c r="L8806" i="7"/>
  <c r="M8806" i="7" s="1"/>
  <c r="L8807" i="7"/>
  <c r="M8807" i="7" s="1"/>
  <c r="L8808" i="7"/>
  <c r="M8808" i="7" s="1"/>
  <c r="L8809" i="7"/>
  <c r="M8809" i="7" s="1"/>
  <c r="L8810" i="7"/>
  <c r="M8810" i="7" s="1"/>
  <c r="L8811" i="7"/>
  <c r="M8811" i="7" s="1"/>
  <c r="L8812" i="7"/>
  <c r="M8812" i="7" s="1"/>
  <c r="L8813" i="7"/>
  <c r="M8813" i="7" s="1"/>
  <c r="L8814" i="7"/>
  <c r="M8814" i="7" s="1"/>
  <c r="L8815" i="7"/>
  <c r="M8815" i="7" s="1"/>
  <c r="L8816" i="7"/>
  <c r="M8816" i="7" s="1"/>
  <c r="L8817" i="7"/>
  <c r="M8817" i="7" s="1"/>
  <c r="L8818" i="7"/>
  <c r="M8818" i="7" s="1"/>
  <c r="L8819" i="7"/>
  <c r="M8819" i="7" s="1"/>
  <c r="L8820" i="7"/>
  <c r="M8820" i="7" s="1"/>
  <c r="L8821" i="7"/>
  <c r="M8821" i="7" s="1"/>
  <c r="L8822" i="7"/>
  <c r="M8822" i="7" s="1"/>
  <c r="L8823" i="7"/>
  <c r="M8823" i="7" s="1"/>
  <c r="L8824" i="7"/>
  <c r="M8824" i="7" s="1"/>
  <c r="L8825" i="7"/>
  <c r="M8825" i="7" s="1"/>
  <c r="L8826" i="7"/>
  <c r="M8826" i="7" s="1"/>
  <c r="L8827" i="7"/>
  <c r="M8827" i="7" s="1"/>
  <c r="L8828" i="7"/>
  <c r="M8828" i="7" s="1"/>
  <c r="L8829" i="7"/>
  <c r="M8829" i="7" s="1"/>
  <c r="L8830" i="7"/>
  <c r="M8830" i="7" s="1"/>
  <c r="L8831" i="7"/>
  <c r="M8831" i="7" s="1"/>
  <c r="L8832" i="7"/>
  <c r="M8832" i="7" s="1"/>
  <c r="L8833" i="7"/>
  <c r="M8833" i="7" s="1"/>
  <c r="L8834" i="7"/>
  <c r="M8834" i="7" s="1"/>
  <c r="L8835" i="7"/>
  <c r="M8835" i="7" s="1"/>
  <c r="L8836" i="7"/>
  <c r="M8836" i="7" s="1"/>
  <c r="L8837" i="7"/>
  <c r="M8837" i="7" s="1"/>
  <c r="L8838" i="7"/>
  <c r="M8838" i="7" s="1"/>
  <c r="L8839" i="7"/>
  <c r="M8839" i="7" s="1"/>
  <c r="L8840" i="7"/>
  <c r="M8840" i="7" s="1"/>
  <c r="L8841" i="7"/>
  <c r="M8841" i="7" s="1"/>
  <c r="L8842" i="7"/>
  <c r="M8842" i="7" s="1"/>
  <c r="L8843" i="7"/>
  <c r="M8843" i="7" s="1"/>
  <c r="L8844" i="7"/>
  <c r="M8844" i="7" s="1"/>
  <c r="L8845" i="7"/>
  <c r="M8845" i="7" s="1"/>
  <c r="L8846" i="7"/>
  <c r="M8846" i="7" s="1"/>
  <c r="L8847" i="7"/>
  <c r="M8847" i="7" s="1"/>
  <c r="L8848" i="7"/>
  <c r="M8848" i="7" s="1"/>
  <c r="L8849" i="7"/>
  <c r="M8849" i="7" s="1"/>
  <c r="L8850" i="7"/>
  <c r="M8850" i="7" s="1"/>
  <c r="L8851" i="7"/>
  <c r="M8851" i="7" s="1"/>
  <c r="L8852" i="7"/>
  <c r="M8852" i="7" s="1"/>
  <c r="L8853" i="7"/>
  <c r="M8853" i="7" s="1"/>
  <c r="L8854" i="7"/>
  <c r="M8854" i="7" s="1"/>
  <c r="L8855" i="7"/>
  <c r="M8855" i="7" s="1"/>
  <c r="L8856" i="7"/>
  <c r="M8856" i="7" s="1"/>
  <c r="L8857" i="7"/>
  <c r="M8857" i="7" s="1"/>
  <c r="L8858" i="7"/>
  <c r="M8858" i="7" s="1"/>
  <c r="L8859" i="7"/>
  <c r="M8859" i="7" s="1"/>
  <c r="L8860" i="7"/>
  <c r="M8860" i="7" s="1"/>
  <c r="L8861" i="7"/>
  <c r="M8861" i="7" s="1"/>
  <c r="L8862" i="7"/>
  <c r="M8862" i="7" s="1"/>
  <c r="L8863" i="7"/>
  <c r="M8863" i="7" s="1"/>
  <c r="L8864" i="7"/>
  <c r="M8864" i="7" s="1"/>
  <c r="L8865" i="7"/>
  <c r="M8865" i="7" s="1"/>
  <c r="L8866" i="7"/>
  <c r="M8866" i="7" s="1"/>
  <c r="L8867" i="7"/>
  <c r="M8867" i="7" s="1"/>
  <c r="L8868" i="7"/>
  <c r="M8868" i="7" s="1"/>
  <c r="L8869" i="7"/>
  <c r="M8869" i="7" s="1"/>
  <c r="L8870" i="7"/>
  <c r="M8870" i="7" s="1"/>
  <c r="L8871" i="7"/>
  <c r="M8871" i="7" s="1"/>
  <c r="L8872" i="7"/>
  <c r="M8872" i="7" s="1"/>
  <c r="L8873" i="7"/>
  <c r="M8873" i="7" s="1"/>
  <c r="L8874" i="7"/>
  <c r="M8874" i="7" s="1"/>
  <c r="L8875" i="7"/>
  <c r="M8875" i="7" s="1"/>
  <c r="L8876" i="7"/>
  <c r="M8876" i="7" s="1"/>
  <c r="L8877" i="7"/>
  <c r="M8877" i="7" s="1"/>
  <c r="L8878" i="7"/>
  <c r="M8878" i="7" s="1"/>
  <c r="L8879" i="7"/>
  <c r="M8879" i="7" s="1"/>
  <c r="L8880" i="7"/>
  <c r="M8880" i="7" s="1"/>
  <c r="L8881" i="7"/>
  <c r="M8881" i="7" s="1"/>
  <c r="L8882" i="7"/>
  <c r="M8882" i="7" s="1"/>
  <c r="L8883" i="7"/>
  <c r="M8883" i="7" s="1"/>
  <c r="L8884" i="7"/>
  <c r="M8884" i="7" s="1"/>
  <c r="L8885" i="7"/>
  <c r="M8885" i="7" s="1"/>
  <c r="L8886" i="7"/>
  <c r="M8886" i="7" s="1"/>
  <c r="L8887" i="7"/>
  <c r="M8887" i="7" s="1"/>
  <c r="L8888" i="7"/>
  <c r="M8888" i="7" s="1"/>
  <c r="L8889" i="7"/>
  <c r="M8889" i="7" s="1"/>
  <c r="L8890" i="7"/>
  <c r="M8890" i="7" s="1"/>
  <c r="L8891" i="7"/>
  <c r="M8891" i="7" s="1"/>
  <c r="L8892" i="7"/>
  <c r="M8892" i="7" s="1"/>
  <c r="L8893" i="7"/>
  <c r="M8893" i="7" s="1"/>
  <c r="L8894" i="7"/>
  <c r="M8894" i="7" s="1"/>
  <c r="L8895" i="7"/>
  <c r="M8895" i="7" s="1"/>
  <c r="L8896" i="7"/>
  <c r="M8896" i="7" s="1"/>
  <c r="L8897" i="7"/>
  <c r="M8897" i="7" s="1"/>
  <c r="L8898" i="7"/>
  <c r="M8898" i="7" s="1"/>
  <c r="L8899" i="7"/>
  <c r="M8899" i="7" s="1"/>
  <c r="L8900" i="7"/>
  <c r="M8900" i="7" s="1"/>
  <c r="L8901" i="7"/>
  <c r="M8901" i="7" s="1"/>
  <c r="L8902" i="7"/>
  <c r="M8902" i="7" s="1"/>
  <c r="L8903" i="7"/>
  <c r="M8903" i="7" s="1"/>
  <c r="L8904" i="7"/>
  <c r="M8904" i="7" s="1"/>
  <c r="L8905" i="7"/>
  <c r="M8905" i="7" s="1"/>
  <c r="L8906" i="7"/>
  <c r="M8906" i="7" s="1"/>
  <c r="L8907" i="7"/>
  <c r="M8907" i="7" s="1"/>
  <c r="L8908" i="7"/>
  <c r="M8908" i="7" s="1"/>
  <c r="L8909" i="7"/>
  <c r="M8909" i="7" s="1"/>
  <c r="L8910" i="7"/>
  <c r="M8910" i="7" s="1"/>
  <c r="L8911" i="7"/>
  <c r="M8911" i="7" s="1"/>
  <c r="L8912" i="7"/>
  <c r="M8912" i="7" s="1"/>
  <c r="L8913" i="7"/>
  <c r="M8913" i="7" s="1"/>
  <c r="L8914" i="7"/>
  <c r="M8914" i="7" s="1"/>
  <c r="L8915" i="7"/>
  <c r="M8915" i="7" s="1"/>
  <c r="L8916" i="7"/>
  <c r="M8916" i="7" s="1"/>
  <c r="L8917" i="7"/>
  <c r="M8917" i="7" s="1"/>
  <c r="L8918" i="7"/>
  <c r="M8918" i="7" s="1"/>
  <c r="L8919" i="7"/>
  <c r="M8919" i="7" s="1"/>
  <c r="L8920" i="7"/>
  <c r="M8920" i="7" s="1"/>
  <c r="L8921" i="7"/>
  <c r="M8921" i="7" s="1"/>
  <c r="L8922" i="7"/>
  <c r="M8922" i="7" s="1"/>
  <c r="L8923" i="7"/>
  <c r="M8923" i="7" s="1"/>
  <c r="L8924" i="7"/>
  <c r="M8924" i="7" s="1"/>
  <c r="L8925" i="7"/>
  <c r="M8925" i="7" s="1"/>
  <c r="L8926" i="7"/>
  <c r="M8926" i="7" s="1"/>
  <c r="L8927" i="7"/>
  <c r="M8927" i="7" s="1"/>
  <c r="L8928" i="7"/>
  <c r="M8928" i="7" s="1"/>
  <c r="L8929" i="7"/>
  <c r="M8929" i="7" s="1"/>
  <c r="L8930" i="7"/>
  <c r="M8930" i="7" s="1"/>
  <c r="L8931" i="7"/>
  <c r="M8931" i="7" s="1"/>
  <c r="L8932" i="7"/>
  <c r="M8932" i="7" s="1"/>
  <c r="L8933" i="7"/>
  <c r="M8933" i="7" s="1"/>
  <c r="L8934" i="7"/>
  <c r="M8934" i="7" s="1"/>
  <c r="L8935" i="7"/>
  <c r="M8935" i="7" s="1"/>
  <c r="L8936" i="7"/>
  <c r="M8936" i="7" s="1"/>
  <c r="L8937" i="7"/>
  <c r="L8938" i="7"/>
  <c r="M8938" i="7" s="1"/>
  <c r="L8939" i="7"/>
  <c r="M8939" i="7" s="1"/>
  <c r="L8940" i="7"/>
  <c r="M8940" i="7" s="1"/>
  <c r="L8941" i="7"/>
  <c r="M8941" i="7" s="1"/>
  <c r="L8942" i="7"/>
  <c r="M8942" i="7" s="1"/>
  <c r="L8943" i="7"/>
  <c r="M8943" i="7" s="1"/>
  <c r="L8944" i="7"/>
  <c r="M8944" i="7" s="1"/>
  <c r="L8945" i="7"/>
  <c r="M8945" i="7" s="1"/>
  <c r="L8946" i="7"/>
  <c r="M8946" i="7" s="1"/>
  <c r="L8947" i="7"/>
  <c r="M8947" i="7" s="1"/>
  <c r="L8948" i="7"/>
  <c r="M8948" i="7" s="1"/>
  <c r="L8949" i="7"/>
  <c r="M8949" i="7" s="1"/>
  <c r="L8950" i="7"/>
  <c r="M8950" i="7" s="1"/>
  <c r="L8951" i="7"/>
  <c r="M8951" i="7" s="1"/>
  <c r="L8952" i="7"/>
  <c r="M8952" i="7" s="1"/>
  <c r="L8953" i="7"/>
  <c r="M8953" i="7" s="1"/>
  <c r="L8954" i="7"/>
  <c r="M8954" i="7" s="1"/>
  <c r="L8955" i="7"/>
  <c r="M8955" i="7" s="1"/>
  <c r="L8956" i="7"/>
  <c r="M8956" i="7" s="1"/>
  <c r="L8957" i="7"/>
  <c r="M8957" i="7" s="1"/>
  <c r="L8958" i="7"/>
  <c r="M8958" i="7" s="1"/>
  <c r="L8959" i="7"/>
  <c r="M8959" i="7" s="1"/>
  <c r="L8960" i="7"/>
  <c r="M8960" i="7" s="1"/>
  <c r="L8961" i="7"/>
  <c r="M8961" i="7" s="1"/>
  <c r="L8962" i="7"/>
  <c r="M8962" i="7" s="1"/>
  <c r="L8963" i="7"/>
  <c r="M8963" i="7" s="1"/>
  <c r="L8964" i="7"/>
  <c r="M8964" i="7" s="1"/>
  <c r="L8965" i="7"/>
  <c r="M8965" i="7" s="1"/>
  <c r="L8966" i="7"/>
  <c r="M8966" i="7" s="1"/>
  <c r="L8967" i="7"/>
  <c r="M8967" i="7" s="1"/>
  <c r="L8968" i="7"/>
  <c r="M8968" i="7" s="1"/>
  <c r="L8969" i="7"/>
  <c r="M8969" i="7" s="1"/>
  <c r="L8970" i="7"/>
  <c r="M8970" i="7" s="1"/>
  <c r="L8971" i="7"/>
  <c r="M8971" i="7" s="1"/>
  <c r="L8972" i="7"/>
  <c r="M8972" i="7" s="1"/>
  <c r="L8973" i="7"/>
  <c r="M8973" i="7" s="1"/>
  <c r="L8974" i="7"/>
  <c r="M8974" i="7" s="1"/>
  <c r="L8975" i="7"/>
  <c r="M8975" i="7" s="1"/>
  <c r="L8976" i="7"/>
  <c r="M8976" i="7" s="1"/>
  <c r="L8977" i="7"/>
  <c r="M8977" i="7" s="1"/>
  <c r="L8978" i="7"/>
  <c r="M8978" i="7" s="1"/>
  <c r="L8979" i="7"/>
  <c r="M8979" i="7" s="1"/>
  <c r="L8980" i="7"/>
  <c r="M8980" i="7" s="1"/>
  <c r="L8981" i="7"/>
  <c r="M8981" i="7" s="1"/>
  <c r="L8982" i="7"/>
  <c r="M8982" i="7" s="1"/>
  <c r="L8983" i="7"/>
  <c r="M8983" i="7" s="1"/>
  <c r="L8984" i="7"/>
  <c r="M8984" i="7" s="1"/>
  <c r="L8985" i="7"/>
  <c r="M8985" i="7" s="1"/>
  <c r="L8986" i="7"/>
  <c r="M8986" i="7" s="1"/>
  <c r="L8987" i="7"/>
  <c r="M8987" i="7" s="1"/>
  <c r="L8988" i="7"/>
  <c r="M8988" i="7" s="1"/>
  <c r="L8989" i="7"/>
  <c r="M8989" i="7" s="1"/>
  <c r="L8990" i="7"/>
  <c r="M8990" i="7" s="1"/>
  <c r="L8991" i="7"/>
  <c r="M8991" i="7" s="1"/>
  <c r="L8992" i="7"/>
  <c r="M8992" i="7" s="1"/>
  <c r="L8993" i="7"/>
  <c r="M8993" i="7" s="1"/>
  <c r="L8994" i="7"/>
  <c r="M8994" i="7" s="1"/>
  <c r="L8995" i="7"/>
  <c r="M8995" i="7" s="1"/>
  <c r="L8996" i="7"/>
  <c r="M8996" i="7" s="1"/>
  <c r="L8997" i="7"/>
  <c r="M8997" i="7" s="1"/>
  <c r="L8998" i="7"/>
  <c r="M8998" i="7" s="1"/>
  <c r="L8999" i="7"/>
  <c r="M8999" i="7" s="1"/>
  <c r="L9000" i="7"/>
  <c r="M9000" i="7" s="1"/>
  <c r="L9001" i="7"/>
  <c r="M9001" i="7" s="1"/>
  <c r="L9002" i="7"/>
  <c r="M9002" i="7" s="1"/>
  <c r="L9003" i="7"/>
  <c r="M9003" i="7" s="1"/>
  <c r="L9004" i="7"/>
  <c r="M9004" i="7" s="1"/>
  <c r="L9005" i="7"/>
  <c r="M9005" i="7" s="1"/>
  <c r="L9006" i="7"/>
  <c r="M9006" i="7" s="1"/>
  <c r="L9007" i="7"/>
  <c r="M9007" i="7" s="1"/>
  <c r="L9008" i="7"/>
  <c r="M9008" i="7" s="1"/>
  <c r="L9009" i="7"/>
  <c r="M9009" i="7" s="1"/>
  <c r="L9010" i="7"/>
  <c r="M9010" i="7" s="1"/>
  <c r="L9011" i="7"/>
  <c r="M9011" i="7" s="1"/>
  <c r="L9012" i="7"/>
  <c r="M9012" i="7" s="1"/>
  <c r="L9013" i="7"/>
  <c r="M9013" i="7" s="1"/>
  <c r="L9014" i="7"/>
  <c r="M9014" i="7" s="1"/>
  <c r="L9015" i="7"/>
  <c r="M9015" i="7" s="1"/>
  <c r="L9016" i="7"/>
  <c r="M9016" i="7" s="1"/>
  <c r="L9017" i="7"/>
  <c r="M9017" i="7" s="1"/>
  <c r="L9018" i="7"/>
  <c r="M9018" i="7" s="1"/>
  <c r="L9019" i="7"/>
  <c r="M9019" i="7" s="1"/>
  <c r="L9020" i="7"/>
  <c r="M9020" i="7" s="1"/>
  <c r="L9021" i="7"/>
  <c r="M9021" i="7" s="1"/>
  <c r="L9022" i="7"/>
  <c r="M9022" i="7" s="1"/>
  <c r="L9023" i="7"/>
  <c r="M9023" i="7" s="1"/>
  <c r="L9024" i="7"/>
  <c r="M9024" i="7" s="1"/>
  <c r="L9025" i="7"/>
  <c r="M9025" i="7" s="1"/>
  <c r="L9026" i="7"/>
  <c r="M9026" i="7" s="1"/>
  <c r="L9027" i="7"/>
  <c r="M9027" i="7" s="1"/>
  <c r="L9028" i="7"/>
  <c r="M9028" i="7" s="1"/>
  <c r="L9029" i="7"/>
  <c r="M9029" i="7" s="1"/>
  <c r="L9030" i="7"/>
  <c r="M9030" i="7" s="1"/>
  <c r="L9031" i="7"/>
  <c r="M9031" i="7" s="1"/>
  <c r="L9032" i="7"/>
  <c r="M9032" i="7" s="1"/>
  <c r="L9033" i="7"/>
  <c r="M9033" i="7" s="1"/>
  <c r="L9034" i="7"/>
  <c r="M9034" i="7" s="1"/>
  <c r="L9035" i="7"/>
  <c r="M9035" i="7" s="1"/>
  <c r="L9036" i="7"/>
  <c r="M9036" i="7" s="1"/>
  <c r="L9037" i="7"/>
  <c r="M9037" i="7" s="1"/>
  <c r="L9038" i="7"/>
  <c r="M9038" i="7" s="1"/>
  <c r="L9039" i="7"/>
  <c r="M9039" i="7" s="1"/>
  <c r="L9040" i="7"/>
  <c r="M9040" i="7" s="1"/>
  <c r="L9041" i="7"/>
  <c r="M9041" i="7" s="1"/>
  <c r="L9042" i="7"/>
  <c r="M9042" i="7" s="1"/>
  <c r="L9043" i="7"/>
  <c r="M9043" i="7" s="1"/>
  <c r="L9044" i="7"/>
  <c r="M9044" i="7" s="1"/>
  <c r="L9045" i="7"/>
  <c r="M9045" i="7" s="1"/>
  <c r="L9046" i="7"/>
  <c r="M9046" i="7" s="1"/>
  <c r="L9047" i="7"/>
  <c r="M9047" i="7" s="1"/>
  <c r="L9048" i="7"/>
  <c r="M9048" i="7" s="1"/>
  <c r="L9049" i="7"/>
  <c r="M9049" i="7" s="1"/>
  <c r="L9050" i="7"/>
  <c r="M9050" i="7" s="1"/>
  <c r="L9051" i="7"/>
  <c r="M9051" i="7" s="1"/>
  <c r="L9052" i="7"/>
  <c r="M9052" i="7" s="1"/>
  <c r="L9053" i="7"/>
  <c r="M9053" i="7" s="1"/>
  <c r="L9054" i="7"/>
  <c r="M9054" i="7" s="1"/>
  <c r="L9055" i="7"/>
  <c r="M9055" i="7" s="1"/>
  <c r="L9056" i="7"/>
  <c r="M9056" i="7" s="1"/>
  <c r="L9057" i="7"/>
  <c r="M9057" i="7" s="1"/>
  <c r="L9058" i="7"/>
  <c r="M9058" i="7" s="1"/>
  <c r="L9059" i="7"/>
  <c r="M9059" i="7" s="1"/>
  <c r="L9060" i="7"/>
  <c r="M9060" i="7" s="1"/>
  <c r="L9061" i="7"/>
  <c r="M9061" i="7" s="1"/>
  <c r="L9062" i="7"/>
  <c r="M9062" i="7" s="1"/>
  <c r="L9063" i="7"/>
  <c r="M9063" i="7" s="1"/>
  <c r="L9064" i="7"/>
  <c r="M9064" i="7" s="1"/>
  <c r="L9065" i="7"/>
  <c r="M9065" i="7" s="1"/>
  <c r="L9066" i="7"/>
  <c r="M9066" i="7" s="1"/>
  <c r="L9067" i="7"/>
  <c r="M9067" i="7" s="1"/>
  <c r="L9068" i="7"/>
  <c r="M9068" i="7" s="1"/>
  <c r="L9069" i="7"/>
  <c r="M9069" i="7" s="1"/>
  <c r="L9070" i="7"/>
  <c r="M9070" i="7" s="1"/>
  <c r="L9071" i="7"/>
  <c r="M9071" i="7" s="1"/>
  <c r="L9072" i="7"/>
  <c r="M9072" i="7" s="1"/>
  <c r="L9073" i="7"/>
  <c r="M9073" i="7" s="1"/>
  <c r="L9074" i="7"/>
  <c r="M9074" i="7" s="1"/>
  <c r="L9075" i="7"/>
  <c r="M9075" i="7" s="1"/>
  <c r="L9076" i="7"/>
  <c r="M9076" i="7" s="1"/>
  <c r="L9077" i="7"/>
  <c r="M9077" i="7" s="1"/>
  <c r="L9078" i="7"/>
  <c r="M9078" i="7" s="1"/>
  <c r="L9079" i="7"/>
  <c r="M9079" i="7" s="1"/>
  <c r="L9080" i="7"/>
  <c r="M9080" i="7" s="1"/>
  <c r="L9081" i="7"/>
  <c r="M9081" i="7" s="1"/>
  <c r="L9082" i="7"/>
  <c r="M9082" i="7" s="1"/>
  <c r="L9083" i="7"/>
  <c r="M9083" i="7" s="1"/>
  <c r="L9084" i="7"/>
  <c r="M9084" i="7" s="1"/>
  <c r="L9085" i="7"/>
  <c r="M9085" i="7" s="1"/>
  <c r="L9086" i="7"/>
  <c r="M9086" i="7" s="1"/>
  <c r="L9087" i="7"/>
  <c r="M9087" i="7" s="1"/>
  <c r="L9088" i="7"/>
  <c r="M9088" i="7" s="1"/>
  <c r="L9089" i="7"/>
  <c r="M9089" i="7" s="1"/>
  <c r="L9090" i="7"/>
  <c r="M9090" i="7" s="1"/>
  <c r="L9091" i="7"/>
  <c r="M9091" i="7" s="1"/>
  <c r="L9092" i="7"/>
  <c r="M9092" i="7" s="1"/>
  <c r="L9093" i="7"/>
  <c r="M9093" i="7" s="1"/>
  <c r="L9094" i="7"/>
  <c r="M9094" i="7" s="1"/>
  <c r="L9095" i="7"/>
  <c r="M9095" i="7" s="1"/>
  <c r="L9096" i="7"/>
  <c r="M9096" i="7" s="1"/>
  <c r="L9097" i="7"/>
  <c r="M9097" i="7" s="1"/>
  <c r="L9098" i="7"/>
  <c r="M9098" i="7" s="1"/>
  <c r="L9099" i="7"/>
  <c r="M9099" i="7" s="1"/>
  <c r="L9100" i="7"/>
  <c r="M9100" i="7" s="1"/>
  <c r="L9101" i="7"/>
  <c r="M9101" i="7" s="1"/>
  <c r="L9102" i="7"/>
  <c r="M9102" i="7" s="1"/>
  <c r="L9103" i="7"/>
  <c r="M9103" i="7" s="1"/>
  <c r="L9104" i="7"/>
  <c r="M9104" i="7" s="1"/>
  <c r="L9105" i="7"/>
  <c r="M9105" i="7" s="1"/>
  <c r="L9106" i="7"/>
  <c r="M9106" i="7" s="1"/>
  <c r="L9107" i="7"/>
  <c r="M9107" i="7" s="1"/>
  <c r="L9108" i="7"/>
  <c r="M9108" i="7" s="1"/>
  <c r="L9109" i="7"/>
  <c r="M9109" i="7" s="1"/>
  <c r="L9110" i="7"/>
  <c r="M9110" i="7" s="1"/>
  <c r="L9111" i="7"/>
  <c r="M9111" i="7" s="1"/>
  <c r="L9112" i="7"/>
  <c r="M9112" i="7" s="1"/>
  <c r="L9113" i="7"/>
  <c r="M9113" i="7" s="1"/>
  <c r="L9114" i="7"/>
  <c r="M9114" i="7" s="1"/>
  <c r="L9115" i="7"/>
  <c r="M9115" i="7" s="1"/>
  <c r="L9116" i="7"/>
  <c r="M9116" i="7" s="1"/>
  <c r="L9117" i="7"/>
  <c r="M9117" i="7" s="1"/>
  <c r="L9118" i="7"/>
  <c r="M9118" i="7" s="1"/>
  <c r="L9119" i="7"/>
  <c r="M9119" i="7" s="1"/>
  <c r="L9120" i="7"/>
  <c r="M9120" i="7" s="1"/>
  <c r="L9121" i="7"/>
  <c r="M9121" i="7" s="1"/>
  <c r="L9122" i="7"/>
  <c r="M9122" i="7" s="1"/>
  <c r="L9123" i="7"/>
  <c r="M9123" i="7" s="1"/>
  <c r="L9124" i="7"/>
  <c r="M9124" i="7" s="1"/>
  <c r="L9125" i="7"/>
  <c r="M9125" i="7" s="1"/>
  <c r="L9126" i="7"/>
  <c r="M9126" i="7" s="1"/>
  <c r="L9127" i="7"/>
  <c r="M9127" i="7" s="1"/>
  <c r="L9128" i="7"/>
  <c r="M9128" i="7" s="1"/>
  <c r="L9129" i="7"/>
  <c r="M9129" i="7" s="1"/>
  <c r="L9130" i="7"/>
  <c r="M9130" i="7" s="1"/>
  <c r="L9131" i="7"/>
  <c r="M9131" i="7" s="1"/>
  <c r="L9132" i="7"/>
  <c r="M9132" i="7" s="1"/>
  <c r="L9133" i="7"/>
  <c r="M9133" i="7" s="1"/>
  <c r="L9134" i="7"/>
  <c r="M9134" i="7" s="1"/>
  <c r="L9135" i="7"/>
  <c r="M9135" i="7" s="1"/>
  <c r="L9136" i="7"/>
  <c r="M9136" i="7" s="1"/>
  <c r="L9137" i="7"/>
  <c r="M9137" i="7" s="1"/>
  <c r="L9138" i="7"/>
  <c r="M9138" i="7" s="1"/>
  <c r="L9139" i="7"/>
  <c r="M9139" i="7" s="1"/>
  <c r="L9140" i="7"/>
  <c r="M9140" i="7" s="1"/>
  <c r="L9141" i="7"/>
  <c r="M9141" i="7" s="1"/>
  <c r="L9142" i="7"/>
  <c r="M9142" i="7" s="1"/>
  <c r="L9143" i="7"/>
  <c r="M9143" i="7" s="1"/>
  <c r="L9144" i="7"/>
  <c r="M9144" i="7" s="1"/>
  <c r="L9145" i="7"/>
  <c r="M9145" i="7" s="1"/>
  <c r="L9146" i="7"/>
  <c r="M9146" i="7" s="1"/>
  <c r="L9147" i="7"/>
  <c r="M9147" i="7" s="1"/>
  <c r="L9148" i="7"/>
  <c r="M9148" i="7" s="1"/>
  <c r="L9149" i="7"/>
  <c r="M9149" i="7" s="1"/>
  <c r="L9150" i="7"/>
  <c r="M9150" i="7" s="1"/>
  <c r="L9151" i="7"/>
  <c r="M9151" i="7" s="1"/>
  <c r="L9152" i="7"/>
  <c r="M9152" i="7" s="1"/>
  <c r="L9153" i="7"/>
  <c r="M9153" i="7" s="1"/>
  <c r="L9154" i="7"/>
  <c r="M9154" i="7" s="1"/>
  <c r="L9155" i="7"/>
  <c r="M9155" i="7" s="1"/>
  <c r="L9156" i="7"/>
  <c r="M9156" i="7" s="1"/>
  <c r="L9157" i="7"/>
  <c r="M9157" i="7" s="1"/>
  <c r="L9158" i="7"/>
  <c r="M9158" i="7" s="1"/>
  <c r="L9159" i="7"/>
  <c r="M9159" i="7" s="1"/>
  <c r="L9160" i="7"/>
  <c r="M9160" i="7" s="1"/>
  <c r="L9161" i="7"/>
  <c r="M9161" i="7" s="1"/>
  <c r="L9162" i="7"/>
  <c r="M9162" i="7" s="1"/>
  <c r="L9163" i="7"/>
  <c r="M9163" i="7" s="1"/>
  <c r="L9164" i="7"/>
  <c r="M9164" i="7" s="1"/>
  <c r="L9165" i="7"/>
  <c r="M9165" i="7" s="1"/>
  <c r="L9166" i="7"/>
  <c r="M9166" i="7" s="1"/>
  <c r="L9167" i="7"/>
  <c r="M9167" i="7" s="1"/>
  <c r="L9168" i="7"/>
  <c r="M9168" i="7" s="1"/>
  <c r="L9169" i="7"/>
  <c r="M9169" i="7" s="1"/>
  <c r="L9170" i="7"/>
  <c r="M9170" i="7" s="1"/>
  <c r="L9171" i="7"/>
  <c r="M9171" i="7" s="1"/>
  <c r="L9172" i="7"/>
  <c r="M9172" i="7" s="1"/>
  <c r="L9173" i="7"/>
  <c r="M9173" i="7" s="1"/>
  <c r="L9174" i="7"/>
  <c r="M9174" i="7" s="1"/>
  <c r="L9175" i="7"/>
  <c r="M9175" i="7" s="1"/>
  <c r="L9176" i="7"/>
  <c r="M9176" i="7" s="1"/>
  <c r="L9177" i="7"/>
  <c r="M9177" i="7" s="1"/>
  <c r="L9178" i="7"/>
  <c r="M9178" i="7" s="1"/>
  <c r="L9179" i="7"/>
  <c r="M9179" i="7" s="1"/>
  <c r="L9180" i="7"/>
  <c r="M9180" i="7" s="1"/>
  <c r="L9181" i="7"/>
  <c r="M9181" i="7" s="1"/>
  <c r="L9182" i="7"/>
  <c r="M9182" i="7" s="1"/>
  <c r="L9183" i="7"/>
  <c r="M9183" i="7" s="1"/>
  <c r="L9184" i="7"/>
  <c r="M9184" i="7" s="1"/>
  <c r="L9185" i="7"/>
  <c r="M9185" i="7" s="1"/>
  <c r="L9186" i="7"/>
  <c r="M9186" i="7" s="1"/>
  <c r="L9187" i="7"/>
  <c r="M9187" i="7" s="1"/>
  <c r="L9188" i="7"/>
  <c r="M9188" i="7" s="1"/>
  <c r="L9189" i="7"/>
  <c r="M9189" i="7" s="1"/>
  <c r="L9190" i="7"/>
  <c r="M9190" i="7" s="1"/>
  <c r="L9191" i="7"/>
  <c r="M9191" i="7" s="1"/>
  <c r="L9192" i="7"/>
  <c r="M9192" i="7" s="1"/>
  <c r="L9193" i="7"/>
  <c r="M9193" i="7" s="1"/>
  <c r="L9194" i="7"/>
  <c r="M9194" i="7" s="1"/>
  <c r="L9195" i="7"/>
  <c r="M9195" i="7" s="1"/>
  <c r="L9196" i="7"/>
  <c r="M9196" i="7" s="1"/>
  <c r="L9197" i="7"/>
  <c r="M9197" i="7" s="1"/>
  <c r="L9198" i="7"/>
  <c r="M9198" i="7" s="1"/>
  <c r="L9199" i="7"/>
  <c r="M9199" i="7" s="1"/>
  <c r="L9200" i="7"/>
  <c r="M9200" i="7" s="1"/>
  <c r="L9201" i="7"/>
  <c r="M9201" i="7" s="1"/>
  <c r="L9202" i="7"/>
  <c r="M9202" i="7" s="1"/>
  <c r="L9203" i="7"/>
  <c r="M9203" i="7" s="1"/>
  <c r="L9204" i="7"/>
  <c r="M9204" i="7" s="1"/>
  <c r="L9205" i="7"/>
  <c r="M9205" i="7" s="1"/>
  <c r="L9206" i="7"/>
  <c r="M9206" i="7" s="1"/>
  <c r="L9207" i="7"/>
  <c r="M9207" i="7" s="1"/>
  <c r="L9208" i="7"/>
  <c r="M9208" i="7" s="1"/>
  <c r="L9209" i="7"/>
  <c r="M9209" i="7" s="1"/>
  <c r="L9210" i="7"/>
  <c r="M9210" i="7" s="1"/>
  <c r="L9211" i="7"/>
  <c r="M9211" i="7" s="1"/>
  <c r="L9212" i="7"/>
  <c r="M9212" i="7" s="1"/>
  <c r="L9213" i="7"/>
  <c r="M9213" i="7" s="1"/>
  <c r="L9214" i="7"/>
  <c r="M9214" i="7" s="1"/>
  <c r="L9215" i="7"/>
  <c r="M9215" i="7" s="1"/>
  <c r="L9216" i="7"/>
  <c r="M9216" i="7" s="1"/>
  <c r="L9217" i="7"/>
  <c r="M9217" i="7" s="1"/>
  <c r="L9218" i="7"/>
  <c r="M9218" i="7" s="1"/>
  <c r="L9219" i="7"/>
  <c r="M9219" i="7" s="1"/>
  <c r="L9220" i="7"/>
  <c r="M9220" i="7" s="1"/>
  <c r="L9221" i="7"/>
  <c r="M9221" i="7" s="1"/>
  <c r="L9222" i="7"/>
  <c r="M9222" i="7" s="1"/>
  <c r="L9223" i="7"/>
  <c r="M9223" i="7" s="1"/>
  <c r="L9224" i="7"/>
  <c r="M9224" i="7" s="1"/>
  <c r="L9225" i="7"/>
  <c r="M9225" i="7" s="1"/>
  <c r="L9226" i="7"/>
  <c r="M9226" i="7" s="1"/>
  <c r="L9227" i="7"/>
  <c r="M9227" i="7" s="1"/>
  <c r="L9228" i="7"/>
  <c r="M9228" i="7" s="1"/>
  <c r="L9229" i="7"/>
  <c r="M9229" i="7" s="1"/>
  <c r="L9230" i="7"/>
  <c r="M9230" i="7" s="1"/>
  <c r="L9231" i="7"/>
  <c r="M9231" i="7" s="1"/>
  <c r="L9232" i="7"/>
  <c r="M9232" i="7" s="1"/>
  <c r="L9233" i="7"/>
  <c r="M9233" i="7" s="1"/>
  <c r="L9234" i="7"/>
  <c r="M9234" i="7" s="1"/>
  <c r="L9235" i="7"/>
  <c r="M9235" i="7" s="1"/>
  <c r="L9236" i="7"/>
  <c r="M9236" i="7" s="1"/>
  <c r="L9237" i="7"/>
  <c r="M9237" i="7" s="1"/>
  <c r="L9238" i="7"/>
  <c r="M9238" i="7" s="1"/>
  <c r="L9239" i="7"/>
  <c r="M9239" i="7" s="1"/>
  <c r="L9240" i="7"/>
  <c r="M9240" i="7" s="1"/>
  <c r="L9241" i="7"/>
  <c r="M9241" i="7" s="1"/>
  <c r="L9242" i="7"/>
  <c r="M9242" i="7" s="1"/>
  <c r="L9243" i="7"/>
  <c r="M9243" i="7" s="1"/>
  <c r="L9244" i="7"/>
  <c r="M9244" i="7" s="1"/>
  <c r="L9245" i="7"/>
  <c r="M9245" i="7" s="1"/>
  <c r="L9246" i="7"/>
  <c r="M9246" i="7" s="1"/>
  <c r="L9247" i="7"/>
  <c r="M9247" i="7" s="1"/>
  <c r="L9248" i="7"/>
  <c r="M9248" i="7" s="1"/>
  <c r="L9249" i="7"/>
  <c r="M9249" i="7" s="1"/>
  <c r="L9250" i="7"/>
  <c r="M9250" i="7" s="1"/>
  <c r="L9251" i="7"/>
  <c r="M9251" i="7" s="1"/>
  <c r="L9252" i="7"/>
  <c r="M9252" i="7" s="1"/>
  <c r="L9253" i="7"/>
  <c r="M9253" i="7" s="1"/>
  <c r="L9254" i="7"/>
  <c r="M9254" i="7" s="1"/>
  <c r="L9255" i="7"/>
  <c r="M9255" i="7" s="1"/>
  <c r="L9256" i="7"/>
  <c r="M9256" i="7" s="1"/>
  <c r="L9257" i="7"/>
  <c r="M9257" i="7" s="1"/>
  <c r="L9258" i="7"/>
  <c r="M9258" i="7" s="1"/>
  <c r="L9259" i="7"/>
  <c r="M9259" i="7" s="1"/>
  <c r="L9260" i="7"/>
  <c r="M9260" i="7" s="1"/>
  <c r="L9261" i="7"/>
  <c r="M9261" i="7" s="1"/>
  <c r="L9262" i="7"/>
  <c r="M9262" i="7" s="1"/>
  <c r="L9263" i="7"/>
  <c r="M9263" i="7" s="1"/>
  <c r="L9264" i="7"/>
  <c r="M9264" i="7" s="1"/>
  <c r="L9265" i="7"/>
  <c r="M9265" i="7" s="1"/>
  <c r="L9266" i="7"/>
  <c r="M9266" i="7" s="1"/>
  <c r="L9267" i="7"/>
  <c r="M9267" i="7" s="1"/>
  <c r="L9268" i="7"/>
  <c r="M9268" i="7" s="1"/>
  <c r="L9269" i="7"/>
  <c r="M9269" i="7" s="1"/>
  <c r="L9270" i="7"/>
  <c r="M9270" i="7" s="1"/>
  <c r="L9271" i="7"/>
  <c r="M9271" i="7" s="1"/>
  <c r="L9272" i="7"/>
  <c r="M9272" i="7" s="1"/>
  <c r="L9273" i="7"/>
  <c r="M9273" i="7" s="1"/>
  <c r="L9274" i="7"/>
  <c r="M9274" i="7" s="1"/>
  <c r="L9275" i="7"/>
  <c r="M9275" i="7" s="1"/>
  <c r="L9276" i="7"/>
  <c r="M9276" i="7" s="1"/>
  <c r="L9277" i="7"/>
  <c r="M9277" i="7" s="1"/>
  <c r="L9278" i="7"/>
  <c r="M9278" i="7" s="1"/>
  <c r="L9279" i="7"/>
  <c r="M9279" i="7" s="1"/>
  <c r="L9280" i="7"/>
  <c r="M9280" i="7" s="1"/>
  <c r="L9281" i="7"/>
  <c r="M9281" i="7" s="1"/>
  <c r="L9282" i="7"/>
  <c r="M9282" i="7" s="1"/>
  <c r="L9283" i="7"/>
  <c r="M9283" i="7" s="1"/>
  <c r="L9284" i="7"/>
  <c r="M9284" i="7" s="1"/>
  <c r="L9285" i="7"/>
  <c r="M9285" i="7" s="1"/>
  <c r="L9286" i="7"/>
  <c r="M9286" i="7" s="1"/>
  <c r="L9287" i="7"/>
  <c r="M9287" i="7" s="1"/>
  <c r="L9288" i="7"/>
  <c r="M9288" i="7" s="1"/>
  <c r="L9289" i="7"/>
  <c r="M9289" i="7" s="1"/>
  <c r="L9290" i="7"/>
  <c r="M9290" i="7" s="1"/>
  <c r="L9291" i="7"/>
  <c r="M9291" i="7" s="1"/>
  <c r="L9292" i="7"/>
  <c r="M9292" i="7" s="1"/>
  <c r="L9293" i="7"/>
  <c r="M9293" i="7" s="1"/>
  <c r="L9294" i="7"/>
  <c r="L9295" i="7"/>
  <c r="M9295" i="7" s="1"/>
  <c r="L9296" i="7"/>
  <c r="M9296" i="7" s="1"/>
  <c r="L9297" i="7"/>
  <c r="M9297" i="7" s="1"/>
  <c r="L9298" i="7"/>
  <c r="M9298" i="7" s="1"/>
  <c r="L9299" i="7"/>
  <c r="M9299" i="7" s="1"/>
  <c r="L9300" i="7"/>
  <c r="M9300" i="7" s="1"/>
  <c r="L9301" i="7"/>
  <c r="M9301" i="7" s="1"/>
  <c r="L9302" i="7"/>
  <c r="M9302" i="7" s="1"/>
  <c r="L9303" i="7"/>
  <c r="M9303" i="7" s="1"/>
  <c r="L9304" i="7"/>
  <c r="M9304" i="7" s="1"/>
  <c r="L9305" i="7"/>
  <c r="M9305" i="7" s="1"/>
  <c r="L9306" i="7"/>
  <c r="M9306" i="7" s="1"/>
  <c r="L9307" i="7"/>
  <c r="M9307" i="7" s="1"/>
  <c r="L9308" i="7"/>
  <c r="M9308" i="7" s="1"/>
  <c r="L9309" i="7"/>
  <c r="M9309" i="7" s="1"/>
  <c r="L9310" i="7"/>
  <c r="M9310" i="7" s="1"/>
  <c r="L9311" i="7"/>
  <c r="M9311" i="7" s="1"/>
  <c r="L9312" i="7"/>
  <c r="M9312" i="7" s="1"/>
  <c r="L9313" i="7"/>
  <c r="M9313" i="7" s="1"/>
  <c r="L9314" i="7"/>
  <c r="M9314" i="7" s="1"/>
  <c r="L9315" i="7"/>
  <c r="M9315" i="7" s="1"/>
  <c r="L9316" i="7"/>
  <c r="M9316" i="7" s="1"/>
  <c r="L9317" i="7"/>
  <c r="M9317" i="7" s="1"/>
  <c r="L9318" i="7"/>
  <c r="M9318" i="7" s="1"/>
  <c r="L9319" i="7"/>
  <c r="M9319" i="7" s="1"/>
  <c r="L9320" i="7"/>
  <c r="M9320" i="7" s="1"/>
  <c r="L9321" i="7"/>
  <c r="M9321" i="7" s="1"/>
  <c r="L9322" i="7"/>
  <c r="M9322" i="7" s="1"/>
  <c r="L9323" i="7"/>
  <c r="M9323" i="7" s="1"/>
  <c r="L9324" i="7"/>
  <c r="M9324" i="7" s="1"/>
  <c r="L9325" i="7"/>
  <c r="M9325" i="7" s="1"/>
  <c r="L9326" i="7"/>
  <c r="M9326" i="7" s="1"/>
  <c r="L9327" i="7"/>
  <c r="M9327" i="7" s="1"/>
  <c r="L9328" i="7"/>
  <c r="M9328" i="7" s="1"/>
  <c r="L9329" i="7"/>
  <c r="M9329" i="7" s="1"/>
  <c r="L9330" i="7"/>
  <c r="M9330" i="7" s="1"/>
  <c r="L9331" i="7"/>
  <c r="M9331" i="7" s="1"/>
  <c r="L9332" i="7"/>
  <c r="M9332" i="7" s="1"/>
  <c r="L9333" i="7"/>
  <c r="M9333" i="7" s="1"/>
  <c r="L9334" i="7"/>
  <c r="M9334" i="7" s="1"/>
  <c r="L9335" i="7"/>
  <c r="M9335" i="7" s="1"/>
  <c r="L9336" i="7"/>
  <c r="M9336" i="7" s="1"/>
  <c r="L9337" i="7"/>
  <c r="M9337" i="7" s="1"/>
  <c r="L9338" i="7"/>
  <c r="M9338" i="7" s="1"/>
  <c r="L9339" i="7"/>
  <c r="M9339" i="7" s="1"/>
  <c r="L9340" i="7"/>
  <c r="M9340" i="7" s="1"/>
  <c r="L9341" i="7"/>
  <c r="M9341" i="7" s="1"/>
  <c r="L9342" i="7"/>
  <c r="M9342" i="7" s="1"/>
  <c r="L9343" i="7"/>
  <c r="M9343" i="7" s="1"/>
  <c r="L9344" i="7"/>
  <c r="M9344" i="7" s="1"/>
  <c r="L9345" i="7"/>
  <c r="M9345" i="7" s="1"/>
  <c r="L9346" i="7"/>
  <c r="M9346" i="7" s="1"/>
  <c r="L9347" i="7"/>
  <c r="M9347" i="7" s="1"/>
  <c r="L9348" i="7"/>
  <c r="M9348" i="7" s="1"/>
  <c r="L9349" i="7"/>
  <c r="M9349" i="7" s="1"/>
  <c r="L9350" i="7"/>
  <c r="M9350" i="7" s="1"/>
  <c r="L9351" i="7"/>
  <c r="M9351" i="7" s="1"/>
  <c r="L9352" i="7"/>
  <c r="M9352" i="7" s="1"/>
  <c r="L9353" i="7"/>
  <c r="M9353" i="7" s="1"/>
  <c r="L9354" i="7"/>
  <c r="M9354" i="7" s="1"/>
  <c r="L9355" i="7"/>
  <c r="M9355" i="7" s="1"/>
  <c r="L9356" i="7"/>
  <c r="M9356" i="7" s="1"/>
  <c r="L9357" i="7"/>
  <c r="M9357" i="7" s="1"/>
  <c r="L9358" i="7"/>
  <c r="M9358" i="7" s="1"/>
  <c r="L9359" i="7"/>
  <c r="M9359" i="7" s="1"/>
  <c r="L9360" i="7"/>
  <c r="M9360" i="7" s="1"/>
  <c r="L9361" i="7"/>
  <c r="M9361" i="7" s="1"/>
  <c r="L9362" i="7"/>
  <c r="M9362" i="7" s="1"/>
  <c r="L9363" i="7"/>
  <c r="M9363" i="7" s="1"/>
  <c r="L9364" i="7"/>
  <c r="M9364" i="7" s="1"/>
  <c r="L9365" i="7"/>
  <c r="M9365" i="7" s="1"/>
  <c r="L9366" i="7"/>
  <c r="M9366" i="7" s="1"/>
  <c r="L9367" i="7"/>
  <c r="M9367" i="7" s="1"/>
  <c r="L9368" i="7"/>
  <c r="M9368" i="7" s="1"/>
  <c r="L9369" i="7"/>
  <c r="M9369" i="7" s="1"/>
  <c r="L9370" i="7"/>
  <c r="M9370" i="7" s="1"/>
  <c r="L9371" i="7"/>
  <c r="M9371" i="7" s="1"/>
  <c r="L9372" i="7"/>
  <c r="M9372" i="7" s="1"/>
  <c r="L9373" i="7"/>
  <c r="M9373" i="7" s="1"/>
  <c r="L9374" i="7"/>
  <c r="M9374" i="7" s="1"/>
  <c r="L9375" i="7"/>
  <c r="M9375" i="7" s="1"/>
  <c r="L9376" i="7"/>
  <c r="M9376" i="7" s="1"/>
  <c r="L9377" i="7"/>
  <c r="M9377" i="7" s="1"/>
  <c r="L9378" i="7"/>
  <c r="M9378" i="7" s="1"/>
  <c r="L9379" i="7"/>
  <c r="M9379" i="7" s="1"/>
  <c r="L9380" i="7"/>
  <c r="M9380" i="7" s="1"/>
  <c r="L9381" i="7"/>
  <c r="M9381" i="7" s="1"/>
  <c r="L9382" i="7"/>
  <c r="M9382" i="7" s="1"/>
  <c r="L9383" i="7"/>
  <c r="M9383" i="7" s="1"/>
  <c r="L9384" i="7"/>
  <c r="M9384" i="7" s="1"/>
  <c r="L9385" i="7"/>
  <c r="M9385" i="7" s="1"/>
  <c r="L9386" i="7"/>
  <c r="M9386" i="7" s="1"/>
  <c r="L9387" i="7"/>
  <c r="M9387" i="7" s="1"/>
  <c r="L9388" i="7"/>
  <c r="M9388" i="7" s="1"/>
  <c r="L9389" i="7"/>
  <c r="M9389" i="7" s="1"/>
  <c r="L9390" i="7"/>
  <c r="M9390" i="7" s="1"/>
  <c r="L9391" i="7"/>
  <c r="M9391" i="7" s="1"/>
  <c r="L9392" i="7"/>
  <c r="M9392" i="7" s="1"/>
  <c r="L9393" i="7"/>
  <c r="M9393" i="7" s="1"/>
  <c r="L9394" i="7"/>
  <c r="M9394" i="7" s="1"/>
  <c r="L9395" i="7"/>
  <c r="M9395" i="7" s="1"/>
  <c r="L9396" i="7"/>
  <c r="M9396" i="7" s="1"/>
  <c r="L9397" i="7"/>
  <c r="M9397" i="7" s="1"/>
  <c r="L9398" i="7"/>
  <c r="M9398" i="7" s="1"/>
  <c r="L9399" i="7"/>
  <c r="M9399" i="7" s="1"/>
  <c r="L9400" i="7"/>
  <c r="M9400" i="7" s="1"/>
  <c r="L9401" i="7"/>
  <c r="M9401" i="7" s="1"/>
  <c r="L9402" i="7"/>
  <c r="M9402" i="7" s="1"/>
  <c r="L9403" i="7"/>
  <c r="M9403" i="7" s="1"/>
  <c r="L9404" i="7"/>
  <c r="M9404" i="7" s="1"/>
  <c r="L9405" i="7"/>
  <c r="M9405" i="7" s="1"/>
  <c r="L9406" i="7"/>
  <c r="M9406" i="7" s="1"/>
  <c r="L9407" i="7"/>
  <c r="M9407" i="7" s="1"/>
  <c r="L9408" i="7"/>
  <c r="M9408" i="7" s="1"/>
  <c r="L9409" i="7"/>
  <c r="M9409" i="7" s="1"/>
  <c r="L9410" i="7"/>
  <c r="M9410" i="7" s="1"/>
  <c r="L9411" i="7"/>
  <c r="M9411" i="7" s="1"/>
  <c r="L9412" i="7"/>
  <c r="M9412" i="7" s="1"/>
  <c r="L9413" i="7"/>
  <c r="M9413" i="7" s="1"/>
  <c r="L9414" i="7"/>
  <c r="M9414" i="7" s="1"/>
  <c r="L9415" i="7"/>
  <c r="M9415" i="7" s="1"/>
  <c r="L9416" i="7"/>
  <c r="M9416" i="7" s="1"/>
  <c r="L9417" i="7"/>
  <c r="M9417" i="7" s="1"/>
  <c r="L9418" i="7"/>
  <c r="M9418" i="7" s="1"/>
  <c r="L9419" i="7"/>
  <c r="M9419" i="7" s="1"/>
  <c r="L9420" i="7"/>
  <c r="M9420" i="7" s="1"/>
  <c r="L9421" i="7"/>
  <c r="M9421" i="7" s="1"/>
  <c r="L9422" i="7"/>
  <c r="M9422" i="7" s="1"/>
  <c r="L9423" i="7"/>
  <c r="M9423" i="7" s="1"/>
  <c r="L9424" i="7"/>
  <c r="M9424" i="7" s="1"/>
  <c r="L9425" i="7"/>
  <c r="M9425" i="7" s="1"/>
  <c r="L9426" i="7"/>
  <c r="M9426" i="7" s="1"/>
  <c r="L9427" i="7"/>
  <c r="M9427" i="7" s="1"/>
  <c r="L9428" i="7"/>
  <c r="M9428" i="7" s="1"/>
  <c r="L9429" i="7"/>
  <c r="M9429" i="7" s="1"/>
  <c r="L9430" i="7"/>
  <c r="M9430" i="7" s="1"/>
  <c r="L9431" i="7"/>
  <c r="M9431" i="7" s="1"/>
  <c r="L9432" i="7"/>
  <c r="M9432" i="7" s="1"/>
  <c r="L9433" i="7"/>
  <c r="M9433" i="7" s="1"/>
  <c r="L9434" i="7"/>
  <c r="M9434" i="7" s="1"/>
  <c r="L9435" i="7"/>
  <c r="M9435" i="7" s="1"/>
  <c r="L9436" i="7"/>
  <c r="M9436" i="7" s="1"/>
  <c r="L9437" i="7"/>
  <c r="M9437" i="7" s="1"/>
  <c r="L9438" i="7"/>
  <c r="M9438" i="7" s="1"/>
  <c r="L9439" i="7"/>
  <c r="M9439" i="7" s="1"/>
  <c r="L9440" i="7"/>
  <c r="M9440" i="7" s="1"/>
  <c r="L9441" i="7"/>
  <c r="M9441" i="7" s="1"/>
  <c r="L9442" i="7"/>
  <c r="M9442" i="7" s="1"/>
  <c r="L9443" i="7"/>
  <c r="M9443" i="7" s="1"/>
  <c r="L9444" i="7"/>
  <c r="M9444" i="7" s="1"/>
  <c r="L9445" i="7"/>
  <c r="M9445" i="7" s="1"/>
  <c r="L9446" i="7"/>
  <c r="M9446" i="7" s="1"/>
  <c r="L9447" i="7"/>
  <c r="M9447" i="7" s="1"/>
  <c r="L9448" i="7"/>
  <c r="M9448" i="7" s="1"/>
  <c r="L9449" i="7"/>
  <c r="M9449" i="7" s="1"/>
  <c r="L9450" i="7"/>
  <c r="M9450" i="7" s="1"/>
  <c r="L9451" i="7"/>
  <c r="M9451" i="7" s="1"/>
  <c r="L9452" i="7"/>
  <c r="M9452" i="7" s="1"/>
  <c r="L9453" i="7"/>
  <c r="M9453" i="7" s="1"/>
  <c r="L9454" i="7"/>
  <c r="M9454" i="7" s="1"/>
  <c r="L9455" i="7"/>
  <c r="M9455" i="7" s="1"/>
  <c r="L9456" i="7"/>
  <c r="M9456" i="7" s="1"/>
  <c r="L9457" i="7"/>
  <c r="M9457" i="7" s="1"/>
  <c r="L9458" i="7"/>
  <c r="M9458" i="7" s="1"/>
  <c r="L9459" i="7"/>
  <c r="M9459" i="7" s="1"/>
  <c r="L9460" i="7"/>
  <c r="M9460" i="7" s="1"/>
  <c r="L9461" i="7"/>
  <c r="M9461" i="7" s="1"/>
  <c r="L9462" i="7"/>
  <c r="M9462" i="7" s="1"/>
  <c r="L9463" i="7"/>
  <c r="M9463" i="7" s="1"/>
  <c r="L9464" i="7"/>
  <c r="M9464" i="7" s="1"/>
  <c r="L9465" i="7"/>
  <c r="M9465" i="7" s="1"/>
  <c r="L9466" i="7"/>
  <c r="M9466" i="7" s="1"/>
  <c r="L9467" i="7"/>
  <c r="M9467" i="7" s="1"/>
  <c r="L9468" i="7"/>
  <c r="M9468" i="7" s="1"/>
  <c r="L9469" i="7"/>
  <c r="M9469" i="7" s="1"/>
  <c r="L9470" i="7"/>
  <c r="M9470" i="7" s="1"/>
  <c r="L9471" i="7"/>
  <c r="M9471" i="7" s="1"/>
  <c r="L9472" i="7"/>
  <c r="M9472" i="7" s="1"/>
  <c r="L9473" i="7"/>
  <c r="M9473" i="7" s="1"/>
  <c r="L9474" i="7"/>
  <c r="M9474" i="7" s="1"/>
  <c r="L9475" i="7"/>
  <c r="M9475" i="7" s="1"/>
  <c r="L9476" i="7"/>
  <c r="M9476" i="7" s="1"/>
  <c r="L9477" i="7"/>
  <c r="M9477" i="7" s="1"/>
  <c r="L9478" i="7"/>
  <c r="M9478" i="7" s="1"/>
  <c r="L9479" i="7"/>
  <c r="M9479" i="7" s="1"/>
  <c r="L9480" i="7"/>
  <c r="M9480" i="7" s="1"/>
  <c r="L9481" i="7"/>
  <c r="M9481" i="7" s="1"/>
  <c r="L9482" i="7"/>
  <c r="M9482" i="7" s="1"/>
  <c r="L9483" i="7"/>
  <c r="M9483" i="7" s="1"/>
  <c r="L9484" i="7"/>
  <c r="M9484" i="7" s="1"/>
  <c r="L9485" i="7"/>
  <c r="M9485" i="7" s="1"/>
  <c r="L9486" i="7"/>
  <c r="M9486" i="7" s="1"/>
  <c r="L9487" i="7"/>
  <c r="M9487" i="7" s="1"/>
  <c r="L9488" i="7"/>
  <c r="M9488" i="7" s="1"/>
  <c r="L9489" i="7"/>
  <c r="M9489" i="7" s="1"/>
  <c r="L9490" i="7"/>
  <c r="M9490" i="7" s="1"/>
  <c r="L9491" i="7"/>
  <c r="M9491" i="7" s="1"/>
  <c r="L9492" i="7"/>
  <c r="M9492" i="7" s="1"/>
  <c r="L9493" i="7"/>
  <c r="M9493" i="7" s="1"/>
  <c r="L9494" i="7"/>
  <c r="M9494" i="7" s="1"/>
  <c r="L9495" i="7"/>
  <c r="M9495" i="7" s="1"/>
  <c r="L9496" i="7"/>
  <c r="M9496" i="7" s="1"/>
  <c r="L9497" i="7"/>
  <c r="M9497" i="7" s="1"/>
  <c r="L9498" i="7"/>
  <c r="M9498" i="7" s="1"/>
  <c r="L9499" i="7"/>
  <c r="M9499" i="7" s="1"/>
  <c r="L9500" i="7"/>
  <c r="M9500" i="7" s="1"/>
  <c r="L9501" i="7"/>
  <c r="M9501" i="7" s="1"/>
  <c r="L9502" i="7"/>
  <c r="M9502" i="7" s="1"/>
  <c r="L9503" i="7"/>
  <c r="M9503" i="7" s="1"/>
  <c r="L9504" i="7"/>
  <c r="M9504" i="7" s="1"/>
  <c r="L9505" i="7"/>
  <c r="M9505" i="7" s="1"/>
  <c r="L9506" i="7"/>
  <c r="M9506" i="7" s="1"/>
  <c r="L9507" i="7"/>
  <c r="M9507" i="7" s="1"/>
  <c r="L9508" i="7"/>
  <c r="M9508" i="7" s="1"/>
  <c r="L9509" i="7"/>
  <c r="M9509" i="7" s="1"/>
  <c r="L9510" i="7"/>
  <c r="M9510" i="7" s="1"/>
  <c r="L9511" i="7"/>
  <c r="M9511" i="7" s="1"/>
  <c r="L9512" i="7"/>
  <c r="M9512" i="7" s="1"/>
  <c r="L9513" i="7"/>
  <c r="M9513" i="7" s="1"/>
  <c r="L9514" i="7"/>
  <c r="M9514" i="7" s="1"/>
  <c r="L9515" i="7"/>
  <c r="M9515" i="7" s="1"/>
  <c r="L9516" i="7"/>
  <c r="M9516" i="7" s="1"/>
  <c r="L9517" i="7"/>
  <c r="M9517" i="7" s="1"/>
  <c r="L9518" i="7"/>
  <c r="M9518" i="7" s="1"/>
  <c r="L9519" i="7"/>
  <c r="M9519" i="7" s="1"/>
  <c r="L9520" i="7"/>
  <c r="M9520" i="7" s="1"/>
  <c r="L9521" i="7"/>
  <c r="M9521" i="7" s="1"/>
  <c r="L9522" i="7"/>
  <c r="M9522" i="7" s="1"/>
  <c r="L9523" i="7"/>
  <c r="M9523" i="7" s="1"/>
  <c r="L9524" i="7"/>
  <c r="M9524" i="7" s="1"/>
  <c r="L9525" i="7"/>
  <c r="M9525" i="7" s="1"/>
  <c r="L9526" i="7"/>
  <c r="M9526" i="7" s="1"/>
  <c r="L9527" i="7"/>
  <c r="M9527" i="7" s="1"/>
  <c r="L9528" i="7"/>
  <c r="M9528" i="7" s="1"/>
  <c r="L9529" i="7"/>
  <c r="M9529" i="7" s="1"/>
  <c r="L9530" i="7"/>
  <c r="M9530" i="7" s="1"/>
  <c r="L9531" i="7"/>
  <c r="M9531" i="7" s="1"/>
  <c r="L9532" i="7"/>
  <c r="M9532" i="7" s="1"/>
  <c r="L9533" i="7"/>
  <c r="M9533" i="7" s="1"/>
  <c r="L9534" i="7"/>
  <c r="M9534" i="7" s="1"/>
  <c r="L9535" i="7"/>
  <c r="M9535" i="7" s="1"/>
  <c r="L9536" i="7"/>
  <c r="M9536" i="7" s="1"/>
  <c r="L9537" i="7"/>
  <c r="M9537" i="7" s="1"/>
  <c r="L9538" i="7"/>
  <c r="M9538" i="7" s="1"/>
  <c r="L9539" i="7"/>
  <c r="M9539" i="7" s="1"/>
  <c r="L9540" i="7"/>
  <c r="M9540" i="7" s="1"/>
  <c r="L9541" i="7"/>
  <c r="M9541" i="7" s="1"/>
  <c r="L9542" i="7"/>
  <c r="M9542" i="7" s="1"/>
  <c r="L9543" i="7"/>
  <c r="M9543" i="7" s="1"/>
  <c r="L9544" i="7"/>
  <c r="M9544" i="7" s="1"/>
  <c r="L9545" i="7"/>
  <c r="M9545" i="7" s="1"/>
  <c r="L9546" i="7"/>
  <c r="M9546" i="7" s="1"/>
  <c r="L9547" i="7"/>
  <c r="M9547" i="7" s="1"/>
  <c r="L9548" i="7"/>
  <c r="M9548" i="7" s="1"/>
  <c r="L9549" i="7"/>
  <c r="M9549" i="7" s="1"/>
  <c r="L9550" i="7"/>
  <c r="M9550" i="7" s="1"/>
  <c r="L9551" i="7"/>
  <c r="M9551" i="7" s="1"/>
  <c r="L9552" i="7"/>
  <c r="M9552" i="7" s="1"/>
  <c r="L9553" i="7"/>
  <c r="M9553" i="7" s="1"/>
  <c r="L9554" i="7"/>
  <c r="M9554" i="7" s="1"/>
  <c r="L9555" i="7"/>
  <c r="M9555" i="7" s="1"/>
  <c r="L9556" i="7"/>
  <c r="M9556" i="7" s="1"/>
  <c r="L9557" i="7"/>
  <c r="M9557" i="7" s="1"/>
  <c r="L9558" i="7"/>
  <c r="M9558" i="7" s="1"/>
  <c r="L9559" i="7"/>
  <c r="M9559" i="7" s="1"/>
  <c r="L9560" i="7"/>
  <c r="M9560" i="7" s="1"/>
  <c r="L9561" i="7"/>
  <c r="M9561" i="7" s="1"/>
  <c r="L9562" i="7"/>
  <c r="M9562" i="7" s="1"/>
  <c r="L9563" i="7"/>
  <c r="M9563" i="7" s="1"/>
  <c r="L9564" i="7"/>
  <c r="M9564" i="7" s="1"/>
  <c r="L9565" i="7"/>
  <c r="M9565" i="7" s="1"/>
  <c r="L9566" i="7"/>
  <c r="M9566" i="7" s="1"/>
  <c r="L9567" i="7"/>
  <c r="M9567" i="7" s="1"/>
  <c r="L9568" i="7"/>
  <c r="M9568" i="7" s="1"/>
  <c r="L9569" i="7"/>
  <c r="M9569" i="7" s="1"/>
  <c r="L9570" i="7"/>
  <c r="M9570" i="7" s="1"/>
  <c r="L9571" i="7"/>
  <c r="M9571" i="7" s="1"/>
  <c r="L9572" i="7"/>
  <c r="M9572" i="7" s="1"/>
  <c r="L9573" i="7"/>
  <c r="M9573" i="7" s="1"/>
  <c r="L9574" i="7"/>
  <c r="M9574" i="7" s="1"/>
  <c r="L9575" i="7"/>
  <c r="M9575" i="7" s="1"/>
  <c r="L9576" i="7"/>
  <c r="M9576" i="7" s="1"/>
  <c r="L9577" i="7"/>
  <c r="M9577" i="7" s="1"/>
  <c r="L9578" i="7"/>
  <c r="M9578" i="7" s="1"/>
  <c r="L9579" i="7"/>
  <c r="M9579" i="7" s="1"/>
  <c r="L9580" i="7"/>
  <c r="M9580" i="7" s="1"/>
  <c r="L9581" i="7"/>
  <c r="M9581" i="7" s="1"/>
  <c r="L9582" i="7"/>
  <c r="M9582" i="7" s="1"/>
  <c r="L9583" i="7"/>
  <c r="M9583" i="7" s="1"/>
  <c r="L9584" i="7"/>
  <c r="M9584" i="7" s="1"/>
  <c r="L9585" i="7"/>
  <c r="M9585" i="7" s="1"/>
  <c r="L9586" i="7"/>
  <c r="M9586" i="7" s="1"/>
  <c r="L9587" i="7"/>
  <c r="M9587" i="7" s="1"/>
  <c r="L9588" i="7"/>
  <c r="M9588" i="7" s="1"/>
  <c r="L9589" i="7"/>
  <c r="M9589" i="7" s="1"/>
  <c r="L9590" i="7"/>
  <c r="M9590" i="7" s="1"/>
  <c r="L9591" i="7"/>
  <c r="M9591" i="7" s="1"/>
  <c r="L9592" i="7"/>
  <c r="M9592" i="7" s="1"/>
  <c r="L9593" i="7"/>
  <c r="M9593" i="7" s="1"/>
  <c r="L9594" i="7"/>
  <c r="M9594" i="7" s="1"/>
  <c r="L9595" i="7"/>
  <c r="M9595" i="7" s="1"/>
  <c r="L9596" i="7"/>
  <c r="M9596" i="7" s="1"/>
  <c r="L9597" i="7"/>
  <c r="M9597" i="7" s="1"/>
  <c r="L9598" i="7"/>
  <c r="M9598" i="7" s="1"/>
  <c r="L9599" i="7"/>
  <c r="M9599" i="7" s="1"/>
  <c r="L9600" i="7"/>
  <c r="M9600" i="7" s="1"/>
  <c r="L9601" i="7"/>
  <c r="M9601" i="7" s="1"/>
  <c r="L9602" i="7"/>
  <c r="M9602" i="7" s="1"/>
  <c r="L9603" i="7"/>
  <c r="M9603" i="7" s="1"/>
  <c r="L9604" i="7"/>
  <c r="M9604" i="7" s="1"/>
  <c r="L9605" i="7"/>
  <c r="M9605" i="7" s="1"/>
  <c r="L9606" i="7"/>
  <c r="M9606" i="7" s="1"/>
  <c r="L9607" i="7"/>
  <c r="M9607" i="7" s="1"/>
  <c r="L9608" i="7"/>
  <c r="M9608" i="7" s="1"/>
  <c r="L9609" i="7"/>
  <c r="M9609" i="7" s="1"/>
  <c r="L9610" i="7"/>
  <c r="M9610" i="7" s="1"/>
  <c r="L9611" i="7"/>
  <c r="M9611" i="7" s="1"/>
  <c r="L9612" i="7"/>
  <c r="M9612" i="7" s="1"/>
  <c r="L9613" i="7"/>
  <c r="M9613" i="7" s="1"/>
  <c r="L9614" i="7"/>
  <c r="M9614" i="7" s="1"/>
  <c r="L9615" i="7"/>
  <c r="M9615" i="7" s="1"/>
  <c r="L9616" i="7"/>
  <c r="M9616" i="7" s="1"/>
  <c r="L9617" i="7"/>
  <c r="M9617" i="7" s="1"/>
  <c r="L9618" i="7"/>
  <c r="M9618" i="7" s="1"/>
  <c r="L9619" i="7"/>
  <c r="M9619" i="7" s="1"/>
  <c r="L9620" i="7"/>
  <c r="M9620" i="7" s="1"/>
  <c r="L9621" i="7"/>
  <c r="M9621" i="7" s="1"/>
  <c r="L9622" i="7"/>
  <c r="M9622" i="7" s="1"/>
  <c r="L9623" i="7"/>
  <c r="M9623" i="7" s="1"/>
  <c r="L9624" i="7"/>
  <c r="M9624" i="7" s="1"/>
  <c r="L9625" i="7"/>
  <c r="M9625" i="7" s="1"/>
  <c r="L9626" i="7"/>
  <c r="M9626" i="7" s="1"/>
  <c r="L9627" i="7"/>
  <c r="M9627" i="7" s="1"/>
  <c r="L9628" i="7"/>
  <c r="M9628" i="7" s="1"/>
  <c r="L9629" i="7"/>
  <c r="M9629" i="7" s="1"/>
  <c r="L9630" i="7"/>
  <c r="M9630" i="7" s="1"/>
  <c r="L9631" i="7"/>
  <c r="M9631" i="7" s="1"/>
  <c r="L9632" i="7"/>
  <c r="M9632" i="7" s="1"/>
  <c r="L9633" i="7"/>
  <c r="M9633" i="7" s="1"/>
  <c r="L9634" i="7"/>
  <c r="M9634" i="7" s="1"/>
  <c r="L9635" i="7"/>
  <c r="M9635" i="7" s="1"/>
  <c r="L9636" i="7"/>
  <c r="M9636" i="7" s="1"/>
  <c r="L9637" i="7"/>
  <c r="M9637" i="7" s="1"/>
  <c r="L9638" i="7"/>
  <c r="M9638" i="7" s="1"/>
  <c r="L9639" i="7"/>
  <c r="M9639" i="7" s="1"/>
  <c r="L9640" i="7"/>
  <c r="M9640" i="7" s="1"/>
  <c r="L9641" i="7"/>
  <c r="M9641" i="7" s="1"/>
  <c r="L9642" i="7"/>
  <c r="M9642" i="7" s="1"/>
  <c r="L9643" i="7"/>
  <c r="M9643" i="7" s="1"/>
  <c r="L9644" i="7"/>
  <c r="M9644" i="7" s="1"/>
  <c r="L9645" i="7"/>
  <c r="M9645" i="7" s="1"/>
  <c r="L9646" i="7"/>
  <c r="M9646" i="7" s="1"/>
  <c r="L9647" i="7"/>
  <c r="M9647" i="7" s="1"/>
  <c r="L9648" i="7"/>
  <c r="M9648" i="7" s="1"/>
  <c r="L9649" i="7"/>
  <c r="M9649" i="7" s="1"/>
  <c r="L9650" i="7"/>
  <c r="M9650" i="7" s="1"/>
  <c r="L9651" i="7"/>
  <c r="M9651" i="7" s="1"/>
  <c r="L9652" i="7"/>
  <c r="M9652" i="7" s="1"/>
  <c r="L9653" i="7"/>
  <c r="M9653" i="7" s="1"/>
  <c r="L9654" i="7"/>
  <c r="M9654" i="7" s="1"/>
  <c r="L9655" i="7"/>
  <c r="M9655" i="7" s="1"/>
  <c r="L9656" i="7"/>
  <c r="M9656" i="7" s="1"/>
  <c r="L9657" i="7"/>
  <c r="M9657" i="7" s="1"/>
  <c r="L9658" i="7"/>
  <c r="M9658" i="7" s="1"/>
  <c r="L9659" i="7"/>
  <c r="M9659" i="7" s="1"/>
  <c r="L9660" i="7"/>
  <c r="M9660" i="7" s="1"/>
  <c r="L9661" i="7"/>
  <c r="M9661" i="7" s="1"/>
  <c r="L9662" i="7"/>
  <c r="M9662" i="7" s="1"/>
  <c r="L9663" i="7"/>
  <c r="M9663" i="7" s="1"/>
  <c r="L9664" i="7"/>
  <c r="M9664" i="7" s="1"/>
  <c r="L9665" i="7"/>
  <c r="M9665" i="7" s="1"/>
  <c r="L9666" i="7"/>
  <c r="M9666" i="7" s="1"/>
  <c r="L9667" i="7"/>
  <c r="M9667" i="7" s="1"/>
  <c r="L9668" i="7"/>
  <c r="M9668" i="7" s="1"/>
  <c r="L9669" i="7"/>
  <c r="M9669" i="7" s="1"/>
  <c r="L9670" i="7"/>
  <c r="M9670" i="7" s="1"/>
  <c r="L9671" i="7"/>
  <c r="M9671" i="7" s="1"/>
  <c r="L9672" i="7"/>
  <c r="M9672" i="7" s="1"/>
  <c r="L9673" i="7"/>
  <c r="M9673" i="7" s="1"/>
  <c r="L9674" i="7"/>
  <c r="M9674" i="7" s="1"/>
  <c r="L9675" i="7"/>
  <c r="M9675" i="7" s="1"/>
  <c r="L9676" i="7"/>
  <c r="M9676" i="7" s="1"/>
  <c r="L9677" i="7"/>
  <c r="M9677" i="7" s="1"/>
  <c r="L9678" i="7"/>
  <c r="M9678" i="7" s="1"/>
  <c r="L9679" i="7"/>
  <c r="M9679" i="7" s="1"/>
  <c r="L9680" i="7"/>
  <c r="M9680" i="7" s="1"/>
  <c r="L9681" i="7"/>
  <c r="M9681" i="7" s="1"/>
  <c r="L9682" i="7"/>
  <c r="M9682" i="7" s="1"/>
  <c r="L9683" i="7"/>
  <c r="M9683" i="7" s="1"/>
  <c r="L9684" i="7"/>
  <c r="M9684" i="7" s="1"/>
  <c r="L9685" i="7"/>
  <c r="M9685" i="7" s="1"/>
  <c r="L9686" i="7"/>
  <c r="M9686" i="7" s="1"/>
  <c r="L9687" i="7"/>
  <c r="M9687" i="7" s="1"/>
  <c r="L9688" i="7"/>
  <c r="M9688" i="7" s="1"/>
  <c r="L9689" i="7"/>
  <c r="M9689" i="7" s="1"/>
  <c r="L9690" i="7"/>
  <c r="M9690" i="7" s="1"/>
  <c r="L9691" i="7"/>
  <c r="M9691" i="7" s="1"/>
  <c r="L9692" i="7"/>
  <c r="M9692" i="7" s="1"/>
  <c r="L9693" i="7"/>
  <c r="M9693" i="7" s="1"/>
  <c r="L9694" i="7"/>
  <c r="M9694" i="7" s="1"/>
  <c r="L9695" i="7"/>
  <c r="M9695" i="7" s="1"/>
  <c r="L9696" i="7"/>
  <c r="M9696" i="7" s="1"/>
  <c r="L9697" i="7"/>
  <c r="M9697" i="7" s="1"/>
  <c r="L9698" i="7"/>
  <c r="M9698" i="7" s="1"/>
  <c r="L9699" i="7"/>
  <c r="M9699" i="7" s="1"/>
  <c r="L9700" i="7"/>
  <c r="M9700" i="7" s="1"/>
  <c r="L9701" i="7"/>
  <c r="M9701" i="7" s="1"/>
  <c r="L9702" i="7"/>
  <c r="M9702" i="7" s="1"/>
  <c r="L9703" i="7"/>
  <c r="M9703" i="7" s="1"/>
  <c r="L9704" i="7"/>
  <c r="M9704" i="7" s="1"/>
  <c r="L9705" i="7"/>
  <c r="M9705" i="7" s="1"/>
  <c r="L9706" i="7"/>
  <c r="M9706" i="7" s="1"/>
  <c r="L9707" i="7"/>
  <c r="M9707" i="7" s="1"/>
  <c r="L9708" i="7"/>
  <c r="M9708" i="7" s="1"/>
  <c r="L9709" i="7"/>
  <c r="M9709" i="7" s="1"/>
  <c r="L9710" i="7"/>
  <c r="M9710" i="7" s="1"/>
  <c r="L9711" i="7"/>
  <c r="M9711" i="7" s="1"/>
  <c r="L9712" i="7"/>
  <c r="M9712" i="7" s="1"/>
  <c r="L9713" i="7"/>
  <c r="M9713" i="7" s="1"/>
  <c r="L9714" i="7"/>
  <c r="M9714" i="7" s="1"/>
  <c r="L9715" i="7"/>
  <c r="M9715" i="7" s="1"/>
  <c r="L9716" i="7"/>
  <c r="M9716" i="7" s="1"/>
  <c r="L9717" i="7"/>
  <c r="M9717" i="7" s="1"/>
  <c r="L9718" i="7"/>
  <c r="M9718" i="7" s="1"/>
  <c r="L9719" i="7"/>
  <c r="M9719" i="7" s="1"/>
  <c r="L9720" i="7"/>
  <c r="M9720" i="7" s="1"/>
  <c r="L9721" i="7"/>
  <c r="M9721" i="7" s="1"/>
  <c r="L9722" i="7"/>
  <c r="M9722" i="7" s="1"/>
  <c r="L9723" i="7"/>
  <c r="M9723" i="7" s="1"/>
  <c r="L9724" i="7"/>
  <c r="M9724" i="7" s="1"/>
  <c r="L9725" i="7"/>
  <c r="M9725" i="7" s="1"/>
  <c r="L9726" i="7"/>
  <c r="M9726" i="7" s="1"/>
  <c r="L9727" i="7"/>
  <c r="M9727" i="7" s="1"/>
  <c r="L9728" i="7"/>
  <c r="M9728" i="7" s="1"/>
  <c r="L9729" i="7"/>
  <c r="M9729" i="7" s="1"/>
  <c r="L9730" i="7"/>
  <c r="M9730" i="7" s="1"/>
  <c r="L9731" i="7"/>
  <c r="M9731" i="7" s="1"/>
  <c r="L9732" i="7"/>
  <c r="M9732" i="7" s="1"/>
  <c r="L9733" i="7"/>
  <c r="M9733" i="7" s="1"/>
  <c r="L9734" i="7"/>
  <c r="M9734" i="7" s="1"/>
  <c r="L9735" i="7"/>
  <c r="M9735" i="7" s="1"/>
  <c r="L9736" i="7"/>
  <c r="M9736" i="7" s="1"/>
  <c r="L9737" i="7"/>
  <c r="M9737" i="7" s="1"/>
  <c r="L9738" i="7"/>
  <c r="M9738" i="7" s="1"/>
  <c r="L9739" i="7"/>
  <c r="M9739" i="7" s="1"/>
  <c r="L9740" i="7"/>
  <c r="M9740" i="7" s="1"/>
  <c r="L9741" i="7"/>
  <c r="M9741" i="7" s="1"/>
  <c r="L9742" i="7"/>
  <c r="M9742" i="7" s="1"/>
  <c r="L9743" i="7"/>
  <c r="M9743" i="7" s="1"/>
  <c r="L9744" i="7"/>
  <c r="M9744" i="7" s="1"/>
  <c r="L9745" i="7"/>
  <c r="M9745" i="7" s="1"/>
  <c r="L9746" i="7"/>
  <c r="M9746" i="7" s="1"/>
  <c r="L9747" i="7"/>
  <c r="M9747" i="7" s="1"/>
  <c r="L9748" i="7"/>
  <c r="M9748" i="7" s="1"/>
  <c r="L9749" i="7"/>
  <c r="M9749" i="7" s="1"/>
  <c r="L9750" i="7"/>
  <c r="M9750" i="7" s="1"/>
  <c r="L9751" i="7"/>
  <c r="M9751" i="7" s="1"/>
  <c r="L9752" i="7"/>
  <c r="M9752" i="7" s="1"/>
  <c r="L9753" i="7"/>
  <c r="M9753" i="7" s="1"/>
  <c r="L9754" i="7"/>
  <c r="M9754" i="7" s="1"/>
  <c r="L9755" i="7"/>
  <c r="M9755" i="7" s="1"/>
  <c r="L9756" i="7"/>
  <c r="M9756" i="7" s="1"/>
  <c r="L9757" i="7"/>
  <c r="M9757" i="7" s="1"/>
  <c r="L9758" i="7"/>
  <c r="M9758" i="7" s="1"/>
  <c r="L9759" i="7"/>
  <c r="M9759" i="7" s="1"/>
  <c r="L9760" i="7"/>
  <c r="M9760" i="7" s="1"/>
  <c r="L9761" i="7"/>
  <c r="M9761" i="7" s="1"/>
  <c r="L9762" i="7"/>
  <c r="M9762" i="7" s="1"/>
  <c r="L9763" i="7"/>
  <c r="M9763" i="7" s="1"/>
  <c r="L9764" i="7"/>
  <c r="M9764" i="7" s="1"/>
  <c r="L9765" i="7"/>
  <c r="M9765" i="7" s="1"/>
  <c r="L9766" i="7"/>
  <c r="M9766" i="7" s="1"/>
  <c r="L9767" i="7"/>
  <c r="M9767" i="7" s="1"/>
  <c r="L9768" i="7"/>
  <c r="M9768" i="7" s="1"/>
  <c r="L9769" i="7"/>
  <c r="M9769" i="7" s="1"/>
  <c r="L9770" i="7"/>
  <c r="M9770" i="7" s="1"/>
  <c r="L9771" i="7"/>
  <c r="M9771" i="7" s="1"/>
  <c r="L9772" i="7"/>
  <c r="M9772" i="7" s="1"/>
  <c r="L9773" i="7"/>
  <c r="M9773" i="7" s="1"/>
  <c r="L9774" i="7"/>
  <c r="M9774" i="7" s="1"/>
  <c r="L9775" i="7"/>
  <c r="M9775" i="7" s="1"/>
  <c r="L9776" i="7"/>
  <c r="M9776" i="7" s="1"/>
  <c r="L9777" i="7"/>
  <c r="M9777" i="7" s="1"/>
  <c r="L9778" i="7"/>
  <c r="M9778" i="7" s="1"/>
  <c r="L9779" i="7"/>
  <c r="M9779" i="7" s="1"/>
  <c r="L9780" i="7"/>
  <c r="M9780" i="7" s="1"/>
  <c r="L9781" i="7"/>
  <c r="M9781" i="7" s="1"/>
  <c r="L9782" i="7"/>
  <c r="M9782" i="7" s="1"/>
  <c r="L9783" i="7"/>
  <c r="M9783" i="7" s="1"/>
  <c r="L9784" i="7"/>
  <c r="M9784" i="7" s="1"/>
  <c r="L9785" i="7"/>
  <c r="M9785" i="7" s="1"/>
  <c r="L9786" i="7"/>
  <c r="M9786" i="7" s="1"/>
  <c r="L9787" i="7"/>
  <c r="M9787" i="7" s="1"/>
  <c r="L9788" i="7"/>
  <c r="M9788" i="7" s="1"/>
  <c r="L9789" i="7"/>
  <c r="M9789" i="7" s="1"/>
  <c r="L9790" i="7"/>
  <c r="M9790" i="7" s="1"/>
  <c r="L9791" i="7"/>
  <c r="M9791" i="7" s="1"/>
  <c r="L9792" i="7"/>
  <c r="M9792" i="7" s="1"/>
  <c r="L9793" i="7"/>
  <c r="M9793" i="7" s="1"/>
  <c r="L9794" i="7"/>
  <c r="M9794" i="7" s="1"/>
  <c r="L9795" i="7"/>
  <c r="M9795" i="7" s="1"/>
  <c r="L9796" i="7"/>
  <c r="M9796" i="7" s="1"/>
  <c r="L9797" i="7"/>
  <c r="M9797" i="7" s="1"/>
  <c r="L9798" i="7"/>
  <c r="M9798" i="7" s="1"/>
  <c r="L9799" i="7"/>
  <c r="M9799" i="7" s="1"/>
  <c r="L9800" i="7"/>
  <c r="M9800" i="7" s="1"/>
  <c r="L9801" i="7"/>
  <c r="M9801" i="7" s="1"/>
  <c r="L9802" i="7"/>
  <c r="M9802" i="7" s="1"/>
  <c r="L9803" i="7"/>
  <c r="M9803" i="7" s="1"/>
  <c r="L9804" i="7"/>
  <c r="M9804" i="7" s="1"/>
  <c r="L9805" i="7"/>
  <c r="M9805" i="7" s="1"/>
  <c r="L9806" i="7"/>
  <c r="M9806" i="7" s="1"/>
  <c r="L9807" i="7"/>
  <c r="M9807" i="7" s="1"/>
  <c r="L9808" i="7"/>
  <c r="M9808" i="7" s="1"/>
  <c r="L9809" i="7"/>
  <c r="M9809" i="7" s="1"/>
  <c r="L9810" i="7"/>
  <c r="M9810" i="7" s="1"/>
  <c r="L9811" i="7"/>
  <c r="M9811" i="7" s="1"/>
  <c r="L9812" i="7"/>
  <c r="M9812" i="7" s="1"/>
  <c r="L9813" i="7"/>
  <c r="M9813" i="7" s="1"/>
  <c r="L9814" i="7"/>
  <c r="M9814" i="7" s="1"/>
  <c r="L9815" i="7"/>
  <c r="M9815" i="7" s="1"/>
  <c r="L9816" i="7"/>
  <c r="M9816" i="7" s="1"/>
  <c r="L9817" i="7"/>
  <c r="M9817" i="7" s="1"/>
  <c r="L9818" i="7"/>
  <c r="M9818" i="7" s="1"/>
  <c r="L9819" i="7"/>
  <c r="M9819" i="7" s="1"/>
  <c r="L9820" i="7"/>
  <c r="M9820" i="7" s="1"/>
  <c r="L9821" i="7"/>
  <c r="M9821" i="7" s="1"/>
  <c r="L9822" i="7"/>
  <c r="M9822" i="7" s="1"/>
  <c r="L9823" i="7"/>
  <c r="M9823" i="7" s="1"/>
  <c r="L9824" i="7"/>
  <c r="M9824" i="7" s="1"/>
  <c r="L9825" i="7"/>
  <c r="M9825" i="7" s="1"/>
  <c r="L9826" i="7"/>
  <c r="M9826" i="7" s="1"/>
  <c r="L9827" i="7"/>
  <c r="M9827" i="7" s="1"/>
  <c r="L9828" i="7"/>
  <c r="M9828" i="7" s="1"/>
  <c r="L9829" i="7"/>
  <c r="M9829" i="7" s="1"/>
  <c r="L9830" i="7"/>
  <c r="M9830" i="7" s="1"/>
  <c r="L9831" i="7"/>
  <c r="M9831" i="7" s="1"/>
  <c r="L9832" i="7"/>
  <c r="M9832" i="7" s="1"/>
  <c r="L9833" i="7"/>
  <c r="M9833" i="7" s="1"/>
  <c r="L9834" i="7"/>
  <c r="M9834" i="7" s="1"/>
  <c r="L9835" i="7"/>
  <c r="M9835" i="7" s="1"/>
  <c r="L9836" i="7"/>
  <c r="M9836" i="7" s="1"/>
  <c r="L9837" i="7"/>
  <c r="M9837" i="7" s="1"/>
  <c r="L9838" i="7"/>
  <c r="M9838" i="7" s="1"/>
  <c r="L9839" i="7"/>
  <c r="M9839" i="7" s="1"/>
  <c r="L9840" i="7"/>
  <c r="M9840" i="7" s="1"/>
  <c r="L9841" i="7"/>
  <c r="M9841" i="7" s="1"/>
  <c r="L9842" i="7"/>
  <c r="M9842" i="7" s="1"/>
  <c r="L9843" i="7"/>
  <c r="M9843" i="7" s="1"/>
  <c r="L9844" i="7"/>
  <c r="M9844" i="7" s="1"/>
  <c r="L9845" i="7"/>
  <c r="M9845" i="7" s="1"/>
  <c r="L9846" i="7"/>
  <c r="M9846" i="7" s="1"/>
  <c r="L9847" i="7"/>
  <c r="M9847" i="7" s="1"/>
  <c r="L9848" i="7"/>
  <c r="M9848" i="7" s="1"/>
  <c r="L9849" i="7"/>
  <c r="M9849" i="7" s="1"/>
  <c r="L9850" i="7"/>
  <c r="M9850" i="7" s="1"/>
  <c r="L9851" i="7"/>
  <c r="M9851" i="7" s="1"/>
  <c r="L9852" i="7"/>
  <c r="M9852" i="7" s="1"/>
  <c r="L9853" i="7"/>
  <c r="M9853" i="7" s="1"/>
  <c r="L9854" i="7"/>
  <c r="M9854" i="7" s="1"/>
  <c r="L9855" i="7"/>
  <c r="M9855" i="7" s="1"/>
  <c r="L9856" i="7"/>
  <c r="M9856" i="7" s="1"/>
  <c r="L9857" i="7"/>
  <c r="M9857" i="7" s="1"/>
  <c r="L9858" i="7"/>
  <c r="M9858" i="7" s="1"/>
  <c r="L9859" i="7"/>
  <c r="M9859" i="7" s="1"/>
  <c r="L9860" i="7"/>
  <c r="M9860" i="7" s="1"/>
  <c r="L9861" i="7"/>
  <c r="M9861" i="7" s="1"/>
  <c r="L9862" i="7"/>
  <c r="M9862" i="7" s="1"/>
  <c r="L9863" i="7"/>
  <c r="M9863" i="7" s="1"/>
  <c r="L9864" i="7"/>
  <c r="M9864" i="7" s="1"/>
  <c r="L9865" i="7"/>
  <c r="M9865" i="7" s="1"/>
  <c r="L9866" i="7"/>
  <c r="M9866" i="7" s="1"/>
  <c r="L9867" i="7"/>
  <c r="M9867" i="7" s="1"/>
  <c r="L9868" i="7"/>
  <c r="M9868" i="7" s="1"/>
  <c r="L9869" i="7"/>
  <c r="M9869" i="7" s="1"/>
  <c r="L9870" i="7"/>
  <c r="M9870" i="7" s="1"/>
  <c r="L9871" i="7"/>
  <c r="M9871" i="7" s="1"/>
  <c r="L9872" i="7"/>
  <c r="M9872" i="7" s="1"/>
  <c r="L9873" i="7"/>
  <c r="M9873" i="7" s="1"/>
  <c r="L9874" i="7"/>
  <c r="M9874" i="7" s="1"/>
  <c r="L9875" i="7"/>
  <c r="M9875" i="7" s="1"/>
  <c r="L9876" i="7"/>
  <c r="M9876" i="7" s="1"/>
  <c r="L9877" i="7"/>
  <c r="M9877" i="7" s="1"/>
  <c r="L9878" i="7"/>
  <c r="M9878" i="7" s="1"/>
  <c r="L9879" i="7"/>
  <c r="M9879" i="7" s="1"/>
  <c r="L9880" i="7"/>
  <c r="M9880" i="7" s="1"/>
  <c r="L9881" i="7"/>
  <c r="M9881" i="7" s="1"/>
  <c r="L9882" i="7"/>
  <c r="M9882" i="7" s="1"/>
  <c r="L9883" i="7"/>
  <c r="M9883" i="7" s="1"/>
  <c r="L9884" i="7"/>
  <c r="M9884" i="7" s="1"/>
  <c r="L9885" i="7"/>
  <c r="M9885" i="7" s="1"/>
  <c r="L9886" i="7"/>
  <c r="M9886" i="7" s="1"/>
  <c r="L9887" i="7"/>
  <c r="M9887" i="7" s="1"/>
  <c r="L9888" i="7"/>
  <c r="M9888" i="7" s="1"/>
  <c r="L9889" i="7"/>
  <c r="M9889" i="7" s="1"/>
  <c r="L9890" i="7"/>
  <c r="M9890" i="7" s="1"/>
  <c r="L9891" i="7"/>
  <c r="M9891" i="7" s="1"/>
  <c r="L9892" i="7"/>
  <c r="M9892" i="7" s="1"/>
  <c r="L9893" i="7"/>
  <c r="M9893" i="7" s="1"/>
  <c r="L9894" i="7"/>
  <c r="L9895" i="7"/>
  <c r="M9895" i="7" s="1"/>
  <c r="L9896" i="7"/>
  <c r="M9896" i="7" s="1"/>
  <c r="L9897" i="7"/>
  <c r="M9897" i="7" s="1"/>
  <c r="L9898" i="7"/>
  <c r="M9898" i="7" s="1"/>
  <c r="L9899" i="7"/>
  <c r="M9899" i="7" s="1"/>
  <c r="L9900" i="7"/>
  <c r="M9900" i="7" s="1"/>
  <c r="L9901" i="7"/>
  <c r="M9901" i="7" s="1"/>
  <c r="L9902" i="7"/>
  <c r="M9902" i="7" s="1"/>
  <c r="L9903" i="7"/>
  <c r="M9903" i="7" s="1"/>
  <c r="L9904" i="7"/>
  <c r="M9904" i="7" s="1"/>
  <c r="L9905" i="7"/>
  <c r="M9905" i="7" s="1"/>
  <c r="L9906" i="7"/>
  <c r="M9906" i="7" s="1"/>
  <c r="L9907" i="7"/>
  <c r="M9907" i="7" s="1"/>
  <c r="L9908" i="7"/>
  <c r="M9908" i="7" s="1"/>
  <c r="L9909" i="7"/>
  <c r="M9909" i="7" s="1"/>
  <c r="L9910" i="7"/>
  <c r="M9910" i="7" s="1"/>
  <c r="L9911" i="7"/>
  <c r="M9911" i="7" s="1"/>
  <c r="L9912" i="7"/>
  <c r="M9912" i="7" s="1"/>
  <c r="L9913" i="7"/>
  <c r="M9913" i="7" s="1"/>
  <c r="L9914" i="7"/>
  <c r="M9914" i="7" s="1"/>
  <c r="L9915" i="7"/>
  <c r="M9915" i="7" s="1"/>
  <c r="L9916" i="7"/>
  <c r="M9916" i="7" s="1"/>
  <c r="L9917" i="7"/>
  <c r="M9917" i="7" s="1"/>
  <c r="L9918" i="7"/>
  <c r="M9918" i="7" s="1"/>
  <c r="L9919" i="7"/>
  <c r="M9919" i="7" s="1"/>
  <c r="L9920" i="7"/>
  <c r="M9920" i="7" s="1"/>
  <c r="L9921" i="7"/>
  <c r="M9921" i="7" s="1"/>
  <c r="L9922" i="7"/>
  <c r="M9922" i="7" s="1"/>
  <c r="L9923" i="7"/>
  <c r="M9923" i="7" s="1"/>
  <c r="L9924" i="7"/>
  <c r="M9924" i="7" s="1"/>
  <c r="L9925" i="7"/>
  <c r="M9925" i="7" s="1"/>
  <c r="L9926" i="7"/>
  <c r="M9926" i="7" s="1"/>
  <c r="L9927" i="7"/>
  <c r="M9927" i="7" s="1"/>
  <c r="L9928" i="7"/>
  <c r="M9928" i="7" s="1"/>
  <c r="L9929" i="7"/>
  <c r="M9929" i="7" s="1"/>
  <c r="L9930" i="7"/>
  <c r="M9930" i="7" s="1"/>
  <c r="L9931" i="7"/>
  <c r="M9931" i="7" s="1"/>
  <c r="L9932" i="7"/>
  <c r="M9932" i="7" s="1"/>
  <c r="L9933" i="7"/>
  <c r="M9933" i="7" s="1"/>
  <c r="L9934" i="7"/>
  <c r="M9934" i="7" s="1"/>
  <c r="L9935" i="7"/>
  <c r="M9935" i="7" s="1"/>
  <c r="L9936" i="7"/>
  <c r="M9936" i="7" s="1"/>
  <c r="L9937" i="7"/>
  <c r="M9937" i="7" s="1"/>
  <c r="L9938" i="7"/>
  <c r="M9938" i="7" s="1"/>
  <c r="L9939" i="7"/>
  <c r="M9939" i="7" s="1"/>
  <c r="L9940" i="7"/>
  <c r="M9940" i="7" s="1"/>
  <c r="L9941" i="7"/>
  <c r="M9941" i="7" s="1"/>
  <c r="L9942" i="7"/>
  <c r="L9943" i="7"/>
  <c r="M9943" i="7" s="1"/>
  <c r="L9944" i="7"/>
  <c r="M9944" i="7" s="1"/>
  <c r="L9945" i="7"/>
  <c r="M9945" i="7" s="1"/>
  <c r="L9946" i="7"/>
  <c r="M9946" i="7" s="1"/>
  <c r="L9947" i="7"/>
  <c r="M9947" i="7" s="1"/>
  <c r="L9948" i="7"/>
  <c r="M9948" i="7" s="1"/>
  <c r="L9949" i="7"/>
  <c r="M9949" i="7" s="1"/>
  <c r="L9950" i="7"/>
  <c r="M9950" i="7" s="1"/>
  <c r="L9951" i="7"/>
  <c r="M9951" i="7" s="1"/>
  <c r="L9952" i="7"/>
  <c r="M9952" i="7" s="1"/>
  <c r="L9953" i="7"/>
  <c r="M9953" i="7" s="1"/>
  <c r="L9954" i="7"/>
  <c r="M9954" i="7" s="1"/>
  <c r="L9955" i="7"/>
  <c r="M9955" i="7" s="1"/>
  <c r="L9956" i="7"/>
  <c r="M9956" i="7" s="1"/>
  <c r="L9957" i="7"/>
  <c r="M9957" i="7" s="1"/>
  <c r="L9958" i="7"/>
  <c r="M9958" i="7" s="1"/>
  <c r="L9959" i="7"/>
  <c r="M9959" i="7" s="1"/>
  <c r="L9960" i="7"/>
  <c r="M9960" i="7" s="1"/>
  <c r="L9961" i="7"/>
  <c r="M9961" i="7" s="1"/>
  <c r="L9962" i="7"/>
  <c r="M9962" i="7" s="1"/>
  <c r="L9963" i="7"/>
  <c r="M9963" i="7" s="1"/>
  <c r="L9964" i="7"/>
  <c r="M9964" i="7" s="1"/>
  <c r="L9965" i="7"/>
  <c r="M9965" i="7" s="1"/>
  <c r="L9966" i="7"/>
  <c r="M9966" i="7" s="1"/>
  <c r="L9967" i="7"/>
  <c r="M9967" i="7" s="1"/>
  <c r="L9968" i="7"/>
  <c r="M9968" i="7" s="1"/>
  <c r="L9969" i="7"/>
  <c r="M9969" i="7" s="1"/>
  <c r="L9970" i="7"/>
  <c r="M9970" i="7" s="1"/>
  <c r="L9971" i="7"/>
  <c r="M9971" i="7" s="1"/>
  <c r="L9972" i="7"/>
  <c r="M9972" i="7" s="1"/>
  <c r="L9973" i="7"/>
  <c r="M9973" i="7" s="1"/>
  <c r="L9974" i="7"/>
  <c r="M9974" i="7" s="1"/>
  <c r="L9975" i="7"/>
  <c r="M9975" i="7" s="1"/>
  <c r="L9976" i="7"/>
  <c r="M9976" i="7" s="1"/>
  <c r="L9977" i="7"/>
  <c r="M9977" i="7" s="1"/>
  <c r="L9978" i="7"/>
  <c r="M9978" i="7" s="1"/>
  <c r="L9979" i="7"/>
  <c r="M9979" i="7" s="1"/>
  <c r="L9980" i="7"/>
  <c r="M9980" i="7" s="1"/>
  <c r="L9981" i="7"/>
  <c r="M9981" i="7" s="1"/>
  <c r="L9982" i="7"/>
  <c r="M9982" i="7" s="1"/>
  <c r="L9983" i="7"/>
  <c r="M9983" i="7" s="1"/>
  <c r="L9984" i="7"/>
  <c r="M9984" i="7" s="1"/>
  <c r="L9985" i="7"/>
  <c r="M9985" i="7" s="1"/>
  <c r="L9986" i="7"/>
  <c r="M9986" i="7" s="1"/>
  <c r="L9987" i="7"/>
  <c r="M9987" i="7" s="1"/>
  <c r="L9988" i="7"/>
  <c r="M9988" i="7" s="1"/>
  <c r="L9989" i="7"/>
  <c r="M9989" i="7" s="1"/>
  <c r="L9990" i="7"/>
  <c r="M9990" i="7" s="1"/>
  <c r="L9991" i="7"/>
  <c r="M9991" i="7" s="1"/>
  <c r="L9992" i="7"/>
  <c r="M9992" i="7" s="1"/>
  <c r="L9993" i="7"/>
  <c r="M9993" i="7" s="1"/>
  <c r="L9994" i="7"/>
  <c r="M9994" i="7" s="1"/>
  <c r="L9995" i="7"/>
  <c r="M9995" i="7" s="1"/>
  <c r="L9996" i="7"/>
  <c r="M9996" i="7" s="1"/>
  <c r="L9997" i="7"/>
  <c r="M9997" i="7" s="1"/>
  <c r="L9998" i="7"/>
  <c r="M9998" i="7" s="1"/>
  <c r="L9999" i="7"/>
  <c r="M9999" i="7" s="1"/>
  <c r="L1000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1432" i="7"/>
  <c r="K1433" i="7"/>
  <c r="K1434" i="7"/>
  <c r="K1435" i="7"/>
  <c r="K1436" i="7"/>
  <c r="K1437" i="7"/>
  <c r="K1438" i="7"/>
  <c r="K1439" i="7"/>
  <c r="K1440" i="7"/>
  <c r="K1441" i="7"/>
  <c r="K1442" i="7"/>
  <c r="K1443" i="7"/>
  <c r="K1444" i="7"/>
  <c r="K1445" i="7"/>
  <c r="K1446" i="7"/>
  <c r="K1447" i="7"/>
  <c r="K1448" i="7"/>
  <c r="K1449" i="7"/>
  <c r="K1450" i="7"/>
  <c r="K1451" i="7"/>
  <c r="K1452" i="7"/>
  <c r="K1453" i="7"/>
  <c r="K1454" i="7"/>
  <c r="K1455" i="7"/>
  <c r="K1456" i="7"/>
  <c r="K1457" i="7"/>
  <c r="K1458" i="7"/>
  <c r="K1459" i="7"/>
  <c r="K1460" i="7"/>
  <c r="K1461" i="7"/>
  <c r="K1462" i="7"/>
  <c r="K1463" i="7"/>
  <c r="K1464" i="7"/>
  <c r="K1465" i="7"/>
  <c r="K1466" i="7"/>
  <c r="K1467" i="7"/>
  <c r="K1468" i="7"/>
  <c r="K1469" i="7"/>
  <c r="K1470" i="7"/>
  <c r="K1471" i="7"/>
  <c r="K1472" i="7"/>
  <c r="K1473" i="7"/>
  <c r="K1474" i="7"/>
  <c r="K1475" i="7"/>
  <c r="K1476" i="7"/>
  <c r="K1477" i="7"/>
  <c r="K1478" i="7"/>
  <c r="K1479" i="7"/>
  <c r="K1480" i="7"/>
  <c r="K1481" i="7"/>
  <c r="K1482" i="7"/>
  <c r="K1483" i="7"/>
  <c r="K1484" i="7"/>
  <c r="K1485" i="7"/>
  <c r="K1486" i="7"/>
  <c r="K1487" i="7"/>
  <c r="K1488" i="7"/>
  <c r="K1489" i="7"/>
  <c r="K1490" i="7"/>
  <c r="K1491" i="7"/>
  <c r="K1492" i="7"/>
  <c r="K1493" i="7"/>
  <c r="K1494" i="7"/>
  <c r="K1495" i="7"/>
  <c r="K1496" i="7"/>
  <c r="K1497" i="7"/>
  <c r="K1498" i="7"/>
  <c r="K1499" i="7"/>
  <c r="K1500" i="7"/>
  <c r="K1501" i="7"/>
  <c r="K1502" i="7"/>
  <c r="K1503" i="7"/>
  <c r="K1504" i="7"/>
  <c r="K1505" i="7"/>
  <c r="K1506" i="7"/>
  <c r="K1507" i="7"/>
  <c r="K1508" i="7"/>
  <c r="K1509" i="7"/>
  <c r="K1510" i="7"/>
  <c r="K1511" i="7"/>
  <c r="K1512" i="7"/>
  <c r="K1513" i="7"/>
  <c r="K1514" i="7"/>
  <c r="K1515" i="7"/>
  <c r="K1516" i="7"/>
  <c r="K1517" i="7"/>
  <c r="K1518" i="7"/>
  <c r="K1519" i="7"/>
  <c r="K1520" i="7"/>
  <c r="K1521" i="7"/>
  <c r="K1522" i="7"/>
  <c r="K1523" i="7"/>
  <c r="K1524" i="7"/>
  <c r="K1525" i="7"/>
  <c r="K1526" i="7"/>
  <c r="K1527" i="7"/>
  <c r="K1528" i="7"/>
  <c r="K1529" i="7"/>
  <c r="K1530" i="7"/>
  <c r="K1531" i="7"/>
  <c r="K1532" i="7"/>
  <c r="K1533" i="7"/>
  <c r="K1534" i="7"/>
  <c r="K1535" i="7"/>
  <c r="K1536" i="7"/>
  <c r="K1537" i="7"/>
  <c r="K1538" i="7"/>
  <c r="K1539" i="7"/>
  <c r="K1540" i="7"/>
  <c r="K1541" i="7"/>
  <c r="K1542" i="7"/>
  <c r="K1543" i="7"/>
  <c r="K1544" i="7"/>
  <c r="K1545" i="7"/>
  <c r="K1546" i="7"/>
  <c r="K1547" i="7"/>
  <c r="K1548" i="7"/>
  <c r="K1549" i="7"/>
  <c r="K1550" i="7"/>
  <c r="K1551" i="7"/>
  <c r="K1552" i="7"/>
  <c r="K1553" i="7"/>
  <c r="K1554" i="7"/>
  <c r="K1555" i="7"/>
  <c r="K1556" i="7"/>
  <c r="K1557" i="7"/>
  <c r="K1558" i="7"/>
  <c r="K1559" i="7"/>
  <c r="K1560" i="7"/>
  <c r="K1561" i="7"/>
  <c r="K1562" i="7"/>
  <c r="K1563" i="7"/>
  <c r="K1564" i="7"/>
  <c r="K1565" i="7"/>
  <c r="K1566" i="7"/>
  <c r="K1567" i="7"/>
  <c r="K1568" i="7"/>
  <c r="K1569" i="7"/>
  <c r="K1570" i="7"/>
  <c r="K1571" i="7"/>
  <c r="K1572" i="7"/>
  <c r="K1573" i="7"/>
  <c r="K1574" i="7"/>
  <c r="K1575" i="7"/>
  <c r="K1576" i="7"/>
  <c r="K1577" i="7"/>
  <c r="K1578" i="7"/>
  <c r="K1579" i="7"/>
  <c r="K1580" i="7"/>
  <c r="K1581" i="7"/>
  <c r="K1582" i="7"/>
  <c r="K1583" i="7"/>
  <c r="K1584" i="7"/>
  <c r="K1585" i="7"/>
  <c r="K1586" i="7"/>
  <c r="K1587" i="7"/>
  <c r="K1588" i="7"/>
  <c r="K1589" i="7"/>
  <c r="K1590" i="7"/>
  <c r="K1591" i="7"/>
  <c r="K1592" i="7"/>
  <c r="K1593" i="7"/>
  <c r="K1594" i="7"/>
  <c r="K1595" i="7"/>
  <c r="K1596" i="7"/>
  <c r="K1597" i="7"/>
  <c r="K1598" i="7"/>
  <c r="K1599" i="7"/>
  <c r="K1600" i="7"/>
  <c r="K1601" i="7"/>
  <c r="K1602" i="7"/>
  <c r="K1603" i="7"/>
  <c r="K1604" i="7"/>
  <c r="K1605" i="7"/>
  <c r="K1606" i="7"/>
  <c r="K1607" i="7"/>
  <c r="K1608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626" i="7"/>
  <c r="K1627" i="7"/>
  <c r="K1628" i="7"/>
  <c r="K1629" i="7"/>
  <c r="K1630" i="7"/>
  <c r="K1631" i="7"/>
  <c r="K1632" i="7"/>
  <c r="K1633" i="7"/>
  <c r="K1634" i="7"/>
  <c r="K1635" i="7"/>
  <c r="K1636" i="7"/>
  <c r="K1637" i="7"/>
  <c r="K1638" i="7"/>
  <c r="K1639" i="7"/>
  <c r="K1640" i="7"/>
  <c r="K1641" i="7"/>
  <c r="K1642" i="7"/>
  <c r="K1643" i="7"/>
  <c r="K1644" i="7"/>
  <c r="K1645" i="7"/>
  <c r="K1646" i="7"/>
  <c r="K1647" i="7"/>
  <c r="K1648" i="7"/>
  <c r="K1649" i="7"/>
  <c r="K1650" i="7"/>
  <c r="K1651" i="7"/>
  <c r="K1652" i="7"/>
  <c r="K1653" i="7"/>
  <c r="K1654" i="7"/>
  <c r="K1655" i="7"/>
  <c r="K1656" i="7"/>
  <c r="K1657" i="7"/>
  <c r="K1658" i="7"/>
  <c r="K1659" i="7"/>
  <c r="K1660" i="7"/>
  <c r="K1661" i="7"/>
  <c r="K1662" i="7"/>
  <c r="K1663" i="7"/>
  <c r="K1664" i="7"/>
  <c r="K1665" i="7"/>
  <c r="K1666" i="7"/>
  <c r="K1667" i="7"/>
  <c r="K1668" i="7"/>
  <c r="K1669" i="7"/>
  <c r="K1670" i="7"/>
  <c r="K1671" i="7"/>
  <c r="K1672" i="7"/>
  <c r="K1673" i="7"/>
  <c r="K1674" i="7"/>
  <c r="K1675" i="7"/>
  <c r="K1676" i="7"/>
  <c r="K1677" i="7"/>
  <c r="K1678" i="7"/>
  <c r="K1679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692" i="7"/>
  <c r="K1693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730" i="7"/>
  <c r="K1731" i="7"/>
  <c r="K1732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1769" i="7"/>
  <c r="K1770" i="7"/>
  <c r="K1771" i="7"/>
  <c r="K1772" i="7"/>
  <c r="K1773" i="7"/>
  <c r="K1774" i="7"/>
  <c r="K1775" i="7"/>
  <c r="K1776" i="7"/>
  <c r="K1777" i="7"/>
  <c r="K1778" i="7"/>
  <c r="K1779" i="7"/>
  <c r="K1780" i="7"/>
  <c r="K1781" i="7"/>
  <c r="K1782" i="7"/>
  <c r="K1783" i="7"/>
  <c r="K1784" i="7"/>
  <c r="K1785" i="7"/>
  <c r="K1786" i="7"/>
  <c r="K1787" i="7"/>
  <c r="K1788" i="7"/>
  <c r="K1789" i="7"/>
  <c r="K1790" i="7"/>
  <c r="K1791" i="7"/>
  <c r="K1792" i="7"/>
  <c r="K1793" i="7"/>
  <c r="K1794" i="7"/>
  <c r="K1795" i="7"/>
  <c r="K1796" i="7"/>
  <c r="K1797" i="7"/>
  <c r="K1798" i="7"/>
  <c r="K1799" i="7"/>
  <c r="K1800" i="7"/>
  <c r="K1801" i="7"/>
  <c r="K1802" i="7"/>
  <c r="K1803" i="7"/>
  <c r="K1804" i="7"/>
  <c r="K1805" i="7"/>
  <c r="K1806" i="7"/>
  <c r="K1807" i="7"/>
  <c r="K1808" i="7"/>
  <c r="K1809" i="7"/>
  <c r="K1810" i="7"/>
  <c r="K1811" i="7"/>
  <c r="K1812" i="7"/>
  <c r="K1813" i="7"/>
  <c r="K1814" i="7"/>
  <c r="K1815" i="7"/>
  <c r="K1816" i="7"/>
  <c r="K1817" i="7"/>
  <c r="K1818" i="7"/>
  <c r="K1819" i="7"/>
  <c r="K1820" i="7"/>
  <c r="K1821" i="7"/>
  <c r="K1822" i="7"/>
  <c r="K1823" i="7"/>
  <c r="K1824" i="7"/>
  <c r="K1825" i="7"/>
  <c r="K1826" i="7"/>
  <c r="K1827" i="7"/>
  <c r="K1828" i="7"/>
  <c r="K1829" i="7"/>
  <c r="K1830" i="7"/>
  <c r="K1831" i="7"/>
  <c r="K1832" i="7"/>
  <c r="K1833" i="7"/>
  <c r="K1834" i="7"/>
  <c r="K1835" i="7"/>
  <c r="K1836" i="7"/>
  <c r="K1837" i="7"/>
  <c r="K1838" i="7"/>
  <c r="K1839" i="7"/>
  <c r="K1840" i="7"/>
  <c r="K1841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K1855" i="7"/>
  <c r="K1856" i="7"/>
  <c r="K1857" i="7"/>
  <c r="K1858" i="7"/>
  <c r="K1859" i="7"/>
  <c r="K1860" i="7"/>
  <c r="K1861" i="7"/>
  <c r="K1862" i="7"/>
  <c r="K1863" i="7"/>
  <c r="K1864" i="7"/>
  <c r="K1865" i="7"/>
  <c r="K1866" i="7"/>
  <c r="K1867" i="7"/>
  <c r="K1868" i="7"/>
  <c r="K1869" i="7"/>
  <c r="K1870" i="7"/>
  <c r="K1871" i="7"/>
  <c r="K1872" i="7"/>
  <c r="K1873" i="7"/>
  <c r="K1874" i="7"/>
  <c r="K1875" i="7"/>
  <c r="K1876" i="7"/>
  <c r="K1877" i="7"/>
  <c r="K1878" i="7"/>
  <c r="K1879" i="7"/>
  <c r="K1880" i="7"/>
  <c r="K1881" i="7"/>
  <c r="K1882" i="7"/>
  <c r="K1883" i="7"/>
  <c r="K1884" i="7"/>
  <c r="K1885" i="7"/>
  <c r="K1886" i="7"/>
  <c r="K1887" i="7"/>
  <c r="K1888" i="7"/>
  <c r="K1889" i="7"/>
  <c r="K1890" i="7"/>
  <c r="K1891" i="7"/>
  <c r="K1892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1911" i="7"/>
  <c r="K1912" i="7"/>
  <c r="K1913" i="7"/>
  <c r="K1914" i="7"/>
  <c r="K1915" i="7"/>
  <c r="K1916" i="7"/>
  <c r="K1917" i="7"/>
  <c r="K1918" i="7"/>
  <c r="K1919" i="7"/>
  <c r="K1920" i="7"/>
  <c r="K1921" i="7"/>
  <c r="K1922" i="7"/>
  <c r="K1923" i="7"/>
  <c r="K1924" i="7"/>
  <c r="K1925" i="7"/>
  <c r="K1926" i="7"/>
  <c r="K1927" i="7"/>
  <c r="K1928" i="7"/>
  <c r="K1929" i="7"/>
  <c r="K1930" i="7"/>
  <c r="K1931" i="7"/>
  <c r="K1932" i="7"/>
  <c r="K1933" i="7"/>
  <c r="K1934" i="7"/>
  <c r="K1935" i="7"/>
  <c r="K1936" i="7"/>
  <c r="K1937" i="7"/>
  <c r="K1938" i="7"/>
  <c r="K1939" i="7"/>
  <c r="K1940" i="7"/>
  <c r="K1941" i="7"/>
  <c r="K1942" i="7"/>
  <c r="K1943" i="7"/>
  <c r="K1944" i="7"/>
  <c r="K1945" i="7"/>
  <c r="K1946" i="7"/>
  <c r="K1947" i="7"/>
  <c r="K1948" i="7"/>
  <c r="K1949" i="7"/>
  <c r="K1950" i="7"/>
  <c r="K1951" i="7"/>
  <c r="K1952" i="7"/>
  <c r="K1953" i="7"/>
  <c r="K1954" i="7"/>
  <c r="K1955" i="7"/>
  <c r="K1956" i="7"/>
  <c r="K1957" i="7"/>
  <c r="K1958" i="7"/>
  <c r="K1959" i="7"/>
  <c r="K1960" i="7"/>
  <c r="K1961" i="7"/>
  <c r="K1962" i="7"/>
  <c r="K1963" i="7"/>
  <c r="K1964" i="7"/>
  <c r="K1965" i="7"/>
  <c r="K1966" i="7"/>
  <c r="K1967" i="7"/>
  <c r="K1968" i="7"/>
  <c r="K1969" i="7"/>
  <c r="K1970" i="7"/>
  <c r="K1971" i="7"/>
  <c r="K1972" i="7"/>
  <c r="K1973" i="7"/>
  <c r="K1974" i="7"/>
  <c r="K1975" i="7"/>
  <c r="K1976" i="7"/>
  <c r="K1977" i="7"/>
  <c r="K1978" i="7"/>
  <c r="K1979" i="7"/>
  <c r="K1980" i="7"/>
  <c r="K1981" i="7"/>
  <c r="K1982" i="7"/>
  <c r="K1983" i="7"/>
  <c r="K1984" i="7"/>
  <c r="K1985" i="7"/>
  <c r="K1986" i="7"/>
  <c r="K1987" i="7"/>
  <c r="K1988" i="7"/>
  <c r="K1989" i="7"/>
  <c r="K1990" i="7"/>
  <c r="K1991" i="7"/>
  <c r="K1992" i="7"/>
  <c r="K1993" i="7"/>
  <c r="K1994" i="7"/>
  <c r="K1995" i="7"/>
  <c r="K1996" i="7"/>
  <c r="K1997" i="7"/>
  <c r="K1998" i="7"/>
  <c r="K1999" i="7"/>
  <c r="K2000" i="7"/>
  <c r="K2001" i="7"/>
  <c r="K2002" i="7"/>
  <c r="K2003" i="7"/>
  <c r="K2004" i="7"/>
  <c r="K2005" i="7"/>
  <c r="K2006" i="7"/>
  <c r="K2007" i="7"/>
  <c r="K2008" i="7"/>
  <c r="K2009" i="7"/>
  <c r="K2010" i="7"/>
  <c r="K2011" i="7"/>
  <c r="K2012" i="7"/>
  <c r="K2013" i="7"/>
  <c r="K2014" i="7"/>
  <c r="K2015" i="7"/>
  <c r="K2016" i="7"/>
  <c r="K2017" i="7"/>
  <c r="K2018" i="7"/>
  <c r="K2019" i="7"/>
  <c r="K2020" i="7"/>
  <c r="K2021" i="7"/>
  <c r="K2022" i="7"/>
  <c r="K2023" i="7"/>
  <c r="K2024" i="7"/>
  <c r="K2025" i="7"/>
  <c r="K2026" i="7"/>
  <c r="K2027" i="7"/>
  <c r="K2028" i="7"/>
  <c r="K2029" i="7"/>
  <c r="K2030" i="7"/>
  <c r="K2031" i="7"/>
  <c r="K2032" i="7"/>
  <c r="K2033" i="7"/>
  <c r="K2034" i="7"/>
  <c r="K2035" i="7"/>
  <c r="K2036" i="7"/>
  <c r="K2037" i="7"/>
  <c r="K2038" i="7"/>
  <c r="K2039" i="7"/>
  <c r="K2040" i="7"/>
  <c r="K2041" i="7"/>
  <c r="K2042" i="7"/>
  <c r="K2043" i="7"/>
  <c r="K2044" i="7"/>
  <c r="K2045" i="7"/>
  <c r="K2046" i="7"/>
  <c r="K2047" i="7"/>
  <c r="K2048" i="7"/>
  <c r="K2049" i="7"/>
  <c r="K2050" i="7"/>
  <c r="K2051" i="7"/>
  <c r="K2052" i="7"/>
  <c r="K2053" i="7"/>
  <c r="K2054" i="7"/>
  <c r="K2055" i="7"/>
  <c r="K2056" i="7"/>
  <c r="K2057" i="7"/>
  <c r="K2058" i="7"/>
  <c r="K2059" i="7"/>
  <c r="K2060" i="7"/>
  <c r="K2061" i="7"/>
  <c r="K2062" i="7"/>
  <c r="K2063" i="7"/>
  <c r="K2064" i="7"/>
  <c r="K2065" i="7"/>
  <c r="K2066" i="7"/>
  <c r="K2067" i="7"/>
  <c r="K2068" i="7"/>
  <c r="K2069" i="7"/>
  <c r="K2070" i="7"/>
  <c r="K2071" i="7"/>
  <c r="K2072" i="7"/>
  <c r="K2073" i="7"/>
  <c r="K2074" i="7"/>
  <c r="K2075" i="7"/>
  <c r="K2076" i="7"/>
  <c r="K2077" i="7"/>
  <c r="K2078" i="7"/>
  <c r="K2079" i="7"/>
  <c r="K2080" i="7"/>
  <c r="K2081" i="7"/>
  <c r="K2082" i="7"/>
  <c r="K2083" i="7"/>
  <c r="K2084" i="7"/>
  <c r="K2085" i="7"/>
  <c r="K2086" i="7"/>
  <c r="K2087" i="7"/>
  <c r="K2088" i="7"/>
  <c r="K2089" i="7"/>
  <c r="K2090" i="7"/>
  <c r="K2091" i="7"/>
  <c r="K2092" i="7"/>
  <c r="K2093" i="7"/>
  <c r="K2094" i="7"/>
  <c r="K2095" i="7"/>
  <c r="K2096" i="7"/>
  <c r="K2097" i="7"/>
  <c r="K2098" i="7"/>
  <c r="K2099" i="7"/>
  <c r="K2100" i="7"/>
  <c r="K2101" i="7"/>
  <c r="K2102" i="7"/>
  <c r="K2103" i="7"/>
  <c r="K2104" i="7"/>
  <c r="K2105" i="7"/>
  <c r="K2106" i="7"/>
  <c r="K2107" i="7"/>
  <c r="K2108" i="7"/>
  <c r="K2109" i="7"/>
  <c r="K2110" i="7"/>
  <c r="K2111" i="7"/>
  <c r="K2112" i="7"/>
  <c r="K2113" i="7"/>
  <c r="K2114" i="7"/>
  <c r="K2115" i="7"/>
  <c r="K2116" i="7"/>
  <c r="K2117" i="7"/>
  <c r="K2118" i="7"/>
  <c r="K2119" i="7"/>
  <c r="K2120" i="7"/>
  <c r="K2121" i="7"/>
  <c r="K2122" i="7"/>
  <c r="K2123" i="7"/>
  <c r="K2124" i="7"/>
  <c r="K2125" i="7"/>
  <c r="K2126" i="7"/>
  <c r="K2127" i="7"/>
  <c r="K2128" i="7"/>
  <c r="K2129" i="7"/>
  <c r="K2130" i="7"/>
  <c r="K2131" i="7"/>
  <c r="K2132" i="7"/>
  <c r="K2133" i="7"/>
  <c r="K2134" i="7"/>
  <c r="K2135" i="7"/>
  <c r="K2136" i="7"/>
  <c r="K2137" i="7"/>
  <c r="K2138" i="7"/>
  <c r="K2139" i="7"/>
  <c r="K2140" i="7"/>
  <c r="K2141" i="7"/>
  <c r="K2142" i="7"/>
  <c r="K2143" i="7"/>
  <c r="K2144" i="7"/>
  <c r="K2145" i="7"/>
  <c r="K2146" i="7"/>
  <c r="K2147" i="7"/>
  <c r="K2148" i="7"/>
  <c r="K2149" i="7"/>
  <c r="K2150" i="7"/>
  <c r="K2151" i="7"/>
  <c r="K2152" i="7"/>
  <c r="K2153" i="7"/>
  <c r="K2154" i="7"/>
  <c r="K2155" i="7"/>
  <c r="K2156" i="7"/>
  <c r="K2157" i="7"/>
  <c r="K2158" i="7"/>
  <c r="K2159" i="7"/>
  <c r="K2160" i="7"/>
  <c r="K2161" i="7"/>
  <c r="K2162" i="7"/>
  <c r="K2163" i="7"/>
  <c r="K2164" i="7"/>
  <c r="K2165" i="7"/>
  <c r="K2166" i="7"/>
  <c r="K2167" i="7"/>
  <c r="K2168" i="7"/>
  <c r="K2169" i="7"/>
  <c r="K2170" i="7"/>
  <c r="K2171" i="7"/>
  <c r="K2172" i="7"/>
  <c r="K2173" i="7"/>
  <c r="K2174" i="7"/>
  <c r="K2175" i="7"/>
  <c r="K2176" i="7"/>
  <c r="K2177" i="7"/>
  <c r="K2178" i="7"/>
  <c r="K2179" i="7"/>
  <c r="K2180" i="7"/>
  <c r="K2181" i="7"/>
  <c r="K2182" i="7"/>
  <c r="K2183" i="7"/>
  <c r="K2184" i="7"/>
  <c r="K2185" i="7"/>
  <c r="K2186" i="7"/>
  <c r="K2187" i="7"/>
  <c r="K2188" i="7"/>
  <c r="K2189" i="7"/>
  <c r="K2190" i="7"/>
  <c r="K2191" i="7"/>
  <c r="K2192" i="7"/>
  <c r="K2193" i="7"/>
  <c r="K2194" i="7"/>
  <c r="K2195" i="7"/>
  <c r="K2196" i="7"/>
  <c r="K2197" i="7"/>
  <c r="K2198" i="7"/>
  <c r="K2199" i="7"/>
  <c r="K2200" i="7"/>
  <c r="K2201" i="7"/>
  <c r="K2202" i="7"/>
  <c r="K2203" i="7"/>
  <c r="K2204" i="7"/>
  <c r="K2205" i="7"/>
  <c r="K2206" i="7"/>
  <c r="K2207" i="7"/>
  <c r="K2208" i="7"/>
  <c r="K2209" i="7"/>
  <c r="K2210" i="7"/>
  <c r="K2211" i="7"/>
  <c r="K2212" i="7"/>
  <c r="K2213" i="7"/>
  <c r="K2214" i="7"/>
  <c r="K2215" i="7"/>
  <c r="K2216" i="7"/>
  <c r="K2217" i="7"/>
  <c r="K2218" i="7"/>
  <c r="K2219" i="7"/>
  <c r="K2220" i="7"/>
  <c r="K2221" i="7"/>
  <c r="K2222" i="7"/>
  <c r="K2223" i="7"/>
  <c r="K2224" i="7"/>
  <c r="K2225" i="7"/>
  <c r="K2226" i="7"/>
  <c r="K2227" i="7"/>
  <c r="K2228" i="7"/>
  <c r="K2229" i="7"/>
  <c r="K2230" i="7"/>
  <c r="K2231" i="7"/>
  <c r="K2232" i="7"/>
  <c r="K2233" i="7"/>
  <c r="K2234" i="7"/>
  <c r="K2235" i="7"/>
  <c r="K2236" i="7"/>
  <c r="K2237" i="7"/>
  <c r="K2238" i="7"/>
  <c r="K2239" i="7"/>
  <c r="K2240" i="7"/>
  <c r="K2241" i="7"/>
  <c r="K2242" i="7"/>
  <c r="K2243" i="7"/>
  <c r="K2244" i="7"/>
  <c r="K2245" i="7"/>
  <c r="K2246" i="7"/>
  <c r="K2247" i="7"/>
  <c r="K2248" i="7"/>
  <c r="K2249" i="7"/>
  <c r="K2250" i="7"/>
  <c r="K2251" i="7"/>
  <c r="K2252" i="7"/>
  <c r="K2253" i="7"/>
  <c r="K2254" i="7"/>
  <c r="K2255" i="7"/>
  <c r="K2256" i="7"/>
  <c r="K2257" i="7"/>
  <c r="K2258" i="7"/>
  <c r="K2259" i="7"/>
  <c r="K2260" i="7"/>
  <c r="K2261" i="7"/>
  <c r="K2262" i="7"/>
  <c r="K2263" i="7"/>
  <c r="K2264" i="7"/>
  <c r="K2265" i="7"/>
  <c r="K2266" i="7"/>
  <c r="K2267" i="7"/>
  <c r="K2268" i="7"/>
  <c r="K2269" i="7"/>
  <c r="K2270" i="7"/>
  <c r="K2271" i="7"/>
  <c r="K2272" i="7"/>
  <c r="K2273" i="7"/>
  <c r="K2274" i="7"/>
  <c r="K2275" i="7"/>
  <c r="K2276" i="7"/>
  <c r="K2277" i="7"/>
  <c r="K2278" i="7"/>
  <c r="K2279" i="7"/>
  <c r="K2280" i="7"/>
  <c r="K2281" i="7"/>
  <c r="K2282" i="7"/>
  <c r="K2283" i="7"/>
  <c r="K2284" i="7"/>
  <c r="K2285" i="7"/>
  <c r="K2286" i="7"/>
  <c r="K2287" i="7"/>
  <c r="K2288" i="7"/>
  <c r="K2289" i="7"/>
  <c r="K2290" i="7"/>
  <c r="K2291" i="7"/>
  <c r="K2292" i="7"/>
  <c r="K2293" i="7"/>
  <c r="K2294" i="7"/>
  <c r="K2295" i="7"/>
  <c r="K2296" i="7"/>
  <c r="K2297" i="7"/>
  <c r="K2298" i="7"/>
  <c r="K2299" i="7"/>
  <c r="K2300" i="7"/>
  <c r="K2301" i="7"/>
  <c r="K2302" i="7"/>
  <c r="K2303" i="7"/>
  <c r="K2304" i="7"/>
  <c r="K2305" i="7"/>
  <c r="K2306" i="7"/>
  <c r="K2307" i="7"/>
  <c r="K2308" i="7"/>
  <c r="K2309" i="7"/>
  <c r="K2310" i="7"/>
  <c r="K2311" i="7"/>
  <c r="K2312" i="7"/>
  <c r="K2313" i="7"/>
  <c r="K2314" i="7"/>
  <c r="K2315" i="7"/>
  <c r="K2316" i="7"/>
  <c r="K2317" i="7"/>
  <c r="K2318" i="7"/>
  <c r="K2319" i="7"/>
  <c r="K2320" i="7"/>
  <c r="K2321" i="7"/>
  <c r="K2322" i="7"/>
  <c r="K2323" i="7"/>
  <c r="K2324" i="7"/>
  <c r="K2325" i="7"/>
  <c r="K2326" i="7"/>
  <c r="K2327" i="7"/>
  <c r="K2328" i="7"/>
  <c r="K2329" i="7"/>
  <c r="K2330" i="7"/>
  <c r="K2331" i="7"/>
  <c r="K2332" i="7"/>
  <c r="K2333" i="7"/>
  <c r="K2334" i="7"/>
  <c r="K2335" i="7"/>
  <c r="K2336" i="7"/>
  <c r="K2337" i="7"/>
  <c r="K2338" i="7"/>
  <c r="K2339" i="7"/>
  <c r="K2340" i="7"/>
  <c r="K2341" i="7"/>
  <c r="K2342" i="7"/>
  <c r="K2343" i="7"/>
  <c r="K2344" i="7"/>
  <c r="K2345" i="7"/>
  <c r="K2346" i="7"/>
  <c r="K2347" i="7"/>
  <c r="K2348" i="7"/>
  <c r="K2349" i="7"/>
  <c r="K2350" i="7"/>
  <c r="K2351" i="7"/>
  <c r="K2352" i="7"/>
  <c r="K2353" i="7"/>
  <c r="K2354" i="7"/>
  <c r="K2355" i="7"/>
  <c r="K2356" i="7"/>
  <c r="K2357" i="7"/>
  <c r="K2358" i="7"/>
  <c r="K2359" i="7"/>
  <c r="K2360" i="7"/>
  <c r="K2361" i="7"/>
  <c r="K2362" i="7"/>
  <c r="K2363" i="7"/>
  <c r="K2364" i="7"/>
  <c r="K2365" i="7"/>
  <c r="K2366" i="7"/>
  <c r="K2367" i="7"/>
  <c r="K2368" i="7"/>
  <c r="K2369" i="7"/>
  <c r="K2370" i="7"/>
  <c r="K2371" i="7"/>
  <c r="K2372" i="7"/>
  <c r="K2373" i="7"/>
  <c r="K2374" i="7"/>
  <c r="K2375" i="7"/>
  <c r="K2376" i="7"/>
  <c r="K2377" i="7"/>
  <c r="K2378" i="7"/>
  <c r="K2379" i="7"/>
  <c r="K2380" i="7"/>
  <c r="K2381" i="7"/>
  <c r="K2382" i="7"/>
  <c r="K2383" i="7"/>
  <c r="K2384" i="7"/>
  <c r="K2385" i="7"/>
  <c r="K2386" i="7"/>
  <c r="K2387" i="7"/>
  <c r="K2388" i="7"/>
  <c r="K2389" i="7"/>
  <c r="K2390" i="7"/>
  <c r="K2391" i="7"/>
  <c r="K2392" i="7"/>
  <c r="K2393" i="7"/>
  <c r="K2394" i="7"/>
  <c r="K2395" i="7"/>
  <c r="K2396" i="7"/>
  <c r="K2397" i="7"/>
  <c r="K2398" i="7"/>
  <c r="K2399" i="7"/>
  <c r="K2400" i="7"/>
  <c r="K2401" i="7"/>
  <c r="K2402" i="7"/>
  <c r="K2403" i="7"/>
  <c r="K2404" i="7"/>
  <c r="K2405" i="7"/>
  <c r="K2406" i="7"/>
  <c r="K2407" i="7"/>
  <c r="K2408" i="7"/>
  <c r="K2409" i="7"/>
  <c r="K2410" i="7"/>
  <c r="K2411" i="7"/>
  <c r="K2412" i="7"/>
  <c r="K2413" i="7"/>
  <c r="K2414" i="7"/>
  <c r="K2415" i="7"/>
  <c r="K2416" i="7"/>
  <c r="K2417" i="7"/>
  <c r="K2418" i="7"/>
  <c r="K2419" i="7"/>
  <c r="K2420" i="7"/>
  <c r="K2421" i="7"/>
  <c r="K2422" i="7"/>
  <c r="K2423" i="7"/>
  <c r="K2424" i="7"/>
  <c r="K2425" i="7"/>
  <c r="K2426" i="7"/>
  <c r="K2427" i="7"/>
  <c r="K2428" i="7"/>
  <c r="K2429" i="7"/>
  <c r="K2430" i="7"/>
  <c r="K2431" i="7"/>
  <c r="K2432" i="7"/>
  <c r="K2433" i="7"/>
  <c r="K2434" i="7"/>
  <c r="K2435" i="7"/>
  <c r="K2436" i="7"/>
  <c r="K2437" i="7"/>
  <c r="K2438" i="7"/>
  <c r="K2439" i="7"/>
  <c r="K2440" i="7"/>
  <c r="K2441" i="7"/>
  <c r="K2442" i="7"/>
  <c r="K2443" i="7"/>
  <c r="K2444" i="7"/>
  <c r="K2445" i="7"/>
  <c r="K2446" i="7"/>
  <c r="K2447" i="7"/>
  <c r="K2448" i="7"/>
  <c r="K2449" i="7"/>
  <c r="K2450" i="7"/>
  <c r="K2451" i="7"/>
  <c r="K2452" i="7"/>
  <c r="K2453" i="7"/>
  <c r="K2454" i="7"/>
  <c r="K2455" i="7"/>
  <c r="K2456" i="7"/>
  <c r="K2457" i="7"/>
  <c r="K2458" i="7"/>
  <c r="K2459" i="7"/>
  <c r="K2460" i="7"/>
  <c r="K2461" i="7"/>
  <c r="K2462" i="7"/>
  <c r="K2463" i="7"/>
  <c r="K2464" i="7"/>
  <c r="K2465" i="7"/>
  <c r="K2466" i="7"/>
  <c r="K2467" i="7"/>
  <c r="K2468" i="7"/>
  <c r="K2469" i="7"/>
  <c r="K2470" i="7"/>
  <c r="K2471" i="7"/>
  <c r="K2472" i="7"/>
  <c r="K2473" i="7"/>
  <c r="K2474" i="7"/>
  <c r="K2475" i="7"/>
  <c r="K2476" i="7"/>
  <c r="K2477" i="7"/>
  <c r="K2478" i="7"/>
  <c r="K2479" i="7"/>
  <c r="K2480" i="7"/>
  <c r="K2481" i="7"/>
  <c r="K2482" i="7"/>
  <c r="K2483" i="7"/>
  <c r="K2484" i="7"/>
  <c r="K2485" i="7"/>
  <c r="K2486" i="7"/>
  <c r="K2487" i="7"/>
  <c r="K2488" i="7"/>
  <c r="K2489" i="7"/>
  <c r="K2490" i="7"/>
  <c r="K2491" i="7"/>
  <c r="K2492" i="7"/>
  <c r="K2493" i="7"/>
  <c r="K2494" i="7"/>
  <c r="K2495" i="7"/>
  <c r="K2496" i="7"/>
  <c r="K2497" i="7"/>
  <c r="K2498" i="7"/>
  <c r="K2499" i="7"/>
  <c r="K2500" i="7"/>
  <c r="K2501" i="7"/>
  <c r="K2502" i="7"/>
  <c r="K2503" i="7"/>
  <c r="K2504" i="7"/>
  <c r="K2505" i="7"/>
  <c r="K2506" i="7"/>
  <c r="K2507" i="7"/>
  <c r="K2508" i="7"/>
  <c r="K2509" i="7"/>
  <c r="K2510" i="7"/>
  <c r="K2511" i="7"/>
  <c r="K2512" i="7"/>
  <c r="K2513" i="7"/>
  <c r="K2514" i="7"/>
  <c r="K2515" i="7"/>
  <c r="K2516" i="7"/>
  <c r="K2517" i="7"/>
  <c r="K2518" i="7"/>
  <c r="K2519" i="7"/>
  <c r="K2520" i="7"/>
  <c r="K2521" i="7"/>
  <c r="K2522" i="7"/>
  <c r="K2523" i="7"/>
  <c r="K2524" i="7"/>
  <c r="K2525" i="7"/>
  <c r="K2526" i="7"/>
  <c r="K2527" i="7"/>
  <c r="K2528" i="7"/>
  <c r="K2529" i="7"/>
  <c r="K2530" i="7"/>
  <c r="K2531" i="7"/>
  <c r="K2532" i="7"/>
  <c r="K2533" i="7"/>
  <c r="K2534" i="7"/>
  <c r="K2535" i="7"/>
  <c r="K2536" i="7"/>
  <c r="K2537" i="7"/>
  <c r="K2538" i="7"/>
  <c r="K2539" i="7"/>
  <c r="K2540" i="7"/>
  <c r="K2541" i="7"/>
  <c r="K2542" i="7"/>
  <c r="K2543" i="7"/>
  <c r="K2544" i="7"/>
  <c r="K2545" i="7"/>
  <c r="K2546" i="7"/>
  <c r="K2547" i="7"/>
  <c r="K2548" i="7"/>
  <c r="K2549" i="7"/>
  <c r="K2550" i="7"/>
  <c r="K2551" i="7"/>
  <c r="K2552" i="7"/>
  <c r="K2553" i="7"/>
  <c r="K2554" i="7"/>
  <c r="K2555" i="7"/>
  <c r="K2556" i="7"/>
  <c r="K2557" i="7"/>
  <c r="K2558" i="7"/>
  <c r="K2559" i="7"/>
  <c r="K2560" i="7"/>
  <c r="K2561" i="7"/>
  <c r="K2562" i="7"/>
  <c r="K2563" i="7"/>
  <c r="K2564" i="7"/>
  <c r="K2565" i="7"/>
  <c r="K2566" i="7"/>
  <c r="K2567" i="7"/>
  <c r="K2568" i="7"/>
  <c r="K2569" i="7"/>
  <c r="K2570" i="7"/>
  <c r="K2571" i="7"/>
  <c r="K2572" i="7"/>
  <c r="K2573" i="7"/>
  <c r="K2574" i="7"/>
  <c r="K2575" i="7"/>
  <c r="K2576" i="7"/>
  <c r="K2577" i="7"/>
  <c r="K2578" i="7"/>
  <c r="K2579" i="7"/>
  <c r="K2580" i="7"/>
  <c r="K2581" i="7"/>
  <c r="K2582" i="7"/>
  <c r="K2583" i="7"/>
  <c r="K2584" i="7"/>
  <c r="K2585" i="7"/>
  <c r="K2586" i="7"/>
  <c r="K2587" i="7"/>
  <c r="K2588" i="7"/>
  <c r="K2589" i="7"/>
  <c r="K2590" i="7"/>
  <c r="K2591" i="7"/>
  <c r="K2592" i="7"/>
  <c r="K2593" i="7"/>
  <c r="K2594" i="7"/>
  <c r="K2595" i="7"/>
  <c r="K2596" i="7"/>
  <c r="K2597" i="7"/>
  <c r="K2598" i="7"/>
  <c r="K2599" i="7"/>
  <c r="K2600" i="7"/>
  <c r="K2601" i="7"/>
  <c r="K2602" i="7"/>
  <c r="K2603" i="7"/>
  <c r="K2604" i="7"/>
  <c r="K2605" i="7"/>
  <c r="K2606" i="7"/>
  <c r="K2607" i="7"/>
  <c r="K2608" i="7"/>
  <c r="K2609" i="7"/>
  <c r="K2610" i="7"/>
  <c r="K2611" i="7"/>
  <c r="K2612" i="7"/>
  <c r="K2613" i="7"/>
  <c r="K2614" i="7"/>
  <c r="K2615" i="7"/>
  <c r="K2616" i="7"/>
  <c r="K2617" i="7"/>
  <c r="K2618" i="7"/>
  <c r="K2619" i="7"/>
  <c r="K2620" i="7"/>
  <c r="K2621" i="7"/>
  <c r="K2622" i="7"/>
  <c r="K2623" i="7"/>
  <c r="K2624" i="7"/>
  <c r="K2625" i="7"/>
  <c r="K2626" i="7"/>
  <c r="K2627" i="7"/>
  <c r="K2628" i="7"/>
  <c r="K2629" i="7"/>
  <c r="K2630" i="7"/>
  <c r="K2631" i="7"/>
  <c r="K2632" i="7"/>
  <c r="K2633" i="7"/>
  <c r="K2634" i="7"/>
  <c r="K2635" i="7"/>
  <c r="K2636" i="7"/>
  <c r="K2637" i="7"/>
  <c r="K2638" i="7"/>
  <c r="K2639" i="7"/>
  <c r="K2640" i="7"/>
  <c r="K2641" i="7"/>
  <c r="K2642" i="7"/>
  <c r="K2643" i="7"/>
  <c r="K2644" i="7"/>
  <c r="K2645" i="7"/>
  <c r="K2646" i="7"/>
  <c r="K2647" i="7"/>
  <c r="K2648" i="7"/>
  <c r="K2649" i="7"/>
  <c r="K2650" i="7"/>
  <c r="K2651" i="7"/>
  <c r="K2652" i="7"/>
  <c r="K2653" i="7"/>
  <c r="K2654" i="7"/>
  <c r="K2655" i="7"/>
  <c r="K2656" i="7"/>
  <c r="K2657" i="7"/>
  <c r="K2658" i="7"/>
  <c r="K2659" i="7"/>
  <c r="K2660" i="7"/>
  <c r="K2661" i="7"/>
  <c r="K2662" i="7"/>
  <c r="K2663" i="7"/>
  <c r="K2664" i="7"/>
  <c r="K2665" i="7"/>
  <c r="K2666" i="7"/>
  <c r="K2667" i="7"/>
  <c r="K2668" i="7"/>
  <c r="K2669" i="7"/>
  <c r="K2670" i="7"/>
  <c r="K2671" i="7"/>
  <c r="K2672" i="7"/>
  <c r="K2673" i="7"/>
  <c r="K2674" i="7"/>
  <c r="K2675" i="7"/>
  <c r="K2676" i="7"/>
  <c r="K2677" i="7"/>
  <c r="K2678" i="7"/>
  <c r="K2679" i="7"/>
  <c r="K2680" i="7"/>
  <c r="K2681" i="7"/>
  <c r="K2682" i="7"/>
  <c r="K2683" i="7"/>
  <c r="K2684" i="7"/>
  <c r="K2685" i="7"/>
  <c r="K2686" i="7"/>
  <c r="K2687" i="7"/>
  <c r="K2688" i="7"/>
  <c r="K2689" i="7"/>
  <c r="K2690" i="7"/>
  <c r="K2691" i="7"/>
  <c r="K2692" i="7"/>
  <c r="K2693" i="7"/>
  <c r="K2694" i="7"/>
  <c r="K2695" i="7"/>
  <c r="K2696" i="7"/>
  <c r="K2697" i="7"/>
  <c r="K2698" i="7"/>
  <c r="K2699" i="7"/>
  <c r="K2700" i="7"/>
  <c r="K2701" i="7"/>
  <c r="K2702" i="7"/>
  <c r="K2703" i="7"/>
  <c r="K2704" i="7"/>
  <c r="K2705" i="7"/>
  <c r="K2706" i="7"/>
  <c r="K2707" i="7"/>
  <c r="K2708" i="7"/>
  <c r="K2709" i="7"/>
  <c r="K2710" i="7"/>
  <c r="K2711" i="7"/>
  <c r="K2712" i="7"/>
  <c r="K2713" i="7"/>
  <c r="K2714" i="7"/>
  <c r="K2715" i="7"/>
  <c r="K2716" i="7"/>
  <c r="K2717" i="7"/>
  <c r="K2718" i="7"/>
  <c r="K2719" i="7"/>
  <c r="K2720" i="7"/>
  <c r="K2721" i="7"/>
  <c r="K2722" i="7"/>
  <c r="K2723" i="7"/>
  <c r="K2724" i="7"/>
  <c r="K2725" i="7"/>
  <c r="K2726" i="7"/>
  <c r="K2727" i="7"/>
  <c r="K2728" i="7"/>
  <c r="K2729" i="7"/>
  <c r="K2730" i="7"/>
  <c r="K2731" i="7"/>
  <c r="K2732" i="7"/>
  <c r="K2733" i="7"/>
  <c r="K2734" i="7"/>
  <c r="K2735" i="7"/>
  <c r="K2736" i="7"/>
  <c r="K2737" i="7"/>
  <c r="K2738" i="7"/>
  <c r="K2739" i="7"/>
  <c r="K2740" i="7"/>
  <c r="K2741" i="7"/>
  <c r="K2742" i="7"/>
  <c r="K2743" i="7"/>
  <c r="K2744" i="7"/>
  <c r="K2745" i="7"/>
  <c r="K2746" i="7"/>
  <c r="K2747" i="7"/>
  <c r="K2748" i="7"/>
  <c r="K2749" i="7"/>
  <c r="K2750" i="7"/>
  <c r="K2751" i="7"/>
  <c r="K2752" i="7"/>
  <c r="K2753" i="7"/>
  <c r="K2754" i="7"/>
  <c r="K2755" i="7"/>
  <c r="K2756" i="7"/>
  <c r="K2757" i="7"/>
  <c r="K2758" i="7"/>
  <c r="K2759" i="7"/>
  <c r="K2760" i="7"/>
  <c r="K2761" i="7"/>
  <c r="K2762" i="7"/>
  <c r="K2763" i="7"/>
  <c r="K2764" i="7"/>
  <c r="K2765" i="7"/>
  <c r="K2766" i="7"/>
  <c r="K2767" i="7"/>
  <c r="K2768" i="7"/>
  <c r="K2769" i="7"/>
  <c r="K2770" i="7"/>
  <c r="K2771" i="7"/>
  <c r="K2772" i="7"/>
  <c r="K2773" i="7"/>
  <c r="K2774" i="7"/>
  <c r="K2775" i="7"/>
  <c r="K2776" i="7"/>
  <c r="K2777" i="7"/>
  <c r="K2778" i="7"/>
  <c r="K2779" i="7"/>
  <c r="K2780" i="7"/>
  <c r="K2781" i="7"/>
  <c r="K2782" i="7"/>
  <c r="K2783" i="7"/>
  <c r="K2784" i="7"/>
  <c r="K2785" i="7"/>
  <c r="K2786" i="7"/>
  <c r="K2787" i="7"/>
  <c r="K2788" i="7"/>
  <c r="K2789" i="7"/>
  <c r="K2790" i="7"/>
  <c r="K2791" i="7"/>
  <c r="K2792" i="7"/>
  <c r="K2793" i="7"/>
  <c r="K2794" i="7"/>
  <c r="K2795" i="7"/>
  <c r="K2796" i="7"/>
  <c r="K2797" i="7"/>
  <c r="K2798" i="7"/>
  <c r="K2799" i="7"/>
  <c r="K2800" i="7"/>
  <c r="K2801" i="7"/>
  <c r="K2802" i="7"/>
  <c r="K2803" i="7"/>
  <c r="K2804" i="7"/>
  <c r="K2805" i="7"/>
  <c r="K2806" i="7"/>
  <c r="K2807" i="7"/>
  <c r="K2808" i="7"/>
  <c r="K2809" i="7"/>
  <c r="K2810" i="7"/>
  <c r="K2811" i="7"/>
  <c r="K2812" i="7"/>
  <c r="K2813" i="7"/>
  <c r="K2814" i="7"/>
  <c r="K2815" i="7"/>
  <c r="K2816" i="7"/>
  <c r="K2817" i="7"/>
  <c r="K2818" i="7"/>
  <c r="K2819" i="7"/>
  <c r="K2820" i="7"/>
  <c r="K2821" i="7"/>
  <c r="K2822" i="7"/>
  <c r="K2823" i="7"/>
  <c r="K2824" i="7"/>
  <c r="K2825" i="7"/>
  <c r="K2826" i="7"/>
  <c r="K2827" i="7"/>
  <c r="K2828" i="7"/>
  <c r="K2829" i="7"/>
  <c r="K2830" i="7"/>
  <c r="K2831" i="7"/>
  <c r="K2832" i="7"/>
  <c r="K2833" i="7"/>
  <c r="K2834" i="7"/>
  <c r="K2835" i="7"/>
  <c r="K2836" i="7"/>
  <c r="K2837" i="7"/>
  <c r="K2838" i="7"/>
  <c r="K2839" i="7"/>
  <c r="K2840" i="7"/>
  <c r="K2841" i="7"/>
  <c r="K2842" i="7"/>
  <c r="K2843" i="7"/>
  <c r="K2844" i="7"/>
  <c r="K2845" i="7"/>
  <c r="K2846" i="7"/>
  <c r="K2847" i="7"/>
  <c r="K2848" i="7"/>
  <c r="K2849" i="7"/>
  <c r="K2850" i="7"/>
  <c r="K2851" i="7"/>
  <c r="K2852" i="7"/>
  <c r="K2853" i="7"/>
  <c r="K2854" i="7"/>
  <c r="K2855" i="7"/>
  <c r="K2856" i="7"/>
  <c r="K2857" i="7"/>
  <c r="K2858" i="7"/>
  <c r="K2859" i="7"/>
  <c r="K2860" i="7"/>
  <c r="K2861" i="7"/>
  <c r="K2862" i="7"/>
  <c r="K2863" i="7"/>
  <c r="K2864" i="7"/>
  <c r="K2865" i="7"/>
  <c r="K2866" i="7"/>
  <c r="K2867" i="7"/>
  <c r="K2868" i="7"/>
  <c r="K2869" i="7"/>
  <c r="K2870" i="7"/>
  <c r="K2871" i="7"/>
  <c r="K2872" i="7"/>
  <c r="K2873" i="7"/>
  <c r="K2874" i="7"/>
  <c r="K2875" i="7"/>
  <c r="K2876" i="7"/>
  <c r="K2877" i="7"/>
  <c r="K2878" i="7"/>
  <c r="K2879" i="7"/>
  <c r="K2880" i="7"/>
  <c r="K2881" i="7"/>
  <c r="K2882" i="7"/>
  <c r="K2883" i="7"/>
  <c r="K2884" i="7"/>
  <c r="K2885" i="7"/>
  <c r="K2886" i="7"/>
  <c r="K2887" i="7"/>
  <c r="K2888" i="7"/>
  <c r="K2889" i="7"/>
  <c r="K2890" i="7"/>
  <c r="K2891" i="7"/>
  <c r="K2892" i="7"/>
  <c r="K2893" i="7"/>
  <c r="K2894" i="7"/>
  <c r="K2895" i="7"/>
  <c r="K2896" i="7"/>
  <c r="K2897" i="7"/>
  <c r="K2898" i="7"/>
  <c r="K2899" i="7"/>
  <c r="K2900" i="7"/>
  <c r="K2901" i="7"/>
  <c r="K2902" i="7"/>
  <c r="K2903" i="7"/>
  <c r="K2904" i="7"/>
  <c r="K2905" i="7"/>
  <c r="K2906" i="7"/>
  <c r="K2907" i="7"/>
  <c r="K2908" i="7"/>
  <c r="K2909" i="7"/>
  <c r="K2910" i="7"/>
  <c r="K2911" i="7"/>
  <c r="K2912" i="7"/>
  <c r="K2913" i="7"/>
  <c r="K2914" i="7"/>
  <c r="K2915" i="7"/>
  <c r="K2916" i="7"/>
  <c r="K2917" i="7"/>
  <c r="K2918" i="7"/>
  <c r="K2919" i="7"/>
  <c r="K2920" i="7"/>
  <c r="K2921" i="7"/>
  <c r="K2922" i="7"/>
  <c r="K2923" i="7"/>
  <c r="K2924" i="7"/>
  <c r="K2925" i="7"/>
  <c r="K2926" i="7"/>
  <c r="K2927" i="7"/>
  <c r="K2928" i="7"/>
  <c r="K2929" i="7"/>
  <c r="K2930" i="7"/>
  <c r="K2931" i="7"/>
  <c r="K2932" i="7"/>
  <c r="K2933" i="7"/>
  <c r="K2934" i="7"/>
  <c r="K2935" i="7"/>
  <c r="K2936" i="7"/>
  <c r="K2937" i="7"/>
  <c r="K2938" i="7"/>
  <c r="K2939" i="7"/>
  <c r="K2940" i="7"/>
  <c r="K2941" i="7"/>
  <c r="K2942" i="7"/>
  <c r="K2943" i="7"/>
  <c r="K2944" i="7"/>
  <c r="K2945" i="7"/>
  <c r="K2946" i="7"/>
  <c r="K2947" i="7"/>
  <c r="K2948" i="7"/>
  <c r="K2949" i="7"/>
  <c r="K2950" i="7"/>
  <c r="K2951" i="7"/>
  <c r="K2952" i="7"/>
  <c r="K2953" i="7"/>
  <c r="K2954" i="7"/>
  <c r="K2955" i="7"/>
  <c r="K2956" i="7"/>
  <c r="K2957" i="7"/>
  <c r="K2958" i="7"/>
  <c r="K2959" i="7"/>
  <c r="K2960" i="7"/>
  <c r="K2961" i="7"/>
  <c r="K2962" i="7"/>
  <c r="K2963" i="7"/>
  <c r="K2964" i="7"/>
  <c r="K2965" i="7"/>
  <c r="K2966" i="7"/>
  <c r="K2967" i="7"/>
  <c r="K2968" i="7"/>
  <c r="K2969" i="7"/>
  <c r="K2970" i="7"/>
  <c r="K2971" i="7"/>
  <c r="K2972" i="7"/>
  <c r="K2973" i="7"/>
  <c r="K2974" i="7"/>
  <c r="K2975" i="7"/>
  <c r="K2976" i="7"/>
  <c r="K2977" i="7"/>
  <c r="K2978" i="7"/>
  <c r="K2979" i="7"/>
  <c r="K2980" i="7"/>
  <c r="K2981" i="7"/>
  <c r="K2982" i="7"/>
  <c r="K2983" i="7"/>
  <c r="K2984" i="7"/>
  <c r="K2985" i="7"/>
  <c r="K2986" i="7"/>
  <c r="K2987" i="7"/>
  <c r="K2988" i="7"/>
  <c r="K2989" i="7"/>
  <c r="K2990" i="7"/>
  <c r="K2991" i="7"/>
  <c r="K2992" i="7"/>
  <c r="K2993" i="7"/>
  <c r="K2994" i="7"/>
  <c r="K2995" i="7"/>
  <c r="K2996" i="7"/>
  <c r="K2997" i="7"/>
  <c r="K2998" i="7"/>
  <c r="K2999" i="7"/>
  <c r="K3000" i="7"/>
  <c r="K3001" i="7"/>
  <c r="K3002" i="7"/>
  <c r="K3003" i="7"/>
  <c r="K3004" i="7"/>
  <c r="K3005" i="7"/>
  <c r="K3006" i="7"/>
  <c r="K3007" i="7"/>
  <c r="K3008" i="7"/>
  <c r="K3009" i="7"/>
  <c r="K3010" i="7"/>
  <c r="K3011" i="7"/>
  <c r="K3012" i="7"/>
  <c r="K3013" i="7"/>
  <c r="K3014" i="7"/>
  <c r="K3015" i="7"/>
  <c r="K3016" i="7"/>
  <c r="K3017" i="7"/>
  <c r="K3018" i="7"/>
  <c r="K3019" i="7"/>
  <c r="K3020" i="7"/>
  <c r="K3021" i="7"/>
  <c r="K3022" i="7"/>
  <c r="K3023" i="7"/>
  <c r="K3024" i="7"/>
  <c r="K3025" i="7"/>
  <c r="K3026" i="7"/>
  <c r="K3027" i="7"/>
  <c r="K3028" i="7"/>
  <c r="K3029" i="7"/>
  <c r="K3030" i="7"/>
  <c r="K3031" i="7"/>
  <c r="K3032" i="7"/>
  <c r="K3033" i="7"/>
  <c r="K3034" i="7"/>
  <c r="K3035" i="7"/>
  <c r="K3036" i="7"/>
  <c r="K3037" i="7"/>
  <c r="K3038" i="7"/>
  <c r="K3039" i="7"/>
  <c r="K3040" i="7"/>
  <c r="K3041" i="7"/>
  <c r="K3042" i="7"/>
  <c r="K3043" i="7"/>
  <c r="K3044" i="7"/>
  <c r="K3045" i="7"/>
  <c r="K3046" i="7"/>
  <c r="K3047" i="7"/>
  <c r="K3048" i="7"/>
  <c r="K3049" i="7"/>
  <c r="K3050" i="7"/>
  <c r="K3051" i="7"/>
  <c r="K3052" i="7"/>
  <c r="K3053" i="7"/>
  <c r="K3054" i="7"/>
  <c r="K3055" i="7"/>
  <c r="K3056" i="7"/>
  <c r="K3057" i="7"/>
  <c r="K3058" i="7"/>
  <c r="K3059" i="7"/>
  <c r="K3060" i="7"/>
  <c r="K3061" i="7"/>
  <c r="K3062" i="7"/>
  <c r="K3063" i="7"/>
  <c r="K3064" i="7"/>
  <c r="K3065" i="7"/>
  <c r="K3066" i="7"/>
  <c r="K3067" i="7"/>
  <c r="K3068" i="7"/>
  <c r="K3069" i="7"/>
  <c r="K3070" i="7"/>
  <c r="K3071" i="7"/>
  <c r="K3072" i="7"/>
  <c r="K3073" i="7"/>
  <c r="K3074" i="7"/>
  <c r="K3075" i="7"/>
  <c r="K3076" i="7"/>
  <c r="K3077" i="7"/>
  <c r="K3078" i="7"/>
  <c r="K3079" i="7"/>
  <c r="K3080" i="7"/>
  <c r="K3081" i="7"/>
  <c r="K3082" i="7"/>
  <c r="K3083" i="7"/>
  <c r="K3084" i="7"/>
  <c r="K3085" i="7"/>
  <c r="K3086" i="7"/>
  <c r="K3087" i="7"/>
  <c r="K3088" i="7"/>
  <c r="K3089" i="7"/>
  <c r="K3090" i="7"/>
  <c r="K3091" i="7"/>
  <c r="K3092" i="7"/>
  <c r="K3093" i="7"/>
  <c r="K3094" i="7"/>
  <c r="K3095" i="7"/>
  <c r="K3096" i="7"/>
  <c r="K3097" i="7"/>
  <c r="K3098" i="7"/>
  <c r="K3099" i="7"/>
  <c r="K3100" i="7"/>
  <c r="K3101" i="7"/>
  <c r="K3102" i="7"/>
  <c r="K3103" i="7"/>
  <c r="K3104" i="7"/>
  <c r="K3105" i="7"/>
  <c r="K3106" i="7"/>
  <c r="K3107" i="7"/>
  <c r="K3108" i="7"/>
  <c r="K3109" i="7"/>
  <c r="K3110" i="7"/>
  <c r="K3111" i="7"/>
  <c r="K3112" i="7"/>
  <c r="K3113" i="7"/>
  <c r="K3114" i="7"/>
  <c r="K3115" i="7"/>
  <c r="K3116" i="7"/>
  <c r="K3117" i="7"/>
  <c r="K3118" i="7"/>
  <c r="K3119" i="7"/>
  <c r="K3120" i="7"/>
  <c r="K3121" i="7"/>
  <c r="K3122" i="7"/>
  <c r="K3123" i="7"/>
  <c r="K3124" i="7"/>
  <c r="K3125" i="7"/>
  <c r="K3126" i="7"/>
  <c r="K3127" i="7"/>
  <c r="K3128" i="7"/>
  <c r="K3129" i="7"/>
  <c r="K3130" i="7"/>
  <c r="K3131" i="7"/>
  <c r="K3132" i="7"/>
  <c r="K3133" i="7"/>
  <c r="K3134" i="7"/>
  <c r="K3135" i="7"/>
  <c r="K3136" i="7"/>
  <c r="K3137" i="7"/>
  <c r="K3138" i="7"/>
  <c r="K3139" i="7"/>
  <c r="K3140" i="7"/>
  <c r="K3141" i="7"/>
  <c r="K3142" i="7"/>
  <c r="K3143" i="7"/>
  <c r="K3144" i="7"/>
  <c r="K3145" i="7"/>
  <c r="K3146" i="7"/>
  <c r="K3147" i="7"/>
  <c r="K3148" i="7"/>
  <c r="K3149" i="7"/>
  <c r="K3150" i="7"/>
  <c r="K3151" i="7"/>
  <c r="K3152" i="7"/>
  <c r="K3153" i="7"/>
  <c r="K3154" i="7"/>
  <c r="K3155" i="7"/>
  <c r="K3156" i="7"/>
  <c r="K3157" i="7"/>
  <c r="K3158" i="7"/>
  <c r="K3159" i="7"/>
  <c r="K3160" i="7"/>
  <c r="K3161" i="7"/>
  <c r="K3162" i="7"/>
  <c r="K3163" i="7"/>
  <c r="K3164" i="7"/>
  <c r="K3165" i="7"/>
  <c r="K3166" i="7"/>
  <c r="K3167" i="7"/>
  <c r="K3168" i="7"/>
  <c r="K3169" i="7"/>
  <c r="K3170" i="7"/>
  <c r="K3171" i="7"/>
  <c r="K3172" i="7"/>
  <c r="K3173" i="7"/>
  <c r="K3174" i="7"/>
  <c r="K3175" i="7"/>
  <c r="K3176" i="7"/>
  <c r="K3177" i="7"/>
  <c r="K3178" i="7"/>
  <c r="K3179" i="7"/>
  <c r="K3180" i="7"/>
  <c r="K3181" i="7"/>
  <c r="K3182" i="7"/>
  <c r="K3183" i="7"/>
  <c r="K3184" i="7"/>
  <c r="K3185" i="7"/>
  <c r="K3186" i="7"/>
  <c r="K3187" i="7"/>
  <c r="K3188" i="7"/>
  <c r="K3189" i="7"/>
  <c r="K3190" i="7"/>
  <c r="K3191" i="7"/>
  <c r="K3192" i="7"/>
  <c r="K3193" i="7"/>
  <c r="K3194" i="7"/>
  <c r="K3195" i="7"/>
  <c r="K3196" i="7"/>
  <c r="K3197" i="7"/>
  <c r="K3198" i="7"/>
  <c r="K3199" i="7"/>
  <c r="K3200" i="7"/>
  <c r="K3201" i="7"/>
  <c r="K3202" i="7"/>
  <c r="K3203" i="7"/>
  <c r="K3204" i="7"/>
  <c r="K3205" i="7"/>
  <c r="K3206" i="7"/>
  <c r="K3207" i="7"/>
  <c r="K3208" i="7"/>
  <c r="K3209" i="7"/>
  <c r="K3210" i="7"/>
  <c r="K3211" i="7"/>
  <c r="K3212" i="7"/>
  <c r="K3213" i="7"/>
  <c r="K3214" i="7"/>
  <c r="K3215" i="7"/>
  <c r="K3216" i="7"/>
  <c r="K3217" i="7"/>
  <c r="K3218" i="7"/>
  <c r="K3219" i="7"/>
  <c r="K3220" i="7"/>
  <c r="K3221" i="7"/>
  <c r="K3222" i="7"/>
  <c r="K3223" i="7"/>
  <c r="K3224" i="7"/>
  <c r="K3225" i="7"/>
  <c r="K3226" i="7"/>
  <c r="K3227" i="7"/>
  <c r="K3228" i="7"/>
  <c r="K3229" i="7"/>
  <c r="K3230" i="7"/>
  <c r="K3231" i="7"/>
  <c r="K3232" i="7"/>
  <c r="K3233" i="7"/>
  <c r="K3234" i="7"/>
  <c r="K3235" i="7"/>
  <c r="K3236" i="7"/>
  <c r="K3237" i="7"/>
  <c r="K3238" i="7"/>
  <c r="K3239" i="7"/>
  <c r="K3240" i="7"/>
  <c r="K3241" i="7"/>
  <c r="K3242" i="7"/>
  <c r="K3243" i="7"/>
  <c r="K3244" i="7"/>
  <c r="K3245" i="7"/>
  <c r="K3246" i="7"/>
  <c r="K3247" i="7"/>
  <c r="K3248" i="7"/>
  <c r="K3249" i="7"/>
  <c r="K3250" i="7"/>
  <c r="K3251" i="7"/>
  <c r="K3252" i="7"/>
  <c r="K3253" i="7"/>
  <c r="K3254" i="7"/>
  <c r="K3255" i="7"/>
  <c r="K3256" i="7"/>
  <c r="K3257" i="7"/>
  <c r="K3258" i="7"/>
  <c r="K3259" i="7"/>
  <c r="K3260" i="7"/>
  <c r="K3261" i="7"/>
  <c r="K3262" i="7"/>
  <c r="K3263" i="7"/>
  <c r="K3264" i="7"/>
  <c r="K3265" i="7"/>
  <c r="K3266" i="7"/>
  <c r="K3267" i="7"/>
  <c r="K3268" i="7"/>
  <c r="K3269" i="7"/>
  <c r="K3270" i="7"/>
  <c r="K3271" i="7"/>
  <c r="K3272" i="7"/>
  <c r="K3273" i="7"/>
  <c r="K3274" i="7"/>
  <c r="K3275" i="7"/>
  <c r="K3276" i="7"/>
  <c r="K3277" i="7"/>
  <c r="K3278" i="7"/>
  <c r="K3279" i="7"/>
  <c r="K3280" i="7"/>
  <c r="K3281" i="7"/>
  <c r="K3282" i="7"/>
  <c r="K3283" i="7"/>
  <c r="K3284" i="7"/>
  <c r="K3285" i="7"/>
  <c r="K3286" i="7"/>
  <c r="K3287" i="7"/>
  <c r="K3288" i="7"/>
  <c r="K3289" i="7"/>
  <c r="K3290" i="7"/>
  <c r="K3291" i="7"/>
  <c r="K3292" i="7"/>
  <c r="K3293" i="7"/>
  <c r="K3294" i="7"/>
  <c r="K3295" i="7"/>
  <c r="K3296" i="7"/>
  <c r="K3297" i="7"/>
  <c r="K3298" i="7"/>
  <c r="K3299" i="7"/>
  <c r="K3300" i="7"/>
  <c r="K3301" i="7"/>
  <c r="K3302" i="7"/>
  <c r="K3303" i="7"/>
  <c r="K3304" i="7"/>
  <c r="K3305" i="7"/>
  <c r="K3306" i="7"/>
  <c r="K3307" i="7"/>
  <c r="K3308" i="7"/>
  <c r="K3309" i="7"/>
  <c r="K3310" i="7"/>
  <c r="K3311" i="7"/>
  <c r="K3312" i="7"/>
  <c r="K3313" i="7"/>
  <c r="K3314" i="7"/>
  <c r="K3315" i="7"/>
  <c r="K3316" i="7"/>
  <c r="K3317" i="7"/>
  <c r="K3318" i="7"/>
  <c r="K3319" i="7"/>
  <c r="K3320" i="7"/>
  <c r="K3321" i="7"/>
  <c r="K3322" i="7"/>
  <c r="K3323" i="7"/>
  <c r="K3324" i="7"/>
  <c r="K3325" i="7"/>
  <c r="K3326" i="7"/>
  <c r="K3327" i="7"/>
  <c r="K3328" i="7"/>
  <c r="K3329" i="7"/>
  <c r="K3330" i="7"/>
  <c r="K3331" i="7"/>
  <c r="K3332" i="7"/>
  <c r="K3333" i="7"/>
  <c r="K3334" i="7"/>
  <c r="K3335" i="7"/>
  <c r="K3336" i="7"/>
  <c r="K3337" i="7"/>
  <c r="K3338" i="7"/>
  <c r="K3339" i="7"/>
  <c r="K3340" i="7"/>
  <c r="K3341" i="7"/>
  <c r="K3342" i="7"/>
  <c r="K3343" i="7"/>
  <c r="K3344" i="7"/>
  <c r="K3345" i="7"/>
  <c r="K3346" i="7"/>
  <c r="K3347" i="7"/>
  <c r="K3348" i="7"/>
  <c r="K3349" i="7"/>
  <c r="K3350" i="7"/>
  <c r="K3351" i="7"/>
  <c r="K3352" i="7"/>
  <c r="K3353" i="7"/>
  <c r="K3354" i="7"/>
  <c r="K3355" i="7"/>
  <c r="K3356" i="7"/>
  <c r="K3357" i="7"/>
  <c r="K3358" i="7"/>
  <c r="K3359" i="7"/>
  <c r="K3360" i="7"/>
  <c r="K3361" i="7"/>
  <c r="K3362" i="7"/>
  <c r="K3363" i="7"/>
  <c r="K3364" i="7"/>
  <c r="K3365" i="7"/>
  <c r="K3366" i="7"/>
  <c r="K3367" i="7"/>
  <c r="K3368" i="7"/>
  <c r="K3369" i="7"/>
  <c r="K3370" i="7"/>
  <c r="K3371" i="7"/>
  <c r="K3372" i="7"/>
  <c r="K3373" i="7"/>
  <c r="K3374" i="7"/>
  <c r="K3375" i="7"/>
  <c r="K3376" i="7"/>
  <c r="K3377" i="7"/>
  <c r="K3378" i="7"/>
  <c r="K3379" i="7"/>
  <c r="K3380" i="7"/>
  <c r="K3381" i="7"/>
  <c r="K3382" i="7"/>
  <c r="K3383" i="7"/>
  <c r="K3384" i="7"/>
  <c r="K3385" i="7"/>
  <c r="K3386" i="7"/>
  <c r="K3387" i="7"/>
  <c r="K3388" i="7"/>
  <c r="K3389" i="7"/>
  <c r="K3390" i="7"/>
  <c r="K3391" i="7"/>
  <c r="K3392" i="7"/>
  <c r="K3393" i="7"/>
  <c r="K3394" i="7"/>
  <c r="K3395" i="7"/>
  <c r="K3396" i="7"/>
  <c r="K3397" i="7"/>
  <c r="K3398" i="7"/>
  <c r="K3399" i="7"/>
  <c r="K3400" i="7"/>
  <c r="K3401" i="7"/>
  <c r="K3402" i="7"/>
  <c r="K3403" i="7"/>
  <c r="K3404" i="7"/>
  <c r="K3405" i="7"/>
  <c r="K3406" i="7"/>
  <c r="K3407" i="7"/>
  <c r="K3408" i="7"/>
  <c r="K3409" i="7"/>
  <c r="K3410" i="7"/>
  <c r="K3411" i="7"/>
  <c r="K3412" i="7"/>
  <c r="K3413" i="7"/>
  <c r="K3414" i="7"/>
  <c r="K3415" i="7"/>
  <c r="K3416" i="7"/>
  <c r="K3417" i="7"/>
  <c r="K3418" i="7"/>
  <c r="K3419" i="7"/>
  <c r="K3420" i="7"/>
  <c r="K3421" i="7"/>
  <c r="K3422" i="7"/>
  <c r="K3423" i="7"/>
  <c r="K3424" i="7"/>
  <c r="K3425" i="7"/>
  <c r="K3426" i="7"/>
  <c r="K3427" i="7"/>
  <c r="K3428" i="7"/>
  <c r="K3429" i="7"/>
  <c r="K3430" i="7"/>
  <c r="K3431" i="7"/>
  <c r="K3432" i="7"/>
  <c r="K3433" i="7"/>
  <c r="K3434" i="7"/>
  <c r="K3435" i="7"/>
  <c r="K3436" i="7"/>
  <c r="K3437" i="7"/>
  <c r="K3438" i="7"/>
  <c r="K3439" i="7"/>
  <c r="K3440" i="7"/>
  <c r="K3441" i="7"/>
  <c r="K3442" i="7"/>
  <c r="K3443" i="7"/>
  <c r="K3444" i="7"/>
  <c r="K3445" i="7"/>
  <c r="K3446" i="7"/>
  <c r="K3447" i="7"/>
  <c r="K3448" i="7"/>
  <c r="K3449" i="7"/>
  <c r="K3450" i="7"/>
  <c r="K3451" i="7"/>
  <c r="K3452" i="7"/>
  <c r="K3453" i="7"/>
  <c r="K3454" i="7"/>
  <c r="K3455" i="7"/>
  <c r="K3456" i="7"/>
  <c r="K3457" i="7"/>
  <c r="K3458" i="7"/>
  <c r="K3459" i="7"/>
  <c r="K3460" i="7"/>
  <c r="K3461" i="7"/>
  <c r="K3462" i="7"/>
  <c r="K3463" i="7"/>
  <c r="K3464" i="7"/>
  <c r="K3465" i="7"/>
  <c r="K3466" i="7"/>
  <c r="K3467" i="7"/>
  <c r="K3468" i="7"/>
  <c r="K3469" i="7"/>
  <c r="K3470" i="7"/>
  <c r="K3471" i="7"/>
  <c r="K3472" i="7"/>
  <c r="K3473" i="7"/>
  <c r="K3474" i="7"/>
  <c r="K3475" i="7"/>
  <c r="K3476" i="7"/>
  <c r="K3477" i="7"/>
  <c r="K3478" i="7"/>
  <c r="K3479" i="7"/>
  <c r="K3480" i="7"/>
  <c r="K3481" i="7"/>
  <c r="K3482" i="7"/>
  <c r="K3483" i="7"/>
  <c r="K3484" i="7"/>
  <c r="K3485" i="7"/>
  <c r="K3486" i="7"/>
  <c r="K3487" i="7"/>
  <c r="K3488" i="7"/>
  <c r="K3489" i="7"/>
  <c r="K3490" i="7"/>
  <c r="K3491" i="7"/>
  <c r="K3492" i="7"/>
  <c r="K3493" i="7"/>
  <c r="K3494" i="7"/>
  <c r="K3495" i="7"/>
  <c r="K3496" i="7"/>
  <c r="K3497" i="7"/>
  <c r="K3498" i="7"/>
  <c r="K3499" i="7"/>
  <c r="K3500" i="7"/>
  <c r="K3501" i="7"/>
  <c r="K3502" i="7"/>
  <c r="K3503" i="7"/>
  <c r="K3504" i="7"/>
  <c r="K3505" i="7"/>
  <c r="K3506" i="7"/>
  <c r="K3507" i="7"/>
  <c r="K3508" i="7"/>
  <c r="K3509" i="7"/>
  <c r="K3510" i="7"/>
  <c r="K3511" i="7"/>
  <c r="K3512" i="7"/>
  <c r="K3513" i="7"/>
  <c r="K3514" i="7"/>
  <c r="K3515" i="7"/>
  <c r="K3516" i="7"/>
  <c r="K3517" i="7"/>
  <c r="K3518" i="7"/>
  <c r="K3519" i="7"/>
  <c r="K3520" i="7"/>
  <c r="K3521" i="7"/>
  <c r="K3522" i="7"/>
  <c r="K3523" i="7"/>
  <c r="K3524" i="7"/>
  <c r="K3525" i="7"/>
  <c r="K3526" i="7"/>
  <c r="K3527" i="7"/>
  <c r="K3528" i="7"/>
  <c r="K3529" i="7"/>
  <c r="K3530" i="7"/>
  <c r="K3531" i="7"/>
  <c r="K3532" i="7"/>
  <c r="K3533" i="7"/>
  <c r="K3534" i="7"/>
  <c r="K3535" i="7"/>
  <c r="K3536" i="7"/>
  <c r="K3537" i="7"/>
  <c r="K3538" i="7"/>
  <c r="K3539" i="7"/>
  <c r="K3540" i="7"/>
  <c r="K3541" i="7"/>
  <c r="K3542" i="7"/>
  <c r="K3543" i="7"/>
  <c r="K3544" i="7"/>
  <c r="K3545" i="7"/>
  <c r="K3546" i="7"/>
  <c r="K3547" i="7"/>
  <c r="K3548" i="7"/>
  <c r="K3549" i="7"/>
  <c r="K3550" i="7"/>
  <c r="K3551" i="7"/>
  <c r="K3552" i="7"/>
  <c r="K3553" i="7"/>
  <c r="K3554" i="7"/>
  <c r="K3555" i="7"/>
  <c r="K3556" i="7"/>
  <c r="K3557" i="7"/>
  <c r="K3558" i="7"/>
  <c r="K3559" i="7"/>
  <c r="K3560" i="7"/>
  <c r="K3561" i="7"/>
  <c r="K3562" i="7"/>
  <c r="K3563" i="7"/>
  <c r="K3564" i="7"/>
  <c r="K3565" i="7"/>
  <c r="K3566" i="7"/>
  <c r="K3567" i="7"/>
  <c r="K3568" i="7"/>
  <c r="K3569" i="7"/>
  <c r="K3570" i="7"/>
  <c r="K3571" i="7"/>
  <c r="K3572" i="7"/>
  <c r="K3573" i="7"/>
  <c r="K3574" i="7"/>
  <c r="K3575" i="7"/>
  <c r="K3576" i="7"/>
  <c r="K3577" i="7"/>
  <c r="K3578" i="7"/>
  <c r="K3579" i="7"/>
  <c r="K3580" i="7"/>
  <c r="K3581" i="7"/>
  <c r="K3582" i="7"/>
  <c r="K3583" i="7"/>
  <c r="K3584" i="7"/>
  <c r="K3585" i="7"/>
  <c r="K3586" i="7"/>
  <c r="K3587" i="7"/>
  <c r="K3588" i="7"/>
  <c r="K3589" i="7"/>
  <c r="K3590" i="7"/>
  <c r="K3591" i="7"/>
  <c r="K3592" i="7"/>
  <c r="K3593" i="7"/>
  <c r="K3594" i="7"/>
  <c r="K3595" i="7"/>
  <c r="K3596" i="7"/>
  <c r="K3597" i="7"/>
  <c r="K3598" i="7"/>
  <c r="K3599" i="7"/>
  <c r="K3600" i="7"/>
  <c r="K3601" i="7"/>
  <c r="K3602" i="7"/>
  <c r="K3603" i="7"/>
  <c r="K3604" i="7"/>
  <c r="K3605" i="7"/>
  <c r="K3606" i="7"/>
  <c r="K3607" i="7"/>
  <c r="K3608" i="7"/>
  <c r="K3609" i="7"/>
  <c r="K3610" i="7"/>
  <c r="K3611" i="7"/>
  <c r="K3612" i="7"/>
  <c r="K3613" i="7"/>
  <c r="K3614" i="7"/>
  <c r="K3615" i="7"/>
  <c r="K3616" i="7"/>
  <c r="K3617" i="7"/>
  <c r="K3618" i="7"/>
  <c r="K3619" i="7"/>
  <c r="K3620" i="7"/>
  <c r="K3621" i="7"/>
  <c r="K3622" i="7"/>
  <c r="K3623" i="7"/>
  <c r="K3624" i="7"/>
  <c r="K3625" i="7"/>
  <c r="K3626" i="7"/>
  <c r="K3627" i="7"/>
  <c r="K3628" i="7"/>
  <c r="K3629" i="7"/>
  <c r="K3630" i="7"/>
  <c r="K3631" i="7"/>
  <c r="K3632" i="7"/>
  <c r="K3633" i="7"/>
  <c r="K3634" i="7"/>
  <c r="K3635" i="7"/>
  <c r="K3636" i="7"/>
  <c r="K3637" i="7"/>
  <c r="K3638" i="7"/>
  <c r="K3639" i="7"/>
  <c r="K3640" i="7"/>
  <c r="K3641" i="7"/>
  <c r="K3642" i="7"/>
  <c r="K3643" i="7"/>
  <c r="K3644" i="7"/>
  <c r="K3645" i="7"/>
  <c r="K3646" i="7"/>
  <c r="K3647" i="7"/>
  <c r="K3648" i="7"/>
  <c r="K3649" i="7"/>
  <c r="K3650" i="7"/>
  <c r="K3651" i="7"/>
  <c r="K3652" i="7"/>
  <c r="K3653" i="7"/>
  <c r="K3654" i="7"/>
  <c r="K3655" i="7"/>
  <c r="K3656" i="7"/>
  <c r="K3657" i="7"/>
  <c r="K3658" i="7"/>
  <c r="K3659" i="7"/>
  <c r="K3660" i="7"/>
  <c r="K3661" i="7"/>
  <c r="K3662" i="7"/>
  <c r="K3663" i="7"/>
  <c r="K3664" i="7"/>
  <c r="K3665" i="7"/>
  <c r="K3666" i="7"/>
  <c r="K3667" i="7"/>
  <c r="K3668" i="7"/>
  <c r="K3669" i="7"/>
  <c r="K3670" i="7"/>
  <c r="K3671" i="7"/>
  <c r="K3672" i="7"/>
  <c r="K3673" i="7"/>
  <c r="K3674" i="7"/>
  <c r="K3675" i="7"/>
  <c r="K3676" i="7"/>
  <c r="K3677" i="7"/>
  <c r="K3678" i="7"/>
  <c r="K3679" i="7"/>
  <c r="K3680" i="7"/>
  <c r="K3681" i="7"/>
  <c r="K3682" i="7"/>
  <c r="K3683" i="7"/>
  <c r="K3684" i="7"/>
  <c r="K3685" i="7"/>
  <c r="K3686" i="7"/>
  <c r="K3687" i="7"/>
  <c r="K3688" i="7"/>
  <c r="K3689" i="7"/>
  <c r="K3690" i="7"/>
  <c r="K3691" i="7"/>
  <c r="K3692" i="7"/>
  <c r="K3693" i="7"/>
  <c r="K3694" i="7"/>
  <c r="K3695" i="7"/>
  <c r="K3696" i="7"/>
  <c r="K3697" i="7"/>
  <c r="K3698" i="7"/>
  <c r="K3699" i="7"/>
  <c r="K3700" i="7"/>
  <c r="K3701" i="7"/>
  <c r="K3702" i="7"/>
  <c r="K3703" i="7"/>
  <c r="K3704" i="7"/>
  <c r="K3705" i="7"/>
  <c r="K3706" i="7"/>
  <c r="K3707" i="7"/>
  <c r="K3708" i="7"/>
  <c r="K3709" i="7"/>
  <c r="K3710" i="7"/>
  <c r="K3711" i="7"/>
  <c r="K3712" i="7"/>
  <c r="K3713" i="7"/>
  <c r="K3714" i="7"/>
  <c r="K3715" i="7"/>
  <c r="K3716" i="7"/>
  <c r="K3717" i="7"/>
  <c r="K3718" i="7"/>
  <c r="K3719" i="7"/>
  <c r="K3720" i="7"/>
  <c r="K3721" i="7"/>
  <c r="K3722" i="7"/>
  <c r="K3723" i="7"/>
  <c r="K3724" i="7"/>
  <c r="K3725" i="7"/>
  <c r="K3726" i="7"/>
  <c r="K3727" i="7"/>
  <c r="K3728" i="7"/>
  <c r="K3729" i="7"/>
  <c r="K3730" i="7"/>
  <c r="K3731" i="7"/>
  <c r="K3732" i="7"/>
  <c r="K3733" i="7"/>
  <c r="K3734" i="7"/>
  <c r="K3735" i="7"/>
  <c r="K3736" i="7"/>
  <c r="K3737" i="7"/>
  <c r="K3738" i="7"/>
  <c r="K3739" i="7"/>
  <c r="K3740" i="7"/>
  <c r="K3741" i="7"/>
  <c r="K3742" i="7"/>
  <c r="K3743" i="7"/>
  <c r="K3744" i="7"/>
  <c r="K3745" i="7"/>
  <c r="K3746" i="7"/>
  <c r="K3747" i="7"/>
  <c r="K3748" i="7"/>
  <c r="K3749" i="7"/>
  <c r="K3750" i="7"/>
  <c r="K3751" i="7"/>
  <c r="K3752" i="7"/>
  <c r="K3753" i="7"/>
  <c r="K3754" i="7"/>
  <c r="K3755" i="7"/>
  <c r="K3756" i="7"/>
  <c r="K3757" i="7"/>
  <c r="K3758" i="7"/>
  <c r="K3759" i="7"/>
  <c r="K3760" i="7"/>
  <c r="K3761" i="7"/>
  <c r="K3762" i="7"/>
  <c r="K3763" i="7"/>
  <c r="K3764" i="7"/>
  <c r="K3765" i="7"/>
  <c r="K3766" i="7"/>
  <c r="K3767" i="7"/>
  <c r="K3768" i="7"/>
  <c r="K3769" i="7"/>
  <c r="K3770" i="7"/>
  <c r="K3771" i="7"/>
  <c r="K3772" i="7"/>
  <c r="K3773" i="7"/>
  <c r="K3774" i="7"/>
  <c r="K3775" i="7"/>
  <c r="K3776" i="7"/>
  <c r="K3777" i="7"/>
  <c r="K3778" i="7"/>
  <c r="K3779" i="7"/>
  <c r="K3780" i="7"/>
  <c r="K3781" i="7"/>
  <c r="K3782" i="7"/>
  <c r="K3783" i="7"/>
  <c r="K3784" i="7"/>
  <c r="K3785" i="7"/>
  <c r="K3786" i="7"/>
  <c r="K3787" i="7"/>
  <c r="K3788" i="7"/>
  <c r="K3789" i="7"/>
  <c r="K3790" i="7"/>
  <c r="K3791" i="7"/>
  <c r="K3792" i="7"/>
  <c r="K3793" i="7"/>
  <c r="K3794" i="7"/>
  <c r="K3795" i="7"/>
  <c r="K3796" i="7"/>
  <c r="K3797" i="7"/>
  <c r="K3798" i="7"/>
  <c r="K3799" i="7"/>
  <c r="K3800" i="7"/>
  <c r="K3801" i="7"/>
  <c r="K3802" i="7"/>
  <c r="K3803" i="7"/>
  <c r="K3804" i="7"/>
  <c r="K3805" i="7"/>
  <c r="K3806" i="7"/>
  <c r="K3807" i="7"/>
  <c r="K3808" i="7"/>
  <c r="K3809" i="7"/>
  <c r="K3810" i="7"/>
  <c r="K3811" i="7"/>
  <c r="K3812" i="7"/>
  <c r="K3813" i="7"/>
  <c r="K3814" i="7"/>
  <c r="K3815" i="7"/>
  <c r="K3816" i="7"/>
  <c r="K3817" i="7"/>
  <c r="K3818" i="7"/>
  <c r="K3819" i="7"/>
  <c r="K3820" i="7"/>
  <c r="K3821" i="7"/>
  <c r="K3822" i="7"/>
  <c r="K3823" i="7"/>
  <c r="K3824" i="7"/>
  <c r="K3825" i="7"/>
  <c r="K3826" i="7"/>
  <c r="K3827" i="7"/>
  <c r="K3828" i="7"/>
  <c r="K3829" i="7"/>
  <c r="K3830" i="7"/>
  <c r="K3831" i="7"/>
  <c r="K3832" i="7"/>
  <c r="K3833" i="7"/>
  <c r="K3834" i="7"/>
  <c r="K3835" i="7"/>
  <c r="K3836" i="7"/>
  <c r="K3837" i="7"/>
  <c r="K3838" i="7"/>
  <c r="K3839" i="7"/>
  <c r="K3840" i="7"/>
  <c r="K3841" i="7"/>
  <c r="K3842" i="7"/>
  <c r="K3843" i="7"/>
  <c r="K3844" i="7"/>
  <c r="K3845" i="7"/>
  <c r="K3846" i="7"/>
  <c r="K3847" i="7"/>
  <c r="K3848" i="7"/>
  <c r="K3849" i="7"/>
  <c r="K3850" i="7"/>
  <c r="K3851" i="7"/>
  <c r="K3852" i="7"/>
  <c r="K3853" i="7"/>
  <c r="K3854" i="7"/>
  <c r="K3855" i="7"/>
  <c r="K3856" i="7"/>
  <c r="K3857" i="7"/>
  <c r="K3858" i="7"/>
  <c r="K3859" i="7"/>
  <c r="K3860" i="7"/>
  <c r="K3861" i="7"/>
  <c r="K3862" i="7"/>
  <c r="K3863" i="7"/>
  <c r="K3864" i="7"/>
  <c r="K3865" i="7"/>
  <c r="K3866" i="7"/>
  <c r="K3867" i="7"/>
  <c r="K3868" i="7"/>
  <c r="K3869" i="7"/>
  <c r="K3870" i="7"/>
  <c r="K3871" i="7"/>
  <c r="K3872" i="7"/>
  <c r="K3873" i="7"/>
  <c r="K3874" i="7"/>
  <c r="K3875" i="7"/>
  <c r="K3876" i="7"/>
  <c r="K3877" i="7"/>
  <c r="K3878" i="7"/>
  <c r="K3879" i="7"/>
  <c r="K3880" i="7"/>
  <c r="K3881" i="7"/>
  <c r="K3882" i="7"/>
  <c r="K3883" i="7"/>
  <c r="K3884" i="7"/>
  <c r="K3885" i="7"/>
  <c r="K3886" i="7"/>
  <c r="K3887" i="7"/>
  <c r="K3888" i="7"/>
  <c r="K3889" i="7"/>
  <c r="K3890" i="7"/>
  <c r="K3891" i="7"/>
  <c r="K3892" i="7"/>
  <c r="K3893" i="7"/>
  <c r="K3894" i="7"/>
  <c r="K3895" i="7"/>
  <c r="K3896" i="7"/>
  <c r="K3897" i="7"/>
  <c r="K3898" i="7"/>
  <c r="K3899" i="7"/>
  <c r="K3900" i="7"/>
  <c r="K3901" i="7"/>
  <c r="K3902" i="7"/>
  <c r="K3903" i="7"/>
  <c r="K3904" i="7"/>
  <c r="K3905" i="7"/>
  <c r="K3906" i="7"/>
  <c r="K3907" i="7"/>
  <c r="K3908" i="7"/>
  <c r="K3909" i="7"/>
  <c r="K3910" i="7"/>
  <c r="K3911" i="7"/>
  <c r="K3912" i="7"/>
  <c r="K3913" i="7"/>
  <c r="K3914" i="7"/>
  <c r="K3915" i="7"/>
  <c r="K3916" i="7"/>
  <c r="K3917" i="7"/>
  <c r="K3918" i="7"/>
  <c r="K3919" i="7"/>
  <c r="K3920" i="7"/>
  <c r="K3921" i="7"/>
  <c r="K3922" i="7"/>
  <c r="K3923" i="7"/>
  <c r="K3924" i="7"/>
  <c r="K3925" i="7"/>
  <c r="K3926" i="7"/>
  <c r="K3927" i="7"/>
  <c r="K3928" i="7"/>
  <c r="K3929" i="7"/>
  <c r="K3930" i="7"/>
  <c r="K3931" i="7"/>
  <c r="K3932" i="7"/>
  <c r="K3933" i="7"/>
  <c r="K3934" i="7"/>
  <c r="K3935" i="7"/>
  <c r="K3936" i="7"/>
  <c r="K3937" i="7"/>
  <c r="K3938" i="7"/>
  <c r="K3939" i="7"/>
  <c r="K3940" i="7"/>
  <c r="K3941" i="7"/>
  <c r="K3942" i="7"/>
  <c r="K3943" i="7"/>
  <c r="K3944" i="7"/>
  <c r="K3945" i="7"/>
  <c r="K3946" i="7"/>
  <c r="K3947" i="7"/>
  <c r="K3948" i="7"/>
  <c r="K3949" i="7"/>
  <c r="K3950" i="7"/>
  <c r="K3951" i="7"/>
  <c r="K3952" i="7"/>
  <c r="K3953" i="7"/>
  <c r="K3954" i="7"/>
  <c r="K3955" i="7"/>
  <c r="K3956" i="7"/>
  <c r="K3957" i="7"/>
  <c r="K3958" i="7"/>
  <c r="K3959" i="7"/>
  <c r="K3960" i="7"/>
  <c r="K3961" i="7"/>
  <c r="K3962" i="7"/>
  <c r="K3963" i="7"/>
  <c r="K3964" i="7"/>
  <c r="K3965" i="7"/>
  <c r="K3966" i="7"/>
  <c r="K3967" i="7"/>
  <c r="K3968" i="7"/>
  <c r="K3969" i="7"/>
  <c r="K3970" i="7"/>
  <c r="K3971" i="7"/>
  <c r="K3972" i="7"/>
  <c r="K3973" i="7"/>
  <c r="K3974" i="7"/>
  <c r="K3975" i="7"/>
  <c r="K3976" i="7"/>
  <c r="K3977" i="7"/>
  <c r="K3978" i="7"/>
  <c r="K3979" i="7"/>
  <c r="K3980" i="7"/>
  <c r="K3981" i="7"/>
  <c r="K3982" i="7"/>
  <c r="K3983" i="7"/>
  <c r="K3984" i="7"/>
  <c r="K3985" i="7"/>
  <c r="K3986" i="7"/>
  <c r="K3987" i="7"/>
  <c r="K3988" i="7"/>
  <c r="K3989" i="7"/>
  <c r="K3990" i="7"/>
  <c r="K3991" i="7"/>
  <c r="K3992" i="7"/>
  <c r="K3993" i="7"/>
  <c r="K3994" i="7"/>
  <c r="K3995" i="7"/>
  <c r="K3996" i="7"/>
  <c r="K3997" i="7"/>
  <c r="K3998" i="7"/>
  <c r="K3999" i="7"/>
  <c r="K4000" i="7"/>
  <c r="K4001" i="7"/>
  <c r="K4002" i="7"/>
  <c r="K4003" i="7"/>
  <c r="K4004" i="7"/>
  <c r="K4005" i="7"/>
  <c r="K4006" i="7"/>
  <c r="K4007" i="7"/>
  <c r="K4008" i="7"/>
  <c r="K4009" i="7"/>
  <c r="K4010" i="7"/>
  <c r="K4011" i="7"/>
  <c r="K4012" i="7"/>
  <c r="K4013" i="7"/>
  <c r="K4014" i="7"/>
  <c r="K4015" i="7"/>
  <c r="K4016" i="7"/>
  <c r="K4017" i="7"/>
  <c r="K4018" i="7"/>
  <c r="K4019" i="7"/>
  <c r="K4020" i="7"/>
  <c r="K4021" i="7"/>
  <c r="K4022" i="7"/>
  <c r="K4023" i="7"/>
  <c r="K4024" i="7"/>
  <c r="K4025" i="7"/>
  <c r="K4026" i="7"/>
  <c r="K4027" i="7"/>
  <c r="K4028" i="7"/>
  <c r="K4029" i="7"/>
  <c r="K4030" i="7"/>
  <c r="K4031" i="7"/>
  <c r="K4032" i="7"/>
  <c r="K4033" i="7"/>
  <c r="K4034" i="7"/>
  <c r="K4035" i="7"/>
  <c r="K4036" i="7"/>
  <c r="K4037" i="7"/>
  <c r="K4038" i="7"/>
  <c r="K4039" i="7"/>
  <c r="K4040" i="7"/>
  <c r="K4041" i="7"/>
  <c r="K4042" i="7"/>
  <c r="K4043" i="7"/>
  <c r="K4044" i="7"/>
  <c r="K4045" i="7"/>
  <c r="K4046" i="7"/>
  <c r="K4047" i="7"/>
  <c r="K4048" i="7"/>
  <c r="K4049" i="7"/>
  <c r="K4050" i="7"/>
  <c r="K4051" i="7"/>
  <c r="K4052" i="7"/>
  <c r="K4053" i="7"/>
  <c r="K4054" i="7"/>
  <c r="K4055" i="7"/>
  <c r="K4056" i="7"/>
  <c r="K4057" i="7"/>
  <c r="K4058" i="7"/>
  <c r="K4059" i="7"/>
  <c r="K4060" i="7"/>
  <c r="K4061" i="7"/>
  <c r="K4062" i="7"/>
  <c r="K4063" i="7"/>
  <c r="K4064" i="7"/>
  <c r="K4065" i="7"/>
  <c r="K4066" i="7"/>
  <c r="K4067" i="7"/>
  <c r="K4068" i="7"/>
  <c r="K4069" i="7"/>
  <c r="K4070" i="7"/>
  <c r="K4071" i="7"/>
  <c r="K4072" i="7"/>
  <c r="K4073" i="7"/>
  <c r="K4074" i="7"/>
  <c r="K4075" i="7"/>
  <c r="K4076" i="7"/>
  <c r="K4077" i="7"/>
  <c r="K4078" i="7"/>
  <c r="K4079" i="7"/>
  <c r="K4080" i="7"/>
  <c r="K4081" i="7"/>
  <c r="K4082" i="7"/>
  <c r="K4083" i="7"/>
  <c r="K4084" i="7"/>
  <c r="K4085" i="7"/>
  <c r="K4086" i="7"/>
  <c r="K4087" i="7"/>
  <c r="K4088" i="7"/>
  <c r="K4089" i="7"/>
  <c r="K4090" i="7"/>
  <c r="K4091" i="7"/>
  <c r="K4092" i="7"/>
  <c r="K4093" i="7"/>
  <c r="K4094" i="7"/>
  <c r="K4095" i="7"/>
  <c r="K4096" i="7"/>
  <c r="K4097" i="7"/>
  <c r="K4098" i="7"/>
  <c r="K4099" i="7"/>
  <c r="K4100" i="7"/>
  <c r="K4101" i="7"/>
  <c r="K4102" i="7"/>
  <c r="K4103" i="7"/>
  <c r="K4104" i="7"/>
  <c r="K4105" i="7"/>
  <c r="K4106" i="7"/>
  <c r="K4107" i="7"/>
  <c r="K4108" i="7"/>
  <c r="K4109" i="7"/>
  <c r="K4110" i="7"/>
  <c r="K4111" i="7"/>
  <c r="K4112" i="7"/>
  <c r="K4113" i="7"/>
  <c r="K4114" i="7"/>
  <c r="K4115" i="7"/>
  <c r="K4116" i="7"/>
  <c r="K4117" i="7"/>
  <c r="K4118" i="7"/>
  <c r="K4119" i="7"/>
  <c r="K4120" i="7"/>
  <c r="K4121" i="7"/>
  <c r="K4122" i="7"/>
  <c r="K4123" i="7"/>
  <c r="K4124" i="7"/>
  <c r="K4125" i="7"/>
  <c r="K4126" i="7"/>
  <c r="K4127" i="7"/>
  <c r="K4128" i="7"/>
  <c r="K4129" i="7"/>
  <c r="K4130" i="7"/>
  <c r="K4131" i="7"/>
  <c r="K4132" i="7"/>
  <c r="K4133" i="7"/>
  <c r="K4134" i="7"/>
  <c r="K4135" i="7"/>
  <c r="K4136" i="7"/>
  <c r="K4137" i="7"/>
  <c r="K4138" i="7"/>
  <c r="K4139" i="7"/>
  <c r="K4140" i="7"/>
  <c r="K4141" i="7"/>
  <c r="K4142" i="7"/>
  <c r="K4143" i="7"/>
  <c r="K4144" i="7"/>
  <c r="K4145" i="7"/>
  <c r="K4146" i="7"/>
  <c r="K4147" i="7"/>
  <c r="K4148" i="7"/>
  <c r="K4149" i="7"/>
  <c r="K4150" i="7"/>
  <c r="K4151" i="7"/>
  <c r="K4152" i="7"/>
  <c r="K4153" i="7"/>
  <c r="K4154" i="7"/>
  <c r="K4155" i="7"/>
  <c r="K4156" i="7"/>
  <c r="K4157" i="7"/>
  <c r="K4158" i="7"/>
  <c r="K4159" i="7"/>
  <c r="K4160" i="7"/>
  <c r="K4161" i="7"/>
  <c r="K4162" i="7"/>
  <c r="K4163" i="7"/>
  <c r="K4164" i="7"/>
  <c r="K4165" i="7"/>
  <c r="K4166" i="7"/>
  <c r="K4167" i="7"/>
  <c r="K4168" i="7"/>
  <c r="K4169" i="7"/>
  <c r="K4170" i="7"/>
  <c r="K4171" i="7"/>
  <c r="K4172" i="7"/>
  <c r="K4173" i="7"/>
  <c r="K4174" i="7"/>
  <c r="K4175" i="7"/>
  <c r="K4176" i="7"/>
  <c r="K4177" i="7"/>
  <c r="K4178" i="7"/>
  <c r="K4179" i="7"/>
  <c r="K4180" i="7"/>
  <c r="K4181" i="7"/>
  <c r="K4182" i="7"/>
  <c r="K4183" i="7"/>
  <c r="K4184" i="7"/>
  <c r="K4185" i="7"/>
  <c r="K4186" i="7"/>
  <c r="K4187" i="7"/>
  <c r="K4188" i="7"/>
  <c r="K4189" i="7"/>
  <c r="K4190" i="7"/>
  <c r="K4191" i="7"/>
  <c r="K4192" i="7"/>
  <c r="K4193" i="7"/>
  <c r="K4194" i="7"/>
  <c r="K4195" i="7"/>
  <c r="K4196" i="7"/>
  <c r="K4197" i="7"/>
  <c r="K4198" i="7"/>
  <c r="K4199" i="7"/>
  <c r="K4200" i="7"/>
  <c r="K4201" i="7"/>
  <c r="K4202" i="7"/>
  <c r="K4203" i="7"/>
  <c r="K4204" i="7"/>
  <c r="K4205" i="7"/>
  <c r="K4206" i="7"/>
  <c r="K4207" i="7"/>
  <c r="K4208" i="7"/>
  <c r="K4209" i="7"/>
  <c r="K4210" i="7"/>
  <c r="K4211" i="7"/>
  <c r="K4212" i="7"/>
  <c r="K4213" i="7"/>
  <c r="K4214" i="7"/>
  <c r="K4215" i="7"/>
  <c r="K4216" i="7"/>
  <c r="K4217" i="7"/>
  <c r="K4218" i="7"/>
  <c r="K4219" i="7"/>
  <c r="K4220" i="7"/>
  <c r="K4221" i="7"/>
  <c r="K4222" i="7"/>
  <c r="K4223" i="7"/>
  <c r="K4224" i="7"/>
  <c r="K4225" i="7"/>
  <c r="K4226" i="7"/>
  <c r="K4227" i="7"/>
  <c r="K4228" i="7"/>
  <c r="K4229" i="7"/>
  <c r="K4230" i="7"/>
  <c r="K4231" i="7"/>
  <c r="K4232" i="7"/>
  <c r="K4233" i="7"/>
  <c r="K4234" i="7"/>
  <c r="K4235" i="7"/>
  <c r="K4236" i="7"/>
  <c r="K4237" i="7"/>
  <c r="K4238" i="7"/>
  <c r="K4239" i="7"/>
  <c r="K4240" i="7"/>
  <c r="K4241" i="7"/>
  <c r="K4242" i="7"/>
  <c r="K4243" i="7"/>
  <c r="K4244" i="7"/>
  <c r="K4245" i="7"/>
  <c r="K4246" i="7"/>
  <c r="K4247" i="7"/>
  <c r="K4248" i="7"/>
  <c r="K4249" i="7"/>
  <c r="K4250" i="7"/>
  <c r="K4251" i="7"/>
  <c r="K4252" i="7"/>
  <c r="K4253" i="7"/>
  <c r="K4254" i="7"/>
  <c r="K4255" i="7"/>
  <c r="K4256" i="7"/>
  <c r="K4257" i="7"/>
  <c r="K4258" i="7"/>
  <c r="K4259" i="7"/>
  <c r="K4260" i="7"/>
  <c r="K4261" i="7"/>
  <c r="K4262" i="7"/>
  <c r="K4263" i="7"/>
  <c r="K4264" i="7"/>
  <c r="K4265" i="7"/>
  <c r="K4266" i="7"/>
  <c r="K4267" i="7"/>
  <c r="K4268" i="7"/>
  <c r="K4269" i="7"/>
  <c r="K4270" i="7"/>
  <c r="K4271" i="7"/>
  <c r="K4272" i="7"/>
  <c r="K4273" i="7"/>
  <c r="K4274" i="7"/>
  <c r="K4275" i="7"/>
  <c r="K4276" i="7"/>
  <c r="K4277" i="7"/>
  <c r="K4278" i="7"/>
  <c r="K4279" i="7"/>
  <c r="K4280" i="7"/>
  <c r="K4281" i="7"/>
  <c r="K4282" i="7"/>
  <c r="K4283" i="7"/>
  <c r="K4284" i="7"/>
  <c r="K4285" i="7"/>
  <c r="K4286" i="7"/>
  <c r="K4287" i="7"/>
  <c r="K4288" i="7"/>
  <c r="K4289" i="7"/>
  <c r="K4290" i="7"/>
  <c r="K4291" i="7"/>
  <c r="K4292" i="7"/>
  <c r="K4293" i="7"/>
  <c r="K4294" i="7"/>
  <c r="K4295" i="7"/>
  <c r="K4296" i="7"/>
  <c r="K4297" i="7"/>
  <c r="K4298" i="7"/>
  <c r="K4299" i="7"/>
  <c r="K4300" i="7"/>
  <c r="K4301" i="7"/>
  <c r="K4302" i="7"/>
  <c r="K4303" i="7"/>
  <c r="K4304" i="7"/>
  <c r="K4305" i="7"/>
  <c r="K4306" i="7"/>
  <c r="K4307" i="7"/>
  <c r="K4308" i="7"/>
  <c r="K4309" i="7"/>
  <c r="K4310" i="7"/>
  <c r="K4311" i="7"/>
  <c r="K4312" i="7"/>
  <c r="K4313" i="7"/>
  <c r="K4314" i="7"/>
  <c r="K4315" i="7"/>
  <c r="K4316" i="7"/>
  <c r="K4317" i="7"/>
  <c r="K4318" i="7"/>
  <c r="K4319" i="7"/>
  <c r="K4320" i="7"/>
  <c r="K4321" i="7"/>
  <c r="K4322" i="7"/>
  <c r="K4323" i="7"/>
  <c r="K4324" i="7"/>
  <c r="K4325" i="7"/>
  <c r="K4326" i="7"/>
  <c r="K4327" i="7"/>
  <c r="K4328" i="7"/>
  <c r="K4329" i="7"/>
  <c r="K4330" i="7"/>
  <c r="K4331" i="7"/>
  <c r="K4332" i="7"/>
  <c r="K4333" i="7"/>
  <c r="K4334" i="7"/>
  <c r="K4335" i="7"/>
  <c r="K4336" i="7"/>
  <c r="K4337" i="7"/>
  <c r="K4338" i="7"/>
  <c r="K4339" i="7"/>
  <c r="K4340" i="7"/>
  <c r="K4341" i="7"/>
  <c r="K4342" i="7"/>
  <c r="K4343" i="7"/>
  <c r="K4344" i="7"/>
  <c r="K4345" i="7"/>
  <c r="K4346" i="7"/>
  <c r="K4347" i="7"/>
  <c r="K4348" i="7"/>
  <c r="K4349" i="7"/>
  <c r="K4350" i="7"/>
  <c r="K4351" i="7"/>
  <c r="K4352" i="7"/>
  <c r="K4353" i="7"/>
  <c r="K4354" i="7"/>
  <c r="K4355" i="7"/>
  <c r="K4356" i="7"/>
  <c r="K4357" i="7"/>
  <c r="K4358" i="7"/>
  <c r="K4359" i="7"/>
  <c r="K4360" i="7"/>
  <c r="K4361" i="7"/>
  <c r="K4362" i="7"/>
  <c r="K4363" i="7"/>
  <c r="K4364" i="7"/>
  <c r="K4365" i="7"/>
  <c r="K4366" i="7"/>
  <c r="K4367" i="7"/>
  <c r="K4368" i="7"/>
  <c r="K4369" i="7"/>
  <c r="K4370" i="7"/>
  <c r="K4371" i="7"/>
  <c r="K4372" i="7"/>
  <c r="K4373" i="7"/>
  <c r="K4374" i="7"/>
  <c r="K4375" i="7"/>
  <c r="K4376" i="7"/>
  <c r="K4377" i="7"/>
  <c r="K4378" i="7"/>
  <c r="K4379" i="7"/>
  <c r="K4380" i="7"/>
  <c r="K4381" i="7"/>
  <c r="K4382" i="7"/>
  <c r="K4383" i="7"/>
  <c r="K4384" i="7"/>
  <c r="K4385" i="7"/>
  <c r="K4386" i="7"/>
  <c r="K4387" i="7"/>
  <c r="K4388" i="7"/>
  <c r="K4389" i="7"/>
  <c r="K4390" i="7"/>
  <c r="K4391" i="7"/>
  <c r="K4392" i="7"/>
  <c r="K4393" i="7"/>
  <c r="K4394" i="7"/>
  <c r="K4395" i="7"/>
  <c r="K4396" i="7"/>
  <c r="K4397" i="7"/>
  <c r="K4398" i="7"/>
  <c r="K4399" i="7"/>
  <c r="K4400" i="7"/>
  <c r="K4401" i="7"/>
  <c r="K4402" i="7"/>
  <c r="K4403" i="7"/>
  <c r="K4404" i="7"/>
  <c r="K4405" i="7"/>
  <c r="K4406" i="7"/>
  <c r="K4407" i="7"/>
  <c r="K4408" i="7"/>
  <c r="K4409" i="7"/>
  <c r="K4410" i="7"/>
  <c r="K4411" i="7"/>
  <c r="K4412" i="7"/>
  <c r="K4413" i="7"/>
  <c r="K4414" i="7"/>
  <c r="K4415" i="7"/>
  <c r="K4416" i="7"/>
  <c r="K4417" i="7"/>
  <c r="K4418" i="7"/>
  <c r="K4419" i="7"/>
  <c r="K4420" i="7"/>
  <c r="K4421" i="7"/>
  <c r="K4422" i="7"/>
  <c r="K4423" i="7"/>
  <c r="K4424" i="7"/>
  <c r="K4425" i="7"/>
  <c r="K4426" i="7"/>
  <c r="K4427" i="7"/>
  <c r="K4428" i="7"/>
  <c r="K4429" i="7"/>
  <c r="K4430" i="7"/>
  <c r="K4431" i="7"/>
  <c r="K4432" i="7"/>
  <c r="K4433" i="7"/>
  <c r="K4434" i="7"/>
  <c r="K4435" i="7"/>
  <c r="K4436" i="7"/>
  <c r="K4437" i="7"/>
  <c r="K4438" i="7"/>
  <c r="K4439" i="7"/>
  <c r="K4440" i="7"/>
  <c r="K4441" i="7"/>
  <c r="K4442" i="7"/>
  <c r="K4443" i="7"/>
  <c r="K4444" i="7"/>
  <c r="K4445" i="7"/>
  <c r="K4446" i="7"/>
  <c r="K4447" i="7"/>
  <c r="K4448" i="7"/>
  <c r="K4449" i="7"/>
  <c r="K4450" i="7"/>
  <c r="K4451" i="7"/>
  <c r="K4452" i="7"/>
  <c r="K4453" i="7"/>
  <c r="K4454" i="7"/>
  <c r="K4455" i="7"/>
  <c r="K4456" i="7"/>
  <c r="K4457" i="7"/>
  <c r="K4458" i="7"/>
  <c r="K4459" i="7"/>
  <c r="K4460" i="7"/>
  <c r="K4461" i="7"/>
  <c r="K4462" i="7"/>
  <c r="K4463" i="7"/>
  <c r="K4464" i="7"/>
  <c r="K4465" i="7"/>
  <c r="K4466" i="7"/>
  <c r="K4467" i="7"/>
  <c r="K4468" i="7"/>
  <c r="K4469" i="7"/>
  <c r="K4470" i="7"/>
  <c r="K4471" i="7"/>
  <c r="K4472" i="7"/>
  <c r="K4473" i="7"/>
  <c r="K4474" i="7"/>
  <c r="K4475" i="7"/>
  <c r="K4476" i="7"/>
  <c r="K4477" i="7"/>
  <c r="K4478" i="7"/>
  <c r="K4479" i="7"/>
  <c r="K4480" i="7"/>
  <c r="K4481" i="7"/>
  <c r="K4482" i="7"/>
  <c r="K4483" i="7"/>
  <c r="K4484" i="7"/>
  <c r="K4485" i="7"/>
  <c r="K4486" i="7"/>
  <c r="K4487" i="7"/>
  <c r="K4488" i="7"/>
  <c r="K4489" i="7"/>
  <c r="K4490" i="7"/>
  <c r="K4491" i="7"/>
  <c r="K4492" i="7"/>
  <c r="K4493" i="7"/>
  <c r="K4494" i="7"/>
  <c r="K4495" i="7"/>
  <c r="K4496" i="7"/>
  <c r="K4497" i="7"/>
  <c r="K4498" i="7"/>
  <c r="K4499" i="7"/>
  <c r="K4500" i="7"/>
  <c r="K4501" i="7"/>
  <c r="K4502" i="7"/>
  <c r="K4503" i="7"/>
  <c r="K4504" i="7"/>
  <c r="K4505" i="7"/>
  <c r="K4506" i="7"/>
  <c r="K4507" i="7"/>
  <c r="K4508" i="7"/>
  <c r="K4509" i="7"/>
  <c r="K4510" i="7"/>
  <c r="K4511" i="7"/>
  <c r="K4512" i="7"/>
  <c r="K4513" i="7"/>
  <c r="K4514" i="7"/>
  <c r="K4515" i="7"/>
  <c r="K4516" i="7"/>
  <c r="K4517" i="7"/>
  <c r="K4518" i="7"/>
  <c r="K4519" i="7"/>
  <c r="K4520" i="7"/>
  <c r="K4521" i="7"/>
  <c r="K4522" i="7"/>
  <c r="K4523" i="7"/>
  <c r="K4524" i="7"/>
  <c r="K4525" i="7"/>
  <c r="K4526" i="7"/>
  <c r="K4527" i="7"/>
  <c r="K4528" i="7"/>
  <c r="K4529" i="7"/>
  <c r="K4530" i="7"/>
  <c r="K4531" i="7"/>
  <c r="K4532" i="7"/>
  <c r="K4533" i="7"/>
  <c r="K4534" i="7"/>
  <c r="K4535" i="7"/>
  <c r="K4536" i="7"/>
  <c r="K4537" i="7"/>
  <c r="K4538" i="7"/>
  <c r="K4539" i="7"/>
  <c r="K4540" i="7"/>
  <c r="K4541" i="7"/>
  <c r="K4542" i="7"/>
  <c r="K4543" i="7"/>
  <c r="K4544" i="7"/>
  <c r="K4545" i="7"/>
  <c r="K4546" i="7"/>
  <c r="K4547" i="7"/>
  <c r="K4548" i="7"/>
  <c r="K4549" i="7"/>
  <c r="K4550" i="7"/>
  <c r="K4551" i="7"/>
  <c r="K4552" i="7"/>
  <c r="K4553" i="7"/>
  <c r="K4554" i="7"/>
  <c r="K4555" i="7"/>
  <c r="K4556" i="7"/>
  <c r="K4557" i="7"/>
  <c r="K4558" i="7"/>
  <c r="K4559" i="7"/>
  <c r="K4560" i="7"/>
  <c r="K4561" i="7"/>
  <c r="K4562" i="7"/>
  <c r="K4563" i="7"/>
  <c r="K4564" i="7"/>
  <c r="K4565" i="7"/>
  <c r="K4566" i="7"/>
  <c r="K4567" i="7"/>
  <c r="K4568" i="7"/>
  <c r="K4569" i="7"/>
  <c r="K4570" i="7"/>
  <c r="K4571" i="7"/>
  <c r="K4572" i="7"/>
  <c r="K4573" i="7"/>
  <c r="K4574" i="7"/>
  <c r="K4575" i="7"/>
  <c r="K4576" i="7"/>
  <c r="K4577" i="7"/>
  <c r="K4578" i="7"/>
  <c r="K4579" i="7"/>
  <c r="K4580" i="7"/>
  <c r="K4581" i="7"/>
  <c r="K4582" i="7"/>
  <c r="K4583" i="7"/>
  <c r="K4584" i="7"/>
  <c r="K4585" i="7"/>
  <c r="K4586" i="7"/>
  <c r="K4587" i="7"/>
  <c r="K4588" i="7"/>
  <c r="K4589" i="7"/>
  <c r="K4590" i="7"/>
  <c r="K4591" i="7"/>
  <c r="K4592" i="7"/>
  <c r="K4593" i="7"/>
  <c r="K4594" i="7"/>
  <c r="K4595" i="7"/>
  <c r="K4596" i="7"/>
  <c r="K4597" i="7"/>
  <c r="K4598" i="7"/>
  <c r="K4599" i="7"/>
  <c r="K4600" i="7"/>
  <c r="K4601" i="7"/>
  <c r="K4602" i="7"/>
  <c r="K4603" i="7"/>
  <c r="K4604" i="7"/>
  <c r="K4605" i="7"/>
  <c r="K4606" i="7"/>
  <c r="K4607" i="7"/>
  <c r="K4608" i="7"/>
  <c r="K4609" i="7"/>
  <c r="K4610" i="7"/>
  <c r="K4611" i="7"/>
  <c r="K4612" i="7"/>
  <c r="K4613" i="7"/>
  <c r="K4614" i="7"/>
  <c r="K4615" i="7"/>
  <c r="K4616" i="7"/>
  <c r="K4617" i="7"/>
  <c r="K4618" i="7"/>
  <c r="K4619" i="7"/>
  <c r="K4620" i="7"/>
  <c r="K4621" i="7"/>
  <c r="K4622" i="7"/>
  <c r="K4623" i="7"/>
  <c r="K4624" i="7"/>
  <c r="K4625" i="7"/>
  <c r="K4626" i="7"/>
  <c r="K4627" i="7"/>
  <c r="K4628" i="7"/>
  <c r="K4629" i="7"/>
  <c r="K4630" i="7"/>
  <c r="K4631" i="7"/>
  <c r="K4632" i="7"/>
  <c r="K4633" i="7"/>
  <c r="K4634" i="7"/>
  <c r="K4635" i="7"/>
  <c r="K4636" i="7"/>
  <c r="K4637" i="7"/>
  <c r="K4638" i="7"/>
  <c r="K4639" i="7"/>
  <c r="K4640" i="7"/>
  <c r="K4641" i="7"/>
  <c r="K4642" i="7"/>
  <c r="K4643" i="7"/>
  <c r="K4644" i="7"/>
  <c r="K4645" i="7"/>
  <c r="K4646" i="7"/>
  <c r="K4647" i="7"/>
  <c r="K4648" i="7"/>
  <c r="K4649" i="7"/>
  <c r="K4650" i="7"/>
  <c r="K4651" i="7"/>
  <c r="K4652" i="7"/>
  <c r="K4653" i="7"/>
  <c r="K4654" i="7"/>
  <c r="K4655" i="7"/>
  <c r="K4656" i="7"/>
  <c r="K4657" i="7"/>
  <c r="K4658" i="7"/>
  <c r="K4659" i="7"/>
  <c r="K4660" i="7"/>
  <c r="K4661" i="7"/>
  <c r="K4662" i="7"/>
  <c r="K4663" i="7"/>
  <c r="K4664" i="7"/>
  <c r="K4665" i="7"/>
  <c r="K4666" i="7"/>
  <c r="K4667" i="7"/>
  <c r="K4668" i="7"/>
  <c r="K4669" i="7"/>
  <c r="K4670" i="7"/>
  <c r="K4671" i="7"/>
  <c r="K4672" i="7"/>
  <c r="K4673" i="7"/>
  <c r="K4674" i="7"/>
  <c r="K4675" i="7"/>
  <c r="K4676" i="7"/>
  <c r="K4677" i="7"/>
  <c r="K4678" i="7"/>
  <c r="K4679" i="7"/>
  <c r="K4680" i="7"/>
  <c r="K4681" i="7"/>
  <c r="K4682" i="7"/>
  <c r="K4683" i="7"/>
  <c r="K4684" i="7"/>
  <c r="K4685" i="7"/>
  <c r="K4686" i="7"/>
  <c r="K4687" i="7"/>
  <c r="K4688" i="7"/>
  <c r="K4689" i="7"/>
  <c r="K4690" i="7"/>
  <c r="K4691" i="7"/>
  <c r="K4692" i="7"/>
  <c r="K4693" i="7"/>
  <c r="K4694" i="7"/>
  <c r="K4695" i="7"/>
  <c r="K4696" i="7"/>
  <c r="K4697" i="7"/>
  <c r="K4698" i="7"/>
  <c r="K4699" i="7"/>
  <c r="K4700" i="7"/>
  <c r="K4701" i="7"/>
  <c r="K4702" i="7"/>
  <c r="K4703" i="7"/>
  <c r="K4704" i="7"/>
  <c r="K4705" i="7"/>
  <c r="K4706" i="7"/>
  <c r="K4707" i="7"/>
  <c r="K4708" i="7"/>
  <c r="K4709" i="7"/>
  <c r="K4710" i="7"/>
  <c r="K4711" i="7"/>
  <c r="K4712" i="7"/>
  <c r="K4713" i="7"/>
  <c r="K4714" i="7"/>
  <c r="K4715" i="7"/>
  <c r="K4716" i="7"/>
  <c r="K4717" i="7"/>
  <c r="K4718" i="7"/>
  <c r="K4719" i="7"/>
  <c r="K4720" i="7"/>
  <c r="K4721" i="7"/>
  <c r="K4722" i="7"/>
  <c r="K4723" i="7"/>
  <c r="K4724" i="7"/>
  <c r="K4725" i="7"/>
  <c r="K4726" i="7"/>
  <c r="K4727" i="7"/>
  <c r="K4728" i="7"/>
  <c r="K4729" i="7"/>
  <c r="K4730" i="7"/>
  <c r="K4731" i="7"/>
  <c r="K4732" i="7"/>
  <c r="K4733" i="7"/>
  <c r="K4734" i="7"/>
  <c r="K4735" i="7"/>
  <c r="K4736" i="7"/>
  <c r="K4737" i="7"/>
  <c r="K4738" i="7"/>
  <c r="K4739" i="7"/>
  <c r="K4740" i="7"/>
  <c r="K4741" i="7"/>
  <c r="K4742" i="7"/>
  <c r="K4743" i="7"/>
  <c r="K4744" i="7"/>
  <c r="K4745" i="7"/>
  <c r="K4746" i="7"/>
  <c r="K4747" i="7"/>
  <c r="K4748" i="7"/>
  <c r="K4749" i="7"/>
  <c r="K4750" i="7"/>
  <c r="K4751" i="7"/>
  <c r="K4752" i="7"/>
  <c r="K4753" i="7"/>
  <c r="K4754" i="7"/>
  <c r="K4755" i="7"/>
  <c r="K4756" i="7"/>
  <c r="K4757" i="7"/>
  <c r="K4758" i="7"/>
  <c r="K4759" i="7"/>
  <c r="K4760" i="7"/>
  <c r="K4761" i="7"/>
  <c r="K4762" i="7"/>
  <c r="K4763" i="7"/>
  <c r="K4764" i="7"/>
  <c r="K4765" i="7"/>
  <c r="K4766" i="7"/>
  <c r="K4767" i="7"/>
  <c r="K4768" i="7"/>
  <c r="K4769" i="7"/>
  <c r="K4770" i="7"/>
  <c r="K4771" i="7"/>
  <c r="K4772" i="7"/>
  <c r="K4773" i="7"/>
  <c r="K4774" i="7"/>
  <c r="K4775" i="7"/>
  <c r="K4776" i="7"/>
  <c r="K4777" i="7"/>
  <c r="K4778" i="7"/>
  <c r="K4779" i="7"/>
  <c r="K4780" i="7"/>
  <c r="K4781" i="7"/>
  <c r="K4782" i="7"/>
  <c r="K4783" i="7"/>
  <c r="K4784" i="7"/>
  <c r="K4785" i="7"/>
  <c r="K4786" i="7"/>
  <c r="K4787" i="7"/>
  <c r="K4788" i="7"/>
  <c r="K4789" i="7"/>
  <c r="K4790" i="7"/>
  <c r="K4791" i="7"/>
  <c r="K4792" i="7"/>
  <c r="K4793" i="7"/>
  <c r="K4794" i="7"/>
  <c r="K4795" i="7"/>
  <c r="K4796" i="7"/>
  <c r="K4797" i="7"/>
  <c r="K4798" i="7"/>
  <c r="K4799" i="7"/>
  <c r="K4800" i="7"/>
  <c r="K4801" i="7"/>
  <c r="K4802" i="7"/>
  <c r="K4803" i="7"/>
  <c r="K4804" i="7"/>
  <c r="K4805" i="7"/>
  <c r="K4806" i="7"/>
  <c r="K4807" i="7"/>
  <c r="K4808" i="7"/>
  <c r="K4809" i="7"/>
  <c r="K4810" i="7"/>
  <c r="K4811" i="7"/>
  <c r="K4812" i="7"/>
  <c r="K4813" i="7"/>
  <c r="K4814" i="7"/>
  <c r="K4815" i="7"/>
  <c r="K4816" i="7"/>
  <c r="K4817" i="7"/>
  <c r="K4818" i="7"/>
  <c r="K4819" i="7"/>
  <c r="K4820" i="7"/>
  <c r="K4821" i="7"/>
  <c r="K4822" i="7"/>
  <c r="K4823" i="7"/>
  <c r="K4824" i="7"/>
  <c r="K4825" i="7"/>
  <c r="K4826" i="7"/>
  <c r="K4827" i="7"/>
  <c r="K4828" i="7"/>
  <c r="K4829" i="7"/>
  <c r="K4830" i="7"/>
  <c r="K4831" i="7"/>
  <c r="K4832" i="7"/>
  <c r="K4833" i="7"/>
  <c r="K4834" i="7"/>
  <c r="K4835" i="7"/>
  <c r="K4836" i="7"/>
  <c r="K4837" i="7"/>
  <c r="K4838" i="7"/>
  <c r="K4839" i="7"/>
  <c r="K4840" i="7"/>
  <c r="K4841" i="7"/>
  <c r="K4842" i="7"/>
  <c r="K4843" i="7"/>
  <c r="K4844" i="7"/>
  <c r="K4845" i="7"/>
  <c r="K4846" i="7"/>
  <c r="K4847" i="7"/>
  <c r="K4848" i="7"/>
  <c r="K4849" i="7"/>
  <c r="K4850" i="7"/>
  <c r="K4851" i="7"/>
  <c r="K4852" i="7"/>
  <c r="K4853" i="7"/>
  <c r="K4854" i="7"/>
  <c r="K4855" i="7"/>
  <c r="K4856" i="7"/>
  <c r="K4857" i="7"/>
  <c r="K4858" i="7"/>
  <c r="K4859" i="7"/>
  <c r="K4860" i="7"/>
  <c r="K4861" i="7"/>
  <c r="K4862" i="7"/>
  <c r="K4863" i="7"/>
  <c r="K4864" i="7"/>
  <c r="K4865" i="7"/>
  <c r="K4866" i="7"/>
  <c r="K4867" i="7"/>
  <c r="K4868" i="7"/>
  <c r="K4869" i="7"/>
  <c r="K4870" i="7"/>
  <c r="K4871" i="7"/>
  <c r="K4872" i="7"/>
  <c r="K4873" i="7"/>
  <c r="K4874" i="7"/>
  <c r="K4875" i="7"/>
  <c r="K4876" i="7"/>
  <c r="K4877" i="7"/>
  <c r="K4878" i="7"/>
  <c r="K4879" i="7"/>
  <c r="K4880" i="7"/>
  <c r="K4881" i="7"/>
  <c r="K4882" i="7"/>
  <c r="K4883" i="7"/>
  <c r="K4884" i="7"/>
  <c r="K4885" i="7"/>
  <c r="K4886" i="7"/>
  <c r="K4887" i="7"/>
  <c r="K4888" i="7"/>
  <c r="K4889" i="7"/>
  <c r="K4890" i="7"/>
  <c r="K4891" i="7"/>
  <c r="K4892" i="7"/>
  <c r="K4893" i="7"/>
  <c r="K4894" i="7"/>
  <c r="K4895" i="7"/>
  <c r="K4896" i="7"/>
  <c r="K4897" i="7"/>
  <c r="K4898" i="7"/>
  <c r="K4899" i="7"/>
  <c r="K4900" i="7"/>
  <c r="K4901" i="7"/>
  <c r="K4902" i="7"/>
  <c r="K4903" i="7"/>
  <c r="K4904" i="7"/>
  <c r="K4905" i="7"/>
  <c r="K4906" i="7"/>
  <c r="K4907" i="7"/>
  <c r="K4908" i="7"/>
  <c r="K4909" i="7"/>
  <c r="K4910" i="7"/>
  <c r="K4911" i="7"/>
  <c r="K4912" i="7"/>
  <c r="K4913" i="7"/>
  <c r="K4914" i="7"/>
  <c r="K4915" i="7"/>
  <c r="K4916" i="7"/>
  <c r="K4917" i="7"/>
  <c r="K4918" i="7"/>
  <c r="K4919" i="7"/>
  <c r="K4920" i="7"/>
  <c r="K4921" i="7"/>
  <c r="K4922" i="7"/>
  <c r="K4923" i="7"/>
  <c r="K4924" i="7"/>
  <c r="K4925" i="7"/>
  <c r="K4926" i="7"/>
  <c r="K4927" i="7"/>
  <c r="K4928" i="7"/>
  <c r="K4929" i="7"/>
  <c r="K4930" i="7"/>
  <c r="K4931" i="7"/>
  <c r="K4932" i="7"/>
  <c r="K4933" i="7"/>
  <c r="K4934" i="7"/>
  <c r="K4935" i="7"/>
  <c r="K4936" i="7"/>
  <c r="K4937" i="7"/>
  <c r="K4938" i="7"/>
  <c r="K4939" i="7"/>
  <c r="K4940" i="7"/>
  <c r="K4941" i="7"/>
  <c r="K4942" i="7"/>
  <c r="K4943" i="7"/>
  <c r="K4944" i="7"/>
  <c r="K4945" i="7"/>
  <c r="K4946" i="7"/>
  <c r="K4947" i="7"/>
  <c r="K4948" i="7"/>
  <c r="K4949" i="7"/>
  <c r="K4950" i="7"/>
  <c r="K4951" i="7"/>
  <c r="K4952" i="7"/>
  <c r="K4953" i="7"/>
  <c r="K4954" i="7"/>
  <c r="K4955" i="7"/>
  <c r="K4956" i="7"/>
  <c r="K4957" i="7"/>
  <c r="K4958" i="7"/>
  <c r="K4959" i="7"/>
  <c r="K4960" i="7"/>
  <c r="K4961" i="7"/>
  <c r="K4962" i="7"/>
  <c r="K4963" i="7"/>
  <c r="K4964" i="7"/>
  <c r="K4965" i="7"/>
  <c r="K4966" i="7"/>
  <c r="K4967" i="7"/>
  <c r="K4968" i="7"/>
  <c r="K4969" i="7"/>
  <c r="K4970" i="7"/>
  <c r="K4971" i="7"/>
  <c r="K4972" i="7"/>
  <c r="K4973" i="7"/>
  <c r="K4974" i="7"/>
  <c r="K4975" i="7"/>
  <c r="K4976" i="7"/>
  <c r="K4977" i="7"/>
  <c r="K4978" i="7"/>
  <c r="K4979" i="7"/>
  <c r="K4980" i="7"/>
  <c r="K4981" i="7"/>
  <c r="K4982" i="7"/>
  <c r="K4983" i="7"/>
  <c r="K4984" i="7"/>
  <c r="K4985" i="7"/>
  <c r="K4986" i="7"/>
  <c r="K4987" i="7"/>
  <c r="K4988" i="7"/>
  <c r="K4989" i="7"/>
  <c r="K4990" i="7"/>
  <c r="K4991" i="7"/>
  <c r="K4992" i="7"/>
  <c r="K4993" i="7"/>
  <c r="K4994" i="7"/>
  <c r="K4995" i="7"/>
  <c r="K4996" i="7"/>
  <c r="K4997" i="7"/>
  <c r="K4998" i="7"/>
  <c r="K4999" i="7"/>
  <c r="K5000" i="7"/>
  <c r="K5001" i="7"/>
  <c r="K5002" i="7"/>
  <c r="K5003" i="7"/>
  <c r="K5004" i="7"/>
  <c r="K5005" i="7"/>
  <c r="K5006" i="7"/>
  <c r="K5007" i="7"/>
  <c r="K5008" i="7"/>
  <c r="K5009" i="7"/>
  <c r="K5010" i="7"/>
  <c r="K5011" i="7"/>
  <c r="K5012" i="7"/>
  <c r="K5013" i="7"/>
  <c r="K5014" i="7"/>
  <c r="K5015" i="7"/>
  <c r="K5016" i="7"/>
  <c r="K5017" i="7"/>
  <c r="K5018" i="7"/>
  <c r="K5019" i="7"/>
  <c r="K5020" i="7"/>
  <c r="K5021" i="7"/>
  <c r="K5022" i="7"/>
  <c r="K5023" i="7"/>
  <c r="K5024" i="7"/>
  <c r="K5025" i="7"/>
  <c r="K5026" i="7"/>
  <c r="K5027" i="7"/>
  <c r="K5028" i="7"/>
  <c r="K5029" i="7"/>
  <c r="K5030" i="7"/>
  <c r="K5031" i="7"/>
  <c r="K5032" i="7"/>
  <c r="K5033" i="7"/>
  <c r="K5034" i="7"/>
  <c r="K5035" i="7"/>
  <c r="K5036" i="7"/>
  <c r="K5037" i="7"/>
  <c r="K5038" i="7"/>
  <c r="K5039" i="7"/>
  <c r="K5040" i="7"/>
  <c r="K5041" i="7"/>
  <c r="K5042" i="7"/>
  <c r="K5043" i="7"/>
  <c r="K5044" i="7"/>
  <c r="K5045" i="7"/>
  <c r="K5046" i="7"/>
  <c r="K5047" i="7"/>
  <c r="K5048" i="7"/>
  <c r="K5049" i="7"/>
  <c r="K5050" i="7"/>
  <c r="K5051" i="7"/>
  <c r="K5052" i="7"/>
  <c r="K5053" i="7"/>
  <c r="K5054" i="7"/>
  <c r="K5055" i="7"/>
  <c r="K5056" i="7"/>
  <c r="K5057" i="7"/>
  <c r="K5058" i="7"/>
  <c r="K5059" i="7"/>
  <c r="K5060" i="7"/>
  <c r="K5061" i="7"/>
  <c r="K5062" i="7"/>
  <c r="K5063" i="7"/>
  <c r="K5064" i="7"/>
  <c r="K5065" i="7"/>
  <c r="K5066" i="7"/>
  <c r="K5067" i="7"/>
  <c r="K5068" i="7"/>
  <c r="K5069" i="7"/>
  <c r="K5070" i="7"/>
  <c r="K5071" i="7"/>
  <c r="K5072" i="7"/>
  <c r="K5073" i="7"/>
  <c r="K5074" i="7"/>
  <c r="K5075" i="7"/>
  <c r="K5076" i="7"/>
  <c r="K5077" i="7"/>
  <c r="K5078" i="7"/>
  <c r="K5079" i="7"/>
  <c r="K5080" i="7"/>
  <c r="K5081" i="7"/>
  <c r="K5082" i="7"/>
  <c r="K5083" i="7"/>
  <c r="K5084" i="7"/>
  <c r="K5085" i="7"/>
  <c r="K5086" i="7"/>
  <c r="K5087" i="7"/>
  <c r="K5088" i="7"/>
  <c r="K5089" i="7"/>
  <c r="K5090" i="7"/>
  <c r="K5091" i="7"/>
  <c r="K5092" i="7"/>
  <c r="K5093" i="7"/>
  <c r="K5094" i="7"/>
  <c r="K5095" i="7"/>
  <c r="K5096" i="7"/>
  <c r="K5097" i="7"/>
  <c r="K5098" i="7"/>
  <c r="K5099" i="7"/>
  <c r="K5100" i="7"/>
  <c r="K5101" i="7"/>
  <c r="K5102" i="7"/>
  <c r="K5103" i="7"/>
  <c r="K5104" i="7"/>
  <c r="K5105" i="7"/>
  <c r="K5106" i="7"/>
  <c r="K5107" i="7"/>
  <c r="K5108" i="7"/>
  <c r="K5109" i="7"/>
  <c r="K5110" i="7"/>
  <c r="K5111" i="7"/>
  <c r="K5112" i="7"/>
  <c r="K5113" i="7"/>
  <c r="K5114" i="7"/>
  <c r="K5115" i="7"/>
  <c r="K5116" i="7"/>
  <c r="K5117" i="7"/>
  <c r="K5118" i="7"/>
  <c r="K5119" i="7"/>
  <c r="K5120" i="7"/>
  <c r="K5121" i="7"/>
  <c r="K5122" i="7"/>
  <c r="K5123" i="7"/>
  <c r="K5124" i="7"/>
  <c r="K5125" i="7"/>
  <c r="K5126" i="7"/>
  <c r="K5127" i="7"/>
  <c r="K5128" i="7"/>
  <c r="K5129" i="7"/>
  <c r="K5130" i="7"/>
  <c r="K5131" i="7"/>
  <c r="K5132" i="7"/>
  <c r="K5133" i="7"/>
  <c r="K5134" i="7"/>
  <c r="K5135" i="7"/>
  <c r="K5136" i="7"/>
  <c r="K5137" i="7"/>
  <c r="K5138" i="7"/>
  <c r="K5139" i="7"/>
  <c r="K5140" i="7"/>
  <c r="K5141" i="7"/>
  <c r="K5142" i="7"/>
  <c r="K5143" i="7"/>
  <c r="K5144" i="7"/>
  <c r="K5145" i="7"/>
  <c r="K5146" i="7"/>
  <c r="K5147" i="7"/>
  <c r="K5148" i="7"/>
  <c r="K5149" i="7"/>
  <c r="K5150" i="7"/>
  <c r="K5151" i="7"/>
  <c r="K5152" i="7"/>
  <c r="K5153" i="7"/>
  <c r="K5154" i="7"/>
  <c r="K5155" i="7"/>
  <c r="K5156" i="7"/>
  <c r="K5157" i="7"/>
  <c r="K5158" i="7"/>
  <c r="K5159" i="7"/>
  <c r="K5160" i="7"/>
  <c r="K5161" i="7"/>
  <c r="K5162" i="7"/>
  <c r="K5163" i="7"/>
  <c r="K5164" i="7"/>
  <c r="K5165" i="7"/>
  <c r="K5166" i="7"/>
  <c r="K5167" i="7"/>
  <c r="K5168" i="7"/>
  <c r="K5169" i="7"/>
  <c r="K5170" i="7"/>
  <c r="K5171" i="7"/>
  <c r="K5172" i="7"/>
  <c r="K5173" i="7"/>
  <c r="K5174" i="7"/>
  <c r="K5175" i="7"/>
  <c r="K5176" i="7"/>
  <c r="K5177" i="7"/>
  <c r="K5178" i="7"/>
  <c r="K5179" i="7"/>
  <c r="K5180" i="7"/>
  <c r="K5181" i="7"/>
  <c r="K5182" i="7"/>
  <c r="K5183" i="7"/>
  <c r="K5184" i="7"/>
  <c r="K5185" i="7"/>
  <c r="K5186" i="7"/>
  <c r="K5187" i="7"/>
  <c r="K5188" i="7"/>
  <c r="K5189" i="7"/>
  <c r="K5190" i="7"/>
  <c r="K5191" i="7"/>
  <c r="K5192" i="7"/>
  <c r="K5193" i="7"/>
  <c r="K5194" i="7"/>
  <c r="K5195" i="7"/>
  <c r="K5196" i="7"/>
  <c r="K5197" i="7"/>
  <c r="K5198" i="7"/>
  <c r="K5199" i="7"/>
  <c r="K5200" i="7"/>
  <c r="K5201" i="7"/>
  <c r="K5202" i="7"/>
  <c r="K5203" i="7"/>
  <c r="K5204" i="7"/>
  <c r="K5205" i="7"/>
  <c r="K5206" i="7"/>
  <c r="K5207" i="7"/>
  <c r="K5208" i="7"/>
  <c r="K5209" i="7"/>
  <c r="K5210" i="7"/>
  <c r="K5211" i="7"/>
  <c r="K5212" i="7"/>
  <c r="K5213" i="7"/>
  <c r="K5214" i="7"/>
  <c r="K5215" i="7"/>
  <c r="K5216" i="7"/>
  <c r="K5217" i="7"/>
  <c r="K5218" i="7"/>
  <c r="K5219" i="7"/>
  <c r="K5220" i="7"/>
  <c r="K5221" i="7"/>
  <c r="K5222" i="7"/>
  <c r="K5223" i="7"/>
  <c r="K5224" i="7"/>
  <c r="K5225" i="7"/>
  <c r="K5226" i="7"/>
  <c r="K5227" i="7"/>
  <c r="K5228" i="7"/>
  <c r="K5229" i="7"/>
  <c r="K5230" i="7"/>
  <c r="K5231" i="7"/>
  <c r="K5232" i="7"/>
  <c r="K5233" i="7"/>
  <c r="K5234" i="7"/>
  <c r="K5235" i="7"/>
  <c r="K5236" i="7"/>
  <c r="K5237" i="7"/>
  <c r="K5238" i="7"/>
  <c r="K5239" i="7"/>
  <c r="K5240" i="7"/>
  <c r="K5241" i="7"/>
  <c r="K5242" i="7"/>
  <c r="K5243" i="7"/>
  <c r="K5244" i="7"/>
  <c r="K5245" i="7"/>
  <c r="K5246" i="7"/>
  <c r="K5247" i="7"/>
  <c r="K5248" i="7"/>
  <c r="K5249" i="7"/>
  <c r="K5250" i="7"/>
  <c r="K5251" i="7"/>
  <c r="K5252" i="7"/>
  <c r="K5253" i="7"/>
  <c r="K5254" i="7"/>
  <c r="K5255" i="7"/>
  <c r="K5256" i="7"/>
  <c r="K5257" i="7"/>
  <c r="K5258" i="7"/>
  <c r="K5259" i="7"/>
  <c r="K5260" i="7"/>
  <c r="K5261" i="7"/>
  <c r="K5262" i="7"/>
  <c r="K5263" i="7"/>
  <c r="K5264" i="7"/>
  <c r="K5265" i="7"/>
  <c r="K5266" i="7"/>
  <c r="K5267" i="7"/>
  <c r="K5268" i="7"/>
  <c r="K5269" i="7"/>
  <c r="K5270" i="7"/>
  <c r="K5271" i="7"/>
  <c r="K5272" i="7"/>
  <c r="K5273" i="7"/>
  <c r="K5274" i="7"/>
  <c r="K5275" i="7"/>
  <c r="K5276" i="7"/>
  <c r="K5277" i="7"/>
  <c r="K5278" i="7"/>
  <c r="K5279" i="7"/>
  <c r="K5280" i="7"/>
  <c r="K5281" i="7"/>
  <c r="K5282" i="7"/>
  <c r="K5283" i="7"/>
  <c r="K5284" i="7"/>
  <c r="K5285" i="7"/>
  <c r="K5286" i="7"/>
  <c r="K5287" i="7"/>
  <c r="K5288" i="7"/>
  <c r="K5289" i="7"/>
  <c r="K5290" i="7"/>
  <c r="K5291" i="7"/>
  <c r="K5292" i="7"/>
  <c r="K5293" i="7"/>
  <c r="K5294" i="7"/>
  <c r="K5295" i="7"/>
  <c r="K5296" i="7"/>
  <c r="K5297" i="7"/>
  <c r="K5298" i="7"/>
  <c r="K5299" i="7"/>
  <c r="K5300" i="7"/>
  <c r="K5301" i="7"/>
  <c r="K5302" i="7"/>
  <c r="K5303" i="7"/>
  <c r="K5304" i="7"/>
  <c r="K5305" i="7"/>
  <c r="K5306" i="7"/>
  <c r="K5307" i="7"/>
  <c r="K5308" i="7"/>
  <c r="K5309" i="7"/>
  <c r="K5310" i="7"/>
  <c r="K5311" i="7"/>
  <c r="K5312" i="7"/>
  <c r="K5313" i="7"/>
  <c r="K5314" i="7"/>
  <c r="K5315" i="7"/>
  <c r="K5316" i="7"/>
  <c r="K5317" i="7"/>
  <c r="K5318" i="7"/>
  <c r="K5319" i="7"/>
  <c r="K5320" i="7"/>
  <c r="K5321" i="7"/>
  <c r="K5322" i="7"/>
  <c r="K5323" i="7"/>
  <c r="K5324" i="7"/>
  <c r="K5325" i="7"/>
  <c r="K5326" i="7"/>
  <c r="K5327" i="7"/>
  <c r="K5328" i="7"/>
  <c r="K5329" i="7"/>
  <c r="K5330" i="7"/>
  <c r="K5331" i="7"/>
  <c r="K5332" i="7"/>
  <c r="K5333" i="7"/>
  <c r="K5334" i="7"/>
  <c r="K5335" i="7"/>
  <c r="K5336" i="7"/>
  <c r="K5337" i="7"/>
  <c r="K5338" i="7"/>
  <c r="K5339" i="7"/>
  <c r="K5340" i="7"/>
  <c r="K5341" i="7"/>
  <c r="K5342" i="7"/>
  <c r="K5343" i="7"/>
  <c r="K5344" i="7"/>
  <c r="K5345" i="7"/>
  <c r="K5346" i="7"/>
  <c r="K5347" i="7"/>
  <c r="K5348" i="7"/>
  <c r="K5349" i="7"/>
  <c r="K5350" i="7"/>
  <c r="K5351" i="7"/>
  <c r="K5352" i="7"/>
  <c r="K5353" i="7"/>
  <c r="K5354" i="7"/>
  <c r="K5355" i="7"/>
  <c r="K5356" i="7"/>
  <c r="K5357" i="7"/>
  <c r="K5358" i="7"/>
  <c r="K5359" i="7"/>
  <c r="K5360" i="7"/>
  <c r="K5361" i="7"/>
  <c r="K5362" i="7"/>
  <c r="K5363" i="7"/>
  <c r="K5364" i="7"/>
  <c r="K5365" i="7"/>
  <c r="K5366" i="7"/>
  <c r="K5367" i="7"/>
  <c r="K5368" i="7"/>
  <c r="K5369" i="7"/>
  <c r="K5370" i="7"/>
  <c r="K5371" i="7"/>
  <c r="K5372" i="7"/>
  <c r="K5373" i="7"/>
  <c r="K5374" i="7"/>
  <c r="K5375" i="7"/>
  <c r="K5376" i="7"/>
  <c r="K5377" i="7"/>
  <c r="K5378" i="7"/>
  <c r="K5379" i="7"/>
  <c r="K5380" i="7"/>
  <c r="K5381" i="7"/>
  <c r="K5382" i="7"/>
  <c r="K5383" i="7"/>
  <c r="K5384" i="7"/>
  <c r="K5385" i="7"/>
  <c r="K5386" i="7"/>
  <c r="K5387" i="7"/>
  <c r="K5388" i="7"/>
  <c r="K5389" i="7"/>
  <c r="K5390" i="7"/>
  <c r="K5391" i="7"/>
  <c r="K5392" i="7"/>
  <c r="K5393" i="7"/>
  <c r="K5394" i="7"/>
  <c r="K5395" i="7"/>
  <c r="K5396" i="7"/>
  <c r="K5397" i="7"/>
  <c r="K5398" i="7"/>
  <c r="K5399" i="7"/>
  <c r="K5400" i="7"/>
  <c r="K5401" i="7"/>
  <c r="K5402" i="7"/>
  <c r="K5403" i="7"/>
  <c r="K5404" i="7"/>
  <c r="K5405" i="7"/>
  <c r="K5406" i="7"/>
  <c r="K5407" i="7"/>
  <c r="K5408" i="7"/>
  <c r="K5409" i="7"/>
  <c r="K5410" i="7"/>
  <c r="K5411" i="7"/>
  <c r="K5412" i="7"/>
  <c r="K5413" i="7"/>
  <c r="K5414" i="7"/>
  <c r="K5415" i="7"/>
  <c r="K5416" i="7"/>
  <c r="K5417" i="7"/>
  <c r="K5418" i="7"/>
  <c r="K5419" i="7"/>
  <c r="K5420" i="7"/>
  <c r="K5421" i="7"/>
  <c r="K5422" i="7"/>
  <c r="K5423" i="7"/>
  <c r="K5424" i="7"/>
  <c r="K5425" i="7"/>
  <c r="K5426" i="7"/>
  <c r="K5427" i="7"/>
  <c r="K5428" i="7"/>
  <c r="K5429" i="7"/>
  <c r="K5430" i="7"/>
  <c r="K5431" i="7"/>
  <c r="K5432" i="7"/>
  <c r="K5433" i="7"/>
  <c r="K5434" i="7"/>
  <c r="K5435" i="7"/>
  <c r="K5436" i="7"/>
  <c r="K5437" i="7"/>
  <c r="K5438" i="7"/>
  <c r="K5439" i="7"/>
  <c r="K5440" i="7"/>
  <c r="K5441" i="7"/>
  <c r="K5442" i="7"/>
  <c r="K5443" i="7"/>
  <c r="K5444" i="7"/>
  <c r="K5445" i="7"/>
  <c r="K5446" i="7"/>
  <c r="K5447" i="7"/>
  <c r="K5448" i="7"/>
  <c r="K5449" i="7"/>
  <c r="K5450" i="7"/>
  <c r="K5451" i="7"/>
  <c r="K5452" i="7"/>
  <c r="K5453" i="7"/>
  <c r="K5454" i="7"/>
  <c r="K5455" i="7"/>
  <c r="K5456" i="7"/>
  <c r="K5457" i="7"/>
  <c r="K5458" i="7"/>
  <c r="K5459" i="7"/>
  <c r="K5460" i="7"/>
  <c r="K5461" i="7"/>
  <c r="K5462" i="7"/>
  <c r="K5463" i="7"/>
  <c r="K5464" i="7"/>
  <c r="K5465" i="7"/>
  <c r="K5466" i="7"/>
  <c r="K5467" i="7"/>
  <c r="K5468" i="7"/>
  <c r="K5469" i="7"/>
  <c r="K5470" i="7"/>
  <c r="K5471" i="7"/>
  <c r="K5472" i="7"/>
  <c r="K5473" i="7"/>
  <c r="K5474" i="7"/>
  <c r="K5475" i="7"/>
  <c r="K5476" i="7"/>
  <c r="K5477" i="7"/>
  <c r="K5478" i="7"/>
  <c r="K5479" i="7"/>
  <c r="K5480" i="7"/>
  <c r="K5481" i="7"/>
  <c r="K5482" i="7"/>
  <c r="K5483" i="7"/>
  <c r="K5484" i="7"/>
  <c r="K5485" i="7"/>
  <c r="K5486" i="7"/>
  <c r="K5487" i="7"/>
  <c r="K5488" i="7"/>
  <c r="K5489" i="7"/>
  <c r="K5490" i="7"/>
  <c r="K5491" i="7"/>
  <c r="K5492" i="7"/>
  <c r="K5493" i="7"/>
  <c r="K5494" i="7"/>
  <c r="K5495" i="7"/>
  <c r="K5496" i="7"/>
  <c r="K5497" i="7"/>
  <c r="K5498" i="7"/>
  <c r="K5499" i="7"/>
  <c r="K5500" i="7"/>
  <c r="K5501" i="7"/>
  <c r="K5502" i="7"/>
  <c r="K5503" i="7"/>
  <c r="K5504" i="7"/>
  <c r="K5505" i="7"/>
  <c r="K5506" i="7"/>
  <c r="K5507" i="7"/>
  <c r="K5508" i="7"/>
  <c r="K5509" i="7"/>
  <c r="K5510" i="7"/>
  <c r="K5511" i="7"/>
  <c r="K5512" i="7"/>
  <c r="K5513" i="7"/>
  <c r="K5514" i="7"/>
  <c r="K5515" i="7"/>
  <c r="K5516" i="7"/>
  <c r="K5517" i="7"/>
  <c r="K5518" i="7"/>
  <c r="K5519" i="7"/>
  <c r="K5520" i="7"/>
  <c r="K5521" i="7"/>
  <c r="K5522" i="7"/>
  <c r="K5523" i="7"/>
  <c r="K5524" i="7"/>
  <c r="K5525" i="7"/>
  <c r="K5526" i="7"/>
  <c r="K5527" i="7"/>
  <c r="K5528" i="7"/>
  <c r="K5529" i="7"/>
  <c r="K5530" i="7"/>
  <c r="K5531" i="7"/>
  <c r="K5532" i="7"/>
  <c r="K5533" i="7"/>
  <c r="K5534" i="7"/>
  <c r="K5535" i="7"/>
  <c r="K5536" i="7"/>
  <c r="K5537" i="7"/>
  <c r="K5538" i="7"/>
  <c r="K5539" i="7"/>
  <c r="K5540" i="7"/>
  <c r="K5541" i="7"/>
  <c r="K5542" i="7"/>
  <c r="K5543" i="7"/>
  <c r="K5544" i="7"/>
  <c r="K5545" i="7"/>
  <c r="K5546" i="7"/>
  <c r="K5547" i="7"/>
  <c r="K5548" i="7"/>
  <c r="K5549" i="7"/>
  <c r="K5550" i="7"/>
  <c r="K5551" i="7"/>
  <c r="K5552" i="7"/>
  <c r="K5553" i="7"/>
  <c r="K5554" i="7"/>
  <c r="K5555" i="7"/>
  <c r="K5556" i="7"/>
  <c r="K5557" i="7"/>
  <c r="K5558" i="7"/>
  <c r="K5559" i="7"/>
  <c r="K5560" i="7"/>
  <c r="K5561" i="7"/>
  <c r="K5562" i="7"/>
  <c r="K5563" i="7"/>
  <c r="K5564" i="7"/>
  <c r="K5565" i="7"/>
  <c r="K5566" i="7"/>
  <c r="K5567" i="7"/>
  <c r="K5568" i="7"/>
  <c r="K5569" i="7"/>
  <c r="K5570" i="7"/>
  <c r="K5571" i="7"/>
  <c r="K5572" i="7"/>
  <c r="K5573" i="7"/>
  <c r="K5574" i="7"/>
  <c r="K5575" i="7"/>
  <c r="K5576" i="7"/>
  <c r="K5577" i="7"/>
  <c r="K5578" i="7"/>
  <c r="K5579" i="7"/>
  <c r="K5580" i="7"/>
  <c r="K5581" i="7"/>
  <c r="K5582" i="7"/>
  <c r="K5583" i="7"/>
  <c r="K5584" i="7"/>
  <c r="K5585" i="7"/>
  <c r="K5586" i="7"/>
  <c r="K5587" i="7"/>
  <c r="K5588" i="7"/>
  <c r="K5589" i="7"/>
  <c r="K5590" i="7"/>
  <c r="K5591" i="7"/>
  <c r="K5592" i="7"/>
  <c r="K5593" i="7"/>
  <c r="K5594" i="7"/>
  <c r="K5595" i="7"/>
  <c r="K5596" i="7"/>
  <c r="K5597" i="7"/>
  <c r="K5598" i="7"/>
  <c r="K5599" i="7"/>
  <c r="K5600" i="7"/>
  <c r="K5601" i="7"/>
  <c r="K5602" i="7"/>
  <c r="K5603" i="7"/>
  <c r="K5604" i="7"/>
  <c r="K5605" i="7"/>
  <c r="K5606" i="7"/>
  <c r="K5607" i="7"/>
  <c r="K5608" i="7"/>
  <c r="K5609" i="7"/>
  <c r="K5610" i="7"/>
  <c r="K5611" i="7"/>
  <c r="K5612" i="7"/>
  <c r="K5613" i="7"/>
  <c r="K5614" i="7"/>
  <c r="K5615" i="7"/>
  <c r="K5616" i="7"/>
  <c r="K5617" i="7"/>
  <c r="K5618" i="7"/>
  <c r="K5619" i="7"/>
  <c r="K5620" i="7"/>
  <c r="K5621" i="7"/>
  <c r="K5622" i="7"/>
  <c r="K5623" i="7"/>
  <c r="K5624" i="7"/>
  <c r="K5625" i="7"/>
  <c r="K5626" i="7"/>
  <c r="K5627" i="7"/>
  <c r="K5628" i="7"/>
  <c r="K5629" i="7"/>
  <c r="K5630" i="7"/>
  <c r="K5631" i="7"/>
  <c r="K5632" i="7"/>
  <c r="K5633" i="7"/>
  <c r="K5634" i="7"/>
  <c r="K5635" i="7"/>
  <c r="K5636" i="7"/>
  <c r="K5637" i="7"/>
  <c r="K5638" i="7"/>
  <c r="K5639" i="7"/>
  <c r="K5640" i="7"/>
  <c r="K5641" i="7"/>
  <c r="K5642" i="7"/>
  <c r="K5643" i="7"/>
  <c r="K5644" i="7"/>
  <c r="K5645" i="7"/>
  <c r="K5646" i="7"/>
  <c r="K5647" i="7"/>
  <c r="K5648" i="7"/>
  <c r="K5649" i="7"/>
  <c r="K5650" i="7"/>
  <c r="K5651" i="7"/>
  <c r="K5652" i="7"/>
  <c r="K5653" i="7"/>
  <c r="K5654" i="7"/>
  <c r="K5655" i="7"/>
  <c r="K5656" i="7"/>
  <c r="K5657" i="7"/>
  <c r="K5658" i="7"/>
  <c r="K5659" i="7"/>
  <c r="K5660" i="7"/>
  <c r="K5661" i="7"/>
  <c r="K5662" i="7"/>
  <c r="K5663" i="7"/>
  <c r="K5664" i="7"/>
  <c r="K5665" i="7"/>
  <c r="K5666" i="7"/>
  <c r="K5667" i="7"/>
  <c r="K5668" i="7"/>
  <c r="K5669" i="7"/>
  <c r="K5670" i="7"/>
  <c r="K5671" i="7"/>
  <c r="K5672" i="7"/>
  <c r="K5673" i="7"/>
  <c r="K5674" i="7"/>
  <c r="K5675" i="7"/>
  <c r="K5676" i="7"/>
  <c r="K5677" i="7"/>
  <c r="K5678" i="7"/>
  <c r="K5679" i="7"/>
  <c r="K5680" i="7"/>
  <c r="K5681" i="7"/>
  <c r="K5682" i="7"/>
  <c r="K5683" i="7"/>
  <c r="K5684" i="7"/>
  <c r="K5685" i="7"/>
  <c r="K5686" i="7"/>
  <c r="K5687" i="7"/>
  <c r="K5688" i="7"/>
  <c r="K5689" i="7"/>
  <c r="K5690" i="7"/>
  <c r="K5691" i="7"/>
  <c r="K5692" i="7"/>
  <c r="K5693" i="7"/>
  <c r="K5694" i="7"/>
  <c r="K5695" i="7"/>
  <c r="K5696" i="7"/>
  <c r="K5697" i="7"/>
  <c r="K5698" i="7"/>
  <c r="K5699" i="7"/>
  <c r="K5700" i="7"/>
  <c r="K5701" i="7"/>
  <c r="K5702" i="7"/>
  <c r="K5703" i="7"/>
  <c r="K5704" i="7"/>
  <c r="K5705" i="7"/>
  <c r="K5706" i="7"/>
  <c r="K5707" i="7"/>
  <c r="K5708" i="7"/>
  <c r="K5709" i="7"/>
  <c r="K5710" i="7"/>
  <c r="K5711" i="7"/>
  <c r="K5712" i="7"/>
  <c r="K5713" i="7"/>
  <c r="K5714" i="7"/>
  <c r="K5715" i="7"/>
  <c r="K5716" i="7"/>
  <c r="K5717" i="7"/>
  <c r="K5718" i="7"/>
  <c r="K5719" i="7"/>
  <c r="K5720" i="7"/>
  <c r="K5721" i="7"/>
  <c r="K5722" i="7"/>
  <c r="K5723" i="7"/>
  <c r="K5724" i="7"/>
  <c r="K5725" i="7"/>
  <c r="K5726" i="7"/>
  <c r="K5727" i="7"/>
  <c r="K5728" i="7"/>
  <c r="K5729" i="7"/>
  <c r="K5730" i="7"/>
  <c r="K5731" i="7"/>
  <c r="K5732" i="7"/>
  <c r="K5733" i="7"/>
  <c r="K5734" i="7"/>
  <c r="K5735" i="7"/>
  <c r="K5736" i="7"/>
  <c r="K5737" i="7"/>
  <c r="K5738" i="7"/>
  <c r="K5739" i="7"/>
  <c r="K5740" i="7"/>
  <c r="K5741" i="7"/>
  <c r="K5742" i="7"/>
  <c r="K5743" i="7"/>
  <c r="K5744" i="7"/>
  <c r="K5745" i="7"/>
  <c r="K5746" i="7"/>
  <c r="K5747" i="7"/>
  <c r="K5748" i="7"/>
  <c r="K5749" i="7"/>
  <c r="K5750" i="7"/>
  <c r="K5751" i="7"/>
  <c r="K5752" i="7"/>
  <c r="K5753" i="7"/>
  <c r="K5754" i="7"/>
  <c r="K5755" i="7"/>
  <c r="K5756" i="7"/>
  <c r="K5757" i="7"/>
  <c r="K5758" i="7"/>
  <c r="K5759" i="7"/>
  <c r="K5760" i="7"/>
  <c r="K5761" i="7"/>
  <c r="K5762" i="7"/>
  <c r="K5763" i="7"/>
  <c r="K5764" i="7"/>
  <c r="K5765" i="7"/>
  <c r="K5766" i="7"/>
  <c r="K5767" i="7"/>
  <c r="K5768" i="7"/>
  <c r="K5769" i="7"/>
  <c r="K5770" i="7"/>
  <c r="K5771" i="7"/>
  <c r="K5772" i="7"/>
  <c r="K5773" i="7"/>
  <c r="K5774" i="7"/>
  <c r="K5775" i="7"/>
  <c r="K5776" i="7"/>
  <c r="K5777" i="7"/>
  <c r="K5778" i="7"/>
  <c r="K5779" i="7"/>
  <c r="K5780" i="7"/>
  <c r="K5781" i="7"/>
  <c r="K5782" i="7"/>
  <c r="K5783" i="7"/>
  <c r="K5784" i="7"/>
  <c r="K5785" i="7"/>
  <c r="K5786" i="7"/>
  <c r="K5787" i="7"/>
  <c r="K5788" i="7"/>
  <c r="K5789" i="7"/>
  <c r="K5790" i="7"/>
  <c r="K5791" i="7"/>
  <c r="K5792" i="7"/>
  <c r="K5793" i="7"/>
  <c r="K5794" i="7"/>
  <c r="K5795" i="7"/>
  <c r="K5796" i="7"/>
  <c r="K5797" i="7"/>
  <c r="K5798" i="7"/>
  <c r="K5799" i="7"/>
  <c r="K5800" i="7"/>
  <c r="K5801" i="7"/>
  <c r="K5802" i="7"/>
  <c r="K5803" i="7"/>
  <c r="K5804" i="7"/>
  <c r="K5805" i="7"/>
  <c r="K5806" i="7"/>
  <c r="K5807" i="7"/>
  <c r="K5808" i="7"/>
  <c r="K5809" i="7"/>
  <c r="K5810" i="7"/>
  <c r="K5811" i="7"/>
  <c r="K5812" i="7"/>
  <c r="K5813" i="7"/>
  <c r="K5814" i="7"/>
  <c r="K5815" i="7"/>
  <c r="K5816" i="7"/>
  <c r="K5817" i="7"/>
  <c r="K5818" i="7"/>
  <c r="K5819" i="7"/>
  <c r="K5820" i="7"/>
  <c r="K5821" i="7"/>
  <c r="K5822" i="7"/>
  <c r="K5823" i="7"/>
  <c r="K5824" i="7"/>
  <c r="K5825" i="7"/>
  <c r="K5826" i="7"/>
  <c r="K5827" i="7"/>
  <c r="K5828" i="7"/>
  <c r="K5829" i="7"/>
  <c r="K5830" i="7"/>
  <c r="K5831" i="7"/>
  <c r="K5832" i="7"/>
  <c r="K5833" i="7"/>
  <c r="K5834" i="7"/>
  <c r="K5835" i="7"/>
  <c r="K5836" i="7"/>
  <c r="K5837" i="7"/>
  <c r="K5838" i="7"/>
  <c r="K5839" i="7"/>
  <c r="K5840" i="7"/>
  <c r="K5841" i="7"/>
  <c r="K5842" i="7"/>
  <c r="K5843" i="7"/>
  <c r="K5844" i="7"/>
  <c r="K5845" i="7"/>
  <c r="K5846" i="7"/>
  <c r="K5847" i="7"/>
  <c r="K5848" i="7"/>
  <c r="K5849" i="7"/>
  <c r="K5850" i="7"/>
  <c r="K5851" i="7"/>
  <c r="K5852" i="7"/>
  <c r="K5853" i="7"/>
  <c r="K5854" i="7"/>
  <c r="K5855" i="7"/>
  <c r="K5856" i="7"/>
  <c r="K5857" i="7"/>
  <c r="K5858" i="7"/>
  <c r="K5859" i="7"/>
  <c r="K5860" i="7"/>
  <c r="K5861" i="7"/>
  <c r="K5862" i="7"/>
  <c r="K5863" i="7"/>
  <c r="K5864" i="7"/>
  <c r="K5865" i="7"/>
  <c r="K5866" i="7"/>
  <c r="K5867" i="7"/>
  <c r="K5868" i="7"/>
  <c r="K5869" i="7"/>
  <c r="K5870" i="7"/>
  <c r="K5871" i="7"/>
  <c r="K5872" i="7"/>
  <c r="K5873" i="7"/>
  <c r="K5874" i="7"/>
  <c r="K5875" i="7"/>
  <c r="K5876" i="7"/>
  <c r="K5877" i="7"/>
  <c r="K5878" i="7"/>
  <c r="K5879" i="7"/>
  <c r="K5880" i="7"/>
  <c r="K5881" i="7"/>
  <c r="K5882" i="7"/>
  <c r="K5883" i="7"/>
  <c r="K5884" i="7"/>
  <c r="K5885" i="7"/>
  <c r="K5886" i="7"/>
  <c r="K5887" i="7"/>
  <c r="K5888" i="7"/>
  <c r="K5889" i="7"/>
  <c r="K5890" i="7"/>
  <c r="K5891" i="7"/>
  <c r="K5892" i="7"/>
  <c r="K5893" i="7"/>
  <c r="K5894" i="7"/>
  <c r="K5895" i="7"/>
  <c r="K5896" i="7"/>
  <c r="K5897" i="7"/>
  <c r="K5898" i="7"/>
  <c r="K5899" i="7"/>
  <c r="K5900" i="7"/>
  <c r="K5901" i="7"/>
  <c r="K5902" i="7"/>
  <c r="K5903" i="7"/>
  <c r="K5904" i="7"/>
  <c r="K5905" i="7"/>
  <c r="K5906" i="7"/>
  <c r="K5907" i="7"/>
  <c r="K5908" i="7"/>
  <c r="K5909" i="7"/>
  <c r="K5910" i="7"/>
  <c r="K5911" i="7"/>
  <c r="K5912" i="7"/>
  <c r="K5913" i="7"/>
  <c r="K5914" i="7"/>
  <c r="K5915" i="7"/>
  <c r="K5916" i="7"/>
  <c r="K5917" i="7"/>
  <c r="K5918" i="7"/>
  <c r="K5919" i="7"/>
  <c r="K5920" i="7"/>
  <c r="K5921" i="7"/>
  <c r="K5922" i="7"/>
  <c r="K5923" i="7"/>
  <c r="K5924" i="7"/>
  <c r="K5925" i="7"/>
  <c r="K5926" i="7"/>
  <c r="K5927" i="7"/>
  <c r="K5928" i="7"/>
  <c r="K5929" i="7"/>
  <c r="K5930" i="7"/>
  <c r="K5931" i="7"/>
  <c r="K5932" i="7"/>
  <c r="K5933" i="7"/>
  <c r="K5934" i="7"/>
  <c r="K5935" i="7"/>
  <c r="K5936" i="7"/>
  <c r="K5937" i="7"/>
  <c r="K5938" i="7"/>
  <c r="K5939" i="7"/>
  <c r="K5940" i="7"/>
  <c r="K5941" i="7"/>
  <c r="K5942" i="7"/>
  <c r="K5943" i="7"/>
  <c r="K5944" i="7"/>
  <c r="K5945" i="7"/>
  <c r="K5946" i="7"/>
  <c r="K5947" i="7"/>
  <c r="K5948" i="7"/>
  <c r="K5949" i="7"/>
  <c r="K5950" i="7"/>
  <c r="K5951" i="7"/>
  <c r="K5952" i="7"/>
  <c r="K5953" i="7"/>
  <c r="K5954" i="7"/>
  <c r="K5955" i="7"/>
  <c r="K5956" i="7"/>
  <c r="K5957" i="7"/>
  <c r="K5958" i="7"/>
  <c r="K5959" i="7"/>
  <c r="K5960" i="7"/>
  <c r="K5961" i="7"/>
  <c r="K5962" i="7"/>
  <c r="K5963" i="7"/>
  <c r="K5964" i="7"/>
  <c r="K5965" i="7"/>
  <c r="K5966" i="7"/>
  <c r="K5967" i="7"/>
  <c r="K5968" i="7"/>
  <c r="K5969" i="7"/>
  <c r="K5970" i="7"/>
  <c r="K5971" i="7"/>
  <c r="K5972" i="7"/>
  <c r="K5973" i="7"/>
  <c r="K5974" i="7"/>
  <c r="K5975" i="7"/>
  <c r="K5976" i="7"/>
  <c r="K5977" i="7"/>
  <c r="K5978" i="7"/>
  <c r="K5979" i="7"/>
  <c r="K5980" i="7"/>
  <c r="K5981" i="7"/>
  <c r="K5982" i="7"/>
  <c r="K5983" i="7"/>
  <c r="K5984" i="7"/>
  <c r="K5985" i="7"/>
  <c r="K5986" i="7"/>
  <c r="K5987" i="7"/>
  <c r="K5988" i="7"/>
  <c r="K5989" i="7"/>
  <c r="K5990" i="7"/>
  <c r="K5991" i="7"/>
  <c r="K5992" i="7"/>
  <c r="K5993" i="7"/>
  <c r="K5994" i="7"/>
  <c r="K5995" i="7"/>
  <c r="K5996" i="7"/>
  <c r="K5997" i="7"/>
  <c r="K5998" i="7"/>
  <c r="K5999" i="7"/>
  <c r="K6000" i="7"/>
  <c r="K6001" i="7"/>
  <c r="K6002" i="7"/>
  <c r="K6003" i="7"/>
  <c r="K6004" i="7"/>
  <c r="K6005" i="7"/>
  <c r="K6006" i="7"/>
  <c r="K6007" i="7"/>
  <c r="K6008" i="7"/>
  <c r="K6009" i="7"/>
  <c r="K6010" i="7"/>
  <c r="K6011" i="7"/>
  <c r="K6012" i="7"/>
  <c r="K6013" i="7"/>
  <c r="K6014" i="7"/>
  <c r="K6015" i="7"/>
  <c r="K6016" i="7"/>
  <c r="K6017" i="7"/>
  <c r="K6018" i="7"/>
  <c r="K6019" i="7"/>
  <c r="K6020" i="7"/>
  <c r="K6021" i="7"/>
  <c r="K6022" i="7"/>
  <c r="K6023" i="7"/>
  <c r="K6024" i="7"/>
  <c r="K6025" i="7"/>
  <c r="K6026" i="7"/>
  <c r="K6027" i="7"/>
  <c r="K6028" i="7"/>
  <c r="K6029" i="7"/>
  <c r="K6030" i="7"/>
  <c r="K6031" i="7"/>
  <c r="K6032" i="7"/>
  <c r="K6033" i="7"/>
  <c r="K6034" i="7"/>
  <c r="K6035" i="7"/>
  <c r="K6036" i="7"/>
  <c r="K6037" i="7"/>
  <c r="K6038" i="7"/>
  <c r="K6039" i="7"/>
  <c r="K6040" i="7"/>
  <c r="K6041" i="7"/>
  <c r="K6042" i="7"/>
  <c r="K6043" i="7"/>
  <c r="K6044" i="7"/>
  <c r="K6045" i="7"/>
  <c r="K6046" i="7"/>
  <c r="K6047" i="7"/>
  <c r="K6048" i="7"/>
  <c r="K6049" i="7"/>
  <c r="K6050" i="7"/>
  <c r="K6051" i="7"/>
  <c r="K6052" i="7"/>
  <c r="K6053" i="7"/>
  <c r="K6054" i="7"/>
  <c r="K6055" i="7"/>
  <c r="K6056" i="7"/>
  <c r="K6057" i="7"/>
  <c r="K6058" i="7"/>
  <c r="K6059" i="7"/>
  <c r="K6060" i="7"/>
  <c r="K6061" i="7"/>
  <c r="K6062" i="7"/>
  <c r="K6063" i="7"/>
  <c r="K6064" i="7"/>
  <c r="K6065" i="7"/>
  <c r="K6066" i="7"/>
  <c r="K6067" i="7"/>
  <c r="K6068" i="7"/>
  <c r="K6069" i="7"/>
  <c r="K6070" i="7"/>
  <c r="K6071" i="7"/>
  <c r="K6072" i="7"/>
  <c r="K6073" i="7"/>
  <c r="K6074" i="7"/>
  <c r="K6075" i="7"/>
  <c r="K6076" i="7"/>
  <c r="K6077" i="7"/>
  <c r="K6078" i="7"/>
  <c r="K6079" i="7"/>
  <c r="K6080" i="7"/>
  <c r="K6081" i="7"/>
  <c r="K6082" i="7"/>
  <c r="K6083" i="7"/>
  <c r="K6084" i="7"/>
  <c r="K6085" i="7"/>
  <c r="K6086" i="7"/>
  <c r="K6087" i="7"/>
  <c r="K6088" i="7"/>
  <c r="K6089" i="7"/>
  <c r="K6090" i="7"/>
  <c r="K6091" i="7"/>
  <c r="K6092" i="7"/>
  <c r="K6093" i="7"/>
  <c r="K6094" i="7"/>
  <c r="K6095" i="7"/>
  <c r="K6096" i="7"/>
  <c r="K6097" i="7"/>
  <c r="K6098" i="7"/>
  <c r="K6099" i="7"/>
  <c r="K6100" i="7"/>
  <c r="K6101" i="7"/>
  <c r="K6102" i="7"/>
  <c r="K6103" i="7"/>
  <c r="K6104" i="7"/>
  <c r="K6105" i="7"/>
  <c r="K6106" i="7"/>
  <c r="K6107" i="7"/>
  <c r="K6108" i="7"/>
  <c r="K6109" i="7"/>
  <c r="K6110" i="7"/>
  <c r="K6111" i="7"/>
  <c r="K6112" i="7"/>
  <c r="K6113" i="7"/>
  <c r="K6114" i="7"/>
  <c r="K6115" i="7"/>
  <c r="K6116" i="7"/>
  <c r="K6117" i="7"/>
  <c r="K6118" i="7"/>
  <c r="K6119" i="7"/>
  <c r="K6120" i="7"/>
  <c r="K6121" i="7"/>
  <c r="K6122" i="7"/>
  <c r="K6123" i="7"/>
  <c r="K6124" i="7"/>
  <c r="K6125" i="7"/>
  <c r="K6126" i="7"/>
  <c r="K6127" i="7"/>
  <c r="K6128" i="7"/>
  <c r="K6129" i="7"/>
  <c r="K6130" i="7"/>
  <c r="K6131" i="7"/>
  <c r="K6132" i="7"/>
  <c r="K6133" i="7"/>
  <c r="K6134" i="7"/>
  <c r="K6135" i="7"/>
  <c r="K6136" i="7"/>
  <c r="K6137" i="7"/>
  <c r="K6138" i="7"/>
  <c r="K6139" i="7"/>
  <c r="K6140" i="7"/>
  <c r="K6141" i="7"/>
  <c r="K6142" i="7"/>
  <c r="K6143" i="7"/>
  <c r="K6144" i="7"/>
  <c r="K6145" i="7"/>
  <c r="K6146" i="7"/>
  <c r="K6147" i="7"/>
  <c r="K6148" i="7"/>
  <c r="K6149" i="7"/>
  <c r="K6150" i="7"/>
  <c r="K6151" i="7"/>
  <c r="K6152" i="7"/>
  <c r="K6153" i="7"/>
  <c r="K6154" i="7"/>
  <c r="K6155" i="7"/>
  <c r="K6156" i="7"/>
  <c r="K6157" i="7"/>
  <c r="K6158" i="7"/>
  <c r="K6159" i="7"/>
  <c r="K6160" i="7"/>
  <c r="K6161" i="7"/>
  <c r="K6162" i="7"/>
  <c r="K6163" i="7"/>
  <c r="K6164" i="7"/>
  <c r="K6165" i="7"/>
  <c r="K6166" i="7"/>
  <c r="K6167" i="7"/>
  <c r="K6168" i="7"/>
  <c r="K6169" i="7"/>
  <c r="K6170" i="7"/>
  <c r="K6171" i="7"/>
  <c r="K6172" i="7"/>
  <c r="K6173" i="7"/>
  <c r="K6174" i="7"/>
  <c r="K6175" i="7"/>
  <c r="K6176" i="7"/>
  <c r="K6177" i="7"/>
  <c r="K6178" i="7"/>
  <c r="K6179" i="7"/>
  <c r="K6180" i="7"/>
  <c r="K6181" i="7"/>
  <c r="K6182" i="7"/>
  <c r="K6183" i="7"/>
  <c r="K6184" i="7"/>
  <c r="K6185" i="7"/>
  <c r="K6186" i="7"/>
  <c r="K6187" i="7"/>
  <c r="K6188" i="7"/>
  <c r="K6189" i="7"/>
  <c r="K6190" i="7"/>
  <c r="K6191" i="7"/>
  <c r="K6192" i="7"/>
  <c r="K6193" i="7"/>
  <c r="K6194" i="7"/>
  <c r="K6195" i="7"/>
  <c r="K6196" i="7"/>
  <c r="K6197" i="7"/>
  <c r="K6198" i="7"/>
  <c r="K6199" i="7"/>
  <c r="K6200" i="7"/>
  <c r="K6201" i="7"/>
  <c r="K6202" i="7"/>
  <c r="K6203" i="7"/>
  <c r="K6204" i="7"/>
  <c r="K6205" i="7"/>
  <c r="K6206" i="7"/>
  <c r="K6207" i="7"/>
  <c r="K6208" i="7"/>
  <c r="K6209" i="7"/>
  <c r="K6210" i="7"/>
  <c r="K6211" i="7"/>
  <c r="K6212" i="7"/>
  <c r="K6213" i="7"/>
  <c r="K6214" i="7"/>
  <c r="K6215" i="7"/>
  <c r="K6216" i="7"/>
  <c r="K6217" i="7"/>
  <c r="K6218" i="7"/>
  <c r="K6219" i="7"/>
  <c r="K6220" i="7"/>
  <c r="K6221" i="7"/>
  <c r="K6222" i="7"/>
  <c r="K6223" i="7"/>
  <c r="K6224" i="7"/>
  <c r="K6225" i="7"/>
  <c r="K6226" i="7"/>
  <c r="K6227" i="7"/>
  <c r="K6228" i="7"/>
  <c r="K6229" i="7"/>
  <c r="K6230" i="7"/>
  <c r="K6231" i="7"/>
  <c r="K6232" i="7"/>
  <c r="K6233" i="7"/>
  <c r="K6234" i="7"/>
  <c r="K6235" i="7"/>
  <c r="K6236" i="7"/>
  <c r="K6237" i="7"/>
  <c r="K6238" i="7"/>
  <c r="K6239" i="7"/>
  <c r="K6240" i="7"/>
  <c r="K6241" i="7"/>
  <c r="K6242" i="7"/>
  <c r="K6243" i="7"/>
  <c r="K6244" i="7"/>
  <c r="K6245" i="7"/>
  <c r="K6246" i="7"/>
  <c r="K6247" i="7"/>
  <c r="K6248" i="7"/>
  <c r="K6249" i="7"/>
  <c r="K6250" i="7"/>
  <c r="K6251" i="7"/>
  <c r="K6252" i="7"/>
  <c r="K6253" i="7"/>
  <c r="K6254" i="7"/>
  <c r="K6255" i="7"/>
  <c r="K6256" i="7"/>
  <c r="K6257" i="7"/>
  <c r="K6258" i="7"/>
  <c r="K6259" i="7"/>
  <c r="K6260" i="7"/>
  <c r="K6261" i="7"/>
  <c r="K6262" i="7"/>
  <c r="K6263" i="7"/>
  <c r="K6264" i="7"/>
  <c r="K6265" i="7"/>
  <c r="K6266" i="7"/>
  <c r="K6267" i="7"/>
  <c r="K6268" i="7"/>
  <c r="K6269" i="7"/>
  <c r="K6270" i="7"/>
  <c r="K6271" i="7"/>
  <c r="K6272" i="7"/>
  <c r="K6273" i="7"/>
  <c r="K6274" i="7"/>
  <c r="K6275" i="7"/>
  <c r="K6276" i="7"/>
  <c r="K6277" i="7"/>
  <c r="K6278" i="7"/>
  <c r="K6279" i="7"/>
  <c r="K6280" i="7"/>
  <c r="K6281" i="7"/>
  <c r="K6282" i="7"/>
  <c r="K6283" i="7"/>
  <c r="K6284" i="7"/>
  <c r="K6285" i="7"/>
  <c r="K6286" i="7"/>
  <c r="K6287" i="7"/>
  <c r="K6288" i="7"/>
  <c r="K6289" i="7"/>
  <c r="K6290" i="7"/>
  <c r="K6291" i="7"/>
  <c r="K6292" i="7"/>
  <c r="K6293" i="7"/>
  <c r="K6294" i="7"/>
  <c r="K6295" i="7"/>
  <c r="K6296" i="7"/>
  <c r="K6297" i="7"/>
  <c r="K6298" i="7"/>
  <c r="K6299" i="7"/>
  <c r="K6300" i="7"/>
  <c r="K6301" i="7"/>
  <c r="K6302" i="7"/>
  <c r="K6303" i="7"/>
  <c r="K6304" i="7"/>
  <c r="K6305" i="7"/>
  <c r="K6306" i="7"/>
  <c r="K6307" i="7"/>
  <c r="K6308" i="7"/>
  <c r="K6309" i="7"/>
  <c r="K6310" i="7"/>
  <c r="K6311" i="7"/>
  <c r="K6312" i="7"/>
  <c r="K6313" i="7"/>
  <c r="K6314" i="7"/>
  <c r="K6315" i="7"/>
  <c r="K6316" i="7"/>
  <c r="K6317" i="7"/>
  <c r="K6318" i="7"/>
  <c r="K6319" i="7"/>
  <c r="K6320" i="7"/>
  <c r="K6321" i="7"/>
  <c r="K6322" i="7"/>
  <c r="K6323" i="7"/>
  <c r="K6324" i="7"/>
  <c r="K6325" i="7"/>
  <c r="K6326" i="7"/>
  <c r="K6327" i="7"/>
  <c r="K6328" i="7"/>
  <c r="K6329" i="7"/>
  <c r="K6330" i="7"/>
  <c r="K6331" i="7"/>
  <c r="K6332" i="7"/>
  <c r="K6333" i="7"/>
  <c r="K6334" i="7"/>
  <c r="K6335" i="7"/>
  <c r="K6336" i="7"/>
  <c r="K6337" i="7"/>
  <c r="K6338" i="7"/>
  <c r="K6339" i="7"/>
  <c r="K6340" i="7"/>
  <c r="K6341" i="7"/>
  <c r="K6342" i="7"/>
  <c r="K6343" i="7"/>
  <c r="K6344" i="7"/>
  <c r="K6345" i="7"/>
  <c r="K6346" i="7"/>
  <c r="K6347" i="7"/>
  <c r="K6348" i="7"/>
  <c r="K6349" i="7"/>
  <c r="K6350" i="7"/>
  <c r="K6351" i="7"/>
  <c r="K6352" i="7"/>
  <c r="K6353" i="7"/>
  <c r="K6354" i="7"/>
  <c r="K6355" i="7"/>
  <c r="K6356" i="7"/>
  <c r="K6357" i="7"/>
  <c r="K6358" i="7"/>
  <c r="K6359" i="7"/>
  <c r="K6360" i="7"/>
  <c r="K6361" i="7"/>
  <c r="K6362" i="7"/>
  <c r="K6363" i="7"/>
  <c r="K6364" i="7"/>
  <c r="K6365" i="7"/>
  <c r="K6366" i="7"/>
  <c r="K6367" i="7"/>
  <c r="K6368" i="7"/>
  <c r="K6369" i="7"/>
  <c r="K6370" i="7"/>
  <c r="K6371" i="7"/>
  <c r="K6372" i="7"/>
  <c r="K6373" i="7"/>
  <c r="K6374" i="7"/>
  <c r="K6375" i="7"/>
  <c r="K6376" i="7"/>
  <c r="K6377" i="7"/>
  <c r="K6378" i="7"/>
  <c r="K6379" i="7"/>
  <c r="K6380" i="7"/>
  <c r="K6381" i="7"/>
  <c r="K6382" i="7"/>
  <c r="K6383" i="7"/>
  <c r="K6384" i="7"/>
  <c r="K6385" i="7"/>
  <c r="K6386" i="7"/>
  <c r="K6387" i="7"/>
  <c r="K6388" i="7"/>
  <c r="K6389" i="7"/>
  <c r="K6390" i="7"/>
  <c r="K6391" i="7"/>
  <c r="K6392" i="7"/>
  <c r="K6393" i="7"/>
  <c r="K6394" i="7"/>
  <c r="K6395" i="7"/>
  <c r="K6396" i="7"/>
  <c r="K6397" i="7"/>
  <c r="K6398" i="7"/>
  <c r="K6399" i="7"/>
  <c r="K6400" i="7"/>
  <c r="K6401" i="7"/>
  <c r="K6402" i="7"/>
  <c r="K6403" i="7"/>
  <c r="K6404" i="7"/>
  <c r="K6405" i="7"/>
  <c r="K6406" i="7"/>
  <c r="K6407" i="7"/>
  <c r="K6408" i="7"/>
  <c r="K6409" i="7"/>
  <c r="K6410" i="7"/>
  <c r="K6411" i="7"/>
  <c r="K6412" i="7"/>
  <c r="K6413" i="7"/>
  <c r="K6414" i="7"/>
  <c r="K6415" i="7"/>
  <c r="K6416" i="7"/>
  <c r="K6417" i="7"/>
  <c r="K6418" i="7"/>
  <c r="K6419" i="7"/>
  <c r="K6420" i="7"/>
  <c r="K6421" i="7"/>
  <c r="K6422" i="7"/>
  <c r="K6423" i="7"/>
  <c r="K6424" i="7"/>
  <c r="K6425" i="7"/>
  <c r="K6426" i="7"/>
  <c r="K6427" i="7"/>
  <c r="K6428" i="7"/>
  <c r="K6429" i="7"/>
  <c r="K6430" i="7"/>
  <c r="K6431" i="7"/>
  <c r="K6432" i="7"/>
  <c r="K6433" i="7"/>
  <c r="K6434" i="7"/>
  <c r="K6435" i="7"/>
  <c r="K6436" i="7"/>
  <c r="K6437" i="7"/>
  <c r="K6438" i="7"/>
  <c r="K6439" i="7"/>
  <c r="K6440" i="7"/>
  <c r="K6441" i="7"/>
  <c r="K6442" i="7"/>
  <c r="K6443" i="7"/>
  <c r="K6444" i="7"/>
  <c r="K6445" i="7"/>
  <c r="K6446" i="7"/>
  <c r="K6447" i="7"/>
  <c r="K6448" i="7"/>
  <c r="K6449" i="7"/>
  <c r="K6450" i="7"/>
  <c r="K6451" i="7"/>
  <c r="K6452" i="7"/>
  <c r="K6453" i="7"/>
  <c r="K6454" i="7"/>
  <c r="K6455" i="7"/>
  <c r="K6456" i="7"/>
  <c r="K6457" i="7"/>
  <c r="K6458" i="7"/>
  <c r="K6459" i="7"/>
  <c r="K6460" i="7"/>
  <c r="K6461" i="7"/>
  <c r="K6462" i="7"/>
  <c r="K6463" i="7"/>
  <c r="K6464" i="7"/>
  <c r="K6465" i="7"/>
  <c r="K6466" i="7"/>
  <c r="K6467" i="7"/>
  <c r="K6468" i="7"/>
  <c r="K6469" i="7"/>
  <c r="K6470" i="7"/>
  <c r="K6471" i="7"/>
  <c r="K6472" i="7"/>
  <c r="K6473" i="7"/>
  <c r="K6474" i="7"/>
  <c r="K6475" i="7"/>
  <c r="K6476" i="7"/>
  <c r="K6477" i="7"/>
  <c r="K6478" i="7"/>
  <c r="K6479" i="7"/>
  <c r="K6480" i="7"/>
  <c r="K6481" i="7"/>
  <c r="K6482" i="7"/>
  <c r="K6483" i="7"/>
  <c r="K6484" i="7"/>
  <c r="K6485" i="7"/>
  <c r="K6486" i="7"/>
  <c r="K6487" i="7"/>
  <c r="K6488" i="7"/>
  <c r="K6489" i="7"/>
  <c r="K6490" i="7"/>
  <c r="K6491" i="7"/>
  <c r="K6492" i="7"/>
  <c r="K6493" i="7"/>
  <c r="K6494" i="7"/>
  <c r="K6495" i="7"/>
  <c r="K6496" i="7"/>
  <c r="K6497" i="7"/>
  <c r="K6498" i="7"/>
  <c r="K6499" i="7"/>
  <c r="K6500" i="7"/>
  <c r="K6501" i="7"/>
  <c r="K6502" i="7"/>
  <c r="K6503" i="7"/>
  <c r="K6504" i="7"/>
  <c r="K6505" i="7"/>
  <c r="K6506" i="7"/>
  <c r="K6507" i="7"/>
  <c r="K6508" i="7"/>
  <c r="K6509" i="7"/>
  <c r="K6510" i="7"/>
  <c r="K6511" i="7"/>
  <c r="K6512" i="7"/>
  <c r="K6513" i="7"/>
  <c r="K6514" i="7"/>
  <c r="K6515" i="7"/>
  <c r="K6516" i="7"/>
  <c r="K6517" i="7"/>
  <c r="K6518" i="7"/>
  <c r="K6519" i="7"/>
  <c r="K6520" i="7"/>
  <c r="K6521" i="7"/>
  <c r="K6522" i="7"/>
  <c r="K6523" i="7"/>
  <c r="K6524" i="7"/>
  <c r="K6525" i="7"/>
  <c r="K6526" i="7"/>
  <c r="K6527" i="7"/>
  <c r="K6528" i="7"/>
  <c r="K6529" i="7"/>
  <c r="K6530" i="7"/>
  <c r="K6531" i="7"/>
  <c r="K6532" i="7"/>
  <c r="K6533" i="7"/>
  <c r="K6534" i="7"/>
  <c r="K6535" i="7"/>
  <c r="K6536" i="7"/>
  <c r="K6537" i="7"/>
  <c r="K6538" i="7"/>
  <c r="K6539" i="7"/>
  <c r="K6540" i="7"/>
  <c r="K6541" i="7"/>
  <c r="K6542" i="7"/>
  <c r="K6543" i="7"/>
  <c r="K6544" i="7"/>
  <c r="K6545" i="7"/>
  <c r="K6546" i="7"/>
  <c r="K6547" i="7"/>
  <c r="K6548" i="7"/>
  <c r="K6549" i="7"/>
  <c r="K6550" i="7"/>
  <c r="K6551" i="7"/>
  <c r="K6552" i="7"/>
  <c r="K6553" i="7"/>
  <c r="K6554" i="7"/>
  <c r="K6555" i="7"/>
  <c r="K6556" i="7"/>
  <c r="K6557" i="7"/>
  <c r="K6558" i="7"/>
  <c r="K6559" i="7"/>
  <c r="K6560" i="7"/>
  <c r="K6561" i="7"/>
  <c r="K6562" i="7"/>
  <c r="K6563" i="7"/>
  <c r="K6564" i="7"/>
  <c r="K6565" i="7"/>
  <c r="K6566" i="7"/>
  <c r="K6567" i="7"/>
  <c r="K6568" i="7"/>
  <c r="K6569" i="7"/>
  <c r="K6570" i="7"/>
  <c r="K6571" i="7"/>
  <c r="K6572" i="7"/>
  <c r="K6573" i="7"/>
  <c r="K6574" i="7"/>
  <c r="K6575" i="7"/>
  <c r="K6576" i="7"/>
  <c r="K6577" i="7"/>
  <c r="K6578" i="7"/>
  <c r="K6579" i="7"/>
  <c r="K6580" i="7"/>
  <c r="K6581" i="7"/>
  <c r="K6582" i="7"/>
  <c r="K6583" i="7"/>
  <c r="K6584" i="7"/>
  <c r="K6585" i="7"/>
  <c r="K6586" i="7"/>
  <c r="K6587" i="7"/>
  <c r="K6588" i="7"/>
  <c r="K6589" i="7"/>
  <c r="K6590" i="7"/>
  <c r="K6591" i="7"/>
  <c r="K6592" i="7"/>
  <c r="K6593" i="7"/>
  <c r="K6594" i="7"/>
  <c r="K6595" i="7"/>
  <c r="K6596" i="7"/>
  <c r="K6597" i="7"/>
  <c r="K6598" i="7"/>
  <c r="K6599" i="7"/>
  <c r="K6600" i="7"/>
  <c r="K6601" i="7"/>
  <c r="K6602" i="7"/>
  <c r="K6603" i="7"/>
  <c r="K6604" i="7"/>
  <c r="K6605" i="7"/>
  <c r="K6606" i="7"/>
  <c r="K6607" i="7"/>
  <c r="K6608" i="7"/>
  <c r="K6609" i="7"/>
  <c r="K6610" i="7"/>
  <c r="K6611" i="7"/>
  <c r="K6612" i="7"/>
  <c r="K6613" i="7"/>
  <c r="K6614" i="7"/>
  <c r="K6615" i="7"/>
  <c r="K6616" i="7"/>
  <c r="K6617" i="7"/>
  <c r="K6618" i="7"/>
  <c r="K6619" i="7"/>
  <c r="K6620" i="7"/>
  <c r="K6621" i="7"/>
  <c r="K6622" i="7"/>
  <c r="K6623" i="7"/>
  <c r="K6624" i="7"/>
  <c r="K6625" i="7"/>
  <c r="K6626" i="7"/>
  <c r="K6627" i="7"/>
  <c r="K6628" i="7"/>
  <c r="K6629" i="7"/>
  <c r="K6630" i="7"/>
  <c r="K6631" i="7"/>
  <c r="K6632" i="7"/>
  <c r="K6633" i="7"/>
  <c r="K6634" i="7"/>
  <c r="K6635" i="7"/>
  <c r="K6636" i="7"/>
  <c r="K6637" i="7"/>
  <c r="K6638" i="7"/>
  <c r="K6639" i="7"/>
  <c r="K6640" i="7"/>
  <c r="K6641" i="7"/>
  <c r="K6642" i="7"/>
  <c r="K6643" i="7"/>
  <c r="K6644" i="7"/>
  <c r="K6645" i="7"/>
  <c r="K6646" i="7"/>
  <c r="K6647" i="7"/>
  <c r="K6648" i="7"/>
  <c r="K6649" i="7"/>
  <c r="K6650" i="7"/>
  <c r="K6651" i="7"/>
  <c r="K6652" i="7"/>
  <c r="K6653" i="7"/>
  <c r="K6654" i="7"/>
  <c r="K6655" i="7"/>
  <c r="K6656" i="7"/>
  <c r="K6657" i="7"/>
  <c r="K6658" i="7"/>
  <c r="K6659" i="7"/>
  <c r="K6660" i="7"/>
  <c r="K6661" i="7"/>
  <c r="K6662" i="7"/>
  <c r="K6663" i="7"/>
  <c r="K6664" i="7"/>
  <c r="K6665" i="7"/>
  <c r="K6666" i="7"/>
  <c r="K6667" i="7"/>
  <c r="K6668" i="7"/>
  <c r="K6669" i="7"/>
  <c r="K6670" i="7"/>
  <c r="K6671" i="7"/>
  <c r="K6672" i="7"/>
  <c r="K6673" i="7"/>
  <c r="K6674" i="7"/>
  <c r="K6675" i="7"/>
  <c r="K6676" i="7"/>
  <c r="K6677" i="7"/>
  <c r="K6678" i="7"/>
  <c r="K6679" i="7"/>
  <c r="K6680" i="7"/>
  <c r="K6681" i="7"/>
  <c r="K6682" i="7"/>
  <c r="K6683" i="7"/>
  <c r="K6684" i="7"/>
  <c r="K6685" i="7"/>
  <c r="K6686" i="7"/>
  <c r="K6687" i="7"/>
  <c r="K6688" i="7"/>
  <c r="K6689" i="7"/>
  <c r="K6690" i="7"/>
  <c r="K6691" i="7"/>
  <c r="K6692" i="7"/>
  <c r="K6693" i="7"/>
  <c r="K6694" i="7"/>
  <c r="K6695" i="7"/>
  <c r="K6696" i="7"/>
  <c r="K6697" i="7"/>
  <c r="K6698" i="7"/>
  <c r="K6699" i="7"/>
  <c r="K6700" i="7"/>
  <c r="K6701" i="7"/>
  <c r="K6702" i="7"/>
  <c r="K6703" i="7"/>
  <c r="K6704" i="7"/>
  <c r="K6705" i="7"/>
  <c r="K6706" i="7"/>
  <c r="K6707" i="7"/>
  <c r="K6708" i="7"/>
  <c r="K6709" i="7"/>
  <c r="K6710" i="7"/>
  <c r="K6711" i="7"/>
  <c r="K6712" i="7"/>
  <c r="K6713" i="7"/>
  <c r="K6714" i="7"/>
  <c r="K6715" i="7"/>
  <c r="K6716" i="7"/>
  <c r="K6717" i="7"/>
  <c r="K6718" i="7"/>
  <c r="K6719" i="7"/>
  <c r="K6720" i="7"/>
  <c r="K6721" i="7"/>
  <c r="K6722" i="7"/>
  <c r="K6723" i="7"/>
  <c r="K6724" i="7"/>
  <c r="K6725" i="7"/>
  <c r="K6726" i="7"/>
  <c r="K6727" i="7"/>
  <c r="K6728" i="7"/>
  <c r="K6729" i="7"/>
  <c r="K6730" i="7"/>
  <c r="K6731" i="7"/>
  <c r="K6732" i="7"/>
  <c r="K6733" i="7"/>
  <c r="K6734" i="7"/>
  <c r="K6735" i="7"/>
  <c r="K6736" i="7"/>
  <c r="K6737" i="7"/>
  <c r="K6738" i="7"/>
  <c r="K6739" i="7"/>
  <c r="K6740" i="7"/>
  <c r="K6741" i="7"/>
  <c r="K6742" i="7"/>
  <c r="K6743" i="7"/>
  <c r="K6744" i="7"/>
  <c r="K6745" i="7"/>
  <c r="K6746" i="7"/>
  <c r="K6747" i="7"/>
  <c r="K6748" i="7"/>
  <c r="K6749" i="7"/>
  <c r="K6750" i="7"/>
  <c r="K6751" i="7"/>
  <c r="K6752" i="7"/>
  <c r="K6753" i="7"/>
  <c r="K6754" i="7"/>
  <c r="K6755" i="7"/>
  <c r="K6756" i="7"/>
  <c r="K6757" i="7"/>
  <c r="K6758" i="7"/>
  <c r="K6759" i="7"/>
  <c r="K6760" i="7"/>
  <c r="K6761" i="7"/>
  <c r="K6762" i="7"/>
  <c r="K6763" i="7"/>
  <c r="K6764" i="7"/>
  <c r="K6765" i="7"/>
  <c r="K6766" i="7"/>
  <c r="K6767" i="7"/>
  <c r="K6768" i="7"/>
  <c r="K6769" i="7"/>
  <c r="K6770" i="7"/>
  <c r="K6771" i="7"/>
  <c r="K6772" i="7"/>
  <c r="K6773" i="7"/>
  <c r="K6774" i="7"/>
  <c r="K6775" i="7"/>
  <c r="K6776" i="7"/>
  <c r="K6777" i="7"/>
  <c r="K6778" i="7"/>
  <c r="K6779" i="7"/>
  <c r="K6780" i="7"/>
  <c r="K6781" i="7"/>
  <c r="K6782" i="7"/>
  <c r="K6783" i="7"/>
  <c r="K6784" i="7"/>
  <c r="K6785" i="7"/>
  <c r="K6786" i="7"/>
  <c r="K6787" i="7"/>
  <c r="K6788" i="7"/>
  <c r="K6789" i="7"/>
  <c r="K6790" i="7"/>
  <c r="K6791" i="7"/>
  <c r="K6792" i="7"/>
  <c r="K6793" i="7"/>
  <c r="K6794" i="7"/>
  <c r="K6795" i="7"/>
  <c r="K6796" i="7"/>
  <c r="K6797" i="7"/>
  <c r="K6798" i="7"/>
  <c r="K6799" i="7"/>
  <c r="K6800" i="7"/>
  <c r="K6801" i="7"/>
  <c r="K6802" i="7"/>
  <c r="K6803" i="7"/>
  <c r="K6804" i="7"/>
  <c r="K6805" i="7"/>
  <c r="K6806" i="7"/>
  <c r="K6807" i="7"/>
  <c r="K6808" i="7"/>
  <c r="K6809" i="7"/>
  <c r="K6810" i="7"/>
  <c r="K6811" i="7"/>
  <c r="K6812" i="7"/>
  <c r="K6813" i="7"/>
  <c r="K6814" i="7"/>
  <c r="K6815" i="7"/>
  <c r="K6816" i="7"/>
  <c r="K6817" i="7"/>
  <c r="K6818" i="7"/>
  <c r="K6819" i="7"/>
  <c r="K6820" i="7"/>
  <c r="K6821" i="7"/>
  <c r="K6822" i="7"/>
  <c r="K6823" i="7"/>
  <c r="K6824" i="7"/>
  <c r="K6825" i="7"/>
  <c r="K6826" i="7"/>
  <c r="K6827" i="7"/>
  <c r="K6828" i="7"/>
  <c r="K6829" i="7"/>
  <c r="K6830" i="7"/>
  <c r="K6831" i="7"/>
  <c r="K6832" i="7"/>
  <c r="K6833" i="7"/>
  <c r="K6834" i="7"/>
  <c r="K6835" i="7"/>
  <c r="K6836" i="7"/>
  <c r="K6837" i="7"/>
  <c r="K6838" i="7"/>
  <c r="K6839" i="7"/>
  <c r="K6840" i="7"/>
  <c r="K6841" i="7"/>
  <c r="K6842" i="7"/>
  <c r="K6843" i="7"/>
  <c r="K6844" i="7"/>
  <c r="K6845" i="7"/>
  <c r="K6846" i="7"/>
  <c r="K6847" i="7"/>
  <c r="K6848" i="7"/>
  <c r="K6849" i="7"/>
  <c r="K6850" i="7"/>
  <c r="K6851" i="7"/>
  <c r="K6852" i="7"/>
  <c r="K6853" i="7"/>
  <c r="K6854" i="7"/>
  <c r="K6855" i="7"/>
  <c r="K6856" i="7"/>
  <c r="K6857" i="7"/>
  <c r="K6858" i="7"/>
  <c r="K6859" i="7"/>
  <c r="K6860" i="7"/>
  <c r="K6861" i="7"/>
  <c r="K6862" i="7"/>
  <c r="K6863" i="7"/>
  <c r="K6864" i="7"/>
  <c r="K6865" i="7"/>
  <c r="K6866" i="7"/>
  <c r="K6867" i="7"/>
  <c r="K6868" i="7"/>
  <c r="K6869" i="7"/>
  <c r="K6870" i="7"/>
  <c r="K6871" i="7"/>
  <c r="K6872" i="7"/>
  <c r="K6873" i="7"/>
  <c r="K6874" i="7"/>
  <c r="K6875" i="7"/>
  <c r="K6876" i="7"/>
  <c r="K6877" i="7"/>
  <c r="K6878" i="7"/>
  <c r="K6879" i="7"/>
  <c r="K6880" i="7"/>
  <c r="K6881" i="7"/>
  <c r="K6882" i="7"/>
  <c r="K6883" i="7"/>
  <c r="K6884" i="7"/>
  <c r="K6885" i="7"/>
  <c r="K6886" i="7"/>
  <c r="K6887" i="7"/>
  <c r="K6888" i="7"/>
  <c r="K6889" i="7"/>
  <c r="K6890" i="7"/>
  <c r="K6891" i="7"/>
  <c r="K6892" i="7"/>
  <c r="K6893" i="7"/>
  <c r="K6894" i="7"/>
  <c r="K6895" i="7"/>
  <c r="K6896" i="7"/>
  <c r="K6897" i="7"/>
  <c r="K6898" i="7"/>
  <c r="K6899" i="7"/>
  <c r="K6900" i="7"/>
  <c r="K6901" i="7"/>
  <c r="K6902" i="7"/>
  <c r="K6903" i="7"/>
  <c r="K6904" i="7"/>
  <c r="K6905" i="7"/>
  <c r="K6906" i="7"/>
  <c r="K6907" i="7"/>
  <c r="K6908" i="7"/>
  <c r="K6909" i="7"/>
  <c r="K6910" i="7"/>
  <c r="K6911" i="7"/>
  <c r="K6912" i="7"/>
  <c r="K6913" i="7"/>
  <c r="K6914" i="7"/>
  <c r="K6915" i="7"/>
  <c r="K6916" i="7"/>
  <c r="K6917" i="7"/>
  <c r="K6918" i="7"/>
  <c r="K6919" i="7"/>
  <c r="K6920" i="7"/>
  <c r="K6921" i="7"/>
  <c r="K6922" i="7"/>
  <c r="K6923" i="7"/>
  <c r="K6924" i="7"/>
  <c r="K6925" i="7"/>
  <c r="K6926" i="7"/>
  <c r="K6927" i="7"/>
  <c r="K6928" i="7"/>
  <c r="K6929" i="7"/>
  <c r="K6930" i="7"/>
  <c r="K6931" i="7"/>
  <c r="K6932" i="7"/>
  <c r="K6933" i="7"/>
  <c r="K6934" i="7"/>
  <c r="K6935" i="7"/>
  <c r="K6936" i="7"/>
  <c r="K6937" i="7"/>
  <c r="K6938" i="7"/>
  <c r="K6939" i="7"/>
  <c r="K6940" i="7"/>
  <c r="K6941" i="7"/>
  <c r="K6942" i="7"/>
  <c r="K6943" i="7"/>
  <c r="K6944" i="7"/>
  <c r="K6945" i="7"/>
  <c r="K6946" i="7"/>
  <c r="K6947" i="7"/>
  <c r="K6948" i="7"/>
  <c r="K6949" i="7"/>
  <c r="K6950" i="7"/>
  <c r="K6951" i="7"/>
  <c r="K6952" i="7"/>
  <c r="K6953" i="7"/>
  <c r="K6954" i="7"/>
  <c r="K6955" i="7"/>
  <c r="K6956" i="7"/>
  <c r="K6957" i="7"/>
  <c r="K6958" i="7"/>
  <c r="K6959" i="7"/>
  <c r="K6960" i="7"/>
  <c r="K6961" i="7"/>
  <c r="K6962" i="7"/>
  <c r="K6963" i="7"/>
  <c r="K6964" i="7"/>
  <c r="K6965" i="7"/>
  <c r="K6966" i="7"/>
  <c r="K6967" i="7"/>
  <c r="K6968" i="7"/>
  <c r="K6969" i="7"/>
  <c r="K6970" i="7"/>
  <c r="K6971" i="7"/>
  <c r="K6972" i="7"/>
  <c r="K6973" i="7"/>
  <c r="K6974" i="7"/>
  <c r="K6975" i="7"/>
  <c r="K6976" i="7"/>
  <c r="K6977" i="7"/>
  <c r="K6978" i="7"/>
  <c r="K6979" i="7"/>
  <c r="K6980" i="7"/>
  <c r="K6981" i="7"/>
  <c r="K6982" i="7"/>
  <c r="K6983" i="7"/>
  <c r="K6984" i="7"/>
  <c r="K6985" i="7"/>
  <c r="K6986" i="7"/>
  <c r="K6987" i="7"/>
  <c r="K6988" i="7"/>
  <c r="K6989" i="7"/>
  <c r="K6990" i="7"/>
  <c r="K6991" i="7"/>
  <c r="K6992" i="7"/>
  <c r="K6993" i="7"/>
  <c r="K6994" i="7"/>
  <c r="K6995" i="7"/>
  <c r="K6996" i="7"/>
  <c r="K6997" i="7"/>
  <c r="K6998" i="7"/>
  <c r="K6999" i="7"/>
  <c r="K7000" i="7"/>
  <c r="K7001" i="7"/>
  <c r="K7002" i="7"/>
  <c r="K7003" i="7"/>
  <c r="K7004" i="7"/>
  <c r="K7005" i="7"/>
  <c r="K7006" i="7"/>
  <c r="K7007" i="7"/>
  <c r="K7008" i="7"/>
  <c r="K7009" i="7"/>
  <c r="K7010" i="7"/>
  <c r="K7011" i="7"/>
  <c r="K7012" i="7"/>
  <c r="K7013" i="7"/>
  <c r="K7014" i="7"/>
  <c r="K7015" i="7"/>
  <c r="K7016" i="7"/>
  <c r="K7017" i="7"/>
  <c r="K7018" i="7"/>
  <c r="K7019" i="7"/>
  <c r="K7020" i="7"/>
  <c r="K7021" i="7"/>
  <c r="K7022" i="7"/>
  <c r="K7023" i="7"/>
  <c r="K7024" i="7"/>
  <c r="K7025" i="7"/>
  <c r="K7026" i="7"/>
  <c r="K7027" i="7"/>
  <c r="K7028" i="7"/>
  <c r="K7029" i="7"/>
  <c r="K7030" i="7"/>
  <c r="K7031" i="7"/>
  <c r="K7032" i="7"/>
  <c r="K7033" i="7"/>
  <c r="K7034" i="7"/>
  <c r="K7035" i="7"/>
  <c r="K7036" i="7"/>
  <c r="K7037" i="7"/>
  <c r="K7038" i="7"/>
  <c r="K7039" i="7"/>
  <c r="K7040" i="7"/>
  <c r="K7041" i="7"/>
  <c r="K7042" i="7"/>
  <c r="K7043" i="7"/>
  <c r="K7044" i="7"/>
  <c r="K7045" i="7"/>
  <c r="K7046" i="7"/>
  <c r="K7047" i="7"/>
  <c r="K7048" i="7"/>
  <c r="K7049" i="7"/>
  <c r="K7050" i="7"/>
  <c r="K7051" i="7"/>
  <c r="K7052" i="7"/>
  <c r="K7053" i="7"/>
  <c r="K7054" i="7"/>
  <c r="K7055" i="7"/>
  <c r="K7056" i="7"/>
  <c r="K7057" i="7"/>
  <c r="K7058" i="7"/>
  <c r="K7059" i="7"/>
  <c r="K7060" i="7"/>
  <c r="K7061" i="7"/>
  <c r="K7062" i="7"/>
  <c r="K7063" i="7"/>
  <c r="K7064" i="7"/>
  <c r="K7065" i="7"/>
  <c r="K7066" i="7"/>
  <c r="K7067" i="7"/>
  <c r="K7068" i="7"/>
  <c r="K7069" i="7"/>
  <c r="K7070" i="7"/>
  <c r="K7071" i="7"/>
  <c r="K7072" i="7"/>
  <c r="K7073" i="7"/>
  <c r="K7074" i="7"/>
  <c r="K7075" i="7"/>
  <c r="K7076" i="7"/>
  <c r="K7077" i="7"/>
  <c r="K7078" i="7"/>
  <c r="K7079" i="7"/>
  <c r="K7080" i="7"/>
  <c r="K7081" i="7"/>
  <c r="K7082" i="7"/>
  <c r="K7083" i="7"/>
  <c r="K7084" i="7"/>
  <c r="K7085" i="7"/>
  <c r="K7086" i="7"/>
  <c r="K7087" i="7"/>
  <c r="K7088" i="7"/>
  <c r="K7089" i="7"/>
  <c r="K7090" i="7"/>
  <c r="K7091" i="7"/>
  <c r="K7092" i="7"/>
  <c r="K7093" i="7"/>
  <c r="K7094" i="7"/>
  <c r="K7095" i="7"/>
  <c r="K7096" i="7"/>
  <c r="K7097" i="7"/>
  <c r="K7098" i="7"/>
  <c r="K7099" i="7"/>
  <c r="K7100" i="7"/>
  <c r="K7101" i="7"/>
  <c r="K7102" i="7"/>
  <c r="K7103" i="7"/>
  <c r="K7104" i="7"/>
  <c r="K7105" i="7"/>
  <c r="K7106" i="7"/>
  <c r="K7107" i="7"/>
  <c r="K7108" i="7"/>
  <c r="K7109" i="7"/>
  <c r="K7110" i="7"/>
  <c r="K7111" i="7"/>
  <c r="K7112" i="7"/>
  <c r="K7113" i="7"/>
  <c r="K7114" i="7"/>
  <c r="K7115" i="7"/>
  <c r="K7116" i="7"/>
  <c r="K7117" i="7"/>
  <c r="K7118" i="7"/>
  <c r="K7119" i="7"/>
  <c r="K7120" i="7"/>
  <c r="K7121" i="7"/>
  <c r="K7122" i="7"/>
  <c r="K7123" i="7"/>
  <c r="K7124" i="7"/>
  <c r="K7125" i="7"/>
  <c r="K7126" i="7"/>
  <c r="K7127" i="7"/>
  <c r="K7128" i="7"/>
  <c r="K7129" i="7"/>
  <c r="K7130" i="7"/>
  <c r="K7131" i="7"/>
  <c r="K7132" i="7"/>
  <c r="K7133" i="7"/>
  <c r="K7134" i="7"/>
  <c r="K7135" i="7"/>
  <c r="K7136" i="7"/>
  <c r="K7137" i="7"/>
  <c r="K7138" i="7"/>
  <c r="K7139" i="7"/>
  <c r="K7140" i="7"/>
  <c r="K7141" i="7"/>
  <c r="K7142" i="7"/>
  <c r="K7143" i="7"/>
  <c r="K7144" i="7"/>
  <c r="K7145" i="7"/>
  <c r="K7146" i="7"/>
  <c r="K7147" i="7"/>
  <c r="K7148" i="7"/>
  <c r="K7149" i="7"/>
  <c r="K7150" i="7"/>
  <c r="K7151" i="7"/>
  <c r="K7152" i="7"/>
  <c r="K7153" i="7"/>
  <c r="K7154" i="7"/>
  <c r="K7155" i="7"/>
  <c r="K7156" i="7"/>
  <c r="K7157" i="7"/>
  <c r="K7158" i="7"/>
  <c r="K7159" i="7"/>
  <c r="K7160" i="7"/>
  <c r="K7161" i="7"/>
  <c r="K7162" i="7"/>
  <c r="K7163" i="7"/>
  <c r="K7164" i="7"/>
  <c r="K7165" i="7"/>
  <c r="K7166" i="7"/>
  <c r="K7167" i="7"/>
  <c r="K7168" i="7"/>
  <c r="K7169" i="7"/>
  <c r="K7170" i="7"/>
  <c r="K7171" i="7"/>
  <c r="K7172" i="7"/>
  <c r="K7173" i="7"/>
  <c r="K7174" i="7"/>
  <c r="K7175" i="7"/>
  <c r="K7176" i="7"/>
  <c r="K7177" i="7"/>
  <c r="K7178" i="7"/>
  <c r="K7179" i="7"/>
  <c r="K7180" i="7"/>
  <c r="K7181" i="7"/>
  <c r="K7182" i="7"/>
  <c r="K7183" i="7"/>
  <c r="K7184" i="7"/>
  <c r="K7185" i="7"/>
  <c r="K7186" i="7"/>
  <c r="K7187" i="7"/>
  <c r="K7188" i="7"/>
  <c r="K7189" i="7"/>
  <c r="K7190" i="7"/>
  <c r="K7191" i="7"/>
  <c r="K7192" i="7"/>
  <c r="K7193" i="7"/>
  <c r="K7194" i="7"/>
  <c r="K7195" i="7"/>
  <c r="K7196" i="7"/>
  <c r="K7197" i="7"/>
  <c r="K7198" i="7"/>
  <c r="K7199" i="7"/>
  <c r="K7200" i="7"/>
  <c r="K7201" i="7"/>
  <c r="K7202" i="7"/>
  <c r="K7203" i="7"/>
  <c r="K7204" i="7"/>
  <c r="K7205" i="7"/>
  <c r="K7206" i="7"/>
  <c r="K7207" i="7"/>
  <c r="K7208" i="7"/>
  <c r="K7209" i="7"/>
  <c r="K7210" i="7"/>
  <c r="K7211" i="7"/>
  <c r="K7212" i="7"/>
  <c r="K7213" i="7"/>
  <c r="K7214" i="7"/>
  <c r="K7215" i="7"/>
  <c r="K7216" i="7"/>
  <c r="K7217" i="7"/>
  <c r="K7218" i="7"/>
  <c r="K7219" i="7"/>
  <c r="K7220" i="7"/>
  <c r="K7221" i="7"/>
  <c r="K7222" i="7"/>
  <c r="K7223" i="7"/>
  <c r="K7224" i="7"/>
  <c r="K7225" i="7"/>
  <c r="K7226" i="7"/>
  <c r="K7227" i="7"/>
  <c r="K7228" i="7"/>
  <c r="K7229" i="7"/>
  <c r="K7230" i="7"/>
  <c r="K7231" i="7"/>
  <c r="K7232" i="7"/>
  <c r="K7233" i="7"/>
  <c r="K7234" i="7"/>
  <c r="K7235" i="7"/>
  <c r="K7236" i="7"/>
  <c r="K7237" i="7"/>
  <c r="K7238" i="7"/>
  <c r="K7239" i="7"/>
  <c r="K7240" i="7"/>
  <c r="K7241" i="7"/>
  <c r="K7242" i="7"/>
  <c r="K7243" i="7"/>
  <c r="K7244" i="7"/>
  <c r="K7245" i="7"/>
  <c r="K7246" i="7"/>
  <c r="K7247" i="7"/>
  <c r="K7248" i="7"/>
  <c r="K7249" i="7"/>
  <c r="K7250" i="7"/>
  <c r="K7251" i="7"/>
  <c r="K7252" i="7"/>
  <c r="K7253" i="7"/>
  <c r="K7254" i="7"/>
  <c r="K7255" i="7"/>
  <c r="K7256" i="7"/>
  <c r="K7257" i="7"/>
  <c r="K7258" i="7"/>
  <c r="K7259" i="7"/>
  <c r="K7260" i="7"/>
  <c r="K7261" i="7"/>
  <c r="K7262" i="7"/>
  <c r="K7263" i="7"/>
  <c r="K7264" i="7"/>
  <c r="K7265" i="7"/>
  <c r="K7266" i="7"/>
  <c r="K7267" i="7"/>
  <c r="K7268" i="7"/>
  <c r="K7269" i="7"/>
  <c r="K7270" i="7"/>
  <c r="K7271" i="7"/>
  <c r="K7272" i="7"/>
  <c r="K7273" i="7"/>
  <c r="K7274" i="7"/>
  <c r="K7275" i="7"/>
  <c r="K7276" i="7"/>
  <c r="K7277" i="7"/>
  <c r="K7278" i="7"/>
  <c r="K7279" i="7"/>
  <c r="K7280" i="7"/>
  <c r="K7281" i="7"/>
  <c r="K7282" i="7"/>
  <c r="K7283" i="7"/>
  <c r="K7284" i="7"/>
  <c r="K7285" i="7"/>
  <c r="K7286" i="7"/>
  <c r="K7287" i="7"/>
  <c r="K7288" i="7"/>
  <c r="K7289" i="7"/>
  <c r="K7290" i="7"/>
  <c r="K7291" i="7"/>
  <c r="K7292" i="7"/>
  <c r="K7293" i="7"/>
  <c r="K7294" i="7"/>
  <c r="K7295" i="7"/>
  <c r="K7296" i="7"/>
  <c r="K7297" i="7"/>
  <c r="K7298" i="7"/>
  <c r="K7299" i="7"/>
  <c r="K7300" i="7"/>
  <c r="K7301" i="7"/>
  <c r="K7302" i="7"/>
  <c r="K7303" i="7"/>
  <c r="K7304" i="7"/>
  <c r="K7305" i="7"/>
  <c r="K7306" i="7"/>
  <c r="K7307" i="7"/>
  <c r="K7308" i="7"/>
  <c r="K7309" i="7"/>
  <c r="K7310" i="7"/>
  <c r="K7311" i="7"/>
  <c r="K7312" i="7"/>
  <c r="K7313" i="7"/>
  <c r="K7314" i="7"/>
  <c r="K7315" i="7"/>
  <c r="K7316" i="7"/>
  <c r="K7317" i="7"/>
  <c r="K7318" i="7"/>
  <c r="K7319" i="7"/>
  <c r="K7320" i="7"/>
  <c r="K7321" i="7"/>
  <c r="K7322" i="7"/>
  <c r="K7323" i="7"/>
  <c r="K7324" i="7"/>
  <c r="K7325" i="7"/>
  <c r="K7326" i="7"/>
  <c r="K7327" i="7"/>
  <c r="K7328" i="7"/>
  <c r="K7329" i="7"/>
  <c r="K7330" i="7"/>
  <c r="K7331" i="7"/>
  <c r="K7332" i="7"/>
  <c r="K7333" i="7"/>
  <c r="K7334" i="7"/>
  <c r="K7335" i="7"/>
  <c r="K7336" i="7"/>
  <c r="K7337" i="7"/>
  <c r="K7338" i="7"/>
  <c r="K7339" i="7"/>
  <c r="K7340" i="7"/>
  <c r="K7341" i="7"/>
  <c r="K7342" i="7"/>
  <c r="K7343" i="7"/>
  <c r="K7344" i="7"/>
  <c r="K7345" i="7"/>
  <c r="K7346" i="7"/>
  <c r="K7347" i="7"/>
  <c r="K7348" i="7"/>
  <c r="K7349" i="7"/>
  <c r="K7350" i="7"/>
  <c r="K7351" i="7"/>
  <c r="K7352" i="7"/>
  <c r="K7353" i="7"/>
  <c r="K7354" i="7"/>
  <c r="K7355" i="7"/>
  <c r="K7356" i="7"/>
  <c r="K7357" i="7"/>
  <c r="K7358" i="7"/>
  <c r="K7359" i="7"/>
  <c r="K7360" i="7"/>
  <c r="K7361" i="7"/>
  <c r="K7362" i="7"/>
  <c r="K7363" i="7"/>
  <c r="K7364" i="7"/>
  <c r="K7365" i="7"/>
  <c r="K7366" i="7"/>
  <c r="K7367" i="7"/>
  <c r="K7368" i="7"/>
  <c r="K7369" i="7"/>
  <c r="K7370" i="7"/>
  <c r="K7371" i="7"/>
  <c r="K7372" i="7"/>
  <c r="K7373" i="7"/>
  <c r="K7374" i="7"/>
  <c r="K7375" i="7"/>
  <c r="K7376" i="7"/>
  <c r="K7377" i="7"/>
  <c r="K7378" i="7"/>
  <c r="K7379" i="7"/>
  <c r="K7380" i="7"/>
  <c r="K7381" i="7"/>
  <c r="K7382" i="7"/>
  <c r="K7383" i="7"/>
  <c r="K7384" i="7"/>
  <c r="K7385" i="7"/>
  <c r="K7386" i="7"/>
  <c r="K7387" i="7"/>
  <c r="K7388" i="7"/>
  <c r="K7389" i="7"/>
  <c r="K7390" i="7"/>
  <c r="K7391" i="7"/>
  <c r="K7392" i="7"/>
  <c r="K7393" i="7"/>
  <c r="K7394" i="7"/>
  <c r="K7395" i="7"/>
  <c r="K7396" i="7"/>
  <c r="K7397" i="7"/>
  <c r="K7398" i="7"/>
  <c r="K7399" i="7"/>
  <c r="K7400" i="7"/>
  <c r="K7401" i="7"/>
  <c r="K7402" i="7"/>
  <c r="K7403" i="7"/>
  <c r="K7404" i="7"/>
  <c r="K7405" i="7"/>
  <c r="K7406" i="7"/>
  <c r="K7407" i="7"/>
  <c r="K7408" i="7"/>
  <c r="K7409" i="7"/>
  <c r="K7410" i="7"/>
  <c r="K7411" i="7"/>
  <c r="K7412" i="7"/>
  <c r="K7413" i="7"/>
  <c r="K7414" i="7"/>
  <c r="K7415" i="7"/>
  <c r="K7416" i="7"/>
  <c r="K7417" i="7"/>
  <c r="K7418" i="7"/>
  <c r="K7419" i="7"/>
  <c r="K7420" i="7"/>
  <c r="K7421" i="7"/>
  <c r="K7422" i="7"/>
  <c r="K7423" i="7"/>
  <c r="K7424" i="7"/>
  <c r="K7425" i="7"/>
  <c r="K7426" i="7"/>
  <c r="K7427" i="7"/>
  <c r="K7428" i="7"/>
  <c r="K7429" i="7"/>
  <c r="K7430" i="7"/>
  <c r="K7431" i="7"/>
  <c r="K7432" i="7"/>
  <c r="K7433" i="7"/>
  <c r="K7434" i="7"/>
  <c r="K7435" i="7"/>
  <c r="K7436" i="7"/>
  <c r="K7437" i="7"/>
  <c r="K7438" i="7"/>
  <c r="K7439" i="7"/>
  <c r="K7440" i="7"/>
  <c r="K7441" i="7"/>
  <c r="K7442" i="7"/>
  <c r="K7443" i="7"/>
  <c r="K7444" i="7"/>
  <c r="K7445" i="7"/>
  <c r="K7446" i="7"/>
  <c r="K7447" i="7"/>
  <c r="K7448" i="7"/>
  <c r="K7449" i="7"/>
  <c r="K7450" i="7"/>
  <c r="K7451" i="7"/>
  <c r="K7452" i="7"/>
  <c r="K7453" i="7"/>
  <c r="K7454" i="7"/>
  <c r="K7455" i="7"/>
  <c r="K7456" i="7"/>
  <c r="K7457" i="7"/>
  <c r="K7458" i="7"/>
  <c r="K7459" i="7"/>
  <c r="K7460" i="7"/>
  <c r="K7461" i="7"/>
  <c r="K7462" i="7"/>
  <c r="K7463" i="7"/>
  <c r="K7464" i="7"/>
  <c r="K7465" i="7"/>
  <c r="K7466" i="7"/>
  <c r="K7467" i="7"/>
  <c r="K7468" i="7"/>
  <c r="K7469" i="7"/>
  <c r="K7470" i="7"/>
  <c r="K7471" i="7"/>
  <c r="K7472" i="7"/>
  <c r="K7473" i="7"/>
  <c r="K7474" i="7"/>
  <c r="K7475" i="7"/>
  <c r="K7476" i="7"/>
  <c r="K7477" i="7"/>
  <c r="K7478" i="7"/>
  <c r="K7479" i="7"/>
  <c r="K7480" i="7"/>
  <c r="K7481" i="7"/>
  <c r="K7482" i="7"/>
  <c r="K7483" i="7"/>
  <c r="K7484" i="7"/>
  <c r="K7485" i="7"/>
  <c r="K7486" i="7"/>
  <c r="K7487" i="7"/>
  <c r="K7488" i="7"/>
  <c r="K7489" i="7"/>
  <c r="K7490" i="7"/>
  <c r="K7491" i="7"/>
  <c r="K7492" i="7"/>
  <c r="K7493" i="7"/>
  <c r="K7494" i="7"/>
  <c r="K7495" i="7"/>
  <c r="K7496" i="7"/>
  <c r="K7497" i="7"/>
  <c r="K7498" i="7"/>
  <c r="K7499" i="7"/>
  <c r="K7500" i="7"/>
  <c r="K7501" i="7"/>
  <c r="K7502" i="7"/>
  <c r="K7503" i="7"/>
  <c r="K7504" i="7"/>
  <c r="K7505" i="7"/>
  <c r="K7506" i="7"/>
  <c r="K7507" i="7"/>
  <c r="K7508" i="7"/>
  <c r="K7509" i="7"/>
  <c r="K7510" i="7"/>
  <c r="K7511" i="7"/>
  <c r="K7512" i="7"/>
  <c r="K7513" i="7"/>
  <c r="K7514" i="7"/>
  <c r="K7515" i="7"/>
  <c r="K7516" i="7"/>
  <c r="K7517" i="7"/>
  <c r="K7518" i="7"/>
  <c r="K7519" i="7"/>
  <c r="K7520" i="7"/>
  <c r="K7521" i="7"/>
  <c r="K7522" i="7"/>
  <c r="K7523" i="7"/>
  <c r="K7524" i="7"/>
  <c r="K7525" i="7"/>
  <c r="K7526" i="7"/>
  <c r="K7527" i="7"/>
  <c r="K7528" i="7"/>
  <c r="K7529" i="7"/>
  <c r="K7530" i="7"/>
  <c r="K7531" i="7"/>
  <c r="K7532" i="7"/>
  <c r="K7533" i="7"/>
  <c r="K7534" i="7"/>
  <c r="K7535" i="7"/>
  <c r="K7536" i="7"/>
  <c r="K7537" i="7"/>
  <c r="K7538" i="7"/>
  <c r="K7539" i="7"/>
  <c r="K7540" i="7"/>
  <c r="K7541" i="7"/>
  <c r="K7542" i="7"/>
  <c r="K7543" i="7"/>
  <c r="K7544" i="7"/>
  <c r="K7545" i="7"/>
  <c r="K7546" i="7"/>
  <c r="K7547" i="7"/>
  <c r="K7548" i="7"/>
  <c r="K7549" i="7"/>
  <c r="K7550" i="7"/>
  <c r="K7551" i="7"/>
  <c r="K7552" i="7"/>
  <c r="K7553" i="7"/>
  <c r="K7554" i="7"/>
  <c r="K7555" i="7"/>
  <c r="K7556" i="7"/>
  <c r="K7557" i="7"/>
  <c r="K7558" i="7"/>
  <c r="K7559" i="7"/>
  <c r="K7560" i="7"/>
  <c r="K7561" i="7"/>
  <c r="K7562" i="7"/>
  <c r="K7563" i="7"/>
  <c r="K7564" i="7"/>
  <c r="K7565" i="7"/>
  <c r="K7566" i="7"/>
  <c r="K7567" i="7"/>
  <c r="K7568" i="7"/>
  <c r="K7569" i="7"/>
  <c r="K7570" i="7"/>
  <c r="K7571" i="7"/>
  <c r="K7572" i="7"/>
  <c r="K7573" i="7"/>
  <c r="K7574" i="7"/>
  <c r="K7575" i="7"/>
  <c r="K7576" i="7"/>
  <c r="K7577" i="7"/>
  <c r="K7578" i="7"/>
  <c r="K7579" i="7"/>
  <c r="K7580" i="7"/>
  <c r="K7581" i="7"/>
  <c r="K7582" i="7"/>
  <c r="K7583" i="7"/>
  <c r="K7584" i="7"/>
  <c r="K7585" i="7"/>
  <c r="K7586" i="7"/>
  <c r="K7587" i="7"/>
  <c r="K7588" i="7"/>
  <c r="K7589" i="7"/>
  <c r="K7590" i="7"/>
  <c r="K7591" i="7"/>
  <c r="K7592" i="7"/>
  <c r="K7593" i="7"/>
  <c r="K7594" i="7"/>
  <c r="K7595" i="7"/>
  <c r="K7596" i="7"/>
  <c r="K7597" i="7"/>
  <c r="K7598" i="7"/>
  <c r="K7599" i="7"/>
  <c r="K7600" i="7"/>
  <c r="K7601" i="7"/>
  <c r="K7602" i="7"/>
  <c r="K7603" i="7"/>
  <c r="K7604" i="7"/>
  <c r="K7605" i="7"/>
  <c r="K7606" i="7"/>
  <c r="K7607" i="7"/>
  <c r="K7608" i="7"/>
  <c r="K7609" i="7"/>
  <c r="K7610" i="7"/>
  <c r="K7611" i="7"/>
  <c r="K7612" i="7"/>
  <c r="K7613" i="7"/>
  <c r="K7614" i="7"/>
  <c r="K7615" i="7"/>
  <c r="K7616" i="7"/>
  <c r="K7617" i="7"/>
  <c r="K7618" i="7"/>
  <c r="K7619" i="7"/>
  <c r="K7620" i="7"/>
  <c r="K7621" i="7"/>
  <c r="K7622" i="7"/>
  <c r="K7623" i="7"/>
  <c r="K7624" i="7"/>
  <c r="K7625" i="7"/>
  <c r="K7626" i="7"/>
  <c r="K7627" i="7"/>
  <c r="K7628" i="7"/>
  <c r="K7629" i="7"/>
  <c r="K7630" i="7"/>
  <c r="K7631" i="7"/>
  <c r="K7632" i="7"/>
  <c r="K7633" i="7"/>
  <c r="K7634" i="7"/>
  <c r="K7635" i="7"/>
  <c r="K7636" i="7"/>
  <c r="K7637" i="7"/>
  <c r="K7638" i="7"/>
  <c r="K7639" i="7"/>
  <c r="K7640" i="7"/>
  <c r="K7641" i="7"/>
  <c r="K7642" i="7"/>
  <c r="K7643" i="7"/>
  <c r="K7644" i="7"/>
  <c r="K7645" i="7"/>
  <c r="K7646" i="7"/>
  <c r="K7647" i="7"/>
  <c r="K7648" i="7"/>
  <c r="K7649" i="7"/>
  <c r="K7650" i="7"/>
  <c r="K7651" i="7"/>
  <c r="K7652" i="7"/>
  <c r="K7653" i="7"/>
  <c r="K7654" i="7"/>
  <c r="K7655" i="7"/>
  <c r="K7656" i="7"/>
  <c r="K7657" i="7"/>
  <c r="K7658" i="7"/>
  <c r="K7659" i="7"/>
  <c r="K7660" i="7"/>
  <c r="K7661" i="7"/>
  <c r="K7662" i="7"/>
  <c r="K7663" i="7"/>
  <c r="K7664" i="7"/>
  <c r="K7665" i="7"/>
  <c r="K7666" i="7"/>
  <c r="K7667" i="7"/>
  <c r="K7668" i="7"/>
  <c r="K7669" i="7"/>
  <c r="K7670" i="7"/>
  <c r="K7671" i="7"/>
  <c r="K7672" i="7"/>
  <c r="K7673" i="7"/>
  <c r="K7674" i="7"/>
  <c r="K7675" i="7"/>
  <c r="K7676" i="7"/>
  <c r="K7677" i="7"/>
  <c r="K7678" i="7"/>
  <c r="K7679" i="7"/>
  <c r="K7680" i="7"/>
  <c r="K7681" i="7"/>
  <c r="K7682" i="7"/>
  <c r="K7683" i="7"/>
  <c r="K7684" i="7"/>
  <c r="K7685" i="7"/>
  <c r="K7686" i="7"/>
  <c r="K7687" i="7"/>
  <c r="K7688" i="7"/>
  <c r="K7689" i="7"/>
  <c r="K7690" i="7"/>
  <c r="K7691" i="7"/>
  <c r="K7692" i="7"/>
  <c r="K7693" i="7"/>
  <c r="K7694" i="7"/>
  <c r="K7695" i="7"/>
  <c r="K7696" i="7"/>
  <c r="K7697" i="7"/>
  <c r="K7698" i="7"/>
  <c r="K7699" i="7"/>
  <c r="K7700" i="7"/>
  <c r="K7701" i="7"/>
  <c r="K7702" i="7"/>
  <c r="K7703" i="7"/>
  <c r="K7704" i="7"/>
  <c r="K7705" i="7"/>
  <c r="K7706" i="7"/>
  <c r="K7707" i="7"/>
  <c r="K7708" i="7"/>
  <c r="K7709" i="7"/>
  <c r="K7710" i="7"/>
  <c r="K7711" i="7"/>
  <c r="K7712" i="7"/>
  <c r="K7713" i="7"/>
  <c r="K7714" i="7"/>
  <c r="K7715" i="7"/>
  <c r="K7716" i="7"/>
  <c r="K7717" i="7"/>
  <c r="K7718" i="7"/>
  <c r="K7719" i="7"/>
  <c r="K7720" i="7"/>
  <c r="K7721" i="7"/>
  <c r="K7722" i="7"/>
  <c r="K7723" i="7"/>
  <c r="K7724" i="7"/>
  <c r="K7725" i="7"/>
  <c r="K7726" i="7"/>
  <c r="K7727" i="7"/>
  <c r="K7728" i="7"/>
  <c r="K7729" i="7"/>
  <c r="K7730" i="7"/>
  <c r="K7731" i="7"/>
  <c r="K7732" i="7"/>
  <c r="K7733" i="7"/>
  <c r="K7734" i="7"/>
  <c r="K7735" i="7"/>
  <c r="K7736" i="7"/>
  <c r="K7737" i="7"/>
  <c r="K7738" i="7"/>
  <c r="K7739" i="7"/>
  <c r="K7740" i="7"/>
  <c r="K7741" i="7"/>
  <c r="K7742" i="7"/>
  <c r="K7743" i="7"/>
  <c r="K7744" i="7"/>
  <c r="K7745" i="7"/>
  <c r="K7746" i="7"/>
  <c r="K7747" i="7"/>
  <c r="K7748" i="7"/>
  <c r="K7749" i="7"/>
  <c r="K7750" i="7"/>
  <c r="K7751" i="7"/>
  <c r="K7752" i="7"/>
  <c r="K7753" i="7"/>
  <c r="K7754" i="7"/>
  <c r="K7755" i="7"/>
  <c r="K7756" i="7"/>
  <c r="K7757" i="7"/>
  <c r="K7758" i="7"/>
  <c r="K7759" i="7"/>
  <c r="K7760" i="7"/>
  <c r="K7761" i="7"/>
  <c r="K7762" i="7"/>
  <c r="K7763" i="7"/>
  <c r="K7764" i="7"/>
  <c r="K7765" i="7"/>
  <c r="K7766" i="7"/>
  <c r="K7767" i="7"/>
  <c r="K7768" i="7"/>
  <c r="K7769" i="7"/>
  <c r="K7770" i="7"/>
  <c r="K7771" i="7"/>
  <c r="K7772" i="7"/>
  <c r="K7773" i="7"/>
  <c r="K7774" i="7"/>
  <c r="K7775" i="7"/>
  <c r="K7776" i="7"/>
  <c r="K7777" i="7"/>
  <c r="K7778" i="7"/>
  <c r="K7779" i="7"/>
  <c r="K7780" i="7"/>
  <c r="K7781" i="7"/>
  <c r="K7782" i="7"/>
  <c r="K7783" i="7"/>
  <c r="K7784" i="7"/>
  <c r="K7785" i="7"/>
  <c r="K7786" i="7"/>
  <c r="K7787" i="7"/>
  <c r="K7788" i="7"/>
  <c r="K7789" i="7"/>
  <c r="K7790" i="7"/>
  <c r="K7791" i="7"/>
  <c r="K7792" i="7"/>
  <c r="K7793" i="7"/>
  <c r="K7794" i="7"/>
  <c r="K7795" i="7"/>
  <c r="K7796" i="7"/>
  <c r="K7797" i="7"/>
  <c r="K7798" i="7"/>
  <c r="K7799" i="7"/>
  <c r="K7800" i="7"/>
  <c r="K7801" i="7"/>
  <c r="K7802" i="7"/>
  <c r="K7803" i="7"/>
  <c r="K7804" i="7"/>
  <c r="K7805" i="7"/>
  <c r="K7806" i="7"/>
  <c r="K7807" i="7"/>
  <c r="K7808" i="7"/>
  <c r="K7809" i="7"/>
  <c r="K7810" i="7"/>
  <c r="K7811" i="7"/>
  <c r="K7812" i="7"/>
  <c r="K7813" i="7"/>
  <c r="K7814" i="7"/>
  <c r="K7815" i="7"/>
  <c r="K7816" i="7"/>
  <c r="K7817" i="7"/>
  <c r="K7818" i="7"/>
  <c r="K7819" i="7"/>
  <c r="K7820" i="7"/>
  <c r="K7821" i="7"/>
  <c r="K7822" i="7"/>
  <c r="K7823" i="7"/>
  <c r="K7824" i="7"/>
  <c r="K7825" i="7"/>
  <c r="K7826" i="7"/>
  <c r="K7827" i="7"/>
  <c r="K7828" i="7"/>
  <c r="K7829" i="7"/>
  <c r="K7830" i="7"/>
  <c r="K7831" i="7"/>
  <c r="K7832" i="7"/>
  <c r="K7833" i="7"/>
  <c r="K7834" i="7"/>
  <c r="K7835" i="7"/>
  <c r="K7836" i="7"/>
  <c r="K7837" i="7"/>
  <c r="K7838" i="7"/>
  <c r="K7839" i="7"/>
  <c r="K7840" i="7"/>
  <c r="K7841" i="7"/>
  <c r="K7842" i="7"/>
  <c r="K7843" i="7"/>
  <c r="K7844" i="7"/>
  <c r="K7845" i="7"/>
  <c r="K7846" i="7"/>
  <c r="K7847" i="7"/>
  <c r="K7848" i="7"/>
  <c r="K7849" i="7"/>
  <c r="K7850" i="7"/>
  <c r="K7851" i="7"/>
  <c r="K7852" i="7"/>
  <c r="K7853" i="7"/>
  <c r="K7854" i="7"/>
  <c r="K7855" i="7"/>
  <c r="K7856" i="7"/>
  <c r="K7857" i="7"/>
  <c r="K7858" i="7"/>
  <c r="K7859" i="7"/>
  <c r="K7860" i="7"/>
  <c r="K7861" i="7"/>
  <c r="K7862" i="7"/>
  <c r="K7863" i="7"/>
  <c r="K7864" i="7"/>
  <c r="K7865" i="7"/>
  <c r="K7866" i="7"/>
  <c r="K7867" i="7"/>
  <c r="K7868" i="7"/>
  <c r="K7869" i="7"/>
  <c r="K7870" i="7"/>
  <c r="K7871" i="7"/>
  <c r="K7872" i="7"/>
  <c r="K7873" i="7"/>
  <c r="K7874" i="7"/>
  <c r="K7875" i="7"/>
  <c r="K7876" i="7"/>
  <c r="K7877" i="7"/>
  <c r="K7878" i="7"/>
  <c r="K7879" i="7"/>
  <c r="K7880" i="7"/>
  <c r="K7881" i="7"/>
  <c r="K7882" i="7"/>
  <c r="K7883" i="7"/>
  <c r="K7884" i="7"/>
  <c r="K7885" i="7"/>
  <c r="K7886" i="7"/>
  <c r="K7887" i="7"/>
  <c r="K7888" i="7"/>
  <c r="K7889" i="7"/>
  <c r="K7890" i="7"/>
  <c r="K7891" i="7"/>
  <c r="K7892" i="7"/>
  <c r="K7893" i="7"/>
  <c r="K7894" i="7"/>
  <c r="K7895" i="7"/>
  <c r="K7896" i="7"/>
  <c r="K7897" i="7"/>
  <c r="K7898" i="7"/>
  <c r="K7899" i="7"/>
  <c r="K7900" i="7"/>
  <c r="K7901" i="7"/>
  <c r="K7902" i="7"/>
  <c r="K7903" i="7"/>
  <c r="K7904" i="7"/>
  <c r="K7905" i="7"/>
  <c r="K7906" i="7"/>
  <c r="K7907" i="7"/>
  <c r="K7908" i="7"/>
  <c r="K7909" i="7"/>
  <c r="K7910" i="7"/>
  <c r="K7911" i="7"/>
  <c r="K7912" i="7"/>
  <c r="K7913" i="7"/>
  <c r="K7914" i="7"/>
  <c r="K7915" i="7"/>
  <c r="K7916" i="7"/>
  <c r="K7917" i="7"/>
  <c r="K7918" i="7"/>
  <c r="K7919" i="7"/>
  <c r="K7920" i="7"/>
  <c r="K7921" i="7"/>
  <c r="K7922" i="7"/>
  <c r="K7923" i="7"/>
  <c r="K7924" i="7"/>
  <c r="K7925" i="7"/>
  <c r="K7926" i="7"/>
  <c r="K7927" i="7"/>
  <c r="K7928" i="7"/>
  <c r="K7929" i="7"/>
  <c r="K7930" i="7"/>
  <c r="K7931" i="7"/>
  <c r="K7932" i="7"/>
  <c r="K7933" i="7"/>
  <c r="K7934" i="7"/>
  <c r="K7935" i="7"/>
  <c r="K7936" i="7"/>
  <c r="K7937" i="7"/>
  <c r="K7938" i="7"/>
  <c r="K7939" i="7"/>
  <c r="K7940" i="7"/>
  <c r="K7941" i="7"/>
  <c r="K7942" i="7"/>
  <c r="K7943" i="7"/>
  <c r="K7944" i="7"/>
  <c r="K7945" i="7"/>
  <c r="K7946" i="7"/>
  <c r="K7947" i="7"/>
  <c r="K7948" i="7"/>
  <c r="K7949" i="7"/>
  <c r="K7950" i="7"/>
  <c r="K7951" i="7"/>
  <c r="K7952" i="7"/>
  <c r="K7953" i="7"/>
  <c r="K7954" i="7"/>
  <c r="K7955" i="7"/>
  <c r="K7956" i="7"/>
  <c r="K7957" i="7"/>
  <c r="K7958" i="7"/>
  <c r="K7959" i="7"/>
  <c r="K7960" i="7"/>
  <c r="K7961" i="7"/>
  <c r="K7962" i="7"/>
  <c r="K7963" i="7"/>
  <c r="K7964" i="7"/>
  <c r="K7965" i="7"/>
  <c r="K7966" i="7"/>
  <c r="K7967" i="7"/>
  <c r="K7968" i="7"/>
  <c r="K7969" i="7"/>
  <c r="K7970" i="7"/>
  <c r="K7971" i="7"/>
  <c r="K7972" i="7"/>
  <c r="K7973" i="7"/>
  <c r="K7974" i="7"/>
  <c r="K7975" i="7"/>
  <c r="K7976" i="7"/>
  <c r="K7977" i="7"/>
  <c r="K7978" i="7"/>
  <c r="K7979" i="7"/>
  <c r="K7980" i="7"/>
  <c r="K7981" i="7"/>
  <c r="K7982" i="7"/>
  <c r="K7983" i="7"/>
  <c r="K7984" i="7"/>
  <c r="K7985" i="7"/>
  <c r="K7986" i="7"/>
  <c r="K7987" i="7"/>
  <c r="K7988" i="7"/>
  <c r="K7989" i="7"/>
  <c r="K7990" i="7"/>
  <c r="K7991" i="7"/>
  <c r="K7992" i="7"/>
  <c r="K7993" i="7"/>
  <c r="K7994" i="7"/>
  <c r="K7995" i="7"/>
  <c r="K7996" i="7"/>
  <c r="K7997" i="7"/>
  <c r="K7998" i="7"/>
  <c r="K7999" i="7"/>
  <c r="K8000" i="7"/>
  <c r="K8001" i="7"/>
  <c r="K8002" i="7"/>
  <c r="K8003" i="7"/>
  <c r="K8004" i="7"/>
  <c r="K8005" i="7"/>
  <c r="K8006" i="7"/>
  <c r="K8007" i="7"/>
  <c r="K8008" i="7"/>
  <c r="K8009" i="7"/>
  <c r="K8010" i="7"/>
  <c r="K8011" i="7"/>
  <c r="K8012" i="7"/>
  <c r="K8013" i="7"/>
  <c r="K8014" i="7"/>
  <c r="K8015" i="7"/>
  <c r="K8016" i="7"/>
  <c r="K8017" i="7"/>
  <c r="K8018" i="7"/>
  <c r="K8019" i="7"/>
  <c r="K8020" i="7"/>
  <c r="K8021" i="7"/>
  <c r="K8022" i="7"/>
  <c r="K8023" i="7"/>
  <c r="K8024" i="7"/>
  <c r="K8025" i="7"/>
  <c r="K8026" i="7"/>
  <c r="K8027" i="7"/>
  <c r="K8028" i="7"/>
  <c r="K8029" i="7"/>
  <c r="K8030" i="7"/>
  <c r="K8031" i="7"/>
  <c r="K8032" i="7"/>
  <c r="K8033" i="7"/>
  <c r="K8034" i="7"/>
  <c r="K8035" i="7"/>
  <c r="K8036" i="7"/>
  <c r="K8037" i="7"/>
  <c r="K8038" i="7"/>
  <c r="K8039" i="7"/>
  <c r="K8040" i="7"/>
  <c r="K8041" i="7"/>
  <c r="K8042" i="7"/>
  <c r="K8043" i="7"/>
  <c r="K8044" i="7"/>
  <c r="K8045" i="7"/>
  <c r="K8046" i="7"/>
  <c r="K8047" i="7"/>
  <c r="K8048" i="7"/>
  <c r="K8049" i="7"/>
  <c r="K8050" i="7"/>
  <c r="K8051" i="7"/>
  <c r="K8052" i="7"/>
  <c r="K8053" i="7"/>
  <c r="K8054" i="7"/>
  <c r="K8055" i="7"/>
  <c r="K8056" i="7"/>
  <c r="K8057" i="7"/>
  <c r="K8058" i="7"/>
  <c r="K8059" i="7"/>
  <c r="K8060" i="7"/>
  <c r="K8061" i="7"/>
  <c r="K8062" i="7"/>
  <c r="K8063" i="7"/>
  <c r="K8064" i="7"/>
  <c r="K8065" i="7"/>
  <c r="K8066" i="7"/>
  <c r="K8067" i="7"/>
  <c r="K8068" i="7"/>
  <c r="K8069" i="7"/>
  <c r="K8070" i="7"/>
  <c r="K8071" i="7"/>
  <c r="K8072" i="7"/>
  <c r="K8073" i="7"/>
  <c r="K8074" i="7"/>
  <c r="K8075" i="7"/>
  <c r="K8076" i="7"/>
  <c r="K8077" i="7"/>
  <c r="K8078" i="7"/>
  <c r="K8079" i="7"/>
  <c r="K8080" i="7"/>
  <c r="K8081" i="7"/>
  <c r="K8082" i="7"/>
  <c r="K8083" i="7"/>
  <c r="K8084" i="7"/>
  <c r="K8085" i="7"/>
  <c r="K8086" i="7"/>
  <c r="K8087" i="7"/>
  <c r="K8088" i="7"/>
  <c r="K8089" i="7"/>
  <c r="K8090" i="7"/>
  <c r="K8091" i="7"/>
  <c r="K8092" i="7"/>
  <c r="K8093" i="7"/>
  <c r="K8094" i="7"/>
  <c r="K8095" i="7"/>
  <c r="K8096" i="7"/>
  <c r="K8097" i="7"/>
  <c r="K8098" i="7"/>
  <c r="K8099" i="7"/>
  <c r="K8100" i="7"/>
  <c r="K8101" i="7"/>
  <c r="K8102" i="7"/>
  <c r="K8103" i="7"/>
  <c r="K8104" i="7"/>
  <c r="K8105" i="7"/>
  <c r="K8106" i="7"/>
  <c r="K8107" i="7"/>
  <c r="K8108" i="7"/>
  <c r="K8109" i="7"/>
  <c r="K8110" i="7"/>
  <c r="K8111" i="7"/>
  <c r="K8112" i="7"/>
  <c r="K8113" i="7"/>
  <c r="K8114" i="7"/>
  <c r="K8115" i="7"/>
  <c r="K8116" i="7"/>
  <c r="K8117" i="7"/>
  <c r="K8118" i="7"/>
  <c r="K8119" i="7"/>
  <c r="K8120" i="7"/>
  <c r="K8121" i="7"/>
  <c r="K8122" i="7"/>
  <c r="K8123" i="7"/>
  <c r="K8124" i="7"/>
  <c r="K8125" i="7"/>
  <c r="K8126" i="7"/>
  <c r="K8127" i="7"/>
  <c r="K8128" i="7"/>
  <c r="K8129" i="7"/>
  <c r="K8130" i="7"/>
  <c r="K8131" i="7"/>
  <c r="K8132" i="7"/>
  <c r="K8133" i="7"/>
  <c r="K8134" i="7"/>
  <c r="K8135" i="7"/>
  <c r="K8136" i="7"/>
  <c r="K8137" i="7"/>
  <c r="K8138" i="7"/>
  <c r="K8139" i="7"/>
  <c r="K8140" i="7"/>
  <c r="K8141" i="7"/>
  <c r="K8142" i="7"/>
  <c r="K8143" i="7"/>
  <c r="K8144" i="7"/>
  <c r="K8145" i="7"/>
  <c r="K8146" i="7"/>
  <c r="K8147" i="7"/>
  <c r="K8148" i="7"/>
  <c r="K8149" i="7"/>
  <c r="K8150" i="7"/>
  <c r="K8151" i="7"/>
  <c r="K8152" i="7"/>
  <c r="K8153" i="7"/>
  <c r="K8154" i="7"/>
  <c r="K8155" i="7"/>
  <c r="K8156" i="7"/>
  <c r="K8157" i="7"/>
  <c r="K8158" i="7"/>
  <c r="K8159" i="7"/>
  <c r="K8160" i="7"/>
  <c r="K8161" i="7"/>
  <c r="K8162" i="7"/>
  <c r="K8163" i="7"/>
  <c r="K8164" i="7"/>
  <c r="K8165" i="7"/>
  <c r="K8166" i="7"/>
  <c r="K8167" i="7"/>
  <c r="K8168" i="7"/>
  <c r="K8169" i="7"/>
  <c r="K8170" i="7"/>
  <c r="K8171" i="7"/>
  <c r="K8172" i="7"/>
  <c r="K8173" i="7"/>
  <c r="K8174" i="7"/>
  <c r="K8175" i="7"/>
  <c r="K8176" i="7"/>
  <c r="K8177" i="7"/>
  <c r="K8178" i="7"/>
  <c r="K8179" i="7"/>
  <c r="K8180" i="7"/>
  <c r="K8181" i="7"/>
  <c r="K8182" i="7"/>
  <c r="K8183" i="7"/>
  <c r="K8184" i="7"/>
  <c r="K8185" i="7"/>
  <c r="K8186" i="7"/>
  <c r="K8187" i="7"/>
  <c r="K8188" i="7"/>
  <c r="K8189" i="7"/>
  <c r="K8190" i="7"/>
  <c r="K8191" i="7"/>
  <c r="K8192" i="7"/>
  <c r="K8193" i="7"/>
  <c r="K8194" i="7"/>
  <c r="K8195" i="7"/>
  <c r="K8196" i="7"/>
  <c r="K8197" i="7"/>
  <c r="K8198" i="7"/>
  <c r="K8199" i="7"/>
  <c r="K8200" i="7"/>
  <c r="K8201" i="7"/>
  <c r="K8202" i="7"/>
  <c r="K8203" i="7"/>
  <c r="K8204" i="7"/>
  <c r="K8205" i="7"/>
  <c r="K8206" i="7"/>
  <c r="K8207" i="7"/>
  <c r="K8208" i="7"/>
  <c r="K8209" i="7"/>
  <c r="K8210" i="7"/>
  <c r="K8211" i="7"/>
  <c r="K8212" i="7"/>
  <c r="K8213" i="7"/>
  <c r="K8214" i="7"/>
  <c r="K8215" i="7"/>
  <c r="K8216" i="7"/>
  <c r="K8217" i="7"/>
  <c r="K8218" i="7"/>
  <c r="K8219" i="7"/>
  <c r="K8220" i="7"/>
  <c r="K8221" i="7"/>
  <c r="K8222" i="7"/>
  <c r="K8223" i="7"/>
  <c r="K8224" i="7"/>
  <c r="K8225" i="7"/>
  <c r="K8226" i="7"/>
  <c r="K8227" i="7"/>
  <c r="K8228" i="7"/>
  <c r="K8229" i="7"/>
  <c r="K8230" i="7"/>
  <c r="K8231" i="7"/>
  <c r="K8232" i="7"/>
  <c r="K8233" i="7"/>
  <c r="K8234" i="7"/>
  <c r="K8235" i="7"/>
  <c r="K8236" i="7"/>
  <c r="K8237" i="7"/>
  <c r="K8238" i="7"/>
  <c r="K8239" i="7"/>
  <c r="K8240" i="7"/>
  <c r="K8241" i="7"/>
  <c r="K8242" i="7"/>
  <c r="K8243" i="7"/>
  <c r="K8244" i="7"/>
  <c r="K8245" i="7"/>
  <c r="K8246" i="7"/>
  <c r="K8247" i="7"/>
  <c r="K8248" i="7"/>
  <c r="K8249" i="7"/>
  <c r="K8250" i="7"/>
  <c r="K8251" i="7"/>
  <c r="K8252" i="7"/>
  <c r="K8253" i="7"/>
  <c r="K8254" i="7"/>
  <c r="K8255" i="7"/>
  <c r="K8256" i="7"/>
  <c r="K8257" i="7"/>
  <c r="K8258" i="7"/>
  <c r="K8259" i="7"/>
  <c r="K8260" i="7"/>
  <c r="K8261" i="7"/>
  <c r="K8262" i="7"/>
  <c r="K8263" i="7"/>
  <c r="K8264" i="7"/>
  <c r="K8265" i="7"/>
  <c r="K8266" i="7"/>
  <c r="K8267" i="7"/>
  <c r="K8268" i="7"/>
  <c r="K8269" i="7"/>
  <c r="K8270" i="7"/>
  <c r="K8271" i="7"/>
  <c r="K8272" i="7"/>
  <c r="K8273" i="7"/>
  <c r="K8274" i="7"/>
  <c r="K8275" i="7"/>
  <c r="K8276" i="7"/>
  <c r="K8277" i="7"/>
  <c r="K8278" i="7"/>
  <c r="K8279" i="7"/>
  <c r="K8280" i="7"/>
  <c r="K8281" i="7"/>
  <c r="K8282" i="7"/>
  <c r="K8283" i="7"/>
  <c r="K8284" i="7"/>
  <c r="K8285" i="7"/>
  <c r="K8286" i="7"/>
  <c r="K8287" i="7"/>
  <c r="K8288" i="7"/>
  <c r="K8289" i="7"/>
  <c r="K8290" i="7"/>
  <c r="K8291" i="7"/>
  <c r="K8292" i="7"/>
  <c r="K8293" i="7"/>
  <c r="K8294" i="7"/>
  <c r="K8295" i="7"/>
  <c r="K8296" i="7"/>
  <c r="K8297" i="7"/>
  <c r="K8298" i="7"/>
  <c r="K8299" i="7"/>
  <c r="K8300" i="7"/>
  <c r="K8301" i="7"/>
  <c r="K8302" i="7"/>
  <c r="K8303" i="7"/>
  <c r="K8304" i="7"/>
  <c r="K8305" i="7"/>
  <c r="K8306" i="7"/>
  <c r="K8307" i="7"/>
  <c r="K8308" i="7"/>
  <c r="K8309" i="7"/>
  <c r="K8310" i="7"/>
  <c r="K8311" i="7"/>
  <c r="K8312" i="7"/>
  <c r="K8313" i="7"/>
  <c r="K8314" i="7"/>
  <c r="K8315" i="7"/>
  <c r="K8316" i="7"/>
  <c r="K8317" i="7"/>
  <c r="K8318" i="7"/>
  <c r="K8319" i="7"/>
  <c r="K8320" i="7"/>
  <c r="K8321" i="7"/>
  <c r="K8322" i="7"/>
  <c r="K8323" i="7"/>
  <c r="K8324" i="7"/>
  <c r="K8325" i="7"/>
  <c r="K8326" i="7"/>
  <c r="K8327" i="7"/>
  <c r="K8328" i="7"/>
  <c r="K8329" i="7"/>
  <c r="K8330" i="7"/>
  <c r="K8331" i="7"/>
  <c r="K8332" i="7"/>
  <c r="K8333" i="7"/>
  <c r="K8334" i="7"/>
  <c r="K8335" i="7"/>
  <c r="K8336" i="7"/>
  <c r="K8337" i="7"/>
  <c r="K8338" i="7"/>
  <c r="K8339" i="7"/>
  <c r="K8340" i="7"/>
  <c r="K8341" i="7"/>
  <c r="K8342" i="7"/>
  <c r="K8343" i="7"/>
  <c r="K8344" i="7"/>
  <c r="K8345" i="7"/>
  <c r="K8346" i="7"/>
  <c r="K8347" i="7"/>
  <c r="K8348" i="7"/>
  <c r="K8349" i="7"/>
  <c r="K8350" i="7"/>
  <c r="K8351" i="7"/>
  <c r="K8352" i="7"/>
  <c r="K8353" i="7"/>
  <c r="K8354" i="7"/>
  <c r="K8355" i="7"/>
  <c r="K8356" i="7"/>
  <c r="K8357" i="7"/>
  <c r="K8358" i="7"/>
  <c r="K8359" i="7"/>
  <c r="K8360" i="7"/>
  <c r="K8361" i="7"/>
  <c r="K8362" i="7"/>
  <c r="K8363" i="7"/>
  <c r="K8364" i="7"/>
  <c r="K8365" i="7"/>
  <c r="K8366" i="7"/>
  <c r="K8367" i="7"/>
  <c r="K8368" i="7"/>
  <c r="K8369" i="7"/>
  <c r="K8370" i="7"/>
  <c r="K8371" i="7"/>
  <c r="K8372" i="7"/>
  <c r="K8373" i="7"/>
  <c r="K8374" i="7"/>
  <c r="K8375" i="7"/>
  <c r="K8376" i="7"/>
  <c r="K8377" i="7"/>
  <c r="K8378" i="7"/>
  <c r="K8379" i="7"/>
  <c r="K8380" i="7"/>
  <c r="K8381" i="7"/>
  <c r="K8382" i="7"/>
  <c r="K8383" i="7"/>
  <c r="K8384" i="7"/>
  <c r="K8385" i="7"/>
  <c r="K8386" i="7"/>
  <c r="K8387" i="7"/>
  <c r="K8388" i="7"/>
  <c r="K8389" i="7"/>
  <c r="K8390" i="7"/>
  <c r="K8391" i="7"/>
  <c r="K8392" i="7"/>
  <c r="K8393" i="7"/>
  <c r="K8394" i="7"/>
  <c r="K8395" i="7"/>
  <c r="K8396" i="7"/>
  <c r="K8397" i="7"/>
  <c r="K8398" i="7"/>
  <c r="K8399" i="7"/>
  <c r="K8400" i="7"/>
  <c r="K8401" i="7"/>
  <c r="K8402" i="7"/>
  <c r="K8403" i="7"/>
  <c r="K8404" i="7"/>
  <c r="K8405" i="7"/>
  <c r="K8406" i="7"/>
  <c r="K8407" i="7"/>
  <c r="K8408" i="7"/>
  <c r="K8409" i="7"/>
  <c r="K8410" i="7"/>
  <c r="K8411" i="7"/>
  <c r="K8412" i="7"/>
  <c r="K8413" i="7"/>
  <c r="K8414" i="7"/>
  <c r="K8415" i="7"/>
  <c r="K8416" i="7"/>
  <c r="K8417" i="7"/>
  <c r="K8418" i="7"/>
  <c r="K8419" i="7"/>
  <c r="K8420" i="7"/>
  <c r="K8421" i="7"/>
  <c r="K8422" i="7"/>
  <c r="K8423" i="7"/>
  <c r="K8424" i="7"/>
  <c r="K8425" i="7"/>
  <c r="K8426" i="7"/>
  <c r="K8427" i="7"/>
  <c r="K8428" i="7"/>
  <c r="K8429" i="7"/>
  <c r="K8430" i="7"/>
  <c r="K8431" i="7"/>
  <c r="K8432" i="7"/>
  <c r="K8433" i="7"/>
  <c r="K8434" i="7"/>
  <c r="K8435" i="7"/>
  <c r="K8436" i="7"/>
  <c r="K8437" i="7"/>
  <c r="K8438" i="7"/>
  <c r="K8439" i="7"/>
  <c r="K8440" i="7"/>
  <c r="K8441" i="7"/>
  <c r="K8442" i="7"/>
  <c r="K8443" i="7"/>
  <c r="K8444" i="7"/>
  <c r="K8445" i="7"/>
  <c r="K8446" i="7"/>
  <c r="K8447" i="7"/>
  <c r="K8448" i="7"/>
  <c r="K8449" i="7"/>
  <c r="K8450" i="7"/>
  <c r="K8451" i="7"/>
  <c r="K8452" i="7"/>
  <c r="K8453" i="7"/>
  <c r="K8454" i="7"/>
  <c r="K8455" i="7"/>
  <c r="K8456" i="7"/>
  <c r="K8457" i="7"/>
  <c r="K8458" i="7"/>
  <c r="K8459" i="7"/>
  <c r="K8460" i="7"/>
  <c r="K8461" i="7"/>
  <c r="K8462" i="7"/>
  <c r="K8463" i="7"/>
  <c r="K8464" i="7"/>
  <c r="K8465" i="7"/>
  <c r="K8466" i="7"/>
  <c r="K8467" i="7"/>
  <c r="K8468" i="7"/>
  <c r="K8469" i="7"/>
  <c r="K8470" i="7"/>
  <c r="K8471" i="7"/>
  <c r="K8472" i="7"/>
  <c r="K8473" i="7"/>
  <c r="K8474" i="7"/>
  <c r="K8475" i="7"/>
  <c r="K8476" i="7"/>
  <c r="K8477" i="7"/>
  <c r="K8478" i="7"/>
  <c r="K8479" i="7"/>
  <c r="K8480" i="7"/>
  <c r="K8481" i="7"/>
  <c r="K8482" i="7"/>
  <c r="K8483" i="7"/>
  <c r="K8484" i="7"/>
  <c r="K8485" i="7"/>
  <c r="K8486" i="7"/>
  <c r="K8487" i="7"/>
  <c r="K8488" i="7"/>
  <c r="K8489" i="7"/>
  <c r="K8490" i="7"/>
  <c r="K8491" i="7"/>
  <c r="K8492" i="7"/>
  <c r="K8493" i="7"/>
  <c r="K8494" i="7"/>
  <c r="K8495" i="7"/>
  <c r="K8496" i="7"/>
  <c r="K8497" i="7"/>
  <c r="K8498" i="7"/>
  <c r="K8499" i="7"/>
  <c r="K8500" i="7"/>
  <c r="K8501" i="7"/>
  <c r="K8502" i="7"/>
  <c r="K8503" i="7"/>
  <c r="K8504" i="7"/>
  <c r="K8505" i="7"/>
  <c r="K8506" i="7"/>
  <c r="K8507" i="7"/>
  <c r="K8508" i="7"/>
  <c r="K8509" i="7"/>
  <c r="K8510" i="7"/>
  <c r="K8511" i="7"/>
  <c r="K8512" i="7"/>
  <c r="K8513" i="7"/>
  <c r="K8514" i="7"/>
  <c r="K8515" i="7"/>
  <c r="K8516" i="7"/>
  <c r="K8517" i="7"/>
  <c r="K8518" i="7"/>
  <c r="K8519" i="7"/>
  <c r="K8520" i="7"/>
  <c r="K8521" i="7"/>
  <c r="K8522" i="7"/>
  <c r="K8523" i="7"/>
  <c r="K8524" i="7"/>
  <c r="K8525" i="7"/>
  <c r="K8526" i="7"/>
  <c r="K8527" i="7"/>
  <c r="K8528" i="7"/>
  <c r="K8529" i="7"/>
  <c r="K8530" i="7"/>
  <c r="K8531" i="7"/>
  <c r="K8532" i="7"/>
  <c r="K8533" i="7"/>
  <c r="K8534" i="7"/>
  <c r="K8535" i="7"/>
  <c r="K8536" i="7"/>
  <c r="K8537" i="7"/>
  <c r="K8538" i="7"/>
  <c r="K8539" i="7"/>
  <c r="K8540" i="7"/>
  <c r="K8541" i="7"/>
  <c r="K8542" i="7"/>
  <c r="K8543" i="7"/>
  <c r="K8544" i="7"/>
  <c r="K8545" i="7"/>
  <c r="K8546" i="7"/>
  <c r="K8547" i="7"/>
  <c r="K8548" i="7"/>
  <c r="K8549" i="7"/>
  <c r="K8550" i="7"/>
  <c r="K8551" i="7"/>
  <c r="K8552" i="7"/>
  <c r="K8553" i="7"/>
  <c r="K8554" i="7"/>
  <c r="K8555" i="7"/>
  <c r="K8556" i="7"/>
  <c r="K8557" i="7"/>
  <c r="K8558" i="7"/>
  <c r="K8559" i="7"/>
  <c r="K8560" i="7"/>
  <c r="K8561" i="7"/>
  <c r="K8562" i="7"/>
  <c r="K8563" i="7"/>
  <c r="K8564" i="7"/>
  <c r="K8565" i="7"/>
  <c r="K8566" i="7"/>
  <c r="K8567" i="7"/>
  <c r="K8568" i="7"/>
  <c r="K8569" i="7"/>
  <c r="K8570" i="7"/>
  <c r="K8571" i="7"/>
  <c r="K8572" i="7"/>
  <c r="K8573" i="7"/>
  <c r="K8574" i="7"/>
  <c r="K8575" i="7"/>
  <c r="K8576" i="7"/>
  <c r="K8577" i="7"/>
  <c r="K8578" i="7"/>
  <c r="K8579" i="7"/>
  <c r="K8580" i="7"/>
  <c r="K8581" i="7"/>
  <c r="K8582" i="7"/>
  <c r="K8583" i="7"/>
  <c r="K8584" i="7"/>
  <c r="K8585" i="7"/>
  <c r="K8586" i="7"/>
  <c r="K8587" i="7"/>
  <c r="K8588" i="7"/>
  <c r="K8589" i="7"/>
  <c r="K8590" i="7"/>
  <c r="K8591" i="7"/>
  <c r="K8592" i="7"/>
  <c r="K8593" i="7"/>
  <c r="K8594" i="7"/>
  <c r="K8595" i="7"/>
  <c r="K8596" i="7"/>
  <c r="K8597" i="7"/>
  <c r="K8598" i="7"/>
  <c r="K8599" i="7"/>
  <c r="K8600" i="7"/>
  <c r="K8601" i="7"/>
  <c r="K8602" i="7"/>
  <c r="K8603" i="7"/>
  <c r="K8604" i="7"/>
  <c r="K8605" i="7"/>
  <c r="K8606" i="7"/>
  <c r="K8607" i="7"/>
  <c r="K8608" i="7"/>
  <c r="K8609" i="7"/>
  <c r="K8610" i="7"/>
  <c r="K8611" i="7"/>
  <c r="K8612" i="7"/>
  <c r="K8613" i="7"/>
  <c r="K8614" i="7"/>
  <c r="K8615" i="7"/>
  <c r="K8616" i="7"/>
  <c r="K8617" i="7"/>
  <c r="K8618" i="7"/>
  <c r="K8619" i="7"/>
  <c r="K8620" i="7"/>
  <c r="K8621" i="7"/>
  <c r="K8622" i="7"/>
  <c r="K8623" i="7"/>
  <c r="K8624" i="7"/>
  <c r="K8625" i="7"/>
  <c r="K8626" i="7"/>
  <c r="K8627" i="7"/>
  <c r="K8628" i="7"/>
  <c r="K8629" i="7"/>
  <c r="K8630" i="7"/>
  <c r="K8631" i="7"/>
  <c r="K8632" i="7"/>
  <c r="K8633" i="7"/>
  <c r="K8634" i="7"/>
  <c r="K8635" i="7"/>
  <c r="K8636" i="7"/>
  <c r="K8637" i="7"/>
  <c r="K8638" i="7"/>
  <c r="K8639" i="7"/>
  <c r="K8640" i="7"/>
  <c r="K8641" i="7"/>
  <c r="K8642" i="7"/>
  <c r="K8643" i="7"/>
  <c r="K8644" i="7"/>
  <c r="K8645" i="7"/>
  <c r="K8646" i="7"/>
  <c r="K8647" i="7"/>
  <c r="K8648" i="7"/>
  <c r="K8649" i="7"/>
  <c r="K8650" i="7"/>
  <c r="K8651" i="7"/>
  <c r="K8652" i="7"/>
  <c r="K8653" i="7"/>
  <c r="K8654" i="7"/>
  <c r="K8655" i="7"/>
  <c r="K8656" i="7"/>
  <c r="K8657" i="7"/>
  <c r="K8658" i="7"/>
  <c r="K8659" i="7"/>
  <c r="K8660" i="7"/>
  <c r="K8661" i="7"/>
  <c r="K8662" i="7"/>
  <c r="K8663" i="7"/>
  <c r="K8664" i="7"/>
  <c r="K8665" i="7"/>
  <c r="K8666" i="7"/>
  <c r="K8667" i="7"/>
  <c r="K8668" i="7"/>
  <c r="K8669" i="7"/>
  <c r="K8670" i="7"/>
  <c r="K8671" i="7"/>
  <c r="K8672" i="7"/>
  <c r="K8673" i="7"/>
  <c r="K8674" i="7"/>
  <c r="K8675" i="7"/>
  <c r="K8676" i="7"/>
  <c r="K8677" i="7"/>
  <c r="K8678" i="7"/>
  <c r="K8679" i="7"/>
  <c r="K8680" i="7"/>
  <c r="K8681" i="7"/>
  <c r="K8682" i="7"/>
  <c r="K8683" i="7"/>
  <c r="K8684" i="7"/>
  <c r="K8685" i="7"/>
  <c r="K8686" i="7"/>
  <c r="K8687" i="7"/>
  <c r="K8688" i="7"/>
  <c r="K8689" i="7"/>
  <c r="K8690" i="7"/>
  <c r="K8691" i="7"/>
  <c r="K8692" i="7"/>
  <c r="K8693" i="7"/>
  <c r="K8694" i="7"/>
  <c r="K8695" i="7"/>
  <c r="K8696" i="7"/>
  <c r="K8697" i="7"/>
  <c r="K8698" i="7"/>
  <c r="K8699" i="7"/>
  <c r="K8700" i="7"/>
  <c r="K8701" i="7"/>
  <c r="K8702" i="7"/>
  <c r="K8703" i="7"/>
  <c r="K8704" i="7"/>
  <c r="K8705" i="7"/>
  <c r="K8706" i="7"/>
  <c r="K8707" i="7"/>
  <c r="K8708" i="7"/>
  <c r="K8709" i="7"/>
  <c r="K8710" i="7"/>
  <c r="K8711" i="7"/>
  <c r="K8712" i="7"/>
  <c r="K8713" i="7"/>
  <c r="K8714" i="7"/>
  <c r="K8715" i="7"/>
  <c r="K8716" i="7"/>
  <c r="K8717" i="7"/>
  <c r="K8718" i="7"/>
  <c r="K8719" i="7"/>
  <c r="K8720" i="7"/>
  <c r="K8721" i="7"/>
  <c r="K8722" i="7"/>
  <c r="K8723" i="7"/>
  <c r="K8724" i="7"/>
  <c r="K8725" i="7"/>
  <c r="K8726" i="7"/>
  <c r="K8727" i="7"/>
  <c r="K8728" i="7"/>
  <c r="K8729" i="7"/>
  <c r="K8730" i="7"/>
  <c r="K8731" i="7"/>
  <c r="K8732" i="7"/>
  <c r="K8733" i="7"/>
  <c r="K8734" i="7"/>
  <c r="K8735" i="7"/>
  <c r="K8736" i="7"/>
  <c r="K8737" i="7"/>
  <c r="K8738" i="7"/>
  <c r="K8739" i="7"/>
  <c r="K8740" i="7"/>
  <c r="K8741" i="7"/>
  <c r="K8742" i="7"/>
  <c r="K8743" i="7"/>
  <c r="K8744" i="7"/>
  <c r="K8745" i="7"/>
  <c r="K8746" i="7"/>
  <c r="K8747" i="7"/>
  <c r="K8748" i="7"/>
  <c r="K8749" i="7"/>
  <c r="K8750" i="7"/>
  <c r="K8751" i="7"/>
  <c r="K8752" i="7"/>
  <c r="K8753" i="7"/>
  <c r="K8754" i="7"/>
  <c r="K8755" i="7"/>
  <c r="K8756" i="7"/>
  <c r="K8757" i="7"/>
  <c r="K8758" i="7"/>
  <c r="K8759" i="7"/>
  <c r="K8760" i="7"/>
  <c r="K8761" i="7"/>
  <c r="K8762" i="7"/>
  <c r="K8763" i="7"/>
  <c r="K8764" i="7"/>
  <c r="K8765" i="7"/>
  <c r="K8766" i="7"/>
  <c r="K8767" i="7"/>
  <c r="K8768" i="7"/>
  <c r="K8769" i="7"/>
  <c r="K8770" i="7"/>
  <c r="K8771" i="7"/>
  <c r="K8772" i="7"/>
  <c r="K8773" i="7"/>
  <c r="K8774" i="7"/>
  <c r="K8775" i="7"/>
  <c r="K8776" i="7"/>
  <c r="K8777" i="7"/>
  <c r="K8778" i="7"/>
  <c r="K8779" i="7"/>
  <c r="K8780" i="7"/>
  <c r="K8781" i="7"/>
  <c r="K8782" i="7"/>
  <c r="K8783" i="7"/>
  <c r="K8784" i="7"/>
  <c r="K8785" i="7"/>
  <c r="K8786" i="7"/>
  <c r="K8787" i="7"/>
  <c r="K8788" i="7"/>
  <c r="K8789" i="7"/>
  <c r="K8790" i="7"/>
  <c r="K8791" i="7"/>
  <c r="K8792" i="7"/>
  <c r="K8793" i="7"/>
  <c r="K8794" i="7"/>
  <c r="K8795" i="7"/>
  <c r="K8796" i="7"/>
  <c r="K8797" i="7"/>
  <c r="K8798" i="7"/>
  <c r="K8799" i="7"/>
  <c r="K8800" i="7"/>
  <c r="K8801" i="7"/>
  <c r="K8802" i="7"/>
  <c r="K8803" i="7"/>
  <c r="K8804" i="7"/>
  <c r="K8805" i="7"/>
  <c r="K8806" i="7"/>
  <c r="K8807" i="7"/>
  <c r="K8808" i="7"/>
  <c r="K8809" i="7"/>
  <c r="K8810" i="7"/>
  <c r="K8811" i="7"/>
  <c r="K8812" i="7"/>
  <c r="K8813" i="7"/>
  <c r="K8814" i="7"/>
  <c r="K8815" i="7"/>
  <c r="K8816" i="7"/>
  <c r="K8817" i="7"/>
  <c r="K8818" i="7"/>
  <c r="K8819" i="7"/>
  <c r="K8820" i="7"/>
  <c r="K8821" i="7"/>
  <c r="K8822" i="7"/>
  <c r="K8823" i="7"/>
  <c r="K8824" i="7"/>
  <c r="K8825" i="7"/>
  <c r="K8826" i="7"/>
  <c r="K8827" i="7"/>
  <c r="K8828" i="7"/>
  <c r="K8829" i="7"/>
  <c r="K8830" i="7"/>
  <c r="K8831" i="7"/>
  <c r="K8832" i="7"/>
  <c r="K8833" i="7"/>
  <c r="K8834" i="7"/>
  <c r="K8835" i="7"/>
  <c r="K8836" i="7"/>
  <c r="K8837" i="7"/>
  <c r="K8838" i="7"/>
  <c r="K8839" i="7"/>
  <c r="K8840" i="7"/>
  <c r="K8841" i="7"/>
  <c r="K8842" i="7"/>
  <c r="K8843" i="7"/>
  <c r="K8844" i="7"/>
  <c r="K8845" i="7"/>
  <c r="K8846" i="7"/>
  <c r="K8847" i="7"/>
  <c r="K8848" i="7"/>
  <c r="K8849" i="7"/>
  <c r="K8850" i="7"/>
  <c r="K8851" i="7"/>
  <c r="K8852" i="7"/>
  <c r="K8853" i="7"/>
  <c r="K8854" i="7"/>
  <c r="K8855" i="7"/>
  <c r="K8856" i="7"/>
  <c r="K8857" i="7"/>
  <c r="K8858" i="7"/>
  <c r="K8859" i="7"/>
  <c r="K8860" i="7"/>
  <c r="K8861" i="7"/>
  <c r="K8862" i="7"/>
  <c r="K8863" i="7"/>
  <c r="K8864" i="7"/>
  <c r="K8865" i="7"/>
  <c r="K8866" i="7"/>
  <c r="K8867" i="7"/>
  <c r="K8868" i="7"/>
  <c r="K8869" i="7"/>
  <c r="K8870" i="7"/>
  <c r="K8871" i="7"/>
  <c r="K8872" i="7"/>
  <c r="K8873" i="7"/>
  <c r="K8874" i="7"/>
  <c r="K8875" i="7"/>
  <c r="K8876" i="7"/>
  <c r="K8877" i="7"/>
  <c r="K8878" i="7"/>
  <c r="K8879" i="7"/>
  <c r="K8880" i="7"/>
  <c r="K8881" i="7"/>
  <c r="K8882" i="7"/>
  <c r="K8883" i="7"/>
  <c r="K8884" i="7"/>
  <c r="K8885" i="7"/>
  <c r="K8886" i="7"/>
  <c r="K8887" i="7"/>
  <c r="K8888" i="7"/>
  <c r="K8889" i="7"/>
  <c r="K8890" i="7"/>
  <c r="K8891" i="7"/>
  <c r="K8892" i="7"/>
  <c r="K8893" i="7"/>
  <c r="K8894" i="7"/>
  <c r="K8895" i="7"/>
  <c r="K8896" i="7"/>
  <c r="K8897" i="7"/>
  <c r="K8898" i="7"/>
  <c r="K8899" i="7"/>
  <c r="K8900" i="7"/>
  <c r="K8901" i="7"/>
  <c r="K8902" i="7"/>
  <c r="K8903" i="7"/>
  <c r="K8904" i="7"/>
  <c r="K8905" i="7"/>
  <c r="K8906" i="7"/>
  <c r="K8907" i="7"/>
  <c r="K8908" i="7"/>
  <c r="K8909" i="7"/>
  <c r="K8910" i="7"/>
  <c r="K8911" i="7"/>
  <c r="K8912" i="7"/>
  <c r="K8913" i="7"/>
  <c r="K8914" i="7"/>
  <c r="K8915" i="7"/>
  <c r="K8916" i="7"/>
  <c r="K8917" i="7"/>
  <c r="K8918" i="7"/>
  <c r="K8919" i="7"/>
  <c r="K8920" i="7"/>
  <c r="K8921" i="7"/>
  <c r="K8922" i="7"/>
  <c r="K8923" i="7"/>
  <c r="K8924" i="7"/>
  <c r="K8925" i="7"/>
  <c r="K8926" i="7"/>
  <c r="K8927" i="7"/>
  <c r="K8928" i="7"/>
  <c r="K8929" i="7"/>
  <c r="K8930" i="7"/>
  <c r="K8931" i="7"/>
  <c r="K8932" i="7"/>
  <c r="K8933" i="7"/>
  <c r="K8934" i="7"/>
  <c r="K8935" i="7"/>
  <c r="K8936" i="7"/>
  <c r="K8937" i="7"/>
  <c r="K8938" i="7"/>
  <c r="K8939" i="7"/>
  <c r="K8940" i="7"/>
  <c r="K8941" i="7"/>
  <c r="K8942" i="7"/>
  <c r="K8943" i="7"/>
  <c r="K8944" i="7"/>
  <c r="K8945" i="7"/>
  <c r="K8946" i="7"/>
  <c r="K8947" i="7"/>
  <c r="K8948" i="7"/>
  <c r="K8949" i="7"/>
  <c r="K8950" i="7"/>
  <c r="K8951" i="7"/>
  <c r="K8952" i="7"/>
  <c r="K8953" i="7"/>
  <c r="K8954" i="7"/>
  <c r="K8955" i="7"/>
  <c r="K8956" i="7"/>
  <c r="K8957" i="7"/>
  <c r="K8958" i="7"/>
  <c r="K8959" i="7"/>
  <c r="K8960" i="7"/>
  <c r="K8961" i="7"/>
  <c r="K8962" i="7"/>
  <c r="K8963" i="7"/>
  <c r="K8964" i="7"/>
  <c r="K8965" i="7"/>
  <c r="K8966" i="7"/>
  <c r="K8967" i="7"/>
  <c r="K8968" i="7"/>
  <c r="K8969" i="7"/>
  <c r="K8970" i="7"/>
  <c r="K8971" i="7"/>
  <c r="K8972" i="7"/>
  <c r="K8973" i="7"/>
  <c r="K8974" i="7"/>
  <c r="K8975" i="7"/>
  <c r="K8976" i="7"/>
  <c r="K8977" i="7"/>
  <c r="K8978" i="7"/>
  <c r="K8979" i="7"/>
  <c r="K8980" i="7"/>
  <c r="K8981" i="7"/>
  <c r="K8982" i="7"/>
  <c r="K8983" i="7"/>
  <c r="K8984" i="7"/>
  <c r="K8985" i="7"/>
  <c r="K8986" i="7"/>
  <c r="K8987" i="7"/>
  <c r="K8988" i="7"/>
  <c r="K8989" i="7"/>
  <c r="K8990" i="7"/>
  <c r="K8991" i="7"/>
  <c r="K8992" i="7"/>
  <c r="K8993" i="7"/>
  <c r="K8994" i="7"/>
  <c r="K8995" i="7"/>
  <c r="K8996" i="7"/>
  <c r="K8997" i="7"/>
  <c r="K8998" i="7"/>
  <c r="K8999" i="7"/>
  <c r="K9000" i="7"/>
  <c r="K9001" i="7"/>
  <c r="K9002" i="7"/>
  <c r="K9003" i="7"/>
  <c r="K9004" i="7"/>
  <c r="K9005" i="7"/>
  <c r="K9006" i="7"/>
  <c r="K9007" i="7"/>
  <c r="K9008" i="7"/>
  <c r="K9009" i="7"/>
  <c r="K9010" i="7"/>
  <c r="K9011" i="7"/>
  <c r="K9012" i="7"/>
  <c r="K9013" i="7"/>
  <c r="K9014" i="7"/>
  <c r="K9015" i="7"/>
  <c r="K9016" i="7"/>
  <c r="K9017" i="7"/>
  <c r="K9018" i="7"/>
  <c r="K9019" i="7"/>
  <c r="K9020" i="7"/>
  <c r="K9021" i="7"/>
  <c r="K9022" i="7"/>
  <c r="K9023" i="7"/>
  <c r="K9024" i="7"/>
  <c r="K9025" i="7"/>
  <c r="K9026" i="7"/>
  <c r="K9027" i="7"/>
  <c r="K9028" i="7"/>
  <c r="K9029" i="7"/>
  <c r="K9030" i="7"/>
  <c r="K9031" i="7"/>
  <c r="K9032" i="7"/>
  <c r="K9033" i="7"/>
  <c r="K9034" i="7"/>
  <c r="K9035" i="7"/>
  <c r="K9036" i="7"/>
  <c r="K9037" i="7"/>
  <c r="K9038" i="7"/>
  <c r="K9039" i="7"/>
  <c r="K9040" i="7"/>
  <c r="K9041" i="7"/>
  <c r="K9042" i="7"/>
  <c r="K9043" i="7"/>
  <c r="K9044" i="7"/>
  <c r="K9045" i="7"/>
  <c r="K9046" i="7"/>
  <c r="K9047" i="7"/>
  <c r="K9048" i="7"/>
  <c r="K9049" i="7"/>
  <c r="K9050" i="7"/>
  <c r="K9051" i="7"/>
  <c r="K9052" i="7"/>
  <c r="K9053" i="7"/>
  <c r="K9054" i="7"/>
  <c r="K9055" i="7"/>
  <c r="K9056" i="7"/>
  <c r="K9057" i="7"/>
  <c r="K9058" i="7"/>
  <c r="K9059" i="7"/>
  <c r="K9060" i="7"/>
  <c r="K9061" i="7"/>
  <c r="K9062" i="7"/>
  <c r="K9063" i="7"/>
  <c r="K9064" i="7"/>
  <c r="K9065" i="7"/>
  <c r="K9066" i="7"/>
  <c r="K9067" i="7"/>
  <c r="K9068" i="7"/>
  <c r="K9069" i="7"/>
  <c r="K9070" i="7"/>
  <c r="K9071" i="7"/>
  <c r="K9072" i="7"/>
  <c r="K9073" i="7"/>
  <c r="K9074" i="7"/>
  <c r="K9075" i="7"/>
  <c r="K9076" i="7"/>
  <c r="K9077" i="7"/>
  <c r="K9078" i="7"/>
  <c r="K9079" i="7"/>
  <c r="K9080" i="7"/>
  <c r="K9081" i="7"/>
  <c r="K9082" i="7"/>
  <c r="K9083" i="7"/>
  <c r="K9084" i="7"/>
  <c r="K9085" i="7"/>
  <c r="K9086" i="7"/>
  <c r="K9087" i="7"/>
  <c r="K9088" i="7"/>
  <c r="K9089" i="7"/>
  <c r="K9090" i="7"/>
  <c r="K9091" i="7"/>
  <c r="K9092" i="7"/>
  <c r="K9093" i="7"/>
  <c r="K9094" i="7"/>
  <c r="K9095" i="7"/>
  <c r="K9096" i="7"/>
  <c r="K9097" i="7"/>
  <c r="K9098" i="7"/>
  <c r="K9099" i="7"/>
  <c r="K9100" i="7"/>
  <c r="K9101" i="7"/>
  <c r="K9102" i="7"/>
  <c r="K9103" i="7"/>
  <c r="K9104" i="7"/>
  <c r="K9105" i="7"/>
  <c r="K9106" i="7"/>
  <c r="K9107" i="7"/>
  <c r="K9108" i="7"/>
  <c r="K9109" i="7"/>
  <c r="K9110" i="7"/>
  <c r="K9111" i="7"/>
  <c r="K9112" i="7"/>
  <c r="K9113" i="7"/>
  <c r="K9114" i="7"/>
  <c r="K9115" i="7"/>
  <c r="K9116" i="7"/>
  <c r="K9117" i="7"/>
  <c r="K9118" i="7"/>
  <c r="K9119" i="7"/>
  <c r="K9120" i="7"/>
  <c r="K9121" i="7"/>
  <c r="K9122" i="7"/>
  <c r="K9123" i="7"/>
  <c r="K9124" i="7"/>
  <c r="K9125" i="7"/>
  <c r="K9126" i="7"/>
  <c r="K9127" i="7"/>
  <c r="K9128" i="7"/>
  <c r="K9129" i="7"/>
  <c r="K9130" i="7"/>
  <c r="K9131" i="7"/>
  <c r="K9132" i="7"/>
  <c r="K9133" i="7"/>
  <c r="K9134" i="7"/>
  <c r="K9135" i="7"/>
  <c r="K9136" i="7"/>
  <c r="K9137" i="7"/>
  <c r="K9138" i="7"/>
  <c r="K9139" i="7"/>
  <c r="K9140" i="7"/>
  <c r="K9141" i="7"/>
  <c r="K9142" i="7"/>
  <c r="K9143" i="7"/>
  <c r="K9144" i="7"/>
  <c r="K9145" i="7"/>
  <c r="K9146" i="7"/>
  <c r="K9147" i="7"/>
  <c r="K9148" i="7"/>
  <c r="K9149" i="7"/>
  <c r="K9150" i="7"/>
  <c r="K9151" i="7"/>
  <c r="K9152" i="7"/>
  <c r="K9153" i="7"/>
  <c r="K9154" i="7"/>
  <c r="K9155" i="7"/>
  <c r="K9156" i="7"/>
  <c r="K9157" i="7"/>
  <c r="K9158" i="7"/>
  <c r="K9159" i="7"/>
  <c r="K9160" i="7"/>
  <c r="K9161" i="7"/>
  <c r="K9162" i="7"/>
  <c r="K9163" i="7"/>
  <c r="K9164" i="7"/>
  <c r="K9165" i="7"/>
  <c r="K9166" i="7"/>
  <c r="K9167" i="7"/>
  <c r="K9168" i="7"/>
  <c r="K9169" i="7"/>
  <c r="K9170" i="7"/>
  <c r="K9171" i="7"/>
  <c r="K9172" i="7"/>
  <c r="K9173" i="7"/>
  <c r="K9174" i="7"/>
  <c r="K9175" i="7"/>
  <c r="K9176" i="7"/>
  <c r="K9177" i="7"/>
  <c r="K9178" i="7"/>
  <c r="K9179" i="7"/>
  <c r="K9180" i="7"/>
  <c r="K9181" i="7"/>
  <c r="K9182" i="7"/>
  <c r="K9183" i="7"/>
  <c r="K9184" i="7"/>
  <c r="K9185" i="7"/>
  <c r="K9186" i="7"/>
  <c r="K9187" i="7"/>
  <c r="K9188" i="7"/>
  <c r="K9189" i="7"/>
  <c r="K9190" i="7"/>
  <c r="K9191" i="7"/>
  <c r="K9192" i="7"/>
  <c r="K9193" i="7"/>
  <c r="K9194" i="7"/>
  <c r="K9195" i="7"/>
  <c r="K9196" i="7"/>
  <c r="K9197" i="7"/>
  <c r="K9198" i="7"/>
  <c r="K9199" i="7"/>
  <c r="K9200" i="7"/>
  <c r="K9201" i="7"/>
  <c r="K9202" i="7"/>
  <c r="K9203" i="7"/>
  <c r="K9204" i="7"/>
  <c r="K9205" i="7"/>
  <c r="K9206" i="7"/>
  <c r="K9207" i="7"/>
  <c r="K9208" i="7"/>
  <c r="K9209" i="7"/>
  <c r="K9210" i="7"/>
  <c r="K9211" i="7"/>
  <c r="K9212" i="7"/>
  <c r="K9213" i="7"/>
  <c r="K9214" i="7"/>
  <c r="K9215" i="7"/>
  <c r="K9216" i="7"/>
  <c r="K9217" i="7"/>
  <c r="K9218" i="7"/>
  <c r="K9219" i="7"/>
  <c r="K9220" i="7"/>
  <c r="K9221" i="7"/>
  <c r="K9222" i="7"/>
  <c r="K9223" i="7"/>
  <c r="K9224" i="7"/>
  <c r="K9225" i="7"/>
  <c r="K9226" i="7"/>
  <c r="K9227" i="7"/>
  <c r="K9228" i="7"/>
  <c r="K9229" i="7"/>
  <c r="K9230" i="7"/>
  <c r="K9231" i="7"/>
  <c r="K9232" i="7"/>
  <c r="K9233" i="7"/>
  <c r="K9234" i="7"/>
  <c r="K9235" i="7"/>
  <c r="K9236" i="7"/>
  <c r="K9237" i="7"/>
  <c r="K9238" i="7"/>
  <c r="K9239" i="7"/>
  <c r="K9240" i="7"/>
  <c r="K9241" i="7"/>
  <c r="K9242" i="7"/>
  <c r="K9243" i="7"/>
  <c r="K9244" i="7"/>
  <c r="K9245" i="7"/>
  <c r="K9246" i="7"/>
  <c r="K9247" i="7"/>
  <c r="K9248" i="7"/>
  <c r="K9249" i="7"/>
  <c r="K9250" i="7"/>
  <c r="K9251" i="7"/>
  <c r="K9252" i="7"/>
  <c r="K9253" i="7"/>
  <c r="K9254" i="7"/>
  <c r="K9255" i="7"/>
  <c r="K9256" i="7"/>
  <c r="K9257" i="7"/>
  <c r="K9258" i="7"/>
  <c r="K9259" i="7"/>
  <c r="K9260" i="7"/>
  <c r="K9261" i="7"/>
  <c r="K9262" i="7"/>
  <c r="K9263" i="7"/>
  <c r="K9264" i="7"/>
  <c r="K9265" i="7"/>
  <c r="K9266" i="7"/>
  <c r="K9267" i="7"/>
  <c r="K9268" i="7"/>
  <c r="K9269" i="7"/>
  <c r="K9270" i="7"/>
  <c r="K9271" i="7"/>
  <c r="K9272" i="7"/>
  <c r="K9273" i="7"/>
  <c r="K9274" i="7"/>
  <c r="K9275" i="7"/>
  <c r="K9276" i="7"/>
  <c r="K9277" i="7"/>
  <c r="K9278" i="7"/>
  <c r="K9279" i="7"/>
  <c r="K9280" i="7"/>
  <c r="K9281" i="7"/>
  <c r="K9282" i="7"/>
  <c r="K9283" i="7"/>
  <c r="K9284" i="7"/>
  <c r="K9285" i="7"/>
  <c r="K9286" i="7"/>
  <c r="K9287" i="7"/>
  <c r="K9288" i="7"/>
  <c r="K9289" i="7"/>
  <c r="K9290" i="7"/>
  <c r="K9291" i="7"/>
  <c r="K9292" i="7"/>
  <c r="K9293" i="7"/>
  <c r="K9294" i="7"/>
  <c r="K9295" i="7"/>
  <c r="K9296" i="7"/>
  <c r="K9297" i="7"/>
  <c r="K9298" i="7"/>
  <c r="K9299" i="7"/>
  <c r="K9300" i="7"/>
  <c r="K9301" i="7"/>
  <c r="K9302" i="7"/>
  <c r="K9303" i="7"/>
  <c r="K9304" i="7"/>
  <c r="K9305" i="7"/>
  <c r="K9306" i="7"/>
  <c r="K9307" i="7"/>
  <c r="K9308" i="7"/>
  <c r="K9309" i="7"/>
  <c r="K9310" i="7"/>
  <c r="K9311" i="7"/>
  <c r="K9312" i="7"/>
  <c r="K9313" i="7"/>
  <c r="K9314" i="7"/>
  <c r="K9315" i="7"/>
  <c r="K9316" i="7"/>
  <c r="K9317" i="7"/>
  <c r="K9318" i="7"/>
  <c r="K9319" i="7"/>
  <c r="K9320" i="7"/>
  <c r="K9321" i="7"/>
  <c r="K9322" i="7"/>
  <c r="K9323" i="7"/>
  <c r="K9324" i="7"/>
  <c r="K9325" i="7"/>
  <c r="K9326" i="7"/>
  <c r="K9327" i="7"/>
  <c r="K9328" i="7"/>
  <c r="K9329" i="7"/>
  <c r="K9330" i="7"/>
  <c r="K9331" i="7"/>
  <c r="K9332" i="7"/>
  <c r="K9333" i="7"/>
  <c r="K9334" i="7"/>
  <c r="K9335" i="7"/>
  <c r="K9336" i="7"/>
  <c r="K9337" i="7"/>
  <c r="K9338" i="7"/>
  <c r="K9339" i="7"/>
  <c r="K9340" i="7"/>
  <c r="K9341" i="7"/>
  <c r="K9342" i="7"/>
  <c r="K9343" i="7"/>
  <c r="K9344" i="7"/>
  <c r="K9345" i="7"/>
  <c r="K9346" i="7"/>
  <c r="K9347" i="7"/>
  <c r="K9348" i="7"/>
  <c r="K9349" i="7"/>
  <c r="K9350" i="7"/>
  <c r="K9351" i="7"/>
  <c r="K9352" i="7"/>
  <c r="K9353" i="7"/>
  <c r="K9354" i="7"/>
  <c r="K9355" i="7"/>
  <c r="K9356" i="7"/>
  <c r="K9357" i="7"/>
  <c r="K9358" i="7"/>
  <c r="K9359" i="7"/>
  <c r="K9360" i="7"/>
  <c r="K9361" i="7"/>
  <c r="K9362" i="7"/>
  <c r="K9363" i="7"/>
  <c r="K9364" i="7"/>
  <c r="K9365" i="7"/>
  <c r="K9366" i="7"/>
  <c r="K9367" i="7"/>
  <c r="K9368" i="7"/>
  <c r="K9369" i="7"/>
  <c r="K9370" i="7"/>
  <c r="K9371" i="7"/>
  <c r="K9372" i="7"/>
  <c r="K9373" i="7"/>
  <c r="K9374" i="7"/>
  <c r="K9375" i="7"/>
  <c r="K9376" i="7"/>
  <c r="K9377" i="7"/>
  <c r="K9378" i="7"/>
  <c r="K9379" i="7"/>
  <c r="K9380" i="7"/>
  <c r="K9381" i="7"/>
  <c r="K9382" i="7"/>
  <c r="K9383" i="7"/>
  <c r="K9384" i="7"/>
  <c r="K9385" i="7"/>
  <c r="K9386" i="7"/>
  <c r="K9387" i="7"/>
  <c r="K9388" i="7"/>
  <c r="K9389" i="7"/>
  <c r="K9390" i="7"/>
  <c r="K9391" i="7"/>
  <c r="K9392" i="7"/>
  <c r="K9393" i="7"/>
  <c r="K9394" i="7"/>
  <c r="K9395" i="7"/>
  <c r="K9396" i="7"/>
  <c r="K9397" i="7"/>
  <c r="K9398" i="7"/>
  <c r="K9399" i="7"/>
  <c r="K9400" i="7"/>
  <c r="K9401" i="7"/>
  <c r="K9402" i="7"/>
  <c r="K9403" i="7"/>
  <c r="K9404" i="7"/>
  <c r="K9405" i="7"/>
  <c r="K9406" i="7"/>
  <c r="K9407" i="7"/>
  <c r="K9408" i="7"/>
  <c r="K9409" i="7"/>
  <c r="K9410" i="7"/>
  <c r="K9411" i="7"/>
  <c r="K9412" i="7"/>
  <c r="K9413" i="7"/>
  <c r="K9414" i="7"/>
  <c r="K9415" i="7"/>
  <c r="K9416" i="7"/>
  <c r="K9417" i="7"/>
  <c r="K9418" i="7"/>
  <c r="K9419" i="7"/>
  <c r="K9420" i="7"/>
  <c r="K9421" i="7"/>
  <c r="K9422" i="7"/>
  <c r="K9423" i="7"/>
  <c r="K9424" i="7"/>
  <c r="K9425" i="7"/>
  <c r="K9426" i="7"/>
  <c r="K9427" i="7"/>
  <c r="K9428" i="7"/>
  <c r="K9429" i="7"/>
  <c r="K9430" i="7"/>
  <c r="K9431" i="7"/>
  <c r="K9432" i="7"/>
  <c r="K9433" i="7"/>
  <c r="K9434" i="7"/>
  <c r="K9435" i="7"/>
  <c r="K9436" i="7"/>
  <c r="K9437" i="7"/>
  <c r="K9438" i="7"/>
  <c r="K9439" i="7"/>
  <c r="K9440" i="7"/>
  <c r="K9441" i="7"/>
  <c r="K9442" i="7"/>
  <c r="K9443" i="7"/>
  <c r="K9444" i="7"/>
  <c r="K9445" i="7"/>
  <c r="K9446" i="7"/>
  <c r="K9447" i="7"/>
  <c r="K9448" i="7"/>
  <c r="K9449" i="7"/>
  <c r="K9450" i="7"/>
  <c r="K9451" i="7"/>
  <c r="K9452" i="7"/>
  <c r="K9453" i="7"/>
  <c r="K9454" i="7"/>
  <c r="K9455" i="7"/>
  <c r="K9456" i="7"/>
  <c r="K9457" i="7"/>
  <c r="K9458" i="7"/>
  <c r="K9459" i="7"/>
  <c r="K9460" i="7"/>
  <c r="K9461" i="7"/>
  <c r="K9462" i="7"/>
  <c r="K9463" i="7"/>
  <c r="K9464" i="7"/>
  <c r="K9465" i="7"/>
  <c r="K9466" i="7"/>
  <c r="K9467" i="7"/>
  <c r="K9468" i="7"/>
  <c r="K9469" i="7"/>
  <c r="K9470" i="7"/>
  <c r="K9471" i="7"/>
  <c r="K9472" i="7"/>
  <c r="K9473" i="7"/>
  <c r="K9474" i="7"/>
  <c r="K9475" i="7"/>
  <c r="K9476" i="7"/>
  <c r="K9477" i="7"/>
  <c r="K9478" i="7"/>
  <c r="K9479" i="7"/>
  <c r="K9480" i="7"/>
  <c r="K9481" i="7"/>
  <c r="K9482" i="7"/>
  <c r="K9483" i="7"/>
  <c r="K9484" i="7"/>
  <c r="K9485" i="7"/>
  <c r="K9486" i="7"/>
  <c r="K9487" i="7"/>
  <c r="K9488" i="7"/>
  <c r="K9489" i="7"/>
  <c r="K9490" i="7"/>
  <c r="K9491" i="7"/>
  <c r="K9492" i="7"/>
  <c r="K9493" i="7"/>
  <c r="K9494" i="7"/>
  <c r="K9495" i="7"/>
  <c r="K9496" i="7"/>
  <c r="K9497" i="7"/>
  <c r="K9498" i="7"/>
  <c r="K9499" i="7"/>
  <c r="K9500" i="7"/>
  <c r="K9501" i="7"/>
  <c r="K9502" i="7"/>
  <c r="K9503" i="7"/>
  <c r="K9504" i="7"/>
  <c r="K9505" i="7"/>
  <c r="K9506" i="7"/>
  <c r="K9507" i="7"/>
  <c r="K9508" i="7"/>
  <c r="K9509" i="7"/>
  <c r="K9510" i="7"/>
  <c r="K9511" i="7"/>
  <c r="K9512" i="7"/>
  <c r="K9513" i="7"/>
  <c r="K9514" i="7"/>
  <c r="K9515" i="7"/>
  <c r="K9516" i="7"/>
  <c r="K9517" i="7"/>
  <c r="K9518" i="7"/>
  <c r="K9519" i="7"/>
  <c r="K9520" i="7"/>
  <c r="K9521" i="7"/>
  <c r="K9522" i="7"/>
  <c r="K9523" i="7"/>
  <c r="K9524" i="7"/>
  <c r="K9525" i="7"/>
  <c r="K9526" i="7"/>
  <c r="K9527" i="7"/>
  <c r="K9528" i="7"/>
  <c r="K9529" i="7"/>
  <c r="K9530" i="7"/>
  <c r="K9531" i="7"/>
  <c r="K9532" i="7"/>
  <c r="K9533" i="7"/>
  <c r="K9534" i="7"/>
  <c r="K9535" i="7"/>
  <c r="K9536" i="7"/>
  <c r="K9537" i="7"/>
  <c r="K9538" i="7"/>
  <c r="K9539" i="7"/>
  <c r="K9540" i="7"/>
  <c r="K9541" i="7"/>
  <c r="K9542" i="7"/>
  <c r="K9543" i="7"/>
  <c r="K9544" i="7"/>
  <c r="K9545" i="7"/>
  <c r="K9546" i="7"/>
  <c r="K9547" i="7"/>
  <c r="K9548" i="7"/>
  <c r="K9549" i="7"/>
  <c r="K9550" i="7"/>
  <c r="K9551" i="7"/>
  <c r="K9552" i="7"/>
  <c r="K9553" i="7"/>
  <c r="K9554" i="7"/>
  <c r="K9555" i="7"/>
  <c r="K9556" i="7"/>
  <c r="K9557" i="7"/>
  <c r="K9558" i="7"/>
  <c r="K9559" i="7"/>
  <c r="K9560" i="7"/>
  <c r="K9561" i="7"/>
  <c r="K9562" i="7"/>
  <c r="K9563" i="7"/>
  <c r="K9564" i="7"/>
  <c r="K9565" i="7"/>
  <c r="K9566" i="7"/>
  <c r="K9567" i="7"/>
  <c r="K9568" i="7"/>
  <c r="K9569" i="7"/>
  <c r="K9570" i="7"/>
  <c r="K9571" i="7"/>
  <c r="K9572" i="7"/>
  <c r="K9573" i="7"/>
  <c r="K9574" i="7"/>
  <c r="K9575" i="7"/>
  <c r="K9576" i="7"/>
  <c r="K9577" i="7"/>
  <c r="K9578" i="7"/>
  <c r="K9579" i="7"/>
  <c r="K9580" i="7"/>
  <c r="K9581" i="7"/>
  <c r="K9582" i="7"/>
  <c r="K9583" i="7"/>
  <c r="K9584" i="7"/>
  <c r="K9585" i="7"/>
  <c r="K9586" i="7"/>
  <c r="K9587" i="7"/>
  <c r="K9588" i="7"/>
  <c r="K9589" i="7"/>
  <c r="K9590" i="7"/>
  <c r="K9591" i="7"/>
  <c r="K9592" i="7"/>
  <c r="K9593" i="7"/>
  <c r="K9594" i="7"/>
  <c r="K9595" i="7"/>
  <c r="K9596" i="7"/>
  <c r="K9597" i="7"/>
  <c r="K9598" i="7"/>
  <c r="K9599" i="7"/>
  <c r="K9600" i="7"/>
  <c r="K9601" i="7"/>
  <c r="K9602" i="7"/>
  <c r="K9603" i="7"/>
  <c r="K9604" i="7"/>
  <c r="K9605" i="7"/>
  <c r="K9606" i="7"/>
  <c r="K9607" i="7"/>
  <c r="K9608" i="7"/>
  <c r="K9609" i="7"/>
  <c r="K9610" i="7"/>
  <c r="K9611" i="7"/>
  <c r="K9612" i="7"/>
  <c r="K9613" i="7"/>
  <c r="K9614" i="7"/>
  <c r="K9615" i="7"/>
  <c r="K9616" i="7"/>
  <c r="K9617" i="7"/>
  <c r="K9618" i="7"/>
  <c r="K9619" i="7"/>
  <c r="K9620" i="7"/>
  <c r="K9621" i="7"/>
  <c r="K9622" i="7"/>
  <c r="K9623" i="7"/>
  <c r="K9624" i="7"/>
  <c r="K9625" i="7"/>
  <c r="K9626" i="7"/>
  <c r="K9627" i="7"/>
  <c r="K9628" i="7"/>
  <c r="K9629" i="7"/>
  <c r="K9630" i="7"/>
  <c r="K9631" i="7"/>
  <c r="K9632" i="7"/>
  <c r="K9633" i="7"/>
  <c r="K9634" i="7"/>
  <c r="K9635" i="7"/>
  <c r="K9636" i="7"/>
  <c r="K9637" i="7"/>
  <c r="K9638" i="7"/>
  <c r="K9639" i="7"/>
  <c r="K9640" i="7"/>
  <c r="K9641" i="7"/>
  <c r="K9642" i="7"/>
  <c r="K9643" i="7"/>
  <c r="K9644" i="7"/>
  <c r="K9645" i="7"/>
  <c r="K9646" i="7"/>
  <c r="K9647" i="7"/>
  <c r="K9648" i="7"/>
  <c r="K9649" i="7"/>
  <c r="K9650" i="7"/>
  <c r="K9651" i="7"/>
  <c r="K9652" i="7"/>
  <c r="K9653" i="7"/>
  <c r="K9654" i="7"/>
  <c r="K9655" i="7"/>
  <c r="K9656" i="7"/>
  <c r="K9657" i="7"/>
  <c r="K9658" i="7"/>
  <c r="K9659" i="7"/>
  <c r="K9660" i="7"/>
  <c r="K9661" i="7"/>
  <c r="K9662" i="7"/>
  <c r="K9663" i="7"/>
  <c r="K9664" i="7"/>
  <c r="K9665" i="7"/>
  <c r="K9666" i="7"/>
  <c r="K9667" i="7"/>
  <c r="K9668" i="7"/>
  <c r="K9669" i="7"/>
  <c r="K9670" i="7"/>
  <c r="K9671" i="7"/>
  <c r="K9672" i="7"/>
  <c r="K9673" i="7"/>
  <c r="K9674" i="7"/>
  <c r="K9675" i="7"/>
  <c r="K9676" i="7"/>
  <c r="K9677" i="7"/>
  <c r="K9678" i="7"/>
  <c r="K9679" i="7"/>
  <c r="K9680" i="7"/>
  <c r="K9681" i="7"/>
  <c r="K9682" i="7"/>
  <c r="K9683" i="7"/>
  <c r="K9684" i="7"/>
  <c r="K9685" i="7"/>
  <c r="K9686" i="7"/>
  <c r="K9687" i="7"/>
  <c r="K9688" i="7"/>
  <c r="K9689" i="7"/>
  <c r="K9690" i="7"/>
  <c r="K9691" i="7"/>
  <c r="K9692" i="7"/>
  <c r="K9693" i="7"/>
  <c r="K9694" i="7"/>
  <c r="K9695" i="7"/>
  <c r="K9696" i="7"/>
  <c r="K9697" i="7"/>
  <c r="K9698" i="7"/>
  <c r="K9699" i="7"/>
  <c r="K9700" i="7"/>
  <c r="K9701" i="7"/>
  <c r="K9702" i="7"/>
  <c r="K9703" i="7"/>
  <c r="K9704" i="7"/>
  <c r="K9705" i="7"/>
  <c r="K9706" i="7"/>
  <c r="K9707" i="7"/>
  <c r="K9708" i="7"/>
  <c r="K9709" i="7"/>
  <c r="K9710" i="7"/>
  <c r="K9711" i="7"/>
  <c r="K9712" i="7"/>
  <c r="K9713" i="7"/>
  <c r="K9714" i="7"/>
  <c r="K9715" i="7"/>
  <c r="K9716" i="7"/>
  <c r="K9717" i="7"/>
  <c r="K9718" i="7"/>
  <c r="K9719" i="7"/>
  <c r="K9720" i="7"/>
  <c r="K9721" i="7"/>
  <c r="K9722" i="7"/>
  <c r="K9723" i="7"/>
  <c r="K9724" i="7"/>
  <c r="K9725" i="7"/>
  <c r="K9726" i="7"/>
  <c r="K9727" i="7"/>
  <c r="K9728" i="7"/>
  <c r="K9729" i="7"/>
  <c r="K9730" i="7"/>
  <c r="K9731" i="7"/>
  <c r="K9732" i="7"/>
  <c r="K9733" i="7"/>
  <c r="K9734" i="7"/>
  <c r="K9735" i="7"/>
  <c r="K9736" i="7"/>
  <c r="K9737" i="7"/>
  <c r="K9738" i="7"/>
  <c r="K9739" i="7"/>
  <c r="K9740" i="7"/>
  <c r="K9741" i="7"/>
  <c r="K9742" i="7"/>
  <c r="K9743" i="7"/>
  <c r="K9744" i="7"/>
  <c r="K9745" i="7"/>
  <c r="K9746" i="7"/>
  <c r="K9747" i="7"/>
  <c r="K9748" i="7"/>
  <c r="K9749" i="7"/>
  <c r="K9750" i="7"/>
  <c r="K9751" i="7"/>
  <c r="K9752" i="7"/>
  <c r="K9753" i="7"/>
  <c r="K9754" i="7"/>
  <c r="K9755" i="7"/>
  <c r="K9756" i="7"/>
  <c r="K9757" i="7"/>
  <c r="K9758" i="7"/>
  <c r="K9759" i="7"/>
  <c r="K9760" i="7"/>
  <c r="K9761" i="7"/>
  <c r="K9762" i="7"/>
  <c r="K9763" i="7"/>
  <c r="K9764" i="7"/>
  <c r="K9765" i="7"/>
  <c r="K9766" i="7"/>
  <c r="K9767" i="7"/>
  <c r="K9768" i="7"/>
  <c r="K9769" i="7"/>
  <c r="K9770" i="7"/>
  <c r="K9771" i="7"/>
  <c r="K9772" i="7"/>
  <c r="K9773" i="7"/>
  <c r="K9774" i="7"/>
  <c r="K9775" i="7"/>
  <c r="K9776" i="7"/>
  <c r="K9777" i="7"/>
  <c r="K9778" i="7"/>
  <c r="K9779" i="7"/>
  <c r="K9780" i="7"/>
  <c r="K9781" i="7"/>
  <c r="K9782" i="7"/>
  <c r="K9783" i="7"/>
  <c r="K9784" i="7"/>
  <c r="K9785" i="7"/>
  <c r="K9786" i="7"/>
  <c r="K9787" i="7"/>
  <c r="K9788" i="7"/>
  <c r="K9789" i="7"/>
  <c r="K9790" i="7"/>
  <c r="K9791" i="7"/>
  <c r="K9792" i="7"/>
  <c r="K9793" i="7"/>
  <c r="K9794" i="7"/>
  <c r="K9795" i="7"/>
  <c r="K9796" i="7"/>
  <c r="K9797" i="7"/>
  <c r="K9798" i="7"/>
  <c r="K9799" i="7"/>
  <c r="K9800" i="7"/>
  <c r="K9801" i="7"/>
  <c r="K9802" i="7"/>
  <c r="K9803" i="7"/>
  <c r="K9804" i="7"/>
  <c r="K9805" i="7"/>
  <c r="K9806" i="7"/>
  <c r="K9807" i="7"/>
  <c r="K9808" i="7"/>
  <c r="K9809" i="7"/>
  <c r="K9810" i="7"/>
  <c r="K9811" i="7"/>
  <c r="K9812" i="7"/>
  <c r="K9813" i="7"/>
  <c r="K9814" i="7"/>
  <c r="K9815" i="7"/>
  <c r="K9816" i="7"/>
  <c r="K9817" i="7"/>
  <c r="K9818" i="7"/>
  <c r="K9819" i="7"/>
  <c r="K9820" i="7"/>
  <c r="K9821" i="7"/>
  <c r="K9822" i="7"/>
  <c r="K9823" i="7"/>
  <c r="K9824" i="7"/>
  <c r="K9825" i="7"/>
  <c r="K9826" i="7"/>
  <c r="K9827" i="7"/>
  <c r="K9828" i="7"/>
  <c r="K9829" i="7"/>
  <c r="K9830" i="7"/>
  <c r="K9831" i="7"/>
  <c r="K9832" i="7"/>
  <c r="K9833" i="7"/>
  <c r="K9834" i="7"/>
  <c r="K9835" i="7"/>
  <c r="K9836" i="7"/>
  <c r="K9837" i="7"/>
  <c r="K9838" i="7"/>
  <c r="K9839" i="7"/>
  <c r="K9840" i="7"/>
  <c r="K9841" i="7"/>
  <c r="K9842" i="7"/>
  <c r="K9843" i="7"/>
  <c r="K9844" i="7"/>
  <c r="K9845" i="7"/>
  <c r="K9846" i="7"/>
  <c r="K9847" i="7"/>
  <c r="K9848" i="7"/>
  <c r="K9849" i="7"/>
  <c r="K9850" i="7"/>
  <c r="K9851" i="7"/>
  <c r="K9852" i="7"/>
  <c r="K9853" i="7"/>
  <c r="K9854" i="7"/>
  <c r="K9855" i="7"/>
  <c r="K9856" i="7"/>
  <c r="K9857" i="7"/>
  <c r="K9858" i="7"/>
  <c r="K9859" i="7"/>
  <c r="K9860" i="7"/>
  <c r="K9861" i="7"/>
  <c r="K9862" i="7"/>
  <c r="K9863" i="7"/>
  <c r="K9864" i="7"/>
  <c r="K9865" i="7"/>
  <c r="K9866" i="7"/>
  <c r="K9867" i="7"/>
  <c r="K9868" i="7"/>
  <c r="K9869" i="7"/>
  <c r="K9870" i="7"/>
  <c r="K9871" i="7"/>
  <c r="K9872" i="7"/>
  <c r="K9873" i="7"/>
  <c r="K9874" i="7"/>
  <c r="K9875" i="7"/>
  <c r="K9876" i="7"/>
  <c r="K9877" i="7"/>
  <c r="K9878" i="7"/>
  <c r="K9879" i="7"/>
  <c r="K9880" i="7"/>
  <c r="K9881" i="7"/>
  <c r="K9882" i="7"/>
  <c r="K9883" i="7"/>
  <c r="K9884" i="7"/>
  <c r="K9885" i="7"/>
  <c r="K9886" i="7"/>
  <c r="K9887" i="7"/>
  <c r="K9888" i="7"/>
  <c r="K9889" i="7"/>
  <c r="K9890" i="7"/>
  <c r="K9891" i="7"/>
  <c r="K9892" i="7"/>
  <c r="K9893" i="7"/>
  <c r="K9894" i="7"/>
  <c r="K9895" i="7"/>
  <c r="K9896" i="7"/>
  <c r="K9897" i="7"/>
  <c r="K9898" i="7"/>
  <c r="K9899" i="7"/>
  <c r="K9900" i="7"/>
  <c r="K9901" i="7"/>
  <c r="K9902" i="7"/>
  <c r="K9903" i="7"/>
  <c r="K9904" i="7"/>
  <c r="K9905" i="7"/>
  <c r="K9906" i="7"/>
  <c r="K9907" i="7"/>
  <c r="K9908" i="7"/>
  <c r="K9909" i="7"/>
  <c r="K9910" i="7"/>
  <c r="K9911" i="7"/>
  <c r="K9912" i="7"/>
  <c r="K9913" i="7"/>
  <c r="K9914" i="7"/>
  <c r="K9915" i="7"/>
  <c r="K9916" i="7"/>
  <c r="K9917" i="7"/>
  <c r="K9918" i="7"/>
  <c r="K9919" i="7"/>
  <c r="K9920" i="7"/>
  <c r="K9921" i="7"/>
  <c r="K9922" i="7"/>
  <c r="K9923" i="7"/>
  <c r="K9924" i="7"/>
  <c r="K9925" i="7"/>
  <c r="K9926" i="7"/>
  <c r="K9927" i="7"/>
  <c r="K9928" i="7"/>
  <c r="K9929" i="7"/>
  <c r="K9930" i="7"/>
  <c r="K9931" i="7"/>
  <c r="K9932" i="7"/>
  <c r="K9933" i="7"/>
  <c r="K9934" i="7"/>
  <c r="K9935" i="7"/>
  <c r="K9936" i="7"/>
  <c r="K9937" i="7"/>
  <c r="K9938" i="7"/>
  <c r="K9939" i="7"/>
  <c r="K9940" i="7"/>
  <c r="K9941" i="7"/>
  <c r="K9942" i="7"/>
  <c r="K9943" i="7"/>
  <c r="K9944" i="7"/>
  <c r="K9945" i="7"/>
  <c r="K9946" i="7"/>
  <c r="K9947" i="7"/>
  <c r="K9948" i="7"/>
  <c r="K9949" i="7"/>
  <c r="K9950" i="7"/>
  <c r="K9951" i="7"/>
  <c r="K9952" i="7"/>
  <c r="K9953" i="7"/>
  <c r="K9954" i="7"/>
  <c r="K9955" i="7"/>
  <c r="K9956" i="7"/>
  <c r="K9957" i="7"/>
  <c r="K9958" i="7"/>
  <c r="K9959" i="7"/>
  <c r="K9960" i="7"/>
  <c r="K9961" i="7"/>
  <c r="K9962" i="7"/>
  <c r="K9963" i="7"/>
  <c r="K9964" i="7"/>
  <c r="K9965" i="7"/>
  <c r="K9966" i="7"/>
  <c r="K9967" i="7"/>
  <c r="K9968" i="7"/>
  <c r="K9969" i="7"/>
  <c r="K9970" i="7"/>
  <c r="K9971" i="7"/>
  <c r="K9972" i="7"/>
  <c r="K9973" i="7"/>
  <c r="K9974" i="7"/>
  <c r="K9975" i="7"/>
  <c r="K9976" i="7"/>
  <c r="K9977" i="7"/>
  <c r="K9978" i="7"/>
  <c r="K9979" i="7"/>
  <c r="K9980" i="7"/>
  <c r="K9981" i="7"/>
  <c r="K9982" i="7"/>
  <c r="K9983" i="7"/>
  <c r="K9984" i="7"/>
  <c r="K9985" i="7"/>
  <c r="K9986" i="7"/>
  <c r="K9987" i="7"/>
  <c r="K9988" i="7"/>
  <c r="K9989" i="7"/>
  <c r="K9990" i="7"/>
  <c r="K9991" i="7"/>
  <c r="K9992" i="7"/>
  <c r="K9993" i="7"/>
  <c r="K9994" i="7"/>
  <c r="K9995" i="7"/>
  <c r="K9996" i="7"/>
  <c r="K9997" i="7"/>
  <c r="K9998" i="7"/>
  <c r="K9999" i="7"/>
  <c r="K10000" i="7"/>
  <c r="F17" i="15"/>
  <c r="I8" i="15"/>
  <c r="H8" i="15"/>
  <c r="G8" i="15"/>
  <c r="F8" i="15"/>
  <c r="E8" i="15"/>
  <c r="F15" i="15"/>
  <c r="F12" i="15"/>
  <c r="I7" i="15"/>
  <c r="H7" i="15"/>
  <c r="G7" i="15"/>
  <c r="F7" i="15"/>
  <c r="E7" i="15"/>
  <c r="I25" i="15"/>
  <c r="H25" i="15"/>
  <c r="G25" i="15"/>
  <c r="F25" i="15"/>
  <c r="E25" i="15"/>
  <c r="I24" i="15"/>
  <c r="H24" i="15"/>
  <c r="G24" i="15"/>
  <c r="F24" i="15"/>
  <c r="E24" i="15"/>
  <c r="I23" i="15"/>
  <c r="H23" i="15"/>
  <c r="G23" i="15"/>
  <c r="F23" i="15"/>
  <c r="E23" i="15"/>
  <c r="I6" i="15"/>
  <c r="H6" i="15"/>
  <c r="G6" i="15"/>
  <c r="F6" i="15"/>
  <c r="E6" i="15"/>
  <c r="I5" i="15"/>
  <c r="H5" i="15"/>
  <c r="G5" i="15"/>
  <c r="F5" i="15"/>
  <c r="E5" i="15"/>
  <c r="M9942" i="7"/>
  <c r="M9894" i="7"/>
  <c r="M9294" i="7"/>
  <c r="M8937" i="7"/>
  <c r="M8518" i="7"/>
  <c r="M7551" i="7"/>
  <c r="M6914" i="7"/>
  <c r="M6417" i="7"/>
  <c r="M6262" i="7"/>
  <c r="M6026" i="7"/>
  <c r="M5810" i="7"/>
  <c r="M5585" i="7"/>
  <c r="M5545" i="7"/>
  <c r="M5439" i="7"/>
  <c r="M5431" i="7"/>
  <c r="M5382" i="7"/>
  <c r="M5378" i="7"/>
  <c r="M5359" i="7"/>
  <c r="M5287" i="7"/>
  <c r="M5254" i="7"/>
  <c r="M5250" i="7"/>
  <c r="M5207" i="7"/>
  <c r="M5159" i="7"/>
  <c r="M5126" i="7"/>
  <c r="M5122" i="7"/>
  <c r="M5111" i="7"/>
  <c r="M5015" i="7"/>
  <c r="M5007" i="7"/>
  <c r="M4998" i="7"/>
  <c r="M4994" i="7"/>
  <c r="M4991" i="7"/>
  <c r="M4967" i="7"/>
  <c r="M4871" i="7"/>
  <c r="M4870" i="7"/>
  <c r="M4846" i="7"/>
  <c r="M4815" i="7"/>
  <c r="M4794" i="7"/>
  <c r="M4727" i="7"/>
  <c r="M4719" i="7"/>
  <c r="M4706" i="7"/>
  <c r="M4679" i="7"/>
  <c r="M4654" i="7"/>
  <c r="M4638" i="7"/>
  <c r="M4599" i="7"/>
  <c r="M4591" i="7"/>
  <c r="M4590" i="7"/>
  <c r="M4574" i="7"/>
  <c r="M4567" i="7"/>
  <c r="M4551" i="7"/>
  <c r="M4526" i="7"/>
  <c r="M4510" i="7"/>
  <c r="M4471" i="7"/>
  <c r="M4462" i="7"/>
  <c r="M4446" i="7"/>
  <c r="M4439" i="7"/>
  <c r="M4398" i="7"/>
  <c r="M4391" i="7"/>
  <c r="M4382" i="7"/>
  <c r="M4334" i="7"/>
  <c r="M4318" i="7"/>
  <c r="M4270" i="7"/>
  <c r="M4263" i="7"/>
  <c r="M4254" i="7"/>
  <c r="M4207" i="7"/>
  <c r="M4206" i="7"/>
  <c r="M4190" i="7"/>
  <c r="M4167" i="7"/>
  <c r="M4142" i="7"/>
  <c r="M4126" i="7"/>
  <c r="M4087" i="7"/>
  <c r="M4079" i="7"/>
  <c r="M4078" i="7"/>
  <c r="M4062" i="7"/>
  <c r="M4055" i="7"/>
  <c r="M4039" i="7"/>
  <c r="M4014" i="7"/>
  <c r="M3998" i="7"/>
  <c r="M3959" i="7"/>
  <c r="M3950" i="7"/>
  <c r="M3934" i="7"/>
  <c r="M3927" i="7"/>
  <c r="M3886" i="7"/>
  <c r="M3879" i="7"/>
  <c r="M3870" i="7"/>
  <c r="M3823" i="7"/>
  <c r="M3822" i="7"/>
  <c r="M3806" i="7"/>
  <c r="M3799" i="7"/>
  <c r="M3789" i="7"/>
  <c r="M3766" i="7"/>
  <c r="M3757" i="7"/>
  <c r="M3735" i="7"/>
  <c r="M3734" i="7"/>
  <c r="M3725" i="7"/>
  <c r="M3711" i="7"/>
  <c r="M3702" i="7"/>
  <c r="M3693" i="7"/>
  <c r="M3674" i="7"/>
  <c r="M3658" i="7"/>
  <c r="M3655" i="7"/>
  <c r="M3642" i="7"/>
  <c r="M3631" i="7"/>
  <c r="M3626" i="7"/>
  <c r="M3610" i="7"/>
  <c r="M3594" i="7"/>
  <c r="M3578" i="7"/>
  <c r="M3575" i="7"/>
  <c r="M3562" i="7"/>
  <c r="M3546" i="7"/>
  <c r="M3530" i="7"/>
  <c r="M3527" i="7"/>
  <c r="M3514" i="7"/>
  <c r="M3511" i="7"/>
  <c r="M3503" i="7"/>
  <c r="M3498" i="7"/>
  <c r="M3482" i="7"/>
  <c r="M3479" i="7"/>
  <c r="M3466" i="7"/>
  <c r="M3450" i="7"/>
  <c r="M3434" i="7"/>
  <c r="M3418" i="7"/>
  <c r="M3402" i="7"/>
  <c r="M3386" i="7"/>
  <c r="M3383" i="7"/>
  <c r="M3375" i="7"/>
  <c r="M3370" i="7"/>
  <c r="M3354" i="7"/>
  <c r="M3351" i="7"/>
  <c r="M3338" i="7"/>
  <c r="M3322" i="7"/>
  <c r="M3319" i="7"/>
  <c r="M3306" i="7"/>
  <c r="M3290" i="7"/>
  <c r="M3274" i="7"/>
  <c r="M3271" i="7"/>
  <c r="M3258" i="7"/>
  <c r="M3255" i="7"/>
  <c r="M3242" i="7"/>
  <c r="M3226" i="7"/>
  <c r="M3223" i="7"/>
  <c r="M3210" i="7"/>
  <c r="M3194" i="7"/>
  <c r="M3191" i="7"/>
  <c r="M3178" i="7"/>
  <c r="M3162" i="7"/>
  <c r="M3151" i="7"/>
  <c r="M3146" i="7"/>
  <c r="M3130" i="7"/>
  <c r="M3119" i="7"/>
  <c r="M3114" i="7"/>
  <c r="M3111" i="7"/>
  <c r="M3098" i="7"/>
  <c r="M3082" i="7"/>
  <c r="M3079" i="7"/>
  <c r="M3066" i="7"/>
  <c r="M3055" i="7"/>
  <c r="M3050" i="7"/>
  <c r="M3047" i="7"/>
  <c r="M3034" i="7"/>
  <c r="M3023" i="7"/>
  <c r="M3018" i="7"/>
  <c r="M3002" i="7"/>
  <c r="M2991" i="7"/>
  <c r="M2986" i="7"/>
  <c r="M2983" i="7"/>
  <c r="M2970" i="7"/>
  <c r="M2954" i="7"/>
  <c r="M2951" i="7"/>
  <c r="M2938" i="7"/>
  <c r="M2927" i="7"/>
  <c r="M2922" i="7"/>
  <c r="M2919" i="7"/>
  <c r="M2906" i="7"/>
  <c r="M2895" i="7"/>
  <c r="M2890" i="7"/>
  <c r="M2874" i="7"/>
  <c r="M2863" i="7"/>
  <c r="M2858" i="7"/>
  <c r="M2855" i="7"/>
  <c r="M2842" i="7"/>
  <c r="M2826" i="7"/>
  <c r="M2823" i="7"/>
  <c r="M2810" i="7"/>
  <c r="M2807" i="7"/>
  <c r="M2799" i="7"/>
  <c r="M2794" i="7"/>
  <c r="M2783" i="7"/>
  <c r="M2778" i="7"/>
  <c r="M2775" i="7"/>
  <c r="M2762" i="7"/>
  <c r="M2759" i="7"/>
  <c r="M2751" i="7"/>
  <c r="M2746" i="7"/>
  <c r="M2735" i="7"/>
  <c r="M2730" i="7"/>
  <c r="M2719" i="7"/>
  <c r="M2714" i="7"/>
  <c r="M2711" i="7"/>
  <c r="M2698" i="7"/>
  <c r="M2695" i="7"/>
  <c r="M2682" i="7"/>
  <c r="M2679" i="7"/>
  <c r="M2671" i="7"/>
  <c r="M2666" i="7"/>
  <c r="M2655" i="7"/>
  <c r="M2650" i="7"/>
  <c r="M2647" i="7"/>
  <c r="M2634" i="7"/>
  <c r="M2631" i="7"/>
  <c r="M2623" i="7"/>
  <c r="M2618" i="7"/>
  <c r="M2607" i="7"/>
  <c r="M2602" i="7"/>
  <c r="M2591" i="7"/>
  <c r="M2586" i="7"/>
  <c r="M2583" i="7"/>
  <c r="M2570" i="7"/>
  <c r="M2567" i="7"/>
  <c r="M2558" i="7"/>
  <c r="M2554" i="7"/>
  <c r="M2551" i="7"/>
  <c r="M2546" i="7"/>
  <c r="M2535" i="7"/>
  <c r="M2534" i="7"/>
  <c r="M2527" i="7"/>
  <c r="M2526" i="7"/>
  <c r="M2522" i="7"/>
  <c r="M2519" i="7"/>
  <c r="M2514" i="7"/>
  <c r="M2502" i="7"/>
  <c r="M2495" i="7"/>
  <c r="M2494" i="7"/>
  <c r="M2490" i="7"/>
  <c r="M2487" i="7"/>
  <c r="M2482" i="7"/>
  <c r="M2471" i="7"/>
  <c r="M2470" i="7"/>
  <c r="M2463" i="7"/>
  <c r="M2462" i="7"/>
  <c r="M2458" i="7"/>
  <c r="M2450" i="7"/>
  <c r="M2439" i="7"/>
  <c r="M2438" i="7"/>
  <c r="M2430" i="7"/>
  <c r="M2426" i="7"/>
  <c r="M2423" i="7"/>
  <c r="M2418" i="7"/>
  <c r="M2407" i="7"/>
  <c r="M2406" i="7"/>
  <c r="M2399" i="7"/>
  <c r="M2398" i="7"/>
  <c r="M2394" i="7"/>
  <c r="M2391" i="7"/>
  <c r="M2386" i="7"/>
  <c r="M2374" i="7"/>
  <c r="M2367" i="7"/>
  <c r="M2366" i="7"/>
  <c r="M2362" i="7"/>
  <c r="M2359" i="7"/>
  <c r="M2354" i="7"/>
  <c r="M2343" i="7"/>
  <c r="M2342" i="7"/>
  <c r="M2335" i="7"/>
  <c r="M2334" i="7"/>
  <c r="M2330" i="7"/>
  <c r="M2322" i="7"/>
  <c r="M2311" i="7"/>
  <c r="M2310" i="7"/>
  <c r="M2302" i="7"/>
  <c r="M2298" i="7"/>
  <c r="M2295" i="7"/>
  <c r="M2290" i="7"/>
  <c r="M2279" i="7"/>
  <c r="M2278" i="7"/>
  <c r="M2271" i="7"/>
  <c r="M2270" i="7"/>
  <c r="M2266" i="7"/>
  <c r="M2263" i="7"/>
  <c r="M2258" i="7"/>
  <c r="M2246" i="7"/>
  <c r="M2239" i="7"/>
  <c r="M2238" i="7"/>
  <c r="M2234" i="7"/>
  <c r="M2231" i="7"/>
  <c r="M2226" i="7"/>
  <c r="M2215" i="7"/>
  <c r="M2214" i="7"/>
  <c r="M2207" i="7"/>
  <c r="M2206" i="7"/>
  <c r="M2202" i="7"/>
  <c r="M2194" i="7"/>
  <c r="M2183" i="7"/>
  <c r="M2182" i="7"/>
  <c r="M2174" i="7"/>
  <c r="M2170" i="7"/>
  <c r="M2167" i="7"/>
  <c r="M2162" i="7"/>
  <c r="M2151" i="7"/>
  <c r="M2150" i="7"/>
  <c r="M2143" i="7"/>
  <c r="M2142" i="7"/>
  <c r="M2138" i="7"/>
  <c r="M2135" i="7"/>
  <c r="M2130" i="7"/>
  <c r="M2118" i="7"/>
  <c r="M2111" i="7"/>
  <c r="M2110" i="7"/>
  <c r="M2106" i="7"/>
  <c r="M2103" i="7"/>
  <c r="M2098" i="7"/>
  <c r="M2087" i="7"/>
  <c r="M2086" i="7"/>
  <c r="M2079" i="7"/>
  <c r="M2078" i="7"/>
  <c r="M2074" i="7"/>
  <c r="M2066" i="7"/>
  <c r="M2055" i="7"/>
  <c r="M2054" i="7"/>
  <c r="M2046" i="7"/>
  <c r="M2042" i="7"/>
  <c r="M2039" i="7"/>
  <c r="M2034" i="7"/>
  <c r="M2023" i="7"/>
  <c r="M2022" i="7"/>
  <c r="M2015" i="7"/>
  <c r="M2014" i="7"/>
  <c r="M2010" i="7"/>
  <c r="M2007" i="7"/>
  <c r="M2002" i="7"/>
  <c r="M1990" i="7"/>
  <c r="M1983" i="7"/>
  <c r="M1982" i="7"/>
  <c r="M1978" i="7"/>
  <c r="M1975" i="7"/>
  <c r="M1970" i="7"/>
  <c r="M1959" i="7"/>
  <c r="M1958" i="7"/>
  <c r="M1951" i="7"/>
  <c r="M1950" i="7"/>
  <c r="M1946" i="7"/>
  <c r="M1938" i="7"/>
  <c r="M1927" i="7"/>
  <c r="M1926" i="7"/>
  <c r="M1918" i="7"/>
  <c r="M1914" i="7"/>
  <c r="M1911" i="7"/>
  <c r="M1906" i="7"/>
  <c r="M1895" i="7"/>
  <c r="M1894" i="7"/>
  <c r="M1887" i="7"/>
  <c r="M1886" i="7"/>
  <c r="M1882" i="7"/>
  <c r="M1879" i="7"/>
  <c r="M1874" i="7"/>
  <c r="M1862" i="7"/>
  <c r="M1855" i="7"/>
  <c r="M1854" i="7"/>
  <c r="M1850" i="7"/>
  <c r="M1847" i="7"/>
  <c r="M1842" i="7"/>
  <c r="M1831" i="7"/>
  <c r="M1830" i="7"/>
  <c r="M1823" i="7"/>
  <c r="M1822" i="7"/>
  <c r="M1818" i="7"/>
  <c r="M1810" i="7"/>
  <c r="M1799" i="7"/>
  <c r="M1798" i="7"/>
  <c r="M1790" i="7"/>
  <c r="M1786" i="7"/>
  <c r="M1783" i="7"/>
  <c r="M1778" i="7"/>
  <c r="M1767" i="7"/>
  <c r="M1766" i="7"/>
  <c r="M1759" i="7"/>
  <c r="M1758" i="7"/>
  <c r="M1754" i="7"/>
  <c r="M1751" i="7"/>
  <c r="M1746" i="7"/>
  <c r="M1735" i="7"/>
  <c r="M1734" i="7"/>
  <c r="M1727" i="7"/>
  <c r="M1726" i="7"/>
  <c r="M1722" i="7"/>
  <c r="M1719" i="7"/>
  <c r="M1714" i="7"/>
  <c r="M1703" i="7"/>
  <c r="M1702" i="7"/>
  <c r="M1695" i="7"/>
  <c r="M1694" i="7"/>
  <c r="M1690" i="7"/>
  <c r="M1687" i="7"/>
  <c r="M1682" i="7"/>
  <c r="M1671" i="7"/>
  <c r="M1670" i="7"/>
  <c r="M1663" i="7"/>
  <c r="M1662" i="7"/>
  <c r="M1658" i="7"/>
  <c r="M1655" i="7"/>
  <c r="M1650" i="7"/>
  <c r="M1639" i="7"/>
  <c r="M1638" i="7"/>
  <c r="M1631" i="7"/>
  <c r="M1630" i="7"/>
  <c r="M1626" i="7"/>
  <c r="M1623" i="7"/>
  <c r="M1622" i="7"/>
  <c r="M1618" i="7"/>
  <c r="M1615" i="7"/>
  <c r="M1614" i="7"/>
  <c r="M1610" i="7"/>
  <c r="M1606" i="7"/>
  <c r="M1602" i="7"/>
  <c r="M1599" i="7"/>
  <c r="M1598" i="7"/>
  <c r="M1594" i="7"/>
  <c r="M1591" i="7"/>
  <c r="M1590" i="7"/>
  <c r="M1586" i="7"/>
  <c r="M1583" i="7"/>
  <c r="M1582" i="7"/>
  <c r="M1578" i="7"/>
  <c r="M1574" i="7"/>
  <c r="M1570" i="7"/>
  <c r="M1567" i="7"/>
  <c r="M1566" i="7"/>
  <c r="M1562" i="7"/>
  <c r="M1559" i="7"/>
  <c r="M1558" i="7"/>
  <c r="M1554" i="7"/>
  <c r="M1551" i="7"/>
  <c r="M1550" i="7"/>
  <c r="M1546" i="7"/>
  <c r="M1542" i="7"/>
  <c r="M1538" i="7"/>
  <c r="M1535" i="7"/>
  <c r="M1534" i="7"/>
  <c r="M1530" i="7"/>
  <c r="M1527" i="7"/>
  <c r="M1526" i="7"/>
  <c r="M1522" i="7"/>
  <c r="M1519" i="7"/>
  <c r="M1518" i="7"/>
  <c r="M1514" i="7"/>
  <c r="M1510" i="7"/>
  <c r="M1506" i="7"/>
  <c r="M1503" i="7"/>
  <c r="M1502" i="7"/>
  <c r="M1498" i="7"/>
  <c r="M1495" i="7"/>
  <c r="M1494" i="7"/>
  <c r="M1490" i="7"/>
  <c r="M1487" i="7"/>
  <c r="M1486" i="7"/>
  <c r="M1482" i="7"/>
  <c r="M1478" i="7"/>
  <c r="M1474" i="7"/>
  <c r="M1471" i="7"/>
  <c r="M1470" i="7"/>
  <c r="M1466" i="7"/>
  <c r="M1463" i="7"/>
  <c r="M1462" i="7"/>
  <c r="M1458" i="7"/>
  <c r="M1455" i="7"/>
  <c r="M1454" i="7"/>
  <c r="M1450" i="7"/>
  <c r="M1446" i="7"/>
  <c r="M1442" i="7"/>
  <c r="M1439" i="7"/>
  <c r="M1438" i="7"/>
  <c r="M1434" i="7"/>
  <c r="M1431" i="7"/>
  <c r="M1430" i="7"/>
  <c r="M1426" i="7"/>
  <c r="M1423" i="7"/>
  <c r="M1422" i="7"/>
  <c r="M1418" i="7"/>
  <c r="M1414" i="7"/>
  <c r="M1410" i="7"/>
  <c r="M1407" i="7"/>
  <c r="M1406" i="7"/>
  <c r="M1402" i="7"/>
  <c r="M1399" i="7"/>
  <c r="M1398" i="7"/>
  <c r="M1394" i="7"/>
  <c r="M1391" i="7"/>
  <c r="M1390" i="7"/>
  <c r="M1386" i="7"/>
  <c r="M1382" i="7"/>
  <c r="M1378" i="7"/>
  <c r="M1375" i="7"/>
  <c r="M1374" i="7"/>
  <c r="M1370" i="7"/>
  <c r="M1367" i="7"/>
  <c r="M1366" i="7"/>
  <c r="M1362" i="7"/>
  <c r="M1359" i="7"/>
  <c r="M1358" i="7"/>
  <c r="M1354" i="7"/>
  <c r="M1350" i="7"/>
  <c r="M1346" i="7"/>
  <c r="M1343" i="7"/>
  <c r="M1342" i="7"/>
  <c r="M1338" i="7"/>
  <c r="M1335" i="7"/>
  <c r="M1334" i="7"/>
  <c r="M1330" i="7"/>
  <c r="M1327" i="7"/>
  <c r="M1326" i="7"/>
  <c r="M1322" i="7"/>
  <c r="M1318" i="7"/>
  <c r="M1314" i="7"/>
  <c r="M1311" i="7"/>
  <c r="M1310" i="7"/>
  <c r="M1306" i="7"/>
  <c r="M1303" i="7"/>
  <c r="M1302" i="7"/>
  <c r="M1298" i="7"/>
  <c r="M1295" i="7"/>
  <c r="M1294" i="7"/>
  <c r="M1290" i="7"/>
  <c r="M1286" i="7"/>
  <c r="M1282" i="7"/>
  <c r="M1279" i="7"/>
  <c r="M1278" i="7"/>
  <c r="M1274" i="7"/>
  <c r="M1271" i="7"/>
  <c r="M1270" i="7"/>
  <c r="M1266" i="7"/>
  <c r="M1263" i="7"/>
  <c r="M1262" i="7"/>
  <c r="M1258" i="7"/>
  <c r="M1254" i="7"/>
  <c r="M1250" i="7"/>
  <c r="M1247" i="7"/>
  <c r="M1246" i="7"/>
  <c r="M1242" i="7"/>
  <c r="M1239" i="7"/>
  <c r="M1238" i="7"/>
  <c r="M1234" i="7"/>
  <c r="M1231" i="7"/>
  <c r="M1230" i="7"/>
  <c r="M1226" i="7"/>
  <c r="M1222" i="7"/>
  <c r="M1218" i="7"/>
  <c r="M1215" i="7"/>
  <c r="M1214" i="7"/>
  <c r="M1210" i="7"/>
  <c r="M1207" i="7"/>
  <c r="M1206" i="7"/>
  <c r="M1202" i="7"/>
  <c r="M1199" i="7"/>
  <c r="M1198" i="7"/>
  <c r="M1194" i="7"/>
  <c r="M1190" i="7"/>
  <c r="M1186" i="7"/>
  <c r="M1182" i="7"/>
  <c r="M1178" i="7"/>
  <c r="M1174" i="7"/>
  <c r="M1171" i="7"/>
  <c r="M1170" i="7"/>
  <c r="M1166" i="7"/>
  <c r="M1163" i="7"/>
  <c r="M1162" i="7"/>
  <c r="M1158" i="7"/>
  <c r="M1154" i="7"/>
  <c r="M1150" i="7"/>
  <c r="M1146" i="7"/>
  <c r="M1142" i="7"/>
  <c r="M1139" i="7"/>
  <c r="M1138" i="7"/>
  <c r="M1134" i="7"/>
  <c r="M1130" i="7"/>
  <c r="M1126" i="7"/>
  <c r="M1123" i="7"/>
  <c r="M1122" i="7"/>
  <c r="M1118" i="7"/>
  <c r="M1114" i="7"/>
  <c r="M1110" i="7"/>
  <c r="M1106" i="7"/>
  <c r="M1102" i="7"/>
  <c r="M1099" i="7"/>
  <c r="M1098" i="7"/>
  <c r="M1094" i="7"/>
  <c r="M1090" i="7"/>
  <c r="M1086" i="7"/>
  <c r="M1082" i="7"/>
  <c r="M1078" i="7"/>
  <c r="M1075" i="7"/>
  <c r="M1074" i="7"/>
  <c r="M1070" i="7"/>
  <c r="M1066" i="7"/>
  <c r="M1062" i="7"/>
  <c r="M1059" i="7"/>
  <c r="M1058" i="7"/>
  <c r="M1054" i="7"/>
  <c r="M1050" i="7"/>
  <c r="M1046" i="7"/>
  <c r="M1042" i="7"/>
  <c r="M1038" i="7"/>
  <c r="M1035" i="7"/>
  <c r="M1034" i="7"/>
  <c r="M1030" i="7"/>
  <c r="M1026" i="7"/>
  <c r="M1022" i="7"/>
  <c r="M1018" i="7"/>
  <c r="M1014" i="7"/>
  <c r="M1011" i="7"/>
  <c r="M1010" i="7"/>
  <c r="M1006" i="7"/>
  <c r="M1002" i="7"/>
  <c r="M998" i="7"/>
  <c r="M994" i="7"/>
  <c r="M990" i="7"/>
  <c r="M986" i="7"/>
  <c r="M982" i="7"/>
  <c r="M978" i="7"/>
  <c r="M974" i="7"/>
  <c r="M970" i="7"/>
  <c r="M966" i="7"/>
  <c r="M963" i="7"/>
  <c r="M962" i="7"/>
  <c r="M958" i="7"/>
  <c r="M954" i="7"/>
  <c r="M950" i="7"/>
  <c r="M946" i="7"/>
  <c r="M942" i="7"/>
  <c r="M939" i="7"/>
  <c r="M938" i="7"/>
  <c r="M934" i="7"/>
  <c r="M931" i="7"/>
  <c r="M930" i="7"/>
  <c r="M926" i="7"/>
  <c r="M922" i="7"/>
  <c r="M918" i="7"/>
  <c r="M915" i="7"/>
  <c r="M914" i="7"/>
  <c r="M910" i="7"/>
  <c r="M907" i="7"/>
  <c r="M906" i="7"/>
  <c r="M902" i="7"/>
  <c r="M898" i="7"/>
  <c r="M894" i="7"/>
  <c r="M890" i="7"/>
  <c r="M886" i="7"/>
  <c r="M883" i="7"/>
  <c r="M882" i="7"/>
  <c r="M878" i="7"/>
  <c r="M874" i="7"/>
  <c r="M870" i="7"/>
  <c r="M867" i="7"/>
  <c r="M866" i="7"/>
  <c r="M862" i="7"/>
  <c r="M858" i="7"/>
  <c r="M854" i="7"/>
  <c r="M850" i="7"/>
  <c r="M846" i="7"/>
  <c r="M843" i="7"/>
  <c r="M842" i="7"/>
  <c r="M838" i="7"/>
  <c r="M834" i="7"/>
  <c r="M830" i="7"/>
  <c r="M826" i="7"/>
  <c r="M822" i="7"/>
  <c r="M819" i="7"/>
  <c r="M818" i="7"/>
  <c r="M814" i="7"/>
  <c r="M810" i="7"/>
  <c r="M806" i="7"/>
  <c r="M803" i="7"/>
  <c r="M802" i="7"/>
  <c r="M798" i="7"/>
  <c r="M794" i="7"/>
  <c r="M790" i="7"/>
  <c r="M786" i="7"/>
  <c r="M782" i="7"/>
  <c r="M779" i="7"/>
  <c r="M778" i="7"/>
  <c r="M774" i="7"/>
  <c r="M770" i="7"/>
  <c r="M766" i="7"/>
  <c r="M762" i="7"/>
  <c r="M758" i="7"/>
  <c r="M755" i="7"/>
  <c r="M754" i="7"/>
  <c r="M750" i="7"/>
  <c r="M746" i="7"/>
  <c r="M742" i="7"/>
  <c r="M738" i="7"/>
  <c r="M734" i="7"/>
  <c r="M730" i="7"/>
  <c r="M726" i="7"/>
  <c r="M722" i="7"/>
  <c r="M718" i="7"/>
  <c r="M714" i="7"/>
  <c r="M710" i="7"/>
  <c r="M707" i="7"/>
  <c r="M706" i="7"/>
  <c r="M702" i="7"/>
  <c r="M698" i="7"/>
  <c r="M694" i="7"/>
  <c r="M690" i="7"/>
  <c r="M686" i="7"/>
  <c r="M683" i="7"/>
  <c r="M682" i="7"/>
  <c r="M678" i="7"/>
  <c r="M675" i="7"/>
  <c r="M674" i="7"/>
  <c r="M670" i="7"/>
  <c r="M666" i="7"/>
  <c r="M662" i="7"/>
  <c r="M659" i="7"/>
  <c r="M658" i="7"/>
  <c r="M654" i="7"/>
  <c r="M651" i="7"/>
  <c r="M650" i="7"/>
  <c r="M646" i="7"/>
  <c r="M642" i="7"/>
  <c r="M638" i="7"/>
  <c r="M634" i="7"/>
  <c r="M630" i="7"/>
  <c r="M627" i="7"/>
  <c r="M626" i="7"/>
  <c r="M622" i="7"/>
  <c r="M618" i="7"/>
  <c r="M614" i="7"/>
  <c r="M611" i="7"/>
  <c r="M610" i="7"/>
  <c r="M606" i="7"/>
  <c r="M602" i="7"/>
  <c r="M598" i="7"/>
  <c r="M594" i="7"/>
  <c r="M590" i="7"/>
  <c r="M587" i="7"/>
  <c r="M586" i="7"/>
  <c r="M582" i="7"/>
  <c r="M578" i="7"/>
  <c r="M574" i="7"/>
  <c r="M570" i="7"/>
  <c r="M566" i="7"/>
  <c r="M563" i="7"/>
  <c r="M562" i="7"/>
  <c r="K93" i="7"/>
  <c r="K102" i="7"/>
  <c r="K79" i="7"/>
  <c r="K63" i="7"/>
  <c r="K59" i="7"/>
  <c r="K146" i="7"/>
  <c r="K178" i="7"/>
  <c r="K148" i="7"/>
  <c r="K190" i="7"/>
  <c r="K222" i="7"/>
  <c r="K254" i="7"/>
  <c r="K286" i="7"/>
  <c r="K318" i="7"/>
  <c r="K350" i="7"/>
  <c r="K382" i="7"/>
  <c r="K414" i="7"/>
  <c r="K446" i="7"/>
  <c r="K478" i="7"/>
  <c r="K510" i="7"/>
  <c r="K542" i="7"/>
  <c r="K139" i="7"/>
  <c r="K181" i="7"/>
  <c r="K215" i="7"/>
  <c r="K247" i="7"/>
  <c r="K279" i="7"/>
  <c r="K311" i="7"/>
  <c r="K343" i="7"/>
  <c r="K375" i="7"/>
  <c r="K407" i="7"/>
  <c r="K439" i="7"/>
  <c r="K471" i="7"/>
  <c r="K503" i="7"/>
  <c r="K535" i="7"/>
  <c r="K129" i="7"/>
  <c r="K172" i="7"/>
  <c r="K208" i="7"/>
  <c r="K240" i="7"/>
  <c r="K272" i="7"/>
  <c r="K304" i="7"/>
  <c r="K336" i="7"/>
  <c r="K368" i="7"/>
  <c r="K400" i="7"/>
  <c r="K432" i="7"/>
  <c r="K464" i="7"/>
  <c r="K496" i="7"/>
  <c r="K528" i="7"/>
  <c r="K560" i="7"/>
  <c r="K157" i="7"/>
  <c r="K197" i="7"/>
  <c r="K229" i="7"/>
  <c r="K261" i="7"/>
  <c r="K293" i="7"/>
  <c r="K325" i="7"/>
  <c r="K357" i="7"/>
  <c r="K389" i="7"/>
  <c r="K421" i="7"/>
  <c r="K453" i="7"/>
  <c r="K485" i="7"/>
  <c r="K517" i="7"/>
  <c r="K549" i="7"/>
  <c r="K53" i="7"/>
  <c r="K46" i="7"/>
  <c r="K112" i="7"/>
  <c r="L112" i="7" s="1"/>
  <c r="K76" i="7"/>
  <c r="K78" i="7"/>
  <c r="K98" i="7"/>
  <c r="K66" i="7"/>
  <c r="K99" i="7"/>
  <c r="K96" i="7"/>
  <c r="K77" i="7"/>
  <c r="K101" i="7"/>
  <c r="K58" i="7"/>
  <c r="K122" i="7"/>
  <c r="K154" i="7"/>
  <c r="K186" i="7"/>
  <c r="K159" i="7"/>
  <c r="K198" i="7"/>
  <c r="K230" i="7"/>
  <c r="K262" i="7"/>
  <c r="K294" i="7"/>
  <c r="K326" i="7"/>
  <c r="K358" i="7"/>
  <c r="K390" i="7"/>
  <c r="K422" i="7"/>
  <c r="K454" i="7"/>
  <c r="K486" i="7"/>
  <c r="K518" i="7"/>
  <c r="K550" i="7"/>
  <c r="K149" i="7"/>
  <c r="K191" i="7"/>
  <c r="K223" i="7"/>
  <c r="K255" i="7"/>
  <c r="K287" i="7"/>
  <c r="K319" i="7"/>
  <c r="K351" i="7"/>
  <c r="K383" i="7"/>
  <c r="K415" i="7"/>
  <c r="K447" i="7"/>
  <c r="K479" i="7"/>
  <c r="K511" i="7"/>
  <c r="K543" i="7"/>
  <c r="K140" i="7"/>
  <c r="K183" i="7"/>
  <c r="K216" i="7"/>
  <c r="K248" i="7"/>
  <c r="K280" i="7"/>
  <c r="K312" i="7"/>
  <c r="K344" i="7"/>
  <c r="K376" i="7"/>
  <c r="K408" i="7"/>
  <c r="K440" i="7"/>
  <c r="K472" i="7"/>
  <c r="K504" i="7"/>
  <c r="K536" i="7"/>
  <c r="K125" i="7"/>
  <c r="K168" i="7"/>
  <c r="K205" i="7"/>
  <c r="K237" i="7"/>
  <c r="K269" i="7"/>
  <c r="K301" i="7"/>
  <c r="K333" i="7"/>
  <c r="K365" i="7"/>
  <c r="K397" i="7"/>
  <c r="K429" i="7"/>
  <c r="K461" i="7"/>
  <c r="K493" i="7"/>
  <c r="K525" i="7"/>
  <c r="K557" i="7"/>
  <c r="K42" i="7"/>
  <c r="K45" i="7"/>
  <c r="K67" i="7"/>
  <c r="K87" i="7"/>
  <c r="K90" i="7"/>
  <c r="K92" i="7"/>
  <c r="K88" i="7"/>
  <c r="K130" i="7"/>
  <c r="K127" i="7"/>
  <c r="K206" i="7"/>
  <c r="K270" i="7"/>
  <c r="K334" i="7"/>
  <c r="K398" i="7"/>
  <c r="K462" i="7"/>
  <c r="K526" i="7"/>
  <c r="K160" i="7"/>
  <c r="K231" i="7"/>
  <c r="K295" i="7"/>
  <c r="K359" i="7"/>
  <c r="K423" i="7"/>
  <c r="K487" i="7"/>
  <c r="K551" i="7"/>
  <c r="K192" i="7"/>
  <c r="K256" i="7"/>
  <c r="K320" i="7"/>
  <c r="K384" i="7"/>
  <c r="K448" i="7"/>
  <c r="K512" i="7"/>
  <c r="K179" i="7"/>
  <c r="K245" i="7"/>
  <c r="K309" i="7"/>
  <c r="K373" i="7"/>
  <c r="K437" i="7"/>
  <c r="K501" i="7"/>
  <c r="K43" i="7"/>
  <c r="K44" i="7"/>
  <c r="K106" i="7"/>
  <c r="K119" i="7"/>
  <c r="K116" i="7"/>
  <c r="L116" i="7" s="1"/>
  <c r="K111" i="7"/>
  <c r="K82" i="7"/>
  <c r="K134" i="7"/>
  <c r="K132" i="7"/>
  <c r="K210" i="7"/>
  <c r="K306" i="7"/>
  <c r="K370" i="7"/>
  <c r="K434" i="7"/>
  <c r="K498" i="7"/>
  <c r="K123" i="7"/>
  <c r="K110" i="7"/>
  <c r="K74" i="7"/>
  <c r="K89" i="7"/>
  <c r="K64" i="7"/>
  <c r="K115" i="7"/>
  <c r="K94" i="7"/>
  <c r="K75" i="7"/>
  <c r="L93" i="7"/>
  <c r="K55" i="7"/>
  <c r="K126" i="7"/>
  <c r="K158" i="7"/>
  <c r="K121" i="7"/>
  <c r="K164" i="7"/>
  <c r="K202" i="7"/>
  <c r="K234" i="7"/>
  <c r="K266" i="7"/>
  <c r="K298" i="7"/>
  <c r="K330" i="7"/>
  <c r="K362" i="7"/>
  <c r="K394" i="7"/>
  <c r="K426" i="7"/>
  <c r="K458" i="7"/>
  <c r="K490" i="7"/>
  <c r="K522" i="7"/>
  <c r="K554" i="7"/>
  <c r="K155" i="7"/>
  <c r="K195" i="7"/>
  <c r="K227" i="7"/>
  <c r="K259" i="7"/>
  <c r="K291" i="7"/>
  <c r="K323" i="7"/>
  <c r="K355" i="7"/>
  <c r="K387" i="7"/>
  <c r="K419" i="7"/>
  <c r="K451" i="7"/>
  <c r="K483" i="7"/>
  <c r="K515" i="7"/>
  <c r="K547" i="7"/>
  <c r="K145" i="7"/>
  <c r="K188" i="7"/>
  <c r="K220" i="7"/>
  <c r="K252" i="7"/>
  <c r="K284" i="7"/>
  <c r="K316" i="7"/>
  <c r="K348" i="7"/>
  <c r="K380" i="7"/>
  <c r="K412" i="7"/>
  <c r="K444" i="7"/>
  <c r="K476" i="7"/>
  <c r="K508" i="7"/>
  <c r="K540" i="7"/>
  <c r="K131" i="7"/>
  <c r="K173" i="7"/>
  <c r="K209" i="7"/>
  <c r="K241" i="7"/>
  <c r="K273" i="7"/>
  <c r="K305" i="7"/>
  <c r="K337" i="7"/>
  <c r="K369" i="7"/>
  <c r="K401" i="7"/>
  <c r="K433" i="7"/>
  <c r="K465" i="7"/>
  <c r="K497" i="7"/>
  <c r="K529" i="7"/>
  <c r="K37" i="7"/>
  <c r="K38" i="7"/>
  <c r="K39" i="7"/>
  <c r="K72" i="7"/>
  <c r="L72" i="7" s="1"/>
  <c r="L67" i="7"/>
  <c r="K113" i="7"/>
  <c r="K73" i="7"/>
  <c r="K62" i="7"/>
  <c r="K162" i="7"/>
  <c r="K169" i="7"/>
  <c r="K238" i="7"/>
  <c r="K302" i="7"/>
  <c r="K366" i="7"/>
  <c r="K430" i="7"/>
  <c r="K494" i="7"/>
  <c r="K558" i="7"/>
  <c r="K199" i="7"/>
  <c r="K263" i="7"/>
  <c r="K327" i="7"/>
  <c r="K391" i="7"/>
  <c r="K455" i="7"/>
  <c r="K519" i="7"/>
  <c r="K151" i="7"/>
  <c r="K224" i="7"/>
  <c r="K288" i="7"/>
  <c r="K352" i="7"/>
  <c r="K416" i="7"/>
  <c r="K480" i="7"/>
  <c r="K544" i="7"/>
  <c r="K136" i="7"/>
  <c r="K213" i="7"/>
  <c r="K277" i="7"/>
  <c r="K341" i="7"/>
  <c r="K405" i="7"/>
  <c r="K469" i="7"/>
  <c r="K533" i="7"/>
  <c r="K36" i="7"/>
  <c r="K70" i="7"/>
  <c r="L70" i="7" s="1"/>
  <c r="K85" i="7"/>
  <c r="K86" i="7"/>
  <c r="L90" i="7"/>
  <c r="K71" i="7"/>
  <c r="K56" i="7"/>
  <c r="K166" i="7"/>
  <c r="K175" i="7"/>
  <c r="K242" i="7"/>
  <c r="K274" i="7"/>
  <c r="K338" i="7"/>
  <c r="K402" i="7"/>
  <c r="K466" i="7"/>
  <c r="K530" i="7"/>
  <c r="K108" i="7"/>
  <c r="L108" i="7" s="1"/>
  <c r="K91" i="7"/>
  <c r="L91" i="7" s="1"/>
  <c r="K81" i="7"/>
  <c r="K109" i="7"/>
  <c r="K105" i="7"/>
  <c r="K142" i="7"/>
  <c r="K180" i="7"/>
  <c r="K258" i="7"/>
  <c r="K346" i="7"/>
  <c r="K438" i="7"/>
  <c r="K514" i="7"/>
  <c r="K171" i="7"/>
  <c r="K239" i="7"/>
  <c r="K303" i="7"/>
  <c r="K367" i="7"/>
  <c r="K431" i="7"/>
  <c r="K495" i="7"/>
  <c r="K559" i="7"/>
  <c r="K200" i="7"/>
  <c r="K264" i="7"/>
  <c r="K328" i="7"/>
  <c r="K392" i="7"/>
  <c r="K456" i="7"/>
  <c r="K520" i="7"/>
  <c r="K147" i="7"/>
  <c r="K221" i="7"/>
  <c r="K285" i="7"/>
  <c r="K349" i="7"/>
  <c r="K413" i="7"/>
  <c r="K477" i="7"/>
  <c r="K541" i="7"/>
  <c r="K48" i="7"/>
  <c r="L106" i="7"/>
  <c r="K107" i="7"/>
  <c r="L74" i="7"/>
  <c r="K150" i="7"/>
  <c r="K278" i="7"/>
  <c r="K442" i="7"/>
  <c r="K176" i="7"/>
  <c r="K243" i="7"/>
  <c r="K371" i="7"/>
  <c r="K499" i="7"/>
  <c r="K204" i="7"/>
  <c r="K332" i="7"/>
  <c r="K396" i="7"/>
  <c r="K524" i="7"/>
  <c r="K225" i="7"/>
  <c r="K353" i="7"/>
  <c r="K481" i="7"/>
  <c r="K41" i="7"/>
  <c r="K170" i="7"/>
  <c r="K251" i="7"/>
  <c r="K276" i="7"/>
  <c r="K233" i="7"/>
  <c r="K68" i="7"/>
  <c r="K185" i="7"/>
  <c r="K354" i="7"/>
  <c r="K534" i="7"/>
  <c r="K307" i="7"/>
  <c r="K435" i="7"/>
  <c r="K124" i="7"/>
  <c r="K268" i="7"/>
  <c r="K460" i="7"/>
  <c r="K152" i="7"/>
  <c r="K289" i="7"/>
  <c r="K417" i="7"/>
  <c r="K545" i="7"/>
  <c r="K450" i="7"/>
  <c r="K379" i="7"/>
  <c r="K404" i="7"/>
  <c r="K489" i="7"/>
  <c r="K282" i="7"/>
  <c r="K135" i="7"/>
  <c r="K532" i="7"/>
  <c r="K553" i="7"/>
  <c r="K84" i="7"/>
  <c r="L110" i="7"/>
  <c r="L86" i="7"/>
  <c r="K60" i="7"/>
  <c r="K174" i="7"/>
  <c r="K214" i="7"/>
  <c r="K290" i="7"/>
  <c r="K378" i="7"/>
  <c r="K470" i="7"/>
  <c r="K546" i="7"/>
  <c r="K203" i="7"/>
  <c r="K267" i="7"/>
  <c r="K331" i="7"/>
  <c r="K395" i="7"/>
  <c r="K459" i="7"/>
  <c r="K523" i="7"/>
  <c r="K156" i="7"/>
  <c r="K228" i="7"/>
  <c r="K292" i="7"/>
  <c r="K356" i="7"/>
  <c r="K420" i="7"/>
  <c r="K484" i="7"/>
  <c r="K548" i="7"/>
  <c r="K184" i="7"/>
  <c r="K249" i="7"/>
  <c r="K313" i="7"/>
  <c r="K377" i="7"/>
  <c r="K441" i="7"/>
  <c r="K505" i="7"/>
  <c r="K51" i="7"/>
  <c r="K52" i="7"/>
  <c r="K207" i="7"/>
  <c r="K399" i="7"/>
  <c r="K527" i="7"/>
  <c r="K232" i="7"/>
  <c r="K360" i="7"/>
  <c r="K488" i="7"/>
  <c r="K189" i="7"/>
  <c r="K317" i="7"/>
  <c r="K445" i="7"/>
  <c r="K47" i="7"/>
  <c r="L76" i="7"/>
  <c r="K143" i="7"/>
  <c r="K410" i="7"/>
  <c r="K347" i="7"/>
  <c r="K539" i="7"/>
  <c r="K308" i="7"/>
  <c r="K120" i="7"/>
  <c r="K329" i="7"/>
  <c r="K40" i="7"/>
  <c r="K69" i="7"/>
  <c r="K187" i="7"/>
  <c r="K212" i="7"/>
  <c r="K297" i="7"/>
  <c r="K117" i="7"/>
  <c r="K103" i="7"/>
  <c r="L103" i="7" s="1"/>
  <c r="L84" i="7"/>
  <c r="L55" i="7"/>
  <c r="K182" i="7"/>
  <c r="K218" i="7"/>
  <c r="K310" i="7"/>
  <c r="K386" i="7"/>
  <c r="K474" i="7"/>
  <c r="K128" i="7"/>
  <c r="K271" i="7"/>
  <c r="K335" i="7"/>
  <c r="K463" i="7"/>
  <c r="K161" i="7"/>
  <c r="K296" i="7"/>
  <c r="K424" i="7"/>
  <c r="K552" i="7"/>
  <c r="K253" i="7"/>
  <c r="K381" i="7"/>
  <c r="K509" i="7"/>
  <c r="K513" i="7"/>
  <c r="K100" i="7"/>
  <c r="K57" i="7"/>
  <c r="K322" i="7"/>
  <c r="K144" i="7"/>
  <c r="K219" i="7"/>
  <c r="K411" i="7"/>
  <c r="K177" i="7"/>
  <c r="K372" i="7"/>
  <c r="K500" i="7"/>
  <c r="K265" i="7"/>
  <c r="K457" i="7"/>
  <c r="K194" i="7"/>
  <c r="K507" i="7"/>
  <c r="K163" i="7"/>
  <c r="K49" i="7"/>
  <c r="K114" i="7"/>
  <c r="K104" i="7"/>
  <c r="K80" i="7"/>
  <c r="L80" i="7" s="1"/>
  <c r="L78" i="7"/>
  <c r="K61" i="7"/>
  <c r="K137" i="7"/>
  <c r="K226" i="7"/>
  <c r="K314" i="7"/>
  <c r="K406" i="7"/>
  <c r="K482" i="7"/>
  <c r="K133" i="7"/>
  <c r="K211" i="7"/>
  <c r="K275" i="7"/>
  <c r="K339" i="7"/>
  <c r="K403" i="7"/>
  <c r="K467" i="7"/>
  <c r="K531" i="7"/>
  <c r="K167" i="7"/>
  <c r="K236" i="7"/>
  <c r="K300" i="7"/>
  <c r="K364" i="7"/>
  <c r="K428" i="7"/>
  <c r="K492" i="7"/>
  <c r="K556" i="7"/>
  <c r="K193" i="7"/>
  <c r="K257" i="7"/>
  <c r="K321" i="7"/>
  <c r="K385" i="7"/>
  <c r="K449" i="7"/>
  <c r="K54" i="7"/>
  <c r="K97" i="7"/>
  <c r="L97" i="7" s="1"/>
  <c r="K246" i="7"/>
  <c r="K502" i="7"/>
  <c r="K283" i="7"/>
  <c r="K475" i="7"/>
  <c r="K244" i="7"/>
  <c r="K436" i="7"/>
  <c r="K201" i="7"/>
  <c r="K393" i="7"/>
  <c r="K521" i="7"/>
  <c r="L114" i="7"/>
  <c r="K538" i="7"/>
  <c r="K443" i="7"/>
  <c r="K468" i="7"/>
  <c r="K425" i="7"/>
  <c r="K95" i="7"/>
  <c r="L95" i="7" s="1"/>
  <c r="K83" i="7"/>
  <c r="K65" i="7"/>
  <c r="L65" i="7" s="1"/>
  <c r="K118" i="7"/>
  <c r="K138" i="7"/>
  <c r="K153" i="7"/>
  <c r="K250" i="7"/>
  <c r="K342" i="7"/>
  <c r="K418" i="7"/>
  <c r="K506" i="7"/>
  <c r="K165" i="7"/>
  <c r="K235" i="7"/>
  <c r="K299" i="7"/>
  <c r="K363" i="7"/>
  <c r="K427" i="7"/>
  <c r="K491" i="7"/>
  <c r="K555" i="7"/>
  <c r="K196" i="7"/>
  <c r="K260" i="7"/>
  <c r="K324" i="7"/>
  <c r="K388" i="7"/>
  <c r="K452" i="7"/>
  <c r="K516" i="7"/>
  <c r="K141" i="7"/>
  <c r="K217" i="7"/>
  <c r="K281" i="7"/>
  <c r="K345" i="7"/>
  <c r="K409" i="7"/>
  <c r="K473" i="7"/>
  <c r="K537" i="7"/>
  <c r="K50" i="7"/>
  <c r="L99" i="7"/>
  <c r="K374" i="7"/>
  <c r="K315" i="7"/>
  <c r="K340" i="7"/>
  <c r="K361" i="7"/>
  <c r="M55" i="7" l="1"/>
  <c r="M74" i="7"/>
  <c r="M93" i="7"/>
  <c r="M112" i="7"/>
  <c r="M65" i="7"/>
  <c r="M78" i="7"/>
  <c r="M80" i="7"/>
  <c r="M84" i="7"/>
  <c r="M86" i="7"/>
  <c r="M90" i="7"/>
  <c r="M99" i="7"/>
  <c r="M103" i="7"/>
  <c r="M116" i="7"/>
  <c r="M70" i="7"/>
  <c r="M76" i="7"/>
  <c r="M95" i="7"/>
  <c r="M108" i="7"/>
  <c r="M110" i="7"/>
  <c r="M114" i="7"/>
  <c r="M67" i="7"/>
  <c r="M72" i="7"/>
  <c r="M91" i="7"/>
  <c r="M97" i="7"/>
  <c r="M106" i="7"/>
  <c r="E9" i="15"/>
  <c r="I9" i="15"/>
  <c r="G9" i="15"/>
  <c r="H9" i="15"/>
  <c r="F9" i="15"/>
  <c r="M10000" i="7"/>
  <c r="L361" i="7"/>
  <c r="L281" i="7"/>
  <c r="L196" i="7"/>
  <c r="L506" i="7"/>
  <c r="L425" i="7"/>
  <c r="L244" i="7"/>
  <c r="L257" i="7"/>
  <c r="L167" i="7"/>
  <c r="L482" i="7"/>
  <c r="L507" i="7"/>
  <c r="L219" i="7"/>
  <c r="L253" i="7"/>
  <c r="L128" i="7"/>
  <c r="L212" i="7"/>
  <c r="L410" i="7"/>
  <c r="L527" i="7"/>
  <c r="L184" i="7"/>
  <c r="L523" i="7"/>
  <c r="L378" i="7"/>
  <c r="L282" i="7"/>
  <c r="L152" i="7"/>
  <c r="L185" i="7"/>
  <c r="L225" i="7"/>
  <c r="L176" i="7"/>
  <c r="L349" i="7"/>
  <c r="L264" i="7"/>
  <c r="L171" i="7"/>
  <c r="L109" i="7"/>
  <c r="L175" i="7"/>
  <c r="L341" i="7"/>
  <c r="L288" i="7"/>
  <c r="L199" i="7"/>
  <c r="L162" i="7"/>
  <c r="L401" i="7"/>
  <c r="L131" i="7"/>
  <c r="L316" i="7"/>
  <c r="L483" i="7"/>
  <c r="L227" i="7"/>
  <c r="L394" i="7"/>
  <c r="L121" i="7"/>
  <c r="L123" i="7"/>
  <c r="L82" i="7"/>
  <c r="L179" i="7"/>
  <c r="L487" i="7"/>
  <c r="L398" i="7"/>
  <c r="L87" i="7"/>
  <c r="L333" i="7"/>
  <c r="L504" i="7"/>
  <c r="L248" i="7"/>
  <c r="L415" i="7"/>
  <c r="L149" i="7"/>
  <c r="L326" i="7"/>
  <c r="L122" i="7"/>
  <c r="L517" i="7"/>
  <c r="L261" i="7"/>
  <c r="L432" i="7"/>
  <c r="L172" i="7"/>
  <c r="L343" i="7"/>
  <c r="L510" i="7"/>
  <c r="L254" i="7"/>
  <c r="L79" i="7"/>
  <c r="L340" i="7"/>
  <c r="L217" i="7"/>
  <c r="L555" i="7"/>
  <c r="L418" i="7"/>
  <c r="L468" i="7"/>
  <c r="L475" i="7"/>
  <c r="L193" i="7"/>
  <c r="L531" i="7"/>
  <c r="L406" i="7"/>
  <c r="L194" i="7"/>
  <c r="L144" i="7"/>
  <c r="L552" i="7"/>
  <c r="L474" i="7"/>
  <c r="L187" i="7"/>
  <c r="L143" i="7"/>
  <c r="L399" i="7"/>
  <c r="L548" i="7"/>
  <c r="L459" i="7"/>
  <c r="L290" i="7"/>
  <c r="L489" i="7"/>
  <c r="L460" i="7"/>
  <c r="L68" i="7"/>
  <c r="L524" i="7"/>
  <c r="L442" i="7"/>
  <c r="L285" i="7"/>
  <c r="L200" i="7"/>
  <c r="L514" i="7"/>
  <c r="L81" i="7"/>
  <c r="L166" i="7"/>
  <c r="L277" i="7"/>
  <c r="L224" i="7"/>
  <c r="L558" i="7"/>
  <c r="L62" i="7"/>
  <c r="L369" i="7"/>
  <c r="L540" i="7"/>
  <c r="L284" i="7"/>
  <c r="L451" i="7"/>
  <c r="L195" i="7"/>
  <c r="L362" i="7"/>
  <c r="L158" i="7"/>
  <c r="L498" i="7"/>
  <c r="L111" i="7"/>
  <c r="L512" i="7"/>
  <c r="L423" i="7"/>
  <c r="L334" i="7"/>
  <c r="L557" i="7"/>
  <c r="L301" i="7"/>
  <c r="L472" i="7"/>
  <c r="L315" i="7"/>
  <c r="L141" i="7"/>
  <c r="L491" i="7"/>
  <c r="L342" i="7"/>
  <c r="L443" i="7"/>
  <c r="L283" i="7"/>
  <c r="L556" i="7"/>
  <c r="L467" i="7"/>
  <c r="L314" i="7"/>
  <c r="L457" i="7"/>
  <c r="L322" i="7"/>
  <c r="L424" i="7"/>
  <c r="L386" i="7"/>
  <c r="L69" i="7"/>
  <c r="L445" i="7"/>
  <c r="L207" i="7"/>
  <c r="L484" i="7"/>
  <c r="L395" i="7"/>
  <c r="L214" i="7"/>
  <c r="L404" i="7"/>
  <c r="L268" i="7"/>
  <c r="L233" i="7"/>
  <c r="L396" i="7"/>
  <c r="L278" i="7"/>
  <c r="L221" i="7"/>
  <c r="L559" i="7"/>
  <c r="L438" i="7"/>
  <c r="L530" i="7"/>
  <c r="L56" i="7"/>
  <c r="L213" i="7"/>
  <c r="L151" i="7"/>
  <c r="L494" i="7"/>
  <c r="L73" i="7"/>
  <c r="L337" i="7"/>
  <c r="L508" i="7"/>
  <c r="L252" i="7"/>
  <c r="L419" i="7"/>
  <c r="L155" i="7"/>
  <c r="L330" i="7"/>
  <c r="L126" i="7"/>
  <c r="L434" i="7"/>
  <c r="L119" i="7"/>
  <c r="L448" i="7"/>
  <c r="L359" i="7"/>
  <c r="L270" i="7"/>
  <c r="L525" i="7"/>
  <c r="L269" i="7"/>
  <c r="L440" i="7"/>
  <c r="L183" i="7"/>
  <c r="L351" i="7"/>
  <c r="L518" i="7"/>
  <c r="L262" i="7"/>
  <c r="L101" i="7"/>
  <c r="L453" i="7"/>
  <c r="L197" i="7"/>
  <c r="L368" i="7"/>
  <c r="L535" i="7"/>
  <c r="L279" i="7"/>
  <c r="L446" i="7"/>
  <c r="L190" i="7"/>
  <c r="L374" i="7"/>
  <c r="L516" i="7"/>
  <c r="L427" i="7"/>
  <c r="L250" i="7"/>
  <c r="L538" i="7"/>
  <c r="L502" i="7"/>
  <c r="L492" i="7"/>
  <c r="L403" i="7"/>
  <c r="L226" i="7"/>
  <c r="L265" i="7"/>
  <c r="L57" i="7"/>
  <c r="L296" i="7"/>
  <c r="L310" i="7"/>
  <c r="L329" i="7"/>
  <c r="L317" i="7"/>
  <c r="L505" i="7"/>
  <c r="L420" i="7"/>
  <c r="L331" i="7"/>
  <c r="L174" i="7"/>
  <c r="L379" i="7"/>
  <c r="L124" i="7"/>
  <c r="L276" i="7"/>
  <c r="L332" i="7"/>
  <c r="L150" i="7"/>
  <c r="L147" i="7"/>
  <c r="L495" i="7"/>
  <c r="L346" i="7"/>
  <c r="L466" i="7"/>
  <c r="L71" i="7"/>
  <c r="L136" i="7"/>
  <c r="L519" i="7"/>
  <c r="L430" i="7"/>
  <c r="L113" i="7"/>
  <c r="L305" i="7"/>
  <c r="L476" i="7"/>
  <c r="L220" i="7"/>
  <c r="L387" i="7"/>
  <c r="L554" i="7"/>
  <c r="L298" i="7"/>
  <c r="L75" i="7"/>
  <c r="L370" i="7"/>
  <c r="L501" i="7"/>
  <c r="L384" i="7"/>
  <c r="L295" i="7"/>
  <c r="L206" i="7"/>
  <c r="L493" i="7"/>
  <c r="L237" i="7"/>
  <c r="L408" i="7"/>
  <c r="L140" i="7"/>
  <c r="L319" i="7"/>
  <c r="L486" i="7"/>
  <c r="L230" i="7"/>
  <c r="L77" i="7"/>
  <c r="L421" i="7"/>
  <c r="L157" i="7"/>
  <c r="L336" i="7"/>
  <c r="L503" i="7"/>
  <c r="L247" i="7"/>
  <c r="L414" i="7"/>
  <c r="L148" i="7"/>
  <c r="L537" i="7"/>
  <c r="L452" i="7"/>
  <c r="L363" i="7"/>
  <c r="L153" i="7"/>
  <c r="L521" i="7"/>
  <c r="L246" i="7"/>
  <c r="L428" i="7"/>
  <c r="L339" i="7"/>
  <c r="L137" i="7"/>
  <c r="L500" i="7"/>
  <c r="L100" i="7"/>
  <c r="L161" i="7"/>
  <c r="L218" i="7"/>
  <c r="L120" i="7"/>
  <c r="L189" i="7"/>
  <c r="L441" i="7"/>
  <c r="L356" i="7"/>
  <c r="L267" i="7"/>
  <c r="L60" i="7"/>
  <c r="L450" i="7"/>
  <c r="L435" i="7"/>
  <c r="L251" i="7"/>
  <c r="L204" i="7"/>
  <c r="L107" i="7"/>
  <c r="L520" i="7"/>
  <c r="L431" i="7"/>
  <c r="L258" i="7"/>
  <c r="L402" i="7"/>
  <c r="L85" i="7"/>
  <c r="L544" i="7"/>
  <c r="L455" i="7"/>
  <c r="L366" i="7"/>
  <c r="L529" i="7"/>
  <c r="L273" i="7"/>
  <c r="L444" i="7"/>
  <c r="L188" i="7"/>
  <c r="L355" i="7"/>
  <c r="L522" i="7"/>
  <c r="L266" i="7"/>
  <c r="L94" i="7"/>
  <c r="L306" i="7"/>
  <c r="L437" i="7"/>
  <c r="L320" i="7"/>
  <c r="L231" i="7"/>
  <c r="L127" i="7"/>
  <c r="L461" i="7"/>
  <c r="L205" i="7"/>
  <c r="L376" i="7"/>
  <c r="L543" i="7"/>
  <c r="L287" i="7"/>
  <c r="L454" i="7"/>
  <c r="L198" i="7"/>
  <c r="L96" i="7"/>
  <c r="L389" i="7"/>
  <c r="L560" i="7"/>
  <c r="L304" i="7"/>
  <c r="L471" i="7"/>
  <c r="L215" i="7"/>
  <c r="L382" i="7"/>
  <c r="L178" i="7"/>
  <c r="L473" i="7"/>
  <c r="L388" i="7"/>
  <c r="L299" i="7"/>
  <c r="L138" i="7"/>
  <c r="L393" i="7"/>
  <c r="L449" i="7"/>
  <c r="L364" i="7"/>
  <c r="L275" i="7"/>
  <c r="L61" i="7"/>
  <c r="L372" i="7"/>
  <c r="L513" i="7"/>
  <c r="L463" i="7"/>
  <c r="L182" i="7"/>
  <c r="L308" i="7"/>
  <c r="L488" i="7"/>
  <c r="L377" i="7"/>
  <c r="L292" i="7"/>
  <c r="L203" i="7"/>
  <c r="L553" i="7"/>
  <c r="L545" i="7"/>
  <c r="L307" i="7"/>
  <c r="L170" i="7"/>
  <c r="L499" i="7"/>
  <c r="L541" i="7"/>
  <c r="L456" i="7"/>
  <c r="L367" i="7"/>
  <c r="L180" i="7"/>
  <c r="L338" i="7"/>
  <c r="L533" i="7"/>
  <c r="L480" i="7"/>
  <c r="L391" i="7"/>
  <c r="L302" i="7"/>
  <c r="L497" i="7"/>
  <c r="L241" i="7"/>
  <c r="L412" i="7"/>
  <c r="L145" i="7"/>
  <c r="L323" i="7"/>
  <c r="L490" i="7"/>
  <c r="L234" i="7"/>
  <c r="L115" i="7"/>
  <c r="L210" i="7"/>
  <c r="L373" i="7"/>
  <c r="L256" i="7"/>
  <c r="L160" i="7"/>
  <c r="L130" i="7"/>
  <c r="L429" i="7"/>
  <c r="L168" i="7"/>
  <c r="L344" i="7"/>
  <c r="L511" i="7"/>
  <c r="L255" i="7"/>
  <c r="L422" i="7"/>
  <c r="L159" i="7"/>
  <c r="L66" i="7"/>
  <c r="L357" i="7"/>
  <c r="L528" i="7"/>
  <c r="L272" i="7"/>
  <c r="L439" i="7"/>
  <c r="L181" i="7"/>
  <c r="L350" i="7"/>
  <c r="L146" i="7"/>
  <c r="L409" i="7"/>
  <c r="L324" i="7"/>
  <c r="L235" i="7"/>
  <c r="L118" i="7"/>
  <c r="L201" i="7"/>
  <c r="L385" i="7"/>
  <c r="L300" i="7"/>
  <c r="L211" i="7"/>
  <c r="L104" i="7"/>
  <c r="L177" i="7"/>
  <c r="L509" i="7"/>
  <c r="L335" i="7"/>
  <c r="L117" i="7"/>
  <c r="L539" i="7"/>
  <c r="L360" i="7"/>
  <c r="L313" i="7"/>
  <c r="L228" i="7"/>
  <c r="L546" i="7"/>
  <c r="L532" i="7"/>
  <c r="L417" i="7"/>
  <c r="L534" i="7"/>
  <c r="L481" i="7"/>
  <c r="L371" i="7"/>
  <c r="L477" i="7"/>
  <c r="L392" i="7"/>
  <c r="L303" i="7"/>
  <c r="L142" i="7"/>
  <c r="L274" i="7"/>
  <c r="L345" i="7"/>
  <c r="L260" i="7"/>
  <c r="L165" i="7"/>
  <c r="L83" i="7"/>
  <c r="L436" i="7"/>
  <c r="L321" i="7"/>
  <c r="L236" i="7"/>
  <c r="L133" i="7"/>
  <c r="L163" i="7"/>
  <c r="L411" i="7"/>
  <c r="L381" i="7"/>
  <c r="L271" i="7"/>
  <c r="L297" i="7"/>
  <c r="L347" i="7"/>
  <c r="L232" i="7"/>
  <c r="L249" i="7"/>
  <c r="L156" i="7"/>
  <c r="L470" i="7"/>
  <c r="L135" i="7"/>
  <c r="L289" i="7"/>
  <c r="L354" i="7"/>
  <c r="L353" i="7"/>
  <c r="L243" i="7"/>
  <c r="L413" i="7"/>
  <c r="L328" i="7"/>
  <c r="L239" i="7"/>
  <c r="L105" i="7"/>
  <c r="L242" i="7"/>
  <c r="L405" i="7"/>
  <c r="L352" i="7"/>
  <c r="L263" i="7"/>
  <c r="L169" i="7"/>
  <c r="L433" i="7"/>
  <c r="L173" i="7"/>
  <c r="L348" i="7"/>
  <c r="L515" i="7"/>
  <c r="L259" i="7"/>
  <c r="L426" i="7"/>
  <c r="L164" i="7"/>
  <c r="L89" i="7"/>
  <c r="L134" i="7"/>
  <c r="L245" i="7"/>
  <c r="L551" i="7"/>
  <c r="L462" i="7"/>
  <c r="L92" i="7"/>
  <c r="L365" i="7"/>
  <c r="L536" i="7"/>
  <c r="L280" i="7"/>
  <c r="L447" i="7"/>
  <c r="L191" i="7"/>
  <c r="L358" i="7"/>
  <c r="L154" i="7"/>
  <c r="L549" i="7"/>
  <c r="L293" i="7"/>
  <c r="L464" i="7"/>
  <c r="L208" i="7"/>
  <c r="L375" i="7"/>
  <c r="L542" i="7"/>
  <c r="L286" i="7"/>
  <c r="L63" i="7"/>
  <c r="L469" i="7"/>
  <c r="L291" i="7"/>
  <c r="L88" i="7"/>
  <c r="L550" i="7"/>
  <c r="L229" i="7"/>
  <c r="L478" i="7"/>
  <c r="L43" i="7"/>
  <c r="L49" i="7"/>
  <c r="L48" i="7"/>
  <c r="L54" i="7"/>
  <c r="L47" i="7"/>
  <c r="L38" i="7"/>
  <c r="L192" i="7"/>
  <c r="L311" i="7"/>
  <c r="L40" i="7"/>
  <c r="L416" i="7"/>
  <c r="L458" i="7"/>
  <c r="L397" i="7"/>
  <c r="L390" i="7"/>
  <c r="L496" i="7"/>
  <c r="L318" i="7"/>
  <c r="L327" i="7"/>
  <c r="L202" i="7"/>
  <c r="L125" i="7"/>
  <c r="L294" i="7"/>
  <c r="L400" i="7"/>
  <c r="L222" i="7"/>
  <c r="L238" i="7"/>
  <c r="L64" i="7"/>
  <c r="L312" i="7"/>
  <c r="L186" i="7"/>
  <c r="L240" i="7"/>
  <c r="L59" i="7"/>
  <c r="L46" i="7"/>
  <c r="L39" i="7"/>
  <c r="L485" i="7"/>
  <c r="L465" i="7"/>
  <c r="L132" i="7"/>
  <c r="L216" i="7"/>
  <c r="L58" i="7"/>
  <c r="L129" i="7"/>
  <c r="L102" i="7"/>
  <c r="L42" i="7"/>
  <c r="L45" i="7"/>
  <c r="L41" i="7"/>
  <c r="L380" i="7"/>
  <c r="L44" i="7"/>
  <c r="L209" i="7"/>
  <c r="L309" i="7"/>
  <c r="L479" i="7"/>
  <c r="L98" i="7"/>
  <c r="L407" i="7"/>
  <c r="L547" i="7"/>
  <c r="L526" i="7"/>
  <c r="L223" i="7"/>
  <c r="L325" i="7"/>
  <c r="L139" i="7"/>
  <c r="L52" i="7"/>
  <c r="L51" i="7"/>
  <c r="L36" i="7"/>
  <c r="L53" i="7"/>
  <c r="L37" i="7"/>
  <c r="L383" i="7"/>
  <c r="L50" i="7"/>
  <c r="M383" i="7" l="1"/>
  <c r="M139" i="7"/>
  <c r="M325" i="7"/>
  <c r="M223" i="7"/>
  <c r="M526" i="7"/>
  <c r="M547" i="7"/>
  <c r="M407" i="7"/>
  <c r="M98" i="7"/>
  <c r="M479" i="7"/>
  <c r="M309" i="7"/>
  <c r="M209" i="7"/>
  <c r="M380" i="7"/>
  <c r="M102" i="7"/>
  <c r="M129" i="7"/>
  <c r="M58" i="7"/>
  <c r="M216" i="7"/>
  <c r="M132" i="7"/>
  <c r="M465" i="7"/>
  <c r="M485" i="7"/>
  <c r="M59" i="7"/>
  <c r="M240" i="7"/>
  <c r="M186" i="7"/>
  <c r="M312" i="7"/>
  <c r="M64" i="7"/>
  <c r="M238" i="7"/>
  <c r="M222" i="7"/>
  <c r="M400" i="7"/>
  <c r="M294" i="7"/>
  <c r="M125" i="7"/>
  <c r="M202" i="7"/>
  <c r="M327" i="7"/>
  <c r="M318" i="7"/>
  <c r="M496" i="7"/>
  <c r="M390" i="7"/>
  <c r="M397" i="7"/>
  <c r="M458" i="7"/>
  <c r="M416" i="7"/>
  <c r="M311" i="7"/>
  <c r="M192" i="7"/>
  <c r="M478" i="7"/>
  <c r="M229" i="7"/>
  <c r="M550" i="7"/>
  <c r="M88" i="7"/>
  <c r="I10" i="15"/>
  <c r="M291" i="7"/>
  <c r="M469" i="7"/>
  <c r="M63" i="7"/>
  <c r="M286" i="7"/>
  <c r="M542" i="7"/>
  <c r="M375" i="7"/>
  <c r="M208" i="7"/>
  <c r="M464" i="7"/>
  <c r="M293" i="7"/>
  <c r="M549" i="7"/>
  <c r="M154" i="7"/>
  <c r="M358" i="7"/>
  <c r="M191" i="7"/>
  <c r="M447" i="7"/>
  <c r="M280" i="7"/>
  <c r="M536" i="7"/>
  <c r="M365" i="7"/>
  <c r="M92" i="7"/>
  <c r="M462" i="7"/>
  <c r="M551" i="7"/>
  <c r="M245" i="7"/>
  <c r="M134" i="7"/>
  <c r="M89" i="7"/>
  <c r="M164" i="7"/>
  <c r="M426" i="7"/>
  <c r="M259" i="7"/>
  <c r="M515" i="7"/>
  <c r="M348" i="7"/>
  <c r="M173" i="7"/>
  <c r="M433" i="7"/>
  <c r="M169" i="7"/>
  <c r="M263" i="7"/>
  <c r="M352" i="7"/>
  <c r="M405" i="7"/>
  <c r="M242" i="7"/>
  <c r="M105" i="7"/>
  <c r="M239" i="7"/>
  <c r="M328" i="7"/>
  <c r="M413" i="7"/>
  <c r="M243" i="7"/>
  <c r="M353" i="7"/>
  <c r="M354" i="7"/>
  <c r="M289" i="7"/>
  <c r="M135" i="7"/>
  <c r="M470" i="7"/>
  <c r="M156" i="7"/>
  <c r="M249" i="7"/>
  <c r="M232" i="7"/>
  <c r="M347" i="7"/>
  <c r="M297" i="7"/>
  <c r="M271" i="7"/>
  <c r="M381" i="7"/>
  <c r="M411" i="7"/>
  <c r="M163" i="7"/>
  <c r="M133" i="7"/>
  <c r="M236" i="7"/>
  <c r="M321" i="7"/>
  <c r="M436" i="7"/>
  <c r="M83" i="7"/>
  <c r="M165" i="7"/>
  <c r="M260" i="7"/>
  <c r="M345" i="7"/>
  <c r="M274" i="7"/>
  <c r="M142" i="7"/>
  <c r="M303" i="7"/>
  <c r="M392" i="7"/>
  <c r="M477" i="7"/>
  <c r="M371" i="7"/>
  <c r="M481" i="7"/>
  <c r="M534" i="7"/>
  <c r="M417" i="7"/>
  <c r="M532" i="7"/>
  <c r="M546" i="7"/>
  <c r="M228" i="7"/>
  <c r="M313" i="7"/>
  <c r="M360" i="7"/>
  <c r="M539" i="7"/>
  <c r="M117" i="7"/>
  <c r="M335" i="7"/>
  <c r="M509" i="7"/>
  <c r="M177" i="7"/>
  <c r="M104" i="7"/>
  <c r="M211" i="7"/>
  <c r="M300" i="7"/>
  <c r="M385" i="7"/>
  <c r="M201" i="7"/>
  <c r="M118" i="7"/>
  <c r="M235" i="7"/>
  <c r="M324" i="7"/>
  <c r="M409" i="7"/>
  <c r="M146" i="7"/>
  <c r="M350" i="7"/>
  <c r="M181" i="7"/>
  <c r="M439" i="7"/>
  <c r="M272" i="7"/>
  <c r="M528" i="7"/>
  <c r="M357" i="7"/>
  <c r="M66" i="7"/>
  <c r="M159" i="7"/>
  <c r="M422" i="7"/>
  <c r="M255" i="7"/>
  <c r="M511" i="7"/>
  <c r="M344" i="7"/>
  <c r="M168" i="7"/>
  <c r="M429" i="7"/>
  <c r="M130" i="7"/>
  <c r="M160" i="7"/>
  <c r="M256" i="7"/>
  <c r="M373" i="7"/>
  <c r="M210" i="7"/>
  <c r="M115" i="7"/>
  <c r="M234" i="7"/>
  <c r="M490" i="7"/>
  <c r="M323" i="7"/>
  <c r="M145" i="7"/>
  <c r="M412" i="7"/>
  <c r="M241" i="7"/>
  <c r="M497" i="7"/>
  <c r="M302" i="7"/>
  <c r="M391" i="7"/>
  <c r="M480" i="7"/>
  <c r="M533" i="7"/>
  <c r="M338" i="7"/>
  <c r="M180" i="7"/>
  <c r="M367" i="7"/>
  <c r="M456" i="7"/>
  <c r="M541" i="7"/>
  <c r="M499" i="7"/>
  <c r="M170" i="7"/>
  <c r="M307" i="7"/>
  <c r="M545" i="7"/>
  <c r="M553" i="7"/>
  <c r="M203" i="7"/>
  <c r="M292" i="7"/>
  <c r="M377" i="7"/>
  <c r="M488" i="7"/>
  <c r="M308" i="7"/>
  <c r="M182" i="7"/>
  <c r="M463" i="7"/>
  <c r="M513" i="7"/>
  <c r="M372" i="7"/>
  <c r="M61" i="7"/>
  <c r="M275" i="7"/>
  <c r="M364" i="7"/>
  <c r="M449" i="7"/>
  <c r="M393" i="7"/>
  <c r="M138" i="7"/>
  <c r="M299" i="7"/>
  <c r="M388" i="7"/>
  <c r="M473" i="7"/>
  <c r="M178" i="7"/>
  <c r="M382" i="7"/>
  <c r="M215" i="7"/>
  <c r="M471" i="7"/>
  <c r="M304" i="7"/>
  <c r="M560" i="7"/>
  <c r="M389" i="7"/>
  <c r="M96" i="7"/>
  <c r="M198" i="7"/>
  <c r="M454" i="7"/>
  <c r="M287" i="7"/>
  <c r="M543" i="7"/>
  <c r="M376" i="7"/>
  <c r="M205" i="7"/>
  <c r="M461" i="7"/>
  <c r="M127" i="7"/>
  <c r="M231" i="7"/>
  <c r="M320" i="7"/>
  <c r="M437" i="7"/>
  <c r="M306" i="7"/>
  <c r="M94" i="7"/>
  <c r="M266" i="7"/>
  <c r="M522" i="7"/>
  <c r="M355" i="7"/>
  <c r="M188" i="7"/>
  <c r="M444" i="7"/>
  <c r="M273" i="7"/>
  <c r="M529" i="7"/>
  <c r="M366" i="7"/>
  <c r="M455" i="7"/>
  <c r="M544" i="7"/>
  <c r="M85" i="7"/>
  <c r="M402" i="7"/>
  <c r="M258" i="7"/>
  <c r="M431" i="7"/>
  <c r="M520" i="7"/>
  <c r="M107" i="7"/>
  <c r="M204" i="7"/>
  <c r="M251" i="7"/>
  <c r="M435" i="7"/>
  <c r="M450" i="7"/>
  <c r="M60" i="7"/>
  <c r="M267" i="7"/>
  <c r="M356" i="7"/>
  <c r="M441" i="7"/>
  <c r="M189" i="7"/>
  <c r="M120" i="7"/>
  <c r="M218" i="7"/>
  <c r="M161" i="7"/>
  <c r="M100" i="7"/>
  <c r="M500" i="7"/>
  <c r="M137" i="7"/>
  <c r="M339" i="7"/>
  <c r="M428" i="7"/>
  <c r="M246" i="7"/>
  <c r="M521" i="7"/>
  <c r="M153" i="7"/>
  <c r="M363" i="7"/>
  <c r="M452" i="7"/>
  <c r="M537" i="7"/>
  <c r="M148" i="7"/>
  <c r="M414" i="7"/>
  <c r="M247" i="7"/>
  <c r="M503" i="7"/>
  <c r="M336" i="7"/>
  <c r="M157" i="7"/>
  <c r="M421" i="7"/>
  <c r="M77" i="7"/>
  <c r="M230" i="7"/>
  <c r="M486" i="7"/>
  <c r="M319" i="7"/>
  <c r="M140" i="7"/>
  <c r="M408" i="7"/>
  <c r="M237" i="7"/>
  <c r="M493" i="7"/>
  <c r="M206" i="7"/>
  <c r="M295" i="7"/>
  <c r="M384" i="7"/>
  <c r="M501" i="7"/>
  <c r="M370" i="7"/>
  <c r="M75" i="7"/>
  <c r="M298" i="7"/>
  <c r="M554" i="7"/>
  <c r="M387" i="7"/>
  <c r="M220" i="7"/>
  <c r="M476" i="7"/>
  <c r="M305" i="7"/>
  <c r="M113" i="7"/>
  <c r="M430" i="7"/>
  <c r="M519" i="7"/>
  <c r="M136" i="7"/>
  <c r="M71" i="7"/>
  <c r="M466" i="7"/>
  <c r="M346" i="7"/>
  <c r="M495" i="7"/>
  <c r="M147" i="7"/>
  <c r="M150" i="7"/>
  <c r="M332" i="7"/>
  <c r="M276" i="7"/>
  <c r="M124" i="7"/>
  <c r="M379" i="7"/>
  <c r="M174" i="7"/>
  <c r="M331" i="7"/>
  <c r="M420" i="7"/>
  <c r="M505" i="7"/>
  <c r="M317" i="7"/>
  <c r="M329" i="7"/>
  <c r="M310" i="7"/>
  <c r="M296" i="7"/>
  <c r="M57" i="7"/>
  <c r="M265" i="7"/>
  <c r="M226" i="7"/>
  <c r="M403" i="7"/>
  <c r="M492" i="7"/>
  <c r="M502" i="7"/>
  <c r="M538" i="7"/>
  <c r="M250" i="7"/>
  <c r="M427" i="7"/>
  <c r="M516" i="7"/>
  <c r="M374" i="7"/>
  <c r="M190" i="7"/>
  <c r="M446" i="7"/>
  <c r="M279" i="7"/>
  <c r="M535" i="7"/>
  <c r="M368" i="7"/>
  <c r="M197" i="7"/>
  <c r="M453" i="7"/>
  <c r="M101" i="7"/>
  <c r="M262" i="7"/>
  <c r="M518" i="7"/>
  <c r="M351" i="7"/>
  <c r="M183" i="7"/>
  <c r="M440" i="7"/>
  <c r="M269" i="7"/>
  <c r="M525" i="7"/>
  <c r="M270" i="7"/>
  <c r="M359" i="7"/>
  <c r="M448" i="7"/>
  <c r="M119" i="7"/>
  <c r="M434" i="7"/>
  <c r="M126" i="7"/>
  <c r="M330" i="7"/>
  <c r="M155" i="7"/>
  <c r="M419" i="7"/>
  <c r="M252" i="7"/>
  <c r="M508" i="7"/>
  <c r="M337" i="7"/>
  <c r="M73" i="7"/>
  <c r="M494" i="7"/>
  <c r="M151" i="7"/>
  <c r="M213" i="7"/>
  <c r="M56" i="7"/>
  <c r="M530" i="7"/>
  <c r="M438" i="7"/>
  <c r="M559" i="7"/>
  <c r="M221" i="7"/>
  <c r="M278" i="7"/>
  <c r="M396" i="7"/>
  <c r="M233" i="7"/>
  <c r="M268" i="7"/>
  <c r="M404" i="7"/>
  <c r="M214" i="7"/>
  <c r="M395" i="7"/>
  <c r="M484" i="7"/>
  <c r="M207" i="7"/>
  <c r="M445" i="7"/>
  <c r="M69" i="7"/>
  <c r="M386" i="7"/>
  <c r="M424" i="7"/>
  <c r="M322" i="7"/>
  <c r="M457" i="7"/>
  <c r="M314" i="7"/>
  <c r="M467" i="7"/>
  <c r="M556" i="7"/>
  <c r="M283" i="7"/>
  <c r="M443" i="7"/>
  <c r="M342" i="7"/>
  <c r="M491" i="7"/>
  <c r="M141" i="7"/>
  <c r="M315" i="7"/>
  <c r="M472" i="7"/>
  <c r="M301" i="7"/>
  <c r="M557" i="7"/>
  <c r="M334" i="7"/>
  <c r="M423" i="7"/>
  <c r="M512" i="7"/>
  <c r="M111" i="7"/>
  <c r="M498" i="7"/>
  <c r="M158" i="7"/>
  <c r="M362" i="7"/>
  <c r="M195" i="7"/>
  <c r="M451" i="7"/>
  <c r="M284" i="7"/>
  <c r="M540" i="7"/>
  <c r="M369" i="7"/>
  <c r="M62" i="7"/>
  <c r="M558" i="7"/>
  <c r="M224" i="7"/>
  <c r="M277" i="7"/>
  <c r="M166" i="7"/>
  <c r="M81" i="7"/>
  <c r="M514" i="7"/>
  <c r="M200" i="7"/>
  <c r="M285" i="7"/>
  <c r="M442" i="7"/>
  <c r="M524" i="7"/>
  <c r="M68" i="7"/>
  <c r="M460" i="7"/>
  <c r="M489" i="7"/>
  <c r="M290" i="7"/>
  <c r="M459" i="7"/>
  <c r="M548" i="7"/>
  <c r="M399" i="7"/>
  <c r="M143" i="7"/>
  <c r="M187" i="7"/>
  <c r="M474" i="7"/>
  <c r="M552" i="7"/>
  <c r="M144" i="7"/>
  <c r="M194" i="7"/>
  <c r="M406" i="7"/>
  <c r="M531" i="7"/>
  <c r="M193" i="7"/>
  <c r="M475" i="7"/>
  <c r="M468" i="7"/>
  <c r="M418" i="7"/>
  <c r="M555" i="7"/>
  <c r="M217" i="7"/>
  <c r="M340" i="7"/>
  <c r="M79" i="7"/>
  <c r="M254" i="7"/>
  <c r="M510" i="7"/>
  <c r="M343" i="7"/>
  <c r="M172" i="7"/>
  <c r="M432" i="7"/>
  <c r="M261" i="7"/>
  <c r="M517" i="7"/>
  <c r="M122" i="7"/>
  <c r="M326" i="7"/>
  <c r="M149" i="7"/>
  <c r="M415" i="7"/>
  <c r="M248" i="7"/>
  <c r="M504" i="7"/>
  <c r="M333" i="7"/>
  <c r="M87" i="7"/>
  <c r="M398" i="7"/>
  <c r="M487" i="7"/>
  <c r="M179" i="7"/>
  <c r="M82" i="7"/>
  <c r="M123" i="7"/>
  <c r="M121" i="7"/>
  <c r="M394" i="7"/>
  <c r="M227" i="7"/>
  <c r="M483" i="7"/>
  <c r="M316" i="7"/>
  <c r="M131" i="7"/>
  <c r="M401" i="7"/>
  <c r="M162" i="7"/>
  <c r="M199" i="7"/>
  <c r="M288" i="7"/>
  <c r="M341" i="7"/>
  <c r="M175" i="7"/>
  <c r="M109" i="7"/>
  <c r="M171" i="7"/>
  <c r="M264" i="7"/>
  <c r="M349" i="7"/>
  <c r="M176" i="7"/>
  <c r="M225" i="7"/>
  <c r="M185" i="7"/>
  <c r="M152" i="7"/>
  <c r="M282" i="7"/>
  <c r="M378" i="7"/>
  <c r="M523" i="7"/>
  <c r="M184" i="7"/>
  <c r="M527" i="7"/>
  <c r="M410" i="7"/>
  <c r="M212" i="7"/>
  <c r="M128" i="7"/>
  <c r="M253" i="7"/>
  <c r="M219" i="7"/>
  <c r="M507" i="7"/>
  <c r="M482" i="7"/>
  <c r="M167" i="7"/>
  <c r="M257" i="7"/>
  <c r="M244" i="7"/>
  <c r="M425" i="7"/>
  <c r="M506" i="7"/>
  <c r="M196" i="7"/>
  <c r="I15" i="15" s="1"/>
  <c r="I12" i="15"/>
  <c r="M281" i="7"/>
  <c r="M361" i="7"/>
  <c r="G17" i="15"/>
  <c r="F26" i="15"/>
  <c r="J24" i="15"/>
  <c r="H26" i="15"/>
  <c r="J25" i="15"/>
  <c r="G26" i="15"/>
  <c r="I26" i="15"/>
  <c r="E26" i="15"/>
  <c r="J23" i="15"/>
  <c r="J26" i="15" l="1"/>
  <c r="J7" i="15" l="1"/>
  <c r="J8" i="15"/>
  <c r="J5" i="15"/>
  <c r="J6" i="15"/>
  <c r="J9" i="15" l="1"/>
  <c r="F10" i="15"/>
  <c r="M51" i="7"/>
  <c r="M49" i="7"/>
  <c r="M52" i="7"/>
  <c r="M45" i="7"/>
  <c r="M54" i="7"/>
  <c r="M48" i="7"/>
  <c r="M47" i="7"/>
  <c r="M46" i="7"/>
  <c r="M50" i="7"/>
  <c r="M53" i="7"/>
  <c r="H17" i="15" l="1"/>
  <c r="G12" i="15"/>
  <c r="I11" i="15"/>
  <c r="H11" i="15"/>
  <c r="E12" i="15"/>
  <c r="E10" i="15"/>
  <c r="E17" i="15"/>
  <c r="G10" i="15"/>
  <c r="H12" i="15"/>
  <c r="F11" i="15"/>
  <c r="I17" i="15"/>
  <c r="E11" i="15"/>
  <c r="H10" i="15"/>
  <c r="G11" i="15"/>
  <c r="M41" i="7"/>
  <c r="M38" i="7"/>
  <c r="M43" i="7"/>
  <c r="G15" i="15" s="1"/>
  <c r="M39" i="7"/>
  <c r="M44" i="7"/>
  <c r="M36" i="7"/>
  <c r="M42" i="7"/>
  <c r="M40" i="7"/>
  <c r="G14" i="15" s="1"/>
  <c r="M37" i="7"/>
  <c r="J17" i="15" l="1"/>
  <c r="I14" i="15"/>
  <c r="I16" i="15" s="1"/>
  <c r="I18" i="15" s="1"/>
  <c r="F14" i="15"/>
  <c r="F16" i="15" s="1"/>
  <c r="F18" i="15" s="1"/>
  <c r="H14" i="15"/>
  <c r="H15" i="15"/>
  <c r="E15" i="15"/>
  <c r="E14" i="15"/>
  <c r="J10" i="15"/>
  <c r="F13" i="15"/>
  <c r="F19" i="15" s="1"/>
  <c r="J12" i="15"/>
  <c r="H13" i="15"/>
  <c r="H19" i="15" s="1"/>
  <c r="G13" i="15"/>
  <c r="G19" i="15" s="1"/>
  <c r="G16" i="15"/>
  <c r="G18" i="15" s="1"/>
  <c r="I13" i="15"/>
  <c r="I19" i="15" s="1"/>
  <c r="H16" i="15" l="1"/>
  <c r="H18" i="15" s="1"/>
  <c r="J15" i="15"/>
  <c r="E16" i="15"/>
  <c r="J14" i="15"/>
  <c r="J11" i="15"/>
  <c r="E13" i="15"/>
  <c r="J13" i="15" l="1"/>
  <c r="E19" i="15"/>
  <c r="J19" i="15" s="1"/>
  <c r="J16" i="15"/>
  <c r="E18" i="15"/>
  <c r="J18" i="15" s="1"/>
</calcChain>
</file>

<file path=xl/comments1.xml><?xml version="1.0" encoding="utf-8"?>
<comments xmlns="http://schemas.openxmlformats.org/spreadsheetml/2006/main">
  <authors>
    <author>박종모</author>
  </authors>
  <commentList>
    <comment ref="F35" authorId="0" shapeId="0">
      <text>
        <r>
          <rPr>
            <sz val="9"/>
            <color indexed="81"/>
            <rFont val="돋움"/>
            <family val="3"/>
            <charset val="129"/>
          </rPr>
          <t>기능개발유형 식별
- 신규: 신규기능
- 수정: 기존기능 수정
- 삭제: 기존기능 삭제
- 유지: 기존기능 변경 없음</t>
        </r>
      </text>
    </comment>
    <comment ref="G35" authorId="0" shapeId="0">
      <text>
        <r>
          <rPr>
            <sz val="9"/>
            <color indexed="81"/>
            <rFont val="Tahoma"/>
            <family val="2"/>
          </rPr>
          <t>&lt;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유형에서만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>&gt;</t>
        </r>
        <r>
          <rPr>
            <sz val="9"/>
            <color indexed="81"/>
            <rFont val="돋움"/>
            <family val="3"/>
            <charset val="129"/>
          </rPr>
          <t xml:space="preserve">
재개발정도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총변경율로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판단
상</t>
        </r>
        <r>
          <rPr>
            <sz val="9"/>
            <color indexed="81"/>
            <rFont val="Tahoma"/>
            <family val="2"/>
          </rPr>
          <t xml:space="preserve">(70%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) 
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>(20%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70%</t>
        </r>
        <r>
          <rPr>
            <sz val="9"/>
            <color indexed="81"/>
            <rFont val="돋움"/>
            <family val="3"/>
            <charset val="129"/>
          </rPr>
          <t>미만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하</t>
        </r>
        <r>
          <rPr>
            <sz val="9"/>
            <color indexed="81"/>
            <rFont val="Tahoma"/>
            <family val="2"/>
          </rPr>
          <t>(20%</t>
        </r>
        <r>
          <rPr>
            <sz val="9"/>
            <color indexed="81"/>
            <rFont val="돋움"/>
            <family val="3"/>
            <charset val="129"/>
          </rPr>
          <t>미만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산정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작성가이드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</commentList>
</comments>
</file>

<file path=xl/sharedStrings.xml><?xml version="1.0" encoding="utf-8"?>
<sst xmlns="http://schemas.openxmlformats.org/spreadsheetml/2006/main" count="4303" uniqueCount="1104">
  <si>
    <t>개정이력</t>
    <phoneticPr fontId="5" type="noConversion"/>
  </si>
  <si>
    <t>버전</t>
    <phoneticPr fontId="5" type="noConversion"/>
  </si>
  <si>
    <t>개정일자</t>
    <phoneticPr fontId="5" type="noConversion"/>
  </si>
  <si>
    <t>개정내용</t>
    <phoneticPr fontId="5" type="noConversion"/>
  </si>
  <si>
    <t>작성자</t>
    <phoneticPr fontId="5" type="noConversion"/>
  </si>
  <si>
    <t>승인자</t>
    <phoneticPr fontId="5" type="noConversion"/>
  </si>
  <si>
    <t>(00000 프로젝트)</t>
    <phoneticPr fontId="5" type="noConversion"/>
  </si>
  <si>
    <t>정보통신산업진흥원 SW공학센터</t>
    <phoneticPr fontId="5" type="noConversion"/>
  </si>
  <si>
    <t>ILF</t>
  </si>
  <si>
    <t>EIF</t>
  </si>
  <si>
    <t>EI</t>
  </si>
  <si>
    <t>계</t>
  </si>
  <si>
    <t>데이터 및 트랜잭션 기능</t>
    <phoneticPr fontId="1" type="noConversion"/>
  </si>
  <si>
    <t>기능명</t>
    <phoneticPr fontId="1" type="noConversion"/>
  </si>
  <si>
    <t>기능점수 산정 방식(간이법, 상세법)에 따라 규모산정을 해 주시기 바랍니다.</t>
    <phoneticPr fontId="5" type="noConversion"/>
  </si>
  <si>
    <r>
      <rPr>
        <b/>
        <sz val="9"/>
        <color indexed="10"/>
        <rFont val="맑은 고딕"/>
        <family val="3"/>
        <charset val="129"/>
      </rPr>
      <t>☞</t>
    </r>
    <r>
      <rPr>
        <b/>
        <sz val="9"/>
        <color indexed="10"/>
        <rFont val="굴림체"/>
        <family val="3"/>
        <charset val="129"/>
      </rPr>
      <t xml:space="preserve"> 기능점수 
산정방법 선택</t>
    </r>
    <phoneticPr fontId="5" type="noConversion"/>
  </si>
  <si>
    <t>1.간이법(평균복잡도법)
2.상세법(일반적인 방법)</t>
    <phoneticPr fontId="5" type="noConversion"/>
  </si>
  <si>
    <t>* 기능점수 산정방법은 반드시 선택해 주세요.(1.간이법 / 2.상세법)</t>
    <phoneticPr fontId="5" type="noConversion"/>
  </si>
  <si>
    <t>①어플리케이션명</t>
    <phoneticPr fontId="1" type="noConversion"/>
  </si>
  <si>
    <t>②세부 업무명</t>
    <phoneticPr fontId="1" type="noConversion"/>
  </si>
  <si>
    <t>③단위프로세스명</t>
    <phoneticPr fontId="1" type="noConversion"/>
  </si>
  <si>
    <t>단위프로세스 설명</t>
    <phoneticPr fontId="1" type="noConversion"/>
  </si>
  <si>
    <t>* RET (Record Element Type)     FTR (File Type Referenced )     DET (Data Element Type)</t>
    <phoneticPr fontId="5" type="noConversion"/>
  </si>
  <si>
    <t>* FP 유형 = EI (Exteranl Input : 외부입력)    EO (External Output : 외부출력)    EQ (External Inquiries : 외부조회)</t>
    <phoneticPr fontId="5" type="noConversion"/>
  </si>
  <si>
    <t xml:space="preserve">           ILF (Internal Logical Files : 내부논리파일)         EIF(Externa Interface Files : 외부연계 파일)</t>
    <phoneticPr fontId="5" type="noConversion"/>
  </si>
  <si>
    <t xml:space="preserve">작성가이드 </t>
    <phoneticPr fontId="5" type="noConversion"/>
  </si>
  <si>
    <t>② 세부업무명은 어플리케이션을 구성하는 서브시스템 등을 의미한다.</t>
    <phoneticPr fontId="5" type="noConversion"/>
  </si>
  <si>
    <t>③ 단위업무명은 세부업무를 구성하는 단위업무로, 소프트웨어 기능을 가진 독립적인 업무 프로세스이다.</t>
    <phoneticPr fontId="5" type="noConversion"/>
  </si>
  <si>
    <t xml:space="preserve">  2) 기술적인 이유로 사용되는 사용자가 모르는 기능은 여기에 포함시키지 않는다.</t>
    <phoneticPr fontId="5" type="noConversion"/>
  </si>
  <si>
    <t xml:space="preserve">  3) 어플리케이션을 완전하게 하는 모든 기능을 중복되지 않게, 사용자가 소프트웨어 기능으로 구현하기를 원하는 것만을 식별한다.</t>
    <phoneticPr fontId="5" type="noConversion"/>
  </si>
  <si>
    <t xml:space="preserve">  4) 업무기능은 아니나 사용자가 필요로 하여 어플리케이션으로 구현되는 기능(예, 헬프 메시지)도 포함한다.</t>
    <phoneticPr fontId="5" type="noConversion"/>
  </si>
  <si>
    <t xml:space="preserve">  5) 반대로 업무기능이지만 어플리케이션으로 구현이 불가능한 수작업 영역은 포함시키지 않는다.</t>
    <phoneticPr fontId="5" type="noConversion"/>
  </si>
  <si>
    <t xml:space="preserve">  6) 외부입력, 외부출력, 외부조회, 내부논리파일, 외부참조파일은 물론 외부입력도 입력,수정,삭제를 따로 식별한다.</t>
    <phoneticPr fontId="5" type="noConversion"/>
  </si>
  <si>
    <t>① 산정대상 시스템 프로그램의 어플리케이션 구분을 의미한다.</t>
    <phoneticPr fontId="5" type="noConversion"/>
  </si>
  <si>
    <r>
      <t xml:space="preserve">  1) 사용자가 식별할 수 있고 </t>
    </r>
    <r>
      <rPr>
        <b/>
        <sz val="10"/>
        <color indexed="12"/>
        <rFont val="굴림체"/>
        <family val="3"/>
        <charset val="129"/>
      </rPr>
      <t>사용자 관점에서 정의된 단위 소프트웨어 기능</t>
    </r>
    <r>
      <rPr>
        <sz val="10"/>
        <color indexed="12"/>
        <rFont val="굴림체"/>
        <family val="3"/>
        <charset val="129"/>
      </rPr>
      <t xml:space="preserve">으로, 기능점수 측정에 사용되는 것이다. </t>
    </r>
    <phoneticPr fontId="5" type="noConversion"/>
  </si>
  <si>
    <t>⑥FP유형</t>
    <phoneticPr fontId="1" type="noConversion"/>
  </si>
  <si>
    <t>④개발유형</t>
    <phoneticPr fontId="1" type="noConversion"/>
  </si>
  <si>
    <t>⑦RET/FTR</t>
    <phoneticPr fontId="1" type="noConversion"/>
  </si>
  <si>
    <t>⑧DET</t>
    <phoneticPr fontId="1" type="noConversion"/>
  </si>
  <si>
    <t>⑥ FP유형은 ③에서 식별한 단위기능이 EI, EO, EQ, ILF, EIF 중 어디에 해당되는 지를 식별한다.</t>
    <phoneticPr fontId="5" type="noConversion"/>
  </si>
  <si>
    <t>⑦ RET/FTR은 ④에서 식별한 FP유형별로 EI/EO/EQ면 참조하는 FTR의 수를, ILF/EIF면 RET의 수를 식별한다.(간이법 적용시 작성 제외)</t>
    <phoneticPr fontId="5" type="noConversion"/>
  </si>
  <si>
    <t>⑧ DET는 ④에서 식별한 FP유형별로 참조/구성하는 데이타항목의 유형수를 식별한다.</t>
    <phoneticPr fontId="5" type="noConversion"/>
  </si>
  <si>
    <t>⑨ 복잡도는 자동으로 계산된다.</t>
    <phoneticPr fontId="5" type="noConversion"/>
  </si>
  <si>
    <t>EO</t>
    <phoneticPr fontId="1" type="noConversion"/>
  </si>
  <si>
    <t>EQ</t>
    <phoneticPr fontId="1" type="noConversion"/>
  </si>
  <si>
    <t>○ FP 집계</t>
    <phoneticPr fontId="1" type="noConversion"/>
  </si>
  <si>
    <t>구분</t>
    <phoneticPr fontId="5" type="noConversion"/>
  </si>
  <si>
    <t>EO</t>
    <phoneticPr fontId="1" type="noConversion"/>
  </si>
  <si>
    <t>EQ</t>
    <phoneticPr fontId="1" type="noConversion"/>
  </si>
  <si>
    <t>기능수</t>
    <phoneticPr fontId="5" type="noConversion"/>
  </si>
  <si>
    <t>신규개발</t>
    <phoneticPr fontId="1" type="noConversion"/>
  </si>
  <si>
    <t>수정</t>
    <phoneticPr fontId="1" type="noConversion"/>
  </si>
  <si>
    <t>삭제</t>
    <phoneticPr fontId="1" type="noConversion"/>
  </si>
  <si>
    <t>기능유지</t>
    <phoneticPr fontId="1" type="noConversion"/>
  </si>
  <si>
    <t>기능점수</t>
    <phoneticPr fontId="5" type="noConversion"/>
  </si>
  <si>
    <t>수정</t>
    <phoneticPr fontId="5" type="noConversion"/>
  </si>
  <si>
    <t>삭제</t>
    <phoneticPr fontId="5" type="noConversion"/>
  </si>
  <si>
    <t>합</t>
    <phoneticPr fontId="5" type="noConversion"/>
  </si>
  <si>
    <t>FP 산출</t>
    <phoneticPr fontId="1" type="noConversion"/>
  </si>
  <si>
    <r>
      <rPr>
        <sz val="10"/>
        <color rgb="FF9C6500"/>
        <rFont val="맑은 고딕"/>
        <family val="3"/>
        <charset val="129"/>
      </rPr>
      <t>⑨</t>
    </r>
    <r>
      <rPr>
        <sz val="10"/>
        <color rgb="FF9C6500"/>
        <rFont val="맑은 고딕"/>
        <family val="3"/>
        <charset val="129"/>
        <scheme val="minor"/>
      </rPr>
      <t>복잡도</t>
    </r>
    <phoneticPr fontId="1" type="noConversion"/>
  </si>
  <si>
    <t>⑩가중치
(보정전)</t>
    <phoneticPr fontId="1" type="noConversion"/>
  </si>
  <si>
    <t>⑪가중치
(보정후)</t>
    <phoneticPr fontId="1" type="noConversion"/>
  </si>
  <si>
    <t>재개발 정도</t>
    <phoneticPr fontId="1" type="noConversion"/>
  </si>
  <si>
    <t>상</t>
    <phoneticPr fontId="5" type="noConversion"/>
  </si>
  <si>
    <t>중</t>
    <phoneticPr fontId="5" type="noConversion"/>
  </si>
  <si>
    <t>하</t>
    <phoneticPr fontId="5" type="noConversion"/>
  </si>
  <si>
    <t>계</t>
    <phoneticPr fontId="5" type="noConversion"/>
  </si>
  <si>
    <t>계</t>
    <phoneticPr fontId="1" type="noConversion"/>
  </si>
  <si>
    <r>
      <rPr>
        <sz val="10"/>
        <color indexed="12"/>
        <rFont val="맑은 고딕"/>
        <family val="3"/>
        <charset val="129"/>
      </rPr>
      <t>⑪</t>
    </r>
    <r>
      <rPr>
        <sz val="10"/>
        <color indexed="12"/>
        <rFont val="굴림체"/>
        <family val="3"/>
        <charset val="129"/>
      </rPr>
      <t xml:space="preserve"> 가중치(보정후)도 자동으로 계산된다.</t>
    </r>
    <phoneticPr fontId="5" type="noConversion"/>
  </si>
  <si>
    <t>⑩ 가중치(보정전)도 자동으로 계산된다.</t>
    <phoneticPr fontId="5" type="noConversion"/>
  </si>
  <si>
    <t>신규</t>
    <phoneticPr fontId="1" type="noConversion"/>
  </si>
  <si>
    <t>수정</t>
    <phoneticPr fontId="1" type="noConversion"/>
  </si>
  <si>
    <t>삭제</t>
    <phoneticPr fontId="1" type="noConversion"/>
  </si>
  <si>
    <t>유지</t>
    <phoneticPr fontId="1" type="noConversion"/>
  </si>
  <si>
    <t>상</t>
    <phoneticPr fontId="1" type="noConversion"/>
  </si>
  <si>
    <t>중</t>
    <phoneticPr fontId="1" type="noConversion"/>
  </si>
  <si>
    <t>하</t>
    <phoneticPr fontId="1" type="noConversion"/>
  </si>
  <si>
    <r>
      <rPr>
        <b/>
        <sz val="10"/>
        <color indexed="8"/>
        <rFont val="맑은 고딕"/>
        <family val="3"/>
        <charset val="129"/>
      </rPr>
      <t>⑤</t>
    </r>
    <r>
      <rPr>
        <b/>
        <sz val="10"/>
        <color indexed="8"/>
        <rFont val="맑은 고딕"/>
        <family val="3"/>
        <charset val="129"/>
        <scheme val="minor"/>
      </rPr>
      <t>재개발정도</t>
    </r>
    <phoneticPr fontId="1" type="noConversion"/>
  </si>
  <si>
    <t>비고</t>
    <phoneticPr fontId="78" type="noConversion"/>
  </si>
  <si>
    <t>기능점수 산정</t>
    <phoneticPr fontId="1" type="noConversion"/>
  </si>
  <si>
    <t>④ 개발기능유형은 ③에서 식별한 단위기능이 신규개발기능이면 "신규", 기존기능 수정후 재사용한 기능이면 "수정"을 선택한다.</t>
    <phoneticPr fontId="5" type="noConversion"/>
  </si>
  <si>
    <t>각 프로세스별로 소프트웨어 기능과 기능점수 유형(FP 유형) 및 복잡도 파악을 위한 필드별 해당 숫자를 채우시기 바랍니다.</t>
    <phoneticPr fontId="5" type="noConversion"/>
  </si>
  <si>
    <t xml:space="preserve">아래 표의 양식에 의거하여 어플리케이션별로 다음의 가이드에 따라 단위업무프로세스를 정의하고 </t>
    <phoneticPr fontId="5" type="noConversion"/>
  </si>
  <si>
    <t>SW 규모(기능점수) 산정 양식</t>
    <phoneticPr fontId="5" type="noConversion"/>
  </si>
  <si>
    <t>총 기능 수 합</t>
    <phoneticPr fontId="1" type="noConversion"/>
  </si>
  <si>
    <t>신규</t>
    <phoneticPr fontId="1" type="noConversion"/>
  </si>
  <si>
    <t>보정후 FP</t>
    <phoneticPr fontId="1" type="noConversion"/>
  </si>
  <si>
    <t>속성</t>
    <phoneticPr fontId="5" type="noConversion"/>
  </si>
  <si>
    <t>보정전 FP</t>
    <phoneticPr fontId="1" type="noConversion"/>
  </si>
  <si>
    <r>
      <t>V</t>
    </r>
    <r>
      <rPr>
        <sz val="10"/>
        <rFont val="맑은 고딕"/>
        <family val="3"/>
        <charset val="129"/>
      </rPr>
      <t>1.0</t>
    </r>
    <phoneticPr fontId="1" type="noConversion"/>
  </si>
  <si>
    <r>
      <t>개발,</t>
    </r>
    <r>
      <rPr>
        <sz val="10"/>
        <rFont val="맑은 고딕"/>
        <family val="3"/>
        <charset val="129"/>
      </rPr>
      <t xml:space="preserve"> 재개발, 유지보수 sheet 통합</t>
    </r>
    <phoneticPr fontId="1" type="noConversion"/>
  </si>
  <si>
    <t>개발 대상 SW 기능점수 (신규 FP + 재사용 보정후 FP)</t>
    <phoneticPr fontId="5" type="noConversion"/>
  </si>
  <si>
    <t>전체 SW 기능점수 
(신규 FP + 재사용 보정전 FP+기능유지FP)</t>
    <phoneticPr fontId="5" type="noConversion"/>
  </si>
  <si>
    <t>-  "OOO 사업" 기능점수 총괄 집계표</t>
    <phoneticPr fontId="5" type="noConversion"/>
  </si>
  <si>
    <t>⑤ 재개발정도는 총변경률을 기준으로 상(70%이상), 중(20%이상~70%미만), 하(20%미만)로 선택한다. (총 변경율= 0.4*설계 변경율 + 0.3*코드변경율 + 0.3*통합 및 시험 변경율// 총 변경율 산정 예시: 설계 변경율이 24.5%, 코드변경율이 36.75%, 통합 및 시험변경율이 40.37%일 경우 총변경율은 0.4*24.5 + 0.3*36.75 + 0.3*40.37 = 32.94% 이며 재개발정도를 판단하면 중에 해당)</t>
    <phoneticPr fontId="5" type="noConversion"/>
  </si>
  <si>
    <t>상세법</t>
  </si>
  <si>
    <t>기술적인조치 관리시스템</t>
  </si>
  <si>
    <t>표준서비스</t>
  </si>
  <si>
    <t>서비스총괄현황조회</t>
  </si>
  <si>
    <t>관리자 메인 화면으로 최근 7일간의 기술적조치 신청 현황 및 공용특징정보 DB 구축 현황을 조회 (챠트)</t>
  </si>
  <si>
    <t>유지</t>
  </si>
  <si>
    <t/>
  </si>
  <si>
    <t>EO</t>
  </si>
  <si>
    <t>일별통계조회</t>
  </si>
  <si>
    <t>일자별 공용특징정보 DB 구축 현황을 조회 (챠트)</t>
  </si>
  <si>
    <t>월별통계조회</t>
  </si>
  <si>
    <t>월별 공용특징정보 DB 구축 현황을 조회 (챠트)</t>
  </si>
  <si>
    <t>년도별통계조회</t>
  </si>
  <si>
    <t>년도별 공용특징정보 DB 구축 현황을 조회 (챠트)</t>
  </si>
  <si>
    <t>음원콘텐츠검색</t>
  </si>
  <si>
    <t>공용특징정보 중 음원에 대한 정보 검색</t>
  </si>
  <si>
    <t>EQ</t>
  </si>
  <si>
    <t>음원콘텐츠상세정보</t>
  </si>
  <si>
    <t>공용특징정보 중 음원에 대한 상세 정보 조회</t>
  </si>
  <si>
    <t>영상콘텐츠검색</t>
  </si>
  <si>
    <t>공용특징정보 중 영상에 대한 정보 검색</t>
  </si>
  <si>
    <t>영상콘텐츠상세정보</t>
  </si>
  <si>
    <t>공용특징정보 중 영상에 대한 상세 정보 조회</t>
  </si>
  <si>
    <t>권리자목록</t>
  </si>
  <si>
    <t>공용특징정보 DB 구축 서비스를 사용하고 있는 권리자 정보 목록</t>
  </si>
  <si>
    <t>권리자등록</t>
  </si>
  <si>
    <t>공용특징정보 DB 구축 서비스를 사용하기 위한 권리자 정보 신규 등록</t>
  </si>
  <si>
    <t>권리자수정</t>
  </si>
  <si>
    <t>공용특징정보 DB 구축 서비스를 사용하는 권리자에 대한 정보 수정</t>
  </si>
  <si>
    <t>권리자삭제</t>
  </si>
  <si>
    <t>공용특징정보 DB 구축 서비스를 사용하는 권리자에 대한 정보 삭제</t>
  </si>
  <si>
    <t>기술업체목록</t>
  </si>
  <si>
    <t>공용특징정보 DB 구축 서비스를 위해 권리자 서버에 설치되는 필터링 모듈을 제공하는 기술업체 목록</t>
  </si>
  <si>
    <t>기술업체상세정보조회</t>
  </si>
  <si>
    <t>공용특징정보 DB 구축 서비스를 위해 권리자 서버에 설치되는 필터링 모듈을 제공하는 기술업체의 상세 정보 조회 및 수정</t>
  </si>
  <si>
    <t>기술업체모듈등록</t>
  </si>
  <si>
    <t>공용특징정보 서비스 기술업체의 모듈을 등록</t>
  </si>
  <si>
    <t>기술업체등록</t>
  </si>
  <si>
    <t>공용특징정보 서비스 기술업체의 정보를 등록</t>
  </si>
  <si>
    <t>기술업체수정</t>
  </si>
  <si>
    <t>공용특징정보 서비스 기술업체의 정보를 수정</t>
  </si>
  <si>
    <t>기술업체삭제</t>
  </si>
  <si>
    <t>공용특징정보 서비스 기술업체의 정보를 삭제</t>
  </si>
  <si>
    <t>특징점추출내역조회</t>
  </si>
  <si>
    <t>콘텐츠별 기술업체의 특징정보 추출 현황 조회</t>
  </si>
  <si>
    <t>특징점메타정보조회</t>
  </si>
  <si>
    <t>콘텐츠에 대한 메타정보를 조회</t>
  </si>
  <si>
    <t>필터링업체FTP전송처리</t>
  </si>
  <si>
    <t>특징정보가 필터링 기술업체에 FTP로 전송된 현황</t>
  </si>
  <si>
    <t>특징점DB사용신청목록조회</t>
  </si>
  <si>
    <t>공용특징정보 DB 구축 서비스 신청 현황</t>
  </si>
  <si>
    <t>특징점DB사용신청상세조회</t>
  </si>
  <si>
    <t>공용특징정보 DB 구축 서비스 신청 상세 내역 조회 및 수정</t>
  </si>
  <si>
    <t>특징점DB사용내역변경</t>
  </si>
  <si>
    <t>공용특징정보 DB 구축 서비스 신청 상세 내역 변경 처리</t>
  </si>
  <si>
    <t>년도별특징점DB구축현황조회</t>
  </si>
  <si>
    <t>년도별 특징점 DB 구축 현황 (챠트)</t>
  </si>
  <si>
    <t>월별별특징점DB구축현황조회</t>
  </si>
  <si>
    <t>월별 특징점 DB 구축 현황 (챠트)</t>
  </si>
  <si>
    <t>일자별특징점DB구축현황조회</t>
  </si>
  <si>
    <t>일자별 특징점 DB 구축 현황 (챠트)</t>
  </si>
  <si>
    <t>년도별특징점DB추출현황조회</t>
  </si>
  <si>
    <t>년도별 특징점 DB 추출 현황 (챠트)</t>
  </si>
  <si>
    <t>월별별특징점DB추출현황조회</t>
  </si>
  <si>
    <t>월별 특징점 DB 추출 현황 (챠트)</t>
  </si>
  <si>
    <t>일자별특징점DB추출현황조회</t>
  </si>
  <si>
    <t>일자별 특징점 DB 추출 현황 (챠트)</t>
  </si>
  <si>
    <t>년도별접속통계조회</t>
  </si>
  <si>
    <t>년도별 방문자 접속 통계 (챠트)</t>
  </si>
  <si>
    <t>월별접속통계조회</t>
  </si>
  <si>
    <t>월별 방문자 접속 통계 (챠트)</t>
  </si>
  <si>
    <t>일자별접속통계조회</t>
  </si>
  <si>
    <t>일별 방문자 접속 통계 (챠트)</t>
  </si>
  <si>
    <t>필터링성능평가</t>
  </si>
  <si>
    <t>필터링성능평가신청내역조회</t>
  </si>
  <si>
    <t>필터링기술 성능평가 신청 내역 조회</t>
  </si>
  <si>
    <t>필터링성능평가신청내역상세조회</t>
  </si>
  <si>
    <t>필터링기술 성능평가 신청 내역 상세 조회</t>
  </si>
  <si>
    <t>필터링성능평가신청접수비밀번호변경</t>
  </si>
  <si>
    <t>필터링기술 성능평가 신청시의 비밀번호를 초기화</t>
  </si>
  <si>
    <t>필터링성능평가신청승인처리</t>
  </si>
  <si>
    <t>필터링기술 성능평가 신청에 대한 승인 처리</t>
  </si>
  <si>
    <t>필터링성능평가신청내역삭제</t>
  </si>
  <si>
    <t>필터링기술 성능평가 신청에 대한 삭제 처리</t>
  </si>
  <si>
    <t>필터링성능평가진행내역조회</t>
  </si>
  <si>
    <t>필터링기술 성능평가 신청에서 발급까지의 소요 기간에 대한 현황</t>
  </si>
  <si>
    <t>필터링성능평가통계조회</t>
  </si>
  <si>
    <t>필터링 성능평가 신청별 콘텐츠 유형별 발급 현황</t>
  </si>
  <si>
    <t>필터링변형항목등록</t>
  </si>
  <si>
    <t>필터링성능평가 강인성 변형 항목 사용 여부 관리</t>
  </si>
  <si>
    <t>필터링성능평가시나리오조회</t>
  </si>
  <si>
    <t>필터링 성능평가를 위한 시나리오 현황 조회</t>
  </si>
  <si>
    <t>필터링성능평가시나리오등록</t>
  </si>
  <si>
    <t>필터링 성능평가를 위한 시나리오 등록</t>
  </si>
  <si>
    <t>수정</t>
  </si>
  <si>
    <t>상</t>
  </si>
  <si>
    <t>필터링성능평가시나리오수정</t>
  </si>
  <si>
    <t>필터링 성능평가를 위한 시나리오 수정</t>
  </si>
  <si>
    <t>필터링성능평가시나리오삭제</t>
  </si>
  <si>
    <t>필터링 성능평가 시나리오 삭제</t>
  </si>
  <si>
    <t>필터링모듈규격검사현황조회</t>
  </si>
  <si>
    <t>필터링 성능평가 신청시 모듈 규격을 검사한 현황</t>
  </si>
  <si>
    <t>필터링모듈규격오류조회</t>
  </si>
  <si>
    <t>필터링 성능평가 신청시 모듈 규격 오류 조회</t>
  </si>
  <si>
    <t>필터링업체별평가항목조회</t>
  </si>
  <si>
    <t>필터링 성능평가 수행을 위한 업체별 강인성 항목에 대한 사용 여부 관리</t>
  </si>
  <si>
    <t>필터링업체별평가항목변경</t>
  </si>
  <si>
    <t>필터링 성능평가 수행을 위한 업체별 강인성 항목에 대한 사용 여부 저장 처리</t>
  </si>
  <si>
    <t>웹기반 성능평가 수행 등록</t>
  </si>
  <si>
    <t>웹기반 필터링 기술 성능평가를 수행하기 위한 메인 화면</t>
  </si>
  <si>
    <t>신규</t>
  </si>
  <si>
    <t>웹기반 성능평가 강인성 항목 설정</t>
  </si>
  <si>
    <t>웹기반 필터링 기술 성능평가를 수행하기 강인성 세부 항목 설정 팝업</t>
  </si>
  <si>
    <t>웹기반 필터링 기술 성능평가 수행 등록</t>
  </si>
  <si>
    <t>웹기반 성능평가 모니터링 조회</t>
  </si>
  <si>
    <t>웹기반 필터링 기술 성능평가 수행 현황 모니터링</t>
  </si>
  <si>
    <t>필터링성능평가로그정보조회</t>
  </si>
  <si>
    <t>필터링성능평가 결과 DB에 저장된 로그의 내용에 대한 간략 조회</t>
  </si>
  <si>
    <t>필터링추출로그내용조회</t>
  </si>
  <si>
    <t>필터링 성능평가 특징정보 추출에 대한 로그 정보를 상세히 조회</t>
  </si>
  <si>
    <t>필터링인식로그내용조회</t>
  </si>
  <si>
    <t>필터링 성능평가 강인성 평가 결과에 대한 로그 정보를 상세히 조회</t>
  </si>
  <si>
    <t>필터링부분매칭로그내용조회</t>
  </si>
  <si>
    <t>필터링 성능평가 부분매칭 평가 결과에 대한 로그 정보를 상세히 조회</t>
  </si>
  <si>
    <t>필터링성능평가모니터링조회</t>
  </si>
  <si>
    <t>필터링 성능평가 진행 현황에 대해 평가 항목별로 수행일정 및 소요시간을 조회</t>
  </si>
  <si>
    <t>필터링강인성항목그룹별결과조회</t>
  </si>
  <si>
    <t>필터링 성능평가 강인성 항목에 대한 그룹별 인식 결과를 그래프와 함께 조회 (챠트)</t>
  </si>
  <si>
    <t>필터링강인성평가세부결과조회</t>
  </si>
  <si>
    <t>필터링 성능평가 강인성 항목에 대한 인식 결과를 그래프와 함께 조회 (챠트)</t>
  </si>
  <si>
    <t>필터링장르별강인성성능평가결과조회</t>
  </si>
  <si>
    <t>필터링 성능평가 강인성 항목에 대한 장르별 인식 결과를 그래프와 함께 조회 (챠트)</t>
  </si>
  <si>
    <t>필터링일관성성능평가결과조회</t>
  </si>
  <si>
    <t>필터링 성능평가 추출의 일관성 및 인식의 일관성에 대한 결과를 표 및 챠트로 조회 (챠트)</t>
  </si>
  <si>
    <t>필터링시스템효율성결과그래프조회</t>
  </si>
  <si>
    <t>각각의 평가 항목별 CPU및 메모리에 대한 사용률을 챠트로 조회 (챠트)</t>
  </si>
  <si>
    <t>필터링시스템효율성결과조회</t>
  </si>
  <si>
    <t>필터링 성능평가에 대한 추출 및 인식 평가시 사용된 리소스에 대해 빈도수 별로 표와 챠트로 조회 (챠트)</t>
  </si>
  <si>
    <t>필터링특징정보량및속도결과조회</t>
  </si>
  <si>
    <t>필터링 성능평가에 대한 특징정보 (평균)크기 및 인식시 소요된 시간정보에 대해 조회 (챠트)</t>
  </si>
  <si>
    <t>필터링부분매칭평가결과조회</t>
  </si>
  <si>
    <t>필터링 성능평가에 대한 부분매칭 결과를 부분인식과 전체인식으로 나누어 표 및 챠트로 조회 (챠트)</t>
  </si>
  <si>
    <t>필터링인식정보량평가결과조회</t>
  </si>
  <si>
    <t>필터링 성능평가에 대한 인식정보량 평가 결과를 표 및 챠트로 조회 (챠트)</t>
  </si>
  <si>
    <t>필터링성능평가종합결과조회</t>
  </si>
  <si>
    <t>필터링 성능평가 결과에 대한 종합 결과 보고서를 조회 (챠트)</t>
  </si>
  <si>
    <t>필터링성능평가종합결과(통합보고서)</t>
  </si>
  <si>
    <t>필터링성능평가결과조회</t>
  </si>
  <si>
    <t>필터링기술 성능평가 결과를 조회</t>
  </si>
  <si>
    <t>필터링성능평가결과등록</t>
  </si>
  <si>
    <t>필터링기술 성능평가 결과를 등록</t>
  </si>
  <si>
    <t>오디오데이타셋검색</t>
  </si>
  <si>
    <t>오디오 데이타셋에 대한 검색</t>
  </si>
  <si>
    <t>중</t>
  </si>
  <si>
    <t>오디오데이타셋상세정보조회</t>
  </si>
  <si>
    <t>오디오 데이타셋 상세 정보 조회</t>
  </si>
  <si>
    <t>비디오데이타셋검색</t>
  </si>
  <si>
    <t>비디오 데이타셋에 대한 검색</t>
  </si>
  <si>
    <t>비디오데이타셋상세정보조회</t>
  </si>
  <si>
    <t>비디오 데이타셋 상세 정보 조회</t>
  </si>
  <si>
    <t>이미지데이타셋검색</t>
  </si>
  <si>
    <t>이미지 데이타셋에 대한 검색</t>
  </si>
  <si>
    <t>이미지데이타셋상세정보조회</t>
  </si>
  <si>
    <t>이미지 데이터셋 상세 정보 조회</t>
  </si>
  <si>
    <t>모바일앱데이타셋검색</t>
  </si>
  <si>
    <t>모바일앱 데이타셋에 대한 검색</t>
  </si>
  <si>
    <t>모바일앱데이타셋상세정보조회</t>
  </si>
  <si>
    <t>모바일앱 데이터셋 상세 정보 조회</t>
  </si>
  <si>
    <t>데이타셋엑셀업로드</t>
  </si>
  <si>
    <t>오디오 및 비디오에 대한 수동 데이타셋 업로드</t>
  </si>
  <si>
    <t>데이타셋통계조회</t>
  </si>
  <si>
    <t>년도별 데이타셋 구축 현황 통계 (챠트)</t>
  </si>
  <si>
    <t>필터링성능평가년별통계조회</t>
  </si>
  <si>
    <t>성능평가년별통계 (챠트)</t>
  </si>
  <si>
    <t>필터링성능평가로그등록</t>
  </si>
  <si>
    <t>성능평가로그등록</t>
  </si>
  <si>
    <t>필터링성능평가로그정보분석</t>
  </si>
  <si>
    <t>성능평가로그정보분석</t>
  </si>
  <si>
    <t>필터링성능평가일별통계조회</t>
  </si>
  <si>
    <t>성능평가일별통계 (챠트)</t>
  </si>
  <si>
    <t>모바일웹하드성능평가</t>
  </si>
  <si>
    <t>리눅스 AGentPC 조회</t>
  </si>
  <si>
    <t>리눅스기반 필터링 성능평가를 위한 Agent(서버, PC) 목록을 조회</t>
  </si>
  <si>
    <t>리눅스 AGentPC 등록</t>
  </si>
  <si>
    <t>리눅스기반 필터링 성능평가를 위한 Agent(서버, PC)를 등록</t>
  </si>
  <si>
    <t>리눅스 AGentPC 변경</t>
  </si>
  <si>
    <t>리눅스기반 필터링 성능평가를 위한 Agent(서버, PC)의 등록된 내용을 조회 및 수정</t>
  </si>
  <si>
    <t>리눅스 AGentPC 삭제</t>
  </si>
  <si>
    <t>리눅스기반 필터링 성능평가를 위한 Agent(서버, PC)의 등록된 내용을 삭제</t>
  </si>
  <si>
    <t>리눅스용 성능평가 수행 등록</t>
  </si>
  <si>
    <t>리눅스기반 필터링 성능평가 수행을 위한 평가 대상 항목 및 모듈, 평가 시간등을 등록 처리</t>
  </si>
  <si>
    <t>리눅스용 강인성 항목 설정 등록</t>
  </si>
  <si>
    <t>리눅스기반 필터링 성능평가 수행을 위한 강인성 세부 파라메터를 지정</t>
  </si>
  <si>
    <t>리눅스용 성능평가 모니터링 조회</t>
  </si>
  <si>
    <t>리눅스기반 필터링 성능평가 수행에 대한 예약 이력 및 실행 결과를 모니터링</t>
  </si>
  <si>
    <t>리눅스용 성능평가 실행 취소</t>
  </si>
  <si>
    <t>리눅스기반 필터링 성능평가 수행중에 있는 Agent의 실행을 취소 처리</t>
  </si>
  <si>
    <t>모바일웹하드성능평가신청내역조회</t>
  </si>
  <si>
    <t>모바일웹하드기술 성능평가 신청 내역 조회</t>
  </si>
  <si>
    <t>모바일웹하드성능평가신청내역상세조회</t>
  </si>
  <si>
    <t>모바일웹하드기술 성능평가 신청 내역 상세 조회</t>
  </si>
  <si>
    <t>모바일웹하드성능평가신청접수비밀번호변경</t>
  </si>
  <si>
    <t>모바일웹하드기술 성능평가 신청시의 비밀번호를 초기화</t>
  </si>
  <si>
    <t>모바일웹하드성능평가신청승인처리</t>
  </si>
  <si>
    <t>모바일웹하드기술 성능평가 신청에 대한 승인 처리</t>
  </si>
  <si>
    <t>모바일웹하드성능평가신청내역삭제</t>
  </si>
  <si>
    <t>모바일웹하드기술 성능평가 신청에 대한 삭제 처리</t>
  </si>
  <si>
    <t>모바일웹하드성능평가진행내역조회</t>
  </si>
  <si>
    <t>모바일웹하드기술 성능평가 신청에서 발급까지의 소요 기간에 대한 현황</t>
  </si>
  <si>
    <t>모바일웹하드성능평가통계조회</t>
  </si>
  <si>
    <t>모바일웹하드 성능평가 신청별 콘텐츠 유형별 발급 현황</t>
  </si>
  <si>
    <t>모바일웹하드변형항목등록</t>
  </si>
  <si>
    <t>모바일웹하드성능평가 강인성 변형 항목 사용 여부 관리</t>
  </si>
  <si>
    <t>모바일웹하드성능평가시나리오조회</t>
  </si>
  <si>
    <t>모바일웹하드 성능평가를 위한 시나리오 현황 조회</t>
  </si>
  <si>
    <t>모바일웹하드성능평가시나리오등록</t>
  </si>
  <si>
    <t>모바일웹하드 성능평가를 위한 시나리오 등록</t>
  </si>
  <si>
    <t>모바일웹하드성능평가시나리오수정</t>
  </si>
  <si>
    <t>모바일웹하드 성능평가를 위한 시나리오 수정</t>
  </si>
  <si>
    <t>모바일웹하드성능평가시나리오삭제</t>
  </si>
  <si>
    <t>모바일웹하드 성능평가 시나리오 삭제</t>
  </si>
  <si>
    <t>모바일웹하드모듈규격검사현황조회</t>
  </si>
  <si>
    <t>모바일웹하드 성능평가 신청시 모듈 규격을 검사한 현황</t>
  </si>
  <si>
    <t>모바일웹하드모듈규격오류조회</t>
  </si>
  <si>
    <t>모바일웹하드 성능평가 신청시 모듈 규격 오류 조회</t>
  </si>
  <si>
    <t>모바일웹하드업체별평가항목조회</t>
  </si>
  <si>
    <t>모바일웹하드 성능평가 수행을 위한 업체별 강인성 항목에 대한 사용 여부 관리</t>
  </si>
  <si>
    <t>모바일웹하드업체별평가항목변경</t>
  </si>
  <si>
    <t>모바일웹하드 성능평가 수행을 위한 업체별 강인성 항목에 대한 사용 여부 저장 처리</t>
  </si>
  <si>
    <t>모바일웹하드성능평가로그정보조회</t>
  </si>
  <si>
    <t>모바일웹하드성능평가 결과 DB에 저장된 로그의 내용에 대한 간략 조회</t>
  </si>
  <si>
    <t>모바일웹하드추출로그내용조회</t>
  </si>
  <si>
    <t>모바일웹하드 성능평가 특징정보 추출에 대한 로그 정보를 상세히 조회</t>
  </si>
  <si>
    <t>모바일웹하드인식로그내용조회</t>
  </si>
  <si>
    <t>모바일웹하드 성능평가 강인성 평가 결과에 대한 로그 정보를 상세히 조회</t>
  </si>
  <si>
    <t>모바일웹하드강인성항목그룹별결과조회</t>
  </si>
  <si>
    <t>모바일웹하드 성능평가 강인성 항목에 대한 그룹별 인식 결과를 그래프와 함께 조회 (챠트)</t>
  </si>
  <si>
    <t>모바일웹하드강인성평가세부결과조회</t>
  </si>
  <si>
    <t>모바일웹하드 성능평가 강인성 항목에 대한 인식 결과를 그래프와 함께 조회 (챠트)</t>
  </si>
  <si>
    <t>모바일웹하드장르별강인성성능평가결과조회</t>
  </si>
  <si>
    <t>모바일웹하드 성능평가 강인성 항목에 대한 장르별 인식 결과를 그래프와 함께 조회 (챠트)</t>
  </si>
  <si>
    <t>모바일웹하드일관성성능평가결과조회</t>
  </si>
  <si>
    <t>모바일웹하드 성능평가 추출의 일관성 및 인식의 일관성에 대한 결과를 표 및 챠트로 조회 (챠트)</t>
  </si>
  <si>
    <t>모바일웹하드시스템효율성결과그래프조회</t>
  </si>
  <si>
    <t>모바일웹하드시스템효율성결과조회</t>
  </si>
  <si>
    <t>모바일웹하드 성능평가에 대한 추출 및 인식 평가시 사용된 리소스에 대해 빈도수 별로 표와 챠트로 조회 (챠트)</t>
  </si>
  <si>
    <t>모바일웹하드부하테스트결과조회</t>
  </si>
  <si>
    <t>모바일웹하드 성능평가에 대한 부하테스트 결과를 조회 (챠트)</t>
  </si>
  <si>
    <t>모바일웹하드특징정보량및속도결과조회</t>
  </si>
  <si>
    <t>모바일웹하드 성능평가에 대한 특징정보 (평균)크기 및 인식시 소요된 시간정보에 대해 조회 (챠트)</t>
  </si>
  <si>
    <t>모바일웹하드부분매칭평가결과조회</t>
  </si>
  <si>
    <t>모바일웹하드 성능평가에 대한 부분매칭 결과를 부분인식과 전체인식으로 나누어 표 및 챠트로 조회 (챠트)</t>
  </si>
  <si>
    <t>모바일웹하드인식정보량평가결과조회</t>
  </si>
  <si>
    <t>모바일웹하드 성능평가에 대한 인식정보량 평가 결과를 표 및 챠트로 조회 (챠트)</t>
  </si>
  <si>
    <t>모바일웹하드성능평가종합결과조회</t>
  </si>
  <si>
    <t>모바일웹하드 성능평가 결과에 대한 종합 결과 보고서를 조회 (챠트)</t>
  </si>
  <si>
    <t>모바일웹하드성능평가종합결과(통합보고서)</t>
  </si>
  <si>
    <t>모바일웹하드성능평가결과조회</t>
  </si>
  <si>
    <t>모바일웹하드기술 성능평가 결과를 조회</t>
  </si>
  <si>
    <t>모바일웹하드성능평가결과등록</t>
  </si>
  <si>
    <t>모바일웹하드기술 성능평가 결과를 등록</t>
  </si>
  <si>
    <t>포렌식성능평가</t>
  </si>
  <si>
    <t>포렌식성능평가신청내역조회</t>
  </si>
  <si>
    <t>포렌식성능평가신청내역상세조회</t>
  </si>
  <si>
    <t>성능평가신청내역상세조회</t>
  </si>
  <si>
    <t>하</t>
  </si>
  <si>
    <t>포렌식성능평가신청접수비밀번호변경</t>
  </si>
  <si>
    <t>포렌식기술 성능평가 신청시의 비밀번호를 초기화</t>
  </si>
  <si>
    <t>포렌식성능평가신청승인처리</t>
  </si>
  <si>
    <t>포렌식기술 성능평가 신청에 대한 승인 처리</t>
  </si>
  <si>
    <t>포렌식성능평가신청내역삭제</t>
  </si>
  <si>
    <t>포렌식기술 성능평가 신청에 대한 삭제 처리</t>
  </si>
  <si>
    <t>포렌식성능평가진행내역조회</t>
  </si>
  <si>
    <t>포렌식기술 성능평가 신청에서 발급까지의 소요 기간에 대한 현황</t>
  </si>
  <si>
    <t>포렌식성능평가통계조회</t>
  </si>
  <si>
    <t>포렌식 성능평가 신청별 콘텐츠 유형별 발급 현황</t>
  </si>
  <si>
    <t>포렌식성능평가시나리오현황조회</t>
  </si>
  <si>
    <t>포렌식 성능평가를 위한 시나리오 현황 조회</t>
  </si>
  <si>
    <t>포렌식성능평가시나리오등록</t>
  </si>
  <si>
    <t>포렌식 성능평가를 위한 시나리오 등록</t>
  </si>
  <si>
    <t>포렌식성능평가시나리오수정</t>
  </si>
  <si>
    <t>포렌식 성능평가를 위한 시나리오 수정</t>
  </si>
  <si>
    <t>포렌식성능평가시나리오삭제</t>
  </si>
  <si>
    <t>포렌식 성능평가 시나리오 삭제</t>
  </si>
  <si>
    <t>포렌식모듈규격검사현황조회</t>
  </si>
  <si>
    <t>포렌식 성능평가 신청시 모듈 규격을 검사한 현황</t>
  </si>
  <si>
    <t>포렌식모듈규격오류조회</t>
  </si>
  <si>
    <t>포렌식 성능평가 신청시 모듈 규격 오류 조회</t>
  </si>
  <si>
    <t>포렌식업체별평가항목조회</t>
  </si>
  <si>
    <t>포렌식 성능평가 수행을 위한 업체별 강인성 항목에 대한 사용 여부 관리</t>
  </si>
  <si>
    <t>포렌식업체별평가항목변경</t>
  </si>
  <si>
    <t>포렌식 성능평가 수행을 위한 업체별 강인성 항목에 대한 사용 여부 저장 처리</t>
  </si>
  <si>
    <t>포렌식삽입로그조회</t>
  </si>
  <si>
    <t>포렌식 성능평가 수행시의 마크 삽입시의 결과 로그에 대해 조회</t>
  </si>
  <si>
    <t>포렌식강인성로그조회</t>
  </si>
  <si>
    <t>포렌식 성능평가 수행시의 강인성 결과 로그에 대해 조회</t>
  </si>
  <si>
    <t>포렌식검출로그조회</t>
  </si>
  <si>
    <t>포렌식 성능평가 수행시의 마크 검출시의 로그에 대해 조회</t>
  </si>
  <si>
    <t>포렌식성능평가모니터링조회</t>
  </si>
  <si>
    <t>포렌식 성능평가 수행시 평가 항목별 수행 일정 및 소요 시간에 대해 조회</t>
  </si>
  <si>
    <t>포렌식강인성항목그룹별결과조회</t>
  </si>
  <si>
    <t>포렌식 성능평가 강인성 항목에 대한 그룹별 인식 결과를 그래프와 함께 조회 (챠트)</t>
  </si>
  <si>
    <t>포렌식강인성평가세부결과조회</t>
  </si>
  <si>
    <t>포렌식 성능평가 강인성 항목에 대한 인식 결과를 그래프와 함께 조회 (챠트)</t>
  </si>
  <si>
    <t>포렌식장르별강인성성능평가결과조회</t>
  </si>
  <si>
    <t>포렌식 성능평가 강인성 항목에 대한 장르별 인식 결과를 그래프와 함께 조회 (챠트)</t>
  </si>
  <si>
    <t>포렌식일관성성능평가결과조회</t>
  </si>
  <si>
    <t>포렌식 성능평가 추출의 일관성 및 인식의 일관성에 대한 결과를 표 및 챠트로 조회 (챠트)</t>
  </si>
  <si>
    <t>포렌식시스템효율성결과그래프조회</t>
  </si>
  <si>
    <t>포렌식시스템효율성결과조회</t>
  </si>
  <si>
    <t>포렌식 성능평가에 대한 추출 및 인식 평가시 사용된 리소스에 대해 빈도수 별로 표와 챠트로 조회 (챠트)</t>
  </si>
  <si>
    <t>포렌식공모허용성평가결과조회</t>
  </si>
  <si>
    <t>포렌식 성능평가에 대한 공모 공격에 대한 결과를 챠트와 함께 조회 (챠트)</t>
  </si>
  <si>
    <t>포렌식비인지성상세결과조회</t>
  </si>
  <si>
    <t>포렌식 성능평가에 대한 콘텐츠별 비인지성 결과를 조회 (챠트)</t>
  </si>
  <si>
    <t>포렌식비인지성상세결과그래프조회</t>
  </si>
  <si>
    <t>포렌식 성능평가에 대한 콘텐츠별 비인지성 결과를 챠트로 조회</t>
  </si>
  <si>
    <t>포렌식기타성능평가결과조회</t>
  </si>
  <si>
    <t>포렌식 성능평가에 대한 삽입/검출속도 및 신뢰성에 대해 조회 (챠트)</t>
  </si>
  <si>
    <t>포렌식 성능평가 종합 결과 조회</t>
  </si>
  <si>
    <t>포렌식 성능평가 종합 결과 조회 (챠트)</t>
  </si>
  <si>
    <t>포렌식 성능평가 확인서 출력</t>
  </si>
  <si>
    <t>전자책DRM상호운용성</t>
  </si>
  <si>
    <t>전자책DRM상호운용성신청내역조회</t>
  </si>
  <si>
    <t>전자책 DRM 상호운용성 평가 신청 현황을 조회</t>
  </si>
  <si>
    <t>전자책DRM상호운용성신청내역상세조회</t>
  </si>
  <si>
    <t>전자책 DRM 상호운용성 평가 신청 내역을 상세히 조회</t>
  </si>
  <si>
    <t>전자책DRM상호운용성신청내역승인처리</t>
  </si>
  <si>
    <t>전자책 DRM 상호운용성 평가 신청 내역에 대해 승인처리</t>
  </si>
  <si>
    <t>전자책DRM상호운용성버전이력조회</t>
  </si>
  <si>
    <t>전자책 DRM 상호운용성 평가 버전이력목록</t>
  </si>
  <si>
    <t>삭제</t>
  </si>
  <si>
    <t>전자책DRM상호운용성상세버전등록</t>
  </si>
  <si>
    <t>전자책 DRM 상호운용성 평가 상세버전등록</t>
  </si>
  <si>
    <t>전자책DRM상호운용성성세버전삭제</t>
  </si>
  <si>
    <t>전자책 DRM 상호운용성 평가 성세버전삭제</t>
  </si>
  <si>
    <t>전자책DRM상호운용성성세버전수정</t>
  </si>
  <si>
    <t>전자책 DRM 상호운용성 평가 성세버전수정</t>
  </si>
  <si>
    <t>전자책DRM상호운용성진행내역조회</t>
  </si>
  <si>
    <t>전자책 DRM 상호운용성 평가 진행 사항을 조회</t>
  </si>
  <si>
    <t>전자책DRM상호운용성결과요약조회</t>
  </si>
  <si>
    <t>전자책 DRM 상호운용성 평가 결과 요약 보고서를 조회</t>
  </si>
  <si>
    <t>전자책DRM상호운용성결과상세조회</t>
  </si>
  <si>
    <t>전자책 DRM 상호운용성 평가 결과 상세 보고서를 조회</t>
  </si>
  <si>
    <t>전자책DRM상호운용성결과조회</t>
  </si>
  <si>
    <t>전자책 DRM 상호운용성 평가 결과를 조회</t>
  </si>
  <si>
    <t>전자책DRM상호운용성결과등록</t>
  </si>
  <si>
    <t>전자책 DRM 상호운용성 평가 결과를 등록</t>
  </si>
  <si>
    <t>자가진단기사용현황 조회</t>
  </si>
  <si>
    <t>전자책 DRM 상호운용성 자가 진단기 사용 현황을 조회</t>
  </si>
  <si>
    <t>기술적용점검</t>
  </si>
  <si>
    <t>필드평가신청현황조회</t>
  </si>
  <si>
    <t>공정이용포털을 통한 필드평가 신청 내역을 조회</t>
  </si>
  <si>
    <t>필드평가신청내역상세조회</t>
  </si>
  <si>
    <t>필드평가 신청 상세 내역을 조회</t>
  </si>
  <si>
    <t>필드평가신청OSP정보조회</t>
  </si>
  <si>
    <t>필드평가 신청 대상 OSP 목록을 조회</t>
  </si>
  <si>
    <t>필드평가신청권리정보조회</t>
  </si>
  <si>
    <t>필드평가 신청 대상 OSP별 권리정보를 조회</t>
  </si>
  <si>
    <t>AgentPC조회</t>
  </si>
  <si>
    <t>필드평가 수행을 위한 AgentPC를 관리</t>
  </si>
  <si>
    <t>AgentPC등록</t>
  </si>
  <si>
    <t>필드평가 수행을 위한 AgentPC를 등록</t>
  </si>
  <si>
    <t>AgentPC삭제</t>
  </si>
  <si>
    <t>필드평가 수행을 위한 AgentPC를 삭제</t>
  </si>
  <si>
    <t>AgentPC수정</t>
  </si>
  <si>
    <t>필드평가 수행을 위한 AgentPC를 수정</t>
  </si>
  <si>
    <t>평가회차조회</t>
  </si>
  <si>
    <t>등록된 평가 회차 정보를 조회</t>
  </si>
  <si>
    <t>평가회차등록</t>
  </si>
  <si>
    <t>평가 회차를 신규로 등록</t>
  </si>
  <si>
    <t>평가회차OSP등록</t>
  </si>
  <si>
    <t>평가 회차 OSP 정보를 등록</t>
  </si>
  <si>
    <t>평가회차OSP삭제</t>
  </si>
  <si>
    <t>평가 회차 OSP 정보를 삭제</t>
  </si>
  <si>
    <t>평가업체조회</t>
  </si>
  <si>
    <t>평가 수행을 위한 Agent별 대상 OSP를 등록 관리</t>
  </si>
  <si>
    <t>평가업체등록</t>
  </si>
  <si>
    <t>평가 수행을 위한 OSP별로 Agent를 등록 처리</t>
  </si>
  <si>
    <t>평가콘텐츠조회</t>
  </si>
  <si>
    <t>필드평가 대상 콘텐츠를 등록 관리</t>
  </si>
  <si>
    <t>평가콘텐츠목록등록</t>
  </si>
  <si>
    <t>필드평가 대상 콘텐츠를 저장</t>
  </si>
  <si>
    <t>평가콘텐츠목록생성</t>
  </si>
  <si>
    <t>강인성 평가에서 통과한 대상 콘텐츠 100개의 목록 가져오기</t>
  </si>
  <si>
    <t>권리정보조회</t>
  </si>
  <si>
    <t>필드평가 대상 권리정보 목록을 조회</t>
  </si>
  <si>
    <t>업로드결과조회</t>
  </si>
  <si>
    <t>필드평가 결과 업로드 내역을 조회</t>
  </si>
  <si>
    <t>로그분석결과조회</t>
  </si>
  <si>
    <t>업로드된 결과에 대해 분석을 수행</t>
  </si>
  <si>
    <t>로그결과업로드</t>
  </si>
  <si>
    <t>로그를 업로드하여 그 결과를 분석</t>
  </si>
  <si>
    <t>평가총평관등록</t>
  </si>
  <si>
    <t>필드평가 결과에 대해 간략히 요약</t>
  </si>
  <si>
    <t>평가결과조회</t>
  </si>
  <si>
    <t>OSP별 필드평가 결과를 조회</t>
  </si>
  <si>
    <t>평가결과(OSP별상세) 조회</t>
  </si>
  <si>
    <t>전제 OSP에 대한 결과를 간략히 조회</t>
  </si>
  <si>
    <t>평가결과(OSP별인식) 조회</t>
  </si>
  <si>
    <t>전제 OSP에 대한 인식 결과를 조회</t>
  </si>
  <si>
    <t>평가결과(OSP권리정보) 조회</t>
  </si>
  <si>
    <t>OSP별 콘텐츠에 대한 인식 결과를 조회</t>
  </si>
  <si>
    <t>OSP정보조회</t>
  </si>
  <si>
    <t>OSP별 필드평거 수행 증정에 대해 조회</t>
  </si>
  <si>
    <t>관리기능</t>
  </si>
  <si>
    <t>메일링발송현황조회</t>
  </si>
  <si>
    <t>메일링발송현황</t>
  </si>
  <si>
    <t>메일발송내용조회</t>
  </si>
  <si>
    <t>메일링등록</t>
  </si>
  <si>
    <t>메일링삭제</t>
  </si>
  <si>
    <t>메일링수정</t>
  </si>
  <si>
    <t>메일링대상자조회</t>
  </si>
  <si>
    <t>메일링대상자관리</t>
  </si>
  <si>
    <t>메일링대상자엑셀등록</t>
  </si>
  <si>
    <t>메일링대상자엑셀업로드</t>
  </si>
  <si>
    <t>메일링대상자등록</t>
  </si>
  <si>
    <t>메일링대상자삭제</t>
  </si>
  <si>
    <t>메일링대상자수정</t>
  </si>
  <si>
    <t>메일현황조회</t>
  </si>
  <si>
    <t>메일현황관리</t>
  </si>
  <si>
    <t>메일발송상세내역조회</t>
  </si>
  <si>
    <t>메일발송상세내역</t>
  </si>
  <si>
    <t>메일링환경설정</t>
  </si>
  <si>
    <t>관리자조회</t>
  </si>
  <si>
    <t>관리자목록</t>
  </si>
  <si>
    <t>관리자등록</t>
  </si>
  <si>
    <t>관리자수정</t>
  </si>
  <si>
    <t>관리자삭제</t>
  </si>
  <si>
    <t>코드조회</t>
  </si>
  <si>
    <t>코드관리</t>
  </si>
  <si>
    <t>코드등록</t>
  </si>
  <si>
    <t>코드수정</t>
  </si>
  <si>
    <t>코드삭제</t>
  </si>
  <si>
    <t>장애정보조회</t>
  </si>
  <si>
    <t>장애정보관리</t>
  </si>
  <si>
    <t>장애정보등록</t>
  </si>
  <si>
    <t>장애정보수정</t>
  </si>
  <si>
    <t>장애정보삭제</t>
  </si>
  <si>
    <t>OSP신청현황조회</t>
  </si>
  <si>
    <t>OSP신청현황</t>
  </si>
  <si>
    <t>OSP신청내역조회</t>
  </si>
  <si>
    <t>OSP신청처리</t>
  </si>
  <si>
    <t>OSP조회</t>
  </si>
  <si>
    <t>OSP관리</t>
  </si>
  <si>
    <t>OSP엑셀업로드</t>
  </si>
  <si>
    <t>OSP등록</t>
  </si>
  <si>
    <t>OSP수정</t>
  </si>
  <si>
    <t>OSP삭제</t>
  </si>
  <si>
    <t>공지사항조회</t>
  </si>
  <si>
    <t>공지사항</t>
  </si>
  <si>
    <t>공지사항등록</t>
  </si>
  <si>
    <t>공지사항삭제</t>
  </si>
  <si>
    <t>공지사항수정</t>
  </si>
  <si>
    <t>기술동향조회</t>
  </si>
  <si>
    <t>기술동향</t>
  </si>
  <si>
    <t>기술동향등록</t>
  </si>
  <si>
    <t>기술동향삭제</t>
  </si>
  <si>
    <t>기술동향수정</t>
  </si>
  <si>
    <t>기술적조치관련법령조회</t>
  </si>
  <si>
    <t>기술적조치관련법령</t>
  </si>
  <si>
    <t>기술적조치관련법령등록</t>
  </si>
  <si>
    <t>기술적조치관련법령삭제</t>
  </si>
  <si>
    <t>기술적조치관련법령수정</t>
  </si>
  <si>
    <t>용어사전조회</t>
  </si>
  <si>
    <t>용어사전관리</t>
  </si>
  <si>
    <t>용어사전등록</t>
  </si>
  <si>
    <t>용어사전삭제</t>
  </si>
  <si>
    <t>용어사전수정</t>
  </si>
  <si>
    <t>자료실조회</t>
  </si>
  <si>
    <t>자료실</t>
  </si>
  <si>
    <t>자료실등록</t>
  </si>
  <si>
    <t>자료실삭제</t>
  </si>
  <si>
    <t>자료실수정</t>
  </si>
  <si>
    <t>저작권기술R&amp;D조회</t>
  </si>
  <si>
    <t>저작권기술R&amp;D</t>
  </si>
  <si>
    <t>저작권기술R&amp;D등록</t>
  </si>
  <si>
    <t>저작권기술R&amp;D삭제</t>
  </si>
  <si>
    <t>저작권기술R&amp;D수정</t>
  </si>
  <si>
    <t>수요조사</t>
  </si>
  <si>
    <t>수요조사 접수 설정 조회</t>
  </si>
  <si>
    <t>수요조사 접수 설정</t>
  </si>
  <si>
    <t>수요조사 접수 현황 조회</t>
  </si>
  <si>
    <t>수요조사 접수 현황</t>
  </si>
  <si>
    <t>수요조사 접수 상세 내역 조회</t>
  </si>
  <si>
    <t>수요조사 접수 상세 내역</t>
  </si>
  <si>
    <t>수요조사 선정 처리</t>
  </si>
  <si>
    <t>회원관리</t>
  </si>
  <si>
    <t>기술적조치권리자목록</t>
  </si>
  <si>
    <t>기술적조치권리자정보조회</t>
  </si>
  <si>
    <t>기술적조치권리자정보삭제</t>
  </si>
  <si>
    <t>기술적조치권리자정보승인처리</t>
  </si>
  <si>
    <t>기술적조치OSP목록조회</t>
  </si>
  <si>
    <t>기술적조치OSP목록</t>
  </si>
  <si>
    <t>기술적조치OSP신청내역삭제</t>
  </si>
  <si>
    <t>기술적조치OSP신청내역승인처리</t>
  </si>
  <si>
    <t>기술적조치OSP신청내역조회</t>
  </si>
  <si>
    <t>기술적조치기술업체조회</t>
  </si>
  <si>
    <t>기술적조치기술업체신청내역삭제</t>
  </si>
  <si>
    <t>기술업체신청내역삭제</t>
  </si>
  <si>
    <t>기술적조치기술업체신청내역승인처리</t>
  </si>
  <si>
    <t>기술업체신청내역승인처리</t>
  </si>
  <si>
    <t>기술적조치기술업체신청내역조회</t>
  </si>
  <si>
    <t>기술업체신청내역조회</t>
  </si>
  <si>
    <t>기술적조치</t>
  </si>
  <si>
    <t>기술적조치기술적조치신청내역조회</t>
  </si>
  <si>
    <t>기술적조치신청내역</t>
  </si>
  <si>
    <t>기술적조치기술적조치신청osp목록조회</t>
  </si>
  <si>
    <t>기술적조치기술적조치신청osp목록</t>
  </si>
  <si>
    <t>기술적조치기술적조치신청내역상세조회</t>
  </si>
  <si>
    <t>기술적조치신청내역상세조회</t>
  </si>
  <si>
    <t>기술적조치기술적조치신청내역삭제</t>
  </si>
  <si>
    <t>기술적조치월별통계조회</t>
  </si>
  <si>
    <t>월별통계 (챠트)</t>
  </si>
  <si>
    <t>기술적조치일별통계조회</t>
  </si>
  <si>
    <t>일별통계 (챠트)</t>
  </si>
  <si>
    <t>기술적조치년도별통계조회</t>
  </si>
  <si>
    <t>년도별통계 (챠트)</t>
  </si>
  <si>
    <t>기술적조치권리자일별통계조회</t>
  </si>
  <si>
    <t>권리자일별통계 (챠트)</t>
  </si>
  <si>
    <t>기술적조치권리자월별통계조회</t>
  </si>
  <si>
    <t>권리자월별통계 (챠트)</t>
  </si>
  <si>
    <t>기술적조치권리자년도별통계조회</t>
  </si>
  <si>
    <t>권리자년도별통계 (챠트)</t>
  </si>
  <si>
    <t>기술적조치장르일별통계조회</t>
  </si>
  <si>
    <t>장르일별통계 (챠트)</t>
  </si>
  <si>
    <t>기술적조치장르월별통계조회</t>
  </si>
  <si>
    <t>장르월별통계 (챠트)</t>
  </si>
  <si>
    <t>기술적조치장르년도별통계조회</t>
  </si>
  <si>
    <t>장르년도별통계 (챠트)</t>
  </si>
  <si>
    <t>통합추출기버전조회</t>
  </si>
  <si>
    <t>통합추출기버전관리</t>
  </si>
  <si>
    <t>통합추출기버전등록</t>
  </si>
  <si>
    <t>통합추출기버전삭제</t>
  </si>
  <si>
    <t>저작권보호포털</t>
  </si>
  <si>
    <t>저작권기술홈페이지</t>
  </si>
  <si>
    <t>저작권기술_홈페이지메인</t>
  </si>
  <si>
    <t>저작권기술 홈페이지메인</t>
  </si>
  <si>
    <t>저작권기술_저작권기술 개요</t>
  </si>
  <si>
    <t>저작권기술 저작권기술 개요</t>
  </si>
  <si>
    <t>저작권기술_저작권기술의 종류</t>
  </si>
  <si>
    <t>저작권기술 저작권기술의 종류</t>
  </si>
  <si>
    <t>저작권기술_저작권기술에 대한 전망 조회</t>
  </si>
  <si>
    <t>저작권기술 저작권기술에 대한 전망</t>
  </si>
  <si>
    <t>저작권기술_저작권 R&amp;D 과제 현황 조회</t>
  </si>
  <si>
    <t>저작권기술 저작권 R&amp;D 과제 현황</t>
  </si>
  <si>
    <t>서비스신청_기술적 조치 신청 메인</t>
  </si>
  <si>
    <t>서비스신청 기술적 조치 신청 메인</t>
  </si>
  <si>
    <t>저작권기술R&amp;D_개요 조회</t>
  </si>
  <si>
    <t>저작권기술R&amp;D_개요</t>
  </si>
  <si>
    <t>저작권기술R&amp;D_과제현황 조회</t>
  </si>
  <si>
    <t>저작권기술R&amp;D_과제현황</t>
  </si>
  <si>
    <t>저작권기술R&amp;D_과제현황상세 조회</t>
  </si>
  <si>
    <t>저작권기술R&amp;D_과제현황상세</t>
  </si>
  <si>
    <t>저작권기술R&amp;D_우수대표성과 조회</t>
  </si>
  <si>
    <t>저작권기술R&amp;D_우수대표성과</t>
  </si>
  <si>
    <t>저작권기술R&amp;D_수요조사 현황 조회</t>
  </si>
  <si>
    <t>저작권기술R&amp;D_수요조사등록현황</t>
  </si>
  <si>
    <t>저작권기술R&amp;D_수요조사등록</t>
  </si>
  <si>
    <t>저작권기술R&amp;D_수요조사수정</t>
  </si>
  <si>
    <t>저작권기술R&amp;D_수요조사삭제</t>
  </si>
  <si>
    <t>서비스신청_특수한유형의OSP기술적조치신청</t>
  </si>
  <si>
    <t>서비스신청 특수한유형의OSP기술적조치신청</t>
  </si>
  <si>
    <t>서비스신청_기술적조치신청목록(메일미발송)조회</t>
  </si>
  <si>
    <t>서비스신청 기술적조치신청목록(메일미발송)</t>
  </si>
  <si>
    <t>서비스신청_기술적조치신청목록(차단요청목록)조회</t>
  </si>
  <si>
    <t>서비스신청 기술적조치신청목록(차단요청목록)</t>
  </si>
  <si>
    <t>서비스신청_기술적조치신청목록(차단요청목록상세)조회</t>
  </si>
  <si>
    <t>서비스신청 기술적조치신청목록(차단요청목록상세)</t>
  </si>
  <si>
    <t>서비스신청_기술적조치신청목록(조치요청서조회로그)조회</t>
  </si>
  <si>
    <t>서비스신청 기술적조치신청목록(조치요청서조회로그)</t>
  </si>
  <si>
    <t>서비스신청_기술적조치콘텐츠목록조회</t>
  </si>
  <si>
    <t>서비스신청 기술적조치콘텐츠목록</t>
  </si>
  <si>
    <t>서비스신청_기술적조치콘텐츠정보조회</t>
  </si>
  <si>
    <t>서비스신청 기술적조치콘텐츠정보조회</t>
  </si>
  <si>
    <t>서비스신청_기술평가신청</t>
  </si>
  <si>
    <t>서비스신청 기술평가신청</t>
  </si>
  <si>
    <t>서비스신청_신청내역조회</t>
  </si>
  <si>
    <t>서비스신청 신청내역조회</t>
  </si>
  <si>
    <t>서비스신청_신청내역확인</t>
  </si>
  <si>
    <t>서비스신청 신청내역확인</t>
  </si>
  <si>
    <t>서비스신청_신청내역수정</t>
  </si>
  <si>
    <t>서비스신청 신청내역수정</t>
  </si>
  <si>
    <t>서비스신청_기술적용점검신청</t>
  </si>
  <si>
    <t>서비스신청 기술적용점검신청</t>
  </si>
  <si>
    <t>서비스신청_기술적용점검OSP업로드</t>
  </si>
  <si>
    <t>서비스신청 기술적용점검OSP업로드</t>
  </si>
  <si>
    <t>서비스신청_기술적용점검권리정보업로드</t>
  </si>
  <si>
    <t>서비스신청 기술적용점검권리정보업로드</t>
  </si>
  <si>
    <t>서비스신청_포렌식마크성능평가신청</t>
  </si>
  <si>
    <t>서비스신청 포렌식마크성능평가신청</t>
  </si>
  <si>
    <t>서비스신청_포렌식마크신청내역확인</t>
  </si>
  <si>
    <t>서비스신청 포렌식마크 신청내역확인</t>
  </si>
  <si>
    <t>서비스신청_포렌식마크신청내역수정</t>
  </si>
  <si>
    <t>서비스신청 포렌식마크 신청내역수정</t>
  </si>
  <si>
    <t>서비스신청_전자책DRM상호운용성평가신청</t>
  </si>
  <si>
    <t>서비스신청 전자책DRM상호운용성평가신청</t>
  </si>
  <si>
    <t>서비스신청_전자책DRM신청내역확인</t>
  </si>
  <si>
    <t>서비스신청 전자책DRM 신청내역확인</t>
  </si>
  <si>
    <t>서비스신청_전자책DRM신청내역수정</t>
  </si>
  <si>
    <t>서비스신청 전자책DRM 신청내역수정</t>
  </si>
  <si>
    <t>서비스신청_공용특징정보추출신청</t>
  </si>
  <si>
    <t>서비스신청_모바일웹하드기술평가신청</t>
  </si>
  <si>
    <t>서비스신청 모바일웹하드 기술평가신청</t>
  </si>
  <si>
    <t>서비스신청_모바일웹하드신청내역조회</t>
  </si>
  <si>
    <t>서비스신청 모바일웹하드 신청내역조회</t>
  </si>
  <si>
    <t>서비스신청_모바일웹하드신청내역확인</t>
  </si>
  <si>
    <t>서비스신청 모바일웹하드 신청내역확인</t>
  </si>
  <si>
    <t>서비스신청_모바일웹하드신청내역수정</t>
  </si>
  <si>
    <t>서비스신청 모바일웹하드 신청내역수정</t>
  </si>
  <si>
    <t>기술적조치_기술적조치개념조회</t>
  </si>
  <si>
    <t>기술적조치 기술적조치개념</t>
  </si>
  <si>
    <t>기술적조치_기술적조치종류조회</t>
  </si>
  <si>
    <t>기술적조치 기술적조치종류</t>
  </si>
  <si>
    <t>기술적조치_기술적조치절차조회</t>
  </si>
  <si>
    <t>기술적조치 기술적조치절차</t>
  </si>
  <si>
    <t>공용특징정보_사업개요조회</t>
  </si>
  <si>
    <t>공용특징정보 사업개요</t>
  </si>
  <si>
    <t>공용특징정보_추출및배포안내조회</t>
  </si>
  <si>
    <t>공용특징정보 추출및배포안내</t>
  </si>
  <si>
    <t>공용특징정보_신청절차조회</t>
  </si>
  <si>
    <t>공용특징정보 신청절차</t>
  </si>
  <si>
    <t>성능평가_필터링기술성능평가란 조회</t>
  </si>
  <si>
    <t>성능평가 필터링기술성능평가란</t>
  </si>
  <si>
    <t>성능평가_필터링기술평가대상 조회</t>
  </si>
  <si>
    <t>성능평가 필터링기술평가대상</t>
  </si>
  <si>
    <t>성능평가_필터링기술기술평가 조회</t>
  </si>
  <si>
    <t>성능평가 필터링기술기술평가</t>
  </si>
  <si>
    <t>성능평가_필터링기술필드평가 조회</t>
  </si>
  <si>
    <t>성능평가 필터링기술필드평가</t>
  </si>
  <si>
    <t>성능평가_필터링기술제한조치 조회</t>
  </si>
  <si>
    <t>성능평가 필터링기술제한조치</t>
  </si>
  <si>
    <t>성능평가_필터링기술평가결과 조회</t>
  </si>
  <si>
    <t>성능평가 필터링기술평가결과</t>
  </si>
  <si>
    <t>성능평가_확인서발급업체현황 조회</t>
  </si>
  <si>
    <t>성능평가 확인서발급업체현황</t>
  </si>
  <si>
    <t>성능평가_확인서발급업체상세보기</t>
  </si>
  <si>
    <t>성능평가 확인서발급업체상세보기</t>
  </si>
  <si>
    <t>성능평가_포렌식기술성능평가란 조회</t>
  </si>
  <si>
    <t>성능평가 포렌식기술성능평가란</t>
  </si>
  <si>
    <t>성능평가_포렌식기술평가대상 조회</t>
  </si>
  <si>
    <t>성능평가 포렌식기술평가대상</t>
  </si>
  <si>
    <t>성능평가_포렌식기술평가절차 조회</t>
  </si>
  <si>
    <t>성능평가 포렌식기술기술평가절차</t>
  </si>
  <si>
    <t>성능평가_포렌식기술수행방법 조회</t>
  </si>
  <si>
    <t>성능평가 포렌식기술수행방법</t>
  </si>
  <si>
    <t>성능평가_포렌식기술항목및방법 조회</t>
  </si>
  <si>
    <t>성능평가 포렌식기술항목및방법</t>
  </si>
  <si>
    <t>성능평가_포렌식기술 테스트 데이터 조회</t>
  </si>
  <si>
    <t>성능평가 포렌식기술 테스트 데이터</t>
  </si>
  <si>
    <t>성능평가_포렌식기술 평가결과 조회</t>
  </si>
  <si>
    <t>성능평가 포렌식기술 평가결과</t>
  </si>
  <si>
    <t>성능평가_전자책DRM 평가란 조회</t>
  </si>
  <si>
    <t>성능평가 전자책DRM 평가란</t>
  </si>
  <si>
    <t>성능평가_전자책DRM 평가대상 조회</t>
  </si>
  <si>
    <t>성능평가 전자책DRM 평가대상</t>
  </si>
  <si>
    <t>성능평가_전자책DRM 평가절차 조회</t>
  </si>
  <si>
    <t>성능평가 전자책DRM 평가절차</t>
  </si>
  <si>
    <t>성능평가_전자책DRM 평가수행방법 조회</t>
  </si>
  <si>
    <t>성능평가 전자책DRM 평가수행방법</t>
  </si>
  <si>
    <t>성능평가_전자책DRM 평가 항목 및 방법 조회</t>
  </si>
  <si>
    <t>성능평가 전자책DRM 평가 항목 및 방법</t>
  </si>
  <si>
    <t>성능평가_전자책DRM 평가 테스트 데이터 조회</t>
  </si>
  <si>
    <t>성능평가 전자책DRM 평가 테스트 데이터</t>
  </si>
  <si>
    <t>성능평가_전자책DRM 평가 결과 조회</t>
  </si>
  <si>
    <t>성능평가 전자책DRM 평가 결과</t>
  </si>
  <si>
    <t>성능평가_전자책DRM 평가 확인서 발급 업체 조회</t>
  </si>
  <si>
    <t>성능평가 전자책DRM 평가 확인서 발급 업체</t>
  </si>
  <si>
    <t>모바일웹하드_필터링기술모바일웹하드란 조회</t>
  </si>
  <si>
    <t>모바일웹하드_필터링기술모바일웹하드란</t>
  </si>
  <si>
    <t>모바일웹하드_필터링기술평가대상 조회</t>
  </si>
  <si>
    <t>모바일웹하드_필터링기술평가대상</t>
  </si>
  <si>
    <t>모바일웹하드_필터링기술기술평가 조회</t>
  </si>
  <si>
    <t>모바일웹하드_필터링기술기술평가</t>
  </si>
  <si>
    <t>모바일웹하드_필터링기술필드평가 조회</t>
  </si>
  <si>
    <t>모바일웹하드_필터링기술필드평가</t>
  </si>
  <si>
    <t>모바일웹하드_필터링기술제한조치 조회</t>
  </si>
  <si>
    <t>모바일웹하드_필터링기술제한조치</t>
  </si>
  <si>
    <t>모바일웹하드_필터링기술평가결과 조회</t>
  </si>
  <si>
    <t>모바일웹하드_필터링기술평가결과</t>
  </si>
  <si>
    <t>모바일웹하드_확인서발급업체현황 조회</t>
  </si>
  <si>
    <t>모바일웹하드_확인서발급업체현황</t>
  </si>
  <si>
    <t>모바일웹하드_확인서발급업체상세보기</t>
  </si>
  <si>
    <t>마이페이지 조회</t>
  </si>
  <si>
    <t>마이페이지</t>
  </si>
  <si>
    <t>마이페이지_필터링신청현황 조회</t>
  </si>
  <si>
    <t>마이페이지_필터링신청현황</t>
  </si>
  <si>
    <t>마이페이지_포렌식신청현황 조회</t>
  </si>
  <si>
    <t>마이페이지_포렌식신청현황</t>
  </si>
  <si>
    <t>마이페이지_모바일웹하드신청현황 조회</t>
  </si>
  <si>
    <t>마이페이지_모바일웹하드신청현황</t>
  </si>
  <si>
    <t>마이페이지_전자책DRM신청현황 조회</t>
  </si>
  <si>
    <t>마이페이지_전자책DRM신청현황</t>
  </si>
  <si>
    <t>정보마당_저작권기술동향 조회</t>
  </si>
  <si>
    <t>공유마당_뉴스레터</t>
  </si>
  <si>
    <t>정보마당_저작권기술동향상세 조회</t>
  </si>
  <si>
    <t>공유마당_뉴스레터조회</t>
  </si>
  <si>
    <t>정보마당_전체메뉴보기</t>
  </si>
  <si>
    <t>성능평가도구</t>
  </si>
  <si>
    <t>리눅스용성능평가Agent</t>
  </si>
  <si>
    <t>리눅스용 스케줄러 모니터링 조회</t>
  </si>
  <si>
    <t>리눅스용 스케줄러 모니터링</t>
  </si>
  <si>
    <t>리눅스용 원본특징정보 추출</t>
  </si>
  <si>
    <t>리눅스용 원본특징정보 FTP 전송</t>
  </si>
  <si>
    <t>리눅스용 추출 일관성 수행</t>
  </si>
  <si>
    <t>리눅스용 인식 일관성 수행</t>
  </si>
  <si>
    <t>리눅스용 강인성 수행</t>
  </si>
  <si>
    <t>리눅스용 축약성 수행</t>
  </si>
  <si>
    <t>리눅스용 부분매칭 수행</t>
  </si>
  <si>
    <t>리눅스용 부하 테스트</t>
  </si>
  <si>
    <t>리눅스용 리소스 모니터링</t>
  </si>
  <si>
    <t>리눅스용 로그 등록</t>
  </si>
  <si>
    <t>성능평가도구_로그인</t>
  </si>
  <si>
    <t>성능평가도구 로그인</t>
  </si>
  <si>
    <t>성능평가도구_메인</t>
  </si>
  <si>
    <t>성능평가도구 메인</t>
  </si>
  <si>
    <t>성능평가도구_환경설정</t>
  </si>
  <si>
    <t>성능평가도구 환경설정</t>
  </si>
  <si>
    <t>성능평가도구_진행상황모니터링</t>
  </si>
  <si>
    <t>성능평가도구 진행상황모니터링</t>
  </si>
  <si>
    <t>성능평가도구_원본특징정보추출</t>
  </si>
  <si>
    <t>성능평가도구 원본특징정보추출</t>
  </si>
  <si>
    <t>성능평가도구_원본특징정보FTP전송</t>
  </si>
  <si>
    <t>성능평가도구 원본특징정보FTP전송</t>
  </si>
  <si>
    <t>성능평가도구_추출 일관성 수행</t>
  </si>
  <si>
    <t>성능평가도구 추출 일관성 수행</t>
  </si>
  <si>
    <t>성능평가도구_강인성 수행</t>
  </si>
  <si>
    <t>성능평가도구 강인성 수행</t>
  </si>
  <si>
    <t>성능평가도구_축약성 수행</t>
  </si>
  <si>
    <t>성능평가도구 축약성 수행</t>
  </si>
  <si>
    <t>성능평가도구_부하 테스트</t>
  </si>
  <si>
    <t>성능평가도구 부하 테스트</t>
  </si>
  <si>
    <t>성능평가도구_리소스 모니터링</t>
  </si>
  <si>
    <t>성능평가도구 리소스 모니터링</t>
  </si>
  <si>
    <t>성능평가도구_로그 등록</t>
  </si>
  <si>
    <t>성능평가도구 로그 등록</t>
  </si>
  <si>
    <t>포렌식성능평가도구</t>
  </si>
  <si>
    <t>포렌식도구_로그인</t>
  </si>
  <si>
    <t>포렌식도구 로그인</t>
  </si>
  <si>
    <t>포렌식도구_메인</t>
  </si>
  <si>
    <t>포렌식도구 메인</t>
  </si>
  <si>
    <t>포렌식도구_환경설정</t>
  </si>
  <si>
    <t>포렌식도구 환경설정</t>
  </si>
  <si>
    <t>포렌식도구_진행상황모니터링</t>
  </si>
  <si>
    <t>포렌식도구 진행상황모니터링</t>
  </si>
  <si>
    <t>포렌식도구_마크삽입</t>
  </si>
  <si>
    <t>포렌식도구 마크삽입</t>
  </si>
  <si>
    <t>포렌식도구_일관성 수행</t>
  </si>
  <si>
    <t>포렌식도구 일관성 수행</t>
  </si>
  <si>
    <t>포렌식도구_강인성 수행</t>
  </si>
  <si>
    <t>포렌식도구 강인성 수행</t>
  </si>
  <si>
    <t>포렌식도구_비인지성 수행</t>
  </si>
  <si>
    <t>포렌식도구_비인지성 결과 로그 등록</t>
  </si>
  <si>
    <t>포렌식도구_공모공격 수행</t>
  </si>
  <si>
    <t>포렌식도구 공모공격 수행</t>
  </si>
  <si>
    <t>포렌식도구_리소스 모니터링</t>
  </si>
  <si>
    <t>포렌식도구 리소스 모니터링</t>
  </si>
  <si>
    <t>포렌식도구_로그 등록</t>
  </si>
  <si>
    <t>포렌식도구 로그 등록</t>
  </si>
  <si>
    <t>포렌식도구_강인성 로그 수동 등록</t>
  </si>
  <si>
    <t>변형물생성도구</t>
  </si>
  <si>
    <t>변형물도구_로그인</t>
  </si>
  <si>
    <t>변형물도구 로그인</t>
  </si>
  <si>
    <t>변형물도구_메인</t>
  </si>
  <si>
    <t>변형물도구 메인</t>
  </si>
  <si>
    <t>변형물도구_환경설정</t>
  </si>
  <si>
    <t>변형물도구 환경설정</t>
  </si>
  <si>
    <t>변형물도구_원본DB등록</t>
  </si>
  <si>
    <t>변형물도구 원본DB등록</t>
  </si>
  <si>
    <t>변형물도구_원본등록진행상황</t>
  </si>
  <si>
    <t>변형물도구 원본등록진행상황</t>
  </si>
  <si>
    <t>변형물도구_변형물등록</t>
  </si>
  <si>
    <t>변형물도구 변형물등록</t>
  </si>
  <si>
    <t>변형물도구_변형물등록진행상황</t>
  </si>
  <si>
    <t>변형물도구 변형물등록진행상황</t>
  </si>
  <si>
    <t>변형물도구_모바일웹하드변형물등록</t>
  </si>
  <si>
    <t>변형물도구 모바일웹하드변형물등록</t>
  </si>
  <si>
    <t>변형물도구_모바일웹하드변형물진행상황</t>
  </si>
  <si>
    <t>변형물도구 모바일웹하드변형물진행상황</t>
  </si>
  <si>
    <t>윈도우특징정보추출기</t>
  </si>
  <si>
    <t>윈도우특징정보추출기_로그인</t>
  </si>
  <si>
    <t>윈도우특징정보추출기 로그인</t>
  </si>
  <si>
    <t>윈도우특징정보추출기_업데이트확인</t>
  </si>
  <si>
    <t>윈도우특징정보추출기 업데이트확인</t>
  </si>
  <si>
    <t>윈도우특징정보추출기_메인</t>
  </si>
  <si>
    <t>윈도우특징정보추출기 메인</t>
  </si>
  <si>
    <t>윈도우특징정보추출기_환경설정</t>
  </si>
  <si>
    <t>윈도우특징정보추출기 환경설정</t>
  </si>
  <si>
    <t>윈도우특징정보추출기_추출실행</t>
  </si>
  <si>
    <t>윈도우특징정보추출기 추출실행</t>
  </si>
  <si>
    <t>윈도우특징정보추출기_설치프로그램</t>
  </si>
  <si>
    <t>윈도우특징정보추출기 설치프로그램</t>
  </si>
  <si>
    <t>전자책DRM상호운용성도구</t>
  </si>
  <si>
    <t>상호운용성평가도구</t>
  </si>
  <si>
    <t>상호운용성도구_로그인</t>
  </si>
  <si>
    <t>상호운용성도구 로그인</t>
  </si>
  <si>
    <t>상호운용성도구_메인</t>
  </si>
  <si>
    <t>상호운용성도구 메인</t>
  </si>
  <si>
    <t>상호운용성도구_기능테스트</t>
  </si>
  <si>
    <t>상호운용성도구 기능테스트</t>
  </si>
  <si>
    <t>상호운용성도구_데이타테스트</t>
  </si>
  <si>
    <t>상호운용성도구 데이타테스트</t>
  </si>
  <si>
    <t>상호운용성도구_결과조회</t>
  </si>
  <si>
    <t>상호운용성도구 결과조회</t>
  </si>
  <si>
    <t>공용특징정보_연계서비스</t>
  </si>
  <si>
    <t>파일전송완료처리</t>
  </si>
  <si>
    <t>특징정보, 메타정보 전송 완료 후 이력 기록</t>
  </si>
  <si>
    <t>유투브변환_및_전송처리</t>
  </si>
  <si>
    <t>유투브용 XML 변환 및 SFTP 전송</t>
  </si>
  <si>
    <t>기술적인조치DB</t>
  </si>
  <si>
    <t>이메일발송설정 정보</t>
  </si>
  <si>
    <t>이메일발송설정 DB</t>
  </si>
  <si>
    <t>관리자메뉴 정보</t>
  </si>
  <si>
    <t>관리자메뉴 DB</t>
  </si>
  <si>
    <t>게시판 정보</t>
  </si>
  <si>
    <t>게시판 DB</t>
  </si>
  <si>
    <t>게시판첨부파일 정보</t>
  </si>
  <si>
    <t>게시판첨부파일 DB</t>
  </si>
  <si>
    <t>코드마스터 정보</t>
  </si>
  <si>
    <t>코드마스터 DB</t>
  </si>
  <si>
    <t>접속자수통계 정보</t>
  </si>
  <si>
    <t>접속자수통계 DB</t>
  </si>
  <si>
    <t>권리자 정보 정보</t>
  </si>
  <si>
    <t>권리자 정보 DB</t>
  </si>
  <si>
    <t>용어사전 정보</t>
  </si>
  <si>
    <t>용어사전 DB</t>
  </si>
  <si>
    <t>용어사전이미지 정보</t>
  </si>
  <si>
    <t>용어사전이미지 DB</t>
  </si>
  <si>
    <t>통합추출기 버전관리 정보</t>
  </si>
  <si>
    <t>통합추출기 버전관리 DB</t>
  </si>
  <si>
    <t>FTP전송이력 정보</t>
  </si>
  <si>
    <t>FTP전송이력 DB</t>
  </si>
  <si>
    <t>메일발송 기본 정보</t>
  </si>
  <si>
    <t>메일발송 기본 DB</t>
  </si>
  <si>
    <t>메일보안 정보</t>
  </si>
  <si>
    <t>메일보안 DB</t>
  </si>
  <si>
    <t>메일발송결과 정보</t>
  </si>
  <si>
    <t>메일발송결과 DB</t>
  </si>
  <si>
    <t>메일첨부파일 정보</t>
  </si>
  <si>
    <t>메일첨부파일 DB</t>
  </si>
  <si>
    <t>리눅스강인성세부항목 정보</t>
  </si>
  <si>
    <t>리눅스강인성세부항목 DB</t>
  </si>
  <si>
    <t>리눅스성능평가수행설정정보 정보</t>
  </si>
  <si>
    <t>리눅스성능평가수행설정정보 DB</t>
  </si>
  <si>
    <t>리눅스성능평가 환경설정 정보</t>
  </si>
  <si>
    <t>리눅스성능평가 환경설정 DB</t>
  </si>
  <si>
    <t>메일링 정보</t>
  </si>
  <si>
    <t>메일링 DB</t>
  </si>
  <si>
    <t>메일링수신대상 정보</t>
  </si>
  <si>
    <t>메일링수신대상 DB</t>
  </si>
  <si>
    <t>메일링대상자 정보</t>
  </si>
  <si>
    <t>메일링대상자 DB</t>
  </si>
  <si>
    <t>음원메타정보 정보</t>
  </si>
  <si>
    <t>음원메타정보 DB</t>
  </si>
  <si>
    <t>추출모듈설치정보 정보</t>
  </si>
  <si>
    <t>추출모듈설치정보 DB</t>
  </si>
  <si>
    <t>OSP 접속 로그 정보</t>
  </si>
  <si>
    <t>OSP 접속 로그 DB</t>
  </si>
  <si>
    <t>오디오콘텐츠정보 정보</t>
  </si>
  <si>
    <t>오디오콘텐츠정보</t>
  </si>
  <si>
    <t>오디오콘텐츠정보 DB</t>
  </si>
  <si>
    <t>오디오콘텐츠부분매칭 정보</t>
  </si>
  <si>
    <t>오디오콘텐츠부분매칭 DB</t>
  </si>
  <si>
    <t>성능평가인증기준 정보</t>
  </si>
  <si>
    <t>성능평가인증기준 DB</t>
  </si>
  <si>
    <t>공모공격용마크정보 정보</t>
  </si>
  <si>
    <t>공모공격용마크정보 DB</t>
  </si>
  <si>
    <t>일관성평가대상콘텐츠 정보</t>
  </si>
  <si>
    <t>일관성평가대상콘텐츠 DB</t>
  </si>
  <si>
    <t>전자책 DRM 상호 운용성 평가 결과 정보</t>
  </si>
  <si>
    <t>전자책 DRM 상호 운용성 평가 결과 DB</t>
  </si>
  <si>
    <t>전자책 DRM 상호 운용성 평가 수행 로그</t>
  </si>
  <si>
    <t>필드평가OSP 컨텐츠 정보</t>
  </si>
  <si>
    <t>필드평가OSP 컨텐츠 DB</t>
  </si>
  <si>
    <t>필드평가 화면증적 정보</t>
  </si>
  <si>
    <t>필드평가 화면증적 DB</t>
  </si>
  <si>
    <t>필드평가신청 정보</t>
  </si>
  <si>
    <t>필드평가신청 DB</t>
  </si>
  <si>
    <t>필드평가 OSP 권리정보 정보</t>
  </si>
  <si>
    <t>필드평가 OSP 권리정보 DB</t>
  </si>
  <si>
    <t>필드평가대상OSP 정보</t>
  </si>
  <si>
    <t>필드평가대상OSP DB</t>
  </si>
  <si>
    <t>필드평가 권리정보 정보</t>
  </si>
  <si>
    <t>필드평가 권리정보 DB</t>
  </si>
  <si>
    <t>이미지콘텐츠정보 정보</t>
  </si>
  <si>
    <t>이미지콘텐츠정보</t>
  </si>
  <si>
    <t>이미지콘텐츠정보 DB</t>
  </si>
  <si>
    <t>객관적비인지성 정보</t>
  </si>
  <si>
    <t>객관적비인지성 DB</t>
  </si>
  <si>
    <t>성능평가로그분석 정보</t>
  </si>
  <si>
    <t>성능평가로그분석 DB</t>
  </si>
  <si>
    <t>모바일앱콘텐츠정보 정보</t>
  </si>
  <si>
    <t>모바일앱콘텐츠정보</t>
  </si>
  <si>
    <t>모바일앱콘텐츠정보 DB</t>
  </si>
  <si>
    <t>성능평가모듈로그검사 정보</t>
  </si>
  <si>
    <t>성능평가모듈로그검사 DB</t>
  </si>
  <si>
    <t>성능평가신청 정보</t>
  </si>
  <si>
    <t>성능평가신청 DB</t>
  </si>
  <si>
    <t>성능평가신청처리이력 정보</t>
  </si>
  <si>
    <t>성능평가신청처리이력 DB</t>
  </si>
  <si>
    <t>성능평가모듈정보 정보</t>
  </si>
  <si>
    <t>성능평가모듈정보 DB</t>
  </si>
  <si>
    <t>리소스사용률 정보</t>
  </si>
  <si>
    <t>리소스사용률 DB</t>
  </si>
  <si>
    <t>성능평가결과요약 정보</t>
  </si>
  <si>
    <t>성능평가결과요약 DB</t>
  </si>
  <si>
    <t>강인성세부평가항목 정보</t>
  </si>
  <si>
    <t>강인성세부평가항목 DB</t>
  </si>
  <si>
    <t>성능평가변형항목 정보</t>
  </si>
  <si>
    <t>성능평가변형항목 DB</t>
  </si>
  <si>
    <t>성능평가시나리오 정보</t>
  </si>
  <si>
    <t>성능평가시나리오 DB</t>
  </si>
  <si>
    <t>평가항목별시나리오 정보</t>
  </si>
  <si>
    <t>평가항목별시나리오 DB</t>
  </si>
  <si>
    <t>포렌식강인성시나리오 정보</t>
  </si>
  <si>
    <t>포렌식강인성시나리오 DB</t>
  </si>
  <si>
    <t>성능평가결과 정보</t>
  </si>
  <si>
    <t>성능평가결과 DB</t>
  </si>
  <si>
    <t>성능평가진행상태 정보</t>
  </si>
  <si>
    <t>성능평가진행상태 DB</t>
  </si>
  <si>
    <t>비디오콘텐츠정보 정보</t>
  </si>
  <si>
    <t>비디오콘텐츠정보</t>
  </si>
  <si>
    <t>비디오콘텐츠정보 DB</t>
  </si>
  <si>
    <t>비디오콘텐츠부분매칭 정보</t>
  </si>
  <si>
    <t>비디오콘텐츠부분매칭 DB</t>
  </si>
  <si>
    <t>권리자추출로그 정보</t>
  </si>
  <si>
    <t>권리자추출로그 DB</t>
  </si>
  <si>
    <t>로그 수신 정보</t>
  </si>
  <si>
    <t>로그 수신 DB</t>
  </si>
  <si>
    <t>장애이력 정보</t>
  </si>
  <si>
    <t>장애이력 DB</t>
  </si>
  <si>
    <t>서비스모니터링 정보</t>
  </si>
  <si>
    <t>서비스모니터링 DB</t>
  </si>
  <si>
    <t>관리자 메뉴 정보</t>
  </si>
  <si>
    <t>관리자 메뉴 DB</t>
  </si>
  <si>
    <t>장애코드정보 정보</t>
  </si>
  <si>
    <t>장애코드정보 DB</t>
  </si>
  <si>
    <t>에이전트PC 정보</t>
  </si>
  <si>
    <t>에이전트PC DB</t>
  </si>
  <si>
    <t>필드평가대상콘텐츠 정보</t>
  </si>
  <si>
    <t>필드평가대상콘텐츠 DB</t>
  </si>
  <si>
    <t>필드평가회차 정보</t>
  </si>
  <si>
    <t>필드평가회차 DB</t>
  </si>
  <si>
    <t>필드평가OSP별콘텐츠 정보</t>
  </si>
  <si>
    <t>필드평가OSP별콘텐츠 DB</t>
  </si>
  <si>
    <t>필드평가OSP 정보</t>
  </si>
  <si>
    <t>필드평가OSP DB</t>
  </si>
  <si>
    <t>음원정보(일반권리자) 정보</t>
  </si>
  <si>
    <t>음원정보(일반권리자) DB</t>
  </si>
  <si>
    <t>OSP추가요청 정보</t>
  </si>
  <si>
    <t>OSP추가요청 DB</t>
  </si>
  <si>
    <t>OSP정보관리 정보</t>
  </si>
  <si>
    <t>OSP정보관리 DB</t>
  </si>
  <si>
    <t>OSP 업체 사이트 정보</t>
  </si>
  <si>
    <t>OSP 업체 사이트 DB</t>
  </si>
  <si>
    <t>프로토타입콘텐츠 정보</t>
  </si>
  <si>
    <t>프로토타입콘텐츠 DB</t>
  </si>
  <si>
    <t>프로토타입콘텐츠파일 정보</t>
  </si>
  <si>
    <t>프로토타입콘텐츠파일 DB</t>
  </si>
  <si>
    <t>프로토타입 DNA 파일 정보</t>
  </si>
  <si>
    <t>프로토타입 DNA 파일 DB</t>
  </si>
  <si>
    <t>프로토타입 DNA 정보 정보</t>
  </si>
  <si>
    <t>프로토타입 DNA 정보 DB</t>
  </si>
  <si>
    <t>프로토타입필터링이력 정보</t>
  </si>
  <si>
    <t>프로토타입필터링이력 DB</t>
  </si>
  <si>
    <t>기술적인조치신청 OSP 사이트 정보</t>
  </si>
  <si>
    <t>기술적인조치신청 OSP 사이트 DB</t>
  </si>
  <si>
    <t>표준서비스 DNA 파일 리스트 정보</t>
  </si>
  <si>
    <t>표준서비스 DNA 파일 리스트 DB</t>
  </si>
  <si>
    <t>표준서비스 LOG 정보</t>
  </si>
  <si>
    <t>표준서비스 LOG DB</t>
  </si>
  <si>
    <t>표준서비스의 장애 이력 정보</t>
  </si>
  <si>
    <t>표준서비스의 장애 이력 DB</t>
  </si>
  <si>
    <t>기술적조치 열람로그 정보</t>
  </si>
  <si>
    <t>기술적조치 열람로그 DB</t>
  </si>
  <si>
    <t>불법컨텐츠 모니터링 요청 정보</t>
  </si>
  <si>
    <t>불법컨텐츠 모니터링 요청 DB</t>
  </si>
  <si>
    <t>영상정보(일반권리자) 정보</t>
  </si>
  <si>
    <t>영상정보(일반권리자) DB</t>
  </si>
  <si>
    <t>제출서류 정보</t>
  </si>
  <si>
    <t>제출서류 DB</t>
  </si>
  <si>
    <t>기술적조치 DNA파일상세정보 정보</t>
  </si>
  <si>
    <t>기술적조치 DNA파일상세정보 DB</t>
  </si>
  <si>
    <t>기술적조치 DNA자료 정보</t>
  </si>
  <si>
    <t>기술적조치 DNA자료 DB</t>
  </si>
  <si>
    <t>기술적조치 신청 정보</t>
  </si>
  <si>
    <t>기술적조치 신청 DB</t>
  </si>
  <si>
    <t>회원테이블 정보</t>
  </si>
  <si>
    <t>회원테이블 DB</t>
  </si>
  <si>
    <t>사용자 정보</t>
  </si>
  <si>
    <t>사용자 DB</t>
  </si>
  <si>
    <t>사용자 승인 정보</t>
  </si>
  <si>
    <t>사용자 승인 DB</t>
  </si>
  <si>
    <t>사용자 정보 정보</t>
  </si>
  <si>
    <t>사용자 정보 DB</t>
  </si>
  <si>
    <t>사용자 모듈 정보</t>
  </si>
  <si>
    <t>사용자 모듈 DB</t>
  </si>
  <si>
    <t>사용자업로드정보 정보</t>
  </si>
  <si>
    <t>사용자업로드정보 DB</t>
  </si>
  <si>
    <t>영상메타 정보</t>
  </si>
  <si>
    <t>영상메타 DB</t>
  </si>
  <si>
    <t>수요조사설정</t>
  </si>
  <si>
    <t>수요조사설정 정보</t>
  </si>
  <si>
    <t>수요조사설정 DB</t>
  </si>
  <si>
    <t>수요조사 정보</t>
  </si>
  <si>
    <t>수요조사 DB</t>
  </si>
  <si>
    <t>저작권기술소개</t>
  </si>
  <si>
    <t>저작권기술소개 정보</t>
  </si>
  <si>
    <t>저작권기술소개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</si>
</sst>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5" formatCode="&quot;₩&quot;#,##0;\-&quot;₩&quot;#,##0"/>
    <numFmt numFmtId="41" formatCode="_-* #,##0_-;\-* #,##0_-;_-* &quot;-&quot;_-;_-@_-"/>
    <numFmt numFmtId="24" formatCode="\$#,##0_);[Red]\(\$#,##0\)"/>
    <numFmt numFmtId="176" formatCode="0_ "/>
    <numFmt numFmtId="177" formatCode="0.0_ "/>
    <numFmt numFmtId="178" formatCode="#,##0;[Red]&quot;-&quot;#,##0"/>
    <numFmt numFmtId="179" formatCode="###,###,"/>
    <numFmt numFmtId="180" formatCode="#,###"/>
    <numFmt numFmtId="181" formatCode="&quot;₩&quot;#,##0;&quot;₩&quot;&quot;₩&quot;&quot;₩&quot;&quot;₩&quot;\-#,##0"/>
    <numFmt numFmtId="182" formatCode="&quot;₩&quot;#,##0;[Red]&quot;₩&quot;&quot;₩&quot;&quot;₩&quot;&quot;₩&quot;\-#,##0"/>
    <numFmt numFmtId="183" formatCode="&quot;₩&quot;#,##0.00;&quot;₩&quot;&quot;₩&quot;&quot;₩&quot;&quot;₩&quot;\-#,##0.00"/>
    <numFmt numFmtId="184" formatCode="_ * #,##0.00_ ;_ * \-#,##0.00_ ;_ * &quot;-&quot;??_ ;_ @_ "/>
    <numFmt numFmtId="185" formatCode="&quot;₩&quot;#,##0.00;&quot;₩&quot;&quot;₩&quot;\-#,##0.00"/>
    <numFmt numFmtId="186" formatCode="_ * #,##0_ ;_ * \-#,##0_ ;_ * &quot;-&quot;_ ;_ @_ "/>
    <numFmt numFmtId="187" formatCode="yyyy\-mm\-dd\ hh:mm:ss\.ss"/>
    <numFmt numFmtId="188" formatCode="&quot;₩&quot;#,##0;[Red]&quot;₩&quot;\-#,##0"/>
    <numFmt numFmtId="189" formatCode="&quot;S&quot;\ #,##0.00;\-&quot;S&quot;\ #,##0.00"/>
    <numFmt numFmtId="190" formatCode="_ &quot;SFr.&quot;* #,##0.00_ ;_ &quot;SFr.&quot;* \-#,##0.00_ ;_ &quot;SFr.&quot;* &quot;-&quot;??_ ;_ @_ "/>
    <numFmt numFmtId="191" formatCode="#,##0\ \ "/>
    <numFmt numFmtId="192" formatCode="#,##0.00\ \ "/>
    <numFmt numFmtId="193" formatCode="#,##0.00\ "/>
    <numFmt numFmtId="194" formatCode="#,##0.0\ "/>
    <numFmt numFmtId="195" formatCode="#,##0;&quot;-&quot;#,##0"/>
    <numFmt numFmtId="196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7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8" formatCode="&quot;₩&quot;#,##0;&quot;₩&quot;\-#,##0"/>
    <numFmt numFmtId="199" formatCode="&quot;₩&quot;#,##0.00;&quot;₩&quot;\-#,##0.00"/>
    <numFmt numFmtId="200" formatCode="0.00000%"/>
    <numFmt numFmtId="201" formatCode="0.00000"/>
    <numFmt numFmtId="202" formatCode="_(* #,##0_);_(* \(#,##0\);_(* &quot;-&quot;_);_(@_)"/>
    <numFmt numFmtId="203" formatCode="_-* #,##0.0_-;\-* #,##0.0_-;_-* &quot;-&quot;_-;_-@_-"/>
    <numFmt numFmtId="204" formatCode="0.0"/>
  </numFmts>
  <fonts count="84">
    <font>
      <sz val="11"/>
      <color theme="1"/>
      <name val="굴림체"/>
      <family val="3"/>
      <charset val="129"/>
    </font>
    <font>
      <sz val="8"/>
      <name val="굴림체"/>
      <family val="3"/>
      <charset val="129"/>
    </font>
    <font>
      <sz val="11"/>
      <name val="돋움"/>
      <family val="3"/>
      <charset val="129"/>
    </font>
    <font>
      <sz val="10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u/>
      <sz val="11"/>
      <color indexed="36"/>
      <name val="돋움"/>
      <family val="3"/>
      <charset val="129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b/>
      <sz val="1"/>
      <color indexed="8"/>
      <name val="Courier"/>
      <family val="3"/>
    </font>
    <font>
      <sz val="1"/>
      <color indexed="8"/>
      <name val="Courier"/>
      <family val="3"/>
    </font>
    <font>
      <sz val="12"/>
      <name val="뼻뮝"/>
      <family val="3"/>
      <charset val="129"/>
    </font>
    <font>
      <b/>
      <sz val="12"/>
      <color indexed="16"/>
      <name val="굴림체"/>
      <family val="3"/>
      <charset val="129"/>
    </font>
    <font>
      <b/>
      <sz val="16"/>
      <name val="돋움체"/>
      <family val="3"/>
      <charset val="129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바탕체"/>
      <family val="1"/>
      <charset val="129"/>
    </font>
    <font>
      <sz val="10"/>
      <name val="명조"/>
      <family val="3"/>
      <charset val="129"/>
    </font>
    <font>
      <sz val="12"/>
      <name val="¹UAAA¼"/>
      <family val="3"/>
      <charset val="129"/>
    </font>
    <font>
      <b/>
      <sz val="10"/>
      <name val="Helv"/>
      <family val="2"/>
    </font>
    <font>
      <sz val="10"/>
      <name val="Times New Roman"/>
      <family val="1"/>
    </font>
    <font>
      <b/>
      <sz val="12"/>
      <name val="Helv"/>
      <family val="2"/>
    </font>
    <font>
      <b/>
      <sz val="11"/>
      <name val="Helv"/>
      <family val="2"/>
    </font>
    <font>
      <sz val="10"/>
      <name val="궁서(English)"/>
      <family val="3"/>
      <charset val="129"/>
    </font>
    <font>
      <sz val="12"/>
      <name val="Times New Roman"/>
      <family val="1"/>
    </font>
    <font>
      <sz val="14"/>
      <name val="뼻뮝"/>
      <family val="3"/>
      <charset val="129"/>
    </font>
    <font>
      <sz val="12"/>
      <name val="ⓒoUAAA¨u"/>
      <family val="3"/>
      <charset val="129"/>
    </font>
    <font>
      <sz val="11"/>
      <name val="￥i￠￢￠?o"/>
      <family val="3"/>
      <charset val="129"/>
    </font>
    <font>
      <sz val="12"/>
      <name val="System"/>
      <family val="2"/>
      <charset val="129"/>
    </font>
    <font>
      <b/>
      <sz val="18"/>
      <name val="Arial"/>
      <family val="2"/>
    </font>
    <font>
      <sz val="11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0"/>
      <color indexed="8"/>
      <name val="굴림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b/>
      <sz val="30"/>
      <name val="맑은 고딕"/>
      <family val="3"/>
      <charset val="129"/>
    </font>
    <font>
      <b/>
      <sz val="20"/>
      <name val="맑은 고딕"/>
      <family val="3"/>
      <charset val="129"/>
    </font>
    <font>
      <b/>
      <sz val="12"/>
      <name val="맑은 고딕"/>
      <family val="3"/>
      <charset val="129"/>
    </font>
    <font>
      <b/>
      <sz val="16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b/>
      <sz val="14"/>
      <name val="맑은 고딕"/>
      <family val="3"/>
      <charset val="129"/>
    </font>
    <font>
      <b/>
      <sz val="24"/>
      <name val="맑은 고딕"/>
      <family val="3"/>
      <charset val="129"/>
    </font>
    <font>
      <b/>
      <sz val="16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11"/>
      <color theme="1"/>
      <name val="굴림체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sz val="10"/>
      <color rgb="FF006100"/>
      <name val="굴림"/>
      <family val="3"/>
      <charset val="129"/>
    </font>
    <font>
      <sz val="10"/>
      <color theme="1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굴림체"/>
      <family val="3"/>
      <charset val="129"/>
    </font>
    <font>
      <b/>
      <sz val="10"/>
      <color indexed="8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color indexed="12"/>
      <name val="굴림체"/>
      <family val="3"/>
      <charset val="129"/>
    </font>
    <font>
      <b/>
      <sz val="9"/>
      <color rgb="FFFF0000"/>
      <name val="굴림체"/>
      <family val="3"/>
      <charset val="129"/>
    </font>
    <font>
      <b/>
      <sz val="9"/>
      <color indexed="10"/>
      <name val="맑은 고딕"/>
      <family val="3"/>
      <charset val="129"/>
    </font>
    <font>
      <b/>
      <sz val="9"/>
      <color indexed="10"/>
      <name val="굴림체"/>
      <family val="3"/>
      <charset val="129"/>
    </font>
    <font>
      <sz val="9"/>
      <color rgb="FF0000CC"/>
      <name val="굴림체"/>
      <family val="3"/>
      <charset val="129"/>
    </font>
    <font>
      <sz val="9"/>
      <color indexed="12"/>
      <name val="굴림체"/>
      <family val="3"/>
      <charset val="129"/>
    </font>
    <font>
      <b/>
      <sz val="9"/>
      <color indexed="48"/>
      <name val="굴림체"/>
      <family val="3"/>
      <charset val="129"/>
    </font>
    <font>
      <b/>
      <sz val="9"/>
      <name val="굴림체"/>
      <family val="3"/>
      <charset val="129"/>
    </font>
    <font>
      <sz val="9"/>
      <color indexed="4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color indexed="12"/>
      <name val="굴림체"/>
      <family val="3"/>
      <charset val="129"/>
    </font>
    <font>
      <b/>
      <sz val="10"/>
      <color indexed="12"/>
      <name val="굴림체"/>
      <family val="3"/>
      <charset val="129"/>
    </font>
    <font>
      <sz val="11"/>
      <color theme="0"/>
      <name val="굴림체"/>
      <family val="3"/>
      <charset val="129"/>
    </font>
    <font>
      <sz val="10"/>
      <color rgb="FF9C6500"/>
      <name val="맑은 고딕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12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7"/>
      <color rgb="FFFF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66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144">
    <xf numFmtId="0" fontId="0" fillId="0" borderId="0">
      <alignment vertical="center"/>
    </xf>
    <xf numFmtId="24" fontId="17" fillId="0" borderId="0" applyFont="0" applyFill="0" applyBorder="0" applyAlignment="0" applyProtection="0"/>
    <xf numFmtId="196" fontId="17" fillId="0" borderId="0" applyNumberFormat="0" applyFont="0" applyFill="0" applyBorder="0" applyAlignment="0" applyProtection="0"/>
    <xf numFmtId="197" fontId="17" fillId="0" borderId="0" applyNumberFormat="0" applyFont="0" applyFill="0" applyBorder="0" applyAlignment="0" applyProtection="0"/>
    <xf numFmtId="196" fontId="17" fillId="0" borderId="0" applyNumberFormat="0" applyFont="0" applyFill="0" applyBorder="0" applyAlignment="0" applyProtection="0"/>
    <xf numFmtId="197" fontId="17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0" fontId="9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10" fillId="0" borderId="0"/>
    <xf numFmtId="0" fontId="11" fillId="0" borderId="0"/>
    <xf numFmtId="0" fontId="9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8" fillId="0" borderId="0"/>
    <xf numFmtId="0" fontId="3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7" fillId="0" borderId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32" fillId="0" borderId="0"/>
    <xf numFmtId="0" fontId="22" fillId="0" borderId="0"/>
    <xf numFmtId="0" fontId="2" fillId="0" borderId="0" applyFill="0" applyBorder="0" applyAlignment="0"/>
    <xf numFmtId="0" fontId="23" fillId="0" borderId="0"/>
    <xf numFmtId="4" fontId="13" fillId="0" borderId="0">
      <protection locked="0"/>
    </xf>
    <xf numFmtId="3" fontId="17" fillId="0" borderId="0" applyFont="0" applyFill="0" applyBorder="0" applyAlignment="0" applyProtection="0"/>
    <xf numFmtId="190" fontId="10" fillId="0" borderId="0"/>
    <xf numFmtId="184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0" fontId="7" fillId="0" borderId="0" applyFont="0" applyFill="0" applyBorder="0" applyAlignment="0" applyProtection="0"/>
    <xf numFmtId="201" fontId="2" fillId="0" borderId="0">
      <protection locked="0"/>
    </xf>
    <xf numFmtId="188" fontId="17" fillId="0" borderId="0" applyFont="0" applyFill="0" applyBorder="0" applyAlignment="0" applyProtection="0"/>
    <xf numFmtId="185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24" fillId="0" borderId="0"/>
    <xf numFmtId="199" fontId="2" fillId="0" borderId="0">
      <protection locked="0"/>
    </xf>
    <xf numFmtId="192" fontId="10" fillId="0" borderId="0" applyFont="0" applyFill="0" applyBorder="0" applyAlignment="0" applyProtection="0"/>
    <xf numFmtId="194" fontId="10" fillId="0" borderId="0" applyFont="0" applyFill="0" applyBorder="0" applyAlignment="0" applyProtection="0"/>
    <xf numFmtId="189" fontId="10" fillId="0" borderId="0"/>
    <xf numFmtId="200" fontId="2" fillId="0" borderId="0">
      <protection locked="0"/>
    </xf>
    <xf numFmtId="38" fontId="18" fillId="2" borderId="0" applyNumberFormat="0" applyBorder="0" applyAlignment="0" applyProtection="0"/>
    <xf numFmtId="0" fontId="25" fillId="0" borderId="0">
      <alignment horizontal="left"/>
    </xf>
    <xf numFmtId="0" fontId="19" fillId="0" borderId="1" applyNumberFormat="0" applyAlignment="0" applyProtection="0">
      <alignment horizontal="left" vertical="center"/>
    </xf>
    <xf numFmtId="0" fontId="19" fillId="0" borderId="2">
      <alignment horizontal="left" vertical="center"/>
    </xf>
    <xf numFmtId="0" fontId="3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8" fontId="2" fillId="0" borderId="0">
      <protection locked="0"/>
    </xf>
    <xf numFmtId="188" fontId="2" fillId="0" borderId="0">
      <protection locked="0"/>
    </xf>
    <xf numFmtId="10" fontId="18" fillId="3" borderId="3" applyNumberFormat="0" applyBorder="0" applyAlignment="0" applyProtection="0"/>
    <xf numFmtId="0" fontId="20" fillId="0" borderId="4" applyNumberFormat="0" applyBorder="0" applyAlignment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6" fillId="0" borderId="5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87" fontId="10" fillId="0" borderId="0"/>
    <xf numFmtId="0" fontId="11" fillId="0" borderId="0"/>
    <xf numFmtId="198" fontId="2" fillId="0" borderId="0">
      <protection locked="0"/>
    </xf>
    <xf numFmtId="10" fontId="11" fillId="0" borderId="0" applyFont="0" applyFill="0" applyBorder="0" applyAlignment="0" applyProtection="0"/>
    <xf numFmtId="0" fontId="11" fillId="0" borderId="0"/>
    <xf numFmtId="0" fontId="26" fillId="0" borderId="0"/>
    <xf numFmtId="188" fontId="2" fillId="0" borderId="6">
      <protection locked="0"/>
    </xf>
    <xf numFmtId="191" fontId="10" fillId="0" borderId="0" applyFont="0" applyFill="0" applyBorder="0" applyAlignment="0" applyProtection="0"/>
    <xf numFmtId="193" fontId="10" fillId="0" borderId="0" applyFont="0" applyFill="0" applyBorder="0" applyAlignment="0" applyProtection="0"/>
    <xf numFmtId="181" fontId="10" fillId="0" borderId="0">
      <protection locked="0"/>
    </xf>
    <xf numFmtId="0" fontId="12" fillId="0" borderId="0">
      <protection locked="0"/>
    </xf>
    <xf numFmtId="0" fontId="12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40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6" borderId="0" applyNumberFormat="0" applyBorder="0" applyAlignment="0" applyProtection="0">
      <alignment vertical="center"/>
    </xf>
    <xf numFmtId="0" fontId="14" fillId="0" borderId="0"/>
    <xf numFmtId="178" fontId="15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202" fontId="36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9" fillId="0" borderId="0"/>
    <xf numFmtId="0" fontId="10" fillId="0" borderId="0"/>
    <xf numFmtId="0" fontId="21" fillId="0" borderId="7"/>
    <xf numFmtId="195" fontId="27" fillId="0" borderId="0" applyFont="0" applyFill="0" applyBorder="0" applyAlignment="0" applyProtection="0"/>
    <xf numFmtId="4" fontId="13" fillId="0" borderId="0">
      <protection locked="0"/>
    </xf>
    <xf numFmtId="182" fontId="10" fillId="0" borderId="0">
      <protection locked="0"/>
    </xf>
    <xf numFmtId="0" fontId="10" fillId="0" borderId="3">
      <alignment horizontal="distributed" vertical="center"/>
    </xf>
    <xf numFmtId="0" fontId="10" fillId="0" borderId="8">
      <alignment horizontal="distributed" vertical="top"/>
    </xf>
    <xf numFmtId="0" fontId="10" fillId="0" borderId="9">
      <alignment horizontal="distributed"/>
    </xf>
    <xf numFmtId="186" fontId="16" fillId="0" borderId="0">
      <alignment vertical="center"/>
    </xf>
    <xf numFmtId="0" fontId="51" fillId="7" borderId="0" applyNumberFormat="0" applyBorder="0" applyAlignment="0" applyProtection="0">
      <alignment vertical="center"/>
    </xf>
    <xf numFmtId="0" fontId="52" fillId="7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10" fillId="0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80" fontId="2" fillId="0" borderId="0">
      <protection locked="0"/>
    </xf>
    <xf numFmtId="0" fontId="49" fillId="0" borderId="0">
      <alignment vertical="center"/>
    </xf>
    <xf numFmtId="0" fontId="2" fillId="0" borderId="0"/>
    <xf numFmtId="0" fontId="6" fillId="0" borderId="0"/>
    <xf numFmtId="0" fontId="2" fillId="0" borderId="0"/>
    <xf numFmtId="0" fontId="6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53" fillId="0" borderId="0">
      <alignment vertical="center"/>
    </xf>
    <xf numFmtId="0" fontId="6" fillId="0" borderId="0"/>
    <xf numFmtId="0" fontId="49" fillId="0" borderId="0">
      <alignment vertical="center"/>
    </xf>
    <xf numFmtId="0" fontId="6" fillId="0" borderId="0"/>
    <xf numFmtId="0" fontId="49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5" fontId="2" fillId="0" borderId="0" applyBorder="0"/>
    <xf numFmtId="0" fontId="13" fillId="0" borderId="10">
      <protection locked="0"/>
    </xf>
    <xf numFmtId="179" fontId="2" fillId="0" borderId="0">
      <protection locked="0"/>
    </xf>
    <xf numFmtId="183" fontId="10" fillId="0" borderId="0">
      <protection locked="0"/>
    </xf>
    <xf numFmtId="0" fontId="2" fillId="0" borderId="0"/>
    <xf numFmtId="9" fontId="49" fillId="0" borderId="0" applyFon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37" fillId="0" borderId="0" xfId="129" applyFont="1">
      <alignment vertical="center"/>
    </xf>
    <xf numFmtId="0" fontId="37" fillId="0" borderId="0" xfId="129" applyFont="1" applyAlignment="1">
      <alignment wrapText="1"/>
    </xf>
    <xf numFmtId="0" fontId="3" fillId="0" borderId="0" xfId="129" applyFont="1">
      <alignment vertical="center"/>
    </xf>
    <xf numFmtId="0" fontId="38" fillId="0" borderId="0" xfId="129" applyFont="1" applyAlignment="1">
      <alignment wrapText="1"/>
    </xf>
    <xf numFmtId="0" fontId="39" fillId="0" borderId="0" xfId="129" applyFont="1" applyAlignment="1">
      <alignment horizontal="center"/>
    </xf>
    <xf numFmtId="0" fontId="40" fillId="0" borderId="0" xfId="129" applyFont="1" applyAlignment="1">
      <alignment horizontal="center"/>
    </xf>
    <xf numFmtId="0" fontId="38" fillId="0" borderId="0" xfId="129" applyFont="1" applyAlignment="1">
      <alignment horizontal="left" vertical="center" indent="15"/>
    </xf>
    <xf numFmtId="0" fontId="37" fillId="0" borderId="0" xfId="129" applyFont="1" applyAlignment="1">
      <alignment horizontal="center" vertical="center"/>
    </xf>
    <xf numFmtId="0" fontId="38" fillId="0" borderId="0" xfId="129" applyFont="1" applyAlignment="1">
      <alignment horizontal="center" vertical="center"/>
    </xf>
    <xf numFmtId="0" fontId="37" fillId="0" borderId="0" xfId="129" applyFont="1" applyAlignment="1">
      <alignment horizontal="center"/>
    </xf>
    <xf numFmtId="0" fontId="37" fillId="0" borderId="0" xfId="129" applyFont="1" applyAlignment="1"/>
    <xf numFmtId="0" fontId="37" fillId="0" borderId="0" xfId="129" applyFont="1" applyBorder="1">
      <alignment vertical="center"/>
    </xf>
    <xf numFmtId="0" fontId="3" fillId="0" borderId="0" xfId="129" applyFont="1" applyAlignment="1">
      <alignment wrapText="1"/>
    </xf>
    <xf numFmtId="0" fontId="43" fillId="0" borderId="0" xfId="135" applyFont="1" applyFill="1" applyAlignment="1">
      <alignment horizontal="center" vertical="center" wrapText="1"/>
    </xf>
    <xf numFmtId="0" fontId="43" fillId="4" borderId="0" xfId="135" applyFont="1" applyFill="1" applyAlignment="1">
      <alignment horizontal="center" vertical="center" wrapText="1"/>
    </xf>
    <xf numFmtId="49" fontId="43" fillId="4" borderId="0" xfId="135" applyNumberFormat="1" applyFont="1" applyFill="1" applyAlignment="1">
      <alignment horizontal="left" vertical="center" wrapText="1"/>
    </xf>
    <xf numFmtId="14" fontId="43" fillId="4" borderId="0" xfId="135" applyNumberFormat="1" applyFont="1" applyFill="1" applyAlignment="1">
      <alignment horizontal="center" vertical="center" wrapText="1"/>
    </xf>
    <xf numFmtId="0" fontId="44" fillId="2" borderId="3" xfId="135" applyFont="1" applyFill="1" applyBorder="1" applyAlignment="1">
      <alignment horizontal="center" vertical="center" wrapText="1"/>
    </xf>
    <xf numFmtId="49" fontId="44" fillId="2" borderId="3" xfId="135" applyNumberFormat="1" applyFont="1" applyFill="1" applyBorder="1" applyAlignment="1">
      <alignment horizontal="center" vertical="center" wrapText="1"/>
    </xf>
    <xf numFmtId="14" fontId="44" fillId="2" borderId="3" xfId="135" applyNumberFormat="1" applyFont="1" applyFill="1" applyBorder="1" applyAlignment="1">
      <alignment horizontal="center" vertical="center" wrapText="1"/>
    </xf>
    <xf numFmtId="0" fontId="43" fillId="0" borderId="11" xfId="135" applyFont="1" applyFill="1" applyBorder="1" applyAlignment="1">
      <alignment horizontal="center" vertical="center" wrapText="1"/>
    </xf>
    <xf numFmtId="49" fontId="43" fillId="4" borderId="11" xfId="135" applyNumberFormat="1" applyFont="1" applyFill="1" applyBorder="1" applyAlignment="1">
      <alignment horizontal="center" vertical="center" wrapText="1"/>
    </xf>
    <xf numFmtId="14" fontId="43" fillId="4" borderId="11" xfId="135" applyNumberFormat="1" applyFont="1" applyFill="1" applyBorder="1" applyAlignment="1">
      <alignment horizontal="center" vertical="center" wrapText="1"/>
    </xf>
    <xf numFmtId="0" fontId="43" fillId="4" borderId="11" xfId="135" applyFont="1" applyFill="1" applyBorder="1" applyAlignment="1">
      <alignment horizontal="left" vertical="center" wrapText="1"/>
    </xf>
    <xf numFmtId="0" fontId="43" fillId="4" borderId="11" xfId="135" applyFont="1" applyFill="1" applyBorder="1" applyAlignment="1">
      <alignment vertical="center" wrapText="1"/>
    </xf>
    <xf numFmtId="0" fontId="43" fillId="4" borderId="11" xfId="135" applyFont="1" applyFill="1" applyBorder="1" applyAlignment="1">
      <alignment horizontal="center" vertical="center" wrapText="1"/>
    </xf>
    <xf numFmtId="0" fontId="48" fillId="0" borderId="12" xfId="136" applyFont="1" applyBorder="1" applyAlignment="1">
      <alignment vertical="center"/>
    </xf>
    <xf numFmtId="0" fontId="4" fillId="0" borderId="0" xfId="136" applyFont="1" applyBorder="1">
      <alignment vertical="center"/>
    </xf>
    <xf numFmtId="0" fontId="0" fillId="0" borderId="17" xfId="0" applyBorder="1">
      <alignment vertical="center"/>
    </xf>
    <xf numFmtId="0" fontId="0" fillId="0" borderId="5" xfId="0" applyBorder="1">
      <alignment vertical="center"/>
    </xf>
    <xf numFmtId="0" fontId="0" fillId="0" borderId="18" xfId="0" applyBorder="1">
      <alignment vertical="center"/>
    </xf>
    <xf numFmtId="0" fontId="38" fillId="0" borderId="0" xfId="0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6" fillId="4" borderId="0" xfId="0" applyFont="1" applyFill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41" fillId="0" borderId="0" xfId="0" applyFont="1" applyFill="1" applyBorder="1" applyAlignment="1" applyProtection="1">
      <alignment vertical="center"/>
    </xf>
    <xf numFmtId="0" fontId="57" fillId="5" borderId="35" xfId="142" applyNumberFormat="1" applyFont="1" applyFill="1" applyBorder="1" applyAlignment="1">
      <alignment horizontal="center" vertical="center" wrapText="1" shrinkToFit="1"/>
    </xf>
    <xf numFmtId="0" fontId="57" fillId="5" borderId="36" xfId="142" applyNumberFormat="1" applyFont="1" applyFill="1" applyBorder="1" applyAlignment="1">
      <alignment horizontal="center" vertical="center" wrapText="1" shrinkToFit="1"/>
    </xf>
    <xf numFmtId="0" fontId="57" fillId="5" borderId="37" xfId="142" applyNumberFormat="1" applyFont="1" applyFill="1" applyBorder="1" applyAlignment="1">
      <alignment horizontal="center" vertical="center" wrapText="1"/>
    </xf>
    <xf numFmtId="0" fontId="57" fillId="5" borderId="15" xfId="142" applyNumberFormat="1" applyFont="1" applyFill="1" applyBorder="1" applyAlignment="1">
      <alignment horizontal="center" vertical="center" wrapText="1"/>
    </xf>
    <xf numFmtId="0" fontId="57" fillId="5" borderId="38" xfId="142" applyNumberFormat="1" applyFont="1" applyFill="1" applyBorder="1" applyAlignment="1">
      <alignment horizontal="center" vertical="center" wrapText="1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3" xfId="0" applyFont="1" applyBorder="1" applyAlignment="1">
      <alignment horizontal="left" vertical="center" wrapText="1"/>
    </xf>
    <xf numFmtId="0" fontId="65" fillId="0" borderId="0" xfId="0" applyFont="1" applyAlignment="1">
      <alignment horizontal="left" vertical="center" wrapText="1"/>
    </xf>
    <xf numFmtId="0" fontId="66" fillId="0" borderId="0" xfId="0" applyFont="1" applyFill="1" applyAlignment="1">
      <alignment horizontal="left" vertical="center"/>
    </xf>
    <xf numFmtId="0" fontId="60" fillId="0" borderId="0" xfId="0" applyFont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60" fillId="0" borderId="0" xfId="0" applyFont="1" applyFill="1" applyAlignment="1">
      <alignment vertical="center"/>
    </xf>
    <xf numFmtId="0" fontId="60" fillId="0" borderId="0" xfId="0" applyFont="1" applyFill="1" applyAlignment="1">
      <alignment horizontal="center" vertical="center"/>
    </xf>
    <xf numFmtId="0" fontId="66" fillId="0" borderId="0" xfId="0" applyFont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41" fontId="67" fillId="0" borderId="0" xfId="91" applyFont="1" applyFill="1" applyBorder="1" applyAlignment="1">
      <alignment horizontal="left" vertical="center"/>
    </xf>
    <xf numFmtId="41" fontId="68" fillId="0" borderId="0" xfId="91" applyFont="1" applyFill="1" applyBorder="1" applyAlignment="1">
      <alignment horizontal="left" vertical="center"/>
    </xf>
    <xf numFmtId="0" fontId="69" fillId="0" borderId="0" xfId="0" applyFont="1" applyAlignment="1">
      <alignment vertical="center"/>
    </xf>
    <xf numFmtId="0" fontId="69" fillId="0" borderId="0" xfId="0" applyFont="1" applyAlignment="1">
      <alignment horizontal="left" vertical="center"/>
    </xf>
    <xf numFmtId="0" fontId="60" fillId="0" borderId="0" xfId="0" applyFont="1" applyFill="1" applyAlignment="1">
      <alignment horizontal="left" vertical="center"/>
    </xf>
    <xf numFmtId="0" fontId="70" fillId="0" borderId="0" xfId="0" applyFont="1" applyFill="1" applyBorder="1" applyAlignment="1">
      <alignment horizontal="left" vertical="center"/>
    </xf>
    <xf numFmtId="0" fontId="71" fillId="0" borderId="0" xfId="0" applyFont="1" applyAlignment="1">
      <alignment vertical="center" wrapText="1"/>
    </xf>
    <xf numFmtId="0" fontId="62" fillId="8" borderId="3" xfId="0" applyFont="1" applyFill="1" applyBorder="1" applyAlignment="1" applyProtection="1">
      <alignment horizontal="center" vertical="center" wrapText="1"/>
      <protection locked="0"/>
    </xf>
    <xf numFmtId="0" fontId="57" fillId="5" borderId="41" xfId="142" applyNumberFormat="1" applyFont="1" applyFill="1" applyBorder="1" applyAlignment="1">
      <alignment horizontal="center" vertical="center" wrapText="1"/>
    </xf>
    <xf numFmtId="0" fontId="59" fillId="0" borderId="3" xfId="114" applyFont="1" applyFill="1" applyBorder="1" applyAlignment="1" applyProtection="1">
      <alignment vertical="center"/>
      <protection locked="0"/>
    </xf>
    <xf numFmtId="0" fontId="59" fillId="0" borderId="3" xfId="114" applyFont="1" applyFill="1" applyBorder="1" applyAlignment="1" applyProtection="1">
      <alignment horizontal="left" vertical="center"/>
      <protection locked="0"/>
    </xf>
    <xf numFmtId="0" fontId="59" fillId="0" borderId="3" xfId="114" applyFont="1" applyFill="1" applyBorder="1" applyAlignment="1" applyProtection="1">
      <alignment horizontal="center" vertical="center"/>
      <protection locked="0"/>
    </xf>
    <xf numFmtId="0" fontId="59" fillId="0" borderId="3" xfId="0" applyFont="1" applyFill="1" applyBorder="1" applyAlignment="1" applyProtection="1">
      <alignment vertical="center"/>
      <protection locked="0"/>
    </xf>
    <xf numFmtId="0" fontId="73" fillId="0" borderId="0" xfId="0" applyFont="1" applyFill="1" applyAlignment="1" applyProtection="1">
      <alignment vertical="center"/>
    </xf>
    <xf numFmtId="0" fontId="57" fillId="5" borderId="34" xfId="142" applyNumberFormat="1" applyFont="1" applyFill="1" applyBorder="1" applyAlignment="1">
      <alignment horizontal="center" vertical="center" wrapText="1" shrinkToFit="1"/>
    </xf>
    <xf numFmtId="0" fontId="7" fillId="0" borderId="0" xfId="0" applyFont="1" applyFill="1" applyAlignment="1">
      <alignment vertical="center"/>
    </xf>
    <xf numFmtId="0" fontId="59" fillId="0" borderId="3" xfId="0" applyFont="1" applyFill="1" applyBorder="1" applyAlignment="1" applyProtection="1">
      <alignment horizontal="center" vertical="center"/>
      <protection locked="0"/>
    </xf>
    <xf numFmtId="41" fontId="59" fillId="0" borderId="3" xfId="89" applyFont="1" applyFill="1" applyBorder="1" applyAlignment="1" applyProtection="1">
      <alignment vertical="center"/>
      <protection locked="0"/>
    </xf>
    <xf numFmtId="41" fontId="59" fillId="0" borderId="3" xfId="89" applyFont="1" applyFill="1" applyBorder="1" applyAlignment="1" applyProtection="1">
      <alignment horizontal="center" vertical="center"/>
      <protection locked="0"/>
    </xf>
    <xf numFmtId="0" fontId="0" fillId="10" borderId="0" xfId="0" applyFill="1">
      <alignment vertical="center"/>
    </xf>
    <xf numFmtId="0" fontId="56" fillId="10" borderId="12" xfId="0" applyFont="1" applyFill="1" applyBorder="1">
      <alignment vertical="center"/>
    </xf>
    <xf numFmtId="0" fontId="56" fillId="10" borderId="0" xfId="0" applyFont="1" applyFill="1" applyBorder="1">
      <alignment vertical="center"/>
    </xf>
    <xf numFmtId="0" fontId="0" fillId="10" borderId="0" xfId="0" applyFill="1" applyBorder="1">
      <alignment vertical="center"/>
    </xf>
    <xf numFmtId="0" fontId="0" fillId="10" borderId="13" xfId="0" applyFill="1" applyBorder="1">
      <alignment vertical="center"/>
    </xf>
    <xf numFmtId="0" fontId="2" fillId="10" borderId="0" xfId="129" applyFill="1">
      <alignment vertical="center"/>
    </xf>
    <xf numFmtId="0" fontId="6" fillId="10" borderId="0" xfId="0" applyFont="1" applyFill="1">
      <alignment vertical="center"/>
    </xf>
    <xf numFmtId="0" fontId="54" fillId="5" borderId="25" xfId="0" applyFont="1" applyFill="1" applyBorder="1" applyAlignment="1">
      <alignment horizontal="center" vertical="center"/>
    </xf>
    <xf numFmtId="176" fontId="55" fillId="0" borderId="15" xfId="137" applyNumberFormat="1" applyFont="1" applyBorder="1" applyAlignment="1">
      <alignment horizontal="right" vertical="center" wrapText="1"/>
    </xf>
    <xf numFmtId="177" fontId="55" fillId="0" borderId="15" xfId="137" applyNumberFormat="1" applyFont="1" applyBorder="1" applyAlignment="1">
      <alignment horizontal="right" vertical="center" wrapText="1"/>
    </xf>
    <xf numFmtId="0" fontId="54" fillId="5" borderId="26" xfId="0" applyFont="1" applyFill="1" applyBorder="1" applyAlignment="1">
      <alignment horizontal="center" vertical="center"/>
    </xf>
    <xf numFmtId="177" fontId="55" fillId="9" borderId="24" xfId="137" applyNumberFormat="1" applyFont="1" applyFill="1" applyBorder="1" applyAlignment="1">
      <alignment horizontal="center" vertical="center" wrapText="1"/>
    </xf>
    <xf numFmtId="177" fontId="55" fillId="9" borderId="32" xfId="137" applyNumberFormat="1" applyFont="1" applyFill="1" applyBorder="1" applyAlignment="1">
      <alignment horizontal="center" vertical="center" wrapText="1"/>
    </xf>
    <xf numFmtId="177" fontId="55" fillId="9" borderId="15" xfId="137" applyNumberFormat="1" applyFont="1" applyFill="1" applyBorder="1" applyAlignment="1">
      <alignment horizontal="right" vertical="center" wrapText="1"/>
    </xf>
    <xf numFmtId="0" fontId="61" fillId="0" borderId="0" xfId="0" applyFont="1" applyAlignment="1">
      <alignment horizontal="left" vertical="center" wrapText="1"/>
    </xf>
    <xf numFmtId="0" fontId="71" fillId="0" borderId="0" xfId="0" applyFont="1" applyAlignment="1">
      <alignment horizontal="left" vertical="center" wrapText="1"/>
    </xf>
    <xf numFmtId="0" fontId="71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 wrapText="1"/>
    </xf>
    <xf numFmtId="0" fontId="58" fillId="6" borderId="36" xfId="86" applyNumberFormat="1" applyFont="1" applyBorder="1" applyAlignment="1">
      <alignment horizontal="center" vertical="center" wrapText="1"/>
    </xf>
    <xf numFmtId="0" fontId="58" fillId="6" borderId="37" xfId="86" applyNumberFormat="1" applyFont="1" applyBorder="1" applyAlignment="1">
      <alignment horizontal="center" vertical="center" wrapText="1"/>
    </xf>
    <xf numFmtId="0" fontId="58" fillId="6" borderId="21" xfId="86" applyNumberFormat="1" applyFont="1" applyBorder="1" applyAlignment="1">
      <alignment horizontal="center" vertical="center" wrapText="1"/>
    </xf>
    <xf numFmtId="41" fontId="55" fillId="0" borderId="15" xfId="89" applyFont="1" applyBorder="1" applyAlignment="1">
      <alignment horizontal="right" vertical="center" wrapText="1"/>
    </xf>
    <xf numFmtId="49" fontId="54" fillId="0" borderId="37" xfId="137" applyNumberFormat="1" applyFont="1" applyBorder="1" applyAlignment="1">
      <alignment horizontal="center" vertical="center" wrapText="1"/>
    </xf>
    <xf numFmtId="41" fontId="55" fillId="0" borderId="38" xfId="89" applyFont="1" applyBorder="1" applyAlignment="1">
      <alignment horizontal="right" vertical="center" wrapText="1"/>
    </xf>
    <xf numFmtId="49" fontId="54" fillId="0" borderId="49" xfId="137" applyNumberFormat="1" applyFont="1" applyBorder="1" applyAlignment="1">
      <alignment horizontal="center" vertical="center" wrapText="1"/>
    </xf>
    <xf numFmtId="41" fontId="55" fillId="0" borderId="16" xfId="89" applyFont="1" applyBorder="1" applyAlignment="1">
      <alignment horizontal="right" vertical="center" wrapText="1"/>
    </xf>
    <xf numFmtId="41" fontId="55" fillId="0" borderId="50" xfId="89" applyFont="1" applyBorder="1" applyAlignment="1">
      <alignment horizontal="right" vertical="center" wrapText="1"/>
    </xf>
    <xf numFmtId="49" fontId="54" fillId="0" borderId="51" xfId="137" applyNumberFormat="1" applyFont="1" applyBorder="1" applyAlignment="1">
      <alignment horizontal="center" vertical="center" wrapText="1"/>
    </xf>
    <xf numFmtId="41" fontId="55" fillId="0" borderId="43" xfId="89" applyFont="1" applyBorder="1" applyAlignment="1">
      <alignment horizontal="right" vertical="center" wrapText="1"/>
    </xf>
    <xf numFmtId="41" fontId="55" fillId="0" borderId="52" xfId="89" applyFont="1" applyBorder="1" applyAlignment="1">
      <alignment horizontal="right" vertical="center" wrapText="1"/>
    </xf>
    <xf numFmtId="0" fontId="54" fillId="5" borderId="54" xfId="0" applyFont="1" applyFill="1" applyBorder="1" applyAlignment="1">
      <alignment horizontal="center" vertical="center"/>
    </xf>
    <xf numFmtId="0" fontId="54" fillId="5" borderId="53" xfId="0" applyFont="1" applyFill="1" applyBorder="1" applyAlignment="1">
      <alignment horizontal="center" vertical="center"/>
    </xf>
    <xf numFmtId="0" fontId="54" fillId="5" borderId="55" xfId="0" applyFont="1" applyFill="1" applyBorder="1" applyAlignment="1">
      <alignment horizontal="center" vertical="center"/>
    </xf>
    <xf numFmtId="0" fontId="77" fillId="0" borderId="3" xfId="113" applyFont="1" applyFill="1" applyBorder="1" applyAlignment="1" applyProtection="1">
      <alignment vertical="top" wrapText="1"/>
      <protection locked="0"/>
    </xf>
    <xf numFmtId="0" fontId="77" fillId="0" borderId="3" xfId="113" applyFont="1" applyFill="1" applyBorder="1" applyAlignment="1" applyProtection="1">
      <alignment horizontal="left" vertical="top" wrapText="1"/>
      <protection locked="0"/>
    </xf>
    <xf numFmtId="0" fontId="59" fillId="0" borderId="3" xfId="113" applyFont="1" applyFill="1" applyBorder="1" applyAlignment="1" applyProtection="1">
      <alignment horizontal="left" vertical="top" wrapText="1"/>
      <protection locked="0"/>
    </xf>
    <xf numFmtId="0" fontId="80" fillId="0" borderId="0" xfId="0" applyFont="1" applyFill="1" applyAlignment="1" applyProtection="1">
      <alignment vertical="center"/>
    </xf>
    <xf numFmtId="0" fontId="73" fillId="4" borderId="0" xfId="0" applyFont="1" applyFill="1" applyAlignment="1" applyProtection="1">
      <alignment vertical="center"/>
    </xf>
    <xf numFmtId="203" fontId="59" fillId="0" borderId="3" xfId="89" applyNumberFormat="1" applyFont="1" applyFill="1" applyBorder="1" applyAlignment="1" applyProtection="1">
      <alignment horizontal="center" vertical="center"/>
    </xf>
    <xf numFmtId="203" fontId="59" fillId="0" borderId="3" xfId="89" applyNumberFormat="1" applyFont="1" applyFill="1" applyBorder="1" applyAlignment="1" applyProtection="1">
      <alignment vertical="center"/>
    </xf>
    <xf numFmtId="204" fontId="59" fillId="4" borderId="3" xfId="143" applyNumberFormat="1" applyFont="1" applyFill="1" applyBorder="1" applyAlignment="1" applyProtection="1">
      <alignment vertical="center"/>
    </xf>
    <xf numFmtId="203" fontId="59" fillId="0" borderId="3" xfId="89" applyNumberFormat="1" applyFont="1" applyFill="1" applyBorder="1" applyAlignment="1" applyProtection="1">
      <alignment vertical="center"/>
      <protection locked="0"/>
    </xf>
    <xf numFmtId="176" fontId="55" fillId="0" borderId="22" xfId="137" applyNumberFormat="1" applyFont="1" applyBorder="1" applyAlignment="1">
      <alignment horizontal="right" vertical="center" wrapText="1"/>
    </xf>
    <xf numFmtId="49" fontId="54" fillId="0" borderId="15" xfId="137" applyNumberFormat="1" applyFont="1" applyFill="1" applyBorder="1" applyAlignment="1">
      <alignment horizontal="center" vertical="center" wrapText="1"/>
    </xf>
    <xf numFmtId="49" fontId="37" fillId="4" borderId="11" xfId="135" applyNumberFormat="1" applyFont="1" applyFill="1" applyBorder="1" applyAlignment="1">
      <alignment horizontal="center" vertical="center" wrapText="1"/>
    </xf>
    <xf numFmtId="0" fontId="37" fillId="4" borderId="11" xfId="135" applyFont="1" applyFill="1" applyBorder="1" applyAlignment="1">
      <alignment horizontal="left" vertical="center" wrapText="1"/>
    </xf>
    <xf numFmtId="14" fontId="37" fillId="4" borderId="11" xfId="135" applyNumberFormat="1" applyFont="1" applyFill="1" applyBorder="1" applyAlignment="1">
      <alignment horizontal="center" vertical="center" wrapText="1"/>
    </xf>
    <xf numFmtId="0" fontId="82" fillId="0" borderId="0" xfId="136" applyFont="1" applyBorder="1">
      <alignment vertical="center"/>
    </xf>
    <xf numFmtId="0" fontId="83" fillId="0" borderId="13" xfId="136" applyFont="1" applyBorder="1" applyAlignment="1">
      <alignment horizontal="right" vertical="center"/>
    </xf>
    <xf numFmtId="177" fontId="55" fillId="0" borderId="16" xfId="137" applyNumberFormat="1" applyFont="1" applyBorder="1" applyAlignment="1">
      <alignment horizontal="right" vertical="center" wrapText="1"/>
    </xf>
    <xf numFmtId="0" fontId="42" fillId="0" borderId="0" xfId="129" applyFont="1" applyAlignment="1">
      <alignment horizontal="center" wrapText="1"/>
    </xf>
    <xf numFmtId="0" fontId="42" fillId="0" borderId="0" xfId="129" applyFont="1" applyAlignment="1">
      <alignment horizontal="center"/>
    </xf>
    <xf numFmtId="0" fontId="45" fillId="0" borderId="0" xfId="129" applyFont="1" applyAlignment="1">
      <alignment horizontal="center" wrapText="1"/>
    </xf>
    <xf numFmtId="0" fontId="38" fillId="0" borderId="0" xfId="129" applyFont="1" applyAlignment="1">
      <alignment horizontal="center"/>
    </xf>
    <xf numFmtId="0" fontId="39" fillId="0" borderId="0" xfId="129" applyFont="1" applyAlignment="1">
      <alignment horizontal="center"/>
    </xf>
    <xf numFmtId="0" fontId="46" fillId="0" borderId="0" xfId="129" applyFont="1" applyAlignment="1">
      <alignment horizontal="center"/>
    </xf>
    <xf numFmtId="0" fontId="40" fillId="0" borderId="0" xfId="129" applyFont="1" applyAlignment="1">
      <alignment horizontal="center"/>
    </xf>
    <xf numFmtId="0" fontId="38" fillId="0" borderId="0" xfId="129" applyFont="1" applyAlignment="1">
      <alignment horizontal="left" vertical="center" indent="15"/>
    </xf>
    <xf numFmtId="0" fontId="47" fillId="4" borderId="19" xfId="135" applyFont="1" applyFill="1" applyBorder="1" applyAlignment="1">
      <alignment horizontal="center" vertical="center" wrapText="1"/>
    </xf>
    <xf numFmtId="0" fontId="47" fillId="4" borderId="1" xfId="135" applyFont="1" applyFill="1" applyBorder="1" applyAlignment="1">
      <alignment horizontal="center" vertical="center" wrapText="1"/>
    </xf>
    <xf numFmtId="0" fontId="47" fillId="4" borderId="20" xfId="135" applyFont="1" applyFill="1" applyBorder="1" applyAlignment="1">
      <alignment horizontal="center" vertical="center" wrapText="1"/>
    </xf>
    <xf numFmtId="0" fontId="71" fillId="0" borderId="0" xfId="0" applyFont="1" applyAlignment="1">
      <alignment horizontal="left" vertical="center" wrapText="1"/>
    </xf>
    <xf numFmtId="0" fontId="58" fillId="6" borderId="39" xfId="86" applyNumberFormat="1" applyFont="1" applyBorder="1" applyAlignment="1">
      <alignment horizontal="center" vertical="center" wrapText="1"/>
    </xf>
    <xf numFmtId="0" fontId="58" fillId="6" borderId="31" xfId="86" applyNumberFormat="1" applyFont="1" applyBorder="1" applyAlignment="1">
      <alignment horizontal="center" vertical="center" wrapText="1"/>
    </xf>
    <xf numFmtId="0" fontId="58" fillId="6" borderId="40" xfId="86" applyNumberFormat="1" applyFont="1" applyBorder="1" applyAlignment="1">
      <alignment horizontal="center" vertical="center" wrapText="1"/>
    </xf>
    <xf numFmtId="0" fontId="61" fillId="0" borderId="0" xfId="0" applyFont="1" applyAlignment="1">
      <alignment horizontal="left" vertical="center" wrapText="1"/>
    </xf>
    <xf numFmtId="0" fontId="58" fillId="11" borderId="3" xfId="86" applyNumberFormat="1" applyFont="1" applyFill="1" applyBorder="1" applyAlignment="1">
      <alignment horizontal="center" vertical="center" wrapText="1"/>
    </xf>
    <xf numFmtId="0" fontId="57" fillId="5" borderId="39" xfId="142" applyNumberFormat="1" applyFont="1" applyFill="1" applyBorder="1" applyAlignment="1">
      <alignment horizontal="center" vertical="center" wrapText="1"/>
    </xf>
    <xf numFmtId="0" fontId="57" fillId="5" borderId="31" xfId="142" applyNumberFormat="1" applyFont="1" applyFill="1" applyBorder="1" applyAlignment="1">
      <alignment horizontal="center" vertical="center" wrapText="1"/>
    </xf>
    <xf numFmtId="0" fontId="57" fillId="5" borderId="40" xfId="142" applyNumberFormat="1" applyFont="1" applyFill="1" applyBorder="1" applyAlignment="1">
      <alignment horizontal="center" vertical="center" wrapText="1"/>
    </xf>
    <xf numFmtId="0" fontId="71" fillId="0" borderId="0" xfId="0" applyFont="1" applyAlignment="1">
      <alignment horizontal="left" vertical="center"/>
    </xf>
    <xf numFmtId="49" fontId="54" fillId="9" borderId="23" xfId="137" applyNumberFormat="1" applyFont="1" applyFill="1" applyBorder="1" applyAlignment="1">
      <alignment horizontal="center" vertical="center" wrapText="1"/>
    </xf>
    <xf numFmtId="49" fontId="54" fillId="9" borderId="14" xfId="137" applyNumberFormat="1" applyFont="1" applyFill="1" applyBorder="1" applyAlignment="1">
      <alignment horizontal="center" vertical="center" wrapText="1"/>
    </xf>
    <xf numFmtId="49" fontId="54" fillId="9" borderId="22" xfId="137" applyNumberFormat="1" applyFont="1" applyFill="1" applyBorder="1" applyAlignment="1">
      <alignment horizontal="center" vertical="center" wrapText="1"/>
    </xf>
    <xf numFmtId="49" fontId="54" fillId="0" borderId="44" xfId="137" applyNumberFormat="1" applyFont="1" applyBorder="1" applyAlignment="1">
      <alignment horizontal="center" vertical="center" wrapText="1"/>
    </xf>
    <xf numFmtId="49" fontId="54" fillId="0" borderId="45" xfId="137" applyNumberFormat="1" applyFont="1" applyBorder="1" applyAlignment="1">
      <alignment horizontal="center" vertical="center" wrapText="1"/>
    </xf>
    <xf numFmtId="49" fontId="54" fillId="0" borderId="46" xfId="137" applyNumberFormat="1" applyFont="1" applyBorder="1" applyAlignment="1">
      <alignment horizontal="center" vertical="center" wrapText="1"/>
    </xf>
    <xf numFmtId="49" fontId="54" fillId="0" borderId="56" xfId="137" applyNumberFormat="1" applyFont="1" applyFill="1" applyBorder="1" applyAlignment="1">
      <alignment horizontal="center" vertical="center" wrapText="1"/>
    </xf>
    <xf numFmtId="49" fontId="54" fillId="0" borderId="57" xfId="137" applyNumberFormat="1" applyFont="1" applyFill="1" applyBorder="1" applyAlignment="1">
      <alignment horizontal="center" vertical="center" wrapText="1"/>
    </xf>
    <xf numFmtId="49" fontId="54" fillId="0" borderId="47" xfId="137" applyNumberFormat="1" applyFont="1" applyBorder="1" applyAlignment="1">
      <alignment horizontal="center" vertical="center" wrapText="1"/>
    </xf>
    <xf numFmtId="49" fontId="54" fillId="0" borderId="48" xfId="137" applyNumberFormat="1" applyFont="1" applyBorder="1" applyAlignment="1">
      <alignment horizontal="center" vertical="center" wrapText="1"/>
    </xf>
    <xf numFmtId="49" fontId="54" fillId="0" borderId="33" xfId="137" applyNumberFormat="1" applyFont="1" applyBorder="1" applyAlignment="1">
      <alignment horizontal="center" vertical="center" wrapText="1"/>
    </xf>
    <xf numFmtId="49" fontId="54" fillId="0" borderId="21" xfId="137" applyNumberFormat="1" applyFont="1" applyFill="1" applyBorder="1" applyAlignment="1">
      <alignment horizontal="center" vertical="center" wrapText="1"/>
    </xf>
    <xf numFmtId="49" fontId="54" fillId="0" borderId="22" xfId="137" applyNumberFormat="1" applyFont="1" applyFill="1" applyBorder="1" applyAlignment="1">
      <alignment horizontal="center" vertical="center" wrapText="1"/>
    </xf>
    <xf numFmtId="49" fontId="54" fillId="0" borderId="35" xfId="137" applyNumberFormat="1" applyFont="1" applyFill="1" applyBorder="1" applyAlignment="1">
      <alignment horizontal="center" vertical="center" wrapText="1"/>
    </xf>
    <xf numFmtId="49" fontId="54" fillId="0" borderId="42" xfId="137" applyNumberFormat="1" applyFont="1" applyFill="1" applyBorder="1" applyAlignment="1">
      <alignment horizontal="center" vertical="center" wrapText="1"/>
    </xf>
    <xf numFmtId="49" fontId="54" fillId="0" borderId="43" xfId="137" applyNumberFormat="1" applyFont="1" applyFill="1" applyBorder="1" applyAlignment="1">
      <alignment horizontal="center" vertical="center" wrapText="1"/>
    </xf>
    <xf numFmtId="49" fontId="54" fillId="0" borderId="58" xfId="137" applyNumberFormat="1" applyFont="1" applyBorder="1" applyAlignment="1">
      <alignment horizontal="center" vertical="center" wrapText="1"/>
    </xf>
    <xf numFmtId="49" fontId="54" fillId="0" borderId="12" xfId="137" applyNumberFormat="1" applyFont="1" applyBorder="1" applyAlignment="1">
      <alignment horizontal="center" vertical="center" wrapText="1"/>
    </xf>
    <xf numFmtId="0" fontId="54" fillId="5" borderId="30" xfId="0" applyFont="1" applyFill="1" applyBorder="1" applyAlignment="1">
      <alignment horizontal="center" vertical="center"/>
    </xf>
    <xf numFmtId="0" fontId="54" fillId="5" borderId="59" xfId="0" applyFont="1" applyFill="1" applyBorder="1" applyAlignment="1">
      <alignment horizontal="center" vertical="center"/>
    </xf>
    <xf numFmtId="0" fontId="54" fillId="5" borderId="60" xfId="0" applyFont="1" applyFill="1" applyBorder="1" applyAlignment="1">
      <alignment horizontal="center" vertical="center"/>
    </xf>
    <xf numFmtId="49" fontId="54" fillId="0" borderId="38" xfId="137" applyNumberFormat="1" applyFont="1" applyFill="1" applyBorder="1" applyAlignment="1">
      <alignment horizontal="center" vertical="center" wrapText="1"/>
    </xf>
    <xf numFmtId="49" fontId="54" fillId="0" borderId="37" xfId="137" applyNumberFormat="1" applyFont="1" applyFill="1" applyBorder="1" applyAlignment="1">
      <alignment horizontal="center" vertical="center" wrapText="1"/>
    </xf>
    <xf numFmtId="0" fontId="45" fillId="5" borderId="27" xfId="136" quotePrefix="1" applyFont="1" applyFill="1" applyBorder="1" applyAlignment="1" applyProtection="1">
      <alignment horizontal="center" vertical="center"/>
      <protection locked="0"/>
    </xf>
    <xf numFmtId="0" fontId="45" fillId="5" borderId="28" xfId="136" applyFont="1" applyFill="1" applyBorder="1" applyAlignment="1" applyProtection="1">
      <alignment horizontal="center" vertical="center"/>
      <protection locked="0"/>
    </xf>
    <xf numFmtId="0" fontId="45" fillId="5" borderId="29" xfId="136" applyFont="1" applyFill="1" applyBorder="1" applyAlignment="1" applyProtection="1">
      <alignment horizontal="center" vertical="center"/>
      <protection locked="0"/>
    </xf>
  </cellXfs>
  <cellStyles count="144">
    <cellStyle name="$" xfId="1"/>
    <cellStyle name="$_db진흥" xfId="2"/>
    <cellStyle name="$_SE40" xfId="3"/>
    <cellStyle name="$_견적2" xfId="4"/>
    <cellStyle name="$_기아" xfId="5"/>
    <cellStyle name="??&amp;O?&amp;H?_x0008__x000f__x0007_?_x0007__x0001__x0001_" xfId="6"/>
    <cellStyle name="??&amp;O?&amp;H?_x0008_??_x0007__x0001__x0001_" xfId="7"/>
    <cellStyle name="_02년1차(수정)" xfId="8"/>
    <cellStyle name="_MM" xfId="9"/>
    <cellStyle name="_개요" xfId="10"/>
    <cellStyle name="_고무방충재" xfId="11"/>
    <cellStyle name="_공통" xfId="12"/>
    <cellStyle name="_공통_MM" xfId="13"/>
    <cellStyle name="_공통_외교통상정보화 4단계 구축_2.0_장비" xfId="14"/>
    <cellStyle name="_기본형" xfId="15"/>
    <cellStyle name="_디아모_한국전산원_Listprice" xfId="16"/>
    <cellStyle name="_외교통상정보화 4단계 구축_2.0_장비" xfId="17"/>
    <cellStyle name="_요약" xfId="18"/>
    <cellStyle name="_파주 GIS 시스템설계서(도로,상,하수 시스템)_050406" xfId="19"/>
    <cellStyle name="_파주시_도로 및 상,하수 범용 도입_050314" xfId="20"/>
    <cellStyle name="¤@?e_TEST-1 " xfId="21"/>
    <cellStyle name="A¨­￠￢￠O [0]_INQUIRY ￠?￥i¨u¡AAⓒ￢Aⓒª " xfId="22"/>
    <cellStyle name="A¨­￠￢￠O_INQUIRY ￠?￥i¨u¡AAⓒ￢Aⓒª " xfId="23"/>
    <cellStyle name="AeE­ [0]_AMT " xfId="24"/>
    <cellStyle name="AeE­_AMT " xfId="25"/>
    <cellStyle name="AeE¡ⓒ [0]_INQUIRY ￠?￥i¨u¡AAⓒ￢Aⓒª " xfId="26"/>
    <cellStyle name="AeE¡ⓒ_INQUIRY ￠?￥i¨u¡AAⓒ￢Aⓒª " xfId="27"/>
    <cellStyle name="ALIGNMENT" xfId="28"/>
    <cellStyle name="AÞ¸¶ [0]_AN°y(1.25) " xfId="29"/>
    <cellStyle name="AÞ¸¶_AN°y(1.25) " xfId="30"/>
    <cellStyle name="C¡IA¨ª_¡ic¨u¡A¨￢I¨￢¡Æ AN¡Æe " xfId="31"/>
    <cellStyle name="C￥AØ_¿μ¾÷CoE² " xfId="32"/>
    <cellStyle name="Calc Currency (0)" xfId="33"/>
    <cellStyle name="category" xfId="34"/>
    <cellStyle name="Comma" xfId="35"/>
    <cellStyle name="Comma [0]" xfId="36"/>
    <cellStyle name="comma zerodec" xfId="37"/>
    <cellStyle name="Comma_ SG&amp;A Bridge " xfId="38"/>
    <cellStyle name="Comma0" xfId="39"/>
    <cellStyle name="Curren?_x0012_퐀_x0017_?" xfId="40"/>
    <cellStyle name="Currency" xfId="41"/>
    <cellStyle name="Currency [0]" xfId="42"/>
    <cellStyle name="Currency_ SG&amp;A Bridge " xfId="43"/>
    <cellStyle name="Currency0" xfId="44"/>
    <cellStyle name="Currency1" xfId="45"/>
    <cellStyle name="Date" xfId="46"/>
    <cellStyle name="Dezimal [0]_laroux" xfId="47"/>
    <cellStyle name="Dezimal_laroux" xfId="48"/>
    <cellStyle name="Dollar (zero dec)" xfId="49"/>
    <cellStyle name="Fixed" xfId="50"/>
    <cellStyle name="Grey" xfId="51"/>
    <cellStyle name="HEADER" xfId="52"/>
    <cellStyle name="Header1" xfId="53"/>
    <cellStyle name="Header2" xfId="54"/>
    <cellStyle name="Heading 1" xfId="55"/>
    <cellStyle name="Heading 2" xfId="56"/>
    <cellStyle name="Heading1" xfId="57"/>
    <cellStyle name="Heading2" xfId="58"/>
    <cellStyle name="Input [yellow]" xfId="59"/>
    <cellStyle name="jin" xfId="60"/>
    <cellStyle name="Milliers [0]_Arabian Spec" xfId="61"/>
    <cellStyle name="Milliers_Arabian Spec" xfId="62"/>
    <cellStyle name="Model" xfId="63"/>
    <cellStyle name="Mon?aire [0]_Arabian Spec" xfId="64"/>
    <cellStyle name="Mon?aire_Arabian Spec" xfId="65"/>
    <cellStyle name="Normal - Style1" xfId="66"/>
    <cellStyle name="Normal_ SG&amp;A Bridge " xfId="67"/>
    <cellStyle name="Percent" xfId="68"/>
    <cellStyle name="Percent [2]" xfId="69"/>
    <cellStyle name="Standard_laroux" xfId="70"/>
    <cellStyle name="subhead" xfId="71"/>
    <cellStyle name="Total" xfId="72"/>
    <cellStyle name="W?rung [0]_laroux" xfId="73"/>
    <cellStyle name="W?rung_laroux" xfId="74"/>
    <cellStyle name="고정소숫점" xfId="75"/>
    <cellStyle name="고정출력1" xfId="76"/>
    <cellStyle name="고정출력2" xfId="77"/>
    <cellStyle name="날짜" xfId="78"/>
    <cellStyle name="달러" xfId="79"/>
    <cellStyle name="뒤에 오는 하이퍼링크_관급전기" xfId="80"/>
    <cellStyle name="똿뗦먛귟 [0.00]_PRODUCT DETAIL Q1" xfId="81"/>
    <cellStyle name="똿뗦먛귟_PRODUCT DETAIL Q1" xfId="82"/>
    <cellStyle name="믅됞 [0.00]_PRODUCT DETAIL Q1" xfId="83"/>
    <cellStyle name="믅됞_PRODUCT DETAIL Q1" xfId="84"/>
    <cellStyle name="백분율" xfId="143" builtinId="5"/>
    <cellStyle name="백분율 2" xfId="85"/>
    <cellStyle name="보통" xfId="86" builtinId="28"/>
    <cellStyle name="뷭?_BOOKSHIP" xfId="87"/>
    <cellStyle name="숫자(R)" xfId="88"/>
    <cellStyle name="쉼표 [0]" xfId="89" builtinId="6"/>
    <cellStyle name="쉼표 [0] 2" xfId="90"/>
    <cellStyle name="쉼표 [0] 2 2" xfId="91"/>
    <cellStyle name="쉼표 [0] 3" xfId="92"/>
    <cellStyle name="쉼표 [0] 4" xfId="93"/>
    <cellStyle name="쉼표 [0] 5" xfId="94"/>
    <cellStyle name="스타일 1" xfId="95"/>
    <cellStyle name="스타일 2" xfId="96"/>
    <cellStyle name="안건회계법인" xfId="97"/>
    <cellStyle name="원" xfId="98"/>
    <cellStyle name="자리수" xfId="99"/>
    <cellStyle name="자리수0" xfId="100"/>
    <cellStyle name="제목[1 줄]" xfId="101"/>
    <cellStyle name="제목[2줄 아래]" xfId="102"/>
    <cellStyle name="제목[2줄 위]" xfId="103"/>
    <cellStyle name="제목1" xfId="104"/>
    <cellStyle name="좋음 2" xfId="105"/>
    <cellStyle name="좋음 3" xfId="106"/>
    <cellStyle name="좋음 4" xfId="107"/>
    <cellStyle name="지정되지 않음" xfId="108"/>
    <cellStyle name="콤마 [0]_  종  합  " xfId="109"/>
    <cellStyle name="콤마_  종  합  " xfId="110"/>
    <cellStyle name="퍼센트" xfId="111"/>
    <cellStyle name="표준" xfId="0" builtinId="0" customBuiltin="1"/>
    <cellStyle name="표준 10 2" xfId="112"/>
    <cellStyle name="표준 2" xfId="113"/>
    <cellStyle name="표준 2 2" xfId="114"/>
    <cellStyle name="표준 2 2 2" xfId="115"/>
    <cellStyle name="표준 2 2 2 2" xfId="116"/>
    <cellStyle name="표준 2 2 2 2 2" xfId="117"/>
    <cellStyle name="표준 2 2 2 2 2 2" xfId="118"/>
    <cellStyle name="표준 2 2 2 2 2 2 2" xfId="119"/>
    <cellStyle name="표준 2 2 2 2 3" xfId="120"/>
    <cellStyle name="표준 2 2 2 3" xfId="121"/>
    <cellStyle name="표준 2 2 2 3 2" xfId="122"/>
    <cellStyle name="표준 2 2 3" xfId="123"/>
    <cellStyle name="표준 2 2 3 2" xfId="124"/>
    <cellStyle name="표준 2 2 3 2 2" xfId="125"/>
    <cellStyle name="표준 2 2 4" xfId="126"/>
    <cellStyle name="표준 2 3" xfId="127"/>
    <cellStyle name="표준 2 4" xfId="128"/>
    <cellStyle name="표준 2_OP-PCM-TMP-E001-V1.1_규모산정(템플릿)" xfId="129"/>
    <cellStyle name="표준 3" xfId="130"/>
    <cellStyle name="표준 3 2" xfId="131"/>
    <cellStyle name="표준 3 3" xfId="132"/>
    <cellStyle name="표준 4 2" xfId="133"/>
    <cellStyle name="표준 9 2" xfId="134"/>
    <cellStyle name="표준_PMO-DM-TL-061228(XLS보고서표준템플릿)_V1(1).0" xfId="135"/>
    <cellStyle name="표준_가격제안서(기상DB구축)_050331" xfId="142"/>
    <cellStyle name="표준_국민참여_가격제안서_050601" xfId="136"/>
    <cellStyle name="표준_업무기능목록(박찬희)" xfId="137"/>
    <cellStyle name="합계" xfId="138"/>
    <cellStyle name="합산" xfId="139"/>
    <cellStyle name="화폐기호" xfId="140"/>
    <cellStyle name="화폐기호0" xfId="141"/>
  </cellStyles>
  <dxfs count="144"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colors>
    <mruColors>
      <color rgb="FFDDDDDD"/>
      <color rgb="FFCC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6"/>
  <sheetViews>
    <sheetView showGridLines="0" zoomScaleNormal="100" workbookViewId="0">
      <selection activeCell="P20" sqref="P20"/>
    </sheetView>
  </sheetViews>
  <sheetFormatPr defaultColWidth="10" defaultRowHeight="12"/>
  <cols>
    <col min="1" max="1" width="10" style="3" customWidth="1"/>
    <col min="2" max="2" width="10.625" style="13" customWidth="1"/>
    <col min="3" max="3" width="7.5" style="3" customWidth="1"/>
    <col min="4" max="16384" width="10" style="3"/>
  </cols>
  <sheetData>
    <row r="1" spans="1:10" ht="13.5">
      <c r="A1" s="1"/>
      <c r="B1" s="2"/>
      <c r="C1" s="1"/>
      <c r="D1" s="1"/>
      <c r="E1" s="1"/>
      <c r="F1" s="1"/>
      <c r="G1" s="1"/>
      <c r="H1" s="1"/>
      <c r="I1" s="1"/>
      <c r="J1" s="1"/>
    </row>
    <row r="2" spans="1:10" ht="13.5">
      <c r="A2" s="1"/>
      <c r="B2" s="2"/>
      <c r="C2" s="1"/>
      <c r="D2" s="1"/>
      <c r="E2" s="1"/>
      <c r="F2" s="1"/>
      <c r="G2" s="1"/>
      <c r="H2" s="1"/>
      <c r="I2" s="1"/>
      <c r="J2" s="1"/>
    </row>
    <row r="3" spans="1:10" ht="13.5">
      <c r="A3" s="1"/>
      <c r="B3" s="2"/>
      <c r="C3" s="1"/>
      <c r="D3" s="1"/>
      <c r="E3" s="1"/>
      <c r="F3" s="1"/>
      <c r="G3" s="1"/>
      <c r="H3" s="1"/>
      <c r="I3" s="1"/>
      <c r="J3" s="1"/>
    </row>
    <row r="4" spans="1:10" ht="13.5">
      <c r="A4" s="1"/>
      <c r="B4" s="2"/>
      <c r="C4" s="1"/>
      <c r="D4" s="1"/>
      <c r="E4" s="1"/>
      <c r="F4" s="1"/>
      <c r="G4" s="1"/>
      <c r="H4" s="1"/>
      <c r="I4" s="1"/>
      <c r="J4" s="1"/>
    </row>
    <row r="5" spans="1:10" ht="16.5">
      <c r="A5" s="1"/>
      <c r="B5" s="2"/>
      <c r="C5" s="4"/>
      <c r="D5" s="1"/>
      <c r="E5" s="1"/>
      <c r="F5" s="1"/>
      <c r="G5" s="1"/>
      <c r="H5" s="1"/>
      <c r="I5" s="1"/>
      <c r="J5" s="1"/>
    </row>
    <row r="6" spans="1:10" ht="13.5">
      <c r="A6" s="1"/>
      <c r="B6" s="2"/>
      <c r="C6" s="1"/>
      <c r="D6" s="1"/>
      <c r="E6" s="1"/>
      <c r="F6" s="1"/>
      <c r="G6" s="1"/>
      <c r="H6" s="1"/>
      <c r="I6" s="1"/>
      <c r="J6" s="1"/>
    </row>
    <row r="7" spans="1:10" ht="13.5">
      <c r="A7" s="1"/>
      <c r="B7" s="2"/>
      <c r="C7" s="1"/>
      <c r="D7" s="1"/>
      <c r="E7" s="1"/>
      <c r="F7" s="1"/>
      <c r="G7" s="1"/>
      <c r="H7" s="1"/>
      <c r="I7" s="1"/>
      <c r="J7" s="1"/>
    </row>
    <row r="8" spans="1:10" ht="38.25">
      <c r="A8" s="127" t="s">
        <v>83</v>
      </c>
      <c r="B8" s="127"/>
      <c r="C8" s="127"/>
      <c r="D8" s="127"/>
      <c r="E8" s="127"/>
      <c r="F8" s="127"/>
      <c r="G8" s="127"/>
      <c r="H8" s="127"/>
      <c r="I8" s="127"/>
      <c r="J8" s="1"/>
    </row>
    <row r="9" spans="1:10" ht="37.5" customHeight="1">
      <c r="A9" s="128" t="s">
        <v>6</v>
      </c>
      <c r="B9" s="128"/>
      <c r="C9" s="128"/>
      <c r="D9" s="128"/>
      <c r="E9" s="128"/>
      <c r="F9" s="128"/>
      <c r="G9" s="128"/>
      <c r="H9" s="128"/>
      <c r="I9" s="128"/>
      <c r="J9" s="1"/>
    </row>
    <row r="10" spans="1:10" ht="13.5" customHeight="1">
      <c r="A10" s="1"/>
      <c r="B10" s="2"/>
      <c r="C10" s="1"/>
      <c r="D10" s="5"/>
      <c r="E10" s="1"/>
      <c r="F10" s="1"/>
      <c r="G10" s="1"/>
      <c r="H10" s="1"/>
      <c r="I10" s="1"/>
      <c r="J10" s="1"/>
    </row>
    <row r="11" spans="1:10" ht="13.5" customHeight="1">
      <c r="A11" s="1"/>
      <c r="B11" s="2"/>
      <c r="C11" s="1"/>
      <c r="D11" s="6"/>
      <c r="E11" s="1"/>
      <c r="F11" s="1"/>
      <c r="G11" s="1"/>
      <c r="H11" s="1"/>
      <c r="I11" s="1"/>
      <c r="J11" s="1"/>
    </row>
    <row r="12" spans="1:10" ht="13.5" customHeight="1">
      <c r="A12" s="1"/>
      <c r="B12" s="2"/>
      <c r="C12" s="1"/>
      <c r="D12" s="6"/>
      <c r="E12" s="1"/>
      <c r="F12" s="1"/>
      <c r="G12" s="1"/>
      <c r="H12" s="1"/>
      <c r="I12" s="1"/>
      <c r="J12" s="1"/>
    </row>
    <row r="13" spans="1:10" ht="13.5" customHeight="1">
      <c r="A13" s="1"/>
      <c r="B13" s="2"/>
      <c r="C13" s="1"/>
      <c r="D13" s="6"/>
      <c r="E13" s="1"/>
      <c r="F13" s="1"/>
      <c r="G13" s="1"/>
      <c r="H13" s="1"/>
      <c r="I13" s="1"/>
      <c r="J13" s="1"/>
    </row>
    <row r="14" spans="1:10" ht="13.5" customHeight="1">
      <c r="A14" s="1"/>
      <c r="B14" s="2"/>
      <c r="C14" s="1"/>
      <c r="D14" s="6"/>
      <c r="E14" s="1"/>
      <c r="F14" s="1"/>
      <c r="G14" s="1"/>
      <c r="H14" s="1"/>
      <c r="I14" s="1"/>
      <c r="J14" s="1"/>
    </row>
    <row r="15" spans="1:10" ht="13.5" customHeight="1">
      <c r="A15" s="1"/>
      <c r="B15" s="2"/>
      <c r="C15" s="1"/>
      <c r="D15" s="6"/>
      <c r="E15" s="1"/>
      <c r="F15" s="1"/>
      <c r="G15" s="1"/>
      <c r="H15" s="1"/>
      <c r="I15" s="1"/>
      <c r="J15" s="1"/>
    </row>
    <row r="16" spans="1:10" ht="13.5" customHeight="1">
      <c r="A16" s="1"/>
      <c r="B16" s="2"/>
      <c r="C16" s="1"/>
      <c r="D16" s="6"/>
      <c r="E16" s="1"/>
      <c r="F16" s="1"/>
      <c r="G16" s="1"/>
      <c r="H16" s="1"/>
      <c r="I16" s="1"/>
      <c r="J16" s="1"/>
    </row>
    <row r="17" spans="1:10" ht="13.5" customHeight="1">
      <c r="A17" s="1"/>
      <c r="B17" s="2"/>
      <c r="C17" s="1"/>
      <c r="D17" s="6"/>
      <c r="E17" s="1"/>
      <c r="F17" s="1"/>
      <c r="G17" s="1"/>
      <c r="H17" s="1"/>
      <c r="I17" s="1"/>
      <c r="J17" s="1"/>
    </row>
    <row r="18" spans="1:10" ht="13.5" customHeight="1">
      <c r="A18" s="1"/>
      <c r="B18" s="2"/>
      <c r="C18" s="1"/>
      <c r="D18" s="6"/>
      <c r="E18" s="1"/>
      <c r="F18" s="1"/>
      <c r="G18" s="1"/>
      <c r="H18" s="1"/>
      <c r="I18" s="1"/>
      <c r="J18" s="1"/>
    </row>
    <row r="19" spans="1:10" ht="13.5" customHeight="1">
      <c r="A19" s="1"/>
      <c r="B19" s="2"/>
      <c r="C19" s="1"/>
      <c r="D19" s="6"/>
      <c r="E19" s="1"/>
      <c r="F19" s="1"/>
      <c r="G19" s="1"/>
      <c r="H19" s="1"/>
      <c r="I19" s="1"/>
      <c r="J19" s="1"/>
    </row>
    <row r="20" spans="1:10" ht="13.5" customHeight="1">
      <c r="A20" s="129"/>
      <c r="B20" s="129"/>
      <c r="C20" s="129"/>
      <c r="D20" s="129"/>
      <c r="E20" s="129"/>
      <c r="F20" s="129"/>
      <c r="G20" s="129"/>
      <c r="H20" s="129"/>
      <c r="I20" s="129"/>
      <c r="J20" s="1"/>
    </row>
    <row r="21" spans="1:10" ht="13.5" customHeight="1">
      <c r="A21" s="129"/>
      <c r="B21" s="129"/>
      <c r="C21" s="129"/>
      <c r="D21" s="129"/>
      <c r="E21" s="129"/>
      <c r="F21" s="129"/>
      <c r="G21" s="129"/>
      <c r="H21" s="129"/>
      <c r="I21" s="129"/>
      <c r="J21" s="1"/>
    </row>
    <row r="22" spans="1:10" ht="13.5" customHeight="1">
      <c r="A22" s="129"/>
      <c r="B22" s="129"/>
      <c r="C22" s="129"/>
      <c r="D22" s="129"/>
      <c r="E22" s="129"/>
      <c r="F22" s="129"/>
      <c r="G22" s="129"/>
      <c r="H22" s="129"/>
      <c r="I22" s="129"/>
      <c r="J22" s="1"/>
    </row>
    <row r="23" spans="1:10" ht="13.5" customHeight="1">
      <c r="A23" s="129"/>
      <c r="B23" s="129"/>
      <c r="C23" s="129"/>
      <c r="D23" s="129"/>
      <c r="E23" s="129"/>
      <c r="F23" s="129"/>
      <c r="G23" s="129"/>
      <c r="H23" s="129"/>
      <c r="I23" s="129"/>
      <c r="J23" s="1"/>
    </row>
    <row r="24" spans="1:10" ht="13.5" customHeight="1">
      <c r="A24" s="7"/>
      <c r="B24" s="7"/>
      <c r="C24" s="7"/>
      <c r="D24" s="7"/>
      <c r="E24" s="7"/>
      <c r="F24" s="7"/>
      <c r="G24" s="7"/>
      <c r="H24" s="7"/>
      <c r="I24" s="7"/>
      <c r="J24" s="1"/>
    </row>
    <row r="25" spans="1:10" ht="13.5" customHeight="1">
      <c r="A25" s="7"/>
      <c r="B25" s="7"/>
      <c r="C25" s="7"/>
      <c r="D25" s="7"/>
      <c r="E25" s="7"/>
      <c r="F25" s="7"/>
      <c r="G25" s="7"/>
      <c r="H25" s="7"/>
      <c r="I25" s="7"/>
      <c r="J25" s="1"/>
    </row>
    <row r="26" spans="1:10" ht="13.5" customHeight="1">
      <c r="A26" s="7"/>
      <c r="B26" s="7"/>
      <c r="C26" s="7"/>
      <c r="D26" s="7"/>
      <c r="E26" s="7"/>
      <c r="F26" s="7"/>
      <c r="G26" s="7"/>
      <c r="H26" s="7"/>
      <c r="I26" s="7"/>
      <c r="J26" s="1"/>
    </row>
    <row r="27" spans="1:10" ht="13.5" customHeight="1">
      <c r="A27" s="7"/>
      <c r="B27" s="7"/>
      <c r="C27" s="7"/>
      <c r="D27" s="7"/>
      <c r="E27" s="7"/>
      <c r="F27" s="7"/>
      <c r="G27" s="7"/>
      <c r="H27" s="7"/>
      <c r="I27" s="7"/>
      <c r="J27" s="1"/>
    </row>
    <row r="28" spans="1:10" ht="13.5" customHeight="1">
      <c r="A28" s="7"/>
      <c r="B28" s="7"/>
      <c r="C28" s="7"/>
      <c r="D28" s="7"/>
      <c r="E28" s="7"/>
      <c r="F28" s="7"/>
      <c r="G28" s="7"/>
      <c r="H28" s="7"/>
      <c r="I28" s="7"/>
      <c r="J28" s="1"/>
    </row>
    <row r="29" spans="1:10" ht="13.5" customHeight="1">
      <c r="A29" s="7"/>
      <c r="B29" s="7"/>
      <c r="C29" s="7"/>
      <c r="D29" s="7"/>
      <c r="E29" s="7"/>
      <c r="F29" s="7"/>
      <c r="G29" s="7"/>
      <c r="H29" s="7"/>
      <c r="I29" s="7"/>
      <c r="J29" s="1"/>
    </row>
    <row r="30" spans="1:10" ht="13.5" customHeight="1">
      <c r="A30" s="7"/>
      <c r="B30" s="7"/>
      <c r="C30" s="7"/>
      <c r="D30" s="7"/>
      <c r="E30" s="7"/>
      <c r="F30" s="7"/>
      <c r="G30" s="7"/>
      <c r="H30" s="7"/>
      <c r="I30" s="7"/>
      <c r="J30" s="1"/>
    </row>
    <row r="31" spans="1:10" ht="13.5" customHeight="1">
      <c r="A31" s="7"/>
      <c r="B31" s="7"/>
      <c r="C31" s="7"/>
      <c r="D31" s="7"/>
      <c r="E31" s="7"/>
      <c r="F31" s="7"/>
      <c r="G31" s="7"/>
      <c r="H31" s="7"/>
      <c r="I31" s="7"/>
      <c r="J31" s="1"/>
    </row>
    <row r="32" spans="1:10" ht="13.5" customHeight="1">
      <c r="A32" s="7"/>
      <c r="B32" s="7"/>
      <c r="C32" s="7"/>
      <c r="D32" s="7"/>
      <c r="E32" s="7"/>
      <c r="F32" s="7"/>
      <c r="G32" s="7"/>
      <c r="H32" s="7"/>
      <c r="I32" s="7"/>
      <c r="J32" s="1"/>
    </row>
    <row r="33" spans="1:10" ht="13.5" customHeight="1">
      <c r="A33" s="7"/>
      <c r="B33" s="7"/>
      <c r="C33" s="7"/>
      <c r="D33" s="7"/>
      <c r="E33" s="7"/>
      <c r="F33" s="7"/>
      <c r="G33" s="7"/>
      <c r="H33" s="7"/>
      <c r="I33" s="7"/>
      <c r="J33" s="1"/>
    </row>
    <row r="34" spans="1:10" ht="16.5">
      <c r="A34" s="7"/>
      <c r="B34" s="7"/>
      <c r="C34" s="7"/>
      <c r="D34" s="7"/>
      <c r="E34" s="7"/>
      <c r="F34" s="7"/>
      <c r="G34" s="7"/>
      <c r="H34" s="7"/>
      <c r="I34" s="7"/>
      <c r="J34" s="1"/>
    </row>
    <row r="35" spans="1:10" ht="16.5">
      <c r="A35" s="1"/>
      <c r="B35" s="2"/>
      <c r="C35" s="8"/>
      <c r="D35" s="9"/>
      <c r="E35" s="8"/>
      <c r="F35" s="1"/>
      <c r="G35" s="1"/>
      <c r="H35" s="1"/>
      <c r="I35" s="1"/>
      <c r="J35" s="1"/>
    </row>
    <row r="36" spans="1:10" ht="21.95" customHeight="1">
      <c r="A36" s="1"/>
      <c r="B36" s="2"/>
      <c r="C36" s="10"/>
      <c r="D36" s="10"/>
      <c r="E36" s="10"/>
      <c r="F36" s="10"/>
      <c r="G36" s="11"/>
      <c r="H36" s="12"/>
      <c r="I36" s="1"/>
      <c r="J36" s="1"/>
    </row>
    <row r="37" spans="1:10" ht="21.95" customHeight="1">
      <c r="A37" s="1"/>
      <c r="B37" s="2"/>
      <c r="C37" s="10"/>
      <c r="D37" s="10"/>
      <c r="E37" s="10"/>
      <c r="F37" s="10"/>
      <c r="G37" s="11"/>
      <c r="H37" s="1"/>
      <c r="I37" s="1"/>
      <c r="J37" s="1"/>
    </row>
    <row r="38" spans="1:10" ht="21.95" customHeight="1">
      <c r="A38" s="1"/>
      <c r="B38" s="2"/>
      <c r="C38" s="10"/>
      <c r="D38" s="10"/>
      <c r="E38" s="10"/>
      <c r="F38" s="11"/>
      <c r="G38" s="11"/>
      <c r="H38" s="1"/>
      <c r="I38" s="1"/>
      <c r="J38" s="1"/>
    </row>
    <row r="39" spans="1:10" ht="20.100000000000001" customHeight="1">
      <c r="A39" s="1"/>
      <c r="B39" s="2"/>
      <c r="C39" s="1"/>
      <c r="D39" s="1"/>
      <c r="E39" s="1"/>
      <c r="F39" s="1"/>
      <c r="G39" s="1"/>
      <c r="H39" s="1"/>
      <c r="I39" s="1"/>
      <c r="J39" s="1"/>
    </row>
    <row r="40" spans="1:10" ht="45" customHeight="1">
      <c r="A40" s="122" t="s">
        <v>7</v>
      </c>
      <c r="B40" s="123"/>
      <c r="C40" s="123"/>
      <c r="D40" s="123"/>
      <c r="E40" s="123"/>
      <c r="F40" s="123"/>
      <c r="G40" s="123"/>
      <c r="H40" s="123"/>
      <c r="I40" s="123"/>
      <c r="J40" s="1"/>
    </row>
    <row r="41" spans="1:10" ht="20.100000000000001" customHeight="1">
      <c r="A41" s="1"/>
      <c r="B41" s="2"/>
      <c r="C41" s="1"/>
      <c r="D41" s="1"/>
      <c r="E41" s="1"/>
      <c r="F41" s="1"/>
      <c r="G41" s="1"/>
      <c r="H41" s="1"/>
      <c r="I41" s="1"/>
      <c r="J41" s="1"/>
    </row>
    <row r="42" spans="1:10" ht="55.5" customHeight="1">
      <c r="A42" s="124"/>
      <c r="B42" s="125"/>
      <c r="C42" s="125"/>
      <c r="D42" s="125"/>
      <c r="E42" s="125"/>
      <c r="F42" s="125"/>
      <c r="G42" s="125"/>
      <c r="H42" s="125"/>
      <c r="I42" s="125"/>
      <c r="J42" s="1"/>
    </row>
    <row r="43" spans="1:10" ht="37.5" customHeight="1">
      <c r="A43" s="126"/>
      <c r="B43" s="126"/>
      <c r="C43" s="126"/>
      <c r="D43" s="126"/>
      <c r="E43" s="126"/>
      <c r="F43" s="126"/>
      <c r="G43" s="126"/>
      <c r="H43" s="126"/>
      <c r="I43" s="126"/>
      <c r="J43" s="1"/>
    </row>
    <row r="44" spans="1:10" ht="13.5">
      <c r="A44" s="1"/>
      <c r="B44" s="2"/>
      <c r="C44" s="1"/>
      <c r="D44" s="1"/>
      <c r="E44" s="1"/>
      <c r="F44" s="1"/>
      <c r="G44" s="1"/>
      <c r="H44" s="1"/>
      <c r="I44" s="1"/>
      <c r="J44" s="1"/>
    </row>
    <row r="45" spans="1:10" ht="13.5">
      <c r="A45" s="1"/>
      <c r="B45" s="2"/>
      <c r="C45" s="1"/>
      <c r="D45" s="1"/>
      <c r="E45" s="1"/>
      <c r="F45" s="1"/>
      <c r="G45" s="1"/>
      <c r="H45" s="1"/>
      <c r="I45" s="1"/>
      <c r="J45" s="1"/>
    </row>
    <row r="46" spans="1:10" ht="13.5">
      <c r="A46" s="1"/>
      <c r="B46" s="2"/>
      <c r="C46" s="1"/>
      <c r="D46" s="1"/>
      <c r="E46" s="1"/>
      <c r="F46" s="1"/>
      <c r="G46" s="1"/>
      <c r="H46" s="1"/>
      <c r="I46" s="1"/>
      <c r="J46" s="1"/>
    </row>
  </sheetData>
  <mergeCells count="9">
    <mergeCell ref="A40:I40"/>
    <mergeCell ref="A42:I42"/>
    <mergeCell ref="A43:I43"/>
    <mergeCell ref="A8:I8"/>
    <mergeCell ref="A9:I9"/>
    <mergeCell ref="A20:I20"/>
    <mergeCell ref="A21:I21"/>
    <mergeCell ref="A22:I22"/>
    <mergeCell ref="A23:I23"/>
  </mergeCells>
  <phoneticPr fontId="1" type="noConversion"/>
  <pageMargins left="0.51181102362204722" right="0.43307086614173229" top="1.1811023622047245" bottom="0.59055118110236227" header="0.62992125984251968" footer="0.51181102362204722"/>
  <pageSetup paperSize="9" scale="9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6"/>
  <sheetViews>
    <sheetView showGridLines="0" workbookViewId="0">
      <selection activeCell="D30" sqref="D30"/>
    </sheetView>
  </sheetViews>
  <sheetFormatPr defaultRowHeight="13.5"/>
  <cols>
    <col min="1" max="1" width="1.625" customWidth="1"/>
    <col min="2" max="2" width="10.625" customWidth="1"/>
    <col min="3" max="3" width="15.625" customWidth="1"/>
    <col min="4" max="4" width="57.625" customWidth="1"/>
    <col min="5" max="6" width="10.625" customWidth="1"/>
  </cols>
  <sheetData>
    <row r="1" spans="2:6" ht="14.25" thickBot="1"/>
    <row r="2" spans="2:6" ht="27" thickBot="1">
      <c r="B2" s="130" t="s">
        <v>0</v>
      </c>
      <c r="C2" s="131"/>
      <c r="D2" s="131"/>
      <c r="E2" s="131"/>
      <c r="F2" s="132"/>
    </row>
    <row r="3" spans="2:6">
      <c r="B3" s="14"/>
      <c r="C3" s="15"/>
      <c r="D3" s="15"/>
      <c r="E3" s="16"/>
      <c r="F3" s="17"/>
    </row>
    <row r="4" spans="2:6">
      <c r="B4" s="18" t="s">
        <v>1</v>
      </c>
      <c r="C4" s="18" t="s">
        <v>2</v>
      </c>
      <c r="D4" s="18" t="s">
        <v>3</v>
      </c>
      <c r="E4" s="19" t="s">
        <v>4</v>
      </c>
      <c r="F4" s="20" t="s">
        <v>5</v>
      </c>
    </row>
    <row r="5" spans="2:6">
      <c r="B5" s="116" t="s">
        <v>89</v>
      </c>
      <c r="C5" s="23">
        <v>41897</v>
      </c>
      <c r="D5" s="117" t="s">
        <v>90</v>
      </c>
      <c r="E5" s="116"/>
      <c r="F5" s="118"/>
    </row>
    <row r="6" spans="2:6">
      <c r="B6" s="22"/>
      <c r="C6" s="23"/>
      <c r="D6" s="24"/>
      <c r="E6" s="22"/>
      <c r="F6" s="23"/>
    </row>
    <row r="7" spans="2:6">
      <c r="B7" s="22"/>
      <c r="C7" s="23"/>
      <c r="D7" s="24"/>
      <c r="E7" s="22"/>
      <c r="F7" s="23"/>
    </row>
    <row r="8" spans="2:6">
      <c r="B8" s="22"/>
      <c r="C8" s="23"/>
      <c r="D8" s="24"/>
      <c r="E8" s="22"/>
      <c r="F8" s="23"/>
    </row>
    <row r="9" spans="2:6">
      <c r="B9" s="22"/>
      <c r="C9" s="23"/>
      <c r="D9" s="25"/>
      <c r="E9" s="22"/>
      <c r="F9" s="23"/>
    </row>
    <row r="10" spans="2:6">
      <c r="B10" s="22"/>
      <c r="C10" s="23"/>
      <c r="D10" s="25"/>
      <c r="E10" s="22"/>
      <c r="F10" s="23"/>
    </row>
    <row r="11" spans="2:6">
      <c r="B11" s="22"/>
      <c r="C11" s="23"/>
      <c r="D11" s="25"/>
      <c r="E11" s="22"/>
      <c r="F11" s="23"/>
    </row>
    <row r="12" spans="2:6">
      <c r="B12" s="22"/>
      <c r="C12" s="23"/>
      <c r="D12" s="25"/>
      <c r="E12" s="22"/>
      <c r="F12" s="23"/>
    </row>
    <row r="13" spans="2:6">
      <c r="B13" s="22"/>
      <c r="C13" s="23"/>
      <c r="D13" s="25"/>
      <c r="E13" s="22"/>
      <c r="F13" s="23"/>
    </row>
    <row r="14" spans="2:6">
      <c r="B14" s="21"/>
      <c r="C14" s="23"/>
      <c r="D14" s="25"/>
      <c r="E14" s="22"/>
      <c r="F14" s="23"/>
    </row>
    <row r="15" spans="2:6">
      <c r="B15" s="21"/>
      <c r="C15" s="26"/>
      <c r="D15" s="25"/>
      <c r="E15" s="22"/>
      <c r="F15" s="23"/>
    </row>
    <row r="16" spans="2:6">
      <c r="B16" s="21"/>
      <c r="C16" s="26"/>
      <c r="D16" s="25"/>
      <c r="E16" s="22"/>
      <c r="F16" s="23"/>
    </row>
  </sheetData>
  <mergeCells count="1">
    <mergeCell ref="B2:F2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S10000"/>
  <sheetViews>
    <sheetView showGridLines="0" showZeros="0" tabSelected="1" topLeftCell="A157" zoomScale="85" zoomScaleNormal="85" zoomScaleSheetLayoutView="85" workbookViewId="0">
      <selection activeCell="B121" sqref="B121:E192"/>
    </sheetView>
  </sheetViews>
  <sheetFormatPr defaultRowHeight="13.5"/>
  <cols>
    <col min="1" max="1" width="2.375" style="33" customWidth="1"/>
    <col min="2" max="2" width="14.625" style="35" customWidth="1"/>
    <col min="3" max="3" width="15.875" style="35" customWidth="1"/>
    <col min="4" max="4" width="20.375" style="35" customWidth="1"/>
    <col min="5" max="5" width="26.375" style="35" bestFit="1" customWidth="1"/>
    <col min="6" max="6" width="9.375" style="35" customWidth="1"/>
    <col min="7" max="7" width="6.25" style="35" customWidth="1"/>
    <col min="8" max="9" width="9.375" style="35" customWidth="1"/>
    <col min="10" max="12" width="9.375" style="33" customWidth="1"/>
    <col min="13" max="13" width="10.125" style="33" customWidth="1"/>
    <col min="14" max="14" width="29" style="33" customWidth="1"/>
    <col min="15" max="16384" width="9" style="33"/>
  </cols>
  <sheetData>
    <row r="1" spans="2:16">
      <c r="B1" s="43" t="s">
        <v>14</v>
      </c>
    </row>
    <row r="2" spans="2:16">
      <c r="B2" s="137" t="s">
        <v>82</v>
      </c>
      <c r="C2" s="137"/>
      <c r="D2" s="137"/>
      <c r="E2" s="137"/>
      <c r="F2" s="137"/>
      <c r="G2" s="137"/>
      <c r="H2" s="137"/>
      <c r="I2" s="137"/>
      <c r="J2" s="137"/>
      <c r="K2" s="137"/>
      <c r="L2" s="137"/>
    </row>
    <row r="3" spans="2:16">
      <c r="B3" s="137" t="s">
        <v>81</v>
      </c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86"/>
    </row>
    <row r="5" spans="2:16">
      <c r="B5" s="46" t="s">
        <v>22</v>
      </c>
      <c r="C5" s="49"/>
      <c r="D5" s="50"/>
      <c r="E5" s="50"/>
      <c r="F5" s="50"/>
      <c r="G5" s="50"/>
      <c r="H5" s="50"/>
      <c r="I5" s="50"/>
      <c r="J5" s="50"/>
      <c r="K5" s="50"/>
      <c r="L5" s="50"/>
      <c r="M5" s="50"/>
    </row>
    <row r="6" spans="2:16">
      <c r="B6" s="51" t="s">
        <v>23</v>
      </c>
      <c r="C6" s="52"/>
      <c r="D6" s="53"/>
      <c r="E6" s="53"/>
      <c r="F6" s="53"/>
      <c r="G6" s="53"/>
      <c r="H6" s="53"/>
      <c r="I6" s="53"/>
      <c r="J6" s="53"/>
      <c r="K6" s="54"/>
      <c r="L6" s="50"/>
      <c r="M6" s="50"/>
    </row>
    <row r="7" spans="2:16">
      <c r="B7" s="51" t="s">
        <v>24</v>
      </c>
      <c r="C7" s="55"/>
      <c r="D7" s="56"/>
      <c r="E7" s="56"/>
      <c r="F7" s="56"/>
      <c r="G7" s="56"/>
      <c r="H7" s="55"/>
      <c r="I7" s="55"/>
      <c r="J7" s="55"/>
      <c r="K7" s="42"/>
      <c r="L7" s="50"/>
      <c r="M7" s="50"/>
    </row>
    <row r="8" spans="2:16">
      <c r="B8" s="57"/>
      <c r="C8" s="49"/>
      <c r="D8" s="50"/>
      <c r="E8" s="50"/>
      <c r="F8" s="50"/>
      <c r="G8" s="50"/>
      <c r="H8" s="50"/>
      <c r="I8" s="50"/>
      <c r="J8" s="50"/>
      <c r="K8" s="50"/>
      <c r="L8" s="50"/>
      <c r="M8" s="50"/>
    </row>
    <row r="9" spans="2:16" ht="16.5">
      <c r="B9" s="58" t="s">
        <v>25</v>
      </c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32"/>
      <c r="O9" s="32"/>
      <c r="P9" s="32"/>
    </row>
    <row r="10" spans="2:16">
      <c r="B10" s="133" t="s">
        <v>33</v>
      </c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87"/>
    </row>
    <row r="11" spans="2:16">
      <c r="B11" s="133" t="s">
        <v>26</v>
      </c>
      <c r="C11" s="133"/>
      <c r="D11" s="133"/>
      <c r="E11" s="133"/>
      <c r="F11" s="133"/>
      <c r="G11" s="133"/>
      <c r="H11" s="133"/>
      <c r="I11" s="133"/>
      <c r="J11" s="133"/>
      <c r="K11" s="133"/>
      <c r="L11" s="133"/>
      <c r="M11" s="87"/>
    </row>
    <row r="12" spans="2:16">
      <c r="B12" s="133" t="s">
        <v>27</v>
      </c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87"/>
    </row>
    <row r="13" spans="2:16">
      <c r="B13" s="133" t="s">
        <v>34</v>
      </c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87"/>
    </row>
    <row r="14" spans="2:16">
      <c r="B14" s="133" t="s">
        <v>28</v>
      </c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87"/>
    </row>
    <row r="15" spans="2:16">
      <c r="B15" s="133" t="s">
        <v>29</v>
      </c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87"/>
    </row>
    <row r="16" spans="2:16">
      <c r="B16" s="133" t="s">
        <v>30</v>
      </c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87"/>
    </row>
    <row r="17" spans="2:19">
      <c r="B17" s="133" t="s">
        <v>31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87"/>
    </row>
    <row r="18" spans="2:19">
      <c r="B18" s="133" t="s">
        <v>32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87"/>
    </row>
    <row r="19" spans="2:19" s="68" customFormat="1" ht="12">
      <c r="B19" s="142" t="s">
        <v>80</v>
      </c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88"/>
    </row>
    <row r="20" spans="2:19" s="68" customFormat="1" ht="45" customHeight="1">
      <c r="B20" s="133" t="s">
        <v>94</v>
      </c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88"/>
    </row>
    <row r="21" spans="2:19">
      <c r="B21" s="133" t="s">
        <v>39</v>
      </c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87"/>
    </row>
    <row r="22" spans="2:19">
      <c r="B22" s="133" t="s">
        <v>40</v>
      </c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87"/>
    </row>
    <row r="23" spans="2:19">
      <c r="B23" s="133" t="s">
        <v>41</v>
      </c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87"/>
      <c r="P23" s="34"/>
    </row>
    <row r="24" spans="2:19">
      <c r="B24" s="133" t="s">
        <v>42</v>
      </c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87"/>
      <c r="P24" s="34"/>
    </row>
    <row r="25" spans="2:19">
      <c r="B25" s="133" t="s">
        <v>69</v>
      </c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87"/>
    </row>
    <row r="26" spans="2:19">
      <c r="B26" s="133" t="s">
        <v>68</v>
      </c>
      <c r="C26" s="133"/>
      <c r="D26" s="133"/>
      <c r="E26" s="133"/>
      <c r="F26" s="133"/>
      <c r="G26" s="133"/>
      <c r="H26" s="133"/>
      <c r="I26" s="133"/>
      <c r="J26" s="133"/>
      <c r="K26" s="133"/>
      <c r="L26" s="133"/>
    </row>
    <row r="27" spans="2:19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</row>
    <row r="28" spans="2:19"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</row>
    <row r="29" spans="2:19" ht="23.25">
      <c r="B29" s="44" t="s">
        <v>15</v>
      </c>
      <c r="C29" s="60" t="s">
        <v>95</v>
      </c>
      <c r="D29" s="45" t="s">
        <v>16</v>
      </c>
      <c r="P29" s="66"/>
      <c r="Q29" s="66">
        <v>1</v>
      </c>
      <c r="R29" s="66"/>
      <c r="S29" s="66"/>
    </row>
    <row r="30" spans="2:19">
      <c r="B30" s="46" t="s">
        <v>17</v>
      </c>
      <c r="C30" s="47"/>
      <c r="D30" s="48"/>
      <c r="P30" s="66"/>
      <c r="Q30" s="66">
        <v>2</v>
      </c>
      <c r="R30" s="66"/>
      <c r="S30" s="66"/>
    </row>
    <row r="31" spans="2:19">
      <c r="B31" s="46"/>
      <c r="C31" s="47"/>
      <c r="D31" s="48"/>
      <c r="P31" s="66"/>
      <c r="Q31" s="66"/>
      <c r="R31" s="66"/>
      <c r="S31" s="66"/>
    </row>
    <row r="32" spans="2:19" ht="17.25">
      <c r="B32" s="36" t="s">
        <v>79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2"/>
      <c r="O32" s="32"/>
      <c r="P32" s="108"/>
      <c r="Q32" s="66" t="s">
        <v>70</v>
      </c>
      <c r="R32" s="66"/>
      <c r="S32" s="66"/>
    </row>
    <row r="33" spans="2:19" ht="17.25"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2"/>
      <c r="O33" s="32"/>
      <c r="P33" s="108"/>
      <c r="Q33" s="66" t="s">
        <v>71</v>
      </c>
      <c r="R33" s="66"/>
      <c r="S33" s="66" t="s">
        <v>74</v>
      </c>
    </row>
    <row r="34" spans="2:19" ht="16.5">
      <c r="B34" s="139" t="s">
        <v>13</v>
      </c>
      <c r="C34" s="140"/>
      <c r="D34" s="140"/>
      <c r="E34" s="141"/>
      <c r="F34" s="139" t="s">
        <v>87</v>
      </c>
      <c r="G34" s="141"/>
      <c r="H34" s="139" t="s">
        <v>12</v>
      </c>
      <c r="I34" s="140"/>
      <c r="J34" s="141"/>
      <c r="K34" s="134" t="s">
        <v>58</v>
      </c>
      <c r="L34" s="135"/>
      <c r="M34" s="136"/>
      <c r="N34" s="138" t="s">
        <v>78</v>
      </c>
      <c r="O34" s="32"/>
      <c r="P34" s="108"/>
      <c r="Q34" s="66" t="s">
        <v>72</v>
      </c>
      <c r="R34" s="66"/>
      <c r="S34" s="66" t="s">
        <v>75</v>
      </c>
    </row>
    <row r="35" spans="2:19" ht="27">
      <c r="B35" s="61" t="s">
        <v>18</v>
      </c>
      <c r="C35" s="37" t="s">
        <v>19</v>
      </c>
      <c r="D35" s="37" t="s">
        <v>20</v>
      </c>
      <c r="E35" s="38" t="s">
        <v>21</v>
      </c>
      <c r="F35" s="39" t="s">
        <v>36</v>
      </c>
      <c r="G35" s="67" t="s">
        <v>77</v>
      </c>
      <c r="H35" s="39" t="s">
        <v>35</v>
      </c>
      <c r="I35" s="40" t="s">
        <v>37</v>
      </c>
      <c r="J35" s="41" t="s">
        <v>38</v>
      </c>
      <c r="K35" s="91" t="s">
        <v>59</v>
      </c>
      <c r="L35" s="92" t="s">
        <v>60</v>
      </c>
      <c r="M35" s="90" t="s">
        <v>61</v>
      </c>
      <c r="N35" s="138"/>
      <c r="O35" s="32"/>
      <c r="P35" s="108"/>
      <c r="Q35" s="66" t="s">
        <v>73</v>
      </c>
      <c r="R35" s="66"/>
      <c r="S35" s="66" t="s">
        <v>76</v>
      </c>
    </row>
    <row r="36" spans="2:19" s="34" customFormat="1">
      <c r="B36" s="62" t="s">
        <v>96</v>
      </c>
      <c r="C36" s="63" t="s">
        <v>97</v>
      </c>
      <c r="D36" s="62" t="s">
        <v>98</v>
      </c>
      <c r="E36" s="62" t="s">
        <v>99</v>
      </c>
      <c r="F36" s="64" t="s">
        <v>100</v>
      </c>
      <c r="G36" s="64" t="s">
        <v>101</v>
      </c>
      <c r="H36" s="64" t="s">
        <v>102</v>
      </c>
      <c r="I36" s="70">
        <v>3</v>
      </c>
      <c r="J36" s="70">
        <v>6</v>
      </c>
      <c r="K36" s="110" t="str">
        <f>IF(H36="","",IF($C$29="간이법","",FPR(H36,I36,J36)))</f>
        <v>A</v>
      </c>
      <c r="L36" s="111">
        <f>IF(H36="","",IF($C$29="상세법",FPV(H36,K36),IF(H36="EI",4,IF(H36="EO",5.2,IF(H36="EQ",3.9,IF(H36="ILF",7.5,IF(H36="EIF",5.4)))))))</f>
        <v>5</v>
      </c>
      <c r="M36" s="112">
        <f>IF(L36="","",L36*IF(G36="상",0.7,IF(G36="중",0.5,IF(G36="하",0.2,1))))</f>
        <v>5</v>
      </c>
      <c r="N36" s="113" t="s">
        <v>101</v>
      </c>
      <c r="P36" s="109"/>
      <c r="Q36" s="109"/>
      <c r="R36" s="109"/>
      <c r="S36" s="109"/>
    </row>
    <row r="37" spans="2:19" s="34" customFormat="1">
      <c r="B37" s="62" t="s">
        <v>96</v>
      </c>
      <c r="C37" s="63" t="s">
        <v>97</v>
      </c>
      <c r="D37" s="62" t="s">
        <v>103</v>
      </c>
      <c r="E37" s="62" t="s">
        <v>104</v>
      </c>
      <c r="F37" s="64" t="s">
        <v>100</v>
      </c>
      <c r="G37" s="64" t="s">
        <v>101</v>
      </c>
      <c r="H37" s="64" t="s">
        <v>102</v>
      </c>
      <c r="I37" s="70">
        <v>1</v>
      </c>
      <c r="J37" s="70">
        <v>5</v>
      </c>
      <c r="K37" s="110" t="str">
        <f>IF(H37="","",IF($C$29="간이법","",FPR(H37,I37,J37)))</f>
        <v>L</v>
      </c>
      <c r="L37" s="111">
        <f>IF(H37="","",IF($C$29="상세법",FPV(H37,K37),IF(H37="EI",4,IF(H37="EO",5.2,IF(H37="EQ",3.9,IF(H37="ILF",7.5,IF(H37="EIF",5.4)))))))</f>
        <v>4</v>
      </c>
      <c r="M37" s="112">
        <f t="shared" ref="M37:M54" si="0">IF(L37="","",L37*IF(G37="상",0.7,IF(G37="중",0.5,IF(G37="하",0.2,1))))</f>
        <v>4</v>
      </c>
      <c r="N37" s="113" t="s">
        <v>101</v>
      </c>
      <c r="P37" s="109"/>
      <c r="Q37" s="109"/>
      <c r="R37" s="109"/>
      <c r="S37" s="109"/>
    </row>
    <row r="38" spans="2:19" s="34" customFormat="1">
      <c r="B38" s="62" t="s">
        <v>96</v>
      </c>
      <c r="C38" s="63" t="s">
        <v>97</v>
      </c>
      <c r="D38" s="62" t="s">
        <v>105</v>
      </c>
      <c r="E38" s="62" t="s">
        <v>106</v>
      </c>
      <c r="F38" s="64" t="s">
        <v>100</v>
      </c>
      <c r="G38" s="64" t="s">
        <v>101</v>
      </c>
      <c r="H38" s="64" t="s">
        <v>102</v>
      </c>
      <c r="I38" s="70">
        <v>1</v>
      </c>
      <c r="J38" s="70">
        <v>5</v>
      </c>
      <c r="K38" s="110" t="str">
        <f>IF(H38="","",IF($C$29="간이법","",FPR(H38,I38,J38)))</f>
        <v>L</v>
      </c>
      <c r="L38" s="111">
        <f>IF(H38="","",IF($C$29="상세법",FPV(H38,K38),IF(H38="EI",4,IF(H38="EO",5.2,IF(H38="EQ",3.9,IF(H38="ILF",7.5,IF(H38="EIF",5.4)))))))</f>
        <v>4</v>
      </c>
      <c r="M38" s="112">
        <f t="shared" si="0"/>
        <v>4</v>
      </c>
      <c r="N38" s="113" t="s">
        <v>101</v>
      </c>
    </row>
    <row r="39" spans="2:19" s="34" customFormat="1">
      <c r="B39" s="62" t="s">
        <v>96</v>
      </c>
      <c r="C39" s="63" t="s">
        <v>97</v>
      </c>
      <c r="D39" s="62" t="s">
        <v>107</v>
      </c>
      <c r="E39" s="62" t="s">
        <v>108</v>
      </c>
      <c r="F39" s="64" t="s">
        <v>100</v>
      </c>
      <c r="G39" s="64" t="s">
        <v>101</v>
      </c>
      <c r="H39" s="64" t="s">
        <v>102</v>
      </c>
      <c r="I39" s="70">
        <v>1</v>
      </c>
      <c r="J39" s="70">
        <v>5</v>
      </c>
      <c r="K39" s="110" t="str">
        <f>IF(H39="","",IF($C$29="간이법","",FPR(H39,I39,J39)))</f>
        <v>L</v>
      </c>
      <c r="L39" s="111">
        <f>IF(H39="","",IF($C$29="상세법",FPV(H39,K39),IF(H39="EI",4,IF(H39="EO",5.2,IF(H39="EQ",3.9,IF(H39="ILF",7.5,IF(H39="EIF",5.4)))))))</f>
        <v>4</v>
      </c>
      <c r="M39" s="112">
        <f t="shared" si="0"/>
        <v>4</v>
      </c>
      <c r="N39" s="113" t="s">
        <v>101</v>
      </c>
    </row>
    <row r="40" spans="2:19" ht="16.5">
      <c r="B40" s="65" t="s">
        <v>96</v>
      </c>
      <c r="C40" s="65" t="s">
        <v>97</v>
      </c>
      <c r="D40" s="65" t="s">
        <v>109</v>
      </c>
      <c r="E40" s="65" t="s">
        <v>110</v>
      </c>
      <c r="F40" s="64" t="s">
        <v>100</v>
      </c>
      <c r="G40" s="64" t="s">
        <v>101</v>
      </c>
      <c r="H40" s="64" t="s">
        <v>111</v>
      </c>
      <c r="I40" s="71">
        <v>2</v>
      </c>
      <c r="J40" s="71">
        <v>7</v>
      </c>
      <c r="K40" s="110" t="str">
        <f>IF(H40="","",IF($C$29="간이법","",FPR(H40,I40,J40)))</f>
        <v>A</v>
      </c>
      <c r="L40" s="111">
        <f>IF(H40="","",IF($C$29="상세법",FPV(H40,K40),IF(H40="EI",4,IF(H40="EO",5.2,IF(H40="EQ",3.9,IF(H40="ILF",7.5,IF(H40="EIF",5.4)))))))</f>
        <v>4</v>
      </c>
      <c r="M40" s="112">
        <f t="shared" si="0"/>
        <v>4</v>
      </c>
      <c r="N40" s="113" t="s">
        <v>101</v>
      </c>
      <c r="O40" s="32"/>
      <c r="P40" s="32"/>
    </row>
    <row r="41" spans="2:19" ht="16.5">
      <c r="B41" s="65" t="s">
        <v>96</v>
      </c>
      <c r="C41" s="65" t="s">
        <v>97</v>
      </c>
      <c r="D41" s="65" t="s">
        <v>112</v>
      </c>
      <c r="E41" s="65" t="s">
        <v>113</v>
      </c>
      <c r="F41" s="69" t="s">
        <v>100</v>
      </c>
      <c r="G41" s="64" t="s">
        <v>101</v>
      </c>
      <c r="H41" s="64" t="s">
        <v>111</v>
      </c>
      <c r="I41" s="71">
        <v>2</v>
      </c>
      <c r="J41" s="71">
        <v>7</v>
      </c>
      <c r="K41" s="110" t="str">
        <f>IF(H41="","",IF($C$29="간이법","",FPR(H41,I41,J41)))</f>
        <v>A</v>
      </c>
      <c r="L41" s="111">
        <f>IF(H41="","",IF($C$29="상세법",FPV(H41,K41),IF(H41="EI",4,IF(H41="EO",5.2,IF(H41="EQ",3.9,IF(H41="ILF",7.5,IF(H41="EIF",5.4)))))))</f>
        <v>4</v>
      </c>
      <c r="M41" s="112">
        <f t="shared" si="0"/>
        <v>4</v>
      </c>
      <c r="N41" s="113" t="s">
        <v>101</v>
      </c>
      <c r="O41" s="32"/>
      <c r="P41" s="32"/>
    </row>
    <row r="42" spans="2:19" ht="16.5">
      <c r="B42" s="65" t="s">
        <v>96</v>
      </c>
      <c r="C42" s="65" t="s">
        <v>97</v>
      </c>
      <c r="D42" s="65" t="s">
        <v>114</v>
      </c>
      <c r="E42" s="65" t="s">
        <v>115</v>
      </c>
      <c r="F42" s="69" t="s">
        <v>100</v>
      </c>
      <c r="G42" s="64" t="s">
        <v>101</v>
      </c>
      <c r="H42" s="64" t="s">
        <v>111</v>
      </c>
      <c r="I42" s="71">
        <v>2</v>
      </c>
      <c r="J42" s="71">
        <v>6</v>
      </c>
      <c r="K42" s="110" t="str">
        <f>IF(H42="","",IF($C$29="간이법","",FPR(H42,I42,J42)))</f>
        <v>A</v>
      </c>
      <c r="L42" s="111">
        <f>IF(H42="","",IF($C$29="상세법",FPV(H42,K42),IF(H42="EI",4,IF(H42="EO",5.2,IF(H42="EQ",3.9,IF(H42="ILF",7.5,IF(H42="EIF",5.4)))))))</f>
        <v>4</v>
      </c>
      <c r="M42" s="112">
        <f t="shared" si="0"/>
        <v>4</v>
      </c>
      <c r="N42" s="113" t="s">
        <v>101</v>
      </c>
      <c r="O42" s="32"/>
      <c r="P42" s="32"/>
    </row>
    <row r="43" spans="2:19" ht="16.5">
      <c r="B43" s="65" t="s">
        <v>96</v>
      </c>
      <c r="C43" s="65" t="s">
        <v>97</v>
      </c>
      <c r="D43" s="65" t="s">
        <v>116</v>
      </c>
      <c r="E43" s="65" t="s">
        <v>117</v>
      </c>
      <c r="F43" s="69" t="s">
        <v>100</v>
      </c>
      <c r="G43" s="64" t="s">
        <v>101</v>
      </c>
      <c r="H43" s="64" t="s">
        <v>111</v>
      </c>
      <c r="I43" s="71">
        <v>2</v>
      </c>
      <c r="J43" s="71">
        <v>9</v>
      </c>
      <c r="K43" s="110" t="str">
        <f>IF(H43="","",IF($C$29="간이법","",FPR(H43,I43,J43)))</f>
        <v>A</v>
      </c>
      <c r="L43" s="111">
        <f>IF(H43="","",IF($C$29="상세법",FPV(H43,K43),IF(H43="EI",4,IF(H43="EO",5.2,IF(H43="EQ",3.9,IF(H43="ILF",7.5,IF(H43="EIF",5.4)))))))</f>
        <v>4</v>
      </c>
      <c r="M43" s="112">
        <f t="shared" si="0"/>
        <v>4</v>
      </c>
      <c r="N43" s="113" t="s">
        <v>101</v>
      </c>
      <c r="O43" s="32"/>
      <c r="P43" s="32"/>
    </row>
    <row r="44" spans="2:19" ht="16.5">
      <c r="B44" s="65" t="s">
        <v>96</v>
      </c>
      <c r="C44" s="65" t="s">
        <v>97</v>
      </c>
      <c r="D44" s="65" t="s">
        <v>118</v>
      </c>
      <c r="E44" s="65" t="s">
        <v>119</v>
      </c>
      <c r="F44" s="69" t="s">
        <v>100</v>
      </c>
      <c r="G44" s="64" t="s">
        <v>101</v>
      </c>
      <c r="H44" s="64" t="s">
        <v>111</v>
      </c>
      <c r="I44" s="71">
        <v>2</v>
      </c>
      <c r="J44" s="71">
        <v>7</v>
      </c>
      <c r="K44" s="110" t="str">
        <f>IF(H44="","",IF($C$29="간이법","",FPR(H44,I44,J44)))</f>
        <v>A</v>
      </c>
      <c r="L44" s="111">
        <f>IF(H44="","",IF($C$29="상세법",FPV(H44,K44),IF(H44="EI",4,IF(H44="EO",5.2,IF(H44="EQ",3.9,IF(H44="ILF",7.5,IF(H44="EIF",5.4)))))))</f>
        <v>4</v>
      </c>
      <c r="M44" s="112">
        <f t="shared" si="0"/>
        <v>4</v>
      </c>
      <c r="N44" s="113" t="s">
        <v>101</v>
      </c>
      <c r="O44" s="32"/>
      <c r="P44" s="32"/>
    </row>
    <row r="45" spans="2:19" ht="27">
      <c r="B45" s="105" t="s">
        <v>96</v>
      </c>
      <c r="C45" s="106" t="s">
        <v>97</v>
      </c>
      <c r="D45" s="107" t="s">
        <v>120</v>
      </c>
      <c r="E45" s="65" t="s">
        <v>121</v>
      </c>
      <c r="F45" s="64" t="s">
        <v>100</v>
      </c>
      <c r="G45" s="64" t="s">
        <v>101</v>
      </c>
      <c r="H45" s="64" t="s">
        <v>10</v>
      </c>
      <c r="I45" s="70">
        <v>2</v>
      </c>
      <c r="J45" s="70">
        <v>22</v>
      </c>
      <c r="K45" s="110" t="str">
        <f>IF(H45="","",IF($C$29="간이법","",FPR(H45,I45,J45)))</f>
        <v>H</v>
      </c>
      <c r="L45" s="111">
        <f>IF(H45="","",IF($C$29="상세법",FPV(H45,K45),IF(H45="EI",4,IF(H45="EO",5.2,IF(H45="EQ",3.9,IF(H45="ILF",7.5,IF(H45="EIF",5.4)))))))</f>
        <v>6</v>
      </c>
      <c r="M45" s="112">
        <f t="shared" si="0"/>
        <v>6</v>
      </c>
      <c r="N45" s="113" t="s">
        <v>101</v>
      </c>
      <c r="O45" s="32"/>
      <c r="P45" s="32"/>
    </row>
    <row r="46" spans="2:19" ht="27">
      <c r="B46" s="105" t="s">
        <v>96</v>
      </c>
      <c r="C46" s="106" t="s">
        <v>97</v>
      </c>
      <c r="D46" s="107" t="s">
        <v>122</v>
      </c>
      <c r="E46" s="65" t="s">
        <v>123</v>
      </c>
      <c r="F46" s="64" t="s">
        <v>100</v>
      </c>
      <c r="G46" s="64" t="s">
        <v>101</v>
      </c>
      <c r="H46" s="64" t="s">
        <v>10</v>
      </c>
      <c r="I46" s="70">
        <v>2</v>
      </c>
      <c r="J46" s="70">
        <v>22</v>
      </c>
      <c r="K46" s="110" t="str">
        <f>IF(H46="","",IF($C$29="간이법","",FPR(H46,I46,J46)))</f>
        <v>H</v>
      </c>
      <c r="L46" s="111">
        <f>IF(H46="","",IF($C$29="상세법",FPV(H46,K46),IF(H46="EI",4,IF(H46="EO",5.2,IF(H46="EQ",3.9,IF(H46="ILF",7.5,IF(H46="EIF",5.4)))))))</f>
        <v>6</v>
      </c>
      <c r="M46" s="112">
        <f t="shared" si="0"/>
        <v>6</v>
      </c>
      <c r="N46" s="113" t="s">
        <v>101</v>
      </c>
      <c r="O46" s="32"/>
      <c r="P46" s="32"/>
    </row>
    <row r="47" spans="2:19" ht="27">
      <c r="B47" s="105" t="s">
        <v>96</v>
      </c>
      <c r="C47" s="106" t="s">
        <v>97</v>
      </c>
      <c r="D47" s="107" t="s">
        <v>124</v>
      </c>
      <c r="E47" s="65" t="s">
        <v>125</v>
      </c>
      <c r="F47" s="64" t="s">
        <v>100</v>
      </c>
      <c r="G47" s="64" t="s">
        <v>101</v>
      </c>
      <c r="H47" s="64" t="s">
        <v>10</v>
      </c>
      <c r="I47" s="70">
        <v>4</v>
      </c>
      <c r="J47" s="70">
        <v>3</v>
      </c>
      <c r="K47" s="110" t="str">
        <f>IF(H47="","",IF($C$29="간이법","",FPR(H47,I47,J47)))</f>
        <v>A</v>
      </c>
      <c r="L47" s="111">
        <f>IF(H47="","",IF($C$29="상세법",FPV(H47,K47),IF(H47="EI",4,IF(H47="EO",5.2,IF(H47="EQ",3.9,IF(H47="ILF",7.5,IF(H47="EIF",5.4)))))))</f>
        <v>4</v>
      </c>
      <c r="M47" s="112">
        <f t="shared" si="0"/>
        <v>4</v>
      </c>
      <c r="N47" s="113" t="s">
        <v>101</v>
      </c>
      <c r="O47" s="32"/>
      <c r="P47" s="32"/>
    </row>
    <row r="48" spans="2:19" ht="27">
      <c r="B48" s="105" t="s">
        <v>96</v>
      </c>
      <c r="C48" s="106" t="s">
        <v>97</v>
      </c>
      <c r="D48" s="107" t="s">
        <v>126</v>
      </c>
      <c r="E48" s="65" t="s">
        <v>127</v>
      </c>
      <c r="F48" s="64" t="s">
        <v>100</v>
      </c>
      <c r="G48" s="64" t="s">
        <v>101</v>
      </c>
      <c r="H48" s="64" t="s">
        <v>111</v>
      </c>
      <c r="I48" s="70">
        <v>2</v>
      </c>
      <c r="J48" s="70">
        <v>7</v>
      </c>
      <c r="K48" s="110" t="str">
        <f>IF(H48="","",IF($C$29="간이법","",FPR(H48,I48,J48)))</f>
        <v>A</v>
      </c>
      <c r="L48" s="111">
        <f>IF(H48="","",IF($C$29="상세법",FPV(H48,K48),IF(H48="EI",4,IF(H48="EO",5.2,IF(H48="EQ",3.9,IF(H48="ILF",7.5,IF(H48="EIF",5.4)))))))</f>
        <v>4</v>
      </c>
      <c r="M48" s="112">
        <f t="shared" si="0"/>
        <v>4</v>
      </c>
      <c r="N48" s="113" t="s">
        <v>101</v>
      </c>
    </row>
    <row r="49" spans="2:14" ht="27">
      <c r="B49" s="105" t="s">
        <v>96</v>
      </c>
      <c r="C49" s="106" t="s">
        <v>97</v>
      </c>
      <c r="D49" s="107" t="s">
        <v>128</v>
      </c>
      <c r="E49" s="65" t="s">
        <v>129</v>
      </c>
      <c r="F49" s="69" t="s">
        <v>100</v>
      </c>
      <c r="G49" s="64" t="s">
        <v>101</v>
      </c>
      <c r="H49" s="64" t="s">
        <v>111</v>
      </c>
      <c r="I49" s="70">
        <v>4</v>
      </c>
      <c r="J49" s="70">
        <v>17</v>
      </c>
      <c r="K49" s="110" t="str">
        <f>IF(H49="","",IF($C$29="간이법","",FPR(H49,I49,J49)))</f>
        <v>H</v>
      </c>
      <c r="L49" s="111">
        <f>IF(H49="","",IF($C$29="상세법",FPV(H49,K49),IF(H49="EI",4,IF(H49="EO",5.2,IF(H49="EQ",3.9,IF(H49="ILF",7.5,IF(H49="EIF",5.4)))))))</f>
        <v>6</v>
      </c>
      <c r="M49" s="112">
        <f t="shared" si="0"/>
        <v>6</v>
      </c>
      <c r="N49" s="113" t="s">
        <v>101</v>
      </c>
    </row>
    <row r="50" spans="2:14" ht="27">
      <c r="B50" s="105" t="s">
        <v>96</v>
      </c>
      <c r="C50" s="106" t="s">
        <v>97</v>
      </c>
      <c r="D50" s="107" t="s">
        <v>130</v>
      </c>
      <c r="E50" s="65" t="s">
        <v>131</v>
      </c>
      <c r="F50" s="69" t="s">
        <v>100</v>
      </c>
      <c r="G50" s="64" t="s">
        <v>101</v>
      </c>
      <c r="H50" s="64" t="s">
        <v>10</v>
      </c>
      <c r="I50" s="70">
        <v>1</v>
      </c>
      <c r="J50" s="70">
        <v>6</v>
      </c>
      <c r="K50" s="110" t="str">
        <f>IF(H50="","",IF($C$29="간이법","",FPR(H50,I50,J50)))</f>
        <v>L</v>
      </c>
      <c r="L50" s="111">
        <f>IF(H50="","",IF($C$29="상세법",FPV(H50,K50),IF(H50="EI",4,IF(H50="EO",5.2,IF(H50="EQ",3.9,IF(H50="ILF",7.5,IF(H50="EIF",5.4)))))))</f>
        <v>3</v>
      </c>
      <c r="M50" s="112">
        <f t="shared" si="0"/>
        <v>3</v>
      </c>
      <c r="N50" s="113" t="s">
        <v>101</v>
      </c>
    </row>
    <row r="51" spans="2:14" ht="27">
      <c r="B51" s="105" t="s">
        <v>96</v>
      </c>
      <c r="C51" s="106" t="s">
        <v>97</v>
      </c>
      <c r="D51" s="107" t="s">
        <v>132</v>
      </c>
      <c r="E51" s="65" t="s">
        <v>133</v>
      </c>
      <c r="F51" s="64" t="s">
        <v>100</v>
      </c>
      <c r="G51" s="64" t="s">
        <v>101</v>
      </c>
      <c r="H51" s="64" t="s">
        <v>10</v>
      </c>
      <c r="I51" s="70">
        <v>4</v>
      </c>
      <c r="J51" s="70">
        <v>16</v>
      </c>
      <c r="K51" s="110" t="str">
        <f>IF(H51="","",IF($C$29="간이법","",FPR(H51,I51,J51)))</f>
        <v>H</v>
      </c>
      <c r="L51" s="111">
        <f>IF(H51="","",IF($C$29="상세법",FPV(H51,K51),IF(H51="EI",4,IF(H51="EO",5.2,IF(H51="EQ",3.9,IF(H51="ILF",7.5,IF(H51="EIF",5.4)))))))</f>
        <v>6</v>
      </c>
      <c r="M51" s="112">
        <f t="shared" si="0"/>
        <v>6</v>
      </c>
      <c r="N51" s="113" t="s">
        <v>101</v>
      </c>
    </row>
    <row r="52" spans="2:14" ht="27">
      <c r="B52" s="105" t="s">
        <v>96</v>
      </c>
      <c r="C52" s="106" t="s">
        <v>97</v>
      </c>
      <c r="D52" s="107" t="s">
        <v>134</v>
      </c>
      <c r="E52" s="65" t="s">
        <v>135</v>
      </c>
      <c r="F52" s="64" t="s">
        <v>100</v>
      </c>
      <c r="G52" s="64" t="s">
        <v>101</v>
      </c>
      <c r="H52" s="64" t="s">
        <v>10</v>
      </c>
      <c r="I52" s="70">
        <v>4</v>
      </c>
      <c r="J52" s="70">
        <v>42</v>
      </c>
      <c r="K52" s="110" t="str">
        <f>IF(H52="","",IF($C$29="간이법","",FPR(H52,I52,J52)))</f>
        <v>H</v>
      </c>
      <c r="L52" s="111">
        <f>IF(H52="","",IF($C$29="상세법",FPV(H52,K52),IF(H52="EI",4,IF(H52="EO",5.2,IF(H52="EQ",3.9,IF(H52="ILF",7.5,IF(H52="EIF",5.4)))))))</f>
        <v>6</v>
      </c>
      <c r="M52" s="112">
        <f t="shared" si="0"/>
        <v>6</v>
      </c>
      <c r="N52" s="113" t="s">
        <v>101</v>
      </c>
    </row>
    <row r="53" spans="2:14" ht="27">
      <c r="B53" s="105" t="s">
        <v>96</v>
      </c>
      <c r="C53" s="106" t="s">
        <v>97</v>
      </c>
      <c r="D53" s="107" t="s">
        <v>136</v>
      </c>
      <c r="E53" s="65" t="s">
        <v>137</v>
      </c>
      <c r="F53" s="64" t="s">
        <v>100</v>
      </c>
      <c r="G53" s="64" t="s">
        <v>101</v>
      </c>
      <c r="H53" s="64" t="s">
        <v>10</v>
      </c>
      <c r="I53" s="70">
        <v>4</v>
      </c>
      <c r="J53" s="70">
        <v>3</v>
      </c>
      <c r="K53" s="110" t="str">
        <f>IF(H53="","",IF($C$29="간이법","",FPR(H53,I53,J53)))</f>
        <v>A</v>
      </c>
      <c r="L53" s="111">
        <f>IF(H53="","",IF($C$29="상세법",FPV(H53,K53),IF(H53="EI",4,IF(H53="EO",5.2,IF(H53="EQ",3.9,IF(H53="ILF",7.5,IF(H53="EIF",5.4)))))))</f>
        <v>4</v>
      </c>
      <c r="M53" s="112">
        <f t="shared" si="0"/>
        <v>4</v>
      </c>
      <c r="N53" s="113" t="s">
        <v>101</v>
      </c>
    </row>
    <row r="54" spans="2:14" ht="27">
      <c r="B54" s="105" t="s">
        <v>96</v>
      </c>
      <c r="C54" s="106" t="s">
        <v>97</v>
      </c>
      <c r="D54" s="107" t="s">
        <v>138</v>
      </c>
      <c r="E54" s="65" t="s">
        <v>139</v>
      </c>
      <c r="F54" s="64" t="s">
        <v>100</v>
      </c>
      <c r="G54" s="64" t="s">
        <v>101</v>
      </c>
      <c r="H54" s="64" t="s">
        <v>111</v>
      </c>
      <c r="I54" s="70">
        <v>2</v>
      </c>
      <c r="J54" s="70">
        <v>6</v>
      </c>
      <c r="K54" s="110" t="str">
        <f>IF(H54="","",IF($C$29="간이법","",FPR(H54,I54,J54)))</f>
        <v>A</v>
      </c>
      <c r="L54" s="111">
        <f>IF(H54="","",IF($C$29="상세법",FPV(H54,K54),IF(H54="EI",4,IF(H54="EO",5.2,IF(H54="EQ",3.9,IF(H54="ILF",7.5,IF(H54="EIF",5.4)))))))</f>
        <v>4</v>
      </c>
      <c r="M54" s="112">
        <f t="shared" si="0"/>
        <v>4</v>
      </c>
      <c r="N54" s="113" t="s">
        <v>101</v>
      </c>
    </row>
    <row r="55" spans="2:14" ht="27">
      <c r="B55" s="105" t="s">
        <v>96</v>
      </c>
      <c r="C55" s="106" t="s">
        <v>97</v>
      </c>
      <c r="D55" s="107" t="s">
        <v>140</v>
      </c>
      <c r="E55" s="65" t="s">
        <v>141</v>
      </c>
      <c r="F55" s="69" t="s">
        <v>100</v>
      </c>
      <c r="G55" s="64" t="s">
        <v>101</v>
      </c>
      <c r="H55" s="64" t="s">
        <v>111</v>
      </c>
      <c r="I55" s="70">
        <v>1</v>
      </c>
      <c r="J55" s="70">
        <v>36</v>
      </c>
      <c r="K55" s="110" t="str">
        <f>IF(H55="","",IF($C$29="간이법","",FPR(H55,I55,J55)))</f>
        <v>A</v>
      </c>
      <c r="L55" s="111">
        <f>IF(H55="","",IF($C$29="상세법",FPV(H55,K55),IF(H55="EI",4,IF(H55="EO",5.2,IF(H55="EQ",3.9,IF(H55="ILF",7.5,IF(H55="EIF",5.4)))))))</f>
        <v>4</v>
      </c>
      <c r="M55" s="112">
        <f t="shared" ref="M55:M62" si="1">IF(L55="","",L55*IF(G55="상",0.7,IF(G55="중",0.5,IF(G55="하",0.2,1))))</f>
        <v>4</v>
      </c>
      <c r="N55" s="113" t="s">
        <v>101</v>
      </c>
    </row>
    <row r="56" spans="2:14" ht="27">
      <c r="B56" s="105" t="s">
        <v>96</v>
      </c>
      <c r="C56" s="106" t="s">
        <v>97</v>
      </c>
      <c r="D56" s="107" t="s">
        <v>142</v>
      </c>
      <c r="E56" s="65" t="s">
        <v>143</v>
      </c>
      <c r="F56" s="64" t="s">
        <v>100</v>
      </c>
      <c r="G56" s="64" t="s">
        <v>101</v>
      </c>
      <c r="H56" s="64" t="s">
        <v>111</v>
      </c>
      <c r="I56" s="70">
        <v>2</v>
      </c>
      <c r="J56" s="70">
        <v>6</v>
      </c>
      <c r="K56" s="110" t="str">
        <f>IF(H56="","",IF($C$29="간이법","",FPR(H56,I56,J56)))</f>
        <v>A</v>
      </c>
      <c r="L56" s="111">
        <f>IF(H56="","",IF($C$29="상세법",FPV(H56,K56),IF(H56="EI",4,IF(H56="EO",5.2,IF(H56="EQ",3.9,IF(H56="ILF",7.5,IF(H56="EIF",5.4)))))))</f>
        <v>4</v>
      </c>
      <c r="M56" s="112">
        <f t="shared" si="1"/>
        <v>4</v>
      </c>
      <c r="N56" s="113" t="s">
        <v>101</v>
      </c>
    </row>
    <row r="57" spans="2:14">
      <c r="B57" s="65" t="s">
        <v>96</v>
      </c>
      <c r="C57" s="65" t="s">
        <v>97</v>
      </c>
      <c r="D57" s="65" t="s">
        <v>144</v>
      </c>
      <c r="E57" s="65" t="s">
        <v>145</v>
      </c>
      <c r="F57" s="69" t="s">
        <v>100</v>
      </c>
      <c r="G57" s="64" t="s">
        <v>101</v>
      </c>
      <c r="H57" s="64" t="s">
        <v>111</v>
      </c>
      <c r="I57" s="71">
        <v>1</v>
      </c>
      <c r="J57" s="71">
        <v>6</v>
      </c>
      <c r="K57" s="110" t="str">
        <f>IF(H57="","",IF($C$29="간이법","",FPR(H57,I57,J57)))</f>
        <v>L</v>
      </c>
      <c r="L57" s="111">
        <f>IF(H57="","",IF($C$29="상세법",FPV(H57,K57),IF(H57="EI",4,IF(H57="EO",5.2,IF(H57="EQ",3.9,IF(H57="ILF",7.5,IF(H57="EIF",5.4)))))))</f>
        <v>3</v>
      </c>
      <c r="M57" s="112">
        <f t="shared" si="1"/>
        <v>3</v>
      </c>
      <c r="N57" s="113" t="s">
        <v>101</v>
      </c>
    </row>
    <row r="58" spans="2:14">
      <c r="B58" s="65" t="s">
        <v>96</v>
      </c>
      <c r="C58" s="65" t="s">
        <v>97</v>
      </c>
      <c r="D58" s="65" t="s">
        <v>146</v>
      </c>
      <c r="E58" s="65" t="s">
        <v>147</v>
      </c>
      <c r="F58" s="69" t="s">
        <v>100</v>
      </c>
      <c r="G58" s="64" t="s">
        <v>101</v>
      </c>
      <c r="H58" s="64" t="s">
        <v>111</v>
      </c>
      <c r="I58" s="71">
        <v>3</v>
      </c>
      <c r="J58" s="71">
        <v>30</v>
      </c>
      <c r="K58" s="110" t="str">
        <f>IF(H58="","",IF($C$29="간이법","",FPR(H58,I58,J58)))</f>
        <v>H</v>
      </c>
      <c r="L58" s="111">
        <f>IF(H58="","",IF($C$29="상세법",FPV(H58,K58),IF(H58="EI",4,IF(H58="EO",5.2,IF(H58="EQ",3.9,IF(H58="ILF",7.5,IF(H58="EIF",5.4)))))))</f>
        <v>6</v>
      </c>
      <c r="M58" s="112">
        <f t="shared" si="1"/>
        <v>6</v>
      </c>
      <c r="N58" s="113" t="s">
        <v>101</v>
      </c>
    </row>
    <row r="59" spans="2:14">
      <c r="B59" s="65" t="s">
        <v>96</v>
      </c>
      <c r="C59" s="65" t="s">
        <v>97</v>
      </c>
      <c r="D59" s="65" t="s">
        <v>148</v>
      </c>
      <c r="E59" s="65" t="s">
        <v>149</v>
      </c>
      <c r="F59" s="69" t="s">
        <v>100</v>
      </c>
      <c r="G59" s="64" t="s">
        <v>101</v>
      </c>
      <c r="H59" s="64" t="s">
        <v>10</v>
      </c>
      <c r="I59" s="71">
        <v>3</v>
      </c>
      <c r="J59" s="71">
        <v>36</v>
      </c>
      <c r="K59" s="110" t="str">
        <f>IF(H59="","",IF($C$29="간이법","",FPR(H59,I59,J59)))</f>
        <v>H</v>
      </c>
      <c r="L59" s="111">
        <f>IF(H59="","",IF($C$29="상세법",FPV(H59,K59),IF(H59="EI",4,IF(H59="EO",5.2,IF(H59="EQ",3.9,IF(H59="ILF",7.5,IF(H59="EIF",5.4)))))))</f>
        <v>6</v>
      </c>
      <c r="M59" s="112">
        <f t="shared" si="1"/>
        <v>6</v>
      </c>
      <c r="N59" s="113" t="s">
        <v>101</v>
      </c>
    </row>
    <row r="60" spans="2:14">
      <c r="B60" s="62" t="s">
        <v>96</v>
      </c>
      <c r="C60" s="63" t="s">
        <v>97</v>
      </c>
      <c r="D60" s="62" t="s">
        <v>150</v>
      </c>
      <c r="E60" s="62" t="s">
        <v>151</v>
      </c>
      <c r="F60" s="64" t="s">
        <v>100</v>
      </c>
      <c r="G60" s="64" t="s">
        <v>101</v>
      </c>
      <c r="H60" s="64" t="s">
        <v>102</v>
      </c>
      <c r="I60" s="70">
        <v>2</v>
      </c>
      <c r="J60" s="70">
        <v>5</v>
      </c>
      <c r="K60" s="110" t="str">
        <f>IF(H60="","",IF($C$29="간이법","",FPR(H60,I60,J60)))</f>
        <v>L</v>
      </c>
      <c r="L60" s="111">
        <f>IF(H60="","",IF($C$29="상세법",FPV(H60,K60),IF(H60="EI",4,IF(H60="EO",5.2,IF(H60="EQ",3.9,IF(H60="ILF",7.5,IF(H60="EIF",5.4)))))))</f>
        <v>4</v>
      </c>
      <c r="M60" s="112">
        <f t="shared" si="1"/>
        <v>4</v>
      </c>
      <c r="N60" s="113" t="s">
        <v>101</v>
      </c>
    </row>
    <row r="61" spans="2:14">
      <c r="B61" s="62" t="s">
        <v>96</v>
      </c>
      <c r="C61" s="63" t="s">
        <v>97</v>
      </c>
      <c r="D61" s="62" t="s">
        <v>152</v>
      </c>
      <c r="E61" s="62" t="s">
        <v>153</v>
      </c>
      <c r="F61" s="64" t="s">
        <v>100</v>
      </c>
      <c r="G61" s="64" t="s">
        <v>101</v>
      </c>
      <c r="H61" s="64" t="s">
        <v>102</v>
      </c>
      <c r="I61" s="70">
        <v>2</v>
      </c>
      <c r="J61" s="70">
        <v>5</v>
      </c>
      <c r="K61" s="110" t="str">
        <f>IF(H61="","",IF($C$29="간이법","",FPR(H61,I61,J61)))</f>
        <v>L</v>
      </c>
      <c r="L61" s="111">
        <f>IF(H61="","",IF($C$29="상세법",FPV(H61,K61),IF(H61="EI",4,IF(H61="EO",5.2,IF(H61="EQ",3.9,IF(H61="ILF",7.5,IF(H61="EIF",5.4)))))))</f>
        <v>4</v>
      </c>
      <c r="M61" s="112">
        <f t="shared" si="1"/>
        <v>4</v>
      </c>
      <c r="N61" s="113" t="s">
        <v>101</v>
      </c>
    </row>
    <row r="62" spans="2:14">
      <c r="B62" s="65" t="s">
        <v>96</v>
      </c>
      <c r="C62" s="65" t="s">
        <v>97</v>
      </c>
      <c r="D62" s="65" t="s">
        <v>154</v>
      </c>
      <c r="E62" s="65" t="s">
        <v>155</v>
      </c>
      <c r="F62" s="64" t="s">
        <v>100</v>
      </c>
      <c r="G62" s="64" t="s">
        <v>101</v>
      </c>
      <c r="H62" s="64" t="s">
        <v>102</v>
      </c>
      <c r="I62" s="71">
        <v>2</v>
      </c>
      <c r="J62" s="71">
        <v>5</v>
      </c>
      <c r="K62" s="110" t="str">
        <f>IF(H62="","",IF($C$29="간이법","",FPR(H62,I62,J62)))</f>
        <v>L</v>
      </c>
      <c r="L62" s="111">
        <f>IF(H62="","",IF($C$29="상세법",FPV(H62,K62),IF(H62="EI",4,IF(H62="EO",5.2,IF(H62="EQ",3.9,IF(H62="ILF",7.5,IF(H62="EIF",5.4)))))))</f>
        <v>4</v>
      </c>
      <c r="M62" s="112">
        <f t="shared" si="1"/>
        <v>4</v>
      </c>
      <c r="N62" s="113" t="s">
        <v>101</v>
      </c>
    </row>
    <row r="63" spans="2:14">
      <c r="B63" s="62" t="s">
        <v>96</v>
      </c>
      <c r="C63" s="63" t="s">
        <v>97</v>
      </c>
      <c r="D63" s="62" t="s">
        <v>156</v>
      </c>
      <c r="E63" s="62" t="s">
        <v>157</v>
      </c>
      <c r="F63" s="64" t="s">
        <v>100</v>
      </c>
      <c r="G63" s="64" t="s">
        <v>101</v>
      </c>
      <c r="H63" s="64" t="s">
        <v>102</v>
      </c>
      <c r="I63" s="70">
        <v>2</v>
      </c>
      <c r="J63" s="70">
        <v>5</v>
      </c>
      <c r="K63" s="110" t="str">
        <f>IF(H63="","",IF($C$29="간이법","",FPR(H63,I63,J63)))</f>
        <v>L</v>
      </c>
      <c r="L63" s="111">
        <f>IF(H63="","",IF($C$29="상세법",FPV(H63,K63),IF(H63="EI",4,IF(H63="EO",5.2,IF(H63="EQ",3.9,IF(H63="ILF",7.5,IF(H63="EIF",5.4)))))))</f>
        <v>4</v>
      </c>
      <c r="M63" s="112">
        <f t="shared" ref="M63:M74" si="2">IF(L63="","",L63*IF(G63="상",0.7,IF(G63="중",0.5,IF(G63="하",0.2,1))))</f>
        <v>4</v>
      </c>
      <c r="N63" s="113" t="s">
        <v>101</v>
      </c>
    </row>
    <row r="64" spans="2:14">
      <c r="B64" s="62" t="s">
        <v>96</v>
      </c>
      <c r="C64" s="63" t="s">
        <v>97</v>
      </c>
      <c r="D64" s="62" t="s">
        <v>158</v>
      </c>
      <c r="E64" s="62" t="s">
        <v>159</v>
      </c>
      <c r="F64" s="64" t="s">
        <v>100</v>
      </c>
      <c r="G64" s="64" t="s">
        <v>101</v>
      </c>
      <c r="H64" s="64" t="s">
        <v>102</v>
      </c>
      <c r="I64" s="70">
        <v>2</v>
      </c>
      <c r="J64" s="70">
        <v>5</v>
      </c>
      <c r="K64" s="110" t="str">
        <f>IF(H64="","",IF($C$29="간이법","",FPR(H64,I64,J64)))</f>
        <v>L</v>
      </c>
      <c r="L64" s="111">
        <f>IF(H64="","",IF($C$29="상세법",FPV(H64,K64),IF(H64="EI",4,IF(H64="EO",5.2,IF(H64="EQ",3.9,IF(H64="ILF",7.5,IF(H64="EIF",5.4)))))))</f>
        <v>4</v>
      </c>
      <c r="M64" s="112">
        <f t="shared" si="2"/>
        <v>4</v>
      </c>
      <c r="N64" s="113" t="s">
        <v>101</v>
      </c>
    </row>
    <row r="65" spans="2:14">
      <c r="B65" s="65" t="s">
        <v>96</v>
      </c>
      <c r="C65" s="65" t="s">
        <v>97</v>
      </c>
      <c r="D65" s="65" t="s">
        <v>160</v>
      </c>
      <c r="E65" s="65" t="s">
        <v>161</v>
      </c>
      <c r="F65" s="64" t="s">
        <v>100</v>
      </c>
      <c r="G65" s="64" t="s">
        <v>101</v>
      </c>
      <c r="H65" s="64" t="s">
        <v>102</v>
      </c>
      <c r="I65" s="71">
        <v>2</v>
      </c>
      <c r="J65" s="71">
        <v>5</v>
      </c>
      <c r="K65" s="110" t="str">
        <f>IF(H65="","",IF($C$29="간이법","",FPR(H65,I65,J65)))</f>
        <v>L</v>
      </c>
      <c r="L65" s="111">
        <f>IF(H65="","",IF($C$29="상세법",FPV(H65,K65),IF(H65="EI",4,IF(H65="EO",5.2,IF(H65="EQ",3.9,IF(H65="ILF",7.5,IF(H65="EIF",5.4)))))))</f>
        <v>4</v>
      </c>
      <c r="M65" s="112">
        <f t="shared" si="2"/>
        <v>4</v>
      </c>
      <c r="N65" s="113" t="s">
        <v>101</v>
      </c>
    </row>
    <row r="66" spans="2:14">
      <c r="B66" s="62" t="s">
        <v>96</v>
      </c>
      <c r="C66" s="63" t="s">
        <v>97</v>
      </c>
      <c r="D66" s="62" t="s">
        <v>162</v>
      </c>
      <c r="E66" s="62" t="s">
        <v>163</v>
      </c>
      <c r="F66" s="64" t="s">
        <v>100</v>
      </c>
      <c r="G66" s="64" t="s">
        <v>101</v>
      </c>
      <c r="H66" s="64" t="s">
        <v>102</v>
      </c>
      <c r="I66" s="70">
        <v>1</v>
      </c>
      <c r="J66" s="70">
        <v>4</v>
      </c>
      <c r="K66" s="110" t="str">
        <f>IF(H66="","",IF($C$29="간이법","",FPR(H66,I66,J66)))</f>
        <v>L</v>
      </c>
      <c r="L66" s="111">
        <f>IF(H66="","",IF($C$29="상세법",FPV(H66,K66),IF(H66="EI",4,IF(H66="EO",5.2,IF(H66="EQ",3.9,IF(H66="ILF",7.5,IF(H66="EIF",5.4)))))))</f>
        <v>4</v>
      </c>
      <c r="M66" s="112">
        <f t="shared" si="2"/>
        <v>4</v>
      </c>
      <c r="N66" s="113" t="s">
        <v>101</v>
      </c>
    </row>
    <row r="67" spans="2:14">
      <c r="B67" s="62" t="s">
        <v>96</v>
      </c>
      <c r="C67" s="63" t="s">
        <v>97</v>
      </c>
      <c r="D67" s="62" t="s">
        <v>164</v>
      </c>
      <c r="E67" s="62" t="s">
        <v>165</v>
      </c>
      <c r="F67" s="64" t="s">
        <v>100</v>
      </c>
      <c r="G67" s="64" t="s">
        <v>101</v>
      </c>
      <c r="H67" s="64" t="s">
        <v>102</v>
      </c>
      <c r="I67" s="70">
        <v>1</v>
      </c>
      <c r="J67" s="70">
        <v>4</v>
      </c>
      <c r="K67" s="110" t="str">
        <f>IF(H67="","",IF($C$29="간이법","",FPR(H67,I67,J67)))</f>
        <v>L</v>
      </c>
      <c r="L67" s="111">
        <f>IF(H67="","",IF($C$29="상세법",FPV(H67,K67),IF(H67="EI",4,IF(H67="EO",5.2,IF(H67="EQ",3.9,IF(H67="ILF",7.5,IF(H67="EIF",5.4)))))))</f>
        <v>4</v>
      </c>
      <c r="M67" s="112">
        <f t="shared" si="2"/>
        <v>4</v>
      </c>
      <c r="N67" s="113" t="s">
        <v>101</v>
      </c>
    </row>
    <row r="68" spans="2:14">
      <c r="B68" s="65" t="s">
        <v>96</v>
      </c>
      <c r="C68" s="65" t="s">
        <v>97</v>
      </c>
      <c r="D68" s="65" t="s">
        <v>166</v>
      </c>
      <c r="E68" s="65" t="s">
        <v>167</v>
      </c>
      <c r="F68" s="64" t="s">
        <v>100</v>
      </c>
      <c r="G68" s="64" t="s">
        <v>101</v>
      </c>
      <c r="H68" s="64" t="s">
        <v>102</v>
      </c>
      <c r="I68" s="71">
        <v>1</v>
      </c>
      <c r="J68" s="71">
        <v>4</v>
      </c>
      <c r="K68" s="110" t="str">
        <f>IF(H68="","",IF($C$29="간이법","",FPR(H68,I68,J68)))</f>
        <v>L</v>
      </c>
      <c r="L68" s="111">
        <f>IF(H68="","",IF($C$29="상세법",FPV(H68,K68),IF(H68="EI",4,IF(H68="EO",5.2,IF(H68="EQ",3.9,IF(H68="ILF",7.5,IF(H68="EIF",5.4)))))))</f>
        <v>4</v>
      </c>
      <c r="M68" s="112">
        <f t="shared" si="2"/>
        <v>4</v>
      </c>
      <c r="N68" s="113" t="s">
        <v>101</v>
      </c>
    </row>
    <row r="69" spans="2:14">
      <c r="B69" s="62" t="s">
        <v>96</v>
      </c>
      <c r="C69" s="63" t="s">
        <v>168</v>
      </c>
      <c r="D69" s="62" t="s">
        <v>169</v>
      </c>
      <c r="E69" s="62" t="s">
        <v>170</v>
      </c>
      <c r="F69" s="64" t="s">
        <v>100</v>
      </c>
      <c r="G69" s="64" t="s">
        <v>101</v>
      </c>
      <c r="H69" s="64" t="s">
        <v>111</v>
      </c>
      <c r="I69" s="70">
        <v>1</v>
      </c>
      <c r="J69" s="70">
        <v>7</v>
      </c>
      <c r="K69" s="110" t="str">
        <f>IF(H69="","",IF($C$29="간이법","",FPR(H69,I69,J69)))</f>
        <v>L</v>
      </c>
      <c r="L69" s="111">
        <f>IF(H69="","",IF($C$29="상세법",FPV(H69,K69),IF(H69="EI",4,IF(H69="EO",5.2,IF(H69="EQ",3.9,IF(H69="ILF",7.5,IF(H69="EIF",5.4)))))))</f>
        <v>3</v>
      </c>
      <c r="M69" s="112">
        <f t="shared" si="2"/>
        <v>3</v>
      </c>
      <c r="N69" s="113" t="s">
        <v>101</v>
      </c>
    </row>
    <row r="70" spans="2:14">
      <c r="B70" s="62" t="s">
        <v>96</v>
      </c>
      <c r="C70" s="63" t="s">
        <v>168</v>
      </c>
      <c r="D70" s="62" t="s">
        <v>171</v>
      </c>
      <c r="E70" s="62" t="s">
        <v>172</v>
      </c>
      <c r="F70" s="64" t="s">
        <v>100</v>
      </c>
      <c r="G70" s="64" t="s">
        <v>101</v>
      </c>
      <c r="H70" s="64" t="s">
        <v>111</v>
      </c>
      <c r="I70" s="70">
        <v>4</v>
      </c>
      <c r="J70" s="70">
        <v>34</v>
      </c>
      <c r="K70" s="110" t="str">
        <f>IF(H70="","",IF($C$29="간이법","",FPR(H70,I70,J70)))</f>
        <v>H</v>
      </c>
      <c r="L70" s="111">
        <f>IF(H70="","",IF($C$29="상세법",FPV(H70,K70),IF(H70="EI",4,IF(H70="EO",5.2,IF(H70="EQ",3.9,IF(H70="ILF",7.5,IF(H70="EIF",5.4)))))))</f>
        <v>6</v>
      </c>
      <c r="M70" s="112">
        <f t="shared" si="2"/>
        <v>6</v>
      </c>
      <c r="N70" s="113" t="s">
        <v>101</v>
      </c>
    </row>
    <row r="71" spans="2:14">
      <c r="B71" s="65" t="s">
        <v>96</v>
      </c>
      <c r="C71" s="65" t="s">
        <v>168</v>
      </c>
      <c r="D71" s="65" t="s">
        <v>173</v>
      </c>
      <c r="E71" s="65" t="s">
        <v>174</v>
      </c>
      <c r="F71" s="64" t="s">
        <v>100</v>
      </c>
      <c r="G71" s="64" t="s">
        <v>101</v>
      </c>
      <c r="H71" s="64" t="s">
        <v>10</v>
      </c>
      <c r="I71" s="71">
        <v>1</v>
      </c>
      <c r="J71" s="71">
        <v>4</v>
      </c>
      <c r="K71" s="110" t="str">
        <f>IF(H71="","",IF($C$29="간이법","",FPR(H71,I71,J71)))</f>
        <v>L</v>
      </c>
      <c r="L71" s="111">
        <f>IF(H71="","",IF($C$29="상세법",FPV(H71,K71),IF(H71="EI",4,IF(H71="EO",5.2,IF(H71="EQ",3.9,IF(H71="ILF",7.5,IF(H71="EIF",5.4)))))))</f>
        <v>3</v>
      </c>
      <c r="M71" s="112">
        <f t="shared" si="2"/>
        <v>3</v>
      </c>
      <c r="N71" s="113" t="s">
        <v>101</v>
      </c>
    </row>
    <row r="72" spans="2:14">
      <c r="B72" s="62" t="s">
        <v>96</v>
      </c>
      <c r="C72" s="63" t="s">
        <v>168</v>
      </c>
      <c r="D72" s="62" t="s">
        <v>175</v>
      </c>
      <c r="E72" s="62" t="s">
        <v>176</v>
      </c>
      <c r="F72" s="64" t="s">
        <v>100</v>
      </c>
      <c r="G72" s="64" t="s">
        <v>101</v>
      </c>
      <c r="H72" s="64" t="s">
        <v>10</v>
      </c>
      <c r="I72" s="70">
        <v>1</v>
      </c>
      <c r="J72" s="70">
        <v>5</v>
      </c>
      <c r="K72" s="110" t="str">
        <f>IF(H72="","",IF($C$29="간이법","",FPR(H72,I72,J72)))</f>
        <v>L</v>
      </c>
      <c r="L72" s="111">
        <f>IF(H72="","",IF($C$29="상세법",FPV(H72,K72),IF(H72="EI",4,IF(H72="EO",5.2,IF(H72="EQ",3.9,IF(H72="ILF",7.5,IF(H72="EIF",5.4)))))))</f>
        <v>3</v>
      </c>
      <c r="M72" s="112">
        <f t="shared" si="2"/>
        <v>3</v>
      </c>
      <c r="N72" s="113" t="s">
        <v>101</v>
      </c>
    </row>
    <row r="73" spans="2:14">
      <c r="B73" s="62" t="s">
        <v>96</v>
      </c>
      <c r="C73" s="63" t="s">
        <v>168</v>
      </c>
      <c r="D73" s="62" t="s">
        <v>177</v>
      </c>
      <c r="E73" s="62" t="s">
        <v>178</v>
      </c>
      <c r="F73" s="64" t="s">
        <v>100</v>
      </c>
      <c r="G73" s="64" t="s">
        <v>101</v>
      </c>
      <c r="H73" s="64" t="s">
        <v>10</v>
      </c>
      <c r="I73" s="70">
        <v>2</v>
      </c>
      <c r="J73" s="70">
        <v>6</v>
      </c>
      <c r="K73" s="110" t="str">
        <f>IF(H73="","",IF($C$29="간이법","",FPR(H73,I73,J73)))</f>
        <v>A</v>
      </c>
      <c r="L73" s="111">
        <f>IF(H73="","",IF($C$29="상세법",FPV(H73,K73),IF(H73="EI",4,IF(H73="EO",5.2,IF(H73="EQ",3.9,IF(H73="ILF",7.5,IF(H73="EIF",5.4)))))))</f>
        <v>4</v>
      </c>
      <c r="M73" s="112">
        <f t="shared" si="2"/>
        <v>4</v>
      </c>
      <c r="N73" s="113" t="s">
        <v>101</v>
      </c>
    </row>
    <row r="74" spans="2:14">
      <c r="B74" s="65" t="s">
        <v>96</v>
      </c>
      <c r="C74" s="65" t="s">
        <v>168</v>
      </c>
      <c r="D74" s="65" t="s">
        <v>179</v>
      </c>
      <c r="E74" s="65" t="s">
        <v>180</v>
      </c>
      <c r="F74" s="64" t="s">
        <v>100</v>
      </c>
      <c r="G74" s="64" t="s">
        <v>101</v>
      </c>
      <c r="H74" s="64" t="s">
        <v>111</v>
      </c>
      <c r="I74" s="71">
        <v>2</v>
      </c>
      <c r="J74" s="71">
        <v>7</v>
      </c>
      <c r="K74" s="110" t="str">
        <f>IF(H74="","",IF($C$29="간이법","",FPR(H74,I74,J74)))</f>
        <v>A</v>
      </c>
      <c r="L74" s="111">
        <f>IF(H74="","",IF($C$29="상세법",FPV(H74,K74),IF(H74="EI",4,IF(H74="EO",5.2,IF(H74="EQ",3.9,IF(H74="ILF",7.5,IF(H74="EIF",5.4)))))))</f>
        <v>4</v>
      </c>
      <c r="M74" s="112">
        <f t="shared" si="2"/>
        <v>4</v>
      </c>
      <c r="N74" s="113" t="s">
        <v>101</v>
      </c>
    </row>
    <row r="75" spans="2:14">
      <c r="B75" s="62" t="s">
        <v>96</v>
      </c>
      <c r="C75" s="63" t="s">
        <v>168</v>
      </c>
      <c r="D75" s="62" t="s">
        <v>181</v>
      </c>
      <c r="E75" s="62" t="s">
        <v>182</v>
      </c>
      <c r="F75" s="64" t="s">
        <v>100</v>
      </c>
      <c r="G75" s="64" t="s">
        <v>101</v>
      </c>
      <c r="H75" s="64" t="s">
        <v>102</v>
      </c>
      <c r="I75" s="70">
        <v>2</v>
      </c>
      <c r="J75" s="70">
        <v>6</v>
      </c>
      <c r="K75" s="110" t="str">
        <f>IF(H75="","",IF($C$29="간이법","",FPR(H75,I75,J75)))</f>
        <v>A</v>
      </c>
      <c r="L75" s="111">
        <f>IF(H75="","",IF($C$29="상세법",FPV(H75,K75),IF(H75="EI",4,IF(H75="EO",5.2,IF(H75="EQ",3.9,IF(H75="ILF",7.5,IF(H75="EIF",5.4)))))))</f>
        <v>5</v>
      </c>
      <c r="M75" s="112">
        <f t="shared" ref="M75:M119" si="3">IF(L75="","",L75*IF(G75="상",0.7,IF(G75="중",0.5,IF(G75="하",0.2,1))))</f>
        <v>5</v>
      </c>
      <c r="N75" s="113" t="s">
        <v>101</v>
      </c>
    </row>
    <row r="76" spans="2:14">
      <c r="B76" s="62" t="s">
        <v>96</v>
      </c>
      <c r="C76" s="63" t="s">
        <v>168</v>
      </c>
      <c r="D76" s="62" t="s">
        <v>183</v>
      </c>
      <c r="E76" s="62" t="s">
        <v>184</v>
      </c>
      <c r="F76" s="64" t="s">
        <v>100</v>
      </c>
      <c r="G76" s="64" t="s">
        <v>101</v>
      </c>
      <c r="H76" s="64" t="s">
        <v>10</v>
      </c>
      <c r="I76" s="70">
        <v>1</v>
      </c>
      <c r="J76" s="70">
        <v>5</v>
      </c>
      <c r="K76" s="110" t="str">
        <f>IF(H76="","",IF($C$29="간이법","",FPR(H76,I76,J76)))</f>
        <v>L</v>
      </c>
      <c r="L76" s="111">
        <f>IF(H76="","",IF($C$29="상세법",FPV(H76,K76),IF(H76="EI",4,IF(H76="EO",5.2,IF(H76="EQ",3.9,IF(H76="ILF",7.5,IF(H76="EIF",5.4)))))))</f>
        <v>3</v>
      </c>
      <c r="M76" s="112">
        <f t="shared" si="3"/>
        <v>3</v>
      </c>
      <c r="N76" s="113" t="s">
        <v>101</v>
      </c>
    </row>
    <row r="77" spans="2:14">
      <c r="B77" s="65" t="s">
        <v>96</v>
      </c>
      <c r="C77" s="65" t="s">
        <v>168</v>
      </c>
      <c r="D77" s="65" t="s">
        <v>185</v>
      </c>
      <c r="E77" s="65" t="s">
        <v>186</v>
      </c>
      <c r="F77" s="64" t="s">
        <v>100</v>
      </c>
      <c r="G77" s="64" t="s">
        <v>101</v>
      </c>
      <c r="H77" s="64" t="s">
        <v>111</v>
      </c>
      <c r="I77" s="71">
        <v>2</v>
      </c>
      <c r="J77" s="71">
        <v>7</v>
      </c>
      <c r="K77" s="110" t="str">
        <f>IF(H77="","",IF($C$29="간이법","",FPR(H77,I77,J77)))</f>
        <v>A</v>
      </c>
      <c r="L77" s="111">
        <f>IF(H77="","",IF($C$29="상세법",FPV(H77,K77),IF(H77="EI",4,IF(H77="EO",5.2,IF(H77="EQ",3.9,IF(H77="ILF",7.5,IF(H77="EIF",5.4)))))))</f>
        <v>4</v>
      </c>
      <c r="M77" s="112">
        <f t="shared" si="3"/>
        <v>4</v>
      </c>
      <c r="N77" s="113" t="s">
        <v>101</v>
      </c>
    </row>
    <row r="78" spans="2:14">
      <c r="B78" s="62" t="s">
        <v>96</v>
      </c>
      <c r="C78" s="63" t="s">
        <v>168</v>
      </c>
      <c r="D78" s="62" t="s">
        <v>187</v>
      </c>
      <c r="E78" s="62" t="s">
        <v>188</v>
      </c>
      <c r="F78" s="64" t="s">
        <v>189</v>
      </c>
      <c r="G78" s="64" t="s">
        <v>190</v>
      </c>
      <c r="H78" s="64" t="s">
        <v>10</v>
      </c>
      <c r="I78" s="70">
        <v>2</v>
      </c>
      <c r="J78" s="70">
        <v>14</v>
      </c>
      <c r="K78" s="110" t="str">
        <f>IF(H78="","",IF($C$29="간이법","",FPR(H78,I78,J78)))</f>
        <v>A</v>
      </c>
      <c r="L78" s="111">
        <f>IF(H78="","",IF($C$29="상세법",FPV(H78,K78),IF(H78="EI",4,IF(H78="EO",5.2,IF(H78="EQ",3.9,IF(H78="ILF",7.5,IF(H78="EIF",5.4)))))))</f>
        <v>4</v>
      </c>
      <c r="M78" s="112">
        <f t="shared" si="3"/>
        <v>2.8</v>
      </c>
      <c r="N78" s="113" t="s">
        <v>101</v>
      </c>
    </row>
    <row r="79" spans="2:14">
      <c r="B79" s="62" t="s">
        <v>96</v>
      </c>
      <c r="C79" s="63" t="s">
        <v>168</v>
      </c>
      <c r="D79" s="62" t="s">
        <v>191</v>
      </c>
      <c r="E79" s="62" t="s">
        <v>192</v>
      </c>
      <c r="F79" s="64" t="s">
        <v>189</v>
      </c>
      <c r="G79" s="64" t="s">
        <v>190</v>
      </c>
      <c r="H79" s="64" t="s">
        <v>10</v>
      </c>
      <c r="I79" s="70">
        <v>2</v>
      </c>
      <c r="J79" s="70">
        <v>14</v>
      </c>
      <c r="K79" s="110" t="str">
        <f>IF(H79="","",IF($C$29="간이법","",FPR(H79,I79,J79)))</f>
        <v>A</v>
      </c>
      <c r="L79" s="111">
        <f>IF(H79="","",IF($C$29="상세법",FPV(H79,K79),IF(H79="EI",4,IF(H79="EO",5.2,IF(H79="EQ",3.9,IF(H79="ILF",7.5,IF(H79="EIF",5.4)))))))</f>
        <v>4</v>
      </c>
      <c r="M79" s="112">
        <f t="shared" si="3"/>
        <v>2.8</v>
      </c>
      <c r="N79" s="113" t="s">
        <v>101</v>
      </c>
    </row>
    <row r="80" spans="2:14">
      <c r="B80" s="65" t="s">
        <v>96</v>
      </c>
      <c r="C80" s="65" t="s">
        <v>168</v>
      </c>
      <c r="D80" s="65" t="s">
        <v>193</v>
      </c>
      <c r="E80" s="65" t="s">
        <v>194</v>
      </c>
      <c r="F80" s="64" t="s">
        <v>100</v>
      </c>
      <c r="G80" s="64" t="s">
        <v>101</v>
      </c>
      <c r="H80" s="64" t="s">
        <v>10</v>
      </c>
      <c r="I80" s="71">
        <v>2</v>
      </c>
      <c r="J80" s="71">
        <v>4</v>
      </c>
      <c r="K80" s="110" t="str">
        <f>IF(H80="","",IF($C$29="간이법","",FPR(H80,I80,J80)))</f>
        <v>L</v>
      </c>
      <c r="L80" s="111">
        <f>IF(H80="","",IF($C$29="상세법",FPV(H80,K80),IF(H80="EI",4,IF(H80="EO",5.2,IF(H80="EQ",3.9,IF(H80="ILF",7.5,IF(H80="EIF",5.4)))))))</f>
        <v>3</v>
      </c>
      <c r="M80" s="112">
        <f t="shared" si="3"/>
        <v>3</v>
      </c>
      <c r="N80" s="113" t="s">
        <v>101</v>
      </c>
    </row>
    <row r="81" spans="2:14">
      <c r="B81" s="62" t="s">
        <v>96</v>
      </c>
      <c r="C81" s="63" t="s">
        <v>168</v>
      </c>
      <c r="D81" s="62" t="s">
        <v>195</v>
      </c>
      <c r="E81" s="62" t="s">
        <v>196</v>
      </c>
      <c r="F81" s="64" t="s">
        <v>100</v>
      </c>
      <c r="G81" s="64" t="s">
        <v>101</v>
      </c>
      <c r="H81" s="64" t="s">
        <v>111</v>
      </c>
      <c r="I81" s="70">
        <v>1</v>
      </c>
      <c r="J81" s="70">
        <v>6</v>
      </c>
      <c r="K81" s="110" t="str">
        <f>IF(H81="","",IF($C$29="간이법","",FPR(H81,I81,J81)))</f>
        <v>L</v>
      </c>
      <c r="L81" s="111">
        <f>IF(H81="","",IF($C$29="상세법",FPV(H81,K81),IF(H81="EI",4,IF(H81="EO",5.2,IF(H81="EQ",3.9,IF(H81="ILF",7.5,IF(H81="EIF",5.4)))))))</f>
        <v>3</v>
      </c>
      <c r="M81" s="112">
        <f t="shared" si="3"/>
        <v>3</v>
      </c>
      <c r="N81" s="113" t="s">
        <v>101</v>
      </c>
    </row>
    <row r="82" spans="2:14">
      <c r="B82" s="62" t="s">
        <v>96</v>
      </c>
      <c r="C82" s="63" t="s">
        <v>168</v>
      </c>
      <c r="D82" s="62" t="s">
        <v>197</v>
      </c>
      <c r="E82" s="62" t="s">
        <v>198</v>
      </c>
      <c r="F82" s="64" t="s">
        <v>100</v>
      </c>
      <c r="G82" s="64" t="s">
        <v>101</v>
      </c>
      <c r="H82" s="64" t="s">
        <v>111</v>
      </c>
      <c r="I82" s="70">
        <v>1</v>
      </c>
      <c r="J82" s="70">
        <v>6</v>
      </c>
      <c r="K82" s="110" t="str">
        <f>IF(H82="","",IF($C$29="간이법","",FPR(H82,I82,J82)))</f>
        <v>L</v>
      </c>
      <c r="L82" s="111">
        <f>IF(H82="","",IF($C$29="상세법",FPV(H82,K82),IF(H82="EI",4,IF(H82="EO",5.2,IF(H82="EQ",3.9,IF(H82="ILF",7.5,IF(H82="EIF",5.4)))))))</f>
        <v>3</v>
      </c>
      <c r="M82" s="112">
        <f t="shared" si="3"/>
        <v>3</v>
      </c>
      <c r="N82" s="113" t="s">
        <v>101</v>
      </c>
    </row>
    <row r="83" spans="2:14">
      <c r="B83" s="65" t="s">
        <v>96</v>
      </c>
      <c r="C83" s="65" t="s">
        <v>168</v>
      </c>
      <c r="D83" s="65" t="s">
        <v>199</v>
      </c>
      <c r="E83" s="65" t="s">
        <v>200</v>
      </c>
      <c r="F83" s="64" t="s">
        <v>100</v>
      </c>
      <c r="G83" s="64" t="s">
        <v>101</v>
      </c>
      <c r="H83" s="64" t="s">
        <v>111</v>
      </c>
      <c r="I83" s="71">
        <v>2</v>
      </c>
      <c r="J83" s="71">
        <v>6</v>
      </c>
      <c r="K83" s="110" t="str">
        <f>IF(H83="","",IF($C$29="간이법","",FPR(H83,I83,J83)))</f>
        <v>A</v>
      </c>
      <c r="L83" s="111">
        <f>IF(H83="","",IF($C$29="상세법",FPV(H83,K83),IF(H83="EI",4,IF(H83="EO",5.2,IF(H83="EQ",3.9,IF(H83="ILF",7.5,IF(H83="EIF",5.4)))))))</f>
        <v>4</v>
      </c>
      <c r="M83" s="112">
        <f t="shared" si="3"/>
        <v>4</v>
      </c>
      <c r="N83" s="113" t="s">
        <v>101</v>
      </c>
    </row>
    <row r="84" spans="2:14">
      <c r="B84" s="62" t="s">
        <v>96</v>
      </c>
      <c r="C84" s="63" t="s">
        <v>168</v>
      </c>
      <c r="D84" s="62" t="s">
        <v>201</v>
      </c>
      <c r="E84" s="62" t="s">
        <v>202</v>
      </c>
      <c r="F84" s="64" t="s">
        <v>100</v>
      </c>
      <c r="G84" s="64" t="s">
        <v>101</v>
      </c>
      <c r="H84" s="64" t="s">
        <v>10</v>
      </c>
      <c r="I84" s="70">
        <v>1</v>
      </c>
      <c r="J84" s="70">
        <v>6</v>
      </c>
      <c r="K84" s="110" t="str">
        <f>IF(H84="","",IF($C$29="간이법","",FPR(H84,I84,J84)))</f>
        <v>L</v>
      </c>
      <c r="L84" s="111">
        <f>IF(H84="","",IF($C$29="상세법",FPV(H84,K84),IF(H84="EI",4,IF(H84="EO",5.2,IF(H84="EQ",3.9,IF(H84="ILF",7.5,IF(H84="EIF",5.4)))))))</f>
        <v>3</v>
      </c>
      <c r="M84" s="112">
        <f t="shared" si="3"/>
        <v>3</v>
      </c>
      <c r="N84" s="113" t="s">
        <v>101</v>
      </c>
    </row>
    <row r="85" spans="2:14">
      <c r="B85" s="62" t="s">
        <v>96</v>
      </c>
      <c r="C85" s="63" t="s">
        <v>168</v>
      </c>
      <c r="D85" s="62" t="s">
        <v>203</v>
      </c>
      <c r="E85" s="62" t="s">
        <v>204</v>
      </c>
      <c r="F85" s="64" t="s">
        <v>205</v>
      </c>
      <c r="G85" s="64" t="s">
        <v>101</v>
      </c>
      <c r="H85" s="64" t="s">
        <v>10</v>
      </c>
      <c r="I85" s="70">
        <v>5</v>
      </c>
      <c r="J85" s="70">
        <v>20</v>
      </c>
      <c r="K85" s="110" t="str">
        <f>IF(H85="","",IF($C$29="간이법","",FPR(H85,I85,J85)))</f>
        <v>H</v>
      </c>
      <c r="L85" s="111">
        <f>IF(H85="","",IF($C$29="상세법",FPV(H85,K85),IF(H85="EI",4,IF(H85="EO",5.2,IF(H85="EQ",3.9,IF(H85="ILF",7.5,IF(H85="EIF",5.4)))))))</f>
        <v>6</v>
      </c>
      <c r="M85" s="112">
        <f t="shared" si="3"/>
        <v>6</v>
      </c>
      <c r="N85" s="113" t="s">
        <v>101</v>
      </c>
    </row>
    <row r="86" spans="2:14">
      <c r="B86" s="65" t="s">
        <v>96</v>
      </c>
      <c r="C86" s="65" t="s">
        <v>168</v>
      </c>
      <c r="D86" s="65" t="s">
        <v>206</v>
      </c>
      <c r="E86" s="65" t="s">
        <v>207</v>
      </c>
      <c r="F86" s="64" t="s">
        <v>205</v>
      </c>
      <c r="G86" s="64" t="s">
        <v>101</v>
      </c>
      <c r="H86" s="64" t="s">
        <v>10</v>
      </c>
      <c r="I86" s="71">
        <v>1</v>
      </c>
      <c r="J86" s="71">
        <v>7</v>
      </c>
      <c r="K86" s="110" t="str">
        <f>IF(H86="","",IF($C$29="간이법","",FPR(H86,I86,J86)))</f>
        <v>L</v>
      </c>
      <c r="L86" s="111">
        <f>IF(H86="","",IF($C$29="상세법",FPV(H86,K86),IF(H86="EI",4,IF(H86="EO",5.2,IF(H86="EQ",3.9,IF(H86="ILF",7.5,IF(H86="EIF",5.4)))))))</f>
        <v>3</v>
      </c>
      <c r="M86" s="112">
        <f t="shared" si="3"/>
        <v>3</v>
      </c>
      <c r="N86" s="113" t="s">
        <v>101</v>
      </c>
    </row>
    <row r="87" spans="2:14">
      <c r="B87" s="62" t="s">
        <v>96</v>
      </c>
      <c r="C87" s="63" t="s">
        <v>168</v>
      </c>
      <c r="D87" s="62" t="s">
        <v>203</v>
      </c>
      <c r="E87" s="62" t="s">
        <v>208</v>
      </c>
      <c r="F87" s="64" t="s">
        <v>205</v>
      </c>
      <c r="G87" s="64" t="s">
        <v>101</v>
      </c>
      <c r="H87" s="64" t="s">
        <v>10</v>
      </c>
      <c r="I87" s="70">
        <v>1</v>
      </c>
      <c r="J87" s="70">
        <v>14</v>
      </c>
      <c r="K87" s="110" t="str">
        <f>IF(H87="","",IF($C$29="간이법","",FPR(H87,I87,J87)))</f>
        <v>L</v>
      </c>
      <c r="L87" s="111">
        <f>IF(H87="","",IF($C$29="상세법",FPV(H87,K87),IF(H87="EI",4,IF(H87="EO",5.2,IF(H87="EQ",3.9,IF(H87="ILF",7.5,IF(H87="EIF",5.4)))))))</f>
        <v>3</v>
      </c>
      <c r="M87" s="112">
        <f t="shared" si="3"/>
        <v>3</v>
      </c>
      <c r="N87" s="113" t="s">
        <v>101</v>
      </c>
    </row>
    <row r="88" spans="2:14">
      <c r="B88" s="62" t="s">
        <v>96</v>
      </c>
      <c r="C88" s="63" t="s">
        <v>168</v>
      </c>
      <c r="D88" s="62" t="s">
        <v>209</v>
      </c>
      <c r="E88" s="62" t="s">
        <v>210</v>
      </c>
      <c r="F88" s="64" t="s">
        <v>205</v>
      </c>
      <c r="G88" s="64" t="s">
        <v>101</v>
      </c>
      <c r="H88" s="64" t="s">
        <v>111</v>
      </c>
      <c r="I88" s="70">
        <v>1</v>
      </c>
      <c r="J88" s="70">
        <v>8</v>
      </c>
      <c r="K88" s="110" t="str">
        <f>IF(H88="","",IF($C$29="간이법","",FPR(H88,I88,J88)))</f>
        <v>L</v>
      </c>
      <c r="L88" s="111">
        <f>IF(H88="","",IF($C$29="상세법",FPV(H88,K88),IF(H88="EI",4,IF(H88="EO",5.2,IF(H88="EQ",3.9,IF(H88="ILF",7.5,IF(H88="EIF",5.4)))))))</f>
        <v>3</v>
      </c>
      <c r="M88" s="112">
        <f t="shared" si="3"/>
        <v>3</v>
      </c>
      <c r="N88" s="113" t="s">
        <v>101</v>
      </c>
    </row>
    <row r="89" spans="2:14">
      <c r="B89" s="65" t="s">
        <v>96</v>
      </c>
      <c r="C89" s="65" t="s">
        <v>168</v>
      </c>
      <c r="D89" s="65" t="s">
        <v>211</v>
      </c>
      <c r="E89" s="65" t="s">
        <v>212</v>
      </c>
      <c r="F89" s="64" t="s">
        <v>100</v>
      </c>
      <c r="G89" s="64" t="s">
        <v>101</v>
      </c>
      <c r="H89" s="64" t="s">
        <v>111</v>
      </c>
      <c r="I89" s="71">
        <v>3</v>
      </c>
      <c r="J89" s="71">
        <v>9</v>
      </c>
      <c r="K89" s="110" t="str">
        <f>IF(H89="","",IF($C$29="간이법","",FPR(H89,I89,J89)))</f>
        <v>A</v>
      </c>
      <c r="L89" s="111">
        <f>IF(H89="","",IF($C$29="상세법",FPV(H89,K89),IF(H89="EI",4,IF(H89="EO",5.2,IF(H89="EQ",3.9,IF(H89="ILF",7.5,IF(H89="EIF",5.4)))))))</f>
        <v>4</v>
      </c>
      <c r="M89" s="112">
        <f t="shared" si="3"/>
        <v>4</v>
      </c>
      <c r="N89" s="113" t="s">
        <v>101</v>
      </c>
    </row>
    <row r="90" spans="2:14">
      <c r="B90" s="62" t="s">
        <v>96</v>
      </c>
      <c r="C90" s="63" t="s">
        <v>168</v>
      </c>
      <c r="D90" s="62" t="s">
        <v>213</v>
      </c>
      <c r="E90" s="62" t="s">
        <v>214</v>
      </c>
      <c r="F90" s="64" t="s">
        <v>100</v>
      </c>
      <c r="G90" s="64" t="s">
        <v>101</v>
      </c>
      <c r="H90" s="64" t="s">
        <v>111</v>
      </c>
      <c r="I90" s="70">
        <v>2</v>
      </c>
      <c r="J90" s="70">
        <v>11</v>
      </c>
      <c r="K90" s="110" t="str">
        <f>IF(H90="","",IF($C$29="간이법","",FPR(H90,I90,J90)))</f>
        <v>A</v>
      </c>
      <c r="L90" s="111">
        <f>IF(H90="","",IF($C$29="상세법",FPV(H90,K90),IF(H90="EI",4,IF(H90="EO",5.2,IF(H90="EQ",3.9,IF(H90="ILF",7.5,IF(H90="EIF",5.4)))))))</f>
        <v>4</v>
      </c>
      <c r="M90" s="112">
        <f t="shared" si="3"/>
        <v>4</v>
      </c>
      <c r="N90" s="113" t="s">
        <v>101</v>
      </c>
    </row>
    <row r="91" spans="2:14">
      <c r="B91" s="62" t="s">
        <v>96</v>
      </c>
      <c r="C91" s="63" t="s">
        <v>168</v>
      </c>
      <c r="D91" s="62" t="s">
        <v>215</v>
      </c>
      <c r="E91" s="62" t="s">
        <v>216</v>
      </c>
      <c r="F91" s="64" t="s">
        <v>100</v>
      </c>
      <c r="G91" s="64" t="s">
        <v>101</v>
      </c>
      <c r="H91" s="64" t="s">
        <v>111</v>
      </c>
      <c r="I91" s="70">
        <v>3</v>
      </c>
      <c r="J91" s="70">
        <v>12</v>
      </c>
      <c r="K91" s="110" t="str">
        <f>IF(H91="","",IF($C$29="간이법","",FPR(H91,I91,J91)))</f>
        <v>A</v>
      </c>
      <c r="L91" s="111">
        <f>IF(H91="","",IF($C$29="상세법",FPV(H91,K91),IF(H91="EI",4,IF(H91="EO",5.2,IF(H91="EQ",3.9,IF(H91="ILF",7.5,IF(H91="EIF",5.4)))))))</f>
        <v>4</v>
      </c>
      <c r="M91" s="112">
        <f t="shared" si="3"/>
        <v>4</v>
      </c>
      <c r="N91" s="113" t="s">
        <v>101</v>
      </c>
    </row>
    <row r="92" spans="2:14">
      <c r="B92" s="65" t="s">
        <v>96</v>
      </c>
      <c r="C92" s="65" t="s">
        <v>168</v>
      </c>
      <c r="D92" s="65" t="s">
        <v>217</v>
      </c>
      <c r="E92" s="65" t="s">
        <v>218</v>
      </c>
      <c r="F92" s="64" t="s">
        <v>100</v>
      </c>
      <c r="G92" s="64" t="s">
        <v>101</v>
      </c>
      <c r="H92" s="64" t="s">
        <v>111</v>
      </c>
      <c r="I92" s="71">
        <v>3</v>
      </c>
      <c r="J92" s="71">
        <v>9</v>
      </c>
      <c r="K92" s="110" t="str">
        <f>IF(H92="","",IF($C$29="간이법","",FPR(H92,I92,J92)))</f>
        <v>A</v>
      </c>
      <c r="L92" s="111">
        <f>IF(H92="","",IF($C$29="상세법",FPV(H92,K92),IF(H92="EI",4,IF(H92="EO",5.2,IF(H92="EQ",3.9,IF(H92="ILF",7.5,IF(H92="EIF",5.4)))))))</f>
        <v>4</v>
      </c>
      <c r="M92" s="112">
        <f t="shared" si="3"/>
        <v>4</v>
      </c>
      <c r="N92" s="113" t="s">
        <v>101</v>
      </c>
    </row>
    <row r="93" spans="2:14">
      <c r="B93" s="62" t="s">
        <v>96</v>
      </c>
      <c r="C93" s="63" t="s">
        <v>168</v>
      </c>
      <c r="D93" s="62" t="s">
        <v>219</v>
      </c>
      <c r="E93" s="62" t="s">
        <v>220</v>
      </c>
      <c r="F93" s="64" t="s">
        <v>100</v>
      </c>
      <c r="G93" s="64" t="s">
        <v>101</v>
      </c>
      <c r="H93" s="64" t="s">
        <v>111</v>
      </c>
      <c r="I93" s="70">
        <v>3</v>
      </c>
      <c r="J93" s="70">
        <v>7</v>
      </c>
      <c r="K93" s="110" t="str">
        <f>IF(H93="","",IF($C$29="간이법","",FPR(H93,I93,J93)))</f>
        <v>A</v>
      </c>
      <c r="L93" s="111">
        <f>IF(H93="","",IF($C$29="상세법",FPV(H93,K93),IF(H93="EI",4,IF(H93="EO",5.2,IF(H93="EQ",3.9,IF(H93="ILF",7.5,IF(H93="EIF",5.4)))))))</f>
        <v>4</v>
      </c>
      <c r="M93" s="112">
        <f t="shared" si="3"/>
        <v>4</v>
      </c>
      <c r="N93" s="113" t="s">
        <v>101</v>
      </c>
    </row>
    <row r="94" spans="2:14">
      <c r="B94" s="62" t="s">
        <v>96</v>
      </c>
      <c r="C94" s="63" t="s">
        <v>168</v>
      </c>
      <c r="D94" s="62" t="s">
        <v>221</v>
      </c>
      <c r="E94" s="62" t="s">
        <v>222</v>
      </c>
      <c r="F94" s="64" t="s">
        <v>100</v>
      </c>
      <c r="G94" s="64" t="s">
        <v>101</v>
      </c>
      <c r="H94" s="64" t="s">
        <v>102</v>
      </c>
      <c r="I94" s="70">
        <v>3</v>
      </c>
      <c r="J94" s="70">
        <v>14</v>
      </c>
      <c r="K94" s="110" t="str">
        <f>IF(H94="","",IF($C$29="간이법","",FPR(H94,I94,J94)))</f>
        <v>A</v>
      </c>
      <c r="L94" s="111">
        <f>IF(H94="","",IF($C$29="상세법",FPV(H94,K94),IF(H94="EI",4,IF(H94="EO",5.2,IF(H94="EQ",3.9,IF(H94="ILF",7.5,IF(H94="EIF",5.4)))))))</f>
        <v>5</v>
      </c>
      <c r="M94" s="112">
        <f t="shared" si="3"/>
        <v>5</v>
      </c>
      <c r="N94" s="113" t="s">
        <v>101</v>
      </c>
    </row>
    <row r="95" spans="2:14">
      <c r="B95" s="65" t="s">
        <v>96</v>
      </c>
      <c r="C95" s="65" t="s">
        <v>168</v>
      </c>
      <c r="D95" s="65" t="s">
        <v>223</v>
      </c>
      <c r="E95" s="65" t="s">
        <v>224</v>
      </c>
      <c r="F95" s="64" t="s">
        <v>100</v>
      </c>
      <c r="G95" s="64" t="s">
        <v>101</v>
      </c>
      <c r="H95" s="64" t="s">
        <v>102</v>
      </c>
      <c r="I95" s="71">
        <v>3</v>
      </c>
      <c r="J95" s="71">
        <v>9</v>
      </c>
      <c r="K95" s="110" t="str">
        <f>IF(H95="","",IF($C$29="간이법","",FPR(H95,I95,J95)))</f>
        <v>A</v>
      </c>
      <c r="L95" s="111">
        <f>IF(H95="","",IF($C$29="상세법",FPV(H95,K95),IF(H95="EI",4,IF(H95="EO",5.2,IF(H95="EQ",3.9,IF(H95="ILF",7.5,IF(H95="EIF",5.4)))))))</f>
        <v>5</v>
      </c>
      <c r="M95" s="112">
        <f t="shared" si="3"/>
        <v>5</v>
      </c>
      <c r="N95" s="113" t="s">
        <v>101</v>
      </c>
    </row>
    <row r="96" spans="2:14">
      <c r="B96" s="62" t="s">
        <v>96</v>
      </c>
      <c r="C96" s="63" t="s">
        <v>168</v>
      </c>
      <c r="D96" s="62" t="s">
        <v>225</v>
      </c>
      <c r="E96" s="62" t="s">
        <v>226</v>
      </c>
      <c r="F96" s="64" t="s">
        <v>100</v>
      </c>
      <c r="G96" s="64" t="s">
        <v>101</v>
      </c>
      <c r="H96" s="64" t="s">
        <v>102</v>
      </c>
      <c r="I96" s="70">
        <v>3</v>
      </c>
      <c r="J96" s="70">
        <v>13</v>
      </c>
      <c r="K96" s="110" t="str">
        <f>IF(H96="","",IF($C$29="간이법","",FPR(H96,I96,J96)))</f>
        <v>A</v>
      </c>
      <c r="L96" s="111">
        <f>IF(H96="","",IF($C$29="상세법",FPV(H96,K96),IF(H96="EI",4,IF(H96="EO",5.2,IF(H96="EQ",3.9,IF(H96="ILF",7.5,IF(H96="EIF",5.4)))))))</f>
        <v>5</v>
      </c>
      <c r="M96" s="112">
        <f t="shared" si="3"/>
        <v>5</v>
      </c>
      <c r="N96" s="113" t="s">
        <v>101</v>
      </c>
    </row>
    <row r="97" spans="2:14">
      <c r="B97" s="62" t="s">
        <v>96</v>
      </c>
      <c r="C97" s="63" t="s">
        <v>168</v>
      </c>
      <c r="D97" s="62" t="s">
        <v>227</v>
      </c>
      <c r="E97" s="62" t="s">
        <v>228</v>
      </c>
      <c r="F97" s="64" t="s">
        <v>100</v>
      </c>
      <c r="G97" s="64" t="s">
        <v>101</v>
      </c>
      <c r="H97" s="64" t="s">
        <v>102</v>
      </c>
      <c r="I97" s="70">
        <v>3</v>
      </c>
      <c r="J97" s="70">
        <v>16</v>
      </c>
      <c r="K97" s="110" t="str">
        <f>IF(H97="","",IF($C$29="간이법","",FPR(H97,I97,J97)))</f>
        <v>A</v>
      </c>
      <c r="L97" s="111">
        <f>IF(H97="","",IF($C$29="상세법",FPV(H97,K97),IF(H97="EI",4,IF(H97="EO",5.2,IF(H97="EQ",3.9,IF(H97="ILF",7.5,IF(H97="EIF",5.4)))))))</f>
        <v>5</v>
      </c>
      <c r="M97" s="112">
        <f t="shared" si="3"/>
        <v>5</v>
      </c>
      <c r="N97" s="113" t="s">
        <v>101</v>
      </c>
    </row>
    <row r="98" spans="2:14">
      <c r="B98" s="65" t="s">
        <v>96</v>
      </c>
      <c r="C98" s="65" t="s">
        <v>168</v>
      </c>
      <c r="D98" s="65" t="s">
        <v>229</v>
      </c>
      <c r="E98" s="65" t="s">
        <v>230</v>
      </c>
      <c r="F98" s="64" t="s">
        <v>100</v>
      </c>
      <c r="G98" s="64" t="s">
        <v>101</v>
      </c>
      <c r="H98" s="64" t="s">
        <v>102</v>
      </c>
      <c r="I98" s="71">
        <v>2</v>
      </c>
      <c r="J98" s="71">
        <v>6</v>
      </c>
      <c r="K98" s="110" t="str">
        <f>IF(H98="","",IF($C$29="간이법","",FPR(H98,I98,J98)))</f>
        <v>A</v>
      </c>
      <c r="L98" s="111">
        <f>IF(H98="","",IF($C$29="상세법",FPV(H98,K98),IF(H98="EI",4,IF(H98="EO",5.2,IF(H98="EQ",3.9,IF(H98="ILF",7.5,IF(H98="EIF",5.4)))))))</f>
        <v>5</v>
      </c>
      <c r="M98" s="112">
        <f t="shared" si="3"/>
        <v>5</v>
      </c>
      <c r="N98" s="113" t="s">
        <v>101</v>
      </c>
    </row>
    <row r="99" spans="2:14">
      <c r="B99" s="62" t="s">
        <v>96</v>
      </c>
      <c r="C99" s="63" t="s">
        <v>168</v>
      </c>
      <c r="D99" s="62" t="s">
        <v>231</v>
      </c>
      <c r="E99" s="62" t="s">
        <v>232</v>
      </c>
      <c r="F99" s="64" t="s">
        <v>100</v>
      </c>
      <c r="G99" s="64" t="s">
        <v>101</v>
      </c>
      <c r="H99" s="64" t="s">
        <v>102</v>
      </c>
      <c r="I99" s="70">
        <v>2</v>
      </c>
      <c r="J99" s="70">
        <v>5</v>
      </c>
      <c r="K99" s="110" t="str">
        <f>IF(H99="","",IF($C$29="간이법","",FPR(H99,I99,J99)))</f>
        <v>L</v>
      </c>
      <c r="L99" s="111">
        <f>IF(H99="","",IF($C$29="상세법",FPV(H99,K99),IF(H99="EI",4,IF(H99="EO",5.2,IF(H99="EQ",3.9,IF(H99="ILF",7.5,IF(H99="EIF",5.4)))))))</f>
        <v>4</v>
      </c>
      <c r="M99" s="112">
        <f t="shared" si="3"/>
        <v>4</v>
      </c>
      <c r="N99" s="113" t="s">
        <v>101</v>
      </c>
    </row>
    <row r="100" spans="2:14">
      <c r="B100" s="62" t="s">
        <v>96</v>
      </c>
      <c r="C100" s="63" t="s">
        <v>168</v>
      </c>
      <c r="D100" s="62" t="s">
        <v>233</v>
      </c>
      <c r="E100" s="62" t="s">
        <v>234</v>
      </c>
      <c r="F100" s="64" t="s">
        <v>100</v>
      </c>
      <c r="G100" s="64" t="s">
        <v>101</v>
      </c>
      <c r="H100" s="64" t="s">
        <v>102</v>
      </c>
      <c r="I100" s="70">
        <v>3</v>
      </c>
      <c r="J100" s="70">
        <v>10</v>
      </c>
      <c r="K100" s="110" t="str">
        <f>IF(H100="","",IF($C$29="간이법","",FPR(H100,I100,J100)))</f>
        <v>A</v>
      </c>
      <c r="L100" s="111">
        <f>IF(H100="","",IF($C$29="상세법",FPV(H100,K100),IF(H100="EI",4,IF(H100="EO",5.2,IF(H100="EQ",3.9,IF(H100="ILF",7.5,IF(H100="EIF",5.4)))))))</f>
        <v>5</v>
      </c>
      <c r="M100" s="112">
        <f t="shared" si="3"/>
        <v>5</v>
      </c>
      <c r="N100" s="113" t="s">
        <v>101</v>
      </c>
    </row>
    <row r="101" spans="2:14">
      <c r="B101" s="65" t="s">
        <v>96</v>
      </c>
      <c r="C101" s="65" t="s">
        <v>168</v>
      </c>
      <c r="D101" s="65" t="s">
        <v>235</v>
      </c>
      <c r="E101" s="65" t="s">
        <v>236</v>
      </c>
      <c r="F101" s="64" t="s">
        <v>100</v>
      </c>
      <c r="G101" s="64" t="s">
        <v>101</v>
      </c>
      <c r="H101" s="64" t="s">
        <v>102</v>
      </c>
      <c r="I101" s="71">
        <v>3</v>
      </c>
      <c r="J101" s="71">
        <v>13</v>
      </c>
      <c r="K101" s="110" t="str">
        <f>IF(H101="","",IF($C$29="간이법","",FPR(H101,I101,J101)))</f>
        <v>A</v>
      </c>
      <c r="L101" s="111">
        <f>IF(H101="","",IF($C$29="상세법",FPV(H101,K101),IF(H101="EI",4,IF(H101="EO",5.2,IF(H101="EQ",3.9,IF(H101="ILF",7.5,IF(H101="EIF",5.4)))))))</f>
        <v>5</v>
      </c>
      <c r="M101" s="112">
        <f t="shared" si="3"/>
        <v>5</v>
      </c>
      <c r="N101" s="113" t="s">
        <v>101</v>
      </c>
    </row>
    <row r="102" spans="2:14">
      <c r="B102" s="62" t="s">
        <v>96</v>
      </c>
      <c r="C102" s="63" t="s">
        <v>168</v>
      </c>
      <c r="D102" s="62" t="s">
        <v>237</v>
      </c>
      <c r="E102" s="62" t="s">
        <v>238</v>
      </c>
      <c r="F102" s="64" t="s">
        <v>100</v>
      </c>
      <c r="G102" s="64" t="s">
        <v>101</v>
      </c>
      <c r="H102" s="64" t="s">
        <v>102</v>
      </c>
      <c r="I102" s="70">
        <v>3</v>
      </c>
      <c r="J102" s="70">
        <v>12</v>
      </c>
      <c r="K102" s="110" t="str">
        <f>IF(H102="","",IF($C$29="간이법","",FPR(H102,I102,J102)))</f>
        <v>A</v>
      </c>
      <c r="L102" s="111">
        <f>IF(H102="","",IF($C$29="상세법",FPV(H102,K102),IF(H102="EI",4,IF(H102="EO",5.2,IF(H102="EQ",3.9,IF(H102="ILF",7.5,IF(H102="EIF",5.4)))))))</f>
        <v>5</v>
      </c>
      <c r="M102" s="112">
        <f t="shared" si="3"/>
        <v>5</v>
      </c>
      <c r="N102" s="113" t="s">
        <v>101</v>
      </c>
    </row>
    <row r="103" spans="2:14">
      <c r="B103" s="62" t="s">
        <v>96</v>
      </c>
      <c r="C103" s="63" t="s">
        <v>168</v>
      </c>
      <c r="D103" s="62" t="s">
        <v>239</v>
      </c>
      <c r="E103" s="62" t="s">
        <v>240</v>
      </c>
      <c r="F103" s="64" t="s">
        <v>100</v>
      </c>
      <c r="G103" s="64" t="s">
        <v>101</v>
      </c>
      <c r="H103" s="64" t="s">
        <v>102</v>
      </c>
      <c r="I103" s="70">
        <v>6</v>
      </c>
      <c r="J103" s="70">
        <v>32</v>
      </c>
      <c r="K103" s="110" t="str">
        <f>IF(H103="","",IF($C$29="간이법","",FPR(H103,I103,J103)))</f>
        <v>H</v>
      </c>
      <c r="L103" s="111">
        <f>IF(H103="","",IF($C$29="상세법",FPV(H103,K103),IF(H103="EI",4,IF(H103="EO",5.2,IF(H103="EQ",3.9,IF(H103="ILF",7.5,IF(H103="EIF",5.4)))))))</f>
        <v>7</v>
      </c>
      <c r="M103" s="112">
        <f t="shared" si="3"/>
        <v>7</v>
      </c>
      <c r="N103" s="113" t="s">
        <v>101</v>
      </c>
    </row>
    <row r="104" spans="2:14">
      <c r="B104" s="65" t="s">
        <v>96</v>
      </c>
      <c r="C104" s="65" t="s">
        <v>168</v>
      </c>
      <c r="D104" s="65" t="s">
        <v>241</v>
      </c>
      <c r="E104" s="65" t="s">
        <v>240</v>
      </c>
      <c r="F104" s="64" t="s">
        <v>100</v>
      </c>
      <c r="G104" s="64" t="s">
        <v>101</v>
      </c>
      <c r="H104" s="64" t="s">
        <v>102</v>
      </c>
      <c r="I104" s="71">
        <v>6</v>
      </c>
      <c r="J104" s="71">
        <v>88</v>
      </c>
      <c r="K104" s="110" t="str">
        <f>IF(H104="","",IF($C$29="간이법","",FPR(H104,I104,J104)))</f>
        <v>H</v>
      </c>
      <c r="L104" s="111">
        <f>IF(H104="","",IF($C$29="상세법",FPV(H104,K104),IF(H104="EI",4,IF(H104="EO",5.2,IF(H104="EQ",3.9,IF(H104="ILF",7.5,IF(H104="EIF",5.4)))))))</f>
        <v>7</v>
      </c>
      <c r="M104" s="112">
        <f t="shared" si="3"/>
        <v>7</v>
      </c>
      <c r="N104" s="113" t="s">
        <v>101</v>
      </c>
    </row>
    <row r="105" spans="2:14">
      <c r="B105" s="62" t="s">
        <v>96</v>
      </c>
      <c r="C105" s="63" t="s">
        <v>168</v>
      </c>
      <c r="D105" s="62" t="s">
        <v>242</v>
      </c>
      <c r="E105" s="62" t="s">
        <v>243</v>
      </c>
      <c r="F105" s="64" t="s">
        <v>100</v>
      </c>
      <c r="G105" s="64" t="s">
        <v>101</v>
      </c>
      <c r="H105" s="64" t="s">
        <v>111</v>
      </c>
      <c r="I105" s="70">
        <v>2</v>
      </c>
      <c r="J105" s="70">
        <v>7</v>
      </c>
      <c r="K105" s="110" t="str">
        <f>IF(H105="","",IF($C$29="간이법","",FPR(H105,I105,J105)))</f>
        <v>A</v>
      </c>
      <c r="L105" s="111">
        <f>IF(H105="","",IF($C$29="상세법",FPV(H105,K105),IF(H105="EI",4,IF(H105="EO",5.2,IF(H105="EQ",3.9,IF(H105="ILF",7.5,IF(H105="EIF",5.4)))))))</f>
        <v>4</v>
      </c>
      <c r="M105" s="112">
        <f t="shared" si="3"/>
        <v>4</v>
      </c>
      <c r="N105" s="113" t="s">
        <v>101</v>
      </c>
    </row>
    <row r="106" spans="2:14">
      <c r="B106" s="62" t="s">
        <v>96</v>
      </c>
      <c r="C106" s="63" t="s">
        <v>168</v>
      </c>
      <c r="D106" s="62" t="s">
        <v>244</v>
      </c>
      <c r="E106" s="62" t="s">
        <v>245</v>
      </c>
      <c r="F106" s="64" t="s">
        <v>100</v>
      </c>
      <c r="G106" s="64" t="s">
        <v>101</v>
      </c>
      <c r="H106" s="64" t="s">
        <v>10</v>
      </c>
      <c r="I106" s="70">
        <v>6</v>
      </c>
      <c r="J106" s="70">
        <v>32</v>
      </c>
      <c r="K106" s="110" t="str">
        <f>IF(H106="","",IF($C$29="간이법","",FPR(H106,I106,J106)))</f>
        <v>H</v>
      </c>
      <c r="L106" s="111">
        <f>IF(H106="","",IF($C$29="상세법",FPV(H106,K106),IF(H106="EI",4,IF(H106="EO",5.2,IF(H106="EQ",3.9,IF(H106="ILF",7.5,IF(H106="EIF",5.4)))))))</f>
        <v>6</v>
      </c>
      <c r="M106" s="112">
        <f t="shared" si="3"/>
        <v>6</v>
      </c>
      <c r="N106" s="113" t="s">
        <v>101</v>
      </c>
    </row>
    <row r="107" spans="2:14">
      <c r="B107" s="65" t="s">
        <v>96</v>
      </c>
      <c r="C107" s="65" t="s">
        <v>168</v>
      </c>
      <c r="D107" s="65" t="s">
        <v>246</v>
      </c>
      <c r="E107" s="65" t="s">
        <v>247</v>
      </c>
      <c r="F107" s="64" t="s">
        <v>189</v>
      </c>
      <c r="G107" s="64" t="s">
        <v>248</v>
      </c>
      <c r="H107" s="64" t="s">
        <v>111</v>
      </c>
      <c r="I107" s="71">
        <v>2</v>
      </c>
      <c r="J107" s="71">
        <v>11</v>
      </c>
      <c r="K107" s="110" t="str">
        <f>IF(H107="","",IF($C$29="간이법","",FPR(H107,I107,J107)))</f>
        <v>A</v>
      </c>
      <c r="L107" s="111">
        <f>IF(H107="","",IF($C$29="상세법",FPV(H107,K107),IF(H107="EI",4,IF(H107="EO",5.2,IF(H107="EQ",3.9,IF(H107="ILF",7.5,IF(H107="EIF",5.4)))))))</f>
        <v>4</v>
      </c>
      <c r="M107" s="112">
        <f t="shared" si="3"/>
        <v>2</v>
      </c>
      <c r="N107" s="113" t="s">
        <v>101</v>
      </c>
    </row>
    <row r="108" spans="2:14">
      <c r="B108" s="62" t="s">
        <v>96</v>
      </c>
      <c r="C108" s="63" t="s">
        <v>168</v>
      </c>
      <c r="D108" s="62" t="s">
        <v>249</v>
      </c>
      <c r="E108" s="62" t="s">
        <v>250</v>
      </c>
      <c r="F108" s="64" t="s">
        <v>189</v>
      </c>
      <c r="G108" s="64" t="s">
        <v>248</v>
      </c>
      <c r="H108" s="64" t="s">
        <v>111</v>
      </c>
      <c r="I108" s="70">
        <v>2</v>
      </c>
      <c r="J108" s="70">
        <v>20</v>
      </c>
      <c r="K108" s="110" t="str">
        <f>IF(H108="","",IF($C$29="간이법","",FPR(H108,I108,J108)))</f>
        <v>H</v>
      </c>
      <c r="L108" s="111">
        <f>IF(H108="","",IF($C$29="상세법",FPV(H108,K108),IF(H108="EI",4,IF(H108="EO",5.2,IF(H108="EQ",3.9,IF(H108="ILF",7.5,IF(H108="EIF",5.4)))))))</f>
        <v>6</v>
      </c>
      <c r="M108" s="112">
        <f t="shared" si="3"/>
        <v>3</v>
      </c>
      <c r="N108" s="113" t="s">
        <v>101</v>
      </c>
    </row>
    <row r="109" spans="2:14">
      <c r="B109" s="62" t="s">
        <v>96</v>
      </c>
      <c r="C109" s="63" t="s">
        <v>168</v>
      </c>
      <c r="D109" s="62" t="s">
        <v>251</v>
      </c>
      <c r="E109" s="62" t="s">
        <v>252</v>
      </c>
      <c r="F109" s="64" t="s">
        <v>189</v>
      </c>
      <c r="G109" s="64" t="s">
        <v>248</v>
      </c>
      <c r="H109" s="64" t="s">
        <v>111</v>
      </c>
      <c r="I109" s="70">
        <v>2</v>
      </c>
      <c r="J109" s="70">
        <v>11</v>
      </c>
      <c r="K109" s="110" t="str">
        <f>IF(H109="","",IF($C$29="간이법","",FPR(H109,I109,J109)))</f>
        <v>A</v>
      </c>
      <c r="L109" s="111">
        <f>IF(H109="","",IF($C$29="상세법",FPV(H109,K109),IF(H109="EI",4,IF(H109="EO",5.2,IF(H109="EQ",3.9,IF(H109="ILF",7.5,IF(H109="EIF",5.4)))))))</f>
        <v>4</v>
      </c>
      <c r="M109" s="112">
        <f t="shared" si="3"/>
        <v>2</v>
      </c>
      <c r="N109" s="113" t="s">
        <v>101</v>
      </c>
    </row>
    <row r="110" spans="2:14">
      <c r="B110" s="65" t="s">
        <v>96</v>
      </c>
      <c r="C110" s="65" t="s">
        <v>168</v>
      </c>
      <c r="D110" s="65" t="s">
        <v>253</v>
      </c>
      <c r="E110" s="65" t="s">
        <v>254</v>
      </c>
      <c r="F110" s="64" t="s">
        <v>189</v>
      </c>
      <c r="G110" s="64" t="s">
        <v>248</v>
      </c>
      <c r="H110" s="64" t="s">
        <v>111</v>
      </c>
      <c r="I110" s="71">
        <v>2</v>
      </c>
      <c r="J110" s="71">
        <v>24</v>
      </c>
      <c r="K110" s="110" t="str">
        <f>IF(H110="","",IF($C$29="간이법","",FPR(H110,I110,J110)))</f>
        <v>H</v>
      </c>
      <c r="L110" s="111">
        <f>IF(H110="","",IF($C$29="상세법",FPV(H110,K110),IF(H110="EI",4,IF(H110="EO",5.2,IF(H110="EQ",3.9,IF(H110="ILF",7.5,IF(H110="EIF",5.4)))))))</f>
        <v>6</v>
      </c>
      <c r="M110" s="112">
        <f t="shared" si="3"/>
        <v>3</v>
      </c>
      <c r="N110" s="113" t="s">
        <v>101</v>
      </c>
    </row>
    <row r="111" spans="2:14">
      <c r="B111" s="62" t="s">
        <v>96</v>
      </c>
      <c r="C111" s="63" t="s">
        <v>168</v>
      </c>
      <c r="D111" s="62" t="s">
        <v>255</v>
      </c>
      <c r="E111" s="62" t="s">
        <v>256</v>
      </c>
      <c r="F111" s="64" t="s">
        <v>189</v>
      </c>
      <c r="G111" s="64" t="s">
        <v>248</v>
      </c>
      <c r="H111" s="64" t="s">
        <v>111</v>
      </c>
      <c r="I111" s="70">
        <v>2</v>
      </c>
      <c r="J111" s="70">
        <v>12</v>
      </c>
      <c r="K111" s="110" t="str">
        <f>IF(H111="","",IF($C$29="간이법","",FPR(H111,I111,J111)))</f>
        <v>A</v>
      </c>
      <c r="L111" s="111">
        <f>IF(H111="","",IF($C$29="상세법",FPV(H111,K111),IF(H111="EI",4,IF(H111="EO",5.2,IF(H111="EQ",3.9,IF(H111="ILF",7.5,IF(H111="EIF",5.4)))))))</f>
        <v>4</v>
      </c>
      <c r="M111" s="112">
        <f t="shared" si="3"/>
        <v>2</v>
      </c>
      <c r="N111" s="113" t="s">
        <v>101</v>
      </c>
    </row>
    <row r="112" spans="2:14">
      <c r="B112" s="62" t="s">
        <v>96</v>
      </c>
      <c r="C112" s="63" t="s">
        <v>168</v>
      </c>
      <c r="D112" s="62" t="s">
        <v>257</v>
      </c>
      <c r="E112" s="62" t="s">
        <v>258</v>
      </c>
      <c r="F112" s="64" t="s">
        <v>189</v>
      </c>
      <c r="G112" s="64" t="s">
        <v>248</v>
      </c>
      <c r="H112" s="64" t="s">
        <v>111</v>
      </c>
      <c r="I112" s="70">
        <v>2</v>
      </c>
      <c r="J112" s="70">
        <v>18</v>
      </c>
      <c r="K112" s="110" t="str">
        <f>IF(H112="","",IF($C$29="간이법","",FPR(H112,I112,J112)))</f>
        <v>A</v>
      </c>
      <c r="L112" s="111">
        <f>IF(H112="","",IF($C$29="상세법",FPV(H112,K112),IF(H112="EI",4,IF(H112="EO",5.2,IF(H112="EQ",3.9,IF(H112="ILF",7.5,IF(H112="EIF",5.4)))))))</f>
        <v>4</v>
      </c>
      <c r="M112" s="112">
        <f t="shared" si="3"/>
        <v>2</v>
      </c>
      <c r="N112" s="113" t="s">
        <v>101</v>
      </c>
    </row>
    <row r="113" spans="2:14">
      <c r="B113" s="65" t="s">
        <v>96</v>
      </c>
      <c r="C113" s="65" t="s">
        <v>168</v>
      </c>
      <c r="D113" s="65" t="s">
        <v>259</v>
      </c>
      <c r="E113" s="65" t="s">
        <v>260</v>
      </c>
      <c r="F113" s="64" t="s">
        <v>189</v>
      </c>
      <c r="G113" s="64" t="s">
        <v>248</v>
      </c>
      <c r="H113" s="64" t="s">
        <v>111</v>
      </c>
      <c r="I113" s="71">
        <v>2</v>
      </c>
      <c r="J113" s="71">
        <v>7</v>
      </c>
      <c r="K113" s="110" t="str">
        <f>IF(H113="","",IF($C$29="간이법","",FPR(H113,I113,J113)))</f>
        <v>A</v>
      </c>
      <c r="L113" s="111">
        <f>IF(H113="","",IF($C$29="상세법",FPV(H113,K113),IF(H113="EI",4,IF(H113="EO",5.2,IF(H113="EQ",3.9,IF(H113="ILF",7.5,IF(H113="EIF",5.4)))))))</f>
        <v>4</v>
      </c>
      <c r="M113" s="112">
        <f t="shared" si="3"/>
        <v>2</v>
      </c>
      <c r="N113" s="113" t="s">
        <v>101</v>
      </c>
    </row>
    <row r="114" spans="2:14">
      <c r="B114" s="62" t="s">
        <v>96</v>
      </c>
      <c r="C114" s="63" t="s">
        <v>168</v>
      </c>
      <c r="D114" s="62" t="s">
        <v>261</v>
      </c>
      <c r="E114" s="62" t="s">
        <v>262</v>
      </c>
      <c r="F114" s="64" t="s">
        <v>189</v>
      </c>
      <c r="G114" s="64" t="s">
        <v>248</v>
      </c>
      <c r="H114" s="64" t="s">
        <v>111</v>
      </c>
      <c r="I114" s="70">
        <v>2</v>
      </c>
      <c r="J114" s="70">
        <v>9</v>
      </c>
      <c r="K114" s="110" t="str">
        <f>IF(H114="","",IF($C$29="간이법","",FPR(H114,I114,J114)))</f>
        <v>A</v>
      </c>
      <c r="L114" s="111">
        <f>IF(H114="","",IF($C$29="상세법",FPV(H114,K114),IF(H114="EI",4,IF(H114="EO",5.2,IF(H114="EQ",3.9,IF(H114="ILF",7.5,IF(H114="EIF",5.4)))))))</f>
        <v>4</v>
      </c>
      <c r="M114" s="112">
        <f t="shared" si="3"/>
        <v>2</v>
      </c>
      <c r="N114" s="113" t="s">
        <v>101</v>
      </c>
    </row>
    <row r="115" spans="2:14">
      <c r="B115" s="62" t="s">
        <v>96</v>
      </c>
      <c r="C115" s="63" t="s">
        <v>168</v>
      </c>
      <c r="D115" s="62" t="s">
        <v>263</v>
      </c>
      <c r="E115" s="62" t="s">
        <v>264</v>
      </c>
      <c r="F115" s="64" t="s">
        <v>100</v>
      </c>
      <c r="G115" s="64" t="s">
        <v>101</v>
      </c>
      <c r="H115" s="64" t="s">
        <v>10</v>
      </c>
      <c r="I115" s="70">
        <v>1</v>
      </c>
      <c r="J115" s="70">
        <v>4</v>
      </c>
      <c r="K115" s="110" t="str">
        <f>IF(H115="","",IF($C$29="간이법","",FPR(H115,I115,J115)))</f>
        <v>L</v>
      </c>
      <c r="L115" s="111">
        <f>IF(H115="","",IF($C$29="상세법",FPV(H115,K115),IF(H115="EI",4,IF(H115="EO",5.2,IF(H115="EQ",3.9,IF(H115="ILF",7.5,IF(H115="EIF",5.4)))))))</f>
        <v>3</v>
      </c>
      <c r="M115" s="112">
        <f t="shared" si="3"/>
        <v>3</v>
      </c>
      <c r="N115" s="113" t="s">
        <v>101</v>
      </c>
    </row>
    <row r="116" spans="2:14">
      <c r="B116" s="65" t="s">
        <v>96</v>
      </c>
      <c r="C116" s="65" t="s">
        <v>168</v>
      </c>
      <c r="D116" s="65" t="s">
        <v>265</v>
      </c>
      <c r="E116" s="65" t="s">
        <v>266</v>
      </c>
      <c r="F116" s="64" t="s">
        <v>100</v>
      </c>
      <c r="G116" s="64" t="s">
        <v>101</v>
      </c>
      <c r="H116" s="64" t="s">
        <v>102</v>
      </c>
      <c r="I116" s="71">
        <v>5</v>
      </c>
      <c r="J116" s="71">
        <v>45</v>
      </c>
      <c r="K116" s="110" t="str">
        <f>IF(H116="","",IF($C$29="간이법","",FPR(H116,I116,J116)))</f>
        <v>H</v>
      </c>
      <c r="L116" s="111">
        <f>IF(H116="","",IF($C$29="상세법",FPV(H116,K116),IF(H116="EI",4,IF(H116="EO",5.2,IF(H116="EQ",3.9,IF(H116="ILF",7.5,IF(H116="EIF",5.4)))))))</f>
        <v>7</v>
      </c>
      <c r="M116" s="112">
        <f t="shared" si="3"/>
        <v>7</v>
      </c>
      <c r="N116" s="113" t="s">
        <v>101</v>
      </c>
    </row>
    <row r="117" spans="2:14">
      <c r="B117" s="62" t="s">
        <v>96</v>
      </c>
      <c r="C117" s="63" t="s">
        <v>168</v>
      </c>
      <c r="D117" s="62" t="s">
        <v>267</v>
      </c>
      <c r="E117" s="62" t="s">
        <v>268</v>
      </c>
      <c r="F117" s="64" t="s">
        <v>100</v>
      </c>
      <c r="G117" s="64" t="s">
        <v>101</v>
      </c>
      <c r="H117" s="64" t="s">
        <v>102</v>
      </c>
      <c r="I117" s="70">
        <v>1</v>
      </c>
      <c r="J117" s="70">
        <v>6</v>
      </c>
      <c r="K117" s="110" t="str">
        <f>IF(H117="","",IF($C$29="간이법","",FPR(H117,I117,J117)))</f>
        <v>L</v>
      </c>
      <c r="L117" s="111">
        <f>IF(H117="","",IF($C$29="상세법",FPV(H117,K117),IF(H117="EI",4,IF(H117="EO",5.2,IF(H117="EQ",3.9,IF(H117="ILF",7.5,IF(H117="EIF",5.4)))))))</f>
        <v>4</v>
      </c>
      <c r="M117" s="112">
        <f t="shared" si="3"/>
        <v>4</v>
      </c>
      <c r="N117" s="113" t="s">
        <v>101</v>
      </c>
    </row>
    <row r="118" spans="2:14">
      <c r="B118" s="62" t="s">
        <v>96</v>
      </c>
      <c r="C118" s="63" t="s">
        <v>168</v>
      </c>
      <c r="D118" s="62" t="s">
        <v>269</v>
      </c>
      <c r="E118" s="62" t="s">
        <v>270</v>
      </c>
      <c r="F118" s="64" t="s">
        <v>100</v>
      </c>
      <c r="G118" s="64" t="s">
        <v>101</v>
      </c>
      <c r="H118" s="64" t="s">
        <v>10</v>
      </c>
      <c r="I118" s="70">
        <v>1</v>
      </c>
      <c r="J118" s="70">
        <v>4</v>
      </c>
      <c r="K118" s="110" t="str">
        <f>IF(H118="","",IF($C$29="간이법","",FPR(H118,I118,J118)))</f>
        <v>L</v>
      </c>
      <c r="L118" s="111">
        <f>IF(H118="","",IF($C$29="상세법",FPV(H118,K118),IF(H118="EI",4,IF(H118="EO",5.2,IF(H118="EQ",3.9,IF(H118="ILF",7.5,IF(H118="EIF",5.4)))))))</f>
        <v>3</v>
      </c>
      <c r="M118" s="112">
        <f t="shared" si="3"/>
        <v>3</v>
      </c>
      <c r="N118" s="113" t="s">
        <v>101</v>
      </c>
    </row>
    <row r="119" spans="2:14">
      <c r="B119" s="65" t="s">
        <v>96</v>
      </c>
      <c r="C119" s="65" t="s">
        <v>168</v>
      </c>
      <c r="D119" s="65" t="s">
        <v>271</v>
      </c>
      <c r="E119" s="65" t="s">
        <v>272</v>
      </c>
      <c r="F119" s="64" t="s">
        <v>100</v>
      </c>
      <c r="G119" s="64" t="s">
        <v>101</v>
      </c>
      <c r="H119" s="64" t="s">
        <v>10</v>
      </c>
      <c r="I119" s="71">
        <v>1</v>
      </c>
      <c r="J119" s="71">
        <v>10</v>
      </c>
      <c r="K119" s="110" t="str">
        <f>IF(H119="","",IF($C$29="간이법","",FPR(H119,I119,J119)))</f>
        <v>L</v>
      </c>
      <c r="L119" s="111">
        <f>IF(H119="","",IF($C$29="상세법",FPV(H119,K119),IF(H119="EI",4,IF(H119="EO",5.2,IF(H119="EQ",3.9,IF(H119="ILF",7.5,IF(H119="EIF",5.4)))))))</f>
        <v>3</v>
      </c>
      <c r="M119" s="112">
        <f t="shared" si="3"/>
        <v>3</v>
      </c>
      <c r="N119" s="113" t="s">
        <v>101</v>
      </c>
    </row>
    <row r="120" spans="2:14" ht="27">
      <c r="B120" s="105" t="s">
        <v>96</v>
      </c>
      <c r="C120" s="106" t="s">
        <v>168</v>
      </c>
      <c r="D120" s="107" t="s">
        <v>273</v>
      </c>
      <c r="E120" s="65" t="s">
        <v>274</v>
      </c>
      <c r="F120" s="64" t="s">
        <v>100</v>
      </c>
      <c r="G120" s="64" t="s">
        <v>101</v>
      </c>
      <c r="H120" s="64" t="s">
        <v>102</v>
      </c>
      <c r="I120" s="70">
        <v>1</v>
      </c>
      <c r="J120" s="70">
        <v>5</v>
      </c>
      <c r="K120" s="110" t="str">
        <f>IF(H120="","",IF($C$29="간이법","",FPR(H120,I120,J120)))</f>
        <v>L</v>
      </c>
      <c r="L120" s="111">
        <f>IF(H120="","",IF($C$29="상세법",FPV(H120,K120),IF(H120="EI",4,IF(H120="EO",5.2,IF(H120="EQ",3.9,IF(H120="ILF",7.5,IF(H120="EIF",5.4)))))))</f>
        <v>4</v>
      </c>
      <c r="M120" s="112">
        <f t="shared" ref="M120" si="4">IF(L120="","",L120*IF(G120="상",0.7,IF(G120="중",0.5,IF(G120="하",0.2,1))))</f>
        <v>4</v>
      </c>
      <c r="N120" s="113" t="s">
        <v>101</v>
      </c>
    </row>
    <row r="121" spans="2:14" ht="27">
      <c r="B121" s="105" t="s">
        <v>96</v>
      </c>
      <c r="C121" s="106" t="s">
        <v>275</v>
      </c>
      <c r="D121" s="107" t="s">
        <v>276</v>
      </c>
      <c r="E121" s="65" t="s">
        <v>277</v>
      </c>
      <c r="F121" s="64" t="s">
        <v>100</v>
      </c>
      <c r="G121" s="64" t="s">
        <v>101</v>
      </c>
      <c r="H121" s="64" t="s">
        <v>111</v>
      </c>
      <c r="I121" s="70">
        <v>1</v>
      </c>
      <c r="J121" s="70">
        <v>6</v>
      </c>
      <c r="K121" s="110" t="str">
        <f>IF(H121="","",IF($C$29="간이법","",FPR(H121,I121,J121)))</f>
        <v>L</v>
      </c>
      <c r="L121" s="111">
        <f>IF(H121="","",IF($C$29="상세법",FPV(H121,K121),IF(H121="EI",4,IF(H121="EO",5.2,IF(H121="EQ",3.9,IF(H121="ILF",7.5,IF(H121="EIF",5.4)))))))</f>
        <v>3</v>
      </c>
      <c r="M121" s="112">
        <f t="shared" ref="M121:M184" si="5">IF(L121="","",L121*IF(G121="상",0.7,IF(G121="중",0.5,IF(G121="하",0.2,1))))</f>
        <v>3</v>
      </c>
      <c r="N121" s="113" t="s">
        <v>101</v>
      </c>
    </row>
    <row r="122" spans="2:14" ht="27">
      <c r="B122" s="105" t="s">
        <v>96</v>
      </c>
      <c r="C122" s="106" t="s">
        <v>275</v>
      </c>
      <c r="D122" s="107" t="s">
        <v>278</v>
      </c>
      <c r="E122" s="65" t="s">
        <v>279</v>
      </c>
      <c r="F122" s="64" t="s">
        <v>100</v>
      </c>
      <c r="G122" s="64" t="s">
        <v>101</v>
      </c>
      <c r="H122" s="64" t="s">
        <v>10</v>
      </c>
      <c r="I122" s="70">
        <v>1</v>
      </c>
      <c r="J122" s="70">
        <v>6</v>
      </c>
      <c r="K122" s="110" t="str">
        <f>IF(H122="","",IF($C$29="간이법","",FPR(H122,I122,J122)))</f>
        <v>L</v>
      </c>
      <c r="L122" s="111">
        <f>IF(H122="","",IF($C$29="상세법",FPV(H122,K122),IF(H122="EI",4,IF(H122="EO",5.2,IF(H122="EQ",3.9,IF(H122="ILF",7.5,IF(H122="EIF",5.4)))))))</f>
        <v>3</v>
      </c>
      <c r="M122" s="112">
        <f t="shared" si="5"/>
        <v>3</v>
      </c>
      <c r="N122" s="113" t="s">
        <v>101</v>
      </c>
    </row>
    <row r="123" spans="2:14" ht="27">
      <c r="B123" s="105" t="s">
        <v>96</v>
      </c>
      <c r="C123" s="106" t="s">
        <v>275</v>
      </c>
      <c r="D123" s="107" t="s">
        <v>280</v>
      </c>
      <c r="E123" s="65" t="s">
        <v>281</v>
      </c>
      <c r="F123" s="64" t="s">
        <v>100</v>
      </c>
      <c r="G123" s="64" t="s">
        <v>101</v>
      </c>
      <c r="H123" s="64" t="s">
        <v>10</v>
      </c>
      <c r="I123" s="70">
        <v>1</v>
      </c>
      <c r="J123" s="70">
        <v>6</v>
      </c>
      <c r="K123" s="110" t="str">
        <f>IF(H123="","",IF($C$29="간이법","",FPR(H123,I123,J123)))</f>
        <v>L</v>
      </c>
      <c r="L123" s="111">
        <f>IF(H123="","",IF($C$29="상세법",FPV(H123,K123),IF(H123="EI",4,IF(H123="EO",5.2,IF(H123="EQ",3.9,IF(H123="ILF",7.5,IF(H123="EIF",5.4)))))))</f>
        <v>3</v>
      </c>
      <c r="M123" s="112">
        <f t="shared" si="5"/>
        <v>3</v>
      </c>
      <c r="N123" s="113" t="s">
        <v>101</v>
      </c>
    </row>
    <row r="124" spans="2:14" ht="27">
      <c r="B124" s="105" t="s">
        <v>96</v>
      </c>
      <c r="C124" s="106" t="s">
        <v>275</v>
      </c>
      <c r="D124" s="107" t="s">
        <v>282</v>
      </c>
      <c r="E124" s="65" t="s">
        <v>283</v>
      </c>
      <c r="F124" s="64" t="s">
        <v>100</v>
      </c>
      <c r="G124" s="64" t="s">
        <v>101</v>
      </c>
      <c r="H124" s="64" t="s">
        <v>10</v>
      </c>
      <c r="I124" s="70">
        <v>1</v>
      </c>
      <c r="J124" s="70">
        <v>7</v>
      </c>
      <c r="K124" s="110" t="str">
        <f>IF(H124="","",IF($C$29="간이법","",FPR(H124,I124,J124)))</f>
        <v>L</v>
      </c>
      <c r="L124" s="111">
        <f>IF(H124="","",IF($C$29="상세법",FPV(H124,K124),IF(H124="EI",4,IF(H124="EO",5.2,IF(H124="EQ",3.9,IF(H124="ILF",7.5,IF(H124="EIF",5.4)))))))</f>
        <v>3</v>
      </c>
      <c r="M124" s="112">
        <f t="shared" si="5"/>
        <v>3</v>
      </c>
      <c r="N124" s="113" t="s">
        <v>101</v>
      </c>
    </row>
    <row r="125" spans="2:14" ht="27">
      <c r="B125" s="105" t="s">
        <v>96</v>
      </c>
      <c r="C125" s="106" t="s">
        <v>275</v>
      </c>
      <c r="D125" s="107" t="s">
        <v>284</v>
      </c>
      <c r="E125" s="65" t="s">
        <v>285</v>
      </c>
      <c r="F125" s="64" t="s">
        <v>189</v>
      </c>
      <c r="G125" s="64" t="s">
        <v>248</v>
      </c>
      <c r="H125" s="64" t="s">
        <v>10</v>
      </c>
      <c r="I125" s="70">
        <v>2</v>
      </c>
      <c r="J125" s="70">
        <v>16</v>
      </c>
      <c r="K125" s="110" t="str">
        <f>IF(H125="","",IF($C$29="간이법","",FPR(H125,I125,J125)))</f>
        <v>H</v>
      </c>
      <c r="L125" s="111">
        <f>IF(H125="","",IF($C$29="상세법",FPV(H125,K125),IF(H125="EI",4,IF(H125="EO",5.2,IF(H125="EQ",3.9,IF(H125="ILF",7.5,IF(H125="EIF",5.4)))))))</f>
        <v>6</v>
      </c>
      <c r="M125" s="112">
        <f t="shared" si="5"/>
        <v>3</v>
      </c>
      <c r="N125" s="113" t="s">
        <v>101</v>
      </c>
    </row>
    <row r="126" spans="2:14" ht="27">
      <c r="B126" s="105" t="s">
        <v>96</v>
      </c>
      <c r="C126" s="106" t="s">
        <v>275</v>
      </c>
      <c r="D126" s="107" t="s">
        <v>286</v>
      </c>
      <c r="E126" s="65" t="s">
        <v>287</v>
      </c>
      <c r="F126" s="64" t="s">
        <v>100</v>
      </c>
      <c r="G126" s="64" t="s">
        <v>101</v>
      </c>
      <c r="H126" s="64" t="s">
        <v>10</v>
      </c>
      <c r="I126" s="70">
        <v>1</v>
      </c>
      <c r="J126" s="70">
        <v>6</v>
      </c>
      <c r="K126" s="110" t="str">
        <f>IF(H126="","",IF($C$29="간이법","",FPR(H126,I126,J126)))</f>
        <v>L</v>
      </c>
      <c r="L126" s="111">
        <f>IF(H126="","",IF($C$29="상세법",FPV(H126,K126),IF(H126="EI",4,IF(H126="EO",5.2,IF(H126="EQ",3.9,IF(H126="ILF",7.5,IF(H126="EIF",5.4)))))))</f>
        <v>3</v>
      </c>
      <c r="M126" s="112">
        <f t="shared" si="5"/>
        <v>3</v>
      </c>
      <c r="N126" s="113" t="s">
        <v>101</v>
      </c>
    </row>
    <row r="127" spans="2:14" ht="27">
      <c r="B127" s="105" t="s">
        <v>96</v>
      </c>
      <c r="C127" s="106" t="s">
        <v>275</v>
      </c>
      <c r="D127" s="107" t="s">
        <v>288</v>
      </c>
      <c r="E127" s="65" t="s">
        <v>289</v>
      </c>
      <c r="F127" s="64" t="s">
        <v>189</v>
      </c>
      <c r="G127" s="64" t="s">
        <v>248</v>
      </c>
      <c r="H127" s="64" t="s">
        <v>111</v>
      </c>
      <c r="I127" s="70">
        <v>3</v>
      </c>
      <c r="J127" s="70">
        <v>9</v>
      </c>
      <c r="K127" s="110" t="str">
        <f>IF(H127="","",IF($C$29="간이법","",FPR(H127,I127,J127)))</f>
        <v>A</v>
      </c>
      <c r="L127" s="111">
        <f>IF(H127="","",IF($C$29="상세법",FPV(H127,K127),IF(H127="EI",4,IF(H127="EO",5.2,IF(H127="EQ",3.9,IF(H127="ILF",7.5,IF(H127="EIF",5.4)))))))</f>
        <v>4</v>
      </c>
      <c r="M127" s="112">
        <f t="shared" si="5"/>
        <v>2</v>
      </c>
      <c r="N127" s="113" t="s">
        <v>101</v>
      </c>
    </row>
    <row r="128" spans="2:14" ht="27">
      <c r="B128" s="105" t="s">
        <v>96</v>
      </c>
      <c r="C128" s="106" t="s">
        <v>275</v>
      </c>
      <c r="D128" s="107" t="s">
        <v>290</v>
      </c>
      <c r="E128" s="65" t="s">
        <v>291</v>
      </c>
      <c r="F128" s="64" t="s">
        <v>100</v>
      </c>
      <c r="G128" s="64" t="s">
        <v>101</v>
      </c>
      <c r="H128" s="64" t="s">
        <v>10</v>
      </c>
      <c r="I128" s="70">
        <v>1</v>
      </c>
      <c r="J128" s="70">
        <v>6</v>
      </c>
      <c r="K128" s="110" t="str">
        <f>IF(H128="","",IF($C$29="간이법","",FPR(H128,I128,J128)))</f>
        <v>L</v>
      </c>
      <c r="L128" s="111">
        <f>IF(H128="","",IF($C$29="상세법",FPV(H128,K128),IF(H128="EI",4,IF(H128="EO",5.2,IF(H128="EQ",3.9,IF(H128="ILF",7.5,IF(H128="EIF",5.4)))))))</f>
        <v>3</v>
      </c>
      <c r="M128" s="112">
        <f t="shared" si="5"/>
        <v>3</v>
      </c>
      <c r="N128" s="113" t="s">
        <v>101</v>
      </c>
    </row>
    <row r="129" spans="2:14" ht="27">
      <c r="B129" s="105" t="s">
        <v>96</v>
      </c>
      <c r="C129" s="106" t="s">
        <v>275</v>
      </c>
      <c r="D129" s="107" t="s">
        <v>292</v>
      </c>
      <c r="E129" s="65" t="s">
        <v>293</v>
      </c>
      <c r="F129" s="64" t="s">
        <v>100</v>
      </c>
      <c r="G129" s="64" t="s">
        <v>101</v>
      </c>
      <c r="H129" s="64" t="s">
        <v>111</v>
      </c>
      <c r="I129" s="70">
        <v>1</v>
      </c>
      <c r="J129" s="70">
        <v>7</v>
      </c>
      <c r="K129" s="110" t="str">
        <f>IF(H129="","",IF($C$29="간이법","",FPR(H129,I129,J129)))</f>
        <v>L</v>
      </c>
      <c r="L129" s="111">
        <f>IF(H129="","",IF($C$29="상세법",FPV(H129,K129),IF(H129="EI",4,IF(H129="EO",5.2,IF(H129="EQ",3.9,IF(H129="ILF",7.5,IF(H129="EIF",5.4)))))))</f>
        <v>3</v>
      </c>
      <c r="M129" s="112">
        <f t="shared" si="5"/>
        <v>3</v>
      </c>
      <c r="N129" s="113" t="s">
        <v>101</v>
      </c>
    </row>
    <row r="130" spans="2:14" ht="27">
      <c r="B130" s="105" t="s">
        <v>96</v>
      </c>
      <c r="C130" s="106" t="s">
        <v>275</v>
      </c>
      <c r="D130" s="107" t="s">
        <v>294</v>
      </c>
      <c r="E130" s="65" t="s">
        <v>295</v>
      </c>
      <c r="F130" s="64" t="s">
        <v>100</v>
      </c>
      <c r="G130" s="64" t="s">
        <v>101</v>
      </c>
      <c r="H130" s="64" t="s">
        <v>111</v>
      </c>
      <c r="I130" s="70">
        <v>4</v>
      </c>
      <c r="J130" s="70">
        <v>34</v>
      </c>
      <c r="K130" s="110" t="str">
        <f>IF(H130="","",IF($C$29="간이법","",FPR(H130,I130,J130)))</f>
        <v>H</v>
      </c>
      <c r="L130" s="111">
        <f>IF(H130="","",IF($C$29="상세법",FPV(H130,K130),IF(H130="EI",4,IF(H130="EO",5.2,IF(H130="EQ",3.9,IF(H130="ILF",7.5,IF(H130="EIF",5.4)))))))</f>
        <v>6</v>
      </c>
      <c r="M130" s="112">
        <f t="shared" si="5"/>
        <v>6</v>
      </c>
      <c r="N130" s="113" t="s">
        <v>101</v>
      </c>
    </row>
    <row r="131" spans="2:14" ht="27">
      <c r="B131" s="105" t="s">
        <v>96</v>
      </c>
      <c r="C131" s="106" t="s">
        <v>275</v>
      </c>
      <c r="D131" s="107" t="s">
        <v>296</v>
      </c>
      <c r="E131" s="65" t="s">
        <v>297</v>
      </c>
      <c r="F131" s="64" t="s">
        <v>100</v>
      </c>
      <c r="G131" s="64" t="s">
        <v>101</v>
      </c>
      <c r="H131" s="64" t="s">
        <v>10</v>
      </c>
      <c r="I131" s="70">
        <v>1</v>
      </c>
      <c r="J131" s="70">
        <v>4</v>
      </c>
      <c r="K131" s="110" t="str">
        <f>IF(H131="","",IF($C$29="간이법","",FPR(H131,I131,J131)))</f>
        <v>L</v>
      </c>
      <c r="L131" s="111">
        <f>IF(H131="","",IF($C$29="상세법",FPV(H131,K131),IF(H131="EI",4,IF(H131="EO",5.2,IF(H131="EQ",3.9,IF(H131="ILF",7.5,IF(H131="EIF",5.4)))))))</f>
        <v>3</v>
      </c>
      <c r="M131" s="112">
        <f t="shared" si="5"/>
        <v>3</v>
      </c>
      <c r="N131" s="113" t="s">
        <v>101</v>
      </c>
    </row>
    <row r="132" spans="2:14" ht="27">
      <c r="B132" s="105" t="s">
        <v>96</v>
      </c>
      <c r="C132" s="106" t="s">
        <v>275</v>
      </c>
      <c r="D132" s="107" t="s">
        <v>298</v>
      </c>
      <c r="E132" s="65" t="s">
        <v>299</v>
      </c>
      <c r="F132" s="64" t="s">
        <v>100</v>
      </c>
      <c r="G132" s="64" t="s">
        <v>101</v>
      </c>
      <c r="H132" s="64" t="s">
        <v>10</v>
      </c>
      <c r="I132" s="70">
        <v>1</v>
      </c>
      <c r="J132" s="70">
        <v>6</v>
      </c>
      <c r="K132" s="110" t="str">
        <f>IF(H132="","",IF($C$29="간이법","",FPR(H132,I132,J132)))</f>
        <v>L</v>
      </c>
      <c r="L132" s="111">
        <f>IF(H132="","",IF($C$29="상세법",FPV(H132,K132),IF(H132="EI",4,IF(H132="EO",5.2,IF(H132="EQ",3.9,IF(H132="ILF",7.5,IF(H132="EIF",5.4)))))))</f>
        <v>3</v>
      </c>
      <c r="M132" s="112">
        <f t="shared" si="5"/>
        <v>3</v>
      </c>
      <c r="N132" s="113" t="s">
        <v>101</v>
      </c>
    </row>
    <row r="133" spans="2:14" ht="27">
      <c r="B133" s="105" t="s">
        <v>96</v>
      </c>
      <c r="C133" s="106" t="s">
        <v>275</v>
      </c>
      <c r="D133" s="107" t="s">
        <v>300</v>
      </c>
      <c r="E133" s="65" t="s">
        <v>301</v>
      </c>
      <c r="F133" s="64" t="s">
        <v>100</v>
      </c>
      <c r="G133" s="64" t="s">
        <v>101</v>
      </c>
      <c r="H133" s="64" t="s">
        <v>10</v>
      </c>
      <c r="I133" s="70">
        <v>2</v>
      </c>
      <c r="J133" s="70">
        <v>4</v>
      </c>
      <c r="K133" s="110" t="str">
        <f>IF(H133="","",IF($C$29="간이법","",FPR(H133,I133,J133)))</f>
        <v>L</v>
      </c>
      <c r="L133" s="111">
        <f>IF(H133="","",IF($C$29="상세법",FPV(H133,K133),IF(H133="EI",4,IF(H133="EO",5.2,IF(H133="EQ",3.9,IF(H133="ILF",7.5,IF(H133="EIF",5.4)))))))</f>
        <v>3</v>
      </c>
      <c r="M133" s="112">
        <f t="shared" si="5"/>
        <v>3</v>
      </c>
      <c r="N133" s="113" t="s">
        <v>101</v>
      </c>
    </row>
    <row r="134" spans="2:14" ht="27">
      <c r="B134" s="105" t="s">
        <v>96</v>
      </c>
      <c r="C134" s="106" t="s">
        <v>275</v>
      </c>
      <c r="D134" s="107" t="s">
        <v>302</v>
      </c>
      <c r="E134" s="65" t="s">
        <v>303</v>
      </c>
      <c r="F134" s="64" t="s">
        <v>100</v>
      </c>
      <c r="G134" s="64" t="s">
        <v>101</v>
      </c>
      <c r="H134" s="64" t="s">
        <v>111</v>
      </c>
      <c r="I134" s="70">
        <v>2</v>
      </c>
      <c r="J134" s="70">
        <v>7</v>
      </c>
      <c r="K134" s="110" t="str">
        <f>IF(H134="","",IF($C$29="간이법","",FPR(H134,I134,J134)))</f>
        <v>A</v>
      </c>
      <c r="L134" s="111">
        <f>IF(H134="","",IF($C$29="상세법",FPV(H134,K134),IF(H134="EI",4,IF(H134="EO",5.2,IF(H134="EQ",3.9,IF(H134="ILF",7.5,IF(H134="EIF",5.4)))))))</f>
        <v>4</v>
      </c>
      <c r="M134" s="112">
        <f t="shared" si="5"/>
        <v>4</v>
      </c>
      <c r="N134" s="113" t="s">
        <v>101</v>
      </c>
    </row>
    <row r="135" spans="2:14" ht="27">
      <c r="B135" s="105" t="s">
        <v>96</v>
      </c>
      <c r="C135" s="106" t="s">
        <v>275</v>
      </c>
      <c r="D135" s="107" t="s">
        <v>304</v>
      </c>
      <c r="E135" s="65" t="s">
        <v>305</v>
      </c>
      <c r="F135" s="64" t="s">
        <v>100</v>
      </c>
      <c r="G135" s="64" t="s">
        <v>101</v>
      </c>
      <c r="H135" s="64" t="s">
        <v>102</v>
      </c>
      <c r="I135" s="70">
        <v>2</v>
      </c>
      <c r="J135" s="70">
        <v>4</v>
      </c>
      <c r="K135" s="110" t="str">
        <f>IF(H135="","",IF($C$29="간이법","",FPR(H135,I135,J135)))</f>
        <v>L</v>
      </c>
      <c r="L135" s="111">
        <f>IF(H135="","",IF($C$29="상세법",FPV(H135,K135),IF(H135="EI",4,IF(H135="EO",5.2,IF(H135="EQ",3.9,IF(H135="ILF",7.5,IF(H135="EIF",5.4)))))))</f>
        <v>4</v>
      </c>
      <c r="M135" s="112">
        <f t="shared" si="5"/>
        <v>4</v>
      </c>
      <c r="N135" s="113" t="s">
        <v>101</v>
      </c>
    </row>
    <row r="136" spans="2:14" ht="27">
      <c r="B136" s="105" t="s">
        <v>96</v>
      </c>
      <c r="C136" s="106" t="s">
        <v>275</v>
      </c>
      <c r="D136" s="107" t="s">
        <v>306</v>
      </c>
      <c r="E136" s="65" t="s">
        <v>307</v>
      </c>
      <c r="F136" s="64" t="s">
        <v>100</v>
      </c>
      <c r="G136" s="64" t="s">
        <v>101</v>
      </c>
      <c r="H136" s="64" t="s">
        <v>10</v>
      </c>
      <c r="I136" s="70">
        <v>1</v>
      </c>
      <c r="J136" s="70">
        <v>5</v>
      </c>
      <c r="K136" s="110" t="str">
        <f>IF(H136="","",IF($C$29="간이법","",FPR(H136,I136,J136)))</f>
        <v>L</v>
      </c>
      <c r="L136" s="111">
        <f>IF(H136="","",IF($C$29="상세법",FPV(H136,K136),IF(H136="EI",4,IF(H136="EO",5.2,IF(H136="EQ",3.9,IF(H136="ILF",7.5,IF(H136="EIF",5.4)))))))</f>
        <v>3</v>
      </c>
      <c r="M136" s="112">
        <f t="shared" si="5"/>
        <v>3</v>
      </c>
      <c r="N136" s="113" t="s">
        <v>101</v>
      </c>
    </row>
    <row r="137" spans="2:14" ht="27">
      <c r="B137" s="105" t="s">
        <v>96</v>
      </c>
      <c r="C137" s="106" t="s">
        <v>275</v>
      </c>
      <c r="D137" s="107" t="s">
        <v>308</v>
      </c>
      <c r="E137" s="65" t="s">
        <v>309</v>
      </c>
      <c r="F137" s="64" t="s">
        <v>100</v>
      </c>
      <c r="G137" s="64" t="s">
        <v>101</v>
      </c>
      <c r="H137" s="64" t="s">
        <v>111</v>
      </c>
      <c r="I137" s="70">
        <v>2</v>
      </c>
      <c r="J137" s="70">
        <v>7</v>
      </c>
      <c r="K137" s="110" t="str">
        <f>IF(H137="","",IF($C$29="간이법","",FPR(H137,I137,J137)))</f>
        <v>A</v>
      </c>
      <c r="L137" s="111">
        <f>IF(H137="","",IF($C$29="상세법",FPV(H137,K137),IF(H137="EI",4,IF(H137="EO",5.2,IF(H137="EQ",3.9,IF(H137="ILF",7.5,IF(H137="EIF",5.4)))))))</f>
        <v>4</v>
      </c>
      <c r="M137" s="112">
        <f t="shared" si="5"/>
        <v>4</v>
      </c>
      <c r="N137" s="113" t="s">
        <v>101</v>
      </c>
    </row>
    <row r="138" spans="2:14" ht="27">
      <c r="B138" s="105" t="s">
        <v>96</v>
      </c>
      <c r="C138" s="106" t="s">
        <v>275</v>
      </c>
      <c r="D138" s="107" t="s">
        <v>310</v>
      </c>
      <c r="E138" s="65" t="s">
        <v>311</v>
      </c>
      <c r="F138" s="64" t="s">
        <v>100</v>
      </c>
      <c r="G138" s="64" t="s">
        <v>101</v>
      </c>
      <c r="H138" s="64" t="s">
        <v>10</v>
      </c>
      <c r="I138" s="70">
        <v>2</v>
      </c>
      <c r="J138" s="70">
        <v>8</v>
      </c>
      <c r="K138" s="110" t="str">
        <f>IF(H138="","",IF($C$29="간이법","",FPR(H138,I138,J138)))</f>
        <v>A</v>
      </c>
      <c r="L138" s="111">
        <f>IF(H138="","",IF($C$29="상세법",FPV(H138,K138),IF(H138="EI",4,IF(H138="EO",5.2,IF(H138="EQ",3.9,IF(H138="ILF",7.5,IF(H138="EIF",5.4)))))))</f>
        <v>4</v>
      </c>
      <c r="M138" s="112">
        <f t="shared" si="5"/>
        <v>4</v>
      </c>
      <c r="N138" s="113" t="s">
        <v>101</v>
      </c>
    </row>
    <row r="139" spans="2:14" ht="27">
      <c r="B139" s="105" t="s">
        <v>96</v>
      </c>
      <c r="C139" s="106" t="s">
        <v>275</v>
      </c>
      <c r="D139" s="107" t="s">
        <v>312</v>
      </c>
      <c r="E139" s="65" t="s">
        <v>313</v>
      </c>
      <c r="F139" s="64" t="s">
        <v>100</v>
      </c>
      <c r="G139" s="64" t="s">
        <v>101</v>
      </c>
      <c r="H139" s="64" t="s">
        <v>10</v>
      </c>
      <c r="I139" s="70">
        <v>2</v>
      </c>
      <c r="J139" s="70">
        <v>8</v>
      </c>
      <c r="K139" s="110" t="str">
        <f>IF(H139="","",IF($C$29="간이법","",FPR(H139,I139,J139)))</f>
        <v>A</v>
      </c>
      <c r="L139" s="111">
        <f>IF(H139="","",IF($C$29="상세법",FPV(H139,K139),IF(H139="EI",4,IF(H139="EO",5.2,IF(H139="EQ",3.9,IF(H139="ILF",7.5,IF(H139="EIF",5.4)))))))</f>
        <v>4</v>
      </c>
      <c r="M139" s="112">
        <f t="shared" si="5"/>
        <v>4</v>
      </c>
      <c r="N139" s="113" t="s">
        <v>101</v>
      </c>
    </row>
    <row r="140" spans="2:14" ht="27">
      <c r="B140" s="105" t="s">
        <v>96</v>
      </c>
      <c r="C140" s="106" t="s">
        <v>275</v>
      </c>
      <c r="D140" s="107" t="s">
        <v>314</v>
      </c>
      <c r="E140" s="65" t="s">
        <v>315</v>
      </c>
      <c r="F140" s="64" t="s">
        <v>100</v>
      </c>
      <c r="G140" s="64" t="s">
        <v>101</v>
      </c>
      <c r="H140" s="64" t="s">
        <v>10</v>
      </c>
      <c r="I140" s="70">
        <v>2</v>
      </c>
      <c r="J140" s="70">
        <v>4</v>
      </c>
      <c r="K140" s="110" t="str">
        <f>IF(H140="","",IF($C$29="간이법","",FPR(H140,I140,J140)))</f>
        <v>L</v>
      </c>
      <c r="L140" s="111">
        <f>IF(H140="","",IF($C$29="상세법",FPV(H140,K140),IF(H140="EI",4,IF(H140="EO",5.2,IF(H140="EQ",3.9,IF(H140="ILF",7.5,IF(H140="EIF",5.4)))))))</f>
        <v>3</v>
      </c>
      <c r="M140" s="112">
        <f t="shared" si="5"/>
        <v>3</v>
      </c>
      <c r="N140" s="113" t="s">
        <v>101</v>
      </c>
    </row>
    <row r="141" spans="2:14" ht="27">
      <c r="B141" s="105" t="s">
        <v>96</v>
      </c>
      <c r="C141" s="106" t="s">
        <v>275</v>
      </c>
      <c r="D141" s="107" t="s">
        <v>316</v>
      </c>
      <c r="E141" s="65" t="s">
        <v>317</v>
      </c>
      <c r="F141" s="64" t="s">
        <v>100</v>
      </c>
      <c r="G141" s="64" t="s">
        <v>101</v>
      </c>
      <c r="H141" s="64" t="s">
        <v>111</v>
      </c>
      <c r="I141" s="70">
        <v>1</v>
      </c>
      <c r="J141" s="70">
        <v>6</v>
      </c>
      <c r="K141" s="110" t="str">
        <f>IF(H141="","",IF($C$29="간이법","",FPR(H141,I141,J141)))</f>
        <v>L</v>
      </c>
      <c r="L141" s="111">
        <f>IF(H141="","",IF($C$29="상세법",FPV(H141,K141),IF(H141="EI",4,IF(H141="EO",5.2,IF(H141="EQ",3.9,IF(H141="ILF",7.5,IF(H141="EIF",5.4)))))))</f>
        <v>3</v>
      </c>
      <c r="M141" s="112">
        <f t="shared" si="5"/>
        <v>3</v>
      </c>
      <c r="N141" s="113" t="s">
        <v>101</v>
      </c>
    </row>
    <row r="142" spans="2:14" ht="27">
      <c r="B142" s="105" t="s">
        <v>96</v>
      </c>
      <c r="C142" s="106" t="s">
        <v>275</v>
      </c>
      <c r="D142" s="107" t="s">
        <v>318</v>
      </c>
      <c r="E142" s="65" t="s">
        <v>319</v>
      </c>
      <c r="F142" s="64" t="s">
        <v>100</v>
      </c>
      <c r="G142" s="64" t="s">
        <v>101</v>
      </c>
      <c r="H142" s="64" t="s">
        <v>111</v>
      </c>
      <c r="I142" s="70">
        <v>1</v>
      </c>
      <c r="J142" s="70">
        <v>6</v>
      </c>
      <c r="K142" s="110" t="str">
        <f>IF(H142="","",IF($C$29="간이법","",FPR(H142,I142,J142)))</f>
        <v>L</v>
      </c>
      <c r="L142" s="111">
        <f>IF(H142="","",IF($C$29="상세법",FPV(H142,K142),IF(H142="EI",4,IF(H142="EO",5.2,IF(H142="EQ",3.9,IF(H142="ILF",7.5,IF(H142="EIF",5.4)))))))</f>
        <v>3</v>
      </c>
      <c r="M142" s="112">
        <f t="shared" si="5"/>
        <v>3</v>
      </c>
      <c r="N142" s="113" t="s">
        <v>101</v>
      </c>
    </row>
    <row r="143" spans="2:14" ht="27">
      <c r="B143" s="105" t="s">
        <v>96</v>
      </c>
      <c r="C143" s="106" t="s">
        <v>275</v>
      </c>
      <c r="D143" s="107" t="s">
        <v>320</v>
      </c>
      <c r="E143" s="65" t="s">
        <v>321</v>
      </c>
      <c r="F143" s="64" t="s">
        <v>100</v>
      </c>
      <c r="G143" s="64" t="s">
        <v>101</v>
      </c>
      <c r="H143" s="64" t="s">
        <v>111</v>
      </c>
      <c r="I143" s="70">
        <v>2</v>
      </c>
      <c r="J143" s="70">
        <v>4</v>
      </c>
      <c r="K143" s="110" t="str">
        <f>IF(H143="","",IF($C$29="간이법","",FPR(H143,I143,J143)))</f>
        <v>L</v>
      </c>
      <c r="L143" s="111">
        <f>IF(H143="","",IF($C$29="상세법",FPV(H143,K143),IF(H143="EI",4,IF(H143="EO",5.2,IF(H143="EQ",3.9,IF(H143="ILF",7.5,IF(H143="EIF",5.4)))))))</f>
        <v>3</v>
      </c>
      <c r="M143" s="112">
        <f t="shared" si="5"/>
        <v>3</v>
      </c>
      <c r="N143" s="113" t="s">
        <v>101</v>
      </c>
    </row>
    <row r="144" spans="2:14" ht="27">
      <c r="B144" s="105" t="s">
        <v>96</v>
      </c>
      <c r="C144" s="106" t="s">
        <v>275</v>
      </c>
      <c r="D144" s="107" t="s">
        <v>322</v>
      </c>
      <c r="E144" s="65" t="s">
        <v>323</v>
      </c>
      <c r="F144" s="64" t="s">
        <v>100</v>
      </c>
      <c r="G144" s="64" t="s">
        <v>101</v>
      </c>
      <c r="H144" s="64" t="s">
        <v>10</v>
      </c>
      <c r="I144" s="70">
        <v>1</v>
      </c>
      <c r="J144" s="70">
        <v>4</v>
      </c>
      <c r="K144" s="110" t="str">
        <f>IF(H144="","",IF($C$29="간이법","",FPR(H144,I144,J144)))</f>
        <v>L</v>
      </c>
      <c r="L144" s="111">
        <f>IF(H144="","",IF($C$29="상세법",FPV(H144,K144),IF(H144="EI",4,IF(H144="EO",5.2,IF(H144="EQ",3.9,IF(H144="ILF",7.5,IF(H144="EIF",5.4)))))))</f>
        <v>3</v>
      </c>
      <c r="M144" s="112">
        <f t="shared" si="5"/>
        <v>3</v>
      </c>
      <c r="N144" s="113" t="s">
        <v>101</v>
      </c>
    </row>
    <row r="145" spans="2:14" ht="27">
      <c r="B145" s="105" t="s">
        <v>96</v>
      </c>
      <c r="C145" s="106" t="s">
        <v>275</v>
      </c>
      <c r="D145" s="107" t="s">
        <v>324</v>
      </c>
      <c r="E145" s="65" t="s">
        <v>325</v>
      </c>
      <c r="F145" s="64" t="s">
        <v>100</v>
      </c>
      <c r="G145" s="64" t="s">
        <v>101</v>
      </c>
      <c r="H145" s="64" t="s">
        <v>111</v>
      </c>
      <c r="I145" s="70">
        <v>3</v>
      </c>
      <c r="J145" s="70">
        <v>9</v>
      </c>
      <c r="K145" s="110" t="str">
        <f>IF(H145="","",IF($C$29="간이법","",FPR(H145,I145,J145)))</f>
        <v>A</v>
      </c>
      <c r="L145" s="111">
        <f>IF(H145="","",IF($C$29="상세법",FPV(H145,K145),IF(H145="EI",4,IF(H145="EO",5.2,IF(H145="EQ",3.9,IF(H145="ILF",7.5,IF(H145="EIF",5.4)))))))</f>
        <v>4</v>
      </c>
      <c r="M145" s="112">
        <f t="shared" si="5"/>
        <v>4</v>
      </c>
      <c r="N145" s="113" t="s">
        <v>101</v>
      </c>
    </row>
    <row r="146" spans="2:14" ht="27">
      <c r="B146" s="105" t="s">
        <v>96</v>
      </c>
      <c r="C146" s="106" t="s">
        <v>275</v>
      </c>
      <c r="D146" s="107" t="s">
        <v>326</v>
      </c>
      <c r="E146" s="65" t="s">
        <v>327</v>
      </c>
      <c r="F146" s="64" t="s">
        <v>100</v>
      </c>
      <c r="G146" s="64" t="s">
        <v>101</v>
      </c>
      <c r="H146" s="64" t="s">
        <v>111</v>
      </c>
      <c r="I146" s="70">
        <v>2</v>
      </c>
      <c r="J146" s="70">
        <v>11</v>
      </c>
      <c r="K146" s="110" t="str">
        <f>IF(H146="","",IF($C$29="간이법","",FPR(H146,I146,J146)))</f>
        <v>A</v>
      </c>
      <c r="L146" s="111">
        <f>IF(H146="","",IF($C$29="상세법",FPV(H146,K146),IF(H146="EI",4,IF(H146="EO",5.2,IF(H146="EQ",3.9,IF(H146="ILF",7.5,IF(H146="EIF",5.4)))))))</f>
        <v>4</v>
      </c>
      <c r="M146" s="112">
        <f t="shared" si="5"/>
        <v>4</v>
      </c>
      <c r="N146" s="113" t="s">
        <v>101</v>
      </c>
    </row>
    <row r="147" spans="2:14" ht="27">
      <c r="B147" s="105" t="s">
        <v>96</v>
      </c>
      <c r="C147" s="106" t="s">
        <v>275</v>
      </c>
      <c r="D147" s="107" t="s">
        <v>328</v>
      </c>
      <c r="E147" s="65" t="s">
        <v>329</v>
      </c>
      <c r="F147" s="64" t="s">
        <v>100</v>
      </c>
      <c r="G147" s="64" t="s">
        <v>101</v>
      </c>
      <c r="H147" s="64" t="s">
        <v>111</v>
      </c>
      <c r="I147" s="70">
        <v>3</v>
      </c>
      <c r="J147" s="70">
        <v>12</v>
      </c>
      <c r="K147" s="110" t="str">
        <f>IF(H147="","",IF($C$29="간이법","",FPR(H147,I147,J147)))</f>
        <v>A</v>
      </c>
      <c r="L147" s="111">
        <f>IF(H147="","",IF($C$29="상세법",FPV(H147,K147),IF(H147="EI",4,IF(H147="EO",5.2,IF(H147="EQ",3.9,IF(H147="ILF",7.5,IF(H147="EIF",5.4)))))))</f>
        <v>4</v>
      </c>
      <c r="M147" s="112">
        <f t="shared" si="5"/>
        <v>4</v>
      </c>
      <c r="N147" s="113" t="s">
        <v>101</v>
      </c>
    </row>
    <row r="148" spans="2:14" ht="27">
      <c r="B148" s="105" t="s">
        <v>96</v>
      </c>
      <c r="C148" s="106" t="s">
        <v>275</v>
      </c>
      <c r="D148" s="107" t="s">
        <v>330</v>
      </c>
      <c r="E148" s="65" t="s">
        <v>331</v>
      </c>
      <c r="F148" s="64" t="s">
        <v>100</v>
      </c>
      <c r="G148" s="64" t="s">
        <v>101</v>
      </c>
      <c r="H148" s="64" t="s">
        <v>102</v>
      </c>
      <c r="I148" s="70">
        <v>3</v>
      </c>
      <c r="J148" s="70">
        <v>14</v>
      </c>
      <c r="K148" s="110" t="str">
        <f>IF(H148="","",IF($C$29="간이법","",FPR(H148,I148,J148)))</f>
        <v>A</v>
      </c>
      <c r="L148" s="111">
        <f>IF(H148="","",IF($C$29="상세법",FPV(H148,K148),IF(H148="EI",4,IF(H148="EO",5.2,IF(H148="EQ",3.9,IF(H148="ILF",7.5,IF(H148="EIF",5.4)))))))</f>
        <v>5</v>
      </c>
      <c r="M148" s="112">
        <f t="shared" si="5"/>
        <v>5</v>
      </c>
      <c r="N148" s="113" t="s">
        <v>101</v>
      </c>
    </row>
    <row r="149" spans="2:14" ht="27">
      <c r="B149" s="105" t="s">
        <v>96</v>
      </c>
      <c r="C149" s="106" t="s">
        <v>275</v>
      </c>
      <c r="D149" s="107" t="s">
        <v>332</v>
      </c>
      <c r="E149" s="65" t="s">
        <v>333</v>
      </c>
      <c r="F149" s="64" t="s">
        <v>100</v>
      </c>
      <c r="G149" s="64" t="s">
        <v>101</v>
      </c>
      <c r="H149" s="64" t="s">
        <v>102</v>
      </c>
      <c r="I149" s="70">
        <v>3</v>
      </c>
      <c r="J149" s="70">
        <v>9</v>
      </c>
      <c r="K149" s="110" t="str">
        <f>IF(H149="","",IF($C$29="간이법","",FPR(H149,I149,J149)))</f>
        <v>A</v>
      </c>
      <c r="L149" s="111">
        <f>IF(H149="","",IF($C$29="상세법",FPV(H149,K149),IF(H149="EI",4,IF(H149="EO",5.2,IF(H149="EQ",3.9,IF(H149="ILF",7.5,IF(H149="EIF",5.4)))))))</f>
        <v>5</v>
      </c>
      <c r="M149" s="112">
        <f t="shared" si="5"/>
        <v>5</v>
      </c>
      <c r="N149" s="113" t="s">
        <v>101</v>
      </c>
    </row>
    <row r="150" spans="2:14" ht="27">
      <c r="B150" s="105" t="s">
        <v>96</v>
      </c>
      <c r="C150" s="106" t="s">
        <v>275</v>
      </c>
      <c r="D150" s="107" t="s">
        <v>334</v>
      </c>
      <c r="E150" s="65" t="s">
        <v>335</v>
      </c>
      <c r="F150" s="64" t="s">
        <v>100</v>
      </c>
      <c r="G150" s="64" t="s">
        <v>101</v>
      </c>
      <c r="H150" s="64" t="s">
        <v>102</v>
      </c>
      <c r="I150" s="70">
        <v>3</v>
      </c>
      <c r="J150" s="70">
        <v>13</v>
      </c>
      <c r="K150" s="110" t="str">
        <f>IF(H150="","",IF($C$29="간이법","",FPR(H150,I150,J150)))</f>
        <v>A</v>
      </c>
      <c r="L150" s="111">
        <f>IF(H150="","",IF($C$29="상세법",FPV(H150,K150),IF(H150="EI",4,IF(H150="EO",5.2,IF(H150="EQ",3.9,IF(H150="ILF",7.5,IF(H150="EIF",5.4)))))))</f>
        <v>5</v>
      </c>
      <c r="M150" s="112">
        <f t="shared" si="5"/>
        <v>5</v>
      </c>
      <c r="N150" s="113" t="s">
        <v>101</v>
      </c>
    </row>
    <row r="151" spans="2:14" ht="27">
      <c r="B151" s="105" t="s">
        <v>96</v>
      </c>
      <c r="C151" s="106" t="s">
        <v>275</v>
      </c>
      <c r="D151" s="107" t="s">
        <v>336</v>
      </c>
      <c r="E151" s="65" t="s">
        <v>337</v>
      </c>
      <c r="F151" s="64" t="s">
        <v>100</v>
      </c>
      <c r="G151" s="64" t="s">
        <v>101</v>
      </c>
      <c r="H151" s="64" t="s">
        <v>102</v>
      </c>
      <c r="I151" s="70">
        <v>3</v>
      </c>
      <c r="J151" s="70">
        <v>16</v>
      </c>
      <c r="K151" s="110" t="str">
        <f>IF(H151="","",IF($C$29="간이법","",FPR(H151,I151,J151)))</f>
        <v>A</v>
      </c>
      <c r="L151" s="111">
        <f>IF(H151="","",IF($C$29="상세법",FPV(H151,K151),IF(H151="EI",4,IF(H151="EO",5.2,IF(H151="EQ",3.9,IF(H151="ILF",7.5,IF(H151="EIF",5.4)))))))</f>
        <v>5</v>
      </c>
      <c r="M151" s="112">
        <f t="shared" si="5"/>
        <v>5</v>
      </c>
      <c r="N151" s="113" t="s">
        <v>101</v>
      </c>
    </row>
    <row r="152" spans="2:14" ht="27">
      <c r="B152" s="105" t="s">
        <v>96</v>
      </c>
      <c r="C152" s="106" t="s">
        <v>275</v>
      </c>
      <c r="D152" s="107" t="s">
        <v>338</v>
      </c>
      <c r="E152" s="65" t="s">
        <v>230</v>
      </c>
      <c r="F152" s="64" t="s">
        <v>100</v>
      </c>
      <c r="G152" s="64" t="s">
        <v>101</v>
      </c>
      <c r="H152" s="64" t="s">
        <v>102</v>
      </c>
      <c r="I152" s="70">
        <v>2</v>
      </c>
      <c r="J152" s="70">
        <v>6</v>
      </c>
      <c r="K152" s="110" t="str">
        <f>IF(H152="","",IF($C$29="간이법","",FPR(H152,I152,J152)))</f>
        <v>A</v>
      </c>
      <c r="L152" s="111">
        <f>IF(H152="","",IF($C$29="상세법",FPV(H152,K152),IF(H152="EI",4,IF(H152="EO",5.2,IF(H152="EQ",3.9,IF(H152="ILF",7.5,IF(H152="EIF",5.4)))))))</f>
        <v>5</v>
      </c>
      <c r="M152" s="112">
        <f t="shared" si="5"/>
        <v>5</v>
      </c>
      <c r="N152" s="113" t="s">
        <v>101</v>
      </c>
    </row>
    <row r="153" spans="2:14" ht="27">
      <c r="B153" s="105" t="s">
        <v>96</v>
      </c>
      <c r="C153" s="106" t="s">
        <v>275</v>
      </c>
      <c r="D153" s="107" t="s">
        <v>339</v>
      </c>
      <c r="E153" s="65" t="s">
        <v>340</v>
      </c>
      <c r="F153" s="64" t="s">
        <v>100</v>
      </c>
      <c r="G153" s="64" t="s">
        <v>101</v>
      </c>
      <c r="H153" s="64" t="s">
        <v>102</v>
      </c>
      <c r="I153" s="70">
        <v>2</v>
      </c>
      <c r="J153" s="70">
        <v>6</v>
      </c>
      <c r="K153" s="110" t="str">
        <f>IF(H153="","",IF($C$29="간이법","",FPR(H153,I153,J153)))</f>
        <v>A</v>
      </c>
      <c r="L153" s="111">
        <f>IF(H153="","",IF($C$29="상세법",FPV(H153,K153),IF(H153="EI",4,IF(H153="EO",5.2,IF(H153="EQ",3.9,IF(H153="ILF",7.5,IF(H153="EIF",5.4)))))))</f>
        <v>5</v>
      </c>
      <c r="M153" s="112">
        <f t="shared" si="5"/>
        <v>5</v>
      </c>
      <c r="N153" s="113" t="s">
        <v>101</v>
      </c>
    </row>
    <row r="154" spans="2:14" ht="27">
      <c r="B154" s="105" t="s">
        <v>96</v>
      </c>
      <c r="C154" s="106" t="s">
        <v>275</v>
      </c>
      <c r="D154" s="107" t="s">
        <v>341</v>
      </c>
      <c r="E154" s="65" t="s">
        <v>342</v>
      </c>
      <c r="F154" s="64" t="s">
        <v>100</v>
      </c>
      <c r="G154" s="64" t="s">
        <v>101</v>
      </c>
      <c r="H154" s="64" t="s">
        <v>102</v>
      </c>
      <c r="I154" s="70">
        <v>3</v>
      </c>
      <c r="J154" s="70">
        <v>6</v>
      </c>
      <c r="K154" s="110" t="str">
        <f>IF(H154="","",IF($C$29="간이법","",FPR(H154,I154,J154)))</f>
        <v>A</v>
      </c>
      <c r="L154" s="111">
        <f>IF(H154="","",IF($C$29="상세법",FPV(H154,K154),IF(H154="EI",4,IF(H154="EO",5.2,IF(H154="EQ",3.9,IF(H154="ILF",7.5,IF(H154="EIF",5.4)))))))</f>
        <v>5</v>
      </c>
      <c r="M154" s="112">
        <f t="shared" si="5"/>
        <v>5</v>
      </c>
      <c r="N154" s="113" t="s">
        <v>101</v>
      </c>
    </row>
    <row r="155" spans="2:14" ht="27">
      <c r="B155" s="105" t="s">
        <v>96</v>
      </c>
      <c r="C155" s="106" t="s">
        <v>275</v>
      </c>
      <c r="D155" s="107" t="s">
        <v>343</v>
      </c>
      <c r="E155" s="65" t="s">
        <v>344</v>
      </c>
      <c r="F155" s="64" t="s">
        <v>100</v>
      </c>
      <c r="G155" s="64" t="s">
        <v>101</v>
      </c>
      <c r="H155" s="64" t="s">
        <v>102</v>
      </c>
      <c r="I155" s="70">
        <v>3</v>
      </c>
      <c r="J155" s="70">
        <v>10</v>
      </c>
      <c r="K155" s="110" t="str">
        <f>IF(H155="","",IF($C$29="간이법","",FPR(H155,I155,J155)))</f>
        <v>A</v>
      </c>
      <c r="L155" s="111">
        <f>IF(H155="","",IF($C$29="상세법",FPV(H155,K155),IF(H155="EI",4,IF(H155="EO",5.2,IF(H155="EQ",3.9,IF(H155="ILF",7.5,IF(H155="EIF",5.4)))))))</f>
        <v>5</v>
      </c>
      <c r="M155" s="112">
        <f t="shared" si="5"/>
        <v>5</v>
      </c>
      <c r="N155" s="113" t="s">
        <v>101</v>
      </c>
    </row>
    <row r="156" spans="2:14" ht="27">
      <c r="B156" s="105" t="s">
        <v>96</v>
      </c>
      <c r="C156" s="106" t="s">
        <v>275</v>
      </c>
      <c r="D156" s="107" t="s">
        <v>345</v>
      </c>
      <c r="E156" s="65" t="s">
        <v>346</v>
      </c>
      <c r="F156" s="64" t="s">
        <v>100</v>
      </c>
      <c r="G156" s="64" t="s">
        <v>101</v>
      </c>
      <c r="H156" s="64" t="s">
        <v>102</v>
      </c>
      <c r="I156" s="70">
        <v>3</v>
      </c>
      <c r="J156" s="70">
        <v>13</v>
      </c>
      <c r="K156" s="110" t="str">
        <f>IF(H156="","",IF($C$29="간이법","",FPR(H156,I156,J156)))</f>
        <v>A</v>
      </c>
      <c r="L156" s="111">
        <f>IF(H156="","",IF($C$29="상세법",FPV(H156,K156),IF(H156="EI",4,IF(H156="EO",5.2,IF(H156="EQ",3.9,IF(H156="ILF",7.5,IF(H156="EIF",5.4)))))))</f>
        <v>5</v>
      </c>
      <c r="M156" s="112">
        <f t="shared" si="5"/>
        <v>5</v>
      </c>
      <c r="N156" s="113" t="s">
        <v>101</v>
      </c>
    </row>
    <row r="157" spans="2:14" ht="27">
      <c r="B157" s="105" t="s">
        <v>96</v>
      </c>
      <c r="C157" s="106" t="s">
        <v>275</v>
      </c>
      <c r="D157" s="107" t="s">
        <v>347</v>
      </c>
      <c r="E157" s="65" t="s">
        <v>348</v>
      </c>
      <c r="F157" s="64" t="s">
        <v>100</v>
      </c>
      <c r="G157" s="64" t="s">
        <v>101</v>
      </c>
      <c r="H157" s="64" t="s">
        <v>102</v>
      </c>
      <c r="I157" s="70">
        <v>3</v>
      </c>
      <c r="J157" s="70">
        <v>12</v>
      </c>
      <c r="K157" s="110" t="str">
        <f>IF(H157="","",IF($C$29="간이법","",FPR(H157,I157,J157)))</f>
        <v>A</v>
      </c>
      <c r="L157" s="111">
        <f>IF(H157="","",IF($C$29="상세법",FPV(H157,K157),IF(H157="EI",4,IF(H157="EO",5.2,IF(H157="EQ",3.9,IF(H157="ILF",7.5,IF(H157="EIF",5.4)))))))</f>
        <v>5</v>
      </c>
      <c r="M157" s="112">
        <f t="shared" si="5"/>
        <v>5</v>
      </c>
      <c r="N157" s="113" t="s">
        <v>101</v>
      </c>
    </row>
    <row r="158" spans="2:14" ht="27">
      <c r="B158" s="105" t="s">
        <v>96</v>
      </c>
      <c r="C158" s="106" t="s">
        <v>275</v>
      </c>
      <c r="D158" s="107" t="s">
        <v>349</v>
      </c>
      <c r="E158" s="65" t="s">
        <v>350</v>
      </c>
      <c r="F158" s="64" t="s">
        <v>100</v>
      </c>
      <c r="G158" s="64" t="s">
        <v>101</v>
      </c>
      <c r="H158" s="64" t="s">
        <v>102</v>
      </c>
      <c r="I158" s="70">
        <v>6</v>
      </c>
      <c r="J158" s="70">
        <v>32</v>
      </c>
      <c r="K158" s="110" t="str">
        <f>IF(H158="","",IF($C$29="간이법","",FPR(H158,I158,J158)))</f>
        <v>H</v>
      </c>
      <c r="L158" s="111">
        <f>IF(H158="","",IF($C$29="상세법",FPV(H158,K158),IF(H158="EI",4,IF(H158="EO",5.2,IF(H158="EQ",3.9,IF(H158="ILF",7.5,IF(H158="EIF",5.4)))))))</f>
        <v>7</v>
      </c>
      <c r="M158" s="112">
        <f t="shared" si="5"/>
        <v>7</v>
      </c>
      <c r="N158" s="113" t="s">
        <v>101</v>
      </c>
    </row>
    <row r="159" spans="2:14" ht="27">
      <c r="B159" s="105" t="s">
        <v>96</v>
      </c>
      <c r="C159" s="106" t="s">
        <v>275</v>
      </c>
      <c r="D159" s="107" t="s">
        <v>351</v>
      </c>
      <c r="E159" s="65" t="s">
        <v>350</v>
      </c>
      <c r="F159" s="64" t="s">
        <v>100</v>
      </c>
      <c r="G159" s="64" t="s">
        <v>101</v>
      </c>
      <c r="H159" s="64" t="s">
        <v>102</v>
      </c>
      <c r="I159" s="70">
        <v>6</v>
      </c>
      <c r="J159" s="70">
        <v>88</v>
      </c>
      <c r="K159" s="110" t="str">
        <f>IF(H159="","",IF($C$29="간이법","",FPR(H159,I159,J159)))</f>
        <v>H</v>
      </c>
      <c r="L159" s="111">
        <f>IF(H159="","",IF($C$29="상세법",FPV(H159,K159),IF(H159="EI",4,IF(H159="EO",5.2,IF(H159="EQ",3.9,IF(H159="ILF",7.5,IF(H159="EIF",5.4)))))))</f>
        <v>7</v>
      </c>
      <c r="M159" s="112">
        <f t="shared" si="5"/>
        <v>7</v>
      </c>
      <c r="N159" s="113" t="s">
        <v>101</v>
      </c>
    </row>
    <row r="160" spans="2:14" ht="27">
      <c r="B160" s="105" t="s">
        <v>96</v>
      </c>
      <c r="C160" s="106" t="s">
        <v>275</v>
      </c>
      <c r="D160" s="107" t="s">
        <v>352</v>
      </c>
      <c r="E160" s="65" t="s">
        <v>353</v>
      </c>
      <c r="F160" s="64" t="s">
        <v>100</v>
      </c>
      <c r="G160" s="64" t="s">
        <v>101</v>
      </c>
      <c r="H160" s="64" t="s">
        <v>111</v>
      </c>
      <c r="I160" s="70">
        <v>2</v>
      </c>
      <c r="J160" s="70">
        <v>7</v>
      </c>
      <c r="K160" s="110" t="str">
        <f>IF(H160="","",IF($C$29="간이법","",FPR(H160,I160,J160)))</f>
        <v>A</v>
      </c>
      <c r="L160" s="111">
        <f>IF(H160="","",IF($C$29="상세법",FPV(H160,K160),IF(H160="EI",4,IF(H160="EO",5.2,IF(H160="EQ",3.9,IF(H160="ILF",7.5,IF(H160="EIF",5.4)))))))</f>
        <v>4</v>
      </c>
      <c r="M160" s="112">
        <f t="shared" si="5"/>
        <v>4</v>
      </c>
      <c r="N160" s="113" t="s">
        <v>101</v>
      </c>
    </row>
    <row r="161" spans="2:14" ht="27">
      <c r="B161" s="105" t="s">
        <v>96</v>
      </c>
      <c r="C161" s="106" t="s">
        <v>275</v>
      </c>
      <c r="D161" s="107" t="s">
        <v>354</v>
      </c>
      <c r="E161" s="65" t="s">
        <v>355</v>
      </c>
      <c r="F161" s="64" t="s">
        <v>100</v>
      </c>
      <c r="G161" s="64" t="s">
        <v>101</v>
      </c>
      <c r="H161" s="64" t="s">
        <v>10</v>
      </c>
      <c r="I161" s="70">
        <v>6</v>
      </c>
      <c r="J161" s="70">
        <v>32</v>
      </c>
      <c r="K161" s="110" t="str">
        <f>IF(H161="","",IF($C$29="간이법","",FPR(H161,I161,J161)))</f>
        <v>H</v>
      </c>
      <c r="L161" s="111">
        <f>IF(H161="","",IF($C$29="상세법",FPV(H161,K161),IF(H161="EI",4,IF(H161="EO",5.2,IF(H161="EQ",3.9,IF(H161="ILF",7.5,IF(H161="EIF",5.4)))))))</f>
        <v>6</v>
      </c>
      <c r="M161" s="112">
        <f t="shared" si="5"/>
        <v>6</v>
      </c>
      <c r="N161" s="113" t="s">
        <v>101</v>
      </c>
    </row>
    <row r="162" spans="2:14" ht="27">
      <c r="B162" s="105" t="s">
        <v>96</v>
      </c>
      <c r="C162" s="106" t="s">
        <v>356</v>
      </c>
      <c r="D162" s="107" t="s">
        <v>357</v>
      </c>
      <c r="E162" s="65" t="s">
        <v>170</v>
      </c>
      <c r="F162" s="64" t="s">
        <v>100</v>
      </c>
      <c r="G162" s="64" t="s">
        <v>101</v>
      </c>
      <c r="H162" s="64" t="s">
        <v>111</v>
      </c>
      <c r="I162" s="70">
        <v>1</v>
      </c>
      <c r="J162" s="70">
        <v>7</v>
      </c>
      <c r="K162" s="110" t="str">
        <f>IF(H162="","",IF($C$29="간이법","",FPR(H162,I162,J162)))</f>
        <v>L</v>
      </c>
      <c r="L162" s="111">
        <f>IF(H162="","",IF($C$29="상세법",FPV(H162,K162),IF(H162="EI",4,IF(H162="EO",5.2,IF(H162="EQ",3.9,IF(H162="ILF",7.5,IF(H162="EIF",5.4)))))))</f>
        <v>3</v>
      </c>
      <c r="M162" s="112">
        <f t="shared" si="5"/>
        <v>3</v>
      </c>
      <c r="N162" s="113" t="s">
        <v>101</v>
      </c>
    </row>
    <row r="163" spans="2:14" ht="27">
      <c r="B163" s="105" t="s">
        <v>96</v>
      </c>
      <c r="C163" s="106" t="s">
        <v>356</v>
      </c>
      <c r="D163" s="107" t="s">
        <v>358</v>
      </c>
      <c r="E163" s="65" t="s">
        <v>359</v>
      </c>
      <c r="F163" s="64" t="s">
        <v>189</v>
      </c>
      <c r="G163" s="64" t="s">
        <v>360</v>
      </c>
      <c r="H163" s="64" t="s">
        <v>111</v>
      </c>
      <c r="I163" s="70">
        <v>4</v>
      </c>
      <c r="J163" s="70">
        <v>34</v>
      </c>
      <c r="K163" s="110" t="str">
        <f>IF(H163="","",IF($C$29="간이법","",FPR(H163,I163,J163)))</f>
        <v>H</v>
      </c>
      <c r="L163" s="111">
        <f>IF(H163="","",IF($C$29="상세법",FPV(H163,K163),IF(H163="EI",4,IF(H163="EO",5.2,IF(H163="EQ",3.9,IF(H163="ILF",7.5,IF(H163="EIF",5.4)))))))</f>
        <v>6</v>
      </c>
      <c r="M163" s="112">
        <f t="shared" si="5"/>
        <v>1.2000000000000002</v>
      </c>
      <c r="N163" s="113" t="s">
        <v>101</v>
      </c>
    </row>
    <row r="164" spans="2:14" ht="27">
      <c r="B164" s="105" t="s">
        <v>96</v>
      </c>
      <c r="C164" s="106" t="s">
        <v>356</v>
      </c>
      <c r="D164" s="107" t="s">
        <v>361</v>
      </c>
      <c r="E164" s="65" t="s">
        <v>362</v>
      </c>
      <c r="F164" s="64" t="s">
        <v>100</v>
      </c>
      <c r="G164" s="64" t="s">
        <v>101</v>
      </c>
      <c r="H164" s="64" t="s">
        <v>10</v>
      </c>
      <c r="I164" s="70">
        <v>1</v>
      </c>
      <c r="J164" s="70">
        <v>4</v>
      </c>
      <c r="K164" s="110" t="str">
        <f>IF(H164="","",IF($C$29="간이법","",FPR(H164,I164,J164)))</f>
        <v>L</v>
      </c>
      <c r="L164" s="111">
        <f>IF(H164="","",IF($C$29="상세법",FPV(H164,K164),IF(H164="EI",4,IF(H164="EO",5.2,IF(H164="EQ",3.9,IF(H164="ILF",7.5,IF(H164="EIF",5.4)))))))</f>
        <v>3</v>
      </c>
      <c r="M164" s="112">
        <f t="shared" si="5"/>
        <v>3</v>
      </c>
      <c r="N164" s="113" t="s">
        <v>101</v>
      </c>
    </row>
    <row r="165" spans="2:14" ht="27">
      <c r="B165" s="105" t="s">
        <v>96</v>
      </c>
      <c r="C165" s="106" t="s">
        <v>356</v>
      </c>
      <c r="D165" s="107" t="s">
        <v>363</v>
      </c>
      <c r="E165" s="65" t="s">
        <v>364</v>
      </c>
      <c r="F165" s="64" t="s">
        <v>100</v>
      </c>
      <c r="G165" s="64" t="s">
        <v>101</v>
      </c>
      <c r="H165" s="64" t="s">
        <v>10</v>
      </c>
      <c r="I165" s="70">
        <v>1</v>
      </c>
      <c r="J165" s="70">
        <v>6</v>
      </c>
      <c r="K165" s="110" t="str">
        <f>IF(H165="","",IF($C$29="간이법","",FPR(H165,I165,J165)))</f>
        <v>L</v>
      </c>
      <c r="L165" s="111">
        <f>IF(H165="","",IF($C$29="상세법",FPV(H165,K165),IF(H165="EI",4,IF(H165="EO",5.2,IF(H165="EQ",3.9,IF(H165="ILF",7.5,IF(H165="EIF",5.4)))))))</f>
        <v>3</v>
      </c>
      <c r="M165" s="112">
        <f t="shared" si="5"/>
        <v>3</v>
      </c>
      <c r="N165" s="113" t="s">
        <v>101</v>
      </c>
    </row>
    <row r="166" spans="2:14" ht="27">
      <c r="B166" s="105" t="s">
        <v>96</v>
      </c>
      <c r="C166" s="106" t="s">
        <v>356</v>
      </c>
      <c r="D166" s="107" t="s">
        <v>365</v>
      </c>
      <c r="E166" s="65" t="s">
        <v>366</v>
      </c>
      <c r="F166" s="64" t="s">
        <v>100</v>
      </c>
      <c r="G166" s="64" t="s">
        <v>101</v>
      </c>
      <c r="H166" s="64" t="s">
        <v>10</v>
      </c>
      <c r="I166" s="70">
        <v>2</v>
      </c>
      <c r="J166" s="70">
        <v>4</v>
      </c>
      <c r="K166" s="110" t="str">
        <f>IF(H166="","",IF($C$29="간이법","",FPR(H166,I166,J166)))</f>
        <v>L</v>
      </c>
      <c r="L166" s="111">
        <f>IF(H166="","",IF($C$29="상세법",FPV(H166,K166),IF(H166="EI",4,IF(H166="EO",5.2,IF(H166="EQ",3.9,IF(H166="ILF",7.5,IF(H166="EIF",5.4)))))))</f>
        <v>3</v>
      </c>
      <c r="M166" s="112">
        <f t="shared" si="5"/>
        <v>3</v>
      </c>
      <c r="N166" s="113" t="s">
        <v>101</v>
      </c>
    </row>
    <row r="167" spans="2:14" ht="27">
      <c r="B167" s="105" t="s">
        <v>96</v>
      </c>
      <c r="C167" s="106" t="s">
        <v>356</v>
      </c>
      <c r="D167" s="107" t="s">
        <v>367</v>
      </c>
      <c r="E167" s="65" t="s">
        <v>368</v>
      </c>
      <c r="F167" s="64" t="s">
        <v>100</v>
      </c>
      <c r="G167" s="64" t="s">
        <v>101</v>
      </c>
      <c r="H167" s="64" t="s">
        <v>111</v>
      </c>
      <c r="I167" s="70">
        <v>2</v>
      </c>
      <c r="J167" s="70">
        <v>7</v>
      </c>
      <c r="K167" s="110" t="str">
        <f>IF(H167="","",IF($C$29="간이법","",FPR(H167,I167,J167)))</f>
        <v>A</v>
      </c>
      <c r="L167" s="111">
        <f>IF(H167="","",IF($C$29="상세법",FPV(H167,K167),IF(H167="EI",4,IF(H167="EO",5.2,IF(H167="EQ",3.9,IF(H167="ILF",7.5,IF(H167="EIF",5.4)))))))</f>
        <v>4</v>
      </c>
      <c r="M167" s="112">
        <f t="shared" si="5"/>
        <v>4</v>
      </c>
      <c r="N167" s="113" t="s">
        <v>101</v>
      </c>
    </row>
    <row r="168" spans="2:14" ht="27">
      <c r="B168" s="105" t="s">
        <v>96</v>
      </c>
      <c r="C168" s="106" t="s">
        <v>356</v>
      </c>
      <c r="D168" s="107" t="s">
        <v>369</v>
      </c>
      <c r="E168" s="65" t="s">
        <v>370</v>
      </c>
      <c r="F168" s="64" t="s">
        <v>100</v>
      </c>
      <c r="G168" s="64" t="s">
        <v>101</v>
      </c>
      <c r="H168" s="64" t="s">
        <v>102</v>
      </c>
      <c r="I168" s="70">
        <v>2</v>
      </c>
      <c r="J168" s="70">
        <v>4</v>
      </c>
      <c r="K168" s="110" t="str">
        <f>IF(H168="","",IF($C$29="간이법","",FPR(H168,I168,J168)))</f>
        <v>L</v>
      </c>
      <c r="L168" s="111">
        <f>IF(H168="","",IF($C$29="상세법",FPV(H168,K168),IF(H168="EI",4,IF(H168="EO",5.2,IF(H168="EQ",3.9,IF(H168="ILF",7.5,IF(H168="EIF",5.4)))))))</f>
        <v>4</v>
      </c>
      <c r="M168" s="112">
        <f t="shared" si="5"/>
        <v>4</v>
      </c>
      <c r="N168" s="113" t="s">
        <v>101</v>
      </c>
    </row>
    <row r="169" spans="2:14" ht="27">
      <c r="B169" s="105" t="s">
        <v>96</v>
      </c>
      <c r="C169" s="106" t="s">
        <v>356</v>
      </c>
      <c r="D169" s="107" t="s">
        <v>371</v>
      </c>
      <c r="E169" s="65" t="s">
        <v>372</v>
      </c>
      <c r="F169" s="64" t="s">
        <v>189</v>
      </c>
      <c r="G169" s="64" t="s">
        <v>360</v>
      </c>
      <c r="H169" s="64" t="s">
        <v>111</v>
      </c>
      <c r="I169" s="70">
        <v>2</v>
      </c>
      <c r="J169" s="70">
        <v>10</v>
      </c>
      <c r="K169" s="110" t="str">
        <f>IF(H169="","",IF($C$29="간이법","",FPR(H169,I169,J169)))</f>
        <v>A</v>
      </c>
      <c r="L169" s="111">
        <f>IF(H169="","",IF($C$29="상세법",FPV(H169,K169),IF(H169="EI",4,IF(H169="EO",5.2,IF(H169="EQ",3.9,IF(H169="ILF",7.5,IF(H169="EIF",5.4)))))))</f>
        <v>4</v>
      </c>
      <c r="M169" s="112">
        <f t="shared" si="5"/>
        <v>0.8</v>
      </c>
      <c r="N169" s="113" t="s">
        <v>101</v>
      </c>
    </row>
    <row r="170" spans="2:14" ht="27">
      <c r="B170" s="105" t="s">
        <v>96</v>
      </c>
      <c r="C170" s="106" t="s">
        <v>356</v>
      </c>
      <c r="D170" s="107" t="s">
        <v>373</v>
      </c>
      <c r="E170" s="65" t="s">
        <v>374</v>
      </c>
      <c r="F170" s="64" t="s">
        <v>189</v>
      </c>
      <c r="G170" s="64" t="s">
        <v>190</v>
      </c>
      <c r="H170" s="64" t="s">
        <v>10</v>
      </c>
      <c r="I170" s="70">
        <v>2</v>
      </c>
      <c r="J170" s="70">
        <v>10</v>
      </c>
      <c r="K170" s="110" t="str">
        <f>IF(H170="","",IF($C$29="간이법","",FPR(H170,I170,J170)))</f>
        <v>A</v>
      </c>
      <c r="L170" s="111">
        <f>IF(H170="","",IF($C$29="상세법",FPV(H170,K170),IF(H170="EI",4,IF(H170="EO",5.2,IF(H170="EQ",3.9,IF(H170="ILF",7.5,IF(H170="EIF",5.4)))))))</f>
        <v>4</v>
      </c>
      <c r="M170" s="112">
        <f t="shared" si="5"/>
        <v>2.8</v>
      </c>
      <c r="N170" s="113" t="s">
        <v>101</v>
      </c>
    </row>
    <row r="171" spans="2:14" ht="27">
      <c r="B171" s="105" t="s">
        <v>96</v>
      </c>
      <c r="C171" s="106" t="s">
        <v>356</v>
      </c>
      <c r="D171" s="107" t="s">
        <v>375</v>
      </c>
      <c r="E171" s="65" t="s">
        <v>376</v>
      </c>
      <c r="F171" s="64" t="s">
        <v>189</v>
      </c>
      <c r="G171" s="64" t="s">
        <v>190</v>
      </c>
      <c r="H171" s="64" t="s">
        <v>10</v>
      </c>
      <c r="I171" s="70">
        <v>2</v>
      </c>
      <c r="J171" s="70">
        <v>10</v>
      </c>
      <c r="K171" s="110" t="str">
        <f>IF(H171="","",IF($C$29="간이법","",FPR(H171,I171,J171)))</f>
        <v>A</v>
      </c>
      <c r="L171" s="111">
        <f>IF(H171="","",IF($C$29="상세법",FPV(H171,K171),IF(H171="EI",4,IF(H171="EO",5.2,IF(H171="EQ",3.9,IF(H171="ILF",7.5,IF(H171="EIF",5.4)))))))</f>
        <v>4</v>
      </c>
      <c r="M171" s="112">
        <f t="shared" si="5"/>
        <v>2.8</v>
      </c>
      <c r="N171" s="113" t="s">
        <v>101</v>
      </c>
    </row>
    <row r="172" spans="2:14" ht="27">
      <c r="B172" s="105" t="s">
        <v>96</v>
      </c>
      <c r="C172" s="106" t="s">
        <v>356</v>
      </c>
      <c r="D172" s="107" t="s">
        <v>377</v>
      </c>
      <c r="E172" s="65" t="s">
        <v>378</v>
      </c>
      <c r="F172" s="64" t="s">
        <v>100</v>
      </c>
      <c r="G172" s="64" t="s">
        <v>101</v>
      </c>
      <c r="H172" s="64" t="s">
        <v>10</v>
      </c>
      <c r="I172" s="70">
        <v>2</v>
      </c>
      <c r="J172" s="70">
        <v>4</v>
      </c>
      <c r="K172" s="110" t="str">
        <f>IF(H172="","",IF($C$29="간이법","",FPR(H172,I172,J172)))</f>
        <v>L</v>
      </c>
      <c r="L172" s="111">
        <f>IF(H172="","",IF($C$29="상세법",FPV(H172,K172),IF(H172="EI",4,IF(H172="EO",5.2,IF(H172="EQ",3.9,IF(H172="ILF",7.5,IF(H172="EIF",5.4)))))))</f>
        <v>3</v>
      </c>
      <c r="M172" s="112">
        <f t="shared" si="5"/>
        <v>3</v>
      </c>
      <c r="N172" s="113" t="s">
        <v>101</v>
      </c>
    </row>
    <row r="173" spans="2:14" ht="27">
      <c r="B173" s="105" t="s">
        <v>96</v>
      </c>
      <c r="C173" s="106" t="s">
        <v>356</v>
      </c>
      <c r="D173" s="107" t="s">
        <v>379</v>
      </c>
      <c r="E173" s="65" t="s">
        <v>380</v>
      </c>
      <c r="F173" s="64" t="s">
        <v>100</v>
      </c>
      <c r="G173" s="64" t="s">
        <v>101</v>
      </c>
      <c r="H173" s="64" t="s">
        <v>111</v>
      </c>
      <c r="I173" s="70">
        <v>1</v>
      </c>
      <c r="J173" s="70">
        <v>6</v>
      </c>
      <c r="K173" s="110" t="str">
        <f>IF(H173="","",IF($C$29="간이법","",FPR(H173,I173,J173)))</f>
        <v>L</v>
      </c>
      <c r="L173" s="111">
        <f>IF(H173="","",IF($C$29="상세법",FPV(H173,K173),IF(H173="EI",4,IF(H173="EO",5.2,IF(H173="EQ",3.9,IF(H173="ILF",7.5,IF(H173="EIF",5.4)))))))</f>
        <v>3</v>
      </c>
      <c r="M173" s="112">
        <f t="shared" si="5"/>
        <v>3</v>
      </c>
      <c r="N173" s="113" t="s">
        <v>101</v>
      </c>
    </row>
    <row r="174" spans="2:14" ht="27">
      <c r="B174" s="105" t="s">
        <v>96</v>
      </c>
      <c r="C174" s="106" t="s">
        <v>356</v>
      </c>
      <c r="D174" s="107" t="s">
        <v>381</v>
      </c>
      <c r="E174" s="65" t="s">
        <v>382</v>
      </c>
      <c r="F174" s="64" t="s">
        <v>100</v>
      </c>
      <c r="G174" s="64" t="s">
        <v>101</v>
      </c>
      <c r="H174" s="64" t="s">
        <v>111</v>
      </c>
      <c r="I174" s="70">
        <v>1</v>
      </c>
      <c r="J174" s="70">
        <v>6</v>
      </c>
      <c r="K174" s="110" t="str">
        <f>IF(H174="","",IF($C$29="간이법","",FPR(H174,I174,J174)))</f>
        <v>L</v>
      </c>
      <c r="L174" s="111">
        <f>IF(H174="","",IF($C$29="상세법",FPV(H174,K174),IF(H174="EI",4,IF(H174="EO",5.2,IF(H174="EQ",3.9,IF(H174="ILF",7.5,IF(H174="EIF",5.4)))))))</f>
        <v>3</v>
      </c>
      <c r="M174" s="112">
        <f t="shared" si="5"/>
        <v>3</v>
      </c>
      <c r="N174" s="113" t="s">
        <v>101</v>
      </c>
    </row>
    <row r="175" spans="2:14" ht="27">
      <c r="B175" s="105" t="s">
        <v>96</v>
      </c>
      <c r="C175" s="106" t="s">
        <v>356</v>
      </c>
      <c r="D175" s="107" t="s">
        <v>383</v>
      </c>
      <c r="E175" s="65" t="s">
        <v>384</v>
      </c>
      <c r="F175" s="64" t="s">
        <v>100</v>
      </c>
      <c r="G175" s="64" t="s">
        <v>101</v>
      </c>
      <c r="H175" s="64" t="s">
        <v>111</v>
      </c>
      <c r="I175" s="70">
        <v>2</v>
      </c>
      <c r="J175" s="70">
        <v>4</v>
      </c>
      <c r="K175" s="110" t="str">
        <f>IF(H175="","",IF($C$29="간이법","",FPR(H175,I175,J175)))</f>
        <v>L</v>
      </c>
      <c r="L175" s="111">
        <f>IF(H175="","",IF($C$29="상세법",FPV(H175,K175),IF(H175="EI",4,IF(H175="EO",5.2,IF(H175="EQ",3.9,IF(H175="ILF",7.5,IF(H175="EIF",5.4)))))))</f>
        <v>3</v>
      </c>
      <c r="M175" s="112">
        <f t="shared" si="5"/>
        <v>3</v>
      </c>
      <c r="N175" s="113" t="s">
        <v>101</v>
      </c>
    </row>
    <row r="176" spans="2:14" ht="27">
      <c r="B176" s="105" t="s">
        <v>96</v>
      </c>
      <c r="C176" s="106" t="s">
        <v>356</v>
      </c>
      <c r="D176" s="107" t="s">
        <v>385</v>
      </c>
      <c r="E176" s="65" t="s">
        <v>386</v>
      </c>
      <c r="F176" s="64" t="s">
        <v>100</v>
      </c>
      <c r="G176" s="64" t="s">
        <v>101</v>
      </c>
      <c r="H176" s="64" t="s">
        <v>10</v>
      </c>
      <c r="I176" s="70">
        <v>1</v>
      </c>
      <c r="J176" s="70">
        <v>4</v>
      </c>
      <c r="K176" s="110" t="str">
        <f>IF(H176="","",IF($C$29="간이법","",FPR(H176,I176,J176)))</f>
        <v>L</v>
      </c>
      <c r="L176" s="111">
        <f>IF(H176="","",IF($C$29="상세법",FPV(H176,K176),IF(H176="EI",4,IF(H176="EO",5.2,IF(H176="EQ",3.9,IF(H176="ILF",7.5,IF(H176="EIF",5.4)))))))</f>
        <v>3</v>
      </c>
      <c r="M176" s="112">
        <f t="shared" si="5"/>
        <v>3</v>
      </c>
      <c r="N176" s="113" t="s">
        <v>101</v>
      </c>
    </row>
    <row r="177" spans="2:14" ht="27">
      <c r="B177" s="105" t="s">
        <v>96</v>
      </c>
      <c r="C177" s="106" t="s">
        <v>356</v>
      </c>
      <c r="D177" s="107" t="s">
        <v>387</v>
      </c>
      <c r="E177" s="65" t="s">
        <v>388</v>
      </c>
      <c r="F177" s="64" t="s">
        <v>100</v>
      </c>
      <c r="G177" s="64" t="s">
        <v>101</v>
      </c>
      <c r="H177" s="64" t="s">
        <v>111</v>
      </c>
      <c r="I177" s="70">
        <v>2</v>
      </c>
      <c r="J177" s="70">
        <v>10</v>
      </c>
      <c r="K177" s="110" t="str">
        <f>IF(H177="","",IF($C$29="간이법","",FPR(H177,I177,J177)))</f>
        <v>A</v>
      </c>
      <c r="L177" s="111">
        <f>IF(H177="","",IF($C$29="상세법",FPV(H177,K177),IF(H177="EI",4,IF(H177="EO",5.2,IF(H177="EQ",3.9,IF(H177="ILF",7.5,IF(H177="EIF",5.4)))))))</f>
        <v>4</v>
      </c>
      <c r="M177" s="112">
        <f t="shared" si="5"/>
        <v>4</v>
      </c>
      <c r="N177" s="113" t="s">
        <v>101</v>
      </c>
    </row>
    <row r="178" spans="2:14" ht="27">
      <c r="B178" s="105" t="s">
        <v>96</v>
      </c>
      <c r="C178" s="106" t="s">
        <v>356</v>
      </c>
      <c r="D178" s="107" t="s">
        <v>389</v>
      </c>
      <c r="E178" s="65" t="s">
        <v>390</v>
      </c>
      <c r="F178" s="64" t="s">
        <v>100</v>
      </c>
      <c r="G178" s="64" t="s">
        <v>101</v>
      </c>
      <c r="H178" s="64" t="s">
        <v>111</v>
      </c>
      <c r="I178" s="70">
        <v>3</v>
      </c>
      <c r="J178" s="70">
        <v>19</v>
      </c>
      <c r="K178" s="110" t="str">
        <f>IF(H178="","",IF($C$29="간이법","",FPR(H178,I178,J178)))</f>
        <v>A</v>
      </c>
      <c r="L178" s="111">
        <f>IF(H178="","",IF($C$29="상세법",FPV(H178,K178),IF(H178="EI",4,IF(H178="EO",5.2,IF(H178="EQ",3.9,IF(H178="ILF",7.5,IF(H178="EIF",5.4)))))))</f>
        <v>4</v>
      </c>
      <c r="M178" s="112">
        <f t="shared" si="5"/>
        <v>4</v>
      </c>
      <c r="N178" s="113" t="s">
        <v>101</v>
      </c>
    </row>
    <row r="179" spans="2:14" ht="27">
      <c r="B179" s="105" t="s">
        <v>96</v>
      </c>
      <c r="C179" s="106" t="s">
        <v>356</v>
      </c>
      <c r="D179" s="107" t="s">
        <v>391</v>
      </c>
      <c r="E179" s="65" t="s">
        <v>392</v>
      </c>
      <c r="F179" s="64" t="s">
        <v>100</v>
      </c>
      <c r="G179" s="64" t="s">
        <v>101</v>
      </c>
      <c r="H179" s="64" t="s">
        <v>111</v>
      </c>
      <c r="I179" s="70">
        <v>3</v>
      </c>
      <c r="J179" s="70">
        <v>19</v>
      </c>
      <c r="K179" s="110" t="str">
        <f>IF(H179="","",IF($C$29="간이법","",FPR(H179,I179,J179)))</f>
        <v>A</v>
      </c>
      <c r="L179" s="111">
        <f>IF(H179="","",IF($C$29="상세법",FPV(H179,K179),IF(H179="EI",4,IF(H179="EO",5.2,IF(H179="EQ",3.9,IF(H179="ILF",7.5,IF(H179="EIF",5.4)))))))</f>
        <v>4</v>
      </c>
      <c r="M179" s="112">
        <f t="shared" si="5"/>
        <v>4</v>
      </c>
      <c r="N179" s="113" t="s">
        <v>101</v>
      </c>
    </row>
    <row r="180" spans="2:14" ht="27">
      <c r="B180" s="105" t="s">
        <v>96</v>
      </c>
      <c r="C180" s="106" t="s">
        <v>356</v>
      </c>
      <c r="D180" s="107" t="s">
        <v>393</v>
      </c>
      <c r="E180" s="65" t="s">
        <v>394</v>
      </c>
      <c r="F180" s="64" t="s">
        <v>100</v>
      </c>
      <c r="G180" s="64" t="s">
        <v>101</v>
      </c>
      <c r="H180" s="64" t="s">
        <v>111</v>
      </c>
      <c r="I180" s="70">
        <v>2</v>
      </c>
      <c r="J180" s="70">
        <v>7</v>
      </c>
      <c r="K180" s="110" t="str">
        <f>IF(H180="","",IF($C$29="간이법","",FPR(H180,I180,J180)))</f>
        <v>A</v>
      </c>
      <c r="L180" s="111">
        <f>IF(H180="","",IF($C$29="상세법",FPV(H180,K180),IF(H180="EI",4,IF(H180="EO",5.2,IF(H180="EQ",3.9,IF(H180="ILF",7.5,IF(H180="EIF",5.4)))))))</f>
        <v>4</v>
      </c>
      <c r="M180" s="112">
        <f t="shared" si="5"/>
        <v>4</v>
      </c>
      <c r="N180" s="113" t="s">
        <v>101</v>
      </c>
    </row>
    <row r="181" spans="2:14" ht="27">
      <c r="B181" s="105" t="s">
        <v>96</v>
      </c>
      <c r="C181" s="106" t="s">
        <v>356</v>
      </c>
      <c r="D181" s="107" t="s">
        <v>395</v>
      </c>
      <c r="E181" s="65" t="s">
        <v>396</v>
      </c>
      <c r="F181" s="64" t="s">
        <v>100</v>
      </c>
      <c r="G181" s="64" t="s">
        <v>101</v>
      </c>
      <c r="H181" s="64" t="s">
        <v>102</v>
      </c>
      <c r="I181" s="70">
        <v>3</v>
      </c>
      <c r="J181" s="70">
        <v>14</v>
      </c>
      <c r="K181" s="110" t="str">
        <f>IF(H181="","",IF($C$29="간이법","",FPR(H181,I181,J181)))</f>
        <v>A</v>
      </c>
      <c r="L181" s="111">
        <f>IF(H181="","",IF($C$29="상세법",FPV(H181,K181),IF(H181="EI",4,IF(H181="EO",5.2,IF(H181="EQ",3.9,IF(H181="ILF",7.5,IF(H181="EIF",5.4)))))))</f>
        <v>5</v>
      </c>
      <c r="M181" s="112">
        <f t="shared" si="5"/>
        <v>5</v>
      </c>
      <c r="N181" s="113" t="s">
        <v>101</v>
      </c>
    </row>
    <row r="182" spans="2:14" ht="27">
      <c r="B182" s="105" t="s">
        <v>96</v>
      </c>
      <c r="C182" s="106" t="s">
        <v>356</v>
      </c>
      <c r="D182" s="107" t="s">
        <v>397</v>
      </c>
      <c r="E182" s="65" t="s">
        <v>398</v>
      </c>
      <c r="F182" s="64" t="s">
        <v>100</v>
      </c>
      <c r="G182" s="64" t="s">
        <v>101</v>
      </c>
      <c r="H182" s="64" t="s">
        <v>102</v>
      </c>
      <c r="I182" s="70">
        <v>3</v>
      </c>
      <c r="J182" s="70">
        <v>9</v>
      </c>
      <c r="K182" s="110" t="str">
        <f>IF(H182="","",IF($C$29="간이법","",FPR(H182,I182,J182)))</f>
        <v>A</v>
      </c>
      <c r="L182" s="111">
        <f>IF(H182="","",IF($C$29="상세법",FPV(H182,K182),IF(H182="EI",4,IF(H182="EO",5.2,IF(H182="EQ",3.9,IF(H182="ILF",7.5,IF(H182="EIF",5.4)))))))</f>
        <v>5</v>
      </c>
      <c r="M182" s="112">
        <f t="shared" si="5"/>
        <v>5</v>
      </c>
      <c r="N182" s="113" t="s">
        <v>101</v>
      </c>
    </row>
    <row r="183" spans="2:14" ht="27">
      <c r="B183" s="105" t="s">
        <v>96</v>
      </c>
      <c r="C183" s="106" t="s">
        <v>356</v>
      </c>
      <c r="D183" s="107" t="s">
        <v>399</v>
      </c>
      <c r="E183" s="65" t="s">
        <v>400</v>
      </c>
      <c r="F183" s="64" t="s">
        <v>100</v>
      </c>
      <c r="G183" s="64" t="s">
        <v>101</v>
      </c>
      <c r="H183" s="64" t="s">
        <v>102</v>
      </c>
      <c r="I183" s="70">
        <v>3</v>
      </c>
      <c r="J183" s="70">
        <v>13</v>
      </c>
      <c r="K183" s="110" t="str">
        <f>IF(H183="","",IF($C$29="간이법","",FPR(H183,I183,J183)))</f>
        <v>A</v>
      </c>
      <c r="L183" s="111">
        <f>IF(H183="","",IF($C$29="상세법",FPV(H183,K183),IF(H183="EI",4,IF(H183="EO",5.2,IF(H183="EQ",3.9,IF(H183="ILF",7.5,IF(H183="EIF",5.4)))))))</f>
        <v>5</v>
      </c>
      <c r="M183" s="112">
        <f t="shared" si="5"/>
        <v>5</v>
      </c>
      <c r="N183" s="113" t="s">
        <v>101</v>
      </c>
    </row>
    <row r="184" spans="2:14" ht="27">
      <c r="B184" s="105" t="s">
        <v>96</v>
      </c>
      <c r="C184" s="106" t="s">
        <v>356</v>
      </c>
      <c r="D184" s="107" t="s">
        <v>401</v>
      </c>
      <c r="E184" s="65" t="s">
        <v>402</v>
      </c>
      <c r="F184" s="64" t="s">
        <v>100</v>
      </c>
      <c r="G184" s="64" t="s">
        <v>101</v>
      </c>
      <c r="H184" s="64" t="s">
        <v>102</v>
      </c>
      <c r="I184" s="70">
        <v>3</v>
      </c>
      <c r="J184" s="70">
        <v>16</v>
      </c>
      <c r="K184" s="110" t="str">
        <f>IF(H184="","",IF($C$29="간이법","",FPR(H184,I184,J184)))</f>
        <v>A</v>
      </c>
      <c r="L184" s="111">
        <f>IF(H184="","",IF($C$29="상세법",FPV(H184,K184),IF(H184="EI",4,IF(H184="EO",5.2,IF(H184="EQ",3.9,IF(H184="ILF",7.5,IF(H184="EIF",5.4)))))))</f>
        <v>5</v>
      </c>
      <c r="M184" s="112">
        <f t="shared" si="5"/>
        <v>5</v>
      </c>
      <c r="N184" s="113" t="s">
        <v>101</v>
      </c>
    </row>
    <row r="185" spans="2:14" ht="27">
      <c r="B185" s="105" t="s">
        <v>96</v>
      </c>
      <c r="C185" s="106" t="s">
        <v>356</v>
      </c>
      <c r="D185" s="107" t="s">
        <v>403</v>
      </c>
      <c r="E185" s="65" t="s">
        <v>230</v>
      </c>
      <c r="F185" s="64" t="s">
        <v>100</v>
      </c>
      <c r="G185" s="64" t="s">
        <v>101</v>
      </c>
      <c r="H185" s="64" t="s">
        <v>102</v>
      </c>
      <c r="I185" s="70">
        <v>2</v>
      </c>
      <c r="J185" s="70">
        <v>5</v>
      </c>
      <c r="K185" s="110" t="str">
        <f>IF(H185="","",IF($C$29="간이법","",FPR(H185,I185,J185)))</f>
        <v>L</v>
      </c>
      <c r="L185" s="111">
        <f>IF(H185="","",IF($C$29="상세법",FPV(H185,K185),IF(H185="EI",4,IF(H185="EO",5.2,IF(H185="EQ",3.9,IF(H185="ILF",7.5,IF(H185="EIF",5.4)))))))</f>
        <v>4</v>
      </c>
      <c r="M185" s="112">
        <f t="shared" ref="M185:M248" si="6">IF(L185="","",L185*IF(G185="상",0.7,IF(G185="중",0.5,IF(G185="하",0.2,1))))</f>
        <v>4</v>
      </c>
      <c r="N185" s="113" t="s">
        <v>101</v>
      </c>
    </row>
    <row r="186" spans="2:14" ht="27">
      <c r="B186" s="105" t="s">
        <v>96</v>
      </c>
      <c r="C186" s="106" t="s">
        <v>356</v>
      </c>
      <c r="D186" s="107" t="s">
        <v>404</v>
      </c>
      <c r="E186" s="65" t="s">
        <v>405</v>
      </c>
      <c r="F186" s="64" t="s">
        <v>100</v>
      </c>
      <c r="G186" s="64" t="s">
        <v>101</v>
      </c>
      <c r="H186" s="64" t="s">
        <v>102</v>
      </c>
      <c r="I186" s="70">
        <v>2</v>
      </c>
      <c r="J186" s="70">
        <v>6</v>
      </c>
      <c r="K186" s="110" t="str">
        <f>IF(H186="","",IF($C$29="간이법","",FPR(H186,I186,J186)))</f>
        <v>A</v>
      </c>
      <c r="L186" s="111">
        <f>IF(H186="","",IF($C$29="상세법",FPV(H186,K186),IF(H186="EI",4,IF(H186="EO",5.2,IF(H186="EQ",3.9,IF(H186="ILF",7.5,IF(H186="EIF",5.4)))))))</f>
        <v>5</v>
      </c>
      <c r="M186" s="112">
        <f t="shared" si="6"/>
        <v>5</v>
      </c>
      <c r="N186" s="113" t="s">
        <v>101</v>
      </c>
    </row>
    <row r="187" spans="2:14" ht="27">
      <c r="B187" s="105" t="s">
        <v>96</v>
      </c>
      <c r="C187" s="106" t="s">
        <v>356</v>
      </c>
      <c r="D187" s="107" t="s">
        <v>406</v>
      </c>
      <c r="E187" s="65" t="s">
        <v>407</v>
      </c>
      <c r="F187" s="64" t="s">
        <v>100</v>
      </c>
      <c r="G187" s="64" t="s">
        <v>101</v>
      </c>
      <c r="H187" s="64" t="s">
        <v>102</v>
      </c>
      <c r="I187" s="70">
        <v>2</v>
      </c>
      <c r="J187" s="70">
        <v>6</v>
      </c>
      <c r="K187" s="110" t="str">
        <f>IF(H187="","",IF($C$29="간이법","",FPR(H187,I187,J187)))</f>
        <v>A</v>
      </c>
      <c r="L187" s="111">
        <f>IF(H187="","",IF($C$29="상세법",FPV(H187,K187),IF(H187="EI",4,IF(H187="EO",5.2,IF(H187="EQ",3.9,IF(H187="ILF",7.5,IF(H187="EIF",5.4)))))))</f>
        <v>5</v>
      </c>
      <c r="M187" s="112">
        <f t="shared" si="6"/>
        <v>5</v>
      </c>
      <c r="N187" s="113" t="s">
        <v>101</v>
      </c>
    </row>
    <row r="188" spans="2:14" ht="27">
      <c r="B188" s="105" t="s">
        <v>96</v>
      </c>
      <c r="C188" s="106" t="s">
        <v>356</v>
      </c>
      <c r="D188" s="107" t="s">
        <v>408</v>
      </c>
      <c r="E188" s="65" t="s">
        <v>409</v>
      </c>
      <c r="F188" s="64" t="s">
        <v>189</v>
      </c>
      <c r="G188" s="64" t="s">
        <v>360</v>
      </c>
      <c r="H188" s="64" t="s">
        <v>102</v>
      </c>
      <c r="I188" s="70">
        <v>2</v>
      </c>
      <c r="J188" s="70">
        <v>10</v>
      </c>
      <c r="K188" s="110" t="str">
        <f>IF(H188="","",IF($C$29="간이법","",FPR(H188,I188,J188)))</f>
        <v>A</v>
      </c>
      <c r="L188" s="111">
        <f>IF(H188="","",IF($C$29="상세법",FPV(H188,K188),IF(H188="EI",4,IF(H188="EO",5.2,IF(H188="EQ",3.9,IF(H188="ILF",7.5,IF(H188="EIF",5.4)))))))</f>
        <v>5</v>
      </c>
      <c r="M188" s="112">
        <f t="shared" si="6"/>
        <v>1</v>
      </c>
      <c r="N188" s="113" t="s">
        <v>101</v>
      </c>
    </row>
    <row r="189" spans="2:14" ht="27">
      <c r="B189" s="105" t="s">
        <v>96</v>
      </c>
      <c r="C189" s="106" t="s">
        <v>356</v>
      </c>
      <c r="D189" s="107" t="s">
        <v>410</v>
      </c>
      <c r="E189" s="65" t="s">
        <v>411</v>
      </c>
      <c r="F189" s="64" t="s">
        <v>189</v>
      </c>
      <c r="G189" s="64" t="s">
        <v>360</v>
      </c>
      <c r="H189" s="64" t="s">
        <v>111</v>
      </c>
      <c r="I189" s="70">
        <v>2</v>
      </c>
      <c r="J189" s="70">
        <v>5</v>
      </c>
      <c r="K189" s="110" t="str">
        <f>IF(H189="","",IF($C$29="간이법","",FPR(H189,I189,J189)))</f>
        <v>L</v>
      </c>
      <c r="L189" s="111">
        <f>IF(H189="","",IF($C$29="상세법",FPV(H189,K189),IF(H189="EI",4,IF(H189="EO",5.2,IF(H189="EQ",3.9,IF(H189="ILF",7.5,IF(H189="EIF",5.4)))))))</f>
        <v>3</v>
      </c>
      <c r="M189" s="112">
        <f t="shared" si="6"/>
        <v>0.60000000000000009</v>
      </c>
      <c r="N189" s="113" t="s">
        <v>101</v>
      </c>
    </row>
    <row r="190" spans="2:14" ht="27">
      <c r="B190" s="105" t="s">
        <v>96</v>
      </c>
      <c r="C190" s="106" t="s">
        <v>356</v>
      </c>
      <c r="D190" s="107" t="s">
        <v>412</v>
      </c>
      <c r="E190" s="65" t="s">
        <v>413</v>
      </c>
      <c r="F190" s="64" t="s">
        <v>100</v>
      </c>
      <c r="G190" s="64" t="s">
        <v>101</v>
      </c>
      <c r="H190" s="64" t="s">
        <v>102</v>
      </c>
      <c r="I190" s="70">
        <v>2</v>
      </c>
      <c r="J190" s="70">
        <v>6</v>
      </c>
      <c r="K190" s="110" t="str">
        <f>IF(H190="","",IF($C$29="간이법","",FPR(H190,I190,J190)))</f>
        <v>A</v>
      </c>
      <c r="L190" s="111">
        <f>IF(H190="","",IF($C$29="상세법",FPV(H190,K190),IF(H190="EI",4,IF(H190="EO",5.2,IF(H190="EQ",3.9,IF(H190="ILF",7.5,IF(H190="EIF",5.4)))))))</f>
        <v>5</v>
      </c>
      <c r="M190" s="112">
        <f t="shared" si="6"/>
        <v>5</v>
      </c>
      <c r="N190" s="113" t="s">
        <v>101</v>
      </c>
    </row>
    <row r="191" spans="2:14" ht="27">
      <c r="B191" s="105" t="s">
        <v>96</v>
      </c>
      <c r="C191" s="106" t="s">
        <v>356</v>
      </c>
      <c r="D191" s="107" t="s">
        <v>414</v>
      </c>
      <c r="E191" s="65" t="s">
        <v>415</v>
      </c>
      <c r="F191" s="64" t="s">
        <v>205</v>
      </c>
      <c r="G191" s="64" t="s">
        <v>101</v>
      </c>
      <c r="H191" s="64" t="s">
        <v>102</v>
      </c>
      <c r="I191" s="70">
        <v>3</v>
      </c>
      <c r="J191" s="70">
        <v>23</v>
      </c>
      <c r="K191" s="110" t="str">
        <f>IF(H191="","",IF($C$29="간이법","",FPR(H191,I191,J191)))</f>
        <v>H</v>
      </c>
      <c r="L191" s="111">
        <f>IF(H191="","",IF($C$29="상세법",FPV(H191,K191),IF(H191="EI",4,IF(H191="EO",5.2,IF(H191="EQ",3.9,IF(H191="ILF",7.5,IF(H191="EIF",5.4)))))))</f>
        <v>7</v>
      </c>
      <c r="M191" s="112">
        <f t="shared" si="6"/>
        <v>7</v>
      </c>
      <c r="N191" s="113" t="s">
        <v>101</v>
      </c>
    </row>
    <row r="192" spans="2:14" ht="27">
      <c r="B192" s="105" t="s">
        <v>96</v>
      </c>
      <c r="C192" s="106" t="s">
        <v>356</v>
      </c>
      <c r="D192" s="107" t="s">
        <v>416</v>
      </c>
      <c r="E192" s="65" t="s">
        <v>416</v>
      </c>
      <c r="F192" s="64" t="s">
        <v>205</v>
      </c>
      <c r="G192" s="64" t="s">
        <v>101</v>
      </c>
      <c r="H192" s="64" t="s">
        <v>111</v>
      </c>
      <c r="I192" s="70">
        <v>2</v>
      </c>
      <c r="J192" s="70">
        <v>7</v>
      </c>
      <c r="K192" s="110" t="str">
        <f>IF(H192="","",IF($C$29="간이법","",FPR(H192,I192,J192)))</f>
        <v>A</v>
      </c>
      <c r="L192" s="111">
        <f>IF(H192="","",IF($C$29="상세법",FPV(H192,K192),IF(H192="EI",4,IF(H192="EO",5.2,IF(H192="EQ",3.9,IF(H192="ILF",7.5,IF(H192="EIF",5.4)))))))</f>
        <v>4</v>
      </c>
      <c r="M192" s="112">
        <f t="shared" si="6"/>
        <v>4</v>
      </c>
      <c r="N192" s="113" t="s">
        <v>101</v>
      </c>
    </row>
    <row r="193" spans="2:14" ht="27">
      <c r="B193" s="105" t="s">
        <v>96</v>
      </c>
      <c r="C193" s="106" t="s">
        <v>417</v>
      </c>
      <c r="D193" s="107" t="s">
        <v>418</v>
      </c>
      <c r="E193" s="65" t="s">
        <v>419</v>
      </c>
      <c r="F193" s="64" t="s">
        <v>100</v>
      </c>
      <c r="G193" s="64" t="s">
        <v>101</v>
      </c>
      <c r="H193" s="64" t="s">
        <v>111</v>
      </c>
      <c r="I193" s="70">
        <v>1</v>
      </c>
      <c r="J193" s="70">
        <v>9</v>
      </c>
      <c r="K193" s="110" t="str">
        <f>IF(H193="","",IF($C$29="간이법","",FPR(H193,I193,J193)))</f>
        <v>L</v>
      </c>
      <c r="L193" s="111">
        <f>IF(H193="","",IF($C$29="상세법",FPV(H193,K193),IF(H193="EI",4,IF(H193="EO",5.2,IF(H193="EQ",3.9,IF(H193="ILF",7.5,IF(H193="EIF",5.4)))))))</f>
        <v>3</v>
      </c>
      <c r="M193" s="112">
        <f t="shared" si="6"/>
        <v>3</v>
      </c>
      <c r="N193" s="113" t="s">
        <v>101</v>
      </c>
    </row>
    <row r="194" spans="2:14" ht="27">
      <c r="B194" s="105" t="s">
        <v>96</v>
      </c>
      <c r="C194" s="106" t="s">
        <v>417</v>
      </c>
      <c r="D194" s="107" t="s">
        <v>420</v>
      </c>
      <c r="E194" s="65" t="s">
        <v>421</v>
      </c>
      <c r="F194" s="64" t="s">
        <v>100</v>
      </c>
      <c r="G194" s="64" t="s">
        <v>101</v>
      </c>
      <c r="H194" s="64" t="s">
        <v>111</v>
      </c>
      <c r="I194" s="70">
        <v>3</v>
      </c>
      <c r="J194" s="70">
        <v>26</v>
      </c>
      <c r="K194" s="110" t="str">
        <f>IF(H194="","",IF($C$29="간이법","",FPR(H194,I194,J194)))</f>
        <v>H</v>
      </c>
      <c r="L194" s="111">
        <f>IF(H194="","",IF($C$29="상세법",FPV(H194,K194),IF(H194="EI",4,IF(H194="EO",5.2,IF(H194="EQ",3.9,IF(H194="ILF",7.5,IF(H194="EIF",5.4)))))))</f>
        <v>6</v>
      </c>
      <c r="M194" s="112">
        <f t="shared" si="6"/>
        <v>6</v>
      </c>
      <c r="N194" s="113" t="s">
        <v>101</v>
      </c>
    </row>
    <row r="195" spans="2:14" ht="27">
      <c r="B195" s="105" t="s">
        <v>96</v>
      </c>
      <c r="C195" s="106" t="s">
        <v>417</v>
      </c>
      <c r="D195" s="107" t="s">
        <v>422</v>
      </c>
      <c r="E195" s="65" t="s">
        <v>423</v>
      </c>
      <c r="F195" s="64" t="s">
        <v>100</v>
      </c>
      <c r="G195" s="64" t="s">
        <v>101</v>
      </c>
      <c r="H195" s="64" t="s">
        <v>111</v>
      </c>
      <c r="I195" s="70">
        <v>1</v>
      </c>
      <c r="J195" s="70">
        <v>6</v>
      </c>
      <c r="K195" s="110" t="str">
        <f>IF(H195="","",IF($C$29="간이법","",FPR(H195,I195,J195)))</f>
        <v>L</v>
      </c>
      <c r="L195" s="111">
        <f>IF(H195="","",IF($C$29="상세법",FPV(H195,K195),IF(H195="EI",4,IF(H195="EO",5.2,IF(H195="EQ",3.9,IF(H195="ILF",7.5,IF(H195="EIF",5.4)))))))</f>
        <v>3</v>
      </c>
      <c r="M195" s="112">
        <f t="shared" si="6"/>
        <v>3</v>
      </c>
      <c r="N195" s="113" t="s">
        <v>101</v>
      </c>
    </row>
    <row r="196" spans="2:14" ht="27">
      <c r="B196" s="105" t="s">
        <v>96</v>
      </c>
      <c r="C196" s="106" t="s">
        <v>417</v>
      </c>
      <c r="D196" s="107" t="s">
        <v>424</v>
      </c>
      <c r="E196" s="65" t="s">
        <v>425</v>
      </c>
      <c r="F196" s="64" t="s">
        <v>426</v>
      </c>
      <c r="G196" s="64" t="s">
        <v>101</v>
      </c>
      <c r="H196" s="64" t="s">
        <v>111</v>
      </c>
      <c r="I196" s="70">
        <v>1</v>
      </c>
      <c r="J196" s="70">
        <v>4</v>
      </c>
      <c r="K196" s="110" t="str">
        <f>IF(H196="","",IF($C$29="간이법","",FPR(H196,I196,J196)))</f>
        <v>L</v>
      </c>
      <c r="L196" s="111">
        <f>IF(H196="","",IF($C$29="상세법",FPV(H196,K196),IF(H196="EI",4,IF(H196="EO",5.2,IF(H196="EQ",3.9,IF(H196="ILF",7.5,IF(H196="EIF",5.4)))))))</f>
        <v>3</v>
      </c>
      <c r="M196" s="112">
        <f t="shared" si="6"/>
        <v>3</v>
      </c>
      <c r="N196" s="113" t="s">
        <v>101</v>
      </c>
    </row>
    <row r="197" spans="2:14" ht="27">
      <c r="B197" s="105" t="s">
        <v>96</v>
      </c>
      <c r="C197" s="106" t="s">
        <v>417</v>
      </c>
      <c r="D197" s="107" t="s">
        <v>427</v>
      </c>
      <c r="E197" s="65" t="s">
        <v>428</v>
      </c>
      <c r="F197" s="64" t="s">
        <v>426</v>
      </c>
      <c r="G197" s="64" t="s">
        <v>101</v>
      </c>
      <c r="H197" s="64" t="s">
        <v>10</v>
      </c>
      <c r="I197" s="70">
        <v>1</v>
      </c>
      <c r="J197" s="70">
        <v>4</v>
      </c>
      <c r="K197" s="110" t="str">
        <f>IF(H197="","",IF($C$29="간이법","",FPR(H197,I197,J197)))</f>
        <v>L</v>
      </c>
      <c r="L197" s="111">
        <f>IF(H197="","",IF($C$29="상세법",FPV(H197,K197),IF(H197="EI",4,IF(H197="EO",5.2,IF(H197="EQ",3.9,IF(H197="ILF",7.5,IF(H197="EIF",5.4)))))))</f>
        <v>3</v>
      </c>
      <c r="M197" s="112">
        <f t="shared" si="6"/>
        <v>3</v>
      </c>
      <c r="N197" s="113" t="s">
        <v>101</v>
      </c>
    </row>
    <row r="198" spans="2:14" ht="27">
      <c r="B198" s="105" t="s">
        <v>96</v>
      </c>
      <c r="C198" s="106" t="s">
        <v>417</v>
      </c>
      <c r="D198" s="107" t="s">
        <v>429</v>
      </c>
      <c r="E198" s="65" t="s">
        <v>430</v>
      </c>
      <c r="F198" s="64" t="s">
        <v>426</v>
      </c>
      <c r="G198" s="64" t="s">
        <v>101</v>
      </c>
      <c r="H198" s="64" t="s">
        <v>10</v>
      </c>
      <c r="I198" s="70">
        <v>1</v>
      </c>
      <c r="J198" s="70">
        <v>4</v>
      </c>
      <c r="K198" s="110" t="str">
        <f>IF(H198="","",IF($C$29="간이법","",FPR(H198,I198,J198)))</f>
        <v>L</v>
      </c>
      <c r="L198" s="111">
        <f>IF(H198="","",IF($C$29="상세법",FPV(H198,K198),IF(H198="EI",4,IF(H198="EO",5.2,IF(H198="EQ",3.9,IF(H198="ILF",7.5,IF(H198="EIF",5.4)))))))</f>
        <v>3</v>
      </c>
      <c r="M198" s="112">
        <f t="shared" si="6"/>
        <v>3</v>
      </c>
      <c r="N198" s="113" t="s">
        <v>101</v>
      </c>
    </row>
    <row r="199" spans="2:14" ht="27">
      <c r="B199" s="105" t="s">
        <v>96</v>
      </c>
      <c r="C199" s="106" t="s">
        <v>417</v>
      </c>
      <c r="D199" s="107" t="s">
        <v>431</v>
      </c>
      <c r="E199" s="65" t="s">
        <v>432</v>
      </c>
      <c r="F199" s="64" t="s">
        <v>426</v>
      </c>
      <c r="G199" s="64" t="s">
        <v>101</v>
      </c>
      <c r="H199" s="64" t="s">
        <v>10</v>
      </c>
      <c r="I199" s="70">
        <v>1</v>
      </c>
      <c r="J199" s="70">
        <v>4</v>
      </c>
      <c r="K199" s="110" t="str">
        <f>IF(H199="","",IF($C$29="간이법","",FPR(H199,I199,J199)))</f>
        <v>L</v>
      </c>
      <c r="L199" s="111">
        <f>IF(H199="","",IF($C$29="상세법",FPV(H199,K199),IF(H199="EI",4,IF(H199="EO",5.2,IF(H199="EQ",3.9,IF(H199="ILF",7.5,IF(H199="EIF",5.4)))))))</f>
        <v>3</v>
      </c>
      <c r="M199" s="112">
        <f t="shared" si="6"/>
        <v>3</v>
      </c>
      <c r="N199" s="113" t="s">
        <v>101</v>
      </c>
    </row>
    <row r="200" spans="2:14" ht="27">
      <c r="B200" s="105" t="s">
        <v>96</v>
      </c>
      <c r="C200" s="106" t="s">
        <v>417</v>
      </c>
      <c r="D200" s="107" t="s">
        <v>433</v>
      </c>
      <c r="E200" s="65" t="s">
        <v>434</v>
      </c>
      <c r="F200" s="64" t="s">
        <v>100</v>
      </c>
      <c r="G200" s="64" t="s">
        <v>101</v>
      </c>
      <c r="H200" s="64" t="s">
        <v>111</v>
      </c>
      <c r="I200" s="70">
        <v>1</v>
      </c>
      <c r="J200" s="70">
        <v>9</v>
      </c>
      <c r="K200" s="110" t="str">
        <f>IF(H200="","",IF($C$29="간이법","",FPR(H200,I200,J200)))</f>
        <v>L</v>
      </c>
      <c r="L200" s="111">
        <f>IF(H200="","",IF($C$29="상세법",FPV(H200,K200),IF(H200="EI",4,IF(H200="EO",5.2,IF(H200="EQ",3.9,IF(H200="ILF",7.5,IF(H200="EIF",5.4)))))))</f>
        <v>3</v>
      </c>
      <c r="M200" s="112">
        <f t="shared" si="6"/>
        <v>3</v>
      </c>
      <c r="N200" s="113" t="s">
        <v>101</v>
      </c>
    </row>
    <row r="201" spans="2:14" ht="27">
      <c r="B201" s="105" t="s">
        <v>96</v>
      </c>
      <c r="C201" s="106" t="s">
        <v>417</v>
      </c>
      <c r="D201" s="107" t="s">
        <v>435</v>
      </c>
      <c r="E201" s="65" t="s">
        <v>436</v>
      </c>
      <c r="F201" s="64" t="s">
        <v>100</v>
      </c>
      <c r="G201" s="64" t="s">
        <v>101</v>
      </c>
      <c r="H201" s="64" t="s">
        <v>111</v>
      </c>
      <c r="I201" s="70">
        <v>1</v>
      </c>
      <c r="J201" s="70">
        <v>4</v>
      </c>
      <c r="K201" s="110" t="str">
        <f>IF(H201="","",IF($C$29="간이법","",FPR(H201,I201,J201)))</f>
        <v>L</v>
      </c>
      <c r="L201" s="111">
        <f>IF(H201="","",IF($C$29="상세법",FPV(H201,K201),IF(H201="EI",4,IF(H201="EO",5.2,IF(H201="EQ",3.9,IF(H201="ILF",7.5,IF(H201="EIF",5.4)))))))</f>
        <v>3</v>
      </c>
      <c r="M201" s="112">
        <f t="shared" si="6"/>
        <v>3</v>
      </c>
      <c r="N201" s="113" t="s">
        <v>101</v>
      </c>
    </row>
    <row r="202" spans="2:14" ht="27">
      <c r="B202" s="105" t="s">
        <v>96</v>
      </c>
      <c r="C202" s="106" t="s">
        <v>417</v>
      </c>
      <c r="D202" s="107" t="s">
        <v>437</v>
      </c>
      <c r="E202" s="65" t="s">
        <v>438</v>
      </c>
      <c r="F202" s="64" t="s">
        <v>100</v>
      </c>
      <c r="G202" s="64" t="s">
        <v>101</v>
      </c>
      <c r="H202" s="64" t="s">
        <v>111</v>
      </c>
      <c r="I202" s="70">
        <v>1</v>
      </c>
      <c r="J202" s="70">
        <v>4</v>
      </c>
      <c r="K202" s="110" t="str">
        <f>IF(H202="","",IF($C$29="간이법","",FPR(H202,I202,J202)))</f>
        <v>L</v>
      </c>
      <c r="L202" s="111">
        <f>IF(H202="","",IF($C$29="상세법",FPV(H202,K202),IF(H202="EI",4,IF(H202="EO",5.2,IF(H202="EQ",3.9,IF(H202="ILF",7.5,IF(H202="EIF",5.4)))))))</f>
        <v>3</v>
      </c>
      <c r="M202" s="112">
        <f t="shared" si="6"/>
        <v>3</v>
      </c>
      <c r="N202" s="113" t="s">
        <v>101</v>
      </c>
    </row>
    <row r="203" spans="2:14" ht="27">
      <c r="B203" s="105" t="s">
        <v>96</v>
      </c>
      <c r="C203" s="106" t="s">
        <v>417</v>
      </c>
      <c r="D203" s="107" t="s">
        <v>439</v>
      </c>
      <c r="E203" s="65" t="s">
        <v>440</v>
      </c>
      <c r="F203" s="64" t="s">
        <v>100</v>
      </c>
      <c r="G203" s="64" t="s">
        <v>101</v>
      </c>
      <c r="H203" s="64" t="s">
        <v>111</v>
      </c>
      <c r="I203" s="70">
        <v>2</v>
      </c>
      <c r="J203" s="70">
        <v>9</v>
      </c>
      <c r="K203" s="110" t="str">
        <f>IF(H203="","",IF($C$29="간이법","",FPR(H203,I203,J203)))</f>
        <v>A</v>
      </c>
      <c r="L203" s="111">
        <f>IF(H203="","",IF($C$29="상세법",FPV(H203,K203),IF(H203="EI",4,IF(H203="EO",5.2,IF(H203="EQ",3.9,IF(H203="ILF",7.5,IF(H203="EIF",5.4)))))))</f>
        <v>4</v>
      </c>
      <c r="M203" s="112">
        <f t="shared" si="6"/>
        <v>4</v>
      </c>
      <c r="N203" s="113" t="s">
        <v>101</v>
      </c>
    </row>
    <row r="204" spans="2:14" ht="27">
      <c r="B204" s="105" t="s">
        <v>96</v>
      </c>
      <c r="C204" s="106" t="s">
        <v>417</v>
      </c>
      <c r="D204" s="107" t="s">
        <v>441</v>
      </c>
      <c r="E204" s="65" t="s">
        <v>442</v>
      </c>
      <c r="F204" s="64" t="s">
        <v>100</v>
      </c>
      <c r="G204" s="64" t="s">
        <v>101</v>
      </c>
      <c r="H204" s="64" t="s">
        <v>10</v>
      </c>
      <c r="I204" s="70">
        <v>2</v>
      </c>
      <c r="J204" s="70">
        <v>11</v>
      </c>
      <c r="K204" s="110" t="str">
        <f>IF(H204="","",IF($C$29="간이법","",FPR(H204,I204,J204)))</f>
        <v>A</v>
      </c>
      <c r="L204" s="111">
        <f>IF(H204="","",IF($C$29="상세법",FPV(H204,K204),IF(H204="EI",4,IF(H204="EO",5.2,IF(H204="EQ",3.9,IF(H204="ILF",7.5,IF(H204="EIF",5.4)))))))</f>
        <v>4</v>
      </c>
      <c r="M204" s="112">
        <f t="shared" si="6"/>
        <v>4</v>
      </c>
      <c r="N204" s="113" t="s">
        <v>101</v>
      </c>
    </row>
    <row r="205" spans="2:14" ht="27">
      <c r="B205" s="105" t="s">
        <v>96</v>
      </c>
      <c r="C205" s="106" t="s">
        <v>417</v>
      </c>
      <c r="D205" s="107" t="s">
        <v>443</v>
      </c>
      <c r="E205" s="65" t="s">
        <v>444</v>
      </c>
      <c r="F205" s="64" t="s">
        <v>189</v>
      </c>
      <c r="G205" s="64" t="s">
        <v>360</v>
      </c>
      <c r="H205" s="64" t="s">
        <v>111</v>
      </c>
      <c r="I205" s="70">
        <v>1</v>
      </c>
      <c r="J205" s="70">
        <v>5</v>
      </c>
      <c r="K205" s="110" t="str">
        <f>IF(H205="","",IF($C$29="간이법","",FPR(H205,I205,J205)))</f>
        <v>L</v>
      </c>
      <c r="L205" s="111">
        <f>IF(H205="","",IF($C$29="상세법",FPV(H205,K205),IF(H205="EI",4,IF(H205="EO",5.2,IF(H205="EQ",3.9,IF(H205="ILF",7.5,IF(H205="EIF",5.4)))))))</f>
        <v>3</v>
      </c>
      <c r="M205" s="112">
        <f t="shared" si="6"/>
        <v>0.60000000000000009</v>
      </c>
      <c r="N205" s="113" t="s">
        <v>101</v>
      </c>
    </row>
    <row r="206" spans="2:14" ht="27">
      <c r="B206" s="105" t="s">
        <v>96</v>
      </c>
      <c r="C206" s="106" t="s">
        <v>445</v>
      </c>
      <c r="D206" s="107" t="s">
        <v>446</v>
      </c>
      <c r="E206" s="65" t="s">
        <v>447</v>
      </c>
      <c r="F206" s="64" t="s">
        <v>426</v>
      </c>
      <c r="G206" s="64" t="s">
        <v>101</v>
      </c>
      <c r="H206" s="64" t="s">
        <v>111</v>
      </c>
      <c r="I206" s="70">
        <v>1</v>
      </c>
      <c r="J206" s="70">
        <v>7</v>
      </c>
      <c r="K206" s="110" t="str">
        <f>IF(H206="","",IF($C$29="간이법","",FPR(H206,I206,J206)))</f>
        <v>L</v>
      </c>
      <c r="L206" s="111">
        <f>IF(H206="","",IF($C$29="상세법",FPV(H206,K206),IF(H206="EI",4,IF(H206="EO",5.2,IF(H206="EQ",3.9,IF(H206="ILF",7.5,IF(H206="EIF",5.4)))))))</f>
        <v>3</v>
      </c>
      <c r="M206" s="112">
        <f t="shared" si="6"/>
        <v>3</v>
      </c>
      <c r="N206" s="113" t="s">
        <v>101</v>
      </c>
    </row>
    <row r="207" spans="2:14" ht="27">
      <c r="B207" s="105" t="s">
        <v>96</v>
      </c>
      <c r="C207" s="106" t="s">
        <v>445</v>
      </c>
      <c r="D207" s="107" t="s">
        <v>448</v>
      </c>
      <c r="E207" s="65" t="s">
        <v>449</v>
      </c>
      <c r="F207" s="64" t="s">
        <v>426</v>
      </c>
      <c r="G207" s="64" t="s">
        <v>101</v>
      </c>
      <c r="H207" s="64" t="s">
        <v>111</v>
      </c>
      <c r="I207" s="70">
        <v>2</v>
      </c>
      <c r="J207" s="70">
        <v>14</v>
      </c>
      <c r="K207" s="110" t="str">
        <f>IF(H207="","",IF($C$29="간이법","",FPR(H207,I207,J207)))</f>
        <v>A</v>
      </c>
      <c r="L207" s="111">
        <f>IF(H207="","",IF($C$29="상세법",FPV(H207,K207),IF(H207="EI",4,IF(H207="EO",5.2,IF(H207="EQ",3.9,IF(H207="ILF",7.5,IF(H207="EIF",5.4)))))))</f>
        <v>4</v>
      </c>
      <c r="M207" s="112">
        <f t="shared" si="6"/>
        <v>4</v>
      </c>
      <c r="N207" s="113" t="s">
        <v>101</v>
      </c>
    </row>
    <row r="208" spans="2:14" ht="27">
      <c r="B208" s="105" t="s">
        <v>96</v>
      </c>
      <c r="C208" s="106" t="s">
        <v>445</v>
      </c>
      <c r="D208" s="107" t="s">
        <v>450</v>
      </c>
      <c r="E208" s="65" t="s">
        <v>451</v>
      </c>
      <c r="F208" s="64" t="s">
        <v>426</v>
      </c>
      <c r="G208" s="64" t="s">
        <v>101</v>
      </c>
      <c r="H208" s="64" t="s">
        <v>111</v>
      </c>
      <c r="I208" s="70">
        <v>1</v>
      </c>
      <c r="J208" s="70">
        <v>4</v>
      </c>
      <c r="K208" s="110" t="str">
        <f>IF(H208="","",IF($C$29="간이법","",FPR(H208,I208,J208)))</f>
        <v>L</v>
      </c>
      <c r="L208" s="111">
        <f>IF(H208="","",IF($C$29="상세법",FPV(H208,K208),IF(H208="EI",4,IF(H208="EO",5.2,IF(H208="EQ",3.9,IF(H208="ILF",7.5,IF(H208="EIF",5.4)))))))</f>
        <v>3</v>
      </c>
      <c r="M208" s="112">
        <f t="shared" si="6"/>
        <v>3</v>
      </c>
      <c r="N208" s="113" t="s">
        <v>101</v>
      </c>
    </row>
    <row r="209" spans="2:14" ht="27">
      <c r="B209" s="105" t="s">
        <v>96</v>
      </c>
      <c r="C209" s="106" t="s">
        <v>445</v>
      </c>
      <c r="D209" s="107" t="s">
        <v>452</v>
      </c>
      <c r="E209" s="65" t="s">
        <v>453</v>
      </c>
      <c r="F209" s="64" t="s">
        <v>426</v>
      </c>
      <c r="G209" s="64" t="s">
        <v>101</v>
      </c>
      <c r="H209" s="64" t="s">
        <v>111</v>
      </c>
      <c r="I209" s="70">
        <v>2</v>
      </c>
      <c r="J209" s="70">
        <v>8</v>
      </c>
      <c r="K209" s="110" t="str">
        <f>IF(H209="","",IF($C$29="간이법","",FPR(H209,I209,J209)))</f>
        <v>A</v>
      </c>
      <c r="L209" s="111">
        <f>IF(H209="","",IF($C$29="상세법",FPV(H209,K209),IF(H209="EI",4,IF(H209="EO",5.2,IF(H209="EQ",3.9,IF(H209="ILF",7.5,IF(H209="EIF",5.4)))))))</f>
        <v>4</v>
      </c>
      <c r="M209" s="112">
        <f t="shared" si="6"/>
        <v>4</v>
      </c>
      <c r="N209" s="113" t="s">
        <v>101</v>
      </c>
    </row>
    <row r="210" spans="2:14" ht="27">
      <c r="B210" s="105" t="s">
        <v>96</v>
      </c>
      <c r="C210" s="106" t="s">
        <v>445</v>
      </c>
      <c r="D210" s="107" t="s">
        <v>454</v>
      </c>
      <c r="E210" s="65" t="s">
        <v>455</v>
      </c>
      <c r="F210" s="64" t="s">
        <v>426</v>
      </c>
      <c r="G210" s="64" t="s">
        <v>101</v>
      </c>
      <c r="H210" s="64" t="s">
        <v>111</v>
      </c>
      <c r="I210" s="70">
        <v>1</v>
      </c>
      <c r="J210" s="70">
        <v>6</v>
      </c>
      <c r="K210" s="110" t="str">
        <f>IF(H210="","",IF($C$29="간이법","",FPR(H210,I210,J210)))</f>
        <v>L</v>
      </c>
      <c r="L210" s="111">
        <f>IF(H210="","",IF($C$29="상세법",FPV(H210,K210),IF(H210="EI",4,IF(H210="EO",5.2,IF(H210="EQ",3.9,IF(H210="ILF",7.5,IF(H210="EIF",5.4)))))))</f>
        <v>3</v>
      </c>
      <c r="M210" s="112">
        <f t="shared" si="6"/>
        <v>3</v>
      </c>
      <c r="N210" s="113" t="s">
        <v>101</v>
      </c>
    </row>
    <row r="211" spans="2:14" ht="27">
      <c r="B211" s="105" t="s">
        <v>96</v>
      </c>
      <c r="C211" s="106" t="s">
        <v>445</v>
      </c>
      <c r="D211" s="107" t="s">
        <v>456</v>
      </c>
      <c r="E211" s="65" t="s">
        <v>457</v>
      </c>
      <c r="F211" s="64" t="s">
        <v>426</v>
      </c>
      <c r="G211" s="64" t="s">
        <v>101</v>
      </c>
      <c r="H211" s="64" t="s">
        <v>10</v>
      </c>
      <c r="I211" s="70">
        <v>1</v>
      </c>
      <c r="J211" s="70">
        <v>6</v>
      </c>
      <c r="K211" s="110" t="str">
        <f>IF(H211="","",IF($C$29="간이법","",FPR(H211,I211,J211)))</f>
        <v>L</v>
      </c>
      <c r="L211" s="111">
        <f>IF(H211="","",IF($C$29="상세법",FPV(H211,K211),IF(H211="EI",4,IF(H211="EO",5.2,IF(H211="EQ",3.9,IF(H211="ILF",7.5,IF(H211="EIF",5.4)))))))</f>
        <v>3</v>
      </c>
      <c r="M211" s="112">
        <f t="shared" si="6"/>
        <v>3</v>
      </c>
      <c r="N211" s="113" t="s">
        <v>101</v>
      </c>
    </row>
    <row r="212" spans="2:14" ht="27">
      <c r="B212" s="105" t="s">
        <v>96</v>
      </c>
      <c r="C212" s="106" t="s">
        <v>445</v>
      </c>
      <c r="D212" s="107" t="s">
        <v>458</v>
      </c>
      <c r="E212" s="65" t="s">
        <v>459</v>
      </c>
      <c r="F212" s="64" t="s">
        <v>426</v>
      </c>
      <c r="G212" s="64" t="s">
        <v>101</v>
      </c>
      <c r="H212" s="64" t="s">
        <v>10</v>
      </c>
      <c r="I212" s="70">
        <v>1</v>
      </c>
      <c r="J212" s="70">
        <v>6</v>
      </c>
      <c r="K212" s="110" t="str">
        <f>IF(H212="","",IF($C$29="간이법","",FPR(H212,I212,J212)))</f>
        <v>L</v>
      </c>
      <c r="L212" s="111">
        <f>IF(H212="","",IF($C$29="상세법",FPV(H212,K212),IF(H212="EI",4,IF(H212="EO",5.2,IF(H212="EQ",3.9,IF(H212="ILF",7.5,IF(H212="EIF",5.4)))))))</f>
        <v>3</v>
      </c>
      <c r="M212" s="112">
        <f t="shared" si="6"/>
        <v>3</v>
      </c>
      <c r="N212" s="113" t="s">
        <v>101</v>
      </c>
    </row>
    <row r="213" spans="2:14" ht="27">
      <c r="B213" s="105" t="s">
        <v>96</v>
      </c>
      <c r="C213" s="106" t="s">
        <v>445</v>
      </c>
      <c r="D213" s="107" t="s">
        <v>460</v>
      </c>
      <c r="E213" s="65" t="s">
        <v>461</v>
      </c>
      <c r="F213" s="64" t="s">
        <v>426</v>
      </c>
      <c r="G213" s="64" t="s">
        <v>101</v>
      </c>
      <c r="H213" s="64" t="s">
        <v>10</v>
      </c>
      <c r="I213" s="70">
        <v>1</v>
      </c>
      <c r="J213" s="70">
        <v>6</v>
      </c>
      <c r="K213" s="110" t="str">
        <f>IF(H213="","",IF($C$29="간이법","",FPR(H213,I213,J213)))</f>
        <v>L</v>
      </c>
      <c r="L213" s="111">
        <f>IF(H213="","",IF($C$29="상세법",FPV(H213,K213),IF(H213="EI",4,IF(H213="EO",5.2,IF(H213="EQ",3.9,IF(H213="ILF",7.5,IF(H213="EIF",5.4)))))))</f>
        <v>3</v>
      </c>
      <c r="M213" s="112">
        <f t="shared" si="6"/>
        <v>3</v>
      </c>
      <c r="N213" s="113" t="s">
        <v>101</v>
      </c>
    </row>
    <row r="214" spans="2:14" ht="27">
      <c r="B214" s="105" t="s">
        <v>96</v>
      </c>
      <c r="C214" s="106" t="s">
        <v>445</v>
      </c>
      <c r="D214" s="107" t="s">
        <v>462</v>
      </c>
      <c r="E214" s="65" t="s">
        <v>463</v>
      </c>
      <c r="F214" s="64" t="s">
        <v>426</v>
      </c>
      <c r="G214" s="64" t="s">
        <v>101</v>
      </c>
      <c r="H214" s="64" t="s">
        <v>111</v>
      </c>
      <c r="I214" s="70">
        <v>2</v>
      </c>
      <c r="J214" s="70">
        <v>9</v>
      </c>
      <c r="K214" s="110" t="str">
        <f>IF(H214="","",IF($C$29="간이법","",FPR(H214,I214,J214)))</f>
        <v>A</v>
      </c>
      <c r="L214" s="111">
        <f>IF(H214="","",IF($C$29="상세법",FPV(H214,K214),IF(H214="EI",4,IF(H214="EO",5.2,IF(H214="EQ",3.9,IF(H214="ILF",7.5,IF(H214="EIF",5.4)))))))</f>
        <v>4</v>
      </c>
      <c r="M214" s="112">
        <f t="shared" si="6"/>
        <v>4</v>
      </c>
      <c r="N214" s="113" t="s">
        <v>101</v>
      </c>
    </row>
    <row r="215" spans="2:14" ht="27">
      <c r="B215" s="105" t="s">
        <v>96</v>
      </c>
      <c r="C215" s="106" t="s">
        <v>445</v>
      </c>
      <c r="D215" s="107" t="s">
        <v>464</v>
      </c>
      <c r="E215" s="65" t="s">
        <v>465</v>
      </c>
      <c r="F215" s="64" t="s">
        <v>426</v>
      </c>
      <c r="G215" s="64" t="s">
        <v>101</v>
      </c>
      <c r="H215" s="64" t="s">
        <v>10</v>
      </c>
      <c r="I215" s="70">
        <v>1</v>
      </c>
      <c r="J215" s="70">
        <v>9</v>
      </c>
      <c r="K215" s="110" t="str">
        <f>IF(H215="","",IF($C$29="간이법","",FPR(H215,I215,J215)))</f>
        <v>L</v>
      </c>
      <c r="L215" s="111">
        <f>IF(H215="","",IF($C$29="상세법",FPV(H215,K215),IF(H215="EI",4,IF(H215="EO",5.2,IF(H215="EQ",3.9,IF(H215="ILF",7.5,IF(H215="EIF",5.4)))))))</f>
        <v>3</v>
      </c>
      <c r="M215" s="112">
        <f t="shared" si="6"/>
        <v>3</v>
      </c>
      <c r="N215" s="113" t="s">
        <v>101</v>
      </c>
    </row>
    <row r="216" spans="2:14" ht="27">
      <c r="B216" s="105" t="s">
        <v>96</v>
      </c>
      <c r="C216" s="106" t="s">
        <v>445</v>
      </c>
      <c r="D216" s="107" t="s">
        <v>466</v>
      </c>
      <c r="E216" s="65" t="s">
        <v>467</v>
      </c>
      <c r="F216" s="64" t="s">
        <v>426</v>
      </c>
      <c r="G216" s="64" t="s">
        <v>101</v>
      </c>
      <c r="H216" s="64" t="s">
        <v>10</v>
      </c>
      <c r="I216" s="70">
        <v>1</v>
      </c>
      <c r="J216" s="70">
        <v>7</v>
      </c>
      <c r="K216" s="110" t="str">
        <f>IF(H216="","",IF($C$29="간이법","",FPR(H216,I216,J216)))</f>
        <v>L</v>
      </c>
      <c r="L216" s="111">
        <f>IF(H216="","",IF($C$29="상세법",FPV(H216,K216),IF(H216="EI",4,IF(H216="EO",5.2,IF(H216="EQ",3.9,IF(H216="ILF",7.5,IF(H216="EIF",5.4)))))))</f>
        <v>3</v>
      </c>
      <c r="M216" s="112">
        <f t="shared" si="6"/>
        <v>3</v>
      </c>
      <c r="N216" s="113" t="s">
        <v>101</v>
      </c>
    </row>
    <row r="217" spans="2:14" ht="27">
      <c r="B217" s="105" t="s">
        <v>96</v>
      </c>
      <c r="C217" s="106" t="s">
        <v>445</v>
      </c>
      <c r="D217" s="107" t="s">
        <v>468</v>
      </c>
      <c r="E217" s="65" t="s">
        <v>469</v>
      </c>
      <c r="F217" s="64" t="s">
        <v>426</v>
      </c>
      <c r="G217" s="64" t="s">
        <v>101</v>
      </c>
      <c r="H217" s="64" t="s">
        <v>10</v>
      </c>
      <c r="I217" s="70">
        <v>1</v>
      </c>
      <c r="J217" s="70">
        <v>7</v>
      </c>
      <c r="K217" s="110" t="str">
        <f>IF(H217="","",IF($C$29="간이법","",FPR(H217,I217,J217)))</f>
        <v>L</v>
      </c>
      <c r="L217" s="111">
        <f>IF(H217="","",IF($C$29="상세법",FPV(H217,K217),IF(H217="EI",4,IF(H217="EO",5.2,IF(H217="EQ",3.9,IF(H217="ILF",7.5,IF(H217="EIF",5.4)))))))</f>
        <v>3</v>
      </c>
      <c r="M217" s="112">
        <f t="shared" si="6"/>
        <v>3</v>
      </c>
      <c r="N217" s="113" t="s">
        <v>101</v>
      </c>
    </row>
    <row r="218" spans="2:14" ht="27">
      <c r="B218" s="105" t="s">
        <v>96</v>
      </c>
      <c r="C218" s="106" t="s">
        <v>445</v>
      </c>
      <c r="D218" s="107" t="s">
        <v>470</v>
      </c>
      <c r="E218" s="65" t="s">
        <v>471</v>
      </c>
      <c r="F218" s="64" t="s">
        <v>426</v>
      </c>
      <c r="G218" s="64" t="s">
        <v>101</v>
      </c>
      <c r="H218" s="64" t="s">
        <v>111</v>
      </c>
      <c r="I218" s="70">
        <v>3</v>
      </c>
      <c r="J218" s="70">
        <v>14</v>
      </c>
      <c r="K218" s="110" t="str">
        <f>IF(H218="","",IF($C$29="간이법","",FPR(H218,I218,J218)))</f>
        <v>A</v>
      </c>
      <c r="L218" s="111">
        <f>IF(H218="","",IF($C$29="상세법",FPV(H218,K218),IF(H218="EI",4,IF(H218="EO",5.2,IF(H218="EQ",3.9,IF(H218="ILF",7.5,IF(H218="EIF",5.4)))))))</f>
        <v>4</v>
      </c>
      <c r="M218" s="112">
        <f t="shared" si="6"/>
        <v>4</v>
      </c>
      <c r="N218" s="113" t="s">
        <v>101</v>
      </c>
    </row>
    <row r="219" spans="2:14" ht="27">
      <c r="B219" s="105" t="s">
        <v>96</v>
      </c>
      <c r="C219" s="106" t="s">
        <v>445</v>
      </c>
      <c r="D219" s="107" t="s">
        <v>472</v>
      </c>
      <c r="E219" s="65" t="s">
        <v>473</v>
      </c>
      <c r="F219" s="64" t="s">
        <v>426</v>
      </c>
      <c r="G219" s="64" t="s">
        <v>101</v>
      </c>
      <c r="H219" s="64" t="s">
        <v>10</v>
      </c>
      <c r="I219" s="70">
        <v>1</v>
      </c>
      <c r="J219" s="70">
        <v>4</v>
      </c>
      <c r="K219" s="110" t="str">
        <f>IF(H219="","",IF($C$29="간이법","",FPR(H219,I219,J219)))</f>
        <v>L</v>
      </c>
      <c r="L219" s="111">
        <f>IF(H219="","",IF($C$29="상세법",FPV(H219,K219),IF(H219="EI",4,IF(H219="EO",5.2,IF(H219="EQ",3.9,IF(H219="ILF",7.5,IF(H219="EIF",5.4)))))))</f>
        <v>3</v>
      </c>
      <c r="M219" s="112">
        <f t="shared" si="6"/>
        <v>3</v>
      </c>
      <c r="N219" s="113" t="s">
        <v>101</v>
      </c>
    </row>
    <row r="220" spans="2:14" ht="27">
      <c r="B220" s="105" t="s">
        <v>96</v>
      </c>
      <c r="C220" s="106" t="s">
        <v>445</v>
      </c>
      <c r="D220" s="107" t="s">
        <v>474</v>
      </c>
      <c r="E220" s="65" t="s">
        <v>475</v>
      </c>
      <c r="F220" s="64" t="s">
        <v>426</v>
      </c>
      <c r="G220" s="64" t="s">
        <v>101</v>
      </c>
      <c r="H220" s="64" t="s">
        <v>111</v>
      </c>
      <c r="I220" s="70">
        <v>3</v>
      </c>
      <c r="J220" s="70">
        <v>13</v>
      </c>
      <c r="K220" s="110" t="str">
        <f>IF(H220="","",IF($C$29="간이법","",FPR(H220,I220,J220)))</f>
        <v>A</v>
      </c>
      <c r="L220" s="111">
        <f>IF(H220="","",IF($C$29="상세법",FPV(H220,K220),IF(H220="EI",4,IF(H220="EO",5.2,IF(H220="EQ",3.9,IF(H220="ILF",7.5,IF(H220="EIF",5.4)))))))</f>
        <v>4</v>
      </c>
      <c r="M220" s="112">
        <f t="shared" si="6"/>
        <v>4</v>
      </c>
      <c r="N220" s="113" t="s">
        <v>101</v>
      </c>
    </row>
    <row r="221" spans="2:14" ht="27">
      <c r="B221" s="105" t="s">
        <v>96</v>
      </c>
      <c r="C221" s="106" t="s">
        <v>445</v>
      </c>
      <c r="D221" s="107" t="s">
        <v>476</v>
      </c>
      <c r="E221" s="65" t="s">
        <v>477</v>
      </c>
      <c r="F221" s="64" t="s">
        <v>426</v>
      </c>
      <c r="G221" s="64" t="s">
        <v>101</v>
      </c>
      <c r="H221" s="64" t="s">
        <v>10</v>
      </c>
      <c r="I221" s="70">
        <v>1</v>
      </c>
      <c r="J221" s="70">
        <v>4</v>
      </c>
      <c r="K221" s="110" t="str">
        <f>IF(H221="","",IF($C$29="간이법","",FPR(H221,I221,J221)))</f>
        <v>L</v>
      </c>
      <c r="L221" s="111">
        <f>IF(H221="","",IF($C$29="상세법",FPV(H221,K221),IF(H221="EI",4,IF(H221="EO",5.2,IF(H221="EQ",3.9,IF(H221="ILF",7.5,IF(H221="EIF",5.4)))))))</f>
        <v>3</v>
      </c>
      <c r="M221" s="112">
        <f t="shared" si="6"/>
        <v>3</v>
      </c>
      <c r="N221" s="113" t="s">
        <v>101</v>
      </c>
    </row>
    <row r="222" spans="2:14" ht="27">
      <c r="B222" s="105" t="s">
        <v>96</v>
      </c>
      <c r="C222" s="106" t="s">
        <v>445</v>
      </c>
      <c r="D222" s="107" t="s">
        <v>478</v>
      </c>
      <c r="E222" s="65" t="s">
        <v>479</v>
      </c>
      <c r="F222" s="64" t="s">
        <v>426</v>
      </c>
      <c r="G222" s="64" t="s">
        <v>101</v>
      </c>
      <c r="H222" s="64" t="s">
        <v>10</v>
      </c>
      <c r="I222" s="70">
        <v>1</v>
      </c>
      <c r="J222" s="70">
        <v>5</v>
      </c>
      <c r="K222" s="110" t="str">
        <f>IF(H222="","",IF($C$29="간이법","",FPR(H222,I222,J222)))</f>
        <v>L</v>
      </c>
      <c r="L222" s="111">
        <f>IF(H222="","",IF($C$29="상세법",FPV(H222,K222),IF(H222="EI",4,IF(H222="EO",5.2,IF(H222="EQ",3.9,IF(H222="ILF",7.5,IF(H222="EIF",5.4)))))))</f>
        <v>3</v>
      </c>
      <c r="M222" s="112">
        <f t="shared" si="6"/>
        <v>3</v>
      </c>
      <c r="N222" s="113" t="s">
        <v>101</v>
      </c>
    </row>
    <row r="223" spans="2:14" ht="27">
      <c r="B223" s="105" t="s">
        <v>96</v>
      </c>
      <c r="C223" s="106" t="s">
        <v>445</v>
      </c>
      <c r="D223" s="107" t="s">
        <v>480</v>
      </c>
      <c r="E223" s="65" t="s">
        <v>481</v>
      </c>
      <c r="F223" s="64" t="s">
        <v>426</v>
      </c>
      <c r="G223" s="64" t="s">
        <v>101</v>
      </c>
      <c r="H223" s="64" t="s">
        <v>111</v>
      </c>
      <c r="I223" s="70">
        <v>2</v>
      </c>
      <c r="J223" s="70">
        <v>11</v>
      </c>
      <c r="K223" s="110" t="str">
        <f>IF(H223="","",IF($C$29="간이법","",FPR(H223,I223,J223)))</f>
        <v>A</v>
      </c>
      <c r="L223" s="111">
        <f>IF(H223="","",IF($C$29="상세법",FPV(H223,K223),IF(H223="EI",4,IF(H223="EO",5.2,IF(H223="EQ",3.9,IF(H223="ILF",7.5,IF(H223="EIF",5.4)))))))</f>
        <v>4</v>
      </c>
      <c r="M223" s="112">
        <f t="shared" si="6"/>
        <v>4</v>
      </c>
      <c r="N223" s="113" t="s">
        <v>101</v>
      </c>
    </row>
    <row r="224" spans="2:14" ht="27">
      <c r="B224" s="105" t="s">
        <v>96</v>
      </c>
      <c r="C224" s="106" t="s">
        <v>445</v>
      </c>
      <c r="D224" s="107" t="s">
        <v>482</v>
      </c>
      <c r="E224" s="65" t="s">
        <v>483</v>
      </c>
      <c r="F224" s="64" t="s">
        <v>426</v>
      </c>
      <c r="G224" s="64" t="s">
        <v>101</v>
      </c>
      <c r="H224" s="64" t="s">
        <v>111</v>
      </c>
      <c r="I224" s="70">
        <v>2</v>
      </c>
      <c r="J224" s="70">
        <v>12</v>
      </c>
      <c r="K224" s="110" t="str">
        <f>IF(H224="","",IF($C$29="간이법","",FPR(H224,I224,J224)))</f>
        <v>A</v>
      </c>
      <c r="L224" s="111">
        <f>IF(H224="","",IF($C$29="상세법",FPV(H224,K224),IF(H224="EI",4,IF(H224="EO",5.2,IF(H224="EQ",3.9,IF(H224="ILF",7.5,IF(H224="EIF",5.4)))))))</f>
        <v>4</v>
      </c>
      <c r="M224" s="112">
        <f t="shared" si="6"/>
        <v>4</v>
      </c>
      <c r="N224" s="113" t="s">
        <v>101</v>
      </c>
    </row>
    <row r="225" spans="2:14" ht="27">
      <c r="B225" s="105" t="s">
        <v>96</v>
      </c>
      <c r="C225" s="106" t="s">
        <v>445</v>
      </c>
      <c r="D225" s="107" t="s">
        <v>484</v>
      </c>
      <c r="E225" s="65" t="s">
        <v>485</v>
      </c>
      <c r="F225" s="64" t="s">
        <v>426</v>
      </c>
      <c r="G225" s="64" t="s">
        <v>101</v>
      </c>
      <c r="H225" s="64" t="s">
        <v>111</v>
      </c>
      <c r="I225" s="70">
        <v>2</v>
      </c>
      <c r="J225" s="70">
        <v>20</v>
      </c>
      <c r="K225" s="110" t="str">
        <f>IF(H225="","",IF($C$29="간이법","",FPR(H225,I225,J225)))</f>
        <v>H</v>
      </c>
      <c r="L225" s="111">
        <f>IF(H225="","",IF($C$29="상세법",FPV(H225,K225),IF(H225="EI",4,IF(H225="EO",5.2,IF(H225="EQ",3.9,IF(H225="ILF",7.5,IF(H225="EIF",5.4)))))))</f>
        <v>6</v>
      </c>
      <c r="M225" s="112">
        <f t="shared" si="6"/>
        <v>6</v>
      </c>
      <c r="N225" s="113" t="s">
        <v>101</v>
      </c>
    </row>
    <row r="226" spans="2:14" ht="27">
      <c r="B226" s="105" t="s">
        <v>96</v>
      </c>
      <c r="C226" s="106" t="s">
        <v>445</v>
      </c>
      <c r="D226" s="107" t="s">
        <v>486</v>
      </c>
      <c r="E226" s="65" t="s">
        <v>487</v>
      </c>
      <c r="F226" s="64" t="s">
        <v>426</v>
      </c>
      <c r="G226" s="64" t="s">
        <v>101</v>
      </c>
      <c r="H226" s="64" t="s">
        <v>10</v>
      </c>
      <c r="I226" s="70">
        <v>1</v>
      </c>
      <c r="J226" s="70">
        <v>12</v>
      </c>
      <c r="K226" s="110" t="str">
        <f>IF(H226="","",IF($C$29="간이법","",FPR(H226,I226,J226)))</f>
        <v>L</v>
      </c>
      <c r="L226" s="111">
        <f>IF(H226="","",IF($C$29="상세법",FPV(H226,K226),IF(H226="EI",4,IF(H226="EO",5.2,IF(H226="EQ",3.9,IF(H226="ILF",7.5,IF(H226="EIF",5.4)))))))</f>
        <v>3</v>
      </c>
      <c r="M226" s="112">
        <f t="shared" si="6"/>
        <v>3</v>
      </c>
      <c r="N226" s="113" t="s">
        <v>101</v>
      </c>
    </row>
    <row r="227" spans="2:14" ht="27">
      <c r="B227" s="105" t="s">
        <v>96</v>
      </c>
      <c r="C227" s="106" t="s">
        <v>445</v>
      </c>
      <c r="D227" s="107" t="s">
        <v>488</v>
      </c>
      <c r="E227" s="65" t="s">
        <v>489</v>
      </c>
      <c r="F227" s="64" t="s">
        <v>426</v>
      </c>
      <c r="G227" s="64" t="s">
        <v>101</v>
      </c>
      <c r="H227" s="64" t="s">
        <v>10</v>
      </c>
      <c r="I227" s="70">
        <v>2</v>
      </c>
      <c r="J227" s="70">
        <v>8</v>
      </c>
      <c r="K227" s="110" t="str">
        <f>IF(H227="","",IF($C$29="간이법","",FPR(H227,I227,J227)))</f>
        <v>A</v>
      </c>
      <c r="L227" s="111">
        <f>IF(H227="","",IF($C$29="상세법",FPV(H227,K227),IF(H227="EI",4,IF(H227="EO",5.2,IF(H227="EQ",3.9,IF(H227="ILF",7.5,IF(H227="EIF",5.4)))))))</f>
        <v>4</v>
      </c>
      <c r="M227" s="112">
        <f t="shared" si="6"/>
        <v>4</v>
      </c>
      <c r="N227" s="113" t="s">
        <v>101</v>
      </c>
    </row>
    <row r="228" spans="2:14" ht="27">
      <c r="B228" s="105" t="s">
        <v>96</v>
      </c>
      <c r="C228" s="106" t="s">
        <v>445</v>
      </c>
      <c r="D228" s="107" t="s">
        <v>490</v>
      </c>
      <c r="E228" s="65" t="s">
        <v>491</v>
      </c>
      <c r="F228" s="64" t="s">
        <v>426</v>
      </c>
      <c r="G228" s="64" t="s">
        <v>101</v>
      </c>
      <c r="H228" s="64" t="s">
        <v>111</v>
      </c>
      <c r="I228" s="70">
        <v>2</v>
      </c>
      <c r="J228" s="70">
        <v>10</v>
      </c>
      <c r="K228" s="110" t="str">
        <f>IF(H228="","",IF($C$29="간이법","",FPR(H228,I228,J228)))</f>
        <v>A</v>
      </c>
      <c r="L228" s="111">
        <f>IF(H228="","",IF($C$29="상세법",FPV(H228,K228),IF(H228="EI",4,IF(H228="EO",5.2,IF(H228="EQ",3.9,IF(H228="ILF",7.5,IF(H228="EIF",5.4)))))))</f>
        <v>4</v>
      </c>
      <c r="M228" s="112">
        <f t="shared" si="6"/>
        <v>4</v>
      </c>
      <c r="N228" s="113" t="s">
        <v>101</v>
      </c>
    </row>
    <row r="229" spans="2:14" ht="27">
      <c r="B229" s="105" t="s">
        <v>96</v>
      </c>
      <c r="C229" s="106" t="s">
        <v>445</v>
      </c>
      <c r="D229" s="107" t="s">
        <v>492</v>
      </c>
      <c r="E229" s="65" t="s">
        <v>493</v>
      </c>
      <c r="F229" s="64" t="s">
        <v>426</v>
      </c>
      <c r="G229" s="64" t="s">
        <v>101</v>
      </c>
      <c r="H229" s="64" t="s">
        <v>111</v>
      </c>
      <c r="I229" s="70">
        <v>1</v>
      </c>
      <c r="J229" s="70">
        <v>4</v>
      </c>
      <c r="K229" s="110" t="str">
        <f>IF(H229="","",IF($C$29="간이법","",FPR(H229,I229,J229)))</f>
        <v>L</v>
      </c>
      <c r="L229" s="111">
        <f>IF(H229="","",IF($C$29="상세법",FPV(H229,K229),IF(H229="EI",4,IF(H229="EO",5.2,IF(H229="EQ",3.9,IF(H229="ILF",7.5,IF(H229="EIF",5.4)))))))</f>
        <v>3</v>
      </c>
      <c r="M229" s="112">
        <f t="shared" si="6"/>
        <v>3</v>
      </c>
      <c r="N229" s="113" t="s">
        <v>101</v>
      </c>
    </row>
    <row r="230" spans="2:14" ht="27">
      <c r="B230" s="105" t="s">
        <v>96</v>
      </c>
      <c r="C230" s="106" t="s">
        <v>445</v>
      </c>
      <c r="D230" s="107" t="s">
        <v>494</v>
      </c>
      <c r="E230" s="65" t="s">
        <v>495</v>
      </c>
      <c r="F230" s="64" t="s">
        <v>426</v>
      </c>
      <c r="G230" s="64" t="s">
        <v>101</v>
      </c>
      <c r="H230" s="64" t="s">
        <v>111</v>
      </c>
      <c r="I230" s="70">
        <v>1</v>
      </c>
      <c r="J230" s="70">
        <v>7</v>
      </c>
      <c r="K230" s="110" t="str">
        <f>IF(H230="","",IF($C$29="간이법","",FPR(H230,I230,J230)))</f>
        <v>L</v>
      </c>
      <c r="L230" s="111">
        <f>IF(H230="","",IF($C$29="상세법",FPV(H230,K230),IF(H230="EI",4,IF(H230="EO",5.2,IF(H230="EQ",3.9,IF(H230="ILF",7.5,IF(H230="EIF",5.4)))))))</f>
        <v>3</v>
      </c>
      <c r="M230" s="112">
        <f t="shared" si="6"/>
        <v>3</v>
      </c>
      <c r="N230" s="113" t="s">
        <v>101</v>
      </c>
    </row>
    <row r="231" spans="2:14" ht="27">
      <c r="B231" s="105" t="s">
        <v>96</v>
      </c>
      <c r="C231" s="106" t="s">
        <v>445</v>
      </c>
      <c r="D231" s="107" t="s">
        <v>496</v>
      </c>
      <c r="E231" s="65" t="s">
        <v>497</v>
      </c>
      <c r="F231" s="64" t="s">
        <v>426</v>
      </c>
      <c r="G231" s="64" t="s">
        <v>101</v>
      </c>
      <c r="H231" s="64" t="s">
        <v>111</v>
      </c>
      <c r="I231" s="70">
        <v>1</v>
      </c>
      <c r="J231" s="70">
        <v>5</v>
      </c>
      <c r="K231" s="110" t="str">
        <f>IF(H231="","",IF($C$29="간이법","",FPR(H231,I231,J231)))</f>
        <v>L</v>
      </c>
      <c r="L231" s="111">
        <f>IF(H231="","",IF($C$29="상세법",FPV(H231,K231),IF(H231="EI",4,IF(H231="EO",5.2,IF(H231="EQ",3.9,IF(H231="ILF",7.5,IF(H231="EIF",5.4)))))))</f>
        <v>3</v>
      </c>
      <c r="M231" s="112">
        <f t="shared" si="6"/>
        <v>3</v>
      </c>
      <c r="N231" s="113" t="s">
        <v>101</v>
      </c>
    </row>
    <row r="232" spans="2:14" ht="27">
      <c r="B232" s="105" t="s">
        <v>96</v>
      </c>
      <c r="C232" s="106" t="s">
        <v>445</v>
      </c>
      <c r="D232" s="107" t="s">
        <v>498</v>
      </c>
      <c r="E232" s="65" t="s">
        <v>499</v>
      </c>
      <c r="F232" s="64" t="s">
        <v>426</v>
      </c>
      <c r="G232" s="64" t="s">
        <v>101</v>
      </c>
      <c r="H232" s="64" t="s">
        <v>111</v>
      </c>
      <c r="I232" s="70">
        <v>1</v>
      </c>
      <c r="J232" s="70">
        <v>8</v>
      </c>
      <c r="K232" s="110" t="str">
        <f>IF(H232="","",IF($C$29="간이법","",FPR(H232,I232,J232)))</f>
        <v>L</v>
      </c>
      <c r="L232" s="111">
        <f>IF(H232="","",IF($C$29="상세법",FPV(H232,K232),IF(H232="EI",4,IF(H232="EO",5.2,IF(H232="EQ",3.9,IF(H232="ILF",7.5,IF(H232="EIF",5.4)))))))</f>
        <v>3</v>
      </c>
      <c r="M232" s="112">
        <f t="shared" si="6"/>
        <v>3</v>
      </c>
      <c r="N232" s="113" t="s">
        <v>101</v>
      </c>
    </row>
    <row r="233" spans="2:14" ht="27">
      <c r="B233" s="105" t="s">
        <v>96</v>
      </c>
      <c r="C233" s="106" t="s">
        <v>500</v>
      </c>
      <c r="D233" s="107" t="s">
        <v>501</v>
      </c>
      <c r="E233" s="65" t="s">
        <v>502</v>
      </c>
      <c r="F233" s="64" t="s">
        <v>100</v>
      </c>
      <c r="G233" s="64" t="s">
        <v>101</v>
      </c>
      <c r="H233" s="64" t="s">
        <v>111</v>
      </c>
      <c r="I233" s="70">
        <v>2</v>
      </c>
      <c r="J233" s="70">
        <v>7</v>
      </c>
      <c r="K233" s="110" t="str">
        <f>IF(H233="","",IF($C$29="간이법","",FPR(H233,I233,J233)))</f>
        <v>A</v>
      </c>
      <c r="L233" s="111">
        <f>IF(H233="","",IF($C$29="상세법",FPV(H233,K233),IF(H233="EI",4,IF(H233="EO",5.2,IF(H233="EQ",3.9,IF(H233="ILF",7.5,IF(H233="EIF",5.4)))))))</f>
        <v>4</v>
      </c>
      <c r="M233" s="112">
        <f t="shared" si="6"/>
        <v>4</v>
      </c>
      <c r="N233" s="113" t="s">
        <v>101</v>
      </c>
    </row>
    <row r="234" spans="2:14" ht="27">
      <c r="B234" s="105" t="s">
        <v>96</v>
      </c>
      <c r="C234" s="106" t="s">
        <v>500</v>
      </c>
      <c r="D234" s="107" t="s">
        <v>503</v>
      </c>
      <c r="E234" s="65" t="s">
        <v>503</v>
      </c>
      <c r="F234" s="64" t="s">
        <v>100</v>
      </c>
      <c r="G234" s="64" t="s">
        <v>101</v>
      </c>
      <c r="H234" s="64" t="s">
        <v>111</v>
      </c>
      <c r="I234" s="70">
        <v>2</v>
      </c>
      <c r="J234" s="70">
        <v>9</v>
      </c>
      <c r="K234" s="110" t="str">
        <f>IF(H234="","",IF($C$29="간이법","",FPR(H234,I234,J234)))</f>
        <v>A</v>
      </c>
      <c r="L234" s="111">
        <f>IF(H234="","",IF($C$29="상세법",FPV(H234,K234),IF(H234="EI",4,IF(H234="EO",5.2,IF(H234="EQ",3.9,IF(H234="ILF",7.5,IF(H234="EIF",5.4)))))))</f>
        <v>4</v>
      </c>
      <c r="M234" s="112">
        <f t="shared" si="6"/>
        <v>4</v>
      </c>
      <c r="N234" s="113" t="s">
        <v>101</v>
      </c>
    </row>
    <row r="235" spans="2:14" ht="27">
      <c r="B235" s="105" t="s">
        <v>96</v>
      </c>
      <c r="C235" s="106" t="s">
        <v>500</v>
      </c>
      <c r="D235" s="107" t="s">
        <v>504</v>
      </c>
      <c r="E235" s="65" t="s">
        <v>504</v>
      </c>
      <c r="F235" s="64" t="s">
        <v>100</v>
      </c>
      <c r="G235" s="64" t="s">
        <v>101</v>
      </c>
      <c r="H235" s="64" t="s">
        <v>10</v>
      </c>
      <c r="I235" s="70">
        <v>3</v>
      </c>
      <c r="J235" s="70">
        <v>18</v>
      </c>
      <c r="K235" s="110" t="str">
        <f>IF(H235="","",IF($C$29="간이법","",FPR(H235,I235,J235)))</f>
        <v>H</v>
      </c>
      <c r="L235" s="111">
        <f>IF(H235="","",IF($C$29="상세법",FPV(H235,K235),IF(H235="EI",4,IF(H235="EO",5.2,IF(H235="EQ",3.9,IF(H235="ILF",7.5,IF(H235="EIF",5.4)))))))</f>
        <v>6</v>
      </c>
      <c r="M235" s="112">
        <f t="shared" si="6"/>
        <v>6</v>
      </c>
      <c r="N235" s="113" t="s">
        <v>101</v>
      </c>
    </row>
    <row r="236" spans="2:14" ht="27">
      <c r="B236" s="105" t="s">
        <v>96</v>
      </c>
      <c r="C236" s="106" t="s">
        <v>500</v>
      </c>
      <c r="D236" s="107" t="s">
        <v>505</v>
      </c>
      <c r="E236" s="65" t="s">
        <v>505</v>
      </c>
      <c r="F236" s="64" t="s">
        <v>100</v>
      </c>
      <c r="G236" s="64" t="s">
        <v>101</v>
      </c>
      <c r="H236" s="64" t="s">
        <v>10</v>
      </c>
      <c r="I236" s="70">
        <v>3</v>
      </c>
      <c r="J236" s="70">
        <v>4</v>
      </c>
      <c r="K236" s="110" t="str">
        <f>IF(H236="","",IF($C$29="간이법","",FPR(H236,I236,J236)))</f>
        <v>A</v>
      </c>
      <c r="L236" s="111">
        <f>IF(H236="","",IF($C$29="상세법",FPV(H236,K236),IF(H236="EI",4,IF(H236="EO",5.2,IF(H236="EQ",3.9,IF(H236="ILF",7.5,IF(H236="EIF",5.4)))))))</f>
        <v>4</v>
      </c>
      <c r="M236" s="112">
        <f t="shared" si="6"/>
        <v>4</v>
      </c>
      <c r="N236" s="113" t="s">
        <v>101</v>
      </c>
    </row>
    <row r="237" spans="2:14" ht="27">
      <c r="B237" s="105" t="s">
        <v>96</v>
      </c>
      <c r="C237" s="106" t="s">
        <v>500</v>
      </c>
      <c r="D237" s="107" t="s">
        <v>506</v>
      </c>
      <c r="E237" s="65" t="s">
        <v>506</v>
      </c>
      <c r="F237" s="64" t="s">
        <v>100</v>
      </c>
      <c r="G237" s="64" t="s">
        <v>101</v>
      </c>
      <c r="H237" s="64" t="s">
        <v>10</v>
      </c>
      <c r="I237" s="70">
        <v>3</v>
      </c>
      <c r="J237" s="70">
        <v>18</v>
      </c>
      <c r="K237" s="110" t="str">
        <f>IF(H237="","",IF($C$29="간이법","",FPR(H237,I237,J237)))</f>
        <v>H</v>
      </c>
      <c r="L237" s="111">
        <f>IF(H237="","",IF($C$29="상세법",FPV(H237,K237),IF(H237="EI",4,IF(H237="EO",5.2,IF(H237="EQ",3.9,IF(H237="ILF",7.5,IF(H237="EIF",5.4)))))))</f>
        <v>6</v>
      </c>
      <c r="M237" s="112">
        <f t="shared" si="6"/>
        <v>6</v>
      </c>
      <c r="N237" s="113" t="s">
        <v>101</v>
      </c>
    </row>
    <row r="238" spans="2:14" ht="27">
      <c r="B238" s="105" t="s">
        <v>96</v>
      </c>
      <c r="C238" s="106" t="s">
        <v>500</v>
      </c>
      <c r="D238" s="107" t="s">
        <v>507</v>
      </c>
      <c r="E238" s="65" t="s">
        <v>508</v>
      </c>
      <c r="F238" s="64" t="s">
        <v>100</v>
      </c>
      <c r="G238" s="64" t="s">
        <v>101</v>
      </c>
      <c r="H238" s="64" t="s">
        <v>111</v>
      </c>
      <c r="I238" s="70">
        <v>1</v>
      </c>
      <c r="J238" s="70">
        <v>10</v>
      </c>
      <c r="K238" s="110" t="str">
        <f>IF(H238="","",IF($C$29="간이법","",FPR(H238,I238,J238)))</f>
        <v>L</v>
      </c>
      <c r="L238" s="111">
        <f>IF(H238="","",IF($C$29="상세법",FPV(H238,K238),IF(H238="EI",4,IF(H238="EO",5.2,IF(H238="EQ",3.9,IF(H238="ILF",7.5,IF(H238="EIF",5.4)))))))</f>
        <v>3</v>
      </c>
      <c r="M238" s="112">
        <f t="shared" si="6"/>
        <v>3</v>
      </c>
      <c r="N238" s="113" t="s">
        <v>101</v>
      </c>
    </row>
    <row r="239" spans="2:14" ht="27">
      <c r="B239" s="105" t="s">
        <v>96</v>
      </c>
      <c r="C239" s="106" t="s">
        <v>500</v>
      </c>
      <c r="D239" s="107" t="s">
        <v>509</v>
      </c>
      <c r="E239" s="65" t="s">
        <v>510</v>
      </c>
      <c r="F239" s="64" t="s">
        <v>100</v>
      </c>
      <c r="G239" s="64" t="s">
        <v>101</v>
      </c>
      <c r="H239" s="64" t="s">
        <v>10</v>
      </c>
      <c r="I239" s="70">
        <v>1</v>
      </c>
      <c r="J239" s="70">
        <v>6</v>
      </c>
      <c r="K239" s="110" t="str">
        <f>IF(H239="","",IF($C$29="간이법","",FPR(H239,I239,J239)))</f>
        <v>L</v>
      </c>
      <c r="L239" s="111">
        <f>IF(H239="","",IF($C$29="상세법",FPV(H239,K239),IF(H239="EI",4,IF(H239="EO",5.2,IF(H239="EQ",3.9,IF(H239="ILF",7.5,IF(H239="EIF",5.4)))))))</f>
        <v>3</v>
      </c>
      <c r="M239" s="112">
        <f t="shared" si="6"/>
        <v>3</v>
      </c>
      <c r="N239" s="113" t="s">
        <v>101</v>
      </c>
    </row>
    <row r="240" spans="2:14" ht="27">
      <c r="B240" s="105" t="s">
        <v>96</v>
      </c>
      <c r="C240" s="106" t="s">
        <v>500</v>
      </c>
      <c r="D240" s="107" t="s">
        <v>511</v>
      </c>
      <c r="E240" s="65" t="s">
        <v>511</v>
      </c>
      <c r="F240" s="64" t="s">
        <v>100</v>
      </c>
      <c r="G240" s="64" t="s">
        <v>101</v>
      </c>
      <c r="H240" s="64" t="s">
        <v>10</v>
      </c>
      <c r="I240" s="70">
        <v>1</v>
      </c>
      <c r="J240" s="70">
        <v>8</v>
      </c>
      <c r="K240" s="110" t="str">
        <f>IF(H240="","",IF($C$29="간이법","",FPR(H240,I240,J240)))</f>
        <v>L</v>
      </c>
      <c r="L240" s="111">
        <f>IF(H240="","",IF($C$29="상세법",FPV(H240,K240),IF(H240="EI",4,IF(H240="EO",5.2,IF(H240="EQ",3.9,IF(H240="ILF",7.5,IF(H240="EIF",5.4)))))))</f>
        <v>3</v>
      </c>
      <c r="M240" s="112">
        <f t="shared" si="6"/>
        <v>3</v>
      </c>
      <c r="N240" s="113" t="s">
        <v>101</v>
      </c>
    </row>
    <row r="241" spans="2:14" ht="27">
      <c r="B241" s="105" t="s">
        <v>96</v>
      </c>
      <c r="C241" s="106" t="s">
        <v>500</v>
      </c>
      <c r="D241" s="107" t="s">
        <v>512</v>
      </c>
      <c r="E241" s="65" t="s">
        <v>512</v>
      </c>
      <c r="F241" s="64" t="s">
        <v>100</v>
      </c>
      <c r="G241" s="64" t="s">
        <v>101</v>
      </c>
      <c r="H241" s="64" t="s">
        <v>10</v>
      </c>
      <c r="I241" s="70">
        <v>1</v>
      </c>
      <c r="J241" s="70">
        <v>3</v>
      </c>
      <c r="K241" s="110" t="str">
        <f>IF(H241="","",IF($C$29="간이법","",FPR(H241,I241,J241)))</f>
        <v>L</v>
      </c>
      <c r="L241" s="111">
        <f>IF(H241="","",IF($C$29="상세법",FPV(H241,K241),IF(H241="EI",4,IF(H241="EO",5.2,IF(H241="EQ",3.9,IF(H241="ILF",7.5,IF(H241="EIF",5.4)))))))</f>
        <v>3</v>
      </c>
      <c r="M241" s="112">
        <f t="shared" si="6"/>
        <v>3</v>
      </c>
      <c r="N241" s="113" t="s">
        <v>101</v>
      </c>
    </row>
    <row r="242" spans="2:14" ht="27">
      <c r="B242" s="105" t="s">
        <v>96</v>
      </c>
      <c r="C242" s="106" t="s">
        <v>500</v>
      </c>
      <c r="D242" s="107" t="s">
        <v>513</v>
      </c>
      <c r="E242" s="65" t="s">
        <v>513</v>
      </c>
      <c r="F242" s="64" t="s">
        <v>100</v>
      </c>
      <c r="G242" s="64" t="s">
        <v>101</v>
      </c>
      <c r="H242" s="64" t="s">
        <v>10</v>
      </c>
      <c r="I242" s="70">
        <v>1</v>
      </c>
      <c r="J242" s="70">
        <v>8</v>
      </c>
      <c r="K242" s="110" t="str">
        <f>IF(H242="","",IF($C$29="간이법","",FPR(H242,I242,J242)))</f>
        <v>L</v>
      </c>
      <c r="L242" s="111">
        <f>IF(H242="","",IF($C$29="상세법",FPV(H242,K242),IF(H242="EI",4,IF(H242="EO",5.2,IF(H242="EQ",3.9,IF(H242="ILF",7.5,IF(H242="EIF",5.4)))))))</f>
        <v>3</v>
      </c>
      <c r="M242" s="112">
        <f t="shared" si="6"/>
        <v>3</v>
      </c>
      <c r="N242" s="113" t="s">
        <v>101</v>
      </c>
    </row>
    <row r="243" spans="2:14" ht="27">
      <c r="B243" s="105" t="s">
        <v>96</v>
      </c>
      <c r="C243" s="106" t="s">
        <v>500</v>
      </c>
      <c r="D243" s="107" t="s">
        <v>514</v>
      </c>
      <c r="E243" s="65" t="s">
        <v>515</v>
      </c>
      <c r="F243" s="64" t="s">
        <v>100</v>
      </c>
      <c r="G243" s="64" t="s">
        <v>101</v>
      </c>
      <c r="H243" s="64" t="s">
        <v>111</v>
      </c>
      <c r="I243" s="70">
        <v>2</v>
      </c>
      <c r="J243" s="70">
        <v>8</v>
      </c>
      <c r="K243" s="110" t="str">
        <f>IF(H243="","",IF($C$29="간이법","",FPR(H243,I243,J243)))</f>
        <v>A</v>
      </c>
      <c r="L243" s="111">
        <f>IF(H243="","",IF($C$29="상세법",FPV(H243,K243),IF(H243="EI",4,IF(H243="EO",5.2,IF(H243="EQ",3.9,IF(H243="ILF",7.5,IF(H243="EIF",5.4)))))))</f>
        <v>4</v>
      </c>
      <c r="M243" s="112">
        <f t="shared" si="6"/>
        <v>4</v>
      </c>
      <c r="N243" s="113" t="s">
        <v>101</v>
      </c>
    </row>
    <row r="244" spans="2:14" ht="27">
      <c r="B244" s="105" t="s">
        <v>96</v>
      </c>
      <c r="C244" s="106" t="s">
        <v>500</v>
      </c>
      <c r="D244" s="107" t="s">
        <v>516</v>
      </c>
      <c r="E244" s="65" t="s">
        <v>517</v>
      </c>
      <c r="F244" s="64" t="s">
        <v>100</v>
      </c>
      <c r="G244" s="64" t="s">
        <v>101</v>
      </c>
      <c r="H244" s="64" t="s">
        <v>111</v>
      </c>
      <c r="I244" s="70">
        <v>1</v>
      </c>
      <c r="J244" s="70">
        <v>6</v>
      </c>
      <c r="K244" s="110" t="str">
        <f>IF(H244="","",IF($C$29="간이법","",FPR(H244,I244,J244)))</f>
        <v>L</v>
      </c>
      <c r="L244" s="111">
        <f>IF(H244="","",IF($C$29="상세법",FPV(H244,K244),IF(H244="EI",4,IF(H244="EO",5.2,IF(H244="EQ",3.9,IF(H244="ILF",7.5,IF(H244="EIF",5.4)))))))</f>
        <v>3</v>
      </c>
      <c r="M244" s="112">
        <f t="shared" si="6"/>
        <v>3</v>
      </c>
      <c r="N244" s="113" t="s">
        <v>101</v>
      </c>
    </row>
    <row r="245" spans="2:14" ht="27">
      <c r="B245" s="105" t="s">
        <v>96</v>
      </c>
      <c r="C245" s="106" t="s">
        <v>500</v>
      </c>
      <c r="D245" s="107" t="s">
        <v>518</v>
      </c>
      <c r="E245" s="65" t="s">
        <v>518</v>
      </c>
      <c r="F245" s="64" t="s">
        <v>100</v>
      </c>
      <c r="G245" s="64" t="s">
        <v>101</v>
      </c>
      <c r="H245" s="64" t="s">
        <v>10</v>
      </c>
      <c r="I245" s="70">
        <v>1</v>
      </c>
      <c r="J245" s="70">
        <v>12</v>
      </c>
      <c r="K245" s="110" t="str">
        <f>IF(H245="","",IF($C$29="간이법","",FPR(H245,I245,J245)))</f>
        <v>L</v>
      </c>
      <c r="L245" s="111">
        <f>IF(H245="","",IF($C$29="상세법",FPV(H245,K245),IF(H245="EI",4,IF(H245="EO",5.2,IF(H245="EQ",3.9,IF(H245="ILF",7.5,IF(H245="EIF",5.4)))))))</f>
        <v>3</v>
      </c>
      <c r="M245" s="112">
        <f t="shared" si="6"/>
        <v>3</v>
      </c>
      <c r="N245" s="113" t="s">
        <v>101</v>
      </c>
    </row>
    <row r="246" spans="2:14" ht="27">
      <c r="B246" s="105" t="s">
        <v>96</v>
      </c>
      <c r="C246" s="106" t="s">
        <v>500</v>
      </c>
      <c r="D246" s="107" t="s">
        <v>519</v>
      </c>
      <c r="E246" s="65" t="s">
        <v>520</v>
      </c>
      <c r="F246" s="64" t="s">
        <v>100</v>
      </c>
      <c r="G246" s="64" t="s">
        <v>101</v>
      </c>
      <c r="H246" s="64" t="s">
        <v>111</v>
      </c>
      <c r="I246" s="70">
        <v>1</v>
      </c>
      <c r="J246" s="70">
        <v>4</v>
      </c>
      <c r="K246" s="110" t="str">
        <f>IF(H246="","",IF($C$29="간이법","",FPR(H246,I246,J246)))</f>
        <v>L</v>
      </c>
      <c r="L246" s="111">
        <f>IF(H246="","",IF($C$29="상세법",FPV(H246,K246),IF(H246="EI",4,IF(H246="EO",5.2,IF(H246="EQ",3.9,IF(H246="ILF",7.5,IF(H246="EIF",5.4)))))))</f>
        <v>3</v>
      </c>
      <c r="M246" s="112">
        <f t="shared" si="6"/>
        <v>3</v>
      </c>
      <c r="N246" s="113" t="s">
        <v>101</v>
      </c>
    </row>
    <row r="247" spans="2:14" ht="27">
      <c r="B247" s="105" t="s">
        <v>96</v>
      </c>
      <c r="C247" s="106" t="s">
        <v>500</v>
      </c>
      <c r="D247" s="107" t="s">
        <v>521</v>
      </c>
      <c r="E247" s="65" t="s">
        <v>521</v>
      </c>
      <c r="F247" s="64" t="s">
        <v>100</v>
      </c>
      <c r="G247" s="64" t="s">
        <v>101</v>
      </c>
      <c r="H247" s="64" t="s">
        <v>10</v>
      </c>
      <c r="I247" s="70">
        <v>1</v>
      </c>
      <c r="J247" s="70">
        <v>5</v>
      </c>
      <c r="K247" s="110" t="str">
        <f>IF(H247="","",IF($C$29="간이법","",FPR(H247,I247,J247)))</f>
        <v>L</v>
      </c>
      <c r="L247" s="111">
        <f>IF(H247="","",IF($C$29="상세법",FPV(H247,K247),IF(H247="EI",4,IF(H247="EO",5.2,IF(H247="EQ",3.9,IF(H247="ILF",7.5,IF(H247="EIF",5.4)))))))</f>
        <v>3</v>
      </c>
      <c r="M247" s="112">
        <f t="shared" si="6"/>
        <v>3</v>
      </c>
      <c r="N247" s="113" t="s">
        <v>101</v>
      </c>
    </row>
    <row r="248" spans="2:14" ht="27">
      <c r="B248" s="105" t="s">
        <v>96</v>
      </c>
      <c r="C248" s="106" t="s">
        <v>500</v>
      </c>
      <c r="D248" s="107" t="s">
        <v>522</v>
      </c>
      <c r="E248" s="65" t="s">
        <v>522</v>
      </c>
      <c r="F248" s="64" t="s">
        <v>100</v>
      </c>
      <c r="G248" s="64" t="s">
        <v>101</v>
      </c>
      <c r="H248" s="64" t="s">
        <v>10</v>
      </c>
      <c r="I248" s="70">
        <v>1</v>
      </c>
      <c r="J248" s="70">
        <v>5</v>
      </c>
      <c r="K248" s="110" t="str">
        <f>IF(H248="","",IF($C$29="간이법","",FPR(H248,I248,J248)))</f>
        <v>L</v>
      </c>
      <c r="L248" s="111">
        <f>IF(H248="","",IF($C$29="상세법",FPV(H248,K248),IF(H248="EI",4,IF(H248="EO",5.2,IF(H248="EQ",3.9,IF(H248="ILF",7.5,IF(H248="EIF",5.4)))))))</f>
        <v>3</v>
      </c>
      <c r="M248" s="112">
        <f t="shared" si="6"/>
        <v>3</v>
      </c>
      <c r="N248" s="113" t="s">
        <v>101</v>
      </c>
    </row>
    <row r="249" spans="2:14" ht="27">
      <c r="B249" s="105" t="s">
        <v>96</v>
      </c>
      <c r="C249" s="106" t="s">
        <v>500</v>
      </c>
      <c r="D249" s="107" t="s">
        <v>523</v>
      </c>
      <c r="E249" s="65" t="s">
        <v>523</v>
      </c>
      <c r="F249" s="64" t="s">
        <v>100</v>
      </c>
      <c r="G249" s="64" t="s">
        <v>101</v>
      </c>
      <c r="H249" s="64" t="s">
        <v>10</v>
      </c>
      <c r="I249" s="70">
        <v>1</v>
      </c>
      <c r="J249" s="70">
        <v>5</v>
      </c>
      <c r="K249" s="110" t="str">
        <f>IF(H249="","",IF($C$29="간이법","",FPR(H249,I249,J249)))</f>
        <v>L</v>
      </c>
      <c r="L249" s="111">
        <f>IF(H249="","",IF($C$29="상세법",FPV(H249,K249),IF(H249="EI",4,IF(H249="EO",5.2,IF(H249="EQ",3.9,IF(H249="ILF",7.5,IF(H249="EIF",5.4)))))))</f>
        <v>3</v>
      </c>
      <c r="M249" s="112">
        <f t="shared" ref="M249:M312" si="7">IF(L249="","",L249*IF(G249="상",0.7,IF(G249="중",0.5,IF(G249="하",0.2,1))))</f>
        <v>3</v>
      </c>
      <c r="N249" s="113" t="s">
        <v>101</v>
      </c>
    </row>
    <row r="250" spans="2:14" ht="27">
      <c r="B250" s="105" t="s">
        <v>96</v>
      </c>
      <c r="C250" s="106" t="s">
        <v>500</v>
      </c>
      <c r="D250" s="107" t="s">
        <v>524</v>
      </c>
      <c r="E250" s="65" t="s">
        <v>525</v>
      </c>
      <c r="F250" s="64" t="s">
        <v>100</v>
      </c>
      <c r="G250" s="64" t="s">
        <v>101</v>
      </c>
      <c r="H250" s="64" t="s">
        <v>111</v>
      </c>
      <c r="I250" s="70">
        <v>1</v>
      </c>
      <c r="J250" s="70">
        <v>8</v>
      </c>
      <c r="K250" s="110" t="str">
        <f>IF(H250="","",IF($C$29="간이법","",FPR(H250,I250,J250)))</f>
        <v>L</v>
      </c>
      <c r="L250" s="111">
        <f>IF(H250="","",IF($C$29="상세법",FPV(H250,K250),IF(H250="EI",4,IF(H250="EO",5.2,IF(H250="EQ",3.9,IF(H250="ILF",7.5,IF(H250="EIF",5.4)))))))</f>
        <v>3</v>
      </c>
      <c r="M250" s="112">
        <f t="shared" si="7"/>
        <v>3</v>
      </c>
      <c r="N250" s="113" t="s">
        <v>101</v>
      </c>
    </row>
    <row r="251" spans="2:14" ht="27">
      <c r="B251" s="105" t="s">
        <v>96</v>
      </c>
      <c r="C251" s="106" t="s">
        <v>500</v>
      </c>
      <c r="D251" s="107" t="s">
        <v>526</v>
      </c>
      <c r="E251" s="65" t="s">
        <v>526</v>
      </c>
      <c r="F251" s="64" t="s">
        <v>100</v>
      </c>
      <c r="G251" s="64" t="s">
        <v>101</v>
      </c>
      <c r="H251" s="64" t="s">
        <v>10</v>
      </c>
      <c r="I251" s="70">
        <v>1</v>
      </c>
      <c r="J251" s="70">
        <v>6</v>
      </c>
      <c r="K251" s="110" t="str">
        <f>IF(H251="","",IF($C$29="간이법","",FPR(H251,I251,J251)))</f>
        <v>L</v>
      </c>
      <c r="L251" s="111">
        <f>IF(H251="","",IF($C$29="상세법",FPV(H251,K251),IF(H251="EI",4,IF(H251="EO",5.2,IF(H251="EQ",3.9,IF(H251="ILF",7.5,IF(H251="EIF",5.4)))))))</f>
        <v>3</v>
      </c>
      <c r="M251" s="112">
        <f t="shared" si="7"/>
        <v>3</v>
      </c>
      <c r="N251" s="113" t="s">
        <v>101</v>
      </c>
    </row>
    <row r="252" spans="2:14" ht="27">
      <c r="B252" s="105" t="s">
        <v>96</v>
      </c>
      <c r="C252" s="106" t="s">
        <v>500</v>
      </c>
      <c r="D252" s="107" t="s">
        <v>527</v>
      </c>
      <c r="E252" s="65" t="s">
        <v>527</v>
      </c>
      <c r="F252" s="64" t="s">
        <v>100</v>
      </c>
      <c r="G252" s="64" t="s">
        <v>101</v>
      </c>
      <c r="H252" s="64" t="s">
        <v>10</v>
      </c>
      <c r="I252" s="70">
        <v>1</v>
      </c>
      <c r="J252" s="70">
        <v>6</v>
      </c>
      <c r="K252" s="110" t="str">
        <f>IF(H252="","",IF($C$29="간이법","",FPR(H252,I252,J252)))</f>
        <v>L</v>
      </c>
      <c r="L252" s="111">
        <f>IF(H252="","",IF($C$29="상세법",FPV(H252,K252),IF(H252="EI",4,IF(H252="EO",5.2,IF(H252="EQ",3.9,IF(H252="ILF",7.5,IF(H252="EIF",5.4)))))))</f>
        <v>3</v>
      </c>
      <c r="M252" s="112">
        <f t="shared" si="7"/>
        <v>3</v>
      </c>
      <c r="N252" s="113" t="s">
        <v>101</v>
      </c>
    </row>
    <row r="253" spans="2:14" ht="27">
      <c r="B253" s="105" t="s">
        <v>96</v>
      </c>
      <c r="C253" s="106" t="s">
        <v>500</v>
      </c>
      <c r="D253" s="107" t="s">
        <v>528</v>
      </c>
      <c r="E253" s="65" t="s">
        <v>528</v>
      </c>
      <c r="F253" s="64" t="s">
        <v>100</v>
      </c>
      <c r="G253" s="64" t="s">
        <v>101</v>
      </c>
      <c r="H253" s="64" t="s">
        <v>10</v>
      </c>
      <c r="I253" s="70">
        <v>1</v>
      </c>
      <c r="J253" s="70">
        <v>6</v>
      </c>
      <c r="K253" s="110" t="str">
        <f>IF(H253="","",IF($C$29="간이법","",FPR(H253,I253,J253)))</f>
        <v>L</v>
      </c>
      <c r="L253" s="111">
        <f>IF(H253="","",IF($C$29="상세법",FPV(H253,K253),IF(H253="EI",4,IF(H253="EO",5.2,IF(H253="EQ",3.9,IF(H253="ILF",7.5,IF(H253="EIF",5.4)))))))</f>
        <v>3</v>
      </c>
      <c r="M253" s="112">
        <f t="shared" si="7"/>
        <v>3</v>
      </c>
      <c r="N253" s="113" t="s">
        <v>101</v>
      </c>
    </row>
    <row r="254" spans="2:14" ht="27">
      <c r="B254" s="105" t="s">
        <v>96</v>
      </c>
      <c r="C254" s="106" t="s">
        <v>500</v>
      </c>
      <c r="D254" s="107" t="s">
        <v>529</v>
      </c>
      <c r="E254" s="65" t="s">
        <v>530</v>
      </c>
      <c r="F254" s="64" t="s">
        <v>100</v>
      </c>
      <c r="G254" s="64" t="s">
        <v>101</v>
      </c>
      <c r="H254" s="64" t="s">
        <v>111</v>
      </c>
      <c r="I254" s="70">
        <v>1</v>
      </c>
      <c r="J254" s="70">
        <v>6</v>
      </c>
      <c r="K254" s="110" t="str">
        <f>IF(H254="","",IF($C$29="간이법","",FPR(H254,I254,J254)))</f>
        <v>L</v>
      </c>
      <c r="L254" s="111">
        <f>IF(H254="","",IF($C$29="상세법",FPV(H254,K254),IF(H254="EI",4,IF(H254="EO",5.2,IF(H254="EQ",3.9,IF(H254="ILF",7.5,IF(H254="EIF",5.4)))))))</f>
        <v>3</v>
      </c>
      <c r="M254" s="112">
        <f t="shared" si="7"/>
        <v>3</v>
      </c>
      <c r="N254" s="113" t="s">
        <v>101</v>
      </c>
    </row>
    <row r="255" spans="2:14" ht="27">
      <c r="B255" s="105" t="s">
        <v>96</v>
      </c>
      <c r="C255" s="106" t="s">
        <v>500</v>
      </c>
      <c r="D255" s="107" t="s">
        <v>531</v>
      </c>
      <c r="E255" s="65" t="s">
        <v>531</v>
      </c>
      <c r="F255" s="64" t="s">
        <v>100</v>
      </c>
      <c r="G255" s="64" t="s">
        <v>101</v>
      </c>
      <c r="H255" s="64" t="s">
        <v>10</v>
      </c>
      <c r="I255" s="70">
        <v>1</v>
      </c>
      <c r="J255" s="70">
        <v>4</v>
      </c>
      <c r="K255" s="110" t="str">
        <f>IF(H255="","",IF($C$29="간이법","",FPR(H255,I255,J255)))</f>
        <v>L</v>
      </c>
      <c r="L255" s="111">
        <f>IF(H255="","",IF($C$29="상세법",FPV(H255,K255),IF(H255="EI",4,IF(H255="EO",5.2,IF(H255="EQ",3.9,IF(H255="ILF",7.5,IF(H255="EIF",5.4)))))))</f>
        <v>3</v>
      </c>
      <c r="M255" s="112">
        <f t="shared" si="7"/>
        <v>3</v>
      </c>
      <c r="N255" s="113" t="s">
        <v>101</v>
      </c>
    </row>
    <row r="256" spans="2:14" ht="27">
      <c r="B256" s="105" t="s">
        <v>96</v>
      </c>
      <c r="C256" s="106" t="s">
        <v>500</v>
      </c>
      <c r="D256" s="107" t="s">
        <v>532</v>
      </c>
      <c r="E256" s="65" t="s">
        <v>532</v>
      </c>
      <c r="F256" s="64" t="s">
        <v>100</v>
      </c>
      <c r="G256" s="64" t="s">
        <v>101</v>
      </c>
      <c r="H256" s="64" t="s">
        <v>10</v>
      </c>
      <c r="I256" s="70">
        <v>1</v>
      </c>
      <c r="J256" s="70">
        <v>4</v>
      </c>
      <c r="K256" s="110" t="str">
        <f>IF(H256="","",IF($C$29="간이법","",FPR(H256,I256,J256)))</f>
        <v>L</v>
      </c>
      <c r="L256" s="111">
        <f>IF(H256="","",IF($C$29="상세법",FPV(H256,K256),IF(H256="EI",4,IF(H256="EO",5.2,IF(H256="EQ",3.9,IF(H256="ILF",7.5,IF(H256="EIF",5.4)))))))</f>
        <v>3</v>
      </c>
      <c r="M256" s="112">
        <f t="shared" si="7"/>
        <v>3</v>
      </c>
      <c r="N256" s="113" t="s">
        <v>101</v>
      </c>
    </row>
    <row r="257" spans="2:14" ht="27">
      <c r="B257" s="105" t="s">
        <v>96</v>
      </c>
      <c r="C257" s="106" t="s">
        <v>500</v>
      </c>
      <c r="D257" s="107" t="s">
        <v>533</v>
      </c>
      <c r="E257" s="65" t="s">
        <v>533</v>
      </c>
      <c r="F257" s="64" t="s">
        <v>100</v>
      </c>
      <c r="G257" s="64" t="s">
        <v>101</v>
      </c>
      <c r="H257" s="64" t="s">
        <v>10</v>
      </c>
      <c r="I257" s="70">
        <v>1</v>
      </c>
      <c r="J257" s="70">
        <v>4</v>
      </c>
      <c r="K257" s="110" t="str">
        <f>IF(H257="","",IF($C$29="간이법","",FPR(H257,I257,J257)))</f>
        <v>L</v>
      </c>
      <c r="L257" s="111">
        <f>IF(H257="","",IF($C$29="상세법",FPV(H257,K257),IF(H257="EI",4,IF(H257="EO",5.2,IF(H257="EQ",3.9,IF(H257="ILF",7.5,IF(H257="EIF",5.4)))))))</f>
        <v>3</v>
      </c>
      <c r="M257" s="112">
        <f t="shared" si="7"/>
        <v>3</v>
      </c>
      <c r="N257" s="113" t="s">
        <v>101</v>
      </c>
    </row>
    <row r="258" spans="2:14" ht="27">
      <c r="B258" s="105" t="s">
        <v>96</v>
      </c>
      <c r="C258" s="106" t="s">
        <v>500</v>
      </c>
      <c r="D258" s="107" t="s">
        <v>534</v>
      </c>
      <c r="E258" s="65" t="s">
        <v>535</v>
      </c>
      <c r="F258" s="64" t="s">
        <v>100</v>
      </c>
      <c r="G258" s="64" t="s">
        <v>101</v>
      </c>
      <c r="H258" s="64" t="s">
        <v>111</v>
      </c>
      <c r="I258" s="70">
        <v>1</v>
      </c>
      <c r="J258" s="70">
        <v>13</v>
      </c>
      <c r="K258" s="110" t="str">
        <f>IF(H258="","",IF($C$29="간이법","",FPR(H258,I258,J258)))</f>
        <v>L</v>
      </c>
      <c r="L258" s="111">
        <f>IF(H258="","",IF($C$29="상세법",FPV(H258,K258),IF(H258="EI",4,IF(H258="EO",5.2,IF(H258="EQ",3.9,IF(H258="ILF",7.5,IF(H258="EIF",5.4)))))))</f>
        <v>3</v>
      </c>
      <c r="M258" s="112">
        <f t="shared" si="7"/>
        <v>3</v>
      </c>
      <c r="N258" s="113" t="s">
        <v>101</v>
      </c>
    </row>
    <row r="259" spans="2:14" ht="27">
      <c r="B259" s="105" t="s">
        <v>96</v>
      </c>
      <c r="C259" s="106" t="s">
        <v>500</v>
      </c>
      <c r="D259" s="107" t="s">
        <v>536</v>
      </c>
      <c r="E259" s="65" t="s">
        <v>536</v>
      </c>
      <c r="F259" s="64" t="s">
        <v>100</v>
      </c>
      <c r="G259" s="64" t="s">
        <v>101</v>
      </c>
      <c r="H259" s="64" t="s">
        <v>111</v>
      </c>
      <c r="I259" s="70">
        <v>1</v>
      </c>
      <c r="J259" s="70">
        <v>6</v>
      </c>
      <c r="K259" s="110" t="str">
        <f>IF(H259="","",IF($C$29="간이법","",FPR(H259,I259,J259)))</f>
        <v>L</v>
      </c>
      <c r="L259" s="111">
        <f>IF(H259="","",IF($C$29="상세법",FPV(H259,K259),IF(H259="EI",4,IF(H259="EO",5.2,IF(H259="EQ",3.9,IF(H259="ILF",7.5,IF(H259="EIF",5.4)))))))</f>
        <v>3</v>
      </c>
      <c r="M259" s="112">
        <f t="shared" si="7"/>
        <v>3</v>
      </c>
      <c r="N259" s="113" t="s">
        <v>101</v>
      </c>
    </row>
    <row r="260" spans="2:14" ht="27">
      <c r="B260" s="105" t="s">
        <v>96</v>
      </c>
      <c r="C260" s="106" t="s">
        <v>500</v>
      </c>
      <c r="D260" s="107" t="s">
        <v>537</v>
      </c>
      <c r="E260" s="65" t="s">
        <v>537</v>
      </c>
      <c r="F260" s="64" t="s">
        <v>100</v>
      </c>
      <c r="G260" s="64" t="s">
        <v>101</v>
      </c>
      <c r="H260" s="64" t="s">
        <v>10</v>
      </c>
      <c r="I260" s="70">
        <v>1</v>
      </c>
      <c r="J260" s="70">
        <v>6</v>
      </c>
      <c r="K260" s="110" t="str">
        <f>IF(H260="","",IF($C$29="간이법","",FPR(H260,I260,J260)))</f>
        <v>L</v>
      </c>
      <c r="L260" s="111">
        <f>IF(H260="","",IF($C$29="상세법",FPV(H260,K260),IF(H260="EI",4,IF(H260="EO",5.2,IF(H260="EQ",3.9,IF(H260="ILF",7.5,IF(H260="EIF",5.4)))))))</f>
        <v>3</v>
      </c>
      <c r="M260" s="112">
        <f t="shared" si="7"/>
        <v>3</v>
      </c>
      <c r="N260" s="113" t="s">
        <v>101</v>
      </c>
    </row>
    <row r="261" spans="2:14" ht="27">
      <c r="B261" s="105" t="s">
        <v>96</v>
      </c>
      <c r="C261" s="106" t="s">
        <v>500</v>
      </c>
      <c r="D261" s="107" t="s">
        <v>538</v>
      </c>
      <c r="E261" s="65" t="s">
        <v>539</v>
      </c>
      <c r="F261" s="64" t="s">
        <v>100</v>
      </c>
      <c r="G261" s="64" t="s">
        <v>101</v>
      </c>
      <c r="H261" s="64" t="s">
        <v>111</v>
      </c>
      <c r="I261" s="70">
        <v>1</v>
      </c>
      <c r="J261" s="70">
        <v>11</v>
      </c>
      <c r="K261" s="110" t="str">
        <f>IF(H261="","",IF($C$29="간이법","",FPR(H261,I261,J261)))</f>
        <v>L</v>
      </c>
      <c r="L261" s="111">
        <f>IF(H261="","",IF($C$29="상세법",FPV(H261,K261),IF(H261="EI",4,IF(H261="EO",5.2,IF(H261="EQ",3.9,IF(H261="ILF",7.5,IF(H261="EIF",5.4)))))))</f>
        <v>3</v>
      </c>
      <c r="M261" s="112">
        <f t="shared" si="7"/>
        <v>3</v>
      </c>
      <c r="N261" s="113" t="s">
        <v>101</v>
      </c>
    </row>
    <row r="262" spans="2:14" ht="27">
      <c r="B262" s="105" t="s">
        <v>96</v>
      </c>
      <c r="C262" s="106" t="s">
        <v>500</v>
      </c>
      <c r="D262" s="107" t="s">
        <v>540</v>
      </c>
      <c r="E262" s="65" t="s">
        <v>540</v>
      </c>
      <c r="F262" s="64" t="s">
        <v>100</v>
      </c>
      <c r="G262" s="64" t="s">
        <v>101</v>
      </c>
      <c r="H262" s="64" t="s">
        <v>10</v>
      </c>
      <c r="I262" s="70">
        <v>1</v>
      </c>
      <c r="J262" s="70">
        <v>4</v>
      </c>
      <c r="K262" s="110" t="str">
        <f>IF(H262="","",IF($C$29="간이법","",FPR(H262,I262,J262)))</f>
        <v>L</v>
      </c>
      <c r="L262" s="111">
        <f>IF(H262="","",IF($C$29="상세법",FPV(H262,K262),IF(H262="EI",4,IF(H262="EO",5.2,IF(H262="EQ",3.9,IF(H262="ILF",7.5,IF(H262="EIF",5.4)))))))</f>
        <v>3</v>
      </c>
      <c r="M262" s="112">
        <f t="shared" si="7"/>
        <v>3</v>
      </c>
      <c r="N262" s="113" t="s">
        <v>101</v>
      </c>
    </row>
    <row r="263" spans="2:14" ht="27">
      <c r="B263" s="105" t="s">
        <v>96</v>
      </c>
      <c r="C263" s="106" t="s">
        <v>500</v>
      </c>
      <c r="D263" s="107" t="s">
        <v>541</v>
      </c>
      <c r="E263" s="65" t="s">
        <v>541</v>
      </c>
      <c r="F263" s="64" t="s">
        <v>100</v>
      </c>
      <c r="G263" s="64" t="s">
        <v>101</v>
      </c>
      <c r="H263" s="64" t="s">
        <v>10</v>
      </c>
      <c r="I263" s="70">
        <v>1</v>
      </c>
      <c r="J263" s="70">
        <v>11</v>
      </c>
      <c r="K263" s="110" t="str">
        <f>IF(H263="","",IF($C$29="간이법","",FPR(H263,I263,J263)))</f>
        <v>L</v>
      </c>
      <c r="L263" s="111">
        <f>IF(H263="","",IF($C$29="상세법",FPV(H263,K263),IF(H263="EI",4,IF(H263="EO",5.2,IF(H263="EQ",3.9,IF(H263="ILF",7.5,IF(H263="EIF",5.4)))))))</f>
        <v>3</v>
      </c>
      <c r="M263" s="112">
        <f t="shared" si="7"/>
        <v>3</v>
      </c>
      <c r="N263" s="113" t="s">
        <v>101</v>
      </c>
    </row>
    <row r="264" spans="2:14" ht="27">
      <c r="B264" s="105" t="s">
        <v>96</v>
      </c>
      <c r="C264" s="106" t="s">
        <v>500</v>
      </c>
      <c r="D264" s="107" t="s">
        <v>542</v>
      </c>
      <c r="E264" s="65" t="s">
        <v>542</v>
      </c>
      <c r="F264" s="64" t="s">
        <v>100</v>
      </c>
      <c r="G264" s="64" t="s">
        <v>101</v>
      </c>
      <c r="H264" s="64" t="s">
        <v>10</v>
      </c>
      <c r="I264" s="70">
        <v>1</v>
      </c>
      <c r="J264" s="70">
        <v>11</v>
      </c>
      <c r="K264" s="110" t="str">
        <f>IF(H264="","",IF($C$29="간이법","",FPR(H264,I264,J264)))</f>
        <v>L</v>
      </c>
      <c r="L264" s="111">
        <f>IF(H264="","",IF($C$29="상세법",FPV(H264,K264),IF(H264="EI",4,IF(H264="EO",5.2,IF(H264="EQ",3.9,IF(H264="ILF",7.5,IF(H264="EIF",5.4)))))))</f>
        <v>3</v>
      </c>
      <c r="M264" s="112">
        <f t="shared" si="7"/>
        <v>3</v>
      </c>
      <c r="N264" s="113" t="s">
        <v>101</v>
      </c>
    </row>
    <row r="265" spans="2:14" ht="27">
      <c r="B265" s="105" t="s">
        <v>96</v>
      </c>
      <c r="C265" s="106" t="s">
        <v>500</v>
      </c>
      <c r="D265" s="107" t="s">
        <v>543</v>
      </c>
      <c r="E265" s="65" t="s">
        <v>543</v>
      </c>
      <c r="F265" s="64" t="s">
        <v>100</v>
      </c>
      <c r="G265" s="64" t="s">
        <v>101</v>
      </c>
      <c r="H265" s="64" t="s">
        <v>10</v>
      </c>
      <c r="I265" s="70">
        <v>1</v>
      </c>
      <c r="J265" s="70">
        <v>3</v>
      </c>
      <c r="K265" s="110" t="str">
        <f>IF(H265="","",IF($C$29="간이법","",FPR(H265,I265,J265)))</f>
        <v>L</v>
      </c>
      <c r="L265" s="111">
        <f>IF(H265="","",IF($C$29="상세법",FPV(H265,K265),IF(H265="EI",4,IF(H265="EO",5.2,IF(H265="EQ",3.9,IF(H265="ILF",7.5,IF(H265="EIF",5.4)))))))</f>
        <v>3</v>
      </c>
      <c r="M265" s="112">
        <f t="shared" si="7"/>
        <v>3</v>
      </c>
      <c r="N265" s="113" t="s">
        <v>101</v>
      </c>
    </row>
    <row r="266" spans="2:14" ht="27">
      <c r="B266" s="105" t="s">
        <v>96</v>
      </c>
      <c r="C266" s="106" t="s">
        <v>500</v>
      </c>
      <c r="D266" s="107" t="s">
        <v>544</v>
      </c>
      <c r="E266" s="65" t="s">
        <v>545</v>
      </c>
      <c r="F266" s="64" t="s">
        <v>100</v>
      </c>
      <c r="G266" s="64" t="s">
        <v>101</v>
      </c>
      <c r="H266" s="64" t="s">
        <v>111</v>
      </c>
      <c r="I266" s="70">
        <v>1</v>
      </c>
      <c r="J266" s="70">
        <v>5</v>
      </c>
      <c r="K266" s="110" t="str">
        <f>IF(H266="","",IF($C$29="간이법","",FPR(H266,I266,J266)))</f>
        <v>L</v>
      </c>
      <c r="L266" s="111">
        <f>IF(H266="","",IF($C$29="상세법",FPV(H266,K266),IF(H266="EI",4,IF(H266="EO",5.2,IF(H266="EQ",3.9,IF(H266="ILF",7.5,IF(H266="EIF",5.4)))))))</f>
        <v>3</v>
      </c>
      <c r="M266" s="112">
        <f t="shared" si="7"/>
        <v>3</v>
      </c>
      <c r="N266" s="113" t="s">
        <v>101</v>
      </c>
    </row>
    <row r="267" spans="2:14" ht="27">
      <c r="B267" s="105" t="s">
        <v>96</v>
      </c>
      <c r="C267" s="106" t="s">
        <v>500</v>
      </c>
      <c r="D267" s="107" t="s">
        <v>546</v>
      </c>
      <c r="E267" s="65" t="s">
        <v>546</v>
      </c>
      <c r="F267" s="64" t="s">
        <v>100</v>
      </c>
      <c r="G267" s="64" t="s">
        <v>101</v>
      </c>
      <c r="H267" s="64" t="s">
        <v>10</v>
      </c>
      <c r="I267" s="70">
        <v>1</v>
      </c>
      <c r="J267" s="70">
        <v>5</v>
      </c>
      <c r="K267" s="110" t="str">
        <f>IF(H267="","",IF($C$29="간이법","",FPR(H267,I267,J267)))</f>
        <v>L</v>
      </c>
      <c r="L267" s="111">
        <f>IF(H267="","",IF($C$29="상세법",FPV(H267,K267),IF(H267="EI",4,IF(H267="EO",5.2,IF(H267="EQ",3.9,IF(H267="ILF",7.5,IF(H267="EIF",5.4)))))))</f>
        <v>3</v>
      </c>
      <c r="M267" s="112">
        <f t="shared" si="7"/>
        <v>3</v>
      </c>
      <c r="N267" s="113" t="s">
        <v>101</v>
      </c>
    </row>
    <row r="268" spans="2:14" ht="27">
      <c r="B268" s="105" t="s">
        <v>96</v>
      </c>
      <c r="C268" s="106" t="s">
        <v>500</v>
      </c>
      <c r="D268" s="107" t="s">
        <v>547</v>
      </c>
      <c r="E268" s="65" t="s">
        <v>547</v>
      </c>
      <c r="F268" s="64" t="s">
        <v>100</v>
      </c>
      <c r="G268" s="64" t="s">
        <v>101</v>
      </c>
      <c r="H268" s="64" t="s">
        <v>10</v>
      </c>
      <c r="I268" s="70">
        <v>1</v>
      </c>
      <c r="J268" s="70">
        <v>6</v>
      </c>
      <c r="K268" s="110" t="str">
        <f>IF(H268="","",IF($C$29="간이법","",FPR(H268,I268,J268)))</f>
        <v>L</v>
      </c>
      <c r="L268" s="111">
        <f>IF(H268="","",IF($C$29="상세법",FPV(H268,K268),IF(H268="EI",4,IF(H268="EO",5.2,IF(H268="EQ",3.9,IF(H268="ILF",7.5,IF(H268="EIF",5.4)))))))</f>
        <v>3</v>
      </c>
      <c r="M268" s="112">
        <f t="shared" si="7"/>
        <v>3</v>
      </c>
      <c r="N268" s="113" t="s">
        <v>101</v>
      </c>
    </row>
    <row r="269" spans="2:14" ht="27">
      <c r="B269" s="105" t="s">
        <v>96</v>
      </c>
      <c r="C269" s="106" t="s">
        <v>500</v>
      </c>
      <c r="D269" s="107" t="s">
        <v>548</v>
      </c>
      <c r="E269" s="65" t="s">
        <v>548</v>
      </c>
      <c r="F269" s="64" t="s">
        <v>100</v>
      </c>
      <c r="G269" s="64" t="s">
        <v>101</v>
      </c>
      <c r="H269" s="64" t="s">
        <v>10</v>
      </c>
      <c r="I269" s="70">
        <v>1</v>
      </c>
      <c r="J269" s="70">
        <v>5</v>
      </c>
      <c r="K269" s="110" t="str">
        <f>IF(H269="","",IF($C$29="간이법","",FPR(H269,I269,J269)))</f>
        <v>L</v>
      </c>
      <c r="L269" s="111">
        <f>IF(H269="","",IF($C$29="상세법",FPV(H269,K269),IF(H269="EI",4,IF(H269="EO",5.2,IF(H269="EQ",3.9,IF(H269="ILF",7.5,IF(H269="EIF",5.4)))))))</f>
        <v>3</v>
      </c>
      <c r="M269" s="112">
        <f t="shared" si="7"/>
        <v>3</v>
      </c>
      <c r="N269" s="113" t="s">
        <v>101</v>
      </c>
    </row>
    <row r="270" spans="2:14" ht="27">
      <c r="B270" s="105" t="s">
        <v>96</v>
      </c>
      <c r="C270" s="106" t="s">
        <v>500</v>
      </c>
      <c r="D270" s="107" t="s">
        <v>549</v>
      </c>
      <c r="E270" s="65" t="s">
        <v>550</v>
      </c>
      <c r="F270" s="64" t="s">
        <v>100</v>
      </c>
      <c r="G270" s="64" t="s">
        <v>101</v>
      </c>
      <c r="H270" s="64" t="s">
        <v>111</v>
      </c>
      <c r="I270" s="70">
        <v>1</v>
      </c>
      <c r="J270" s="70">
        <v>5</v>
      </c>
      <c r="K270" s="110" t="str">
        <f>IF(H270="","",IF($C$29="간이법","",FPR(H270,I270,J270)))</f>
        <v>L</v>
      </c>
      <c r="L270" s="111">
        <f>IF(H270="","",IF($C$29="상세법",FPV(H270,K270),IF(H270="EI",4,IF(H270="EO",5.2,IF(H270="EQ",3.9,IF(H270="ILF",7.5,IF(H270="EIF",5.4)))))))</f>
        <v>3</v>
      </c>
      <c r="M270" s="112">
        <f t="shared" si="7"/>
        <v>3</v>
      </c>
      <c r="N270" s="113" t="s">
        <v>101</v>
      </c>
    </row>
    <row r="271" spans="2:14" ht="27">
      <c r="B271" s="105" t="s">
        <v>96</v>
      </c>
      <c r="C271" s="106" t="s">
        <v>500</v>
      </c>
      <c r="D271" s="107" t="s">
        <v>551</v>
      </c>
      <c r="E271" s="65" t="s">
        <v>551</v>
      </c>
      <c r="F271" s="64" t="s">
        <v>100</v>
      </c>
      <c r="G271" s="64" t="s">
        <v>101</v>
      </c>
      <c r="H271" s="64" t="s">
        <v>10</v>
      </c>
      <c r="I271" s="70">
        <v>1</v>
      </c>
      <c r="J271" s="70">
        <v>5</v>
      </c>
      <c r="K271" s="110" t="str">
        <f>IF(H271="","",IF($C$29="간이법","",FPR(H271,I271,J271)))</f>
        <v>L</v>
      </c>
      <c r="L271" s="111">
        <f>IF(H271="","",IF($C$29="상세법",FPV(H271,K271),IF(H271="EI",4,IF(H271="EO",5.2,IF(H271="EQ",3.9,IF(H271="ILF",7.5,IF(H271="EIF",5.4)))))))</f>
        <v>3</v>
      </c>
      <c r="M271" s="112">
        <f t="shared" si="7"/>
        <v>3</v>
      </c>
      <c r="N271" s="113" t="s">
        <v>101</v>
      </c>
    </row>
    <row r="272" spans="2:14" ht="27">
      <c r="B272" s="105" t="s">
        <v>96</v>
      </c>
      <c r="C272" s="106" t="s">
        <v>500</v>
      </c>
      <c r="D272" s="107" t="s">
        <v>552</v>
      </c>
      <c r="E272" s="65" t="s">
        <v>552</v>
      </c>
      <c r="F272" s="64" t="s">
        <v>100</v>
      </c>
      <c r="G272" s="64" t="s">
        <v>101</v>
      </c>
      <c r="H272" s="64" t="s">
        <v>10</v>
      </c>
      <c r="I272" s="70">
        <v>1</v>
      </c>
      <c r="J272" s="70">
        <v>6</v>
      </c>
      <c r="K272" s="110" t="str">
        <f>IF(H272="","",IF($C$29="간이법","",FPR(H272,I272,J272)))</f>
        <v>L</v>
      </c>
      <c r="L272" s="111">
        <f>IF(H272="","",IF($C$29="상세법",FPV(H272,K272),IF(H272="EI",4,IF(H272="EO",5.2,IF(H272="EQ",3.9,IF(H272="ILF",7.5,IF(H272="EIF",5.4)))))))</f>
        <v>3</v>
      </c>
      <c r="M272" s="112">
        <f t="shared" si="7"/>
        <v>3</v>
      </c>
      <c r="N272" s="113" t="s">
        <v>101</v>
      </c>
    </row>
    <row r="273" spans="2:14" ht="27">
      <c r="B273" s="105" t="s">
        <v>96</v>
      </c>
      <c r="C273" s="106" t="s">
        <v>500</v>
      </c>
      <c r="D273" s="107" t="s">
        <v>553</v>
      </c>
      <c r="E273" s="65" t="s">
        <v>553</v>
      </c>
      <c r="F273" s="64" t="s">
        <v>100</v>
      </c>
      <c r="G273" s="64" t="s">
        <v>101</v>
      </c>
      <c r="H273" s="64" t="s">
        <v>10</v>
      </c>
      <c r="I273" s="70">
        <v>1</v>
      </c>
      <c r="J273" s="70">
        <v>5</v>
      </c>
      <c r="K273" s="110" t="str">
        <f>IF(H273="","",IF($C$29="간이법","",FPR(H273,I273,J273)))</f>
        <v>L</v>
      </c>
      <c r="L273" s="111">
        <f>IF(H273="","",IF($C$29="상세법",FPV(H273,K273),IF(H273="EI",4,IF(H273="EO",5.2,IF(H273="EQ",3.9,IF(H273="ILF",7.5,IF(H273="EIF",5.4)))))))</f>
        <v>3</v>
      </c>
      <c r="M273" s="112">
        <f t="shared" si="7"/>
        <v>3</v>
      </c>
      <c r="N273" s="113" t="s">
        <v>101</v>
      </c>
    </row>
    <row r="274" spans="2:14" ht="27">
      <c r="B274" s="105" t="s">
        <v>96</v>
      </c>
      <c r="C274" s="106" t="s">
        <v>500</v>
      </c>
      <c r="D274" s="107" t="s">
        <v>554</v>
      </c>
      <c r="E274" s="65" t="s">
        <v>555</v>
      </c>
      <c r="F274" s="64" t="s">
        <v>100</v>
      </c>
      <c r="G274" s="64" t="s">
        <v>101</v>
      </c>
      <c r="H274" s="64" t="s">
        <v>111</v>
      </c>
      <c r="I274" s="70">
        <v>1</v>
      </c>
      <c r="J274" s="70">
        <v>5</v>
      </c>
      <c r="K274" s="110" t="str">
        <f>IF(H274="","",IF($C$29="간이법","",FPR(H274,I274,J274)))</f>
        <v>L</v>
      </c>
      <c r="L274" s="111">
        <f>IF(H274="","",IF($C$29="상세법",FPV(H274,K274),IF(H274="EI",4,IF(H274="EO",5.2,IF(H274="EQ",3.9,IF(H274="ILF",7.5,IF(H274="EIF",5.4)))))))</f>
        <v>3</v>
      </c>
      <c r="M274" s="112">
        <f t="shared" si="7"/>
        <v>3</v>
      </c>
      <c r="N274" s="113" t="s">
        <v>101</v>
      </c>
    </row>
    <row r="275" spans="2:14" ht="27">
      <c r="B275" s="105" t="s">
        <v>96</v>
      </c>
      <c r="C275" s="106" t="s">
        <v>500</v>
      </c>
      <c r="D275" s="107" t="s">
        <v>556</v>
      </c>
      <c r="E275" s="65" t="s">
        <v>556</v>
      </c>
      <c r="F275" s="64" t="s">
        <v>100</v>
      </c>
      <c r="G275" s="64" t="s">
        <v>101</v>
      </c>
      <c r="H275" s="64" t="s">
        <v>10</v>
      </c>
      <c r="I275" s="70">
        <v>1</v>
      </c>
      <c r="J275" s="70">
        <v>5</v>
      </c>
      <c r="K275" s="110" t="str">
        <f>IF(H275="","",IF($C$29="간이법","",FPR(H275,I275,J275)))</f>
        <v>L</v>
      </c>
      <c r="L275" s="111">
        <f>IF(H275="","",IF($C$29="상세법",FPV(H275,K275),IF(H275="EI",4,IF(H275="EO",5.2,IF(H275="EQ",3.9,IF(H275="ILF",7.5,IF(H275="EIF",5.4)))))))</f>
        <v>3</v>
      </c>
      <c r="M275" s="112">
        <f t="shared" si="7"/>
        <v>3</v>
      </c>
      <c r="N275" s="113" t="s">
        <v>101</v>
      </c>
    </row>
    <row r="276" spans="2:14" ht="27">
      <c r="B276" s="105" t="s">
        <v>96</v>
      </c>
      <c r="C276" s="106" t="s">
        <v>500</v>
      </c>
      <c r="D276" s="107" t="s">
        <v>557</v>
      </c>
      <c r="E276" s="65" t="s">
        <v>557</v>
      </c>
      <c r="F276" s="64" t="s">
        <v>100</v>
      </c>
      <c r="G276" s="64" t="s">
        <v>101</v>
      </c>
      <c r="H276" s="64" t="s">
        <v>10</v>
      </c>
      <c r="I276" s="70">
        <v>1</v>
      </c>
      <c r="J276" s="70">
        <v>6</v>
      </c>
      <c r="K276" s="110" t="str">
        <f>IF(H276="","",IF($C$29="간이법","",FPR(H276,I276,J276)))</f>
        <v>L</v>
      </c>
      <c r="L276" s="111">
        <f>IF(H276="","",IF($C$29="상세법",FPV(H276,K276),IF(H276="EI",4,IF(H276="EO",5.2,IF(H276="EQ",3.9,IF(H276="ILF",7.5,IF(H276="EIF",5.4)))))))</f>
        <v>3</v>
      </c>
      <c r="M276" s="112">
        <f t="shared" si="7"/>
        <v>3</v>
      </c>
      <c r="N276" s="113" t="s">
        <v>101</v>
      </c>
    </row>
    <row r="277" spans="2:14" ht="27">
      <c r="B277" s="105" t="s">
        <v>96</v>
      </c>
      <c r="C277" s="106" t="s">
        <v>500</v>
      </c>
      <c r="D277" s="107" t="s">
        <v>558</v>
      </c>
      <c r="E277" s="65" t="s">
        <v>558</v>
      </c>
      <c r="F277" s="64" t="s">
        <v>100</v>
      </c>
      <c r="G277" s="64" t="s">
        <v>101</v>
      </c>
      <c r="H277" s="64" t="s">
        <v>10</v>
      </c>
      <c r="I277" s="70">
        <v>1</v>
      </c>
      <c r="J277" s="70">
        <v>5</v>
      </c>
      <c r="K277" s="110" t="str">
        <f>IF(H277="","",IF($C$29="간이법","",FPR(H277,I277,J277)))</f>
        <v>L</v>
      </c>
      <c r="L277" s="111">
        <f>IF(H277="","",IF($C$29="상세법",FPV(H277,K277),IF(H277="EI",4,IF(H277="EO",5.2,IF(H277="EQ",3.9,IF(H277="ILF",7.5,IF(H277="EIF",5.4)))))))</f>
        <v>3</v>
      </c>
      <c r="M277" s="112">
        <f t="shared" si="7"/>
        <v>3</v>
      </c>
      <c r="N277" s="113" t="s">
        <v>101</v>
      </c>
    </row>
    <row r="278" spans="2:14" ht="27">
      <c r="B278" s="105" t="s">
        <v>96</v>
      </c>
      <c r="C278" s="106" t="s">
        <v>500</v>
      </c>
      <c r="D278" s="107" t="s">
        <v>559</v>
      </c>
      <c r="E278" s="65" t="s">
        <v>560</v>
      </c>
      <c r="F278" s="64" t="s">
        <v>100</v>
      </c>
      <c r="G278" s="64" t="s">
        <v>101</v>
      </c>
      <c r="H278" s="64" t="s">
        <v>111</v>
      </c>
      <c r="I278" s="70">
        <v>1</v>
      </c>
      <c r="J278" s="70">
        <v>5</v>
      </c>
      <c r="K278" s="110" t="str">
        <f>IF(H278="","",IF($C$29="간이법","",FPR(H278,I278,J278)))</f>
        <v>L</v>
      </c>
      <c r="L278" s="111">
        <f>IF(H278="","",IF($C$29="상세법",FPV(H278,K278),IF(H278="EI",4,IF(H278="EO",5.2,IF(H278="EQ",3.9,IF(H278="ILF",7.5,IF(H278="EIF",5.4)))))))</f>
        <v>3</v>
      </c>
      <c r="M278" s="112">
        <f t="shared" si="7"/>
        <v>3</v>
      </c>
      <c r="N278" s="113" t="s">
        <v>101</v>
      </c>
    </row>
    <row r="279" spans="2:14" ht="27">
      <c r="B279" s="105" t="s">
        <v>96</v>
      </c>
      <c r="C279" s="106" t="s">
        <v>500</v>
      </c>
      <c r="D279" s="107" t="s">
        <v>561</v>
      </c>
      <c r="E279" s="65" t="s">
        <v>561</v>
      </c>
      <c r="F279" s="64" t="s">
        <v>100</v>
      </c>
      <c r="G279" s="64" t="s">
        <v>101</v>
      </c>
      <c r="H279" s="64" t="s">
        <v>10</v>
      </c>
      <c r="I279" s="70">
        <v>1</v>
      </c>
      <c r="J279" s="70">
        <v>5</v>
      </c>
      <c r="K279" s="110" t="str">
        <f>IF(H279="","",IF($C$29="간이법","",FPR(H279,I279,J279)))</f>
        <v>L</v>
      </c>
      <c r="L279" s="111">
        <f>IF(H279="","",IF($C$29="상세법",FPV(H279,K279),IF(H279="EI",4,IF(H279="EO",5.2,IF(H279="EQ",3.9,IF(H279="ILF",7.5,IF(H279="EIF",5.4)))))))</f>
        <v>3</v>
      </c>
      <c r="M279" s="112">
        <f t="shared" si="7"/>
        <v>3</v>
      </c>
      <c r="N279" s="113" t="s">
        <v>101</v>
      </c>
    </row>
    <row r="280" spans="2:14" ht="27">
      <c r="B280" s="105" t="s">
        <v>96</v>
      </c>
      <c r="C280" s="106" t="s">
        <v>500</v>
      </c>
      <c r="D280" s="107" t="s">
        <v>562</v>
      </c>
      <c r="E280" s="65" t="s">
        <v>562</v>
      </c>
      <c r="F280" s="64" t="s">
        <v>100</v>
      </c>
      <c r="G280" s="64" t="s">
        <v>101</v>
      </c>
      <c r="H280" s="64" t="s">
        <v>10</v>
      </c>
      <c r="I280" s="70">
        <v>1</v>
      </c>
      <c r="J280" s="70">
        <v>5</v>
      </c>
      <c r="K280" s="110" t="str">
        <f>IF(H280="","",IF($C$29="간이법","",FPR(H280,I280,J280)))</f>
        <v>L</v>
      </c>
      <c r="L280" s="111">
        <f>IF(H280="","",IF($C$29="상세법",FPV(H280,K280),IF(H280="EI",4,IF(H280="EO",5.2,IF(H280="EQ",3.9,IF(H280="ILF",7.5,IF(H280="EIF",5.4)))))))</f>
        <v>3</v>
      </c>
      <c r="M280" s="112">
        <f t="shared" si="7"/>
        <v>3</v>
      </c>
      <c r="N280" s="113" t="s">
        <v>101</v>
      </c>
    </row>
    <row r="281" spans="2:14" ht="27">
      <c r="B281" s="105" t="s">
        <v>96</v>
      </c>
      <c r="C281" s="106" t="s">
        <v>500</v>
      </c>
      <c r="D281" s="107" t="s">
        <v>563</v>
      </c>
      <c r="E281" s="65" t="s">
        <v>563</v>
      </c>
      <c r="F281" s="64" t="s">
        <v>100</v>
      </c>
      <c r="G281" s="64" t="s">
        <v>101</v>
      </c>
      <c r="H281" s="64" t="s">
        <v>10</v>
      </c>
      <c r="I281" s="70">
        <v>1</v>
      </c>
      <c r="J281" s="70">
        <v>5</v>
      </c>
      <c r="K281" s="110" t="str">
        <f>IF(H281="","",IF($C$29="간이법","",FPR(H281,I281,J281)))</f>
        <v>L</v>
      </c>
      <c r="L281" s="111">
        <f>IF(H281="","",IF($C$29="상세법",FPV(H281,K281),IF(H281="EI",4,IF(H281="EO",5.2,IF(H281="EQ",3.9,IF(H281="ILF",7.5,IF(H281="EIF",5.4)))))))</f>
        <v>3</v>
      </c>
      <c r="M281" s="112">
        <f t="shared" si="7"/>
        <v>3</v>
      </c>
      <c r="N281" s="113" t="s">
        <v>101</v>
      </c>
    </row>
    <row r="282" spans="2:14" ht="27">
      <c r="B282" s="105" t="s">
        <v>96</v>
      </c>
      <c r="C282" s="106" t="s">
        <v>500</v>
      </c>
      <c r="D282" s="107" t="s">
        <v>564</v>
      </c>
      <c r="E282" s="65" t="s">
        <v>565</v>
      </c>
      <c r="F282" s="64" t="s">
        <v>100</v>
      </c>
      <c r="G282" s="64" t="s">
        <v>101</v>
      </c>
      <c r="H282" s="64" t="s">
        <v>111</v>
      </c>
      <c r="I282" s="70">
        <v>1</v>
      </c>
      <c r="J282" s="70">
        <v>5</v>
      </c>
      <c r="K282" s="110" t="str">
        <f>IF(H282="","",IF($C$29="간이법","",FPR(H282,I282,J282)))</f>
        <v>L</v>
      </c>
      <c r="L282" s="111">
        <f>IF(H282="","",IF($C$29="상세법",FPV(H282,K282),IF(H282="EI",4,IF(H282="EO",5.2,IF(H282="EQ",3.9,IF(H282="ILF",7.5,IF(H282="EIF",5.4)))))))</f>
        <v>3</v>
      </c>
      <c r="M282" s="112">
        <f t="shared" si="7"/>
        <v>3</v>
      </c>
      <c r="N282" s="113" t="s">
        <v>101</v>
      </c>
    </row>
    <row r="283" spans="2:14" ht="27">
      <c r="B283" s="105" t="s">
        <v>96</v>
      </c>
      <c r="C283" s="106" t="s">
        <v>500</v>
      </c>
      <c r="D283" s="107" t="s">
        <v>566</v>
      </c>
      <c r="E283" s="65" t="s">
        <v>566</v>
      </c>
      <c r="F283" s="64" t="s">
        <v>100</v>
      </c>
      <c r="G283" s="64" t="s">
        <v>101</v>
      </c>
      <c r="H283" s="64" t="s">
        <v>10</v>
      </c>
      <c r="I283" s="70">
        <v>1</v>
      </c>
      <c r="J283" s="70">
        <v>5</v>
      </c>
      <c r="K283" s="110" t="str">
        <f>IF(H283="","",IF($C$29="간이법","",FPR(H283,I283,J283)))</f>
        <v>L</v>
      </c>
      <c r="L283" s="111">
        <f>IF(H283="","",IF($C$29="상세법",FPV(H283,K283),IF(H283="EI",4,IF(H283="EO",5.2,IF(H283="EQ",3.9,IF(H283="ILF",7.5,IF(H283="EIF",5.4)))))))</f>
        <v>3</v>
      </c>
      <c r="M283" s="112">
        <f t="shared" si="7"/>
        <v>3</v>
      </c>
      <c r="N283" s="113" t="s">
        <v>101</v>
      </c>
    </row>
    <row r="284" spans="2:14" ht="27">
      <c r="B284" s="105" t="s">
        <v>96</v>
      </c>
      <c r="C284" s="106" t="s">
        <v>500</v>
      </c>
      <c r="D284" s="107" t="s">
        <v>567</v>
      </c>
      <c r="E284" s="65" t="s">
        <v>567</v>
      </c>
      <c r="F284" s="64" t="s">
        <v>100</v>
      </c>
      <c r="G284" s="64" t="s">
        <v>101</v>
      </c>
      <c r="H284" s="64" t="s">
        <v>10</v>
      </c>
      <c r="I284" s="70">
        <v>1</v>
      </c>
      <c r="J284" s="70">
        <v>5</v>
      </c>
      <c r="K284" s="110" t="str">
        <f>IF(H284="","",IF($C$29="간이법","",FPR(H284,I284,J284)))</f>
        <v>L</v>
      </c>
      <c r="L284" s="111">
        <f>IF(H284="","",IF($C$29="상세법",FPV(H284,K284),IF(H284="EI",4,IF(H284="EO",5.2,IF(H284="EQ",3.9,IF(H284="ILF",7.5,IF(H284="EIF",5.4)))))))</f>
        <v>3</v>
      </c>
      <c r="M284" s="112">
        <f t="shared" si="7"/>
        <v>3</v>
      </c>
      <c r="N284" s="113" t="s">
        <v>101</v>
      </c>
    </row>
    <row r="285" spans="2:14" ht="27">
      <c r="B285" s="105" t="s">
        <v>96</v>
      </c>
      <c r="C285" s="106" t="s">
        <v>500</v>
      </c>
      <c r="D285" s="107" t="s">
        <v>568</v>
      </c>
      <c r="E285" s="65" t="s">
        <v>568</v>
      </c>
      <c r="F285" s="64" t="s">
        <v>100</v>
      </c>
      <c r="G285" s="64" t="s">
        <v>101</v>
      </c>
      <c r="H285" s="64" t="s">
        <v>10</v>
      </c>
      <c r="I285" s="70">
        <v>1</v>
      </c>
      <c r="J285" s="70">
        <v>5</v>
      </c>
      <c r="K285" s="110" t="str">
        <f>IF(H285="","",IF($C$29="간이법","",FPR(H285,I285,J285)))</f>
        <v>L</v>
      </c>
      <c r="L285" s="111">
        <f>IF(H285="","",IF($C$29="상세법",FPV(H285,K285),IF(H285="EI",4,IF(H285="EO",5.2,IF(H285="EQ",3.9,IF(H285="ILF",7.5,IF(H285="EIF",5.4)))))))</f>
        <v>3</v>
      </c>
      <c r="M285" s="112">
        <f t="shared" si="7"/>
        <v>3</v>
      </c>
      <c r="N285" s="113" t="s">
        <v>101</v>
      </c>
    </row>
    <row r="286" spans="2:14" ht="27">
      <c r="B286" s="105" t="s">
        <v>96</v>
      </c>
      <c r="C286" s="106" t="s">
        <v>500</v>
      </c>
      <c r="D286" s="107" t="s">
        <v>569</v>
      </c>
      <c r="E286" s="65" t="s">
        <v>570</v>
      </c>
      <c r="F286" s="64" t="s">
        <v>100</v>
      </c>
      <c r="G286" s="64" t="s">
        <v>101</v>
      </c>
      <c r="H286" s="64" t="s">
        <v>111</v>
      </c>
      <c r="I286" s="70">
        <v>1</v>
      </c>
      <c r="J286" s="70">
        <v>5</v>
      </c>
      <c r="K286" s="110" t="str">
        <f>IF(H286="","",IF($C$29="간이법","",FPR(H286,I286,J286)))</f>
        <v>L</v>
      </c>
      <c r="L286" s="111">
        <f>IF(H286="","",IF($C$29="상세법",FPV(H286,K286),IF(H286="EI",4,IF(H286="EO",5.2,IF(H286="EQ",3.9,IF(H286="ILF",7.5,IF(H286="EIF",5.4)))))))</f>
        <v>3</v>
      </c>
      <c r="M286" s="112">
        <f t="shared" si="7"/>
        <v>3</v>
      </c>
      <c r="N286" s="113" t="s">
        <v>101</v>
      </c>
    </row>
    <row r="287" spans="2:14" ht="27">
      <c r="B287" s="105" t="s">
        <v>96</v>
      </c>
      <c r="C287" s="106" t="s">
        <v>500</v>
      </c>
      <c r="D287" s="107" t="s">
        <v>571</v>
      </c>
      <c r="E287" s="65" t="s">
        <v>571</v>
      </c>
      <c r="F287" s="64" t="s">
        <v>100</v>
      </c>
      <c r="G287" s="64" t="s">
        <v>101</v>
      </c>
      <c r="H287" s="64" t="s">
        <v>10</v>
      </c>
      <c r="I287" s="70">
        <v>1</v>
      </c>
      <c r="J287" s="70">
        <v>5</v>
      </c>
      <c r="K287" s="110" t="str">
        <f>IF(H287="","",IF($C$29="간이법","",FPR(H287,I287,J287)))</f>
        <v>L</v>
      </c>
      <c r="L287" s="111">
        <f>IF(H287="","",IF($C$29="상세법",FPV(H287,K287),IF(H287="EI",4,IF(H287="EO",5.2,IF(H287="EQ",3.9,IF(H287="ILF",7.5,IF(H287="EIF",5.4)))))))</f>
        <v>3</v>
      </c>
      <c r="M287" s="112">
        <f t="shared" si="7"/>
        <v>3</v>
      </c>
      <c r="N287" s="113" t="s">
        <v>101</v>
      </c>
    </row>
    <row r="288" spans="2:14" ht="27">
      <c r="B288" s="105" t="s">
        <v>96</v>
      </c>
      <c r="C288" s="106" t="s">
        <v>500</v>
      </c>
      <c r="D288" s="107" t="s">
        <v>572</v>
      </c>
      <c r="E288" s="65" t="s">
        <v>572</v>
      </c>
      <c r="F288" s="64" t="s">
        <v>100</v>
      </c>
      <c r="G288" s="64" t="s">
        <v>101</v>
      </c>
      <c r="H288" s="64" t="s">
        <v>10</v>
      </c>
      <c r="I288" s="70">
        <v>1</v>
      </c>
      <c r="J288" s="70">
        <v>5</v>
      </c>
      <c r="K288" s="110" t="str">
        <f>IF(H288="","",IF($C$29="간이법","",FPR(H288,I288,J288)))</f>
        <v>L</v>
      </c>
      <c r="L288" s="111">
        <f>IF(H288="","",IF($C$29="상세법",FPV(H288,K288),IF(H288="EI",4,IF(H288="EO",5.2,IF(H288="EQ",3.9,IF(H288="ILF",7.5,IF(H288="EIF",5.4)))))))</f>
        <v>3</v>
      </c>
      <c r="M288" s="112">
        <f t="shared" si="7"/>
        <v>3</v>
      </c>
      <c r="N288" s="113" t="s">
        <v>101</v>
      </c>
    </row>
    <row r="289" spans="2:14" ht="27">
      <c r="B289" s="105" t="s">
        <v>96</v>
      </c>
      <c r="C289" s="106" t="s">
        <v>500</v>
      </c>
      <c r="D289" s="107" t="s">
        <v>573</v>
      </c>
      <c r="E289" s="65" t="s">
        <v>573</v>
      </c>
      <c r="F289" s="64" t="s">
        <v>100</v>
      </c>
      <c r="G289" s="64" t="s">
        <v>101</v>
      </c>
      <c r="H289" s="64" t="s">
        <v>10</v>
      </c>
      <c r="I289" s="70">
        <v>1</v>
      </c>
      <c r="J289" s="70">
        <v>5</v>
      </c>
      <c r="K289" s="110" t="str">
        <f>IF(H289="","",IF($C$29="간이법","",FPR(H289,I289,J289)))</f>
        <v>L</v>
      </c>
      <c r="L289" s="111">
        <f>IF(H289="","",IF($C$29="상세법",FPV(H289,K289),IF(H289="EI",4,IF(H289="EO",5.2,IF(H289="EQ",3.9,IF(H289="ILF",7.5,IF(H289="EIF",5.4)))))))</f>
        <v>3</v>
      </c>
      <c r="M289" s="112">
        <f t="shared" si="7"/>
        <v>3</v>
      </c>
      <c r="N289" s="113" t="s">
        <v>101</v>
      </c>
    </row>
    <row r="290" spans="2:14" ht="27">
      <c r="B290" s="105" t="s">
        <v>96</v>
      </c>
      <c r="C290" s="106" t="s">
        <v>574</v>
      </c>
      <c r="D290" s="107" t="s">
        <v>575</v>
      </c>
      <c r="E290" s="65" t="s">
        <v>576</v>
      </c>
      <c r="F290" s="64" t="s">
        <v>205</v>
      </c>
      <c r="G290" s="64" t="s">
        <v>101</v>
      </c>
      <c r="H290" s="64" t="s">
        <v>111</v>
      </c>
      <c r="I290" s="70">
        <v>1</v>
      </c>
      <c r="J290" s="70">
        <v>7</v>
      </c>
      <c r="K290" s="110" t="str">
        <f>IF(H290="","",IF($C$29="간이법","",FPR(H290,I290,J290)))</f>
        <v>L</v>
      </c>
      <c r="L290" s="111">
        <f>IF(H290="","",IF($C$29="상세법",FPV(H290,K290),IF(H290="EI",4,IF(H290="EO",5.2,IF(H290="EQ",3.9,IF(H290="ILF",7.5,IF(H290="EIF",5.4)))))))</f>
        <v>3</v>
      </c>
      <c r="M290" s="112">
        <f t="shared" si="7"/>
        <v>3</v>
      </c>
      <c r="N290" s="113" t="s">
        <v>101</v>
      </c>
    </row>
    <row r="291" spans="2:14" ht="27">
      <c r="B291" s="105" t="s">
        <v>96</v>
      </c>
      <c r="C291" s="106" t="s">
        <v>574</v>
      </c>
      <c r="D291" s="107" t="s">
        <v>577</v>
      </c>
      <c r="E291" s="65" t="s">
        <v>578</v>
      </c>
      <c r="F291" s="64" t="s">
        <v>205</v>
      </c>
      <c r="G291" s="64" t="s">
        <v>101</v>
      </c>
      <c r="H291" s="64" t="s">
        <v>111</v>
      </c>
      <c r="I291" s="70">
        <v>1</v>
      </c>
      <c r="J291" s="70">
        <v>6</v>
      </c>
      <c r="K291" s="110" t="str">
        <f>IF(H291="","",IF($C$29="간이법","",FPR(H291,I291,J291)))</f>
        <v>L</v>
      </c>
      <c r="L291" s="111">
        <f>IF(H291="","",IF($C$29="상세법",FPV(H291,K291),IF(H291="EI",4,IF(H291="EO",5.2,IF(H291="EQ",3.9,IF(H291="ILF",7.5,IF(H291="EIF",5.4)))))))</f>
        <v>3</v>
      </c>
      <c r="M291" s="112">
        <f t="shared" si="7"/>
        <v>3</v>
      </c>
      <c r="N291" s="113" t="s">
        <v>101</v>
      </c>
    </row>
    <row r="292" spans="2:14" ht="27">
      <c r="B292" s="105" t="s">
        <v>96</v>
      </c>
      <c r="C292" s="106" t="s">
        <v>574</v>
      </c>
      <c r="D292" s="107" t="s">
        <v>579</v>
      </c>
      <c r="E292" s="65" t="s">
        <v>580</v>
      </c>
      <c r="F292" s="64" t="s">
        <v>205</v>
      </c>
      <c r="G292" s="64" t="s">
        <v>101</v>
      </c>
      <c r="H292" s="64" t="s">
        <v>111</v>
      </c>
      <c r="I292" s="70">
        <v>1</v>
      </c>
      <c r="J292" s="70">
        <v>23</v>
      </c>
      <c r="K292" s="110" t="str">
        <f>IF(H292="","",IF($C$29="간이법","",FPR(H292,I292,J292)))</f>
        <v>A</v>
      </c>
      <c r="L292" s="111">
        <f>IF(H292="","",IF($C$29="상세법",FPV(H292,K292),IF(H292="EI",4,IF(H292="EO",5.2,IF(H292="EQ",3.9,IF(H292="ILF",7.5,IF(H292="EIF",5.4)))))))</f>
        <v>4</v>
      </c>
      <c r="M292" s="112">
        <f t="shared" si="7"/>
        <v>4</v>
      </c>
      <c r="N292" s="113" t="s">
        <v>101</v>
      </c>
    </row>
    <row r="293" spans="2:14" ht="27">
      <c r="B293" s="105" t="s">
        <v>96</v>
      </c>
      <c r="C293" s="106" t="s">
        <v>574</v>
      </c>
      <c r="D293" s="107" t="s">
        <v>581</v>
      </c>
      <c r="E293" s="65" t="s">
        <v>581</v>
      </c>
      <c r="F293" s="64" t="s">
        <v>205</v>
      </c>
      <c r="G293" s="64" t="s">
        <v>101</v>
      </c>
      <c r="H293" s="64" t="s">
        <v>10</v>
      </c>
      <c r="I293" s="70">
        <v>1</v>
      </c>
      <c r="J293" s="70">
        <v>4</v>
      </c>
      <c r="K293" s="110" t="str">
        <f>IF(H293="","",IF($C$29="간이법","",FPR(H293,I293,J293)))</f>
        <v>L</v>
      </c>
      <c r="L293" s="111">
        <f>IF(H293="","",IF($C$29="상세법",FPV(H293,K293),IF(H293="EI",4,IF(H293="EO",5.2,IF(H293="EQ",3.9,IF(H293="ILF",7.5,IF(H293="EIF",5.4)))))))</f>
        <v>3</v>
      </c>
      <c r="M293" s="112">
        <f t="shared" si="7"/>
        <v>3</v>
      </c>
      <c r="N293" s="113" t="s">
        <v>101</v>
      </c>
    </row>
    <row r="294" spans="2:14" ht="27">
      <c r="B294" s="105" t="s">
        <v>96</v>
      </c>
      <c r="C294" s="106" t="s">
        <v>582</v>
      </c>
      <c r="D294" s="107" t="s">
        <v>583</v>
      </c>
      <c r="E294" s="65" t="s">
        <v>583</v>
      </c>
      <c r="F294" s="64" t="s">
        <v>100</v>
      </c>
      <c r="G294" s="64" t="s">
        <v>101</v>
      </c>
      <c r="H294" s="64" t="s">
        <v>111</v>
      </c>
      <c r="I294" s="70">
        <v>1</v>
      </c>
      <c r="J294" s="70">
        <v>6</v>
      </c>
      <c r="K294" s="110" t="str">
        <f>IF(H294="","",IF($C$29="간이법","",FPR(H294,I294,J294)))</f>
        <v>L</v>
      </c>
      <c r="L294" s="111">
        <f>IF(H294="","",IF($C$29="상세법",FPV(H294,K294),IF(H294="EI",4,IF(H294="EO",5.2,IF(H294="EQ",3.9,IF(H294="ILF",7.5,IF(H294="EIF",5.4)))))))</f>
        <v>3</v>
      </c>
      <c r="M294" s="112">
        <f t="shared" si="7"/>
        <v>3</v>
      </c>
      <c r="N294" s="113" t="s">
        <v>101</v>
      </c>
    </row>
    <row r="295" spans="2:14" ht="27">
      <c r="B295" s="105" t="s">
        <v>96</v>
      </c>
      <c r="C295" s="106" t="s">
        <v>582</v>
      </c>
      <c r="D295" s="107" t="s">
        <v>584</v>
      </c>
      <c r="E295" s="65" t="s">
        <v>584</v>
      </c>
      <c r="F295" s="64" t="s">
        <v>100</v>
      </c>
      <c r="G295" s="64" t="s">
        <v>101</v>
      </c>
      <c r="H295" s="64" t="s">
        <v>111</v>
      </c>
      <c r="I295" s="70">
        <v>1</v>
      </c>
      <c r="J295" s="70">
        <v>22</v>
      </c>
      <c r="K295" s="110" t="str">
        <f>IF(H295="","",IF($C$29="간이법","",FPR(H295,I295,J295)))</f>
        <v>A</v>
      </c>
      <c r="L295" s="111">
        <f>IF(H295="","",IF($C$29="상세법",FPV(H295,K295),IF(H295="EI",4,IF(H295="EO",5.2,IF(H295="EQ",3.9,IF(H295="ILF",7.5,IF(H295="EIF",5.4)))))))</f>
        <v>4</v>
      </c>
      <c r="M295" s="112">
        <f t="shared" si="7"/>
        <v>4</v>
      </c>
      <c r="N295" s="113" t="s">
        <v>101</v>
      </c>
    </row>
    <row r="296" spans="2:14" ht="27">
      <c r="B296" s="105" t="s">
        <v>96</v>
      </c>
      <c r="C296" s="106" t="s">
        <v>582</v>
      </c>
      <c r="D296" s="107" t="s">
        <v>585</v>
      </c>
      <c r="E296" s="65" t="s">
        <v>585</v>
      </c>
      <c r="F296" s="64" t="s">
        <v>100</v>
      </c>
      <c r="G296" s="64" t="s">
        <v>101</v>
      </c>
      <c r="H296" s="64" t="s">
        <v>10</v>
      </c>
      <c r="I296" s="70">
        <v>1</v>
      </c>
      <c r="J296" s="70">
        <v>3</v>
      </c>
      <c r="K296" s="110" t="str">
        <f>IF(H296="","",IF($C$29="간이법","",FPR(H296,I296,J296)))</f>
        <v>L</v>
      </c>
      <c r="L296" s="111">
        <f>IF(H296="","",IF($C$29="상세법",FPV(H296,K296),IF(H296="EI",4,IF(H296="EO",5.2,IF(H296="EQ",3.9,IF(H296="ILF",7.5,IF(H296="EIF",5.4)))))))</f>
        <v>3</v>
      </c>
      <c r="M296" s="112">
        <f t="shared" si="7"/>
        <v>3</v>
      </c>
      <c r="N296" s="113" t="s">
        <v>101</v>
      </c>
    </row>
    <row r="297" spans="2:14" ht="27">
      <c r="B297" s="105" t="s">
        <v>96</v>
      </c>
      <c r="C297" s="106" t="s">
        <v>582</v>
      </c>
      <c r="D297" s="107" t="s">
        <v>586</v>
      </c>
      <c r="E297" s="65" t="s">
        <v>586</v>
      </c>
      <c r="F297" s="64" t="s">
        <v>100</v>
      </c>
      <c r="G297" s="64" t="s">
        <v>101</v>
      </c>
      <c r="H297" s="64" t="s">
        <v>10</v>
      </c>
      <c r="I297" s="70">
        <v>1</v>
      </c>
      <c r="J297" s="70">
        <v>4</v>
      </c>
      <c r="K297" s="110" t="str">
        <f>IF(H297="","",IF($C$29="간이법","",FPR(H297,I297,J297)))</f>
        <v>L</v>
      </c>
      <c r="L297" s="111">
        <f>IF(H297="","",IF($C$29="상세법",FPV(H297,K297),IF(H297="EI",4,IF(H297="EO",5.2,IF(H297="EQ",3.9,IF(H297="ILF",7.5,IF(H297="EIF",5.4)))))))</f>
        <v>3</v>
      </c>
      <c r="M297" s="112">
        <f t="shared" si="7"/>
        <v>3</v>
      </c>
      <c r="N297" s="113" t="s">
        <v>101</v>
      </c>
    </row>
    <row r="298" spans="2:14" ht="27">
      <c r="B298" s="105" t="s">
        <v>96</v>
      </c>
      <c r="C298" s="106" t="s">
        <v>582</v>
      </c>
      <c r="D298" s="107" t="s">
        <v>587</v>
      </c>
      <c r="E298" s="65" t="s">
        <v>588</v>
      </c>
      <c r="F298" s="64" t="s">
        <v>100</v>
      </c>
      <c r="G298" s="64" t="s">
        <v>101</v>
      </c>
      <c r="H298" s="64" t="s">
        <v>111</v>
      </c>
      <c r="I298" s="70">
        <v>1</v>
      </c>
      <c r="J298" s="70">
        <v>7</v>
      </c>
      <c r="K298" s="110" t="str">
        <f>IF(H298="","",IF($C$29="간이법","",FPR(H298,I298,J298)))</f>
        <v>L</v>
      </c>
      <c r="L298" s="111">
        <f>IF(H298="","",IF($C$29="상세법",FPV(H298,K298),IF(H298="EI",4,IF(H298="EO",5.2,IF(H298="EQ",3.9,IF(H298="ILF",7.5,IF(H298="EIF",5.4)))))))</f>
        <v>3</v>
      </c>
      <c r="M298" s="112">
        <f t="shared" si="7"/>
        <v>3</v>
      </c>
      <c r="N298" s="113" t="s">
        <v>101</v>
      </c>
    </row>
    <row r="299" spans="2:14" ht="27">
      <c r="B299" s="105" t="s">
        <v>96</v>
      </c>
      <c r="C299" s="106" t="s">
        <v>582</v>
      </c>
      <c r="D299" s="107" t="s">
        <v>589</v>
      </c>
      <c r="E299" s="65" t="s">
        <v>589</v>
      </c>
      <c r="F299" s="64" t="s">
        <v>100</v>
      </c>
      <c r="G299" s="64" t="s">
        <v>101</v>
      </c>
      <c r="H299" s="64" t="s">
        <v>10</v>
      </c>
      <c r="I299" s="70">
        <v>1</v>
      </c>
      <c r="J299" s="70">
        <v>5</v>
      </c>
      <c r="K299" s="110" t="str">
        <f>IF(H299="","",IF($C$29="간이법","",FPR(H299,I299,J299)))</f>
        <v>L</v>
      </c>
      <c r="L299" s="111">
        <f>IF(H299="","",IF($C$29="상세법",FPV(H299,K299),IF(H299="EI",4,IF(H299="EO",5.2,IF(H299="EQ",3.9,IF(H299="ILF",7.5,IF(H299="EIF",5.4)))))))</f>
        <v>3</v>
      </c>
      <c r="M299" s="112">
        <f t="shared" si="7"/>
        <v>3</v>
      </c>
      <c r="N299" s="113" t="s">
        <v>101</v>
      </c>
    </row>
    <row r="300" spans="2:14" ht="27">
      <c r="B300" s="105" t="s">
        <v>96</v>
      </c>
      <c r="C300" s="106" t="s">
        <v>582</v>
      </c>
      <c r="D300" s="107" t="s">
        <v>590</v>
      </c>
      <c r="E300" s="65" t="s">
        <v>590</v>
      </c>
      <c r="F300" s="64" t="s">
        <v>100</v>
      </c>
      <c r="G300" s="64" t="s">
        <v>101</v>
      </c>
      <c r="H300" s="64" t="s">
        <v>10</v>
      </c>
      <c r="I300" s="70">
        <v>1</v>
      </c>
      <c r="J300" s="70">
        <v>4</v>
      </c>
      <c r="K300" s="110" t="str">
        <f>IF(H300="","",IF($C$29="간이법","",FPR(H300,I300,J300)))</f>
        <v>L</v>
      </c>
      <c r="L300" s="111">
        <f>IF(H300="","",IF($C$29="상세법",FPV(H300,K300),IF(H300="EI",4,IF(H300="EO",5.2,IF(H300="EQ",3.9,IF(H300="ILF",7.5,IF(H300="EIF",5.4)))))))</f>
        <v>3</v>
      </c>
      <c r="M300" s="112">
        <f t="shared" si="7"/>
        <v>3</v>
      </c>
      <c r="N300" s="113" t="s">
        <v>101</v>
      </c>
    </row>
    <row r="301" spans="2:14" ht="27">
      <c r="B301" s="105" t="s">
        <v>96</v>
      </c>
      <c r="C301" s="106" t="s">
        <v>582</v>
      </c>
      <c r="D301" s="107" t="s">
        <v>591</v>
      </c>
      <c r="E301" s="65" t="s">
        <v>591</v>
      </c>
      <c r="F301" s="64" t="s">
        <v>100</v>
      </c>
      <c r="G301" s="64" t="s">
        <v>101</v>
      </c>
      <c r="H301" s="64" t="s">
        <v>111</v>
      </c>
      <c r="I301" s="70">
        <v>1</v>
      </c>
      <c r="J301" s="70">
        <v>22</v>
      </c>
      <c r="K301" s="110" t="str">
        <f>IF(H301="","",IF($C$29="간이법","",FPR(H301,I301,J301)))</f>
        <v>A</v>
      </c>
      <c r="L301" s="111">
        <f>IF(H301="","",IF($C$29="상세법",FPV(H301,K301),IF(H301="EI",4,IF(H301="EO",5.2,IF(H301="EQ",3.9,IF(H301="ILF",7.5,IF(H301="EIF",5.4)))))))</f>
        <v>4</v>
      </c>
      <c r="M301" s="112">
        <f t="shared" si="7"/>
        <v>4</v>
      </c>
      <c r="N301" s="113" t="s">
        <v>101</v>
      </c>
    </row>
    <row r="302" spans="2:14" ht="27">
      <c r="B302" s="105" t="s">
        <v>96</v>
      </c>
      <c r="C302" s="106" t="s">
        <v>582</v>
      </c>
      <c r="D302" s="107" t="s">
        <v>592</v>
      </c>
      <c r="E302" s="65" t="s">
        <v>126</v>
      </c>
      <c r="F302" s="64" t="s">
        <v>100</v>
      </c>
      <c r="G302" s="64" t="s">
        <v>101</v>
      </c>
      <c r="H302" s="64" t="s">
        <v>111</v>
      </c>
      <c r="I302" s="70">
        <v>1</v>
      </c>
      <c r="J302" s="70">
        <v>7</v>
      </c>
      <c r="K302" s="110" t="str">
        <f>IF(H302="","",IF($C$29="간이법","",FPR(H302,I302,J302)))</f>
        <v>L</v>
      </c>
      <c r="L302" s="111">
        <f>IF(H302="","",IF($C$29="상세법",FPV(H302,K302),IF(H302="EI",4,IF(H302="EO",5.2,IF(H302="EQ",3.9,IF(H302="ILF",7.5,IF(H302="EIF",5.4)))))))</f>
        <v>3</v>
      </c>
      <c r="M302" s="112">
        <f t="shared" si="7"/>
        <v>3</v>
      </c>
      <c r="N302" s="113" t="s">
        <v>101</v>
      </c>
    </row>
    <row r="303" spans="2:14" ht="27">
      <c r="B303" s="105" t="s">
        <v>96</v>
      </c>
      <c r="C303" s="106" t="s">
        <v>582</v>
      </c>
      <c r="D303" s="107" t="s">
        <v>593</v>
      </c>
      <c r="E303" s="65" t="s">
        <v>594</v>
      </c>
      <c r="F303" s="64" t="s">
        <v>100</v>
      </c>
      <c r="G303" s="64" t="s">
        <v>101</v>
      </c>
      <c r="H303" s="64" t="s">
        <v>10</v>
      </c>
      <c r="I303" s="70">
        <v>1</v>
      </c>
      <c r="J303" s="70">
        <v>5</v>
      </c>
      <c r="K303" s="110" t="str">
        <f>IF(H303="","",IF($C$29="간이법","",FPR(H303,I303,J303)))</f>
        <v>L</v>
      </c>
      <c r="L303" s="111">
        <f>IF(H303="","",IF($C$29="상세법",FPV(H303,K303),IF(H303="EI",4,IF(H303="EO",5.2,IF(H303="EQ",3.9,IF(H303="ILF",7.5,IF(H303="EIF",5.4)))))))</f>
        <v>3</v>
      </c>
      <c r="M303" s="112">
        <f t="shared" si="7"/>
        <v>3</v>
      </c>
      <c r="N303" s="113" t="s">
        <v>101</v>
      </c>
    </row>
    <row r="304" spans="2:14" ht="27">
      <c r="B304" s="105" t="s">
        <v>96</v>
      </c>
      <c r="C304" s="106" t="s">
        <v>582</v>
      </c>
      <c r="D304" s="107" t="s">
        <v>595</v>
      </c>
      <c r="E304" s="65" t="s">
        <v>596</v>
      </c>
      <c r="F304" s="64" t="s">
        <v>100</v>
      </c>
      <c r="G304" s="64" t="s">
        <v>101</v>
      </c>
      <c r="H304" s="64" t="s">
        <v>10</v>
      </c>
      <c r="I304" s="70">
        <v>1</v>
      </c>
      <c r="J304" s="70">
        <v>4</v>
      </c>
      <c r="K304" s="110" t="str">
        <f>IF(H304="","",IF($C$29="간이법","",FPR(H304,I304,J304)))</f>
        <v>L</v>
      </c>
      <c r="L304" s="111">
        <f>IF(H304="","",IF($C$29="상세법",FPV(H304,K304),IF(H304="EI",4,IF(H304="EO",5.2,IF(H304="EQ",3.9,IF(H304="ILF",7.5,IF(H304="EIF",5.4)))))))</f>
        <v>3</v>
      </c>
      <c r="M304" s="112">
        <f t="shared" si="7"/>
        <v>3</v>
      </c>
      <c r="N304" s="113" t="s">
        <v>101</v>
      </c>
    </row>
    <row r="305" spans="2:14" ht="27">
      <c r="B305" s="105" t="s">
        <v>96</v>
      </c>
      <c r="C305" s="106" t="s">
        <v>582</v>
      </c>
      <c r="D305" s="107" t="s">
        <v>597</v>
      </c>
      <c r="E305" s="65" t="s">
        <v>598</v>
      </c>
      <c r="F305" s="64" t="s">
        <v>100</v>
      </c>
      <c r="G305" s="64" t="s">
        <v>101</v>
      </c>
      <c r="H305" s="64" t="s">
        <v>111</v>
      </c>
      <c r="I305" s="70">
        <v>1</v>
      </c>
      <c r="J305" s="70">
        <v>22</v>
      </c>
      <c r="K305" s="110" t="str">
        <f>IF(H305="","",IF($C$29="간이법","",FPR(H305,I305,J305)))</f>
        <v>A</v>
      </c>
      <c r="L305" s="111">
        <f>IF(H305="","",IF($C$29="상세법",FPV(H305,K305),IF(H305="EI",4,IF(H305="EO",5.2,IF(H305="EQ",3.9,IF(H305="ILF",7.5,IF(H305="EIF",5.4)))))))</f>
        <v>4</v>
      </c>
      <c r="M305" s="112">
        <f t="shared" si="7"/>
        <v>4</v>
      </c>
      <c r="N305" s="113" t="s">
        <v>101</v>
      </c>
    </row>
    <row r="306" spans="2:14" ht="27">
      <c r="B306" s="105" t="s">
        <v>96</v>
      </c>
      <c r="C306" s="106" t="s">
        <v>599</v>
      </c>
      <c r="D306" s="107" t="s">
        <v>600</v>
      </c>
      <c r="E306" s="65" t="s">
        <v>601</v>
      </c>
      <c r="F306" s="64" t="s">
        <v>100</v>
      </c>
      <c r="G306" s="64" t="s">
        <v>101</v>
      </c>
      <c r="H306" s="64" t="s">
        <v>111</v>
      </c>
      <c r="I306" s="70">
        <v>1</v>
      </c>
      <c r="J306" s="70">
        <v>7</v>
      </c>
      <c r="K306" s="110" t="str">
        <f>IF(H306="","",IF($C$29="간이법","",FPR(H306,I306,J306)))</f>
        <v>L</v>
      </c>
      <c r="L306" s="111">
        <f>IF(H306="","",IF($C$29="상세법",FPV(H306,K306),IF(H306="EI",4,IF(H306="EO",5.2,IF(H306="EQ",3.9,IF(H306="ILF",7.5,IF(H306="EIF",5.4)))))))</f>
        <v>3</v>
      </c>
      <c r="M306" s="112">
        <f t="shared" si="7"/>
        <v>3</v>
      </c>
      <c r="N306" s="113" t="s">
        <v>101</v>
      </c>
    </row>
    <row r="307" spans="2:14" ht="27">
      <c r="B307" s="105" t="s">
        <v>96</v>
      </c>
      <c r="C307" s="106" t="s">
        <v>599</v>
      </c>
      <c r="D307" s="107" t="s">
        <v>602</v>
      </c>
      <c r="E307" s="65" t="s">
        <v>603</v>
      </c>
      <c r="F307" s="64" t="s">
        <v>100</v>
      </c>
      <c r="G307" s="64" t="s">
        <v>101</v>
      </c>
      <c r="H307" s="64" t="s">
        <v>111</v>
      </c>
      <c r="I307" s="70">
        <v>1</v>
      </c>
      <c r="J307" s="70">
        <v>4</v>
      </c>
      <c r="K307" s="110" t="str">
        <f>IF(H307="","",IF($C$29="간이법","",FPR(H307,I307,J307)))</f>
        <v>L</v>
      </c>
      <c r="L307" s="111">
        <f>IF(H307="","",IF($C$29="상세법",FPV(H307,K307),IF(H307="EI",4,IF(H307="EO",5.2,IF(H307="EQ",3.9,IF(H307="ILF",7.5,IF(H307="EIF",5.4)))))))</f>
        <v>3</v>
      </c>
      <c r="M307" s="112">
        <f t="shared" si="7"/>
        <v>3</v>
      </c>
      <c r="N307" s="113" t="s">
        <v>101</v>
      </c>
    </row>
    <row r="308" spans="2:14" ht="27">
      <c r="B308" s="105" t="s">
        <v>96</v>
      </c>
      <c r="C308" s="106" t="s">
        <v>599</v>
      </c>
      <c r="D308" s="107" t="s">
        <v>604</v>
      </c>
      <c r="E308" s="65" t="s">
        <v>605</v>
      </c>
      <c r="F308" s="64" t="s">
        <v>100</v>
      </c>
      <c r="G308" s="64" t="s">
        <v>101</v>
      </c>
      <c r="H308" s="64" t="s">
        <v>111</v>
      </c>
      <c r="I308" s="70">
        <v>2</v>
      </c>
      <c r="J308" s="70">
        <v>9</v>
      </c>
      <c r="K308" s="110" t="str">
        <f>IF(H308="","",IF($C$29="간이법","",FPR(H308,I308,J308)))</f>
        <v>A</v>
      </c>
      <c r="L308" s="111">
        <f>IF(H308="","",IF($C$29="상세법",FPV(H308,K308),IF(H308="EI",4,IF(H308="EO",5.2,IF(H308="EQ",3.9,IF(H308="ILF",7.5,IF(H308="EIF",5.4)))))))</f>
        <v>4</v>
      </c>
      <c r="M308" s="112">
        <f t="shared" si="7"/>
        <v>4</v>
      </c>
      <c r="N308" s="113" t="s">
        <v>101</v>
      </c>
    </row>
    <row r="309" spans="2:14" ht="27">
      <c r="B309" s="105" t="s">
        <v>96</v>
      </c>
      <c r="C309" s="106" t="s">
        <v>599</v>
      </c>
      <c r="D309" s="107" t="s">
        <v>606</v>
      </c>
      <c r="E309" s="65" t="s">
        <v>606</v>
      </c>
      <c r="F309" s="64" t="s">
        <v>100</v>
      </c>
      <c r="G309" s="64" t="s">
        <v>101</v>
      </c>
      <c r="H309" s="64" t="s">
        <v>10</v>
      </c>
      <c r="I309" s="70">
        <v>2</v>
      </c>
      <c r="J309" s="70">
        <v>5</v>
      </c>
      <c r="K309" s="110" t="str">
        <f>IF(H309="","",IF($C$29="간이법","",FPR(H309,I309,J309)))</f>
        <v>A</v>
      </c>
      <c r="L309" s="111">
        <f>IF(H309="","",IF($C$29="상세법",FPV(H309,K309),IF(H309="EI",4,IF(H309="EO",5.2,IF(H309="EQ",3.9,IF(H309="ILF",7.5,IF(H309="EIF",5.4)))))))</f>
        <v>4</v>
      </c>
      <c r="M309" s="112">
        <f t="shared" si="7"/>
        <v>4</v>
      </c>
      <c r="N309" s="113" t="s">
        <v>101</v>
      </c>
    </row>
    <row r="310" spans="2:14" ht="27">
      <c r="B310" s="105" t="s">
        <v>96</v>
      </c>
      <c r="C310" s="106" t="s">
        <v>599</v>
      </c>
      <c r="D310" s="107" t="s">
        <v>607</v>
      </c>
      <c r="E310" s="65" t="s">
        <v>608</v>
      </c>
      <c r="F310" s="64" t="s">
        <v>100</v>
      </c>
      <c r="G310" s="64" t="s">
        <v>101</v>
      </c>
      <c r="H310" s="64" t="s">
        <v>102</v>
      </c>
      <c r="I310" s="70">
        <v>1</v>
      </c>
      <c r="J310" s="70">
        <v>4</v>
      </c>
      <c r="K310" s="110" t="str">
        <f>IF(H310="","",IF($C$29="간이법","",FPR(H310,I310,J310)))</f>
        <v>L</v>
      </c>
      <c r="L310" s="111">
        <f>IF(H310="","",IF($C$29="상세법",FPV(H310,K310),IF(H310="EI",4,IF(H310="EO",5.2,IF(H310="EQ",3.9,IF(H310="ILF",7.5,IF(H310="EIF",5.4)))))))</f>
        <v>4</v>
      </c>
      <c r="M310" s="112">
        <f t="shared" si="7"/>
        <v>4</v>
      </c>
      <c r="N310" s="113" t="s">
        <v>101</v>
      </c>
    </row>
    <row r="311" spans="2:14" ht="27">
      <c r="B311" s="105" t="s">
        <v>96</v>
      </c>
      <c r="C311" s="106" t="s">
        <v>599</v>
      </c>
      <c r="D311" s="107" t="s">
        <v>609</v>
      </c>
      <c r="E311" s="65" t="s">
        <v>610</v>
      </c>
      <c r="F311" s="64" t="s">
        <v>100</v>
      </c>
      <c r="G311" s="64" t="s">
        <v>101</v>
      </c>
      <c r="H311" s="64" t="s">
        <v>102</v>
      </c>
      <c r="I311" s="70">
        <v>1</v>
      </c>
      <c r="J311" s="70">
        <v>4</v>
      </c>
      <c r="K311" s="110" t="str">
        <f>IF(H311="","",IF($C$29="간이법","",FPR(H311,I311,J311)))</f>
        <v>L</v>
      </c>
      <c r="L311" s="111">
        <f>IF(H311="","",IF($C$29="상세법",FPV(H311,K311),IF(H311="EI",4,IF(H311="EO",5.2,IF(H311="EQ",3.9,IF(H311="ILF",7.5,IF(H311="EIF",5.4)))))))</f>
        <v>4</v>
      </c>
      <c r="M311" s="112">
        <f t="shared" si="7"/>
        <v>4</v>
      </c>
      <c r="N311" s="113" t="s">
        <v>101</v>
      </c>
    </row>
    <row r="312" spans="2:14" ht="27">
      <c r="B312" s="105" t="s">
        <v>96</v>
      </c>
      <c r="C312" s="106" t="s">
        <v>599</v>
      </c>
      <c r="D312" s="107" t="s">
        <v>611</v>
      </c>
      <c r="E312" s="65" t="s">
        <v>612</v>
      </c>
      <c r="F312" s="64" t="s">
        <v>100</v>
      </c>
      <c r="G312" s="64" t="s">
        <v>101</v>
      </c>
      <c r="H312" s="64" t="s">
        <v>102</v>
      </c>
      <c r="I312" s="70">
        <v>1</v>
      </c>
      <c r="J312" s="70">
        <v>4</v>
      </c>
      <c r="K312" s="110" t="str">
        <f>IF(H312="","",IF($C$29="간이법","",FPR(H312,I312,J312)))</f>
        <v>L</v>
      </c>
      <c r="L312" s="111">
        <f>IF(H312="","",IF($C$29="상세법",FPV(H312,K312),IF(H312="EI",4,IF(H312="EO",5.2,IF(H312="EQ",3.9,IF(H312="ILF",7.5,IF(H312="EIF",5.4)))))))</f>
        <v>4</v>
      </c>
      <c r="M312" s="112">
        <f t="shared" si="7"/>
        <v>4</v>
      </c>
      <c r="N312" s="113" t="s">
        <v>101</v>
      </c>
    </row>
    <row r="313" spans="2:14" ht="27">
      <c r="B313" s="105" t="s">
        <v>96</v>
      </c>
      <c r="C313" s="106" t="s">
        <v>599</v>
      </c>
      <c r="D313" s="107" t="s">
        <v>613</v>
      </c>
      <c r="E313" s="65" t="s">
        <v>614</v>
      </c>
      <c r="F313" s="64" t="s">
        <v>100</v>
      </c>
      <c r="G313" s="64" t="s">
        <v>101</v>
      </c>
      <c r="H313" s="64" t="s">
        <v>102</v>
      </c>
      <c r="I313" s="70">
        <v>1</v>
      </c>
      <c r="J313" s="70">
        <v>4</v>
      </c>
      <c r="K313" s="110" t="str">
        <f>IF(H313="","",IF($C$29="간이법","",FPR(H313,I313,J313)))</f>
        <v>L</v>
      </c>
      <c r="L313" s="111">
        <f>IF(H313="","",IF($C$29="상세법",FPV(H313,K313),IF(H313="EI",4,IF(H313="EO",5.2,IF(H313="EQ",3.9,IF(H313="ILF",7.5,IF(H313="EIF",5.4)))))))</f>
        <v>4</v>
      </c>
      <c r="M313" s="112">
        <f t="shared" ref="M313:M376" si="8">IF(L313="","",L313*IF(G313="상",0.7,IF(G313="중",0.5,IF(G313="하",0.2,1))))</f>
        <v>4</v>
      </c>
      <c r="N313" s="113" t="s">
        <v>101</v>
      </c>
    </row>
    <row r="314" spans="2:14" ht="27">
      <c r="B314" s="105" t="s">
        <v>96</v>
      </c>
      <c r="C314" s="106" t="s">
        <v>599</v>
      </c>
      <c r="D314" s="107" t="s">
        <v>615</v>
      </c>
      <c r="E314" s="65" t="s">
        <v>616</v>
      </c>
      <c r="F314" s="64" t="s">
        <v>100</v>
      </c>
      <c r="G314" s="64" t="s">
        <v>101</v>
      </c>
      <c r="H314" s="64" t="s">
        <v>102</v>
      </c>
      <c r="I314" s="70">
        <v>1</v>
      </c>
      <c r="J314" s="70">
        <v>4</v>
      </c>
      <c r="K314" s="110" t="str">
        <f>IF(H314="","",IF($C$29="간이법","",FPR(H314,I314,J314)))</f>
        <v>L</v>
      </c>
      <c r="L314" s="111">
        <f>IF(H314="","",IF($C$29="상세법",FPV(H314,K314),IF(H314="EI",4,IF(H314="EO",5.2,IF(H314="EQ",3.9,IF(H314="ILF",7.5,IF(H314="EIF",5.4)))))))</f>
        <v>4</v>
      </c>
      <c r="M314" s="112">
        <f t="shared" si="8"/>
        <v>4</v>
      </c>
      <c r="N314" s="113" t="s">
        <v>101</v>
      </c>
    </row>
    <row r="315" spans="2:14" ht="27">
      <c r="B315" s="105" t="s">
        <v>96</v>
      </c>
      <c r="C315" s="106" t="s">
        <v>599</v>
      </c>
      <c r="D315" s="107" t="s">
        <v>617</v>
      </c>
      <c r="E315" s="65" t="s">
        <v>618</v>
      </c>
      <c r="F315" s="64" t="s">
        <v>100</v>
      </c>
      <c r="G315" s="64" t="s">
        <v>101</v>
      </c>
      <c r="H315" s="64" t="s">
        <v>102</v>
      </c>
      <c r="I315" s="70">
        <v>1</v>
      </c>
      <c r="J315" s="70">
        <v>4</v>
      </c>
      <c r="K315" s="110" t="str">
        <f>IF(H315="","",IF($C$29="간이법","",FPR(H315,I315,J315)))</f>
        <v>L</v>
      </c>
      <c r="L315" s="111">
        <f>IF(H315="","",IF($C$29="상세법",FPV(H315,K315),IF(H315="EI",4,IF(H315="EO",5.2,IF(H315="EQ",3.9,IF(H315="ILF",7.5,IF(H315="EIF",5.4)))))))</f>
        <v>4</v>
      </c>
      <c r="M315" s="112">
        <f t="shared" si="8"/>
        <v>4</v>
      </c>
      <c r="N315" s="113" t="s">
        <v>101</v>
      </c>
    </row>
    <row r="316" spans="2:14" ht="27">
      <c r="B316" s="105" t="s">
        <v>96</v>
      </c>
      <c r="C316" s="106" t="s">
        <v>599</v>
      </c>
      <c r="D316" s="107" t="s">
        <v>619</v>
      </c>
      <c r="E316" s="65" t="s">
        <v>620</v>
      </c>
      <c r="F316" s="64" t="s">
        <v>100</v>
      </c>
      <c r="G316" s="64" t="s">
        <v>101</v>
      </c>
      <c r="H316" s="64" t="s">
        <v>102</v>
      </c>
      <c r="I316" s="70">
        <v>1</v>
      </c>
      <c r="J316" s="70">
        <v>4</v>
      </c>
      <c r="K316" s="110" t="str">
        <f>IF(H316="","",IF($C$29="간이법","",FPR(H316,I316,J316)))</f>
        <v>L</v>
      </c>
      <c r="L316" s="111">
        <f>IF(H316="","",IF($C$29="상세법",FPV(H316,K316),IF(H316="EI",4,IF(H316="EO",5.2,IF(H316="EQ",3.9,IF(H316="ILF",7.5,IF(H316="EIF",5.4)))))))</f>
        <v>4</v>
      </c>
      <c r="M316" s="112">
        <f t="shared" si="8"/>
        <v>4</v>
      </c>
      <c r="N316" s="113" t="s">
        <v>101</v>
      </c>
    </row>
    <row r="317" spans="2:14" ht="27">
      <c r="B317" s="105" t="s">
        <v>96</v>
      </c>
      <c r="C317" s="106" t="s">
        <v>599</v>
      </c>
      <c r="D317" s="107" t="s">
        <v>621</v>
      </c>
      <c r="E317" s="65" t="s">
        <v>622</v>
      </c>
      <c r="F317" s="64" t="s">
        <v>100</v>
      </c>
      <c r="G317" s="64" t="s">
        <v>101</v>
      </c>
      <c r="H317" s="64" t="s">
        <v>102</v>
      </c>
      <c r="I317" s="70">
        <v>1</v>
      </c>
      <c r="J317" s="70">
        <v>4</v>
      </c>
      <c r="K317" s="110" t="str">
        <f>IF(H317="","",IF($C$29="간이법","",FPR(H317,I317,J317)))</f>
        <v>L</v>
      </c>
      <c r="L317" s="111">
        <f>IF(H317="","",IF($C$29="상세법",FPV(H317,K317),IF(H317="EI",4,IF(H317="EO",5.2,IF(H317="EQ",3.9,IF(H317="ILF",7.5,IF(H317="EIF",5.4)))))))</f>
        <v>4</v>
      </c>
      <c r="M317" s="112">
        <f t="shared" si="8"/>
        <v>4</v>
      </c>
      <c r="N317" s="113" t="s">
        <v>101</v>
      </c>
    </row>
    <row r="318" spans="2:14" ht="27">
      <c r="B318" s="105" t="s">
        <v>96</v>
      </c>
      <c r="C318" s="106" t="s">
        <v>599</v>
      </c>
      <c r="D318" s="107" t="s">
        <v>623</v>
      </c>
      <c r="E318" s="65" t="s">
        <v>624</v>
      </c>
      <c r="F318" s="64" t="s">
        <v>100</v>
      </c>
      <c r="G318" s="64" t="s">
        <v>101</v>
      </c>
      <c r="H318" s="64" t="s">
        <v>102</v>
      </c>
      <c r="I318" s="70">
        <v>1</v>
      </c>
      <c r="J318" s="70">
        <v>4</v>
      </c>
      <c r="K318" s="110" t="str">
        <f>IF(H318="","",IF($C$29="간이법","",FPR(H318,I318,J318)))</f>
        <v>L</v>
      </c>
      <c r="L318" s="111">
        <f>IF(H318="","",IF($C$29="상세법",FPV(H318,K318),IF(H318="EI",4,IF(H318="EO",5.2,IF(H318="EQ",3.9,IF(H318="ILF",7.5,IF(H318="EIF",5.4)))))))</f>
        <v>4</v>
      </c>
      <c r="M318" s="112">
        <f t="shared" si="8"/>
        <v>4</v>
      </c>
      <c r="N318" s="113" t="s">
        <v>101</v>
      </c>
    </row>
    <row r="319" spans="2:14" ht="27">
      <c r="B319" s="105" t="s">
        <v>96</v>
      </c>
      <c r="C319" s="106" t="s">
        <v>599</v>
      </c>
      <c r="D319" s="107" t="s">
        <v>625</v>
      </c>
      <c r="E319" s="65" t="s">
        <v>626</v>
      </c>
      <c r="F319" s="64" t="s">
        <v>100</v>
      </c>
      <c r="G319" s="64" t="s">
        <v>101</v>
      </c>
      <c r="H319" s="64" t="s">
        <v>111</v>
      </c>
      <c r="I319" s="70">
        <v>1</v>
      </c>
      <c r="J319" s="70">
        <v>7</v>
      </c>
      <c r="K319" s="110" t="str">
        <f>IF(H319="","",IF($C$29="간이법","",FPR(H319,I319,J319)))</f>
        <v>L</v>
      </c>
      <c r="L319" s="111">
        <f>IF(H319="","",IF($C$29="상세법",FPV(H319,K319),IF(H319="EI",4,IF(H319="EO",5.2,IF(H319="EQ",3.9,IF(H319="ILF",7.5,IF(H319="EIF",5.4)))))))</f>
        <v>3</v>
      </c>
      <c r="M319" s="112">
        <f t="shared" si="8"/>
        <v>3</v>
      </c>
      <c r="N319" s="113" t="s">
        <v>101</v>
      </c>
    </row>
    <row r="320" spans="2:14" ht="27">
      <c r="B320" s="105" t="s">
        <v>96</v>
      </c>
      <c r="C320" s="106" t="s">
        <v>599</v>
      </c>
      <c r="D320" s="107" t="s">
        <v>627</v>
      </c>
      <c r="E320" s="65" t="s">
        <v>627</v>
      </c>
      <c r="F320" s="64" t="s">
        <v>100</v>
      </c>
      <c r="G320" s="64" t="s">
        <v>101</v>
      </c>
      <c r="H320" s="64" t="s">
        <v>10</v>
      </c>
      <c r="I320" s="70">
        <v>1</v>
      </c>
      <c r="J320" s="70">
        <v>7</v>
      </c>
      <c r="K320" s="110" t="str">
        <f>IF(H320="","",IF($C$29="간이법","",FPR(H320,I320,J320)))</f>
        <v>L</v>
      </c>
      <c r="L320" s="111">
        <f>IF(H320="","",IF($C$29="상세법",FPV(H320,K320),IF(H320="EI",4,IF(H320="EO",5.2,IF(H320="EQ",3.9,IF(H320="ILF",7.5,IF(H320="EIF",5.4)))))))</f>
        <v>3</v>
      </c>
      <c r="M320" s="112">
        <f t="shared" si="8"/>
        <v>3</v>
      </c>
      <c r="N320" s="113" t="s">
        <v>101</v>
      </c>
    </row>
    <row r="321" spans="2:14" ht="27">
      <c r="B321" s="105" t="s">
        <v>96</v>
      </c>
      <c r="C321" s="106" t="s">
        <v>599</v>
      </c>
      <c r="D321" s="107" t="s">
        <v>628</v>
      </c>
      <c r="E321" s="65" t="s">
        <v>628</v>
      </c>
      <c r="F321" s="64" t="s">
        <v>100</v>
      </c>
      <c r="G321" s="64" t="s">
        <v>101</v>
      </c>
      <c r="H321" s="64" t="s">
        <v>10</v>
      </c>
      <c r="I321" s="70">
        <v>1</v>
      </c>
      <c r="J321" s="70">
        <v>7</v>
      </c>
      <c r="K321" s="110" t="str">
        <f>IF(H321="","",IF($C$29="간이법","",FPR(H321,I321,J321)))</f>
        <v>L</v>
      </c>
      <c r="L321" s="111">
        <f>IF(H321="","",IF($C$29="상세법",FPV(H321,K321),IF(H321="EI",4,IF(H321="EO",5.2,IF(H321="EQ",3.9,IF(H321="ILF",7.5,IF(H321="EIF",5.4)))))))</f>
        <v>3</v>
      </c>
      <c r="M321" s="112">
        <f t="shared" si="8"/>
        <v>3</v>
      </c>
      <c r="N321" s="113" t="s">
        <v>101</v>
      </c>
    </row>
    <row r="322" spans="2:14">
      <c r="B322" s="105" t="s">
        <v>629</v>
      </c>
      <c r="C322" s="106" t="s">
        <v>630</v>
      </c>
      <c r="D322" s="107" t="s">
        <v>631</v>
      </c>
      <c r="E322" s="65" t="s">
        <v>632</v>
      </c>
      <c r="F322" s="64" t="s">
        <v>100</v>
      </c>
      <c r="G322" s="64" t="s">
        <v>101</v>
      </c>
      <c r="H322" s="64" t="s">
        <v>111</v>
      </c>
      <c r="I322" s="70">
        <v>1</v>
      </c>
      <c r="J322" s="70">
        <v>5</v>
      </c>
      <c r="K322" s="110" t="str">
        <f>IF(H322="","",IF($C$29="간이법","",FPR(H322,I322,J322)))</f>
        <v>L</v>
      </c>
      <c r="L322" s="111">
        <f>IF(H322="","",IF($C$29="상세법",FPV(H322,K322),IF(H322="EI",4,IF(H322="EO",5.2,IF(H322="EQ",3.9,IF(H322="ILF",7.5,IF(H322="EIF",5.4)))))))</f>
        <v>3</v>
      </c>
      <c r="M322" s="112">
        <f t="shared" si="8"/>
        <v>3</v>
      </c>
      <c r="N322" s="113" t="s">
        <v>101</v>
      </c>
    </row>
    <row r="323" spans="2:14" ht="27">
      <c r="B323" s="105" t="s">
        <v>629</v>
      </c>
      <c r="C323" s="106" t="s">
        <v>630</v>
      </c>
      <c r="D323" s="107" t="s">
        <v>633</v>
      </c>
      <c r="E323" s="65" t="s">
        <v>634</v>
      </c>
      <c r="F323" s="64" t="s">
        <v>100</v>
      </c>
      <c r="G323" s="64" t="s">
        <v>101</v>
      </c>
      <c r="H323" s="64" t="s">
        <v>111</v>
      </c>
      <c r="I323" s="70">
        <v>1</v>
      </c>
      <c r="J323" s="70">
        <v>5</v>
      </c>
      <c r="K323" s="110" t="str">
        <f>IF(H323="","",IF($C$29="간이법","",FPR(H323,I323,J323)))</f>
        <v>L</v>
      </c>
      <c r="L323" s="111">
        <f>IF(H323="","",IF($C$29="상세법",FPV(H323,K323),IF(H323="EI",4,IF(H323="EO",5.2,IF(H323="EQ",3.9,IF(H323="ILF",7.5,IF(H323="EIF",5.4)))))))</f>
        <v>3</v>
      </c>
      <c r="M323" s="112">
        <f t="shared" si="8"/>
        <v>3</v>
      </c>
      <c r="N323" s="113" t="s">
        <v>101</v>
      </c>
    </row>
    <row r="324" spans="2:14" ht="27">
      <c r="B324" s="105" t="s">
        <v>629</v>
      </c>
      <c r="C324" s="106" t="s">
        <v>630</v>
      </c>
      <c r="D324" s="107" t="s">
        <v>635</v>
      </c>
      <c r="E324" s="65" t="s">
        <v>636</v>
      </c>
      <c r="F324" s="64" t="s">
        <v>100</v>
      </c>
      <c r="G324" s="64" t="s">
        <v>101</v>
      </c>
      <c r="H324" s="64" t="s">
        <v>111</v>
      </c>
      <c r="I324" s="70">
        <v>1</v>
      </c>
      <c r="J324" s="70">
        <v>5</v>
      </c>
      <c r="K324" s="110" t="str">
        <f>IF(H324="","",IF($C$29="간이법","",FPR(H324,I324,J324)))</f>
        <v>L</v>
      </c>
      <c r="L324" s="111">
        <f>IF(H324="","",IF($C$29="상세법",FPV(H324,K324),IF(H324="EI",4,IF(H324="EO",5.2,IF(H324="EQ",3.9,IF(H324="ILF",7.5,IF(H324="EIF",5.4)))))))</f>
        <v>3</v>
      </c>
      <c r="M324" s="112">
        <f t="shared" si="8"/>
        <v>3</v>
      </c>
      <c r="N324" s="113" t="s">
        <v>101</v>
      </c>
    </row>
    <row r="325" spans="2:14" ht="27">
      <c r="B325" s="105" t="s">
        <v>629</v>
      </c>
      <c r="C325" s="106" t="s">
        <v>630</v>
      </c>
      <c r="D325" s="107" t="s">
        <v>637</v>
      </c>
      <c r="E325" s="65" t="s">
        <v>638</v>
      </c>
      <c r="F325" s="64" t="s">
        <v>100</v>
      </c>
      <c r="G325" s="64" t="s">
        <v>101</v>
      </c>
      <c r="H325" s="64" t="s">
        <v>111</v>
      </c>
      <c r="I325" s="70">
        <v>1</v>
      </c>
      <c r="J325" s="70">
        <v>5</v>
      </c>
      <c r="K325" s="110" t="str">
        <f>IF(H325="","",IF($C$29="간이법","",FPR(H325,I325,J325)))</f>
        <v>L</v>
      </c>
      <c r="L325" s="111">
        <f>IF(H325="","",IF($C$29="상세법",FPV(H325,K325),IF(H325="EI",4,IF(H325="EO",5.2,IF(H325="EQ",3.9,IF(H325="ILF",7.5,IF(H325="EIF",5.4)))))))</f>
        <v>3</v>
      </c>
      <c r="M325" s="112">
        <f t="shared" si="8"/>
        <v>3</v>
      </c>
      <c r="N325" s="113" t="s">
        <v>101</v>
      </c>
    </row>
    <row r="326" spans="2:14" ht="27">
      <c r="B326" s="105" t="s">
        <v>629</v>
      </c>
      <c r="C326" s="106" t="s">
        <v>630</v>
      </c>
      <c r="D326" s="107" t="s">
        <v>639</v>
      </c>
      <c r="E326" s="65" t="s">
        <v>640</v>
      </c>
      <c r="F326" s="64" t="s">
        <v>426</v>
      </c>
      <c r="G326" s="64" t="s">
        <v>101</v>
      </c>
      <c r="H326" s="64" t="s">
        <v>111</v>
      </c>
      <c r="I326" s="70">
        <v>1</v>
      </c>
      <c r="J326" s="70">
        <v>5</v>
      </c>
      <c r="K326" s="110" t="str">
        <f>IF(H326="","",IF($C$29="간이법","",FPR(H326,I326,J326)))</f>
        <v>L</v>
      </c>
      <c r="L326" s="111">
        <f>IF(H326="","",IF($C$29="상세법",FPV(H326,K326),IF(H326="EI",4,IF(H326="EO",5.2,IF(H326="EQ",3.9,IF(H326="ILF",7.5,IF(H326="EIF",5.4)))))))</f>
        <v>3</v>
      </c>
      <c r="M326" s="112">
        <f t="shared" si="8"/>
        <v>3</v>
      </c>
      <c r="N326" s="113" t="s">
        <v>101</v>
      </c>
    </row>
    <row r="327" spans="2:14" ht="27">
      <c r="B327" s="105" t="s">
        <v>629</v>
      </c>
      <c r="C327" s="106" t="s">
        <v>630</v>
      </c>
      <c r="D327" s="107" t="s">
        <v>641</v>
      </c>
      <c r="E327" s="65" t="s">
        <v>642</v>
      </c>
      <c r="F327" s="64" t="s">
        <v>100</v>
      </c>
      <c r="G327" s="64" t="s">
        <v>101</v>
      </c>
      <c r="H327" s="64" t="s">
        <v>111</v>
      </c>
      <c r="I327" s="70">
        <v>1</v>
      </c>
      <c r="J327" s="70">
        <v>5</v>
      </c>
      <c r="K327" s="110" t="str">
        <f>IF(H327="","",IF($C$29="간이법","",FPR(H327,I327,J327)))</f>
        <v>L</v>
      </c>
      <c r="L327" s="111">
        <f>IF(H327="","",IF($C$29="상세법",FPV(H327,K327),IF(H327="EI",4,IF(H327="EO",5.2,IF(H327="EQ",3.9,IF(H327="ILF",7.5,IF(H327="EIF",5.4)))))))</f>
        <v>3</v>
      </c>
      <c r="M327" s="112">
        <f t="shared" si="8"/>
        <v>3</v>
      </c>
      <c r="N327" s="113" t="s">
        <v>101</v>
      </c>
    </row>
    <row r="328" spans="2:14">
      <c r="B328" s="105" t="s">
        <v>629</v>
      </c>
      <c r="C328" s="106" t="s">
        <v>630</v>
      </c>
      <c r="D328" s="107" t="s">
        <v>643</v>
      </c>
      <c r="E328" s="65" t="s">
        <v>644</v>
      </c>
      <c r="F328" s="64" t="s">
        <v>205</v>
      </c>
      <c r="G328" s="64" t="s">
        <v>101</v>
      </c>
      <c r="H328" s="64" t="s">
        <v>111</v>
      </c>
      <c r="I328" s="70">
        <v>1</v>
      </c>
      <c r="J328" s="70">
        <v>5</v>
      </c>
      <c r="K328" s="110" t="str">
        <f>IF(H328="","",IF($C$29="간이법","",FPR(H328,I328,J328)))</f>
        <v>L</v>
      </c>
      <c r="L328" s="111">
        <f>IF(H328="","",IF($C$29="상세법",FPV(H328,K328),IF(H328="EI",4,IF(H328="EO",5.2,IF(H328="EQ",3.9,IF(H328="ILF",7.5,IF(H328="EIF",5.4)))))))</f>
        <v>3</v>
      </c>
      <c r="M328" s="112">
        <f t="shared" si="8"/>
        <v>3</v>
      </c>
      <c r="N328" s="113" t="s">
        <v>101</v>
      </c>
    </row>
    <row r="329" spans="2:14" ht="27">
      <c r="B329" s="105" t="s">
        <v>629</v>
      </c>
      <c r="C329" s="106" t="s">
        <v>630</v>
      </c>
      <c r="D329" s="107" t="s">
        <v>645</v>
      </c>
      <c r="E329" s="65" t="s">
        <v>646</v>
      </c>
      <c r="F329" s="64" t="s">
        <v>205</v>
      </c>
      <c r="G329" s="64" t="s">
        <v>101</v>
      </c>
      <c r="H329" s="64" t="s">
        <v>111</v>
      </c>
      <c r="I329" s="70">
        <v>1</v>
      </c>
      <c r="J329" s="70">
        <v>5</v>
      </c>
      <c r="K329" s="110" t="str">
        <f>IF(H329="","",IF($C$29="간이법","",FPR(H329,I329,J329)))</f>
        <v>L</v>
      </c>
      <c r="L329" s="111">
        <f>IF(H329="","",IF($C$29="상세법",FPV(H329,K329),IF(H329="EI",4,IF(H329="EO",5.2,IF(H329="EQ",3.9,IF(H329="ILF",7.5,IF(H329="EIF",5.4)))))))</f>
        <v>3</v>
      </c>
      <c r="M329" s="112">
        <f t="shared" si="8"/>
        <v>3</v>
      </c>
      <c r="N329" s="113" t="s">
        <v>101</v>
      </c>
    </row>
    <row r="330" spans="2:14" ht="27">
      <c r="B330" s="105" t="s">
        <v>629</v>
      </c>
      <c r="C330" s="106" t="s">
        <v>630</v>
      </c>
      <c r="D330" s="107" t="s">
        <v>647</v>
      </c>
      <c r="E330" s="65" t="s">
        <v>648</v>
      </c>
      <c r="F330" s="64" t="s">
        <v>205</v>
      </c>
      <c r="G330" s="64" t="s">
        <v>101</v>
      </c>
      <c r="H330" s="64" t="s">
        <v>111</v>
      </c>
      <c r="I330" s="70">
        <v>1</v>
      </c>
      <c r="J330" s="70">
        <v>11</v>
      </c>
      <c r="K330" s="110" t="str">
        <f>IF(H330="","",IF($C$29="간이법","",FPR(H330,I330,J330)))</f>
        <v>L</v>
      </c>
      <c r="L330" s="111">
        <f>IF(H330="","",IF($C$29="상세법",FPV(H330,K330),IF(H330="EI",4,IF(H330="EO",5.2,IF(H330="EQ",3.9,IF(H330="ILF",7.5,IF(H330="EIF",5.4)))))))</f>
        <v>3</v>
      </c>
      <c r="M330" s="112">
        <f t="shared" si="8"/>
        <v>3</v>
      </c>
      <c r="N330" s="113" t="s">
        <v>101</v>
      </c>
    </row>
    <row r="331" spans="2:14" ht="27">
      <c r="B331" s="105" t="s">
        <v>629</v>
      </c>
      <c r="C331" s="106" t="s">
        <v>630</v>
      </c>
      <c r="D331" s="107" t="s">
        <v>649</v>
      </c>
      <c r="E331" s="65" t="s">
        <v>650</v>
      </c>
      <c r="F331" s="64" t="s">
        <v>205</v>
      </c>
      <c r="G331" s="64" t="s">
        <v>101</v>
      </c>
      <c r="H331" s="64" t="s">
        <v>111</v>
      </c>
      <c r="I331" s="70">
        <v>1</v>
      </c>
      <c r="J331" s="70">
        <v>5</v>
      </c>
      <c r="K331" s="110" t="str">
        <f>IF(H331="","",IF($C$29="간이법","",FPR(H331,I331,J331)))</f>
        <v>L</v>
      </c>
      <c r="L331" s="111">
        <f>IF(H331="","",IF($C$29="상세법",FPV(H331,K331),IF(H331="EI",4,IF(H331="EO",5.2,IF(H331="EQ",3.9,IF(H331="ILF",7.5,IF(H331="EIF",5.4)))))))</f>
        <v>3</v>
      </c>
      <c r="M331" s="112">
        <f t="shared" si="8"/>
        <v>3</v>
      </c>
      <c r="N331" s="113" t="s">
        <v>101</v>
      </c>
    </row>
    <row r="332" spans="2:14" ht="27">
      <c r="B332" s="105" t="s">
        <v>629</v>
      </c>
      <c r="C332" s="106" t="s">
        <v>630</v>
      </c>
      <c r="D332" s="107" t="s">
        <v>651</v>
      </c>
      <c r="E332" s="65" t="s">
        <v>652</v>
      </c>
      <c r="F332" s="64" t="s">
        <v>205</v>
      </c>
      <c r="G332" s="64" t="s">
        <v>101</v>
      </c>
      <c r="H332" s="64" t="s">
        <v>111</v>
      </c>
      <c r="I332" s="70">
        <v>1</v>
      </c>
      <c r="J332" s="70">
        <v>5</v>
      </c>
      <c r="K332" s="110" t="str">
        <f>IF(H332="","",IF($C$29="간이법","",FPR(H332,I332,J332)))</f>
        <v>L</v>
      </c>
      <c r="L332" s="111">
        <f>IF(H332="","",IF($C$29="상세법",FPV(H332,K332),IF(H332="EI",4,IF(H332="EO",5.2,IF(H332="EQ",3.9,IF(H332="ILF",7.5,IF(H332="EIF",5.4)))))))</f>
        <v>3</v>
      </c>
      <c r="M332" s="112">
        <f t="shared" si="8"/>
        <v>3</v>
      </c>
      <c r="N332" s="113" t="s">
        <v>101</v>
      </c>
    </row>
    <row r="333" spans="2:14" ht="27">
      <c r="B333" s="105" t="s">
        <v>629</v>
      </c>
      <c r="C333" s="106" t="s">
        <v>630</v>
      </c>
      <c r="D333" s="107" t="s">
        <v>653</v>
      </c>
      <c r="E333" s="65" t="s">
        <v>653</v>
      </c>
      <c r="F333" s="64" t="s">
        <v>205</v>
      </c>
      <c r="G333" s="64" t="s">
        <v>101</v>
      </c>
      <c r="H333" s="64" t="s">
        <v>10</v>
      </c>
      <c r="I333" s="70">
        <v>1</v>
      </c>
      <c r="J333" s="70">
        <v>19</v>
      </c>
      <c r="K333" s="110" t="str">
        <f>IF(H333="","",IF($C$29="간이법","",FPR(H333,I333,J333)))</f>
        <v>A</v>
      </c>
      <c r="L333" s="111">
        <f>IF(H333="","",IF($C$29="상세법",FPV(H333,K333),IF(H333="EI",4,IF(H333="EO",5.2,IF(H333="EQ",3.9,IF(H333="ILF",7.5,IF(H333="EIF",5.4)))))))</f>
        <v>4</v>
      </c>
      <c r="M333" s="112">
        <f t="shared" si="8"/>
        <v>4</v>
      </c>
      <c r="N333" s="113" t="s">
        <v>101</v>
      </c>
    </row>
    <row r="334" spans="2:14" ht="27">
      <c r="B334" s="105" t="s">
        <v>629</v>
      </c>
      <c r="C334" s="106" t="s">
        <v>630</v>
      </c>
      <c r="D334" s="107" t="s">
        <v>654</v>
      </c>
      <c r="E334" s="65" t="s">
        <v>654</v>
      </c>
      <c r="F334" s="64" t="s">
        <v>205</v>
      </c>
      <c r="G334" s="64" t="s">
        <v>101</v>
      </c>
      <c r="H334" s="64" t="s">
        <v>10</v>
      </c>
      <c r="I334" s="70">
        <v>1</v>
      </c>
      <c r="J334" s="70">
        <v>19</v>
      </c>
      <c r="K334" s="110" t="str">
        <f>IF(H334="","",IF($C$29="간이법","",FPR(H334,I334,J334)))</f>
        <v>A</v>
      </c>
      <c r="L334" s="111">
        <f>IF(H334="","",IF($C$29="상세법",FPV(H334,K334),IF(H334="EI",4,IF(H334="EO",5.2,IF(H334="EQ",3.9,IF(H334="ILF",7.5,IF(H334="EIF",5.4)))))))</f>
        <v>4</v>
      </c>
      <c r="M334" s="112">
        <f t="shared" si="8"/>
        <v>4</v>
      </c>
      <c r="N334" s="113" t="s">
        <v>101</v>
      </c>
    </row>
    <row r="335" spans="2:14" ht="27">
      <c r="B335" s="105" t="s">
        <v>629</v>
      </c>
      <c r="C335" s="106" t="s">
        <v>630</v>
      </c>
      <c r="D335" s="107" t="s">
        <v>655</v>
      </c>
      <c r="E335" s="65" t="s">
        <v>655</v>
      </c>
      <c r="F335" s="64" t="s">
        <v>205</v>
      </c>
      <c r="G335" s="64" t="s">
        <v>101</v>
      </c>
      <c r="H335" s="64" t="s">
        <v>10</v>
      </c>
      <c r="I335" s="70">
        <v>1</v>
      </c>
      <c r="J335" s="70">
        <v>5</v>
      </c>
      <c r="K335" s="110" t="str">
        <f>IF(H335="","",IF($C$29="간이법","",FPR(H335,I335,J335)))</f>
        <v>L</v>
      </c>
      <c r="L335" s="111">
        <f>IF(H335="","",IF($C$29="상세법",FPV(H335,K335),IF(H335="EI",4,IF(H335="EO",5.2,IF(H335="EQ",3.9,IF(H335="ILF",7.5,IF(H335="EIF",5.4)))))))</f>
        <v>3</v>
      </c>
      <c r="M335" s="112">
        <f t="shared" si="8"/>
        <v>3</v>
      </c>
      <c r="N335" s="113" t="s">
        <v>101</v>
      </c>
    </row>
    <row r="336" spans="2:14" ht="27">
      <c r="B336" s="105" t="s">
        <v>629</v>
      </c>
      <c r="C336" s="106" t="s">
        <v>630</v>
      </c>
      <c r="D336" s="107" t="s">
        <v>656</v>
      </c>
      <c r="E336" s="65" t="s">
        <v>657</v>
      </c>
      <c r="F336" s="64" t="s">
        <v>100</v>
      </c>
      <c r="G336" s="64" t="s">
        <v>101</v>
      </c>
      <c r="H336" s="64" t="s">
        <v>111</v>
      </c>
      <c r="I336" s="70">
        <v>3</v>
      </c>
      <c r="J336" s="70">
        <v>20</v>
      </c>
      <c r="K336" s="110" t="str">
        <f>IF(H336="","",IF($C$29="간이법","",FPR(H336,I336,J336)))</f>
        <v>H</v>
      </c>
      <c r="L336" s="111">
        <f>IF(H336="","",IF($C$29="상세법",FPV(H336,K336),IF(H336="EI",4,IF(H336="EO",5.2,IF(H336="EQ",3.9,IF(H336="ILF",7.5,IF(H336="EIF",5.4)))))))</f>
        <v>6</v>
      </c>
      <c r="M336" s="112">
        <f t="shared" si="8"/>
        <v>6</v>
      </c>
      <c r="N336" s="113" t="s">
        <v>101</v>
      </c>
    </row>
    <row r="337" spans="2:14" ht="27">
      <c r="B337" s="105" t="s">
        <v>629</v>
      </c>
      <c r="C337" s="106" t="s">
        <v>630</v>
      </c>
      <c r="D337" s="107" t="s">
        <v>658</v>
      </c>
      <c r="E337" s="65" t="s">
        <v>659</v>
      </c>
      <c r="F337" s="64" t="s">
        <v>100</v>
      </c>
      <c r="G337" s="64" t="s">
        <v>101</v>
      </c>
      <c r="H337" s="64" t="s">
        <v>111</v>
      </c>
      <c r="I337" s="70">
        <v>1</v>
      </c>
      <c r="J337" s="70">
        <v>7</v>
      </c>
      <c r="K337" s="110" t="str">
        <f>IF(H337="","",IF($C$29="간이법","",FPR(H337,I337,J337)))</f>
        <v>L</v>
      </c>
      <c r="L337" s="111">
        <f>IF(H337="","",IF($C$29="상세법",FPV(H337,K337),IF(H337="EI",4,IF(H337="EO",5.2,IF(H337="EQ",3.9,IF(H337="ILF",7.5,IF(H337="EIF",5.4)))))))</f>
        <v>3</v>
      </c>
      <c r="M337" s="112">
        <f t="shared" si="8"/>
        <v>3</v>
      </c>
      <c r="N337" s="113" t="s">
        <v>101</v>
      </c>
    </row>
    <row r="338" spans="2:14" ht="27">
      <c r="B338" s="105" t="s">
        <v>629</v>
      </c>
      <c r="C338" s="106" t="s">
        <v>630</v>
      </c>
      <c r="D338" s="107" t="s">
        <v>660</v>
      </c>
      <c r="E338" s="65" t="s">
        <v>661</v>
      </c>
      <c r="F338" s="64" t="s">
        <v>100</v>
      </c>
      <c r="G338" s="64" t="s">
        <v>101</v>
      </c>
      <c r="H338" s="64" t="s">
        <v>111</v>
      </c>
      <c r="I338" s="70">
        <v>1</v>
      </c>
      <c r="J338" s="70">
        <v>4</v>
      </c>
      <c r="K338" s="110" t="str">
        <f>IF(H338="","",IF($C$29="간이법","",FPR(H338,I338,J338)))</f>
        <v>L</v>
      </c>
      <c r="L338" s="111">
        <f>IF(H338="","",IF($C$29="상세법",FPV(H338,K338),IF(H338="EI",4,IF(H338="EO",5.2,IF(H338="EQ",3.9,IF(H338="ILF",7.5,IF(H338="EIF",5.4)))))))</f>
        <v>3</v>
      </c>
      <c r="M338" s="112">
        <f t="shared" si="8"/>
        <v>3</v>
      </c>
      <c r="N338" s="113" t="s">
        <v>101</v>
      </c>
    </row>
    <row r="339" spans="2:14" ht="40.5">
      <c r="B339" s="105" t="s">
        <v>629</v>
      </c>
      <c r="C339" s="106" t="s">
        <v>630</v>
      </c>
      <c r="D339" s="107" t="s">
        <v>662</v>
      </c>
      <c r="E339" s="65" t="s">
        <v>663</v>
      </c>
      <c r="F339" s="64" t="s">
        <v>100</v>
      </c>
      <c r="G339" s="64" t="s">
        <v>101</v>
      </c>
      <c r="H339" s="64" t="s">
        <v>111</v>
      </c>
      <c r="I339" s="70">
        <v>2</v>
      </c>
      <c r="J339" s="70">
        <v>7</v>
      </c>
      <c r="K339" s="110" t="str">
        <f>IF(H339="","",IF($C$29="간이법","",FPR(H339,I339,J339)))</f>
        <v>A</v>
      </c>
      <c r="L339" s="111">
        <f>IF(H339="","",IF($C$29="상세법",FPV(H339,K339),IF(H339="EI",4,IF(H339="EO",5.2,IF(H339="EQ",3.9,IF(H339="ILF",7.5,IF(H339="EIF",5.4)))))))</f>
        <v>4</v>
      </c>
      <c r="M339" s="112">
        <f t="shared" si="8"/>
        <v>4</v>
      </c>
      <c r="N339" s="113" t="s">
        <v>101</v>
      </c>
    </row>
    <row r="340" spans="2:14" ht="40.5">
      <c r="B340" s="105" t="s">
        <v>629</v>
      </c>
      <c r="C340" s="106" t="s">
        <v>630</v>
      </c>
      <c r="D340" s="107" t="s">
        <v>664</v>
      </c>
      <c r="E340" s="65" t="s">
        <v>665</v>
      </c>
      <c r="F340" s="64" t="s">
        <v>100</v>
      </c>
      <c r="G340" s="64" t="s">
        <v>101</v>
      </c>
      <c r="H340" s="64" t="s">
        <v>111</v>
      </c>
      <c r="I340" s="70">
        <v>1</v>
      </c>
      <c r="J340" s="70">
        <v>5</v>
      </c>
      <c r="K340" s="110" t="str">
        <f>IF(H340="","",IF($C$29="간이법","",FPR(H340,I340,J340)))</f>
        <v>L</v>
      </c>
      <c r="L340" s="111">
        <f>IF(H340="","",IF($C$29="상세법",FPV(H340,K340),IF(H340="EI",4,IF(H340="EO",5.2,IF(H340="EQ",3.9,IF(H340="ILF",7.5,IF(H340="EIF",5.4)))))))</f>
        <v>3</v>
      </c>
      <c r="M340" s="112">
        <f t="shared" si="8"/>
        <v>3</v>
      </c>
      <c r="N340" s="113" t="s">
        <v>101</v>
      </c>
    </row>
    <row r="341" spans="2:14" ht="27">
      <c r="B341" s="105" t="s">
        <v>629</v>
      </c>
      <c r="C341" s="106" t="s">
        <v>630</v>
      </c>
      <c r="D341" s="107" t="s">
        <v>666</v>
      </c>
      <c r="E341" s="65" t="s">
        <v>667</v>
      </c>
      <c r="F341" s="64" t="s">
        <v>100</v>
      </c>
      <c r="G341" s="64" t="s">
        <v>101</v>
      </c>
      <c r="H341" s="64" t="s">
        <v>111</v>
      </c>
      <c r="I341" s="70">
        <v>1</v>
      </c>
      <c r="J341" s="70">
        <v>4</v>
      </c>
      <c r="K341" s="110" t="str">
        <f>IF(H341="","",IF($C$29="간이법","",FPR(H341,I341,J341)))</f>
        <v>L</v>
      </c>
      <c r="L341" s="111">
        <f>IF(H341="","",IF($C$29="상세법",FPV(H341,K341),IF(H341="EI",4,IF(H341="EO",5.2,IF(H341="EQ",3.9,IF(H341="ILF",7.5,IF(H341="EIF",5.4)))))))</f>
        <v>3</v>
      </c>
      <c r="M341" s="112">
        <f t="shared" si="8"/>
        <v>3</v>
      </c>
      <c r="N341" s="113" t="s">
        <v>101</v>
      </c>
    </row>
    <row r="342" spans="2:14" ht="27">
      <c r="B342" s="105" t="s">
        <v>629</v>
      </c>
      <c r="C342" s="106" t="s">
        <v>630</v>
      </c>
      <c r="D342" s="107" t="s">
        <v>668</v>
      </c>
      <c r="E342" s="65" t="s">
        <v>669</v>
      </c>
      <c r="F342" s="64" t="s">
        <v>100</v>
      </c>
      <c r="G342" s="64" t="s">
        <v>101</v>
      </c>
      <c r="H342" s="64" t="s">
        <v>111</v>
      </c>
      <c r="I342" s="70">
        <v>1</v>
      </c>
      <c r="J342" s="70">
        <v>11</v>
      </c>
      <c r="K342" s="110" t="str">
        <f>IF(H342="","",IF($C$29="간이법","",FPR(H342,I342,J342)))</f>
        <v>L</v>
      </c>
      <c r="L342" s="111">
        <f>IF(H342="","",IF($C$29="상세법",FPV(H342,K342),IF(H342="EI",4,IF(H342="EO",5.2,IF(H342="EQ",3.9,IF(H342="ILF",7.5,IF(H342="EIF",5.4)))))))</f>
        <v>3</v>
      </c>
      <c r="M342" s="112">
        <f t="shared" si="8"/>
        <v>3</v>
      </c>
      <c r="N342" s="113" t="s">
        <v>101</v>
      </c>
    </row>
    <row r="343" spans="2:14">
      <c r="B343" s="105" t="s">
        <v>629</v>
      </c>
      <c r="C343" s="106" t="s">
        <v>630</v>
      </c>
      <c r="D343" s="107" t="s">
        <v>670</v>
      </c>
      <c r="E343" s="65" t="s">
        <v>671</v>
      </c>
      <c r="F343" s="64" t="s">
        <v>100</v>
      </c>
      <c r="G343" s="64" t="s">
        <v>101</v>
      </c>
      <c r="H343" s="64" t="s">
        <v>111</v>
      </c>
      <c r="I343" s="70">
        <v>1</v>
      </c>
      <c r="J343" s="70">
        <v>27</v>
      </c>
      <c r="K343" s="110" t="str">
        <f>IF(H343="","",IF($C$29="간이법","",FPR(H343,I343,J343)))</f>
        <v>A</v>
      </c>
      <c r="L343" s="111">
        <f>IF(H343="","",IF($C$29="상세법",FPV(H343,K343),IF(H343="EI",4,IF(H343="EO",5.2,IF(H343="EQ",3.9,IF(H343="ILF",7.5,IF(H343="EIF",5.4)))))))</f>
        <v>4</v>
      </c>
      <c r="M343" s="112">
        <f t="shared" si="8"/>
        <v>4</v>
      </c>
      <c r="N343" s="113" t="s">
        <v>101</v>
      </c>
    </row>
    <row r="344" spans="2:14">
      <c r="B344" s="105" t="s">
        <v>629</v>
      </c>
      <c r="C344" s="106" t="s">
        <v>630</v>
      </c>
      <c r="D344" s="107" t="s">
        <v>672</v>
      </c>
      <c r="E344" s="65" t="s">
        <v>673</v>
      </c>
      <c r="F344" s="64" t="s">
        <v>100</v>
      </c>
      <c r="G344" s="64" t="s">
        <v>101</v>
      </c>
      <c r="H344" s="64" t="s">
        <v>111</v>
      </c>
      <c r="I344" s="70">
        <v>1</v>
      </c>
      <c r="J344" s="70">
        <v>5</v>
      </c>
      <c r="K344" s="110" t="str">
        <f>IF(H344="","",IF($C$29="간이법","",FPR(H344,I344,J344)))</f>
        <v>L</v>
      </c>
      <c r="L344" s="111">
        <f>IF(H344="","",IF($C$29="상세법",FPV(H344,K344),IF(H344="EI",4,IF(H344="EO",5.2,IF(H344="EQ",3.9,IF(H344="ILF",7.5,IF(H344="EIF",5.4)))))))</f>
        <v>3</v>
      </c>
      <c r="M344" s="112">
        <f t="shared" si="8"/>
        <v>3</v>
      </c>
      <c r="N344" s="113" t="s">
        <v>101</v>
      </c>
    </row>
    <row r="345" spans="2:14">
      <c r="B345" s="105" t="s">
        <v>629</v>
      </c>
      <c r="C345" s="106" t="s">
        <v>630</v>
      </c>
      <c r="D345" s="107" t="s">
        <v>674</v>
      </c>
      <c r="E345" s="65" t="s">
        <v>675</v>
      </c>
      <c r="F345" s="64" t="s">
        <v>100</v>
      </c>
      <c r="G345" s="64" t="s">
        <v>101</v>
      </c>
      <c r="H345" s="64" t="s">
        <v>111</v>
      </c>
      <c r="I345" s="70">
        <v>1</v>
      </c>
      <c r="J345" s="70">
        <v>5</v>
      </c>
      <c r="K345" s="110" t="str">
        <f>IF(H345="","",IF($C$29="간이법","",FPR(H345,I345,J345)))</f>
        <v>L</v>
      </c>
      <c r="L345" s="111">
        <f>IF(H345="","",IF($C$29="상세법",FPV(H345,K345),IF(H345="EI",4,IF(H345="EO",5.2,IF(H345="EQ",3.9,IF(H345="ILF",7.5,IF(H345="EIF",5.4)))))))</f>
        <v>3</v>
      </c>
      <c r="M345" s="112">
        <f t="shared" si="8"/>
        <v>3</v>
      </c>
      <c r="N345" s="113" t="s">
        <v>101</v>
      </c>
    </row>
    <row r="346" spans="2:14">
      <c r="B346" s="105" t="s">
        <v>629</v>
      </c>
      <c r="C346" s="106" t="s">
        <v>630</v>
      </c>
      <c r="D346" s="107" t="s">
        <v>676</v>
      </c>
      <c r="E346" s="65" t="s">
        <v>677</v>
      </c>
      <c r="F346" s="64" t="s">
        <v>100</v>
      </c>
      <c r="G346" s="64" t="s">
        <v>101</v>
      </c>
      <c r="H346" s="64" t="s">
        <v>10</v>
      </c>
      <c r="I346" s="70">
        <v>3</v>
      </c>
      <c r="J346" s="70">
        <v>28</v>
      </c>
      <c r="K346" s="110" t="str">
        <f>IF(H346="","",IF($C$29="간이법","",FPR(H346,I346,J346)))</f>
        <v>H</v>
      </c>
      <c r="L346" s="111">
        <f>IF(H346="","",IF($C$29="상세법",FPV(H346,K346),IF(H346="EI",4,IF(H346="EO",5.2,IF(H346="EQ",3.9,IF(H346="ILF",7.5,IF(H346="EIF",5.4)))))))</f>
        <v>6</v>
      </c>
      <c r="M346" s="112">
        <f t="shared" si="8"/>
        <v>6</v>
      </c>
      <c r="N346" s="113" t="s">
        <v>101</v>
      </c>
    </row>
    <row r="347" spans="2:14" ht="27">
      <c r="B347" s="105" t="s">
        <v>629</v>
      </c>
      <c r="C347" s="106" t="s">
        <v>630</v>
      </c>
      <c r="D347" s="107" t="s">
        <v>678</v>
      </c>
      <c r="E347" s="65" t="s">
        <v>679</v>
      </c>
      <c r="F347" s="64" t="s">
        <v>100</v>
      </c>
      <c r="G347" s="64" t="s">
        <v>101</v>
      </c>
      <c r="H347" s="64" t="s">
        <v>10</v>
      </c>
      <c r="I347" s="70">
        <v>4</v>
      </c>
      <c r="J347" s="70">
        <v>27</v>
      </c>
      <c r="K347" s="110" t="str">
        <f>IF(H347="","",IF($C$29="간이법","",FPR(H347,I347,J347)))</f>
        <v>H</v>
      </c>
      <c r="L347" s="111">
        <f>IF(H347="","",IF($C$29="상세법",FPV(H347,K347),IF(H347="EI",4,IF(H347="EO",5.2,IF(H347="EQ",3.9,IF(H347="ILF",7.5,IF(H347="EIF",5.4)))))))</f>
        <v>6</v>
      </c>
      <c r="M347" s="112">
        <f t="shared" si="8"/>
        <v>6</v>
      </c>
      <c r="N347" s="113" t="s">
        <v>101</v>
      </c>
    </row>
    <row r="348" spans="2:14" ht="27">
      <c r="B348" s="105" t="s">
        <v>629</v>
      </c>
      <c r="C348" s="106" t="s">
        <v>630</v>
      </c>
      <c r="D348" s="107" t="s">
        <v>680</v>
      </c>
      <c r="E348" s="65" t="s">
        <v>681</v>
      </c>
      <c r="F348" s="64" t="s">
        <v>100</v>
      </c>
      <c r="G348" s="64" t="s">
        <v>101</v>
      </c>
      <c r="H348" s="64" t="s">
        <v>10</v>
      </c>
      <c r="I348" s="70">
        <v>1</v>
      </c>
      <c r="J348" s="70">
        <v>7</v>
      </c>
      <c r="K348" s="110" t="str">
        <f>IF(H348="","",IF($C$29="간이법","",FPR(H348,I348,J348)))</f>
        <v>L</v>
      </c>
      <c r="L348" s="111">
        <f>IF(H348="","",IF($C$29="상세법",FPV(H348,K348),IF(H348="EI",4,IF(H348="EO",5.2,IF(H348="EQ",3.9,IF(H348="ILF",7.5,IF(H348="EIF",5.4)))))))</f>
        <v>3</v>
      </c>
      <c r="M348" s="112">
        <f t="shared" si="8"/>
        <v>3</v>
      </c>
      <c r="N348" s="113" t="s">
        <v>101</v>
      </c>
    </row>
    <row r="349" spans="2:14" ht="27">
      <c r="B349" s="105" t="s">
        <v>629</v>
      </c>
      <c r="C349" s="106" t="s">
        <v>630</v>
      </c>
      <c r="D349" s="107" t="s">
        <v>682</v>
      </c>
      <c r="E349" s="65" t="s">
        <v>683</v>
      </c>
      <c r="F349" s="64" t="s">
        <v>100</v>
      </c>
      <c r="G349" s="64" t="s">
        <v>101</v>
      </c>
      <c r="H349" s="64" t="s">
        <v>10</v>
      </c>
      <c r="I349" s="70">
        <v>1</v>
      </c>
      <c r="J349" s="70">
        <v>10</v>
      </c>
      <c r="K349" s="110" t="str">
        <f>IF(H349="","",IF($C$29="간이법","",FPR(H349,I349,J349)))</f>
        <v>L</v>
      </c>
      <c r="L349" s="111">
        <f>IF(H349="","",IF($C$29="상세법",FPV(H349,K349),IF(H349="EI",4,IF(H349="EO",5.2,IF(H349="EQ",3.9,IF(H349="ILF",7.5,IF(H349="EIF",5.4)))))))</f>
        <v>3</v>
      </c>
      <c r="M349" s="112">
        <f t="shared" si="8"/>
        <v>3</v>
      </c>
      <c r="N349" s="113" t="s">
        <v>101</v>
      </c>
    </row>
    <row r="350" spans="2:14" ht="27">
      <c r="B350" s="105" t="s">
        <v>629</v>
      </c>
      <c r="C350" s="106" t="s">
        <v>630</v>
      </c>
      <c r="D350" s="107" t="s">
        <v>684</v>
      </c>
      <c r="E350" s="65" t="s">
        <v>685</v>
      </c>
      <c r="F350" s="64" t="s">
        <v>100</v>
      </c>
      <c r="G350" s="64" t="s">
        <v>101</v>
      </c>
      <c r="H350" s="64" t="s">
        <v>111</v>
      </c>
      <c r="I350" s="70">
        <v>2</v>
      </c>
      <c r="J350" s="70">
        <v>21</v>
      </c>
      <c r="K350" s="110" t="str">
        <f>IF(H350="","",IF($C$29="간이법","",FPR(H350,I350,J350)))</f>
        <v>H</v>
      </c>
      <c r="L350" s="111">
        <f>IF(H350="","",IF($C$29="상세법",FPV(H350,K350),IF(H350="EI",4,IF(H350="EO",5.2,IF(H350="EQ",3.9,IF(H350="ILF",7.5,IF(H350="EIF",5.4)))))))</f>
        <v>6</v>
      </c>
      <c r="M350" s="112">
        <f t="shared" si="8"/>
        <v>6</v>
      </c>
      <c r="N350" s="113" t="s">
        <v>101</v>
      </c>
    </row>
    <row r="351" spans="2:14" ht="27">
      <c r="B351" s="105" t="s">
        <v>629</v>
      </c>
      <c r="C351" s="106" t="s">
        <v>630</v>
      </c>
      <c r="D351" s="107" t="s">
        <v>686</v>
      </c>
      <c r="E351" s="65" t="s">
        <v>687</v>
      </c>
      <c r="F351" s="64" t="s">
        <v>100</v>
      </c>
      <c r="G351" s="64" t="s">
        <v>101</v>
      </c>
      <c r="H351" s="64" t="s">
        <v>111</v>
      </c>
      <c r="I351" s="70">
        <v>1</v>
      </c>
      <c r="J351" s="70">
        <v>5</v>
      </c>
      <c r="K351" s="110" t="str">
        <f>IF(H351="","",IF($C$29="간이법","",FPR(H351,I351,J351)))</f>
        <v>L</v>
      </c>
      <c r="L351" s="111">
        <f>IF(H351="","",IF($C$29="상세법",FPV(H351,K351),IF(H351="EI",4,IF(H351="EO",5.2,IF(H351="EQ",3.9,IF(H351="ILF",7.5,IF(H351="EIF",5.4)))))))</f>
        <v>3</v>
      </c>
      <c r="M351" s="112">
        <f t="shared" si="8"/>
        <v>3</v>
      </c>
      <c r="N351" s="113" t="s">
        <v>101</v>
      </c>
    </row>
    <row r="352" spans="2:14" ht="27">
      <c r="B352" s="105" t="s">
        <v>629</v>
      </c>
      <c r="C352" s="106" t="s">
        <v>630</v>
      </c>
      <c r="D352" s="107" t="s">
        <v>688</v>
      </c>
      <c r="E352" s="65" t="s">
        <v>689</v>
      </c>
      <c r="F352" s="64" t="s">
        <v>189</v>
      </c>
      <c r="G352" s="64" t="s">
        <v>248</v>
      </c>
      <c r="H352" s="64" t="s">
        <v>10</v>
      </c>
      <c r="I352" s="70">
        <v>3</v>
      </c>
      <c r="J352" s="70">
        <v>24</v>
      </c>
      <c r="K352" s="110" t="str">
        <f>IF(H352="","",IF($C$29="간이법","",FPR(H352,I352,J352)))</f>
        <v>H</v>
      </c>
      <c r="L352" s="111">
        <f>IF(H352="","",IF($C$29="상세법",FPV(H352,K352),IF(H352="EI",4,IF(H352="EO",5.2,IF(H352="EQ",3.9,IF(H352="ILF",7.5,IF(H352="EIF",5.4)))))))</f>
        <v>6</v>
      </c>
      <c r="M352" s="112">
        <f t="shared" si="8"/>
        <v>3</v>
      </c>
      <c r="N352" s="113" t="s">
        <v>101</v>
      </c>
    </row>
    <row r="353" spans="2:14" ht="27">
      <c r="B353" s="105" t="s">
        <v>629</v>
      </c>
      <c r="C353" s="106" t="s">
        <v>630</v>
      </c>
      <c r="D353" s="107" t="s">
        <v>690</v>
      </c>
      <c r="E353" s="65" t="s">
        <v>691</v>
      </c>
      <c r="F353" s="64" t="s">
        <v>100</v>
      </c>
      <c r="G353" s="64" t="s">
        <v>101</v>
      </c>
      <c r="H353" s="64" t="s">
        <v>10</v>
      </c>
      <c r="I353" s="70">
        <v>1</v>
      </c>
      <c r="J353" s="70">
        <v>20</v>
      </c>
      <c r="K353" s="110" t="str">
        <f>IF(H353="","",IF($C$29="간이법","",FPR(H353,I353,J353)))</f>
        <v>A</v>
      </c>
      <c r="L353" s="111">
        <f>IF(H353="","",IF($C$29="상세법",FPV(H353,K353),IF(H353="EI",4,IF(H353="EO",5.2,IF(H353="EQ",3.9,IF(H353="ILF",7.5,IF(H353="EIF",5.4)))))))</f>
        <v>4</v>
      </c>
      <c r="M353" s="112">
        <f t="shared" si="8"/>
        <v>4</v>
      </c>
      <c r="N353" s="113" t="s">
        <v>101</v>
      </c>
    </row>
    <row r="354" spans="2:14" ht="27">
      <c r="B354" s="105" t="s">
        <v>629</v>
      </c>
      <c r="C354" s="106" t="s">
        <v>630</v>
      </c>
      <c r="D354" s="107" t="s">
        <v>692</v>
      </c>
      <c r="E354" s="65" t="s">
        <v>693</v>
      </c>
      <c r="F354" s="64" t="s">
        <v>100</v>
      </c>
      <c r="G354" s="64" t="s">
        <v>101</v>
      </c>
      <c r="H354" s="64" t="s">
        <v>111</v>
      </c>
      <c r="I354" s="70">
        <v>1</v>
      </c>
      <c r="J354" s="70">
        <v>5</v>
      </c>
      <c r="K354" s="110" t="str">
        <f>IF(H354="","",IF($C$29="간이법","",FPR(H354,I354,J354)))</f>
        <v>L</v>
      </c>
      <c r="L354" s="111">
        <f>IF(H354="","",IF($C$29="상세법",FPV(H354,K354),IF(H354="EI",4,IF(H354="EO",5.2,IF(H354="EQ",3.9,IF(H354="ILF",7.5,IF(H354="EIF",5.4)))))))</f>
        <v>3</v>
      </c>
      <c r="M354" s="112">
        <f t="shared" si="8"/>
        <v>3</v>
      </c>
      <c r="N354" s="113" t="s">
        <v>101</v>
      </c>
    </row>
    <row r="355" spans="2:14" ht="27">
      <c r="B355" s="105" t="s">
        <v>629</v>
      </c>
      <c r="C355" s="106" t="s">
        <v>630</v>
      </c>
      <c r="D355" s="107" t="s">
        <v>694</v>
      </c>
      <c r="E355" s="65" t="s">
        <v>695</v>
      </c>
      <c r="F355" s="64" t="s">
        <v>189</v>
      </c>
      <c r="G355" s="64" t="s">
        <v>248</v>
      </c>
      <c r="H355" s="64" t="s">
        <v>10</v>
      </c>
      <c r="I355" s="70">
        <v>3</v>
      </c>
      <c r="J355" s="70">
        <v>20</v>
      </c>
      <c r="K355" s="110" t="str">
        <f>IF(H355="","",IF($C$29="간이법","",FPR(H355,I355,J355)))</f>
        <v>H</v>
      </c>
      <c r="L355" s="111">
        <f>IF(H355="","",IF($C$29="상세법",FPV(H355,K355),IF(H355="EI",4,IF(H355="EO",5.2,IF(H355="EQ",3.9,IF(H355="ILF",7.5,IF(H355="EIF",5.4)))))))</f>
        <v>6</v>
      </c>
      <c r="M355" s="112">
        <f t="shared" si="8"/>
        <v>3</v>
      </c>
      <c r="N355" s="113" t="s">
        <v>101</v>
      </c>
    </row>
    <row r="356" spans="2:14" ht="27">
      <c r="B356" s="105" t="s">
        <v>629</v>
      </c>
      <c r="C356" s="106" t="s">
        <v>630</v>
      </c>
      <c r="D356" s="107" t="s">
        <v>696</v>
      </c>
      <c r="E356" s="65" t="s">
        <v>696</v>
      </c>
      <c r="F356" s="64" t="s">
        <v>100</v>
      </c>
      <c r="G356" s="64" t="s">
        <v>101</v>
      </c>
      <c r="H356" s="64" t="s">
        <v>10</v>
      </c>
      <c r="I356" s="70">
        <v>1</v>
      </c>
      <c r="J356" s="70">
        <v>14</v>
      </c>
      <c r="K356" s="110" t="str">
        <f>IF(H356="","",IF($C$29="간이법","",FPR(H356,I356,J356)))</f>
        <v>L</v>
      </c>
      <c r="L356" s="111">
        <f>IF(H356="","",IF($C$29="상세법",FPV(H356,K356),IF(H356="EI",4,IF(H356="EO",5.2,IF(H356="EQ",3.9,IF(H356="ILF",7.5,IF(H356="EIF",5.4)))))))</f>
        <v>3</v>
      </c>
      <c r="M356" s="112">
        <f t="shared" si="8"/>
        <v>3</v>
      </c>
      <c r="N356" s="113" t="s">
        <v>101</v>
      </c>
    </row>
    <row r="357" spans="2:14" ht="27">
      <c r="B357" s="105" t="s">
        <v>629</v>
      </c>
      <c r="C357" s="106" t="s">
        <v>630</v>
      </c>
      <c r="D357" s="107" t="s">
        <v>697</v>
      </c>
      <c r="E357" s="65" t="s">
        <v>698</v>
      </c>
      <c r="F357" s="64" t="s">
        <v>100</v>
      </c>
      <c r="G357" s="64" t="s">
        <v>101</v>
      </c>
      <c r="H357" s="64" t="s">
        <v>111</v>
      </c>
      <c r="I357" s="70">
        <v>1</v>
      </c>
      <c r="J357" s="70">
        <v>27</v>
      </c>
      <c r="K357" s="110" t="str">
        <f>IF(H357="","",IF($C$29="간이법","",FPR(H357,I357,J357)))</f>
        <v>A</v>
      </c>
      <c r="L357" s="111">
        <f>IF(H357="","",IF($C$29="상세법",FPV(H357,K357),IF(H357="EI",4,IF(H357="EO",5.2,IF(H357="EQ",3.9,IF(H357="ILF",7.5,IF(H357="EIF",5.4)))))))</f>
        <v>4</v>
      </c>
      <c r="M357" s="112">
        <f t="shared" si="8"/>
        <v>4</v>
      </c>
      <c r="N357" s="113" t="s">
        <v>101</v>
      </c>
    </row>
    <row r="358" spans="2:14" ht="27">
      <c r="B358" s="105" t="s">
        <v>629</v>
      </c>
      <c r="C358" s="106" t="s">
        <v>630</v>
      </c>
      <c r="D358" s="107" t="s">
        <v>699</v>
      </c>
      <c r="E358" s="65" t="s">
        <v>700</v>
      </c>
      <c r="F358" s="64" t="s">
        <v>100</v>
      </c>
      <c r="G358" s="64" t="s">
        <v>101</v>
      </c>
      <c r="H358" s="64" t="s">
        <v>111</v>
      </c>
      <c r="I358" s="70">
        <v>1</v>
      </c>
      <c r="J358" s="70">
        <v>5</v>
      </c>
      <c r="K358" s="110" t="str">
        <f>IF(H358="","",IF($C$29="간이법","",FPR(H358,I358,J358)))</f>
        <v>L</v>
      </c>
      <c r="L358" s="111">
        <f>IF(H358="","",IF($C$29="상세법",FPV(H358,K358),IF(H358="EI",4,IF(H358="EO",5.2,IF(H358="EQ",3.9,IF(H358="ILF",7.5,IF(H358="EIF",5.4)))))))</f>
        <v>3</v>
      </c>
      <c r="M358" s="112">
        <f t="shared" si="8"/>
        <v>3</v>
      </c>
      <c r="N358" s="113" t="s">
        <v>101</v>
      </c>
    </row>
    <row r="359" spans="2:14" ht="27">
      <c r="B359" s="105" t="s">
        <v>629</v>
      </c>
      <c r="C359" s="106" t="s">
        <v>630</v>
      </c>
      <c r="D359" s="107" t="s">
        <v>701</v>
      </c>
      <c r="E359" s="65" t="s">
        <v>702</v>
      </c>
      <c r="F359" s="64" t="s">
        <v>100</v>
      </c>
      <c r="G359" s="64" t="s">
        <v>101</v>
      </c>
      <c r="H359" s="64" t="s">
        <v>111</v>
      </c>
      <c r="I359" s="70">
        <v>1</v>
      </c>
      <c r="J359" s="70">
        <v>5</v>
      </c>
      <c r="K359" s="110" t="str">
        <f>IF(H359="","",IF($C$29="간이법","",FPR(H359,I359,J359)))</f>
        <v>L</v>
      </c>
      <c r="L359" s="111">
        <f>IF(H359="","",IF($C$29="상세법",FPV(H359,K359),IF(H359="EI",4,IF(H359="EO",5.2,IF(H359="EQ",3.9,IF(H359="ILF",7.5,IF(H359="EIF",5.4)))))))</f>
        <v>3</v>
      </c>
      <c r="M359" s="112">
        <f t="shared" si="8"/>
        <v>3</v>
      </c>
      <c r="N359" s="113" t="s">
        <v>101</v>
      </c>
    </row>
    <row r="360" spans="2:14" ht="27">
      <c r="B360" s="105" t="s">
        <v>629</v>
      </c>
      <c r="C360" s="106" t="s">
        <v>630</v>
      </c>
      <c r="D360" s="107" t="s">
        <v>703</v>
      </c>
      <c r="E360" s="65" t="s">
        <v>704</v>
      </c>
      <c r="F360" s="64" t="s">
        <v>189</v>
      </c>
      <c r="G360" s="64" t="s">
        <v>248</v>
      </c>
      <c r="H360" s="64" t="s">
        <v>10</v>
      </c>
      <c r="I360" s="70">
        <v>3</v>
      </c>
      <c r="J360" s="70">
        <v>28</v>
      </c>
      <c r="K360" s="110" t="str">
        <f>IF(H360="","",IF($C$29="간이법","",FPR(H360,I360,J360)))</f>
        <v>H</v>
      </c>
      <c r="L360" s="111">
        <f>IF(H360="","",IF($C$29="상세법",FPV(H360,K360),IF(H360="EI",4,IF(H360="EO",5.2,IF(H360="EQ",3.9,IF(H360="ILF",7.5,IF(H360="EIF",5.4)))))))</f>
        <v>6</v>
      </c>
      <c r="M360" s="112">
        <f t="shared" si="8"/>
        <v>3</v>
      </c>
      <c r="N360" s="113" t="s">
        <v>101</v>
      </c>
    </row>
    <row r="361" spans="2:14" ht="27">
      <c r="B361" s="105" t="s">
        <v>629</v>
      </c>
      <c r="C361" s="106" t="s">
        <v>630</v>
      </c>
      <c r="D361" s="107" t="s">
        <v>705</v>
      </c>
      <c r="E361" s="65" t="s">
        <v>706</v>
      </c>
      <c r="F361" s="64" t="s">
        <v>100</v>
      </c>
      <c r="G361" s="64" t="s">
        <v>101</v>
      </c>
      <c r="H361" s="64" t="s">
        <v>111</v>
      </c>
      <c r="I361" s="70">
        <v>1</v>
      </c>
      <c r="J361" s="70">
        <v>5</v>
      </c>
      <c r="K361" s="110" t="str">
        <f>IF(H361="","",IF($C$29="간이법","",FPR(H361,I361,J361)))</f>
        <v>L</v>
      </c>
      <c r="L361" s="111">
        <f>IF(H361="","",IF($C$29="상세법",FPV(H361,K361),IF(H361="EI",4,IF(H361="EO",5.2,IF(H361="EQ",3.9,IF(H361="ILF",7.5,IF(H361="EIF",5.4)))))))</f>
        <v>3</v>
      </c>
      <c r="M361" s="112">
        <f t="shared" si="8"/>
        <v>3</v>
      </c>
      <c r="N361" s="113" t="s">
        <v>101</v>
      </c>
    </row>
    <row r="362" spans="2:14" ht="27">
      <c r="B362" s="105" t="s">
        <v>629</v>
      </c>
      <c r="C362" s="106" t="s">
        <v>630</v>
      </c>
      <c r="D362" s="107" t="s">
        <v>707</v>
      </c>
      <c r="E362" s="65" t="s">
        <v>708</v>
      </c>
      <c r="F362" s="64" t="s">
        <v>100</v>
      </c>
      <c r="G362" s="64" t="s">
        <v>101</v>
      </c>
      <c r="H362" s="64" t="s">
        <v>111</v>
      </c>
      <c r="I362" s="70">
        <v>1</v>
      </c>
      <c r="J362" s="70">
        <v>5</v>
      </c>
      <c r="K362" s="110" t="str">
        <f>IF(H362="","",IF($C$29="간이법","",FPR(H362,I362,J362)))</f>
        <v>L</v>
      </c>
      <c r="L362" s="111">
        <f>IF(H362="","",IF($C$29="상세법",FPV(H362,K362),IF(H362="EI",4,IF(H362="EO",5.2,IF(H362="EQ",3.9,IF(H362="ILF",7.5,IF(H362="EIF",5.4)))))))</f>
        <v>3</v>
      </c>
      <c r="M362" s="112">
        <f t="shared" si="8"/>
        <v>3</v>
      </c>
      <c r="N362" s="113" t="s">
        <v>101</v>
      </c>
    </row>
    <row r="363" spans="2:14" ht="27">
      <c r="B363" s="105" t="s">
        <v>629</v>
      </c>
      <c r="C363" s="106" t="s">
        <v>630</v>
      </c>
      <c r="D363" s="107" t="s">
        <v>709</v>
      </c>
      <c r="E363" s="65" t="s">
        <v>710</v>
      </c>
      <c r="F363" s="64" t="s">
        <v>100</v>
      </c>
      <c r="G363" s="64" t="s">
        <v>101</v>
      </c>
      <c r="H363" s="64" t="s">
        <v>111</v>
      </c>
      <c r="I363" s="70">
        <v>1</v>
      </c>
      <c r="J363" s="70">
        <v>5</v>
      </c>
      <c r="K363" s="110" t="str">
        <f>IF(H363="","",IF($C$29="간이법","",FPR(H363,I363,J363)))</f>
        <v>L</v>
      </c>
      <c r="L363" s="111">
        <f>IF(H363="","",IF($C$29="상세법",FPV(H363,K363),IF(H363="EI",4,IF(H363="EO",5.2,IF(H363="EQ",3.9,IF(H363="ILF",7.5,IF(H363="EIF",5.4)))))))</f>
        <v>3</v>
      </c>
      <c r="M363" s="112">
        <f t="shared" si="8"/>
        <v>3</v>
      </c>
      <c r="N363" s="113" t="s">
        <v>101</v>
      </c>
    </row>
    <row r="364" spans="2:14" ht="27">
      <c r="B364" s="105" t="s">
        <v>629</v>
      </c>
      <c r="C364" s="106" t="s">
        <v>630</v>
      </c>
      <c r="D364" s="107" t="s">
        <v>711</v>
      </c>
      <c r="E364" s="65" t="s">
        <v>712</v>
      </c>
      <c r="F364" s="64" t="s">
        <v>100</v>
      </c>
      <c r="G364" s="64" t="s">
        <v>101</v>
      </c>
      <c r="H364" s="64" t="s">
        <v>111</v>
      </c>
      <c r="I364" s="70">
        <v>1</v>
      </c>
      <c r="J364" s="70">
        <v>5</v>
      </c>
      <c r="K364" s="110" t="str">
        <f>IF(H364="","",IF($C$29="간이법","",FPR(H364,I364,J364)))</f>
        <v>L</v>
      </c>
      <c r="L364" s="111">
        <f>IF(H364="","",IF($C$29="상세법",FPV(H364,K364),IF(H364="EI",4,IF(H364="EO",5.2,IF(H364="EQ",3.9,IF(H364="ILF",7.5,IF(H364="EIF",5.4)))))))</f>
        <v>3</v>
      </c>
      <c r="M364" s="112">
        <f t="shared" si="8"/>
        <v>3</v>
      </c>
      <c r="N364" s="113" t="s">
        <v>101</v>
      </c>
    </row>
    <row r="365" spans="2:14" ht="27">
      <c r="B365" s="105" t="s">
        <v>629</v>
      </c>
      <c r="C365" s="106" t="s">
        <v>630</v>
      </c>
      <c r="D365" s="107" t="s">
        <v>713</v>
      </c>
      <c r="E365" s="65" t="s">
        <v>714</v>
      </c>
      <c r="F365" s="64" t="s">
        <v>100</v>
      </c>
      <c r="G365" s="64" t="s">
        <v>101</v>
      </c>
      <c r="H365" s="64" t="s">
        <v>111</v>
      </c>
      <c r="I365" s="70">
        <v>1</v>
      </c>
      <c r="J365" s="70">
        <v>5</v>
      </c>
      <c r="K365" s="110" t="str">
        <f>IF(H365="","",IF($C$29="간이법","",FPR(H365,I365,J365)))</f>
        <v>L</v>
      </c>
      <c r="L365" s="111">
        <f>IF(H365="","",IF($C$29="상세법",FPV(H365,K365),IF(H365="EI",4,IF(H365="EO",5.2,IF(H365="EQ",3.9,IF(H365="ILF",7.5,IF(H365="EIF",5.4)))))))</f>
        <v>3</v>
      </c>
      <c r="M365" s="112">
        <f t="shared" si="8"/>
        <v>3</v>
      </c>
      <c r="N365" s="113" t="s">
        <v>101</v>
      </c>
    </row>
    <row r="366" spans="2:14" ht="27">
      <c r="B366" s="105" t="s">
        <v>629</v>
      </c>
      <c r="C366" s="106" t="s">
        <v>630</v>
      </c>
      <c r="D366" s="107" t="s">
        <v>715</v>
      </c>
      <c r="E366" s="65" t="s">
        <v>716</v>
      </c>
      <c r="F366" s="64" t="s">
        <v>100</v>
      </c>
      <c r="G366" s="64" t="s">
        <v>101</v>
      </c>
      <c r="H366" s="64" t="s">
        <v>111</v>
      </c>
      <c r="I366" s="70">
        <v>1</v>
      </c>
      <c r="J366" s="70">
        <v>5</v>
      </c>
      <c r="K366" s="110" t="str">
        <f>IF(H366="","",IF($C$29="간이법","",FPR(H366,I366,J366)))</f>
        <v>L</v>
      </c>
      <c r="L366" s="111">
        <f>IF(H366="","",IF($C$29="상세법",FPV(H366,K366),IF(H366="EI",4,IF(H366="EO",5.2,IF(H366="EQ",3.9,IF(H366="ILF",7.5,IF(H366="EIF",5.4)))))))</f>
        <v>3</v>
      </c>
      <c r="M366" s="112">
        <f t="shared" si="8"/>
        <v>3</v>
      </c>
      <c r="N366" s="113" t="s">
        <v>101</v>
      </c>
    </row>
    <row r="367" spans="2:14" ht="27">
      <c r="B367" s="105" t="s">
        <v>629</v>
      </c>
      <c r="C367" s="106" t="s">
        <v>630</v>
      </c>
      <c r="D367" s="107" t="s">
        <v>717</v>
      </c>
      <c r="E367" s="65" t="s">
        <v>718</v>
      </c>
      <c r="F367" s="64" t="s">
        <v>100</v>
      </c>
      <c r="G367" s="64" t="s">
        <v>101</v>
      </c>
      <c r="H367" s="64" t="s">
        <v>111</v>
      </c>
      <c r="I367" s="70">
        <v>1</v>
      </c>
      <c r="J367" s="70">
        <v>5</v>
      </c>
      <c r="K367" s="110" t="str">
        <f>IF(H367="","",IF($C$29="간이법","",FPR(H367,I367,J367)))</f>
        <v>L</v>
      </c>
      <c r="L367" s="111">
        <f>IF(H367="","",IF($C$29="상세법",FPV(H367,K367),IF(H367="EI",4,IF(H367="EO",5.2,IF(H367="EQ",3.9,IF(H367="ILF",7.5,IF(H367="EIF",5.4)))))))</f>
        <v>3</v>
      </c>
      <c r="M367" s="112">
        <f t="shared" si="8"/>
        <v>3</v>
      </c>
      <c r="N367" s="113" t="s">
        <v>101</v>
      </c>
    </row>
    <row r="368" spans="2:14" ht="27">
      <c r="B368" s="105" t="s">
        <v>629</v>
      </c>
      <c r="C368" s="106" t="s">
        <v>630</v>
      </c>
      <c r="D368" s="107" t="s">
        <v>719</v>
      </c>
      <c r="E368" s="65" t="s">
        <v>720</v>
      </c>
      <c r="F368" s="64" t="s">
        <v>100</v>
      </c>
      <c r="G368" s="64" t="s">
        <v>101</v>
      </c>
      <c r="H368" s="64" t="s">
        <v>111</v>
      </c>
      <c r="I368" s="70">
        <v>1</v>
      </c>
      <c r="J368" s="70">
        <v>5</v>
      </c>
      <c r="K368" s="110" t="str">
        <f>IF(H368="","",IF($C$29="간이법","",FPR(H368,I368,J368)))</f>
        <v>L</v>
      </c>
      <c r="L368" s="111">
        <f>IF(H368="","",IF($C$29="상세법",FPV(H368,K368),IF(H368="EI",4,IF(H368="EO",5.2,IF(H368="EQ",3.9,IF(H368="ILF",7.5,IF(H368="EIF",5.4)))))))</f>
        <v>3</v>
      </c>
      <c r="M368" s="112">
        <f t="shared" si="8"/>
        <v>3</v>
      </c>
      <c r="N368" s="113" t="s">
        <v>101</v>
      </c>
    </row>
    <row r="369" spans="2:14" ht="27">
      <c r="B369" s="105" t="s">
        <v>629</v>
      </c>
      <c r="C369" s="106" t="s">
        <v>630</v>
      </c>
      <c r="D369" s="107" t="s">
        <v>721</v>
      </c>
      <c r="E369" s="65" t="s">
        <v>722</v>
      </c>
      <c r="F369" s="64" t="s">
        <v>100</v>
      </c>
      <c r="G369" s="64" t="s">
        <v>101</v>
      </c>
      <c r="H369" s="64" t="s">
        <v>111</v>
      </c>
      <c r="I369" s="70">
        <v>1</v>
      </c>
      <c r="J369" s="70">
        <v>5</v>
      </c>
      <c r="K369" s="110" t="str">
        <f>IF(H369="","",IF($C$29="간이법","",FPR(H369,I369,J369)))</f>
        <v>L</v>
      </c>
      <c r="L369" s="111">
        <f>IF(H369="","",IF($C$29="상세법",FPV(H369,K369),IF(H369="EI",4,IF(H369="EO",5.2,IF(H369="EQ",3.9,IF(H369="ILF",7.5,IF(H369="EIF",5.4)))))))</f>
        <v>3</v>
      </c>
      <c r="M369" s="112">
        <f t="shared" si="8"/>
        <v>3</v>
      </c>
      <c r="N369" s="113" t="s">
        <v>101</v>
      </c>
    </row>
    <row r="370" spans="2:14" ht="27">
      <c r="B370" s="105" t="s">
        <v>629</v>
      </c>
      <c r="C370" s="106" t="s">
        <v>630</v>
      </c>
      <c r="D370" s="107" t="s">
        <v>723</v>
      </c>
      <c r="E370" s="65" t="s">
        <v>724</v>
      </c>
      <c r="F370" s="64" t="s">
        <v>100</v>
      </c>
      <c r="G370" s="64" t="s">
        <v>101</v>
      </c>
      <c r="H370" s="64" t="s">
        <v>111</v>
      </c>
      <c r="I370" s="70">
        <v>1</v>
      </c>
      <c r="J370" s="70">
        <v>5</v>
      </c>
      <c r="K370" s="110" t="str">
        <f>IF(H370="","",IF($C$29="간이법","",FPR(H370,I370,J370)))</f>
        <v>L</v>
      </c>
      <c r="L370" s="111">
        <f>IF(H370="","",IF($C$29="상세법",FPV(H370,K370),IF(H370="EI",4,IF(H370="EO",5.2,IF(H370="EQ",3.9,IF(H370="ILF",7.5,IF(H370="EIF",5.4)))))))</f>
        <v>3</v>
      </c>
      <c r="M370" s="112">
        <f t="shared" si="8"/>
        <v>3</v>
      </c>
      <c r="N370" s="113" t="s">
        <v>101</v>
      </c>
    </row>
    <row r="371" spans="2:14" ht="27">
      <c r="B371" s="105" t="s">
        <v>629</v>
      </c>
      <c r="C371" s="106" t="s">
        <v>630</v>
      </c>
      <c r="D371" s="107" t="s">
        <v>725</v>
      </c>
      <c r="E371" s="65" t="s">
        <v>726</v>
      </c>
      <c r="F371" s="64" t="s">
        <v>100</v>
      </c>
      <c r="G371" s="64" t="s">
        <v>101</v>
      </c>
      <c r="H371" s="64" t="s">
        <v>111</v>
      </c>
      <c r="I371" s="70">
        <v>1</v>
      </c>
      <c r="J371" s="70">
        <v>5</v>
      </c>
      <c r="K371" s="110" t="str">
        <f>IF(H371="","",IF($C$29="간이법","",FPR(H371,I371,J371)))</f>
        <v>L</v>
      </c>
      <c r="L371" s="111">
        <f>IF(H371="","",IF($C$29="상세법",FPV(H371,K371),IF(H371="EI",4,IF(H371="EO",5.2,IF(H371="EQ",3.9,IF(H371="ILF",7.5,IF(H371="EIF",5.4)))))))</f>
        <v>3</v>
      </c>
      <c r="M371" s="112">
        <f t="shared" si="8"/>
        <v>3</v>
      </c>
      <c r="N371" s="113" t="s">
        <v>101</v>
      </c>
    </row>
    <row r="372" spans="2:14" ht="27">
      <c r="B372" s="105" t="s">
        <v>629</v>
      </c>
      <c r="C372" s="106" t="s">
        <v>630</v>
      </c>
      <c r="D372" s="107" t="s">
        <v>727</v>
      </c>
      <c r="E372" s="65" t="s">
        <v>728</v>
      </c>
      <c r="F372" s="64" t="s">
        <v>100</v>
      </c>
      <c r="G372" s="64" t="s">
        <v>101</v>
      </c>
      <c r="H372" s="64" t="s">
        <v>111</v>
      </c>
      <c r="I372" s="70">
        <v>1</v>
      </c>
      <c r="J372" s="70">
        <v>5</v>
      </c>
      <c r="K372" s="110" t="str">
        <f>IF(H372="","",IF($C$29="간이법","",FPR(H372,I372,J372)))</f>
        <v>L</v>
      </c>
      <c r="L372" s="111">
        <f>IF(H372="","",IF($C$29="상세법",FPV(H372,K372),IF(H372="EI",4,IF(H372="EO",5.2,IF(H372="EQ",3.9,IF(H372="ILF",7.5,IF(H372="EIF",5.4)))))))</f>
        <v>3</v>
      </c>
      <c r="M372" s="112">
        <f t="shared" si="8"/>
        <v>3</v>
      </c>
      <c r="N372" s="113" t="s">
        <v>101</v>
      </c>
    </row>
    <row r="373" spans="2:14" ht="27">
      <c r="B373" s="105" t="s">
        <v>629</v>
      </c>
      <c r="C373" s="106" t="s">
        <v>630</v>
      </c>
      <c r="D373" s="107" t="s">
        <v>729</v>
      </c>
      <c r="E373" s="65" t="s">
        <v>730</v>
      </c>
      <c r="F373" s="64" t="s">
        <v>100</v>
      </c>
      <c r="G373" s="64" t="s">
        <v>101</v>
      </c>
      <c r="H373" s="64" t="s">
        <v>111</v>
      </c>
      <c r="I373" s="70">
        <v>1</v>
      </c>
      <c r="J373" s="70">
        <v>5</v>
      </c>
      <c r="K373" s="110" t="str">
        <f>IF(H373="","",IF($C$29="간이법","",FPR(H373,I373,J373)))</f>
        <v>L</v>
      </c>
      <c r="L373" s="111">
        <f>IF(H373="","",IF($C$29="상세법",FPV(H373,K373),IF(H373="EI",4,IF(H373="EO",5.2,IF(H373="EQ",3.9,IF(H373="ILF",7.5,IF(H373="EIF",5.4)))))))</f>
        <v>3</v>
      </c>
      <c r="M373" s="112">
        <f t="shared" si="8"/>
        <v>3</v>
      </c>
      <c r="N373" s="113" t="s">
        <v>101</v>
      </c>
    </row>
    <row r="374" spans="2:14" ht="27">
      <c r="B374" s="105" t="s">
        <v>629</v>
      </c>
      <c r="C374" s="106" t="s">
        <v>630</v>
      </c>
      <c r="D374" s="107" t="s">
        <v>731</v>
      </c>
      <c r="E374" s="65" t="s">
        <v>732</v>
      </c>
      <c r="F374" s="64" t="s">
        <v>100</v>
      </c>
      <c r="G374" s="64" t="s">
        <v>101</v>
      </c>
      <c r="H374" s="64" t="s">
        <v>111</v>
      </c>
      <c r="I374" s="70">
        <v>1</v>
      </c>
      <c r="J374" s="70">
        <v>5</v>
      </c>
      <c r="K374" s="110" t="str">
        <f>IF(H374="","",IF($C$29="간이법","",FPR(H374,I374,J374)))</f>
        <v>L</v>
      </c>
      <c r="L374" s="111">
        <f>IF(H374="","",IF($C$29="상세법",FPV(H374,K374),IF(H374="EI",4,IF(H374="EO",5.2,IF(H374="EQ",3.9,IF(H374="ILF",7.5,IF(H374="EIF",5.4)))))))</f>
        <v>3</v>
      </c>
      <c r="M374" s="112">
        <f t="shared" si="8"/>
        <v>3</v>
      </c>
      <c r="N374" s="113" t="s">
        <v>101</v>
      </c>
    </row>
    <row r="375" spans="2:14" ht="27">
      <c r="B375" s="105" t="s">
        <v>629</v>
      </c>
      <c r="C375" s="106" t="s">
        <v>630</v>
      </c>
      <c r="D375" s="107" t="s">
        <v>733</v>
      </c>
      <c r="E375" s="65" t="s">
        <v>734</v>
      </c>
      <c r="F375" s="64" t="s">
        <v>100</v>
      </c>
      <c r="G375" s="64" t="s">
        <v>101</v>
      </c>
      <c r="H375" s="64" t="s">
        <v>111</v>
      </c>
      <c r="I375" s="70">
        <v>1</v>
      </c>
      <c r="J375" s="70">
        <v>5</v>
      </c>
      <c r="K375" s="110" t="str">
        <f>IF(H375="","",IF($C$29="간이법","",FPR(H375,I375,J375)))</f>
        <v>L</v>
      </c>
      <c r="L375" s="111">
        <f>IF(H375="","",IF($C$29="상세법",FPV(H375,K375),IF(H375="EI",4,IF(H375="EO",5.2,IF(H375="EQ",3.9,IF(H375="ILF",7.5,IF(H375="EIF",5.4)))))))</f>
        <v>3</v>
      </c>
      <c r="M375" s="112">
        <f t="shared" si="8"/>
        <v>3</v>
      </c>
      <c r="N375" s="113" t="s">
        <v>101</v>
      </c>
    </row>
    <row r="376" spans="2:14" ht="27">
      <c r="B376" s="105" t="s">
        <v>629</v>
      </c>
      <c r="C376" s="106" t="s">
        <v>630</v>
      </c>
      <c r="D376" s="107" t="s">
        <v>735</v>
      </c>
      <c r="E376" s="65" t="s">
        <v>736</v>
      </c>
      <c r="F376" s="64" t="s">
        <v>100</v>
      </c>
      <c r="G376" s="64" t="s">
        <v>101</v>
      </c>
      <c r="H376" s="64" t="s">
        <v>111</v>
      </c>
      <c r="I376" s="70">
        <v>1</v>
      </c>
      <c r="J376" s="70">
        <v>5</v>
      </c>
      <c r="K376" s="110" t="str">
        <f>IF(H376="","",IF($C$29="간이법","",FPR(H376,I376,J376)))</f>
        <v>L</v>
      </c>
      <c r="L376" s="111">
        <f>IF(H376="","",IF($C$29="상세법",FPV(H376,K376),IF(H376="EI",4,IF(H376="EO",5.2,IF(H376="EQ",3.9,IF(H376="ILF",7.5,IF(H376="EIF",5.4)))))))</f>
        <v>3</v>
      </c>
      <c r="M376" s="112">
        <f t="shared" si="8"/>
        <v>3</v>
      </c>
      <c r="N376" s="113" t="s">
        <v>101</v>
      </c>
    </row>
    <row r="377" spans="2:14" ht="27">
      <c r="B377" s="105" t="s">
        <v>629</v>
      </c>
      <c r="C377" s="106" t="s">
        <v>630</v>
      </c>
      <c r="D377" s="107" t="s">
        <v>737</v>
      </c>
      <c r="E377" s="65" t="s">
        <v>738</v>
      </c>
      <c r="F377" s="64" t="s">
        <v>100</v>
      </c>
      <c r="G377" s="64" t="s">
        <v>101</v>
      </c>
      <c r="H377" s="64" t="s">
        <v>111</v>
      </c>
      <c r="I377" s="70">
        <v>1</v>
      </c>
      <c r="J377" s="70">
        <v>5</v>
      </c>
      <c r="K377" s="110" t="str">
        <f>IF(H377="","",IF($C$29="간이법","",FPR(H377,I377,J377)))</f>
        <v>L</v>
      </c>
      <c r="L377" s="111">
        <f>IF(H377="","",IF($C$29="상세법",FPV(H377,K377),IF(H377="EI",4,IF(H377="EO",5.2,IF(H377="EQ",3.9,IF(H377="ILF",7.5,IF(H377="EIF",5.4)))))))</f>
        <v>3</v>
      </c>
      <c r="M377" s="112">
        <f t="shared" ref="M377:M440" si="9">IF(L377="","",L377*IF(G377="상",0.7,IF(G377="중",0.5,IF(G377="하",0.2,1))))</f>
        <v>3</v>
      </c>
      <c r="N377" s="113" t="s">
        <v>101</v>
      </c>
    </row>
    <row r="378" spans="2:14" ht="27">
      <c r="B378" s="105" t="s">
        <v>629</v>
      </c>
      <c r="C378" s="106" t="s">
        <v>630</v>
      </c>
      <c r="D378" s="107" t="s">
        <v>739</v>
      </c>
      <c r="E378" s="65" t="s">
        <v>740</v>
      </c>
      <c r="F378" s="64" t="s">
        <v>100</v>
      </c>
      <c r="G378" s="64" t="s">
        <v>101</v>
      </c>
      <c r="H378" s="64" t="s">
        <v>111</v>
      </c>
      <c r="I378" s="70">
        <v>1</v>
      </c>
      <c r="J378" s="70">
        <v>5</v>
      </c>
      <c r="K378" s="110" t="str">
        <f>IF(H378="","",IF($C$29="간이법","",FPR(H378,I378,J378)))</f>
        <v>L</v>
      </c>
      <c r="L378" s="111">
        <f>IF(H378="","",IF($C$29="상세법",FPV(H378,K378),IF(H378="EI",4,IF(H378="EO",5.2,IF(H378="EQ",3.9,IF(H378="ILF",7.5,IF(H378="EIF",5.4)))))))</f>
        <v>3</v>
      </c>
      <c r="M378" s="112">
        <f t="shared" si="9"/>
        <v>3</v>
      </c>
      <c r="N378" s="113" t="s">
        <v>101</v>
      </c>
    </row>
    <row r="379" spans="2:14" ht="27">
      <c r="B379" s="105" t="s">
        <v>629</v>
      </c>
      <c r="C379" s="106" t="s">
        <v>630</v>
      </c>
      <c r="D379" s="107" t="s">
        <v>741</v>
      </c>
      <c r="E379" s="65" t="s">
        <v>742</v>
      </c>
      <c r="F379" s="64" t="s">
        <v>100</v>
      </c>
      <c r="G379" s="64" t="s">
        <v>101</v>
      </c>
      <c r="H379" s="64" t="s">
        <v>111</v>
      </c>
      <c r="I379" s="70">
        <v>1</v>
      </c>
      <c r="J379" s="70">
        <v>5</v>
      </c>
      <c r="K379" s="110" t="str">
        <f>IF(H379="","",IF($C$29="간이법","",FPR(H379,I379,J379)))</f>
        <v>L</v>
      </c>
      <c r="L379" s="111">
        <f>IF(H379="","",IF($C$29="상세법",FPV(H379,K379),IF(H379="EI",4,IF(H379="EO",5.2,IF(H379="EQ",3.9,IF(H379="ILF",7.5,IF(H379="EIF",5.4)))))))</f>
        <v>3</v>
      </c>
      <c r="M379" s="112">
        <f t="shared" si="9"/>
        <v>3</v>
      </c>
      <c r="N379" s="113" t="s">
        <v>101</v>
      </c>
    </row>
    <row r="380" spans="2:14" ht="27">
      <c r="B380" s="105" t="s">
        <v>629</v>
      </c>
      <c r="C380" s="106" t="s">
        <v>630</v>
      </c>
      <c r="D380" s="107" t="s">
        <v>743</v>
      </c>
      <c r="E380" s="65" t="s">
        <v>744</v>
      </c>
      <c r="F380" s="64" t="s">
        <v>100</v>
      </c>
      <c r="G380" s="64" t="s">
        <v>101</v>
      </c>
      <c r="H380" s="64" t="s">
        <v>111</v>
      </c>
      <c r="I380" s="70">
        <v>1</v>
      </c>
      <c r="J380" s="70">
        <v>5</v>
      </c>
      <c r="K380" s="110" t="str">
        <f>IF(H380="","",IF($C$29="간이법","",FPR(H380,I380,J380)))</f>
        <v>L</v>
      </c>
      <c r="L380" s="111">
        <f>IF(H380="","",IF($C$29="상세법",FPV(H380,K380),IF(H380="EI",4,IF(H380="EO",5.2,IF(H380="EQ",3.9,IF(H380="ILF",7.5,IF(H380="EIF",5.4)))))))</f>
        <v>3</v>
      </c>
      <c r="M380" s="112">
        <f t="shared" si="9"/>
        <v>3</v>
      </c>
      <c r="N380" s="113" t="s">
        <v>101</v>
      </c>
    </row>
    <row r="381" spans="2:14" ht="27">
      <c r="B381" s="105" t="s">
        <v>629</v>
      </c>
      <c r="C381" s="106" t="s">
        <v>630</v>
      </c>
      <c r="D381" s="107" t="s">
        <v>745</v>
      </c>
      <c r="E381" s="65" t="s">
        <v>746</v>
      </c>
      <c r="F381" s="64" t="s">
        <v>100</v>
      </c>
      <c r="G381" s="64" t="s">
        <v>101</v>
      </c>
      <c r="H381" s="64" t="s">
        <v>111</v>
      </c>
      <c r="I381" s="70">
        <v>1</v>
      </c>
      <c r="J381" s="70">
        <v>5</v>
      </c>
      <c r="K381" s="110" t="str">
        <f>IF(H381="","",IF($C$29="간이법","",FPR(H381,I381,J381)))</f>
        <v>L</v>
      </c>
      <c r="L381" s="111">
        <f>IF(H381="","",IF($C$29="상세법",FPV(H381,K381),IF(H381="EI",4,IF(H381="EO",5.2,IF(H381="EQ",3.9,IF(H381="ILF",7.5,IF(H381="EIF",5.4)))))))</f>
        <v>3</v>
      </c>
      <c r="M381" s="112">
        <f t="shared" si="9"/>
        <v>3</v>
      </c>
      <c r="N381" s="113" t="s">
        <v>101</v>
      </c>
    </row>
    <row r="382" spans="2:14" ht="27">
      <c r="B382" s="105" t="s">
        <v>629</v>
      </c>
      <c r="C382" s="106" t="s">
        <v>630</v>
      </c>
      <c r="D382" s="107" t="s">
        <v>747</v>
      </c>
      <c r="E382" s="65" t="s">
        <v>748</v>
      </c>
      <c r="F382" s="64" t="s">
        <v>100</v>
      </c>
      <c r="G382" s="64" t="s">
        <v>101</v>
      </c>
      <c r="H382" s="64" t="s">
        <v>111</v>
      </c>
      <c r="I382" s="70">
        <v>1</v>
      </c>
      <c r="J382" s="70">
        <v>5</v>
      </c>
      <c r="K382" s="110" t="str">
        <f>IF(H382="","",IF($C$29="간이법","",FPR(H382,I382,J382)))</f>
        <v>L</v>
      </c>
      <c r="L382" s="111">
        <f>IF(H382="","",IF($C$29="상세법",FPV(H382,K382),IF(H382="EI",4,IF(H382="EO",5.2,IF(H382="EQ",3.9,IF(H382="ILF",7.5,IF(H382="EIF",5.4)))))))</f>
        <v>3</v>
      </c>
      <c r="M382" s="112">
        <f t="shared" si="9"/>
        <v>3</v>
      </c>
      <c r="N382" s="113" t="s">
        <v>101</v>
      </c>
    </row>
    <row r="383" spans="2:14" ht="27">
      <c r="B383" s="105" t="s">
        <v>629</v>
      </c>
      <c r="C383" s="106" t="s">
        <v>630</v>
      </c>
      <c r="D383" s="107" t="s">
        <v>749</v>
      </c>
      <c r="E383" s="65" t="s">
        <v>750</v>
      </c>
      <c r="F383" s="64" t="s">
        <v>100</v>
      </c>
      <c r="G383" s="64" t="s">
        <v>101</v>
      </c>
      <c r="H383" s="64" t="s">
        <v>111</v>
      </c>
      <c r="I383" s="70">
        <v>1</v>
      </c>
      <c r="J383" s="70">
        <v>5</v>
      </c>
      <c r="K383" s="110" t="str">
        <f>IF(H383="","",IF($C$29="간이법","",FPR(H383,I383,J383)))</f>
        <v>L</v>
      </c>
      <c r="L383" s="111">
        <f>IF(H383="","",IF($C$29="상세법",FPV(H383,K383),IF(H383="EI",4,IF(H383="EO",5.2,IF(H383="EQ",3.9,IF(H383="ILF",7.5,IF(H383="EIF",5.4)))))))</f>
        <v>3</v>
      </c>
      <c r="M383" s="112">
        <f t="shared" si="9"/>
        <v>3</v>
      </c>
      <c r="N383" s="113" t="s">
        <v>101</v>
      </c>
    </row>
    <row r="384" spans="2:14" ht="27">
      <c r="B384" s="105" t="s">
        <v>629</v>
      </c>
      <c r="C384" s="106" t="s">
        <v>630</v>
      </c>
      <c r="D384" s="107" t="s">
        <v>751</v>
      </c>
      <c r="E384" s="65" t="s">
        <v>752</v>
      </c>
      <c r="F384" s="64" t="s">
        <v>100</v>
      </c>
      <c r="G384" s="64" t="s">
        <v>101</v>
      </c>
      <c r="H384" s="64" t="s">
        <v>111</v>
      </c>
      <c r="I384" s="70">
        <v>1</v>
      </c>
      <c r="J384" s="70">
        <v>5</v>
      </c>
      <c r="K384" s="110" t="str">
        <f>IF(H384="","",IF($C$29="간이법","",FPR(H384,I384,J384)))</f>
        <v>L</v>
      </c>
      <c r="L384" s="111">
        <f>IF(H384="","",IF($C$29="상세법",FPV(H384,K384),IF(H384="EI",4,IF(H384="EO",5.2,IF(H384="EQ",3.9,IF(H384="ILF",7.5,IF(H384="EIF",5.4)))))))</f>
        <v>3</v>
      </c>
      <c r="M384" s="112">
        <f t="shared" si="9"/>
        <v>3</v>
      </c>
      <c r="N384" s="113" t="s">
        <v>101</v>
      </c>
    </row>
    <row r="385" spans="2:14" ht="27">
      <c r="B385" s="105" t="s">
        <v>629</v>
      </c>
      <c r="C385" s="106" t="s">
        <v>630</v>
      </c>
      <c r="D385" s="107" t="s">
        <v>753</v>
      </c>
      <c r="E385" s="65" t="s">
        <v>754</v>
      </c>
      <c r="F385" s="64" t="s">
        <v>100</v>
      </c>
      <c r="G385" s="64" t="s">
        <v>101</v>
      </c>
      <c r="H385" s="64" t="s">
        <v>111</v>
      </c>
      <c r="I385" s="70">
        <v>1</v>
      </c>
      <c r="J385" s="70">
        <v>5</v>
      </c>
      <c r="K385" s="110" t="str">
        <f>IF(H385="","",IF($C$29="간이법","",FPR(H385,I385,J385)))</f>
        <v>L</v>
      </c>
      <c r="L385" s="111">
        <f>IF(H385="","",IF($C$29="상세법",FPV(H385,K385),IF(H385="EI",4,IF(H385="EO",5.2,IF(H385="EQ",3.9,IF(H385="ILF",7.5,IF(H385="EIF",5.4)))))))</f>
        <v>3</v>
      </c>
      <c r="M385" s="112">
        <f t="shared" si="9"/>
        <v>3</v>
      </c>
      <c r="N385" s="113" t="s">
        <v>101</v>
      </c>
    </row>
    <row r="386" spans="2:14" ht="27">
      <c r="B386" s="105" t="s">
        <v>629</v>
      </c>
      <c r="C386" s="106" t="s">
        <v>630</v>
      </c>
      <c r="D386" s="107" t="s">
        <v>755</v>
      </c>
      <c r="E386" s="65" t="s">
        <v>756</v>
      </c>
      <c r="F386" s="64" t="s">
        <v>100</v>
      </c>
      <c r="G386" s="64" t="s">
        <v>101</v>
      </c>
      <c r="H386" s="64" t="s">
        <v>111</v>
      </c>
      <c r="I386" s="70">
        <v>1</v>
      </c>
      <c r="J386" s="70">
        <v>5</v>
      </c>
      <c r="K386" s="110" t="str">
        <f>IF(H386="","",IF($C$29="간이법","",FPR(H386,I386,J386)))</f>
        <v>L</v>
      </c>
      <c r="L386" s="111">
        <f>IF(H386="","",IF($C$29="상세법",FPV(H386,K386),IF(H386="EI",4,IF(H386="EO",5.2,IF(H386="EQ",3.9,IF(H386="ILF",7.5,IF(H386="EIF",5.4)))))))</f>
        <v>3</v>
      </c>
      <c r="M386" s="112">
        <f t="shared" si="9"/>
        <v>3</v>
      </c>
      <c r="N386" s="113" t="s">
        <v>101</v>
      </c>
    </row>
    <row r="387" spans="2:14" ht="27">
      <c r="B387" s="105" t="s">
        <v>629</v>
      </c>
      <c r="C387" s="106" t="s">
        <v>630</v>
      </c>
      <c r="D387" s="107" t="s">
        <v>757</v>
      </c>
      <c r="E387" s="65" t="s">
        <v>758</v>
      </c>
      <c r="F387" s="64" t="s">
        <v>100</v>
      </c>
      <c r="G387" s="64" t="s">
        <v>101</v>
      </c>
      <c r="H387" s="64" t="s">
        <v>111</v>
      </c>
      <c r="I387" s="70">
        <v>1</v>
      </c>
      <c r="J387" s="70">
        <v>5</v>
      </c>
      <c r="K387" s="110" t="str">
        <f>IF(H387="","",IF($C$29="간이법","",FPR(H387,I387,J387)))</f>
        <v>L</v>
      </c>
      <c r="L387" s="111">
        <f>IF(H387="","",IF($C$29="상세법",FPV(H387,K387),IF(H387="EI",4,IF(H387="EO",5.2,IF(H387="EQ",3.9,IF(H387="ILF",7.5,IF(H387="EIF",5.4)))))))</f>
        <v>3</v>
      </c>
      <c r="M387" s="112">
        <f t="shared" si="9"/>
        <v>3</v>
      </c>
      <c r="N387" s="113" t="s">
        <v>101</v>
      </c>
    </row>
    <row r="388" spans="2:14" ht="27">
      <c r="B388" s="105" t="s">
        <v>629</v>
      </c>
      <c r="C388" s="106" t="s">
        <v>630</v>
      </c>
      <c r="D388" s="107" t="s">
        <v>759</v>
      </c>
      <c r="E388" s="65" t="s">
        <v>760</v>
      </c>
      <c r="F388" s="64" t="s">
        <v>100</v>
      </c>
      <c r="G388" s="64" t="s">
        <v>101</v>
      </c>
      <c r="H388" s="64" t="s">
        <v>111</v>
      </c>
      <c r="I388" s="70">
        <v>1</v>
      </c>
      <c r="J388" s="70">
        <v>5</v>
      </c>
      <c r="K388" s="110" t="str">
        <f>IF(H388="","",IF($C$29="간이법","",FPR(H388,I388,J388)))</f>
        <v>L</v>
      </c>
      <c r="L388" s="111">
        <f>IF(H388="","",IF($C$29="상세법",FPV(H388,K388),IF(H388="EI",4,IF(H388="EO",5.2,IF(H388="EQ",3.9,IF(H388="ILF",7.5,IF(H388="EIF",5.4)))))))</f>
        <v>3</v>
      </c>
      <c r="M388" s="112">
        <f t="shared" si="9"/>
        <v>3</v>
      </c>
      <c r="N388" s="113" t="s">
        <v>101</v>
      </c>
    </row>
    <row r="389" spans="2:14" ht="27">
      <c r="B389" s="105" t="s">
        <v>629</v>
      </c>
      <c r="C389" s="106" t="s">
        <v>630</v>
      </c>
      <c r="D389" s="107" t="s">
        <v>761</v>
      </c>
      <c r="E389" s="65" t="s">
        <v>762</v>
      </c>
      <c r="F389" s="64" t="s">
        <v>100</v>
      </c>
      <c r="G389" s="64" t="s">
        <v>101</v>
      </c>
      <c r="H389" s="64" t="s">
        <v>111</v>
      </c>
      <c r="I389" s="70">
        <v>1</v>
      </c>
      <c r="J389" s="70">
        <v>4</v>
      </c>
      <c r="K389" s="110" t="str">
        <f>IF(H389="","",IF($C$29="간이법","",FPR(H389,I389,J389)))</f>
        <v>L</v>
      </c>
      <c r="L389" s="111">
        <f>IF(H389="","",IF($C$29="상세법",FPV(H389,K389),IF(H389="EI",4,IF(H389="EO",5.2,IF(H389="EQ",3.9,IF(H389="ILF",7.5,IF(H389="EIF",5.4)))))))</f>
        <v>3</v>
      </c>
      <c r="M389" s="112">
        <f t="shared" si="9"/>
        <v>3</v>
      </c>
      <c r="N389" s="113" t="s">
        <v>101</v>
      </c>
    </row>
    <row r="390" spans="2:14" ht="27">
      <c r="B390" s="105" t="s">
        <v>629</v>
      </c>
      <c r="C390" s="106" t="s">
        <v>630</v>
      </c>
      <c r="D390" s="107" t="s">
        <v>763</v>
      </c>
      <c r="E390" s="65" t="s">
        <v>764</v>
      </c>
      <c r="F390" s="64" t="s">
        <v>100</v>
      </c>
      <c r="G390" s="64" t="s">
        <v>101</v>
      </c>
      <c r="H390" s="64" t="s">
        <v>111</v>
      </c>
      <c r="I390" s="70">
        <v>1</v>
      </c>
      <c r="J390" s="70">
        <v>5</v>
      </c>
      <c r="K390" s="110" t="str">
        <f>IF(H390="","",IF($C$29="간이법","",FPR(H390,I390,J390)))</f>
        <v>L</v>
      </c>
      <c r="L390" s="111">
        <f>IF(H390="","",IF($C$29="상세법",FPV(H390,K390),IF(H390="EI",4,IF(H390="EO",5.2,IF(H390="EQ",3.9,IF(H390="ILF",7.5,IF(H390="EIF",5.4)))))))</f>
        <v>3</v>
      </c>
      <c r="M390" s="112">
        <f t="shared" si="9"/>
        <v>3</v>
      </c>
      <c r="N390" s="113" t="s">
        <v>101</v>
      </c>
    </row>
    <row r="391" spans="2:14" ht="27">
      <c r="B391" s="105" t="s">
        <v>629</v>
      </c>
      <c r="C391" s="106" t="s">
        <v>630</v>
      </c>
      <c r="D391" s="107" t="s">
        <v>765</v>
      </c>
      <c r="E391" s="65" t="s">
        <v>766</v>
      </c>
      <c r="F391" s="64" t="s">
        <v>100</v>
      </c>
      <c r="G391" s="64" t="s">
        <v>101</v>
      </c>
      <c r="H391" s="64" t="s">
        <v>111</v>
      </c>
      <c r="I391" s="70">
        <v>1</v>
      </c>
      <c r="J391" s="70">
        <v>5</v>
      </c>
      <c r="K391" s="110" t="str">
        <f>IF(H391="","",IF($C$29="간이법","",FPR(H391,I391,J391)))</f>
        <v>L</v>
      </c>
      <c r="L391" s="111">
        <f>IF(H391="","",IF($C$29="상세법",FPV(H391,K391),IF(H391="EI",4,IF(H391="EO",5.2,IF(H391="EQ",3.9,IF(H391="ILF",7.5,IF(H391="EIF",5.4)))))))</f>
        <v>3</v>
      </c>
      <c r="M391" s="112">
        <f t="shared" si="9"/>
        <v>3</v>
      </c>
      <c r="N391" s="113" t="s">
        <v>101</v>
      </c>
    </row>
    <row r="392" spans="2:14" ht="27">
      <c r="B392" s="105" t="s">
        <v>629</v>
      </c>
      <c r="C392" s="106" t="s">
        <v>630</v>
      </c>
      <c r="D392" s="107" t="s">
        <v>767</v>
      </c>
      <c r="E392" s="65" t="s">
        <v>768</v>
      </c>
      <c r="F392" s="64" t="s">
        <v>100</v>
      </c>
      <c r="G392" s="64" t="s">
        <v>101</v>
      </c>
      <c r="H392" s="64" t="s">
        <v>111</v>
      </c>
      <c r="I392" s="70">
        <v>1</v>
      </c>
      <c r="J392" s="70">
        <v>5</v>
      </c>
      <c r="K392" s="110" t="str">
        <f>IF(H392="","",IF($C$29="간이법","",FPR(H392,I392,J392)))</f>
        <v>L</v>
      </c>
      <c r="L392" s="111">
        <f>IF(H392="","",IF($C$29="상세법",FPV(H392,K392),IF(H392="EI",4,IF(H392="EO",5.2,IF(H392="EQ",3.9,IF(H392="ILF",7.5,IF(H392="EIF",5.4)))))))</f>
        <v>3</v>
      </c>
      <c r="M392" s="112">
        <f t="shared" si="9"/>
        <v>3</v>
      </c>
      <c r="N392" s="113" t="s">
        <v>101</v>
      </c>
    </row>
    <row r="393" spans="2:14" ht="27">
      <c r="B393" s="105" t="s">
        <v>629</v>
      </c>
      <c r="C393" s="106" t="s">
        <v>630</v>
      </c>
      <c r="D393" s="107" t="s">
        <v>769</v>
      </c>
      <c r="E393" s="65" t="s">
        <v>770</v>
      </c>
      <c r="F393" s="64" t="s">
        <v>100</v>
      </c>
      <c r="G393" s="64" t="s">
        <v>101</v>
      </c>
      <c r="H393" s="64" t="s">
        <v>111</v>
      </c>
      <c r="I393" s="70">
        <v>1</v>
      </c>
      <c r="J393" s="70">
        <v>5</v>
      </c>
      <c r="K393" s="110" t="str">
        <f>IF(H393="","",IF($C$29="간이법","",FPR(H393,I393,J393)))</f>
        <v>L</v>
      </c>
      <c r="L393" s="111">
        <f>IF(H393="","",IF($C$29="상세법",FPV(H393,K393),IF(H393="EI",4,IF(H393="EO",5.2,IF(H393="EQ",3.9,IF(H393="ILF",7.5,IF(H393="EIF",5.4)))))))</f>
        <v>3</v>
      </c>
      <c r="M393" s="112">
        <f t="shared" si="9"/>
        <v>3</v>
      </c>
      <c r="N393" s="113" t="s">
        <v>101</v>
      </c>
    </row>
    <row r="394" spans="2:14" ht="27">
      <c r="B394" s="105" t="s">
        <v>629</v>
      </c>
      <c r="C394" s="106" t="s">
        <v>630</v>
      </c>
      <c r="D394" s="107" t="s">
        <v>771</v>
      </c>
      <c r="E394" s="65" t="s">
        <v>772</v>
      </c>
      <c r="F394" s="64" t="s">
        <v>100</v>
      </c>
      <c r="G394" s="64" t="s">
        <v>101</v>
      </c>
      <c r="H394" s="64" t="s">
        <v>111</v>
      </c>
      <c r="I394" s="70">
        <v>1</v>
      </c>
      <c r="J394" s="70">
        <v>5</v>
      </c>
      <c r="K394" s="110" t="str">
        <f>IF(H394="","",IF($C$29="간이법","",FPR(H394,I394,J394)))</f>
        <v>L</v>
      </c>
      <c r="L394" s="111">
        <f>IF(H394="","",IF($C$29="상세법",FPV(H394,K394),IF(H394="EI",4,IF(H394="EO",5.2,IF(H394="EQ",3.9,IF(H394="ILF",7.5,IF(H394="EIF",5.4)))))))</f>
        <v>3</v>
      </c>
      <c r="M394" s="112">
        <f t="shared" si="9"/>
        <v>3</v>
      </c>
      <c r="N394" s="113" t="s">
        <v>101</v>
      </c>
    </row>
    <row r="395" spans="2:14" ht="27">
      <c r="B395" s="105" t="s">
        <v>629</v>
      </c>
      <c r="C395" s="106" t="s">
        <v>630</v>
      </c>
      <c r="D395" s="107" t="s">
        <v>773</v>
      </c>
      <c r="E395" s="65" t="s">
        <v>774</v>
      </c>
      <c r="F395" s="64" t="s">
        <v>100</v>
      </c>
      <c r="G395" s="64" t="s">
        <v>101</v>
      </c>
      <c r="H395" s="64" t="s">
        <v>111</v>
      </c>
      <c r="I395" s="70">
        <v>1</v>
      </c>
      <c r="J395" s="70">
        <v>5</v>
      </c>
      <c r="K395" s="110" t="str">
        <f>IF(H395="","",IF($C$29="간이법","",FPR(H395,I395,J395)))</f>
        <v>L</v>
      </c>
      <c r="L395" s="111">
        <f>IF(H395="","",IF($C$29="상세법",FPV(H395,K395),IF(H395="EI",4,IF(H395="EO",5.2,IF(H395="EQ",3.9,IF(H395="ILF",7.5,IF(H395="EIF",5.4)))))))</f>
        <v>3</v>
      </c>
      <c r="M395" s="112">
        <f t="shared" si="9"/>
        <v>3</v>
      </c>
      <c r="N395" s="113" t="s">
        <v>101</v>
      </c>
    </row>
    <row r="396" spans="2:14" ht="27">
      <c r="B396" s="105" t="s">
        <v>629</v>
      </c>
      <c r="C396" s="106" t="s">
        <v>630</v>
      </c>
      <c r="D396" s="107" t="s">
        <v>775</v>
      </c>
      <c r="E396" s="65" t="s">
        <v>776</v>
      </c>
      <c r="F396" s="64" t="s">
        <v>189</v>
      </c>
      <c r="G396" s="64" t="s">
        <v>248</v>
      </c>
      <c r="H396" s="64" t="s">
        <v>111</v>
      </c>
      <c r="I396" s="70">
        <v>1</v>
      </c>
      <c r="J396" s="70">
        <v>5</v>
      </c>
      <c r="K396" s="110" t="str">
        <f>IF(H396="","",IF($C$29="간이법","",FPR(H396,I396,J396)))</f>
        <v>L</v>
      </c>
      <c r="L396" s="111">
        <f>IF(H396="","",IF($C$29="상세법",FPV(H396,K396),IF(H396="EI",4,IF(H396="EO",5.2,IF(H396="EQ",3.9,IF(H396="ILF",7.5,IF(H396="EIF",5.4)))))))</f>
        <v>3</v>
      </c>
      <c r="M396" s="112">
        <f t="shared" si="9"/>
        <v>1.5</v>
      </c>
      <c r="N396" s="113" t="s">
        <v>101</v>
      </c>
    </row>
    <row r="397" spans="2:14" ht="27">
      <c r="B397" s="105" t="s">
        <v>629</v>
      </c>
      <c r="C397" s="106" t="s">
        <v>630</v>
      </c>
      <c r="D397" s="107" t="s">
        <v>777</v>
      </c>
      <c r="E397" s="65" t="s">
        <v>777</v>
      </c>
      <c r="F397" s="64" t="s">
        <v>189</v>
      </c>
      <c r="G397" s="64" t="s">
        <v>248</v>
      </c>
      <c r="H397" s="64" t="s">
        <v>111</v>
      </c>
      <c r="I397" s="70">
        <v>1</v>
      </c>
      <c r="J397" s="70">
        <v>5</v>
      </c>
      <c r="K397" s="110" t="str">
        <f>IF(H397="","",IF($C$29="간이법","",FPR(H397,I397,J397)))</f>
        <v>L</v>
      </c>
      <c r="L397" s="111">
        <f>IF(H397="","",IF($C$29="상세법",FPV(H397,K397),IF(H397="EI",4,IF(H397="EO",5.2,IF(H397="EQ",3.9,IF(H397="ILF",7.5,IF(H397="EIF",5.4)))))))</f>
        <v>3</v>
      </c>
      <c r="M397" s="112">
        <f t="shared" si="9"/>
        <v>1.5</v>
      </c>
      <c r="N397" s="113" t="s">
        <v>101</v>
      </c>
    </row>
    <row r="398" spans="2:14">
      <c r="B398" s="105" t="s">
        <v>629</v>
      </c>
      <c r="C398" s="106" t="s">
        <v>630</v>
      </c>
      <c r="D398" s="107" t="s">
        <v>778</v>
      </c>
      <c r="E398" s="65" t="s">
        <v>779</v>
      </c>
      <c r="F398" s="64" t="s">
        <v>189</v>
      </c>
      <c r="G398" s="64" t="s">
        <v>190</v>
      </c>
      <c r="H398" s="64" t="s">
        <v>111</v>
      </c>
      <c r="I398" s="70">
        <v>1</v>
      </c>
      <c r="J398" s="70">
        <v>6</v>
      </c>
      <c r="K398" s="110" t="str">
        <f>IF(H398="","",IF($C$29="간이법","",FPR(H398,I398,J398)))</f>
        <v>L</v>
      </c>
      <c r="L398" s="111">
        <f>IF(H398="","",IF($C$29="상세법",FPV(H398,K398),IF(H398="EI",4,IF(H398="EO",5.2,IF(H398="EQ",3.9,IF(H398="ILF",7.5,IF(H398="EIF",5.4)))))))</f>
        <v>3</v>
      </c>
      <c r="M398" s="112">
        <f t="shared" si="9"/>
        <v>2.0999999999999996</v>
      </c>
      <c r="N398" s="113" t="s">
        <v>101</v>
      </c>
    </row>
    <row r="399" spans="2:14" ht="27">
      <c r="B399" s="105" t="s">
        <v>629</v>
      </c>
      <c r="C399" s="106" t="s">
        <v>630</v>
      </c>
      <c r="D399" s="107" t="s">
        <v>780</v>
      </c>
      <c r="E399" s="65" t="s">
        <v>781</v>
      </c>
      <c r="F399" s="64" t="s">
        <v>189</v>
      </c>
      <c r="G399" s="64" t="s">
        <v>248</v>
      </c>
      <c r="H399" s="64" t="s">
        <v>111</v>
      </c>
      <c r="I399" s="70">
        <v>1</v>
      </c>
      <c r="J399" s="70">
        <v>6</v>
      </c>
      <c r="K399" s="110" t="str">
        <f>IF(H399="","",IF($C$29="간이법","",FPR(H399,I399,J399)))</f>
        <v>L</v>
      </c>
      <c r="L399" s="111">
        <f>IF(H399="","",IF($C$29="상세법",FPV(H399,K399),IF(H399="EI",4,IF(H399="EO",5.2,IF(H399="EQ",3.9,IF(H399="ILF",7.5,IF(H399="EIF",5.4)))))))</f>
        <v>3</v>
      </c>
      <c r="M399" s="112">
        <f t="shared" si="9"/>
        <v>1.5</v>
      </c>
      <c r="N399" s="113" t="s">
        <v>101</v>
      </c>
    </row>
    <row r="400" spans="2:14" ht="27">
      <c r="B400" s="105" t="s">
        <v>629</v>
      </c>
      <c r="C400" s="106" t="s">
        <v>630</v>
      </c>
      <c r="D400" s="107" t="s">
        <v>782</v>
      </c>
      <c r="E400" s="65" t="s">
        <v>783</v>
      </c>
      <c r="F400" s="64" t="s">
        <v>189</v>
      </c>
      <c r="G400" s="64" t="s">
        <v>248</v>
      </c>
      <c r="H400" s="64" t="s">
        <v>111</v>
      </c>
      <c r="I400" s="70">
        <v>1</v>
      </c>
      <c r="J400" s="70">
        <v>6</v>
      </c>
      <c r="K400" s="110" t="str">
        <f>IF(H400="","",IF($C$29="간이법","",FPR(H400,I400,J400)))</f>
        <v>L</v>
      </c>
      <c r="L400" s="111">
        <f>IF(H400="","",IF($C$29="상세법",FPV(H400,K400),IF(H400="EI",4,IF(H400="EO",5.2,IF(H400="EQ",3.9,IF(H400="ILF",7.5,IF(H400="EIF",5.4)))))))</f>
        <v>3</v>
      </c>
      <c r="M400" s="112">
        <f t="shared" si="9"/>
        <v>1.5</v>
      </c>
      <c r="N400" s="113" t="s">
        <v>101</v>
      </c>
    </row>
    <row r="401" spans="2:14" ht="27">
      <c r="B401" s="105" t="s">
        <v>629</v>
      </c>
      <c r="C401" s="106" t="s">
        <v>630</v>
      </c>
      <c r="D401" s="107" t="s">
        <v>784</v>
      </c>
      <c r="E401" s="65" t="s">
        <v>785</v>
      </c>
      <c r="F401" s="64" t="s">
        <v>205</v>
      </c>
      <c r="G401" s="64" t="s">
        <v>101</v>
      </c>
      <c r="H401" s="64" t="s">
        <v>111</v>
      </c>
      <c r="I401" s="70">
        <v>1</v>
      </c>
      <c r="J401" s="70">
        <v>6</v>
      </c>
      <c r="K401" s="110" t="str">
        <f>IF(H401="","",IF($C$29="간이법","",FPR(H401,I401,J401)))</f>
        <v>L</v>
      </c>
      <c r="L401" s="111">
        <f>IF(H401="","",IF($C$29="상세법",FPV(H401,K401),IF(H401="EI",4,IF(H401="EO",5.2,IF(H401="EQ",3.9,IF(H401="ILF",7.5,IF(H401="EIF",5.4)))))))</f>
        <v>3</v>
      </c>
      <c r="M401" s="112">
        <f t="shared" si="9"/>
        <v>3</v>
      </c>
      <c r="N401" s="113" t="s">
        <v>101</v>
      </c>
    </row>
    <row r="402" spans="2:14" ht="27">
      <c r="B402" s="105" t="s">
        <v>629</v>
      </c>
      <c r="C402" s="106" t="s">
        <v>630</v>
      </c>
      <c r="D402" s="107" t="s">
        <v>786</v>
      </c>
      <c r="E402" s="65" t="s">
        <v>787</v>
      </c>
      <c r="F402" s="64" t="s">
        <v>189</v>
      </c>
      <c r="G402" s="64" t="s">
        <v>248</v>
      </c>
      <c r="H402" s="64" t="s">
        <v>111</v>
      </c>
      <c r="I402" s="70">
        <v>1</v>
      </c>
      <c r="J402" s="70">
        <v>6</v>
      </c>
      <c r="K402" s="110" t="str">
        <f>IF(H402="","",IF($C$29="간이법","",FPR(H402,I402,J402)))</f>
        <v>L</v>
      </c>
      <c r="L402" s="111">
        <f>IF(H402="","",IF($C$29="상세법",FPV(H402,K402),IF(H402="EI",4,IF(H402="EO",5.2,IF(H402="EQ",3.9,IF(H402="ILF",7.5,IF(H402="EIF",5.4)))))))</f>
        <v>3</v>
      </c>
      <c r="M402" s="112">
        <f t="shared" si="9"/>
        <v>1.5</v>
      </c>
      <c r="N402" s="113" t="s">
        <v>101</v>
      </c>
    </row>
    <row r="403" spans="2:14" ht="27">
      <c r="B403" s="105" t="s">
        <v>629</v>
      </c>
      <c r="C403" s="106" t="s">
        <v>630</v>
      </c>
      <c r="D403" s="107" t="s">
        <v>788</v>
      </c>
      <c r="E403" s="65" t="s">
        <v>789</v>
      </c>
      <c r="F403" s="64" t="s">
        <v>205</v>
      </c>
      <c r="G403" s="64" t="s">
        <v>248</v>
      </c>
      <c r="H403" s="64" t="s">
        <v>111</v>
      </c>
      <c r="I403" s="70">
        <v>1</v>
      </c>
      <c r="J403" s="70">
        <v>6</v>
      </c>
      <c r="K403" s="110" t="str">
        <f>IF(H403="","",IF($C$29="간이법","",FPR(H403,I403,J403)))</f>
        <v>L</v>
      </c>
      <c r="L403" s="111">
        <f>IF(H403="","",IF($C$29="상세법",FPV(H403,K403),IF(H403="EI",4,IF(H403="EO",5.2,IF(H403="EQ",3.9,IF(H403="ILF",7.5,IF(H403="EIF",5.4)))))))</f>
        <v>3</v>
      </c>
      <c r="M403" s="112">
        <f t="shared" si="9"/>
        <v>1.5</v>
      </c>
      <c r="N403" s="113" t="s">
        <v>101</v>
      </c>
    </row>
    <row r="404" spans="2:14" ht="27">
      <c r="B404" s="105" t="s">
        <v>629</v>
      </c>
      <c r="C404" s="106" t="s">
        <v>630</v>
      </c>
      <c r="D404" s="107" t="s">
        <v>790</v>
      </c>
      <c r="E404" s="65" t="s">
        <v>791</v>
      </c>
      <c r="F404" s="64" t="s">
        <v>205</v>
      </c>
      <c r="G404" s="64" t="s">
        <v>101</v>
      </c>
      <c r="H404" s="64" t="s">
        <v>111</v>
      </c>
      <c r="I404" s="70">
        <v>1</v>
      </c>
      <c r="J404" s="70">
        <v>6</v>
      </c>
      <c r="K404" s="110" t="str">
        <f>IF(H404="","",IF($C$29="간이법","",FPR(H404,I404,J404)))</f>
        <v>L</v>
      </c>
      <c r="L404" s="111">
        <f>IF(H404="","",IF($C$29="상세법",FPV(H404,K404),IF(H404="EI",4,IF(H404="EO",5.2,IF(H404="EQ",3.9,IF(H404="ILF",7.5,IF(H404="EIF",5.4)))))))</f>
        <v>3</v>
      </c>
      <c r="M404" s="112">
        <f t="shared" si="9"/>
        <v>3</v>
      </c>
      <c r="N404" s="113" t="s">
        <v>101</v>
      </c>
    </row>
    <row r="405" spans="2:14">
      <c r="B405" s="105" t="s">
        <v>629</v>
      </c>
      <c r="C405" s="106" t="s">
        <v>630</v>
      </c>
      <c r="D405" s="107" t="s">
        <v>792</v>
      </c>
      <c r="E405" s="65" t="s">
        <v>792</v>
      </c>
      <c r="F405" s="64" t="s">
        <v>189</v>
      </c>
      <c r="G405" s="64" t="s">
        <v>360</v>
      </c>
      <c r="H405" s="64" t="s">
        <v>111</v>
      </c>
      <c r="I405" s="70">
        <v>1</v>
      </c>
      <c r="J405" s="70">
        <v>5</v>
      </c>
      <c r="K405" s="110" t="str">
        <f>IF(H405="","",IF($C$29="간이법","",FPR(H405,I405,J405)))</f>
        <v>L</v>
      </c>
      <c r="L405" s="111">
        <f>IF(H405="","",IF($C$29="상세법",FPV(H405,K405),IF(H405="EI",4,IF(H405="EO",5.2,IF(H405="EQ",3.9,IF(H405="ILF",7.5,IF(H405="EIF",5.4)))))))</f>
        <v>3</v>
      </c>
      <c r="M405" s="112">
        <f t="shared" si="9"/>
        <v>0.60000000000000009</v>
      </c>
      <c r="N405" s="113" t="s">
        <v>101</v>
      </c>
    </row>
    <row r="406" spans="2:14" ht="27">
      <c r="B406" s="105" t="s">
        <v>793</v>
      </c>
      <c r="C406" s="106" t="s">
        <v>794</v>
      </c>
      <c r="D406" s="107" t="s">
        <v>795</v>
      </c>
      <c r="E406" s="65" t="s">
        <v>796</v>
      </c>
      <c r="F406" s="64" t="s">
        <v>189</v>
      </c>
      <c r="G406" s="64" t="s">
        <v>248</v>
      </c>
      <c r="H406" s="64" t="s">
        <v>111</v>
      </c>
      <c r="I406" s="70">
        <v>2</v>
      </c>
      <c r="J406" s="70">
        <v>11</v>
      </c>
      <c r="K406" s="110" t="str">
        <f>IF(H406="","",IF($C$29="간이법","",FPR(H406,I406,J406)))</f>
        <v>A</v>
      </c>
      <c r="L406" s="111">
        <f>IF(H406="","",IF($C$29="상세법",FPV(H406,K406),IF(H406="EI",4,IF(H406="EO",5.2,IF(H406="EQ",3.9,IF(H406="ILF",7.5,IF(H406="EIF",5.4)))))))</f>
        <v>4</v>
      </c>
      <c r="M406" s="112">
        <f t="shared" si="9"/>
        <v>2</v>
      </c>
      <c r="N406" s="113" t="s">
        <v>101</v>
      </c>
    </row>
    <row r="407" spans="2:14" ht="27">
      <c r="B407" s="105" t="s">
        <v>793</v>
      </c>
      <c r="C407" s="106" t="s">
        <v>794</v>
      </c>
      <c r="D407" s="107" t="s">
        <v>797</v>
      </c>
      <c r="E407" s="65" t="s">
        <v>797</v>
      </c>
      <c r="F407" s="64" t="s">
        <v>100</v>
      </c>
      <c r="G407" s="64" t="s">
        <v>101</v>
      </c>
      <c r="H407" s="64" t="s">
        <v>111</v>
      </c>
      <c r="I407" s="70">
        <v>4</v>
      </c>
      <c r="J407" s="70">
        <v>8</v>
      </c>
      <c r="K407" s="110" t="str">
        <f>IF(H407="","",IF($C$29="간이법","",FPR(H407,I407,J407)))</f>
        <v>H</v>
      </c>
      <c r="L407" s="111">
        <f>IF(H407="","",IF($C$29="상세법",FPV(H407,K407),IF(H407="EI",4,IF(H407="EO",5.2,IF(H407="EQ",3.9,IF(H407="ILF",7.5,IF(H407="EIF",5.4)))))))</f>
        <v>6</v>
      </c>
      <c r="M407" s="112">
        <f t="shared" si="9"/>
        <v>6</v>
      </c>
      <c r="N407" s="113" t="s">
        <v>101</v>
      </c>
    </row>
    <row r="408" spans="2:14" ht="27">
      <c r="B408" s="105" t="s">
        <v>793</v>
      </c>
      <c r="C408" s="106" t="s">
        <v>794</v>
      </c>
      <c r="D408" s="107" t="s">
        <v>798</v>
      </c>
      <c r="E408" s="65" t="s">
        <v>798</v>
      </c>
      <c r="F408" s="64" t="s">
        <v>100</v>
      </c>
      <c r="G408" s="64" t="s">
        <v>101</v>
      </c>
      <c r="H408" s="64" t="s">
        <v>111</v>
      </c>
      <c r="I408" s="70">
        <v>2</v>
      </c>
      <c r="J408" s="70">
        <v>10</v>
      </c>
      <c r="K408" s="110" t="str">
        <f>IF(H408="","",IF($C$29="간이법","",FPR(H408,I408,J408)))</f>
        <v>A</v>
      </c>
      <c r="L408" s="111">
        <f>IF(H408="","",IF($C$29="상세법",FPV(H408,K408),IF(H408="EI",4,IF(H408="EO",5.2,IF(H408="EQ",3.9,IF(H408="ILF",7.5,IF(H408="EIF",5.4)))))))</f>
        <v>4</v>
      </c>
      <c r="M408" s="112">
        <f t="shared" si="9"/>
        <v>4</v>
      </c>
      <c r="N408" s="113" t="s">
        <v>101</v>
      </c>
    </row>
    <row r="409" spans="2:14" ht="27">
      <c r="B409" s="105" t="s">
        <v>793</v>
      </c>
      <c r="C409" s="106" t="s">
        <v>794</v>
      </c>
      <c r="D409" s="107" t="s">
        <v>799</v>
      </c>
      <c r="E409" s="65" t="s">
        <v>799</v>
      </c>
      <c r="F409" s="64" t="s">
        <v>100</v>
      </c>
      <c r="G409" s="64" t="s">
        <v>101</v>
      </c>
      <c r="H409" s="64" t="s">
        <v>111</v>
      </c>
      <c r="I409" s="70">
        <v>4</v>
      </c>
      <c r="J409" s="70">
        <v>8</v>
      </c>
      <c r="K409" s="110" t="str">
        <f>IF(H409="","",IF($C$29="간이법","",FPR(H409,I409,J409)))</f>
        <v>H</v>
      </c>
      <c r="L409" s="111">
        <f>IF(H409="","",IF($C$29="상세법",FPV(H409,K409),IF(H409="EI",4,IF(H409="EO",5.2,IF(H409="EQ",3.9,IF(H409="ILF",7.5,IF(H409="EIF",5.4)))))))</f>
        <v>6</v>
      </c>
      <c r="M409" s="112">
        <f t="shared" si="9"/>
        <v>6</v>
      </c>
      <c r="N409" s="113" t="s">
        <v>101</v>
      </c>
    </row>
    <row r="410" spans="2:14" ht="27">
      <c r="B410" s="105" t="s">
        <v>793</v>
      </c>
      <c r="C410" s="106" t="s">
        <v>794</v>
      </c>
      <c r="D410" s="107" t="s">
        <v>800</v>
      </c>
      <c r="E410" s="65" t="s">
        <v>800</v>
      </c>
      <c r="F410" s="64" t="s">
        <v>100</v>
      </c>
      <c r="G410" s="64" t="s">
        <v>101</v>
      </c>
      <c r="H410" s="64" t="s">
        <v>111</v>
      </c>
      <c r="I410" s="70">
        <v>4</v>
      </c>
      <c r="J410" s="70">
        <v>9</v>
      </c>
      <c r="K410" s="110" t="str">
        <f>IF(H410="","",IF($C$29="간이법","",FPR(H410,I410,J410)))</f>
        <v>H</v>
      </c>
      <c r="L410" s="111">
        <f>IF(H410="","",IF($C$29="상세법",FPV(H410,K410),IF(H410="EI",4,IF(H410="EO",5.2,IF(H410="EQ",3.9,IF(H410="ILF",7.5,IF(H410="EIF",5.4)))))))</f>
        <v>6</v>
      </c>
      <c r="M410" s="112">
        <f t="shared" si="9"/>
        <v>6</v>
      </c>
      <c r="N410" s="113" t="s">
        <v>101</v>
      </c>
    </row>
    <row r="411" spans="2:14" ht="27">
      <c r="B411" s="105" t="s">
        <v>793</v>
      </c>
      <c r="C411" s="106" t="s">
        <v>794</v>
      </c>
      <c r="D411" s="107" t="s">
        <v>801</v>
      </c>
      <c r="E411" s="65" t="s">
        <v>801</v>
      </c>
      <c r="F411" s="64" t="s">
        <v>100</v>
      </c>
      <c r="G411" s="64" t="s">
        <v>101</v>
      </c>
      <c r="H411" s="64" t="s">
        <v>111</v>
      </c>
      <c r="I411" s="70">
        <v>5</v>
      </c>
      <c r="J411" s="70">
        <v>12</v>
      </c>
      <c r="K411" s="110" t="str">
        <f>IF(H411="","",IF($C$29="간이법","",FPR(H411,I411,J411)))</f>
        <v>H</v>
      </c>
      <c r="L411" s="111">
        <f>IF(H411="","",IF($C$29="상세법",FPV(H411,K411),IF(H411="EI",4,IF(H411="EO",5.2,IF(H411="EQ",3.9,IF(H411="ILF",7.5,IF(H411="EIF",5.4)))))))</f>
        <v>6</v>
      </c>
      <c r="M411" s="112">
        <f t="shared" si="9"/>
        <v>6</v>
      </c>
      <c r="N411" s="113" t="s">
        <v>101</v>
      </c>
    </row>
    <row r="412" spans="2:14" ht="27">
      <c r="B412" s="105" t="s">
        <v>793</v>
      </c>
      <c r="C412" s="106" t="s">
        <v>794</v>
      </c>
      <c r="D412" s="107" t="s">
        <v>802</v>
      </c>
      <c r="E412" s="65" t="s">
        <v>802</v>
      </c>
      <c r="F412" s="64" t="s">
        <v>100</v>
      </c>
      <c r="G412" s="64" t="s">
        <v>101</v>
      </c>
      <c r="H412" s="64" t="s">
        <v>111</v>
      </c>
      <c r="I412" s="70">
        <v>4</v>
      </c>
      <c r="J412" s="70">
        <v>8</v>
      </c>
      <c r="K412" s="110" t="str">
        <f>IF(H412="","",IF($C$29="간이법","",FPR(H412,I412,J412)))</f>
        <v>H</v>
      </c>
      <c r="L412" s="111">
        <f>IF(H412="","",IF($C$29="상세법",FPV(H412,K412),IF(H412="EI",4,IF(H412="EO",5.2,IF(H412="EQ",3.9,IF(H412="ILF",7.5,IF(H412="EIF",5.4)))))))</f>
        <v>6</v>
      </c>
      <c r="M412" s="112">
        <f t="shared" si="9"/>
        <v>6</v>
      </c>
      <c r="N412" s="113" t="s">
        <v>101</v>
      </c>
    </row>
    <row r="413" spans="2:14" ht="27">
      <c r="B413" s="105" t="s">
        <v>793</v>
      </c>
      <c r="C413" s="106" t="s">
        <v>794</v>
      </c>
      <c r="D413" s="107" t="s">
        <v>803</v>
      </c>
      <c r="E413" s="65" t="s">
        <v>803</v>
      </c>
      <c r="F413" s="64" t="s">
        <v>205</v>
      </c>
      <c r="G413" s="64" t="s">
        <v>101</v>
      </c>
      <c r="H413" s="64" t="s">
        <v>10</v>
      </c>
      <c r="I413" s="70">
        <v>4</v>
      </c>
      <c r="J413" s="70">
        <v>8</v>
      </c>
      <c r="K413" s="110" t="str">
        <f>IF(H413="","",IF($C$29="간이법","",FPR(H413,I413,J413)))</f>
        <v>H</v>
      </c>
      <c r="L413" s="111">
        <f>IF(H413="","",IF($C$29="상세법",FPV(H413,K413),IF(H413="EI",4,IF(H413="EO",5.2,IF(H413="EQ",3.9,IF(H413="ILF",7.5,IF(H413="EIF",5.4)))))))</f>
        <v>6</v>
      </c>
      <c r="M413" s="112">
        <f t="shared" si="9"/>
        <v>6</v>
      </c>
      <c r="N413" s="113" t="s">
        <v>101</v>
      </c>
    </row>
    <row r="414" spans="2:14" ht="27">
      <c r="B414" s="105" t="s">
        <v>793</v>
      </c>
      <c r="C414" s="106" t="s">
        <v>794</v>
      </c>
      <c r="D414" s="107" t="s">
        <v>804</v>
      </c>
      <c r="E414" s="65" t="s">
        <v>804</v>
      </c>
      <c r="F414" s="64" t="s">
        <v>100</v>
      </c>
      <c r="G414" s="64" t="s">
        <v>101</v>
      </c>
      <c r="H414" s="64" t="s">
        <v>111</v>
      </c>
      <c r="I414" s="70">
        <v>4</v>
      </c>
      <c r="J414" s="70">
        <v>8</v>
      </c>
      <c r="K414" s="110" t="str">
        <f>IF(H414="","",IF($C$29="간이법","",FPR(H414,I414,J414)))</f>
        <v>H</v>
      </c>
      <c r="L414" s="111">
        <f>IF(H414="","",IF($C$29="상세법",FPV(H414,K414),IF(H414="EI",4,IF(H414="EO",5.2,IF(H414="EQ",3.9,IF(H414="ILF",7.5,IF(H414="EIF",5.4)))))))</f>
        <v>6</v>
      </c>
      <c r="M414" s="112">
        <f t="shared" si="9"/>
        <v>6</v>
      </c>
      <c r="N414" s="113" t="s">
        <v>101</v>
      </c>
    </row>
    <row r="415" spans="2:14" ht="27">
      <c r="B415" s="105" t="s">
        <v>793</v>
      </c>
      <c r="C415" s="106" t="s">
        <v>794</v>
      </c>
      <c r="D415" s="107" t="s">
        <v>805</v>
      </c>
      <c r="E415" s="65" t="s">
        <v>805</v>
      </c>
      <c r="F415" s="64" t="s">
        <v>189</v>
      </c>
      <c r="G415" s="64" t="s">
        <v>360</v>
      </c>
      <c r="H415" s="64" t="s">
        <v>10</v>
      </c>
      <c r="I415" s="70">
        <v>1</v>
      </c>
      <c r="J415" s="70">
        <v>6</v>
      </c>
      <c r="K415" s="110" t="str">
        <f>IF(H415="","",IF($C$29="간이법","",FPR(H415,I415,J415)))</f>
        <v>L</v>
      </c>
      <c r="L415" s="111">
        <f>IF(H415="","",IF($C$29="상세법",FPV(H415,K415),IF(H415="EI",4,IF(H415="EO",5.2,IF(H415="EQ",3.9,IF(H415="ILF",7.5,IF(H415="EIF",5.4)))))))</f>
        <v>3</v>
      </c>
      <c r="M415" s="112">
        <f t="shared" si="9"/>
        <v>0.60000000000000009</v>
      </c>
      <c r="N415" s="113" t="s">
        <v>101</v>
      </c>
    </row>
    <row r="416" spans="2:14" ht="27">
      <c r="B416" s="105" t="s">
        <v>793</v>
      </c>
      <c r="C416" s="106" t="s">
        <v>794</v>
      </c>
      <c r="D416" s="107" t="s">
        <v>806</v>
      </c>
      <c r="E416" s="65" t="s">
        <v>806</v>
      </c>
      <c r="F416" s="64" t="s">
        <v>189</v>
      </c>
      <c r="G416" s="64" t="s">
        <v>248</v>
      </c>
      <c r="H416" s="64" t="s">
        <v>10</v>
      </c>
      <c r="I416" s="70">
        <v>3</v>
      </c>
      <c r="J416" s="70">
        <v>12</v>
      </c>
      <c r="K416" s="110" t="str">
        <f>IF(H416="","",IF($C$29="간이법","",FPR(H416,I416,J416)))</f>
        <v>H</v>
      </c>
      <c r="L416" s="111">
        <f>IF(H416="","",IF($C$29="상세법",FPV(H416,K416),IF(H416="EI",4,IF(H416="EO",5.2,IF(H416="EQ",3.9,IF(H416="ILF",7.5,IF(H416="EIF",5.4)))))))</f>
        <v>6</v>
      </c>
      <c r="M416" s="112">
        <f t="shared" si="9"/>
        <v>3</v>
      </c>
      <c r="N416" s="113" t="s">
        <v>101</v>
      </c>
    </row>
    <row r="417" spans="2:14">
      <c r="B417" s="105" t="s">
        <v>793</v>
      </c>
      <c r="C417" s="106" t="s">
        <v>793</v>
      </c>
      <c r="D417" s="107" t="s">
        <v>807</v>
      </c>
      <c r="E417" s="65" t="s">
        <v>808</v>
      </c>
      <c r="F417" s="64" t="s">
        <v>100</v>
      </c>
      <c r="G417" s="64" t="s">
        <v>101</v>
      </c>
      <c r="H417" s="64" t="s">
        <v>111</v>
      </c>
      <c r="I417" s="70">
        <v>1</v>
      </c>
      <c r="J417" s="70">
        <v>4</v>
      </c>
      <c r="K417" s="110" t="str">
        <f>IF(H417="","",IF($C$29="간이법","",FPR(H417,I417,J417)))</f>
        <v>L</v>
      </c>
      <c r="L417" s="111">
        <f>IF(H417="","",IF($C$29="상세법",FPV(H417,K417),IF(H417="EI",4,IF(H417="EO",5.2,IF(H417="EQ",3.9,IF(H417="ILF",7.5,IF(H417="EIF",5.4)))))))</f>
        <v>3</v>
      </c>
      <c r="M417" s="112">
        <f t="shared" si="9"/>
        <v>3</v>
      </c>
      <c r="N417" s="113" t="s">
        <v>101</v>
      </c>
    </row>
    <row r="418" spans="2:14">
      <c r="B418" s="105" t="s">
        <v>793</v>
      </c>
      <c r="C418" s="106" t="s">
        <v>793</v>
      </c>
      <c r="D418" s="107" t="s">
        <v>809</v>
      </c>
      <c r="E418" s="65" t="s">
        <v>810</v>
      </c>
      <c r="F418" s="64" t="s">
        <v>100</v>
      </c>
      <c r="G418" s="64" t="s">
        <v>101</v>
      </c>
      <c r="H418" s="64" t="s">
        <v>111</v>
      </c>
      <c r="I418" s="70">
        <v>1</v>
      </c>
      <c r="J418" s="70">
        <v>8</v>
      </c>
      <c r="K418" s="110" t="str">
        <f>IF(H418="","",IF($C$29="간이법","",FPR(H418,I418,J418)))</f>
        <v>L</v>
      </c>
      <c r="L418" s="111">
        <f>IF(H418="","",IF($C$29="상세법",FPV(H418,K418),IF(H418="EI",4,IF(H418="EO",5.2,IF(H418="EQ",3.9,IF(H418="ILF",7.5,IF(H418="EIF",5.4)))))))</f>
        <v>3</v>
      </c>
      <c r="M418" s="112">
        <f t="shared" si="9"/>
        <v>3</v>
      </c>
      <c r="N418" s="113" t="s">
        <v>101</v>
      </c>
    </row>
    <row r="419" spans="2:14">
      <c r="B419" s="105" t="s">
        <v>793</v>
      </c>
      <c r="C419" s="106" t="s">
        <v>793</v>
      </c>
      <c r="D419" s="107" t="s">
        <v>811</v>
      </c>
      <c r="E419" s="65" t="s">
        <v>812</v>
      </c>
      <c r="F419" s="64" t="s">
        <v>100</v>
      </c>
      <c r="G419" s="64" t="s">
        <v>101</v>
      </c>
      <c r="H419" s="64" t="s">
        <v>10</v>
      </c>
      <c r="I419" s="70">
        <v>1</v>
      </c>
      <c r="J419" s="70">
        <v>4</v>
      </c>
      <c r="K419" s="110" t="str">
        <f>IF(H419="","",IF($C$29="간이법","",FPR(H419,I419,J419)))</f>
        <v>L</v>
      </c>
      <c r="L419" s="111">
        <f>IF(H419="","",IF($C$29="상세법",FPV(H419,K419),IF(H419="EI",4,IF(H419="EO",5.2,IF(H419="EQ",3.9,IF(H419="ILF",7.5,IF(H419="EIF",5.4)))))))</f>
        <v>3</v>
      </c>
      <c r="M419" s="112">
        <f t="shared" si="9"/>
        <v>3</v>
      </c>
      <c r="N419" s="113" t="s">
        <v>101</v>
      </c>
    </row>
    <row r="420" spans="2:14" ht="27">
      <c r="B420" s="105" t="s">
        <v>793</v>
      </c>
      <c r="C420" s="106" t="s">
        <v>793</v>
      </c>
      <c r="D420" s="107" t="s">
        <v>813</v>
      </c>
      <c r="E420" s="65" t="s">
        <v>814</v>
      </c>
      <c r="F420" s="64" t="s">
        <v>100</v>
      </c>
      <c r="G420" s="64" t="s">
        <v>101</v>
      </c>
      <c r="H420" s="64" t="s">
        <v>111</v>
      </c>
      <c r="I420" s="70">
        <v>1</v>
      </c>
      <c r="J420" s="70">
        <v>5</v>
      </c>
      <c r="K420" s="110" t="str">
        <f>IF(H420="","",IF($C$29="간이법","",FPR(H420,I420,J420)))</f>
        <v>L</v>
      </c>
      <c r="L420" s="111">
        <f>IF(H420="","",IF($C$29="상세법",FPV(H420,K420),IF(H420="EI",4,IF(H420="EO",5.2,IF(H420="EQ",3.9,IF(H420="ILF",7.5,IF(H420="EIF",5.4)))))))</f>
        <v>3</v>
      </c>
      <c r="M420" s="112">
        <f t="shared" si="9"/>
        <v>3</v>
      </c>
      <c r="N420" s="113" t="s">
        <v>101</v>
      </c>
    </row>
    <row r="421" spans="2:14" ht="27">
      <c r="B421" s="105" t="s">
        <v>793</v>
      </c>
      <c r="C421" s="106" t="s">
        <v>793</v>
      </c>
      <c r="D421" s="107" t="s">
        <v>815</v>
      </c>
      <c r="E421" s="65" t="s">
        <v>816</v>
      </c>
      <c r="F421" s="64" t="s">
        <v>100</v>
      </c>
      <c r="G421" s="64" t="s">
        <v>101</v>
      </c>
      <c r="H421" s="64" t="s">
        <v>111</v>
      </c>
      <c r="I421" s="70">
        <v>4</v>
      </c>
      <c r="J421" s="70">
        <v>8</v>
      </c>
      <c r="K421" s="110" t="str">
        <f>IF(H421="","",IF($C$29="간이법","",FPR(H421,I421,J421)))</f>
        <v>H</v>
      </c>
      <c r="L421" s="111">
        <f>IF(H421="","",IF($C$29="상세법",FPV(H421,K421),IF(H421="EI",4,IF(H421="EO",5.2,IF(H421="EQ",3.9,IF(H421="ILF",7.5,IF(H421="EIF",5.4)))))))</f>
        <v>6</v>
      </c>
      <c r="M421" s="112">
        <f t="shared" si="9"/>
        <v>6</v>
      </c>
      <c r="N421" s="113" t="s">
        <v>101</v>
      </c>
    </row>
    <row r="422" spans="2:14" ht="27">
      <c r="B422" s="105" t="s">
        <v>793</v>
      </c>
      <c r="C422" s="106" t="s">
        <v>793</v>
      </c>
      <c r="D422" s="107" t="s">
        <v>817</v>
      </c>
      <c r="E422" s="65" t="s">
        <v>818</v>
      </c>
      <c r="F422" s="64" t="s">
        <v>100</v>
      </c>
      <c r="G422" s="64" t="s">
        <v>101</v>
      </c>
      <c r="H422" s="64" t="s">
        <v>111</v>
      </c>
      <c r="I422" s="70">
        <v>2</v>
      </c>
      <c r="J422" s="70">
        <v>10</v>
      </c>
      <c r="K422" s="110" t="str">
        <f>IF(H422="","",IF($C$29="간이법","",FPR(H422,I422,J422)))</f>
        <v>A</v>
      </c>
      <c r="L422" s="111">
        <f>IF(H422="","",IF($C$29="상세법",FPV(H422,K422),IF(H422="EI",4,IF(H422="EO",5.2,IF(H422="EQ",3.9,IF(H422="ILF",7.5,IF(H422="EIF",5.4)))))))</f>
        <v>4</v>
      </c>
      <c r="M422" s="112">
        <f t="shared" si="9"/>
        <v>4</v>
      </c>
      <c r="N422" s="113" t="s">
        <v>101</v>
      </c>
    </row>
    <row r="423" spans="2:14" ht="27">
      <c r="B423" s="105" t="s">
        <v>793</v>
      </c>
      <c r="C423" s="106" t="s">
        <v>793</v>
      </c>
      <c r="D423" s="107" t="s">
        <v>819</v>
      </c>
      <c r="E423" s="65" t="s">
        <v>820</v>
      </c>
      <c r="F423" s="64" t="s">
        <v>100</v>
      </c>
      <c r="G423" s="64" t="s">
        <v>101</v>
      </c>
      <c r="H423" s="64" t="s">
        <v>111</v>
      </c>
      <c r="I423" s="70">
        <v>4</v>
      </c>
      <c r="J423" s="70">
        <v>8</v>
      </c>
      <c r="K423" s="110" t="str">
        <f>IF(H423="","",IF($C$29="간이법","",FPR(H423,I423,J423)))</f>
        <v>H</v>
      </c>
      <c r="L423" s="111">
        <f>IF(H423="","",IF($C$29="상세법",FPV(H423,K423),IF(H423="EI",4,IF(H423="EO",5.2,IF(H423="EQ",3.9,IF(H423="ILF",7.5,IF(H423="EIF",5.4)))))))</f>
        <v>6</v>
      </c>
      <c r="M423" s="112">
        <f t="shared" si="9"/>
        <v>6</v>
      </c>
      <c r="N423" s="113" t="s">
        <v>101</v>
      </c>
    </row>
    <row r="424" spans="2:14">
      <c r="B424" s="105" t="s">
        <v>793</v>
      </c>
      <c r="C424" s="106" t="s">
        <v>793</v>
      </c>
      <c r="D424" s="107" t="s">
        <v>821</v>
      </c>
      <c r="E424" s="65" t="s">
        <v>822</v>
      </c>
      <c r="F424" s="64" t="s">
        <v>100</v>
      </c>
      <c r="G424" s="64" t="s">
        <v>101</v>
      </c>
      <c r="H424" s="64" t="s">
        <v>111</v>
      </c>
      <c r="I424" s="70">
        <v>5</v>
      </c>
      <c r="J424" s="70">
        <v>12</v>
      </c>
      <c r="K424" s="110" t="str">
        <f>IF(H424="","",IF($C$29="간이법","",FPR(H424,I424,J424)))</f>
        <v>H</v>
      </c>
      <c r="L424" s="111">
        <f>IF(H424="","",IF($C$29="상세법",FPV(H424,K424),IF(H424="EI",4,IF(H424="EO",5.2,IF(H424="EQ",3.9,IF(H424="ILF",7.5,IF(H424="EIF",5.4)))))))</f>
        <v>6</v>
      </c>
      <c r="M424" s="112">
        <f t="shared" si="9"/>
        <v>6</v>
      </c>
      <c r="N424" s="113" t="s">
        <v>101</v>
      </c>
    </row>
    <row r="425" spans="2:14">
      <c r="B425" s="105" t="s">
        <v>793</v>
      </c>
      <c r="C425" s="106" t="s">
        <v>793</v>
      </c>
      <c r="D425" s="107" t="s">
        <v>823</v>
      </c>
      <c r="E425" s="65" t="s">
        <v>824</v>
      </c>
      <c r="F425" s="64" t="s">
        <v>100</v>
      </c>
      <c r="G425" s="64" t="s">
        <v>101</v>
      </c>
      <c r="H425" s="64" t="s">
        <v>111</v>
      </c>
      <c r="I425" s="70">
        <v>4</v>
      </c>
      <c r="J425" s="70">
        <v>8</v>
      </c>
      <c r="K425" s="110" t="str">
        <f>IF(H425="","",IF($C$29="간이법","",FPR(H425,I425,J425)))</f>
        <v>H</v>
      </c>
      <c r="L425" s="111">
        <f>IF(H425="","",IF($C$29="상세법",FPV(H425,K425),IF(H425="EI",4,IF(H425="EO",5.2,IF(H425="EQ",3.9,IF(H425="ILF",7.5,IF(H425="EIF",5.4)))))))</f>
        <v>6</v>
      </c>
      <c r="M425" s="112">
        <f t="shared" si="9"/>
        <v>6</v>
      </c>
      <c r="N425" s="113" t="s">
        <v>101</v>
      </c>
    </row>
    <row r="426" spans="2:14">
      <c r="B426" s="105" t="s">
        <v>793</v>
      </c>
      <c r="C426" s="106" t="s">
        <v>793</v>
      </c>
      <c r="D426" s="107" t="s">
        <v>825</v>
      </c>
      <c r="E426" s="65" t="s">
        <v>826</v>
      </c>
      <c r="F426" s="64" t="s">
        <v>100</v>
      </c>
      <c r="G426" s="64" t="s">
        <v>101</v>
      </c>
      <c r="H426" s="64" t="s">
        <v>111</v>
      </c>
      <c r="I426" s="70">
        <v>4</v>
      </c>
      <c r="J426" s="70">
        <v>8</v>
      </c>
      <c r="K426" s="110" t="str">
        <f>IF(H426="","",IF($C$29="간이법","",FPR(H426,I426,J426)))</f>
        <v>H</v>
      </c>
      <c r="L426" s="111">
        <f>IF(H426="","",IF($C$29="상세법",FPV(H426,K426),IF(H426="EI",4,IF(H426="EO",5.2,IF(H426="EQ",3.9,IF(H426="ILF",7.5,IF(H426="EIF",5.4)))))))</f>
        <v>6</v>
      </c>
      <c r="M426" s="112">
        <f t="shared" si="9"/>
        <v>6</v>
      </c>
      <c r="N426" s="113" t="s">
        <v>101</v>
      </c>
    </row>
    <row r="427" spans="2:14" ht="27">
      <c r="B427" s="105" t="s">
        <v>793</v>
      </c>
      <c r="C427" s="106" t="s">
        <v>793</v>
      </c>
      <c r="D427" s="107" t="s">
        <v>827</v>
      </c>
      <c r="E427" s="65" t="s">
        <v>828</v>
      </c>
      <c r="F427" s="64" t="s">
        <v>100</v>
      </c>
      <c r="G427" s="64" t="s">
        <v>101</v>
      </c>
      <c r="H427" s="64" t="s">
        <v>10</v>
      </c>
      <c r="I427" s="70">
        <v>1</v>
      </c>
      <c r="J427" s="70">
        <v>4</v>
      </c>
      <c r="K427" s="110" t="str">
        <f>IF(H427="","",IF($C$29="간이법","",FPR(H427,I427,J427)))</f>
        <v>L</v>
      </c>
      <c r="L427" s="111">
        <f>IF(H427="","",IF($C$29="상세법",FPV(H427,K427),IF(H427="EI",4,IF(H427="EO",5.2,IF(H427="EQ",3.9,IF(H427="ILF",7.5,IF(H427="EIF",5.4)))))))</f>
        <v>3</v>
      </c>
      <c r="M427" s="112">
        <f t="shared" si="9"/>
        <v>3</v>
      </c>
      <c r="N427" s="113" t="s">
        <v>101</v>
      </c>
    </row>
    <row r="428" spans="2:14">
      <c r="B428" s="105" t="s">
        <v>793</v>
      </c>
      <c r="C428" s="106" t="s">
        <v>793</v>
      </c>
      <c r="D428" s="107" t="s">
        <v>829</v>
      </c>
      <c r="E428" s="65" t="s">
        <v>830</v>
      </c>
      <c r="F428" s="64" t="s">
        <v>189</v>
      </c>
      <c r="G428" s="64" t="s">
        <v>248</v>
      </c>
      <c r="H428" s="64" t="s">
        <v>10</v>
      </c>
      <c r="I428" s="70">
        <v>3</v>
      </c>
      <c r="J428" s="70">
        <v>12</v>
      </c>
      <c r="K428" s="110" t="str">
        <f>IF(H428="","",IF($C$29="간이법","",FPR(H428,I428,J428)))</f>
        <v>H</v>
      </c>
      <c r="L428" s="111">
        <f>IF(H428="","",IF($C$29="상세법",FPV(H428,K428),IF(H428="EI",4,IF(H428="EO",5.2,IF(H428="EQ",3.9,IF(H428="ILF",7.5,IF(H428="EIF",5.4)))))))</f>
        <v>6</v>
      </c>
      <c r="M428" s="112">
        <f t="shared" si="9"/>
        <v>3</v>
      </c>
      <c r="N428" s="113" t="s">
        <v>101</v>
      </c>
    </row>
    <row r="429" spans="2:14">
      <c r="B429" s="105" t="s">
        <v>793</v>
      </c>
      <c r="C429" s="106" t="s">
        <v>831</v>
      </c>
      <c r="D429" s="107" t="s">
        <v>832</v>
      </c>
      <c r="E429" s="65" t="s">
        <v>833</v>
      </c>
      <c r="F429" s="64" t="s">
        <v>100</v>
      </c>
      <c r="G429" s="64" t="s">
        <v>101</v>
      </c>
      <c r="H429" s="64" t="s">
        <v>111</v>
      </c>
      <c r="I429" s="70">
        <v>1</v>
      </c>
      <c r="J429" s="70">
        <v>4</v>
      </c>
      <c r="K429" s="110" t="str">
        <f>IF(H429="","",IF($C$29="간이법","",FPR(H429,I429,J429)))</f>
        <v>L</v>
      </c>
      <c r="L429" s="111">
        <f>IF(H429="","",IF($C$29="상세법",FPV(H429,K429),IF(H429="EI",4,IF(H429="EO",5.2,IF(H429="EQ",3.9,IF(H429="ILF",7.5,IF(H429="EIF",5.4)))))))</f>
        <v>3</v>
      </c>
      <c r="M429" s="112">
        <f t="shared" si="9"/>
        <v>3</v>
      </c>
      <c r="N429" s="113" t="s">
        <v>101</v>
      </c>
    </row>
    <row r="430" spans="2:14">
      <c r="B430" s="105" t="s">
        <v>793</v>
      </c>
      <c r="C430" s="106" t="s">
        <v>831</v>
      </c>
      <c r="D430" s="107" t="s">
        <v>834</v>
      </c>
      <c r="E430" s="65" t="s">
        <v>835</v>
      </c>
      <c r="F430" s="64" t="s">
        <v>189</v>
      </c>
      <c r="G430" s="64" t="s">
        <v>248</v>
      </c>
      <c r="H430" s="64" t="s">
        <v>111</v>
      </c>
      <c r="I430" s="70">
        <v>1</v>
      </c>
      <c r="J430" s="70">
        <v>6</v>
      </c>
      <c r="K430" s="110" t="str">
        <f>IF(H430="","",IF($C$29="간이법","",FPR(H430,I430,J430)))</f>
        <v>L</v>
      </c>
      <c r="L430" s="111">
        <f>IF(H430="","",IF($C$29="상세법",FPV(H430,K430),IF(H430="EI",4,IF(H430="EO",5.2,IF(H430="EQ",3.9,IF(H430="ILF",7.5,IF(H430="EIF",5.4)))))))</f>
        <v>3</v>
      </c>
      <c r="M430" s="112">
        <f t="shared" si="9"/>
        <v>1.5</v>
      </c>
      <c r="N430" s="113" t="s">
        <v>101</v>
      </c>
    </row>
    <row r="431" spans="2:14">
      <c r="B431" s="105" t="s">
        <v>793</v>
      </c>
      <c r="C431" s="106" t="s">
        <v>831</v>
      </c>
      <c r="D431" s="107" t="s">
        <v>836</v>
      </c>
      <c r="E431" s="65" t="s">
        <v>837</v>
      </c>
      <c r="F431" s="64" t="s">
        <v>189</v>
      </c>
      <c r="G431" s="64" t="s">
        <v>248</v>
      </c>
      <c r="H431" s="64" t="s">
        <v>10</v>
      </c>
      <c r="I431" s="70">
        <v>1</v>
      </c>
      <c r="J431" s="70">
        <v>5</v>
      </c>
      <c r="K431" s="110" t="str">
        <f>IF(H431="","",IF($C$29="간이법","",FPR(H431,I431,J431)))</f>
        <v>L</v>
      </c>
      <c r="L431" s="111">
        <f>IF(H431="","",IF($C$29="상세법",FPV(H431,K431),IF(H431="EI",4,IF(H431="EO",5.2,IF(H431="EQ",3.9,IF(H431="ILF",7.5,IF(H431="EIF",5.4)))))))</f>
        <v>3</v>
      </c>
      <c r="M431" s="112">
        <f t="shared" si="9"/>
        <v>1.5</v>
      </c>
      <c r="N431" s="113" t="s">
        <v>101</v>
      </c>
    </row>
    <row r="432" spans="2:14" ht="27">
      <c r="B432" s="105" t="s">
        <v>793</v>
      </c>
      <c r="C432" s="106" t="s">
        <v>831</v>
      </c>
      <c r="D432" s="107" t="s">
        <v>838</v>
      </c>
      <c r="E432" s="65" t="s">
        <v>839</v>
      </c>
      <c r="F432" s="64" t="s">
        <v>100</v>
      </c>
      <c r="G432" s="64" t="s">
        <v>101</v>
      </c>
      <c r="H432" s="64" t="s">
        <v>111</v>
      </c>
      <c r="I432" s="70">
        <v>1</v>
      </c>
      <c r="J432" s="70">
        <v>5</v>
      </c>
      <c r="K432" s="110" t="str">
        <f>IF(H432="","",IF($C$29="간이법","",FPR(H432,I432,J432)))</f>
        <v>L</v>
      </c>
      <c r="L432" s="111">
        <f>IF(H432="","",IF($C$29="상세법",FPV(H432,K432),IF(H432="EI",4,IF(H432="EO",5.2,IF(H432="EQ",3.9,IF(H432="ILF",7.5,IF(H432="EIF",5.4)))))))</f>
        <v>3</v>
      </c>
      <c r="M432" s="112">
        <f t="shared" si="9"/>
        <v>3</v>
      </c>
      <c r="N432" s="113" t="s">
        <v>101</v>
      </c>
    </row>
    <row r="433" spans="2:14">
      <c r="B433" s="105" t="s">
        <v>793</v>
      </c>
      <c r="C433" s="106" t="s">
        <v>831</v>
      </c>
      <c r="D433" s="107" t="s">
        <v>840</v>
      </c>
      <c r="E433" s="65" t="s">
        <v>841</v>
      </c>
      <c r="F433" s="64" t="s">
        <v>189</v>
      </c>
      <c r="G433" s="64" t="s">
        <v>360</v>
      </c>
      <c r="H433" s="64" t="s">
        <v>10</v>
      </c>
      <c r="I433" s="70">
        <v>3</v>
      </c>
      <c r="J433" s="70">
        <v>7</v>
      </c>
      <c r="K433" s="110" t="str">
        <f>IF(H433="","",IF($C$29="간이법","",FPR(H433,I433,J433)))</f>
        <v>H</v>
      </c>
      <c r="L433" s="111">
        <f>IF(H433="","",IF($C$29="상세법",FPV(H433,K433),IF(H433="EI",4,IF(H433="EO",5.2,IF(H433="EQ",3.9,IF(H433="ILF",7.5,IF(H433="EIF",5.4)))))))</f>
        <v>6</v>
      </c>
      <c r="M433" s="112">
        <f t="shared" si="9"/>
        <v>1.2000000000000002</v>
      </c>
      <c r="N433" s="113" t="s">
        <v>101</v>
      </c>
    </row>
    <row r="434" spans="2:14">
      <c r="B434" s="105" t="s">
        <v>793</v>
      </c>
      <c r="C434" s="106" t="s">
        <v>831</v>
      </c>
      <c r="D434" s="107" t="s">
        <v>842</v>
      </c>
      <c r="E434" s="65" t="s">
        <v>843</v>
      </c>
      <c r="F434" s="64" t="s">
        <v>189</v>
      </c>
      <c r="G434" s="64" t="s">
        <v>360</v>
      </c>
      <c r="H434" s="64" t="s">
        <v>10</v>
      </c>
      <c r="I434" s="70">
        <v>3</v>
      </c>
      <c r="J434" s="70">
        <v>8</v>
      </c>
      <c r="K434" s="110" t="str">
        <f>IF(H434="","",IF($C$29="간이법","",FPR(H434,I434,J434)))</f>
        <v>H</v>
      </c>
      <c r="L434" s="111">
        <f>IF(H434="","",IF($C$29="상세법",FPV(H434,K434),IF(H434="EI",4,IF(H434="EO",5.2,IF(H434="EQ",3.9,IF(H434="ILF",7.5,IF(H434="EIF",5.4)))))))</f>
        <v>6</v>
      </c>
      <c r="M434" s="112">
        <f t="shared" si="9"/>
        <v>1.2000000000000002</v>
      </c>
      <c r="N434" s="113" t="s">
        <v>101</v>
      </c>
    </row>
    <row r="435" spans="2:14">
      <c r="B435" s="105" t="s">
        <v>793</v>
      </c>
      <c r="C435" s="106" t="s">
        <v>831</v>
      </c>
      <c r="D435" s="107" t="s">
        <v>844</v>
      </c>
      <c r="E435" s="65" t="s">
        <v>845</v>
      </c>
      <c r="F435" s="64" t="s">
        <v>189</v>
      </c>
      <c r="G435" s="64" t="s">
        <v>190</v>
      </c>
      <c r="H435" s="64" t="s">
        <v>10</v>
      </c>
      <c r="I435" s="70">
        <v>3</v>
      </c>
      <c r="J435" s="70">
        <v>8</v>
      </c>
      <c r="K435" s="110" t="str">
        <f>IF(H435="","",IF($C$29="간이법","",FPR(H435,I435,J435)))</f>
        <v>H</v>
      </c>
      <c r="L435" s="111">
        <f>IF(H435="","",IF($C$29="상세법",FPV(H435,K435),IF(H435="EI",4,IF(H435="EO",5.2,IF(H435="EQ",3.9,IF(H435="ILF",7.5,IF(H435="EIF",5.4)))))))</f>
        <v>6</v>
      </c>
      <c r="M435" s="112">
        <f t="shared" si="9"/>
        <v>4.1999999999999993</v>
      </c>
      <c r="N435" s="113" t="s">
        <v>101</v>
      </c>
    </row>
    <row r="436" spans="2:14">
      <c r="B436" s="105" t="s">
        <v>793</v>
      </c>
      <c r="C436" s="106" t="s">
        <v>831</v>
      </c>
      <c r="D436" s="107" t="s">
        <v>846</v>
      </c>
      <c r="E436" s="65" t="s">
        <v>846</v>
      </c>
      <c r="F436" s="64" t="s">
        <v>189</v>
      </c>
      <c r="G436" s="64" t="s">
        <v>190</v>
      </c>
      <c r="H436" s="64" t="s">
        <v>10</v>
      </c>
      <c r="I436" s="70">
        <v>3</v>
      </c>
      <c r="J436" s="70">
        <v>9</v>
      </c>
      <c r="K436" s="110" t="str">
        <f>IF(H436="","",IF($C$29="간이법","",FPR(H436,I436,J436)))</f>
        <v>H</v>
      </c>
      <c r="L436" s="111">
        <f>IF(H436="","",IF($C$29="상세법",FPV(H436,K436),IF(H436="EI",4,IF(H436="EO",5.2,IF(H436="EQ",3.9,IF(H436="ILF",7.5,IF(H436="EIF",5.4)))))))</f>
        <v>6</v>
      </c>
      <c r="M436" s="112">
        <f t="shared" si="9"/>
        <v>4.1999999999999993</v>
      </c>
      <c r="N436" s="113" t="s">
        <v>101</v>
      </c>
    </row>
    <row r="437" spans="2:14" ht="27">
      <c r="B437" s="105" t="s">
        <v>793</v>
      </c>
      <c r="C437" s="106" t="s">
        <v>831</v>
      </c>
      <c r="D437" s="107" t="s">
        <v>847</v>
      </c>
      <c r="E437" s="65" t="s">
        <v>847</v>
      </c>
      <c r="F437" s="64" t="s">
        <v>205</v>
      </c>
      <c r="G437" s="64" t="s">
        <v>101</v>
      </c>
      <c r="H437" s="64" t="s">
        <v>10</v>
      </c>
      <c r="I437" s="70">
        <v>1</v>
      </c>
      <c r="J437" s="70">
        <v>7</v>
      </c>
      <c r="K437" s="110" t="str">
        <f>IF(H437="","",IF($C$29="간이법","",FPR(H437,I437,J437)))</f>
        <v>L</v>
      </c>
      <c r="L437" s="111">
        <f>IF(H437="","",IF($C$29="상세법",FPV(H437,K437),IF(H437="EI",4,IF(H437="EO",5.2,IF(H437="EQ",3.9,IF(H437="ILF",7.5,IF(H437="EIF",5.4)))))))</f>
        <v>3</v>
      </c>
      <c r="M437" s="112">
        <f t="shared" si="9"/>
        <v>3</v>
      </c>
      <c r="N437" s="113" t="s">
        <v>101</v>
      </c>
    </row>
    <row r="438" spans="2:14">
      <c r="B438" s="105" t="s">
        <v>793</v>
      </c>
      <c r="C438" s="106" t="s">
        <v>831</v>
      </c>
      <c r="D438" s="107" t="s">
        <v>848</v>
      </c>
      <c r="E438" s="65" t="s">
        <v>849</v>
      </c>
      <c r="F438" s="64" t="s">
        <v>189</v>
      </c>
      <c r="G438" s="64" t="s">
        <v>248</v>
      </c>
      <c r="H438" s="64" t="s">
        <v>10</v>
      </c>
      <c r="I438" s="70">
        <v>3</v>
      </c>
      <c r="J438" s="70">
        <v>9</v>
      </c>
      <c r="K438" s="110" t="str">
        <f>IF(H438="","",IF($C$29="간이법","",FPR(H438,I438,J438)))</f>
        <v>H</v>
      </c>
      <c r="L438" s="111">
        <f>IF(H438="","",IF($C$29="상세법",FPV(H438,K438),IF(H438="EI",4,IF(H438="EO",5.2,IF(H438="EQ",3.9,IF(H438="ILF",7.5,IF(H438="EIF",5.4)))))))</f>
        <v>6</v>
      </c>
      <c r="M438" s="112">
        <f t="shared" si="9"/>
        <v>3</v>
      </c>
      <c r="N438" s="113" t="s">
        <v>101</v>
      </c>
    </row>
    <row r="439" spans="2:14" ht="27">
      <c r="B439" s="105" t="s">
        <v>793</v>
      </c>
      <c r="C439" s="106" t="s">
        <v>831</v>
      </c>
      <c r="D439" s="107" t="s">
        <v>850</v>
      </c>
      <c r="E439" s="65" t="s">
        <v>851</v>
      </c>
      <c r="F439" s="64" t="s">
        <v>100</v>
      </c>
      <c r="G439" s="64" t="s">
        <v>101</v>
      </c>
      <c r="H439" s="64" t="s">
        <v>10</v>
      </c>
      <c r="I439" s="70">
        <v>1</v>
      </c>
      <c r="J439" s="70">
        <v>5</v>
      </c>
      <c r="K439" s="110" t="str">
        <f>IF(H439="","",IF($C$29="간이법","",FPR(H439,I439,J439)))</f>
        <v>L</v>
      </c>
      <c r="L439" s="111">
        <f>IF(H439="","",IF($C$29="상세법",FPV(H439,K439),IF(H439="EI",4,IF(H439="EO",5.2,IF(H439="EQ",3.9,IF(H439="ILF",7.5,IF(H439="EIF",5.4)))))))</f>
        <v>3</v>
      </c>
      <c r="M439" s="112">
        <f t="shared" si="9"/>
        <v>3</v>
      </c>
      <c r="N439" s="113" t="s">
        <v>101</v>
      </c>
    </row>
    <row r="440" spans="2:14">
      <c r="B440" s="105" t="s">
        <v>793</v>
      </c>
      <c r="C440" s="106" t="s">
        <v>831</v>
      </c>
      <c r="D440" s="107" t="s">
        <v>852</v>
      </c>
      <c r="E440" s="65" t="s">
        <v>853</v>
      </c>
      <c r="F440" s="64" t="s">
        <v>189</v>
      </c>
      <c r="G440" s="64" t="s">
        <v>360</v>
      </c>
      <c r="H440" s="64" t="s">
        <v>10</v>
      </c>
      <c r="I440" s="70">
        <v>3</v>
      </c>
      <c r="J440" s="70">
        <v>12</v>
      </c>
      <c r="K440" s="110" t="str">
        <f>IF(H440="","",IF($C$29="간이법","",FPR(H440,I440,J440)))</f>
        <v>H</v>
      </c>
      <c r="L440" s="111">
        <f>IF(H440="","",IF($C$29="상세법",FPV(H440,K440),IF(H440="EI",4,IF(H440="EO",5.2,IF(H440="EQ",3.9,IF(H440="ILF",7.5,IF(H440="EIF",5.4)))))))</f>
        <v>6</v>
      </c>
      <c r="M440" s="112">
        <f t="shared" si="9"/>
        <v>1.2000000000000002</v>
      </c>
      <c r="N440" s="113" t="s">
        <v>101</v>
      </c>
    </row>
    <row r="441" spans="2:14" ht="27">
      <c r="B441" s="105" t="s">
        <v>793</v>
      </c>
      <c r="C441" s="106" t="s">
        <v>831</v>
      </c>
      <c r="D441" s="107" t="s">
        <v>854</v>
      </c>
      <c r="E441" s="65" t="s">
        <v>854</v>
      </c>
      <c r="F441" s="64" t="s">
        <v>205</v>
      </c>
      <c r="G441" s="64" t="s">
        <v>101</v>
      </c>
      <c r="H441" s="64" t="s">
        <v>10</v>
      </c>
      <c r="I441" s="70">
        <v>2</v>
      </c>
      <c r="J441" s="70">
        <v>6</v>
      </c>
      <c r="K441" s="110" t="str">
        <f>IF(H441="","",IF($C$29="간이법","",FPR(H441,I441,J441)))</f>
        <v>A</v>
      </c>
      <c r="L441" s="111">
        <f>IF(H441="","",IF($C$29="상세법",FPV(H441,K441),IF(H441="EI",4,IF(H441="EO",5.2,IF(H441="EQ",3.9,IF(H441="ILF",7.5,IF(H441="EIF",5.4)))))))</f>
        <v>4</v>
      </c>
      <c r="M441" s="112">
        <f t="shared" ref="M441:M504" si="10">IF(L441="","",L441*IF(G441="상",0.7,IF(G441="중",0.5,IF(G441="하",0.2,1))))</f>
        <v>4</v>
      </c>
      <c r="N441" s="113" t="s">
        <v>101</v>
      </c>
    </row>
    <row r="442" spans="2:14">
      <c r="B442" s="105" t="s">
        <v>793</v>
      </c>
      <c r="C442" s="106" t="s">
        <v>855</v>
      </c>
      <c r="D442" s="107" t="s">
        <v>856</v>
      </c>
      <c r="E442" s="65" t="s">
        <v>857</v>
      </c>
      <c r="F442" s="64" t="s">
        <v>100</v>
      </c>
      <c r="G442" s="64" t="s">
        <v>101</v>
      </c>
      <c r="H442" s="64" t="s">
        <v>111</v>
      </c>
      <c r="I442" s="70">
        <v>1</v>
      </c>
      <c r="J442" s="70">
        <v>4</v>
      </c>
      <c r="K442" s="110" t="str">
        <f>IF(H442="","",IF($C$29="간이법","",FPR(H442,I442,J442)))</f>
        <v>L</v>
      </c>
      <c r="L442" s="111">
        <f>IF(H442="","",IF($C$29="상세법",FPV(H442,K442),IF(H442="EI",4,IF(H442="EO",5.2,IF(H442="EQ",3.9,IF(H442="ILF",7.5,IF(H442="EIF",5.4)))))))</f>
        <v>3</v>
      </c>
      <c r="M442" s="112">
        <f t="shared" si="10"/>
        <v>3</v>
      </c>
      <c r="N442" s="113" t="s">
        <v>101</v>
      </c>
    </row>
    <row r="443" spans="2:14">
      <c r="B443" s="105" t="s">
        <v>793</v>
      </c>
      <c r="C443" s="106" t="s">
        <v>855</v>
      </c>
      <c r="D443" s="107" t="s">
        <v>858</v>
      </c>
      <c r="E443" s="65" t="s">
        <v>859</v>
      </c>
      <c r="F443" s="64" t="s">
        <v>100</v>
      </c>
      <c r="G443" s="64" t="s">
        <v>101</v>
      </c>
      <c r="H443" s="64" t="s">
        <v>111</v>
      </c>
      <c r="I443" s="70">
        <v>1</v>
      </c>
      <c r="J443" s="70">
        <v>5</v>
      </c>
      <c r="K443" s="110" t="str">
        <f>IF(H443="","",IF($C$29="간이법","",FPR(H443,I443,J443)))</f>
        <v>L</v>
      </c>
      <c r="L443" s="111">
        <f>IF(H443="","",IF($C$29="상세법",FPV(H443,K443),IF(H443="EI",4,IF(H443="EO",5.2,IF(H443="EQ",3.9,IF(H443="ILF",7.5,IF(H443="EIF",5.4)))))))</f>
        <v>3</v>
      </c>
      <c r="M443" s="112">
        <f t="shared" si="10"/>
        <v>3</v>
      </c>
      <c r="N443" s="113" t="s">
        <v>101</v>
      </c>
    </row>
    <row r="444" spans="2:14">
      <c r="B444" s="105" t="s">
        <v>793</v>
      </c>
      <c r="C444" s="106" t="s">
        <v>855</v>
      </c>
      <c r="D444" s="107" t="s">
        <v>860</v>
      </c>
      <c r="E444" s="65" t="s">
        <v>861</v>
      </c>
      <c r="F444" s="64" t="s">
        <v>100</v>
      </c>
      <c r="G444" s="64" t="s">
        <v>101</v>
      </c>
      <c r="H444" s="64" t="s">
        <v>111</v>
      </c>
      <c r="I444" s="70">
        <v>1</v>
      </c>
      <c r="J444" s="70">
        <v>8</v>
      </c>
      <c r="K444" s="110" t="str">
        <f>IF(H444="","",IF($C$29="간이법","",FPR(H444,I444,J444)))</f>
        <v>L</v>
      </c>
      <c r="L444" s="111">
        <f>IF(H444="","",IF($C$29="상세법",FPV(H444,K444),IF(H444="EI",4,IF(H444="EO",5.2,IF(H444="EQ",3.9,IF(H444="ILF",7.5,IF(H444="EIF",5.4)))))))</f>
        <v>3</v>
      </c>
      <c r="M444" s="112">
        <f t="shared" si="10"/>
        <v>3</v>
      </c>
      <c r="N444" s="113" t="s">
        <v>101</v>
      </c>
    </row>
    <row r="445" spans="2:14">
      <c r="B445" s="105" t="s">
        <v>793</v>
      </c>
      <c r="C445" s="106" t="s">
        <v>855</v>
      </c>
      <c r="D445" s="107" t="s">
        <v>862</v>
      </c>
      <c r="E445" s="65" t="s">
        <v>863</v>
      </c>
      <c r="F445" s="64" t="s">
        <v>100</v>
      </c>
      <c r="G445" s="64" t="s">
        <v>101</v>
      </c>
      <c r="H445" s="64" t="s">
        <v>10</v>
      </c>
      <c r="I445" s="70">
        <v>2</v>
      </c>
      <c r="J445" s="70">
        <v>46</v>
      </c>
      <c r="K445" s="110" t="str">
        <f>IF(H445="","",IF($C$29="간이법","",FPR(H445,I445,J445)))</f>
        <v>H</v>
      </c>
      <c r="L445" s="111">
        <f>IF(H445="","",IF($C$29="상세법",FPV(H445,K445),IF(H445="EI",4,IF(H445="EO",5.2,IF(H445="EQ",3.9,IF(H445="ILF",7.5,IF(H445="EIF",5.4)))))))</f>
        <v>6</v>
      </c>
      <c r="M445" s="112">
        <f t="shared" si="10"/>
        <v>6</v>
      </c>
      <c r="N445" s="113" t="s">
        <v>101</v>
      </c>
    </row>
    <row r="446" spans="2:14" ht="27">
      <c r="B446" s="105" t="s">
        <v>793</v>
      </c>
      <c r="C446" s="106" t="s">
        <v>855</v>
      </c>
      <c r="D446" s="107" t="s">
        <v>864</v>
      </c>
      <c r="E446" s="65" t="s">
        <v>865</v>
      </c>
      <c r="F446" s="64" t="s">
        <v>100</v>
      </c>
      <c r="G446" s="64" t="s">
        <v>101</v>
      </c>
      <c r="H446" s="64" t="s">
        <v>10</v>
      </c>
      <c r="I446" s="70">
        <v>1</v>
      </c>
      <c r="J446" s="70">
        <v>4</v>
      </c>
      <c r="K446" s="110" t="str">
        <f>IF(H446="","",IF($C$29="간이법","",FPR(H446,I446,J446)))</f>
        <v>L</v>
      </c>
      <c r="L446" s="111">
        <f>IF(H446="","",IF($C$29="상세법",FPV(H446,K446),IF(H446="EI",4,IF(H446="EO",5.2,IF(H446="EQ",3.9,IF(H446="ILF",7.5,IF(H446="EIF",5.4)))))))</f>
        <v>3</v>
      </c>
      <c r="M446" s="112">
        <f t="shared" si="10"/>
        <v>3</v>
      </c>
      <c r="N446" s="113" t="s">
        <v>101</v>
      </c>
    </row>
    <row r="447" spans="2:14">
      <c r="B447" s="105" t="s">
        <v>793</v>
      </c>
      <c r="C447" s="106" t="s">
        <v>855</v>
      </c>
      <c r="D447" s="107" t="s">
        <v>866</v>
      </c>
      <c r="E447" s="65" t="s">
        <v>867</v>
      </c>
      <c r="F447" s="64" t="s">
        <v>189</v>
      </c>
      <c r="G447" s="64" t="s">
        <v>190</v>
      </c>
      <c r="H447" s="64" t="s">
        <v>10</v>
      </c>
      <c r="I447" s="70">
        <v>2</v>
      </c>
      <c r="J447" s="70">
        <v>46</v>
      </c>
      <c r="K447" s="110" t="str">
        <f>IF(H447="","",IF($C$29="간이법","",FPR(H447,I447,J447)))</f>
        <v>H</v>
      </c>
      <c r="L447" s="111">
        <f>IF(H447="","",IF($C$29="상세법",FPV(H447,K447),IF(H447="EI",4,IF(H447="EO",5.2,IF(H447="EQ",3.9,IF(H447="ILF",7.5,IF(H447="EIF",5.4)))))))</f>
        <v>6</v>
      </c>
      <c r="M447" s="112">
        <f t="shared" si="10"/>
        <v>4.1999999999999993</v>
      </c>
      <c r="N447" s="113" t="s">
        <v>101</v>
      </c>
    </row>
    <row r="448" spans="2:14" ht="27">
      <c r="B448" s="105" t="s">
        <v>793</v>
      </c>
      <c r="C448" s="106" t="s">
        <v>855</v>
      </c>
      <c r="D448" s="107" t="s">
        <v>868</v>
      </c>
      <c r="E448" s="65" t="s">
        <v>869</v>
      </c>
      <c r="F448" s="64" t="s">
        <v>100</v>
      </c>
      <c r="G448" s="64" t="s">
        <v>101</v>
      </c>
      <c r="H448" s="64" t="s">
        <v>10</v>
      </c>
      <c r="I448" s="70">
        <v>1</v>
      </c>
      <c r="J448" s="70">
        <v>4</v>
      </c>
      <c r="K448" s="110" t="str">
        <f>IF(H448="","",IF($C$29="간이법","",FPR(H448,I448,J448)))</f>
        <v>L</v>
      </c>
      <c r="L448" s="111">
        <f>IF(H448="","",IF($C$29="상세법",FPV(H448,K448),IF(H448="EI",4,IF(H448="EO",5.2,IF(H448="EQ",3.9,IF(H448="ILF",7.5,IF(H448="EIF",5.4)))))))</f>
        <v>3</v>
      </c>
      <c r="M448" s="112">
        <f t="shared" si="10"/>
        <v>3</v>
      </c>
      <c r="N448" s="113" t="s">
        <v>101</v>
      </c>
    </row>
    <row r="449" spans="2:14" ht="27">
      <c r="B449" s="105" t="s">
        <v>793</v>
      </c>
      <c r="C449" s="106" t="s">
        <v>855</v>
      </c>
      <c r="D449" s="107" t="s">
        <v>870</v>
      </c>
      <c r="E449" s="65" t="s">
        <v>871</v>
      </c>
      <c r="F449" s="64" t="s">
        <v>189</v>
      </c>
      <c r="G449" s="64" t="s">
        <v>248</v>
      </c>
      <c r="H449" s="64" t="s">
        <v>10</v>
      </c>
      <c r="I449" s="70">
        <v>2</v>
      </c>
      <c r="J449" s="70">
        <v>46</v>
      </c>
      <c r="K449" s="110" t="str">
        <f>IF(H449="","",IF($C$29="간이법","",FPR(H449,I449,J449)))</f>
        <v>H</v>
      </c>
      <c r="L449" s="111">
        <f>IF(H449="","",IF($C$29="상세법",FPV(H449,K449),IF(H449="EI",4,IF(H449="EO",5.2,IF(H449="EQ",3.9,IF(H449="ILF",7.5,IF(H449="EIF",5.4)))))))</f>
        <v>6</v>
      </c>
      <c r="M449" s="112">
        <f t="shared" si="10"/>
        <v>3</v>
      </c>
      <c r="N449" s="113" t="s">
        <v>101</v>
      </c>
    </row>
    <row r="450" spans="2:14" ht="27">
      <c r="B450" s="105" t="s">
        <v>793</v>
      </c>
      <c r="C450" s="106" t="s">
        <v>855</v>
      </c>
      <c r="D450" s="107" t="s">
        <v>872</v>
      </c>
      <c r="E450" s="65" t="s">
        <v>873</v>
      </c>
      <c r="F450" s="64" t="s">
        <v>100</v>
      </c>
      <c r="G450" s="64" t="s">
        <v>101</v>
      </c>
      <c r="H450" s="64" t="s">
        <v>10</v>
      </c>
      <c r="I450" s="70">
        <v>1</v>
      </c>
      <c r="J450" s="70">
        <v>4</v>
      </c>
      <c r="K450" s="110" t="str">
        <f>IF(H450="","",IF($C$29="간이법","",FPR(H450,I450,J450)))</f>
        <v>L</v>
      </c>
      <c r="L450" s="111">
        <f>IF(H450="","",IF($C$29="상세법",FPV(H450,K450),IF(H450="EI",4,IF(H450="EO",5.2,IF(H450="EQ",3.9,IF(H450="ILF",7.5,IF(H450="EIF",5.4)))))))</f>
        <v>3</v>
      </c>
      <c r="M450" s="112">
        <f t="shared" si="10"/>
        <v>3</v>
      </c>
      <c r="N450" s="113" t="s">
        <v>101</v>
      </c>
    </row>
    <row r="451" spans="2:14" ht="27">
      <c r="B451" s="105" t="s">
        <v>793</v>
      </c>
      <c r="C451" s="106" t="s">
        <v>874</v>
      </c>
      <c r="D451" s="107" t="s">
        <v>875</v>
      </c>
      <c r="E451" s="65" t="s">
        <v>876</v>
      </c>
      <c r="F451" s="64" t="s">
        <v>100</v>
      </c>
      <c r="G451" s="64" t="s">
        <v>101</v>
      </c>
      <c r="H451" s="64" t="s">
        <v>111</v>
      </c>
      <c r="I451" s="70">
        <v>1</v>
      </c>
      <c r="J451" s="70">
        <v>4</v>
      </c>
      <c r="K451" s="110" t="str">
        <f>IF(H451="","",IF($C$29="간이법","",FPR(H451,I451,J451)))</f>
        <v>L</v>
      </c>
      <c r="L451" s="111">
        <f>IF(H451="","",IF($C$29="상세법",FPV(H451,K451),IF(H451="EI",4,IF(H451="EO",5.2,IF(H451="EQ",3.9,IF(H451="ILF",7.5,IF(H451="EIF",5.4)))))))</f>
        <v>3</v>
      </c>
      <c r="M451" s="112">
        <f t="shared" si="10"/>
        <v>3</v>
      </c>
      <c r="N451" s="113" t="s">
        <v>101</v>
      </c>
    </row>
    <row r="452" spans="2:14" ht="27">
      <c r="B452" s="105" t="s">
        <v>793</v>
      </c>
      <c r="C452" s="106" t="s">
        <v>874</v>
      </c>
      <c r="D452" s="107" t="s">
        <v>877</v>
      </c>
      <c r="E452" s="65" t="s">
        <v>878</v>
      </c>
      <c r="F452" s="64" t="s">
        <v>100</v>
      </c>
      <c r="G452" s="64" t="s">
        <v>101</v>
      </c>
      <c r="H452" s="64" t="s">
        <v>111</v>
      </c>
      <c r="I452" s="70">
        <v>1</v>
      </c>
      <c r="J452" s="70">
        <v>5</v>
      </c>
      <c r="K452" s="110" t="str">
        <f>IF(H452="","",IF($C$29="간이법","",FPR(H452,I452,J452)))</f>
        <v>L</v>
      </c>
      <c r="L452" s="111">
        <f>IF(H452="","",IF($C$29="상세법",FPV(H452,K452),IF(H452="EI",4,IF(H452="EO",5.2,IF(H452="EQ",3.9,IF(H452="ILF",7.5,IF(H452="EIF",5.4)))))))</f>
        <v>3</v>
      </c>
      <c r="M452" s="112">
        <f t="shared" si="10"/>
        <v>3</v>
      </c>
      <c r="N452" s="113" t="s">
        <v>101</v>
      </c>
    </row>
    <row r="453" spans="2:14" ht="27">
      <c r="B453" s="105" t="s">
        <v>793</v>
      </c>
      <c r="C453" s="106" t="s">
        <v>874</v>
      </c>
      <c r="D453" s="107" t="s">
        <v>879</v>
      </c>
      <c r="E453" s="65" t="s">
        <v>880</v>
      </c>
      <c r="F453" s="64" t="s">
        <v>100</v>
      </c>
      <c r="G453" s="64" t="s">
        <v>101</v>
      </c>
      <c r="H453" s="64" t="s">
        <v>111</v>
      </c>
      <c r="I453" s="70">
        <v>1</v>
      </c>
      <c r="J453" s="70">
        <v>6</v>
      </c>
      <c r="K453" s="110" t="str">
        <f>IF(H453="","",IF($C$29="간이법","",FPR(H453,I453,J453)))</f>
        <v>L</v>
      </c>
      <c r="L453" s="111">
        <f>IF(H453="","",IF($C$29="상세법",FPV(H453,K453),IF(H453="EI",4,IF(H453="EO",5.2,IF(H453="EQ",3.9,IF(H453="ILF",7.5,IF(H453="EIF",5.4)))))))</f>
        <v>3</v>
      </c>
      <c r="M453" s="112">
        <f t="shared" si="10"/>
        <v>3</v>
      </c>
      <c r="N453" s="113" t="s">
        <v>101</v>
      </c>
    </row>
    <row r="454" spans="2:14" ht="27">
      <c r="B454" s="105" t="s">
        <v>793</v>
      </c>
      <c r="C454" s="106" t="s">
        <v>874</v>
      </c>
      <c r="D454" s="107" t="s">
        <v>881</v>
      </c>
      <c r="E454" s="65" t="s">
        <v>882</v>
      </c>
      <c r="F454" s="64" t="s">
        <v>100</v>
      </c>
      <c r="G454" s="64" t="s">
        <v>101</v>
      </c>
      <c r="H454" s="64" t="s">
        <v>111</v>
      </c>
      <c r="I454" s="70">
        <v>1</v>
      </c>
      <c r="J454" s="70">
        <v>5</v>
      </c>
      <c r="K454" s="110" t="str">
        <f>IF(H454="","",IF($C$29="간이법","",FPR(H454,I454,J454)))</f>
        <v>L</v>
      </c>
      <c r="L454" s="111">
        <f>IF(H454="","",IF($C$29="상세법",FPV(H454,K454),IF(H454="EI",4,IF(H454="EO",5.2,IF(H454="EQ",3.9,IF(H454="ILF",7.5,IF(H454="EIF",5.4)))))))</f>
        <v>3</v>
      </c>
      <c r="M454" s="112">
        <f t="shared" si="10"/>
        <v>3</v>
      </c>
      <c r="N454" s="113" t="s">
        <v>101</v>
      </c>
    </row>
    <row r="455" spans="2:14" ht="27">
      <c r="B455" s="105" t="s">
        <v>793</v>
      </c>
      <c r="C455" s="106" t="s">
        <v>874</v>
      </c>
      <c r="D455" s="107" t="s">
        <v>883</v>
      </c>
      <c r="E455" s="65" t="s">
        <v>884</v>
      </c>
      <c r="F455" s="64" t="s">
        <v>100</v>
      </c>
      <c r="G455" s="64" t="s">
        <v>101</v>
      </c>
      <c r="H455" s="64" t="s">
        <v>111</v>
      </c>
      <c r="I455" s="70">
        <v>1</v>
      </c>
      <c r="J455" s="70">
        <v>4</v>
      </c>
      <c r="K455" s="110" t="str">
        <f>IF(H455="","",IF($C$29="간이법","",FPR(H455,I455,J455)))</f>
        <v>L</v>
      </c>
      <c r="L455" s="111">
        <f>IF(H455="","",IF($C$29="상세법",FPV(H455,K455),IF(H455="EI",4,IF(H455="EO",5.2,IF(H455="EQ",3.9,IF(H455="ILF",7.5,IF(H455="EIF",5.4)))))))</f>
        <v>3</v>
      </c>
      <c r="M455" s="112">
        <f t="shared" si="10"/>
        <v>3</v>
      </c>
      <c r="N455" s="113" t="s">
        <v>101</v>
      </c>
    </row>
    <row r="456" spans="2:14" ht="27">
      <c r="B456" s="105" t="s">
        <v>793</v>
      </c>
      <c r="C456" s="106" t="s">
        <v>874</v>
      </c>
      <c r="D456" s="107" t="s">
        <v>885</v>
      </c>
      <c r="E456" s="65" t="s">
        <v>886</v>
      </c>
      <c r="F456" s="64" t="s">
        <v>100</v>
      </c>
      <c r="G456" s="64" t="s">
        <v>101</v>
      </c>
      <c r="H456" s="64" t="s">
        <v>111</v>
      </c>
      <c r="I456" s="70">
        <v>1</v>
      </c>
      <c r="J456" s="70">
        <v>5</v>
      </c>
      <c r="K456" s="110" t="str">
        <f>IF(H456="","",IF($C$29="간이법","",FPR(H456,I456,J456)))</f>
        <v>L</v>
      </c>
      <c r="L456" s="111">
        <f>IF(H456="","",IF($C$29="상세법",FPV(H456,K456),IF(H456="EI",4,IF(H456="EO",5.2,IF(H456="EQ",3.9,IF(H456="ILF",7.5,IF(H456="EIF",5.4)))))))</f>
        <v>3</v>
      </c>
      <c r="M456" s="112">
        <f t="shared" si="10"/>
        <v>3</v>
      </c>
      <c r="N456" s="113" t="s">
        <v>101</v>
      </c>
    </row>
    <row r="457" spans="2:14" ht="27">
      <c r="B457" s="105" t="s">
        <v>887</v>
      </c>
      <c r="C457" s="106" t="s">
        <v>888</v>
      </c>
      <c r="D457" s="107" t="s">
        <v>889</v>
      </c>
      <c r="E457" s="65" t="s">
        <v>890</v>
      </c>
      <c r="F457" s="64" t="s">
        <v>100</v>
      </c>
      <c r="G457" s="64" t="s">
        <v>101</v>
      </c>
      <c r="H457" s="64" t="s">
        <v>111</v>
      </c>
      <c r="I457" s="70">
        <v>1</v>
      </c>
      <c r="J457" s="70">
        <v>4</v>
      </c>
      <c r="K457" s="110" t="str">
        <f>IF(H457="","",IF($C$29="간이법","",FPR(H457,I457,J457)))</f>
        <v>L</v>
      </c>
      <c r="L457" s="111">
        <f>IF(H457="","",IF($C$29="상세법",FPV(H457,K457),IF(H457="EI",4,IF(H457="EO",5.2,IF(H457="EQ",3.9,IF(H457="ILF",7.5,IF(H457="EIF",5.4)))))))</f>
        <v>3</v>
      </c>
      <c r="M457" s="112">
        <f t="shared" si="10"/>
        <v>3</v>
      </c>
      <c r="N457" s="113" t="s">
        <v>101</v>
      </c>
    </row>
    <row r="458" spans="2:14" ht="27">
      <c r="B458" s="105" t="s">
        <v>887</v>
      </c>
      <c r="C458" s="106" t="s">
        <v>888</v>
      </c>
      <c r="D458" s="107" t="s">
        <v>891</v>
      </c>
      <c r="E458" s="65" t="s">
        <v>892</v>
      </c>
      <c r="F458" s="64" t="s">
        <v>100</v>
      </c>
      <c r="G458" s="64" t="s">
        <v>101</v>
      </c>
      <c r="H458" s="64" t="s">
        <v>111</v>
      </c>
      <c r="I458" s="70">
        <v>1</v>
      </c>
      <c r="J458" s="70">
        <v>5</v>
      </c>
      <c r="K458" s="110" t="str">
        <f>IF(H458="","",IF($C$29="간이법","",FPR(H458,I458,J458)))</f>
        <v>L</v>
      </c>
      <c r="L458" s="111">
        <f>IF(H458="","",IF($C$29="상세법",FPV(H458,K458),IF(H458="EI",4,IF(H458="EO",5.2,IF(H458="EQ",3.9,IF(H458="ILF",7.5,IF(H458="EIF",5.4)))))))</f>
        <v>3</v>
      </c>
      <c r="M458" s="112">
        <f t="shared" si="10"/>
        <v>3</v>
      </c>
      <c r="N458" s="113" t="s">
        <v>101</v>
      </c>
    </row>
    <row r="459" spans="2:14" ht="27">
      <c r="B459" s="105" t="s">
        <v>887</v>
      </c>
      <c r="C459" s="106" t="s">
        <v>888</v>
      </c>
      <c r="D459" s="107" t="s">
        <v>893</v>
      </c>
      <c r="E459" s="65" t="s">
        <v>894</v>
      </c>
      <c r="F459" s="64" t="s">
        <v>100</v>
      </c>
      <c r="G459" s="64" t="s">
        <v>101</v>
      </c>
      <c r="H459" s="64" t="s">
        <v>111</v>
      </c>
      <c r="I459" s="70">
        <v>1</v>
      </c>
      <c r="J459" s="70">
        <v>5</v>
      </c>
      <c r="K459" s="110" t="str">
        <f>IF(H459="","",IF($C$29="간이법","",FPR(H459,I459,J459)))</f>
        <v>L</v>
      </c>
      <c r="L459" s="111">
        <f>IF(H459="","",IF($C$29="상세법",FPV(H459,K459),IF(H459="EI",4,IF(H459="EO",5.2,IF(H459="EQ",3.9,IF(H459="ILF",7.5,IF(H459="EIF",5.4)))))))</f>
        <v>3</v>
      </c>
      <c r="M459" s="112">
        <f t="shared" si="10"/>
        <v>3</v>
      </c>
      <c r="N459" s="113" t="s">
        <v>101</v>
      </c>
    </row>
    <row r="460" spans="2:14" ht="27">
      <c r="B460" s="105" t="s">
        <v>887</v>
      </c>
      <c r="C460" s="106" t="s">
        <v>888</v>
      </c>
      <c r="D460" s="107" t="s">
        <v>895</v>
      </c>
      <c r="E460" s="65" t="s">
        <v>896</v>
      </c>
      <c r="F460" s="64" t="s">
        <v>100</v>
      </c>
      <c r="G460" s="64" t="s">
        <v>101</v>
      </c>
      <c r="H460" s="64" t="s">
        <v>111</v>
      </c>
      <c r="I460" s="70">
        <v>1</v>
      </c>
      <c r="J460" s="70">
        <v>5</v>
      </c>
      <c r="K460" s="110" t="str">
        <f>IF(H460="","",IF($C$29="간이법","",FPR(H460,I460,J460)))</f>
        <v>L</v>
      </c>
      <c r="L460" s="111">
        <f>IF(H460="","",IF($C$29="상세법",FPV(H460,K460),IF(H460="EI",4,IF(H460="EO",5.2,IF(H460="EQ",3.9,IF(H460="ILF",7.5,IF(H460="EIF",5.4)))))))</f>
        <v>3</v>
      </c>
      <c r="M460" s="112">
        <f t="shared" si="10"/>
        <v>3</v>
      </c>
      <c r="N460" s="113" t="s">
        <v>101</v>
      </c>
    </row>
    <row r="461" spans="2:14" ht="27">
      <c r="B461" s="105" t="s">
        <v>887</v>
      </c>
      <c r="C461" s="106" t="s">
        <v>888</v>
      </c>
      <c r="D461" s="107" t="s">
        <v>897</v>
      </c>
      <c r="E461" s="65" t="s">
        <v>898</v>
      </c>
      <c r="F461" s="64" t="s">
        <v>100</v>
      </c>
      <c r="G461" s="64" t="s">
        <v>101</v>
      </c>
      <c r="H461" s="64" t="s">
        <v>111</v>
      </c>
      <c r="I461" s="70">
        <v>1</v>
      </c>
      <c r="J461" s="70">
        <v>4</v>
      </c>
      <c r="K461" s="110" t="str">
        <f>IF(H461="","",IF($C$29="간이법","",FPR(H461,I461,J461)))</f>
        <v>L</v>
      </c>
      <c r="L461" s="111">
        <f>IF(H461="","",IF($C$29="상세법",FPV(H461,K461),IF(H461="EI",4,IF(H461="EO",5.2,IF(H461="EQ",3.9,IF(H461="ILF",7.5,IF(H461="EIF",5.4)))))))</f>
        <v>3</v>
      </c>
      <c r="M461" s="112">
        <f t="shared" si="10"/>
        <v>3</v>
      </c>
      <c r="N461" s="113" t="s">
        <v>101</v>
      </c>
    </row>
    <row r="462" spans="2:14" ht="27">
      <c r="B462" s="105" t="s">
        <v>899</v>
      </c>
      <c r="C462" s="106" t="s">
        <v>899</v>
      </c>
      <c r="D462" s="107" t="s">
        <v>900</v>
      </c>
      <c r="E462" s="65" t="s">
        <v>901</v>
      </c>
      <c r="F462" s="64" t="s">
        <v>100</v>
      </c>
      <c r="G462" s="64" t="s">
        <v>101</v>
      </c>
      <c r="H462" s="64" t="s">
        <v>111</v>
      </c>
      <c r="I462" s="70">
        <v>1</v>
      </c>
      <c r="J462" s="70">
        <v>4</v>
      </c>
      <c r="K462" s="110" t="str">
        <f>IF(H462="","",IF($C$29="간이법","",FPR(H462,I462,J462)))</f>
        <v>L</v>
      </c>
      <c r="L462" s="111">
        <f>IF(H462="","",IF($C$29="상세법",FPV(H462,K462),IF(H462="EI",4,IF(H462="EO",5.2,IF(H462="EQ",3.9,IF(H462="ILF",7.5,IF(H462="EIF",5.4)))))))</f>
        <v>3</v>
      </c>
      <c r="M462" s="112">
        <f t="shared" si="10"/>
        <v>3</v>
      </c>
      <c r="N462" s="113" t="s">
        <v>101</v>
      </c>
    </row>
    <row r="463" spans="2:14" ht="27">
      <c r="B463" s="105" t="s">
        <v>899</v>
      </c>
      <c r="C463" s="106" t="s">
        <v>899</v>
      </c>
      <c r="D463" s="107" t="s">
        <v>902</v>
      </c>
      <c r="E463" s="65" t="s">
        <v>903</v>
      </c>
      <c r="F463" s="64" t="s">
        <v>100</v>
      </c>
      <c r="G463" s="64" t="s">
        <v>101</v>
      </c>
      <c r="H463" s="64" t="s">
        <v>111</v>
      </c>
      <c r="I463" s="70">
        <v>1</v>
      </c>
      <c r="J463" s="70">
        <v>5</v>
      </c>
      <c r="K463" s="110" t="str">
        <f>IF(H463="","",IF($C$29="간이법","",FPR(H463,I463,J463)))</f>
        <v>L</v>
      </c>
      <c r="L463" s="111">
        <f>IF(H463="","",IF($C$29="상세법",FPV(H463,K463),IF(H463="EI",4,IF(H463="EO",5.2,IF(H463="EQ",3.9,IF(H463="ILF",7.5,IF(H463="EIF",5.4)))))))</f>
        <v>3</v>
      </c>
      <c r="M463" s="112">
        <f t="shared" si="10"/>
        <v>3</v>
      </c>
      <c r="N463" s="113" t="s">
        <v>101</v>
      </c>
    </row>
    <row r="464" spans="2:14">
      <c r="B464" s="105" t="s">
        <v>904</v>
      </c>
      <c r="C464" s="106" t="s">
        <v>905</v>
      </c>
      <c r="D464" s="107" t="s">
        <v>905</v>
      </c>
      <c r="E464" s="65" t="s">
        <v>906</v>
      </c>
      <c r="F464" s="64" t="s">
        <v>100</v>
      </c>
      <c r="G464" s="64" t="s">
        <v>101</v>
      </c>
      <c r="H464" s="64" t="s">
        <v>8</v>
      </c>
      <c r="I464" s="70">
        <v>1</v>
      </c>
      <c r="J464" s="70">
        <v>14</v>
      </c>
      <c r="K464" s="110" t="str">
        <f>IF(H464="","",IF($C$29="간이법","",FPR(H464,I464,J464)))</f>
        <v>L</v>
      </c>
      <c r="L464" s="111">
        <f>IF(H464="","",IF($C$29="상세법",FPV(H464,K464),IF(H464="EI",4,IF(H464="EO",5.2,IF(H464="EQ",3.9,IF(H464="ILF",7.5,IF(H464="EIF",5.4)))))))</f>
        <v>7</v>
      </c>
      <c r="M464" s="112">
        <f t="shared" si="10"/>
        <v>7</v>
      </c>
      <c r="N464" s="113" t="s">
        <v>101</v>
      </c>
    </row>
    <row r="465" spans="2:14">
      <c r="B465" s="105" t="s">
        <v>904</v>
      </c>
      <c r="C465" s="106" t="s">
        <v>907</v>
      </c>
      <c r="D465" s="107" t="s">
        <v>907</v>
      </c>
      <c r="E465" s="65" t="s">
        <v>908</v>
      </c>
      <c r="F465" s="64" t="s">
        <v>100</v>
      </c>
      <c r="G465" s="64" t="s">
        <v>101</v>
      </c>
      <c r="H465" s="64" t="s">
        <v>8</v>
      </c>
      <c r="I465" s="70">
        <v>1</v>
      </c>
      <c r="J465" s="70">
        <v>10</v>
      </c>
      <c r="K465" s="110" t="str">
        <f>IF(H465="","",IF($C$29="간이법","",FPR(H465,I465,J465)))</f>
        <v>L</v>
      </c>
      <c r="L465" s="111">
        <f>IF(H465="","",IF($C$29="상세법",FPV(H465,K465),IF(H465="EI",4,IF(H465="EO",5.2,IF(H465="EQ",3.9,IF(H465="ILF",7.5,IF(H465="EIF",5.4)))))))</f>
        <v>7</v>
      </c>
      <c r="M465" s="112">
        <f t="shared" si="10"/>
        <v>7</v>
      </c>
      <c r="N465" s="113" t="s">
        <v>101</v>
      </c>
    </row>
    <row r="466" spans="2:14">
      <c r="B466" s="105" t="s">
        <v>904</v>
      </c>
      <c r="C466" s="106" t="s">
        <v>909</v>
      </c>
      <c r="D466" s="107" t="s">
        <v>909</v>
      </c>
      <c r="E466" s="65" t="s">
        <v>910</v>
      </c>
      <c r="F466" s="64" t="s">
        <v>100</v>
      </c>
      <c r="G466" s="64" t="s">
        <v>101</v>
      </c>
      <c r="H466" s="64" t="s">
        <v>8</v>
      </c>
      <c r="I466" s="70">
        <v>1</v>
      </c>
      <c r="J466" s="70">
        <v>21</v>
      </c>
      <c r="K466" s="110" t="str">
        <f>IF(H466="","",IF($C$29="간이법","",FPR(H466,I466,J466)))</f>
        <v>L</v>
      </c>
      <c r="L466" s="111">
        <f>IF(H466="","",IF($C$29="상세법",FPV(H466,K466),IF(H466="EI",4,IF(H466="EO",5.2,IF(H466="EQ",3.9,IF(H466="ILF",7.5,IF(H466="EIF",5.4)))))))</f>
        <v>7</v>
      </c>
      <c r="M466" s="112">
        <f t="shared" si="10"/>
        <v>7</v>
      </c>
      <c r="N466" s="113" t="s">
        <v>101</v>
      </c>
    </row>
    <row r="467" spans="2:14">
      <c r="B467" s="105" t="s">
        <v>904</v>
      </c>
      <c r="C467" s="106" t="s">
        <v>911</v>
      </c>
      <c r="D467" s="107" t="s">
        <v>911</v>
      </c>
      <c r="E467" s="65" t="s">
        <v>912</v>
      </c>
      <c r="F467" s="64" t="s">
        <v>100</v>
      </c>
      <c r="G467" s="64" t="s">
        <v>101</v>
      </c>
      <c r="H467" s="64" t="s">
        <v>8</v>
      </c>
      <c r="I467" s="70">
        <v>1</v>
      </c>
      <c r="J467" s="70">
        <v>5</v>
      </c>
      <c r="K467" s="110" t="str">
        <f>IF(H467="","",IF($C$29="간이법","",FPR(H467,I467,J467)))</f>
        <v>L</v>
      </c>
      <c r="L467" s="111">
        <f>IF(H467="","",IF($C$29="상세법",FPV(H467,K467),IF(H467="EI",4,IF(H467="EO",5.2,IF(H467="EQ",3.9,IF(H467="ILF",7.5,IF(H467="EIF",5.4)))))))</f>
        <v>7</v>
      </c>
      <c r="M467" s="112">
        <f t="shared" si="10"/>
        <v>7</v>
      </c>
      <c r="N467" s="113" t="s">
        <v>101</v>
      </c>
    </row>
    <row r="468" spans="2:14">
      <c r="B468" s="105" t="s">
        <v>904</v>
      </c>
      <c r="C468" s="106" t="s">
        <v>913</v>
      </c>
      <c r="D468" s="107" t="s">
        <v>913</v>
      </c>
      <c r="E468" s="65" t="s">
        <v>914</v>
      </c>
      <c r="F468" s="64" t="s">
        <v>100</v>
      </c>
      <c r="G468" s="64" t="s">
        <v>101</v>
      </c>
      <c r="H468" s="64" t="s">
        <v>8</v>
      </c>
      <c r="I468" s="70">
        <v>1</v>
      </c>
      <c r="J468" s="70">
        <v>11</v>
      </c>
      <c r="K468" s="110" t="str">
        <f>IF(H468="","",IF($C$29="간이법","",FPR(H468,I468,J468)))</f>
        <v>L</v>
      </c>
      <c r="L468" s="111">
        <f>IF(H468="","",IF($C$29="상세법",FPV(H468,K468),IF(H468="EI",4,IF(H468="EO",5.2,IF(H468="EQ",3.9,IF(H468="ILF",7.5,IF(H468="EIF",5.4)))))))</f>
        <v>7</v>
      </c>
      <c r="M468" s="112">
        <f t="shared" si="10"/>
        <v>7</v>
      </c>
      <c r="N468" s="113" t="s">
        <v>101</v>
      </c>
    </row>
    <row r="469" spans="2:14">
      <c r="B469" s="105" t="s">
        <v>904</v>
      </c>
      <c r="C469" s="106" t="s">
        <v>915</v>
      </c>
      <c r="D469" s="107" t="s">
        <v>915</v>
      </c>
      <c r="E469" s="65" t="s">
        <v>916</v>
      </c>
      <c r="F469" s="64" t="s">
        <v>100</v>
      </c>
      <c r="G469" s="64" t="s">
        <v>101</v>
      </c>
      <c r="H469" s="64" t="s">
        <v>8</v>
      </c>
      <c r="I469" s="70">
        <v>1</v>
      </c>
      <c r="J469" s="70">
        <v>4</v>
      </c>
      <c r="K469" s="110" t="str">
        <f>IF(H469="","",IF($C$29="간이법","",FPR(H469,I469,J469)))</f>
        <v>L</v>
      </c>
      <c r="L469" s="111">
        <f>IF(H469="","",IF($C$29="상세법",FPV(H469,K469),IF(H469="EI",4,IF(H469="EO",5.2,IF(H469="EQ",3.9,IF(H469="ILF",7.5,IF(H469="EIF",5.4)))))))</f>
        <v>7</v>
      </c>
      <c r="M469" s="112">
        <f t="shared" si="10"/>
        <v>7</v>
      </c>
      <c r="N469" s="113" t="s">
        <v>101</v>
      </c>
    </row>
    <row r="470" spans="2:14">
      <c r="B470" s="105" t="s">
        <v>904</v>
      </c>
      <c r="C470" s="106" t="s">
        <v>917</v>
      </c>
      <c r="D470" s="107" t="s">
        <v>917</v>
      </c>
      <c r="E470" s="65" t="s">
        <v>918</v>
      </c>
      <c r="F470" s="64" t="s">
        <v>100</v>
      </c>
      <c r="G470" s="64" t="s">
        <v>101</v>
      </c>
      <c r="H470" s="64" t="s">
        <v>8</v>
      </c>
      <c r="I470" s="70">
        <v>1</v>
      </c>
      <c r="J470" s="70">
        <v>20</v>
      </c>
      <c r="K470" s="110" t="str">
        <f>IF(H470="","",IF($C$29="간이법","",FPR(H470,I470,J470)))</f>
        <v>L</v>
      </c>
      <c r="L470" s="111">
        <f>IF(H470="","",IF($C$29="상세법",FPV(H470,K470),IF(H470="EI",4,IF(H470="EO",5.2,IF(H470="EQ",3.9,IF(H470="ILF",7.5,IF(H470="EIF",5.4)))))))</f>
        <v>7</v>
      </c>
      <c r="M470" s="112">
        <f t="shared" si="10"/>
        <v>7</v>
      </c>
      <c r="N470" s="113" t="s">
        <v>101</v>
      </c>
    </row>
    <row r="471" spans="2:14">
      <c r="B471" s="105" t="s">
        <v>904</v>
      </c>
      <c r="C471" s="106" t="s">
        <v>919</v>
      </c>
      <c r="D471" s="107" t="s">
        <v>919</v>
      </c>
      <c r="E471" s="65" t="s">
        <v>920</v>
      </c>
      <c r="F471" s="64" t="s">
        <v>100</v>
      </c>
      <c r="G471" s="64" t="s">
        <v>101</v>
      </c>
      <c r="H471" s="64" t="s">
        <v>8</v>
      </c>
      <c r="I471" s="70">
        <v>1</v>
      </c>
      <c r="J471" s="70">
        <v>7</v>
      </c>
      <c r="K471" s="110" t="str">
        <f>IF(H471="","",IF($C$29="간이법","",FPR(H471,I471,J471)))</f>
        <v>L</v>
      </c>
      <c r="L471" s="111">
        <f>IF(H471="","",IF($C$29="상세법",FPV(H471,K471),IF(H471="EI",4,IF(H471="EO",5.2,IF(H471="EQ",3.9,IF(H471="ILF",7.5,IF(H471="EIF",5.4)))))))</f>
        <v>7</v>
      </c>
      <c r="M471" s="112">
        <f t="shared" si="10"/>
        <v>7</v>
      </c>
      <c r="N471" s="113" t="s">
        <v>101</v>
      </c>
    </row>
    <row r="472" spans="2:14">
      <c r="B472" s="105" t="s">
        <v>904</v>
      </c>
      <c r="C472" s="106" t="s">
        <v>921</v>
      </c>
      <c r="D472" s="107" t="s">
        <v>921</v>
      </c>
      <c r="E472" s="65" t="s">
        <v>922</v>
      </c>
      <c r="F472" s="64" t="s">
        <v>100</v>
      </c>
      <c r="G472" s="64" t="s">
        <v>101</v>
      </c>
      <c r="H472" s="64" t="s">
        <v>8</v>
      </c>
      <c r="I472" s="70">
        <v>1</v>
      </c>
      <c r="J472" s="70">
        <v>4</v>
      </c>
      <c r="K472" s="110" t="str">
        <f>IF(H472="","",IF($C$29="간이법","",FPR(H472,I472,J472)))</f>
        <v>L</v>
      </c>
      <c r="L472" s="111">
        <f>IF(H472="","",IF($C$29="상세법",FPV(H472,K472),IF(H472="EI",4,IF(H472="EO",5.2,IF(H472="EQ",3.9,IF(H472="ILF",7.5,IF(H472="EIF",5.4)))))))</f>
        <v>7</v>
      </c>
      <c r="M472" s="112">
        <f t="shared" si="10"/>
        <v>7</v>
      </c>
      <c r="N472" s="113" t="s">
        <v>101</v>
      </c>
    </row>
    <row r="473" spans="2:14" ht="27">
      <c r="B473" s="105" t="s">
        <v>904</v>
      </c>
      <c r="C473" s="106" t="s">
        <v>923</v>
      </c>
      <c r="D473" s="107" t="s">
        <v>923</v>
      </c>
      <c r="E473" s="65" t="s">
        <v>924</v>
      </c>
      <c r="F473" s="64" t="s">
        <v>100</v>
      </c>
      <c r="G473" s="64" t="s">
        <v>101</v>
      </c>
      <c r="H473" s="64" t="s">
        <v>8</v>
      </c>
      <c r="I473" s="70">
        <v>1</v>
      </c>
      <c r="J473" s="70">
        <v>9</v>
      </c>
      <c r="K473" s="110" t="str">
        <f>IF(H473="","",IF($C$29="간이법","",FPR(H473,I473,J473)))</f>
        <v>L</v>
      </c>
      <c r="L473" s="111">
        <f>IF(H473="","",IF($C$29="상세법",FPV(H473,K473),IF(H473="EI",4,IF(H473="EO",5.2,IF(H473="EQ",3.9,IF(H473="ILF",7.5,IF(H473="EIF",5.4)))))))</f>
        <v>7</v>
      </c>
      <c r="M473" s="112">
        <f t="shared" si="10"/>
        <v>7</v>
      </c>
      <c r="N473" s="113" t="s">
        <v>101</v>
      </c>
    </row>
    <row r="474" spans="2:14">
      <c r="B474" s="105" t="s">
        <v>904</v>
      </c>
      <c r="C474" s="106" t="s">
        <v>925</v>
      </c>
      <c r="D474" s="107" t="s">
        <v>925</v>
      </c>
      <c r="E474" s="65" t="s">
        <v>926</v>
      </c>
      <c r="F474" s="64" t="s">
        <v>100</v>
      </c>
      <c r="G474" s="64" t="s">
        <v>101</v>
      </c>
      <c r="H474" s="64" t="s">
        <v>8</v>
      </c>
      <c r="I474" s="70">
        <v>1</v>
      </c>
      <c r="J474" s="70">
        <v>7</v>
      </c>
      <c r="K474" s="110" t="str">
        <f>IF(H474="","",IF($C$29="간이법","",FPR(H474,I474,J474)))</f>
        <v>L</v>
      </c>
      <c r="L474" s="111">
        <f>IF(H474="","",IF($C$29="상세법",FPV(H474,K474),IF(H474="EI",4,IF(H474="EO",5.2,IF(H474="EQ",3.9,IF(H474="ILF",7.5,IF(H474="EIF",5.4)))))))</f>
        <v>7</v>
      </c>
      <c r="M474" s="112">
        <f t="shared" si="10"/>
        <v>7</v>
      </c>
      <c r="N474" s="113" t="s">
        <v>101</v>
      </c>
    </row>
    <row r="475" spans="2:14">
      <c r="B475" s="105" t="s">
        <v>904</v>
      </c>
      <c r="C475" s="106" t="s">
        <v>927</v>
      </c>
      <c r="D475" s="107" t="s">
        <v>927</v>
      </c>
      <c r="E475" s="65" t="s">
        <v>928</v>
      </c>
      <c r="F475" s="64" t="s">
        <v>100</v>
      </c>
      <c r="G475" s="64" t="s">
        <v>101</v>
      </c>
      <c r="H475" s="64" t="s">
        <v>8</v>
      </c>
      <c r="I475" s="70">
        <v>1</v>
      </c>
      <c r="J475" s="70">
        <v>26</v>
      </c>
      <c r="K475" s="110" t="str">
        <f>IF(H475="","",IF($C$29="간이법","",FPR(H475,I475,J475)))</f>
        <v>L</v>
      </c>
      <c r="L475" s="111">
        <f>IF(H475="","",IF($C$29="상세법",FPV(H475,K475),IF(H475="EI",4,IF(H475="EO",5.2,IF(H475="EQ",3.9,IF(H475="ILF",7.5,IF(H475="EIF",5.4)))))))</f>
        <v>7</v>
      </c>
      <c r="M475" s="112">
        <f t="shared" si="10"/>
        <v>7</v>
      </c>
      <c r="N475" s="113" t="s">
        <v>101</v>
      </c>
    </row>
    <row r="476" spans="2:14">
      <c r="B476" s="105" t="s">
        <v>904</v>
      </c>
      <c r="C476" s="106" t="s">
        <v>929</v>
      </c>
      <c r="D476" s="107" t="s">
        <v>929</v>
      </c>
      <c r="E476" s="65" t="s">
        <v>930</v>
      </c>
      <c r="F476" s="64" t="s">
        <v>100</v>
      </c>
      <c r="G476" s="64" t="s">
        <v>101</v>
      </c>
      <c r="H476" s="64" t="s">
        <v>8</v>
      </c>
      <c r="I476" s="70">
        <v>1</v>
      </c>
      <c r="J476" s="70">
        <v>6</v>
      </c>
      <c r="K476" s="110" t="str">
        <f>IF(H476="","",IF($C$29="간이법","",FPR(H476,I476,J476)))</f>
        <v>L</v>
      </c>
      <c r="L476" s="111">
        <f>IF(H476="","",IF($C$29="상세법",FPV(H476,K476),IF(H476="EI",4,IF(H476="EO",5.2,IF(H476="EQ",3.9,IF(H476="ILF",7.5,IF(H476="EIF",5.4)))))))</f>
        <v>7</v>
      </c>
      <c r="M476" s="112">
        <f t="shared" si="10"/>
        <v>7</v>
      </c>
      <c r="N476" s="113" t="s">
        <v>101</v>
      </c>
    </row>
    <row r="477" spans="2:14">
      <c r="B477" s="105" t="s">
        <v>904</v>
      </c>
      <c r="C477" s="106" t="s">
        <v>931</v>
      </c>
      <c r="D477" s="107" t="s">
        <v>931</v>
      </c>
      <c r="E477" s="65" t="s">
        <v>932</v>
      </c>
      <c r="F477" s="64" t="s">
        <v>100</v>
      </c>
      <c r="G477" s="64" t="s">
        <v>101</v>
      </c>
      <c r="H477" s="64" t="s">
        <v>8</v>
      </c>
      <c r="I477" s="70">
        <v>1</v>
      </c>
      <c r="J477" s="70">
        <v>10</v>
      </c>
      <c r="K477" s="110" t="str">
        <f>IF(H477="","",IF($C$29="간이법","",FPR(H477,I477,J477)))</f>
        <v>L</v>
      </c>
      <c r="L477" s="111">
        <f>IF(H477="","",IF($C$29="상세법",FPV(H477,K477),IF(H477="EI",4,IF(H477="EO",5.2,IF(H477="EQ",3.9,IF(H477="ILF",7.5,IF(H477="EIF",5.4)))))))</f>
        <v>7</v>
      </c>
      <c r="M477" s="112">
        <f t="shared" si="10"/>
        <v>7</v>
      </c>
      <c r="N477" s="113" t="s">
        <v>101</v>
      </c>
    </row>
    <row r="478" spans="2:14">
      <c r="B478" s="105" t="s">
        <v>904</v>
      </c>
      <c r="C478" s="106" t="s">
        <v>933</v>
      </c>
      <c r="D478" s="107" t="s">
        <v>933</v>
      </c>
      <c r="E478" s="65" t="s">
        <v>934</v>
      </c>
      <c r="F478" s="64" t="s">
        <v>100</v>
      </c>
      <c r="G478" s="64" t="s">
        <v>101</v>
      </c>
      <c r="H478" s="64" t="s">
        <v>8</v>
      </c>
      <c r="I478" s="70">
        <v>1</v>
      </c>
      <c r="J478" s="70">
        <v>4</v>
      </c>
      <c r="K478" s="110" t="str">
        <f>IF(H478="","",IF($C$29="간이법","",FPR(H478,I478,J478)))</f>
        <v>L</v>
      </c>
      <c r="L478" s="111">
        <f>IF(H478="","",IF($C$29="상세법",FPV(H478,K478),IF(H478="EI",4,IF(H478="EO",5.2,IF(H478="EQ",3.9,IF(H478="ILF",7.5,IF(H478="EIF",5.4)))))))</f>
        <v>7</v>
      </c>
      <c r="M478" s="112">
        <f t="shared" si="10"/>
        <v>7</v>
      </c>
      <c r="N478" s="113" t="s">
        <v>101</v>
      </c>
    </row>
    <row r="479" spans="2:14" ht="27">
      <c r="B479" s="105" t="s">
        <v>904</v>
      </c>
      <c r="C479" s="106" t="s">
        <v>935</v>
      </c>
      <c r="D479" s="107" t="s">
        <v>935</v>
      </c>
      <c r="E479" s="65" t="s">
        <v>936</v>
      </c>
      <c r="F479" s="64" t="s">
        <v>100</v>
      </c>
      <c r="G479" s="64" t="s">
        <v>101</v>
      </c>
      <c r="H479" s="64" t="s">
        <v>8</v>
      </c>
      <c r="I479" s="70">
        <v>1</v>
      </c>
      <c r="J479" s="70">
        <v>5</v>
      </c>
      <c r="K479" s="110" t="str">
        <f>IF(H479="","",IF($C$29="간이법","",FPR(H479,I479,J479)))</f>
        <v>L</v>
      </c>
      <c r="L479" s="111">
        <f>IF(H479="","",IF($C$29="상세법",FPV(H479,K479),IF(H479="EI",4,IF(H479="EO",5.2,IF(H479="EQ",3.9,IF(H479="ILF",7.5,IF(H479="EIF",5.4)))))))</f>
        <v>7</v>
      </c>
      <c r="M479" s="112">
        <f t="shared" si="10"/>
        <v>7</v>
      </c>
      <c r="N479" s="113" t="s">
        <v>101</v>
      </c>
    </row>
    <row r="480" spans="2:14" ht="27">
      <c r="B480" s="105" t="s">
        <v>904</v>
      </c>
      <c r="C480" s="106" t="s">
        <v>937</v>
      </c>
      <c r="D480" s="107" t="s">
        <v>937</v>
      </c>
      <c r="E480" s="65" t="s">
        <v>938</v>
      </c>
      <c r="F480" s="64" t="s">
        <v>100</v>
      </c>
      <c r="G480" s="64" t="s">
        <v>101</v>
      </c>
      <c r="H480" s="64" t="s">
        <v>8</v>
      </c>
      <c r="I480" s="70">
        <v>1</v>
      </c>
      <c r="J480" s="70">
        <v>18</v>
      </c>
      <c r="K480" s="110" t="str">
        <f>IF(H480="","",IF($C$29="간이법","",FPR(H480,I480,J480)))</f>
        <v>L</v>
      </c>
      <c r="L480" s="111">
        <f>IF(H480="","",IF($C$29="상세법",FPV(H480,K480),IF(H480="EI",4,IF(H480="EO",5.2,IF(H480="EQ",3.9,IF(H480="ILF",7.5,IF(H480="EIF",5.4)))))))</f>
        <v>7</v>
      </c>
      <c r="M480" s="112">
        <f t="shared" si="10"/>
        <v>7</v>
      </c>
      <c r="N480" s="113" t="s">
        <v>101</v>
      </c>
    </row>
    <row r="481" spans="2:14" ht="27">
      <c r="B481" s="105" t="s">
        <v>904</v>
      </c>
      <c r="C481" s="106" t="s">
        <v>939</v>
      </c>
      <c r="D481" s="107" t="s">
        <v>939</v>
      </c>
      <c r="E481" s="65" t="s">
        <v>940</v>
      </c>
      <c r="F481" s="64" t="s">
        <v>100</v>
      </c>
      <c r="G481" s="64" t="s">
        <v>101</v>
      </c>
      <c r="H481" s="64" t="s">
        <v>8</v>
      </c>
      <c r="I481" s="70">
        <v>1</v>
      </c>
      <c r="J481" s="70">
        <v>6</v>
      </c>
      <c r="K481" s="110" t="str">
        <f>IF(H481="","",IF($C$29="간이법","",FPR(H481,I481,J481)))</f>
        <v>L</v>
      </c>
      <c r="L481" s="111">
        <f>IF(H481="","",IF($C$29="상세법",FPV(H481,K481),IF(H481="EI",4,IF(H481="EO",5.2,IF(H481="EQ",3.9,IF(H481="ILF",7.5,IF(H481="EIF",5.4)))))))</f>
        <v>7</v>
      </c>
      <c r="M481" s="112">
        <f t="shared" si="10"/>
        <v>7</v>
      </c>
      <c r="N481" s="113" t="s">
        <v>101</v>
      </c>
    </row>
    <row r="482" spans="2:14">
      <c r="B482" s="105" t="s">
        <v>904</v>
      </c>
      <c r="C482" s="106" t="s">
        <v>941</v>
      </c>
      <c r="D482" s="107" t="s">
        <v>941</v>
      </c>
      <c r="E482" s="65" t="s">
        <v>942</v>
      </c>
      <c r="F482" s="64" t="s">
        <v>100</v>
      </c>
      <c r="G482" s="64" t="s">
        <v>101</v>
      </c>
      <c r="H482" s="64" t="s">
        <v>8</v>
      </c>
      <c r="I482" s="70">
        <v>1</v>
      </c>
      <c r="J482" s="70">
        <v>31</v>
      </c>
      <c r="K482" s="110" t="str">
        <f>IF(H482="","",IF($C$29="간이법","",FPR(H482,I482,J482)))</f>
        <v>L</v>
      </c>
      <c r="L482" s="111">
        <f>IF(H482="","",IF($C$29="상세법",FPV(H482,K482),IF(H482="EI",4,IF(H482="EO",5.2,IF(H482="EQ",3.9,IF(H482="ILF",7.5,IF(H482="EIF",5.4)))))))</f>
        <v>7</v>
      </c>
      <c r="M482" s="112">
        <f t="shared" si="10"/>
        <v>7</v>
      </c>
      <c r="N482" s="113" t="s">
        <v>101</v>
      </c>
    </row>
    <row r="483" spans="2:14">
      <c r="B483" s="105" t="s">
        <v>904</v>
      </c>
      <c r="C483" s="106" t="s">
        <v>943</v>
      </c>
      <c r="D483" s="107" t="s">
        <v>943</v>
      </c>
      <c r="E483" s="65" t="s">
        <v>944</v>
      </c>
      <c r="F483" s="64" t="s">
        <v>100</v>
      </c>
      <c r="G483" s="64" t="s">
        <v>101</v>
      </c>
      <c r="H483" s="64" t="s">
        <v>8</v>
      </c>
      <c r="I483" s="70">
        <v>1</v>
      </c>
      <c r="J483" s="70">
        <v>4</v>
      </c>
      <c r="K483" s="110" t="str">
        <f>IF(H483="","",IF($C$29="간이법","",FPR(H483,I483,J483)))</f>
        <v>L</v>
      </c>
      <c r="L483" s="111">
        <f>IF(H483="","",IF($C$29="상세법",FPV(H483,K483),IF(H483="EI",4,IF(H483="EO",5.2,IF(H483="EQ",3.9,IF(H483="ILF",7.5,IF(H483="EIF",5.4)))))))</f>
        <v>7</v>
      </c>
      <c r="M483" s="112">
        <f t="shared" si="10"/>
        <v>7</v>
      </c>
      <c r="N483" s="113" t="s">
        <v>101</v>
      </c>
    </row>
    <row r="484" spans="2:14">
      <c r="B484" s="105" t="s">
        <v>904</v>
      </c>
      <c r="C484" s="106" t="s">
        <v>945</v>
      </c>
      <c r="D484" s="107" t="s">
        <v>945</v>
      </c>
      <c r="E484" s="65" t="s">
        <v>946</v>
      </c>
      <c r="F484" s="64" t="s">
        <v>100</v>
      </c>
      <c r="G484" s="64" t="s">
        <v>101</v>
      </c>
      <c r="H484" s="64" t="s">
        <v>8</v>
      </c>
      <c r="I484" s="70">
        <v>1</v>
      </c>
      <c r="J484" s="70">
        <v>11</v>
      </c>
      <c r="K484" s="110" t="str">
        <f>IF(H484="","",IF($C$29="간이법","",FPR(H484,I484,J484)))</f>
        <v>L</v>
      </c>
      <c r="L484" s="111">
        <f>IF(H484="","",IF($C$29="상세법",FPV(H484,K484),IF(H484="EI",4,IF(H484="EO",5.2,IF(H484="EQ",3.9,IF(H484="ILF",7.5,IF(H484="EIF",5.4)))))))</f>
        <v>7</v>
      </c>
      <c r="M484" s="112">
        <f t="shared" si="10"/>
        <v>7</v>
      </c>
      <c r="N484" s="113" t="s">
        <v>101</v>
      </c>
    </row>
    <row r="485" spans="2:14">
      <c r="B485" s="105" t="s">
        <v>904</v>
      </c>
      <c r="C485" s="106" t="s">
        <v>947</v>
      </c>
      <c r="D485" s="107" t="s">
        <v>947</v>
      </c>
      <c r="E485" s="65" t="s">
        <v>948</v>
      </c>
      <c r="F485" s="64" t="s">
        <v>100</v>
      </c>
      <c r="G485" s="64" t="s">
        <v>101</v>
      </c>
      <c r="H485" s="64" t="s">
        <v>8</v>
      </c>
      <c r="I485" s="70">
        <v>1</v>
      </c>
      <c r="J485" s="70">
        <v>19</v>
      </c>
      <c r="K485" s="110" t="str">
        <f>IF(H485="","",IF($C$29="간이법","",FPR(H485,I485,J485)))</f>
        <v>L</v>
      </c>
      <c r="L485" s="111">
        <f>IF(H485="","",IF($C$29="상세법",FPV(H485,K485),IF(H485="EI",4,IF(H485="EO",5.2,IF(H485="EQ",3.9,IF(H485="ILF",7.5,IF(H485="EIF",5.4)))))))</f>
        <v>7</v>
      </c>
      <c r="M485" s="112">
        <f t="shared" si="10"/>
        <v>7</v>
      </c>
      <c r="N485" s="113" t="s">
        <v>101</v>
      </c>
    </row>
    <row r="486" spans="2:14" ht="27">
      <c r="B486" s="105" t="s">
        <v>904</v>
      </c>
      <c r="C486" s="106" t="s">
        <v>949</v>
      </c>
      <c r="D486" s="107" t="s">
        <v>949</v>
      </c>
      <c r="E486" s="65" t="s">
        <v>950</v>
      </c>
      <c r="F486" s="64" t="s">
        <v>100</v>
      </c>
      <c r="G486" s="64" t="s">
        <v>101</v>
      </c>
      <c r="H486" s="64" t="s">
        <v>8</v>
      </c>
      <c r="I486" s="70">
        <v>1</v>
      </c>
      <c r="J486" s="70">
        <v>8</v>
      </c>
      <c r="K486" s="110" t="str">
        <f>IF(H486="","",IF($C$29="간이법","",FPR(H486,I486,J486)))</f>
        <v>L</v>
      </c>
      <c r="L486" s="111">
        <f>IF(H486="","",IF($C$29="상세법",FPV(H486,K486),IF(H486="EI",4,IF(H486="EO",5.2,IF(H486="EQ",3.9,IF(H486="ILF",7.5,IF(H486="EIF",5.4)))))))</f>
        <v>7</v>
      </c>
      <c r="M486" s="112">
        <f t="shared" si="10"/>
        <v>7</v>
      </c>
      <c r="N486" s="113" t="s">
        <v>101</v>
      </c>
    </row>
    <row r="487" spans="2:14">
      <c r="B487" s="105" t="s">
        <v>904</v>
      </c>
      <c r="C487" s="106" t="s">
        <v>951</v>
      </c>
      <c r="D487" s="107" t="s">
        <v>951</v>
      </c>
      <c r="E487" s="65" t="s">
        <v>952</v>
      </c>
      <c r="F487" s="64" t="s">
        <v>100</v>
      </c>
      <c r="G487" s="64" t="s">
        <v>101</v>
      </c>
      <c r="H487" s="64" t="s">
        <v>8</v>
      </c>
      <c r="I487" s="70">
        <v>1</v>
      </c>
      <c r="J487" s="70">
        <v>4</v>
      </c>
      <c r="K487" s="110" t="str">
        <f>IF(H487="","",IF($C$29="간이법","",FPR(H487,I487,J487)))</f>
        <v>L</v>
      </c>
      <c r="L487" s="111">
        <f>IF(H487="","",IF($C$29="상세법",FPV(H487,K487),IF(H487="EI",4,IF(H487="EO",5.2,IF(H487="EQ",3.9,IF(H487="ILF",7.5,IF(H487="EIF",5.4)))))))</f>
        <v>7</v>
      </c>
      <c r="M487" s="112">
        <f t="shared" si="10"/>
        <v>7</v>
      </c>
      <c r="N487" s="113" t="s">
        <v>101</v>
      </c>
    </row>
    <row r="488" spans="2:14" ht="27">
      <c r="B488" s="105" t="s">
        <v>904</v>
      </c>
      <c r="C488" s="106" t="s">
        <v>953</v>
      </c>
      <c r="D488" s="107" t="s">
        <v>954</v>
      </c>
      <c r="E488" s="65" t="s">
        <v>955</v>
      </c>
      <c r="F488" s="64" t="s">
        <v>189</v>
      </c>
      <c r="G488" s="64" t="s">
        <v>360</v>
      </c>
      <c r="H488" s="64" t="s">
        <v>8</v>
      </c>
      <c r="I488" s="70">
        <v>1</v>
      </c>
      <c r="J488" s="70">
        <v>32</v>
      </c>
      <c r="K488" s="110" t="str">
        <f>IF(H488="","",IF($C$29="간이법","",FPR(H488,I488,J488)))</f>
        <v>L</v>
      </c>
      <c r="L488" s="111">
        <f>IF(H488="","",IF($C$29="상세법",FPV(H488,K488),IF(H488="EI",4,IF(H488="EO",5.2,IF(H488="EQ",3.9,IF(H488="ILF",7.5,IF(H488="EIF",5.4)))))))</f>
        <v>7</v>
      </c>
      <c r="M488" s="112">
        <f t="shared" si="10"/>
        <v>1.4000000000000001</v>
      </c>
      <c r="N488" s="113" t="s">
        <v>101</v>
      </c>
    </row>
    <row r="489" spans="2:14" ht="27">
      <c r="B489" s="105" t="s">
        <v>904</v>
      </c>
      <c r="C489" s="106" t="s">
        <v>956</v>
      </c>
      <c r="D489" s="107" t="s">
        <v>956</v>
      </c>
      <c r="E489" s="65" t="s">
        <v>957</v>
      </c>
      <c r="F489" s="64" t="s">
        <v>100</v>
      </c>
      <c r="G489" s="64" t="s">
        <v>101</v>
      </c>
      <c r="H489" s="64" t="s">
        <v>8</v>
      </c>
      <c r="I489" s="70">
        <v>1</v>
      </c>
      <c r="J489" s="70">
        <v>5</v>
      </c>
      <c r="K489" s="110" t="str">
        <f>IF(H489="","",IF($C$29="간이법","",FPR(H489,I489,J489)))</f>
        <v>L</v>
      </c>
      <c r="L489" s="111">
        <f>IF(H489="","",IF($C$29="상세법",FPV(H489,K489),IF(H489="EI",4,IF(H489="EO",5.2,IF(H489="EQ",3.9,IF(H489="ILF",7.5,IF(H489="EIF",5.4)))))))</f>
        <v>7</v>
      </c>
      <c r="M489" s="112">
        <f t="shared" si="10"/>
        <v>7</v>
      </c>
      <c r="N489" s="113" t="s">
        <v>101</v>
      </c>
    </row>
    <row r="490" spans="2:14" ht="27">
      <c r="B490" s="105" t="s">
        <v>904</v>
      </c>
      <c r="C490" s="106" t="s">
        <v>958</v>
      </c>
      <c r="D490" s="107" t="s">
        <v>958</v>
      </c>
      <c r="E490" s="65" t="s">
        <v>959</v>
      </c>
      <c r="F490" s="64" t="s">
        <v>100</v>
      </c>
      <c r="G490" s="64" t="s">
        <v>101</v>
      </c>
      <c r="H490" s="64" t="s">
        <v>8</v>
      </c>
      <c r="I490" s="70">
        <v>1</v>
      </c>
      <c r="J490" s="70">
        <v>15</v>
      </c>
      <c r="K490" s="110" t="str">
        <f>IF(H490="","",IF($C$29="간이법","",FPR(H490,I490,J490)))</f>
        <v>L</v>
      </c>
      <c r="L490" s="111">
        <f>IF(H490="","",IF($C$29="상세법",FPV(H490,K490),IF(H490="EI",4,IF(H490="EO",5.2,IF(H490="EQ",3.9,IF(H490="ILF",7.5,IF(H490="EIF",5.4)))))))</f>
        <v>7</v>
      </c>
      <c r="M490" s="112">
        <f t="shared" si="10"/>
        <v>7</v>
      </c>
      <c r="N490" s="113" t="s">
        <v>101</v>
      </c>
    </row>
    <row r="491" spans="2:14" ht="27">
      <c r="B491" s="105" t="s">
        <v>904</v>
      </c>
      <c r="C491" s="106" t="s">
        <v>960</v>
      </c>
      <c r="D491" s="107" t="s">
        <v>960</v>
      </c>
      <c r="E491" s="65" t="s">
        <v>961</v>
      </c>
      <c r="F491" s="64" t="s">
        <v>100</v>
      </c>
      <c r="G491" s="64" t="s">
        <v>101</v>
      </c>
      <c r="H491" s="64" t="s">
        <v>8</v>
      </c>
      <c r="I491" s="70">
        <v>1</v>
      </c>
      <c r="J491" s="70">
        <v>6</v>
      </c>
      <c r="K491" s="110" t="str">
        <f>IF(H491="","",IF($C$29="간이법","",FPR(H491,I491,J491)))</f>
        <v>L</v>
      </c>
      <c r="L491" s="111">
        <f>IF(H491="","",IF($C$29="상세법",FPV(H491,K491),IF(H491="EI",4,IF(H491="EO",5.2,IF(H491="EQ",3.9,IF(H491="ILF",7.5,IF(H491="EIF",5.4)))))))</f>
        <v>7</v>
      </c>
      <c r="M491" s="112">
        <f t="shared" si="10"/>
        <v>7</v>
      </c>
      <c r="N491" s="113" t="s">
        <v>101</v>
      </c>
    </row>
    <row r="492" spans="2:14" ht="27">
      <c r="B492" s="105" t="s">
        <v>904</v>
      </c>
      <c r="C492" s="106" t="s">
        <v>962</v>
      </c>
      <c r="D492" s="107" t="s">
        <v>962</v>
      </c>
      <c r="E492" s="65" t="s">
        <v>963</v>
      </c>
      <c r="F492" s="64" t="s">
        <v>100</v>
      </c>
      <c r="G492" s="64" t="s">
        <v>101</v>
      </c>
      <c r="H492" s="64" t="s">
        <v>8</v>
      </c>
      <c r="I492" s="70">
        <v>1</v>
      </c>
      <c r="J492" s="70">
        <v>8</v>
      </c>
      <c r="K492" s="110" t="str">
        <f>IF(H492="","",IF($C$29="간이법","",FPR(H492,I492,J492)))</f>
        <v>L</v>
      </c>
      <c r="L492" s="111">
        <f>IF(H492="","",IF($C$29="상세법",FPV(H492,K492),IF(H492="EI",4,IF(H492="EO",5.2,IF(H492="EQ",3.9,IF(H492="ILF",7.5,IF(H492="EIF",5.4)))))))</f>
        <v>7</v>
      </c>
      <c r="M492" s="112">
        <f t="shared" si="10"/>
        <v>7</v>
      </c>
      <c r="N492" s="113" t="s">
        <v>101</v>
      </c>
    </row>
    <row r="493" spans="2:14" ht="27">
      <c r="B493" s="105" t="s">
        <v>904</v>
      </c>
      <c r="C493" s="106" t="s">
        <v>964</v>
      </c>
      <c r="D493" s="107" t="s">
        <v>964</v>
      </c>
      <c r="E493" s="65" t="s">
        <v>965</v>
      </c>
      <c r="F493" s="64" t="s">
        <v>100</v>
      </c>
      <c r="G493" s="64" t="s">
        <v>101</v>
      </c>
      <c r="H493" s="64" t="s">
        <v>8</v>
      </c>
      <c r="I493" s="70">
        <v>1</v>
      </c>
      <c r="J493" s="70">
        <v>6</v>
      </c>
      <c r="K493" s="110" t="str">
        <f>IF(H493="","",IF($C$29="간이법","",FPR(H493,I493,J493)))</f>
        <v>L</v>
      </c>
      <c r="L493" s="111">
        <f>IF(H493="","",IF($C$29="상세법",FPV(H493,K493),IF(H493="EI",4,IF(H493="EO",5.2,IF(H493="EQ",3.9,IF(H493="ILF",7.5,IF(H493="EIF",5.4)))))))</f>
        <v>7</v>
      </c>
      <c r="M493" s="112">
        <f t="shared" si="10"/>
        <v>7</v>
      </c>
      <c r="N493" s="113" t="s">
        <v>101</v>
      </c>
    </row>
    <row r="494" spans="2:14" ht="27">
      <c r="B494" s="105" t="s">
        <v>904</v>
      </c>
      <c r="C494" s="106" t="s">
        <v>966</v>
      </c>
      <c r="D494" s="107" t="s">
        <v>966</v>
      </c>
      <c r="E494" s="65" t="s">
        <v>966</v>
      </c>
      <c r="F494" s="64" t="s">
        <v>100</v>
      </c>
      <c r="G494" s="64" t="s">
        <v>101</v>
      </c>
      <c r="H494" s="64" t="s">
        <v>8</v>
      </c>
      <c r="I494" s="70">
        <v>1</v>
      </c>
      <c r="J494" s="70">
        <v>4</v>
      </c>
      <c r="K494" s="110" t="str">
        <f>IF(H494="","",IF($C$29="간이법","",FPR(H494,I494,J494)))</f>
        <v>L</v>
      </c>
      <c r="L494" s="111">
        <f>IF(H494="","",IF($C$29="상세법",FPV(H494,K494),IF(H494="EI",4,IF(H494="EO",5.2,IF(H494="EQ",3.9,IF(H494="ILF",7.5,IF(H494="EIF",5.4)))))))</f>
        <v>7</v>
      </c>
      <c r="M494" s="112">
        <f t="shared" si="10"/>
        <v>7</v>
      </c>
      <c r="N494" s="113" t="s">
        <v>101</v>
      </c>
    </row>
    <row r="495" spans="2:14" ht="27">
      <c r="B495" s="105" t="s">
        <v>904</v>
      </c>
      <c r="C495" s="106" t="s">
        <v>967</v>
      </c>
      <c r="D495" s="107" t="s">
        <v>967</v>
      </c>
      <c r="E495" s="65" t="s">
        <v>968</v>
      </c>
      <c r="F495" s="64" t="s">
        <v>100</v>
      </c>
      <c r="G495" s="64" t="s">
        <v>101</v>
      </c>
      <c r="H495" s="64" t="s">
        <v>8</v>
      </c>
      <c r="I495" s="70">
        <v>1</v>
      </c>
      <c r="J495" s="70">
        <v>24</v>
      </c>
      <c r="K495" s="110" t="str">
        <f>IF(H495="","",IF($C$29="간이법","",FPR(H495,I495,J495)))</f>
        <v>L</v>
      </c>
      <c r="L495" s="111">
        <f>IF(H495="","",IF($C$29="상세법",FPV(H495,K495),IF(H495="EI",4,IF(H495="EO",5.2,IF(H495="EQ",3.9,IF(H495="ILF",7.5,IF(H495="EIF",5.4)))))))</f>
        <v>7</v>
      </c>
      <c r="M495" s="112">
        <f t="shared" si="10"/>
        <v>7</v>
      </c>
      <c r="N495" s="113" t="s">
        <v>101</v>
      </c>
    </row>
    <row r="496" spans="2:14" ht="27">
      <c r="B496" s="105" t="s">
        <v>904</v>
      </c>
      <c r="C496" s="106" t="s">
        <v>969</v>
      </c>
      <c r="D496" s="107" t="s">
        <v>969</v>
      </c>
      <c r="E496" s="65" t="s">
        <v>970</v>
      </c>
      <c r="F496" s="64" t="s">
        <v>100</v>
      </c>
      <c r="G496" s="64" t="s">
        <v>101</v>
      </c>
      <c r="H496" s="64" t="s">
        <v>8</v>
      </c>
      <c r="I496" s="70">
        <v>1</v>
      </c>
      <c r="J496" s="70">
        <v>10</v>
      </c>
      <c r="K496" s="110" t="str">
        <f>IF(H496="","",IF($C$29="간이법","",FPR(H496,I496,J496)))</f>
        <v>L</v>
      </c>
      <c r="L496" s="111">
        <f>IF(H496="","",IF($C$29="상세법",FPV(H496,K496),IF(H496="EI",4,IF(H496="EO",5.2,IF(H496="EQ",3.9,IF(H496="ILF",7.5,IF(H496="EIF",5.4)))))))</f>
        <v>7</v>
      </c>
      <c r="M496" s="112">
        <f t="shared" si="10"/>
        <v>7</v>
      </c>
      <c r="N496" s="113" t="s">
        <v>101</v>
      </c>
    </row>
    <row r="497" spans="2:14">
      <c r="B497" s="105" t="s">
        <v>904</v>
      </c>
      <c r="C497" s="106" t="s">
        <v>971</v>
      </c>
      <c r="D497" s="107" t="s">
        <v>971</v>
      </c>
      <c r="E497" s="65" t="s">
        <v>972</v>
      </c>
      <c r="F497" s="64" t="s">
        <v>100</v>
      </c>
      <c r="G497" s="64" t="s">
        <v>101</v>
      </c>
      <c r="H497" s="64" t="s">
        <v>8</v>
      </c>
      <c r="I497" s="70">
        <v>1</v>
      </c>
      <c r="J497" s="70">
        <v>11</v>
      </c>
      <c r="K497" s="110" t="str">
        <f>IF(H497="","",IF($C$29="간이법","",FPR(H497,I497,J497)))</f>
        <v>L</v>
      </c>
      <c r="L497" s="111">
        <f>IF(H497="","",IF($C$29="상세법",FPV(H497,K497),IF(H497="EI",4,IF(H497="EO",5.2,IF(H497="EQ",3.9,IF(H497="ILF",7.5,IF(H497="EIF",5.4)))))))</f>
        <v>7</v>
      </c>
      <c r="M497" s="112">
        <f t="shared" si="10"/>
        <v>7</v>
      </c>
      <c r="N497" s="113" t="s">
        <v>101</v>
      </c>
    </row>
    <row r="498" spans="2:14" ht="27">
      <c r="B498" s="105" t="s">
        <v>904</v>
      </c>
      <c r="C498" s="106" t="s">
        <v>973</v>
      </c>
      <c r="D498" s="107" t="s">
        <v>973</v>
      </c>
      <c r="E498" s="65" t="s">
        <v>974</v>
      </c>
      <c r="F498" s="64" t="s">
        <v>100</v>
      </c>
      <c r="G498" s="64" t="s">
        <v>101</v>
      </c>
      <c r="H498" s="64" t="s">
        <v>8</v>
      </c>
      <c r="I498" s="70">
        <v>1</v>
      </c>
      <c r="J498" s="70">
        <v>9</v>
      </c>
      <c r="K498" s="110" t="str">
        <f>IF(H498="","",IF($C$29="간이법","",FPR(H498,I498,J498)))</f>
        <v>L</v>
      </c>
      <c r="L498" s="111">
        <f>IF(H498="","",IF($C$29="상세법",FPV(H498,K498),IF(H498="EI",4,IF(H498="EO",5.2,IF(H498="EQ",3.9,IF(H498="ILF",7.5,IF(H498="EIF",5.4)))))))</f>
        <v>7</v>
      </c>
      <c r="M498" s="112">
        <f t="shared" si="10"/>
        <v>7</v>
      </c>
      <c r="N498" s="113" t="s">
        <v>101</v>
      </c>
    </row>
    <row r="499" spans="2:14" ht="27">
      <c r="B499" s="105" t="s">
        <v>904</v>
      </c>
      <c r="C499" s="106" t="s">
        <v>975</v>
      </c>
      <c r="D499" s="107" t="s">
        <v>975</v>
      </c>
      <c r="E499" s="65" t="s">
        <v>976</v>
      </c>
      <c r="F499" s="64" t="s">
        <v>100</v>
      </c>
      <c r="G499" s="64" t="s">
        <v>101</v>
      </c>
      <c r="H499" s="64" t="s">
        <v>8</v>
      </c>
      <c r="I499" s="70">
        <v>1</v>
      </c>
      <c r="J499" s="70">
        <v>12</v>
      </c>
      <c r="K499" s="110" t="str">
        <f>IF(H499="","",IF($C$29="간이법","",FPR(H499,I499,J499)))</f>
        <v>L</v>
      </c>
      <c r="L499" s="111">
        <f>IF(H499="","",IF($C$29="상세법",FPV(H499,K499),IF(H499="EI",4,IF(H499="EO",5.2,IF(H499="EQ",3.9,IF(H499="ILF",7.5,IF(H499="EIF",5.4)))))))</f>
        <v>7</v>
      </c>
      <c r="M499" s="112">
        <f t="shared" si="10"/>
        <v>7</v>
      </c>
      <c r="N499" s="113" t="s">
        <v>101</v>
      </c>
    </row>
    <row r="500" spans="2:14" ht="27">
      <c r="B500" s="105" t="s">
        <v>904</v>
      </c>
      <c r="C500" s="106" t="s">
        <v>977</v>
      </c>
      <c r="D500" s="107" t="s">
        <v>977</v>
      </c>
      <c r="E500" s="65" t="s">
        <v>978</v>
      </c>
      <c r="F500" s="64" t="s">
        <v>100</v>
      </c>
      <c r="G500" s="64" t="s">
        <v>101</v>
      </c>
      <c r="H500" s="64" t="s">
        <v>8</v>
      </c>
      <c r="I500" s="70">
        <v>1</v>
      </c>
      <c r="J500" s="70">
        <v>13</v>
      </c>
      <c r="K500" s="110" t="str">
        <f>IF(H500="","",IF($C$29="간이법","",FPR(H500,I500,J500)))</f>
        <v>L</v>
      </c>
      <c r="L500" s="111">
        <f>IF(H500="","",IF($C$29="상세법",FPV(H500,K500),IF(H500="EI",4,IF(H500="EO",5.2,IF(H500="EQ",3.9,IF(H500="ILF",7.5,IF(H500="EIF",5.4)))))))</f>
        <v>7</v>
      </c>
      <c r="M500" s="112">
        <f t="shared" si="10"/>
        <v>7</v>
      </c>
      <c r="N500" s="113" t="s">
        <v>101</v>
      </c>
    </row>
    <row r="501" spans="2:14" ht="27">
      <c r="B501" s="105" t="s">
        <v>904</v>
      </c>
      <c r="C501" s="106" t="s">
        <v>979</v>
      </c>
      <c r="D501" s="107" t="s">
        <v>980</v>
      </c>
      <c r="E501" s="65" t="s">
        <v>981</v>
      </c>
      <c r="F501" s="64" t="s">
        <v>189</v>
      </c>
      <c r="G501" s="64" t="s">
        <v>360</v>
      </c>
      <c r="H501" s="64" t="s">
        <v>8</v>
      </c>
      <c r="I501" s="70">
        <v>1</v>
      </c>
      <c r="J501" s="70">
        <v>20</v>
      </c>
      <c r="K501" s="110" t="str">
        <f>IF(H501="","",IF($C$29="간이법","",FPR(H501,I501,J501)))</f>
        <v>L</v>
      </c>
      <c r="L501" s="111">
        <f>IF(H501="","",IF($C$29="상세법",FPV(H501,K501),IF(H501="EI",4,IF(H501="EO",5.2,IF(H501="EQ",3.9,IF(H501="ILF",7.5,IF(H501="EIF",5.4)))))))</f>
        <v>7</v>
      </c>
      <c r="M501" s="112">
        <f t="shared" si="10"/>
        <v>1.4000000000000001</v>
      </c>
      <c r="N501" s="113" t="s">
        <v>101</v>
      </c>
    </row>
    <row r="502" spans="2:14">
      <c r="B502" s="105" t="s">
        <v>904</v>
      </c>
      <c r="C502" s="106" t="s">
        <v>982</v>
      </c>
      <c r="D502" s="107" t="s">
        <v>982</v>
      </c>
      <c r="E502" s="65" t="s">
        <v>983</v>
      </c>
      <c r="F502" s="64" t="s">
        <v>100</v>
      </c>
      <c r="G502" s="64" t="s">
        <v>101</v>
      </c>
      <c r="H502" s="64" t="s">
        <v>8</v>
      </c>
      <c r="I502" s="70">
        <v>1</v>
      </c>
      <c r="J502" s="70">
        <v>7</v>
      </c>
      <c r="K502" s="110" t="str">
        <f>IF(H502="","",IF($C$29="간이법","",FPR(H502,I502,J502)))</f>
        <v>L</v>
      </c>
      <c r="L502" s="111">
        <f>IF(H502="","",IF($C$29="상세법",FPV(H502,K502),IF(H502="EI",4,IF(H502="EO",5.2,IF(H502="EQ",3.9,IF(H502="ILF",7.5,IF(H502="EIF",5.4)))))))</f>
        <v>7</v>
      </c>
      <c r="M502" s="112">
        <f t="shared" si="10"/>
        <v>7</v>
      </c>
      <c r="N502" s="113" t="s">
        <v>101</v>
      </c>
    </row>
    <row r="503" spans="2:14" ht="27">
      <c r="B503" s="105" t="s">
        <v>904</v>
      </c>
      <c r="C503" s="106" t="s">
        <v>984</v>
      </c>
      <c r="D503" s="107" t="s">
        <v>984</v>
      </c>
      <c r="E503" s="65" t="s">
        <v>985</v>
      </c>
      <c r="F503" s="64" t="s">
        <v>100</v>
      </c>
      <c r="G503" s="64" t="s">
        <v>101</v>
      </c>
      <c r="H503" s="64" t="s">
        <v>8</v>
      </c>
      <c r="I503" s="70">
        <v>1</v>
      </c>
      <c r="J503" s="70">
        <v>8</v>
      </c>
      <c r="K503" s="110" t="str">
        <f>IF(H503="","",IF($C$29="간이법","",FPR(H503,I503,J503)))</f>
        <v>L</v>
      </c>
      <c r="L503" s="111">
        <f>IF(H503="","",IF($C$29="상세법",FPV(H503,K503),IF(H503="EI",4,IF(H503="EO",5.2,IF(H503="EQ",3.9,IF(H503="ILF",7.5,IF(H503="EIF",5.4)))))))</f>
        <v>7</v>
      </c>
      <c r="M503" s="112">
        <f t="shared" si="10"/>
        <v>7</v>
      </c>
      <c r="N503" s="113" t="s">
        <v>101</v>
      </c>
    </row>
    <row r="504" spans="2:14" ht="27">
      <c r="B504" s="105" t="s">
        <v>904</v>
      </c>
      <c r="C504" s="106" t="s">
        <v>986</v>
      </c>
      <c r="D504" s="107" t="s">
        <v>987</v>
      </c>
      <c r="E504" s="65" t="s">
        <v>988</v>
      </c>
      <c r="F504" s="64" t="s">
        <v>189</v>
      </c>
      <c r="G504" s="64" t="s">
        <v>360</v>
      </c>
      <c r="H504" s="64" t="s">
        <v>8</v>
      </c>
      <c r="I504" s="70">
        <v>1</v>
      </c>
      <c r="J504" s="70">
        <v>13</v>
      </c>
      <c r="K504" s="110" t="str">
        <f>IF(H504="","",IF($C$29="간이법","",FPR(H504,I504,J504)))</f>
        <v>L</v>
      </c>
      <c r="L504" s="111">
        <f>IF(H504="","",IF($C$29="상세법",FPV(H504,K504),IF(H504="EI",4,IF(H504="EO",5.2,IF(H504="EQ",3.9,IF(H504="ILF",7.5,IF(H504="EIF",5.4)))))))</f>
        <v>7</v>
      </c>
      <c r="M504" s="112">
        <f t="shared" si="10"/>
        <v>1.4000000000000001</v>
      </c>
      <c r="N504" s="113" t="s">
        <v>101</v>
      </c>
    </row>
    <row r="505" spans="2:14" ht="27">
      <c r="B505" s="105" t="s">
        <v>904</v>
      </c>
      <c r="C505" s="106" t="s">
        <v>989</v>
      </c>
      <c r="D505" s="107" t="s">
        <v>989</v>
      </c>
      <c r="E505" s="65" t="s">
        <v>990</v>
      </c>
      <c r="F505" s="64" t="s">
        <v>100</v>
      </c>
      <c r="G505" s="64" t="s">
        <v>101</v>
      </c>
      <c r="H505" s="64" t="s">
        <v>8</v>
      </c>
      <c r="I505" s="70">
        <v>1</v>
      </c>
      <c r="J505" s="70">
        <v>10</v>
      </c>
      <c r="K505" s="110" t="str">
        <f>IF(H505="","",IF($C$29="간이법","",FPR(H505,I505,J505)))</f>
        <v>L</v>
      </c>
      <c r="L505" s="111">
        <f>IF(H505="","",IF($C$29="상세법",FPV(H505,K505),IF(H505="EI",4,IF(H505="EO",5.2,IF(H505="EQ",3.9,IF(H505="ILF",7.5,IF(H505="EIF",5.4)))))))</f>
        <v>7</v>
      </c>
      <c r="M505" s="112">
        <f t="shared" ref="M505:M568" si="11">IF(L505="","",L505*IF(G505="상",0.7,IF(G505="중",0.5,IF(G505="하",0.2,1))))</f>
        <v>7</v>
      </c>
      <c r="N505" s="113" t="s">
        <v>101</v>
      </c>
    </row>
    <row r="506" spans="2:14">
      <c r="B506" s="105" t="s">
        <v>904</v>
      </c>
      <c r="C506" s="106" t="s">
        <v>991</v>
      </c>
      <c r="D506" s="107" t="s">
        <v>991</v>
      </c>
      <c r="E506" s="65" t="s">
        <v>992</v>
      </c>
      <c r="F506" s="64" t="s">
        <v>100</v>
      </c>
      <c r="G506" s="64" t="s">
        <v>101</v>
      </c>
      <c r="H506" s="64" t="s">
        <v>8</v>
      </c>
      <c r="I506" s="70">
        <v>1</v>
      </c>
      <c r="J506" s="70">
        <v>46</v>
      </c>
      <c r="K506" s="110" t="str">
        <f>IF(H506="","",IF($C$29="간이법","",FPR(H506,I506,J506)))</f>
        <v>L</v>
      </c>
      <c r="L506" s="111">
        <f>IF(H506="","",IF($C$29="상세법",FPV(H506,K506),IF(H506="EI",4,IF(H506="EO",5.2,IF(H506="EQ",3.9,IF(H506="ILF",7.5,IF(H506="EIF",5.4)))))))</f>
        <v>7</v>
      </c>
      <c r="M506" s="112">
        <f t="shared" si="11"/>
        <v>7</v>
      </c>
      <c r="N506" s="113" t="s">
        <v>101</v>
      </c>
    </row>
    <row r="507" spans="2:14" ht="27">
      <c r="B507" s="105" t="s">
        <v>904</v>
      </c>
      <c r="C507" s="106" t="s">
        <v>993</v>
      </c>
      <c r="D507" s="107" t="s">
        <v>993</v>
      </c>
      <c r="E507" s="65" t="s">
        <v>994</v>
      </c>
      <c r="F507" s="64" t="s">
        <v>100</v>
      </c>
      <c r="G507" s="64" t="s">
        <v>101</v>
      </c>
      <c r="H507" s="64" t="s">
        <v>8</v>
      </c>
      <c r="I507" s="70">
        <v>1</v>
      </c>
      <c r="J507" s="70">
        <v>5</v>
      </c>
      <c r="K507" s="110" t="str">
        <f>IF(H507="","",IF($C$29="간이법","",FPR(H507,I507,J507)))</f>
        <v>L</v>
      </c>
      <c r="L507" s="111">
        <f>IF(H507="","",IF($C$29="상세법",FPV(H507,K507),IF(H507="EI",4,IF(H507="EO",5.2,IF(H507="EQ",3.9,IF(H507="ILF",7.5,IF(H507="EIF",5.4)))))))</f>
        <v>7</v>
      </c>
      <c r="M507" s="112">
        <f t="shared" si="11"/>
        <v>7</v>
      </c>
      <c r="N507" s="113" t="s">
        <v>101</v>
      </c>
    </row>
    <row r="508" spans="2:14" ht="27">
      <c r="B508" s="105" t="s">
        <v>904</v>
      </c>
      <c r="C508" s="106" t="s">
        <v>995</v>
      </c>
      <c r="D508" s="107" t="s">
        <v>995</v>
      </c>
      <c r="E508" s="65" t="s">
        <v>996</v>
      </c>
      <c r="F508" s="64" t="s">
        <v>100</v>
      </c>
      <c r="G508" s="64" t="s">
        <v>101</v>
      </c>
      <c r="H508" s="64" t="s">
        <v>8</v>
      </c>
      <c r="I508" s="70">
        <v>1</v>
      </c>
      <c r="J508" s="70">
        <v>4</v>
      </c>
      <c r="K508" s="110" t="str">
        <f>IF(H508="","",IF($C$29="간이법","",FPR(H508,I508,J508)))</f>
        <v>L</v>
      </c>
      <c r="L508" s="111">
        <f>IF(H508="","",IF($C$29="상세법",FPV(H508,K508),IF(H508="EI",4,IF(H508="EO",5.2,IF(H508="EQ",3.9,IF(H508="ILF",7.5,IF(H508="EIF",5.4)))))))</f>
        <v>7</v>
      </c>
      <c r="M508" s="112">
        <f t="shared" si="11"/>
        <v>7</v>
      </c>
      <c r="N508" s="113" t="s">
        <v>101</v>
      </c>
    </row>
    <row r="509" spans="2:14">
      <c r="B509" s="105" t="s">
        <v>904</v>
      </c>
      <c r="C509" s="106" t="s">
        <v>997</v>
      </c>
      <c r="D509" s="107" t="s">
        <v>997</v>
      </c>
      <c r="E509" s="65" t="s">
        <v>998</v>
      </c>
      <c r="F509" s="64" t="s">
        <v>100</v>
      </c>
      <c r="G509" s="64" t="s">
        <v>101</v>
      </c>
      <c r="H509" s="64" t="s">
        <v>8</v>
      </c>
      <c r="I509" s="70">
        <v>1</v>
      </c>
      <c r="J509" s="70">
        <v>9</v>
      </c>
      <c r="K509" s="110" t="str">
        <f>IF(H509="","",IF($C$29="간이법","",FPR(H509,I509,J509)))</f>
        <v>L</v>
      </c>
      <c r="L509" s="111">
        <f>IF(H509="","",IF($C$29="상세법",FPV(H509,K509),IF(H509="EI",4,IF(H509="EO",5.2,IF(H509="EQ",3.9,IF(H509="ILF",7.5,IF(H509="EIF",5.4)))))))</f>
        <v>7</v>
      </c>
      <c r="M509" s="112">
        <f t="shared" si="11"/>
        <v>7</v>
      </c>
      <c r="N509" s="113" t="s">
        <v>101</v>
      </c>
    </row>
    <row r="510" spans="2:14" ht="27">
      <c r="B510" s="105" t="s">
        <v>904</v>
      </c>
      <c r="C510" s="106" t="s">
        <v>999</v>
      </c>
      <c r="D510" s="107" t="s">
        <v>999</v>
      </c>
      <c r="E510" s="65" t="s">
        <v>1000</v>
      </c>
      <c r="F510" s="64" t="s">
        <v>100</v>
      </c>
      <c r="G510" s="64" t="s">
        <v>101</v>
      </c>
      <c r="H510" s="64" t="s">
        <v>8</v>
      </c>
      <c r="I510" s="70">
        <v>1</v>
      </c>
      <c r="J510" s="70">
        <v>61</v>
      </c>
      <c r="K510" s="110" t="str">
        <f>IF(H510="","",IF($C$29="간이법","",FPR(H510,I510,J510)))</f>
        <v>A</v>
      </c>
      <c r="L510" s="111">
        <f>IF(H510="","",IF($C$29="상세법",FPV(H510,K510),IF(H510="EI",4,IF(H510="EO",5.2,IF(H510="EQ",3.9,IF(H510="ILF",7.5,IF(H510="EIF",5.4)))))))</f>
        <v>10</v>
      </c>
      <c r="M510" s="112">
        <f t="shared" si="11"/>
        <v>10</v>
      </c>
      <c r="N510" s="113" t="s">
        <v>101</v>
      </c>
    </row>
    <row r="511" spans="2:14" ht="27">
      <c r="B511" s="105" t="s">
        <v>904</v>
      </c>
      <c r="C511" s="106" t="s">
        <v>1001</v>
      </c>
      <c r="D511" s="107" t="s">
        <v>1001</v>
      </c>
      <c r="E511" s="65" t="s">
        <v>1002</v>
      </c>
      <c r="F511" s="64" t="s">
        <v>100</v>
      </c>
      <c r="G511" s="64" t="s">
        <v>101</v>
      </c>
      <c r="H511" s="64" t="s">
        <v>8</v>
      </c>
      <c r="I511" s="70">
        <v>1</v>
      </c>
      <c r="J511" s="70">
        <v>5</v>
      </c>
      <c r="K511" s="110" t="str">
        <f>IF(H511="","",IF($C$29="간이법","",FPR(H511,I511,J511)))</f>
        <v>L</v>
      </c>
      <c r="L511" s="111">
        <f>IF(H511="","",IF($C$29="상세법",FPV(H511,K511),IF(H511="EI",4,IF(H511="EO",5.2,IF(H511="EQ",3.9,IF(H511="ILF",7.5,IF(H511="EIF",5.4)))))))</f>
        <v>7</v>
      </c>
      <c r="M511" s="112">
        <f t="shared" si="11"/>
        <v>7</v>
      </c>
      <c r="N511" s="113" t="s">
        <v>101</v>
      </c>
    </row>
    <row r="512" spans="2:14" ht="27">
      <c r="B512" s="105" t="s">
        <v>904</v>
      </c>
      <c r="C512" s="106" t="s">
        <v>1003</v>
      </c>
      <c r="D512" s="107" t="s">
        <v>1003</v>
      </c>
      <c r="E512" s="65" t="s">
        <v>1004</v>
      </c>
      <c r="F512" s="64" t="s">
        <v>100</v>
      </c>
      <c r="G512" s="64" t="s">
        <v>101</v>
      </c>
      <c r="H512" s="64" t="s">
        <v>8</v>
      </c>
      <c r="I512" s="70">
        <v>1</v>
      </c>
      <c r="J512" s="70">
        <v>5</v>
      </c>
      <c r="K512" s="110" t="str">
        <f>IF(H512="","",IF($C$29="간이법","",FPR(H512,I512,J512)))</f>
        <v>L</v>
      </c>
      <c r="L512" s="111">
        <f>IF(H512="","",IF($C$29="상세법",FPV(H512,K512),IF(H512="EI",4,IF(H512="EO",5.2,IF(H512="EQ",3.9,IF(H512="ILF",7.5,IF(H512="EIF",5.4)))))))</f>
        <v>7</v>
      </c>
      <c r="M512" s="112">
        <f t="shared" si="11"/>
        <v>7</v>
      </c>
      <c r="N512" s="113" t="s">
        <v>101</v>
      </c>
    </row>
    <row r="513" spans="2:14" ht="27">
      <c r="B513" s="105" t="s">
        <v>904</v>
      </c>
      <c r="C513" s="106" t="s">
        <v>1005</v>
      </c>
      <c r="D513" s="107" t="s">
        <v>1005</v>
      </c>
      <c r="E513" s="65" t="s">
        <v>1006</v>
      </c>
      <c r="F513" s="64" t="s">
        <v>100</v>
      </c>
      <c r="G513" s="64" t="s">
        <v>101</v>
      </c>
      <c r="H513" s="64" t="s">
        <v>8</v>
      </c>
      <c r="I513" s="70">
        <v>1</v>
      </c>
      <c r="J513" s="70">
        <v>6</v>
      </c>
      <c r="K513" s="110" t="str">
        <f>IF(H513="","",IF($C$29="간이법","",FPR(H513,I513,J513)))</f>
        <v>L</v>
      </c>
      <c r="L513" s="111">
        <f>IF(H513="","",IF($C$29="상세법",FPV(H513,K513),IF(H513="EI",4,IF(H513="EO",5.2,IF(H513="EQ",3.9,IF(H513="ILF",7.5,IF(H513="EIF",5.4)))))))</f>
        <v>7</v>
      </c>
      <c r="M513" s="112">
        <f t="shared" si="11"/>
        <v>7</v>
      </c>
      <c r="N513" s="113" t="s">
        <v>101</v>
      </c>
    </row>
    <row r="514" spans="2:14" ht="27">
      <c r="B514" s="105" t="s">
        <v>904</v>
      </c>
      <c r="C514" s="106" t="s">
        <v>1007</v>
      </c>
      <c r="D514" s="107" t="s">
        <v>1007</v>
      </c>
      <c r="E514" s="65" t="s">
        <v>1008</v>
      </c>
      <c r="F514" s="64" t="s">
        <v>100</v>
      </c>
      <c r="G514" s="64" t="s">
        <v>101</v>
      </c>
      <c r="H514" s="64" t="s">
        <v>8</v>
      </c>
      <c r="I514" s="70">
        <v>1</v>
      </c>
      <c r="J514" s="70">
        <v>6</v>
      </c>
      <c r="K514" s="110" t="str">
        <f>IF(H514="","",IF($C$29="간이법","",FPR(H514,I514,J514)))</f>
        <v>L</v>
      </c>
      <c r="L514" s="111">
        <f>IF(H514="","",IF($C$29="상세법",FPV(H514,K514),IF(H514="EI",4,IF(H514="EO",5.2,IF(H514="EQ",3.9,IF(H514="ILF",7.5,IF(H514="EIF",5.4)))))))</f>
        <v>7</v>
      </c>
      <c r="M514" s="112">
        <f t="shared" si="11"/>
        <v>7</v>
      </c>
      <c r="N514" s="113" t="s">
        <v>101</v>
      </c>
    </row>
    <row r="515" spans="2:14" ht="27">
      <c r="B515" s="105" t="s">
        <v>904</v>
      </c>
      <c r="C515" s="106" t="s">
        <v>1009</v>
      </c>
      <c r="D515" s="107" t="s">
        <v>1009</v>
      </c>
      <c r="E515" s="65" t="s">
        <v>1010</v>
      </c>
      <c r="F515" s="64" t="s">
        <v>100</v>
      </c>
      <c r="G515" s="64" t="s">
        <v>101</v>
      </c>
      <c r="H515" s="64" t="s">
        <v>8</v>
      </c>
      <c r="I515" s="70">
        <v>1</v>
      </c>
      <c r="J515" s="70">
        <v>6</v>
      </c>
      <c r="K515" s="110" t="str">
        <f>IF(H515="","",IF($C$29="간이법","",FPR(H515,I515,J515)))</f>
        <v>L</v>
      </c>
      <c r="L515" s="111">
        <f>IF(H515="","",IF($C$29="상세법",FPV(H515,K515),IF(H515="EI",4,IF(H515="EO",5.2,IF(H515="EQ",3.9,IF(H515="ILF",7.5,IF(H515="EIF",5.4)))))))</f>
        <v>7</v>
      </c>
      <c r="M515" s="112">
        <f t="shared" si="11"/>
        <v>7</v>
      </c>
      <c r="N515" s="113" t="s">
        <v>101</v>
      </c>
    </row>
    <row r="516" spans="2:14">
      <c r="B516" s="105" t="s">
        <v>904</v>
      </c>
      <c r="C516" s="106" t="s">
        <v>1011</v>
      </c>
      <c r="D516" s="107" t="s">
        <v>1011</v>
      </c>
      <c r="E516" s="65" t="s">
        <v>1012</v>
      </c>
      <c r="F516" s="64" t="s">
        <v>100</v>
      </c>
      <c r="G516" s="64" t="s">
        <v>101</v>
      </c>
      <c r="H516" s="64" t="s">
        <v>8</v>
      </c>
      <c r="I516" s="70">
        <v>1</v>
      </c>
      <c r="J516" s="70">
        <v>25</v>
      </c>
      <c r="K516" s="110" t="str">
        <f>IF(H516="","",IF($C$29="간이법","",FPR(H516,I516,J516)))</f>
        <v>L</v>
      </c>
      <c r="L516" s="111">
        <f>IF(H516="","",IF($C$29="상세법",FPV(H516,K516),IF(H516="EI",4,IF(H516="EO",5.2,IF(H516="EQ",3.9,IF(H516="ILF",7.5,IF(H516="EIF",5.4)))))))</f>
        <v>7</v>
      </c>
      <c r="M516" s="112">
        <f t="shared" si="11"/>
        <v>7</v>
      </c>
      <c r="N516" s="113" t="s">
        <v>101</v>
      </c>
    </row>
    <row r="517" spans="2:14" ht="27">
      <c r="B517" s="105" t="s">
        <v>904</v>
      </c>
      <c r="C517" s="106" t="s">
        <v>1013</v>
      </c>
      <c r="D517" s="107" t="s">
        <v>1013</v>
      </c>
      <c r="E517" s="65" t="s">
        <v>1014</v>
      </c>
      <c r="F517" s="64" t="s">
        <v>100</v>
      </c>
      <c r="G517" s="64" t="s">
        <v>101</v>
      </c>
      <c r="H517" s="64" t="s">
        <v>8</v>
      </c>
      <c r="I517" s="70">
        <v>1</v>
      </c>
      <c r="J517" s="70">
        <v>13</v>
      </c>
      <c r="K517" s="110" t="str">
        <f>IF(H517="","",IF($C$29="간이법","",FPR(H517,I517,J517)))</f>
        <v>L</v>
      </c>
      <c r="L517" s="111">
        <f>IF(H517="","",IF($C$29="상세법",FPV(H517,K517),IF(H517="EI",4,IF(H517="EO",5.2,IF(H517="EQ",3.9,IF(H517="ILF",7.5,IF(H517="EIF",5.4)))))))</f>
        <v>7</v>
      </c>
      <c r="M517" s="112">
        <f t="shared" si="11"/>
        <v>7</v>
      </c>
      <c r="N517" s="113" t="s">
        <v>101</v>
      </c>
    </row>
    <row r="518" spans="2:14" ht="27">
      <c r="B518" s="105" t="s">
        <v>904</v>
      </c>
      <c r="C518" s="106" t="s">
        <v>1015</v>
      </c>
      <c r="D518" s="107" t="s">
        <v>1016</v>
      </c>
      <c r="E518" s="65" t="s">
        <v>1017</v>
      </c>
      <c r="F518" s="64" t="s">
        <v>189</v>
      </c>
      <c r="G518" s="64" t="s">
        <v>360</v>
      </c>
      <c r="H518" s="64" t="s">
        <v>8</v>
      </c>
      <c r="I518" s="70">
        <v>1</v>
      </c>
      <c r="J518" s="70">
        <v>37</v>
      </c>
      <c r="K518" s="110" t="str">
        <f>IF(H518="","",IF($C$29="간이법","",FPR(H518,I518,J518)))</f>
        <v>L</v>
      </c>
      <c r="L518" s="111">
        <f>IF(H518="","",IF($C$29="상세법",FPV(H518,K518),IF(H518="EI",4,IF(H518="EO",5.2,IF(H518="EQ",3.9,IF(H518="ILF",7.5,IF(H518="EIF",5.4)))))))</f>
        <v>7</v>
      </c>
      <c r="M518" s="112">
        <f t="shared" si="11"/>
        <v>1.4000000000000001</v>
      </c>
      <c r="N518" s="113" t="s">
        <v>101</v>
      </c>
    </row>
    <row r="519" spans="2:14" ht="27">
      <c r="B519" s="105" t="s">
        <v>904</v>
      </c>
      <c r="C519" s="106" t="s">
        <v>1018</v>
      </c>
      <c r="D519" s="107" t="s">
        <v>1018</v>
      </c>
      <c r="E519" s="65" t="s">
        <v>1019</v>
      </c>
      <c r="F519" s="64" t="s">
        <v>100</v>
      </c>
      <c r="G519" s="64" t="s">
        <v>101</v>
      </c>
      <c r="H519" s="64" t="s">
        <v>8</v>
      </c>
      <c r="I519" s="70">
        <v>1</v>
      </c>
      <c r="J519" s="70">
        <v>5</v>
      </c>
      <c r="K519" s="110" t="str">
        <f>IF(H519="","",IF($C$29="간이법","",FPR(H519,I519,J519)))</f>
        <v>L</v>
      </c>
      <c r="L519" s="111">
        <f>IF(H519="","",IF($C$29="상세법",FPV(H519,K519),IF(H519="EI",4,IF(H519="EO",5.2,IF(H519="EQ",3.9,IF(H519="ILF",7.5,IF(H519="EIF",5.4)))))))</f>
        <v>7</v>
      </c>
      <c r="M519" s="112">
        <f t="shared" si="11"/>
        <v>7</v>
      </c>
      <c r="N519" s="113" t="s">
        <v>101</v>
      </c>
    </row>
    <row r="520" spans="2:14">
      <c r="B520" s="105" t="s">
        <v>904</v>
      </c>
      <c r="C520" s="106" t="s">
        <v>1020</v>
      </c>
      <c r="D520" s="107" t="s">
        <v>1020</v>
      </c>
      <c r="E520" s="65" t="s">
        <v>1021</v>
      </c>
      <c r="F520" s="64" t="s">
        <v>100</v>
      </c>
      <c r="G520" s="64" t="s">
        <v>101</v>
      </c>
      <c r="H520" s="64" t="s">
        <v>8</v>
      </c>
      <c r="I520" s="70">
        <v>1</v>
      </c>
      <c r="J520" s="70">
        <v>9</v>
      </c>
      <c r="K520" s="110" t="str">
        <f>IF(H520="","",IF($C$29="간이법","",FPR(H520,I520,J520)))</f>
        <v>L</v>
      </c>
      <c r="L520" s="111">
        <f>IF(H520="","",IF($C$29="상세법",FPV(H520,K520),IF(H520="EI",4,IF(H520="EO",5.2,IF(H520="EQ",3.9,IF(H520="ILF",7.5,IF(H520="EIF",5.4)))))))</f>
        <v>7</v>
      </c>
      <c r="M520" s="112">
        <f t="shared" si="11"/>
        <v>7</v>
      </c>
      <c r="N520" s="113" t="s">
        <v>101</v>
      </c>
    </row>
    <row r="521" spans="2:14">
      <c r="B521" s="105" t="s">
        <v>904</v>
      </c>
      <c r="C521" s="106" t="s">
        <v>1022</v>
      </c>
      <c r="D521" s="107" t="s">
        <v>1022</v>
      </c>
      <c r="E521" s="65" t="s">
        <v>1023</v>
      </c>
      <c r="F521" s="64" t="s">
        <v>100</v>
      </c>
      <c r="G521" s="64" t="s">
        <v>101</v>
      </c>
      <c r="H521" s="64" t="s">
        <v>8</v>
      </c>
      <c r="I521" s="70">
        <v>1</v>
      </c>
      <c r="J521" s="70">
        <v>4</v>
      </c>
      <c r="K521" s="110" t="str">
        <f>IF(H521="","",IF($C$29="간이법","",FPR(H521,I521,J521)))</f>
        <v>L</v>
      </c>
      <c r="L521" s="111">
        <f>IF(H521="","",IF($C$29="상세법",FPV(H521,K521),IF(H521="EI",4,IF(H521="EO",5.2,IF(H521="EQ",3.9,IF(H521="ILF",7.5,IF(H521="EIF",5.4)))))))</f>
        <v>7</v>
      </c>
      <c r="M521" s="112">
        <f t="shared" si="11"/>
        <v>7</v>
      </c>
      <c r="N521" s="113" t="s">
        <v>101</v>
      </c>
    </row>
    <row r="522" spans="2:14">
      <c r="B522" s="105" t="s">
        <v>904</v>
      </c>
      <c r="C522" s="106" t="s">
        <v>1024</v>
      </c>
      <c r="D522" s="107" t="s">
        <v>1024</v>
      </c>
      <c r="E522" s="65" t="s">
        <v>1025</v>
      </c>
      <c r="F522" s="64" t="s">
        <v>100</v>
      </c>
      <c r="G522" s="64" t="s">
        <v>101</v>
      </c>
      <c r="H522" s="64" t="s">
        <v>8</v>
      </c>
      <c r="I522" s="70">
        <v>1</v>
      </c>
      <c r="J522" s="70">
        <v>6</v>
      </c>
      <c r="K522" s="110" t="str">
        <f>IF(H522="","",IF($C$29="간이법","",FPR(H522,I522,J522)))</f>
        <v>L</v>
      </c>
      <c r="L522" s="111">
        <f>IF(H522="","",IF($C$29="상세법",FPV(H522,K522),IF(H522="EI",4,IF(H522="EO",5.2,IF(H522="EQ",3.9,IF(H522="ILF",7.5,IF(H522="EIF",5.4)))))))</f>
        <v>7</v>
      </c>
      <c r="M522" s="112">
        <f t="shared" si="11"/>
        <v>7</v>
      </c>
      <c r="N522" s="113" t="s">
        <v>101</v>
      </c>
    </row>
    <row r="523" spans="2:14">
      <c r="B523" s="105" t="s">
        <v>904</v>
      </c>
      <c r="C523" s="106" t="s">
        <v>1026</v>
      </c>
      <c r="D523" s="107" t="s">
        <v>1026</v>
      </c>
      <c r="E523" s="65" t="s">
        <v>1027</v>
      </c>
      <c r="F523" s="64" t="s">
        <v>100</v>
      </c>
      <c r="G523" s="64" t="s">
        <v>101</v>
      </c>
      <c r="H523" s="64" t="s">
        <v>8</v>
      </c>
      <c r="I523" s="70">
        <v>1</v>
      </c>
      <c r="J523" s="70">
        <v>7</v>
      </c>
      <c r="K523" s="110" t="str">
        <f>IF(H523="","",IF($C$29="간이법","",FPR(H523,I523,J523)))</f>
        <v>L</v>
      </c>
      <c r="L523" s="111">
        <f>IF(H523="","",IF($C$29="상세법",FPV(H523,K523),IF(H523="EI",4,IF(H523="EO",5.2,IF(H523="EQ",3.9,IF(H523="ILF",7.5,IF(H523="EIF",5.4)))))))</f>
        <v>7</v>
      </c>
      <c r="M523" s="112">
        <f t="shared" si="11"/>
        <v>7</v>
      </c>
      <c r="N523" s="113" t="s">
        <v>101</v>
      </c>
    </row>
    <row r="524" spans="2:14">
      <c r="B524" s="105" t="s">
        <v>904</v>
      </c>
      <c r="C524" s="106" t="s">
        <v>1028</v>
      </c>
      <c r="D524" s="107" t="s">
        <v>1028</v>
      </c>
      <c r="E524" s="65" t="s">
        <v>1029</v>
      </c>
      <c r="F524" s="64" t="s">
        <v>100</v>
      </c>
      <c r="G524" s="64" t="s">
        <v>101</v>
      </c>
      <c r="H524" s="64" t="s">
        <v>8</v>
      </c>
      <c r="I524" s="70">
        <v>1</v>
      </c>
      <c r="J524" s="70">
        <v>12</v>
      </c>
      <c r="K524" s="110" t="str">
        <f>IF(H524="","",IF($C$29="간이법","",FPR(H524,I524,J524)))</f>
        <v>L</v>
      </c>
      <c r="L524" s="111">
        <f>IF(H524="","",IF($C$29="상세법",FPV(H524,K524),IF(H524="EI",4,IF(H524="EO",5.2,IF(H524="EQ",3.9,IF(H524="ILF",7.5,IF(H524="EIF",5.4)))))))</f>
        <v>7</v>
      </c>
      <c r="M524" s="112">
        <f t="shared" si="11"/>
        <v>7</v>
      </c>
      <c r="N524" s="113" t="s">
        <v>101</v>
      </c>
    </row>
    <row r="525" spans="2:14">
      <c r="B525" s="105" t="s">
        <v>904</v>
      </c>
      <c r="C525" s="106" t="s">
        <v>1030</v>
      </c>
      <c r="D525" s="107" t="s">
        <v>1030</v>
      </c>
      <c r="E525" s="65" t="s">
        <v>1031</v>
      </c>
      <c r="F525" s="64" t="s">
        <v>100</v>
      </c>
      <c r="G525" s="64" t="s">
        <v>101</v>
      </c>
      <c r="H525" s="64" t="s">
        <v>8</v>
      </c>
      <c r="I525" s="70">
        <v>1</v>
      </c>
      <c r="J525" s="70">
        <v>8</v>
      </c>
      <c r="K525" s="110" t="str">
        <f>IF(H525="","",IF($C$29="간이법","",FPR(H525,I525,J525)))</f>
        <v>L</v>
      </c>
      <c r="L525" s="111">
        <f>IF(H525="","",IF($C$29="상세법",FPV(H525,K525),IF(H525="EI",4,IF(H525="EO",5.2,IF(H525="EQ",3.9,IF(H525="ILF",7.5,IF(H525="EIF",5.4)))))))</f>
        <v>7</v>
      </c>
      <c r="M525" s="112">
        <f t="shared" si="11"/>
        <v>7</v>
      </c>
      <c r="N525" s="113" t="s">
        <v>101</v>
      </c>
    </row>
    <row r="526" spans="2:14">
      <c r="B526" s="105" t="s">
        <v>904</v>
      </c>
      <c r="C526" s="106" t="s">
        <v>1032</v>
      </c>
      <c r="D526" s="107" t="s">
        <v>1032</v>
      </c>
      <c r="E526" s="65" t="s">
        <v>1033</v>
      </c>
      <c r="F526" s="64" t="s">
        <v>100</v>
      </c>
      <c r="G526" s="64" t="s">
        <v>101</v>
      </c>
      <c r="H526" s="64" t="s">
        <v>8</v>
      </c>
      <c r="I526" s="70">
        <v>1</v>
      </c>
      <c r="J526" s="70">
        <v>5</v>
      </c>
      <c r="K526" s="110" t="str">
        <f>IF(H526="","",IF($C$29="간이법","",FPR(H526,I526,J526)))</f>
        <v>L</v>
      </c>
      <c r="L526" s="111">
        <f>IF(H526="","",IF($C$29="상세법",FPV(H526,K526),IF(H526="EI",4,IF(H526="EO",5.2,IF(H526="EQ",3.9,IF(H526="ILF",7.5,IF(H526="EIF",5.4)))))))</f>
        <v>7</v>
      </c>
      <c r="M526" s="112">
        <f t="shared" si="11"/>
        <v>7</v>
      </c>
      <c r="N526" s="113" t="s">
        <v>101</v>
      </c>
    </row>
    <row r="527" spans="2:14" ht="27">
      <c r="B527" s="105" t="s">
        <v>904</v>
      </c>
      <c r="C527" s="106" t="s">
        <v>1034</v>
      </c>
      <c r="D527" s="107" t="s">
        <v>1034</v>
      </c>
      <c r="E527" s="65" t="s">
        <v>1035</v>
      </c>
      <c r="F527" s="64" t="s">
        <v>100</v>
      </c>
      <c r="G527" s="64" t="s">
        <v>101</v>
      </c>
      <c r="H527" s="64" t="s">
        <v>8</v>
      </c>
      <c r="I527" s="70">
        <v>1</v>
      </c>
      <c r="J527" s="70">
        <v>15</v>
      </c>
      <c r="K527" s="110" t="str">
        <f>IF(H527="","",IF($C$29="간이법","",FPR(H527,I527,J527)))</f>
        <v>L</v>
      </c>
      <c r="L527" s="111">
        <f>IF(H527="","",IF($C$29="상세법",FPV(H527,K527),IF(H527="EI",4,IF(H527="EO",5.2,IF(H527="EQ",3.9,IF(H527="ILF",7.5,IF(H527="EIF",5.4)))))))</f>
        <v>7</v>
      </c>
      <c r="M527" s="112">
        <f t="shared" si="11"/>
        <v>7</v>
      </c>
      <c r="N527" s="113" t="s">
        <v>101</v>
      </c>
    </row>
    <row r="528" spans="2:14">
      <c r="B528" s="105" t="s">
        <v>904</v>
      </c>
      <c r="C528" s="106" t="s">
        <v>1036</v>
      </c>
      <c r="D528" s="107" t="s">
        <v>1036</v>
      </c>
      <c r="E528" s="65" t="s">
        <v>1037</v>
      </c>
      <c r="F528" s="64" t="s">
        <v>100</v>
      </c>
      <c r="G528" s="64" t="s">
        <v>101</v>
      </c>
      <c r="H528" s="64" t="s">
        <v>8</v>
      </c>
      <c r="I528" s="70">
        <v>1</v>
      </c>
      <c r="J528" s="70">
        <v>11</v>
      </c>
      <c r="K528" s="110" t="str">
        <f>IF(H528="","",IF($C$29="간이법","",FPR(H528,I528,J528)))</f>
        <v>L</v>
      </c>
      <c r="L528" s="111">
        <f>IF(H528="","",IF($C$29="상세법",FPV(H528,K528),IF(H528="EI",4,IF(H528="EO",5.2,IF(H528="EQ",3.9,IF(H528="ILF",7.5,IF(H528="EIF",5.4)))))))</f>
        <v>7</v>
      </c>
      <c r="M528" s="112">
        <f t="shared" si="11"/>
        <v>7</v>
      </c>
      <c r="N528" s="113" t="s">
        <v>101</v>
      </c>
    </row>
    <row r="529" spans="2:14" ht="27">
      <c r="B529" s="105" t="s">
        <v>904</v>
      </c>
      <c r="C529" s="106" t="s">
        <v>1038</v>
      </c>
      <c r="D529" s="107" t="s">
        <v>1038</v>
      </c>
      <c r="E529" s="65" t="s">
        <v>1039</v>
      </c>
      <c r="F529" s="64" t="s">
        <v>100</v>
      </c>
      <c r="G529" s="64" t="s">
        <v>101</v>
      </c>
      <c r="H529" s="64" t="s">
        <v>8</v>
      </c>
      <c r="I529" s="70">
        <v>1</v>
      </c>
      <c r="J529" s="70">
        <v>21</v>
      </c>
      <c r="K529" s="110" t="str">
        <f>IF(H529="","",IF($C$29="간이법","",FPR(H529,I529,J529)))</f>
        <v>L</v>
      </c>
      <c r="L529" s="111">
        <f>IF(H529="","",IF($C$29="상세법",FPV(H529,K529),IF(H529="EI",4,IF(H529="EO",5.2,IF(H529="EQ",3.9,IF(H529="ILF",7.5,IF(H529="EIF",5.4)))))))</f>
        <v>7</v>
      </c>
      <c r="M529" s="112">
        <f t="shared" si="11"/>
        <v>7</v>
      </c>
      <c r="N529" s="113" t="s">
        <v>101</v>
      </c>
    </row>
    <row r="530" spans="2:14">
      <c r="B530" s="105" t="s">
        <v>904</v>
      </c>
      <c r="C530" s="106" t="s">
        <v>1040</v>
      </c>
      <c r="D530" s="107" t="s">
        <v>1040</v>
      </c>
      <c r="E530" s="65" t="s">
        <v>1041</v>
      </c>
      <c r="F530" s="64" t="s">
        <v>100</v>
      </c>
      <c r="G530" s="64" t="s">
        <v>101</v>
      </c>
      <c r="H530" s="64" t="s">
        <v>8</v>
      </c>
      <c r="I530" s="70">
        <v>1</v>
      </c>
      <c r="J530" s="70">
        <v>18</v>
      </c>
      <c r="K530" s="110" t="str">
        <f>IF(H530="","",IF($C$29="간이법","",FPR(H530,I530,J530)))</f>
        <v>L</v>
      </c>
      <c r="L530" s="111">
        <f>IF(H530="","",IF($C$29="상세법",FPV(H530,K530),IF(H530="EI",4,IF(H530="EO",5.2,IF(H530="EQ",3.9,IF(H530="ILF",7.5,IF(H530="EIF",5.4)))))))</f>
        <v>7</v>
      </c>
      <c r="M530" s="112">
        <f t="shared" si="11"/>
        <v>7</v>
      </c>
      <c r="N530" s="113" t="s">
        <v>101</v>
      </c>
    </row>
    <row r="531" spans="2:14" ht="27">
      <c r="B531" s="105" t="s">
        <v>904</v>
      </c>
      <c r="C531" s="106" t="s">
        <v>1042</v>
      </c>
      <c r="D531" s="107" t="s">
        <v>1042</v>
      </c>
      <c r="E531" s="65" t="s">
        <v>1043</v>
      </c>
      <c r="F531" s="64" t="s">
        <v>100</v>
      </c>
      <c r="G531" s="64" t="s">
        <v>101</v>
      </c>
      <c r="H531" s="64" t="s">
        <v>8</v>
      </c>
      <c r="I531" s="70">
        <v>1</v>
      </c>
      <c r="J531" s="70">
        <v>14</v>
      </c>
      <c r="K531" s="110" t="str">
        <f>IF(H531="","",IF($C$29="간이법","",FPR(H531,I531,J531)))</f>
        <v>L</v>
      </c>
      <c r="L531" s="111">
        <f>IF(H531="","",IF($C$29="상세법",FPV(H531,K531),IF(H531="EI",4,IF(H531="EO",5.2,IF(H531="EQ",3.9,IF(H531="ILF",7.5,IF(H531="EIF",5.4)))))))</f>
        <v>7</v>
      </c>
      <c r="M531" s="112">
        <f t="shared" si="11"/>
        <v>7</v>
      </c>
      <c r="N531" s="113" t="s">
        <v>101</v>
      </c>
    </row>
    <row r="532" spans="2:14">
      <c r="B532" s="105" t="s">
        <v>904</v>
      </c>
      <c r="C532" s="106" t="s">
        <v>1044</v>
      </c>
      <c r="D532" s="107" t="s">
        <v>1044</v>
      </c>
      <c r="E532" s="65" t="s">
        <v>1045</v>
      </c>
      <c r="F532" s="64" t="s">
        <v>100</v>
      </c>
      <c r="G532" s="64" t="s">
        <v>101</v>
      </c>
      <c r="H532" s="64" t="s">
        <v>8</v>
      </c>
      <c r="I532" s="70">
        <v>1</v>
      </c>
      <c r="J532" s="70">
        <v>15</v>
      </c>
      <c r="K532" s="110" t="str">
        <f>IF(H532="","",IF($C$29="간이법","",FPR(H532,I532,J532)))</f>
        <v>L</v>
      </c>
      <c r="L532" s="111">
        <f>IF(H532="","",IF($C$29="상세법",FPV(H532,K532),IF(H532="EI",4,IF(H532="EO",5.2,IF(H532="EQ",3.9,IF(H532="ILF",7.5,IF(H532="EIF",5.4)))))))</f>
        <v>7</v>
      </c>
      <c r="M532" s="112">
        <f t="shared" si="11"/>
        <v>7</v>
      </c>
      <c r="N532" s="113" t="s">
        <v>101</v>
      </c>
    </row>
    <row r="533" spans="2:14">
      <c r="B533" s="105" t="s">
        <v>904</v>
      </c>
      <c r="C533" s="106" t="s">
        <v>1046</v>
      </c>
      <c r="D533" s="107" t="s">
        <v>1046</v>
      </c>
      <c r="E533" s="65" t="s">
        <v>1047</v>
      </c>
      <c r="F533" s="64" t="s">
        <v>100</v>
      </c>
      <c r="G533" s="64" t="s">
        <v>101</v>
      </c>
      <c r="H533" s="64" t="s">
        <v>8</v>
      </c>
      <c r="I533" s="70">
        <v>1</v>
      </c>
      <c r="J533" s="70">
        <v>15</v>
      </c>
      <c r="K533" s="110" t="str">
        <f>IF(H533="","",IF($C$29="간이법","",FPR(H533,I533,J533)))</f>
        <v>L</v>
      </c>
      <c r="L533" s="111">
        <f>IF(H533="","",IF($C$29="상세법",FPV(H533,K533),IF(H533="EI",4,IF(H533="EO",5.2,IF(H533="EQ",3.9,IF(H533="ILF",7.5,IF(H533="EIF",5.4)))))))</f>
        <v>7</v>
      </c>
      <c r="M533" s="112">
        <f t="shared" si="11"/>
        <v>7</v>
      </c>
      <c r="N533" s="113" t="s">
        <v>101</v>
      </c>
    </row>
    <row r="534" spans="2:14" ht="27">
      <c r="B534" s="105" t="s">
        <v>904</v>
      </c>
      <c r="C534" s="106" t="s">
        <v>1048</v>
      </c>
      <c r="D534" s="107" t="s">
        <v>1048</v>
      </c>
      <c r="E534" s="65" t="s">
        <v>1049</v>
      </c>
      <c r="F534" s="64" t="s">
        <v>100</v>
      </c>
      <c r="G534" s="64" t="s">
        <v>101</v>
      </c>
      <c r="H534" s="64" t="s">
        <v>8</v>
      </c>
      <c r="I534" s="70">
        <v>1</v>
      </c>
      <c r="J534" s="70">
        <v>14</v>
      </c>
      <c r="K534" s="110" t="str">
        <f>IF(H534="","",IF($C$29="간이법","",FPR(H534,I534,J534)))</f>
        <v>L</v>
      </c>
      <c r="L534" s="111">
        <f>IF(H534="","",IF($C$29="상세법",FPV(H534,K534),IF(H534="EI",4,IF(H534="EO",5.2,IF(H534="EQ",3.9,IF(H534="ILF",7.5,IF(H534="EIF",5.4)))))))</f>
        <v>7</v>
      </c>
      <c r="M534" s="112">
        <f t="shared" si="11"/>
        <v>7</v>
      </c>
      <c r="N534" s="113" t="s">
        <v>101</v>
      </c>
    </row>
    <row r="535" spans="2:14" ht="27">
      <c r="B535" s="105" t="s">
        <v>904</v>
      </c>
      <c r="C535" s="106" t="s">
        <v>1050</v>
      </c>
      <c r="D535" s="107" t="s">
        <v>1050</v>
      </c>
      <c r="E535" s="65" t="s">
        <v>1051</v>
      </c>
      <c r="F535" s="64" t="s">
        <v>100</v>
      </c>
      <c r="G535" s="64" t="s">
        <v>101</v>
      </c>
      <c r="H535" s="64" t="s">
        <v>8</v>
      </c>
      <c r="I535" s="70">
        <v>1</v>
      </c>
      <c r="J535" s="70">
        <v>9</v>
      </c>
      <c r="K535" s="110" t="str">
        <f>IF(H535="","",IF($C$29="간이법","",FPR(H535,I535,J535)))</f>
        <v>L</v>
      </c>
      <c r="L535" s="111">
        <f>IF(H535="","",IF($C$29="상세법",FPV(H535,K535),IF(H535="EI",4,IF(H535="EO",5.2,IF(H535="EQ",3.9,IF(H535="ILF",7.5,IF(H535="EIF",5.4)))))))</f>
        <v>7</v>
      </c>
      <c r="M535" s="112">
        <f t="shared" si="11"/>
        <v>7</v>
      </c>
      <c r="N535" s="113" t="s">
        <v>101</v>
      </c>
    </row>
    <row r="536" spans="2:14" ht="27">
      <c r="B536" s="105" t="s">
        <v>904</v>
      </c>
      <c r="C536" s="106" t="s">
        <v>1052</v>
      </c>
      <c r="D536" s="107" t="s">
        <v>1052</v>
      </c>
      <c r="E536" s="65" t="s">
        <v>1053</v>
      </c>
      <c r="F536" s="64" t="s">
        <v>100</v>
      </c>
      <c r="G536" s="64" t="s">
        <v>101</v>
      </c>
      <c r="H536" s="64" t="s">
        <v>8</v>
      </c>
      <c r="I536" s="70">
        <v>1</v>
      </c>
      <c r="J536" s="70">
        <v>5</v>
      </c>
      <c r="K536" s="110" t="str">
        <f>IF(H536="","",IF($C$29="간이법","",FPR(H536,I536,J536)))</f>
        <v>L</v>
      </c>
      <c r="L536" s="111">
        <f>IF(H536="","",IF($C$29="상세법",FPV(H536,K536),IF(H536="EI",4,IF(H536="EO",5.2,IF(H536="EQ",3.9,IF(H536="ILF",7.5,IF(H536="EIF",5.4)))))))</f>
        <v>7</v>
      </c>
      <c r="M536" s="112">
        <f t="shared" si="11"/>
        <v>7</v>
      </c>
      <c r="N536" s="113" t="s">
        <v>101</v>
      </c>
    </row>
    <row r="537" spans="2:14" ht="27">
      <c r="B537" s="105" t="s">
        <v>904</v>
      </c>
      <c r="C537" s="106" t="s">
        <v>1054</v>
      </c>
      <c r="D537" s="107" t="s">
        <v>1054</v>
      </c>
      <c r="E537" s="65" t="s">
        <v>1055</v>
      </c>
      <c r="F537" s="64" t="s">
        <v>100</v>
      </c>
      <c r="G537" s="64" t="s">
        <v>101</v>
      </c>
      <c r="H537" s="64" t="s">
        <v>8</v>
      </c>
      <c r="I537" s="70">
        <v>1</v>
      </c>
      <c r="J537" s="70">
        <v>5</v>
      </c>
      <c r="K537" s="110" t="str">
        <f>IF(H537="","",IF($C$29="간이법","",FPR(H537,I537,J537)))</f>
        <v>L</v>
      </c>
      <c r="L537" s="111">
        <f>IF(H537="","",IF($C$29="상세법",FPV(H537,K537),IF(H537="EI",4,IF(H537="EO",5.2,IF(H537="EQ",3.9,IF(H537="ILF",7.5,IF(H537="EIF",5.4)))))))</f>
        <v>7</v>
      </c>
      <c r="M537" s="112">
        <f t="shared" si="11"/>
        <v>7</v>
      </c>
      <c r="N537" s="113" t="s">
        <v>101</v>
      </c>
    </row>
    <row r="538" spans="2:14" ht="27">
      <c r="B538" s="105" t="s">
        <v>904</v>
      </c>
      <c r="C538" s="106" t="s">
        <v>1056</v>
      </c>
      <c r="D538" s="107" t="s">
        <v>1056</v>
      </c>
      <c r="E538" s="65" t="s">
        <v>1057</v>
      </c>
      <c r="F538" s="64" t="s">
        <v>100</v>
      </c>
      <c r="G538" s="64" t="s">
        <v>101</v>
      </c>
      <c r="H538" s="64" t="s">
        <v>8</v>
      </c>
      <c r="I538" s="70">
        <v>1</v>
      </c>
      <c r="J538" s="70">
        <v>10</v>
      </c>
      <c r="K538" s="110" t="str">
        <f>IF(H538="","",IF($C$29="간이법","",FPR(H538,I538,J538)))</f>
        <v>L</v>
      </c>
      <c r="L538" s="111">
        <f>IF(H538="","",IF($C$29="상세법",FPV(H538,K538),IF(H538="EI",4,IF(H538="EO",5.2,IF(H538="EQ",3.9,IF(H538="ILF",7.5,IF(H538="EIF",5.4)))))))</f>
        <v>7</v>
      </c>
      <c r="M538" s="112">
        <f t="shared" si="11"/>
        <v>7</v>
      </c>
      <c r="N538" s="113" t="s">
        <v>101</v>
      </c>
    </row>
    <row r="539" spans="2:14" ht="27">
      <c r="B539" s="105" t="s">
        <v>904</v>
      </c>
      <c r="C539" s="106" t="s">
        <v>1058</v>
      </c>
      <c r="D539" s="107" t="s">
        <v>1058</v>
      </c>
      <c r="E539" s="65" t="s">
        <v>1059</v>
      </c>
      <c r="F539" s="64" t="s">
        <v>100</v>
      </c>
      <c r="G539" s="64" t="s">
        <v>101</v>
      </c>
      <c r="H539" s="64" t="s">
        <v>8</v>
      </c>
      <c r="I539" s="70">
        <v>1</v>
      </c>
      <c r="J539" s="70">
        <v>7</v>
      </c>
      <c r="K539" s="110" t="str">
        <f>IF(H539="","",IF($C$29="간이법","",FPR(H539,I539,J539)))</f>
        <v>L</v>
      </c>
      <c r="L539" s="111">
        <f>IF(H539="","",IF($C$29="상세법",FPV(H539,K539),IF(H539="EI",4,IF(H539="EO",5.2,IF(H539="EQ",3.9,IF(H539="ILF",7.5,IF(H539="EIF",5.4)))))))</f>
        <v>7</v>
      </c>
      <c r="M539" s="112">
        <f t="shared" si="11"/>
        <v>7</v>
      </c>
      <c r="N539" s="113" t="s">
        <v>101</v>
      </c>
    </row>
    <row r="540" spans="2:14" ht="27">
      <c r="B540" s="105" t="s">
        <v>904</v>
      </c>
      <c r="C540" s="106" t="s">
        <v>1060</v>
      </c>
      <c r="D540" s="107" t="s">
        <v>1060</v>
      </c>
      <c r="E540" s="65" t="s">
        <v>1061</v>
      </c>
      <c r="F540" s="64" t="s">
        <v>100</v>
      </c>
      <c r="G540" s="64" t="s">
        <v>101</v>
      </c>
      <c r="H540" s="64" t="s">
        <v>8</v>
      </c>
      <c r="I540" s="70">
        <v>1</v>
      </c>
      <c r="J540" s="70">
        <v>13</v>
      </c>
      <c r="K540" s="110" t="str">
        <f>IF(H540="","",IF($C$29="간이법","",FPR(H540,I540,J540)))</f>
        <v>L</v>
      </c>
      <c r="L540" s="111">
        <f>IF(H540="","",IF($C$29="상세법",FPV(H540,K540),IF(H540="EI",4,IF(H540="EO",5.2,IF(H540="EQ",3.9,IF(H540="ILF",7.5,IF(H540="EIF",5.4)))))))</f>
        <v>7</v>
      </c>
      <c r="M540" s="112">
        <f t="shared" si="11"/>
        <v>7</v>
      </c>
      <c r="N540" s="113" t="s">
        <v>101</v>
      </c>
    </row>
    <row r="541" spans="2:14" ht="27">
      <c r="B541" s="105" t="s">
        <v>904</v>
      </c>
      <c r="C541" s="106" t="s">
        <v>1062</v>
      </c>
      <c r="D541" s="107" t="s">
        <v>1062</v>
      </c>
      <c r="E541" s="65" t="s">
        <v>1063</v>
      </c>
      <c r="F541" s="64" t="s">
        <v>100</v>
      </c>
      <c r="G541" s="64" t="s">
        <v>101</v>
      </c>
      <c r="H541" s="64" t="s">
        <v>8</v>
      </c>
      <c r="I541" s="70">
        <v>1</v>
      </c>
      <c r="J541" s="70">
        <v>9</v>
      </c>
      <c r="K541" s="110" t="str">
        <f>IF(H541="","",IF($C$29="간이법","",FPR(H541,I541,J541)))</f>
        <v>L</v>
      </c>
      <c r="L541" s="111">
        <f>IF(H541="","",IF($C$29="상세법",FPV(H541,K541),IF(H541="EI",4,IF(H541="EO",5.2,IF(H541="EQ",3.9,IF(H541="ILF",7.5,IF(H541="EIF",5.4)))))))</f>
        <v>7</v>
      </c>
      <c r="M541" s="112">
        <f t="shared" si="11"/>
        <v>7</v>
      </c>
      <c r="N541" s="113" t="s">
        <v>101</v>
      </c>
    </row>
    <row r="542" spans="2:14" ht="27">
      <c r="B542" s="105" t="s">
        <v>904</v>
      </c>
      <c r="C542" s="106" t="s">
        <v>1064</v>
      </c>
      <c r="D542" s="107" t="s">
        <v>1064</v>
      </c>
      <c r="E542" s="65" t="s">
        <v>1065</v>
      </c>
      <c r="F542" s="64" t="s">
        <v>100</v>
      </c>
      <c r="G542" s="64" t="s">
        <v>101</v>
      </c>
      <c r="H542" s="64" t="s">
        <v>8</v>
      </c>
      <c r="I542" s="70">
        <v>1</v>
      </c>
      <c r="J542" s="70">
        <v>7</v>
      </c>
      <c r="K542" s="110" t="str">
        <f>IF(H542="","",IF($C$29="간이법","",FPR(H542,I542,J542)))</f>
        <v>L</v>
      </c>
      <c r="L542" s="111">
        <f>IF(H542="","",IF($C$29="상세법",FPV(H542,K542),IF(H542="EI",4,IF(H542="EO",5.2,IF(H542="EQ",3.9,IF(H542="ILF",7.5,IF(H542="EIF",5.4)))))))</f>
        <v>7</v>
      </c>
      <c r="M542" s="112">
        <f t="shared" si="11"/>
        <v>7</v>
      </c>
      <c r="N542" s="113" t="s">
        <v>101</v>
      </c>
    </row>
    <row r="543" spans="2:14" ht="27">
      <c r="B543" s="105" t="s">
        <v>904</v>
      </c>
      <c r="C543" s="106" t="s">
        <v>1066</v>
      </c>
      <c r="D543" s="107" t="s">
        <v>1066</v>
      </c>
      <c r="E543" s="65" t="s">
        <v>1067</v>
      </c>
      <c r="F543" s="64" t="s">
        <v>100</v>
      </c>
      <c r="G543" s="64" t="s">
        <v>101</v>
      </c>
      <c r="H543" s="64" t="s">
        <v>8</v>
      </c>
      <c r="I543" s="70">
        <v>1</v>
      </c>
      <c r="J543" s="70">
        <v>6</v>
      </c>
      <c r="K543" s="110" t="str">
        <f>IF(H543="","",IF($C$29="간이법","",FPR(H543,I543,J543)))</f>
        <v>L</v>
      </c>
      <c r="L543" s="111">
        <f>IF(H543="","",IF($C$29="상세법",FPV(H543,K543),IF(H543="EI",4,IF(H543="EO",5.2,IF(H543="EQ",3.9,IF(H543="ILF",7.5,IF(H543="EIF",5.4)))))))</f>
        <v>7</v>
      </c>
      <c r="M543" s="112">
        <f t="shared" si="11"/>
        <v>7</v>
      </c>
      <c r="N543" s="113" t="s">
        <v>101</v>
      </c>
    </row>
    <row r="544" spans="2:14" ht="27">
      <c r="B544" s="105" t="s">
        <v>904</v>
      </c>
      <c r="C544" s="106" t="s">
        <v>1068</v>
      </c>
      <c r="D544" s="107" t="s">
        <v>1068</v>
      </c>
      <c r="E544" s="65" t="s">
        <v>1069</v>
      </c>
      <c r="F544" s="64" t="s">
        <v>100</v>
      </c>
      <c r="G544" s="64" t="s">
        <v>101</v>
      </c>
      <c r="H544" s="64" t="s">
        <v>8</v>
      </c>
      <c r="I544" s="70">
        <v>1</v>
      </c>
      <c r="J544" s="70">
        <v>5</v>
      </c>
      <c r="K544" s="110" t="str">
        <f>IF(H544="","",IF($C$29="간이법","",FPR(H544,I544,J544)))</f>
        <v>L</v>
      </c>
      <c r="L544" s="111">
        <f>IF(H544="","",IF($C$29="상세법",FPV(H544,K544),IF(H544="EI",4,IF(H544="EO",5.2,IF(H544="EQ",3.9,IF(H544="ILF",7.5,IF(H544="EIF",5.4)))))))</f>
        <v>7</v>
      </c>
      <c r="M544" s="112">
        <f t="shared" si="11"/>
        <v>7</v>
      </c>
      <c r="N544" s="113" t="s">
        <v>101</v>
      </c>
    </row>
    <row r="545" spans="2:14" ht="27">
      <c r="B545" s="105" t="s">
        <v>904</v>
      </c>
      <c r="C545" s="106" t="s">
        <v>1070</v>
      </c>
      <c r="D545" s="107" t="s">
        <v>1070</v>
      </c>
      <c r="E545" s="65" t="s">
        <v>1071</v>
      </c>
      <c r="F545" s="64" t="s">
        <v>100</v>
      </c>
      <c r="G545" s="64" t="s">
        <v>101</v>
      </c>
      <c r="H545" s="64" t="s">
        <v>8</v>
      </c>
      <c r="I545" s="70">
        <v>1</v>
      </c>
      <c r="J545" s="70">
        <v>5</v>
      </c>
      <c r="K545" s="110" t="str">
        <f>IF(H545="","",IF($C$29="간이법","",FPR(H545,I545,J545)))</f>
        <v>L</v>
      </c>
      <c r="L545" s="111">
        <f>IF(H545="","",IF($C$29="상세법",FPV(H545,K545),IF(H545="EI",4,IF(H545="EO",5.2,IF(H545="EQ",3.9,IF(H545="ILF",7.5,IF(H545="EIF",5.4)))))))</f>
        <v>7</v>
      </c>
      <c r="M545" s="112">
        <f t="shared" si="11"/>
        <v>7</v>
      </c>
      <c r="N545" s="113" t="s">
        <v>101</v>
      </c>
    </row>
    <row r="546" spans="2:14" ht="27">
      <c r="B546" s="105" t="s">
        <v>904</v>
      </c>
      <c r="C546" s="106" t="s">
        <v>1072</v>
      </c>
      <c r="D546" s="107" t="s">
        <v>1072</v>
      </c>
      <c r="E546" s="65" t="s">
        <v>1073</v>
      </c>
      <c r="F546" s="64" t="s">
        <v>100</v>
      </c>
      <c r="G546" s="64" t="s">
        <v>101</v>
      </c>
      <c r="H546" s="64" t="s">
        <v>8</v>
      </c>
      <c r="I546" s="70">
        <v>1</v>
      </c>
      <c r="J546" s="70">
        <v>13</v>
      </c>
      <c r="K546" s="110" t="str">
        <f>IF(H546="","",IF($C$29="간이법","",FPR(H546,I546,J546)))</f>
        <v>L</v>
      </c>
      <c r="L546" s="111">
        <f>IF(H546="","",IF($C$29="상세법",FPV(H546,K546),IF(H546="EI",4,IF(H546="EO",5.2,IF(H546="EQ",3.9,IF(H546="ILF",7.5,IF(H546="EIF",5.4)))))))</f>
        <v>7</v>
      </c>
      <c r="M546" s="112">
        <f t="shared" si="11"/>
        <v>7</v>
      </c>
      <c r="N546" s="113" t="s">
        <v>101</v>
      </c>
    </row>
    <row r="547" spans="2:14">
      <c r="B547" s="105" t="s">
        <v>904</v>
      </c>
      <c r="C547" s="106" t="s">
        <v>1074</v>
      </c>
      <c r="D547" s="107" t="s">
        <v>1074</v>
      </c>
      <c r="E547" s="65" t="s">
        <v>1075</v>
      </c>
      <c r="F547" s="64" t="s">
        <v>100</v>
      </c>
      <c r="G547" s="64" t="s">
        <v>101</v>
      </c>
      <c r="H547" s="64" t="s">
        <v>8</v>
      </c>
      <c r="I547" s="70">
        <v>1</v>
      </c>
      <c r="J547" s="70">
        <v>6</v>
      </c>
      <c r="K547" s="110" t="str">
        <f>IF(H547="","",IF($C$29="간이법","",FPR(H547,I547,J547)))</f>
        <v>L</v>
      </c>
      <c r="L547" s="111">
        <f>IF(H547="","",IF($C$29="상세법",FPV(H547,K547),IF(H547="EI",4,IF(H547="EO",5.2,IF(H547="EQ",3.9,IF(H547="ILF",7.5,IF(H547="EIF",5.4)))))))</f>
        <v>7</v>
      </c>
      <c r="M547" s="112">
        <f t="shared" si="11"/>
        <v>7</v>
      </c>
      <c r="N547" s="113" t="s">
        <v>101</v>
      </c>
    </row>
    <row r="548" spans="2:14" ht="27">
      <c r="B548" s="105" t="s">
        <v>904</v>
      </c>
      <c r="C548" s="106" t="s">
        <v>1076</v>
      </c>
      <c r="D548" s="107" t="s">
        <v>1076</v>
      </c>
      <c r="E548" s="65" t="s">
        <v>1077</v>
      </c>
      <c r="F548" s="64" t="s">
        <v>100</v>
      </c>
      <c r="G548" s="64" t="s">
        <v>101</v>
      </c>
      <c r="H548" s="64" t="s">
        <v>8</v>
      </c>
      <c r="I548" s="70">
        <v>1</v>
      </c>
      <c r="J548" s="70">
        <v>5</v>
      </c>
      <c r="K548" s="110" t="str">
        <f>IF(H548="","",IF($C$29="간이법","",FPR(H548,I548,J548)))</f>
        <v>L</v>
      </c>
      <c r="L548" s="111">
        <f>IF(H548="","",IF($C$29="상세법",FPV(H548,K548),IF(H548="EI",4,IF(H548="EO",5.2,IF(H548="EQ",3.9,IF(H548="ILF",7.5,IF(H548="EIF",5.4)))))))</f>
        <v>7</v>
      </c>
      <c r="M548" s="112">
        <f t="shared" si="11"/>
        <v>7</v>
      </c>
      <c r="N548" s="113" t="s">
        <v>101</v>
      </c>
    </row>
    <row r="549" spans="2:14" ht="27">
      <c r="B549" s="105" t="s">
        <v>904</v>
      </c>
      <c r="C549" s="106" t="s">
        <v>1078</v>
      </c>
      <c r="D549" s="107" t="s">
        <v>1078</v>
      </c>
      <c r="E549" s="65" t="s">
        <v>1079</v>
      </c>
      <c r="F549" s="64" t="s">
        <v>100</v>
      </c>
      <c r="G549" s="64" t="s">
        <v>101</v>
      </c>
      <c r="H549" s="64" t="s">
        <v>8</v>
      </c>
      <c r="I549" s="70">
        <v>1</v>
      </c>
      <c r="J549" s="70">
        <v>10</v>
      </c>
      <c r="K549" s="110" t="str">
        <f>IF(H549="","",IF($C$29="간이법","",FPR(H549,I549,J549)))</f>
        <v>L</v>
      </c>
      <c r="L549" s="111">
        <f>IF(H549="","",IF($C$29="상세법",FPV(H549,K549),IF(H549="EI",4,IF(H549="EO",5.2,IF(H549="EQ",3.9,IF(H549="ILF",7.5,IF(H549="EIF",5.4)))))))</f>
        <v>7</v>
      </c>
      <c r="M549" s="112">
        <f t="shared" si="11"/>
        <v>7</v>
      </c>
      <c r="N549" s="113" t="s">
        <v>101</v>
      </c>
    </row>
    <row r="550" spans="2:14" ht="27">
      <c r="B550" s="105" t="s">
        <v>904</v>
      </c>
      <c r="C550" s="106" t="s">
        <v>1080</v>
      </c>
      <c r="D550" s="107" t="s">
        <v>1080</v>
      </c>
      <c r="E550" s="65" t="s">
        <v>1081</v>
      </c>
      <c r="F550" s="64" t="s">
        <v>100</v>
      </c>
      <c r="G550" s="64" t="s">
        <v>101</v>
      </c>
      <c r="H550" s="64" t="s">
        <v>8</v>
      </c>
      <c r="I550" s="70">
        <v>1</v>
      </c>
      <c r="J550" s="70">
        <v>12</v>
      </c>
      <c r="K550" s="110" t="str">
        <f>IF(H550="","",IF($C$29="간이법","",FPR(H550,I550,J550)))</f>
        <v>L</v>
      </c>
      <c r="L550" s="111">
        <f>IF(H550="","",IF($C$29="상세법",FPV(H550,K550),IF(H550="EI",4,IF(H550="EO",5.2,IF(H550="EQ",3.9,IF(H550="ILF",7.5,IF(H550="EIF",5.4)))))))</f>
        <v>7</v>
      </c>
      <c r="M550" s="112">
        <f t="shared" si="11"/>
        <v>7</v>
      </c>
      <c r="N550" s="113" t="s">
        <v>101</v>
      </c>
    </row>
    <row r="551" spans="2:14">
      <c r="B551" s="105" t="s">
        <v>904</v>
      </c>
      <c r="C551" s="106" t="s">
        <v>1082</v>
      </c>
      <c r="D551" s="107" t="s">
        <v>1082</v>
      </c>
      <c r="E551" s="65" t="s">
        <v>1083</v>
      </c>
      <c r="F551" s="64" t="s">
        <v>100</v>
      </c>
      <c r="G551" s="64" t="s">
        <v>101</v>
      </c>
      <c r="H551" s="64" t="s">
        <v>8</v>
      </c>
      <c r="I551" s="70">
        <v>1</v>
      </c>
      <c r="J551" s="70">
        <v>38</v>
      </c>
      <c r="K551" s="110" t="str">
        <f>IF(H551="","",IF($C$29="간이법","",FPR(H551,I551,J551)))</f>
        <v>L</v>
      </c>
      <c r="L551" s="111">
        <f>IF(H551="","",IF($C$29="상세법",FPV(H551,K551),IF(H551="EI",4,IF(H551="EO",5.2,IF(H551="EQ",3.9,IF(H551="ILF",7.5,IF(H551="EIF",5.4)))))))</f>
        <v>7</v>
      </c>
      <c r="M551" s="112">
        <f t="shared" si="11"/>
        <v>7</v>
      </c>
      <c r="N551" s="113" t="s">
        <v>101</v>
      </c>
    </row>
    <row r="552" spans="2:14">
      <c r="B552" s="105" t="s">
        <v>904</v>
      </c>
      <c r="C552" s="106" t="s">
        <v>1084</v>
      </c>
      <c r="D552" s="107" t="s">
        <v>1084</v>
      </c>
      <c r="E552" s="65" t="s">
        <v>1085</v>
      </c>
      <c r="F552" s="64" t="s">
        <v>100</v>
      </c>
      <c r="G552" s="64" t="s">
        <v>101</v>
      </c>
      <c r="H552" s="64" t="s">
        <v>8</v>
      </c>
      <c r="I552" s="70">
        <v>1</v>
      </c>
      <c r="J552" s="70">
        <v>8</v>
      </c>
      <c r="K552" s="110" t="str">
        <f>IF(H552="","",IF($C$29="간이법","",FPR(H552,I552,J552)))</f>
        <v>L</v>
      </c>
      <c r="L552" s="111">
        <f>IF(H552="","",IF($C$29="상세법",FPV(H552,K552),IF(H552="EI",4,IF(H552="EO",5.2,IF(H552="EQ",3.9,IF(H552="ILF",7.5,IF(H552="EIF",5.4)))))))</f>
        <v>7</v>
      </c>
      <c r="M552" s="112">
        <f t="shared" si="11"/>
        <v>7</v>
      </c>
      <c r="N552" s="113" t="s">
        <v>101</v>
      </c>
    </row>
    <row r="553" spans="2:14">
      <c r="B553" s="105" t="s">
        <v>904</v>
      </c>
      <c r="C553" s="106" t="s">
        <v>1086</v>
      </c>
      <c r="D553" s="107" t="s">
        <v>1086</v>
      </c>
      <c r="E553" s="65" t="s">
        <v>1087</v>
      </c>
      <c r="F553" s="64" t="s">
        <v>100</v>
      </c>
      <c r="G553" s="64" t="s">
        <v>101</v>
      </c>
      <c r="H553" s="64" t="s">
        <v>8</v>
      </c>
      <c r="I553" s="70">
        <v>1</v>
      </c>
      <c r="J553" s="70">
        <v>8</v>
      </c>
      <c r="K553" s="110" t="str">
        <f>IF(H553="","",IF($C$29="간이법","",FPR(H553,I553,J553)))</f>
        <v>L</v>
      </c>
      <c r="L553" s="111">
        <f>IF(H553="","",IF($C$29="상세법",FPV(H553,K553),IF(H553="EI",4,IF(H553="EO",5.2,IF(H553="EQ",3.9,IF(H553="ILF",7.5,IF(H553="EIF",5.4)))))))</f>
        <v>7</v>
      </c>
      <c r="M553" s="112">
        <f t="shared" si="11"/>
        <v>7</v>
      </c>
      <c r="N553" s="113" t="s">
        <v>101</v>
      </c>
    </row>
    <row r="554" spans="2:14">
      <c r="B554" s="105" t="s">
        <v>904</v>
      </c>
      <c r="C554" s="106" t="s">
        <v>1088</v>
      </c>
      <c r="D554" s="107" t="s">
        <v>1088</v>
      </c>
      <c r="E554" s="65" t="s">
        <v>1089</v>
      </c>
      <c r="F554" s="64" t="s">
        <v>100</v>
      </c>
      <c r="G554" s="64" t="s">
        <v>101</v>
      </c>
      <c r="H554" s="64" t="s">
        <v>8</v>
      </c>
      <c r="I554" s="70">
        <v>1</v>
      </c>
      <c r="J554" s="70">
        <v>14</v>
      </c>
      <c r="K554" s="110" t="str">
        <f>IF(H554="","",IF($C$29="간이법","",FPR(H554,I554,J554)))</f>
        <v>L</v>
      </c>
      <c r="L554" s="111">
        <f>IF(H554="","",IF($C$29="상세법",FPV(H554,K554),IF(H554="EI",4,IF(H554="EO",5.2,IF(H554="EQ",3.9,IF(H554="ILF",7.5,IF(H554="EIF",5.4)))))))</f>
        <v>7</v>
      </c>
      <c r="M554" s="112">
        <f t="shared" si="11"/>
        <v>7</v>
      </c>
      <c r="N554" s="113" t="s">
        <v>101</v>
      </c>
    </row>
    <row r="555" spans="2:14">
      <c r="B555" s="105" t="s">
        <v>904</v>
      </c>
      <c r="C555" s="106" t="s">
        <v>1090</v>
      </c>
      <c r="D555" s="107" t="s">
        <v>1090</v>
      </c>
      <c r="E555" s="65" t="s">
        <v>1091</v>
      </c>
      <c r="F555" s="64" t="s">
        <v>100</v>
      </c>
      <c r="G555" s="64" t="s">
        <v>101</v>
      </c>
      <c r="H555" s="64" t="s">
        <v>8</v>
      </c>
      <c r="I555" s="70">
        <v>1</v>
      </c>
      <c r="J555" s="70">
        <v>9</v>
      </c>
      <c r="K555" s="110" t="str">
        <f>IF(H555="","",IF($C$29="간이법","",FPR(H555,I555,J555)))</f>
        <v>L</v>
      </c>
      <c r="L555" s="111">
        <f>IF(H555="","",IF($C$29="상세법",FPV(H555,K555),IF(H555="EI",4,IF(H555="EO",5.2,IF(H555="EQ",3.9,IF(H555="ILF",7.5,IF(H555="EIF",5.4)))))))</f>
        <v>7</v>
      </c>
      <c r="M555" s="112">
        <f t="shared" si="11"/>
        <v>7</v>
      </c>
      <c r="N555" s="113" t="s">
        <v>101</v>
      </c>
    </row>
    <row r="556" spans="2:14" ht="27">
      <c r="B556" s="105" t="s">
        <v>904</v>
      </c>
      <c r="C556" s="106" t="s">
        <v>1092</v>
      </c>
      <c r="D556" s="107" t="s">
        <v>1092</v>
      </c>
      <c r="E556" s="65" t="s">
        <v>1093</v>
      </c>
      <c r="F556" s="64" t="s">
        <v>100</v>
      </c>
      <c r="G556" s="64" t="s">
        <v>101</v>
      </c>
      <c r="H556" s="64" t="s">
        <v>8</v>
      </c>
      <c r="I556" s="70">
        <v>1</v>
      </c>
      <c r="J556" s="70">
        <v>11</v>
      </c>
      <c r="K556" s="110" t="str">
        <f>IF(H556="","",IF($C$29="간이법","",FPR(H556,I556,J556)))</f>
        <v>L</v>
      </c>
      <c r="L556" s="111">
        <f>IF(H556="","",IF($C$29="상세법",FPV(H556,K556),IF(H556="EI",4,IF(H556="EO",5.2,IF(H556="EQ",3.9,IF(H556="ILF",7.5,IF(H556="EIF",5.4)))))))</f>
        <v>7</v>
      </c>
      <c r="M556" s="112">
        <f t="shared" si="11"/>
        <v>7</v>
      </c>
      <c r="N556" s="113" t="s">
        <v>101</v>
      </c>
    </row>
    <row r="557" spans="2:14">
      <c r="B557" s="105" t="s">
        <v>904</v>
      </c>
      <c r="C557" s="106" t="s">
        <v>1094</v>
      </c>
      <c r="D557" s="107" t="s">
        <v>1094</v>
      </c>
      <c r="E557" s="65" t="s">
        <v>1095</v>
      </c>
      <c r="F557" s="64" t="s">
        <v>100</v>
      </c>
      <c r="G557" s="64" t="s">
        <v>101</v>
      </c>
      <c r="H557" s="64" t="s">
        <v>8</v>
      </c>
      <c r="I557" s="70">
        <v>1</v>
      </c>
      <c r="J557" s="70">
        <v>19</v>
      </c>
      <c r="K557" s="110" t="str">
        <f>IF(H557="","",IF($C$29="간이법","",FPR(H557,I557,J557)))</f>
        <v>L</v>
      </c>
      <c r="L557" s="111">
        <f>IF(H557="","",IF($C$29="상세법",FPV(H557,K557),IF(H557="EI",4,IF(H557="EO",5.2,IF(H557="EQ",3.9,IF(H557="ILF",7.5,IF(H557="EIF",5.4)))))))</f>
        <v>7</v>
      </c>
      <c r="M557" s="112">
        <f t="shared" si="11"/>
        <v>7</v>
      </c>
      <c r="N557" s="113" t="s">
        <v>101</v>
      </c>
    </row>
    <row r="558" spans="2:14">
      <c r="B558" s="105" t="s">
        <v>904</v>
      </c>
      <c r="C558" s="106" t="s">
        <v>1096</v>
      </c>
      <c r="D558" s="107" t="s">
        <v>1097</v>
      </c>
      <c r="E558" s="65" t="s">
        <v>1098</v>
      </c>
      <c r="F558" s="64" t="s">
        <v>205</v>
      </c>
      <c r="G558" s="64" t="s">
        <v>101</v>
      </c>
      <c r="H558" s="64" t="s">
        <v>8</v>
      </c>
      <c r="I558" s="70">
        <v>1</v>
      </c>
      <c r="J558" s="70">
        <v>5</v>
      </c>
      <c r="K558" s="110" t="str">
        <f>IF(H558="","",IF($C$29="간이법","",FPR(H558,I558,J558)))</f>
        <v>L</v>
      </c>
      <c r="L558" s="111">
        <f>IF(H558="","",IF($C$29="상세법",FPV(H558,K558),IF(H558="EI",4,IF(H558="EO",5.2,IF(H558="EQ",3.9,IF(H558="ILF",7.5,IF(H558="EIF",5.4)))))))</f>
        <v>7</v>
      </c>
      <c r="M558" s="112">
        <f t="shared" si="11"/>
        <v>7</v>
      </c>
      <c r="N558" s="113" t="s">
        <v>101</v>
      </c>
    </row>
    <row r="559" spans="2:14">
      <c r="B559" s="105" t="s">
        <v>904</v>
      </c>
      <c r="C559" s="106" t="s">
        <v>574</v>
      </c>
      <c r="D559" s="107" t="s">
        <v>1099</v>
      </c>
      <c r="E559" s="65" t="s">
        <v>1100</v>
      </c>
      <c r="F559" s="64" t="s">
        <v>205</v>
      </c>
      <c r="G559" s="64" t="s">
        <v>101</v>
      </c>
      <c r="H559" s="64" t="s">
        <v>8</v>
      </c>
      <c r="I559" s="70">
        <v>1</v>
      </c>
      <c r="J559" s="70">
        <v>22</v>
      </c>
      <c r="K559" s="110" t="str">
        <f>IF(H559="","",IF($C$29="간이법","",FPR(H559,I559,J559)))</f>
        <v>L</v>
      </c>
      <c r="L559" s="111">
        <f>IF(H559="","",IF($C$29="상세법",FPV(H559,K559),IF(H559="EI",4,IF(H559="EO",5.2,IF(H559="EQ",3.9,IF(H559="ILF",7.5,IF(H559="EIF",5.4)))))))</f>
        <v>7</v>
      </c>
      <c r="M559" s="112">
        <f t="shared" si="11"/>
        <v>7</v>
      </c>
      <c r="N559" s="113" t="s">
        <v>101</v>
      </c>
    </row>
    <row r="560" spans="2:14">
      <c r="B560" s="105" t="s">
        <v>904</v>
      </c>
      <c r="C560" s="106" t="s">
        <v>1101</v>
      </c>
      <c r="D560" s="107" t="s">
        <v>1102</v>
      </c>
      <c r="E560" s="65" t="s">
        <v>1103</v>
      </c>
      <c r="F560" s="64" t="s">
        <v>205</v>
      </c>
      <c r="G560" s="64" t="s">
        <v>101</v>
      </c>
      <c r="H560" s="64" t="s">
        <v>8</v>
      </c>
      <c r="I560" s="70">
        <v>1</v>
      </c>
      <c r="J560" s="70">
        <v>11</v>
      </c>
      <c r="K560" s="110" t="str">
        <f>IF(H560="","",IF($C$29="간이법","",FPR(H560,I560,J560)))</f>
        <v>L</v>
      </c>
      <c r="L560" s="111">
        <f>IF(H560="","",IF($C$29="상세법",FPV(H560,K560),IF(H560="EI",4,IF(H560="EO",5.2,IF(H560="EQ",3.9,IF(H560="ILF",7.5,IF(H560="EIF",5.4)))))))</f>
        <v>7</v>
      </c>
      <c r="M560" s="112">
        <f t="shared" si="11"/>
        <v>7</v>
      </c>
      <c r="N560" s="113" t="s">
        <v>101</v>
      </c>
    </row>
    <row r="561" spans="2:14">
      <c r="B561" s="105"/>
      <c r="C561" s="106"/>
      <c r="D561" s="107"/>
      <c r="E561" s="65"/>
      <c r="F561" s="64"/>
      <c r="G561" s="64"/>
      <c r="H561" s="64"/>
      <c r="I561" s="70"/>
      <c r="J561" s="70"/>
      <c r="K561" s="110" t="str">
        <f>IF(H561="","",IF($C$29="간이법","",FPR(H561,I561,J561)))</f>
        <v/>
      </c>
      <c r="L561" s="111" t="str">
        <f>IF(H561="","",IF($C$29="상세법",FPV(H561,K561),IF(H561="EI",4,IF(H561="EO",5.2,IF(H561="EQ",3.9,IF(H561="ILF",7.5,IF(H561="EIF",5.4)))))))</f>
        <v/>
      </c>
      <c r="M561" s="112" t="str">
        <f t="shared" si="11"/>
        <v/>
      </c>
      <c r="N561" s="113"/>
    </row>
    <row r="562" spans="2:14">
      <c r="B562" s="105"/>
      <c r="C562" s="106"/>
      <c r="D562" s="107"/>
      <c r="E562" s="65"/>
      <c r="F562" s="64"/>
      <c r="G562" s="64"/>
      <c r="H562" s="64"/>
      <c r="I562" s="70"/>
      <c r="J562" s="70"/>
      <c r="K562" s="110" t="str">
        <f>IF(H562="","",IF($C$29="간이법","",FPR(H562,I562,J562)))</f>
        <v/>
      </c>
      <c r="L562" s="111" t="str">
        <f>IF(H562="","",IF($C$29="상세법",FPV(H562,K562),IF(H562="EI",4,IF(H562="EO",5.2,IF(H562="EQ",3.9,IF(H562="ILF",7.5,IF(H562="EIF",5.4)))))))</f>
        <v/>
      </c>
      <c r="M562" s="112" t="str">
        <f t="shared" si="11"/>
        <v/>
      </c>
      <c r="N562" s="113"/>
    </row>
    <row r="563" spans="2:14">
      <c r="B563" s="105"/>
      <c r="C563" s="106"/>
      <c r="D563" s="107"/>
      <c r="E563" s="65"/>
      <c r="F563" s="64"/>
      <c r="G563" s="64"/>
      <c r="H563" s="64"/>
      <c r="I563" s="70"/>
      <c r="J563" s="70"/>
      <c r="K563" s="110" t="str">
        <f>IF(H563="","",IF($C$29="간이법","",FPR(H563,I563,J563)))</f>
        <v/>
      </c>
      <c r="L563" s="111" t="str">
        <f>IF(H563="","",IF($C$29="상세법",FPV(H563,K563),IF(H563="EI",4,IF(H563="EO",5.2,IF(H563="EQ",3.9,IF(H563="ILF",7.5,IF(H563="EIF",5.4)))))))</f>
        <v/>
      </c>
      <c r="M563" s="112" t="str">
        <f t="shared" si="11"/>
        <v/>
      </c>
      <c r="N563" s="113"/>
    </row>
    <row r="564" spans="2:14">
      <c r="B564" s="105"/>
      <c r="C564" s="106"/>
      <c r="D564" s="107"/>
      <c r="E564" s="65"/>
      <c r="F564" s="64"/>
      <c r="G564" s="64"/>
      <c r="H564" s="64"/>
      <c r="I564" s="70"/>
      <c r="J564" s="70"/>
      <c r="K564" s="110" t="str">
        <f>IF(H564="","",IF($C$29="간이법","",FPR(H564,I564,J564)))</f>
        <v/>
      </c>
      <c r="L564" s="111" t="str">
        <f>IF(H564="","",IF($C$29="상세법",FPV(H564,K564),IF(H564="EI",4,IF(H564="EO",5.2,IF(H564="EQ",3.9,IF(H564="ILF",7.5,IF(H564="EIF",5.4)))))))</f>
        <v/>
      </c>
      <c r="M564" s="112" t="str">
        <f t="shared" si="11"/>
        <v/>
      </c>
      <c r="N564" s="113"/>
    </row>
    <row r="565" spans="2:14">
      <c r="B565" s="105"/>
      <c r="C565" s="106"/>
      <c r="D565" s="107"/>
      <c r="E565" s="65"/>
      <c r="F565" s="64"/>
      <c r="G565" s="64"/>
      <c r="H565" s="64"/>
      <c r="I565" s="70"/>
      <c r="J565" s="70"/>
      <c r="K565" s="110" t="str">
        <f>IF(H565="","",IF($C$29="간이법","",FPR(H565,I565,J565)))</f>
        <v/>
      </c>
      <c r="L565" s="111" t="str">
        <f>IF(H565="","",IF($C$29="상세법",FPV(H565,K565),IF(H565="EI",4,IF(H565="EO",5.2,IF(H565="EQ",3.9,IF(H565="ILF",7.5,IF(H565="EIF",5.4)))))))</f>
        <v/>
      </c>
      <c r="M565" s="112" t="str">
        <f t="shared" si="11"/>
        <v/>
      </c>
      <c r="N565" s="113"/>
    </row>
    <row r="566" spans="2:14">
      <c r="B566" s="105"/>
      <c r="C566" s="106"/>
      <c r="D566" s="107"/>
      <c r="E566" s="65"/>
      <c r="F566" s="64"/>
      <c r="G566" s="64"/>
      <c r="H566" s="64"/>
      <c r="I566" s="70"/>
      <c r="J566" s="70"/>
      <c r="K566" s="110" t="str">
        <f>IF(H566="","",IF($C$29="간이법","",FPR(H566,I566,J566)))</f>
        <v/>
      </c>
      <c r="L566" s="111" t="str">
        <f>IF(H566="","",IF($C$29="상세법",FPV(H566,K566),IF(H566="EI",4,IF(H566="EO",5.2,IF(H566="EQ",3.9,IF(H566="ILF",7.5,IF(H566="EIF",5.4)))))))</f>
        <v/>
      </c>
      <c r="M566" s="112" t="str">
        <f t="shared" si="11"/>
        <v/>
      </c>
      <c r="N566" s="113"/>
    </row>
    <row r="567" spans="2:14">
      <c r="B567" s="105"/>
      <c r="C567" s="106"/>
      <c r="D567" s="107"/>
      <c r="E567" s="65"/>
      <c r="F567" s="64"/>
      <c r="G567" s="64"/>
      <c r="H567" s="64"/>
      <c r="I567" s="70"/>
      <c r="J567" s="70"/>
      <c r="K567" s="110" t="str">
        <f>IF(H567="","",IF($C$29="간이법","",FPR(H567,I567,J567)))</f>
        <v/>
      </c>
      <c r="L567" s="111" t="str">
        <f>IF(H567="","",IF($C$29="상세법",FPV(H567,K567),IF(H567="EI",4,IF(H567="EO",5.2,IF(H567="EQ",3.9,IF(H567="ILF",7.5,IF(H567="EIF",5.4)))))))</f>
        <v/>
      </c>
      <c r="M567" s="112" t="str">
        <f t="shared" si="11"/>
        <v/>
      </c>
      <c r="N567" s="113"/>
    </row>
    <row r="568" spans="2:14">
      <c r="B568" s="105"/>
      <c r="C568" s="106"/>
      <c r="D568" s="107"/>
      <c r="E568" s="65"/>
      <c r="F568" s="64"/>
      <c r="G568" s="64"/>
      <c r="H568" s="64"/>
      <c r="I568" s="70"/>
      <c r="J568" s="70"/>
      <c r="K568" s="110" t="str">
        <f>IF(H568="","",IF($C$29="간이법","",FPR(H568,I568,J568)))</f>
        <v/>
      </c>
      <c r="L568" s="111" t="str">
        <f>IF(H568="","",IF($C$29="상세법",FPV(H568,K568),IF(H568="EI",4,IF(H568="EO",5.2,IF(H568="EQ",3.9,IF(H568="ILF",7.5,IF(H568="EIF",5.4)))))))</f>
        <v/>
      </c>
      <c r="M568" s="112" t="str">
        <f t="shared" si="11"/>
        <v/>
      </c>
      <c r="N568" s="113"/>
    </row>
    <row r="569" spans="2:14">
      <c r="B569" s="105"/>
      <c r="C569" s="106"/>
      <c r="D569" s="107"/>
      <c r="E569" s="65"/>
      <c r="F569" s="64"/>
      <c r="G569" s="64"/>
      <c r="H569" s="64"/>
      <c r="I569" s="70"/>
      <c r="J569" s="70"/>
      <c r="K569" s="110" t="str">
        <f>IF(H569="","",IF($C$29="간이법","",FPR(H569,I569,J569)))</f>
        <v/>
      </c>
      <c r="L569" s="111" t="str">
        <f>IF(H569="","",IF($C$29="상세법",FPV(H569,K569),IF(H569="EI",4,IF(H569="EO",5.2,IF(H569="EQ",3.9,IF(H569="ILF",7.5,IF(H569="EIF",5.4)))))))</f>
        <v/>
      </c>
      <c r="M569" s="112" t="str">
        <f t="shared" ref="M569:M632" si="12">IF(L569="","",L569*IF(G569="상",0.7,IF(G569="중",0.5,IF(G569="하",0.2,1))))</f>
        <v/>
      </c>
      <c r="N569" s="113"/>
    </row>
    <row r="570" spans="2:14">
      <c r="B570" s="105"/>
      <c r="C570" s="106"/>
      <c r="D570" s="107"/>
      <c r="E570" s="65"/>
      <c r="F570" s="64"/>
      <c r="G570" s="64"/>
      <c r="H570" s="64"/>
      <c r="I570" s="70"/>
      <c r="J570" s="70"/>
      <c r="K570" s="110" t="str">
        <f>IF(H570="","",IF($C$29="간이법","",FPR(H570,I570,J570)))</f>
        <v/>
      </c>
      <c r="L570" s="111" t="str">
        <f>IF(H570="","",IF($C$29="상세법",FPV(H570,K570),IF(H570="EI",4,IF(H570="EO",5.2,IF(H570="EQ",3.9,IF(H570="ILF",7.5,IF(H570="EIF",5.4)))))))</f>
        <v/>
      </c>
      <c r="M570" s="112" t="str">
        <f t="shared" si="12"/>
        <v/>
      </c>
      <c r="N570" s="113"/>
    </row>
    <row r="571" spans="2:14">
      <c r="B571" s="105"/>
      <c r="C571" s="106"/>
      <c r="D571" s="107"/>
      <c r="E571" s="65"/>
      <c r="F571" s="64"/>
      <c r="G571" s="64"/>
      <c r="H571" s="64"/>
      <c r="I571" s="70"/>
      <c r="J571" s="70"/>
      <c r="K571" s="110" t="str">
        <f>IF(H571="","",IF($C$29="간이법","",FPR(H571,I571,J571)))</f>
        <v/>
      </c>
      <c r="L571" s="111" t="str">
        <f>IF(H571="","",IF($C$29="상세법",FPV(H571,K571),IF(H571="EI",4,IF(H571="EO",5.2,IF(H571="EQ",3.9,IF(H571="ILF",7.5,IF(H571="EIF",5.4)))))))</f>
        <v/>
      </c>
      <c r="M571" s="112" t="str">
        <f t="shared" si="12"/>
        <v/>
      </c>
      <c r="N571" s="113"/>
    </row>
    <row r="572" spans="2:14">
      <c r="B572" s="105"/>
      <c r="C572" s="106"/>
      <c r="D572" s="107"/>
      <c r="E572" s="65"/>
      <c r="F572" s="64"/>
      <c r="G572" s="64"/>
      <c r="H572" s="64"/>
      <c r="I572" s="70"/>
      <c r="J572" s="70"/>
      <c r="K572" s="110" t="str">
        <f>IF(H572="","",IF($C$29="간이법","",FPR(H572,I572,J572)))</f>
        <v/>
      </c>
      <c r="L572" s="111" t="str">
        <f>IF(H572="","",IF($C$29="상세법",FPV(H572,K572),IF(H572="EI",4,IF(H572="EO",5.2,IF(H572="EQ",3.9,IF(H572="ILF",7.5,IF(H572="EIF",5.4)))))))</f>
        <v/>
      </c>
      <c r="M572" s="112" t="str">
        <f t="shared" si="12"/>
        <v/>
      </c>
      <c r="N572" s="113"/>
    </row>
    <row r="573" spans="2:14">
      <c r="B573" s="105"/>
      <c r="C573" s="106"/>
      <c r="D573" s="107"/>
      <c r="E573" s="65"/>
      <c r="F573" s="64"/>
      <c r="G573" s="64"/>
      <c r="H573" s="64"/>
      <c r="I573" s="70"/>
      <c r="J573" s="70"/>
      <c r="K573" s="110" t="str">
        <f>IF(H573="","",IF($C$29="간이법","",FPR(H573,I573,J573)))</f>
        <v/>
      </c>
      <c r="L573" s="111" t="str">
        <f>IF(H573="","",IF($C$29="상세법",FPV(H573,K573),IF(H573="EI",4,IF(H573="EO",5.2,IF(H573="EQ",3.9,IF(H573="ILF",7.5,IF(H573="EIF",5.4)))))))</f>
        <v/>
      </c>
      <c r="M573" s="112" t="str">
        <f t="shared" si="12"/>
        <v/>
      </c>
      <c r="N573" s="113"/>
    </row>
    <row r="574" spans="2:14">
      <c r="B574" s="105"/>
      <c r="C574" s="106"/>
      <c r="D574" s="107"/>
      <c r="E574" s="65"/>
      <c r="F574" s="64"/>
      <c r="G574" s="64"/>
      <c r="H574" s="64"/>
      <c r="I574" s="70"/>
      <c r="J574" s="70"/>
      <c r="K574" s="110" t="str">
        <f>IF(H574="","",IF($C$29="간이법","",FPR(H574,I574,J574)))</f>
        <v/>
      </c>
      <c r="L574" s="111" t="str">
        <f>IF(H574="","",IF($C$29="상세법",FPV(H574,K574),IF(H574="EI",4,IF(H574="EO",5.2,IF(H574="EQ",3.9,IF(H574="ILF",7.5,IF(H574="EIF",5.4)))))))</f>
        <v/>
      </c>
      <c r="M574" s="112" t="str">
        <f t="shared" si="12"/>
        <v/>
      </c>
      <c r="N574" s="113"/>
    </row>
    <row r="575" spans="2:14">
      <c r="B575" s="105"/>
      <c r="C575" s="106"/>
      <c r="D575" s="107"/>
      <c r="E575" s="65"/>
      <c r="F575" s="64"/>
      <c r="G575" s="64"/>
      <c r="H575" s="64"/>
      <c r="I575" s="70"/>
      <c r="J575" s="70"/>
      <c r="K575" s="110" t="str">
        <f>IF(H575="","",IF($C$29="간이법","",FPR(H575,I575,J575)))</f>
        <v/>
      </c>
      <c r="L575" s="111" t="str">
        <f>IF(H575="","",IF($C$29="상세법",FPV(H575,K575),IF(H575="EI",4,IF(H575="EO",5.2,IF(H575="EQ",3.9,IF(H575="ILF",7.5,IF(H575="EIF",5.4)))))))</f>
        <v/>
      </c>
      <c r="M575" s="112" t="str">
        <f t="shared" si="12"/>
        <v/>
      </c>
      <c r="N575" s="113"/>
    </row>
    <row r="576" spans="2:14">
      <c r="B576" s="105"/>
      <c r="C576" s="106"/>
      <c r="D576" s="107"/>
      <c r="E576" s="65"/>
      <c r="F576" s="64"/>
      <c r="G576" s="64"/>
      <c r="H576" s="64"/>
      <c r="I576" s="70"/>
      <c r="J576" s="70"/>
      <c r="K576" s="110" t="str">
        <f>IF(H576="","",IF($C$29="간이법","",FPR(H576,I576,J576)))</f>
        <v/>
      </c>
      <c r="L576" s="111" t="str">
        <f>IF(H576="","",IF($C$29="상세법",FPV(H576,K576),IF(H576="EI",4,IF(H576="EO",5.2,IF(H576="EQ",3.9,IF(H576="ILF",7.5,IF(H576="EIF",5.4)))))))</f>
        <v/>
      </c>
      <c r="M576" s="112" t="str">
        <f t="shared" si="12"/>
        <v/>
      </c>
      <c r="N576" s="113"/>
    </row>
    <row r="577" spans="2:14">
      <c r="B577" s="105"/>
      <c r="C577" s="106"/>
      <c r="D577" s="107"/>
      <c r="E577" s="65"/>
      <c r="F577" s="64"/>
      <c r="G577" s="64"/>
      <c r="H577" s="64"/>
      <c r="I577" s="70"/>
      <c r="J577" s="70"/>
      <c r="K577" s="110" t="str">
        <f>IF(H577="","",IF($C$29="간이법","",FPR(H577,I577,J577)))</f>
        <v/>
      </c>
      <c r="L577" s="111" t="str">
        <f>IF(H577="","",IF($C$29="상세법",FPV(H577,K577),IF(H577="EI",4,IF(H577="EO",5.2,IF(H577="EQ",3.9,IF(H577="ILF",7.5,IF(H577="EIF",5.4)))))))</f>
        <v/>
      </c>
      <c r="M577" s="112" t="str">
        <f t="shared" si="12"/>
        <v/>
      </c>
      <c r="N577" s="113"/>
    </row>
    <row r="578" spans="2:14">
      <c r="B578" s="105"/>
      <c r="C578" s="106"/>
      <c r="D578" s="107"/>
      <c r="E578" s="65"/>
      <c r="F578" s="64"/>
      <c r="G578" s="64"/>
      <c r="H578" s="64"/>
      <c r="I578" s="70"/>
      <c r="J578" s="70"/>
      <c r="K578" s="110" t="str">
        <f>IF(H578="","",IF($C$29="간이법","",FPR(H578,I578,J578)))</f>
        <v/>
      </c>
      <c r="L578" s="111" t="str">
        <f>IF(H578="","",IF($C$29="상세법",FPV(H578,K578),IF(H578="EI",4,IF(H578="EO",5.2,IF(H578="EQ",3.9,IF(H578="ILF",7.5,IF(H578="EIF",5.4)))))))</f>
        <v/>
      </c>
      <c r="M578" s="112" t="str">
        <f t="shared" si="12"/>
        <v/>
      </c>
      <c r="N578" s="113"/>
    </row>
    <row r="579" spans="2:14">
      <c r="B579" s="105"/>
      <c r="C579" s="106"/>
      <c r="D579" s="107"/>
      <c r="E579" s="65"/>
      <c r="F579" s="64"/>
      <c r="G579" s="64"/>
      <c r="H579" s="64"/>
      <c r="I579" s="70"/>
      <c r="J579" s="70"/>
      <c r="K579" s="110" t="str">
        <f>IF(H579="","",IF($C$29="간이법","",FPR(H579,I579,J579)))</f>
        <v/>
      </c>
      <c r="L579" s="111" t="str">
        <f>IF(H579="","",IF($C$29="상세법",FPV(H579,K579),IF(H579="EI",4,IF(H579="EO",5.2,IF(H579="EQ",3.9,IF(H579="ILF",7.5,IF(H579="EIF",5.4)))))))</f>
        <v/>
      </c>
      <c r="M579" s="112" t="str">
        <f t="shared" si="12"/>
        <v/>
      </c>
      <c r="N579" s="113"/>
    </row>
    <row r="580" spans="2:14">
      <c r="B580" s="105"/>
      <c r="C580" s="106"/>
      <c r="D580" s="107"/>
      <c r="E580" s="65"/>
      <c r="F580" s="64"/>
      <c r="G580" s="64"/>
      <c r="H580" s="64"/>
      <c r="I580" s="70"/>
      <c r="J580" s="70"/>
      <c r="K580" s="110" t="str">
        <f>IF(H580="","",IF($C$29="간이법","",FPR(H580,I580,J580)))</f>
        <v/>
      </c>
      <c r="L580" s="111" t="str">
        <f>IF(H580="","",IF($C$29="상세법",FPV(H580,K580),IF(H580="EI",4,IF(H580="EO",5.2,IF(H580="EQ",3.9,IF(H580="ILF",7.5,IF(H580="EIF",5.4)))))))</f>
        <v/>
      </c>
      <c r="M580" s="112" t="str">
        <f t="shared" si="12"/>
        <v/>
      </c>
      <c r="N580" s="113"/>
    </row>
    <row r="581" spans="2:14">
      <c r="B581" s="105"/>
      <c r="C581" s="106"/>
      <c r="D581" s="107"/>
      <c r="E581" s="65"/>
      <c r="F581" s="64"/>
      <c r="G581" s="64"/>
      <c r="H581" s="64"/>
      <c r="I581" s="70"/>
      <c r="J581" s="70"/>
      <c r="K581" s="110" t="str">
        <f>IF(H581="","",IF($C$29="간이법","",FPR(H581,I581,J581)))</f>
        <v/>
      </c>
      <c r="L581" s="111" t="str">
        <f>IF(H581="","",IF($C$29="상세법",FPV(H581,K581),IF(H581="EI",4,IF(H581="EO",5.2,IF(H581="EQ",3.9,IF(H581="ILF",7.5,IF(H581="EIF",5.4)))))))</f>
        <v/>
      </c>
      <c r="M581" s="112" t="str">
        <f t="shared" si="12"/>
        <v/>
      </c>
      <c r="N581" s="113"/>
    </row>
    <row r="582" spans="2:14">
      <c r="B582" s="105"/>
      <c r="C582" s="106"/>
      <c r="D582" s="107"/>
      <c r="E582" s="65"/>
      <c r="F582" s="64"/>
      <c r="G582" s="64"/>
      <c r="H582" s="64"/>
      <c r="I582" s="70"/>
      <c r="J582" s="70"/>
      <c r="K582" s="110" t="str">
        <f>IF(H582="","",IF($C$29="간이법","",FPR(H582,I582,J582)))</f>
        <v/>
      </c>
      <c r="L582" s="111" t="str">
        <f>IF(H582="","",IF($C$29="상세법",FPV(H582,K582),IF(H582="EI",4,IF(H582="EO",5.2,IF(H582="EQ",3.9,IF(H582="ILF",7.5,IF(H582="EIF",5.4)))))))</f>
        <v/>
      </c>
      <c r="M582" s="112" t="str">
        <f t="shared" si="12"/>
        <v/>
      </c>
      <c r="N582" s="113"/>
    </row>
    <row r="583" spans="2:14">
      <c r="B583" s="105"/>
      <c r="C583" s="106"/>
      <c r="D583" s="107"/>
      <c r="E583" s="65"/>
      <c r="F583" s="64"/>
      <c r="G583" s="64"/>
      <c r="H583" s="64"/>
      <c r="I583" s="70"/>
      <c r="J583" s="70"/>
      <c r="K583" s="110" t="str">
        <f>IF(H583="","",IF($C$29="간이법","",FPR(H583,I583,J583)))</f>
        <v/>
      </c>
      <c r="L583" s="111" t="str">
        <f>IF(H583="","",IF($C$29="상세법",FPV(H583,K583),IF(H583="EI",4,IF(H583="EO",5.2,IF(H583="EQ",3.9,IF(H583="ILF",7.5,IF(H583="EIF",5.4)))))))</f>
        <v/>
      </c>
      <c r="M583" s="112" t="str">
        <f t="shared" si="12"/>
        <v/>
      </c>
      <c r="N583" s="113"/>
    </row>
    <row r="584" spans="2:14">
      <c r="B584" s="105"/>
      <c r="C584" s="106"/>
      <c r="D584" s="107"/>
      <c r="E584" s="65"/>
      <c r="F584" s="64"/>
      <c r="G584" s="64"/>
      <c r="H584" s="64"/>
      <c r="I584" s="70"/>
      <c r="J584" s="70"/>
      <c r="K584" s="110" t="str">
        <f>IF(H584="","",IF($C$29="간이법","",FPR(H584,I584,J584)))</f>
        <v/>
      </c>
      <c r="L584" s="111" t="str">
        <f>IF(H584="","",IF($C$29="상세법",FPV(H584,K584),IF(H584="EI",4,IF(H584="EO",5.2,IF(H584="EQ",3.9,IF(H584="ILF",7.5,IF(H584="EIF",5.4)))))))</f>
        <v/>
      </c>
      <c r="M584" s="112" t="str">
        <f t="shared" si="12"/>
        <v/>
      </c>
      <c r="N584" s="113"/>
    </row>
    <row r="585" spans="2:14">
      <c r="B585" s="105"/>
      <c r="C585" s="106"/>
      <c r="D585" s="107"/>
      <c r="E585" s="65"/>
      <c r="F585" s="64"/>
      <c r="G585" s="64"/>
      <c r="H585" s="64"/>
      <c r="I585" s="70"/>
      <c r="J585" s="70"/>
      <c r="K585" s="110" t="str">
        <f>IF(H585="","",IF($C$29="간이법","",FPR(H585,I585,J585)))</f>
        <v/>
      </c>
      <c r="L585" s="111" t="str">
        <f>IF(H585="","",IF($C$29="상세법",FPV(H585,K585),IF(H585="EI",4,IF(H585="EO",5.2,IF(H585="EQ",3.9,IF(H585="ILF",7.5,IF(H585="EIF",5.4)))))))</f>
        <v/>
      </c>
      <c r="M585" s="112" t="str">
        <f t="shared" si="12"/>
        <v/>
      </c>
      <c r="N585" s="113"/>
    </row>
    <row r="586" spans="2:14">
      <c r="B586" s="105"/>
      <c r="C586" s="106"/>
      <c r="D586" s="107"/>
      <c r="E586" s="65"/>
      <c r="F586" s="64"/>
      <c r="G586" s="64"/>
      <c r="H586" s="64"/>
      <c r="I586" s="70"/>
      <c r="J586" s="70"/>
      <c r="K586" s="110" t="str">
        <f>IF(H586="","",IF($C$29="간이법","",FPR(H586,I586,J586)))</f>
        <v/>
      </c>
      <c r="L586" s="111" t="str">
        <f>IF(H586="","",IF($C$29="상세법",FPV(H586,K586),IF(H586="EI",4,IF(H586="EO",5.2,IF(H586="EQ",3.9,IF(H586="ILF",7.5,IF(H586="EIF",5.4)))))))</f>
        <v/>
      </c>
      <c r="M586" s="112" t="str">
        <f t="shared" si="12"/>
        <v/>
      </c>
      <c r="N586" s="113"/>
    </row>
    <row r="587" spans="2:14">
      <c r="B587" s="105"/>
      <c r="C587" s="106"/>
      <c r="D587" s="107"/>
      <c r="E587" s="65"/>
      <c r="F587" s="64"/>
      <c r="G587" s="64"/>
      <c r="H587" s="64"/>
      <c r="I587" s="70"/>
      <c r="J587" s="70"/>
      <c r="K587" s="110" t="str">
        <f>IF(H587="","",IF($C$29="간이법","",FPR(H587,I587,J587)))</f>
        <v/>
      </c>
      <c r="L587" s="111" t="str">
        <f>IF(H587="","",IF($C$29="상세법",FPV(H587,K587),IF(H587="EI",4,IF(H587="EO",5.2,IF(H587="EQ",3.9,IF(H587="ILF",7.5,IF(H587="EIF",5.4)))))))</f>
        <v/>
      </c>
      <c r="M587" s="112" t="str">
        <f t="shared" si="12"/>
        <v/>
      </c>
      <c r="N587" s="113"/>
    </row>
    <row r="588" spans="2:14">
      <c r="B588" s="105"/>
      <c r="C588" s="106"/>
      <c r="D588" s="107"/>
      <c r="E588" s="65"/>
      <c r="F588" s="64"/>
      <c r="G588" s="64"/>
      <c r="H588" s="64"/>
      <c r="I588" s="70"/>
      <c r="J588" s="70"/>
      <c r="K588" s="110" t="str">
        <f>IF(H588="","",IF($C$29="간이법","",FPR(H588,I588,J588)))</f>
        <v/>
      </c>
      <c r="L588" s="111" t="str">
        <f>IF(H588="","",IF($C$29="상세법",FPV(H588,K588),IF(H588="EI",4,IF(H588="EO",5.2,IF(H588="EQ",3.9,IF(H588="ILF",7.5,IF(H588="EIF",5.4)))))))</f>
        <v/>
      </c>
      <c r="M588" s="112" t="str">
        <f t="shared" si="12"/>
        <v/>
      </c>
      <c r="N588" s="113"/>
    </row>
    <row r="589" spans="2:14">
      <c r="B589" s="105"/>
      <c r="C589" s="106"/>
      <c r="D589" s="107"/>
      <c r="E589" s="65"/>
      <c r="F589" s="64"/>
      <c r="G589" s="64"/>
      <c r="H589" s="64"/>
      <c r="I589" s="70"/>
      <c r="J589" s="70"/>
      <c r="K589" s="110" t="str">
        <f>IF(H589="","",IF($C$29="간이법","",FPR(H589,I589,J589)))</f>
        <v/>
      </c>
      <c r="L589" s="111" t="str">
        <f>IF(H589="","",IF($C$29="상세법",FPV(H589,K589),IF(H589="EI",4,IF(H589="EO",5.2,IF(H589="EQ",3.9,IF(H589="ILF",7.5,IF(H589="EIF",5.4)))))))</f>
        <v/>
      </c>
      <c r="M589" s="112" t="str">
        <f t="shared" si="12"/>
        <v/>
      </c>
      <c r="N589" s="113"/>
    </row>
    <row r="590" spans="2:14">
      <c r="B590" s="105"/>
      <c r="C590" s="106"/>
      <c r="D590" s="107"/>
      <c r="E590" s="65"/>
      <c r="F590" s="64"/>
      <c r="G590" s="64"/>
      <c r="H590" s="64"/>
      <c r="I590" s="70"/>
      <c r="J590" s="70"/>
      <c r="K590" s="110" t="str">
        <f>IF(H590="","",IF($C$29="간이법","",FPR(H590,I590,J590)))</f>
        <v/>
      </c>
      <c r="L590" s="111" t="str">
        <f>IF(H590="","",IF($C$29="상세법",FPV(H590,K590),IF(H590="EI",4,IF(H590="EO",5.2,IF(H590="EQ",3.9,IF(H590="ILF",7.5,IF(H590="EIF",5.4)))))))</f>
        <v/>
      </c>
      <c r="M590" s="112" t="str">
        <f t="shared" si="12"/>
        <v/>
      </c>
      <c r="N590" s="113"/>
    </row>
    <row r="591" spans="2:14">
      <c r="B591" s="105"/>
      <c r="C591" s="106"/>
      <c r="D591" s="107"/>
      <c r="E591" s="65"/>
      <c r="F591" s="64"/>
      <c r="G591" s="64"/>
      <c r="H591" s="64"/>
      <c r="I591" s="70"/>
      <c r="J591" s="70"/>
      <c r="K591" s="110" t="str">
        <f>IF(H591="","",IF($C$29="간이법","",FPR(H591,I591,J591)))</f>
        <v/>
      </c>
      <c r="L591" s="111" t="str">
        <f>IF(H591="","",IF($C$29="상세법",FPV(H591,K591),IF(H591="EI",4,IF(H591="EO",5.2,IF(H591="EQ",3.9,IF(H591="ILF",7.5,IF(H591="EIF",5.4)))))))</f>
        <v/>
      </c>
      <c r="M591" s="112" t="str">
        <f t="shared" si="12"/>
        <v/>
      </c>
      <c r="N591" s="113"/>
    </row>
    <row r="592" spans="2:14">
      <c r="B592" s="105"/>
      <c r="C592" s="106"/>
      <c r="D592" s="107"/>
      <c r="E592" s="65"/>
      <c r="F592" s="64"/>
      <c r="G592" s="64"/>
      <c r="H592" s="64"/>
      <c r="I592" s="70"/>
      <c r="J592" s="70"/>
      <c r="K592" s="110" t="str">
        <f>IF(H592="","",IF($C$29="간이법","",FPR(H592,I592,J592)))</f>
        <v/>
      </c>
      <c r="L592" s="111" t="str">
        <f>IF(H592="","",IF($C$29="상세법",FPV(H592,K592),IF(H592="EI",4,IF(H592="EO",5.2,IF(H592="EQ",3.9,IF(H592="ILF",7.5,IF(H592="EIF",5.4)))))))</f>
        <v/>
      </c>
      <c r="M592" s="112" t="str">
        <f t="shared" si="12"/>
        <v/>
      </c>
      <c r="N592" s="113"/>
    </row>
    <row r="593" spans="2:14">
      <c r="B593" s="105"/>
      <c r="C593" s="106"/>
      <c r="D593" s="107"/>
      <c r="E593" s="65"/>
      <c r="F593" s="64"/>
      <c r="G593" s="64"/>
      <c r="H593" s="64"/>
      <c r="I593" s="70"/>
      <c r="J593" s="70"/>
      <c r="K593" s="110" t="str">
        <f>IF(H593="","",IF($C$29="간이법","",FPR(H593,I593,J593)))</f>
        <v/>
      </c>
      <c r="L593" s="111" t="str">
        <f>IF(H593="","",IF($C$29="상세법",FPV(H593,K593),IF(H593="EI",4,IF(H593="EO",5.2,IF(H593="EQ",3.9,IF(H593="ILF",7.5,IF(H593="EIF",5.4)))))))</f>
        <v/>
      </c>
      <c r="M593" s="112" t="str">
        <f t="shared" si="12"/>
        <v/>
      </c>
      <c r="N593" s="113"/>
    </row>
    <row r="594" spans="2:14">
      <c r="B594" s="105"/>
      <c r="C594" s="106"/>
      <c r="D594" s="107"/>
      <c r="E594" s="65"/>
      <c r="F594" s="64"/>
      <c r="G594" s="64"/>
      <c r="H594" s="64"/>
      <c r="I594" s="70"/>
      <c r="J594" s="70"/>
      <c r="K594" s="110" t="str">
        <f>IF(H594="","",IF($C$29="간이법","",FPR(H594,I594,J594)))</f>
        <v/>
      </c>
      <c r="L594" s="111" t="str">
        <f>IF(H594="","",IF($C$29="상세법",FPV(H594,K594),IF(H594="EI",4,IF(H594="EO",5.2,IF(H594="EQ",3.9,IF(H594="ILF",7.5,IF(H594="EIF",5.4)))))))</f>
        <v/>
      </c>
      <c r="M594" s="112" t="str">
        <f t="shared" si="12"/>
        <v/>
      </c>
      <c r="N594" s="113"/>
    </row>
    <row r="595" spans="2:14">
      <c r="B595" s="105"/>
      <c r="C595" s="106"/>
      <c r="D595" s="107"/>
      <c r="E595" s="65"/>
      <c r="F595" s="64"/>
      <c r="G595" s="64"/>
      <c r="H595" s="64"/>
      <c r="I595" s="70"/>
      <c r="J595" s="70"/>
      <c r="K595" s="110" t="str">
        <f>IF(H595="","",IF($C$29="간이법","",FPR(H595,I595,J595)))</f>
        <v/>
      </c>
      <c r="L595" s="111" t="str">
        <f>IF(H595="","",IF($C$29="상세법",FPV(H595,K595),IF(H595="EI",4,IF(H595="EO",5.2,IF(H595="EQ",3.9,IF(H595="ILF",7.5,IF(H595="EIF",5.4)))))))</f>
        <v/>
      </c>
      <c r="M595" s="112" t="str">
        <f t="shared" si="12"/>
        <v/>
      </c>
      <c r="N595" s="113"/>
    </row>
    <row r="596" spans="2:14">
      <c r="B596" s="105"/>
      <c r="C596" s="106"/>
      <c r="D596" s="107"/>
      <c r="E596" s="65"/>
      <c r="F596" s="64"/>
      <c r="G596" s="64"/>
      <c r="H596" s="64"/>
      <c r="I596" s="70"/>
      <c r="J596" s="70"/>
      <c r="K596" s="110" t="str">
        <f>IF(H596="","",IF($C$29="간이법","",FPR(H596,I596,J596)))</f>
        <v/>
      </c>
      <c r="L596" s="111" t="str">
        <f>IF(H596="","",IF($C$29="상세법",FPV(H596,K596),IF(H596="EI",4,IF(H596="EO",5.2,IF(H596="EQ",3.9,IF(H596="ILF",7.5,IF(H596="EIF",5.4)))))))</f>
        <v/>
      </c>
      <c r="M596" s="112" t="str">
        <f t="shared" si="12"/>
        <v/>
      </c>
      <c r="N596" s="113"/>
    </row>
    <row r="597" spans="2:14">
      <c r="B597" s="105"/>
      <c r="C597" s="106"/>
      <c r="D597" s="107"/>
      <c r="E597" s="65"/>
      <c r="F597" s="64"/>
      <c r="G597" s="64"/>
      <c r="H597" s="64"/>
      <c r="I597" s="70"/>
      <c r="J597" s="70"/>
      <c r="K597" s="110" t="str">
        <f>IF(H597="","",IF($C$29="간이법","",FPR(H597,I597,J597)))</f>
        <v/>
      </c>
      <c r="L597" s="111" t="str">
        <f>IF(H597="","",IF($C$29="상세법",FPV(H597,K597),IF(H597="EI",4,IF(H597="EO",5.2,IF(H597="EQ",3.9,IF(H597="ILF",7.5,IF(H597="EIF",5.4)))))))</f>
        <v/>
      </c>
      <c r="M597" s="112" t="str">
        <f t="shared" si="12"/>
        <v/>
      </c>
      <c r="N597" s="113"/>
    </row>
    <row r="598" spans="2:14">
      <c r="B598" s="105"/>
      <c r="C598" s="106"/>
      <c r="D598" s="107"/>
      <c r="E598" s="65"/>
      <c r="F598" s="64"/>
      <c r="G598" s="64"/>
      <c r="H598" s="64"/>
      <c r="I598" s="70"/>
      <c r="J598" s="70"/>
      <c r="K598" s="110" t="str">
        <f>IF(H598="","",IF($C$29="간이법","",FPR(H598,I598,J598)))</f>
        <v/>
      </c>
      <c r="L598" s="111" t="str">
        <f>IF(H598="","",IF($C$29="상세법",FPV(H598,K598),IF(H598="EI",4,IF(H598="EO",5.2,IF(H598="EQ",3.9,IF(H598="ILF",7.5,IF(H598="EIF",5.4)))))))</f>
        <v/>
      </c>
      <c r="M598" s="112" t="str">
        <f t="shared" si="12"/>
        <v/>
      </c>
      <c r="N598" s="113"/>
    </row>
    <row r="599" spans="2:14">
      <c r="B599" s="105"/>
      <c r="C599" s="106"/>
      <c r="D599" s="107"/>
      <c r="E599" s="65"/>
      <c r="F599" s="64"/>
      <c r="G599" s="64"/>
      <c r="H599" s="64"/>
      <c r="I599" s="70"/>
      <c r="J599" s="70"/>
      <c r="K599" s="110" t="str">
        <f>IF(H599="","",IF($C$29="간이법","",FPR(H599,I599,J599)))</f>
        <v/>
      </c>
      <c r="L599" s="111" t="str">
        <f>IF(H599="","",IF($C$29="상세법",FPV(H599,K599),IF(H599="EI",4,IF(H599="EO",5.2,IF(H599="EQ",3.9,IF(H599="ILF",7.5,IF(H599="EIF",5.4)))))))</f>
        <v/>
      </c>
      <c r="M599" s="112" t="str">
        <f t="shared" si="12"/>
        <v/>
      </c>
      <c r="N599" s="113"/>
    </row>
    <row r="600" spans="2:14">
      <c r="B600" s="105"/>
      <c r="C600" s="106"/>
      <c r="D600" s="107"/>
      <c r="E600" s="65"/>
      <c r="F600" s="64"/>
      <c r="G600" s="64"/>
      <c r="H600" s="64"/>
      <c r="I600" s="70"/>
      <c r="J600" s="70"/>
      <c r="K600" s="110" t="str">
        <f>IF(H600="","",IF($C$29="간이법","",FPR(H600,I600,J600)))</f>
        <v/>
      </c>
      <c r="L600" s="111" t="str">
        <f>IF(H600="","",IF($C$29="상세법",FPV(H600,K600),IF(H600="EI",4,IF(H600="EO",5.2,IF(H600="EQ",3.9,IF(H600="ILF",7.5,IF(H600="EIF",5.4)))))))</f>
        <v/>
      </c>
      <c r="M600" s="112" t="str">
        <f t="shared" si="12"/>
        <v/>
      </c>
      <c r="N600" s="113"/>
    </row>
    <row r="601" spans="2:14">
      <c r="B601" s="105"/>
      <c r="C601" s="106"/>
      <c r="D601" s="107"/>
      <c r="E601" s="65"/>
      <c r="F601" s="64"/>
      <c r="G601" s="64"/>
      <c r="H601" s="64"/>
      <c r="I601" s="70"/>
      <c r="J601" s="70"/>
      <c r="K601" s="110" t="str">
        <f>IF(H601="","",IF($C$29="간이법","",FPR(H601,I601,J601)))</f>
        <v/>
      </c>
      <c r="L601" s="111" t="str">
        <f>IF(H601="","",IF($C$29="상세법",FPV(H601,K601),IF(H601="EI",4,IF(H601="EO",5.2,IF(H601="EQ",3.9,IF(H601="ILF",7.5,IF(H601="EIF",5.4)))))))</f>
        <v/>
      </c>
      <c r="M601" s="112" t="str">
        <f t="shared" si="12"/>
        <v/>
      </c>
      <c r="N601" s="113"/>
    </row>
    <row r="602" spans="2:14">
      <c r="B602" s="105"/>
      <c r="C602" s="106"/>
      <c r="D602" s="107"/>
      <c r="E602" s="65"/>
      <c r="F602" s="64"/>
      <c r="G602" s="64"/>
      <c r="H602" s="64"/>
      <c r="I602" s="70"/>
      <c r="J602" s="70"/>
      <c r="K602" s="110" t="str">
        <f>IF(H602="","",IF($C$29="간이법","",FPR(H602,I602,J602)))</f>
        <v/>
      </c>
      <c r="L602" s="111" t="str">
        <f>IF(H602="","",IF($C$29="상세법",FPV(H602,K602),IF(H602="EI",4,IF(H602="EO",5.2,IF(H602="EQ",3.9,IF(H602="ILF",7.5,IF(H602="EIF",5.4)))))))</f>
        <v/>
      </c>
      <c r="M602" s="112" t="str">
        <f t="shared" si="12"/>
        <v/>
      </c>
      <c r="N602" s="113"/>
    </row>
    <row r="603" spans="2:14">
      <c r="B603" s="105"/>
      <c r="C603" s="106"/>
      <c r="D603" s="107"/>
      <c r="E603" s="65"/>
      <c r="F603" s="64"/>
      <c r="G603" s="64"/>
      <c r="H603" s="64"/>
      <c r="I603" s="70"/>
      <c r="J603" s="70"/>
      <c r="K603" s="110" t="str">
        <f>IF(H603="","",IF($C$29="간이법","",FPR(H603,I603,J603)))</f>
        <v/>
      </c>
      <c r="L603" s="111" t="str">
        <f>IF(H603="","",IF($C$29="상세법",FPV(H603,K603),IF(H603="EI",4,IF(H603="EO",5.2,IF(H603="EQ",3.9,IF(H603="ILF",7.5,IF(H603="EIF",5.4)))))))</f>
        <v/>
      </c>
      <c r="M603" s="112" t="str">
        <f t="shared" si="12"/>
        <v/>
      </c>
      <c r="N603" s="113"/>
    </row>
    <row r="604" spans="2:14">
      <c r="B604" s="105"/>
      <c r="C604" s="106"/>
      <c r="D604" s="107"/>
      <c r="E604" s="65"/>
      <c r="F604" s="64"/>
      <c r="G604" s="64"/>
      <c r="H604" s="64"/>
      <c r="I604" s="70"/>
      <c r="J604" s="70"/>
      <c r="K604" s="110" t="str">
        <f>IF(H604="","",IF($C$29="간이법","",FPR(H604,I604,J604)))</f>
        <v/>
      </c>
      <c r="L604" s="111" t="str">
        <f>IF(H604="","",IF($C$29="상세법",FPV(H604,K604),IF(H604="EI",4,IF(H604="EO",5.2,IF(H604="EQ",3.9,IF(H604="ILF",7.5,IF(H604="EIF",5.4)))))))</f>
        <v/>
      </c>
      <c r="M604" s="112" t="str">
        <f t="shared" si="12"/>
        <v/>
      </c>
      <c r="N604" s="113"/>
    </row>
    <row r="605" spans="2:14">
      <c r="B605" s="105"/>
      <c r="C605" s="106"/>
      <c r="D605" s="107"/>
      <c r="E605" s="65"/>
      <c r="F605" s="64"/>
      <c r="G605" s="64"/>
      <c r="H605" s="64"/>
      <c r="I605" s="70"/>
      <c r="J605" s="70"/>
      <c r="K605" s="110" t="str">
        <f>IF(H605="","",IF($C$29="간이법","",FPR(H605,I605,J605)))</f>
        <v/>
      </c>
      <c r="L605" s="111" t="str">
        <f>IF(H605="","",IF($C$29="상세법",FPV(H605,K605),IF(H605="EI",4,IF(H605="EO",5.2,IF(H605="EQ",3.9,IF(H605="ILF",7.5,IF(H605="EIF",5.4)))))))</f>
        <v/>
      </c>
      <c r="M605" s="112" t="str">
        <f t="shared" si="12"/>
        <v/>
      </c>
      <c r="N605" s="113"/>
    </row>
    <row r="606" spans="2:14">
      <c r="B606" s="105"/>
      <c r="C606" s="106"/>
      <c r="D606" s="107"/>
      <c r="E606" s="65"/>
      <c r="F606" s="64"/>
      <c r="G606" s="64"/>
      <c r="H606" s="64"/>
      <c r="I606" s="70"/>
      <c r="J606" s="70"/>
      <c r="K606" s="110" t="str">
        <f>IF(H606="","",IF($C$29="간이법","",FPR(H606,I606,J606)))</f>
        <v/>
      </c>
      <c r="L606" s="111" t="str">
        <f>IF(H606="","",IF($C$29="상세법",FPV(H606,K606),IF(H606="EI",4,IF(H606="EO",5.2,IF(H606="EQ",3.9,IF(H606="ILF",7.5,IF(H606="EIF",5.4)))))))</f>
        <v/>
      </c>
      <c r="M606" s="112" t="str">
        <f t="shared" si="12"/>
        <v/>
      </c>
      <c r="N606" s="113"/>
    </row>
    <row r="607" spans="2:14">
      <c r="B607" s="105"/>
      <c r="C607" s="106"/>
      <c r="D607" s="107"/>
      <c r="E607" s="65"/>
      <c r="F607" s="64"/>
      <c r="G607" s="64"/>
      <c r="H607" s="64"/>
      <c r="I607" s="70"/>
      <c r="J607" s="70"/>
      <c r="K607" s="110" t="str">
        <f>IF(H607="","",IF($C$29="간이법","",FPR(H607,I607,J607)))</f>
        <v/>
      </c>
      <c r="L607" s="111" t="str">
        <f>IF(H607="","",IF($C$29="상세법",FPV(H607,K607),IF(H607="EI",4,IF(H607="EO",5.2,IF(H607="EQ",3.9,IF(H607="ILF",7.5,IF(H607="EIF",5.4)))))))</f>
        <v/>
      </c>
      <c r="M607" s="112" t="str">
        <f t="shared" si="12"/>
        <v/>
      </c>
      <c r="N607" s="113"/>
    </row>
    <row r="608" spans="2:14">
      <c r="B608" s="105"/>
      <c r="C608" s="106"/>
      <c r="D608" s="107"/>
      <c r="E608" s="65"/>
      <c r="F608" s="64"/>
      <c r="G608" s="64"/>
      <c r="H608" s="64"/>
      <c r="I608" s="70"/>
      <c r="J608" s="70"/>
      <c r="K608" s="110" t="str">
        <f>IF(H608="","",IF($C$29="간이법","",FPR(H608,I608,J608)))</f>
        <v/>
      </c>
      <c r="L608" s="111" t="str">
        <f>IF(H608="","",IF($C$29="상세법",FPV(H608,K608),IF(H608="EI",4,IF(H608="EO",5.2,IF(H608="EQ",3.9,IF(H608="ILF",7.5,IF(H608="EIF",5.4)))))))</f>
        <v/>
      </c>
      <c r="M608" s="112" t="str">
        <f t="shared" si="12"/>
        <v/>
      </c>
      <c r="N608" s="113"/>
    </row>
    <row r="609" spans="2:14">
      <c r="B609" s="105"/>
      <c r="C609" s="106"/>
      <c r="D609" s="107"/>
      <c r="E609" s="65"/>
      <c r="F609" s="64"/>
      <c r="G609" s="64"/>
      <c r="H609" s="64"/>
      <c r="I609" s="70"/>
      <c r="J609" s="70"/>
      <c r="K609" s="110" t="str">
        <f>IF(H609="","",IF($C$29="간이법","",FPR(H609,I609,J609)))</f>
        <v/>
      </c>
      <c r="L609" s="111" t="str">
        <f>IF(H609="","",IF($C$29="상세법",FPV(H609,K609),IF(H609="EI",4,IF(H609="EO",5.2,IF(H609="EQ",3.9,IF(H609="ILF",7.5,IF(H609="EIF",5.4)))))))</f>
        <v/>
      </c>
      <c r="M609" s="112" t="str">
        <f t="shared" si="12"/>
        <v/>
      </c>
      <c r="N609" s="113"/>
    </row>
    <row r="610" spans="2:14">
      <c r="B610" s="105"/>
      <c r="C610" s="106"/>
      <c r="D610" s="107"/>
      <c r="E610" s="65"/>
      <c r="F610" s="64"/>
      <c r="G610" s="64"/>
      <c r="H610" s="64"/>
      <c r="I610" s="70"/>
      <c r="J610" s="70"/>
      <c r="K610" s="110" t="str">
        <f>IF(H610="","",IF($C$29="간이법","",FPR(H610,I610,J610)))</f>
        <v/>
      </c>
      <c r="L610" s="111" t="str">
        <f>IF(H610="","",IF($C$29="상세법",FPV(H610,K610),IF(H610="EI",4,IF(H610="EO",5.2,IF(H610="EQ",3.9,IF(H610="ILF",7.5,IF(H610="EIF",5.4)))))))</f>
        <v/>
      </c>
      <c r="M610" s="112" t="str">
        <f t="shared" si="12"/>
        <v/>
      </c>
      <c r="N610" s="113"/>
    </row>
    <row r="611" spans="2:14">
      <c r="B611" s="105"/>
      <c r="C611" s="106"/>
      <c r="D611" s="107"/>
      <c r="E611" s="65"/>
      <c r="F611" s="64"/>
      <c r="G611" s="64"/>
      <c r="H611" s="64"/>
      <c r="I611" s="70"/>
      <c r="J611" s="70"/>
      <c r="K611" s="110" t="str">
        <f>IF(H611="","",IF($C$29="간이법","",FPR(H611,I611,J611)))</f>
        <v/>
      </c>
      <c r="L611" s="111" t="str">
        <f>IF(H611="","",IF($C$29="상세법",FPV(H611,K611),IF(H611="EI",4,IF(H611="EO",5.2,IF(H611="EQ",3.9,IF(H611="ILF",7.5,IF(H611="EIF",5.4)))))))</f>
        <v/>
      </c>
      <c r="M611" s="112" t="str">
        <f t="shared" si="12"/>
        <v/>
      </c>
      <c r="N611" s="113"/>
    </row>
    <row r="612" spans="2:14">
      <c r="B612" s="105"/>
      <c r="C612" s="106"/>
      <c r="D612" s="107"/>
      <c r="E612" s="65"/>
      <c r="F612" s="64"/>
      <c r="G612" s="64"/>
      <c r="H612" s="64"/>
      <c r="I612" s="70"/>
      <c r="J612" s="70"/>
      <c r="K612" s="110" t="str">
        <f>IF(H612="","",IF($C$29="간이법","",FPR(H612,I612,J612)))</f>
        <v/>
      </c>
      <c r="L612" s="111" t="str">
        <f>IF(H612="","",IF($C$29="상세법",FPV(H612,K612),IF(H612="EI",4,IF(H612="EO",5.2,IF(H612="EQ",3.9,IF(H612="ILF",7.5,IF(H612="EIF",5.4)))))))</f>
        <v/>
      </c>
      <c r="M612" s="112" t="str">
        <f t="shared" si="12"/>
        <v/>
      </c>
      <c r="N612" s="113"/>
    </row>
    <row r="613" spans="2:14">
      <c r="B613" s="105"/>
      <c r="C613" s="106"/>
      <c r="D613" s="107"/>
      <c r="E613" s="65"/>
      <c r="F613" s="64"/>
      <c r="G613" s="64"/>
      <c r="H613" s="64"/>
      <c r="I613" s="70"/>
      <c r="J613" s="70"/>
      <c r="K613" s="110" t="str">
        <f>IF(H613="","",IF($C$29="간이법","",FPR(H613,I613,J613)))</f>
        <v/>
      </c>
      <c r="L613" s="111" t="str">
        <f>IF(H613="","",IF($C$29="상세법",FPV(H613,K613),IF(H613="EI",4,IF(H613="EO",5.2,IF(H613="EQ",3.9,IF(H613="ILF",7.5,IF(H613="EIF",5.4)))))))</f>
        <v/>
      </c>
      <c r="M613" s="112" t="str">
        <f t="shared" si="12"/>
        <v/>
      </c>
      <c r="N613" s="113"/>
    </row>
    <row r="614" spans="2:14">
      <c r="B614" s="105"/>
      <c r="C614" s="106"/>
      <c r="D614" s="107"/>
      <c r="E614" s="65"/>
      <c r="F614" s="64"/>
      <c r="G614" s="64"/>
      <c r="H614" s="64"/>
      <c r="I614" s="70"/>
      <c r="J614" s="70"/>
      <c r="K614" s="110" t="str">
        <f>IF(H614="","",IF($C$29="간이법","",FPR(H614,I614,J614)))</f>
        <v/>
      </c>
      <c r="L614" s="111" t="str">
        <f>IF(H614="","",IF($C$29="상세법",FPV(H614,K614),IF(H614="EI",4,IF(H614="EO",5.2,IF(H614="EQ",3.9,IF(H614="ILF",7.5,IF(H614="EIF",5.4)))))))</f>
        <v/>
      </c>
      <c r="M614" s="112" t="str">
        <f t="shared" si="12"/>
        <v/>
      </c>
      <c r="N614" s="113"/>
    </row>
    <row r="615" spans="2:14">
      <c r="B615" s="105"/>
      <c r="C615" s="106"/>
      <c r="D615" s="107"/>
      <c r="E615" s="65"/>
      <c r="F615" s="64"/>
      <c r="G615" s="64"/>
      <c r="H615" s="64"/>
      <c r="I615" s="70"/>
      <c r="J615" s="70"/>
      <c r="K615" s="110" t="str">
        <f>IF(H615="","",IF($C$29="간이법","",FPR(H615,I615,J615)))</f>
        <v/>
      </c>
      <c r="L615" s="111" t="str">
        <f>IF(H615="","",IF($C$29="상세법",FPV(H615,K615),IF(H615="EI",4,IF(H615="EO",5.2,IF(H615="EQ",3.9,IF(H615="ILF",7.5,IF(H615="EIF",5.4)))))))</f>
        <v/>
      </c>
      <c r="M615" s="112" t="str">
        <f t="shared" si="12"/>
        <v/>
      </c>
      <c r="N615" s="113"/>
    </row>
    <row r="616" spans="2:14">
      <c r="B616" s="105"/>
      <c r="C616" s="106"/>
      <c r="D616" s="107"/>
      <c r="E616" s="65"/>
      <c r="F616" s="64"/>
      <c r="G616" s="64"/>
      <c r="H616" s="64"/>
      <c r="I616" s="70"/>
      <c r="J616" s="70"/>
      <c r="K616" s="110" t="str">
        <f>IF(H616="","",IF($C$29="간이법","",FPR(H616,I616,J616)))</f>
        <v/>
      </c>
      <c r="L616" s="111" t="str">
        <f>IF(H616="","",IF($C$29="상세법",FPV(H616,K616),IF(H616="EI",4,IF(H616="EO",5.2,IF(H616="EQ",3.9,IF(H616="ILF",7.5,IF(H616="EIF",5.4)))))))</f>
        <v/>
      </c>
      <c r="M616" s="112" t="str">
        <f t="shared" si="12"/>
        <v/>
      </c>
      <c r="N616" s="113"/>
    </row>
    <row r="617" spans="2:14">
      <c r="B617" s="105"/>
      <c r="C617" s="106"/>
      <c r="D617" s="107"/>
      <c r="E617" s="65"/>
      <c r="F617" s="64"/>
      <c r="G617" s="64"/>
      <c r="H617" s="64"/>
      <c r="I617" s="70"/>
      <c r="J617" s="70"/>
      <c r="K617" s="110" t="str">
        <f>IF(H617="","",IF($C$29="간이법","",FPR(H617,I617,J617)))</f>
        <v/>
      </c>
      <c r="L617" s="111" t="str">
        <f>IF(H617="","",IF($C$29="상세법",FPV(H617,K617),IF(H617="EI",4,IF(H617="EO",5.2,IF(H617="EQ",3.9,IF(H617="ILF",7.5,IF(H617="EIF",5.4)))))))</f>
        <v/>
      </c>
      <c r="M617" s="112" t="str">
        <f t="shared" si="12"/>
        <v/>
      </c>
      <c r="N617" s="113"/>
    </row>
    <row r="618" spans="2:14">
      <c r="B618" s="105"/>
      <c r="C618" s="106"/>
      <c r="D618" s="107"/>
      <c r="E618" s="65"/>
      <c r="F618" s="64"/>
      <c r="G618" s="64"/>
      <c r="H618" s="64"/>
      <c r="I618" s="70"/>
      <c r="J618" s="70"/>
      <c r="K618" s="110" t="str">
        <f>IF(H618="","",IF($C$29="간이법","",FPR(H618,I618,J618)))</f>
        <v/>
      </c>
      <c r="L618" s="111" t="str">
        <f>IF(H618="","",IF($C$29="상세법",FPV(H618,K618),IF(H618="EI",4,IF(H618="EO",5.2,IF(H618="EQ",3.9,IF(H618="ILF",7.5,IF(H618="EIF",5.4)))))))</f>
        <v/>
      </c>
      <c r="M618" s="112" t="str">
        <f t="shared" si="12"/>
        <v/>
      </c>
      <c r="N618" s="113"/>
    </row>
    <row r="619" spans="2:14">
      <c r="B619" s="105"/>
      <c r="C619" s="106"/>
      <c r="D619" s="107"/>
      <c r="E619" s="65"/>
      <c r="F619" s="64"/>
      <c r="G619" s="64"/>
      <c r="H619" s="64"/>
      <c r="I619" s="70"/>
      <c r="J619" s="70"/>
      <c r="K619" s="110" t="str">
        <f>IF(H619="","",IF($C$29="간이법","",FPR(H619,I619,J619)))</f>
        <v/>
      </c>
      <c r="L619" s="111" t="str">
        <f>IF(H619="","",IF($C$29="상세법",FPV(H619,K619),IF(H619="EI",4,IF(H619="EO",5.2,IF(H619="EQ",3.9,IF(H619="ILF",7.5,IF(H619="EIF",5.4)))))))</f>
        <v/>
      </c>
      <c r="M619" s="112" t="str">
        <f t="shared" si="12"/>
        <v/>
      </c>
      <c r="N619" s="113"/>
    </row>
    <row r="620" spans="2:14">
      <c r="B620" s="105"/>
      <c r="C620" s="106"/>
      <c r="D620" s="107"/>
      <c r="E620" s="65"/>
      <c r="F620" s="64"/>
      <c r="G620" s="64"/>
      <c r="H620" s="64"/>
      <c r="I620" s="70"/>
      <c r="J620" s="70"/>
      <c r="K620" s="110" t="str">
        <f>IF(H620="","",IF($C$29="간이법","",FPR(H620,I620,J620)))</f>
        <v/>
      </c>
      <c r="L620" s="111" t="str">
        <f>IF(H620="","",IF($C$29="상세법",FPV(H620,K620),IF(H620="EI",4,IF(H620="EO",5.2,IF(H620="EQ",3.9,IF(H620="ILF",7.5,IF(H620="EIF",5.4)))))))</f>
        <v/>
      </c>
      <c r="M620" s="112" t="str">
        <f t="shared" si="12"/>
        <v/>
      </c>
      <c r="N620" s="113"/>
    </row>
    <row r="621" spans="2:14">
      <c r="B621" s="105"/>
      <c r="C621" s="106"/>
      <c r="D621" s="107"/>
      <c r="E621" s="65"/>
      <c r="F621" s="64"/>
      <c r="G621" s="64"/>
      <c r="H621" s="64"/>
      <c r="I621" s="70"/>
      <c r="J621" s="70"/>
      <c r="K621" s="110" t="str">
        <f>IF(H621="","",IF($C$29="간이법","",FPR(H621,I621,J621)))</f>
        <v/>
      </c>
      <c r="L621" s="111" t="str">
        <f>IF(H621="","",IF($C$29="상세법",FPV(H621,K621),IF(H621="EI",4,IF(H621="EO",5.2,IF(H621="EQ",3.9,IF(H621="ILF",7.5,IF(H621="EIF",5.4)))))))</f>
        <v/>
      </c>
      <c r="M621" s="112" t="str">
        <f t="shared" si="12"/>
        <v/>
      </c>
      <c r="N621" s="113"/>
    </row>
    <row r="622" spans="2:14">
      <c r="B622" s="105"/>
      <c r="C622" s="106"/>
      <c r="D622" s="107"/>
      <c r="E622" s="65"/>
      <c r="F622" s="64"/>
      <c r="G622" s="64"/>
      <c r="H622" s="64"/>
      <c r="I622" s="70"/>
      <c r="J622" s="70"/>
      <c r="K622" s="110" t="str">
        <f>IF(H622="","",IF($C$29="간이법","",FPR(H622,I622,J622)))</f>
        <v/>
      </c>
      <c r="L622" s="111" t="str">
        <f>IF(H622="","",IF($C$29="상세법",FPV(H622,K622),IF(H622="EI",4,IF(H622="EO",5.2,IF(H622="EQ",3.9,IF(H622="ILF",7.5,IF(H622="EIF",5.4)))))))</f>
        <v/>
      </c>
      <c r="M622" s="112" t="str">
        <f t="shared" si="12"/>
        <v/>
      </c>
      <c r="N622" s="113"/>
    </row>
    <row r="623" spans="2:14">
      <c r="B623" s="105"/>
      <c r="C623" s="106"/>
      <c r="D623" s="107"/>
      <c r="E623" s="65"/>
      <c r="F623" s="64"/>
      <c r="G623" s="64"/>
      <c r="H623" s="64"/>
      <c r="I623" s="70"/>
      <c r="J623" s="70"/>
      <c r="K623" s="110" t="str">
        <f>IF(H623="","",IF($C$29="간이법","",FPR(H623,I623,J623)))</f>
        <v/>
      </c>
      <c r="L623" s="111" t="str">
        <f>IF(H623="","",IF($C$29="상세법",FPV(H623,K623),IF(H623="EI",4,IF(H623="EO",5.2,IF(H623="EQ",3.9,IF(H623="ILF",7.5,IF(H623="EIF",5.4)))))))</f>
        <v/>
      </c>
      <c r="M623" s="112" t="str">
        <f t="shared" si="12"/>
        <v/>
      </c>
      <c r="N623" s="113"/>
    </row>
    <row r="624" spans="2:14">
      <c r="B624" s="105"/>
      <c r="C624" s="106"/>
      <c r="D624" s="107"/>
      <c r="E624" s="65"/>
      <c r="F624" s="64"/>
      <c r="G624" s="64"/>
      <c r="H624" s="64"/>
      <c r="I624" s="70"/>
      <c r="J624" s="70"/>
      <c r="K624" s="110" t="str">
        <f>IF(H624="","",IF($C$29="간이법","",FPR(H624,I624,J624)))</f>
        <v/>
      </c>
      <c r="L624" s="111" t="str">
        <f>IF(H624="","",IF($C$29="상세법",FPV(H624,K624),IF(H624="EI",4,IF(H624="EO",5.2,IF(H624="EQ",3.9,IF(H624="ILF",7.5,IF(H624="EIF",5.4)))))))</f>
        <v/>
      </c>
      <c r="M624" s="112" t="str">
        <f t="shared" si="12"/>
        <v/>
      </c>
      <c r="N624" s="113"/>
    </row>
    <row r="625" spans="2:14">
      <c r="B625" s="105"/>
      <c r="C625" s="106"/>
      <c r="D625" s="107"/>
      <c r="E625" s="65"/>
      <c r="F625" s="64"/>
      <c r="G625" s="64"/>
      <c r="H625" s="64"/>
      <c r="I625" s="70"/>
      <c r="J625" s="70"/>
      <c r="K625" s="110" t="str">
        <f>IF(H625="","",IF($C$29="간이법","",FPR(H625,I625,J625)))</f>
        <v/>
      </c>
      <c r="L625" s="111" t="str">
        <f>IF(H625="","",IF($C$29="상세법",FPV(H625,K625),IF(H625="EI",4,IF(H625="EO",5.2,IF(H625="EQ",3.9,IF(H625="ILF",7.5,IF(H625="EIF",5.4)))))))</f>
        <v/>
      </c>
      <c r="M625" s="112" t="str">
        <f t="shared" si="12"/>
        <v/>
      </c>
      <c r="N625" s="113"/>
    </row>
    <row r="626" spans="2:14">
      <c r="B626" s="105"/>
      <c r="C626" s="106"/>
      <c r="D626" s="107"/>
      <c r="E626" s="65"/>
      <c r="F626" s="64"/>
      <c r="G626" s="64"/>
      <c r="H626" s="64"/>
      <c r="I626" s="70"/>
      <c r="J626" s="70"/>
      <c r="K626" s="110" t="str">
        <f>IF(H626="","",IF($C$29="간이법","",FPR(H626,I626,J626)))</f>
        <v/>
      </c>
      <c r="L626" s="111" t="str">
        <f>IF(H626="","",IF($C$29="상세법",FPV(H626,K626),IF(H626="EI",4,IF(H626="EO",5.2,IF(H626="EQ",3.9,IF(H626="ILF",7.5,IF(H626="EIF",5.4)))))))</f>
        <v/>
      </c>
      <c r="M626" s="112" t="str">
        <f t="shared" si="12"/>
        <v/>
      </c>
      <c r="N626" s="113"/>
    </row>
    <row r="627" spans="2:14">
      <c r="B627" s="105"/>
      <c r="C627" s="106"/>
      <c r="D627" s="107"/>
      <c r="E627" s="65"/>
      <c r="F627" s="64"/>
      <c r="G627" s="64"/>
      <c r="H627" s="64"/>
      <c r="I627" s="70"/>
      <c r="J627" s="70"/>
      <c r="K627" s="110" t="str">
        <f>IF(H627="","",IF($C$29="간이법","",FPR(H627,I627,J627)))</f>
        <v/>
      </c>
      <c r="L627" s="111" t="str">
        <f>IF(H627="","",IF($C$29="상세법",FPV(H627,K627),IF(H627="EI",4,IF(H627="EO",5.2,IF(H627="EQ",3.9,IF(H627="ILF",7.5,IF(H627="EIF",5.4)))))))</f>
        <v/>
      </c>
      <c r="M627" s="112" t="str">
        <f t="shared" si="12"/>
        <v/>
      </c>
      <c r="N627" s="113"/>
    </row>
    <row r="628" spans="2:14">
      <c r="B628" s="105"/>
      <c r="C628" s="106"/>
      <c r="D628" s="107"/>
      <c r="E628" s="65"/>
      <c r="F628" s="64"/>
      <c r="G628" s="64"/>
      <c r="H628" s="64"/>
      <c r="I628" s="70"/>
      <c r="J628" s="70"/>
      <c r="K628" s="110" t="str">
        <f>IF(H628="","",IF($C$29="간이법","",FPR(H628,I628,J628)))</f>
        <v/>
      </c>
      <c r="L628" s="111" t="str">
        <f>IF(H628="","",IF($C$29="상세법",FPV(H628,K628),IF(H628="EI",4,IF(H628="EO",5.2,IF(H628="EQ",3.9,IF(H628="ILF",7.5,IF(H628="EIF",5.4)))))))</f>
        <v/>
      </c>
      <c r="M628" s="112" t="str">
        <f t="shared" si="12"/>
        <v/>
      </c>
      <c r="N628" s="113"/>
    </row>
    <row r="629" spans="2:14">
      <c r="B629" s="105"/>
      <c r="C629" s="106"/>
      <c r="D629" s="107"/>
      <c r="E629" s="65"/>
      <c r="F629" s="64"/>
      <c r="G629" s="64"/>
      <c r="H629" s="64"/>
      <c r="I629" s="70"/>
      <c r="J629" s="70"/>
      <c r="K629" s="110" t="str">
        <f>IF(H629="","",IF($C$29="간이법","",FPR(H629,I629,J629)))</f>
        <v/>
      </c>
      <c r="L629" s="111" t="str">
        <f>IF(H629="","",IF($C$29="상세법",FPV(H629,K629),IF(H629="EI",4,IF(H629="EO",5.2,IF(H629="EQ",3.9,IF(H629="ILF",7.5,IF(H629="EIF",5.4)))))))</f>
        <v/>
      </c>
      <c r="M629" s="112" t="str">
        <f t="shared" si="12"/>
        <v/>
      </c>
      <c r="N629" s="113"/>
    </row>
    <row r="630" spans="2:14">
      <c r="B630" s="105"/>
      <c r="C630" s="106"/>
      <c r="D630" s="107"/>
      <c r="E630" s="65"/>
      <c r="F630" s="64"/>
      <c r="G630" s="64"/>
      <c r="H630" s="64"/>
      <c r="I630" s="70"/>
      <c r="J630" s="70"/>
      <c r="K630" s="110" t="str">
        <f>IF(H630="","",IF($C$29="간이법","",FPR(H630,I630,J630)))</f>
        <v/>
      </c>
      <c r="L630" s="111" t="str">
        <f>IF(H630="","",IF($C$29="상세법",FPV(H630,K630),IF(H630="EI",4,IF(H630="EO",5.2,IF(H630="EQ",3.9,IF(H630="ILF",7.5,IF(H630="EIF",5.4)))))))</f>
        <v/>
      </c>
      <c r="M630" s="112" t="str">
        <f t="shared" si="12"/>
        <v/>
      </c>
      <c r="N630" s="113"/>
    </row>
    <row r="631" spans="2:14">
      <c r="B631" s="105"/>
      <c r="C631" s="106"/>
      <c r="D631" s="107"/>
      <c r="E631" s="65"/>
      <c r="F631" s="64"/>
      <c r="G631" s="64"/>
      <c r="H631" s="64"/>
      <c r="I631" s="70"/>
      <c r="J631" s="70"/>
      <c r="K631" s="110" t="str">
        <f>IF(H631="","",IF($C$29="간이법","",FPR(H631,I631,J631)))</f>
        <v/>
      </c>
      <c r="L631" s="111" t="str">
        <f>IF(H631="","",IF($C$29="상세법",FPV(H631,K631),IF(H631="EI",4,IF(H631="EO",5.2,IF(H631="EQ",3.9,IF(H631="ILF",7.5,IF(H631="EIF",5.4)))))))</f>
        <v/>
      </c>
      <c r="M631" s="112" t="str">
        <f t="shared" si="12"/>
        <v/>
      </c>
      <c r="N631" s="113"/>
    </row>
    <row r="632" spans="2:14">
      <c r="B632" s="105"/>
      <c r="C632" s="106"/>
      <c r="D632" s="107"/>
      <c r="E632" s="65"/>
      <c r="F632" s="64"/>
      <c r="G632" s="64"/>
      <c r="H632" s="64"/>
      <c r="I632" s="70"/>
      <c r="J632" s="70"/>
      <c r="K632" s="110" t="str">
        <f>IF(H632="","",IF($C$29="간이법","",FPR(H632,I632,J632)))</f>
        <v/>
      </c>
      <c r="L632" s="111" t="str">
        <f>IF(H632="","",IF($C$29="상세법",FPV(H632,K632),IF(H632="EI",4,IF(H632="EO",5.2,IF(H632="EQ",3.9,IF(H632="ILF",7.5,IF(H632="EIF",5.4)))))))</f>
        <v/>
      </c>
      <c r="M632" s="112" t="str">
        <f t="shared" si="12"/>
        <v/>
      </c>
      <c r="N632" s="113"/>
    </row>
    <row r="633" spans="2:14">
      <c r="B633" s="105"/>
      <c r="C633" s="106"/>
      <c r="D633" s="107"/>
      <c r="E633" s="65"/>
      <c r="F633" s="64"/>
      <c r="G633" s="64"/>
      <c r="H633" s="64"/>
      <c r="I633" s="70"/>
      <c r="J633" s="70"/>
      <c r="K633" s="110" t="str">
        <f>IF(H633="","",IF($C$29="간이법","",FPR(H633,I633,J633)))</f>
        <v/>
      </c>
      <c r="L633" s="111" t="str">
        <f>IF(H633="","",IF($C$29="상세법",FPV(H633,K633),IF(H633="EI",4,IF(H633="EO",5.2,IF(H633="EQ",3.9,IF(H633="ILF",7.5,IF(H633="EIF",5.4)))))))</f>
        <v/>
      </c>
      <c r="M633" s="112" t="str">
        <f t="shared" ref="M633:M696" si="13">IF(L633="","",L633*IF(G633="상",0.7,IF(G633="중",0.5,IF(G633="하",0.2,1))))</f>
        <v/>
      </c>
      <c r="N633" s="113"/>
    </row>
    <row r="634" spans="2:14">
      <c r="B634" s="105"/>
      <c r="C634" s="106"/>
      <c r="D634" s="107"/>
      <c r="E634" s="65"/>
      <c r="F634" s="64"/>
      <c r="G634" s="64"/>
      <c r="H634" s="64"/>
      <c r="I634" s="70"/>
      <c r="J634" s="70"/>
      <c r="K634" s="110" t="str">
        <f>IF(H634="","",IF($C$29="간이법","",FPR(H634,I634,J634)))</f>
        <v/>
      </c>
      <c r="L634" s="111" t="str">
        <f>IF(H634="","",IF($C$29="상세법",FPV(H634,K634),IF(H634="EI",4,IF(H634="EO",5.2,IF(H634="EQ",3.9,IF(H634="ILF",7.5,IF(H634="EIF",5.4)))))))</f>
        <v/>
      </c>
      <c r="M634" s="112" t="str">
        <f t="shared" si="13"/>
        <v/>
      </c>
      <c r="N634" s="113"/>
    </row>
    <row r="635" spans="2:14">
      <c r="B635" s="105"/>
      <c r="C635" s="106"/>
      <c r="D635" s="107"/>
      <c r="E635" s="65"/>
      <c r="F635" s="64"/>
      <c r="G635" s="64"/>
      <c r="H635" s="64"/>
      <c r="I635" s="70"/>
      <c r="J635" s="70"/>
      <c r="K635" s="110" t="str">
        <f>IF(H635="","",IF($C$29="간이법","",FPR(H635,I635,J635)))</f>
        <v/>
      </c>
      <c r="L635" s="111" t="str">
        <f>IF(H635="","",IF($C$29="상세법",FPV(H635,K635),IF(H635="EI",4,IF(H635="EO",5.2,IF(H635="EQ",3.9,IF(H635="ILF",7.5,IF(H635="EIF",5.4)))))))</f>
        <v/>
      </c>
      <c r="M635" s="112" t="str">
        <f t="shared" si="13"/>
        <v/>
      </c>
      <c r="N635" s="113"/>
    </row>
    <row r="636" spans="2:14">
      <c r="B636" s="105"/>
      <c r="C636" s="106"/>
      <c r="D636" s="107"/>
      <c r="E636" s="65"/>
      <c r="F636" s="64"/>
      <c r="G636" s="64"/>
      <c r="H636" s="64"/>
      <c r="I636" s="70"/>
      <c r="J636" s="70"/>
      <c r="K636" s="110" t="str">
        <f>IF(H636="","",IF($C$29="간이법","",FPR(H636,I636,J636)))</f>
        <v/>
      </c>
      <c r="L636" s="111" t="str">
        <f>IF(H636="","",IF($C$29="상세법",FPV(H636,K636),IF(H636="EI",4,IF(H636="EO",5.2,IF(H636="EQ",3.9,IF(H636="ILF",7.5,IF(H636="EIF",5.4)))))))</f>
        <v/>
      </c>
      <c r="M636" s="112" t="str">
        <f t="shared" si="13"/>
        <v/>
      </c>
      <c r="N636" s="113"/>
    </row>
    <row r="637" spans="2:14">
      <c r="B637" s="105"/>
      <c r="C637" s="106"/>
      <c r="D637" s="107"/>
      <c r="E637" s="65"/>
      <c r="F637" s="64"/>
      <c r="G637" s="64"/>
      <c r="H637" s="64"/>
      <c r="I637" s="70"/>
      <c r="J637" s="70"/>
      <c r="K637" s="110" t="str">
        <f>IF(H637="","",IF($C$29="간이법","",FPR(H637,I637,J637)))</f>
        <v/>
      </c>
      <c r="L637" s="111" t="str">
        <f>IF(H637="","",IF($C$29="상세법",FPV(H637,K637),IF(H637="EI",4,IF(H637="EO",5.2,IF(H637="EQ",3.9,IF(H637="ILF",7.5,IF(H637="EIF",5.4)))))))</f>
        <v/>
      </c>
      <c r="M637" s="112" t="str">
        <f t="shared" si="13"/>
        <v/>
      </c>
      <c r="N637" s="113"/>
    </row>
    <row r="638" spans="2:14">
      <c r="B638" s="105"/>
      <c r="C638" s="106"/>
      <c r="D638" s="107"/>
      <c r="E638" s="65"/>
      <c r="F638" s="64"/>
      <c r="G638" s="64"/>
      <c r="H638" s="64"/>
      <c r="I638" s="70"/>
      <c r="J638" s="70"/>
      <c r="K638" s="110" t="str">
        <f>IF(H638="","",IF($C$29="간이법","",FPR(H638,I638,J638)))</f>
        <v/>
      </c>
      <c r="L638" s="111" t="str">
        <f>IF(H638="","",IF($C$29="상세법",FPV(H638,K638),IF(H638="EI",4,IF(H638="EO",5.2,IF(H638="EQ",3.9,IF(H638="ILF",7.5,IF(H638="EIF",5.4)))))))</f>
        <v/>
      </c>
      <c r="M638" s="112" t="str">
        <f t="shared" si="13"/>
        <v/>
      </c>
      <c r="N638" s="113"/>
    </row>
    <row r="639" spans="2:14">
      <c r="B639" s="105"/>
      <c r="C639" s="106"/>
      <c r="D639" s="107"/>
      <c r="E639" s="65"/>
      <c r="F639" s="64"/>
      <c r="G639" s="64"/>
      <c r="H639" s="64"/>
      <c r="I639" s="70"/>
      <c r="J639" s="70"/>
      <c r="K639" s="110" t="str">
        <f>IF(H639="","",IF($C$29="간이법","",FPR(H639,I639,J639)))</f>
        <v/>
      </c>
      <c r="L639" s="111" t="str">
        <f>IF(H639="","",IF($C$29="상세법",FPV(H639,K639),IF(H639="EI",4,IF(H639="EO",5.2,IF(H639="EQ",3.9,IF(H639="ILF",7.5,IF(H639="EIF",5.4)))))))</f>
        <v/>
      </c>
      <c r="M639" s="112" t="str">
        <f t="shared" si="13"/>
        <v/>
      </c>
      <c r="N639" s="113"/>
    </row>
    <row r="640" spans="2:14">
      <c r="B640" s="105"/>
      <c r="C640" s="106"/>
      <c r="D640" s="107"/>
      <c r="E640" s="65"/>
      <c r="F640" s="64"/>
      <c r="G640" s="64"/>
      <c r="H640" s="64"/>
      <c r="I640" s="70"/>
      <c r="J640" s="70"/>
      <c r="K640" s="110" t="str">
        <f>IF(H640="","",IF($C$29="간이법","",FPR(H640,I640,J640)))</f>
        <v/>
      </c>
      <c r="L640" s="111" t="str">
        <f>IF(H640="","",IF($C$29="상세법",FPV(H640,K640),IF(H640="EI",4,IF(H640="EO",5.2,IF(H640="EQ",3.9,IF(H640="ILF",7.5,IF(H640="EIF",5.4)))))))</f>
        <v/>
      </c>
      <c r="M640" s="112" t="str">
        <f t="shared" si="13"/>
        <v/>
      </c>
      <c r="N640" s="113"/>
    </row>
    <row r="641" spans="2:14">
      <c r="B641" s="105"/>
      <c r="C641" s="106"/>
      <c r="D641" s="107"/>
      <c r="E641" s="65"/>
      <c r="F641" s="64"/>
      <c r="G641" s="64"/>
      <c r="H641" s="64"/>
      <c r="I641" s="70"/>
      <c r="J641" s="70"/>
      <c r="K641" s="110" t="str">
        <f>IF(H641="","",IF($C$29="간이법","",FPR(H641,I641,J641)))</f>
        <v/>
      </c>
      <c r="L641" s="111" t="str">
        <f>IF(H641="","",IF($C$29="상세법",FPV(H641,K641),IF(H641="EI",4,IF(H641="EO",5.2,IF(H641="EQ",3.9,IF(H641="ILF",7.5,IF(H641="EIF",5.4)))))))</f>
        <v/>
      </c>
      <c r="M641" s="112" t="str">
        <f t="shared" si="13"/>
        <v/>
      </c>
      <c r="N641" s="113"/>
    </row>
    <row r="642" spans="2:14">
      <c r="B642" s="105"/>
      <c r="C642" s="106"/>
      <c r="D642" s="107"/>
      <c r="E642" s="65"/>
      <c r="F642" s="64"/>
      <c r="G642" s="64"/>
      <c r="H642" s="64"/>
      <c r="I642" s="70"/>
      <c r="J642" s="70"/>
      <c r="K642" s="110" t="str">
        <f>IF(H642="","",IF($C$29="간이법","",FPR(H642,I642,J642)))</f>
        <v/>
      </c>
      <c r="L642" s="111" t="str">
        <f>IF(H642="","",IF($C$29="상세법",FPV(H642,K642),IF(H642="EI",4,IF(H642="EO",5.2,IF(H642="EQ",3.9,IF(H642="ILF",7.5,IF(H642="EIF",5.4)))))))</f>
        <v/>
      </c>
      <c r="M642" s="112" t="str">
        <f t="shared" si="13"/>
        <v/>
      </c>
      <c r="N642" s="113"/>
    </row>
    <row r="643" spans="2:14">
      <c r="B643" s="105"/>
      <c r="C643" s="106"/>
      <c r="D643" s="107"/>
      <c r="E643" s="65"/>
      <c r="F643" s="64"/>
      <c r="G643" s="64"/>
      <c r="H643" s="64"/>
      <c r="I643" s="70"/>
      <c r="J643" s="70"/>
      <c r="K643" s="110" t="str">
        <f>IF(H643="","",IF($C$29="간이법","",FPR(H643,I643,J643)))</f>
        <v/>
      </c>
      <c r="L643" s="111" t="str">
        <f>IF(H643="","",IF($C$29="상세법",FPV(H643,K643),IF(H643="EI",4,IF(H643="EO",5.2,IF(H643="EQ",3.9,IF(H643="ILF",7.5,IF(H643="EIF",5.4)))))))</f>
        <v/>
      </c>
      <c r="M643" s="112" t="str">
        <f t="shared" si="13"/>
        <v/>
      </c>
      <c r="N643" s="113"/>
    </row>
    <row r="644" spans="2:14">
      <c r="B644" s="105"/>
      <c r="C644" s="106"/>
      <c r="D644" s="107"/>
      <c r="E644" s="65"/>
      <c r="F644" s="64"/>
      <c r="G644" s="64"/>
      <c r="H644" s="64"/>
      <c r="I644" s="70"/>
      <c r="J644" s="70"/>
      <c r="K644" s="110" t="str">
        <f>IF(H644="","",IF($C$29="간이법","",FPR(H644,I644,J644)))</f>
        <v/>
      </c>
      <c r="L644" s="111" t="str">
        <f>IF(H644="","",IF($C$29="상세법",FPV(H644,K644),IF(H644="EI",4,IF(H644="EO",5.2,IF(H644="EQ",3.9,IF(H644="ILF",7.5,IF(H644="EIF",5.4)))))))</f>
        <v/>
      </c>
      <c r="M644" s="112" t="str">
        <f t="shared" si="13"/>
        <v/>
      </c>
      <c r="N644" s="113"/>
    </row>
    <row r="645" spans="2:14">
      <c r="B645" s="105"/>
      <c r="C645" s="106"/>
      <c r="D645" s="107"/>
      <c r="E645" s="65"/>
      <c r="F645" s="64"/>
      <c r="G645" s="64"/>
      <c r="H645" s="64"/>
      <c r="I645" s="70"/>
      <c r="J645" s="70"/>
      <c r="K645" s="110" t="str">
        <f>IF(H645="","",IF($C$29="간이법","",FPR(H645,I645,J645)))</f>
        <v/>
      </c>
      <c r="L645" s="111" t="str">
        <f>IF(H645="","",IF($C$29="상세법",FPV(H645,K645),IF(H645="EI",4,IF(H645="EO",5.2,IF(H645="EQ",3.9,IF(H645="ILF",7.5,IF(H645="EIF",5.4)))))))</f>
        <v/>
      </c>
      <c r="M645" s="112" t="str">
        <f t="shared" si="13"/>
        <v/>
      </c>
      <c r="N645" s="113"/>
    </row>
    <row r="646" spans="2:14">
      <c r="B646" s="105"/>
      <c r="C646" s="106"/>
      <c r="D646" s="107"/>
      <c r="E646" s="65"/>
      <c r="F646" s="64"/>
      <c r="G646" s="64"/>
      <c r="H646" s="64"/>
      <c r="I646" s="70"/>
      <c r="J646" s="70"/>
      <c r="K646" s="110" t="str">
        <f>IF(H646="","",IF($C$29="간이법","",FPR(H646,I646,J646)))</f>
        <v/>
      </c>
      <c r="L646" s="111" t="str">
        <f>IF(H646="","",IF($C$29="상세법",FPV(H646,K646),IF(H646="EI",4,IF(H646="EO",5.2,IF(H646="EQ",3.9,IF(H646="ILF",7.5,IF(H646="EIF",5.4)))))))</f>
        <v/>
      </c>
      <c r="M646" s="112" t="str">
        <f t="shared" si="13"/>
        <v/>
      </c>
      <c r="N646" s="113"/>
    </row>
    <row r="647" spans="2:14">
      <c r="B647" s="105"/>
      <c r="C647" s="106"/>
      <c r="D647" s="107"/>
      <c r="E647" s="65"/>
      <c r="F647" s="64"/>
      <c r="G647" s="64"/>
      <c r="H647" s="64"/>
      <c r="I647" s="70"/>
      <c r="J647" s="70"/>
      <c r="K647" s="110" t="str">
        <f>IF(H647="","",IF($C$29="간이법","",FPR(H647,I647,J647)))</f>
        <v/>
      </c>
      <c r="L647" s="111" t="str">
        <f>IF(H647="","",IF($C$29="상세법",FPV(H647,K647),IF(H647="EI",4,IF(H647="EO",5.2,IF(H647="EQ",3.9,IF(H647="ILF",7.5,IF(H647="EIF",5.4)))))))</f>
        <v/>
      </c>
      <c r="M647" s="112" t="str">
        <f t="shared" si="13"/>
        <v/>
      </c>
      <c r="N647" s="113"/>
    </row>
    <row r="648" spans="2:14">
      <c r="B648" s="105"/>
      <c r="C648" s="106"/>
      <c r="D648" s="107"/>
      <c r="E648" s="65"/>
      <c r="F648" s="64"/>
      <c r="G648" s="64"/>
      <c r="H648" s="64"/>
      <c r="I648" s="70"/>
      <c r="J648" s="70"/>
      <c r="K648" s="110" t="str">
        <f>IF(H648="","",IF($C$29="간이법","",FPR(H648,I648,J648)))</f>
        <v/>
      </c>
      <c r="L648" s="111" t="str">
        <f>IF(H648="","",IF($C$29="상세법",FPV(H648,K648),IF(H648="EI",4,IF(H648="EO",5.2,IF(H648="EQ",3.9,IF(H648="ILF",7.5,IF(H648="EIF",5.4)))))))</f>
        <v/>
      </c>
      <c r="M648" s="112" t="str">
        <f t="shared" si="13"/>
        <v/>
      </c>
      <c r="N648" s="113"/>
    </row>
    <row r="649" spans="2:14">
      <c r="B649" s="105"/>
      <c r="C649" s="106"/>
      <c r="D649" s="107"/>
      <c r="E649" s="65"/>
      <c r="F649" s="64"/>
      <c r="G649" s="64"/>
      <c r="H649" s="64"/>
      <c r="I649" s="70"/>
      <c r="J649" s="70"/>
      <c r="K649" s="110" t="str">
        <f>IF(H649="","",IF($C$29="간이법","",FPR(H649,I649,J649)))</f>
        <v/>
      </c>
      <c r="L649" s="111" t="str">
        <f>IF(H649="","",IF($C$29="상세법",FPV(H649,K649),IF(H649="EI",4,IF(H649="EO",5.2,IF(H649="EQ",3.9,IF(H649="ILF",7.5,IF(H649="EIF",5.4)))))))</f>
        <v/>
      </c>
      <c r="M649" s="112" t="str">
        <f t="shared" si="13"/>
        <v/>
      </c>
      <c r="N649" s="113"/>
    </row>
    <row r="650" spans="2:14">
      <c r="B650" s="105"/>
      <c r="C650" s="106"/>
      <c r="D650" s="107"/>
      <c r="E650" s="65"/>
      <c r="F650" s="64"/>
      <c r="G650" s="64"/>
      <c r="H650" s="64"/>
      <c r="I650" s="70"/>
      <c r="J650" s="70"/>
      <c r="K650" s="110" t="str">
        <f>IF(H650="","",IF($C$29="간이법","",FPR(H650,I650,J650)))</f>
        <v/>
      </c>
      <c r="L650" s="111" t="str">
        <f>IF(H650="","",IF($C$29="상세법",FPV(H650,K650),IF(H650="EI",4,IF(H650="EO",5.2,IF(H650="EQ",3.9,IF(H650="ILF",7.5,IF(H650="EIF",5.4)))))))</f>
        <v/>
      </c>
      <c r="M650" s="112" t="str">
        <f t="shared" si="13"/>
        <v/>
      </c>
      <c r="N650" s="113"/>
    </row>
    <row r="651" spans="2:14">
      <c r="B651" s="105"/>
      <c r="C651" s="106"/>
      <c r="D651" s="107"/>
      <c r="E651" s="65"/>
      <c r="F651" s="64"/>
      <c r="G651" s="64"/>
      <c r="H651" s="64"/>
      <c r="I651" s="70"/>
      <c r="J651" s="70"/>
      <c r="K651" s="110" t="str">
        <f>IF(H651="","",IF($C$29="간이법","",FPR(H651,I651,J651)))</f>
        <v/>
      </c>
      <c r="L651" s="111" t="str">
        <f>IF(H651="","",IF($C$29="상세법",FPV(H651,K651),IF(H651="EI",4,IF(H651="EO",5.2,IF(H651="EQ",3.9,IF(H651="ILF",7.5,IF(H651="EIF",5.4)))))))</f>
        <v/>
      </c>
      <c r="M651" s="112" t="str">
        <f t="shared" si="13"/>
        <v/>
      </c>
      <c r="N651" s="113"/>
    </row>
    <row r="652" spans="2:14">
      <c r="B652" s="105"/>
      <c r="C652" s="106"/>
      <c r="D652" s="107"/>
      <c r="E652" s="65"/>
      <c r="F652" s="64"/>
      <c r="G652" s="64"/>
      <c r="H652" s="64"/>
      <c r="I652" s="70"/>
      <c r="J652" s="70"/>
      <c r="K652" s="110" t="str">
        <f>IF(H652="","",IF($C$29="간이법","",FPR(H652,I652,J652)))</f>
        <v/>
      </c>
      <c r="L652" s="111" t="str">
        <f>IF(H652="","",IF($C$29="상세법",FPV(H652,K652),IF(H652="EI",4,IF(H652="EO",5.2,IF(H652="EQ",3.9,IF(H652="ILF",7.5,IF(H652="EIF",5.4)))))))</f>
        <v/>
      </c>
      <c r="M652" s="112" t="str">
        <f t="shared" si="13"/>
        <v/>
      </c>
      <c r="N652" s="113"/>
    </row>
    <row r="653" spans="2:14">
      <c r="B653" s="105"/>
      <c r="C653" s="106"/>
      <c r="D653" s="107"/>
      <c r="E653" s="65"/>
      <c r="F653" s="64"/>
      <c r="G653" s="64"/>
      <c r="H653" s="64"/>
      <c r="I653" s="70"/>
      <c r="J653" s="70"/>
      <c r="K653" s="110" t="str">
        <f>IF(H653="","",IF($C$29="간이법","",FPR(H653,I653,J653)))</f>
        <v/>
      </c>
      <c r="L653" s="111" t="str">
        <f>IF(H653="","",IF($C$29="상세법",FPV(H653,K653),IF(H653="EI",4,IF(H653="EO",5.2,IF(H653="EQ",3.9,IF(H653="ILF",7.5,IF(H653="EIF",5.4)))))))</f>
        <v/>
      </c>
      <c r="M653" s="112" t="str">
        <f t="shared" si="13"/>
        <v/>
      </c>
      <c r="N653" s="113"/>
    </row>
    <row r="654" spans="2:14">
      <c r="B654" s="105"/>
      <c r="C654" s="106"/>
      <c r="D654" s="107"/>
      <c r="E654" s="65"/>
      <c r="F654" s="64"/>
      <c r="G654" s="64"/>
      <c r="H654" s="64"/>
      <c r="I654" s="70"/>
      <c r="J654" s="70"/>
      <c r="K654" s="110" t="str">
        <f>IF(H654="","",IF($C$29="간이법","",FPR(H654,I654,J654)))</f>
        <v/>
      </c>
      <c r="L654" s="111" t="str">
        <f>IF(H654="","",IF($C$29="상세법",FPV(H654,K654),IF(H654="EI",4,IF(H654="EO",5.2,IF(H654="EQ",3.9,IF(H654="ILF",7.5,IF(H654="EIF",5.4)))))))</f>
        <v/>
      </c>
      <c r="M654" s="112" t="str">
        <f t="shared" si="13"/>
        <v/>
      </c>
      <c r="N654" s="113"/>
    </row>
    <row r="655" spans="2:14">
      <c r="B655" s="105"/>
      <c r="C655" s="106"/>
      <c r="D655" s="107"/>
      <c r="E655" s="65"/>
      <c r="F655" s="64"/>
      <c r="G655" s="64"/>
      <c r="H655" s="64"/>
      <c r="I655" s="70"/>
      <c r="J655" s="70"/>
      <c r="K655" s="110" t="str">
        <f>IF(H655="","",IF($C$29="간이법","",FPR(H655,I655,J655)))</f>
        <v/>
      </c>
      <c r="L655" s="111" t="str">
        <f>IF(H655="","",IF($C$29="상세법",FPV(H655,K655),IF(H655="EI",4,IF(H655="EO",5.2,IF(H655="EQ",3.9,IF(H655="ILF",7.5,IF(H655="EIF",5.4)))))))</f>
        <v/>
      </c>
      <c r="M655" s="112" t="str">
        <f t="shared" si="13"/>
        <v/>
      </c>
      <c r="N655" s="113"/>
    </row>
    <row r="656" spans="2:14">
      <c r="B656" s="105"/>
      <c r="C656" s="106"/>
      <c r="D656" s="107"/>
      <c r="E656" s="65"/>
      <c r="F656" s="64"/>
      <c r="G656" s="64"/>
      <c r="H656" s="64"/>
      <c r="I656" s="70"/>
      <c r="J656" s="70"/>
      <c r="K656" s="110" t="str">
        <f>IF(H656="","",IF($C$29="간이법","",FPR(H656,I656,J656)))</f>
        <v/>
      </c>
      <c r="L656" s="111" t="str">
        <f>IF(H656="","",IF($C$29="상세법",FPV(H656,K656),IF(H656="EI",4,IF(H656="EO",5.2,IF(H656="EQ",3.9,IF(H656="ILF",7.5,IF(H656="EIF",5.4)))))))</f>
        <v/>
      </c>
      <c r="M656" s="112" t="str">
        <f t="shared" si="13"/>
        <v/>
      </c>
      <c r="N656" s="113"/>
    </row>
    <row r="657" spans="2:14">
      <c r="B657" s="105"/>
      <c r="C657" s="106"/>
      <c r="D657" s="107"/>
      <c r="E657" s="65"/>
      <c r="F657" s="64"/>
      <c r="G657" s="64"/>
      <c r="H657" s="64"/>
      <c r="I657" s="70"/>
      <c r="J657" s="70"/>
      <c r="K657" s="110" t="str">
        <f>IF(H657="","",IF($C$29="간이법","",FPR(H657,I657,J657)))</f>
        <v/>
      </c>
      <c r="L657" s="111" t="str">
        <f>IF(H657="","",IF($C$29="상세법",FPV(H657,K657),IF(H657="EI",4,IF(H657="EO",5.2,IF(H657="EQ",3.9,IF(H657="ILF",7.5,IF(H657="EIF",5.4)))))))</f>
        <v/>
      </c>
      <c r="M657" s="112" t="str">
        <f t="shared" si="13"/>
        <v/>
      </c>
      <c r="N657" s="113"/>
    </row>
    <row r="658" spans="2:14">
      <c r="B658" s="105"/>
      <c r="C658" s="106"/>
      <c r="D658" s="107"/>
      <c r="E658" s="65"/>
      <c r="F658" s="64"/>
      <c r="G658" s="64"/>
      <c r="H658" s="64"/>
      <c r="I658" s="70"/>
      <c r="J658" s="70"/>
      <c r="K658" s="110" t="str">
        <f>IF(H658="","",IF($C$29="간이법","",FPR(H658,I658,J658)))</f>
        <v/>
      </c>
      <c r="L658" s="111" t="str">
        <f>IF(H658="","",IF($C$29="상세법",FPV(H658,K658),IF(H658="EI",4,IF(H658="EO",5.2,IF(H658="EQ",3.9,IF(H658="ILF",7.5,IF(H658="EIF",5.4)))))))</f>
        <v/>
      </c>
      <c r="M658" s="112" t="str">
        <f t="shared" si="13"/>
        <v/>
      </c>
      <c r="N658" s="113"/>
    </row>
    <row r="659" spans="2:14">
      <c r="B659" s="105"/>
      <c r="C659" s="106"/>
      <c r="D659" s="107"/>
      <c r="E659" s="65"/>
      <c r="F659" s="64"/>
      <c r="G659" s="64"/>
      <c r="H659" s="64"/>
      <c r="I659" s="70"/>
      <c r="J659" s="70"/>
      <c r="K659" s="110" t="str">
        <f>IF(H659="","",IF($C$29="간이법","",FPR(H659,I659,J659)))</f>
        <v/>
      </c>
      <c r="L659" s="111" t="str">
        <f>IF(H659="","",IF($C$29="상세법",FPV(H659,K659),IF(H659="EI",4,IF(H659="EO",5.2,IF(H659="EQ",3.9,IF(H659="ILF",7.5,IF(H659="EIF",5.4)))))))</f>
        <v/>
      </c>
      <c r="M659" s="112" t="str">
        <f t="shared" si="13"/>
        <v/>
      </c>
      <c r="N659" s="113"/>
    </row>
    <row r="660" spans="2:14">
      <c r="B660" s="105"/>
      <c r="C660" s="106"/>
      <c r="D660" s="107"/>
      <c r="E660" s="65"/>
      <c r="F660" s="64"/>
      <c r="G660" s="64"/>
      <c r="H660" s="64"/>
      <c r="I660" s="70"/>
      <c r="J660" s="70"/>
      <c r="K660" s="110" t="str">
        <f>IF(H660="","",IF($C$29="간이법","",FPR(H660,I660,J660)))</f>
        <v/>
      </c>
      <c r="L660" s="111" t="str">
        <f>IF(H660="","",IF($C$29="상세법",FPV(H660,K660),IF(H660="EI",4,IF(H660="EO",5.2,IF(H660="EQ",3.9,IF(H660="ILF",7.5,IF(H660="EIF",5.4)))))))</f>
        <v/>
      </c>
      <c r="M660" s="112" t="str">
        <f t="shared" si="13"/>
        <v/>
      </c>
      <c r="N660" s="113"/>
    </row>
    <row r="661" spans="2:14">
      <c r="B661" s="105"/>
      <c r="C661" s="106"/>
      <c r="D661" s="107"/>
      <c r="E661" s="65"/>
      <c r="F661" s="64"/>
      <c r="G661" s="64"/>
      <c r="H661" s="64"/>
      <c r="I661" s="70"/>
      <c r="J661" s="70"/>
      <c r="K661" s="110" t="str">
        <f>IF(H661="","",IF($C$29="간이법","",FPR(H661,I661,J661)))</f>
        <v/>
      </c>
      <c r="L661" s="111" t="str">
        <f>IF(H661="","",IF($C$29="상세법",FPV(H661,K661),IF(H661="EI",4,IF(H661="EO",5.2,IF(H661="EQ",3.9,IF(H661="ILF",7.5,IF(H661="EIF",5.4)))))))</f>
        <v/>
      </c>
      <c r="M661" s="112" t="str">
        <f t="shared" si="13"/>
        <v/>
      </c>
      <c r="N661" s="113"/>
    </row>
    <row r="662" spans="2:14">
      <c r="B662" s="105"/>
      <c r="C662" s="106"/>
      <c r="D662" s="107"/>
      <c r="E662" s="65"/>
      <c r="F662" s="64"/>
      <c r="G662" s="64"/>
      <c r="H662" s="64"/>
      <c r="I662" s="70"/>
      <c r="J662" s="70"/>
      <c r="K662" s="110" t="str">
        <f>IF(H662="","",IF($C$29="간이법","",FPR(H662,I662,J662)))</f>
        <v/>
      </c>
      <c r="L662" s="111" t="str">
        <f>IF(H662="","",IF($C$29="상세법",FPV(H662,K662),IF(H662="EI",4,IF(H662="EO",5.2,IF(H662="EQ",3.9,IF(H662="ILF",7.5,IF(H662="EIF",5.4)))))))</f>
        <v/>
      </c>
      <c r="M662" s="112" t="str">
        <f t="shared" si="13"/>
        <v/>
      </c>
      <c r="N662" s="113"/>
    </row>
    <row r="663" spans="2:14">
      <c r="B663" s="105"/>
      <c r="C663" s="106"/>
      <c r="D663" s="107"/>
      <c r="E663" s="65"/>
      <c r="F663" s="64"/>
      <c r="G663" s="64"/>
      <c r="H663" s="64"/>
      <c r="I663" s="70"/>
      <c r="J663" s="70"/>
      <c r="K663" s="110" t="str">
        <f>IF(H663="","",IF($C$29="간이법","",FPR(H663,I663,J663)))</f>
        <v/>
      </c>
      <c r="L663" s="111" t="str">
        <f>IF(H663="","",IF($C$29="상세법",FPV(H663,K663),IF(H663="EI",4,IF(H663="EO",5.2,IF(H663="EQ",3.9,IF(H663="ILF",7.5,IF(H663="EIF",5.4)))))))</f>
        <v/>
      </c>
      <c r="M663" s="112" t="str">
        <f t="shared" si="13"/>
        <v/>
      </c>
      <c r="N663" s="113"/>
    </row>
    <row r="664" spans="2:14">
      <c r="B664" s="105"/>
      <c r="C664" s="106"/>
      <c r="D664" s="107"/>
      <c r="E664" s="65"/>
      <c r="F664" s="64"/>
      <c r="G664" s="64"/>
      <c r="H664" s="64"/>
      <c r="I664" s="70"/>
      <c r="J664" s="70"/>
      <c r="K664" s="110" t="str">
        <f>IF(H664="","",IF($C$29="간이법","",FPR(H664,I664,J664)))</f>
        <v/>
      </c>
      <c r="L664" s="111" t="str">
        <f>IF(H664="","",IF($C$29="상세법",FPV(H664,K664),IF(H664="EI",4,IF(H664="EO",5.2,IF(H664="EQ",3.9,IF(H664="ILF",7.5,IF(H664="EIF",5.4)))))))</f>
        <v/>
      </c>
      <c r="M664" s="112" t="str">
        <f t="shared" si="13"/>
        <v/>
      </c>
      <c r="N664" s="113"/>
    </row>
    <row r="665" spans="2:14">
      <c r="B665" s="105"/>
      <c r="C665" s="106"/>
      <c r="D665" s="107"/>
      <c r="E665" s="65"/>
      <c r="F665" s="64"/>
      <c r="G665" s="64"/>
      <c r="H665" s="64"/>
      <c r="I665" s="70"/>
      <c r="J665" s="70"/>
      <c r="K665" s="110" t="str">
        <f>IF(H665="","",IF($C$29="간이법","",FPR(H665,I665,J665)))</f>
        <v/>
      </c>
      <c r="L665" s="111" t="str">
        <f>IF(H665="","",IF($C$29="상세법",FPV(H665,K665),IF(H665="EI",4,IF(H665="EO",5.2,IF(H665="EQ",3.9,IF(H665="ILF",7.5,IF(H665="EIF",5.4)))))))</f>
        <v/>
      </c>
      <c r="M665" s="112" t="str">
        <f t="shared" si="13"/>
        <v/>
      </c>
      <c r="N665" s="113"/>
    </row>
    <row r="666" spans="2:14">
      <c r="B666" s="105"/>
      <c r="C666" s="106"/>
      <c r="D666" s="107"/>
      <c r="E666" s="65"/>
      <c r="F666" s="64"/>
      <c r="G666" s="64"/>
      <c r="H666" s="64"/>
      <c r="I666" s="70"/>
      <c r="J666" s="70"/>
      <c r="K666" s="110" t="str">
        <f>IF(H666="","",IF($C$29="간이법","",FPR(H666,I666,J666)))</f>
        <v/>
      </c>
      <c r="L666" s="111" t="str">
        <f>IF(H666="","",IF($C$29="상세법",FPV(H666,K666),IF(H666="EI",4,IF(H666="EO",5.2,IF(H666="EQ",3.9,IF(H666="ILF",7.5,IF(H666="EIF",5.4)))))))</f>
        <v/>
      </c>
      <c r="M666" s="112" t="str">
        <f t="shared" si="13"/>
        <v/>
      </c>
      <c r="N666" s="113"/>
    </row>
    <row r="667" spans="2:14">
      <c r="B667" s="105"/>
      <c r="C667" s="106"/>
      <c r="D667" s="107"/>
      <c r="E667" s="65"/>
      <c r="F667" s="64"/>
      <c r="G667" s="64"/>
      <c r="H667" s="64"/>
      <c r="I667" s="70"/>
      <c r="J667" s="70"/>
      <c r="K667" s="110" t="str">
        <f>IF(H667="","",IF($C$29="간이법","",FPR(H667,I667,J667)))</f>
        <v/>
      </c>
      <c r="L667" s="111" t="str">
        <f>IF(H667="","",IF($C$29="상세법",FPV(H667,K667),IF(H667="EI",4,IF(H667="EO",5.2,IF(H667="EQ",3.9,IF(H667="ILF",7.5,IF(H667="EIF",5.4)))))))</f>
        <v/>
      </c>
      <c r="M667" s="112" t="str">
        <f t="shared" si="13"/>
        <v/>
      </c>
      <c r="N667" s="113"/>
    </row>
    <row r="668" spans="2:14">
      <c r="B668" s="105"/>
      <c r="C668" s="106"/>
      <c r="D668" s="107"/>
      <c r="E668" s="65"/>
      <c r="F668" s="64"/>
      <c r="G668" s="64"/>
      <c r="H668" s="64"/>
      <c r="I668" s="70"/>
      <c r="J668" s="70"/>
      <c r="K668" s="110" t="str">
        <f>IF(H668="","",IF($C$29="간이법","",FPR(H668,I668,J668)))</f>
        <v/>
      </c>
      <c r="L668" s="111" t="str">
        <f>IF(H668="","",IF($C$29="상세법",FPV(H668,K668),IF(H668="EI",4,IF(H668="EO",5.2,IF(H668="EQ",3.9,IF(H668="ILF",7.5,IF(H668="EIF",5.4)))))))</f>
        <v/>
      </c>
      <c r="M668" s="112" t="str">
        <f t="shared" si="13"/>
        <v/>
      </c>
      <c r="N668" s="113"/>
    </row>
    <row r="669" spans="2:14">
      <c r="B669" s="105"/>
      <c r="C669" s="106"/>
      <c r="D669" s="107"/>
      <c r="E669" s="65"/>
      <c r="F669" s="64"/>
      <c r="G669" s="64"/>
      <c r="H669" s="64"/>
      <c r="I669" s="70"/>
      <c r="J669" s="70"/>
      <c r="K669" s="110" t="str">
        <f>IF(H669="","",IF($C$29="간이법","",FPR(H669,I669,J669)))</f>
        <v/>
      </c>
      <c r="L669" s="111" t="str">
        <f>IF(H669="","",IF($C$29="상세법",FPV(H669,K669),IF(H669="EI",4,IF(H669="EO",5.2,IF(H669="EQ",3.9,IF(H669="ILF",7.5,IF(H669="EIF",5.4)))))))</f>
        <v/>
      </c>
      <c r="M669" s="112" t="str">
        <f t="shared" si="13"/>
        <v/>
      </c>
      <c r="N669" s="113"/>
    </row>
    <row r="670" spans="2:14">
      <c r="B670" s="105"/>
      <c r="C670" s="106"/>
      <c r="D670" s="107"/>
      <c r="E670" s="65"/>
      <c r="F670" s="64"/>
      <c r="G670" s="64"/>
      <c r="H670" s="64"/>
      <c r="I670" s="70"/>
      <c r="J670" s="70"/>
      <c r="K670" s="110" t="str">
        <f>IF(H670="","",IF($C$29="간이법","",FPR(H670,I670,J670)))</f>
        <v/>
      </c>
      <c r="L670" s="111" t="str">
        <f>IF(H670="","",IF($C$29="상세법",FPV(H670,K670),IF(H670="EI",4,IF(H670="EO",5.2,IF(H670="EQ",3.9,IF(H670="ILF",7.5,IF(H670="EIF",5.4)))))))</f>
        <v/>
      </c>
      <c r="M670" s="112" t="str">
        <f t="shared" si="13"/>
        <v/>
      </c>
      <c r="N670" s="113"/>
    </row>
    <row r="671" spans="2:14">
      <c r="B671" s="105"/>
      <c r="C671" s="106"/>
      <c r="D671" s="107"/>
      <c r="E671" s="65"/>
      <c r="F671" s="64"/>
      <c r="G671" s="64"/>
      <c r="H671" s="64"/>
      <c r="I671" s="70"/>
      <c r="J671" s="70"/>
      <c r="K671" s="110" t="str">
        <f>IF(H671="","",IF($C$29="간이법","",FPR(H671,I671,J671)))</f>
        <v/>
      </c>
      <c r="L671" s="111" t="str">
        <f>IF(H671="","",IF($C$29="상세법",FPV(H671,K671),IF(H671="EI",4,IF(H671="EO",5.2,IF(H671="EQ",3.9,IF(H671="ILF",7.5,IF(H671="EIF",5.4)))))))</f>
        <v/>
      </c>
      <c r="M671" s="112" t="str">
        <f t="shared" si="13"/>
        <v/>
      </c>
      <c r="N671" s="113"/>
    </row>
    <row r="672" spans="2:14">
      <c r="B672" s="105"/>
      <c r="C672" s="106"/>
      <c r="D672" s="107"/>
      <c r="E672" s="65"/>
      <c r="F672" s="64"/>
      <c r="G672" s="64"/>
      <c r="H672" s="64"/>
      <c r="I672" s="70"/>
      <c r="J672" s="70"/>
      <c r="K672" s="110" t="str">
        <f>IF(H672="","",IF($C$29="간이법","",FPR(H672,I672,J672)))</f>
        <v/>
      </c>
      <c r="L672" s="111" t="str">
        <f>IF(H672="","",IF($C$29="상세법",FPV(H672,K672),IF(H672="EI",4,IF(H672="EO",5.2,IF(H672="EQ",3.9,IF(H672="ILF",7.5,IF(H672="EIF",5.4)))))))</f>
        <v/>
      </c>
      <c r="M672" s="112" t="str">
        <f t="shared" si="13"/>
        <v/>
      </c>
      <c r="N672" s="113"/>
    </row>
    <row r="673" spans="2:14">
      <c r="B673" s="105"/>
      <c r="C673" s="106"/>
      <c r="D673" s="107"/>
      <c r="E673" s="65"/>
      <c r="F673" s="64"/>
      <c r="G673" s="64"/>
      <c r="H673" s="64"/>
      <c r="I673" s="70"/>
      <c r="J673" s="70"/>
      <c r="K673" s="110" t="str">
        <f>IF(H673="","",IF($C$29="간이법","",FPR(H673,I673,J673)))</f>
        <v/>
      </c>
      <c r="L673" s="111" t="str">
        <f>IF(H673="","",IF($C$29="상세법",FPV(H673,K673),IF(H673="EI",4,IF(H673="EO",5.2,IF(H673="EQ",3.9,IF(H673="ILF",7.5,IF(H673="EIF",5.4)))))))</f>
        <v/>
      </c>
      <c r="M673" s="112" t="str">
        <f t="shared" si="13"/>
        <v/>
      </c>
      <c r="N673" s="113"/>
    </row>
    <row r="674" spans="2:14">
      <c r="B674" s="105"/>
      <c r="C674" s="106"/>
      <c r="D674" s="107"/>
      <c r="E674" s="65"/>
      <c r="F674" s="64"/>
      <c r="G674" s="64"/>
      <c r="H674" s="64"/>
      <c r="I674" s="70"/>
      <c r="J674" s="70"/>
      <c r="K674" s="110" t="str">
        <f>IF(H674="","",IF($C$29="간이법","",FPR(H674,I674,J674)))</f>
        <v/>
      </c>
      <c r="L674" s="111" t="str">
        <f>IF(H674="","",IF($C$29="상세법",FPV(H674,K674),IF(H674="EI",4,IF(H674="EO",5.2,IF(H674="EQ",3.9,IF(H674="ILF",7.5,IF(H674="EIF",5.4)))))))</f>
        <v/>
      </c>
      <c r="M674" s="112" t="str">
        <f t="shared" si="13"/>
        <v/>
      </c>
      <c r="N674" s="113"/>
    </row>
    <row r="675" spans="2:14">
      <c r="B675" s="105"/>
      <c r="C675" s="106"/>
      <c r="D675" s="107"/>
      <c r="E675" s="65"/>
      <c r="F675" s="64"/>
      <c r="G675" s="64"/>
      <c r="H675" s="64"/>
      <c r="I675" s="70"/>
      <c r="J675" s="70"/>
      <c r="K675" s="110" t="str">
        <f>IF(H675="","",IF($C$29="간이법","",FPR(H675,I675,J675)))</f>
        <v/>
      </c>
      <c r="L675" s="111" t="str">
        <f>IF(H675="","",IF($C$29="상세법",FPV(H675,K675),IF(H675="EI",4,IF(H675="EO",5.2,IF(H675="EQ",3.9,IF(H675="ILF",7.5,IF(H675="EIF",5.4)))))))</f>
        <v/>
      </c>
      <c r="M675" s="112" t="str">
        <f t="shared" si="13"/>
        <v/>
      </c>
      <c r="N675" s="113"/>
    </row>
    <row r="676" spans="2:14">
      <c r="B676" s="105"/>
      <c r="C676" s="106"/>
      <c r="D676" s="107"/>
      <c r="E676" s="65"/>
      <c r="F676" s="64"/>
      <c r="G676" s="64"/>
      <c r="H676" s="64"/>
      <c r="I676" s="70"/>
      <c r="J676" s="70"/>
      <c r="K676" s="110" t="str">
        <f>IF(H676="","",IF($C$29="간이법","",FPR(H676,I676,J676)))</f>
        <v/>
      </c>
      <c r="L676" s="111" t="str">
        <f>IF(H676="","",IF($C$29="상세법",FPV(H676,K676),IF(H676="EI",4,IF(H676="EO",5.2,IF(H676="EQ",3.9,IF(H676="ILF",7.5,IF(H676="EIF",5.4)))))))</f>
        <v/>
      </c>
      <c r="M676" s="112" t="str">
        <f t="shared" si="13"/>
        <v/>
      </c>
      <c r="N676" s="113"/>
    </row>
    <row r="677" spans="2:14">
      <c r="B677" s="105"/>
      <c r="C677" s="106"/>
      <c r="D677" s="107"/>
      <c r="E677" s="65"/>
      <c r="F677" s="64"/>
      <c r="G677" s="64"/>
      <c r="H677" s="64"/>
      <c r="I677" s="70"/>
      <c r="J677" s="70"/>
      <c r="K677" s="110" t="str">
        <f>IF(H677="","",IF($C$29="간이법","",FPR(H677,I677,J677)))</f>
        <v/>
      </c>
      <c r="L677" s="111" t="str">
        <f>IF(H677="","",IF($C$29="상세법",FPV(H677,K677),IF(H677="EI",4,IF(H677="EO",5.2,IF(H677="EQ",3.9,IF(H677="ILF",7.5,IF(H677="EIF",5.4)))))))</f>
        <v/>
      </c>
      <c r="M677" s="112" t="str">
        <f t="shared" si="13"/>
        <v/>
      </c>
      <c r="N677" s="113"/>
    </row>
    <row r="678" spans="2:14">
      <c r="B678" s="105"/>
      <c r="C678" s="106"/>
      <c r="D678" s="107"/>
      <c r="E678" s="65"/>
      <c r="F678" s="64"/>
      <c r="G678" s="64"/>
      <c r="H678" s="64"/>
      <c r="I678" s="70"/>
      <c r="J678" s="70"/>
      <c r="K678" s="110" t="str">
        <f>IF(H678="","",IF($C$29="간이법","",FPR(H678,I678,J678)))</f>
        <v/>
      </c>
      <c r="L678" s="111" t="str">
        <f>IF(H678="","",IF($C$29="상세법",FPV(H678,K678),IF(H678="EI",4,IF(H678="EO",5.2,IF(H678="EQ",3.9,IF(H678="ILF",7.5,IF(H678="EIF",5.4)))))))</f>
        <v/>
      </c>
      <c r="M678" s="112" t="str">
        <f t="shared" si="13"/>
        <v/>
      </c>
      <c r="N678" s="113"/>
    </row>
    <row r="679" spans="2:14">
      <c r="B679" s="105"/>
      <c r="C679" s="106"/>
      <c r="D679" s="107"/>
      <c r="E679" s="65"/>
      <c r="F679" s="64"/>
      <c r="G679" s="64"/>
      <c r="H679" s="64"/>
      <c r="I679" s="70"/>
      <c r="J679" s="70"/>
      <c r="K679" s="110" t="str">
        <f>IF(H679="","",IF($C$29="간이법","",FPR(H679,I679,J679)))</f>
        <v/>
      </c>
      <c r="L679" s="111" t="str">
        <f>IF(H679="","",IF($C$29="상세법",FPV(H679,K679),IF(H679="EI",4,IF(H679="EO",5.2,IF(H679="EQ",3.9,IF(H679="ILF",7.5,IF(H679="EIF",5.4)))))))</f>
        <v/>
      </c>
      <c r="M679" s="112" t="str">
        <f t="shared" si="13"/>
        <v/>
      </c>
      <c r="N679" s="113"/>
    </row>
    <row r="680" spans="2:14">
      <c r="B680" s="105"/>
      <c r="C680" s="106"/>
      <c r="D680" s="107"/>
      <c r="E680" s="65"/>
      <c r="F680" s="64"/>
      <c r="G680" s="64"/>
      <c r="H680" s="64"/>
      <c r="I680" s="70"/>
      <c r="J680" s="70"/>
      <c r="K680" s="110" t="str">
        <f>IF(H680="","",IF($C$29="간이법","",FPR(H680,I680,J680)))</f>
        <v/>
      </c>
      <c r="L680" s="111" t="str">
        <f>IF(H680="","",IF($C$29="상세법",FPV(H680,K680),IF(H680="EI",4,IF(H680="EO",5.2,IF(H680="EQ",3.9,IF(H680="ILF",7.5,IF(H680="EIF",5.4)))))))</f>
        <v/>
      </c>
      <c r="M680" s="112" t="str">
        <f t="shared" si="13"/>
        <v/>
      </c>
      <c r="N680" s="113"/>
    </row>
    <row r="681" spans="2:14">
      <c r="B681" s="105"/>
      <c r="C681" s="106"/>
      <c r="D681" s="107"/>
      <c r="E681" s="65"/>
      <c r="F681" s="64"/>
      <c r="G681" s="64"/>
      <c r="H681" s="64"/>
      <c r="I681" s="70"/>
      <c r="J681" s="70"/>
      <c r="K681" s="110" t="str">
        <f>IF(H681="","",IF($C$29="간이법","",FPR(H681,I681,J681)))</f>
        <v/>
      </c>
      <c r="L681" s="111" t="str">
        <f>IF(H681="","",IF($C$29="상세법",FPV(H681,K681),IF(H681="EI",4,IF(H681="EO",5.2,IF(H681="EQ",3.9,IF(H681="ILF",7.5,IF(H681="EIF",5.4)))))))</f>
        <v/>
      </c>
      <c r="M681" s="112" t="str">
        <f t="shared" si="13"/>
        <v/>
      </c>
      <c r="N681" s="113"/>
    </row>
    <row r="682" spans="2:14">
      <c r="B682" s="105"/>
      <c r="C682" s="106"/>
      <c r="D682" s="107"/>
      <c r="E682" s="65"/>
      <c r="F682" s="64"/>
      <c r="G682" s="64"/>
      <c r="H682" s="64"/>
      <c r="I682" s="70"/>
      <c r="J682" s="70"/>
      <c r="K682" s="110" t="str">
        <f>IF(H682="","",IF($C$29="간이법","",FPR(H682,I682,J682)))</f>
        <v/>
      </c>
      <c r="L682" s="111" t="str">
        <f>IF(H682="","",IF($C$29="상세법",FPV(H682,K682),IF(H682="EI",4,IF(H682="EO",5.2,IF(H682="EQ",3.9,IF(H682="ILF",7.5,IF(H682="EIF",5.4)))))))</f>
        <v/>
      </c>
      <c r="M682" s="112" t="str">
        <f t="shared" si="13"/>
        <v/>
      </c>
      <c r="N682" s="113"/>
    </row>
    <row r="683" spans="2:14">
      <c r="B683" s="105"/>
      <c r="C683" s="106"/>
      <c r="D683" s="107"/>
      <c r="E683" s="65"/>
      <c r="F683" s="64"/>
      <c r="G683" s="64"/>
      <c r="H683" s="64"/>
      <c r="I683" s="70"/>
      <c r="J683" s="70"/>
      <c r="K683" s="110" t="str">
        <f>IF(H683="","",IF($C$29="간이법","",FPR(H683,I683,J683)))</f>
        <v/>
      </c>
      <c r="L683" s="111" t="str">
        <f>IF(H683="","",IF($C$29="상세법",FPV(H683,K683),IF(H683="EI",4,IF(H683="EO",5.2,IF(H683="EQ",3.9,IF(H683="ILF",7.5,IF(H683="EIF",5.4)))))))</f>
        <v/>
      </c>
      <c r="M683" s="112" t="str">
        <f t="shared" si="13"/>
        <v/>
      </c>
      <c r="N683" s="113"/>
    </row>
    <row r="684" spans="2:14">
      <c r="B684" s="105"/>
      <c r="C684" s="106"/>
      <c r="D684" s="107"/>
      <c r="E684" s="65"/>
      <c r="F684" s="64"/>
      <c r="G684" s="64"/>
      <c r="H684" s="64"/>
      <c r="I684" s="70"/>
      <c r="J684" s="70"/>
      <c r="K684" s="110" t="str">
        <f>IF(H684="","",IF($C$29="간이법","",FPR(H684,I684,J684)))</f>
        <v/>
      </c>
      <c r="L684" s="111" t="str">
        <f>IF(H684="","",IF($C$29="상세법",FPV(H684,K684),IF(H684="EI",4,IF(H684="EO",5.2,IF(H684="EQ",3.9,IF(H684="ILF",7.5,IF(H684="EIF",5.4)))))))</f>
        <v/>
      </c>
      <c r="M684" s="112" t="str">
        <f t="shared" si="13"/>
        <v/>
      </c>
      <c r="N684" s="113"/>
    </row>
    <row r="685" spans="2:14">
      <c r="B685" s="105"/>
      <c r="C685" s="106"/>
      <c r="D685" s="107"/>
      <c r="E685" s="65"/>
      <c r="F685" s="64"/>
      <c r="G685" s="64"/>
      <c r="H685" s="64"/>
      <c r="I685" s="70"/>
      <c r="J685" s="70"/>
      <c r="K685" s="110" t="str">
        <f>IF(H685="","",IF($C$29="간이법","",FPR(H685,I685,J685)))</f>
        <v/>
      </c>
      <c r="L685" s="111" t="str">
        <f>IF(H685="","",IF($C$29="상세법",FPV(H685,K685),IF(H685="EI",4,IF(H685="EO",5.2,IF(H685="EQ",3.9,IF(H685="ILF",7.5,IF(H685="EIF",5.4)))))))</f>
        <v/>
      </c>
      <c r="M685" s="112" t="str">
        <f t="shared" si="13"/>
        <v/>
      </c>
      <c r="N685" s="113"/>
    </row>
    <row r="686" spans="2:14">
      <c r="B686" s="105"/>
      <c r="C686" s="106"/>
      <c r="D686" s="107"/>
      <c r="E686" s="65"/>
      <c r="F686" s="64"/>
      <c r="G686" s="64"/>
      <c r="H686" s="64"/>
      <c r="I686" s="70"/>
      <c r="J686" s="70"/>
      <c r="K686" s="110" t="str">
        <f>IF(H686="","",IF($C$29="간이법","",FPR(H686,I686,J686)))</f>
        <v/>
      </c>
      <c r="L686" s="111" t="str">
        <f>IF(H686="","",IF($C$29="상세법",FPV(H686,K686),IF(H686="EI",4,IF(H686="EO",5.2,IF(H686="EQ",3.9,IF(H686="ILF",7.5,IF(H686="EIF",5.4)))))))</f>
        <v/>
      </c>
      <c r="M686" s="112" t="str">
        <f t="shared" si="13"/>
        <v/>
      </c>
      <c r="N686" s="113"/>
    </row>
    <row r="687" spans="2:14">
      <c r="B687" s="105"/>
      <c r="C687" s="106"/>
      <c r="D687" s="107"/>
      <c r="E687" s="65"/>
      <c r="F687" s="64"/>
      <c r="G687" s="64"/>
      <c r="H687" s="64"/>
      <c r="I687" s="70"/>
      <c r="J687" s="70"/>
      <c r="K687" s="110" t="str">
        <f>IF(H687="","",IF($C$29="간이법","",FPR(H687,I687,J687)))</f>
        <v/>
      </c>
      <c r="L687" s="111" t="str">
        <f>IF(H687="","",IF($C$29="상세법",FPV(H687,K687),IF(H687="EI",4,IF(H687="EO",5.2,IF(H687="EQ",3.9,IF(H687="ILF",7.5,IF(H687="EIF",5.4)))))))</f>
        <v/>
      </c>
      <c r="M687" s="112" t="str">
        <f t="shared" si="13"/>
        <v/>
      </c>
      <c r="N687" s="113"/>
    </row>
    <row r="688" spans="2:14">
      <c r="B688" s="105"/>
      <c r="C688" s="106"/>
      <c r="D688" s="107"/>
      <c r="E688" s="65"/>
      <c r="F688" s="64"/>
      <c r="G688" s="64"/>
      <c r="H688" s="64"/>
      <c r="I688" s="70"/>
      <c r="J688" s="70"/>
      <c r="K688" s="110" t="str">
        <f>IF(H688="","",IF($C$29="간이법","",FPR(H688,I688,J688)))</f>
        <v/>
      </c>
      <c r="L688" s="111" t="str">
        <f>IF(H688="","",IF($C$29="상세법",FPV(H688,K688),IF(H688="EI",4,IF(H688="EO",5.2,IF(H688="EQ",3.9,IF(H688="ILF",7.5,IF(H688="EIF",5.4)))))))</f>
        <v/>
      </c>
      <c r="M688" s="112" t="str">
        <f t="shared" si="13"/>
        <v/>
      </c>
      <c r="N688" s="113"/>
    </row>
    <row r="689" spans="2:14">
      <c r="B689" s="105"/>
      <c r="C689" s="106"/>
      <c r="D689" s="107"/>
      <c r="E689" s="65"/>
      <c r="F689" s="64"/>
      <c r="G689" s="64"/>
      <c r="H689" s="64"/>
      <c r="I689" s="70"/>
      <c r="J689" s="70"/>
      <c r="K689" s="110" t="str">
        <f>IF(H689="","",IF($C$29="간이법","",FPR(H689,I689,J689)))</f>
        <v/>
      </c>
      <c r="L689" s="111" t="str">
        <f>IF(H689="","",IF($C$29="상세법",FPV(H689,K689),IF(H689="EI",4,IF(H689="EO",5.2,IF(H689="EQ",3.9,IF(H689="ILF",7.5,IF(H689="EIF",5.4)))))))</f>
        <v/>
      </c>
      <c r="M689" s="112" t="str">
        <f t="shared" si="13"/>
        <v/>
      </c>
      <c r="N689" s="113"/>
    </row>
    <row r="690" spans="2:14">
      <c r="B690" s="105"/>
      <c r="C690" s="106"/>
      <c r="D690" s="107"/>
      <c r="E690" s="65"/>
      <c r="F690" s="64"/>
      <c r="G690" s="64"/>
      <c r="H690" s="64"/>
      <c r="I690" s="70"/>
      <c r="J690" s="70"/>
      <c r="K690" s="110" t="str">
        <f>IF(H690="","",IF($C$29="간이법","",FPR(H690,I690,J690)))</f>
        <v/>
      </c>
      <c r="L690" s="111" t="str">
        <f>IF(H690="","",IF($C$29="상세법",FPV(H690,K690),IF(H690="EI",4,IF(H690="EO",5.2,IF(H690="EQ",3.9,IF(H690="ILF",7.5,IF(H690="EIF",5.4)))))))</f>
        <v/>
      </c>
      <c r="M690" s="112" t="str">
        <f t="shared" si="13"/>
        <v/>
      </c>
      <c r="N690" s="113"/>
    </row>
    <row r="691" spans="2:14">
      <c r="B691" s="105"/>
      <c r="C691" s="106"/>
      <c r="D691" s="107"/>
      <c r="E691" s="65"/>
      <c r="F691" s="64"/>
      <c r="G691" s="64"/>
      <c r="H691" s="64"/>
      <c r="I691" s="70"/>
      <c r="J691" s="70"/>
      <c r="K691" s="110" t="str">
        <f>IF(H691="","",IF($C$29="간이법","",FPR(H691,I691,J691)))</f>
        <v/>
      </c>
      <c r="L691" s="111" t="str">
        <f>IF(H691="","",IF($C$29="상세법",FPV(H691,K691),IF(H691="EI",4,IF(H691="EO",5.2,IF(H691="EQ",3.9,IF(H691="ILF",7.5,IF(H691="EIF",5.4)))))))</f>
        <v/>
      </c>
      <c r="M691" s="112" t="str">
        <f t="shared" si="13"/>
        <v/>
      </c>
      <c r="N691" s="113"/>
    </row>
    <row r="692" spans="2:14">
      <c r="B692" s="105"/>
      <c r="C692" s="106"/>
      <c r="D692" s="107"/>
      <c r="E692" s="65"/>
      <c r="F692" s="64"/>
      <c r="G692" s="64"/>
      <c r="H692" s="64"/>
      <c r="I692" s="70"/>
      <c r="J692" s="70"/>
      <c r="K692" s="110" t="str">
        <f>IF(H692="","",IF($C$29="간이법","",FPR(H692,I692,J692)))</f>
        <v/>
      </c>
      <c r="L692" s="111" t="str">
        <f>IF(H692="","",IF($C$29="상세법",FPV(H692,K692),IF(H692="EI",4,IF(H692="EO",5.2,IF(H692="EQ",3.9,IF(H692="ILF",7.5,IF(H692="EIF",5.4)))))))</f>
        <v/>
      </c>
      <c r="M692" s="112" t="str">
        <f t="shared" si="13"/>
        <v/>
      </c>
      <c r="N692" s="113"/>
    </row>
    <row r="693" spans="2:14">
      <c r="B693" s="105"/>
      <c r="C693" s="106"/>
      <c r="D693" s="107"/>
      <c r="E693" s="65"/>
      <c r="F693" s="64"/>
      <c r="G693" s="64"/>
      <c r="H693" s="64"/>
      <c r="I693" s="70"/>
      <c r="J693" s="70"/>
      <c r="K693" s="110" t="str">
        <f>IF(H693="","",IF($C$29="간이법","",FPR(H693,I693,J693)))</f>
        <v/>
      </c>
      <c r="L693" s="111" t="str">
        <f>IF(H693="","",IF($C$29="상세법",FPV(H693,K693),IF(H693="EI",4,IF(H693="EO",5.2,IF(H693="EQ",3.9,IF(H693="ILF",7.5,IF(H693="EIF",5.4)))))))</f>
        <v/>
      </c>
      <c r="M693" s="112" t="str">
        <f t="shared" si="13"/>
        <v/>
      </c>
      <c r="N693" s="113"/>
    </row>
    <row r="694" spans="2:14">
      <c r="B694" s="105"/>
      <c r="C694" s="106"/>
      <c r="D694" s="107"/>
      <c r="E694" s="65"/>
      <c r="F694" s="64"/>
      <c r="G694" s="64"/>
      <c r="H694" s="64"/>
      <c r="I694" s="70"/>
      <c r="J694" s="70"/>
      <c r="K694" s="110" t="str">
        <f>IF(H694="","",IF($C$29="간이법","",FPR(H694,I694,J694)))</f>
        <v/>
      </c>
      <c r="L694" s="111" t="str">
        <f>IF(H694="","",IF($C$29="상세법",FPV(H694,K694),IF(H694="EI",4,IF(H694="EO",5.2,IF(H694="EQ",3.9,IF(H694="ILF",7.5,IF(H694="EIF",5.4)))))))</f>
        <v/>
      </c>
      <c r="M694" s="112" t="str">
        <f t="shared" si="13"/>
        <v/>
      </c>
      <c r="N694" s="113"/>
    </row>
    <row r="695" spans="2:14">
      <c r="B695" s="105"/>
      <c r="C695" s="106"/>
      <c r="D695" s="107"/>
      <c r="E695" s="65"/>
      <c r="F695" s="64"/>
      <c r="G695" s="64"/>
      <c r="H695" s="64"/>
      <c r="I695" s="70"/>
      <c r="J695" s="70"/>
      <c r="K695" s="110" t="str">
        <f>IF(H695="","",IF($C$29="간이법","",FPR(H695,I695,J695)))</f>
        <v/>
      </c>
      <c r="L695" s="111" t="str">
        <f>IF(H695="","",IF($C$29="상세법",FPV(H695,K695),IF(H695="EI",4,IF(H695="EO",5.2,IF(H695="EQ",3.9,IF(H695="ILF",7.5,IF(H695="EIF",5.4)))))))</f>
        <v/>
      </c>
      <c r="M695" s="112" t="str">
        <f t="shared" si="13"/>
        <v/>
      </c>
      <c r="N695" s="113"/>
    </row>
    <row r="696" spans="2:14">
      <c r="B696" s="105"/>
      <c r="C696" s="106"/>
      <c r="D696" s="107"/>
      <c r="E696" s="65"/>
      <c r="F696" s="64"/>
      <c r="G696" s="64"/>
      <c r="H696" s="64"/>
      <c r="I696" s="70"/>
      <c r="J696" s="70"/>
      <c r="K696" s="110" t="str">
        <f>IF(H696="","",IF($C$29="간이법","",FPR(H696,I696,J696)))</f>
        <v/>
      </c>
      <c r="L696" s="111" t="str">
        <f>IF(H696="","",IF($C$29="상세법",FPV(H696,K696),IF(H696="EI",4,IF(H696="EO",5.2,IF(H696="EQ",3.9,IF(H696="ILF",7.5,IF(H696="EIF",5.4)))))))</f>
        <v/>
      </c>
      <c r="M696" s="112" t="str">
        <f t="shared" si="13"/>
        <v/>
      </c>
      <c r="N696" s="113"/>
    </row>
    <row r="697" spans="2:14">
      <c r="B697" s="105"/>
      <c r="C697" s="106"/>
      <c r="D697" s="107"/>
      <c r="E697" s="65"/>
      <c r="F697" s="64"/>
      <c r="G697" s="64"/>
      <c r="H697" s="64"/>
      <c r="I697" s="70"/>
      <c r="J697" s="70"/>
      <c r="K697" s="110" t="str">
        <f>IF(H697="","",IF($C$29="간이법","",FPR(H697,I697,J697)))</f>
        <v/>
      </c>
      <c r="L697" s="111" t="str">
        <f>IF(H697="","",IF($C$29="상세법",FPV(H697,K697),IF(H697="EI",4,IF(H697="EO",5.2,IF(H697="EQ",3.9,IF(H697="ILF",7.5,IF(H697="EIF",5.4)))))))</f>
        <v/>
      </c>
      <c r="M697" s="112" t="str">
        <f t="shared" ref="M697:M760" si="14">IF(L697="","",L697*IF(G697="상",0.7,IF(G697="중",0.5,IF(G697="하",0.2,1))))</f>
        <v/>
      </c>
      <c r="N697" s="113"/>
    </row>
    <row r="698" spans="2:14">
      <c r="B698" s="105"/>
      <c r="C698" s="106"/>
      <c r="D698" s="107"/>
      <c r="E698" s="65"/>
      <c r="F698" s="64"/>
      <c r="G698" s="64"/>
      <c r="H698" s="64"/>
      <c r="I698" s="70"/>
      <c r="J698" s="70"/>
      <c r="K698" s="110" t="str">
        <f>IF(H698="","",IF($C$29="간이법","",FPR(H698,I698,J698)))</f>
        <v/>
      </c>
      <c r="L698" s="111" t="str">
        <f>IF(H698="","",IF($C$29="상세법",FPV(H698,K698),IF(H698="EI",4,IF(H698="EO",5.2,IF(H698="EQ",3.9,IF(H698="ILF",7.5,IF(H698="EIF",5.4)))))))</f>
        <v/>
      </c>
      <c r="M698" s="112" t="str">
        <f t="shared" si="14"/>
        <v/>
      </c>
      <c r="N698" s="113"/>
    </row>
    <row r="699" spans="2:14">
      <c r="B699" s="105"/>
      <c r="C699" s="106"/>
      <c r="D699" s="107"/>
      <c r="E699" s="65"/>
      <c r="F699" s="64"/>
      <c r="G699" s="64"/>
      <c r="H699" s="64"/>
      <c r="I699" s="70"/>
      <c r="J699" s="70"/>
      <c r="K699" s="110" t="str">
        <f>IF(H699="","",IF($C$29="간이법","",FPR(H699,I699,J699)))</f>
        <v/>
      </c>
      <c r="L699" s="111" t="str">
        <f>IF(H699="","",IF($C$29="상세법",FPV(H699,K699),IF(H699="EI",4,IF(H699="EO",5.2,IF(H699="EQ",3.9,IF(H699="ILF",7.5,IF(H699="EIF",5.4)))))))</f>
        <v/>
      </c>
      <c r="M699" s="112" t="str">
        <f t="shared" si="14"/>
        <v/>
      </c>
      <c r="N699" s="113"/>
    </row>
    <row r="700" spans="2:14">
      <c r="B700" s="105"/>
      <c r="C700" s="106"/>
      <c r="D700" s="107"/>
      <c r="E700" s="65"/>
      <c r="F700" s="64"/>
      <c r="G700" s="64"/>
      <c r="H700" s="64"/>
      <c r="I700" s="70"/>
      <c r="J700" s="70"/>
      <c r="K700" s="110" t="str">
        <f>IF(H700="","",IF($C$29="간이법","",FPR(H700,I700,J700)))</f>
        <v/>
      </c>
      <c r="L700" s="111" t="str">
        <f>IF(H700="","",IF($C$29="상세법",FPV(H700,K700),IF(H700="EI",4,IF(H700="EO",5.2,IF(H700="EQ",3.9,IF(H700="ILF",7.5,IF(H700="EIF",5.4)))))))</f>
        <v/>
      </c>
      <c r="M700" s="112" t="str">
        <f t="shared" si="14"/>
        <v/>
      </c>
      <c r="N700" s="113"/>
    </row>
    <row r="701" spans="2:14">
      <c r="B701" s="105"/>
      <c r="C701" s="106"/>
      <c r="D701" s="107"/>
      <c r="E701" s="65"/>
      <c r="F701" s="64"/>
      <c r="G701" s="64"/>
      <c r="H701" s="64"/>
      <c r="I701" s="70"/>
      <c r="J701" s="70"/>
      <c r="K701" s="110" t="str">
        <f>IF(H701="","",IF($C$29="간이법","",FPR(H701,I701,J701)))</f>
        <v/>
      </c>
      <c r="L701" s="111" t="str">
        <f>IF(H701="","",IF($C$29="상세법",FPV(H701,K701),IF(H701="EI",4,IF(H701="EO",5.2,IF(H701="EQ",3.9,IF(H701="ILF",7.5,IF(H701="EIF",5.4)))))))</f>
        <v/>
      </c>
      <c r="M701" s="112" t="str">
        <f t="shared" si="14"/>
        <v/>
      </c>
      <c r="N701" s="113"/>
    </row>
    <row r="702" spans="2:14">
      <c r="B702" s="105"/>
      <c r="C702" s="106"/>
      <c r="D702" s="107"/>
      <c r="E702" s="65"/>
      <c r="F702" s="64"/>
      <c r="G702" s="64"/>
      <c r="H702" s="64"/>
      <c r="I702" s="70"/>
      <c r="J702" s="70"/>
      <c r="K702" s="110" t="str">
        <f>IF(H702="","",IF($C$29="간이법","",FPR(H702,I702,J702)))</f>
        <v/>
      </c>
      <c r="L702" s="111" t="str">
        <f>IF(H702="","",IF($C$29="상세법",FPV(H702,K702),IF(H702="EI",4,IF(H702="EO",5.2,IF(H702="EQ",3.9,IF(H702="ILF",7.5,IF(H702="EIF",5.4)))))))</f>
        <v/>
      </c>
      <c r="M702" s="112" t="str">
        <f t="shared" si="14"/>
        <v/>
      </c>
      <c r="N702" s="113"/>
    </row>
    <row r="703" spans="2:14">
      <c r="B703" s="105"/>
      <c r="C703" s="106"/>
      <c r="D703" s="107"/>
      <c r="E703" s="65"/>
      <c r="F703" s="64"/>
      <c r="G703" s="64"/>
      <c r="H703" s="64"/>
      <c r="I703" s="70"/>
      <c r="J703" s="70"/>
      <c r="K703" s="110" t="str">
        <f>IF(H703="","",IF($C$29="간이법","",FPR(H703,I703,J703)))</f>
        <v/>
      </c>
      <c r="L703" s="111" t="str">
        <f>IF(H703="","",IF($C$29="상세법",FPV(H703,K703),IF(H703="EI",4,IF(H703="EO",5.2,IF(H703="EQ",3.9,IF(H703="ILF",7.5,IF(H703="EIF",5.4)))))))</f>
        <v/>
      </c>
      <c r="M703" s="112" t="str">
        <f t="shared" si="14"/>
        <v/>
      </c>
      <c r="N703" s="113"/>
    </row>
    <row r="704" spans="2:14">
      <c r="B704" s="105"/>
      <c r="C704" s="106"/>
      <c r="D704" s="107"/>
      <c r="E704" s="65"/>
      <c r="F704" s="64"/>
      <c r="G704" s="64"/>
      <c r="H704" s="64"/>
      <c r="I704" s="70"/>
      <c r="J704" s="70"/>
      <c r="K704" s="110" t="str">
        <f>IF(H704="","",IF($C$29="간이법","",FPR(H704,I704,J704)))</f>
        <v/>
      </c>
      <c r="L704" s="111" t="str">
        <f>IF(H704="","",IF($C$29="상세법",FPV(H704,K704),IF(H704="EI",4,IF(H704="EO",5.2,IF(H704="EQ",3.9,IF(H704="ILF",7.5,IF(H704="EIF",5.4)))))))</f>
        <v/>
      </c>
      <c r="M704" s="112" t="str">
        <f t="shared" si="14"/>
        <v/>
      </c>
      <c r="N704" s="113"/>
    </row>
    <row r="705" spans="2:14">
      <c r="B705" s="105"/>
      <c r="C705" s="106"/>
      <c r="D705" s="107"/>
      <c r="E705" s="65"/>
      <c r="F705" s="64"/>
      <c r="G705" s="64"/>
      <c r="H705" s="64"/>
      <c r="I705" s="70"/>
      <c r="J705" s="70"/>
      <c r="K705" s="110" t="str">
        <f>IF(H705="","",IF($C$29="간이법","",FPR(H705,I705,J705)))</f>
        <v/>
      </c>
      <c r="L705" s="111" t="str">
        <f>IF(H705="","",IF($C$29="상세법",FPV(H705,K705),IF(H705="EI",4,IF(H705="EO",5.2,IF(H705="EQ",3.9,IF(H705="ILF",7.5,IF(H705="EIF",5.4)))))))</f>
        <v/>
      </c>
      <c r="M705" s="112" t="str">
        <f t="shared" si="14"/>
        <v/>
      </c>
      <c r="N705" s="113"/>
    </row>
    <row r="706" spans="2:14">
      <c r="B706" s="105"/>
      <c r="C706" s="106"/>
      <c r="D706" s="107"/>
      <c r="E706" s="65"/>
      <c r="F706" s="64"/>
      <c r="G706" s="64"/>
      <c r="H706" s="64"/>
      <c r="I706" s="70"/>
      <c r="J706" s="70"/>
      <c r="K706" s="110" t="str">
        <f>IF(H706="","",IF($C$29="간이법","",FPR(H706,I706,J706)))</f>
        <v/>
      </c>
      <c r="L706" s="111" t="str">
        <f>IF(H706="","",IF($C$29="상세법",FPV(H706,K706),IF(H706="EI",4,IF(H706="EO",5.2,IF(H706="EQ",3.9,IF(H706="ILF",7.5,IF(H706="EIF",5.4)))))))</f>
        <v/>
      </c>
      <c r="M706" s="112" t="str">
        <f t="shared" si="14"/>
        <v/>
      </c>
      <c r="N706" s="113"/>
    </row>
    <row r="707" spans="2:14">
      <c r="B707" s="105"/>
      <c r="C707" s="106"/>
      <c r="D707" s="107"/>
      <c r="E707" s="65"/>
      <c r="F707" s="64"/>
      <c r="G707" s="64"/>
      <c r="H707" s="64"/>
      <c r="I707" s="70"/>
      <c r="J707" s="70"/>
      <c r="K707" s="110" t="str">
        <f>IF(H707="","",IF($C$29="간이법","",FPR(H707,I707,J707)))</f>
        <v/>
      </c>
      <c r="L707" s="111" t="str">
        <f>IF(H707="","",IF($C$29="상세법",FPV(H707,K707),IF(H707="EI",4,IF(H707="EO",5.2,IF(H707="EQ",3.9,IF(H707="ILF",7.5,IF(H707="EIF",5.4)))))))</f>
        <v/>
      </c>
      <c r="M707" s="112" t="str">
        <f t="shared" si="14"/>
        <v/>
      </c>
      <c r="N707" s="113"/>
    </row>
    <row r="708" spans="2:14">
      <c r="B708" s="105"/>
      <c r="C708" s="106"/>
      <c r="D708" s="107"/>
      <c r="E708" s="65"/>
      <c r="F708" s="64"/>
      <c r="G708" s="64"/>
      <c r="H708" s="64"/>
      <c r="I708" s="70"/>
      <c r="J708" s="70"/>
      <c r="K708" s="110" t="str">
        <f>IF(H708="","",IF($C$29="간이법","",FPR(H708,I708,J708)))</f>
        <v/>
      </c>
      <c r="L708" s="111" t="str">
        <f>IF(H708="","",IF($C$29="상세법",FPV(H708,K708),IF(H708="EI",4,IF(H708="EO",5.2,IF(H708="EQ",3.9,IF(H708="ILF",7.5,IF(H708="EIF",5.4)))))))</f>
        <v/>
      </c>
      <c r="M708" s="112" t="str">
        <f t="shared" si="14"/>
        <v/>
      </c>
      <c r="N708" s="113"/>
    </row>
    <row r="709" spans="2:14">
      <c r="B709" s="105"/>
      <c r="C709" s="106"/>
      <c r="D709" s="107"/>
      <c r="E709" s="65"/>
      <c r="F709" s="64"/>
      <c r="G709" s="64"/>
      <c r="H709" s="64"/>
      <c r="I709" s="70"/>
      <c r="J709" s="70"/>
      <c r="K709" s="110" t="str">
        <f>IF(H709="","",IF($C$29="간이법","",FPR(H709,I709,J709)))</f>
        <v/>
      </c>
      <c r="L709" s="111" t="str">
        <f>IF(H709="","",IF($C$29="상세법",FPV(H709,K709),IF(H709="EI",4,IF(H709="EO",5.2,IF(H709="EQ",3.9,IF(H709="ILF",7.5,IF(H709="EIF",5.4)))))))</f>
        <v/>
      </c>
      <c r="M709" s="112" t="str">
        <f t="shared" si="14"/>
        <v/>
      </c>
      <c r="N709" s="113"/>
    </row>
    <row r="710" spans="2:14">
      <c r="B710" s="105"/>
      <c r="C710" s="106"/>
      <c r="D710" s="107"/>
      <c r="E710" s="65"/>
      <c r="F710" s="64"/>
      <c r="G710" s="64"/>
      <c r="H710" s="64"/>
      <c r="I710" s="70"/>
      <c r="J710" s="70"/>
      <c r="K710" s="110" t="str">
        <f>IF(H710="","",IF($C$29="간이법","",FPR(H710,I710,J710)))</f>
        <v/>
      </c>
      <c r="L710" s="111" t="str">
        <f>IF(H710="","",IF($C$29="상세법",FPV(H710,K710),IF(H710="EI",4,IF(H710="EO",5.2,IF(H710="EQ",3.9,IF(H710="ILF",7.5,IF(H710="EIF",5.4)))))))</f>
        <v/>
      </c>
      <c r="M710" s="112" t="str">
        <f t="shared" si="14"/>
        <v/>
      </c>
      <c r="N710" s="113"/>
    </row>
    <row r="711" spans="2:14">
      <c r="B711" s="105"/>
      <c r="C711" s="106"/>
      <c r="D711" s="107"/>
      <c r="E711" s="65"/>
      <c r="F711" s="64"/>
      <c r="G711" s="64"/>
      <c r="H711" s="64"/>
      <c r="I711" s="70"/>
      <c r="J711" s="70"/>
      <c r="K711" s="110" t="str">
        <f>IF(H711="","",IF($C$29="간이법","",FPR(H711,I711,J711)))</f>
        <v/>
      </c>
      <c r="L711" s="111" t="str">
        <f>IF(H711="","",IF($C$29="상세법",FPV(H711,K711),IF(H711="EI",4,IF(H711="EO",5.2,IF(H711="EQ",3.9,IF(H711="ILF",7.5,IF(H711="EIF",5.4)))))))</f>
        <v/>
      </c>
      <c r="M711" s="112" t="str">
        <f t="shared" si="14"/>
        <v/>
      </c>
      <c r="N711" s="113"/>
    </row>
    <row r="712" spans="2:14">
      <c r="B712" s="105"/>
      <c r="C712" s="106"/>
      <c r="D712" s="107"/>
      <c r="E712" s="65"/>
      <c r="F712" s="64"/>
      <c r="G712" s="64"/>
      <c r="H712" s="64"/>
      <c r="I712" s="70"/>
      <c r="J712" s="70"/>
      <c r="K712" s="110" t="str">
        <f>IF(H712="","",IF($C$29="간이법","",FPR(H712,I712,J712)))</f>
        <v/>
      </c>
      <c r="L712" s="111" t="str">
        <f>IF(H712="","",IF($C$29="상세법",FPV(H712,K712),IF(H712="EI",4,IF(H712="EO",5.2,IF(H712="EQ",3.9,IF(H712="ILF",7.5,IF(H712="EIF",5.4)))))))</f>
        <v/>
      </c>
      <c r="M712" s="112" t="str">
        <f t="shared" si="14"/>
        <v/>
      </c>
      <c r="N712" s="113"/>
    </row>
    <row r="713" spans="2:14">
      <c r="B713" s="105"/>
      <c r="C713" s="106"/>
      <c r="D713" s="107"/>
      <c r="E713" s="65"/>
      <c r="F713" s="64"/>
      <c r="G713" s="64"/>
      <c r="H713" s="64"/>
      <c r="I713" s="70"/>
      <c r="J713" s="70"/>
      <c r="K713" s="110" t="str">
        <f>IF(H713="","",IF($C$29="간이법","",FPR(H713,I713,J713)))</f>
        <v/>
      </c>
      <c r="L713" s="111" t="str">
        <f>IF(H713="","",IF($C$29="상세법",FPV(H713,K713),IF(H713="EI",4,IF(H713="EO",5.2,IF(H713="EQ",3.9,IF(H713="ILF",7.5,IF(H713="EIF",5.4)))))))</f>
        <v/>
      </c>
      <c r="M713" s="112" t="str">
        <f t="shared" si="14"/>
        <v/>
      </c>
      <c r="N713" s="113"/>
    </row>
    <row r="714" spans="2:14">
      <c r="B714" s="105"/>
      <c r="C714" s="106"/>
      <c r="D714" s="107"/>
      <c r="E714" s="65"/>
      <c r="F714" s="64"/>
      <c r="G714" s="64"/>
      <c r="H714" s="64"/>
      <c r="I714" s="70"/>
      <c r="J714" s="70"/>
      <c r="K714" s="110" t="str">
        <f>IF(H714="","",IF($C$29="간이법","",FPR(H714,I714,J714)))</f>
        <v/>
      </c>
      <c r="L714" s="111" t="str">
        <f>IF(H714="","",IF($C$29="상세법",FPV(H714,K714),IF(H714="EI",4,IF(H714="EO",5.2,IF(H714="EQ",3.9,IF(H714="ILF",7.5,IF(H714="EIF",5.4)))))))</f>
        <v/>
      </c>
      <c r="M714" s="112" t="str">
        <f t="shared" si="14"/>
        <v/>
      </c>
      <c r="N714" s="113"/>
    </row>
    <row r="715" spans="2:14">
      <c r="B715" s="105"/>
      <c r="C715" s="106"/>
      <c r="D715" s="107"/>
      <c r="E715" s="65"/>
      <c r="F715" s="64"/>
      <c r="G715" s="64"/>
      <c r="H715" s="64"/>
      <c r="I715" s="70"/>
      <c r="J715" s="70"/>
      <c r="K715" s="110" t="str">
        <f>IF(H715="","",IF($C$29="간이법","",FPR(H715,I715,J715)))</f>
        <v/>
      </c>
      <c r="L715" s="111" t="str">
        <f>IF(H715="","",IF($C$29="상세법",FPV(H715,K715),IF(H715="EI",4,IF(H715="EO",5.2,IF(H715="EQ",3.9,IF(H715="ILF",7.5,IF(H715="EIF",5.4)))))))</f>
        <v/>
      </c>
      <c r="M715" s="112" t="str">
        <f t="shared" si="14"/>
        <v/>
      </c>
      <c r="N715" s="113"/>
    </row>
    <row r="716" spans="2:14">
      <c r="B716" s="105"/>
      <c r="C716" s="106"/>
      <c r="D716" s="107"/>
      <c r="E716" s="65"/>
      <c r="F716" s="64"/>
      <c r="G716" s="64"/>
      <c r="H716" s="64"/>
      <c r="I716" s="70"/>
      <c r="J716" s="70"/>
      <c r="K716" s="110" t="str">
        <f>IF(H716="","",IF($C$29="간이법","",FPR(H716,I716,J716)))</f>
        <v/>
      </c>
      <c r="L716" s="111" t="str">
        <f>IF(H716="","",IF($C$29="상세법",FPV(H716,K716),IF(H716="EI",4,IF(H716="EO",5.2,IF(H716="EQ",3.9,IF(H716="ILF",7.5,IF(H716="EIF",5.4)))))))</f>
        <v/>
      </c>
      <c r="M716" s="112" t="str">
        <f t="shared" si="14"/>
        <v/>
      </c>
      <c r="N716" s="113"/>
    </row>
    <row r="717" spans="2:14">
      <c r="B717" s="105"/>
      <c r="C717" s="106"/>
      <c r="D717" s="107"/>
      <c r="E717" s="65"/>
      <c r="F717" s="64"/>
      <c r="G717" s="64"/>
      <c r="H717" s="64"/>
      <c r="I717" s="70"/>
      <c r="J717" s="70"/>
      <c r="K717" s="110" t="str">
        <f>IF(H717="","",IF($C$29="간이법","",FPR(H717,I717,J717)))</f>
        <v/>
      </c>
      <c r="L717" s="111" t="str">
        <f>IF(H717="","",IF($C$29="상세법",FPV(H717,K717),IF(H717="EI",4,IF(H717="EO",5.2,IF(H717="EQ",3.9,IF(H717="ILF",7.5,IF(H717="EIF",5.4)))))))</f>
        <v/>
      </c>
      <c r="M717" s="112" t="str">
        <f t="shared" si="14"/>
        <v/>
      </c>
      <c r="N717" s="113"/>
    </row>
    <row r="718" spans="2:14">
      <c r="B718" s="105"/>
      <c r="C718" s="106"/>
      <c r="D718" s="107"/>
      <c r="E718" s="65"/>
      <c r="F718" s="64"/>
      <c r="G718" s="64"/>
      <c r="H718" s="64"/>
      <c r="I718" s="70"/>
      <c r="J718" s="70"/>
      <c r="K718" s="110" t="str">
        <f>IF(H718="","",IF($C$29="간이법","",FPR(H718,I718,J718)))</f>
        <v/>
      </c>
      <c r="L718" s="111" t="str">
        <f>IF(H718="","",IF($C$29="상세법",FPV(H718,K718),IF(H718="EI",4,IF(H718="EO",5.2,IF(H718="EQ",3.9,IF(H718="ILF",7.5,IF(H718="EIF",5.4)))))))</f>
        <v/>
      </c>
      <c r="M718" s="112" t="str">
        <f t="shared" si="14"/>
        <v/>
      </c>
      <c r="N718" s="113"/>
    </row>
    <row r="719" spans="2:14">
      <c r="B719" s="105"/>
      <c r="C719" s="106"/>
      <c r="D719" s="107"/>
      <c r="E719" s="65"/>
      <c r="F719" s="64"/>
      <c r="G719" s="64"/>
      <c r="H719" s="64"/>
      <c r="I719" s="70"/>
      <c r="J719" s="70"/>
      <c r="K719" s="110" t="str">
        <f>IF(H719="","",IF($C$29="간이법","",FPR(H719,I719,J719)))</f>
        <v/>
      </c>
      <c r="L719" s="111" t="str">
        <f>IF(H719="","",IF($C$29="상세법",FPV(H719,K719),IF(H719="EI",4,IF(H719="EO",5.2,IF(H719="EQ",3.9,IF(H719="ILF",7.5,IF(H719="EIF",5.4)))))))</f>
        <v/>
      </c>
      <c r="M719" s="112" t="str">
        <f t="shared" si="14"/>
        <v/>
      </c>
      <c r="N719" s="113"/>
    </row>
    <row r="720" spans="2:14">
      <c r="B720" s="105"/>
      <c r="C720" s="106"/>
      <c r="D720" s="107"/>
      <c r="E720" s="65"/>
      <c r="F720" s="64"/>
      <c r="G720" s="64"/>
      <c r="H720" s="64"/>
      <c r="I720" s="70"/>
      <c r="J720" s="70"/>
      <c r="K720" s="110" t="str">
        <f>IF(H720="","",IF($C$29="간이법","",FPR(H720,I720,J720)))</f>
        <v/>
      </c>
      <c r="L720" s="111" t="str">
        <f>IF(H720="","",IF($C$29="상세법",FPV(H720,K720),IF(H720="EI",4,IF(H720="EO",5.2,IF(H720="EQ",3.9,IF(H720="ILF",7.5,IF(H720="EIF",5.4)))))))</f>
        <v/>
      </c>
      <c r="M720" s="112" t="str">
        <f t="shared" si="14"/>
        <v/>
      </c>
      <c r="N720" s="113"/>
    </row>
    <row r="721" spans="2:14">
      <c r="B721" s="105"/>
      <c r="C721" s="106"/>
      <c r="D721" s="107"/>
      <c r="E721" s="65"/>
      <c r="F721" s="64"/>
      <c r="G721" s="64"/>
      <c r="H721" s="64"/>
      <c r="I721" s="70"/>
      <c r="J721" s="70"/>
      <c r="K721" s="110" t="str">
        <f>IF(H721="","",IF($C$29="간이법","",FPR(H721,I721,J721)))</f>
        <v/>
      </c>
      <c r="L721" s="111" t="str">
        <f>IF(H721="","",IF($C$29="상세법",FPV(H721,K721),IF(H721="EI",4,IF(H721="EO",5.2,IF(H721="EQ",3.9,IF(H721="ILF",7.5,IF(H721="EIF",5.4)))))))</f>
        <v/>
      </c>
      <c r="M721" s="112" t="str">
        <f t="shared" si="14"/>
        <v/>
      </c>
      <c r="N721" s="113"/>
    </row>
    <row r="722" spans="2:14">
      <c r="B722" s="105"/>
      <c r="C722" s="106"/>
      <c r="D722" s="107"/>
      <c r="E722" s="65"/>
      <c r="F722" s="64"/>
      <c r="G722" s="64"/>
      <c r="H722" s="64"/>
      <c r="I722" s="70"/>
      <c r="J722" s="70"/>
      <c r="K722" s="110" t="str">
        <f>IF(H722="","",IF($C$29="간이법","",FPR(H722,I722,J722)))</f>
        <v/>
      </c>
      <c r="L722" s="111" t="str">
        <f>IF(H722="","",IF($C$29="상세법",FPV(H722,K722),IF(H722="EI",4,IF(H722="EO",5.2,IF(H722="EQ",3.9,IF(H722="ILF",7.5,IF(H722="EIF",5.4)))))))</f>
        <v/>
      </c>
      <c r="M722" s="112" t="str">
        <f t="shared" si="14"/>
        <v/>
      </c>
      <c r="N722" s="113"/>
    </row>
    <row r="723" spans="2:14">
      <c r="B723" s="105"/>
      <c r="C723" s="106"/>
      <c r="D723" s="107"/>
      <c r="E723" s="65"/>
      <c r="F723" s="64"/>
      <c r="G723" s="64"/>
      <c r="H723" s="64"/>
      <c r="I723" s="70"/>
      <c r="J723" s="70"/>
      <c r="K723" s="110" t="str">
        <f>IF(H723="","",IF($C$29="간이법","",FPR(H723,I723,J723)))</f>
        <v/>
      </c>
      <c r="L723" s="111" t="str">
        <f>IF(H723="","",IF($C$29="상세법",FPV(H723,K723),IF(H723="EI",4,IF(H723="EO",5.2,IF(H723="EQ",3.9,IF(H723="ILF",7.5,IF(H723="EIF",5.4)))))))</f>
        <v/>
      </c>
      <c r="M723" s="112" t="str">
        <f t="shared" si="14"/>
        <v/>
      </c>
      <c r="N723" s="113"/>
    </row>
    <row r="724" spans="2:14">
      <c r="B724" s="105"/>
      <c r="C724" s="106"/>
      <c r="D724" s="107"/>
      <c r="E724" s="65"/>
      <c r="F724" s="64"/>
      <c r="G724" s="64"/>
      <c r="H724" s="64"/>
      <c r="I724" s="70"/>
      <c r="J724" s="70"/>
      <c r="K724" s="110" t="str">
        <f>IF(H724="","",IF($C$29="간이법","",FPR(H724,I724,J724)))</f>
        <v/>
      </c>
      <c r="L724" s="111" t="str">
        <f>IF(H724="","",IF($C$29="상세법",FPV(H724,K724),IF(H724="EI",4,IF(H724="EO",5.2,IF(H724="EQ",3.9,IF(H724="ILF",7.5,IF(H724="EIF",5.4)))))))</f>
        <v/>
      </c>
      <c r="M724" s="112" t="str">
        <f t="shared" si="14"/>
        <v/>
      </c>
      <c r="N724" s="113"/>
    </row>
    <row r="725" spans="2:14">
      <c r="B725" s="105"/>
      <c r="C725" s="106"/>
      <c r="D725" s="107"/>
      <c r="E725" s="65"/>
      <c r="F725" s="64"/>
      <c r="G725" s="64"/>
      <c r="H725" s="64"/>
      <c r="I725" s="70"/>
      <c r="J725" s="70"/>
      <c r="K725" s="110" t="str">
        <f>IF(H725="","",IF($C$29="간이법","",FPR(H725,I725,J725)))</f>
        <v/>
      </c>
      <c r="L725" s="111" t="str">
        <f>IF(H725="","",IF($C$29="상세법",FPV(H725,K725),IF(H725="EI",4,IF(H725="EO",5.2,IF(H725="EQ",3.9,IF(H725="ILF",7.5,IF(H725="EIF",5.4)))))))</f>
        <v/>
      </c>
      <c r="M725" s="112" t="str">
        <f t="shared" si="14"/>
        <v/>
      </c>
      <c r="N725" s="113"/>
    </row>
    <row r="726" spans="2:14">
      <c r="B726" s="105"/>
      <c r="C726" s="106"/>
      <c r="D726" s="107"/>
      <c r="E726" s="65"/>
      <c r="F726" s="64"/>
      <c r="G726" s="64"/>
      <c r="H726" s="64"/>
      <c r="I726" s="70"/>
      <c r="J726" s="70"/>
      <c r="K726" s="110" t="str">
        <f>IF(H726="","",IF($C$29="간이법","",FPR(H726,I726,J726)))</f>
        <v/>
      </c>
      <c r="L726" s="111" t="str">
        <f>IF(H726="","",IF($C$29="상세법",FPV(H726,K726),IF(H726="EI",4,IF(H726="EO",5.2,IF(H726="EQ",3.9,IF(H726="ILF",7.5,IF(H726="EIF",5.4)))))))</f>
        <v/>
      </c>
      <c r="M726" s="112" t="str">
        <f t="shared" si="14"/>
        <v/>
      </c>
      <c r="N726" s="113"/>
    </row>
    <row r="727" spans="2:14">
      <c r="B727" s="105"/>
      <c r="C727" s="106"/>
      <c r="D727" s="107"/>
      <c r="E727" s="65"/>
      <c r="F727" s="64"/>
      <c r="G727" s="64"/>
      <c r="H727" s="64"/>
      <c r="I727" s="70"/>
      <c r="J727" s="70"/>
      <c r="K727" s="110" t="str">
        <f>IF(H727="","",IF($C$29="간이법","",FPR(H727,I727,J727)))</f>
        <v/>
      </c>
      <c r="L727" s="111" t="str">
        <f>IF(H727="","",IF($C$29="상세법",FPV(H727,K727),IF(H727="EI",4,IF(H727="EO",5.2,IF(H727="EQ",3.9,IF(H727="ILF",7.5,IF(H727="EIF",5.4)))))))</f>
        <v/>
      </c>
      <c r="M727" s="112" t="str">
        <f t="shared" si="14"/>
        <v/>
      </c>
      <c r="N727" s="113"/>
    </row>
    <row r="728" spans="2:14">
      <c r="B728" s="105"/>
      <c r="C728" s="106"/>
      <c r="D728" s="107"/>
      <c r="E728" s="65"/>
      <c r="F728" s="64"/>
      <c r="G728" s="64"/>
      <c r="H728" s="64"/>
      <c r="I728" s="70"/>
      <c r="J728" s="70"/>
      <c r="K728" s="110" t="str">
        <f>IF(H728="","",IF($C$29="간이법","",FPR(H728,I728,J728)))</f>
        <v/>
      </c>
      <c r="L728" s="111" t="str">
        <f>IF(H728="","",IF($C$29="상세법",FPV(H728,K728),IF(H728="EI",4,IF(H728="EO",5.2,IF(H728="EQ",3.9,IF(H728="ILF",7.5,IF(H728="EIF",5.4)))))))</f>
        <v/>
      </c>
      <c r="M728" s="112" t="str">
        <f t="shared" si="14"/>
        <v/>
      </c>
      <c r="N728" s="113"/>
    </row>
    <row r="729" spans="2:14">
      <c r="B729" s="105"/>
      <c r="C729" s="106"/>
      <c r="D729" s="107"/>
      <c r="E729" s="65"/>
      <c r="F729" s="64"/>
      <c r="G729" s="64"/>
      <c r="H729" s="64"/>
      <c r="I729" s="70"/>
      <c r="J729" s="70"/>
      <c r="K729" s="110" t="str">
        <f>IF(H729="","",IF($C$29="간이법","",FPR(H729,I729,J729)))</f>
        <v/>
      </c>
      <c r="L729" s="111" t="str">
        <f>IF(H729="","",IF($C$29="상세법",FPV(H729,K729),IF(H729="EI",4,IF(H729="EO",5.2,IF(H729="EQ",3.9,IF(H729="ILF",7.5,IF(H729="EIF",5.4)))))))</f>
        <v/>
      </c>
      <c r="M729" s="112" t="str">
        <f t="shared" si="14"/>
        <v/>
      </c>
      <c r="N729" s="113"/>
    </row>
    <row r="730" spans="2:14">
      <c r="B730" s="105"/>
      <c r="C730" s="106"/>
      <c r="D730" s="107"/>
      <c r="E730" s="65"/>
      <c r="F730" s="64"/>
      <c r="G730" s="64"/>
      <c r="H730" s="64"/>
      <c r="I730" s="70"/>
      <c r="J730" s="70"/>
      <c r="K730" s="110" t="str">
        <f>IF(H730="","",IF($C$29="간이법","",FPR(H730,I730,J730)))</f>
        <v/>
      </c>
      <c r="L730" s="111" t="str">
        <f>IF(H730="","",IF($C$29="상세법",FPV(H730,K730),IF(H730="EI",4,IF(H730="EO",5.2,IF(H730="EQ",3.9,IF(H730="ILF",7.5,IF(H730="EIF",5.4)))))))</f>
        <v/>
      </c>
      <c r="M730" s="112" t="str">
        <f t="shared" si="14"/>
        <v/>
      </c>
      <c r="N730" s="113"/>
    </row>
    <row r="731" spans="2:14">
      <c r="B731" s="105"/>
      <c r="C731" s="106"/>
      <c r="D731" s="107"/>
      <c r="E731" s="65"/>
      <c r="F731" s="64"/>
      <c r="G731" s="64"/>
      <c r="H731" s="64"/>
      <c r="I731" s="70"/>
      <c r="J731" s="70"/>
      <c r="K731" s="110" t="str">
        <f>IF(H731="","",IF($C$29="간이법","",FPR(H731,I731,J731)))</f>
        <v/>
      </c>
      <c r="L731" s="111" t="str">
        <f>IF(H731="","",IF($C$29="상세법",FPV(H731,K731),IF(H731="EI",4,IF(H731="EO",5.2,IF(H731="EQ",3.9,IF(H731="ILF",7.5,IF(H731="EIF",5.4)))))))</f>
        <v/>
      </c>
      <c r="M731" s="112" t="str">
        <f t="shared" si="14"/>
        <v/>
      </c>
      <c r="N731" s="113"/>
    </row>
    <row r="732" spans="2:14">
      <c r="B732" s="105"/>
      <c r="C732" s="106"/>
      <c r="D732" s="107"/>
      <c r="E732" s="65"/>
      <c r="F732" s="64"/>
      <c r="G732" s="64"/>
      <c r="H732" s="64"/>
      <c r="I732" s="70"/>
      <c r="J732" s="70"/>
      <c r="K732" s="110" t="str">
        <f>IF(H732="","",IF($C$29="간이법","",FPR(H732,I732,J732)))</f>
        <v/>
      </c>
      <c r="L732" s="111" t="str">
        <f>IF(H732="","",IF($C$29="상세법",FPV(H732,K732),IF(H732="EI",4,IF(H732="EO",5.2,IF(H732="EQ",3.9,IF(H732="ILF",7.5,IF(H732="EIF",5.4)))))))</f>
        <v/>
      </c>
      <c r="M732" s="112" t="str">
        <f t="shared" si="14"/>
        <v/>
      </c>
      <c r="N732" s="113"/>
    </row>
    <row r="733" spans="2:14">
      <c r="B733" s="105"/>
      <c r="C733" s="106"/>
      <c r="D733" s="107"/>
      <c r="E733" s="65"/>
      <c r="F733" s="64"/>
      <c r="G733" s="64"/>
      <c r="H733" s="64"/>
      <c r="I733" s="70"/>
      <c r="J733" s="70"/>
      <c r="K733" s="110" t="str">
        <f>IF(H733="","",IF($C$29="간이법","",FPR(H733,I733,J733)))</f>
        <v/>
      </c>
      <c r="L733" s="111" t="str">
        <f>IF(H733="","",IF($C$29="상세법",FPV(H733,K733),IF(H733="EI",4,IF(H733="EO",5.2,IF(H733="EQ",3.9,IF(H733="ILF",7.5,IF(H733="EIF",5.4)))))))</f>
        <v/>
      </c>
      <c r="M733" s="112" t="str">
        <f t="shared" si="14"/>
        <v/>
      </c>
      <c r="N733" s="113"/>
    </row>
    <row r="734" spans="2:14">
      <c r="B734" s="105"/>
      <c r="C734" s="106"/>
      <c r="D734" s="107"/>
      <c r="E734" s="65"/>
      <c r="F734" s="64"/>
      <c r="G734" s="64"/>
      <c r="H734" s="64"/>
      <c r="I734" s="70"/>
      <c r="J734" s="70"/>
      <c r="K734" s="110" t="str">
        <f>IF(H734="","",IF($C$29="간이법","",FPR(H734,I734,J734)))</f>
        <v/>
      </c>
      <c r="L734" s="111" t="str">
        <f>IF(H734="","",IF($C$29="상세법",FPV(H734,K734),IF(H734="EI",4,IF(H734="EO",5.2,IF(H734="EQ",3.9,IF(H734="ILF",7.5,IF(H734="EIF",5.4)))))))</f>
        <v/>
      </c>
      <c r="M734" s="112" t="str">
        <f t="shared" si="14"/>
        <v/>
      </c>
      <c r="N734" s="113"/>
    </row>
    <row r="735" spans="2:14">
      <c r="B735" s="105"/>
      <c r="C735" s="106"/>
      <c r="D735" s="107"/>
      <c r="E735" s="65"/>
      <c r="F735" s="64"/>
      <c r="G735" s="64"/>
      <c r="H735" s="64"/>
      <c r="I735" s="70"/>
      <c r="J735" s="70"/>
      <c r="K735" s="110" t="str">
        <f>IF(H735="","",IF($C$29="간이법","",FPR(H735,I735,J735)))</f>
        <v/>
      </c>
      <c r="L735" s="111" t="str">
        <f>IF(H735="","",IF($C$29="상세법",FPV(H735,K735),IF(H735="EI",4,IF(H735="EO",5.2,IF(H735="EQ",3.9,IF(H735="ILF",7.5,IF(H735="EIF",5.4)))))))</f>
        <v/>
      </c>
      <c r="M735" s="112" t="str">
        <f t="shared" si="14"/>
        <v/>
      </c>
      <c r="N735" s="113"/>
    </row>
    <row r="736" spans="2:14">
      <c r="B736" s="105"/>
      <c r="C736" s="106"/>
      <c r="D736" s="107"/>
      <c r="E736" s="65"/>
      <c r="F736" s="64"/>
      <c r="G736" s="64"/>
      <c r="H736" s="64"/>
      <c r="I736" s="70"/>
      <c r="J736" s="70"/>
      <c r="K736" s="110" t="str">
        <f>IF(H736="","",IF($C$29="간이법","",FPR(H736,I736,J736)))</f>
        <v/>
      </c>
      <c r="L736" s="111" t="str">
        <f>IF(H736="","",IF($C$29="상세법",FPV(H736,K736),IF(H736="EI",4,IF(H736="EO",5.2,IF(H736="EQ",3.9,IF(H736="ILF",7.5,IF(H736="EIF",5.4)))))))</f>
        <v/>
      </c>
      <c r="M736" s="112" t="str">
        <f t="shared" si="14"/>
        <v/>
      </c>
      <c r="N736" s="113"/>
    </row>
    <row r="737" spans="2:14">
      <c r="B737" s="105"/>
      <c r="C737" s="106"/>
      <c r="D737" s="107"/>
      <c r="E737" s="65"/>
      <c r="F737" s="64"/>
      <c r="G737" s="64"/>
      <c r="H737" s="64"/>
      <c r="I737" s="70"/>
      <c r="J737" s="70"/>
      <c r="K737" s="110" t="str">
        <f>IF(H737="","",IF($C$29="간이법","",FPR(H737,I737,J737)))</f>
        <v/>
      </c>
      <c r="L737" s="111" t="str">
        <f>IF(H737="","",IF($C$29="상세법",FPV(H737,K737),IF(H737="EI",4,IF(H737="EO",5.2,IF(H737="EQ",3.9,IF(H737="ILF",7.5,IF(H737="EIF",5.4)))))))</f>
        <v/>
      </c>
      <c r="M737" s="112" t="str">
        <f t="shared" si="14"/>
        <v/>
      </c>
      <c r="N737" s="113"/>
    </row>
    <row r="738" spans="2:14">
      <c r="B738" s="105"/>
      <c r="C738" s="106"/>
      <c r="D738" s="107"/>
      <c r="E738" s="65"/>
      <c r="F738" s="64"/>
      <c r="G738" s="64"/>
      <c r="H738" s="64"/>
      <c r="I738" s="70"/>
      <c r="J738" s="70"/>
      <c r="K738" s="110" t="str">
        <f>IF(H738="","",IF($C$29="간이법","",FPR(H738,I738,J738)))</f>
        <v/>
      </c>
      <c r="L738" s="111" t="str">
        <f>IF(H738="","",IF($C$29="상세법",FPV(H738,K738),IF(H738="EI",4,IF(H738="EO",5.2,IF(H738="EQ",3.9,IF(H738="ILF",7.5,IF(H738="EIF",5.4)))))))</f>
        <v/>
      </c>
      <c r="M738" s="112" t="str">
        <f t="shared" si="14"/>
        <v/>
      </c>
      <c r="N738" s="113"/>
    </row>
    <row r="739" spans="2:14">
      <c r="B739" s="105"/>
      <c r="C739" s="106"/>
      <c r="D739" s="107"/>
      <c r="E739" s="65"/>
      <c r="F739" s="64"/>
      <c r="G739" s="64"/>
      <c r="H739" s="64"/>
      <c r="I739" s="70"/>
      <c r="J739" s="70"/>
      <c r="K739" s="110" t="str">
        <f>IF(H739="","",IF($C$29="간이법","",FPR(H739,I739,J739)))</f>
        <v/>
      </c>
      <c r="L739" s="111" t="str">
        <f>IF(H739="","",IF($C$29="상세법",FPV(H739,K739),IF(H739="EI",4,IF(H739="EO",5.2,IF(H739="EQ",3.9,IF(H739="ILF",7.5,IF(H739="EIF",5.4)))))))</f>
        <v/>
      </c>
      <c r="M739" s="112" t="str">
        <f t="shared" si="14"/>
        <v/>
      </c>
      <c r="N739" s="113"/>
    </row>
    <row r="740" spans="2:14">
      <c r="B740" s="105"/>
      <c r="C740" s="106"/>
      <c r="D740" s="107"/>
      <c r="E740" s="65"/>
      <c r="F740" s="64"/>
      <c r="G740" s="64"/>
      <c r="H740" s="64"/>
      <c r="I740" s="70"/>
      <c r="J740" s="70"/>
      <c r="K740" s="110" t="str">
        <f>IF(H740="","",IF($C$29="간이법","",FPR(H740,I740,J740)))</f>
        <v/>
      </c>
      <c r="L740" s="111" t="str">
        <f>IF(H740="","",IF($C$29="상세법",FPV(H740,K740),IF(H740="EI",4,IF(H740="EO",5.2,IF(H740="EQ",3.9,IF(H740="ILF",7.5,IF(H740="EIF",5.4)))))))</f>
        <v/>
      </c>
      <c r="M740" s="112" t="str">
        <f t="shared" si="14"/>
        <v/>
      </c>
      <c r="N740" s="113"/>
    </row>
    <row r="741" spans="2:14">
      <c r="B741" s="105"/>
      <c r="C741" s="106"/>
      <c r="D741" s="107"/>
      <c r="E741" s="65"/>
      <c r="F741" s="64"/>
      <c r="G741" s="64"/>
      <c r="H741" s="64"/>
      <c r="I741" s="70"/>
      <c r="J741" s="70"/>
      <c r="K741" s="110" t="str">
        <f>IF(H741="","",IF($C$29="간이법","",FPR(H741,I741,J741)))</f>
        <v/>
      </c>
      <c r="L741" s="111" t="str">
        <f>IF(H741="","",IF($C$29="상세법",FPV(H741,K741),IF(H741="EI",4,IF(H741="EO",5.2,IF(H741="EQ",3.9,IF(H741="ILF",7.5,IF(H741="EIF",5.4)))))))</f>
        <v/>
      </c>
      <c r="M741" s="112" t="str">
        <f t="shared" si="14"/>
        <v/>
      </c>
      <c r="N741" s="113"/>
    </row>
    <row r="742" spans="2:14">
      <c r="B742" s="105"/>
      <c r="C742" s="106"/>
      <c r="D742" s="107"/>
      <c r="E742" s="65"/>
      <c r="F742" s="64"/>
      <c r="G742" s="64"/>
      <c r="H742" s="64"/>
      <c r="I742" s="70"/>
      <c r="J742" s="70"/>
      <c r="K742" s="110" t="str">
        <f>IF(H742="","",IF($C$29="간이법","",FPR(H742,I742,J742)))</f>
        <v/>
      </c>
      <c r="L742" s="111" t="str">
        <f>IF(H742="","",IF($C$29="상세법",FPV(H742,K742),IF(H742="EI",4,IF(H742="EO",5.2,IF(H742="EQ",3.9,IF(H742="ILF",7.5,IF(H742="EIF",5.4)))))))</f>
        <v/>
      </c>
      <c r="M742" s="112" t="str">
        <f t="shared" si="14"/>
        <v/>
      </c>
      <c r="N742" s="113"/>
    </row>
    <row r="743" spans="2:14">
      <c r="B743" s="105"/>
      <c r="C743" s="106"/>
      <c r="D743" s="107"/>
      <c r="E743" s="65"/>
      <c r="F743" s="64"/>
      <c r="G743" s="64"/>
      <c r="H743" s="64"/>
      <c r="I743" s="70"/>
      <c r="J743" s="70"/>
      <c r="K743" s="110" t="str">
        <f>IF(H743="","",IF($C$29="간이법","",FPR(H743,I743,J743)))</f>
        <v/>
      </c>
      <c r="L743" s="111" t="str">
        <f>IF(H743="","",IF($C$29="상세법",FPV(H743,K743),IF(H743="EI",4,IF(H743="EO",5.2,IF(H743="EQ",3.9,IF(H743="ILF",7.5,IF(H743="EIF",5.4)))))))</f>
        <v/>
      </c>
      <c r="M743" s="112" t="str">
        <f t="shared" si="14"/>
        <v/>
      </c>
      <c r="N743" s="113"/>
    </row>
    <row r="744" spans="2:14">
      <c r="B744" s="105"/>
      <c r="C744" s="106"/>
      <c r="D744" s="107"/>
      <c r="E744" s="65"/>
      <c r="F744" s="64"/>
      <c r="G744" s="64"/>
      <c r="H744" s="64"/>
      <c r="I744" s="70"/>
      <c r="J744" s="70"/>
      <c r="K744" s="110" t="str">
        <f>IF(H744="","",IF($C$29="간이법","",FPR(H744,I744,J744)))</f>
        <v/>
      </c>
      <c r="L744" s="111" t="str">
        <f>IF(H744="","",IF($C$29="상세법",FPV(H744,K744),IF(H744="EI",4,IF(H744="EO",5.2,IF(H744="EQ",3.9,IF(H744="ILF",7.5,IF(H744="EIF",5.4)))))))</f>
        <v/>
      </c>
      <c r="M744" s="112" t="str">
        <f t="shared" si="14"/>
        <v/>
      </c>
      <c r="N744" s="113"/>
    </row>
    <row r="745" spans="2:14">
      <c r="B745" s="105"/>
      <c r="C745" s="106"/>
      <c r="D745" s="107"/>
      <c r="E745" s="65"/>
      <c r="F745" s="64"/>
      <c r="G745" s="64"/>
      <c r="H745" s="64"/>
      <c r="I745" s="70"/>
      <c r="J745" s="70"/>
      <c r="K745" s="110" t="str">
        <f>IF(H745="","",IF($C$29="간이법","",FPR(H745,I745,J745)))</f>
        <v/>
      </c>
      <c r="L745" s="111" t="str">
        <f>IF(H745="","",IF($C$29="상세법",FPV(H745,K745),IF(H745="EI",4,IF(H745="EO",5.2,IF(H745="EQ",3.9,IF(H745="ILF",7.5,IF(H745="EIF",5.4)))))))</f>
        <v/>
      </c>
      <c r="M745" s="112" t="str">
        <f t="shared" si="14"/>
        <v/>
      </c>
      <c r="N745" s="113"/>
    </row>
    <row r="746" spans="2:14">
      <c r="B746" s="105"/>
      <c r="C746" s="106"/>
      <c r="D746" s="107"/>
      <c r="E746" s="65"/>
      <c r="F746" s="64"/>
      <c r="G746" s="64"/>
      <c r="H746" s="64"/>
      <c r="I746" s="70"/>
      <c r="J746" s="70"/>
      <c r="K746" s="110" t="str">
        <f>IF(H746="","",IF($C$29="간이법","",FPR(H746,I746,J746)))</f>
        <v/>
      </c>
      <c r="L746" s="111" t="str">
        <f>IF(H746="","",IF($C$29="상세법",FPV(H746,K746),IF(H746="EI",4,IF(H746="EO",5.2,IF(H746="EQ",3.9,IF(H746="ILF",7.5,IF(H746="EIF",5.4)))))))</f>
        <v/>
      </c>
      <c r="M746" s="112" t="str">
        <f t="shared" si="14"/>
        <v/>
      </c>
      <c r="N746" s="113"/>
    </row>
    <row r="747" spans="2:14">
      <c r="B747" s="105"/>
      <c r="C747" s="106"/>
      <c r="D747" s="107"/>
      <c r="E747" s="65"/>
      <c r="F747" s="64"/>
      <c r="G747" s="64"/>
      <c r="H747" s="64"/>
      <c r="I747" s="70"/>
      <c r="J747" s="70"/>
      <c r="K747" s="110" t="str">
        <f>IF(H747="","",IF($C$29="간이법","",FPR(H747,I747,J747)))</f>
        <v/>
      </c>
      <c r="L747" s="111" t="str">
        <f>IF(H747="","",IF($C$29="상세법",FPV(H747,K747),IF(H747="EI",4,IF(H747="EO",5.2,IF(H747="EQ",3.9,IF(H747="ILF",7.5,IF(H747="EIF",5.4)))))))</f>
        <v/>
      </c>
      <c r="M747" s="112" t="str">
        <f t="shared" si="14"/>
        <v/>
      </c>
      <c r="N747" s="113"/>
    </row>
    <row r="748" spans="2:14">
      <c r="B748" s="105"/>
      <c r="C748" s="106"/>
      <c r="D748" s="107"/>
      <c r="E748" s="65"/>
      <c r="F748" s="64"/>
      <c r="G748" s="64"/>
      <c r="H748" s="64"/>
      <c r="I748" s="70"/>
      <c r="J748" s="70"/>
      <c r="K748" s="110" t="str">
        <f>IF(H748="","",IF($C$29="간이법","",FPR(H748,I748,J748)))</f>
        <v/>
      </c>
      <c r="L748" s="111" t="str">
        <f>IF(H748="","",IF($C$29="상세법",FPV(H748,K748),IF(H748="EI",4,IF(H748="EO",5.2,IF(H748="EQ",3.9,IF(H748="ILF",7.5,IF(H748="EIF",5.4)))))))</f>
        <v/>
      </c>
      <c r="M748" s="112" t="str">
        <f t="shared" si="14"/>
        <v/>
      </c>
      <c r="N748" s="113"/>
    </row>
    <row r="749" spans="2:14">
      <c r="B749" s="105"/>
      <c r="C749" s="106"/>
      <c r="D749" s="107"/>
      <c r="E749" s="65"/>
      <c r="F749" s="64"/>
      <c r="G749" s="64"/>
      <c r="H749" s="64"/>
      <c r="I749" s="70"/>
      <c r="J749" s="70"/>
      <c r="K749" s="110" t="str">
        <f>IF(H749="","",IF($C$29="간이법","",FPR(H749,I749,J749)))</f>
        <v/>
      </c>
      <c r="L749" s="111" t="str">
        <f>IF(H749="","",IF($C$29="상세법",FPV(H749,K749),IF(H749="EI",4,IF(H749="EO",5.2,IF(H749="EQ",3.9,IF(H749="ILF",7.5,IF(H749="EIF",5.4)))))))</f>
        <v/>
      </c>
      <c r="M749" s="112" t="str">
        <f t="shared" si="14"/>
        <v/>
      </c>
      <c r="N749" s="113"/>
    </row>
    <row r="750" spans="2:14">
      <c r="B750" s="105"/>
      <c r="C750" s="106"/>
      <c r="D750" s="107"/>
      <c r="E750" s="65"/>
      <c r="F750" s="64"/>
      <c r="G750" s="64"/>
      <c r="H750" s="64"/>
      <c r="I750" s="70"/>
      <c r="J750" s="70"/>
      <c r="K750" s="110" t="str">
        <f>IF(H750="","",IF($C$29="간이법","",FPR(H750,I750,J750)))</f>
        <v/>
      </c>
      <c r="L750" s="111" t="str">
        <f>IF(H750="","",IF($C$29="상세법",FPV(H750,K750),IF(H750="EI",4,IF(H750="EO",5.2,IF(H750="EQ",3.9,IF(H750="ILF",7.5,IF(H750="EIF",5.4)))))))</f>
        <v/>
      </c>
      <c r="M750" s="112" t="str">
        <f t="shared" si="14"/>
        <v/>
      </c>
      <c r="N750" s="113"/>
    </row>
    <row r="751" spans="2:14">
      <c r="B751" s="105"/>
      <c r="C751" s="106"/>
      <c r="D751" s="107"/>
      <c r="E751" s="65"/>
      <c r="F751" s="64"/>
      <c r="G751" s="64"/>
      <c r="H751" s="64"/>
      <c r="I751" s="70"/>
      <c r="J751" s="70"/>
      <c r="K751" s="110" t="str">
        <f>IF(H751="","",IF($C$29="간이법","",FPR(H751,I751,J751)))</f>
        <v/>
      </c>
      <c r="L751" s="111" t="str">
        <f>IF(H751="","",IF($C$29="상세법",FPV(H751,K751),IF(H751="EI",4,IF(H751="EO",5.2,IF(H751="EQ",3.9,IF(H751="ILF",7.5,IF(H751="EIF",5.4)))))))</f>
        <v/>
      </c>
      <c r="M751" s="112" t="str">
        <f t="shared" si="14"/>
        <v/>
      </c>
      <c r="N751" s="113"/>
    </row>
    <row r="752" spans="2:14">
      <c r="B752" s="105"/>
      <c r="C752" s="106"/>
      <c r="D752" s="107"/>
      <c r="E752" s="65"/>
      <c r="F752" s="64"/>
      <c r="G752" s="64"/>
      <c r="H752" s="64"/>
      <c r="I752" s="70"/>
      <c r="J752" s="70"/>
      <c r="K752" s="110" t="str">
        <f>IF(H752="","",IF($C$29="간이법","",FPR(H752,I752,J752)))</f>
        <v/>
      </c>
      <c r="L752" s="111" t="str">
        <f>IF(H752="","",IF($C$29="상세법",FPV(H752,K752),IF(H752="EI",4,IF(H752="EO",5.2,IF(H752="EQ",3.9,IF(H752="ILF",7.5,IF(H752="EIF",5.4)))))))</f>
        <v/>
      </c>
      <c r="M752" s="112" t="str">
        <f t="shared" si="14"/>
        <v/>
      </c>
      <c r="N752" s="113"/>
    </row>
    <row r="753" spans="2:14">
      <c r="B753" s="105"/>
      <c r="C753" s="106"/>
      <c r="D753" s="107"/>
      <c r="E753" s="65"/>
      <c r="F753" s="64"/>
      <c r="G753" s="64"/>
      <c r="H753" s="64"/>
      <c r="I753" s="70"/>
      <c r="J753" s="70"/>
      <c r="K753" s="110" t="str">
        <f>IF(H753="","",IF($C$29="간이법","",FPR(H753,I753,J753)))</f>
        <v/>
      </c>
      <c r="L753" s="111" t="str">
        <f>IF(H753="","",IF($C$29="상세법",FPV(H753,K753),IF(H753="EI",4,IF(H753="EO",5.2,IF(H753="EQ",3.9,IF(H753="ILF",7.5,IF(H753="EIF",5.4)))))))</f>
        <v/>
      </c>
      <c r="M753" s="112" t="str">
        <f t="shared" si="14"/>
        <v/>
      </c>
      <c r="N753" s="113"/>
    </row>
    <row r="754" spans="2:14">
      <c r="B754" s="105"/>
      <c r="C754" s="106"/>
      <c r="D754" s="107"/>
      <c r="E754" s="65"/>
      <c r="F754" s="64"/>
      <c r="G754" s="64"/>
      <c r="H754" s="64"/>
      <c r="I754" s="70"/>
      <c r="J754" s="70"/>
      <c r="K754" s="110" t="str">
        <f>IF(H754="","",IF($C$29="간이법","",FPR(H754,I754,J754)))</f>
        <v/>
      </c>
      <c r="L754" s="111" t="str">
        <f>IF(H754="","",IF($C$29="상세법",FPV(H754,K754),IF(H754="EI",4,IF(H754="EO",5.2,IF(H754="EQ",3.9,IF(H754="ILF",7.5,IF(H754="EIF",5.4)))))))</f>
        <v/>
      </c>
      <c r="M754" s="112" t="str">
        <f t="shared" si="14"/>
        <v/>
      </c>
      <c r="N754" s="113"/>
    </row>
    <row r="755" spans="2:14">
      <c r="B755" s="105"/>
      <c r="C755" s="106"/>
      <c r="D755" s="107"/>
      <c r="E755" s="65"/>
      <c r="F755" s="64"/>
      <c r="G755" s="64"/>
      <c r="H755" s="64"/>
      <c r="I755" s="70"/>
      <c r="J755" s="70"/>
      <c r="K755" s="110" t="str">
        <f>IF(H755="","",IF($C$29="간이법","",FPR(H755,I755,J755)))</f>
        <v/>
      </c>
      <c r="L755" s="111" t="str">
        <f>IF(H755="","",IF($C$29="상세법",FPV(H755,K755),IF(H755="EI",4,IF(H755="EO",5.2,IF(H755="EQ",3.9,IF(H755="ILF",7.5,IF(H755="EIF",5.4)))))))</f>
        <v/>
      </c>
      <c r="M755" s="112" t="str">
        <f t="shared" si="14"/>
        <v/>
      </c>
      <c r="N755" s="113"/>
    </row>
    <row r="756" spans="2:14">
      <c r="B756" s="105"/>
      <c r="C756" s="106"/>
      <c r="D756" s="107"/>
      <c r="E756" s="65"/>
      <c r="F756" s="64"/>
      <c r="G756" s="64"/>
      <c r="H756" s="64"/>
      <c r="I756" s="70"/>
      <c r="J756" s="70"/>
      <c r="K756" s="110" t="str">
        <f>IF(H756="","",IF($C$29="간이법","",FPR(H756,I756,J756)))</f>
        <v/>
      </c>
      <c r="L756" s="111" t="str">
        <f>IF(H756="","",IF($C$29="상세법",FPV(H756,K756),IF(H756="EI",4,IF(H756="EO",5.2,IF(H756="EQ",3.9,IF(H756="ILF",7.5,IF(H756="EIF",5.4)))))))</f>
        <v/>
      </c>
      <c r="M756" s="112" t="str">
        <f t="shared" si="14"/>
        <v/>
      </c>
      <c r="N756" s="113"/>
    </row>
    <row r="757" spans="2:14">
      <c r="B757" s="105"/>
      <c r="C757" s="106"/>
      <c r="D757" s="107"/>
      <c r="E757" s="65"/>
      <c r="F757" s="64"/>
      <c r="G757" s="64"/>
      <c r="H757" s="64"/>
      <c r="I757" s="70"/>
      <c r="J757" s="70"/>
      <c r="K757" s="110" t="str">
        <f>IF(H757="","",IF($C$29="간이법","",FPR(H757,I757,J757)))</f>
        <v/>
      </c>
      <c r="L757" s="111" t="str">
        <f>IF(H757="","",IF($C$29="상세법",FPV(H757,K757),IF(H757="EI",4,IF(H757="EO",5.2,IF(H757="EQ",3.9,IF(H757="ILF",7.5,IF(H757="EIF",5.4)))))))</f>
        <v/>
      </c>
      <c r="M757" s="112" t="str">
        <f t="shared" si="14"/>
        <v/>
      </c>
      <c r="N757" s="113"/>
    </row>
    <row r="758" spans="2:14">
      <c r="B758" s="105"/>
      <c r="C758" s="106"/>
      <c r="D758" s="107"/>
      <c r="E758" s="65"/>
      <c r="F758" s="64"/>
      <c r="G758" s="64"/>
      <c r="H758" s="64"/>
      <c r="I758" s="70"/>
      <c r="J758" s="70"/>
      <c r="K758" s="110" t="str">
        <f>IF(H758="","",IF($C$29="간이법","",FPR(H758,I758,J758)))</f>
        <v/>
      </c>
      <c r="L758" s="111" t="str">
        <f>IF(H758="","",IF($C$29="상세법",FPV(H758,K758),IF(H758="EI",4,IF(H758="EO",5.2,IF(H758="EQ",3.9,IF(H758="ILF",7.5,IF(H758="EIF",5.4)))))))</f>
        <v/>
      </c>
      <c r="M758" s="112" t="str">
        <f t="shared" si="14"/>
        <v/>
      </c>
      <c r="N758" s="113"/>
    </row>
    <row r="759" spans="2:14">
      <c r="B759" s="105"/>
      <c r="C759" s="106"/>
      <c r="D759" s="107"/>
      <c r="E759" s="65"/>
      <c r="F759" s="64"/>
      <c r="G759" s="64"/>
      <c r="H759" s="64"/>
      <c r="I759" s="70"/>
      <c r="J759" s="70"/>
      <c r="K759" s="110" t="str">
        <f>IF(H759="","",IF($C$29="간이법","",FPR(H759,I759,J759)))</f>
        <v/>
      </c>
      <c r="L759" s="111" t="str">
        <f>IF(H759="","",IF($C$29="상세법",FPV(H759,K759),IF(H759="EI",4,IF(H759="EO",5.2,IF(H759="EQ",3.9,IF(H759="ILF",7.5,IF(H759="EIF",5.4)))))))</f>
        <v/>
      </c>
      <c r="M759" s="112" t="str">
        <f t="shared" si="14"/>
        <v/>
      </c>
      <c r="N759" s="113"/>
    </row>
    <row r="760" spans="2:14">
      <c r="B760" s="105"/>
      <c r="C760" s="106"/>
      <c r="D760" s="107"/>
      <c r="E760" s="65"/>
      <c r="F760" s="64"/>
      <c r="G760" s="64"/>
      <c r="H760" s="64"/>
      <c r="I760" s="70"/>
      <c r="J760" s="70"/>
      <c r="K760" s="110" t="str">
        <f>IF(H760="","",IF($C$29="간이법","",FPR(H760,I760,J760)))</f>
        <v/>
      </c>
      <c r="L760" s="111" t="str">
        <f>IF(H760="","",IF($C$29="상세법",FPV(H760,K760),IF(H760="EI",4,IF(H760="EO",5.2,IF(H760="EQ",3.9,IF(H760="ILF",7.5,IF(H760="EIF",5.4)))))))</f>
        <v/>
      </c>
      <c r="M760" s="112" t="str">
        <f t="shared" si="14"/>
        <v/>
      </c>
      <c r="N760" s="113"/>
    </row>
    <row r="761" spans="2:14">
      <c r="B761" s="105"/>
      <c r="C761" s="106"/>
      <c r="D761" s="107"/>
      <c r="E761" s="65"/>
      <c r="F761" s="64"/>
      <c r="G761" s="64"/>
      <c r="H761" s="64"/>
      <c r="I761" s="70"/>
      <c r="J761" s="70"/>
      <c r="K761" s="110" t="str">
        <f>IF(H761="","",IF($C$29="간이법","",FPR(H761,I761,J761)))</f>
        <v/>
      </c>
      <c r="L761" s="111" t="str">
        <f>IF(H761="","",IF($C$29="상세법",FPV(H761,K761),IF(H761="EI",4,IF(H761="EO",5.2,IF(H761="EQ",3.9,IF(H761="ILF",7.5,IF(H761="EIF",5.4)))))))</f>
        <v/>
      </c>
      <c r="M761" s="112" t="str">
        <f t="shared" ref="M761:M824" si="15">IF(L761="","",L761*IF(G761="상",0.7,IF(G761="중",0.5,IF(G761="하",0.2,1))))</f>
        <v/>
      </c>
      <c r="N761" s="113"/>
    </row>
    <row r="762" spans="2:14">
      <c r="B762" s="105"/>
      <c r="C762" s="106"/>
      <c r="D762" s="107"/>
      <c r="E762" s="65"/>
      <c r="F762" s="64"/>
      <c r="G762" s="64"/>
      <c r="H762" s="64"/>
      <c r="I762" s="70"/>
      <c r="J762" s="70"/>
      <c r="K762" s="110" t="str">
        <f>IF(H762="","",IF($C$29="간이법","",FPR(H762,I762,J762)))</f>
        <v/>
      </c>
      <c r="L762" s="111" t="str">
        <f>IF(H762="","",IF($C$29="상세법",FPV(H762,K762),IF(H762="EI",4,IF(H762="EO",5.2,IF(H762="EQ",3.9,IF(H762="ILF",7.5,IF(H762="EIF",5.4)))))))</f>
        <v/>
      </c>
      <c r="M762" s="112" t="str">
        <f t="shared" si="15"/>
        <v/>
      </c>
      <c r="N762" s="113"/>
    </row>
    <row r="763" spans="2:14">
      <c r="B763" s="105"/>
      <c r="C763" s="106"/>
      <c r="D763" s="107"/>
      <c r="E763" s="65"/>
      <c r="F763" s="64"/>
      <c r="G763" s="64"/>
      <c r="H763" s="64"/>
      <c r="I763" s="70"/>
      <c r="J763" s="70"/>
      <c r="K763" s="110" t="str">
        <f>IF(H763="","",IF($C$29="간이법","",FPR(H763,I763,J763)))</f>
        <v/>
      </c>
      <c r="L763" s="111" t="str">
        <f>IF(H763="","",IF($C$29="상세법",FPV(H763,K763),IF(H763="EI",4,IF(H763="EO",5.2,IF(H763="EQ",3.9,IF(H763="ILF",7.5,IF(H763="EIF",5.4)))))))</f>
        <v/>
      </c>
      <c r="M763" s="112" t="str">
        <f t="shared" si="15"/>
        <v/>
      </c>
      <c r="N763" s="113"/>
    </row>
    <row r="764" spans="2:14">
      <c r="B764" s="105"/>
      <c r="C764" s="106"/>
      <c r="D764" s="107"/>
      <c r="E764" s="65"/>
      <c r="F764" s="64"/>
      <c r="G764" s="64"/>
      <c r="H764" s="64"/>
      <c r="I764" s="70"/>
      <c r="J764" s="70"/>
      <c r="K764" s="110" t="str">
        <f>IF(H764="","",IF($C$29="간이법","",FPR(H764,I764,J764)))</f>
        <v/>
      </c>
      <c r="L764" s="111" t="str">
        <f>IF(H764="","",IF($C$29="상세법",FPV(H764,K764),IF(H764="EI",4,IF(H764="EO",5.2,IF(H764="EQ",3.9,IF(H764="ILF",7.5,IF(H764="EIF",5.4)))))))</f>
        <v/>
      </c>
      <c r="M764" s="112" t="str">
        <f t="shared" si="15"/>
        <v/>
      </c>
      <c r="N764" s="113"/>
    </row>
    <row r="765" spans="2:14">
      <c r="B765" s="105"/>
      <c r="C765" s="106"/>
      <c r="D765" s="107"/>
      <c r="E765" s="65"/>
      <c r="F765" s="64"/>
      <c r="G765" s="64"/>
      <c r="H765" s="64"/>
      <c r="I765" s="70"/>
      <c r="J765" s="70"/>
      <c r="K765" s="110" t="str">
        <f>IF(H765="","",IF($C$29="간이법","",FPR(H765,I765,J765)))</f>
        <v/>
      </c>
      <c r="L765" s="111" t="str">
        <f>IF(H765="","",IF($C$29="상세법",FPV(H765,K765),IF(H765="EI",4,IF(H765="EO",5.2,IF(H765="EQ",3.9,IF(H765="ILF",7.5,IF(H765="EIF",5.4)))))))</f>
        <v/>
      </c>
      <c r="M765" s="112" t="str">
        <f t="shared" si="15"/>
        <v/>
      </c>
      <c r="N765" s="113"/>
    </row>
    <row r="766" spans="2:14">
      <c r="B766" s="105"/>
      <c r="C766" s="106"/>
      <c r="D766" s="107"/>
      <c r="E766" s="65"/>
      <c r="F766" s="64"/>
      <c r="G766" s="64"/>
      <c r="H766" s="64"/>
      <c r="I766" s="70"/>
      <c r="J766" s="70"/>
      <c r="K766" s="110" t="str">
        <f>IF(H766="","",IF($C$29="간이법","",FPR(H766,I766,J766)))</f>
        <v/>
      </c>
      <c r="L766" s="111" t="str">
        <f>IF(H766="","",IF($C$29="상세법",FPV(H766,K766),IF(H766="EI",4,IF(H766="EO",5.2,IF(H766="EQ",3.9,IF(H766="ILF",7.5,IF(H766="EIF",5.4)))))))</f>
        <v/>
      </c>
      <c r="M766" s="112" t="str">
        <f t="shared" si="15"/>
        <v/>
      </c>
      <c r="N766" s="113"/>
    </row>
    <row r="767" spans="2:14">
      <c r="B767" s="105"/>
      <c r="C767" s="106"/>
      <c r="D767" s="107"/>
      <c r="E767" s="65"/>
      <c r="F767" s="64"/>
      <c r="G767" s="64"/>
      <c r="H767" s="64"/>
      <c r="I767" s="70"/>
      <c r="J767" s="70"/>
      <c r="K767" s="110" t="str">
        <f>IF(H767="","",IF($C$29="간이법","",FPR(H767,I767,J767)))</f>
        <v/>
      </c>
      <c r="L767" s="111" t="str">
        <f>IF(H767="","",IF($C$29="상세법",FPV(H767,K767),IF(H767="EI",4,IF(H767="EO",5.2,IF(H767="EQ",3.9,IF(H767="ILF",7.5,IF(H767="EIF",5.4)))))))</f>
        <v/>
      </c>
      <c r="M767" s="112" t="str">
        <f t="shared" si="15"/>
        <v/>
      </c>
      <c r="N767" s="113"/>
    </row>
    <row r="768" spans="2:14">
      <c r="B768" s="105"/>
      <c r="C768" s="106"/>
      <c r="D768" s="107"/>
      <c r="E768" s="65"/>
      <c r="F768" s="64"/>
      <c r="G768" s="64"/>
      <c r="H768" s="64"/>
      <c r="I768" s="70"/>
      <c r="J768" s="70"/>
      <c r="K768" s="110" t="str">
        <f>IF(H768="","",IF($C$29="간이법","",FPR(H768,I768,J768)))</f>
        <v/>
      </c>
      <c r="L768" s="111" t="str">
        <f>IF(H768="","",IF($C$29="상세법",FPV(H768,K768),IF(H768="EI",4,IF(H768="EO",5.2,IF(H768="EQ",3.9,IF(H768="ILF",7.5,IF(H768="EIF",5.4)))))))</f>
        <v/>
      </c>
      <c r="M768" s="112" t="str">
        <f t="shared" si="15"/>
        <v/>
      </c>
      <c r="N768" s="113"/>
    </row>
    <row r="769" spans="2:14">
      <c r="B769" s="105"/>
      <c r="C769" s="106"/>
      <c r="D769" s="107"/>
      <c r="E769" s="65"/>
      <c r="F769" s="64"/>
      <c r="G769" s="64"/>
      <c r="H769" s="64"/>
      <c r="I769" s="70"/>
      <c r="J769" s="70"/>
      <c r="K769" s="110" t="str">
        <f>IF(H769="","",IF($C$29="간이법","",FPR(H769,I769,J769)))</f>
        <v/>
      </c>
      <c r="L769" s="111" t="str">
        <f>IF(H769="","",IF($C$29="상세법",FPV(H769,K769),IF(H769="EI",4,IF(H769="EO",5.2,IF(H769="EQ",3.9,IF(H769="ILF",7.5,IF(H769="EIF",5.4)))))))</f>
        <v/>
      </c>
      <c r="M769" s="112" t="str">
        <f t="shared" si="15"/>
        <v/>
      </c>
      <c r="N769" s="113"/>
    </row>
    <row r="770" spans="2:14">
      <c r="B770" s="105"/>
      <c r="C770" s="106"/>
      <c r="D770" s="107"/>
      <c r="E770" s="65"/>
      <c r="F770" s="64"/>
      <c r="G770" s="64"/>
      <c r="H770" s="64"/>
      <c r="I770" s="70"/>
      <c r="J770" s="70"/>
      <c r="K770" s="110" t="str">
        <f>IF(H770="","",IF($C$29="간이법","",FPR(H770,I770,J770)))</f>
        <v/>
      </c>
      <c r="L770" s="111" t="str">
        <f>IF(H770="","",IF($C$29="상세법",FPV(H770,K770),IF(H770="EI",4,IF(H770="EO",5.2,IF(H770="EQ",3.9,IF(H770="ILF",7.5,IF(H770="EIF",5.4)))))))</f>
        <v/>
      </c>
      <c r="M770" s="112" t="str">
        <f t="shared" si="15"/>
        <v/>
      </c>
      <c r="N770" s="113"/>
    </row>
    <row r="771" spans="2:14">
      <c r="B771" s="105"/>
      <c r="C771" s="106"/>
      <c r="D771" s="107"/>
      <c r="E771" s="65"/>
      <c r="F771" s="64"/>
      <c r="G771" s="64"/>
      <c r="H771" s="64"/>
      <c r="I771" s="70"/>
      <c r="J771" s="70"/>
      <c r="K771" s="110" t="str">
        <f>IF(H771="","",IF($C$29="간이법","",FPR(H771,I771,J771)))</f>
        <v/>
      </c>
      <c r="L771" s="111" t="str">
        <f>IF(H771="","",IF($C$29="상세법",FPV(H771,K771),IF(H771="EI",4,IF(H771="EO",5.2,IF(H771="EQ",3.9,IF(H771="ILF",7.5,IF(H771="EIF",5.4)))))))</f>
        <v/>
      </c>
      <c r="M771" s="112" t="str">
        <f t="shared" si="15"/>
        <v/>
      </c>
      <c r="N771" s="113"/>
    </row>
    <row r="772" spans="2:14">
      <c r="B772" s="105"/>
      <c r="C772" s="106"/>
      <c r="D772" s="107"/>
      <c r="E772" s="65"/>
      <c r="F772" s="64"/>
      <c r="G772" s="64"/>
      <c r="H772" s="64"/>
      <c r="I772" s="70"/>
      <c r="J772" s="70"/>
      <c r="K772" s="110" t="str">
        <f>IF(H772="","",IF($C$29="간이법","",FPR(H772,I772,J772)))</f>
        <v/>
      </c>
      <c r="L772" s="111" t="str">
        <f>IF(H772="","",IF($C$29="상세법",FPV(H772,K772),IF(H772="EI",4,IF(H772="EO",5.2,IF(H772="EQ",3.9,IF(H772="ILF",7.5,IF(H772="EIF",5.4)))))))</f>
        <v/>
      </c>
      <c r="M772" s="112" t="str">
        <f t="shared" si="15"/>
        <v/>
      </c>
      <c r="N772" s="113"/>
    </row>
    <row r="773" spans="2:14">
      <c r="B773" s="105"/>
      <c r="C773" s="106"/>
      <c r="D773" s="107"/>
      <c r="E773" s="65"/>
      <c r="F773" s="64"/>
      <c r="G773" s="64"/>
      <c r="H773" s="64"/>
      <c r="I773" s="70"/>
      <c r="J773" s="70"/>
      <c r="K773" s="110" t="str">
        <f>IF(H773="","",IF($C$29="간이법","",FPR(H773,I773,J773)))</f>
        <v/>
      </c>
      <c r="L773" s="111" t="str">
        <f>IF(H773="","",IF($C$29="상세법",FPV(H773,K773),IF(H773="EI",4,IF(H773="EO",5.2,IF(H773="EQ",3.9,IF(H773="ILF",7.5,IF(H773="EIF",5.4)))))))</f>
        <v/>
      </c>
      <c r="M773" s="112" t="str">
        <f t="shared" si="15"/>
        <v/>
      </c>
      <c r="N773" s="113"/>
    </row>
    <row r="774" spans="2:14">
      <c r="B774" s="105"/>
      <c r="C774" s="106"/>
      <c r="D774" s="107"/>
      <c r="E774" s="65"/>
      <c r="F774" s="64"/>
      <c r="G774" s="64"/>
      <c r="H774" s="64"/>
      <c r="I774" s="70"/>
      <c r="J774" s="70"/>
      <c r="K774" s="110" t="str">
        <f>IF(H774="","",IF($C$29="간이법","",FPR(H774,I774,J774)))</f>
        <v/>
      </c>
      <c r="L774" s="111" t="str">
        <f>IF(H774="","",IF($C$29="상세법",FPV(H774,K774),IF(H774="EI",4,IF(H774="EO",5.2,IF(H774="EQ",3.9,IF(H774="ILF",7.5,IF(H774="EIF",5.4)))))))</f>
        <v/>
      </c>
      <c r="M774" s="112" t="str">
        <f t="shared" si="15"/>
        <v/>
      </c>
      <c r="N774" s="113"/>
    </row>
    <row r="775" spans="2:14">
      <c r="B775" s="105"/>
      <c r="C775" s="106"/>
      <c r="D775" s="107"/>
      <c r="E775" s="65"/>
      <c r="F775" s="64"/>
      <c r="G775" s="64"/>
      <c r="H775" s="64"/>
      <c r="I775" s="70"/>
      <c r="J775" s="70"/>
      <c r="K775" s="110" t="str">
        <f>IF(H775="","",IF($C$29="간이법","",FPR(H775,I775,J775)))</f>
        <v/>
      </c>
      <c r="L775" s="111" t="str">
        <f>IF(H775="","",IF($C$29="상세법",FPV(H775,K775),IF(H775="EI",4,IF(H775="EO",5.2,IF(H775="EQ",3.9,IF(H775="ILF",7.5,IF(H775="EIF",5.4)))))))</f>
        <v/>
      </c>
      <c r="M775" s="112" t="str">
        <f t="shared" si="15"/>
        <v/>
      </c>
      <c r="N775" s="113"/>
    </row>
    <row r="776" spans="2:14">
      <c r="B776" s="105"/>
      <c r="C776" s="106"/>
      <c r="D776" s="107"/>
      <c r="E776" s="65"/>
      <c r="F776" s="64"/>
      <c r="G776" s="64"/>
      <c r="H776" s="64"/>
      <c r="I776" s="70"/>
      <c r="J776" s="70"/>
      <c r="K776" s="110" t="str">
        <f>IF(H776="","",IF($C$29="간이법","",FPR(H776,I776,J776)))</f>
        <v/>
      </c>
      <c r="L776" s="111" t="str">
        <f>IF(H776="","",IF($C$29="상세법",FPV(H776,K776),IF(H776="EI",4,IF(H776="EO",5.2,IF(H776="EQ",3.9,IF(H776="ILF",7.5,IF(H776="EIF",5.4)))))))</f>
        <v/>
      </c>
      <c r="M776" s="112" t="str">
        <f t="shared" si="15"/>
        <v/>
      </c>
      <c r="N776" s="113"/>
    </row>
    <row r="777" spans="2:14">
      <c r="B777" s="105"/>
      <c r="C777" s="106"/>
      <c r="D777" s="107"/>
      <c r="E777" s="65"/>
      <c r="F777" s="64"/>
      <c r="G777" s="64"/>
      <c r="H777" s="64"/>
      <c r="I777" s="70"/>
      <c r="J777" s="70"/>
      <c r="K777" s="110" t="str">
        <f>IF(H777="","",IF($C$29="간이법","",FPR(H777,I777,J777)))</f>
        <v/>
      </c>
      <c r="L777" s="111" t="str">
        <f>IF(H777="","",IF($C$29="상세법",FPV(H777,K777),IF(H777="EI",4,IF(H777="EO",5.2,IF(H777="EQ",3.9,IF(H777="ILF",7.5,IF(H777="EIF",5.4)))))))</f>
        <v/>
      </c>
      <c r="M777" s="112" t="str">
        <f t="shared" si="15"/>
        <v/>
      </c>
      <c r="N777" s="113"/>
    </row>
    <row r="778" spans="2:14">
      <c r="B778" s="105"/>
      <c r="C778" s="106"/>
      <c r="D778" s="107"/>
      <c r="E778" s="65"/>
      <c r="F778" s="64"/>
      <c r="G778" s="64"/>
      <c r="H778" s="64"/>
      <c r="I778" s="70"/>
      <c r="J778" s="70"/>
      <c r="K778" s="110" t="str">
        <f>IF(H778="","",IF($C$29="간이법","",FPR(H778,I778,J778)))</f>
        <v/>
      </c>
      <c r="L778" s="111" t="str">
        <f>IF(H778="","",IF($C$29="상세법",FPV(H778,K778),IF(H778="EI",4,IF(H778="EO",5.2,IF(H778="EQ",3.9,IF(H778="ILF",7.5,IF(H778="EIF",5.4)))))))</f>
        <v/>
      </c>
      <c r="M778" s="112" t="str">
        <f t="shared" si="15"/>
        <v/>
      </c>
      <c r="N778" s="113"/>
    </row>
    <row r="779" spans="2:14">
      <c r="B779" s="105"/>
      <c r="C779" s="106"/>
      <c r="D779" s="107"/>
      <c r="E779" s="65"/>
      <c r="F779" s="64"/>
      <c r="G779" s="64"/>
      <c r="H779" s="64"/>
      <c r="I779" s="70"/>
      <c r="J779" s="70"/>
      <c r="K779" s="110" t="str">
        <f>IF(H779="","",IF($C$29="간이법","",FPR(H779,I779,J779)))</f>
        <v/>
      </c>
      <c r="L779" s="111" t="str">
        <f>IF(H779="","",IF($C$29="상세법",FPV(H779,K779),IF(H779="EI",4,IF(H779="EO",5.2,IF(H779="EQ",3.9,IF(H779="ILF",7.5,IF(H779="EIF",5.4)))))))</f>
        <v/>
      </c>
      <c r="M779" s="112" t="str">
        <f t="shared" si="15"/>
        <v/>
      </c>
      <c r="N779" s="113"/>
    </row>
    <row r="780" spans="2:14">
      <c r="B780" s="105"/>
      <c r="C780" s="106"/>
      <c r="D780" s="107"/>
      <c r="E780" s="65"/>
      <c r="F780" s="64"/>
      <c r="G780" s="64"/>
      <c r="H780" s="64"/>
      <c r="I780" s="70"/>
      <c r="J780" s="70"/>
      <c r="K780" s="110" t="str">
        <f>IF(H780="","",IF($C$29="간이법","",FPR(H780,I780,J780)))</f>
        <v/>
      </c>
      <c r="L780" s="111" t="str">
        <f>IF(H780="","",IF($C$29="상세법",FPV(H780,K780),IF(H780="EI",4,IF(H780="EO",5.2,IF(H780="EQ",3.9,IF(H780="ILF",7.5,IF(H780="EIF",5.4)))))))</f>
        <v/>
      </c>
      <c r="M780" s="112" t="str">
        <f t="shared" si="15"/>
        <v/>
      </c>
      <c r="N780" s="113"/>
    </row>
    <row r="781" spans="2:14">
      <c r="B781" s="105"/>
      <c r="C781" s="106"/>
      <c r="D781" s="107"/>
      <c r="E781" s="65"/>
      <c r="F781" s="64"/>
      <c r="G781" s="64"/>
      <c r="H781" s="64"/>
      <c r="I781" s="70"/>
      <c r="J781" s="70"/>
      <c r="K781" s="110" t="str">
        <f>IF(H781="","",IF($C$29="간이법","",FPR(H781,I781,J781)))</f>
        <v/>
      </c>
      <c r="L781" s="111" t="str">
        <f>IF(H781="","",IF($C$29="상세법",FPV(H781,K781),IF(H781="EI",4,IF(H781="EO",5.2,IF(H781="EQ",3.9,IF(H781="ILF",7.5,IF(H781="EIF",5.4)))))))</f>
        <v/>
      </c>
      <c r="M781" s="112" t="str">
        <f t="shared" si="15"/>
        <v/>
      </c>
      <c r="N781" s="113"/>
    </row>
    <row r="782" spans="2:14">
      <c r="B782" s="105"/>
      <c r="C782" s="106"/>
      <c r="D782" s="107"/>
      <c r="E782" s="65"/>
      <c r="F782" s="64"/>
      <c r="G782" s="64"/>
      <c r="H782" s="64"/>
      <c r="I782" s="70"/>
      <c r="J782" s="70"/>
      <c r="K782" s="110" t="str">
        <f>IF(H782="","",IF($C$29="간이법","",FPR(H782,I782,J782)))</f>
        <v/>
      </c>
      <c r="L782" s="111" t="str">
        <f>IF(H782="","",IF($C$29="상세법",FPV(H782,K782),IF(H782="EI",4,IF(H782="EO",5.2,IF(H782="EQ",3.9,IF(H782="ILF",7.5,IF(H782="EIF",5.4)))))))</f>
        <v/>
      </c>
      <c r="M782" s="112" t="str">
        <f t="shared" si="15"/>
        <v/>
      </c>
      <c r="N782" s="113"/>
    </row>
    <row r="783" spans="2:14">
      <c r="B783" s="105"/>
      <c r="C783" s="106"/>
      <c r="D783" s="107"/>
      <c r="E783" s="65"/>
      <c r="F783" s="64"/>
      <c r="G783" s="64"/>
      <c r="H783" s="64"/>
      <c r="I783" s="70"/>
      <c r="J783" s="70"/>
      <c r="K783" s="110" t="str">
        <f>IF(H783="","",IF($C$29="간이법","",FPR(H783,I783,J783)))</f>
        <v/>
      </c>
      <c r="L783" s="111" t="str">
        <f>IF(H783="","",IF($C$29="상세법",FPV(H783,K783),IF(H783="EI",4,IF(H783="EO",5.2,IF(H783="EQ",3.9,IF(H783="ILF",7.5,IF(H783="EIF",5.4)))))))</f>
        <v/>
      </c>
      <c r="M783" s="112" t="str">
        <f t="shared" si="15"/>
        <v/>
      </c>
      <c r="N783" s="113"/>
    </row>
    <row r="784" spans="2:14">
      <c r="B784" s="105"/>
      <c r="C784" s="106"/>
      <c r="D784" s="107"/>
      <c r="E784" s="65"/>
      <c r="F784" s="64"/>
      <c r="G784" s="64"/>
      <c r="H784" s="64"/>
      <c r="I784" s="70"/>
      <c r="J784" s="70"/>
      <c r="K784" s="110" t="str">
        <f>IF(H784="","",IF($C$29="간이법","",FPR(H784,I784,J784)))</f>
        <v/>
      </c>
      <c r="L784" s="111" t="str">
        <f>IF(H784="","",IF($C$29="상세법",FPV(H784,K784),IF(H784="EI",4,IF(H784="EO",5.2,IF(H784="EQ",3.9,IF(H784="ILF",7.5,IF(H784="EIF",5.4)))))))</f>
        <v/>
      </c>
      <c r="M784" s="112" t="str">
        <f t="shared" si="15"/>
        <v/>
      </c>
      <c r="N784" s="113"/>
    </row>
    <row r="785" spans="2:14">
      <c r="B785" s="105"/>
      <c r="C785" s="106"/>
      <c r="D785" s="107"/>
      <c r="E785" s="65"/>
      <c r="F785" s="64"/>
      <c r="G785" s="64"/>
      <c r="H785" s="64"/>
      <c r="I785" s="70"/>
      <c r="J785" s="70"/>
      <c r="K785" s="110" t="str">
        <f>IF(H785="","",IF($C$29="간이법","",FPR(H785,I785,J785)))</f>
        <v/>
      </c>
      <c r="L785" s="111" t="str">
        <f>IF(H785="","",IF($C$29="상세법",FPV(H785,K785),IF(H785="EI",4,IF(H785="EO",5.2,IF(H785="EQ",3.9,IF(H785="ILF",7.5,IF(H785="EIF",5.4)))))))</f>
        <v/>
      </c>
      <c r="M785" s="112" t="str">
        <f t="shared" si="15"/>
        <v/>
      </c>
      <c r="N785" s="113"/>
    </row>
    <row r="786" spans="2:14">
      <c r="B786" s="105"/>
      <c r="C786" s="106"/>
      <c r="D786" s="107"/>
      <c r="E786" s="65"/>
      <c r="F786" s="64"/>
      <c r="G786" s="64"/>
      <c r="H786" s="64"/>
      <c r="I786" s="70"/>
      <c r="J786" s="70"/>
      <c r="K786" s="110" t="str">
        <f>IF(H786="","",IF($C$29="간이법","",FPR(H786,I786,J786)))</f>
        <v/>
      </c>
      <c r="L786" s="111" t="str">
        <f>IF(H786="","",IF($C$29="상세법",FPV(H786,K786),IF(H786="EI",4,IF(H786="EO",5.2,IF(H786="EQ",3.9,IF(H786="ILF",7.5,IF(H786="EIF",5.4)))))))</f>
        <v/>
      </c>
      <c r="M786" s="112" t="str">
        <f t="shared" si="15"/>
        <v/>
      </c>
      <c r="N786" s="113"/>
    </row>
    <row r="787" spans="2:14">
      <c r="B787" s="105"/>
      <c r="C787" s="106"/>
      <c r="D787" s="107"/>
      <c r="E787" s="65"/>
      <c r="F787" s="64"/>
      <c r="G787" s="64"/>
      <c r="H787" s="64"/>
      <c r="I787" s="70"/>
      <c r="J787" s="70"/>
      <c r="K787" s="110" t="str">
        <f>IF(H787="","",IF($C$29="간이법","",FPR(H787,I787,J787)))</f>
        <v/>
      </c>
      <c r="L787" s="111" t="str">
        <f>IF(H787="","",IF($C$29="상세법",FPV(H787,K787),IF(H787="EI",4,IF(H787="EO",5.2,IF(H787="EQ",3.9,IF(H787="ILF",7.5,IF(H787="EIF",5.4)))))))</f>
        <v/>
      </c>
      <c r="M787" s="112" t="str">
        <f t="shared" si="15"/>
        <v/>
      </c>
      <c r="N787" s="113"/>
    </row>
    <row r="788" spans="2:14">
      <c r="B788" s="105"/>
      <c r="C788" s="106"/>
      <c r="D788" s="107"/>
      <c r="E788" s="65"/>
      <c r="F788" s="64"/>
      <c r="G788" s="64"/>
      <c r="H788" s="64"/>
      <c r="I788" s="70"/>
      <c r="J788" s="70"/>
      <c r="K788" s="110" t="str">
        <f>IF(H788="","",IF($C$29="간이법","",FPR(H788,I788,J788)))</f>
        <v/>
      </c>
      <c r="L788" s="111" t="str">
        <f>IF(H788="","",IF($C$29="상세법",FPV(H788,K788),IF(H788="EI",4,IF(H788="EO",5.2,IF(H788="EQ",3.9,IF(H788="ILF",7.5,IF(H788="EIF",5.4)))))))</f>
        <v/>
      </c>
      <c r="M788" s="112" t="str">
        <f t="shared" si="15"/>
        <v/>
      </c>
      <c r="N788" s="113"/>
    </row>
    <row r="789" spans="2:14">
      <c r="B789" s="105"/>
      <c r="C789" s="106"/>
      <c r="D789" s="107"/>
      <c r="E789" s="65"/>
      <c r="F789" s="64"/>
      <c r="G789" s="64"/>
      <c r="H789" s="64"/>
      <c r="I789" s="70"/>
      <c r="J789" s="70"/>
      <c r="K789" s="110" t="str">
        <f>IF(H789="","",IF($C$29="간이법","",FPR(H789,I789,J789)))</f>
        <v/>
      </c>
      <c r="L789" s="111" t="str">
        <f>IF(H789="","",IF($C$29="상세법",FPV(H789,K789),IF(H789="EI",4,IF(H789="EO",5.2,IF(H789="EQ",3.9,IF(H789="ILF",7.5,IF(H789="EIF",5.4)))))))</f>
        <v/>
      </c>
      <c r="M789" s="112" t="str">
        <f t="shared" si="15"/>
        <v/>
      </c>
      <c r="N789" s="113"/>
    </row>
    <row r="790" spans="2:14">
      <c r="B790" s="105"/>
      <c r="C790" s="106"/>
      <c r="D790" s="107"/>
      <c r="E790" s="65"/>
      <c r="F790" s="64"/>
      <c r="G790" s="64"/>
      <c r="H790" s="64"/>
      <c r="I790" s="70"/>
      <c r="J790" s="70"/>
      <c r="K790" s="110" t="str">
        <f>IF(H790="","",IF($C$29="간이법","",FPR(H790,I790,J790)))</f>
        <v/>
      </c>
      <c r="L790" s="111" t="str">
        <f>IF(H790="","",IF($C$29="상세법",FPV(H790,K790),IF(H790="EI",4,IF(H790="EO",5.2,IF(H790="EQ",3.9,IF(H790="ILF",7.5,IF(H790="EIF",5.4)))))))</f>
        <v/>
      </c>
      <c r="M790" s="112" t="str">
        <f t="shared" si="15"/>
        <v/>
      </c>
      <c r="N790" s="113"/>
    </row>
    <row r="791" spans="2:14">
      <c r="B791" s="105"/>
      <c r="C791" s="106"/>
      <c r="D791" s="107"/>
      <c r="E791" s="65"/>
      <c r="F791" s="64"/>
      <c r="G791" s="64"/>
      <c r="H791" s="64"/>
      <c r="I791" s="70"/>
      <c r="J791" s="70"/>
      <c r="K791" s="110" t="str">
        <f>IF(H791="","",IF($C$29="간이법","",FPR(H791,I791,J791)))</f>
        <v/>
      </c>
      <c r="L791" s="111" t="str">
        <f>IF(H791="","",IF($C$29="상세법",FPV(H791,K791),IF(H791="EI",4,IF(H791="EO",5.2,IF(H791="EQ",3.9,IF(H791="ILF",7.5,IF(H791="EIF",5.4)))))))</f>
        <v/>
      </c>
      <c r="M791" s="112" t="str">
        <f t="shared" si="15"/>
        <v/>
      </c>
      <c r="N791" s="113"/>
    </row>
    <row r="792" spans="2:14">
      <c r="B792" s="105"/>
      <c r="C792" s="106"/>
      <c r="D792" s="107"/>
      <c r="E792" s="65"/>
      <c r="F792" s="64"/>
      <c r="G792" s="64"/>
      <c r="H792" s="64"/>
      <c r="I792" s="70"/>
      <c r="J792" s="70"/>
      <c r="K792" s="110" t="str">
        <f>IF(H792="","",IF($C$29="간이법","",FPR(H792,I792,J792)))</f>
        <v/>
      </c>
      <c r="L792" s="111" t="str">
        <f>IF(H792="","",IF($C$29="상세법",FPV(H792,K792),IF(H792="EI",4,IF(H792="EO",5.2,IF(H792="EQ",3.9,IF(H792="ILF",7.5,IF(H792="EIF",5.4)))))))</f>
        <v/>
      </c>
      <c r="M792" s="112" t="str">
        <f t="shared" si="15"/>
        <v/>
      </c>
      <c r="N792" s="113"/>
    </row>
    <row r="793" spans="2:14">
      <c r="B793" s="105"/>
      <c r="C793" s="106"/>
      <c r="D793" s="107"/>
      <c r="E793" s="65"/>
      <c r="F793" s="64"/>
      <c r="G793" s="64"/>
      <c r="H793" s="64"/>
      <c r="I793" s="70"/>
      <c r="J793" s="70"/>
      <c r="K793" s="110" t="str">
        <f>IF(H793="","",IF($C$29="간이법","",FPR(H793,I793,J793)))</f>
        <v/>
      </c>
      <c r="L793" s="111" t="str">
        <f>IF(H793="","",IF($C$29="상세법",FPV(H793,K793),IF(H793="EI",4,IF(H793="EO",5.2,IF(H793="EQ",3.9,IF(H793="ILF",7.5,IF(H793="EIF",5.4)))))))</f>
        <v/>
      </c>
      <c r="M793" s="112" t="str">
        <f t="shared" si="15"/>
        <v/>
      </c>
      <c r="N793" s="113"/>
    </row>
    <row r="794" spans="2:14">
      <c r="B794" s="105"/>
      <c r="C794" s="106"/>
      <c r="D794" s="107"/>
      <c r="E794" s="65"/>
      <c r="F794" s="64"/>
      <c r="G794" s="64"/>
      <c r="H794" s="64"/>
      <c r="I794" s="70"/>
      <c r="J794" s="70"/>
      <c r="K794" s="110" t="str">
        <f>IF(H794="","",IF($C$29="간이법","",FPR(H794,I794,J794)))</f>
        <v/>
      </c>
      <c r="L794" s="111" t="str">
        <f>IF(H794="","",IF($C$29="상세법",FPV(H794,K794),IF(H794="EI",4,IF(H794="EO",5.2,IF(H794="EQ",3.9,IF(H794="ILF",7.5,IF(H794="EIF",5.4)))))))</f>
        <v/>
      </c>
      <c r="M794" s="112" t="str">
        <f t="shared" si="15"/>
        <v/>
      </c>
      <c r="N794" s="113"/>
    </row>
    <row r="795" spans="2:14">
      <c r="B795" s="105"/>
      <c r="C795" s="106"/>
      <c r="D795" s="107"/>
      <c r="E795" s="65"/>
      <c r="F795" s="64"/>
      <c r="G795" s="64"/>
      <c r="H795" s="64"/>
      <c r="I795" s="70"/>
      <c r="J795" s="70"/>
      <c r="K795" s="110" t="str">
        <f>IF(H795="","",IF($C$29="간이법","",FPR(H795,I795,J795)))</f>
        <v/>
      </c>
      <c r="L795" s="111" t="str">
        <f>IF(H795="","",IF($C$29="상세법",FPV(H795,K795),IF(H795="EI",4,IF(H795="EO",5.2,IF(H795="EQ",3.9,IF(H795="ILF",7.5,IF(H795="EIF",5.4)))))))</f>
        <v/>
      </c>
      <c r="M795" s="112" t="str">
        <f t="shared" si="15"/>
        <v/>
      </c>
      <c r="N795" s="113"/>
    </row>
    <row r="796" spans="2:14">
      <c r="B796" s="105"/>
      <c r="C796" s="106"/>
      <c r="D796" s="107"/>
      <c r="E796" s="65"/>
      <c r="F796" s="64"/>
      <c r="G796" s="64"/>
      <c r="H796" s="64"/>
      <c r="I796" s="70"/>
      <c r="J796" s="70"/>
      <c r="K796" s="110" t="str">
        <f>IF(H796="","",IF($C$29="간이법","",FPR(H796,I796,J796)))</f>
        <v/>
      </c>
      <c r="L796" s="111" t="str">
        <f>IF(H796="","",IF($C$29="상세법",FPV(H796,K796),IF(H796="EI",4,IF(H796="EO",5.2,IF(H796="EQ",3.9,IF(H796="ILF",7.5,IF(H796="EIF",5.4)))))))</f>
        <v/>
      </c>
      <c r="M796" s="112" t="str">
        <f t="shared" si="15"/>
        <v/>
      </c>
      <c r="N796" s="113"/>
    </row>
    <row r="797" spans="2:14">
      <c r="B797" s="105"/>
      <c r="C797" s="106"/>
      <c r="D797" s="107"/>
      <c r="E797" s="65"/>
      <c r="F797" s="64"/>
      <c r="G797" s="64"/>
      <c r="H797" s="64"/>
      <c r="I797" s="70"/>
      <c r="J797" s="70"/>
      <c r="K797" s="110" t="str">
        <f>IF(H797="","",IF($C$29="간이법","",FPR(H797,I797,J797)))</f>
        <v/>
      </c>
      <c r="L797" s="111" t="str">
        <f>IF(H797="","",IF($C$29="상세법",FPV(H797,K797),IF(H797="EI",4,IF(H797="EO",5.2,IF(H797="EQ",3.9,IF(H797="ILF",7.5,IF(H797="EIF",5.4)))))))</f>
        <v/>
      </c>
      <c r="M797" s="112" t="str">
        <f t="shared" si="15"/>
        <v/>
      </c>
      <c r="N797" s="113"/>
    </row>
    <row r="798" spans="2:14">
      <c r="B798" s="105"/>
      <c r="C798" s="106"/>
      <c r="D798" s="107"/>
      <c r="E798" s="65"/>
      <c r="F798" s="64"/>
      <c r="G798" s="64"/>
      <c r="H798" s="64"/>
      <c r="I798" s="70"/>
      <c r="J798" s="70"/>
      <c r="K798" s="110" t="str">
        <f>IF(H798="","",IF($C$29="간이법","",FPR(H798,I798,J798)))</f>
        <v/>
      </c>
      <c r="L798" s="111" t="str">
        <f>IF(H798="","",IF($C$29="상세법",FPV(H798,K798),IF(H798="EI",4,IF(H798="EO",5.2,IF(H798="EQ",3.9,IF(H798="ILF",7.5,IF(H798="EIF",5.4)))))))</f>
        <v/>
      </c>
      <c r="M798" s="112" t="str">
        <f t="shared" si="15"/>
        <v/>
      </c>
      <c r="N798" s="113"/>
    </row>
    <row r="799" spans="2:14">
      <c r="B799" s="105"/>
      <c r="C799" s="106"/>
      <c r="D799" s="107"/>
      <c r="E799" s="65"/>
      <c r="F799" s="64"/>
      <c r="G799" s="64"/>
      <c r="H799" s="64"/>
      <c r="I799" s="70"/>
      <c r="J799" s="70"/>
      <c r="K799" s="110" t="str">
        <f>IF(H799="","",IF($C$29="간이법","",FPR(H799,I799,J799)))</f>
        <v/>
      </c>
      <c r="L799" s="111" t="str">
        <f>IF(H799="","",IF($C$29="상세법",FPV(H799,K799),IF(H799="EI",4,IF(H799="EO",5.2,IF(H799="EQ",3.9,IF(H799="ILF",7.5,IF(H799="EIF",5.4)))))))</f>
        <v/>
      </c>
      <c r="M799" s="112" t="str">
        <f t="shared" si="15"/>
        <v/>
      </c>
      <c r="N799" s="113"/>
    </row>
    <row r="800" spans="2:14">
      <c r="B800" s="105"/>
      <c r="C800" s="106"/>
      <c r="D800" s="107"/>
      <c r="E800" s="65"/>
      <c r="F800" s="64"/>
      <c r="G800" s="64"/>
      <c r="H800" s="64"/>
      <c r="I800" s="70"/>
      <c r="J800" s="70"/>
      <c r="K800" s="110" t="str">
        <f>IF(H800="","",IF($C$29="간이법","",FPR(H800,I800,J800)))</f>
        <v/>
      </c>
      <c r="L800" s="111" t="str">
        <f>IF(H800="","",IF($C$29="상세법",FPV(H800,K800),IF(H800="EI",4,IF(H800="EO",5.2,IF(H800="EQ",3.9,IF(H800="ILF",7.5,IF(H800="EIF",5.4)))))))</f>
        <v/>
      </c>
      <c r="M800" s="112" t="str">
        <f t="shared" si="15"/>
        <v/>
      </c>
      <c r="N800" s="113"/>
    </row>
    <row r="801" spans="2:14">
      <c r="B801" s="105"/>
      <c r="C801" s="106"/>
      <c r="D801" s="107"/>
      <c r="E801" s="65"/>
      <c r="F801" s="64"/>
      <c r="G801" s="64"/>
      <c r="H801" s="64"/>
      <c r="I801" s="70"/>
      <c r="J801" s="70"/>
      <c r="K801" s="110" t="str">
        <f>IF(H801="","",IF($C$29="간이법","",FPR(H801,I801,J801)))</f>
        <v/>
      </c>
      <c r="L801" s="111" t="str">
        <f>IF(H801="","",IF($C$29="상세법",FPV(H801,K801),IF(H801="EI",4,IF(H801="EO",5.2,IF(H801="EQ",3.9,IF(H801="ILF",7.5,IF(H801="EIF",5.4)))))))</f>
        <v/>
      </c>
      <c r="M801" s="112" t="str">
        <f t="shared" si="15"/>
        <v/>
      </c>
      <c r="N801" s="113"/>
    </row>
    <row r="802" spans="2:14">
      <c r="B802" s="105"/>
      <c r="C802" s="106"/>
      <c r="D802" s="107"/>
      <c r="E802" s="65"/>
      <c r="F802" s="64"/>
      <c r="G802" s="64"/>
      <c r="H802" s="64"/>
      <c r="I802" s="70"/>
      <c r="J802" s="70"/>
      <c r="K802" s="110" t="str">
        <f>IF(H802="","",IF($C$29="간이법","",FPR(H802,I802,J802)))</f>
        <v/>
      </c>
      <c r="L802" s="111" t="str">
        <f>IF(H802="","",IF($C$29="상세법",FPV(H802,K802),IF(H802="EI",4,IF(H802="EO",5.2,IF(H802="EQ",3.9,IF(H802="ILF",7.5,IF(H802="EIF",5.4)))))))</f>
        <v/>
      </c>
      <c r="M802" s="112" t="str">
        <f t="shared" si="15"/>
        <v/>
      </c>
      <c r="N802" s="113"/>
    </row>
    <row r="803" spans="2:14">
      <c r="B803" s="105"/>
      <c r="C803" s="106"/>
      <c r="D803" s="107"/>
      <c r="E803" s="65"/>
      <c r="F803" s="64"/>
      <c r="G803" s="64"/>
      <c r="H803" s="64"/>
      <c r="I803" s="70"/>
      <c r="J803" s="70"/>
      <c r="K803" s="110" t="str">
        <f>IF(H803="","",IF($C$29="간이법","",FPR(H803,I803,J803)))</f>
        <v/>
      </c>
      <c r="L803" s="111" t="str">
        <f>IF(H803="","",IF($C$29="상세법",FPV(H803,K803),IF(H803="EI",4,IF(H803="EO",5.2,IF(H803="EQ",3.9,IF(H803="ILF",7.5,IF(H803="EIF",5.4)))))))</f>
        <v/>
      </c>
      <c r="M803" s="112" t="str">
        <f t="shared" si="15"/>
        <v/>
      </c>
      <c r="N803" s="113"/>
    </row>
    <row r="804" spans="2:14">
      <c r="B804" s="105"/>
      <c r="C804" s="106"/>
      <c r="D804" s="107"/>
      <c r="E804" s="65"/>
      <c r="F804" s="64"/>
      <c r="G804" s="64"/>
      <c r="H804" s="64"/>
      <c r="I804" s="70"/>
      <c r="J804" s="70"/>
      <c r="K804" s="110" t="str">
        <f>IF(H804="","",IF($C$29="간이법","",FPR(H804,I804,J804)))</f>
        <v/>
      </c>
      <c r="L804" s="111" t="str">
        <f>IF(H804="","",IF($C$29="상세법",FPV(H804,K804),IF(H804="EI",4,IF(H804="EO",5.2,IF(H804="EQ",3.9,IF(H804="ILF",7.5,IF(H804="EIF",5.4)))))))</f>
        <v/>
      </c>
      <c r="M804" s="112" t="str">
        <f t="shared" si="15"/>
        <v/>
      </c>
      <c r="N804" s="113"/>
    </row>
    <row r="805" spans="2:14">
      <c r="B805" s="105"/>
      <c r="C805" s="106"/>
      <c r="D805" s="107"/>
      <c r="E805" s="65"/>
      <c r="F805" s="64"/>
      <c r="G805" s="64"/>
      <c r="H805" s="64"/>
      <c r="I805" s="70"/>
      <c r="J805" s="70"/>
      <c r="K805" s="110" t="str">
        <f>IF(H805="","",IF($C$29="간이법","",FPR(H805,I805,J805)))</f>
        <v/>
      </c>
      <c r="L805" s="111" t="str">
        <f>IF(H805="","",IF($C$29="상세법",FPV(H805,K805),IF(H805="EI",4,IF(H805="EO",5.2,IF(H805="EQ",3.9,IF(H805="ILF",7.5,IF(H805="EIF",5.4)))))))</f>
        <v/>
      </c>
      <c r="M805" s="112" t="str">
        <f t="shared" si="15"/>
        <v/>
      </c>
      <c r="N805" s="113"/>
    </row>
    <row r="806" spans="2:14">
      <c r="B806" s="105"/>
      <c r="C806" s="106"/>
      <c r="D806" s="107"/>
      <c r="E806" s="65"/>
      <c r="F806" s="64"/>
      <c r="G806" s="64"/>
      <c r="H806" s="64"/>
      <c r="I806" s="70"/>
      <c r="J806" s="70"/>
      <c r="K806" s="110" t="str">
        <f>IF(H806="","",IF($C$29="간이법","",FPR(H806,I806,J806)))</f>
        <v/>
      </c>
      <c r="L806" s="111" t="str">
        <f>IF(H806="","",IF($C$29="상세법",FPV(H806,K806),IF(H806="EI",4,IF(H806="EO",5.2,IF(H806="EQ",3.9,IF(H806="ILF",7.5,IF(H806="EIF",5.4)))))))</f>
        <v/>
      </c>
      <c r="M806" s="112" t="str">
        <f t="shared" si="15"/>
        <v/>
      </c>
      <c r="N806" s="113"/>
    </row>
    <row r="807" spans="2:14">
      <c r="B807" s="105"/>
      <c r="C807" s="106"/>
      <c r="D807" s="107"/>
      <c r="E807" s="65"/>
      <c r="F807" s="64"/>
      <c r="G807" s="64"/>
      <c r="H807" s="64"/>
      <c r="I807" s="70"/>
      <c r="J807" s="70"/>
      <c r="K807" s="110" t="str">
        <f>IF(H807="","",IF($C$29="간이법","",FPR(H807,I807,J807)))</f>
        <v/>
      </c>
      <c r="L807" s="111" t="str">
        <f>IF(H807="","",IF($C$29="상세법",FPV(H807,K807),IF(H807="EI",4,IF(H807="EO",5.2,IF(H807="EQ",3.9,IF(H807="ILF",7.5,IF(H807="EIF",5.4)))))))</f>
        <v/>
      </c>
      <c r="M807" s="112" t="str">
        <f t="shared" si="15"/>
        <v/>
      </c>
      <c r="N807" s="113"/>
    </row>
    <row r="808" spans="2:14">
      <c r="B808" s="105"/>
      <c r="C808" s="106"/>
      <c r="D808" s="107"/>
      <c r="E808" s="65"/>
      <c r="F808" s="64"/>
      <c r="G808" s="64"/>
      <c r="H808" s="64"/>
      <c r="I808" s="70"/>
      <c r="J808" s="70"/>
      <c r="K808" s="110" t="str">
        <f>IF(H808="","",IF($C$29="간이법","",FPR(H808,I808,J808)))</f>
        <v/>
      </c>
      <c r="L808" s="111" t="str">
        <f>IF(H808="","",IF($C$29="상세법",FPV(H808,K808),IF(H808="EI",4,IF(H808="EO",5.2,IF(H808="EQ",3.9,IF(H808="ILF",7.5,IF(H808="EIF",5.4)))))))</f>
        <v/>
      </c>
      <c r="M808" s="112" t="str">
        <f t="shared" si="15"/>
        <v/>
      </c>
      <c r="N808" s="113"/>
    </row>
    <row r="809" spans="2:14">
      <c r="B809" s="105"/>
      <c r="C809" s="106"/>
      <c r="D809" s="107"/>
      <c r="E809" s="65"/>
      <c r="F809" s="64"/>
      <c r="G809" s="64"/>
      <c r="H809" s="64"/>
      <c r="I809" s="70"/>
      <c r="J809" s="70"/>
      <c r="K809" s="110" t="str">
        <f>IF(H809="","",IF($C$29="간이법","",FPR(H809,I809,J809)))</f>
        <v/>
      </c>
      <c r="L809" s="111" t="str">
        <f>IF(H809="","",IF($C$29="상세법",FPV(H809,K809),IF(H809="EI",4,IF(H809="EO",5.2,IF(H809="EQ",3.9,IF(H809="ILF",7.5,IF(H809="EIF",5.4)))))))</f>
        <v/>
      </c>
      <c r="M809" s="112" t="str">
        <f t="shared" si="15"/>
        <v/>
      </c>
      <c r="N809" s="113"/>
    </row>
    <row r="810" spans="2:14">
      <c r="B810" s="105"/>
      <c r="C810" s="106"/>
      <c r="D810" s="107"/>
      <c r="E810" s="65"/>
      <c r="F810" s="64"/>
      <c r="G810" s="64"/>
      <c r="H810" s="64"/>
      <c r="I810" s="70"/>
      <c r="J810" s="70"/>
      <c r="K810" s="110" t="str">
        <f>IF(H810="","",IF($C$29="간이법","",FPR(H810,I810,J810)))</f>
        <v/>
      </c>
      <c r="L810" s="111" t="str">
        <f>IF(H810="","",IF($C$29="상세법",FPV(H810,K810),IF(H810="EI",4,IF(H810="EO",5.2,IF(H810="EQ",3.9,IF(H810="ILF",7.5,IF(H810="EIF",5.4)))))))</f>
        <v/>
      </c>
      <c r="M810" s="112" t="str">
        <f t="shared" si="15"/>
        <v/>
      </c>
      <c r="N810" s="113"/>
    </row>
    <row r="811" spans="2:14">
      <c r="B811" s="105"/>
      <c r="C811" s="106"/>
      <c r="D811" s="107"/>
      <c r="E811" s="65"/>
      <c r="F811" s="64"/>
      <c r="G811" s="64"/>
      <c r="H811" s="64"/>
      <c r="I811" s="70"/>
      <c r="J811" s="70"/>
      <c r="K811" s="110" t="str">
        <f>IF(H811="","",IF($C$29="간이법","",FPR(H811,I811,J811)))</f>
        <v/>
      </c>
      <c r="L811" s="111" t="str">
        <f>IF(H811="","",IF($C$29="상세법",FPV(H811,K811),IF(H811="EI",4,IF(H811="EO",5.2,IF(H811="EQ",3.9,IF(H811="ILF",7.5,IF(H811="EIF",5.4)))))))</f>
        <v/>
      </c>
      <c r="M811" s="112" t="str">
        <f t="shared" si="15"/>
        <v/>
      </c>
      <c r="N811" s="113"/>
    </row>
    <row r="812" spans="2:14">
      <c r="B812" s="105"/>
      <c r="C812" s="106"/>
      <c r="D812" s="107"/>
      <c r="E812" s="65"/>
      <c r="F812" s="64"/>
      <c r="G812" s="64"/>
      <c r="H812" s="64"/>
      <c r="I812" s="70"/>
      <c r="J812" s="70"/>
      <c r="K812" s="110" t="str">
        <f>IF(H812="","",IF($C$29="간이법","",FPR(H812,I812,J812)))</f>
        <v/>
      </c>
      <c r="L812" s="111" t="str">
        <f>IF(H812="","",IF($C$29="상세법",FPV(H812,K812),IF(H812="EI",4,IF(H812="EO",5.2,IF(H812="EQ",3.9,IF(H812="ILF",7.5,IF(H812="EIF",5.4)))))))</f>
        <v/>
      </c>
      <c r="M812" s="112" t="str">
        <f t="shared" si="15"/>
        <v/>
      </c>
      <c r="N812" s="113"/>
    </row>
    <row r="813" spans="2:14">
      <c r="B813" s="105"/>
      <c r="C813" s="106"/>
      <c r="D813" s="107"/>
      <c r="E813" s="65"/>
      <c r="F813" s="64"/>
      <c r="G813" s="64"/>
      <c r="H813" s="64"/>
      <c r="I813" s="70"/>
      <c r="J813" s="70"/>
      <c r="K813" s="110" t="str">
        <f>IF(H813="","",IF($C$29="간이법","",FPR(H813,I813,J813)))</f>
        <v/>
      </c>
      <c r="L813" s="111" t="str">
        <f>IF(H813="","",IF($C$29="상세법",FPV(H813,K813),IF(H813="EI",4,IF(H813="EO",5.2,IF(H813="EQ",3.9,IF(H813="ILF",7.5,IF(H813="EIF",5.4)))))))</f>
        <v/>
      </c>
      <c r="M813" s="112" t="str">
        <f t="shared" si="15"/>
        <v/>
      </c>
      <c r="N813" s="113"/>
    </row>
    <row r="814" spans="2:14">
      <c r="B814" s="105"/>
      <c r="C814" s="106"/>
      <c r="D814" s="107"/>
      <c r="E814" s="65"/>
      <c r="F814" s="64"/>
      <c r="G814" s="64"/>
      <c r="H814" s="64"/>
      <c r="I814" s="70"/>
      <c r="J814" s="70"/>
      <c r="K814" s="110" t="str">
        <f>IF(H814="","",IF($C$29="간이법","",FPR(H814,I814,J814)))</f>
        <v/>
      </c>
      <c r="L814" s="111" t="str">
        <f>IF(H814="","",IF($C$29="상세법",FPV(H814,K814),IF(H814="EI",4,IF(H814="EO",5.2,IF(H814="EQ",3.9,IF(H814="ILF",7.5,IF(H814="EIF",5.4)))))))</f>
        <v/>
      </c>
      <c r="M814" s="112" t="str">
        <f t="shared" si="15"/>
        <v/>
      </c>
      <c r="N814" s="113"/>
    </row>
    <row r="815" spans="2:14">
      <c r="B815" s="105"/>
      <c r="C815" s="106"/>
      <c r="D815" s="107"/>
      <c r="E815" s="65"/>
      <c r="F815" s="64"/>
      <c r="G815" s="64"/>
      <c r="H815" s="64"/>
      <c r="I815" s="70"/>
      <c r="J815" s="70"/>
      <c r="K815" s="110" t="str">
        <f>IF(H815="","",IF($C$29="간이법","",FPR(H815,I815,J815)))</f>
        <v/>
      </c>
      <c r="L815" s="111" t="str">
        <f>IF(H815="","",IF($C$29="상세법",FPV(H815,K815),IF(H815="EI",4,IF(H815="EO",5.2,IF(H815="EQ",3.9,IF(H815="ILF",7.5,IF(H815="EIF",5.4)))))))</f>
        <v/>
      </c>
      <c r="M815" s="112" t="str">
        <f t="shared" si="15"/>
        <v/>
      </c>
      <c r="N815" s="113"/>
    </row>
    <row r="816" spans="2:14">
      <c r="B816" s="105"/>
      <c r="C816" s="106"/>
      <c r="D816" s="107"/>
      <c r="E816" s="65"/>
      <c r="F816" s="64"/>
      <c r="G816" s="64"/>
      <c r="H816" s="64"/>
      <c r="I816" s="70"/>
      <c r="J816" s="70"/>
      <c r="K816" s="110" t="str">
        <f>IF(H816="","",IF($C$29="간이법","",FPR(H816,I816,J816)))</f>
        <v/>
      </c>
      <c r="L816" s="111" t="str">
        <f>IF(H816="","",IF($C$29="상세법",FPV(H816,K816),IF(H816="EI",4,IF(H816="EO",5.2,IF(H816="EQ",3.9,IF(H816="ILF",7.5,IF(H816="EIF",5.4)))))))</f>
        <v/>
      </c>
      <c r="M816" s="112" t="str">
        <f t="shared" si="15"/>
        <v/>
      </c>
      <c r="N816" s="113"/>
    </row>
    <row r="817" spans="2:14">
      <c r="B817" s="105"/>
      <c r="C817" s="106"/>
      <c r="D817" s="107"/>
      <c r="E817" s="65"/>
      <c r="F817" s="64"/>
      <c r="G817" s="64"/>
      <c r="H817" s="64"/>
      <c r="I817" s="70"/>
      <c r="J817" s="70"/>
      <c r="K817" s="110" t="str">
        <f>IF(H817="","",IF($C$29="간이법","",FPR(H817,I817,J817)))</f>
        <v/>
      </c>
      <c r="L817" s="111" t="str">
        <f>IF(H817="","",IF($C$29="상세법",FPV(H817,K817),IF(H817="EI",4,IF(H817="EO",5.2,IF(H817="EQ",3.9,IF(H817="ILF",7.5,IF(H817="EIF",5.4)))))))</f>
        <v/>
      </c>
      <c r="M817" s="112" t="str">
        <f t="shared" si="15"/>
        <v/>
      </c>
      <c r="N817" s="113"/>
    </row>
    <row r="818" spans="2:14">
      <c r="B818" s="105"/>
      <c r="C818" s="106"/>
      <c r="D818" s="107"/>
      <c r="E818" s="65"/>
      <c r="F818" s="64"/>
      <c r="G818" s="64"/>
      <c r="H818" s="64"/>
      <c r="I818" s="70"/>
      <c r="J818" s="70"/>
      <c r="K818" s="110" t="str">
        <f>IF(H818="","",IF($C$29="간이법","",FPR(H818,I818,J818)))</f>
        <v/>
      </c>
      <c r="L818" s="111" t="str">
        <f>IF(H818="","",IF($C$29="상세법",FPV(H818,K818),IF(H818="EI",4,IF(H818="EO",5.2,IF(H818="EQ",3.9,IF(H818="ILF",7.5,IF(H818="EIF",5.4)))))))</f>
        <v/>
      </c>
      <c r="M818" s="112" t="str">
        <f t="shared" si="15"/>
        <v/>
      </c>
      <c r="N818" s="113"/>
    </row>
    <row r="819" spans="2:14">
      <c r="B819" s="105"/>
      <c r="C819" s="106"/>
      <c r="D819" s="107"/>
      <c r="E819" s="65"/>
      <c r="F819" s="64"/>
      <c r="G819" s="64"/>
      <c r="H819" s="64"/>
      <c r="I819" s="70"/>
      <c r="J819" s="70"/>
      <c r="K819" s="110" t="str">
        <f>IF(H819="","",IF($C$29="간이법","",FPR(H819,I819,J819)))</f>
        <v/>
      </c>
      <c r="L819" s="111" t="str">
        <f>IF(H819="","",IF($C$29="상세법",FPV(H819,K819),IF(H819="EI",4,IF(H819="EO",5.2,IF(H819="EQ",3.9,IF(H819="ILF",7.5,IF(H819="EIF",5.4)))))))</f>
        <v/>
      </c>
      <c r="M819" s="112" t="str">
        <f t="shared" si="15"/>
        <v/>
      </c>
      <c r="N819" s="113"/>
    </row>
    <row r="820" spans="2:14">
      <c r="B820" s="105"/>
      <c r="C820" s="106"/>
      <c r="D820" s="107"/>
      <c r="E820" s="65"/>
      <c r="F820" s="64"/>
      <c r="G820" s="64"/>
      <c r="H820" s="64"/>
      <c r="I820" s="70"/>
      <c r="J820" s="70"/>
      <c r="K820" s="110" t="str">
        <f>IF(H820="","",IF($C$29="간이법","",FPR(H820,I820,J820)))</f>
        <v/>
      </c>
      <c r="L820" s="111" t="str">
        <f>IF(H820="","",IF($C$29="상세법",FPV(H820,K820),IF(H820="EI",4,IF(H820="EO",5.2,IF(H820="EQ",3.9,IF(H820="ILF",7.5,IF(H820="EIF",5.4)))))))</f>
        <v/>
      </c>
      <c r="M820" s="112" t="str">
        <f t="shared" si="15"/>
        <v/>
      </c>
      <c r="N820" s="113"/>
    </row>
    <row r="821" spans="2:14">
      <c r="B821" s="105"/>
      <c r="C821" s="106"/>
      <c r="D821" s="107"/>
      <c r="E821" s="65"/>
      <c r="F821" s="64"/>
      <c r="G821" s="64"/>
      <c r="H821" s="64"/>
      <c r="I821" s="70"/>
      <c r="J821" s="70"/>
      <c r="K821" s="110" t="str">
        <f>IF(H821="","",IF($C$29="간이법","",FPR(H821,I821,J821)))</f>
        <v/>
      </c>
      <c r="L821" s="111" t="str">
        <f>IF(H821="","",IF($C$29="상세법",FPV(H821,K821),IF(H821="EI",4,IF(H821="EO",5.2,IF(H821="EQ",3.9,IF(H821="ILF",7.5,IF(H821="EIF",5.4)))))))</f>
        <v/>
      </c>
      <c r="M821" s="112" t="str">
        <f t="shared" si="15"/>
        <v/>
      </c>
      <c r="N821" s="113"/>
    </row>
    <row r="822" spans="2:14">
      <c r="B822" s="105"/>
      <c r="C822" s="106"/>
      <c r="D822" s="107"/>
      <c r="E822" s="65"/>
      <c r="F822" s="64"/>
      <c r="G822" s="64"/>
      <c r="H822" s="64"/>
      <c r="I822" s="70"/>
      <c r="J822" s="70"/>
      <c r="K822" s="110" t="str">
        <f>IF(H822="","",IF($C$29="간이법","",FPR(H822,I822,J822)))</f>
        <v/>
      </c>
      <c r="L822" s="111" t="str">
        <f>IF(H822="","",IF($C$29="상세법",FPV(H822,K822),IF(H822="EI",4,IF(H822="EO",5.2,IF(H822="EQ",3.9,IF(H822="ILF",7.5,IF(H822="EIF",5.4)))))))</f>
        <v/>
      </c>
      <c r="M822" s="112" t="str">
        <f t="shared" si="15"/>
        <v/>
      </c>
      <c r="N822" s="113"/>
    </row>
    <row r="823" spans="2:14">
      <c r="B823" s="105"/>
      <c r="C823" s="106"/>
      <c r="D823" s="107"/>
      <c r="E823" s="65"/>
      <c r="F823" s="64"/>
      <c r="G823" s="64"/>
      <c r="H823" s="64"/>
      <c r="I823" s="70"/>
      <c r="J823" s="70"/>
      <c r="K823" s="110" t="str">
        <f>IF(H823="","",IF($C$29="간이법","",FPR(H823,I823,J823)))</f>
        <v/>
      </c>
      <c r="L823" s="111" t="str">
        <f>IF(H823="","",IF($C$29="상세법",FPV(H823,K823),IF(H823="EI",4,IF(H823="EO",5.2,IF(H823="EQ",3.9,IF(H823="ILF",7.5,IF(H823="EIF",5.4)))))))</f>
        <v/>
      </c>
      <c r="M823" s="112" t="str">
        <f t="shared" si="15"/>
        <v/>
      </c>
      <c r="N823" s="113"/>
    </row>
    <row r="824" spans="2:14">
      <c r="B824" s="105"/>
      <c r="C824" s="106"/>
      <c r="D824" s="107"/>
      <c r="E824" s="65"/>
      <c r="F824" s="64"/>
      <c r="G824" s="64"/>
      <c r="H824" s="64"/>
      <c r="I824" s="70"/>
      <c r="J824" s="70"/>
      <c r="K824" s="110" t="str">
        <f>IF(H824="","",IF($C$29="간이법","",FPR(H824,I824,J824)))</f>
        <v/>
      </c>
      <c r="L824" s="111" t="str">
        <f>IF(H824="","",IF($C$29="상세법",FPV(H824,K824),IF(H824="EI",4,IF(H824="EO",5.2,IF(H824="EQ",3.9,IF(H824="ILF",7.5,IF(H824="EIF",5.4)))))))</f>
        <v/>
      </c>
      <c r="M824" s="112" t="str">
        <f t="shared" si="15"/>
        <v/>
      </c>
      <c r="N824" s="113"/>
    </row>
    <row r="825" spans="2:14">
      <c r="B825" s="105"/>
      <c r="C825" s="106"/>
      <c r="D825" s="107"/>
      <c r="E825" s="65"/>
      <c r="F825" s="64"/>
      <c r="G825" s="64"/>
      <c r="H825" s="64"/>
      <c r="I825" s="70"/>
      <c r="J825" s="70"/>
      <c r="K825" s="110" t="str">
        <f>IF(H825="","",IF($C$29="간이법","",FPR(H825,I825,J825)))</f>
        <v/>
      </c>
      <c r="L825" s="111" t="str">
        <f>IF(H825="","",IF($C$29="상세법",FPV(H825,K825),IF(H825="EI",4,IF(H825="EO",5.2,IF(H825="EQ",3.9,IF(H825="ILF",7.5,IF(H825="EIF",5.4)))))))</f>
        <v/>
      </c>
      <c r="M825" s="112" t="str">
        <f t="shared" ref="M825:M888" si="16">IF(L825="","",L825*IF(G825="상",0.7,IF(G825="중",0.5,IF(G825="하",0.2,1))))</f>
        <v/>
      </c>
      <c r="N825" s="113"/>
    </row>
    <row r="826" spans="2:14">
      <c r="B826" s="105"/>
      <c r="C826" s="106"/>
      <c r="D826" s="107"/>
      <c r="E826" s="65"/>
      <c r="F826" s="64"/>
      <c r="G826" s="64"/>
      <c r="H826" s="64"/>
      <c r="I826" s="70"/>
      <c r="J826" s="70"/>
      <c r="K826" s="110" t="str">
        <f>IF(H826="","",IF($C$29="간이법","",FPR(H826,I826,J826)))</f>
        <v/>
      </c>
      <c r="L826" s="111" t="str">
        <f>IF(H826="","",IF($C$29="상세법",FPV(H826,K826),IF(H826="EI",4,IF(H826="EO",5.2,IF(H826="EQ",3.9,IF(H826="ILF",7.5,IF(H826="EIF",5.4)))))))</f>
        <v/>
      </c>
      <c r="M826" s="112" t="str">
        <f t="shared" si="16"/>
        <v/>
      </c>
      <c r="N826" s="113"/>
    </row>
    <row r="827" spans="2:14">
      <c r="B827" s="105"/>
      <c r="C827" s="106"/>
      <c r="D827" s="107"/>
      <c r="E827" s="65"/>
      <c r="F827" s="64"/>
      <c r="G827" s="64"/>
      <c r="H827" s="64"/>
      <c r="I827" s="70"/>
      <c r="J827" s="70"/>
      <c r="K827" s="110" t="str">
        <f>IF(H827="","",IF($C$29="간이법","",FPR(H827,I827,J827)))</f>
        <v/>
      </c>
      <c r="L827" s="111" t="str">
        <f>IF(H827="","",IF($C$29="상세법",FPV(H827,K827),IF(H827="EI",4,IF(H827="EO",5.2,IF(H827="EQ",3.9,IF(H827="ILF",7.5,IF(H827="EIF",5.4)))))))</f>
        <v/>
      </c>
      <c r="M827" s="112" t="str">
        <f t="shared" si="16"/>
        <v/>
      </c>
      <c r="N827" s="113"/>
    </row>
    <row r="828" spans="2:14">
      <c r="B828" s="105"/>
      <c r="C828" s="106"/>
      <c r="D828" s="107"/>
      <c r="E828" s="65"/>
      <c r="F828" s="64"/>
      <c r="G828" s="64"/>
      <c r="H828" s="64"/>
      <c r="I828" s="70"/>
      <c r="J828" s="70"/>
      <c r="K828" s="110" t="str">
        <f>IF(H828="","",IF($C$29="간이법","",FPR(H828,I828,J828)))</f>
        <v/>
      </c>
      <c r="L828" s="111" t="str">
        <f>IF(H828="","",IF($C$29="상세법",FPV(H828,K828),IF(H828="EI",4,IF(H828="EO",5.2,IF(H828="EQ",3.9,IF(H828="ILF",7.5,IF(H828="EIF",5.4)))))))</f>
        <v/>
      </c>
      <c r="M828" s="112" t="str">
        <f t="shared" si="16"/>
        <v/>
      </c>
      <c r="N828" s="113"/>
    </row>
    <row r="829" spans="2:14">
      <c r="B829" s="105"/>
      <c r="C829" s="106"/>
      <c r="D829" s="107"/>
      <c r="E829" s="65"/>
      <c r="F829" s="64"/>
      <c r="G829" s="64"/>
      <c r="H829" s="64"/>
      <c r="I829" s="70"/>
      <c r="J829" s="70"/>
      <c r="K829" s="110" t="str">
        <f>IF(H829="","",IF($C$29="간이법","",FPR(H829,I829,J829)))</f>
        <v/>
      </c>
      <c r="L829" s="111" t="str">
        <f>IF(H829="","",IF($C$29="상세법",FPV(H829,K829),IF(H829="EI",4,IF(H829="EO",5.2,IF(H829="EQ",3.9,IF(H829="ILF",7.5,IF(H829="EIF",5.4)))))))</f>
        <v/>
      </c>
      <c r="M829" s="112" t="str">
        <f t="shared" si="16"/>
        <v/>
      </c>
      <c r="N829" s="113"/>
    </row>
    <row r="830" spans="2:14">
      <c r="B830" s="105"/>
      <c r="C830" s="106"/>
      <c r="D830" s="107"/>
      <c r="E830" s="65"/>
      <c r="F830" s="64"/>
      <c r="G830" s="64"/>
      <c r="H830" s="64"/>
      <c r="I830" s="70"/>
      <c r="J830" s="70"/>
      <c r="K830" s="110" t="str">
        <f>IF(H830="","",IF($C$29="간이법","",FPR(H830,I830,J830)))</f>
        <v/>
      </c>
      <c r="L830" s="111" t="str">
        <f>IF(H830="","",IF($C$29="상세법",FPV(H830,K830),IF(H830="EI",4,IF(H830="EO",5.2,IF(H830="EQ",3.9,IF(H830="ILF",7.5,IF(H830="EIF",5.4)))))))</f>
        <v/>
      </c>
      <c r="M830" s="112" t="str">
        <f t="shared" si="16"/>
        <v/>
      </c>
      <c r="N830" s="113"/>
    </row>
    <row r="831" spans="2:14">
      <c r="B831" s="105"/>
      <c r="C831" s="106"/>
      <c r="D831" s="107"/>
      <c r="E831" s="65"/>
      <c r="F831" s="64"/>
      <c r="G831" s="64"/>
      <c r="H831" s="64"/>
      <c r="I831" s="70"/>
      <c r="J831" s="70"/>
      <c r="K831" s="110" t="str">
        <f>IF(H831="","",IF($C$29="간이법","",FPR(H831,I831,J831)))</f>
        <v/>
      </c>
      <c r="L831" s="111" t="str">
        <f>IF(H831="","",IF($C$29="상세법",FPV(H831,K831),IF(H831="EI",4,IF(H831="EO",5.2,IF(H831="EQ",3.9,IF(H831="ILF",7.5,IF(H831="EIF",5.4)))))))</f>
        <v/>
      </c>
      <c r="M831" s="112" t="str">
        <f t="shared" si="16"/>
        <v/>
      </c>
      <c r="N831" s="113"/>
    </row>
    <row r="832" spans="2:14">
      <c r="B832" s="105"/>
      <c r="C832" s="106"/>
      <c r="D832" s="107"/>
      <c r="E832" s="65"/>
      <c r="F832" s="64"/>
      <c r="G832" s="64"/>
      <c r="H832" s="64"/>
      <c r="I832" s="70"/>
      <c r="J832" s="70"/>
      <c r="K832" s="110" t="str">
        <f>IF(H832="","",IF($C$29="간이법","",FPR(H832,I832,J832)))</f>
        <v/>
      </c>
      <c r="L832" s="111" t="str">
        <f>IF(H832="","",IF($C$29="상세법",FPV(H832,K832),IF(H832="EI",4,IF(H832="EO",5.2,IF(H832="EQ",3.9,IF(H832="ILF",7.5,IF(H832="EIF",5.4)))))))</f>
        <v/>
      </c>
      <c r="M832" s="112" t="str">
        <f t="shared" si="16"/>
        <v/>
      </c>
      <c r="N832" s="113"/>
    </row>
    <row r="833" spans="2:14">
      <c r="B833" s="105"/>
      <c r="C833" s="106"/>
      <c r="D833" s="107"/>
      <c r="E833" s="65"/>
      <c r="F833" s="64"/>
      <c r="G833" s="64"/>
      <c r="H833" s="64"/>
      <c r="I833" s="70"/>
      <c r="J833" s="70"/>
      <c r="K833" s="110" t="str">
        <f>IF(H833="","",IF($C$29="간이법","",FPR(H833,I833,J833)))</f>
        <v/>
      </c>
      <c r="L833" s="111" t="str">
        <f>IF(H833="","",IF($C$29="상세법",FPV(H833,K833),IF(H833="EI",4,IF(H833="EO",5.2,IF(H833="EQ",3.9,IF(H833="ILF",7.5,IF(H833="EIF",5.4)))))))</f>
        <v/>
      </c>
      <c r="M833" s="112" t="str">
        <f t="shared" si="16"/>
        <v/>
      </c>
      <c r="N833" s="113"/>
    </row>
    <row r="834" spans="2:14">
      <c r="B834" s="105"/>
      <c r="C834" s="106"/>
      <c r="D834" s="107"/>
      <c r="E834" s="65"/>
      <c r="F834" s="64"/>
      <c r="G834" s="64"/>
      <c r="H834" s="64"/>
      <c r="I834" s="70"/>
      <c r="J834" s="70"/>
      <c r="K834" s="110" t="str">
        <f>IF(H834="","",IF($C$29="간이법","",FPR(H834,I834,J834)))</f>
        <v/>
      </c>
      <c r="L834" s="111" t="str">
        <f>IF(H834="","",IF($C$29="상세법",FPV(H834,K834),IF(H834="EI",4,IF(H834="EO",5.2,IF(H834="EQ",3.9,IF(H834="ILF",7.5,IF(H834="EIF",5.4)))))))</f>
        <v/>
      </c>
      <c r="M834" s="112" t="str">
        <f t="shared" si="16"/>
        <v/>
      </c>
      <c r="N834" s="113"/>
    </row>
    <row r="835" spans="2:14">
      <c r="B835" s="105"/>
      <c r="C835" s="106"/>
      <c r="D835" s="107"/>
      <c r="E835" s="65"/>
      <c r="F835" s="64"/>
      <c r="G835" s="64"/>
      <c r="H835" s="64"/>
      <c r="I835" s="70"/>
      <c r="J835" s="70"/>
      <c r="K835" s="110" t="str">
        <f>IF(H835="","",IF($C$29="간이법","",FPR(H835,I835,J835)))</f>
        <v/>
      </c>
      <c r="L835" s="111" t="str">
        <f>IF(H835="","",IF($C$29="상세법",FPV(H835,K835),IF(H835="EI",4,IF(H835="EO",5.2,IF(H835="EQ",3.9,IF(H835="ILF",7.5,IF(H835="EIF",5.4)))))))</f>
        <v/>
      </c>
      <c r="M835" s="112" t="str">
        <f t="shared" si="16"/>
        <v/>
      </c>
      <c r="N835" s="113"/>
    </row>
    <row r="836" spans="2:14">
      <c r="B836" s="105"/>
      <c r="C836" s="106"/>
      <c r="D836" s="107"/>
      <c r="E836" s="65"/>
      <c r="F836" s="64"/>
      <c r="G836" s="64"/>
      <c r="H836" s="64"/>
      <c r="I836" s="70"/>
      <c r="J836" s="70"/>
      <c r="K836" s="110" t="str">
        <f>IF(H836="","",IF($C$29="간이법","",FPR(H836,I836,J836)))</f>
        <v/>
      </c>
      <c r="L836" s="111" t="str">
        <f>IF(H836="","",IF($C$29="상세법",FPV(H836,K836),IF(H836="EI",4,IF(H836="EO",5.2,IF(H836="EQ",3.9,IF(H836="ILF",7.5,IF(H836="EIF",5.4)))))))</f>
        <v/>
      </c>
      <c r="M836" s="112" t="str">
        <f t="shared" si="16"/>
        <v/>
      </c>
      <c r="N836" s="113"/>
    </row>
    <row r="837" spans="2:14">
      <c r="B837" s="105"/>
      <c r="C837" s="106"/>
      <c r="D837" s="107"/>
      <c r="E837" s="65"/>
      <c r="F837" s="64"/>
      <c r="G837" s="64"/>
      <c r="H837" s="64"/>
      <c r="I837" s="70"/>
      <c r="J837" s="70"/>
      <c r="K837" s="110" t="str">
        <f>IF(H837="","",IF($C$29="간이법","",FPR(H837,I837,J837)))</f>
        <v/>
      </c>
      <c r="L837" s="111" t="str">
        <f>IF(H837="","",IF($C$29="상세법",FPV(H837,K837),IF(H837="EI",4,IF(H837="EO",5.2,IF(H837="EQ",3.9,IF(H837="ILF",7.5,IF(H837="EIF",5.4)))))))</f>
        <v/>
      </c>
      <c r="M837" s="112" t="str">
        <f t="shared" si="16"/>
        <v/>
      </c>
      <c r="N837" s="113"/>
    </row>
    <row r="838" spans="2:14">
      <c r="B838" s="105"/>
      <c r="C838" s="106"/>
      <c r="D838" s="107"/>
      <c r="E838" s="65"/>
      <c r="F838" s="64"/>
      <c r="G838" s="64"/>
      <c r="H838" s="64"/>
      <c r="I838" s="70"/>
      <c r="J838" s="70"/>
      <c r="K838" s="110" t="str">
        <f>IF(H838="","",IF($C$29="간이법","",FPR(H838,I838,J838)))</f>
        <v/>
      </c>
      <c r="L838" s="111" t="str">
        <f>IF(H838="","",IF($C$29="상세법",FPV(H838,K838),IF(H838="EI",4,IF(H838="EO",5.2,IF(H838="EQ",3.9,IF(H838="ILF",7.5,IF(H838="EIF",5.4)))))))</f>
        <v/>
      </c>
      <c r="M838" s="112" t="str">
        <f t="shared" si="16"/>
        <v/>
      </c>
      <c r="N838" s="113"/>
    </row>
    <row r="839" spans="2:14">
      <c r="B839" s="105"/>
      <c r="C839" s="106"/>
      <c r="D839" s="107"/>
      <c r="E839" s="65"/>
      <c r="F839" s="64"/>
      <c r="G839" s="64"/>
      <c r="H839" s="64"/>
      <c r="I839" s="70"/>
      <c r="J839" s="70"/>
      <c r="K839" s="110" t="str">
        <f>IF(H839="","",IF($C$29="간이법","",FPR(H839,I839,J839)))</f>
        <v/>
      </c>
      <c r="L839" s="111" t="str">
        <f>IF(H839="","",IF($C$29="상세법",FPV(H839,K839),IF(H839="EI",4,IF(H839="EO",5.2,IF(H839="EQ",3.9,IF(H839="ILF",7.5,IF(H839="EIF",5.4)))))))</f>
        <v/>
      </c>
      <c r="M839" s="112" t="str">
        <f t="shared" si="16"/>
        <v/>
      </c>
      <c r="N839" s="113"/>
    </row>
    <row r="840" spans="2:14">
      <c r="B840" s="105"/>
      <c r="C840" s="106"/>
      <c r="D840" s="107"/>
      <c r="E840" s="65"/>
      <c r="F840" s="64"/>
      <c r="G840" s="64"/>
      <c r="H840" s="64"/>
      <c r="I840" s="70"/>
      <c r="J840" s="70"/>
      <c r="K840" s="110" t="str">
        <f>IF(H840="","",IF($C$29="간이법","",FPR(H840,I840,J840)))</f>
        <v/>
      </c>
      <c r="L840" s="111" t="str">
        <f>IF(H840="","",IF($C$29="상세법",FPV(H840,K840),IF(H840="EI",4,IF(H840="EO",5.2,IF(H840="EQ",3.9,IF(H840="ILF",7.5,IF(H840="EIF",5.4)))))))</f>
        <v/>
      </c>
      <c r="M840" s="112" t="str">
        <f t="shared" si="16"/>
        <v/>
      </c>
      <c r="N840" s="113"/>
    </row>
    <row r="841" spans="2:14">
      <c r="B841" s="105"/>
      <c r="C841" s="106"/>
      <c r="D841" s="107"/>
      <c r="E841" s="65"/>
      <c r="F841" s="64"/>
      <c r="G841" s="64"/>
      <c r="H841" s="64"/>
      <c r="I841" s="70"/>
      <c r="J841" s="70"/>
      <c r="K841" s="110" t="str">
        <f>IF(H841="","",IF($C$29="간이법","",FPR(H841,I841,J841)))</f>
        <v/>
      </c>
      <c r="L841" s="111" t="str">
        <f>IF(H841="","",IF($C$29="상세법",FPV(H841,K841),IF(H841="EI",4,IF(H841="EO",5.2,IF(H841="EQ",3.9,IF(H841="ILF",7.5,IF(H841="EIF",5.4)))))))</f>
        <v/>
      </c>
      <c r="M841" s="112" t="str">
        <f t="shared" si="16"/>
        <v/>
      </c>
      <c r="N841" s="113"/>
    </row>
    <row r="842" spans="2:14">
      <c r="B842" s="105"/>
      <c r="C842" s="106"/>
      <c r="D842" s="107"/>
      <c r="E842" s="65"/>
      <c r="F842" s="64"/>
      <c r="G842" s="64"/>
      <c r="H842" s="64"/>
      <c r="I842" s="70"/>
      <c r="J842" s="70"/>
      <c r="K842" s="110" t="str">
        <f>IF(H842="","",IF($C$29="간이법","",FPR(H842,I842,J842)))</f>
        <v/>
      </c>
      <c r="L842" s="111" t="str">
        <f>IF(H842="","",IF($C$29="상세법",FPV(H842,K842),IF(H842="EI",4,IF(H842="EO",5.2,IF(H842="EQ",3.9,IF(H842="ILF",7.5,IF(H842="EIF",5.4)))))))</f>
        <v/>
      </c>
      <c r="M842" s="112" t="str">
        <f t="shared" si="16"/>
        <v/>
      </c>
      <c r="N842" s="113"/>
    </row>
    <row r="843" spans="2:14">
      <c r="B843" s="105"/>
      <c r="C843" s="106"/>
      <c r="D843" s="107"/>
      <c r="E843" s="65"/>
      <c r="F843" s="64"/>
      <c r="G843" s="64"/>
      <c r="H843" s="64"/>
      <c r="I843" s="70"/>
      <c r="J843" s="70"/>
      <c r="K843" s="110" t="str">
        <f>IF(H843="","",IF($C$29="간이법","",FPR(H843,I843,J843)))</f>
        <v/>
      </c>
      <c r="L843" s="111" t="str">
        <f>IF(H843="","",IF($C$29="상세법",FPV(H843,K843),IF(H843="EI",4,IF(H843="EO",5.2,IF(H843="EQ",3.9,IF(H843="ILF",7.5,IF(H843="EIF",5.4)))))))</f>
        <v/>
      </c>
      <c r="M843" s="112" t="str">
        <f t="shared" si="16"/>
        <v/>
      </c>
      <c r="N843" s="113"/>
    </row>
    <row r="844" spans="2:14">
      <c r="B844" s="105"/>
      <c r="C844" s="106"/>
      <c r="D844" s="107"/>
      <c r="E844" s="65"/>
      <c r="F844" s="64"/>
      <c r="G844" s="64"/>
      <c r="H844" s="64"/>
      <c r="I844" s="70"/>
      <c r="J844" s="70"/>
      <c r="K844" s="110" t="str">
        <f>IF(H844="","",IF($C$29="간이법","",FPR(H844,I844,J844)))</f>
        <v/>
      </c>
      <c r="L844" s="111" t="str">
        <f>IF(H844="","",IF($C$29="상세법",FPV(H844,K844),IF(H844="EI",4,IF(H844="EO",5.2,IF(H844="EQ",3.9,IF(H844="ILF",7.5,IF(H844="EIF",5.4)))))))</f>
        <v/>
      </c>
      <c r="M844" s="112" t="str">
        <f t="shared" si="16"/>
        <v/>
      </c>
      <c r="N844" s="113"/>
    </row>
    <row r="845" spans="2:14">
      <c r="B845" s="105"/>
      <c r="C845" s="106"/>
      <c r="D845" s="107"/>
      <c r="E845" s="65"/>
      <c r="F845" s="64"/>
      <c r="G845" s="64"/>
      <c r="H845" s="64"/>
      <c r="I845" s="70"/>
      <c r="J845" s="70"/>
      <c r="K845" s="110" t="str">
        <f>IF(H845="","",IF($C$29="간이법","",FPR(H845,I845,J845)))</f>
        <v/>
      </c>
      <c r="L845" s="111" t="str">
        <f>IF(H845="","",IF($C$29="상세법",FPV(H845,K845),IF(H845="EI",4,IF(H845="EO",5.2,IF(H845="EQ",3.9,IF(H845="ILF",7.5,IF(H845="EIF",5.4)))))))</f>
        <v/>
      </c>
      <c r="M845" s="112" t="str">
        <f t="shared" si="16"/>
        <v/>
      </c>
      <c r="N845" s="113"/>
    </row>
    <row r="846" spans="2:14">
      <c r="B846" s="105"/>
      <c r="C846" s="106"/>
      <c r="D846" s="107"/>
      <c r="E846" s="65"/>
      <c r="F846" s="64"/>
      <c r="G846" s="64"/>
      <c r="H846" s="64"/>
      <c r="I846" s="70"/>
      <c r="J846" s="70"/>
      <c r="K846" s="110" t="str">
        <f>IF(H846="","",IF($C$29="간이법","",FPR(H846,I846,J846)))</f>
        <v/>
      </c>
      <c r="L846" s="111" t="str">
        <f>IF(H846="","",IF($C$29="상세법",FPV(H846,K846),IF(H846="EI",4,IF(H846="EO",5.2,IF(H846="EQ",3.9,IF(H846="ILF",7.5,IF(H846="EIF",5.4)))))))</f>
        <v/>
      </c>
      <c r="M846" s="112" t="str">
        <f t="shared" si="16"/>
        <v/>
      </c>
      <c r="N846" s="113"/>
    </row>
    <row r="847" spans="2:14">
      <c r="B847" s="105"/>
      <c r="C847" s="106"/>
      <c r="D847" s="107"/>
      <c r="E847" s="65"/>
      <c r="F847" s="64"/>
      <c r="G847" s="64"/>
      <c r="H847" s="64"/>
      <c r="I847" s="70"/>
      <c r="J847" s="70"/>
      <c r="K847" s="110" t="str">
        <f>IF(H847="","",IF($C$29="간이법","",FPR(H847,I847,J847)))</f>
        <v/>
      </c>
      <c r="L847" s="111" t="str">
        <f>IF(H847="","",IF($C$29="상세법",FPV(H847,K847),IF(H847="EI",4,IF(H847="EO",5.2,IF(H847="EQ",3.9,IF(H847="ILF",7.5,IF(H847="EIF",5.4)))))))</f>
        <v/>
      </c>
      <c r="M847" s="112" t="str">
        <f t="shared" si="16"/>
        <v/>
      </c>
      <c r="N847" s="113"/>
    </row>
    <row r="848" spans="2:14">
      <c r="B848" s="105"/>
      <c r="C848" s="106"/>
      <c r="D848" s="107"/>
      <c r="E848" s="65"/>
      <c r="F848" s="64"/>
      <c r="G848" s="64"/>
      <c r="H848" s="64"/>
      <c r="I848" s="70"/>
      <c r="J848" s="70"/>
      <c r="K848" s="110" t="str">
        <f>IF(H848="","",IF($C$29="간이법","",FPR(H848,I848,J848)))</f>
        <v/>
      </c>
      <c r="L848" s="111" t="str">
        <f>IF(H848="","",IF($C$29="상세법",FPV(H848,K848),IF(H848="EI",4,IF(H848="EO",5.2,IF(H848="EQ",3.9,IF(H848="ILF",7.5,IF(H848="EIF",5.4)))))))</f>
        <v/>
      </c>
      <c r="M848" s="112" t="str">
        <f t="shared" si="16"/>
        <v/>
      </c>
      <c r="N848" s="113"/>
    </row>
    <row r="849" spans="2:14">
      <c r="B849" s="105"/>
      <c r="C849" s="106"/>
      <c r="D849" s="107"/>
      <c r="E849" s="65"/>
      <c r="F849" s="64"/>
      <c r="G849" s="64"/>
      <c r="H849" s="64"/>
      <c r="I849" s="70"/>
      <c r="J849" s="70"/>
      <c r="K849" s="110" t="str">
        <f>IF(H849="","",IF($C$29="간이법","",FPR(H849,I849,J849)))</f>
        <v/>
      </c>
      <c r="L849" s="111" t="str">
        <f>IF(H849="","",IF($C$29="상세법",FPV(H849,K849),IF(H849="EI",4,IF(H849="EO",5.2,IF(H849="EQ",3.9,IF(H849="ILF",7.5,IF(H849="EIF",5.4)))))))</f>
        <v/>
      </c>
      <c r="M849" s="112" t="str">
        <f t="shared" si="16"/>
        <v/>
      </c>
      <c r="N849" s="113"/>
    </row>
    <row r="850" spans="2:14">
      <c r="B850" s="105"/>
      <c r="C850" s="106"/>
      <c r="D850" s="107"/>
      <c r="E850" s="65"/>
      <c r="F850" s="64"/>
      <c r="G850" s="64"/>
      <c r="H850" s="64"/>
      <c r="I850" s="70"/>
      <c r="J850" s="70"/>
      <c r="K850" s="110" t="str">
        <f>IF(H850="","",IF($C$29="간이법","",FPR(H850,I850,J850)))</f>
        <v/>
      </c>
      <c r="L850" s="111" t="str">
        <f>IF(H850="","",IF($C$29="상세법",FPV(H850,K850),IF(H850="EI",4,IF(H850="EO",5.2,IF(H850="EQ",3.9,IF(H850="ILF",7.5,IF(H850="EIF",5.4)))))))</f>
        <v/>
      </c>
      <c r="M850" s="112" t="str">
        <f t="shared" si="16"/>
        <v/>
      </c>
      <c r="N850" s="113"/>
    </row>
    <row r="851" spans="2:14">
      <c r="B851" s="105"/>
      <c r="C851" s="106"/>
      <c r="D851" s="107"/>
      <c r="E851" s="65"/>
      <c r="F851" s="64"/>
      <c r="G851" s="64"/>
      <c r="H851" s="64"/>
      <c r="I851" s="70"/>
      <c r="J851" s="70"/>
      <c r="K851" s="110" t="str">
        <f>IF(H851="","",IF($C$29="간이법","",FPR(H851,I851,J851)))</f>
        <v/>
      </c>
      <c r="L851" s="111" t="str">
        <f>IF(H851="","",IF($C$29="상세법",FPV(H851,K851),IF(H851="EI",4,IF(H851="EO",5.2,IF(H851="EQ",3.9,IF(H851="ILF",7.5,IF(H851="EIF",5.4)))))))</f>
        <v/>
      </c>
      <c r="M851" s="112" t="str">
        <f t="shared" si="16"/>
        <v/>
      </c>
      <c r="N851" s="113"/>
    </row>
    <row r="852" spans="2:14">
      <c r="B852" s="105"/>
      <c r="C852" s="106"/>
      <c r="D852" s="107"/>
      <c r="E852" s="65"/>
      <c r="F852" s="64"/>
      <c r="G852" s="64"/>
      <c r="H852" s="64"/>
      <c r="I852" s="70"/>
      <c r="J852" s="70"/>
      <c r="K852" s="110" t="str">
        <f>IF(H852="","",IF($C$29="간이법","",FPR(H852,I852,J852)))</f>
        <v/>
      </c>
      <c r="L852" s="111" t="str">
        <f>IF(H852="","",IF($C$29="상세법",FPV(H852,K852),IF(H852="EI",4,IF(H852="EO",5.2,IF(H852="EQ",3.9,IF(H852="ILF",7.5,IF(H852="EIF",5.4)))))))</f>
        <v/>
      </c>
      <c r="M852" s="112" t="str">
        <f t="shared" si="16"/>
        <v/>
      </c>
      <c r="N852" s="113"/>
    </row>
    <row r="853" spans="2:14">
      <c r="B853" s="105"/>
      <c r="C853" s="106"/>
      <c r="D853" s="107"/>
      <c r="E853" s="65"/>
      <c r="F853" s="64"/>
      <c r="G853" s="64"/>
      <c r="H853" s="64"/>
      <c r="I853" s="70"/>
      <c r="J853" s="70"/>
      <c r="K853" s="110" t="str">
        <f>IF(H853="","",IF($C$29="간이법","",FPR(H853,I853,J853)))</f>
        <v/>
      </c>
      <c r="L853" s="111" t="str">
        <f>IF(H853="","",IF($C$29="상세법",FPV(H853,K853),IF(H853="EI",4,IF(H853="EO",5.2,IF(H853="EQ",3.9,IF(H853="ILF",7.5,IF(H853="EIF",5.4)))))))</f>
        <v/>
      </c>
      <c r="M853" s="112" t="str">
        <f t="shared" si="16"/>
        <v/>
      </c>
      <c r="N853" s="113"/>
    </row>
    <row r="854" spans="2:14">
      <c r="B854" s="105"/>
      <c r="C854" s="106"/>
      <c r="D854" s="107"/>
      <c r="E854" s="65"/>
      <c r="F854" s="64"/>
      <c r="G854" s="64"/>
      <c r="H854" s="64"/>
      <c r="I854" s="70"/>
      <c r="J854" s="70"/>
      <c r="K854" s="110" t="str">
        <f>IF(H854="","",IF($C$29="간이법","",FPR(H854,I854,J854)))</f>
        <v/>
      </c>
      <c r="L854" s="111" t="str">
        <f>IF(H854="","",IF($C$29="상세법",FPV(H854,K854),IF(H854="EI",4,IF(H854="EO",5.2,IF(H854="EQ",3.9,IF(H854="ILF",7.5,IF(H854="EIF",5.4)))))))</f>
        <v/>
      </c>
      <c r="M854" s="112" t="str">
        <f t="shared" si="16"/>
        <v/>
      </c>
      <c r="N854" s="113"/>
    </row>
    <row r="855" spans="2:14">
      <c r="B855" s="105"/>
      <c r="C855" s="106"/>
      <c r="D855" s="107"/>
      <c r="E855" s="65"/>
      <c r="F855" s="64"/>
      <c r="G855" s="64"/>
      <c r="H855" s="64"/>
      <c r="I855" s="70"/>
      <c r="J855" s="70"/>
      <c r="K855" s="110" t="str">
        <f>IF(H855="","",IF($C$29="간이법","",FPR(H855,I855,J855)))</f>
        <v/>
      </c>
      <c r="L855" s="111" t="str">
        <f>IF(H855="","",IF($C$29="상세법",FPV(H855,K855),IF(H855="EI",4,IF(H855="EO",5.2,IF(H855="EQ",3.9,IF(H855="ILF",7.5,IF(H855="EIF",5.4)))))))</f>
        <v/>
      </c>
      <c r="M855" s="112" t="str">
        <f t="shared" si="16"/>
        <v/>
      </c>
      <c r="N855" s="113"/>
    </row>
    <row r="856" spans="2:14">
      <c r="B856" s="105"/>
      <c r="C856" s="106"/>
      <c r="D856" s="107"/>
      <c r="E856" s="65"/>
      <c r="F856" s="64"/>
      <c r="G856" s="64"/>
      <c r="H856" s="64"/>
      <c r="I856" s="70"/>
      <c r="J856" s="70"/>
      <c r="K856" s="110" t="str">
        <f>IF(H856="","",IF($C$29="간이법","",FPR(H856,I856,J856)))</f>
        <v/>
      </c>
      <c r="L856" s="111" t="str">
        <f>IF(H856="","",IF($C$29="상세법",FPV(H856,K856),IF(H856="EI",4,IF(H856="EO",5.2,IF(H856="EQ",3.9,IF(H856="ILF",7.5,IF(H856="EIF",5.4)))))))</f>
        <v/>
      </c>
      <c r="M856" s="112" t="str">
        <f t="shared" si="16"/>
        <v/>
      </c>
      <c r="N856" s="113"/>
    </row>
    <row r="857" spans="2:14">
      <c r="B857" s="105"/>
      <c r="C857" s="106"/>
      <c r="D857" s="107"/>
      <c r="E857" s="65"/>
      <c r="F857" s="64"/>
      <c r="G857" s="64"/>
      <c r="H857" s="64"/>
      <c r="I857" s="70"/>
      <c r="J857" s="70"/>
      <c r="K857" s="110" t="str">
        <f>IF(H857="","",IF($C$29="간이법","",FPR(H857,I857,J857)))</f>
        <v/>
      </c>
      <c r="L857" s="111" t="str">
        <f>IF(H857="","",IF($C$29="상세법",FPV(H857,K857),IF(H857="EI",4,IF(H857="EO",5.2,IF(H857="EQ",3.9,IF(H857="ILF",7.5,IF(H857="EIF",5.4)))))))</f>
        <v/>
      </c>
      <c r="M857" s="112" t="str">
        <f t="shared" si="16"/>
        <v/>
      </c>
      <c r="N857" s="113"/>
    </row>
    <row r="858" spans="2:14">
      <c r="B858" s="105"/>
      <c r="C858" s="106"/>
      <c r="D858" s="107"/>
      <c r="E858" s="65"/>
      <c r="F858" s="64"/>
      <c r="G858" s="64"/>
      <c r="H858" s="64"/>
      <c r="I858" s="70"/>
      <c r="J858" s="70"/>
      <c r="K858" s="110" t="str">
        <f>IF(H858="","",IF($C$29="간이법","",FPR(H858,I858,J858)))</f>
        <v/>
      </c>
      <c r="L858" s="111" t="str">
        <f>IF(H858="","",IF($C$29="상세법",FPV(H858,K858),IF(H858="EI",4,IF(H858="EO",5.2,IF(H858="EQ",3.9,IF(H858="ILF",7.5,IF(H858="EIF",5.4)))))))</f>
        <v/>
      </c>
      <c r="M858" s="112" t="str">
        <f t="shared" si="16"/>
        <v/>
      </c>
      <c r="N858" s="113"/>
    </row>
    <row r="859" spans="2:14">
      <c r="B859" s="105"/>
      <c r="C859" s="106"/>
      <c r="D859" s="107"/>
      <c r="E859" s="65"/>
      <c r="F859" s="64"/>
      <c r="G859" s="64"/>
      <c r="H859" s="64"/>
      <c r="I859" s="70"/>
      <c r="J859" s="70"/>
      <c r="K859" s="110" t="str">
        <f>IF(H859="","",IF($C$29="간이법","",FPR(H859,I859,J859)))</f>
        <v/>
      </c>
      <c r="L859" s="111" t="str">
        <f>IF(H859="","",IF($C$29="상세법",FPV(H859,K859),IF(H859="EI",4,IF(H859="EO",5.2,IF(H859="EQ",3.9,IF(H859="ILF",7.5,IF(H859="EIF",5.4)))))))</f>
        <v/>
      </c>
      <c r="M859" s="112" t="str">
        <f t="shared" si="16"/>
        <v/>
      </c>
      <c r="N859" s="113"/>
    </row>
    <row r="860" spans="2:14">
      <c r="B860" s="105"/>
      <c r="C860" s="106"/>
      <c r="D860" s="107"/>
      <c r="E860" s="65"/>
      <c r="F860" s="64"/>
      <c r="G860" s="64"/>
      <c r="H860" s="64"/>
      <c r="I860" s="70"/>
      <c r="J860" s="70"/>
      <c r="K860" s="110" t="str">
        <f>IF(H860="","",IF($C$29="간이법","",FPR(H860,I860,J860)))</f>
        <v/>
      </c>
      <c r="L860" s="111" t="str">
        <f>IF(H860="","",IF($C$29="상세법",FPV(H860,K860),IF(H860="EI",4,IF(H860="EO",5.2,IF(H860="EQ",3.9,IF(H860="ILF",7.5,IF(H860="EIF",5.4)))))))</f>
        <v/>
      </c>
      <c r="M860" s="112" t="str">
        <f t="shared" si="16"/>
        <v/>
      </c>
      <c r="N860" s="113"/>
    </row>
    <row r="861" spans="2:14">
      <c r="B861" s="105"/>
      <c r="C861" s="106"/>
      <c r="D861" s="107"/>
      <c r="E861" s="65"/>
      <c r="F861" s="64"/>
      <c r="G861" s="64"/>
      <c r="H861" s="64"/>
      <c r="I861" s="70"/>
      <c r="J861" s="70"/>
      <c r="K861" s="110" t="str">
        <f>IF(H861="","",IF($C$29="간이법","",FPR(H861,I861,J861)))</f>
        <v/>
      </c>
      <c r="L861" s="111" t="str">
        <f>IF(H861="","",IF($C$29="상세법",FPV(H861,K861),IF(H861="EI",4,IF(H861="EO",5.2,IF(H861="EQ",3.9,IF(H861="ILF",7.5,IF(H861="EIF",5.4)))))))</f>
        <v/>
      </c>
      <c r="M861" s="112" t="str">
        <f t="shared" si="16"/>
        <v/>
      </c>
      <c r="N861" s="113"/>
    </row>
    <row r="862" spans="2:14">
      <c r="B862" s="105"/>
      <c r="C862" s="106"/>
      <c r="D862" s="107"/>
      <c r="E862" s="65"/>
      <c r="F862" s="64"/>
      <c r="G862" s="64"/>
      <c r="H862" s="64"/>
      <c r="I862" s="70"/>
      <c r="J862" s="70"/>
      <c r="K862" s="110" t="str">
        <f>IF(H862="","",IF($C$29="간이법","",FPR(H862,I862,J862)))</f>
        <v/>
      </c>
      <c r="L862" s="111" t="str">
        <f>IF(H862="","",IF($C$29="상세법",FPV(H862,K862),IF(H862="EI",4,IF(H862="EO",5.2,IF(H862="EQ",3.9,IF(H862="ILF",7.5,IF(H862="EIF",5.4)))))))</f>
        <v/>
      </c>
      <c r="M862" s="112" t="str">
        <f t="shared" si="16"/>
        <v/>
      </c>
      <c r="N862" s="113"/>
    </row>
    <row r="863" spans="2:14">
      <c r="B863" s="105"/>
      <c r="C863" s="106"/>
      <c r="D863" s="107"/>
      <c r="E863" s="65"/>
      <c r="F863" s="64"/>
      <c r="G863" s="64"/>
      <c r="H863" s="64"/>
      <c r="I863" s="70"/>
      <c r="J863" s="70"/>
      <c r="K863" s="110" t="str">
        <f>IF(H863="","",IF($C$29="간이법","",FPR(H863,I863,J863)))</f>
        <v/>
      </c>
      <c r="L863" s="111" t="str">
        <f>IF(H863="","",IF($C$29="상세법",FPV(H863,K863),IF(H863="EI",4,IF(H863="EO",5.2,IF(H863="EQ",3.9,IF(H863="ILF",7.5,IF(H863="EIF",5.4)))))))</f>
        <v/>
      </c>
      <c r="M863" s="112" t="str">
        <f t="shared" si="16"/>
        <v/>
      </c>
      <c r="N863" s="113"/>
    </row>
    <row r="864" spans="2:14">
      <c r="B864" s="105"/>
      <c r="C864" s="106"/>
      <c r="D864" s="107"/>
      <c r="E864" s="65"/>
      <c r="F864" s="64"/>
      <c r="G864" s="64"/>
      <c r="H864" s="64"/>
      <c r="I864" s="70"/>
      <c r="J864" s="70"/>
      <c r="K864" s="110" t="str">
        <f>IF(H864="","",IF($C$29="간이법","",FPR(H864,I864,J864)))</f>
        <v/>
      </c>
      <c r="L864" s="111" t="str">
        <f>IF(H864="","",IF($C$29="상세법",FPV(H864,K864),IF(H864="EI",4,IF(H864="EO",5.2,IF(H864="EQ",3.9,IF(H864="ILF",7.5,IF(H864="EIF",5.4)))))))</f>
        <v/>
      </c>
      <c r="M864" s="112" t="str">
        <f t="shared" si="16"/>
        <v/>
      </c>
      <c r="N864" s="113"/>
    </row>
    <row r="865" spans="2:14">
      <c r="B865" s="105"/>
      <c r="C865" s="106"/>
      <c r="D865" s="107"/>
      <c r="E865" s="65"/>
      <c r="F865" s="64"/>
      <c r="G865" s="64"/>
      <c r="H865" s="64"/>
      <c r="I865" s="70"/>
      <c r="J865" s="70"/>
      <c r="K865" s="110" t="str">
        <f>IF(H865="","",IF($C$29="간이법","",FPR(H865,I865,J865)))</f>
        <v/>
      </c>
      <c r="L865" s="111" t="str">
        <f>IF(H865="","",IF($C$29="상세법",FPV(H865,K865),IF(H865="EI",4,IF(H865="EO",5.2,IF(H865="EQ",3.9,IF(H865="ILF",7.5,IF(H865="EIF",5.4)))))))</f>
        <v/>
      </c>
      <c r="M865" s="112" t="str">
        <f t="shared" si="16"/>
        <v/>
      </c>
      <c r="N865" s="113"/>
    </row>
    <row r="866" spans="2:14">
      <c r="B866" s="105"/>
      <c r="C866" s="106"/>
      <c r="D866" s="107"/>
      <c r="E866" s="65"/>
      <c r="F866" s="64"/>
      <c r="G866" s="64"/>
      <c r="H866" s="64"/>
      <c r="I866" s="70"/>
      <c r="J866" s="70"/>
      <c r="K866" s="110" t="str">
        <f>IF(H866="","",IF($C$29="간이법","",FPR(H866,I866,J866)))</f>
        <v/>
      </c>
      <c r="L866" s="111" t="str">
        <f>IF(H866="","",IF($C$29="상세법",FPV(H866,K866),IF(H866="EI",4,IF(H866="EO",5.2,IF(H866="EQ",3.9,IF(H866="ILF",7.5,IF(H866="EIF",5.4)))))))</f>
        <v/>
      </c>
      <c r="M866" s="112" t="str">
        <f t="shared" si="16"/>
        <v/>
      </c>
      <c r="N866" s="113"/>
    </row>
    <row r="867" spans="2:14">
      <c r="B867" s="105"/>
      <c r="C867" s="106"/>
      <c r="D867" s="107"/>
      <c r="E867" s="65"/>
      <c r="F867" s="64"/>
      <c r="G867" s="64"/>
      <c r="H867" s="64"/>
      <c r="I867" s="70"/>
      <c r="J867" s="70"/>
      <c r="K867" s="110" t="str">
        <f>IF(H867="","",IF($C$29="간이법","",FPR(H867,I867,J867)))</f>
        <v/>
      </c>
      <c r="L867" s="111" t="str">
        <f>IF(H867="","",IF($C$29="상세법",FPV(H867,K867),IF(H867="EI",4,IF(H867="EO",5.2,IF(H867="EQ",3.9,IF(H867="ILF",7.5,IF(H867="EIF",5.4)))))))</f>
        <v/>
      </c>
      <c r="M867" s="112" t="str">
        <f t="shared" si="16"/>
        <v/>
      </c>
      <c r="N867" s="113"/>
    </row>
    <row r="868" spans="2:14">
      <c r="B868" s="105"/>
      <c r="C868" s="106"/>
      <c r="D868" s="107"/>
      <c r="E868" s="65"/>
      <c r="F868" s="64"/>
      <c r="G868" s="64"/>
      <c r="H868" s="64"/>
      <c r="I868" s="70"/>
      <c r="J868" s="70"/>
      <c r="K868" s="110" t="str">
        <f>IF(H868="","",IF($C$29="간이법","",FPR(H868,I868,J868)))</f>
        <v/>
      </c>
      <c r="L868" s="111" t="str">
        <f>IF(H868="","",IF($C$29="상세법",FPV(H868,K868),IF(H868="EI",4,IF(H868="EO",5.2,IF(H868="EQ",3.9,IF(H868="ILF",7.5,IF(H868="EIF",5.4)))))))</f>
        <v/>
      </c>
      <c r="M868" s="112" t="str">
        <f t="shared" si="16"/>
        <v/>
      </c>
      <c r="N868" s="113"/>
    </row>
    <row r="869" spans="2:14">
      <c r="B869" s="105"/>
      <c r="C869" s="106"/>
      <c r="D869" s="107"/>
      <c r="E869" s="65"/>
      <c r="F869" s="64"/>
      <c r="G869" s="64"/>
      <c r="H869" s="64"/>
      <c r="I869" s="70"/>
      <c r="J869" s="70"/>
      <c r="K869" s="110" t="str">
        <f>IF(H869="","",IF($C$29="간이법","",FPR(H869,I869,J869)))</f>
        <v/>
      </c>
      <c r="L869" s="111" t="str">
        <f>IF(H869="","",IF($C$29="상세법",FPV(H869,K869),IF(H869="EI",4,IF(H869="EO",5.2,IF(H869="EQ",3.9,IF(H869="ILF",7.5,IF(H869="EIF",5.4)))))))</f>
        <v/>
      </c>
      <c r="M869" s="112" t="str">
        <f t="shared" si="16"/>
        <v/>
      </c>
      <c r="N869" s="113"/>
    </row>
    <row r="870" spans="2:14">
      <c r="B870" s="105"/>
      <c r="C870" s="106"/>
      <c r="D870" s="107"/>
      <c r="E870" s="65"/>
      <c r="F870" s="64"/>
      <c r="G870" s="64"/>
      <c r="H870" s="64"/>
      <c r="I870" s="70"/>
      <c r="J870" s="70"/>
      <c r="K870" s="110" t="str">
        <f>IF(H870="","",IF($C$29="간이법","",FPR(H870,I870,J870)))</f>
        <v/>
      </c>
      <c r="L870" s="111" t="str">
        <f>IF(H870="","",IF($C$29="상세법",FPV(H870,K870),IF(H870="EI",4,IF(H870="EO",5.2,IF(H870="EQ",3.9,IF(H870="ILF",7.5,IF(H870="EIF",5.4)))))))</f>
        <v/>
      </c>
      <c r="M870" s="112" t="str">
        <f t="shared" si="16"/>
        <v/>
      </c>
      <c r="N870" s="113"/>
    </row>
    <row r="871" spans="2:14">
      <c r="B871" s="105"/>
      <c r="C871" s="106"/>
      <c r="D871" s="107"/>
      <c r="E871" s="65"/>
      <c r="F871" s="64"/>
      <c r="G871" s="64"/>
      <c r="H871" s="64"/>
      <c r="I871" s="70"/>
      <c r="J871" s="70"/>
      <c r="K871" s="110" t="str">
        <f>IF(H871="","",IF($C$29="간이법","",FPR(H871,I871,J871)))</f>
        <v/>
      </c>
      <c r="L871" s="111" t="str">
        <f>IF(H871="","",IF($C$29="상세법",FPV(H871,K871),IF(H871="EI",4,IF(H871="EO",5.2,IF(H871="EQ",3.9,IF(H871="ILF",7.5,IF(H871="EIF",5.4)))))))</f>
        <v/>
      </c>
      <c r="M871" s="112" t="str">
        <f t="shared" si="16"/>
        <v/>
      </c>
      <c r="N871" s="113"/>
    </row>
    <row r="872" spans="2:14">
      <c r="B872" s="105"/>
      <c r="C872" s="106"/>
      <c r="D872" s="107"/>
      <c r="E872" s="65"/>
      <c r="F872" s="64"/>
      <c r="G872" s="64"/>
      <c r="H872" s="64"/>
      <c r="I872" s="70"/>
      <c r="J872" s="70"/>
      <c r="K872" s="110" t="str">
        <f>IF(H872="","",IF($C$29="간이법","",FPR(H872,I872,J872)))</f>
        <v/>
      </c>
      <c r="L872" s="111" t="str">
        <f>IF(H872="","",IF($C$29="상세법",FPV(H872,K872),IF(H872="EI",4,IF(H872="EO",5.2,IF(H872="EQ",3.9,IF(H872="ILF",7.5,IF(H872="EIF",5.4)))))))</f>
        <v/>
      </c>
      <c r="M872" s="112" t="str">
        <f t="shared" si="16"/>
        <v/>
      </c>
      <c r="N872" s="113"/>
    </row>
    <row r="873" spans="2:14">
      <c r="B873" s="105"/>
      <c r="C873" s="106"/>
      <c r="D873" s="107"/>
      <c r="E873" s="65"/>
      <c r="F873" s="64"/>
      <c r="G873" s="64"/>
      <c r="H873" s="64"/>
      <c r="I873" s="70"/>
      <c r="J873" s="70"/>
      <c r="K873" s="110" t="str">
        <f>IF(H873="","",IF($C$29="간이법","",FPR(H873,I873,J873)))</f>
        <v/>
      </c>
      <c r="L873" s="111" t="str">
        <f>IF(H873="","",IF($C$29="상세법",FPV(H873,K873),IF(H873="EI",4,IF(H873="EO",5.2,IF(H873="EQ",3.9,IF(H873="ILF",7.5,IF(H873="EIF",5.4)))))))</f>
        <v/>
      </c>
      <c r="M873" s="112" t="str">
        <f t="shared" si="16"/>
        <v/>
      </c>
      <c r="N873" s="113"/>
    </row>
    <row r="874" spans="2:14">
      <c r="B874" s="105"/>
      <c r="C874" s="106"/>
      <c r="D874" s="107"/>
      <c r="E874" s="65"/>
      <c r="F874" s="64"/>
      <c r="G874" s="64"/>
      <c r="H874" s="64"/>
      <c r="I874" s="70"/>
      <c r="J874" s="70"/>
      <c r="K874" s="110" t="str">
        <f>IF(H874="","",IF($C$29="간이법","",FPR(H874,I874,J874)))</f>
        <v/>
      </c>
      <c r="L874" s="111" t="str">
        <f>IF(H874="","",IF($C$29="상세법",FPV(H874,K874),IF(H874="EI",4,IF(H874="EO",5.2,IF(H874="EQ",3.9,IF(H874="ILF",7.5,IF(H874="EIF",5.4)))))))</f>
        <v/>
      </c>
      <c r="M874" s="112" t="str">
        <f t="shared" si="16"/>
        <v/>
      </c>
      <c r="N874" s="113"/>
    </row>
    <row r="875" spans="2:14">
      <c r="B875" s="105"/>
      <c r="C875" s="106"/>
      <c r="D875" s="107"/>
      <c r="E875" s="65"/>
      <c r="F875" s="64"/>
      <c r="G875" s="64"/>
      <c r="H875" s="64"/>
      <c r="I875" s="70"/>
      <c r="J875" s="70"/>
      <c r="K875" s="110" t="str">
        <f>IF(H875="","",IF($C$29="간이법","",FPR(H875,I875,J875)))</f>
        <v/>
      </c>
      <c r="L875" s="111" t="str">
        <f>IF(H875="","",IF($C$29="상세법",FPV(H875,K875),IF(H875="EI",4,IF(H875="EO",5.2,IF(H875="EQ",3.9,IF(H875="ILF",7.5,IF(H875="EIF",5.4)))))))</f>
        <v/>
      </c>
      <c r="M875" s="112" t="str">
        <f t="shared" si="16"/>
        <v/>
      </c>
      <c r="N875" s="113"/>
    </row>
    <row r="876" spans="2:14">
      <c r="B876" s="105"/>
      <c r="C876" s="106"/>
      <c r="D876" s="107"/>
      <c r="E876" s="65"/>
      <c r="F876" s="64"/>
      <c r="G876" s="64"/>
      <c r="H876" s="64"/>
      <c r="I876" s="70"/>
      <c r="J876" s="70"/>
      <c r="K876" s="110" t="str">
        <f>IF(H876="","",IF($C$29="간이법","",FPR(H876,I876,J876)))</f>
        <v/>
      </c>
      <c r="L876" s="111" t="str">
        <f>IF(H876="","",IF($C$29="상세법",FPV(H876,K876),IF(H876="EI",4,IF(H876="EO",5.2,IF(H876="EQ",3.9,IF(H876="ILF",7.5,IF(H876="EIF",5.4)))))))</f>
        <v/>
      </c>
      <c r="M876" s="112" t="str">
        <f t="shared" si="16"/>
        <v/>
      </c>
      <c r="N876" s="113"/>
    </row>
    <row r="877" spans="2:14">
      <c r="B877" s="105"/>
      <c r="C877" s="106"/>
      <c r="D877" s="107"/>
      <c r="E877" s="65"/>
      <c r="F877" s="64"/>
      <c r="G877" s="64"/>
      <c r="H877" s="64"/>
      <c r="I877" s="70"/>
      <c r="J877" s="70"/>
      <c r="K877" s="110" t="str">
        <f>IF(H877="","",IF($C$29="간이법","",FPR(H877,I877,J877)))</f>
        <v/>
      </c>
      <c r="L877" s="111" t="str">
        <f>IF(H877="","",IF($C$29="상세법",FPV(H877,K877),IF(H877="EI",4,IF(H877="EO",5.2,IF(H877="EQ",3.9,IF(H877="ILF",7.5,IF(H877="EIF",5.4)))))))</f>
        <v/>
      </c>
      <c r="M877" s="112" t="str">
        <f t="shared" si="16"/>
        <v/>
      </c>
      <c r="N877" s="113"/>
    </row>
    <row r="878" spans="2:14">
      <c r="B878" s="105"/>
      <c r="C878" s="106"/>
      <c r="D878" s="107"/>
      <c r="E878" s="65"/>
      <c r="F878" s="64"/>
      <c r="G878" s="64"/>
      <c r="H878" s="64"/>
      <c r="I878" s="70"/>
      <c r="J878" s="70"/>
      <c r="K878" s="110" t="str">
        <f>IF(H878="","",IF($C$29="간이법","",FPR(H878,I878,J878)))</f>
        <v/>
      </c>
      <c r="L878" s="111" t="str">
        <f>IF(H878="","",IF($C$29="상세법",FPV(H878,K878),IF(H878="EI",4,IF(H878="EO",5.2,IF(H878="EQ",3.9,IF(H878="ILF",7.5,IF(H878="EIF",5.4)))))))</f>
        <v/>
      </c>
      <c r="M878" s="112" t="str">
        <f t="shared" si="16"/>
        <v/>
      </c>
      <c r="N878" s="113"/>
    </row>
    <row r="879" spans="2:14">
      <c r="B879" s="105"/>
      <c r="C879" s="106"/>
      <c r="D879" s="107"/>
      <c r="E879" s="65"/>
      <c r="F879" s="64"/>
      <c r="G879" s="64"/>
      <c r="H879" s="64"/>
      <c r="I879" s="70"/>
      <c r="J879" s="70"/>
      <c r="K879" s="110" t="str">
        <f>IF(H879="","",IF($C$29="간이법","",FPR(H879,I879,J879)))</f>
        <v/>
      </c>
      <c r="L879" s="111" t="str">
        <f>IF(H879="","",IF($C$29="상세법",FPV(H879,K879),IF(H879="EI",4,IF(H879="EO",5.2,IF(H879="EQ",3.9,IF(H879="ILF",7.5,IF(H879="EIF",5.4)))))))</f>
        <v/>
      </c>
      <c r="M879" s="112" t="str">
        <f t="shared" si="16"/>
        <v/>
      </c>
      <c r="N879" s="113"/>
    </row>
    <row r="880" spans="2:14">
      <c r="B880" s="105"/>
      <c r="C880" s="106"/>
      <c r="D880" s="107"/>
      <c r="E880" s="65"/>
      <c r="F880" s="64"/>
      <c r="G880" s="64"/>
      <c r="H880" s="64"/>
      <c r="I880" s="70"/>
      <c r="J880" s="70"/>
      <c r="K880" s="110" t="str">
        <f>IF(H880="","",IF($C$29="간이법","",FPR(H880,I880,J880)))</f>
        <v/>
      </c>
      <c r="L880" s="111" t="str">
        <f>IF(H880="","",IF($C$29="상세법",FPV(H880,K880),IF(H880="EI",4,IF(H880="EO",5.2,IF(H880="EQ",3.9,IF(H880="ILF",7.5,IF(H880="EIF",5.4)))))))</f>
        <v/>
      </c>
      <c r="M880" s="112" t="str">
        <f t="shared" si="16"/>
        <v/>
      </c>
      <c r="N880" s="113"/>
    </row>
    <row r="881" spans="2:14">
      <c r="B881" s="105"/>
      <c r="C881" s="106"/>
      <c r="D881" s="107"/>
      <c r="E881" s="65"/>
      <c r="F881" s="64"/>
      <c r="G881" s="64"/>
      <c r="H881" s="64"/>
      <c r="I881" s="70"/>
      <c r="J881" s="70"/>
      <c r="K881" s="110" t="str">
        <f>IF(H881="","",IF($C$29="간이법","",FPR(H881,I881,J881)))</f>
        <v/>
      </c>
      <c r="L881" s="111" t="str">
        <f>IF(H881="","",IF($C$29="상세법",FPV(H881,K881),IF(H881="EI",4,IF(H881="EO",5.2,IF(H881="EQ",3.9,IF(H881="ILF",7.5,IF(H881="EIF",5.4)))))))</f>
        <v/>
      </c>
      <c r="M881" s="112" t="str">
        <f t="shared" si="16"/>
        <v/>
      </c>
      <c r="N881" s="113"/>
    </row>
    <row r="882" spans="2:14">
      <c r="B882" s="105"/>
      <c r="C882" s="106"/>
      <c r="D882" s="107"/>
      <c r="E882" s="65"/>
      <c r="F882" s="64"/>
      <c r="G882" s="64"/>
      <c r="H882" s="64"/>
      <c r="I882" s="70"/>
      <c r="J882" s="70"/>
      <c r="K882" s="110" t="str">
        <f>IF(H882="","",IF($C$29="간이법","",FPR(H882,I882,J882)))</f>
        <v/>
      </c>
      <c r="L882" s="111" t="str">
        <f>IF(H882="","",IF($C$29="상세법",FPV(H882,K882),IF(H882="EI",4,IF(H882="EO",5.2,IF(H882="EQ",3.9,IF(H882="ILF",7.5,IF(H882="EIF",5.4)))))))</f>
        <v/>
      </c>
      <c r="M882" s="112" t="str">
        <f t="shared" si="16"/>
        <v/>
      </c>
      <c r="N882" s="113"/>
    </row>
    <row r="883" spans="2:14">
      <c r="B883" s="105"/>
      <c r="C883" s="106"/>
      <c r="D883" s="107"/>
      <c r="E883" s="65"/>
      <c r="F883" s="64"/>
      <c r="G883" s="64"/>
      <c r="H883" s="64"/>
      <c r="I883" s="70"/>
      <c r="J883" s="70"/>
      <c r="K883" s="110" t="str">
        <f>IF(H883="","",IF($C$29="간이법","",FPR(H883,I883,J883)))</f>
        <v/>
      </c>
      <c r="L883" s="111" t="str">
        <f>IF(H883="","",IF($C$29="상세법",FPV(H883,K883),IF(H883="EI",4,IF(H883="EO",5.2,IF(H883="EQ",3.9,IF(H883="ILF",7.5,IF(H883="EIF",5.4)))))))</f>
        <v/>
      </c>
      <c r="M883" s="112" t="str">
        <f t="shared" si="16"/>
        <v/>
      </c>
      <c r="N883" s="113"/>
    </row>
    <row r="884" spans="2:14">
      <c r="B884" s="105"/>
      <c r="C884" s="106"/>
      <c r="D884" s="107"/>
      <c r="E884" s="65"/>
      <c r="F884" s="64"/>
      <c r="G884" s="64"/>
      <c r="H884" s="64"/>
      <c r="I884" s="70"/>
      <c r="J884" s="70"/>
      <c r="K884" s="110" t="str">
        <f>IF(H884="","",IF($C$29="간이법","",FPR(H884,I884,J884)))</f>
        <v/>
      </c>
      <c r="L884" s="111" t="str">
        <f>IF(H884="","",IF($C$29="상세법",FPV(H884,K884),IF(H884="EI",4,IF(H884="EO",5.2,IF(H884="EQ",3.9,IF(H884="ILF",7.5,IF(H884="EIF",5.4)))))))</f>
        <v/>
      </c>
      <c r="M884" s="112" t="str">
        <f t="shared" si="16"/>
        <v/>
      </c>
      <c r="N884" s="113"/>
    </row>
    <row r="885" spans="2:14">
      <c r="B885" s="105"/>
      <c r="C885" s="106"/>
      <c r="D885" s="107"/>
      <c r="E885" s="65"/>
      <c r="F885" s="64"/>
      <c r="G885" s="64"/>
      <c r="H885" s="64"/>
      <c r="I885" s="70"/>
      <c r="J885" s="70"/>
      <c r="K885" s="110" t="str">
        <f>IF(H885="","",IF($C$29="간이법","",FPR(H885,I885,J885)))</f>
        <v/>
      </c>
      <c r="L885" s="111" t="str">
        <f>IF(H885="","",IF($C$29="상세법",FPV(H885,K885),IF(H885="EI",4,IF(H885="EO",5.2,IF(H885="EQ",3.9,IF(H885="ILF",7.5,IF(H885="EIF",5.4)))))))</f>
        <v/>
      </c>
      <c r="M885" s="112" t="str">
        <f t="shared" si="16"/>
        <v/>
      </c>
      <c r="N885" s="113"/>
    </row>
    <row r="886" spans="2:14">
      <c r="B886" s="105"/>
      <c r="C886" s="106"/>
      <c r="D886" s="107"/>
      <c r="E886" s="65"/>
      <c r="F886" s="64"/>
      <c r="G886" s="64"/>
      <c r="H886" s="64"/>
      <c r="I886" s="70"/>
      <c r="J886" s="70"/>
      <c r="K886" s="110" t="str">
        <f>IF(H886="","",IF($C$29="간이법","",FPR(H886,I886,J886)))</f>
        <v/>
      </c>
      <c r="L886" s="111" t="str">
        <f>IF(H886="","",IF($C$29="상세법",FPV(H886,K886),IF(H886="EI",4,IF(H886="EO",5.2,IF(H886="EQ",3.9,IF(H886="ILF",7.5,IF(H886="EIF",5.4)))))))</f>
        <v/>
      </c>
      <c r="M886" s="112" t="str">
        <f t="shared" si="16"/>
        <v/>
      </c>
      <c r="N886" s="113"/>
    </row>
    <row r="887" spans="2:14">
      <c r="B887" s="105"/>
      <c r="C887" s="106"/>
      <c r="D887" s="107"/>
      <c r="E887" s="65"/>
      <c r="F887" s="64"/>
      <c r="G887" s="64"/>
      <c r="H887" s="64"/>
      <c r="I887" s="70"/>
      <c r="J887" s="70"/>
      <c r="K887" s="110" t="str">
        <f>IF(H887="","",IF($C$29="간이법","",FPR(H887,I887,J887)))</f>
        <v/>
      </c>
      <c r="L887" s="111" t="str">
        <f>IF(H887="","",IF($C$29="상세법",FPV(H887,K887),IF(H887="EI",4,IF(H887="EO",5.2,IF(H887="EQ",3.9,IF(H887="ILF",7.5,IF(H887="EIF",5.4)))))))</f>
        <v/>
      </c>
      <c r="M887" s="112" t="str">
        <f t="shared" si="16"/>
        <v/>
      </c>
      <c r="N887" s="113"/>
    </row>
    <row r="888" spans="2:14">
      <c r="B888" s="105"/>
      <c r="C888" s="106"/>
      <c r="D888" s="107"/>
      <c r="E888" s="65"/>
      <c r="F888" s="64"/>
      <c r="G888" s="64"/>
      <c r="H888" s="64"/>
      <c r="I888" s="70"/>
      <c r="J888" s="70"/>
      <c r="K888" s="110" t="str">
        <f>IF(H888="","",IF($C$29="간이법","",FPR(H888,I888,J888)))</f>
        <v/>
      </c>
      <c r="L888" s="111" t="str">
        <f>IF(H888="","",IF($C$29="상세법",FPV(H888,K888),IF(H888="EI",4,IF(H888="EO",5.2,IF(H888="EQ",3.9,IF(H888="ILF",7.5,IF(H888="EIF",5.4)))))))</f>
        <v/>
      </c>
      <c r="M888" s="112" t="str">
        <f t="shared" si="16"/>
        <v/>
      </c>
      <c r="N888" s="113"/>
    </row>
    <row r="889" spans="2:14">
      <c r="B889" s="105"/>
      <c r="C889" s="106"/>
      <c r="D889" s="107"/>
      <c r="E889" s="65"/>
      <c r="F889" s="64"/>
      <c r="G889" s="64"/>
      <c r="H889" s="64"/>
      <c r="I889" s="70"/>
      <c r="J889" s="70"/>
      <c r="K889" s="110" t="str">
        <f>IF(H889="","",IF($C$29="간이법","",FPR(H889,I889,J889)))</f>
        <v/>
      </c>
      <c r="L889" s="111" t="str">
        <f>IF(H889="","",IF($C$29="상세법",FPV(H889,K889),IF(H889="EI",4,IF(H889="EO",5.2,IF(H889="EQ",3.9,IF(H889="ILF",7.5,IF(H889="EIF",5.4)))))))</f>
        <v/>
      </c>
      <c r="M889" s="112" t="str">
        <f t="shared" ref="M889:M952" si="17">IF(L889="","",L889*IF(G889="상",0.7,IF(G889="중",0.5,IF(G889="하",0.2,1))))</f>
        <v/>
      </c>
      <c r="N889" s="113"/>
    </row>
    <row r="890" spans="2:14">
      <c r="B890" s="105"/>
      <c r="C890" s="106"/>
      <c r="D890" s="107"/>
      <c r="E890" s="65"/>
      <c r="F890" s="64"/>
      <c r="G890" s="64"/>
      <c r="H890" s="64"/>
      <c r="I890" s="70"/>
      <c r="J890" s="70"/>
      <c r="K890" s="110" t="str">
        <f>IF(H890="","",IF($C$29="간이법","",FPR(H890,I890,J890)))</f>
        <v/>
      </c>
      <c r="L890" s="111" t="str">
        <f>IF(H890="","",IF($C$29="상세법",FPV(H890,K890),IF(H890="EI",4,IF(H890="EO",5.2,IF(H890="EQ",3.9,IF(H890="ILF",7.5,IF(H890="EIF",5.4)))))))</f>
        <v/>
      </c>
      <c r="M890" s="112" t="str">
        <f t="shared" si="17"/>
        <v/>
      </c>
      <c r="N890" s="113"/>
    </row>
    <row r="891" spans="2:14">
      <c r="B891" s="105"/>
      <c r="C891" s="106"/>
      <c r="D891" s="107"/>
      <c r="E891" s="65"/>
      <c r="F891" s="64"/>
      <c r="G891" s="64"/>
      <c r="H891" s="64"/>
      <c r="I891" s="70"/>
      <c r="J891" s="70"/>
      <c r="K891" s="110" t="str">
        <f>IF(H891="","",IF($C$29="간이법","",FPR(H891,I891,J891)))</f>
        <v/>
      </c>
      <c r="L891" s="111" t="str">
        <f>IF(H891="","",IF($C$29="상세법",FPV(H891,K891),IF(H891="EI",4,IF(H891="EO",5.2,IF(H891="EQ",3.9,IF(H891="ILF",7.5,IF(H891="EIF",5.4)))))))</f>
        <v/>
      </c>
      <c r="M891" s="112" t="str">
        <f t="shared" si="17"/>
        <v/>
      </c>
      <c r="N891" s="113"/>
    </row>
    <row r="892" spans="2:14">
      <c r="B892" s="105"/>
      <c r="C892" s="106"/>
      <c r="D892" s="107"/>
      <c r="E892" s="65"/>
      <c r="F892" s="64"/>
      <c r="G892" s="64"/>
      <c r="H892" s="64"/>
      <c r="I892" s="70"/>
      <c r="J892" s="70"/>
      <c r="K892" s="110" t="str">
        <f>IF(H892="","",IF($C$29="간이법","",FPR(H892,I892,J892)))</f>
        <v/>
      </c>
      <c r="L892" s="111" t="str">
        <f>IF(H892="","",IF($C$29="상세법",FPV(H892,K892),IF(H892="EI",4,IF(H892="EO",5.2,IF(H892="EQ",3.9,IF(H892="ILF",7.5,IF(H892="EIF",5.4)))))))</f>
        <v/>
      </c>
      <c r="M892" s="112" t="str">
        <f t="shared" si="17"/>
        <v/>
      </c>
      <c r="N892" s="113"/>
    </row>
    <row r="893" spans="2:14">
      <c r="B893" s="105"/>
      <c r="C893" s="106"/>
      <c r="D893" s="107"/>
      <c r="E893" s="65"/>
      <c r="F893" s="64"/>
      <c r="G893" s="64"/>
      <c r="H893" s="64"/>
      <c r="I893" s="70"/>
      <c r="J893" s="70"/>
      <c r="K893" s="110" t="str">
        <f>IF(H893="","",IF($C$29="간이법","",FPR(H893,I893,J893)))</f>
        <v/>
      </c>
      <c r="L893" s="111" t="str">
        <f>IF(H893="","",IF($C$29="상세법",FPV(H893,K893),IF(H893="EI",4,IF(H893="EO",5.2,IF(H893="EQ",3.9,IF(H893="ILF",7.5,IF(H893="EIF",5.4)))))))</f>
        <v/>
      </c>
      <c r="M893" s="112" t="str">
        <f t="shared" si="17"/>
        <v/>
      </c>
      <c r="N893" s="113"/>
    </row>
    <row r="894" spans="2:14">
      <c r="B894" s="105"/>
      <c r="C894" s="106"/>
      <c r="D894" s="107"/>
      <c r="E894" s="65"/>
      <c r="F894" s="64"/>
      <c r="G894" s="64"/>
      <c r="H894" s="64"/>
      <c r="I894" s="70"/>
      <c r="J894" s="70"/>
      <c r="K894" s="110" t="str">
        <f>IF(H894="","",IF($C$29="간이법","",FPR(H894,I894,J894)))</f>
        <v/>
      </c>
      <c r="L894" s="111" t="str">
        <f>IF(H894="","",IF($C$29="상세법",FPV(H894,K894),IF(H894="EI",4,IF(H894="EO",5.2,IF(H894="EQ",3.9,IF(H894="ILF",7.5,IF(H894="EIF",5.4)))))))</f>
        <v/>
      </c>
      <c r="M894" s="112" t="str">
        <f t="shared" si="17"/>
        <v/>
      </c>
      <c r="N894" s="113"/>
    </row>
    <row r="895" spans="2:14">
      <c r="B895" s="105"/>
      <c r="C895" s="106"/>
      <c r="D895" s="107"/>
      <c r="E895" s="65"/>
      <c r="F895" s="64"/>
      <c r="G895" s="64"/>
      <c r="H895" s="64"/>
      <c r="I895" s="70"/>
      <c r="J895" s="70"/>
      <c r="K895" s="110" t="str">
        <f>IF(H895="","",IF($C$29="간이법","",FPR(H895,I895,J895)))</f>
        <v/>
      </c>
      <c r="L895" s="111" t="str">
        <f>IF(H895="","",IF($C$29="상세법",FPV(H895,K895),IF(H895="EI",4,IF(H895="EO",5.2,IF(H895="EQ",3.9,IF(H895="ILF",7.5,IF(H895="EIF",5.4)))))))</f>
        <v/>
      </c>
      <c r="M895" s="112" t="str">
        <f t="shared" si="17"/>
        <v/>
      </c>
      <c r="N895" s="113"/>
    </row>
    <row r="896" spans="2:14">
      <c r="B896" s="105"/>
      <c r="C896" s="106"/>
      <c r="D896" s="107"/>
      <c r="E896" s="65"/>
      <c r="F896" s="64"/>
      <c r="G896" s="64"/>
      <c r="H896" s="64"/>
      <c r="I896" s="70"/>
      <c r="J896" s="70"/>
      <c r="K896" s="110" t="str">
        <f>IF(H896="","",IF($C$29="간이법","",FPR(H896,I896,J896)))</f>
        <v/>
      </c>
      <c r="L896" s="111" t="str">
        <f>IF(H896="","",IF($C$29="상세법",FPV(H896,K896),IF(H896="EI",4,IF(H896="EO",5.2,IF(H896="EQ",3.9,IF(H896="ILF",7.5,IF(H896="EIF",5.4)))))))</f>
        <v/>
      </c>
      <c r="M896" s="112" t="str">
        <f t="shared" si="17"/>
        <v/>
      </c>
      <c r="N896" s="113"/>
    </row>
    <row r="897" spans="2:14">
      <c r="B897" s="105"/>
      <c r="C897" s="106"/>
      <c r="D897" s="107"/>
      <c r="E897" s="65"/>
      <c r="F897" s="64"/>
      <c r="G897" s="64"/>
      <c r="H897" s="64"/>
      <c r="I897" s="70"/>
      <c r="J897" s="70"/>
      <c r="K897" s="110" t="str">
        <f>IF(H897="","",IF($C$29="간이법","",FPR(H897,I897,J897)))</f>
        <v/>
      </c>
      <c r="L897" s="111" t="str">
        <f>IF(H897="","",IF($C$29="상세법",FPV(H897,K897),IF(H897="EI",4,IF(H897="EO",5.2,IF(H897="EQ",3.9,IF(H897="ILF",7.5,IF(H897="EIF",5.4)))))))</f>
        <v/>
      </c>
      <c r="M897" s="112" t="str">
        <f t="shared" si="17"/>
        <v/>
      </c>
      <c r="N897" s="113"/>
    </row>
    <row r="898" spans="2:14">
      <c r="B898" s="105"/>
      <c r="C898" s="106"/>
      <c r="D898" s="107"/>
      <c r="E898" s="65"/>
      <c r="F898" s="64"/>
      <c r="G898" s="64"/>
      <c r="H898" s="64"/>
      <c r="I898" s="70"/>
      <c r="J898" s="70"/>
      <c r="K898" s="110" t="str">
        <f>IF(H898="","",IF($C$29="간이법","",FPR(H898,I898,J898)))</f>
        <v/>
      </c>
      <c r="L898" s="111" t="str">
        <f>IF(H898="","",IF($C$29="상세법",FPV(H898,K898),IF(H898="EI",4,IF(H898="EO",5.2,IF(H898="EQ",3.9,IF(H898="ILF",7.5,IF(H898="EIF",5.4)))))))</f>
        <v/>
      </c>
      <c r="M898" s="112" t="str">
        <f t="shared" si="17"/>
        <v/>
      </c>
      <c r="N898" s="113"/>
    </row>
    <row r="899" spans="2:14">
      <c r="B899" s="105"/>
      <c r="C899" s="106"/>
      <c r="D899" s="107"/>
      <c r="E899" s="65"/>
      <c r="F899" s="64"/>
      <c r="G899" s="64"/>
      <c r="H899" s="64"/>
      <c r="I899" s="70"/>
      <c r="J899" s="70"/>
      <c r="K899" s="110" t="str">
        <f>IF(H899="","",IF($C$29="간이법","",FPR(H899,I899,J899)))</f>
        <v/>
      </c>
      <c r="L899" s="111" t="str">
        <f>IF(H899="","",IF($C$29="상세법",FPV(H899,K899),IF(H899="EI",4,IF(H899="EO",5.2,IF(H899="EQ",3.9,IF(H899="ILF",7.5,IF(H899="EIF",5.4)))))))</f>
        <v/>
      </c>
      <c r="M899" s="112" t="str">
        <f t="shared" si="17"/>
        <v/>
      </c>
      <c r="N899" s="113"/>
    </row>
    <row r="900" spans="2:14">
      <c r="B900" s="105"/>
      <c r="C900" s="106"/>
      <c r="D900" s="107"/>
      <c r="E900" s="65"/>
      <c r="F900" s="64"/>
      <c r="G900" s="64"/>
      <c r="H900" s="64"/>
      <c r="I900" s="70"/>
      <c r="J900" s="70"/>
      <c r="K900" s="110" t="str">
        <f>IF(H900="","",IF($C$29="간이법","",FPR(H900,I900,J900)))</f>
        <v/>
      </c>
      <c r="L900" s="111" t="str">
        <f>IF(H900="","",IF($C$29="상세법",FPV(H900,K900),IF(H900="EI",4,IF(H900="EO",5.2,IF(H900="EQ",3.9,IF(H900="ILF",7.5,IF(H900="EIF",5.4)))))))</f>
        <v/>
      </c>
      <c r="M900" s="112" t="str">
        <f t="shared" si="17"/>
        <v/>
      </c>
      <c r="N900" s="113"/>
    </row>
    <row r="901" spans="2:14">
      <c r="B901" s="105"/>
      <c r="C901" s="106"/>
      <c r="D901" s="107"/>
      <c r="E901" s="65"/>
      <c r="F901" s="64"/>
      <c r="G901" s="64"/>
      <c r="H901" s="64"/>
      <c r="I901" s="70"/>
      <c r="J901" s="70"/>
      <c r="K901" s="110" t="str">
        <f>IF(H901="","",IF($C$29="간이법","",FPR(H901,I901,J901)))</f>
        <v/>
      </c>
      <c r="L901" s="111" t="str">
        <f>IF(H901="","",IF($C$29="상세법",FPV(H901,K901),IF(H901="EI",4,IF(H901="EO",5.2,IF(H901="EQ",3.9,IF(H901="ILF",7.5,IF(H901="EIF",5.4)))))))</f>
        <v/>
      </c>
      <c r="M901" s="112" t="str">
        <f t="shared" si="17"/>
        <v/>
      </c>
      <c r="N901" s="113"/>
    </row>
    <row r="902" spans="2:14">
      <c r="B902" s="105"/>
      <c r="C902" s="106"/>
      <c r="D902" s="107"/>
      <c r="E902" s="65"/>
      <c r="F902" s="64"/>
      <c r="G902" s="64"/>
      <c r="H902" s="64"/>
      <c r="I902" s="70"/>
      <c r="J902" s="70"/>
      <c r="K902" s="110" t="str">
        <f>IF(H902="","",IF($C$29="간이법","",FPR(H902,I902,J902)))</f>
        <v/>
      </c>
      <c r="L902" s="111" t="str">
        <f>IF(H902="","",IF($C$29="상세법",FPV(H902,K902),IF(H902="EI",4,IF(H902="EO",5.2,IF(H902="EQ",3.9,IF(H902="ILF",7.5,IF(H902="EIF",5.4)))))))</f>
        <v/>
      </c>
      <c r="M902" s="112" t="str">
        <f t="shared" si="17"/>
        <v/>
      </c>
      <c r="N902" s="113"/>
    </row>
    <row r="903" spans="2:14">
      <c r="B903" s="105"/>
      <c r="C903" s="106"/>
      <c r="D903" s="107"/>
      <c r="E903" s="65"/>
      <c r="F903" s="64"/>
      <c r="G903" s="64"/>
      <c r="H903" s="64"/>
      <c r="I903" s="70"/>
      <c r="J903" s="70"/>
      <c r="K903" s="110" t="str">
        <f>IF(H903="","",IF($C$29="간이법","",FPR(H903,I903,J903)))</f>
        <v/>
      </c>
      <c r="L903" s="111" t="str">
        <f>IF(H903="","",IF($C$29="상세법",FPV(H903,K903),IF(H903="EI",4,IF(H903="EO",5.2,IF(H903="EQ",3.9,IF(H903="ILF",7.5,IF(H903="EIF",5.4)))))))</f>
        <v/>
      </c>
      <c r="M903" s="112" t="str">
        <f t="shared" si="17"/>
        <v/>
      </c>
      <c r="N903" s="113"/>
    </row>
    <row r="904" spans="2:14">
      <c r="B904" s="105"/>
      <c r="C904" s="106"/>
      <c r="D904" s="107"/>
      <c r="E904" s="65"/>
      <c r="F904" s="64"/>
      <c r="G904" s="64"/>
      <c r="H904" s="64"/>
      <c r="I904" s="70"/>
      <c r="J904" s="70"/>
      <c r="K904" s="110" t="str">
        <f>IF(H904="","",IF($C$29="간이법","",FPR(H904,I904,J904)))</f>
        <v/>
      </c>
      <c r="L904" s="111" t="str">
        <f>IF(H904="","",IF($C$29="상세법",FPV(H904,K904),IF(H904="EI",4,IF(H904="EO",5.2,IF(H904="EQ",3.9,IF(H904="ILF",7.5,IF(H904="EIF",5.4)))))))</f>
        <v/>
      </c>
      <c r="M904" s="112" t="str">
        <f t="shared" si="17"/>
        <v/>
      </c>
      <c r="N904" s="113"/>
    </row>
    <row r="905" spans="2:14">
      <c r="B905" s="105"/>
      <c r="C905" s="106"/>
      <c r="D905" s="107"/>
      <c r="E905" s="65"/>
      <c r="F905" s="64"/>
      <c r="G905" s="64"/>
      <c r="H905" s="64"/>
      <c r="I905" s="70"/>
      <c r="J905" s="70"/>
      <c r="K905" s="110" t="str">
        <f>IF(H905="","",IF($C$29="간이법","",FPR(H905,I905,J905)))</f>
        <v/>
      </c>
      <c r="L905" s="111" t="str">
        <f>IF(H905="","",IF($C$29="상세법",FPV(H905,K905),IF(H905="EI",4,IF(H905="EO",5.2,IF(H905="EQ",3.9,IF(H905="ILF",7.5,IF(H905="EIF",5.4)))))))</f>
        <v/>
      </c>
      <c r="M905" s="112" t="str">
        <f t="shared" si="17"/>
        <v/>
      </c>
      <c r="N905" s="113"/>
    </row>
    <row r="906" spans="2:14">
      <c r="B906" s="105"/>
      <c r="C906" s="106"/>
      <c r="D906" s="107"/>
      <c r="E906" s="65"/>
      <c r="F906" s="64"/>
      <c r="G906" s="64"/>
      <c r="H906" s="64"/>
      <c r="I906" s="70"/>
      <c r="J906" s="70"/>
      <c r="K906" s="110" t="str">
        <f>IF(H906="","",IF($C$29="간이법","",FPR(H906,I906,J906)))</f>
        <v/>
      </c>
      <c r="L906" s="111" t="str">
        <f>IF(H906="","",IF($C$29="상세법",FPV(H906,K906),IF(H906="EI",4,IF(H906="EO",5.2,IF(H906="EQ",3.9,IF(H906="ILF",7.5,IF(H906="EIF",5.4)))))))</f>
        <v/>
      </c>
      <c r="M906" s="112" t="str">
        <f t="shared" si="17"/>
        <v/>
      </c>
      <c r="N906" s="113"/>
    </row>
    <row r="907" spans="2:14">
      <c r="B907" s="105"/>
      <c r="C907" s="106"/>
      <c r="D907" s="107"/>
      <c r="E907" s="65"/>
      <c r="F907" s="64"/>
      <c r="G907" s="64"/>
      <c r="H907" s="64"/>
      <c r="I907" s="70"/>
      <c r="J907" s="70"/>
      <c r="K907" s="110" t="str">
        <f>IF(H907="","",IF($C$29="간이법","",FPR(H907,I907,J907)))</f>
        <v/>
      </c>
      <c r="L907" s="111" t="str">
        <f>IF(H907="","",IF($C$29="상세법",FPV(H907,K907),IF(H907="EI",4,IF(H907="EO",5.2,IF(H907="EQ",3.9,IF(H907="ILF",7.5,IF(H907="EIF",5.4)))))))</f>
        <v/>
      </c>
      <c r="M907" s="112" t="str">
        <f t="shared" si="17"/>
        <v/>
      </c>
      <c r="N907" s="113"/>
    </row>
    <row r="908" spans="2:14">
      <c r="B908" s="105"/>
      <c r="C908" s="106"/>
      <c r="D908" s="107"/>
      <c r="E908" s="65"/>
      <c r="F908" s="64"/>
      <c r="G908" s="64"/>
      <c r="H908" s="64"/>
      <c r="I908" s="70"/>
      <c r="J908" s="70"/>
      <c r="K908" s="110" t="str">
        <f>IF(H908="","",IF($C$29="간이법","",FPR(H908,I908,J908)))</f>
        <v/>
      </c>
      <c r="L908" s="111" t="str">
        <f>IF(H908="","",IF($C$29="상세법",FPV(H908,K908),IF(H908="EI",4,IF(H908="EO",5.2,IF(H908="EQ",3.9,IF(H908="ILF",7.5,IF(H908="EIF",5.4)))))))</f>
        <v/>
      </c>
      <c r="M908" s="112" t="str">
        <f t="shared" si="17"/>
        <v/>
      </c>
      <c r="N908" s="113"/>
    </row>
    <row r="909" spans="2:14">
      <c r="B909" s="105"/>
      <c r="C909" s="106"/>
      <c r="D909" s="107"/>
      <c r="E909" s="65"/>
      <c r="F909" s="64"/>
      <c r="G909" s="64"/>
      <c r="H909" s="64"/>
      <c r="I909" s="70"/>
      <c r="J909" s="70"/>
      <c r="K909" s="110" t="str">
        <f>IF(H909="","",IF($C$29="간이법","",FPR(H909,I909,J909)))</f>
        <v/>
      </c>
      <c r="L909" s="111" t="str">
        <f>IF(H909="","",IF($C$29="상세법",FPV(H909,K909),IF(H909="EI",4,IF(H909="EO",5.2,IF(H909="EQ",3.9,IF(H909="ILF",7.5,IF(H909="EIF",5.4)))))))</f>
        <v/>
      </c>
      <c r="M909" s="112" t="str">
        <f t="shared" si="17"/>
        <v/>
      </c>
      <c r="N909" s="113"/>
    </row>
    <row r="910" spans="2:14">
      <c r="B910" s="105"/>
      <c r="C910" s="106"/>
      <c r="D910" s="107"/>
      <c r="E910" s="65"/>
      <c r="F910" s="64"/>
      <c r="G910" s="64"/>
      <c r="H910" s="64"/>
      <c r="I910" s="70"/>
      <c r="J910" s="70"/>
      <c r="K910" s="110" t="str">
        <f>IF(H910="","",IF($C$29="간이법","",FPR(H910,I910,J910)))</f>
        <v/>
      </c>
      <c r="L910" s="111" t="str">
        <f>IF(H910="","",IF($C$29="상세법",FPV(H910,K910),IF(H910="EI",4,IF(H910="EO",5.2,IF(H910="EQ",3.9,IF(H910="ILF",7.5,IF(H910="EIF",5.4)))))))</f>
        <v/>
      </c>
      <c r="M910" s="112" t="str">
        <f t="shared" si="17"/>
        <v/>
      </c>
      <c r="N910" s="113"/>
    </row>
    <row r="911" spans="2:14">
      <c r="B911" s="105"/>
      <c r="C911" s="106"/>
      <c r="D911" s="107"/>
      <c r="E911" s="65"/>
      <c r="F911" s="64"/>
      <c r="G911" s="64"/>
      <c r="H911" s="64"/>
      <c r="I911" s="70"/>
      <c r="J911" s="70"/>
      <c r="K911" s="110" t="str">
        <f>IF(H911="","",IF($C$29="간이법","",FPR(H911,I911,J911)))</f>
        <v/>
      </c>
      <c r="L911" s="111" t="str">
        <f>IF(H911="","",IF($C$29="상세법",FPV(H911,K911),IF(H911="EI",4,IF(H911="EO",5.2,IF(H911="EQ",3.9,IF(H911="ILF",7.5,IF(H911="EIF",5.4)))))))</f>
        <v/>
      </c>
      <c r="M911" s="112" t="str">
        <f t="shared" si="17"/>
        <v/>
      </c>
      <c r="N911" s="113"/>
    </row>
    <row r="912" spans="2:14">
      <c r="B912" s="105"/>
      <c r="C912" s="106"/>
      <c r="D912" s="107"/>
      <c r="E912" s="65"/>
      <c r="F912" s="64"/>
      <c r="G912" s="64"/>
      <c r="H912" s="64"/>
      <c r="I912" s="70"/>
      <c r="J912" s="70"/>
      <c r="K912" s="110" t="str">
        <f>IF(H912="","",IF($C$29="간이법","",FPR(H912,I912,J912)))</f>
        <v/>
      </c>
      <c r="L912" s="111" t="str">
        <f>IF(H912="","",IF($C$29="상세법",FPV(H912,K912),IF(H912="EI",4,IF(H912="EO",5.2,IF(H912="EQ",3.9,IF(H912="ILF",7.5,IF(H912="EIF",5.4)))))))</f>
        <v/>
      </c>
      <c r="M912" s="112" t="str">
        <f t="shared" si="17"/>
        <v/>
      </c>
      <c r="N912" s="113"/>
    </row>
    <row r="913" spans="2:14">
      <c r="B913" s="105"/>
      <c r="C913" s="106"/>
      <c r="D913" s="107"/>
      <c r="E913" s="65"/>
      <c r="F913" s="64"/>
      <c r="G913" s="64"/>
      <c r="H913" s="64"/>
      <c r="I913" s="70"/>
      <c r="J913" s="70"/>
      <c r="K913" s="110" t="str">
        <f>IF(H913="","",IF($C$29="간이법","",FPR(H913,I913,J913)))</f>
        <v/>
      </c>
      <c r="L913" s="111" t="str">
        <f>IF(H913="","",IF($C$29="상세법",FPV(H913,K913),IF(H913="EI",4,IF(H913="EO",5.2,IF(H913="EQ",3.9,IF(H913="ILF",7.5,IF(H913="EIF",5.4)))))))</f>
        <v/>
      </c>
      <c r="M913" s="112" t="str">
        <f t="shared" si="17"/>
        <v/>
      </c>
      <c r="N913" s="113"/>
    </row>
    <row r="914" spans="2:14">
      <c r="B914" s="105"/>
      <c r="C914" s="106"/>
      <c r="D914" s="107"/>
      <c r="E914" s="65"/>
      <c r="F914" s="64"/>
      <c r="G914" s="64"/>
      <c r="H914" s="64"/>
      <c r="I914" s="70"/>
      <c r="J914" s="70"/>
      <c r="K914" s="110" t="str">
        <f>IF(H914="","",IF($C$29="간이법","",FPR(H914,I914,J914)))</f>
        <v/>
      </c>
      <c r="L914" s="111" t="str">
        <f>IF(H914="","",IF($C$29="상세법",FPV(H914,K914),IF(H914="EI",4,IF(H914="EO",5.2,IF(H914="EQ",3.9,IF(H914="ILF",7.5,IF(H914="EIF",5.4)))))))</f>
        <v/>
      </c>
      <c r="M914" s="112" t="str">
        <f t="shared" si="17"/>
        <v/>
      </c>
      <c r="N914" s="113"/>
    </row>
    <row r="915" spans="2:14">
      <c r="B915" s="105"/>
      <c r="C915" s="106"/>
      <c r="D915" s="107"/>
      <c r="E915" s="65"/>
      <c r="F915" s="64"/>
      <c r="G915" s="64"/>
      <c r="H915" s="64"/>
      <c r="I915" s="70"/>
      <c r="J915" s="70"/>
      <c r="K915" s="110" t="str">
        <f>IF(H915="","",IF($C$29="간이법","",FPR(H915,I915,J915)))</f>
        <v/>
      </c>
      <c r="L915" s="111" t="str">
        <f>IF(H915="","",IF($C$29="상세법",FPV(H915,K915),IF(H915="EI",4,IF(H915="EO",5.2,IF(H915="EQ",3.9,IF(H915="ILF",7.5,IF(H915="EIF",5.4)))))))</f>
        <v/>
      </c>
      <c r="M915" s="112" t="str">
        <f t="shared" si="17"/>
        <v/>
      </c>
      <c r="N915" s="113"/>
    </row>
    <row r="916" spans="2:14">
      <c r="B916" s="105"/>
      <c r="C916" s="106"/>
      <c r="D916" s="107"/>
      <c r="E916" s="65"/>
      <c r="F916" s="64"/>
      <c r="G916" s="64"/>
      <c r="H916" s="64"/>
      <c r="I916" s="70"/>
      <c r="J916" s="70"/>
      <c r="K916" s="110" t="str">
        <f>IF(H916="","",IF($C$29="간이법","",FPR(H916,I916,J916)))</f>
        <v/>
      </c>
      <c r="L916" s="111" t="str">
        <f>IF(H916="","",IF($C$29="상세법",FPV(H916,K916),IF(H916="EI",4,IF(H916="EO",5.2,IF(H916="EQ",3.9,IF(H916="ILF",7.5,IF(H916="EIF",5.4)))))))</f>
        <v/>
      </c>
      <c r="M916" s="112" t="str">
        <f t="shared" si="17"/>
        <v/>
      </c>
      <c r="N916" s="113"/>
    </row>
    <row r="917" spans="2:14">
      <c r="B917" s="105"/>
      <c r="C917" s="106"/>
      <c r="D917" s="107"/>
      <c r="E917" s="65"/>
      <c r="F917" s="64"/>
      <c r="G917" s="64"/>
      <c r="H917" s="64"/>
      <c r="I917" s="70"/>
      <c r="J917" s="70"/>
      <c r="K917" s="110" t="str">
        <f>IF(H917="","",IF($C$29="간이법","",FPR(H917,I917,J917)))</f>
        <v/>
      </c>
      <c r="L917" s="111" t="str">
        <f>IF(H917="","",IF($C$29="상세법",FPV(H917,K917),IF(H917="EI",4,IF(H917="EO",5.2,IF(H917="EQ",3.9,IF(H917="ILF",7.5,IF(H917="EIF",5.4)))))))</f>
        <v/>
      </c>
      <c r="M917" s="112" t="str">
        <f t="shared" si="17"/>
        <v/>
      </c>
      <c r="N917" s="113"/>
    </row>
    <row r="918" spans="2:14">
      <c r="B918" s="105"/>
      <c r="C918" s="106"/>
      <c r="D918" s="107"/>
      <c r="E918" s="65"/>
      <c r="F918" s="64"/>
      <c r="G918" s="64"/>
      <c r="H918" s="64"/>
      <c r="I918" s="70"/>
      <c r="J918" s="70"/>
      <c r="K918" s="110" t="str">
        <f>IF(H918="","",IF($C$29="간이법","",FPR(H918,I918,J918)))</f>
        <v/>
      </c>
      <c r="L918" s="111" t="str">
        <f>IF(H918="","",IF($C$29="상세법",FPV(H918,K918),IF(H918="EI",4,IF(H918="EO",5.2,IF(H918="EQ",3.9,IF(H918="ILF",7.5,IF(H918="EIF",5.4)))))))</f>
        <v/>
      </c>
      <c r="M918" s="112" t="str">
        <f t="shared" si="17"/>
        <v/>
      </c>
      <c r="N918" s="113"/>
    </row>
    <row r="919" spans="2:14">
      <c r="B919" s="105"/>
      <c r="C919" s="106"/>
      <c r="D919" s="107"/>
      <c r="E919" s="65"/>
      <c r="F919" s="64"/>
      <c r="G919" s="64"/>
      <c r="H919" s="64"/>
      <c r="I919" s="70"/>
      <c r="J919" s="70"/>
      <c r="K919" s="110" t="str">
        <f>IF(H919="","",IF($C$29="간이법","",FPR(H919,I919,J919)))</f>
        <v/>
      </c>
      <c r="L919" s="111" t="str">
        <f>IF(H919="","",IF($C$29="상세법",FPV(H919,K919),IF(H919="EI",4,IF(H919="EO",5.2,IF(H919="EQ",3.9,IF(H919="ILF",7.5,IF(H919="EIF",5.4)))))))</f>
        <v/>
      </c>
      <c r="M919" s="112" t="str">
        <f t="shared" si="17"/>
        <v/>
      </c>
      <c r="N919" s="113"/>
    </row>
    <row r="920" spans="2:14">
      <c r="B920" s="105"/>
      <c r="C920" s="106"/>
      <c r="D920" s="107"/>
      <c r="E920" s="65"/>
      <c r="F920" s="64"/>
      <c r="G920" s="64"/>
      <c r="H920" s="64"/>
      <c r="I920" s="70"/>
      <c r="J920" s="70"/>
      <c r="K920" s="110" t="str">
        <f>IF(H920="","",IF($C$29="간이법","",FPR(H920,I920,J920)))</f>
        <v/>
      </c>
      <c r="L920" s="111" t="str">
        <f>IF(H920="","",IF($C$29="상세법",FPV(H920,K920),IF(H920="EI",4,IF(H920="EO",5.2,IF(H920="EQ",3.9,IF(H920="ILF",7.5,IF(H920="EIF",5.4)))))))</f>
        <v/>
      </c>
      <c r="M920" s="112" t="str">
        <f t="shared" si="17"/>
        <v/>
      </c>
      <c r="N920" s="113"/>
    </row>
    <row r="921" spans="2:14">
      <c r="B921" s="105"/>
      <c r="C921" s="106"/>
      <c r="D921" s="107"/>
      <c r="E921" s="65"/>
      <c r="F921" s="64"/>
      <c r="G921" s="64"/>
      <c r="H921" s="64"/>
      <c r="I921" s="70"/>
      <c r="J921" s="70"/>
      <c r="K921" s="110" t="str">
        <f>IF(H921="","",IF($C$29="간이법","",FPR(H921,I921,J921)))</f>
        <v/>
      </c>
      <c r="L921" s="111" t="str">
        <f>IF(H921="","",IF($C$29="상세법",FPV(H921,K921),IF(H921="EI",4,IF(H921="EO",5.2,IF(H921="EQ",3.9,IF(H921="ILF",7.5,IF(H921="EIF",5.4)))))))</f>
        <v/>
      </c>
      <c r="M921" s="112" t="str">
        <f t="shared" si="17"/>
        <v/>
      </c>
      <c r="N921" s="113"/>
    </row>
    <row r="922" spans="2:14">
      <c r="B922" s="105"/>
      <c r="C922" s="106"/>
      <c r="D922" s="107"/>
      <c r="E922" s="65"/>
      <c r="F922" s="64"/>
      <c r="G922" s="64"/>
      <c r="H922" s="64"/>
      <c r="I922" s="70"/>
      <c r="J922" s="70"/>
      <c r="K922" s="110" t="str">
        <f>IF(H922="","",IF($C$29="간이법","",FPR(H922,I922,J922)))</f>
        <v/>
      </c>
      <c r="L922" s="111" t="str">
        <f>IF(H922="","",IF($C$29="상세법",FPV(H922,K922),IF(H922="EI",4,IF(H922="EO",5.2,IF(H922="EQ",3.9,IF(H922="ILF",7.5,IF(H922="EIF",5.4)))))))</f>
        <v/>
      </c>
      <c r="M922" s="112" t="str">
        <f t="shared" si="17"/>
        <v/>
      </c>
      <c r="N922" s="113"/>
    </row>
    <row r="923" spans="2:14">
      <c r="B923" s="105"/>
      <c r="C923" s="106"/>
      <c r="D923" s="107"/>
      <c r="E923" s="65"/>
      <c r="F923" s="64"/>
      <c r="G923" s="64"/>
      <c r="H923" s="64"/>
      <c r="I923" s="70"/>
      <c r="J923" s="70"/>
      <c r="K923" s="110" t="str">
        <f>IF(H923="","",IF($C$29="간이법","",FPR(H923,I923,J923)))</f>
        <v/>
      </c>
      <c r="L923" s="111" t="str">
        <f>IF(H923="","",IF($C$29="상세법",FPV(H923,K923),IF(H923="EI",4,IF(H923="EO",5.2,IF(H923="EQ",3.9,IF(H923="ILF",7.5,IF(H923="EIF",5.4)))))))</f>
        <v/>
      </c>
      <c r="M923" s="112" t="str">
        <f t="shared" si="17"/>
        <v/>
      </c>
      <c r="N923" s="113"/>
    </row>
    <row r="924" spans="2:14">
      <c r="B924" s="105"/>
      <c r="C924" s="106"/>
      <c r="D924" s="107"/>
      <c r="E924" s="65"/>
      <c r="F924" s="64"/>
      <c r="G924" s="64"/>
      <c r="H924" s="64"/>
      <c r="I924" s="70"/>
      <c r="J924" s="70"/>
      <c r="K924" s="110" t="str">
        <f>IF(H924="","",IF($C$29="간이법","",FPR(H924,I924,J924)))</f>
        <v/>
      </c>
      <c r="L924" s="111" t="str">
        <f>IF(H924="","",IF($C$29="상세법",FPV(H924,K924),IF(H924="EI",4,IF(H924="EO",5.2,IF(H924="EQ",3.9,IF(H924="ILF",7.5,IF(H924="EIF",5.4)))))))</f>
        <v/>
      </c>
      <c r="M924" s="112" t="str">
        <f t="shared" si="17"/>
        <v/>
      </c>
      <c r="N924" s="113"/>
    </row>
    <row r="925" spans="2:14">
      <c r="B925" s="105"/>
      <c r="C925" s="106"/>
      <c r="D925" s="107"/>
      <c r="E925" s="65"/>
      <c r="F925" s="64"/>
      <c r="G925" s="64"/>
      <c r="H925" s="64"/>
      <c r="I925" s="70"/>
      <c r="J925" s="70"/>
      <c r="K925" s="110" t="str">
        <f>IF(H925="","",IF($C$29="간이법","",FPR(H925,I925,J925)))</f>
        <v/>
      </c>
      <c r="L925" s="111" t="str">
        <f>IF(H925="","",IF($C$29="상세법",FPV(H925,K925),IF(H925="EI",4,IF(H925="EO",5.2,IF(H925="EQ",3.9,IF(H925="ILF",7.5,IF(H925="EIF",5.4)))))))</f>
        <v/>
      </c>
      <c r="M925" s="112" t="str">
        <f t="shared" si="17"/>
        <v/>
      </c>
      <c r="N925" s="113"/>
    </row>
    <row r="926" spans="2:14">
      <c r="B926" s="105"/>
      <c r="C926" s="106"/>
      <c r="D926" s="107"/>
      <c r="E926" s="65"/>
      <c r="F926" s="64"/>
      <c r="G926" s="64"/>
      <c r="H926" s="64"/>
      <c r="I926" s="70"/>
      <c r="J926" s="70"/>
      <c r="K926" s="110" t="str">
        <f>IF(H926="","",IF($C$29="간이법","",FPR(H926,I926,J926)))</f>
        <v/>
      </c>
      <c r="L926" s="111" t="str">
        <f>IF(H926="","",IF($C$29="상세법",FPV(H926,K926),IF(H926="EI",4,IF(H926="EO",5.2,IF(H926="EQ",3.9,IF(H926="ILF",7.5,IF(H926="EIF",5.4)))))))</f>
        <v/>
      </c>
      <c r="M926" s="112" t="str">
        <f t="shared" si="17"/>
        <v/>
      </c>
      <c r="N926" s="113"/>
    </row>
    <row r="927" spans="2:14">
      <c r="B927" s="105"/>
      <c r="C927" s="106"/>
      <c r="D927" s="107"/>
      <c r="E927" s="65"/>
      <c r="F927" s="64"/>
      <c r="G927" s="64"/>
      <c r="H927" s="64"/>
      <c r="I927" s="70"/>
      <c r="J927" s="70"/>
      <c r="K927" s="110" t="str">
        <f>IF(H927="","",IF($C$29="간이법","",FPR(H927,I927,J927)))</f>
        <v/>
      </c>
      <c r="L927" s="111" t="str">
        <f>IF(H927="","",IF($C$29="상세법",FPV(H927,K927),IF(H927="EI",4,IF(H927="EO",5.2,IF(H927="EQ",3.9,IF(H927="ILF",7.5,IF(H927="EIF",5.4)))))))</f>
        <v/>
      </c>
      <c r="M927" s="112" t="str">
        <f t="shared" si="17"/>
        <v/>
      </c>
      <c r="N927" s="113"/>
    </row>
    <row r="928" spans="2:14">
      <c r="B928" s="105"/>
      <c r="C928" s="106"/>
      <c r="D928" s="107"/>
      <c r="E928" s="65"/>
      <c r="F928" s="64"/>
      <c r="G928" s="64"/>
      <c r="H928" s="64"/>
      <c r="I928" s="70"/>
      <c r="J928" s="70"/>
      <c r="K928" s="110" t="str">
        <f>IF(H928="","",IF($C$29="간이법","",FPR(H928,I928,J928)))</f>
        <v/>
      </c>
      <c r="L928" s="111" t="str">
        <f>IF(H928="","",IF($C$29="상세법",FPV(H928,K928),IF(H928="EI",4,IF(H928="EO",5.2,IF(H928="EQ",3.9,IF(H928="ILF",7.5,IF(H928="EIF",5.4)))))))</f>
        <v/>
      </c>
      <c r="M928" s="112" t="str">
        <f t="shared" si="17"/>
        <v/>
      </c>
      <c r="N928" s="113"/>
    </row>
    <row r="929" spans="2:14">
      <c r="B929" s="105"/>
      <c r="C929" s="106"/>
      <c r="D929" s="107"/>
      <c r="E929" s="65"/>
      <c r="F929" s="64"/>
      <c r="G929" s="64"/>
      <c r="H929" s="64"/>
      <c r="I929" s="70"/>
      <c r="J929" s="70"/>
      <c r="K929" s="110" t="str">
        <f>IF(H929="","",IF($C$29="간이법","",FPR(H929,I929,J929)))</f>
        <v/>
      </c>
      <c r="L929" s="111" t="str">
        <f>IF(H929="","",IF($C$29="상세법",FPV(H929,K929),IF(H929="EI",4,IF(H929="EO",5.2,IF(H929="EQ",3.9,IF(H929="ILF",7.5,IF(H929="EIF",5.4)))))))</f>
        <v/>
      </c>
      <c r="M929" s="112" t="str">
        <f t="shared" si="17"/>
        <v/>
      </c>
      <c r="N929" s="113"/>
    </row>
    <row r="930" spans="2:14">
      <c r="B930" s="105"/>
      <c r="C930" s="106"/>
      <c r="D930" s="107"/>
      <c r="E930" s="65"/>
      <c r="F930" s="64"/>
      <c r="G930" s="64"/>
      <c r="H930" s="64"/>
      <c r="I930" s="70"/>
      <c r="J930" s="70"/>
      <c r="K930" s="110" t="str">
        <f>IF(H930="","",IF($C$29="간이법","",FPR(H930,I930,J930)))</f>
        <v/>
      </c>
      <c r="L930" s="111" t="str">
        <f>IF(H930="","",IF($C$29="상세법",FPV(H930,K930),IF(H930="EI",4,IF(H930="EO",5.2,IF(H930="EQ",3.9,IF(H930="ILF",7.5,IF(H930="EIF",5.4)))))))</f>
        <v/>
      </c>
      <c r="M930" s="112" t="str">
        <f t="shared" si="17"/>
        <v/>
      </c>
      <c r="N930" s="113"/>
    </row>
    <row r="931" spans="2:14">
      <c r="B931" s="105"/>
      <c r="C931" s="106"/>
      <c r="D931" s="107"/>
      <c r="E931" s="65"/>
      <c r="F931" s="64"/>
      <c r="G931" s="64"/>
      <c r="H931" s="64"/>
      <c r="I931" s="70"/>
      <c r="J931" s="70"/>
      <c r="K931" s="110" t="str">
        <f>IF(H931="","",IF($C$29="간이법","",FPR(H931,I931,J931)))</f>
        <v/>
      </c>
      <c r="L931" s="111" t="str">
        <f>IF(H931="","",IF($C$29="상세법",FPV(H931,K931),IF(H931="EI",4,IF(H931="EO",5.2,IF(H931="EQ",3.9,IF(H931="ILF",7.5,IF(H931="EIF",5.4)))))))</f>
        <v/>
      </c>
      <c r="M931" s="112" t="str">
        <f t="shared" si="17"/>
        <v/>
      </c>
      <c r="N931" s="113"/>
    </row>
    <row r="932" spans="2:14">
      <c r="B932" s="105"/>
      <c r="C932" s="106"/>
      <c r="D932" s="107"/>
      <c r="E932" s="65"/>
      <c r="F932" s="64"/>
      <c r="G932" s="64"/>
      <c r="H932" s="64"/>
      <c r="I932" s="70"/>
      <c r="J932" s="70"/>
      <c r="K932" s="110" t="str">
        <f>IF(H932="","",IF($C$29="간이법","",FPR(H932,I932,J932)))</f>
        <v/>
      </c>
      <c r="L932" s="111" t="str">
        <f>IF(H932="","",IF($C$29="상세법",FPV(H932,K932),IF(H932="EI",4,IF(H932="EO",5.2,IF(H932="EQ",3.9,IF(H932="ILF",7.5,IF(H932="EIF",5.4)))))))</f>
        <v/>
      </c>
      <c r="M932" s="112" t="str">
        <f t="shared" si="17"/>
        <v/>
      </c>
      <c r="N932" s="113"/>
    </row>
    <row r="933" spans="2:14">
      <c r="B933" s="105"/>
      <c r="C933" s="106"/>
      <c r="D933" s="107"/>
      <c r="E933" s="65"/>
      <c r="F933" s="64"/>
      <c r="G933" s="64"/>
      <c r="H933" s="64"/>
      <c r="I933" s="70"/>
      <c r="J933" s="70"/>
      <c r="K933" s="110" t="str">
        <f>IF(H933="","",IF($C$29="간이법","",FPR(H933,I933,J933)))</f>
        <v/>
      </c>
      <c r="L933" s="111" t="str">
        <f>IF(H933="","",IF($C$29="상세법",FPV(H933,K933),IF(H933="EI",4,IF(H933="EO",5.2,IF(H933="EQ",3.9,IF(H933="ILF",7.5,IF(H933="EIF",5.4)))))))</f>
        <v/>
      </c>
      <c r="M933" s="112" t="str">
        <f t="shared" si="17"/>
        <v/>
      </c>
      <c r="N933" s="113"/>
    </row>
    <row r="934" spans="2:14">
      <c r="B934" s="105"/>
      <c r="C934" s="106"/>
      <c r="D934" s="107"/>
      <c r="E934" s="65"/>
      <c r="F934" s="64"/>
      <c r="G934" s="64"/>
      <c r="H934" s="64"/>
      <c r="I934" s="70"/>
      <c r="J934" s="70"/>
      <c r="K934" s="110" t="str">
        <f>IF(H934="","",IF($C$29="간이법","",FPR(H934,I934,J934)))</f>
        <v/>
      </c>
      <c r="L934" s="111" t="str">
        <f>IF(H934="","",IF($C$29="상세법",FPV(H934,K934),IF(H934="EI",4,IF(H934="EO",5.2,IF(H934="EQ",3.9,IF(H934="ILF",7.5,IF(H934="EIF",5.4)))))))</f>
        <v/>
      </c>
      <c r="M934" s="112" t="str">
        <f t="shared" si="17"/>
        <v/>
      </c>
      <c r="N934" s="113"/>
    </row>
    <row r="935" spans="2:14">
      <c r="B935" s="105"/>
      <c r="C935" s="106"/>
      <c r="D935" s="107"/>
      <c r="E935" s="65"/>
      <c r="F935" s="64"/>
      <c r="G935" s="64"/>
      <c r="H935" s="64"/>
      <c r="I935" s="70"/>
      <c r="J935" s="70"/>
      <c r="K935" s="110" t="str">
        <f>IF(H935="","",IF($C$29="간이법","",FPR(H935,I935,J935)))</f>
        <v/>
      </c>
      <c r="L935" s="111" t="str">
        <f>IF(H935="","",IF($C$29="상세법",FPV(H935,K935),IF(H935="EI",4,IF(H935="EO",5.2,IF(H935="EQ",3.9,IF(H935="ILF",7.5,IF(H935="EIF",5.4)))))))</f>
        <v/>
      </c>
      <c r="M935" s="112" t="str">
        <f t="shared" si="17"/>
        <v/>
      </c>
      <c r="N935" s="113"/>
    </row>
    <row r="936" spans="2:14">
      <c r="B936" s="105"/>
      <c r="C936" s="106"/>
      <c r="D936" s="107"/>
      <c r="E936" s="65"/>
      <c r="F936" s="64"/>
      <c r="G936" s="64"/>
      <c r="H936" s="64"/>
      <c r="I936" s="70"/>
      <c r="J936" s="70"/>
      <c r="K936" s="110" t="str">
        <f>IF(H936="","",IF($C$29="간이법","",FPR(H936,I936,J936)))</f>
        <v/>
      </c>
      <c r="L936" s="111" t="str">
        <f>IF(H936="","",IF($C$29="상세법",FPV(H936,K936),IF(H936="EI",4,IF(H936="EO",5.2,IF(H936="EQ",3.9,IF(H936="ILF",7.5,IF(H936="EIF",5.4)))))))</f>
        <v/>
      </c>
      <c r="M936" s="112" t="str">
        <f t="shared" si="17"/>
        <v/>
      </c>
      <c r="N936" s="113"/>
    </row>
    <row r="937" spans="2:14">
      <c r="B937" s="105"/>
      <c r="C937" s="106"/>
      <c r="D937" s="107"/>
      <c r="E937" s="65"/>
      <c r="F937" s="64"/>
      <c r="G937" s="64"/>
      <c r="H937" s="64"/>
      <c r="I937" s="70"/>
      <c r="J937" s="70"/>
      <c r="K937" s="110" t="str">
        <f>IF(H937="","",IF($C$29="간이법","",FPR(H937,I937,J937)))</f>
        <v/>
      </c>
      <c r="L937" s="111" t="str">
        <f>IF(H937="","",IF($C$29="상세법",FPV(H937,K937),IF(H937="EI",4,IF(H937="EO",5.2,IF(H937="EQ",3.9,IF(H937="ILF",7.5,IF(H937="EIF",5.4)))))))</f>
        <v/>
      </c>
      <c r="M937" s="112" t="str">
        <f t="shared" si="17"/>
        <v/>
      </c>
      <c r="N937" s="113"/>
    </row>
    <row r="938" spans="2:14">
      <c r="B938" s="105"/>
      <c r="C938" s="106"/>
      <c r="D938" s="107"/>
      <c r="E938" s="65"/>
      <c r="F938" s="64"/>
      <c r="G938" s="64"/>
      <c r="H938" s="64"/>
      <c r="I938" s="70"/>
      <c r="J938" s="70"/>
      <c r="K938" s="110" t="str">
        <f>IF(H938="","",IF($C$29="간이법","",FPR(H938,I938,J938)))</f>
        <v/>
      </c>
      <c r="L938" s="111" t="str">
        <f>IF(H938="","",IF($C$29="상세법",FPV(H938,K938),IF(H938="EI",4,IF(H938="EO",5.2,IF(H938="EQ",3.9,IF(H938="ILF",7.5,IF(H938="EIF",5.4)))))))</f>
        <v/>
      </c>
      <c r="M938" s="112" t="str">
        <f t="shared" si="17"/>
        <v/>
      </c>
      <c r="N938" s="113"/>
    </row>
    <row r="939" spans="2:14">
      <c r="B939" s="105"/>
      <c r="C939" s="106"/>
      <c r="D939" s="107"/>
      <c r="E939" s="65"/>
      <c r="F939" s="64"/>
      <c r="G939" s="64"/>
      <c r="H939" s="64"/>
      <c r="I939" s="70"/>
      <c r="J939" s="70"/>
      <c r="K939" s="110" t="str">
        <f>IF(H939="","",IF($C$29="간이법","",FPR(H939,I939,J939)))</f>
        <v/>
      </c>
      <c r="L939" s="111" t="str">
        <f>IF(H939="","",IF($C$29="상세법",FPV(H939,K939),IF(H939="EI",4,IF(H939="EO",5.2,IF(H939="EQ",3.9,IF(H939="ILF",7.5,IF(H939="EIF",5.4)))))))</f>
        <v/>
      </c>
      <c r="M939" s="112" t="str">
        <f t="shared" si="17"/>
        <v/>
      </c>
      <c r="N939" s="113"/>
    </row>
    <row r="940" spans="2:14">
      <c r="B940" s="105"/>
      <c r="C940" s="106"/>
      <c r="D940" s="107"/>
      <c r="E940" s="65"/>
      <c r="F940" s="64"/>
      <c r="G940" s="64"/>
      <c r="H940" s="64"/>
      <c r="I940" s="70"/>
      <c r="J940" s="70"/>
      <c r="K940" s="110" t="str">
        <f>IF(H940="","",IF($C$29="간이법","",FPR(H940,I940,J940)))</f>
        <v/>
      </c>
      <c r="L940" s="111" t="str">
        <f>IF(H940="","",IF($C$29="상세법",FPV(H940,K940),IF(H940="EI",4,IF(H940="EO",5.2,IF(H940="EQ",3.9,IF(H940="ILF",7.5,IF(H940="EIF",5.4)))))))</f>
        <v/>
      </c>
      <c r="M940" s="112" t="str">
        <f t="shared" si="17"/>
        <v/>
      </c>
      <c r="N940" s="113"/>
    </row>
    <row r="941" spans="2:14">
      <c r="B941" s="105"/>
      <c r="C941" s="106"/>
      <c r="D941" s="107"/>
      <c r="E941" s="65"/>
      <c r="F941" s="64"/>
      <c r="G941" s="64"/>
      <c r="H941" s="64"/>
      <c r="I941" s="70"/>
      <c r="J941" s="70"/>
      <c r="K941" s="110" t="str">
        <f>IF(H941="","",IF($C$29="간이법","",FPR(H941,I941,J941)))</f>
        <v/>
      </c>
      <c r="L941" s="111" t="str">
        <f>IF(H941="","",IF($C$29="상세법",FPV(H941,K941),IF(H941="EI",4,IF(H941="EO",5.2,IF(H941="EQ",3.9,IF(H941="ILF",7.5,IF(H941="EIF",5.4)))))))</f>
        <v/>
      </c>
      <c r="M941" s="112" t="str">
        <f t="shared" si="17"/>
        <v/>
      </c>
      <c r="N941" s="113"/>
    </row>
    <row r="942" spans="2:14">
      <c r="B942" s="105"/>
      <c r="C942" s="106"/>
      <c r="D942" s="107"/>
      <c r="E942" s="65"/>
      <c r="F942" s="64"/>
      <c r="G942" s="64"/>
      <c r="H942" s="64"/>
      <c r="I942" s="70"/>
      <c r="J942" s="70"/>
      <c r="K942" s="110" t="str">
        <f>IF(H942="","",IF($C$29="간이법","",FPR(H942,I942,J942)))</f>
        <v/>
      </c>
      <c r="L942" s="111" t="str">
        <f>IF(H942="","",IF($C$29="상세법",FPV(H942,K942),IF(H942="EI",4,IF(H942="EO",5.2,IF(H942="EQ",3.9,IF(H942="ILF",7.5,IF(H942="EIF",5.4)))))))</f>
        <v/>
      </c>
      <c r="M942" s="112" t="str">
        <f t="shared" si="17"/>
        <v/>
      </c>
      <c r="N942" s="113"/>
    </row>
    <row r="943" spans="2:14">
      <c r="B943" s="105"/>
      <c r="C943" s="106"/>
      <c r="D943" s="107"/>
      <c r="E943" s="65"/>
      <c r="F943" s="64"/>
      <c r="G943" s="64"/>
      <c r="H943" s="64"/>
      <c r="I943" s="70"/>
      <c r="J943" s="70"/>
      <c r="K943" s="110" t="str">
        <f>IF(H943="","",IF($C$29="간이법","",FPR(H943,I943,J943)))</f>
        <v/>
      </c>
      <c r="L943" s="111" t="str">
        <f>IF(H943="","",IF($C$29="상세법",FPV(H943,K943),IF(H943="EI",4,IF(H943="EO",5.2,IF(H943="EQ",3.9,IF(H943="ILF",7.5,IF(H943="EIF",5.4)))))))</f>
        <v/>
      </c>
      <c r="M943" s="112" t="str">
        <f t="shared" si="17"/>
        <v/>
      </c>
      <c r="N943" s="113"/>
    </row>
    <row r="944" spans="2:14">
      <c r="B944" s="105"/>
      <c r="C944" s="106"/>
      <c r="D944" s="107"/>
      <c r="E944" s="65"/>
      <c r="F944" s="64"/>
      <c r="G944" s="64"/>
      <c r="H944" s="64"/>
      <c r="I944" s="70"/>
      <c r="J944" s="70"/>
      <c r="K944" s="110" t="str">
        <f>IF(H944="","",IF($C$29="간이법","",FPR(H944,I944,J944)))</f>
        <v/>
      </c>
      <c r="L944" s="111" t="str">
        <f>IF(H944="","",IF($C$29="상세법",FPV(H944,K944),IF(H944="EI",4,IF(H944="EO",5.2,IF(H944="EQ",3.9,IF(H944="ILF",7.5,IF(H944="EIF",5.4)))))))</f>
        <v/>
      </c>
      <c r="M944" s="112" t="str">
        <f t="shared" si="17"/>
        <v/>
      </c>
      <c r="N944" s="113"/>
    </row>
    <row r="945" spans="2:14">
      <c r="B945" s="105"/>
      <c r="C945" s="106"/>
      <c r="D945" s="107"/>
      <c r="E945" s="65"/>
      <c r="F945" s="64"/>
      <c r="G945" s="64"/>
      <c r="H945" s="64"/>
      <c r="I945" s="70"/>
      <c r="J945" s="70"/>
      <c r="K945" s="110" t="str">
        <f>IF(H945="","",IF($C$29="간이법","",FPR(H945,I945,J945)))</f>
        <v/>
      </c>
      <c r="L945" s="111" t="str">
        <f>IF(H945="","",IF($C$29="상세법",FPV(H945,K945),IF(H945="EI",4,IF(H945="EO",5.2,IF(H945="EQ",3.9,IF(H945="ILF",7.5,IF(H945="EIF",5.4)))))))</f>
        <v/>
      </c>
      <c r="M945" s="112" t="str">
        <f t="shared" si="17"/>
        <v/>
      </c>
      <c r="N945" s="113"/>
    </row>
    <row r="946" spans="2:14">
      <c r="B946" s="105"/>
      <c r="C946" s="106"/>
      <c r="D946" s="107"/>
      <c r="E946" s="65"/>
      <c r="F946" s="64"/>
      <c r="G946" s="64"/>
      <c r="H946" s="64"/>
      <c r="I946" s="70"/>
      <c r="J946" s="70"/>
      <c r="K946" s="110" t="str">
        <f>IF(H946="","",IF($C$29="간이법","",FPR(H946,I946,J946)))</f>
        <v/>
      </c>
      <c r="L946" s="111" t="str">
        <f>IF(H946="","",IF($C$29="상세법",FPV(H946,K946),IF(H946="EI",4,IF(H946="EO",5.2,IF(H946="EQ",3.9,IF(H946="ILF",7.5,IF(H946="EIF",5.4)))))))</f>
        <v/>
      </c>
      <c r="M946" s="112" t="str">
        <f t="shared" si="17"/>
        <v/>
      </c>
      <c r="N946" s="113"/>
    </row>
    <row r="947" spans="2:14">
      <c r="B947" s="105"/>
      <c r="C947" s="106"/>
      <c r="D947" s="107"/>
      <c r="E947" s="65"/>
      <c r="F947" s="64"/>
      <c r="G947" s="64"/>
      <c r="H947" s="64"/>
      <c r="I947" s="70"/>
      <c r="J947" s="70"/>
      <c r="K947" s="110" t="str">
        <f>IF(H947="","",IF($C$29="간이법","",FPR(H947,I947,J947)))</f>
        <v/>
      </c>
      <c r="L947" s="111" t="str">
        <f>IF(H947="","",IF($C$29="상세법",FPV(H947,K947),IF(H947="EI",4,IF(H947="EO",5.2,IF(H947="EQ",3.9,IF(H947="ILF",7.5,IF(H947="EIF",5.4)))))))</f>
        <v/>
      </c>
      <c r="M947" s="112" t="str">
        <f t="shared" si="17"/>
        <v/>
      </c>
      <c r="N947" s="113"/>
    </row>
    <row r="948" spans="2:14">
      <c r="B948" s="105"/>
      <c r="C948" s="106"/>
      <c r="D948" s="107"/>
      <c r="E948" s="65"/>
      <c r="F948" s="64"/>
      <c r="G948" s="64"/>
      <c r="H948" s="64"/>
      <c r="I948" s="70"/>
      <c r="J948" s="70"/>
      <c r="K948" s="110" t="str">
        <f>IF(H948="","",IF($C$29="간이법","",FPR(H948,I948,J948)))</f>
        <v/>
      </c>
      <c r="L948" s="111" t="str">
        <f>IF(H948="","",IF($C$29="상세법",FPV(H948,K948),IF(H948="EI",4,IF(H948="EO",5.2,IF(H948="EQ",3.9,IF(H948="ILF",7.5,IF(H948="EIF",5.4)))))))</f>
        <v/>
      </c>
      <c r="M948" s="112" t="str">
        <f t="shared" si="17"/>
        <v/>
      </c>
      <c r="N948" s="113"/>
    </row>
    <row r="949" spans="2:14">
      <c r="B949" s="105"/>
      <c r="C949" s="106"/>
      <c r="D949" s="107"/>
      <c r="E949" s="65"/>
      <c r="F949" s="64"/>
      <c r="G949" s="64"/>
      <c r="H949" s="64"/>
      <c r="I949" s="70"/>
      <c r="J949" s="70"/>
      <c r="K949" s="110" t="str">
        <f>IF(H949="","",IF($C$29="간이법","",FPR(H949,I949,J949)))</f>
        <v/>
      </c>
      <c r="L949" s="111" t="str">
        <f>IF(H949="","",IF($C$29="상세법",FPV(H949,K949),IF(H949="EI",4,IF(H949="EO",5.2,IF(H949="EQ",3.9,IF(H949="ILF",7.5,IF(H949="EIF",5.4)))))))</f>
        <v/>
      </c>
      <c r="M949" s="112" t="str">
        <f t="shared" si="17"/>
        <v/>
      </c>
      <c r="N949" s="113"/>
    </row>
    <row r="950" spans="2:14">
      <c r="B950" s="105"/>
      <c r="C950" s="106"/>
      <c r="D950" s="107"/>
      <c r="E950" s="65"/>
      <c r="F950" s="64"/>
      <c r="G950" s="64"/>
      <c r="H950" s="64"/>
      <c r="I950" s="70"/>
      <c r="J950" s="70"/>
      <c r="K950" s="110" t="str">
        <f>IF(H950="","",IF($C$29="간이법","",FPR(H950,I950,J950)))</f>
        <v/>
      </c>
      <c r="L950" s="111" t="str">
        <f>IF(H950="","",IF($C$29="상세법",FPV(H950,K950),IF(H950="EI",4,IF(H950="EO",5.2,IF(H950="EQ",3.9,IF(H950="ILF",7.5,IF(H950="EIF",5.4)))))))</f>
        <v/>
      </c>
      <c r="M950" s="112" t="str">
        <f t="shared" si="17"/>
        <v/>
      </c>
      <c r="N950" s="113"/>
    </row>
    <row r="951" spans="2:14">
      <c r="B951" s="105"/>
      <c r="C951" s="106"/>
      <c r="D951" s="107"/>
      <c r="E951" s="65"/>
      <c r="F951" s="64"/>
      <c r="G951" s="64"/>
      <c r="H951" s="64"/>
      <c r="I951" s="70"/>
      <c r="J951" s="70"/>
      <c r="K951" s="110" t="str">
        <f>IF(H951="","",IF($C$29="간이법","",FPR(H951,I951,J951)))</f>
        <v/>
      </c>
      <c r="L951" s="111" t="str">
        <f>IF(H951="","",IF($C$29="상세법",FPV(H951,K951),IF(H951="EI",4,IF(H951="EO",5.2,IF(H951="EQ",3.9,IF(H951="ILF",7.5,IF(H951="EIF",5.4)))))))</f>
        <v/>
      </c>
      <c r="M951" s="112" t="str">
        <f t="shared" si="17"/>
        <v/>
      </c>
      <c r="N951" s="113"/>
    </row>
    <row r="952" spans="2:14">
      <c r="B952" s="105"/>
      <c r="C952" s="106"/>
      <c r="D952" s="107"/>
      <c r="E952" s="65"/>
      <c r="F952" s="64"/>
      <c r="G952" s="64"/>
      <c r="H952" s="64"/>
      <c r="I952" s="70"/>
      <c r="J952" s="70"/>
      <c r="K952" s="110" t="str">
        <f>IF(H952="","",IF($C$29="간이법","",FPR(H952,I952,J952)))</f>
        <v/>
      </c>
      <c r="L952" s="111" t="str">
        <f>IF(H952="","",IF($C$29="상세법",FPV(H952,K952),IF(H952="EI",4,IF(H952="EO",5.2,IF(H952="EQ",3.9,IF(H952="ILF",7.5,IF(H952="EIF",5.4)))))))</f>
        <v/>
      </c>
      <c r="M952" s="112" t="str">
        <f t="shared" si="17"/>
        <v/>
      </c>
      <c r="N952" s="113"/>
    </row>
    <row r="953" spans="2:14">
      <c r="B953" s="105"/>
      <c r="C953" s="106"/>
      <c r="D953" s="107"/>
      <c r="E953" s="65"/>
      <c r="F953" s="64"/>
      <c r="G953" s="64"/>
      <c r="H953" s="64"/>
      <c r="I953" s="70"/>
      <c r="J953" s="70"/>
      <c r="K953" s="110" t="str">
        <f>IF(H953="","",IF($C$29="간이법","",FPR(H953,I953,J953)))</f>
        <v/>
      </c>
      <c r="L953" s="111" t="str">
        <f>IF(H953="","",IF($C$29="상세법",FPV(H953,K953),IF(H953="EI",4,IF(H953="EO",5.2,IF(H953="EQ",3.9,IF(H953="ILF",7.5,IF(H953="EIF",5.4)))))))</f>
        <v/>
      </c>
      <c r="M953" s="112" t="str">
        <f t="shared" ref="M953:M1016" si="18">IF(L953="","",L953*IF(G953="상",0.7,IF(G953="중",0.5,IF(G953="하",0.2,1))))</f>
        <v/>
      </c>
      <c r="N953" s="113"/>
    </row>
    <row r="954" spans="2:14">
      <c r="B954" s="105"/>
      <c r="C954" s="106"/>
      <c r="D954" s="107"/>
      <c r="E954" s="65"/>
      <c r="F954" s="64"/>
      <c r="G954" s="64"/>
      <c r="H954" s="64"/>
      <c r="I954" s="70"/>
      <c r="J954" s="70"/>
      <c r="K954" s="110" t="str">
        <f>IF(H954="","",IF($C$29="간이법","",FPR(H954,I954,J954)))</f>
        <v/>
      </c>
      <c r="L954" s="111" t="str">
        <f>IF(H954="","",IF($C$29="상세법",FPV(H954,K954),IF(H954="EI",4,IF(H954="EO",5.2,IF(H954="EQ",3.9,IF(H954="ILF",7.5,IF(H954="EIF",5.4)))))))</f>
        <v/>
      </c>
      <c r="M954" s="112" t="str">
        <f t="shared" si="18"/>
        <v/>
      </c>
      <c r="N954" s="113"/>
    </row>
    <row r="955" spans="2:14">
      <c r="B955" s="105"/>
      <c r="C955" s="106"/>
      <c r="D955" s="107"/>
      <c r="E955" s="65"/>
      <c r="F955" s="64"/>
      <c r="G955" s="64"/>
      <c r="H955" s="64"/>
      <c r="I955" s="70"/>
      <c r="J955" s="70"/>
      <c r="K955" s="110" t="str">
        <f>IF(H955="","",IF($C$29="간이법","",FPR(H955,I955,J955)))</f>
        <v/>
      </c>
      <c r="L955" s="111" t="str">
        <f>IF(H955="","",IF($C$29="상세법",FPV(H955,K955),IF(H955="EI",4,IF(H955="EO",5.2,IF(H955="EQ",3.9,IF(H955="ILF",7.5,IF(H955="EIF",5.4)))))))</f>
        <v/>
      </c>
      <c r="M955" s="112" t="str">
        <f t="shared" si="18"/>
        <v/>
      </c>
      <c r="N955" s="113"/>
    </row>
    <row r="956" spans="2:14">
      <c r="B956" s="105"/>
      <c r="C956" s="106"/>
      <c r="D956" s="107"/>
      <c r="E956" s="65"/>
      <c r="F956" s="64"/>
      <c r="G956" s="64"/>
      <c r="H956" s="64"/>
      <c r="I956" s="70"/>
      <c r="J956" s="70"/>
      <c r="K956" s="110" t="str">
        <f>IF(H956="","",IF($C$29="간이법","",FPR(H956,I956,J956)))</f>
        <v/>
      </c>
      <c r="L956" s="111" t="str">
        <f>IF(H956="","",IF($C$29="상세법",FPV(H956,K956),IF(H956="EI",4,IF(H956="EO",5.2,IF(H956="EQ",3.9,IF(H956="ILF",7.5,IF(H956="EIF",5.4)))))))</f>
        <v/>
      </c>
      <c r="M956" s="112" t="str">
        <f t="shared" si="18"/>
        <v/>
      </c>
      <c r="N956" s="113"/>
    </row>
    <row r="957" spans="2:14">
      <c r="B957" s="105"/>
      <c r="C957" s="106"/>
      <c r="D957" s="107"/>
      <c r="E957" s="65"/>
      <c r="F957" s="64"/>
      <c r="G957" s="64"/>
      <c r="H957" s="64"/>
      <c r="I957" s="70"/>
      <c r="J957" s="70"/>
      <c r="K957" s="110" t="str">
        <f>IF(H957="","",IF($C$29="간이법","",FPR(H957,I957,J957)))</f>
        <v/>
      </c>
      <c r="L957" s="111" t="str">
        <f>IF(H957="","",IF($C$29="상세법",FPV(H957,K957),IF(H957="EI",4,IF(H957="EO",5.2,IF(H957="EQ",3.9,IF(H957="ILF",7.5,IF(H957="EIF",5.4)))))))</f>
        <v/>
      </c>
      <c r="M957" s="112" t="str">
        <f t="shared" si="18"/>
        <v/>
      </c>
      <c r="N957" s="113"/>
    </row>
    <row r="958" spans="2:14">
      <c r="B958" s="105"/>
      <c r="C958" s="106"/>
      <c r="D958" s="107"/>
      <c r="E958" s="65"/>
      <c r="F958" s="64"/>
      <c r="G958" s="64"/>
      <c r="H958" s="64"/>
      <c r="I958" s="70"/>
      <c r="J958" s="70"/>
      <c r="K958" s="110" t="str">
        <f>IF(H958="","",IF($C$29="간이법","",FPR(H958,I958,J958)))</f>
        <v/>
      </c>
      <c r="L958" s="111" t="str">
        <f>IF(H958="","",IF($C$29="상세법",FPV(H958,K958),IF(H958="EI",4,IF(H958="EO",5.2,IF(H958="EQ",3.9,IF(H958="ILF",7.5,IF(H958="EIF",5.4)))))))</f>
        <v/>
      </c>
      <c r="M958" s="112" t="str">
        <f t="shared" si="18"/>
        <v/>
      </c>
      <c r="N958" s="113"/>
    </row>
    <row r="959" spans="2:14">
      <c r="B959" s="105"/>
      <c r="C959" s="106"/>
      <c r="D959" s="107"/>
      <c r="E959" s="65"/>
      <c r="F959" s="64"/>
      <c r="G959" s="64"/>
      <c r="H959" s="64"/>
      <c r="I959" s="70"/>
      <c r="J959" s="70"/>
      <c r="K959" s="110" t="str">
        <f>IF(H959="","",IF($C$29="간이법","",FPR(H959,I959,J959)))</f>
        <v/>
      </c>
      <c r="L959" s="111" t="str">
        <f>IF(H959="","",IF($C$29="상세법",FPV(H959,K959),IF(H959="EI",4,IF(H959="EO",5.2,IF(H959="EQ",3.9,IF(H959="ILF",7.5,IF(H959="EIF",5.4)))))))</f>
        <v/>
      </c>
      <c r="M959" s="112" t="str">
        <f t="shared" si="18"/>
        <v/>
      </c>
      <c r="N959" s="113"/>
    </row>
    <row r="960" spans="2:14">
      <c r="B960" s="105"/>
      <c r="C960" s="106"/>
      <c r="D960" s="107"/>
      <c r="E960" s="65"/>
      <c r="F960" s="64"/>
      <c r="G960" s="64"/>
      <c r="H960" s="64"/>
      <c r="I960" s="70"/>
      <c r="J960" s="70"/>
      <c r="K960" s="110" t="str">
        <f>IF(H960="","",IF($C$29="간이법","",FPR(H960,I960,J960)))</f>
        <v/>
      </c>
      <c r="L960" s="111" t="str">
        <f>IF(H960="","",IF($C$29="상세법",FPV(H960,K960),IF(H960="EI",4,IF(H960="EO",5.2,IF(H960="EQ",3.9,IF(H960="ILF",7.5,IF(H960="EIF",5.4)))))))</f>
        <v/>
      </c>
      <c r="M960" s="112" t="str">
        <f t="shared" si="18"/>
        <v/>
      </c>
      <c r="N960" s="113"/>
    </row>
    <row r="961" spans="2:14">
      <c r="B961" s="105"/>
      <c r="C961" s="106"/>
      <c r="D961" s="107"/>
      <c r="E961" s="65"/>
      <c r="F961" s="64"/>
      <c r="G961" s="64"/>
      <c r="H961" s="64"/>
      <c r="I961" s="70"/>
      <c r="J961" s="70"/>
      <c r="K961" s="110" t="str">
        <f>IF(H961="","",IF($C$29="간이법","",FPR(H961,I961,J961)))</f>
        <v/>
      </c>
      <c r="L961" s="111" t="str">
        <f>IF(H961="","",IF($C$29="상세법",FPV(H961,K961),IF(H961="EI",4,IF(H961="EO",5.2,IF(H961="EQ",3.9,IF(H961="ILF",7.5,IF(H961="EIF",5.4)))))))</f>
        <v/>
      </c>
      <c r="M961" s="112" t="str">
        <f t="shared" si="18"/>
        <v/>
      </c>
      <c r="N961" s="113"/>
    </row>
    <row r="962" spans="2:14">
      <c r="B962" s="105"/>
      <c r="C962" s="106"/>
      <c r="D962" s="107"/>
      <c r="E962" s="65"/>
      <c r="F962" s="64"/>
      <c r="G962" s="64"/>
      <c r="H962" s="64"/>
      <c r="I962" s="70"/>
      <c r="J962" s="70"/>
      <c r="K962" s="110" t="str">
        <f>IF(H962="","",IF($C$29="간이법","",FPR(H962,I962,J962)))</f>
        <v/>
      </c>
      <c r="L962" s="111" t="str">
        <f>IF(H962="","",IF($C$29="상세법",FPV(H962,K962),IF(H962="EI",4,IF(H962="EO",5.2,IF(H962="EQ",3.9,IF(H962="ILF",7.5,IF(H962="EIF",5.4)))))))</f>
        <v/>
      </c>
      <c r="M962" s="112" t="str">
        <f t="shared" si="18"/>
        <v/>
      </c>
      <c r="N962" s="113"/>
    </row>
    <row r="963" spans="2:14">
      <c r="B963" s="105"/>
      <c r="C963" s="106"/>
      <c r="D963" s="107"/>
      <c r="E963" s="65"/>
      <c r="F963" s="64"/>
      <c r="G963" s="64"/>
      <c r="H963" s="64"/>
      <c r="I963" s="70"/>
      <c r="J963" s="70"/>
      <c r="K963" s="110" t="str">
        <f>IF(H963="","",IF($C$29="간이법","",FPR(H963,I963,J963)))</f>
        <v/>
      </c>
      <c r="L963" s="111" t="str">
        <f>IF(H963="","",IF($C$29="상세법",FPV(H963,K963),IF(H963="EI",4,IF(H963="EO",5.2,IF(H963="EQ",3.9,IF(H963="ILF",7.5,IF(H963="EIF",5.4)))))))</f>
        <v/>
      </c>
      <c r="M963" s="112" t="str">
        <f t="shared" si="18"/>
        <v/>
      </c>
      <c r="N963" s="113"/>
    </row>
    <row r="964" spans="2:14">
      <c r="B964" s="105"/>
      <c r="C964" s="106"/>
      <c r="D964" s="107"/>
      <c r="E964" s="65"/>
      <c r="F964" s="64"/>
      <c r="G964" s="64"/>
      <c r="H964" s="64"/>
      <c r="I964" s="70"/>
      <c r="J964" s="70"/>
      <c r="K964" s="110" t="str">
        <f>IF(H964="","",IF($C$29="간이법","",FPR(H964,I964,J964)))</f>
        <v/>
      </c>
      <c r="L964" s="111" t="str">
        <f>IF(H964="","",IF($C$29="상세법",FPV(H964,K964),IF(H964="EI",4,IF(H964="EO",5.2,IF(H964="EQ",3.9,IF(H964="ILF",7.5,IF(H964="EIF",5.4)))))))</f>
        <v/>
      </c>
      <c r="M964" s="112" t="str">
        <f t="shared" si="18"/>
        <v/>
      </c>
      <c r="N964" s="113"/>
    </row>
    <row r="965" spans="2:14">
      <c r="B965" s="105"/>
      <c r="C965" s="106"/>
      <c r="D965" s="107"/>
      <c r="E965" s="65"/>
      <c r="F965" s="64"/>
      <c r="G965" s="64"/>
      <c r="H965" s="64"/>
      <c r="I965" s="70"/>
      <c r="J965" s="70"/>
      <c r="K965" s="110" t="str">
        <f>IF(H965="","",IF($C$29="간이법","",FPR(H965,I965,J965)))</f>
        <v/>
      </c>
      <c r="L965" s="111" t="str">
        <f>IF(H965="","",IF($C$29="상세법",FPV(H965,K965),IF(H965="EI",4,IF(H965="EO",5.2,IF(H965="EQ",3.9,IF(H965="ILF",7.5,IF(H965="EIF",5.4)))))))</f>
        <v/>
      </c>
      <c r="M965" s="112" t="str">
        <f t="shared" si="18"/>
        <v/>
      </c>
      <c r="N965" s="113"/>
    </row>
    <row r="966" spans="2:14">
      <c r="B966" s="105"/>
      <c r="C966" s="106"/>
      <c r="D966" s="107"/>
      <c r="E966" s="65"/>
      <c r="F966" s="64"/>
      <c r="G966" s="64"/>
      <c r="H966" s="64"/>
      <c r="I966" s="70"/>
      <c r="J966" s="70"/>
      <c r="K966" s="110" t="str">
        <f>IF(H966="","",IF($C$29="간이법","",FPR(H966,I966,J966)))</f>
        <v/>
      </c>
      <c r="L966" s="111" t="str">
        <f>IF(H966="","",IF($C$29="상세법",FPV(H966,K966),IF(H966="EI",4,IF(H966="EO",5.2,IF(H966="EQ",3.9,IF(H966="ILF",7.5,IF(H966="EIF",5.4)))))))</f>
        <v/>
      </c>
      <c r="M966" s="112" t="str">
        <f t="shared" si="18"/>
        <v/>
      </c>
      <c r="N966" s="113"/>
    </row>
    <row r="967" spans="2:14">
      <c r="B967" s="105"/>
      <c r="C967" s="106"/>
      <c r="D967" s="107"/>
      <c r="E967" s="65"/>
      <c r="F967" s="64"/>
      <c r="G967" s="64"/>
      <c r="H967" s="64"/>
      <c r="I967" s="70"/>
      <c r="J967" s="70"/>
      <c r="K967" s="110" t="str">
        <f>IF(H967="","",IF($C$29="간이법","",FPR(H967,I967,J967)))</f>
        <v/>
      </c>
      <c r="L967" s="111" t="str">
        <f>IF(H967="","",IF($C$29="상세법",FPV(H967,K967),IF(H967="EI",4,IF(H967="EO",5.2,IF(H967="EQ",3.9,IF(H967="ILF",7.5,IF(H967="EIF",5.4)))))))</f>
        <v/>
      </c>
      <c r="M967" s="112" t="str">
        <f t="shared" si="18"/>
        <v/>
      </c>
      <c r="N967" s="113"/>
    </row>
    <row r="968" spans="2:14">
      <c r="B968" s="105"/>
      <c r="C968" s="106"/>
      <c r="D968" s="107"/>
      <c r="E968" s="65"/>
      <c r="F968" s="64"/>
      <c r="G968" s="64"/>
      <c r="H968" s="64"/>
      <c r="I968" s="70"/>
      <c r="J968" s="70"/>
      <c r="K968" s="110" t="str">
        <f>IF(H968="","",IF($C$29="간이법","",FPR(H968,I968,J968)))</f>
        <v/>
      </c>
      <c r="L968" s="111" t="str">
        <f>IF(H968="","",IF($C$29="상세법",FPV(H968,K968),IF(H968="EI",4,IF(H968="EO",5.2,IF(H968="EQ",3.9,IF(H968="ILF",7.5,IF(H968="EIF",5.4)))))))</f>
        <v/>
      </c>
      <c r="M968" s="112" t="str">
        <f t="shared" si="18"/>
        <v/>
      </c>
      <c r="N968" s="113"/>
    </row>
    <row r="969" spans="2:14">
      <c r="B969" s="105"/>
      <c r="C969" s="106"/>
      <c r="D969" s="107"/>
      <c r="E969" s="65"/>
      <c r="F969" s="64"/>
      <c r="G969" s="64"/>
      <c r="H969" s="64"/>
      <c r="I969" s="70"/>
      <c r="J969" s="70"/>
      <c r="K969" s="110" t="str">
        <f>IF(H969="","",IF($C$29="간이법","",FPR(H969,I969,J969)))</f>
        <v/>
      </c>
      <c r="L969" s="111" t="str">
        <f>IF(H969="","",IF($C$29="상세법",FPV(H969,K969),IF(H969="EI",4,IF(H969="EO",5.2,IF(H969="EQ",3.9,IF(H969="ILF",7.5,IF(H969="EIF",5.4)))))))</f>
        <v/>
      </c>
      <c r="M969" s="112" t="str">
        <f t="shared" si="18"/>
        <v/>
      </c>
      <c r="N969" s="113"/>
    </row>
    <row r="970" spans="2:14">
      <c r="B970" s="105"/>
      <c r="C970" s="106"/>
      <c r="D970" s="107"/>
      <c r="E970" s="65"/>
      <c r="F970" s="64"/>
      <c r="G970" s="64"/>
      <c r="H970" s="64"/>
      <c r="I970" s="70"/>
      <c r="J970" s="70"/>
      <c r="K970" s="110" t="str">
        <f>IF(H970="","",IF($C$29="간이법","",FPR(H970,I970,J970)))</f>
        <v/>
      </c>
      <c r="L970" s="111" t="str">
        <f>IF(H970="","",IF($C$29="상세법",FPV(H970,K970),IF(H970="EI",4,IF(H970="EO",5.2,IF(H970="EQ",3.9,IF(H970="ILF",7.5,IF(H970="EIF",5.4)))))))</f>
        <v/>
      </c>
      <c r="M970" s="112" t="str">
        <f t="shared" si="18"/>
        <v/>
      </c>
      <c r="N970" s="113"/>
    </row>
    <row r="971" spans="2:14">
      <c r="B971" s="105"/>
      <c r="C971" s="106"/>
      <c r="D971" s="107"/>
      <c r="E971" s="65"/>
      <c r="F971" s="64"/>
      <c r="G971" s="64"/>
      <c r="H971" s="64"/>
      <c r="I971" s="70"/>
      <c r="J971" s="70"/>
      <c r="K971" s="110" t="str">
        <f>IF(H971="","",IF($C$29="간이법","",FPR(H971,I971,J971)))</f>
        <v/>
      </c>
      <c r="L971" s="111" t="str">
        <f>IF(H971="","",IF($C$29="상세법",FPV(H971,K971),IF(H971="EI",4,IF(H971="EO",5.2,IF(H971="EQ",3.9,IF(H971="ILF",7.5,IF(H971="EIF",5.4)))))))</f>
        <v/>
      </c>
      <c r="M971" s="112" t="str">
        <f t="shared" si="18"/>
        <v/>
      </c>
      <c r="N971" s="113"/>
    </row>
    <row r="972" spans="2:14">
      <c r="B972" s="105"/>
      <c r="C972" s="106"/>
      <c r="D972" s="107"/>
      <c r="E972" s="65"/>
      <c r="F972" s="64"/>
      <c r="G972" s="64"/>
      <c r="H972" s="64"/>
      <c r="I972" s="70"/>
      <c r="J972" s="70"/>
      <c r="K972" s="110" t="str">
        <f>IF(H972="","",IF($C$29="간이법","",FPR(H972,I972,J972)))</f>
        <v/>
      </c>
      <c r="L972" s="111" t="str">
        <f>IF(H972="","",IF($C$29="상세법",FPV(H972,K972),IF(H972="EI",4,IF(H972="EO",5.2,IF(H972="EQ",3.9,IF(H972="ILF",7.5,IF(H972="EIF",5.4)))))))</f>
        <v/>
      </c>
      <c r="M972" s="112" t="str">
        <f t="shared" si="18"/>
        <v/>
      </c>
      <c r="N972" s="113"/>
    </row>
    <row r="973" spans="2:14">
      <c r="B973" s="105"/>
      <c r="C973" s="106"/>
      <c r="D973" s="107"/>
      <c r="E973" s="65"/>
      <c r="F973" s="64"/>
      <c r="G973" s="64"/>
      <c r="H973" s="64"/>
      <c r="I973" s="70"/>
      <c r="J973" s="70"/>
      <c r="K973" s="110" t="str">
        <f>IF(H973="","",IF($C$29="간이법","",FPR(H973,I973,J973)))</f>
        <v/>
      </c>
      <c r="L973" s="111" t="str">
        <f>IF(H973="","",IF($C$29="상세법",FPV(H973,K973),IF(H973="EI",4,IF(H973="EO",5.2,IF(H973="EQ",3.9,IF(H973="ILF",7.5,IF(H973="EIF",5.4)))))))</f>
        <v/>
      </c>
      <c r="M973" s="112" t="str">
        <f t="shared" si="18"/>
        <v/>
      </c>
      <c r="N973" s="113"/>
    </row>
    <row r="974" spans="2:14">
      <c r="B974" s="105"/>
      <c r="C974" s="106"/>
      <c r="D974" s="107"/>
      <c r="E974" s="65"/>
      <c r="F974" s="64"/>
      <c r="G974" s="64"/>
      <c r="H974" s="64"/>
      <c r="I974" s="70"/>
      <c r="J974" s="70"/>
      <c r="K974" s="110" t="str">
        <f>IF(H974="","",IF($C$29="간이법","",FPR(H974,I974,J974)))</f>
        <v/>
      </c>
      <c r="L974" s="111" t="str">
        <f>IF(H974="","",IF($C$29="상세법",FPV(H974,K974),IF(H974="EI",4,IF(H974="EO",5.2,IF(H974="EQ",3.9,IF(H974="ILF",7.5,IF(H974="EIF",5.4)))))))</f>
        <v/>
      </c>
      <c r="M974" s="112" t="str">
        <f t="shared" si="18"/>
        <v/>
      </c>
      <c r="N974" s="113"/>
    </row>
    <row r="975" spans="2:14">
      <c r="B975" s="105"/>
      <c r="C975" s="106"/>
      <c r="D975" s="107"/>
      <c r="E975" s="65"/>
      <c r="F975" s="64"/>
      <c r="G975" s="64"/>
      <c r="H975" s="64"/>
      <c r="I975" s="70"/>
      <c r="J975" s="70"/>
      <c r="K975" s="110" t="str">
        <f>IF(H975="","",IF($C$29="간이법","",FPR(H975,I975,J975)))</f>
        <v/>
      </c>
      <c r="L975" s="111" t="str">
        <f>IF(H975="","",IF($C$29="상세법",FPV(H975,K975),IF(H975="EI",4,IF(H975="EO",5.2,IF(H975="EQ",3.9,IF(H975="ILF",7.5,IF(H975="EIF",5.4)))))))</f>
        <v/>
      </c>
      <c r="M975" s="112" t="str">
        <f t="shared" si="18"/>
        <v/>
      </c>
      <c r="N975" s="113"/>
    </row>
    <row r="976" spans="2:14">
      <c r="B976" s="105"/>
      <c r="C976" s="106"/>
      <c r="D976" s="107"/>
      <c r="E976" s="65"/>
      <c r="F976" s="64"/>
      <c r="G976" s="64"/>
      <c r="H976" s="64"/>
      <c r="I976" s="70"/>
      <c r="J976" s="70"/>
      <c r="K976" s="110" t="str">
        <f>IF(H976="","",IF($C$29="간이법","",FPR(H976,I976,J976)))</f>
        <v/>
      </c>
      <c r="L976" s="111" t="str">
        <f>IF(H976="","",IF($C$29="상세법",FPV(H976,K976),IF(H976="EI",4,IF(H976="EO",5.2,IF(H976="EQ",3.9,IF(H976="ILF",7.5,IF(H976="EIF",5.4)))))))</f>
        <v/>
      </c>
      <c r="M976" s="112" t="str">
        <f t="shared" si="18"/>
        <v/>
      </c>
      <c r="N976" s="113"/>
    </row>
    <row r="977" spans="2:14">
      <c r="B977" s="105"/>
      <c r="C977" s="106"/>
      <c r="D977" s="107"/>
      <c r="E977" s="65"/>
      <c r="F977" s="64"/>
      <c r="G977" s="64"/>
      <c r="H977" s="64"/>
      <c r="I977" s="70"/>
      <c r="J977" s="70"/>
      <c r="K977" s="110" t="str">
        <f>IF(H977="","",IF($C$29="간이법","",FPR(H977,I977,J977)))</f>
        <v/>
      </c>
      <c r="L977" s="111" t="str">
        <f>IF(H977="","",IF($C$29="상세법",FPV(H977,K977),IF(H977="EI",4,IF(H977="EO",5.2,IF(H977="EQ",3.9,IF(H977="ILF",7.5,IF(H977="EIF",5.4)))))))</f>
        <v/>
      </c>
      <c r="M977" s="112" t="str">
        <f t="shared" si="18"/>
        <v/>
      </c>
      <c r="N977" s="113"/>
    </row>
    <row r="978" spans="2:14">
      <c r="B978" s="105"/>
      <c r="C978" s="106"/>
      <c r="D978" s="107"/>
      <c r="E978" s="65"/>
      <c r="F978" s="64"/>
      <c r="G978" s="64"/>
      <c r="H978" s="64"/>
      <c r="I978" s="70"/>
      <c r="J978" s="70"/>
      <c r="K978" s="110" t="str">
        <f>IF(H978="","",IF($C$29="간이법","",FPR(H978,I978,J978)))</f>
        <v/>
      </c>
      <c r="L978" s="111" t="str">
        <f>IF(H978="","",IF($C$29="상세법",FPV(H978,K978),IF(H978="EI",4,IF(H978="EO",5.2,IF(H978="EQ",3.9,IF(H978="ILF",7.5,IF(H978="EIF",5.4)))))))</f>
        <v/>
      </c>
      <c r="M978" s="112" t="str">
        <f t="shared" si="18"/>
        <v/>
      </c>
      <c r="N978" s="113"/>
    </row>
    <row r="979" spans="2:14">
      <c r="B979" s="105"/>
      <c r="C979" s="106"/>
      <c r="D979" s="107"/>
      <c r="E979" s="65"/>
      <c r="F979" s="64"/>
      <c r="G979" s="64"/>
      <c r="H979" s="64"/>
      <c r="I979" s="70"/>
      <c r="J979" s="70"/>
      <c r="K979" s="110" t="str">
        <f>IF(H979="","",IF($C$29="간이법","",FPR(H979,I979,J979)))</f>
        <v/>
      </c>
      <c r="L979" s="111" t="str">
        <f>IF(H979="","",IF($C$29="상세법",FPV(H979,K979),IF(H979="EI",4,IF(H979="EO",5.2,IF(H979="EQ",3.9,IF(H979="ILF",7.5,IF(H979="EIF",5.4)))))))</f>
        <v/>
      </c>
      <c r="M979" s="112" t="str">
        <f t="shared" si="18"/>
        <v/>
      </c>
      <c r="N979" s="113"/>
    </row>
    <row r="980" spans="2:14">
      <c r="B980" s="105"/>
      <c r="C980" s="106"/>
      <c r="D980" s="107"/>
      <c r="E980" s="65"/>
      <c r="F980" s="64"/>
      <c r="G980" s="64"/>
      <c r="H980" s="64"/>
      <c r="I980" s="70"/>
      <c r="J980" s="70"/>
      <c r="K980" s="110" t="str">
        <f>IF(H980="","",IF($C$29="간이법","",FPR(H980,I980,J980)))</f>
        <v/>
      </c>
      <c r="L980" s="111" t="str">
        <f>IF(H980="","",IF($C$29="상세법",FPV(H980,K980),IF(H980="EI",4,IF(H980="EO",5.2,IF(H980="EQ",3.9,IF(H980="ILF",7.5,IF(H980="EIF",5.4)))))))</f>
        <v/>
      </c>
      <c r="M980" s="112" t="str">
        <f t="shared" si="18"/>
        <v/>
      </c>
      <c r="N980" s="113"/>
    </row>
    <row r="981" spans="2:14">
      <c r="B981" s="105"/>
      <c r="C981" s="106"/>
      <c r="D981" s="107"/>
      <c r="E981" s="65"/>
      <c r="F981" s="64"/>
      <c r="G981" s="64"/>
      <c r="H981" s="64"/>
      <c r="I981" s="70"/>
      <c r="J981" s="70"/>
      <c r="K981" s="110" t="str">
        <f>IF(H981="","",IF($C$29="간이법","",FPR(H981,I981,J981)))</f>
        <v/>
      </c>
      <c r="L981" s="111" t="str">
        <f>IF(H981="","",IF($C$29="상세법",FPV(H981,K981),IF(H981="EI",4,IF(H981="EO",5.2,IF(H981="EQ",3.9,IF(H981="ILF",7.5,IF(H981="EIF",5.4)))))))</f>
        <v/>
      </c>
      <c r="M981" s="112" t="str">
        <f t="shared" si="18"/>
        <v/>
      </c>
      <c r="N981" s="113"/>
    </row>
    <row r="982" spans="2:14">
      <c r="B982" s="105"/>
      <c r="C982" s="106"/>
      <c r="D982" s="107"/>
      <c r="E982" s="65"/>
      <c r="F982" s="64"/>
      <c r="G982" s="64"/>
      <c r="H982" s="64"/>
      <c r="I982" s="70"/>
      <c r="J982" s="70"/>
      <c r="K982" s="110" t="str">
        <f>IF(H982="","",IF($C$29="간이법","",FPR(H982,I982,J982)))</f>
        <v/>
      </c>
      <c r="L982" s="111" t="str">
        <f>IF(H982="","",IF($C$29="상세법",FPV(H982,K982),IF(H982="EI",4,IF(H982="EO",5.2,IF(H982="EQ",3.9,IF(H982="ILF",7.5,IF(H982="EIF",5.4)))))))</f>
        <v/>
      </c>
      <c r="M982" s="112" t="str">
        <f t="shared" si="18"/>
        <v/>
      </c>
      <c r="N982" s="113"/>
    </row>
    <row r="983" spans="2:14">
      <c r="B983" s="105"/>
      <c r="C983" s="106"/>
      <c r="D983" s="107"/>
      <c r="E983" s="65"/>
      <c r="F983" s="64"/>
      <c r="G983" s="64"/>
      <c r="H983" s="64"/>
      <c r="I983" s="70"/>
      <c r="J983" s="70"/>
      <c r="K983" s="110" t="str">
        <f>IF(H983="","",IF($C$29="간이법","",FPR(H983,I983,J983)))</f>
        <v/>
      </c>
      <c r="L983" s="111" t="str">
        <f>IF(H983="","",IF($C$29="상세법",FPV(H983,K983),IF(H983="EI",4,IF(H983="EO",5.2,IF(H983="EQ",3.9,IF(H983="ILF",7.5,IF(H983="EIF",5.4)))))))</f>
        <v/>
      </c>
      <c r="M983" s="112" t="str">
        <f t="shared" si="18"/>
        <v/>
      </c>
      <c r="N983" s="113"/>
    </row>
    <row r="984" spans="2:14">
      <c r="B984" s="105"/>
      <c r="C984" s="106"/>
      <c r="D984" s="107"/>
      <c r="E984" s="65"/>
      <c r="F984" s="64"/>
      <c r="G984" s="64"/>
      <c r="H984" s="64"/>
      <c r="I984" s="70"/>
      <c r="J984" s="70"/>
      <c r="K984" s="110" t="str">
        <f>IF(H984="","",IF($C$29="간이법","",FPR(H984,I984,J984)))</f>
        <v/>
      </c>
      <c r="L984" s="111" t="str">
        <f>IF(H984="","",IF($C$29="상세법",FPV(H984,K984),IF(H984="EI",4,IF(H984="EO",5.2,IF(H984="EQ",3.9,IF(H984="ILF",7.5,IF(H984="EIF",5.4)))))))</f>
        <v/>
      </c>
      <c r="M984" s="112" t="str">
        <f t="shared" si="18"/>
        <v/>
      </c>
      <c r="N984" s="113"/>
    </row>
    <row r="985" spans="2:14">
      <c r="B985" s="105"/>
      <c r="C985" s="106"/>
      <c r="D985" s="107"/>
      <c r="E985" s="65"/>
      <c r="F985" s="64"/>
      <c r="G985" s="64"/>
      <c r="H985" s="64"/>
      <c r="I985" s="70"/>
      <c r="J985" s="70"/>
      <c r="K985" s="110" t="str">
        <f>IF(H985="","",IF($C$29="간이법","",FPR(H985,I985,J985)))</f>
        <v/>
      </c>
      <c r="L985" s="111" t="str">
        <f>IF(H985="","",IF($C$29="상세법",FPV(H985,K985),IF(H985="EI",4,IF(H985="EO",5.2,IF(H985="EQ",3.9,IF(H985="ILF",7.5,IF(H985="EIF",5.4)))))))</f>
        <v/>
      </c>
      <c r="M985" s="112" t="str">
        <f t="shared" si="18"/>
        <v/>
      </c>
      <c r="N985" s="113"/>
    </row>
    <row r="986" spans="2:14">
      <c r="B986" s="105"/>
      <c r="C986" s="106"/>
      <c r="D986" s="107"/>
      <c r="E986" s="65"/>
      <c r="F986" s="64"/>
      <c r="G986" s="64"/>
      <c r="H986" s="64"/>
      <c r="I986" s="70"/>
      <c r="J986" s="70"/>
      <c r="K986" s="110" t="str">
        <f>IF(H986="","",IF($C$29="간이법","",FPR(H986,I986,J986)))</f>
        <v/>
      </c>
      <c r="L986" s="111" t="str">
        <f>IF(H986="","",IF($C$29="상세법",FPV(H986,K986),IF(H986="EI",4,IF(H986="EO",5.2,IF(H986="EQ",3.9,IF(H986="ILF",7.5,IF(H986="EIF",5.4)))))))</f>
        <v/>
      </c>
      <c r="M986" s="112" t="str">
        <f t="shared" si="18"/>
        <v/>
      </c>
      <c r="N986" s="113"/>
    </row>
    <row r="987" spans="2:14">
      <c r="B987" s="105"/>
      <c r="C987" s="106"/>
      <c r="D987" s="107"/>
      <c r="E987" s="65"/>
      <c r="F987" s="64"/>
      <c r="G987" s="64"/>
      <c r="H987" s="64"/>
      <c r="I987" s="70"/>
      <c r="J987" s="70"/>
      <c r="K987" s="110" t="str">
        <f>IF(H987="","",IF($C$29="간이법","",FPR(H987,I987,J987)))</f>
        <v/>
      </c>
      <c r="L987" s="111" t="str">
        <f>IF(H987="","",IF($C$29="상세법",FPV(H987,K987),IF(H987="EI",4,IF(H987="EO",5.2,IF(H987="EQ",3.9,IF(H987="ILF",7.5,IF(H987="EIF",5.4)))))))</f>
        <v/>
      </c>
      <c r="M987" s="112" t="str">
        <f t="shared" si="18"/>
        <v/>
      </c>
      <c r="N987" s="113"/>
    </row>
    <row r="988" spans="2:14">
      <c r="B988" s="105"/>
      <c r="C988" s="106"/>
      <c r="D988" s="107"/>
      <c r="E988" s="65"/>
      <c r="F988" s="64"/>
      <c r="G988" s="64"/>
      <c r="H988" s="64"/>
      <c r="I988" s="70"/>
      <c r="J988" s="70"/>
      <c r="K988" s="110" t="str">
        <f>IF(H988="","",IF($C$29="간이법","",FPR(H988,I988,J988)))</f>
        <v/>
      </c>
      <c r="L988" s="111" t="str">
        <f>IF(H988="","",IF($C$29="상세법",FPV(H988,K988),IF(H988="EI",4,IF(H988="EO",5.2,IF(H988="EQ",3.9,IF(H988="ILF",7.5,IF(H988="EIF",5.4)))))))</f>
        <v/>
      </c>
      <c r="M988" s="112" t="str">
        <f t="shared" si="18"/>
        <v/>
      </c>
      <c r="N988" s="113"/>
    </row>
    <row r="989" spans="2:14">
      <c r="B989" s="105"/>
      <c r="C989" s="106"/>
      <c r="D989" s="107"/>
      <c r="E989" s="65"/>
      <c r="F989" s="64"/>
      <c r="G989" s="64"/>
      <c r="H989" s="64"/>
      <c r="I989" s="70"/>
      <c r="J989" s="70"/>
      <c r="K989" s="110" t="str">
        <f>IF(H989="","",IF($C$29="간이법","",FPR(H989,I989,J989)))</f>
        <v/>
      </c>
      <c r="L989" s="111" t="str">
        <f>IF(H989="","",IF($C$29="상세법",FPV(H989,K989),IF(H989="EI",4,IF(H989="EO",5.2,IF(H989="EQ",3.9,IF(H989="ILF",7.5,IF(H989="EIF",5.4)))))))</f>
        <v/>
      </c>
      <c r="M989" s="112" t="str">
        <f t="shared" si="18"/>
        <v/>
      </c>
      <c r="N989" s="113"/>
    </row>
    <row r="990" spans="2:14">
      <c r="B990" s="105"/>
      <c r="C990" s="106"/>
      <c r="D990" s="107"/>
      <c r="E990" s="65"/>
      <c r="F990" s="64"/>
      <c r="G990" s="64"/>
      <c r="H990" s="64"/>
      <c r="I990" s="70"/>
      <c r="J990" s="70"/>
      <c r="K990" s="110" t="str">
        <f>IF(H990="","",IF($C$29="간이법","",FPR(H990,I990,J990)))</f>
        <v/>
      </c>
      <c r="L990" s="111" t="str">
        <f>IF(H990="","",IF($C$29="상세법",FPV(H990,K990),IF(H990="EI",4,IF(H990="EO",5.2,IF(H990="EQ",3.9,IF(H990="ILF",7.5,IF(H990="EIF",5.4)))))))</f>
        <v/>
      </c>
      <c r="M990" s="112" t="str">
        <f t="shared" si="18"/>
        <v/>
      </c>
      <c r="N990" s="113"/>
    </row>
    <row r="991" spans="2:14">
      <c r="B991" s="105"/>
      <c r="C991" s="106"/>
      <c r="D991" s="107"/>
      <c r="E991" s="65"/>
      <c r="F991" s="64"/>
      <c r="G991" s="64"/>
      <c r="H991" s="64"/>
      <c r="I991" s="70"/>
      <c r="J991" s="70"/>
      <c r="K991" s="110" t="str">
        <f>IF(H991="","",IF($C$29="간이법","",FPR(H991,I991,J991)))</f>
        <v/>
      </c>
      <c r="L991" s="111" t="str">
        <f>IF(H991="","",IF($C$29="상세법",FPV(H991,K991),IF(H991="EI",4,IF(H991="EO",5.2,IF(H991="EQ",3.9,IF(H991="ILF",7.5,IF(H991="EIF",5.4)))))))</f>
        <v/>
      </c>
      <c r="M991" s="112" t="str">
        <f t="shared" si="18"/>
        <v/>
      </c>
      <c r="N991" s="113"/>
    </row>
    <row r="992" spans="2:14">
      <c r="B992" s="105"/>
      <c r="C992" s="106"/>
      <c r="D992" s="107"/>
      <c r="E992" s="65"/>
      <c r="F992" s="64"/>
      <c r="G992" s="64"/>
      <c r="H992" s="64"/>
      <c r="I992" s="70"/>
      <c r="J992" s="70"/>
      <c r="K992" s="110" t="str">
        <f>IF(H992="","",IF($C$29="간이법","",FPR(H992,I992,J992)))</f>
        <v/>
      </c>
      <c r="L992" s="111" t="str">
        <f>IF(H992="","",IF($C$29="상세법",FPV(H992,K992),IF(H992="EI",4,IF(H992="EO",5.2,IF(H992="EQ",3.9,IF(H992="ILF",7.5,IF(H992="EIF",5.4)))))))</f>
        <v/>
      </c>
      <c r="M992" s="112" t="str">
        <f t="shared" si="18"/>
        <v/>
      </c>
      <c r="N992" s="113"/>
    </row>
    <row r="993" spans="2:14">
      <c r="B993" s="105"/>
      <c r="C993" s="106"/>
      <c r="D993" s="107"/>
      <c r="E993" s="65"/>
      <c r="F993" s="64"/>
      <c r="G993" s="64"/>
      <c r="H993" s="64"/>
      <c r="I993" s="70"/>
      <c r="J993" s="70"/>
      <c r="K993" s="110" t="str">
        <f>IF(H993="","",IF($C$29="간이법","",FPR(H993,I993,J993)))</f>
        <v/>
      </c>
      <c r="L993" s="111" t="str">
        <f>IF(H993="","",IF($C$29="상세법",FPV(H993,K993),IF(H993="EI",4,IF(H993="EO",5.2,IF(H993="EQ",3.9,IF(H993="ILF",7.5,IF(H993="EIF",5.4)))))))</f>
        <v/>
      </c>
      <c r="M993" s="112" t="str">
        <f t="shared" si="18"/>
        <v/>
      </c>
      <c r="N993" s="113"/>
    </row>
    <row r="994" spans="2:14">
      <c r="B994" s="105"/>
      <c r="C994" s="106"/>
      <c r="D994" s="107"/>
      <c r="E994" s="65"/>
      <c r="F994" s="64"/>
      <c r="G994" s="64"/>
      <c r="H994" s="64"/>
      <c r="I994" s="70"/>
      <c r="J994" s="70"/>
      <c r="K994" s="110" t="str">
        <f>IF(H994="","",IF($C$29="간이법","",FPR(H994,I994,J994)))</f>
        <v/>
      </c>
      <c r="L994" s="111" t="str">
        <f>IF(H994="","",IF($C$29="상세법",FPV(H994,K994),IF(H994="EI",4,IF(H994="EO",5.2,IF(H994="EQ",3.9,IF(H994="ILF",7.5,IF(H994="EIF",5.4)))))))</f>
        <v/>
      </c>
      <c r="M994" s="112" t="str">
        <f t="shared" si="18"/>
        <v/>
      </c>
      <c r="N994" s="113"/>
    </row>
    <row r="995" spans="2:14">
      <c r="B995" s="105"/>
      <c r="C995" s="106"/>
      <c r="D995" s="107"/>
      <c r="E995" s="65"/>
      <c r="F995" s="64"/>
      <c r="G995" s="64"/>
      <c r="H995" s="64"/>
      <c r="I995" s="70"/>
      <c r="J995" s="70"/>
      <c r="K995" s="110" t="str">
        <f>IF(H995="","",IF($C$29="간이법","",FPR(H995,I995,J995)))</f>
        <v/>
      </c>
      <c r="L995" s="111" t="str">
        <f>IF(H995="","",IF($C$29="상세법",FPV(H995,K995),IF(H995="EI",4,IF(H995="EO",5.2,IF(H995="EQ",3.9,IF(H995="ILF",7.5,IF(H995="EIF",5.4)))))))</f>
        <v/>
      </c>
      <c r="M995" s="112" t="str">
        <f t="shared" si="18"/>
        <v/>
      </c>
      <c r="N995" s="113"/>
    </row>
    <row r="996" spans="2:14">
      <c r="B996" s="105"/>
      <c r="C996" s="106"/>
      <c r="D996" s="107"/>
      <c r="E996" s="65"/>
      <c r="F996" s="64"/>
      <c r="G996" s="64"/>
      <c r="H996" s="64"/>
      <c r="I996" s="70"/>
      <c r="J996" s="70"/>
      <c r="K996" s="110" t="str">
        <f>IF(H996="","",IF($C$29="간이법","",FPR(H996,I996,J996)))</f>
        <v/>
      </c>
      <c r="L996" s="111" t="str">
        <f>IF(H996="","",IF($C$29="상세법",FPV(H996,K996),IF(H996="EI",4,IF(H996="EO",5.2,IF(H996="EQ",3.9,IF(H996="ILF",7.5,IF(H996="EIF",5.4)))))))</f>
        <v/>
      </c>
      <c r="M996" s="112" t="str">
        <f t="shared" si="18"/>
        <v/>
      </c>
      <c r="N996" s="113"/>
    </row>
    <row r="997" spans="2:14">
      <c r="B997" s="105"/>
      <c r="C997" s="106"/>
      <c r="D997" s="107"/>
      <c r="E997" s="65"/>
      <c r="F997" s="64"/>
      <c r="G997" s="64"/>
      <c r="H997" s="64"/>
      <c r="I997" s="70"/>
      <c r="J997" s="70"/>
      <c r="K997" s="110" t="str">
        <f>IF(H997="","",IF($C$29="간이법","",FPR(H997,I997,J997)))</f>
        <v/>
      </c>
      <c r="L997" s="111" t="str">
        <f>IF(H997="","",IF($C$29="상세법",FPV(H997,K997),IF(H997="EI",4,IF(H997="EO",5.2,IF(H997="EQ",3.9,IF(H997="ILF",7.5,IF(H997="EIF",5.4)))))))</f>
        <v/>
      </c>
      <c r="M997" s="112" t="str">
        <f t="shared" si="18"/>
        <v/>
      </c>
      <c r="N997" s="113"/>
    </row>
    <row r="998" spans="2:14">
      <c r="B998" s="105"/>
      <c r="C998" s="106"/>
      <c r="D998" s="107"/>
      <c r="E998" s="65"/>
      <c r="F998" s="64"/>
      <c r="G998" s="64"/>
      <c r="H998" s="64"/>
      <c r="I998" s="70"/>
      <c r="J998" s="70"/>
      <c r="K998" s="110" t="str">
        <f>IF(H998="","",IF($C$29="간이법","",FPR(H998,I998,J998)))</f>
        <v/>
      </c>
      <c r="L998" s="111" t="str">
        <f>IF(H998="","",IF($C$29="상세법",FPV(H998,K998),IF(H998="EI",4,IF(H998="EO",5.2,IF(H998="EQ",3.9,IF(H998="ILF",7.5,IF(H998="EIF",5.4)))))))</f>
        <v/>
      </c>
      <c r="M998" s="112" t="str">
        <f t="shared" si="18"/>
        <v/>
      </c>
      <c r="N998" s="113"/>
    </row>
    <row r="999" spans="2:14">
      <c r="B999" s="105"/>
      <c r="C999" s="106"/>
      <c r="D999" s="107"/>
      <c r="E999" s="65"/>
      <c r="F999" s="64"/>
      <c r="G999" s="64"/>
      <c r="H999" s="64"/>
      <c r="I999" s="70"/>
      <c r="J999" s="70"/>
      <c r="K999" s="110" t="str">
        <f>IF(H999="","",IF($C$29="간이법","",FPR(H999,I999,J999)))</f>
        <v/>
      </c>
      <c r="L999" s="111" t="str">
        <f>IF(H999="","",IF($C$29="상세법",FPV(H999,K999),IF(H999="EI",4,IF(H999="EO",5.2,IF(H999="EQ",3.9,IF(H999="ILF",7.5,IF(H999="EIF",5.4)))))))</f>
        <v/>
      </c>
      <c r="M999" s="112" t="str">
        <f t="shared" si="18"/>
        <v/>
      </c>
      <c r="N999" s="113"/>
    </row>
    <row r="1000" spans="2:14">
      <c r="B1000" s="105"/>
      <c r="C1000" s="106"/>
      <c r="D1000" s="107"/>
      <c r="E1000" s="65"/>
      <c r="F1000" s="64"/>
      <c r="G1000" s="64"/>
      <c r="H1000" s="64"/>
      <c r="I1000" s="70"/>
      <c r="J1000" s="70"/>
      <c r="K1000" s="110" t="str">
        <f>IF(H1000="","",IF($C$29="간이법","",FPR(H1000,I1000,J1000)))</f>
        <v/>
      </c>
      <c r="L1000" s="111" t="str">
        <f>IF(H1000="","",IF($C$29="상세법",FPV(H1000,K1000),IF(H1000="EI",4,IF(H1000="EO",5.2,IF(H1000="EQ",3.9,IF(H1000="ILF",7.5,IF(H1000="EIF",5.4)))))))</f>
        <v/>
      </c>
      <c r="M1000" s="112" t="str">
        <f t="shared" si="18"/>
        <v/>
      </c>
      <c r="N1000" s="113"/>
    </row>
    <row r="1001" spans="2:14">
      <c r="B1001" s="105"/>
      <c r="C1001" s="106"/>
      <c r="D1001" s="107"/>
      <c r="E1001" s="65"/>
      <c r="F1001" s="64"/>
      <c r="G1001" s="64"/>
      <c r="H1001" s="64"/>
      <c r="I1001" s="70"/>
      <c r="J1001" s="70"/>
      <c r="K1001" s="110" t="str">
        <f>IF(H1001="","",IF($C$29="간이법","",FPR(H1001,I1001,J1001)))</f>
        <v/>
      </c>
      <c r="L1001" s="111" t="str">
        <f>IF(H1001="","",IF($C$29="상세법",FPV(H1001,K1001),IF(H1001="EI",4,IF(H1001="EO",5.2,IF(H1001="EQ",3.9,IF(H1001="ILF",7.5,IF(H1001="EIF",5.4)))))))</f>
        <v/>
      </c>
      <c r="M1001" s="112" t="str">
        <f t="shared" si="18"/>
        <v/>
      </c>
      <c r="N1001" s="113"/>
    </row>
    <row r="1002" spans="2:14">
      <c r="B1002" s="105"/>
      <c r="C1002" s="106"/>
      <c r="D1002" s="107"/>
      <c r="E1002" s="65"/>
      <c r="F1002" s="64"/>
      <c r="G1002" s="64"/>
      <c r="H1002" s="64"/>
      <c r="I1002" s="70"/>
      <c r="J1002" s="70"/>
      <c r="K1002" s="110" t="str">
        <f>IF(H1002="","",IF($C$29="간이법","",FPR(H1002,I1002,J1002)))</f>
        <v/>
      </c>
      <c r="L1002" s="111" t="str">
        <f>IF(H1002="","",IF($C$29="상세법",FPV(H1002,K1002),IF(H1002="EI",4,IF(H1002="EO",5.2,IF(H1002="EQ",3.9,IF(H1002="ILF",7.5,IF(H1002="EIF",5.4)))))))</f>
        <v/>
      </c>
      <c r="M1002" s="112" t="str">
        <f t="shared" si="18"/>
        <v/>
      </c>
      <c r="N1002" s="113"/>
    </row>
    <row r="1003" spans="2:14">
      <c r="B1003" s="105"/>
      <c r="C1003" s="106"/>
      <c r="D1003" s="107"/>
      <c r="E1003" s="65"/>
      <c r="F1003" s="64"/>
      <c r="G1003" s="64"/>
      <c r="H1003" s="64"/>
      <c r="I1003" s="70"/>
      <c r="J1003" s="70"/>
      <c r="K1003" s="110" t="str">
        <f>IF(H1003="","",IF($C$29="간이법","",FPR(H1003,I1003,J1003)))</f>
        <v/>
      </c>
      <c r="L1003" s="111" t="str">
        <f>IF(H1003="","",IF($C$29="상세법",FPV(H1003,K1003),IF(H1003="EI",4,IF(H1003="EO",5.2,IF(H1003="EQ",3.9,IF(H1003="ILF",7.5,IF(H1003="EIF",5.4)))))))</f>
        <v/>
      </c>
      <c r="M1003" s="112" t="str">
        <f t="shared" si="18"/>
        <v/>
      </c>
      <c r="N1003" s="113"/>
    </row>
    <row r="1004" spans="2:14">
      <c r="B1004" s="105"/>
      <c r="C1004" s="106"/>
      <c r="D1004" s="107"/>
      <c r="E1004" s="65"/>
      <c r="F1004" s="64"/>
      <c r="G1004" s="64"/>
      <c r="H1004" s="64"/>
      <c r="I1004" s="70"/>
      <c r="J1004" s="70"/>
      <c r="K1004" s="110" t="str">
        <f>IF(H1004="","",IF($C$29="간이법","",FPR(H1004,I1004,J1004)))</f>
        <v/>
      </c>
      <c r="L1004" s="111" t="str">
        <f>IF(H1004="","",IF($C$29="상세법",FPV(H1004,K1004),IF(H1004="EI",4,IF(H1004="EO",5.2,IF(H1004="EQ",3.9,IF(H1004="ILF",7.5,IF(H1004="EIF",5.4)))))))</f>
        <v/>
      </c>
      <c r="M1004" s="112" t="str">
        <f t="shared" si="18"/>
        <v/>
      </c>
      <c r="N1004" s="113"/>
    </row>
    <row r="1005" spans="2:14">
      <c r="B1005" s="105"/>
      <c r="C1005" s="106"/>
      <c r="D1005" s="107"/>
      <c r="E1005" s="65"/>
      <c r="F1005" s="64"/>
      <c r="G1005" s="64"/>
      <c r="H1005" s="64"/>
      <c r="I1005" s="70"/>
      <c r="J1005" s="70"/>
      <c r="K1005" s="110" t="str">
        <f>IF(H1005="","",IF($C$29="간이법","",FPR(H1005,I1005,J1005)))</f>
        <v/>
      </c>
      <c r="L1005" s="111" t="str">
        <f>IF(H1005="","",IF($C$29="상세법",FPV(H1005,K1005),IF(H1005="EI",4,IF(H1005="EO",5.2,IF(H1005="EQ",3.9,IF(H1005="ILF",7.5,IF(H1005="EIF",5.4)))))))</f>
        <v/>
      </c>
      <c r="M1005" s="112" t="str">
        <f t="shared" si="18"/>
        <v/>
      </c>
      <c r="N1005" s="113"/>
    </row>
    <row r="1006" spans="2:14">
      <c r="B1006" s="105"/>
      <c r="C1006" s="106"/>
      <c r="D1006" s="107"/>
      <c r="E1006" s="65"/>
      <c r="F1006" s="64"/>
      <c r="G1006" s="64"/>
      <c r="H1006" s="64"/>
      <c r="I1006" s="70"/>
      <c r="J1006" s="70"/>
      <c r="K1006" s="110" t="str">
        <f>IF(H1006="","",IF($C$29="간이법","",FPR(H1006,I1006,J1006)))</f>
        <v/>
      </c>
      <c r="L1006" s="111" t="str">
        <f>IF(H1006="","",IF($C$29="상세법",FPV(H1006,K1006),IF(H1006="EI",4,IF(H1006="EO",5.2,IF(H1006="EQ",3.9,IF(H1006="ILF",7.5,IF(H1006="EIF",5.4)))))))</f>
        <v/>
      </c>
      <c r="M1006" s="112" t="str">
        <f t="shared" si="18"/>
        <v/>
      </c>
      <c r="N1006" s="113"/>
    </row>
    <row r="1007" spans="2:14">
      <c r="B1007" s="105"/>
      <c r="C1007" s="106"/>
      <c r="D1007" s="107"/>
      <c r="E1007" s="65"/>
      <c r="F1007" s="64"/>
      <c r="G1007" s="64"/>
      <c r="H1007" s="64"/>
      <c r="I1007" s="70"/>
      <c r="J1007" s="70"/>
      <c r="K1007" s="110" t="str">
        <f>IF(H1007="","",IF($C$29="간이법","",FPR(H1007,I1007,J1007)))</f>
        <v/>
      </c>
      <c r="L1007" s="111" t="str">
        <f>IF(H1007="","",IF($C$29="상세법",FPV(H1007,K1007),IF(H1007="EI",4,IF(H1007="EO",5.2,IF(H1007="EQ",3.9,IF(H1007="ILF",7.5,IF(H1007="EIF",5.4)))))))</f>
        <v/>
      </c>
      <c r="M1007" s="112" t="str">
        <f t="shared" si="18"/>
        <v/>
      </c>
      <c r="N1007" s="113"/>
    </row>
    <row r="1008" spans="2:14">
      <c r="B1008" s="105"/>
      <c r="C1008" s="106"/>
      <c r="D1008" s="107"/>
      <c r="E1008" s="65"/>
      <c r="F1008" s="64"/>
      <c r="G1008" s="64"/>
      <c r="H1008" s="64"/>
      <c r="I1008" s="70"/>
      <c r="J1008" s="70"/>
      <c r="K1008" s="110" t="str">
        <f>IF(H1008="","",IF($C$29="간이법","",FPR(H1008,I1008,J1008)))</f>
        <v/>
      </c>
      <c r="L1008" s="111" t="str">
        <f>IF(H1008="","",IF($C$29="상세법",FPV(H1008,K1008),IF(H1008="EI",4,IF(H1008="EO",5.2,IF(H1008="EQ",3.9,IF(H1008="ILF",7.5,IF(H1008="EIF",5.4)))))))</f>
        <v/>
      </c>
      <c r="M1008" s="112" t="str">
        <f t="shared" si="18"/>
        <v/>
      </c>
      <c r="N1008" s="113"/>
    </row>
    <row r="1009" spans="2:14">
      <c r="B1009" s="105"/>
      <c r="C1009" s="106"/>
      <c r="D1009" s="107"/>
      <c r="E1009" s="65"/>
      <c r="F1009" s="64"/>
      <c r="G1009" s="64"/>
      <c r="H1009" s="64"/>
      <c r="I1009" s="70"/>
      <c r="J1009" s="70"/>
      <c r="K1009" s="110" t="str">
        <f>IF(H1009="","",IF($C$29="간이법","",FPR(H1009,I1009,J1009)))</f>
        <v/>
      </c>
      <c r="L1009" s="111" t="str">
        <f>IF(H1009="","",IF($C$29="상세법",FPV(H1009,K1009),IF(H1009="EI",4,IF(H1009="EO",5.2,IF(H1009="EQ",3.9,IF(H1009="ILF",7.5,IF(H1009="EIF",5.4)))))))</f>
        <v/>
      </c>
      <c r="M1009" s="112" t="str">
        <f t="shared" si="18"/>
        <v/>
      </c>
      <c r="N1009" s="113"/>
    </row>
    <row r="1010" spans="2:14">
      <c r="B1010" s="105"/>
      <c r="C1010" s="106"/>
      <c r="D1010" s="107"/>
      <c r="E1010" s="65"/>
      <c r="F1010" s="64"/>
      <c r="G1010" s="64"/>
      <c r="H1010" s="64"/>
      <c r="I1010" s="70"/>
      <c r="J1010" s="70"/>
      <c r="K1010" s="110" t="str">
        <f>IF(H1010="","",IF($C$29="간이법","",FPR(H1010,I1010,J1010)))</f>
        <v/>
      </c>
      <c r="L1010" s="111" t="str">
        <f>IF(H1010="","",IF($C$29="상세법",FPV(H1010,K1010),IF(H1010="EI",4,IF(H1010="EO",5.2,IF(H1010="EQ",3.9,IF(H1010="ILF",7.5,IF(H1010="EIF",5.4)))))))</f>
        <v/>
      </c>
      <c r="M1010" s="112" t="str">
        <f t="shared" si="18"/>
        <v/>
      </c>
      <c r="N1010" s="113"/>
    </row>
    <row r="1011" spans="2:14">
      <c r="B1011" s="105"/>
      <c r="C1011" s="106"/>
      <c r="D1011" s="107"/>
      <c r="E1011" s="65"/>
      <c r="F1011" s="64"/>
      <c r="G1011" s="64"/>
      <c r="H1011" s="64"/>
      <c r="I1011" s="70"/>
      <c r="J1011" s="70"/>
      <c r="K1011" s="110" t="str">
        <f>IF(H1011="","",IF($C$29="간이법","",FPR(H1011,I1011,J1011)))</f>
        <v/>
      </c>
      <c r="L1011" s="111" t="str">
        <f>IF(H1011="","",IF($C$29="상세법",FPV(H1011,K1011),IF(H1011="EI",4,IF(H1011="EO",5.2,IF(H1011="EQ",3.9,IF(H1011="ILF",7.5,IF(H1011="EIF",5.4)))))))</f>
        <v/>
      </c>
      <c r="M1011" s="112" t="str">
        <f t="shared" si="18"/>
        <v/>
      </c>
      <c r="N1011" s="113"/>
    </row>
    <row r="1012" spans="2:14">
      <c r="B1012" s="105"/>
      <c r="C1012" s="106"/>
      <c r="D1012" s="107"/>
      <c r="E1012" s="65"/>
      <c r="F1012" s="64"/>
      <c r="G1012" s="64"/>
      <c r="H1012" s="64"/>
      <c r="I1012" s="70"/>
      <c r="J1012" s="70"/>
      <c r="K1012" s="110" t="str">
        <f>IF(H1012="","",IF($C$29="간이법","",FPR(H1012,I1012,J1012)))</f>
        <v/>
      </c>
      <c r="L1012" s="111" t="str">
        <f>IF(H1012="","",IF($C$29="상세법",FPV(H1012,K1012),IF(H1012="EI",4,IF(H1012="EO",5.2,IF(H1012="EQ",3.9,IF(H1012="ILF",7.5,IF(H1012="EIF",5.4)))))))</f>
        <v/>
      </c>
      <c r="M1012" s="112" t="str">
        <f t="shared" si="18"/>
        <v/>
      </c>
      <c r="N1012" s="113"/>
    </row>
    <row r="1013" spans="2:14">
      <c r="B1013" s="105"/>
      <c r="C1013" s="106"/>
      <c r="D1013" s="107"/>
      <c r="E1013" s="65"/>
      <c r="F1013" s="64"/>
      <c r="G1013" s="64"/>
      <c r="H1013" s="64"/>
      <c r="I1013" s="70"/>
      <c r="J1013" s="70"/>
      <c r="K1013" s="110" t="str">
        <f>IF(H1013="","",IF($C$29="간이법","",FPR(H1013,I1013,J1013)))</f>
        <v/>
      </c>
      <c r="L1013" s="111" t="str">
        <f>IF(H1013="","",IF($C$29="상세법",FPV(H1013,K1013),IF(H1013="EI",4,IF(H1013="EO",5.2,IF(H1013="EQ",3.9,IF(H1013="ILF",7.5,IF(H1013="EIF",5.4)))))))</f>
        <v/>
      </c>
      <c r="M1013" s="112" t="str">
        <f t="shared" si="18"/>
        <v/>
      </c>
      <c r="N1013" s="113"/>
    </row>
    <row r="1014" spans="2:14">
      <c r="B1014" s="105"/>
      <c r="C1014" s="106"/>
      <c r="D1014" s="107"/>
      <c r="E1014" s="65"/>
      <c r="F1014" s="64"/>
      <c r="G1014" s="64"/>
      <c r="H1014" s="64"/>
      <c r="I1014" s="70"/>
      <c r="J1014" s="70"/>
      <c r="K1014" s="110" t="str">
        <f>IF(H1014="","",IF($C$29="간이법","",FPR(H1014,I1014,J1014)))</f>
        <v/>
      </c>
      <c r="L1014" s="111" t="str">
        <f>IF(H1014="","",IF($C$29="상세법",FPV(H1014,K1014),IF(H1014="EI",4,IF(H1014="EO",5.2,IF(H1014="EQ",3.9,IF(H1014="ILF",7.5,IF(H1014="EIF",5.4)))))))</f>
        <v/>
      </c>
      <c r="M1014" s="112" t="str">
        <f t="shared" si="18"/>
        <v/>
      </c>
      <c r="N1014" s="113"/>
    </row>
    <row r="1015" spans="2:14">
      <c r="B1015" s="105"/>
      <c r="C1015" s="106"/>
      <c r="D1015" s="107"/>
      <c r="E1015" s="65"/>
      <c r="F1015" s="64"/>
      <c r="G1015" s="64"/>
      <c r="H1015" s="64"/>
      <c r="I1015" s="70"/>
      <c r="J1015" s="70"/>
      <c r="K1015" s="110" t="str">
        <f>IF(H1015="","",IF($C$29="간이법","",FPR(H1015,I1015,J1015)))</f>
        <v/>
      </c>
      <c r="L1015" s="111" t="str">
        <f>IF(H1015="","",IF($C$29="상세법",FPV(H1015,K1015),IF(H1015="EI",4,IF(H1015="EO",5.2,IF(H1015="EQ",3.9,IF(H1015="ILF",7.5,IF(H1015="EIF",5.4)))))))</f>
        <v/>
      </c>
      <c r="M1015" s="112" t="str">
        <f t="shared" si="18"/>
        <v/>
      </c>
      <c r="N1015" s="113"/>
    </row>
    <row r="1016" spans="2:14">
      <c r="B1016" s="105"/>
      <c r="C1016" s="106"/>
      <c r="D1016" s="107"/>
      <c r="E1016" s="65"/>
      <c r="F1016" s="64"/>
      <c r="G1016" s="64"/>
      <c r="H1016" s="64"/>
      <c r="I1016" s="70"/>
      <c r="J1016" s="70"/>
      <c r="K1016" s="110" t="str">
        <f>IF(H1016="","",IF($C$29="간이법","",FPR(H1016,I1016,J1016)))</f>
        <v/>
      </c>
      <c r="L1016" s="111" t="str">
        <f>IF(H1016="","",IF($C$29="상세법",FPV(H1016,K1016),IF(H1016="EI",4,IF(H1016="EO",5.2,IF(H1016="EQ",3.9,IF(H1016="ILF",7.5,IF(H1016="EIF",5.4)))))))</f>
        <v/>
      </c>
      <c r="M1016" s="112" t="str">
        <f t="shared" si="18"/>
        <v/>
      </c>
      <c r="N1016" s="113"/>
    </row>
    <row r="1017" spans="2:14">
      <c r="B1017" s="105"/>
      <c r="C1017" s="106"/>
      <c r="D1017" s="107"/>
      <c r="E1017" s="65"/>
      <c r="F1017" s="64"/>
      <c r="G1017" s="64"/>
      <c r="H1017" s="64"/>
      <c r="I1017" s="70"/>
      <c r="J1017" s="70"/>
      <c r="K1017" s="110" t="str">
        <f>IF(H1017="","",IF($C$29="간이법","",FPR(H1017,I1017,J1017)))</f>
        <v/>
      </c>
      <c r="L1017" s="111" t="str">
        <f>IF(H1017="","",IF($C$29="상세법",FPV(H1017,K1017),IF(H1017="EI",4,IF(H1017="EO",5.2,IF(H1017="EQ",3.9,IF(H1017="ILF",7.5,IF(H1017="EIF",5.4)))))))</f>
        <v/>
      </c>
      <c r="M1017" s="112" t="str">
        <f t="shared" ref="M1017:M1080" si="19">IF(L1017="","",L1017*IF(G1017="상",0.7,IF(G1017="중",0.5,IF(G1017="하",0.2,1))))</f>
        <v/>
      </c>
      <c r="N1017" s="113"/>
    </row>
    <row r="1018" spans="2:14">
      <c r="B1018" s="105"/>
      <c r="C1018" s="106"/>
      <c r="D1018" s="107"/>
      <c r="E1018" s="65"/>
      <c r="F1018" s="64"/>
      <c r="G1018" s="64"/>
      <c r="H1018" s="64"/>
      <c r="I1018" s="70"/>
      <c r="J1018" s="70"/>
      <c r="K1018" s="110" t="str">
        <f>IF(H1018="","",IF($C$29="간이법","",FPR(H1018,I1018,J1018)))</f>
        <v/>
      </c>
      <c r="L1018" s="111" t="str">
        <f>IF(H1018="","",IF($C$29="상세법",FPV(H1018,K1018),IF(H1018="EI",4,IF(H1018="EO",5.2,IF(H1018="EQ",3.9,IF(H1018="ILF",7.5,IF(H1018="EIF",5.4)))))))</f>
        <v/>
      </c>
      <c r="M1018" s="112" t="str">
        <f t="shared" si="19"/>
        <v/>
      </c>
      <c r="N1018" s="113"/>
    </row>
    <row r="1019" spans="2:14">
      <c r="B1019" s="105"/>
      <c r="C1019" s="106"/>
      <c r="D1019" s="107"/>
      <c r="E1019" s="65"/>
      <c r="F1019" s="64"/>
      <c r="G1019" s="64"/>
      <c r="H1019" s="64"/>
      <c r="I1019" s="70"/>
      <c r="J1019" s="70"/>
      <c r="K1019" s="110" t="str">
        <f>IF(H1019="","",IF($C$29="간이법","",FPR(H1019,I1019,J1019)))</f>
        <v/>
      </c>
      <c r="L1019" s="111" t="str">
        <f>IF(H1019="","",IF($C$29="상세법",FPV(H1019,K1019),IF(H1019="EI",4,IF(H1019="EO",5.2,IF(H1019="EQ",3.9,IF(H1019="ILF",7.5,IF(H1019="EIF",5.4)))))))</f>
        <v/>
      </c>
      <c r="M1019" s="112" t="str">
        <f t="shared" si="19"/>
        <v/>
      </c>
      <c r="N1019" s="113"/>
    </row>
    <row r="1020" spans="2:14">
      <c r="B1020" s="105"/>
      <c r="C1020" s="106"/>
      <c r="D1020" s="107"/>
      <c r="E1020" s="65"/>
      <c r="F1020" s="64"/>
      <c r="G1020" s="64"/>
      <c r="H1020" s="64"/>
      <c r="I1020" s="70"/>
      <c r="J1020" s="70"/>
      <c r="K1020" s="110" t="str">
        <f>IF(H1020="","",IF($C$29="간이법","",FPR(H1020,I1020,J1020)))</f>
        <v/>
      </c>
      <c r="L1020" s="111" t="str">
        <f>IF(H1020="","",IF($C$29="상세법",FPV(H1020,K1020),IF(H1020="EI",4,IF(H1020="EO",5.2,IF(H1020="EQ",3.9,IF(H1020="ILF",7.5,IF(H1020="EIF",5.4)))))))</f>
        <v/>
      </c>
      <c r="M1020" s="112" t="str">
        <f t="shared" si="19"/>
        <v/>
      </c>
      <c r="N1020" s="113"/>
    </row>
    <row r="1021" spans="2:14">
      <c r="B1021" s="105"/>
      <c r="C1021" s="106"/>
      <c r="D1021" s="107"/>
      <c r="E1021" s="65"/>
      <c r="F1021" s="64"/>
      <c r="G1021" s="64"/>
      <c r="H1021" s="64"/>
      <c r="I1021" s="70"/>
      <c r="J1021" s="70"/>
      <c r="K1021" s="110" t="str">
        <f>IF(H1021="","",IF($C$29="간이법","",FPR(H1021,I1021,J1021)))</f>
        <v/>
      </c>
      <c r="L1021" s="111" t="str">
        <f>IF(H1021="","",IF($C$29="상세법",FPV(H1021,K1021),IF(H1021="EI",4,IF(H1021="EO",5.2,IF(H1021="EQ",3.9,IF(H1021="ILF",7.5,IF(H1021="EIF",5.4)))))))</f>
        <v/>
      </c>
      <c r="M1021" s="112" t="str">
        <f t="shared" si="19"/>
        <v/>
      </c>
      <c r="N1021" s="113"/>
    </row>
    <row r="1022" spans="2:14">
      <c r="B1022" s="105"/>
      <c r="C1022" s="106"/>
      <c r="D1022" s="107"/>
      <c r="E1022" s="65"/>
      <c r="F1022" s="64"/>
      <c r="G1022" s="64"/>
      <c r="H1022" s="64"/>
      <c r="I1022" s="70"/>
      <c r="J1022" s="70"/>
      <c r="K1022" s="110" t="str">
        <f>IF(H1022="","",IF($C$29="간이법","",FPR(H1022,I1022,J1022)))</f>
        <v/>
      </c>
      <c r="L1022" s="111" t="str">
        <f>IF(H1022="","",IF($C$29="상세법",FPV(H1022,K1022),IF(H1022="EI",4,IF(H1022="EO",5.2,IF(H1022="EQ",3.9,IF(H1022="ILF",7.5,IF(H1022="EIF",5.4)))))))</f>
        <v/>
      </c>
      <c r="M1022" s="112" t="str">
        <f t="shared" si="19"/>
        <v/>
      </c>
      <c r="N1022" s="113"/>
    </row>
    <row r="1023" spans="2:14">
      <c r="B1023" s="105"/>
      <c r="C1023" s="106"/>
      <c r="D1023" s="107"/>
      <c r="E1023" s="65"/>
      <c r="F1023" s="64"/>
      <c r="G1023" s="64"/>
      <c r="H1023" s="64"/>
      <c r="I1023" s="70"/>
      <c r="J1023" s="70"/>
      <c r="K1023" s="110" t="str">
        <f>IF(H1023="","",IF($C$29="간이법","",FPR(H1023,I1023,J1023)))</f>
        <v/>
      </c>
      <c r="L1023" s="111" t="str">
        <f>IF(H1023="","",IF($C$29="상세법",FPV(H1023,K1023),IF(H1023="EI",4,IF(H1023="EO",5.2,IF(H1023="EQ",3.9,IF(H1023="ILF",7.5,IF(H1023="EIF",5.4)))))))</f>
        <v/>
      </c>
      <c r="M1023" s="112" t="str">
        <f t="shared" si="19"/>
        <v/>
      </c>
      <c r="N1023" s="113"/>
    </row>
    <row r="1024" spans="2:14">
      <c r="B1024" s="105"/>
      <c r="C1024" s="106"/>
      <c r="D1024" s="107"/>
      <c r="E1024" s="65"/>
      <c r="F1024" s="64"/>
      <c r="G1024" s="64"/>
      <c r="H1024" s="64"/>
      <c r="I1024" s="70"/>
      <c r="J1024" s="70"/>
      <c r="K1024" s="110" t="str">
        <f>IF(H1024="","",IF($C$29="간이법","",FPR(H1024,I1024,J1024)))</f>
        <v/>
      </c>
      <c r="L1024" s="111" t="str">
        <f>IF(H1024="","",IF($C$29="상세법",FPV(H1024,K1024),IF(H1024="EI",4,IF(H1024="EO",5.2,IF(H1024="EQ",3.9,IF(H1024="ILF",7.5,IF(H1024="EIF",5.4)))))))</f>
        <v/>
      </c>
      <c r="M1024" s="112" t="str">
        <f t="shared" si="19"/>
        <v/>
      </c>
      <c r="N1024" s="113"/>
    </row>
    <row r="1025" spans="2:14">
      <c r="B1025" s="105"/>
      <c r="C1025" s="106"/>
      <c r="D1025" s="107"/>
      <c r="E1025" s="65"/>
      <c r="F1025" s="64"/>
      <c r="G1025" s="64"/>
      <c r="H1025" s="64"/>
      <c r="I1025" s="70"/>
      <c r="J1025" s="70"/>
      <c r="K1025" s="110" t="str">
        <f>IF(H1025="","",IF($C$29="간이법","",FPR(H1025,I1025,J1025)))</f>
        <v/>
      </c>
      <c r="L1025" s="111" t="str">
        <f>IF(H1025="","",IF($C$29="상세법",FPV(H1025,K1025),IF(H1025="EI",4,IF(H1025="EO",5.2,IF(H1025="EQ",3.9,IF(H1025="ILF",7.5,IF(H1025="EIF",5.4)))))))</f>
        <v/>
      </c>
      <c r="M1025" s="112" t="str">
        <f t="shared" si="19"/>
        <v/>
      </c>
      <c r="N1025" s="113"/>
    </row>
    <row r="1026" spans="2:14">
      <c r="B1026" s="105"/>
      <c r="C1026" s="106"/>
      <c r="D1026" s="107"/>
      <c r="E1026" s="65"/>
      <c r="F1026" s="64"/>
      <c r="G1026" s="64"/>
      <c r="H1026" s="64"/>
      <c r="I1026" s="70"/>
      <c r="J1026" s="70"/>
      <c r="K1026" s="110" t="str">
        <f>IF(H1026="","",IF($C$29="간이법","",FPR(H1026,I1026,J1026)))</f>
        <v/>
      </c>
      <c r="L1026" s="111" t="str">
        <f>IF(H1026="","",IF($C$29="상세법",FPV(H1026,K1026),IF(H1026="EI",4,IF(H1026="EO",5.2,IF(H1026="EQ",3.9,IF(H1026="ILF",7.5,IF(H1026="EIF",5.4)))))))</f>
        <v/>
      </c>
      <c r="M1026" s="112" t="str">
        <f t="shared" si="19"/>
        <v/>
      </c>
      <c r="N1026" s="113"/>
    </row>
    <row r="1027" spans="2:14">
      <c r="B1027" s="105"/>
      <c r="C1027" s="106"/>
      <c r="D1027" s="107"/>
      <c r="E1027" s="65"/>
      <c r="F1027" s="64"/>
      <c r="G1027" s="64"/>
      <c r="H1027" s="64"/>
      <c r="I1027" s="70"/>
      <c r="J1027" s="70"/>
      <c r="K1027" s="110" t="str">
        <f>IF(H1027="","",IF($C$29="간이법","",FPR(H1027,I1027,J1027)))</f>
        <v/>
      </c>
      <c r="L1027" s="111" t="str">
        <f>IF(H1027="","",IF($C$29="상세법",FPV(H1027,K1027),IF(H1027="EI",4,IF(H1027="EO",5.2,IF(H1027="EQ",3.9,IF(H1027="ILF",7.5,IF(H1027="EIF",5.4)))))))</f>
        <v/>
      </c>
      <c r="M1027" s="112" t="str">
        <f t="shared" si="19"/>
        <v/>
      </c>
      <c r="N1027" s="113"/>
    </row>
    <row r="1028" spans="2:14">
      <c r="B1028" s="105"/>
      <c r="C1028" s="106"/>
      <c r="D1028" s="107"/>
      <c r="E1028" s="65"/>
      <c r="F1028" s="64"/>
      <c r="G1028" s="64"/>
      <c r="H1028" s="64"/>
      <c r="I1028" s="70"/>
      <c r="J1028" s="70"/>
      <c r="K1028" s="110" t="str">
        <f>IF(H1028="","",IF($C$29="간이법","",FPR(H1028,I1028,J1028)))</f>
        <v/>
      </c>
      <c r="L1028" s="111" t="str">
        <f>IF(H1028="","",IF($C$29="상세법",FPV(H1028,K1028),IF(H1028="EI",4,IF(H1028="EO",5.2,IF(H1028="EQ",3.9,IF(H1028="ILF",7.5,IF(H1028="EIF",5.4)))))))</f>
        <v/>
      </c>
      <c r="M1028" s="112" t="str">
        <f t="shared" si="19"/>
        <v/>
      </c>
      <c r="N1028" s="113"/>
    </row>
    <row r="1029" spans="2:14">
      <c r="B1029" s="105"/>
      <c r="C1029" s="106"/>
      <c r="D1029" s="107"/>
      <c r="E1029" s="65"/>
      <c r="F1029" s="64"/>
      <c r="G1029" s="64"/>
      <c r="H1029" s="64"/>
      <c r="I1029" s="70"/>
      <c r="J1029" s="70"/>
      <c r="K1029" s="110" t="str">
        <f>IF(H1029="","",IF($C$29="간이법","",FPR(H1029,I1029,J1029)))</f>
        <v/>
      </c>
      <c r="L1029" s="111" t="str">
        <f>IF(H1029="","",IF($C$29="상세법",FPV(H1029,K1029),IF(H1029="EI",4,IF(H1029="EO",5.2,IF(H1029="EQ",3.9,IF(H1029="ILF",7.5,IF(H1029="EIF",5.4)))))))</f>
        <v/>
      </c>
      <c r="M1029" s="112" t="str">
        <f t="shared" si="19"/>
        <v/>
      </c>
      <c r="N1029" s="113"/>
    </row>
    <row r="1030" spans="2:14">
      <c r="B1030" s="105"/>
      <c r="C1030" s="106"/>
      <c r="D1030" s="107"/>
      <c r="E1030" s="65"/>
      <c r="F1030" s="64"/>
      <c r="G1030" s="64"/>
      <c r="H1030" s="64"/>
      <c r="I1030" s="70"/>
      <c r="J1030" s="70"/>
      <c r="K1030" s="110" t="str">
        <f>IF(H1030="","",IF($C$29="간이법","",FPR(H1030,I1030,J1030)))</f>
        <v/>
      </c>
      <c r="L1030" s="111" t="str">
        <f>IF(H1030="","",IF($C$29="상세법",FPV(H1030,K1030),IF(H1030="EI",4,IF(H1030="EO",5.2,IF(H1030="EQ",3.9,IF(H1030="ILF",7.5,IF(H1030="EIF",5.4)))))))</f>
        <v/>
      </c>
      <c r="M1030" s="112" t="str">
        <f t="shared" si="19"/>
        <v/>
      </c>
      <c r="N1030" s="113"/>
    </row>
    <row r="1031" spans="2:14">
      <c r="B1031" s="105"/>
      <c r="C1031" s="106"/>
      <c r="D1031" s="107"/>
      <c r="E1031" s="65"/>
      <c r="F1031" s="64"/>
      <c r="G1031" s="64"/>
      <c r="H1031" s="64"/>
      <c r="I1031" s="70"/>
      <c r="J1031" s="70"/>
      <c r="K1031" s="110" t="str">
        <f>IF(H1031="","",IF($C$29="간이법","",FPR(H1031,I1031,J1031)))</f>
        <v/>
      </c>
      <c r="L1031" s="111" t="str">
        <f>IF(H1031="","",IF($C$29="상세법",FPV(H1031,K1031),IF(H1031="EI",4,IF(H1031="EO",5.2,IF(H1031="EQ",3.9,IF(H1031="ILF",7.5,IF(H1031="EIF",5.4)))))))</f>
        <v/>
      </c>
      <c r="M1031" s="112" t="str">
        <f t="shared" si="19"/>
        <v/>
      </c>
      <c r="N1031" s="113"/>
    </row>
    <row r="1032" spans="2:14">
      <c r="B1032" s="105"/>
      <c r="C1032" s="106"/>
      <c r="D1032" s="107"/>
      <c r="E1032" s="65"/>
      <c r="F1032" s="64"/>
      <c r="G1032" s="64"/>
      <c r="H1032" s="64"/>
      <c r="I1032" s="70"/>
      <c r="J1032" s="70"/>
      <c r="K1032" s="110" t="str">
        <f>IF(H1032="","",IF($C$29="간이법","",FPR(H1032,I1032,J1032)))</f>
        <v/>
      </c>
      <c r="L1032" s="111" t="str">
        <f>IF(H1032="","",IF($C$29="상세법",FPV(H1032,K1032),IF(H1032="EI",4,IF(H1032="EO",5.2,IF(H1032="EQ",3.9,IF(H1032="ILF",7.5,IF(H1032="EIF",5.4)))))))</f>
        <v/>
      </c>
      <c r="M1032" s="112" t="str">
        <f t="shared" si="19"/>
        <v/>
      </c>
      <c r="N1032" s="113"/>
    </row>
    <row r="1033" spans="2:14">
      <c r="B1033" s="105"/>
      <c r="C1033" s="106"/>
      <c r="D1033" s="107"/>
      <c r="E1033" s="65"/>
      <c r="F1033" s="64"/>
      <c r="G1033" s="64"/>
      <c r="H1033" s="64"/>
      <c r="I1033" s="70"/>
      <c r="J1033" s="70"/>
      <c r="K1033" s="110" t="str">
        <f>IF(H1033="","",IF($C$29="간이법","",FPR(H1033,I1033,J1033)))</f>
        <v/>
      </c>
      <c r="L1033" s="111" t="str">
        <f>IF(H1033="","",IF($C$29="상세법",FPV(H1033,K1033),IF(H1033="EI",4,IF(H1033="EO",5.2,IF(H1033="EQ",3.9,IF(H1033="ILF",7.5,IF(H1033="EIF",5.4)))))))</f>
        <v/>
      </c>
      <c r="M1033" s="112" t="str">
        <f t="shared" si="19"/>
        <v/>
      </c>
      <c r="N1033" s="113"/>
    </row>
    <row r="1034" spans="2:14">
      <c r="B1034" s="105"/>
      <c r="C1034" s="106"/>
      <c r="D1034" s="107"/>
      <c r="E1034" s="65"/>
      <c r="F1034" s="64"/>
      <c r="G1034" s="64"/>
      <c r="H1034" s="64"/>
      <c r="I1034" s="70"/>
      <c r="J1034" s="70"/>
      <c r="K1034" s="110" t="str">
        <f>IF(H1034="","",IF($C$29="간이법","",FPR(H1034,I1034,J1034)))</f>
        <v/>
      </c>
      <c r="L1034" s="111" t="str">
        <f>IF(H1034="","",IF($C$29="상세법",FPV(H1034,K1034),IF(H1034="EI",4,IF(H1034="EO",5.2,IF(H1034="EQ",3.9,IF(H1034="ILF",7.5,IF(H1034="EIF",5.4)))))))</f>
        <v/>
      </c>
      <c r="M1034" s="112" t="str">
        <f t="shared" si="19"/>
        <v/>
      </c>
      <c r="N1034" s="113"/>
    </row>
    <row r="1035" spans="2:14">
      <c r="B1035" s="105"/>
      <c r="C1035" s="106"/>
      <c r="D1035" s="107"/>
      <c r="E1035" s="65"/>
      <c r="F1035" s="64"/>
      <c r="G1035" s="64"/>
      <c r="H1035" s="64"/>
      <c r="I1035" s="70"/>
      <c r="J1035" s="70"/>
      <c r="K1035" s="110" t="str">
        <f>IF(H1035="","",IF($C$29="간이법","",FPR(H1035,I1035,J1035)))</f>
        <v/>
      </c>
      <c r="L1035" s="111" t="str">
        <f>IF(H1035="","",IF($C$29="상세법",FPV(H1035,K1035),IF(H1035="EI",4,IF(H1035="EO",5.2,IF(H1035="EQ",3.9,IF(H1035="ILF",7.5,IF(H1035="EIF",5.4)))))))</f>
        <v/>
      </c>
      <c r="M1035" s="112" t="str">
        <f t="shared" si="19"/>
        <v/>
      </c>
      <c r="N1035" s="113"/>
    </row>
    <row r="1036" spans="2:14">
      <c r="B1036" s="105"/>
      <c r="C1036" s="106"/>
      <c r="D1036" s="107"/>
      <c r="E1036" s="65"/>
      <c r="F1036" s="64"/>
      <c r="G1036" s="64"/>
      <c r="H1036" s="64"/>
      <c r="I1036" s="70"/>
      <c r="J1036" s="70"/>
      <c r="K1036" s="110" t="str">
        <f>IF(H1036="","",IF($C$29="간이법","",FPR(H1036,I1036,J1036)))</f>
        <v/>
      </c>
      <c r="L1036" s="111" t="str">
        <f>IF(H1036="","",IF($C$29="상세법",FPV(H1036,K1036),IF(H1036="EI",4,IF(H1036="EO",5.2,IF(H1036="EQ",3.9,IF(H1036="ILF",7.5,IF(H1036="EIF",5.4)))))))</f>
        <v/>
      </c>
      <c r="M1036" s="112" t="str">
        <f t="shared" si="19"/>
        <v/>
      </c>
      <c r="N1036" s="113"/>
    </row>
    <row r="1037" spans="2:14">
      <c r="B1037" s="105"/>
      <c r="C1037" s="106"/>
      <c r="D1037" s="107"/>
      <c r="E1037" s="65"/>
      <c r="F1037" s="64"/>
      <c r="G1037" s="64"/>
      <c r="H1037" s="64"/>
      <c r="I1037" s="70"/>
      <c r="J1037" s="70"/>
      <c r="K1037" s="110" t="str">
        <f>IF(H1037="","",IF($C$29="간이법","",FPR(H1037,I1037,J1037)))</f>
        <v/>
      </c>
      <c r="L1037" s="111" t="str">
        <f>IF(H1037="","",IF($C$29="상세법",FPV(H1037,K1037),IF(H1037="EI",4,IF(H1037="EO",5.2,IF(H1037="EQ",3.9,IF(H1037="ILF",7.5,IF(H1037="EIF",5.4)))))))</f>
        <v/>
      </c>
      <c r="M1037" s="112" t="str">
        <f t="shared" si="19"/>
        <v/>
      </c>
      <c r="N1037" s="113"/>
    </row>
    <row r="1038" spans="2:14">
      <c r="B1038" s="105"/>
      <c r="C1038" s="106"/>
      <c r="D1038" s="107"/>
      <c r="E1038" s="65"/>
      <c r="F1038" s="64"/>
      <c r="G1038" s="64"/>
      <c r="H1038" s="64"/>
      <c r="I1038" s="70"/>
      <c r="J1038" s="70"/>
      <c r="K1038" s="110" t="str">
        <f>IF(H1038="","",IF($C$29="간이법","",FPR(H1038,I1038,J1038)))</f>
        <v/>
      </c>
      <c r="L1038" s="111" t="str">
        <f>IF(H1038="","",IF($C$29="상세법",FPV(H1038,K1038),IF(H1038="EI",4,IF(H1038="EO",5.2,IF(H1038="EQ",3.9,IF(H1038="ILF",7.5,IF(H1038="EIF",5.4)))))))</f>
        <v/>
      </c>
      <c r="M1038" s="112" t="str">
        <f t="shared" si="19"/>
        <v/>
      </c>
      <c r="N1038" s="113"/>
    </row>
    <row r="1039" spans="2:14">
      <c r="B1039" s="105"/>
      <c r="C1039" s="106"/>
      <c r="D1039" s="107"/>
      <c r="E1039" s="65"/>
      <c r="F1039" s="64"/>
      <c r="G1039" s="64"/>
      <c r="H1039" s="64"/>
      <c r="I1039" s="70"/>
      <c r="J1039" s="70"/>
      <c r="K1039" s="110" t="str">
        <f>IF(H1039="","",IF($C$29="간이법","",FPR(H1039,I1039,J1039)))</f>
        <v/>
      </c>
      <c r="L1039" s="111" t="str">
        <f>IF(H1039="","",IF($C$29="상세법",FPV(H1039,K1039),IF(H1039="EI",4,IF(H1039="EO",5.2,IF(H1039="EQ",3.9,IF(H1039="ILF",7.5,IF(H1039="EIF",5.4)))))))</f>
        <v/>
      </c>
      <c r="M1039" s="112" t="str">
        <f t="shared" si="19"/>
        <v/>
      </c>
      <c r="N1039" s="113"/>
    </row>
    <row r="1040" spans="2:14">
      <c r="B1040" s="105"/>
      <c r="C1040" s="106"/>
      <c r="D1040" s="107"/>
      <c r="E1040" s="65"/>
      <c r="F1040" s="64"/>
      <c r="G1040" s="64"/>
      <c r="H1040" s="64"/>
      <c r="I1040" s="70"/>
      <c r="J1040" s="70"/>
      <c r="K1040" s="110" t="str">
        <f>IF(H1040="","",IF($C$29="간이법","",FPR(H1040,I1040,J1040)))</f>
        <v/>
      </c>
      <c r="L1040" s="111" t="str">
        <f>IF(H1040="","",IF($C$29="상세법",FPV(H1040,K1040),IF(H1040="EI",4,IF(H1040="EO",5.2,IF(H1040="EQ",3.9,IF(H1040="ILF",7.5,IF(H1040="EIF",5.4)))))))</f>
        <v/>
      </c>
      <c r="M1040" s="112" t="str">
        <f t="shared" si="19"/>
        <v/>
      </c>
      <c r="N1040" s="113"/>
    </row>
    <row r="1041" spans="2:14">
      <c r="B1041" s="105"/>
      <c r="C1041" s="106"/>
      <c r="D1041" s="107"/>
      <c r="E1041" s="65"/>
      <c r="F1041" s="64"/>
      <c r="G1041" s="64"/>
      <c r="H1041" s="64"/>
      <c r="I1041" s="70"/>
      <c r="J1041" s="70"/>
      <c r="K1041" s="110" t="str">
        <f>IF(H1041="","",IF($C$29="간이법","",FPR(H1041,I1041,J1041)))</f>
        <v/>
      </c>
      <c r="L1041" s="111" t="str">
        <f>IF(H1041="","",IF($C$29="상세법",FPV(H1041,K1041),IF(H1041="EI",4,IF(H1041="EO",5.2,IF(H1041="EQ",3.9,IF(H1041="ILF",7.5,IF(H1041="EIF",5.4)))))))</f>
        <v/>
      </c>
      <c r="M1041" s="112" t="str">
        <f t="shared" si="19"/>
        <v/>
      </c>
      <c r="N1041" s="113"/>
    </row>
    <row r="1042" spans="2:14">
      <c r="B1042" s="105"/>
      <c r="C1042" s="106"/>
      <c r="D1042" s="107"/>
      <c r="E1042" s="65"/>
      <c r="F1042" s="64"/>
      <c r="G1042" s="64"/>
      <c r="H1042" s="64"/>
      <c r="I1042" s="70"/>
      <c r="J1042" s="70"/>
      <c r="K1042" s="110" t="str">
        <f>IF(H1042="","",IF($C$29="간이법","",FPR(H1042,I1042,J1042)))</f>
        <v/>
      </c>
      <c r="L1042" s="111" t="str">
        <f>IF(H1042="","",IF($C$29="상세법",FPV(H1042,K1042),IF(H1042="EI",4,IF(H1042="EO",5.2,IF(H1042="EQ",3.9,IF(H1042="ILF",7.5,IF(H1042="EIF",5.4)))))))</f>
        <v/>
      </c>
      <c r="M1042" s="112" t="str">
        <f t="shared" si="19"/>
        <v/>
      </c>
      <c r="N1042" s="113"/>
    </row>
    <row r="1043" spans="2:14">
      <c r="B1043" s="105"/>
      <c r="C1043" s="106"/>
      <c r="D1043" s="107"/>
      <c r="E1043" s="65"/>
      <c r="F1043" s="64"/>
      <c r="G1043" s="64"/>
      <c r="H1043" s="64"/>
      <c r="I1043" s="70"/>
      <c r="J1043" s="70"/>
      <c r="K1043" s="110" t="str">
        <f>IF(H1043="","",IF($C$29="간이법","",FPR(H1043,I1043,J1043)))</f>
        <v/>
      </c>
      <c r="L1043" s="111" t="str">
        <f>IF(H1043="","",IF($C$29="상세법",FPV(H1043,K1043),IF(H1043="EI",4,IF(H1043="EO",5.2,IF(H1043="EQ",3.9,IF(H1043="ILF",7.5,IF(H1043="EIF",5.4)))))))</f>
        <v/>
      </c>
      <c r="M1043" s="112" t="str">
        <f t="shared" si="19"/>
        <v/>
      </c>
      <c r="N1043" s="113"/>
    </row>
    <row r="1044" spans="2:14">
      <c r="B1044" s="105"/>
      <c r="C1044" s="106"/>
      <c r="D1044" s="107"/>
      <c r="E1044" s="65"/>
      <c r="F1044" s="64"/>
      <c r="G1044" s="64"/>
      <c r="H1044" s="64"/>
      <c r="I1044" s="70"/>
      <c r="J1044" s="70"/>
      <c r="K1044" s="110" t="str">
        <f>IF(H1044="","",IF($C$29="간이법","",FPR(H1044,I1044,J1044)))</f>
        <v/>
      </c>
      <c r="L1044" s="111" t="str">
        <f>IF(H1044="","",IF($C$29="상세법",FPV(H1044,K1044),IF(H1044="EI",4,IF(H1044="EO",5.2,IF(H1044="EQ",3.9,IF(H1044="ILF",7.5,IF(H1044="EIF",5.4)))))))</f>
        <v/>
      </c>
      <c r="M1044" s="112" t="str">
        <f t="shared" si="19"/>
        <v/>
      </c>
      <c r="N1044" s="113"/>
    </row>
    <row r="1045" spans="2:14">
      <c r="B1045" s="105"/>
      <c r="C1045" s="106"/>
      <c r="D1045" s="107"/>
      <c r="E1045" s="65"/>
      <c r="F1045" s="64"/>
      <c r="G1045" s="64"/>
      <c r="H1045" s="64"/>
      <c r="I1045" s="70"/>
      <c r="J1045" s="70"/>
      <c r="K1045" s="110" t="str">
        <f>IF(H1045="","",IF($C$29="간이법","",FPR(H1045,I1045,J1045)))</f>
        <v/>
      </c>
      <c r="L1045" s="111" t="str">
        <f>IF(H1045="","",IF($C$29="상세법",FPV(H1045,K1045),IF(H1045="EI",4,IF(H1045="EO",5.2,IF(H1045="EQ",3.9,IF(H1045="ILF",7.5,IF(H1045="EIF",5.4)))))))</f>
        <v/>
      </c>
      <c r="M1045" s="112" t="str">
        <f t="shared" si="19"/>
        <v/>
      </c>
      <c r="N1045" s="113"/>
    </row>
    <row r="1046" spans="2:14">
      <c r="B1046" s="105"/>
      <c r="C1046" s="106"/>
      <c r="D1046" s="107"/>
      <c r="E1046" s="65"/>
      <c r="F1046" s="64"/>
      <c r="G1046" s="64"/>
      <c r="H1046" s="64"/>
      <c r="I1046" s="70"/>
      <c r="J1046" s="70"/>
      <c r="K1046" s="110" t="str">
        <f>IF(H1046="","",IF($C$29="간이법","",FPR(H1046,I1046,J1046)))</f>
        <v/>
      </c>
      <c r="L1046" s="111" t="str">
        <f>IF(H1046="","",IF($C$29="상세법",FPV(H1046,K1046),IF(H1046="EI",4,IF(H1046="EO",5.2,IF(H1046="EQ",3.9,IF(H1046="ILF",7.5,IF(H1046="EIF",5.4)))))))</f>
        <v/>
      </c>
      <c r="M1046" s="112" t="str">
        <f t="shared" si="19"/>
        <v/>
      </c>
      <c r="N1046" s="113"/>
    </row>
    <row r="1047" spans="2:14">
      <c r="B1047" s="105"/>
      <c r="C1047" s="106"/>
      <c r="D1047" s="107"/>
      <c r="E1047" s="65"/>
      <c r="F1047" s="64"/>
      <c r="G1047" s="64"/>
      <c r="H1047" s="64"/>
      <c r="I1047" s="70"/>
      <c r="J1047" s="70"/>
      <c r="K1047" s="110" t="str">
        <f>IF(H1047="","",IF($C$29="간이법","",FPR(H1047,I1047,J1047)))</f>
        <v/>
      </c>
      <c r="L1047" s="111" t="str">
        <f>IF(H1047="","",IF($C$29="상세법",FPV(H1047,K1047),IF(H1047="EI",4,IF(H1047="EO",5.2,IF(H1047="EQ",3.9,IF(H1047="ILF",7.5,IF(H1047="EIF",5.4)))))))</f>
        <v/>
      </c>
      <c r="M1047" s="112" t="str">
        <f t="shared" si="19"/>
        <v/>
      </c>
      <c r="N1047" s="113"/>
    </row>
    <row r="1048" spans="2:14">
      <c r="B1048" s="105"/>
      <c r="C1048" s="106"/>
      <c r="D1048" s="107"/>
      <c r="E1048" s="65"/>
      <c r="F1048" s="64"/>
      <c r="G1048" s="64"/>
      <c r="H1048" s="64"/>
      <c r="I1048" s="70"/>
      <c r="J1048" s="70"/>
      <c r="K1048" s="110" t="str">
        <f>IF(H1048="","",IF($C$29="간이법","",FPR(H1048,I1048,J1048)))</f>
        <v/>
      </c>
      <c r="L1048" s="111" t="str">
        <f>IF(H1048="","",IF($C$29="상세법",FPV(H1048,K1048),IF(H1048="EI",4,IF(H1048="EO",5.2,IF(H1048="EQ",3.9,IF(H1048="ILF",7.5,IF(H1048="EIF",5.4)))))))</f>
        <v/>
      </c>
      <c r="M1048" s="112" t="str">
        <f t="shared" si="19"/>
        <v/>
      </c>
      <c r="N1048" s="113"/>
    </row>
    <row r="1049" spans="2:14">
      <c r="B1049" s="105"/>
      <c r="C1049" s="106"/>
      <c r="D1049" s="107"/>
      <c r="E1049" s="65"/>
      <c r="F1049" s="64"/>
      <c r="G1049" s="64"/>
      <c r="H1049" s="64"/>
      <c r="I1049" s="70"/>
      <c r="J1049" s="70"/>
      <c r="K1049" s="110" t="str">
        <f>IF(H1049="","",IF($C$29="간이법","",FPR(H1049,I1049,J1049)))</f>
        <v/>
      </c>
      <c r="L1049" s="111" t="str">
        <f>IF(H1049="","",IF($C$29="상세법",FPV(H1049,K1049),IF(H1049="EI",4,IF(H1049="EO",5.2,IF(H1049="EQ",3.9,IF(H1049="ILF",7.5,IF(H1049="EIF",5.4)))))))</f>
        <v/>
      </c>
      <c r="M1049" s="112" t="str">
        <f t="shared" si="19"/>
        <v/>
      </c>
      <c r="N1049" s="113"/>
    </row>
    <row r="1050" spans="2:14">
      <c r="B1050" s="105"/>
      <c r="C1050" s="106"/>
      <c r="D1050" s="107"/>
      <c r="E1050" s="65"/>
      <c r="F1050" s="64"/>
      <c r="G1050" s="64"/>
      <c r="H1050" s="64"/>
      <c r="I1050" s="70"/>
      <c r="J1050" s="70"/>
      <c r="K1050" s="110" t="str">
        <f>IF(H1050="","",IF($C$29="간이법","",FPR(H1050,I1050,J1050)))</f>
        <v/>
      </c>
      <c r="L1050" s="111" t="str">
        <f>IF(H1050="","",IF($C$29="상세법",FPV(H1050,K1050),IF(H1050="EI",4,IF(H1050="EO",5.2,IF(H1050="EQ",3.9,IF(H1050="ILF",7.5,IF(H1050="EIF",5.4)))))))</f>
        <v/>
      </c>
      <c r="M1050" s="112" t="str">
        <f t="shared" si="19"/>
        <v/>
      </c>
      <c r="N1050" s="113"/>
    </row>
    <row r="1051" spans="2:14">
      <c r="B1051" s="105"/>
      <c r="C1051" s="106"/>
      <c r="D1051" s="107"/>
      <c r="E1051" s="65"/>
      <c r="F1051" s="64"/>
      <c r="G1051" s="64"/>
      <c r="H1051" s="64"/>
      <c r="I1051" s="70"/>
      <c r="J1051" s="70"/>
      <c r="K1051" s="110" t="str">
        <f>IF(H1051="","",IF($C$29="간이법","",FPR(H1051,I1051,J1051)))</f>
        <v/>
      </c>
      <c r="L1051" s="111" t="str">
        <f>IF(H1051="","",IF($C$29="상세법",FPV(H1051,K1051),IF(H1051="EI",4,IF(H1051="EO",5.2,IF(H1051="EQ",3.9,IF(H1051="ILF",7.5,IF(H1051="EIF",5.4)))))))</f>
        <v/>
      </c>
      <c r="M1051" s="112" t="str">
        <f t="shared" si="19"/>
        <v/>
      </c>
      <c r="N1051" s="113"/>
    </row>
    <row r="1052" spans="2:14">
      <c r="B1052" s="105"/>
      <c r="C1052" s="106"/>
      <c r="D1052" s="107"/>
      <c r="E1052" s="65"/>
      <c r="F1052" s="64"/>
      <c r="G1052" s="64"/>
      <c r="H1052" s="64"/>
      <c r="I1052" s="70"/>
      <c r="J1052" s="70"/>
      <c r="K1052" s="110" t="str">
        <f>IF(H1052="","",IF($C$29="간이법","",FPR(H1052,I1052,J1052)))</f>
        <v/>
      </c>
      <c r="L1052" s="111" t="str">
        <f>IF(H1052="","",IF($C$29="상세법",FPV(H1052,K1052),IF(H1052="EI",4,IF(H1052="EO",5.2,IF(H1052="EQ",3.9,IF(H1052="ILF",7.5,IF(H1052="EIF",5.4)))))))</f>
        <v/>
      </c>
      <c r="M1052" s="112" t="str">
        <f t="shared" si="19"/>
        <v/>
      </c>
      <c r="N1052" s="113"/>
    </row>
    <row r="1053" spans="2:14">
      <c r="B1053" s="105"/>
      <c r="C1053" s="106"/>
      <c r="D1053" s="107"/>
      <c r="E1053" s="65"/>
      <c r="F1053" s="64"/>
      <c r="G1053" s="64"/>
      <c r="H1053" s="64"/>
      <c r="I1053" s="70"/>
      <c r="J1053" s="70"/>
      <c r="K1053" s="110" t="str">
        <f>IF(H1053="","",IF($C$29="간이법","",FPR(H1053,I1053,J1053)))</f>
        <v/>
      </c>
      <c r="L1053" s="111" t="str">
        <f>IF(H1053="","",IF($C$29="상세법",FPV(H1053,K1053),IF(H1053="EI",4,IF(H1053="EO",5.2,IF(H1053="EQ",3.9,IF(H1053="ILF",7.5,IF(H1053="EIF",5.4)))))))</f>
        <v/>
      </c>
      <c r="M1053" s="112" t="str">
        <f t="shared" si="19"/>
        <v/>
      </c>
      <c r="N1053" s="113"/>
    </row>
    <row r="1054" spans="2:14">
      <c r="B1054" s="105"/>
      <c r="C1054" s="106"/>
      <c r="D1054" s="107"/>
      <c r="E1054" s="65"/>
      <c r="F1054" s="64"/>
      <c r="G1054" s="64"/>
      <c r="H1054" s="64"/>
      <c r="I1054" s="70"/>
      <c r="J1054" s="70"/>
      <c r="K1054" s="110" t="str">
        <f>IF(H1054="","",IF($C$29="간이법","",FPR(H1054,I1054,J1054)))</f>
        <v/>
      </c>
      <c r="L1054" s="111" t="str">
        <f>IF(H1054="","",IF($C$29="상세법",FPV(H1054,K1054),IF(H1054="EI",4,IF(H1054="EO",5.2,IF(H1054="EQ",3.9,IF(H1054="ILF",7.5,IF(H1054="EIF",5.4)))))))</f>
        <v/>
      </c>
      <c r="M1054" s="112" t="str">
        <f t="shared" si="19"/>
        <v/>
      </c>
      <c r="N1054" s="113"/>
    </row>
    <row r="1055" spans="2:14">
      <c r="B1055" s="105"/>
      <c r="C1055" s="106"/>
      <c r="D1055" s="107"/>
      <c r="E1055" s="65"/>
      <c r="F1055" s="64"/>
      <c r="G1055" s="64"/>
      <c r="H1055" s="64"/>
      <c r="I1055" s="70"/>
      <c r="J1055" s="70"/>
      <c r="K1055" s="110" t="str">
        <f>IF(H1055="","",IF($C$29="간이법","",FPR(H1055,I1055,J1055)))</f>
        <v/>
      </c>
      <c r="L1055" s="111" t="str">
        <f>IF(H1055="","",IF($C$29="상세법",FPV(H1055,K1055),IF(H1055="EI",4,IF(H1055="EO",5.2,IF(H1055="EQ",3.9,IF(H1055="ILF",7.5,IF(H1055="EIF",5.4)))))))</f>
        <v/>
      </c>
      <c r="M1055" s="112" t="str">
        <f t="shared" si="19"/>
        <v/>
      </c>
      <c r="N1055" s="113"/>
    </row>
    <row r="1056" spans="2:14">
      <c r="B1056" s="105"/>
      <c r="C1056" s="106"/>
      <c r="D1056" s="107"/>
      <c r="E1056" s="65"/>
      <c r="F1056" s="64"/>
      <c r="G1056" s="64"/>
      <c r="H1056" s="64"/>
      <c r="I1056" s="70"/>
      <c r="J1056" s="70"/>
      <c r="K1056" s="110" t="str">
        <f>IF(H1056="","",IF($C$29="간이법","",FPR(H1056,I1056,J1056)))</f>
        <v/>
      </c>
      <c r="L1056" s="111" t="str">
        <f>IF(H1056="","",IF($C$29="상세법",FPV(H1056,K1056),IF(H1056="EI",4,IF(H1056="EO",5.2,IF(H1056="EQ",3.9,IF(H1056="ILF",7.5,IF(H1056="EIF",5.4)))))))</f>
        <v/>
      </c>
      <c r="M1056" s="112" t="str">
        <f t="shared" si="19"/>
        <v/>
      </c>
      <c r="N1056" s="113"/>
    </row>
    <row r="1057" spans="2:14">
      <c r="B1057" s="105"/>
      <c r="C1057" s="106"/>
      <c r="D1057" s="107"/>
      <c r="E1057" s="65"/>
      <c r="F1057" s="64"/>
      <c r="G1057" s="64"/>
      <c r="H1057" s="64"/>
      <c r="I1057" s="70"/>
      <c r="J1057" s="70"/>
      <c r="K1057" s="110" t="str">
        <f>IF(H1057="","",IF($C$29="간이법","",FPR(H1057,I1057,J1057)))</f>
        <v/>
      </c>
      <c r="L1057" s="111" t="str">
        <f>IF(H1057="","",IF($C$29="상세법",FPV(H1057,K1057),IF(H1057="EI",4,IF(H1057="EO",5.2,IF(H1057="EQ",3.9,IF(H1057="ILF",7.5,IF(H1057="EIF",5.4)))))))</f>
        <v/>
      </c>
      <c r="M1057" s="112" t="str">
        <f t="shared" si="19"/>
        <v/>
      </c>
      <c r="N1057" s="113"/>
    </row>
    <row r="1058" spans="2:14">
      <c r="B1058" s="105"/>
      <c r="C1058" s="106"/>
      <c r="D1058" s="107"/>
      <c r="E1058" s="65"/>
      <c r="F1058" s="64"/>
      <c r="G1058" s="64"/>
      <c r="H1058" s="64"/>
      <c r="I1058" s="70"/>
      <c r="J1058" s="70"/>
      <c r="K1058" s="110" t="str">
        <f>IF(H1058="","",IF($C$29="간이법","",FPR(H1058,I1058,J1058)))</f>
        <v/>
      </c>
      <c r="L1058" s="111" t="str">
        <f>IF(H1058="","",IF($C$29="상세법",FPV(H1058,K1058),IF(H1058="EI",4,IF(H1058="EO",5.2,IF(H1058="EQ",3.9,IF(H1058="ILF",7.5,IF(H1058="EIF",5.4)))))))</f>
        <v/>
      </c>
      <c r="M1058" s="112" t="str">
        <f t="shared" si="19"/>
        <v/>
      </c>
      <c r="N1058" s="113"/>
    </row>
    <row r="1059" spans="2:14">
      <c r="B1059" s="105"/>
      <c r="C1059" s="106"/>
      <c r="D1059" s="107"/>
      <c r="E1059" s="65"/>
      <c r="F1059" s="64"/>
      <c r="G1059" s="64"/>
      <c r="H1059" s="64"/>
      <c r="I1059" s="70"/>
      <c r="J1059" s="70"/>
      <c r="K1059" s="110" t="str">
        <f>IF(H1059="","",IF($C$29="간이법","",FPR(H1059,I1059,J1059)))</f>
        <v/>
      </c>
      <c r="L1059" s="111" t="str">
        <f>IF(H1059="","",IF($C$29="상세법",FPV(H1059,K1059),IF(H1059="EI",4,IF(H1059="EO",5.2,IF(H1059="EQ",3.9,IF(H1059="ILF",7.5,IF(H1059="EIF",5.4)))))))</f>
        <v/>
      </c>
      <c r="M1059" s="112" t="str">
        <f t="shared" si="19"/>
        <v/>
      </c>
      <c r="N1059" s="113"/>
    </row>
    <row r="1060" spans="2:14">
      <c r="B1060" s="105"/>
      <c r="C1060" s="106"/>
      <c r="D1060" s="107"/>
      <c r="E1060" s="65"/>
      <c r="F1060" s="64"/>
      <c r="G1060" s="64"/>
      <c r="H1060" s="64"/>
      <c r="I1060" s="70"/>
      <c r="J1060" s="70"/>
      <c r="K1060" s="110" t="str">
        <f>IF(H1060="","",IF($C$29="간이법","",FPR(H1060,I1060,J1060)))</f>
        <v/>
      </c>
      <c r="L1060" s="111" t="str">
        <f>IF(H1060="","",IF($C$29="상세법",FPV(H1060,K1060),IF(H1060="EI",4,IF(H1060="EO",5.2,IF(H1060="EQ",3.9,IF(H1060="ILF",7.5,IF(H1060="EIF",5.4)))))))</f>
        <v/>
      </c>
      <c r="M1060" s="112" t="str">
        <f t="shared" si="19"/>
        <v/>
      </c>
      <c r="N1060" s="113"/>
    </row>
    <row r="1061" spans="2:14">
      <c r="B1061" s="105"/>
      <c r="C1061" s="106"/>
      <c r="D1061" s="107"/>
      <c r="E1061" s="65"/>
      <c r="F1061" s="64"/>
      <c r="G1061" s="64"/>
      <c r="H1061" s="64"/>
      <c r="I1061" s="70"/>
      <c r="J1061" s="70"/>
      <c r="K1061" s="110" t="str">
        <f>IF(H1061="","",IF($C$29="간이법","",FPR(H1061,I1061,J1061)))</f>
        <v/>
      </c>
      <c r="L1061" s="111" t="str">
        <f>IF(H1061="","",IF($C$29="상세법",FPV(H1061,K1061),IF(H1061="EI",4,IF(H1061="EO",5.2,IF(H1061="EQ",3.9,IF(H1061="ILF",7.5,IF(H1061="EIF",5.4)))))))</f>
        <v/>
      </c>
      <c r="M1061" s="112" t="str">
        <f t="shared" si="19"/>
        <v/>
      </c>
      <c r="N1061" s="113"/>
    </row>
    <row r="1062" spans="2:14">
      <c r="B1062" s="105"/>
      <c r="C1062" s="106"/>
      <c r="D1062" s="107"/>
      <c r="E1062" s="65"/>
      <c r="F1062" s="64"/>
      <c r="G1062" s="64"/>
      <c r="H1062" s="64"/>
      <c r="I1062" s="70"/>
      <c r="J1062" s="70"/>
      <c r="K1062" s="110" t="str">
        <f>IF(H1062="","",IF($C$29="간이법","",FPR(H1062,I1062,J1062)))</f>
        <v/>
      </c>
      <c r="L1062" s="111" t="str">
        <f>IF(H1062="","",IF($C$29="상세법",FPV(H1062,K1062),IF(H1062="EI",4,IF(H1062="EO",5.2,IF(H1062="EQ",3.9,IF(H1062="ILF",7.5,IF(H1062="EIF",5.4)))))))</f>
        <v/>
      </c>
      <c r="M1062" s="112" t="str">
        <f t="shared" si="19"/>
        <v/>
      </c>
      <c r="N1062" s="113"/>
    </row>
    <row r="1063" spans="2:14">
      <c r="B1063" s="105"/>
      <c r="C1063" s="106"/>
      <c r="D1063" s="107"/>
      <c r="E1063" s="65"/>
      <c r="F1063" s="64"/>
      <c r="G1063" s="64"/>
      <c r="H1063" s="64"/>
      <c r="I1063" s="70"/>
      <c r="J1063" s="70"/>
      <c r="K1063" s="110" t="str">
        <f>IF(H1063="","",IF($C$29="간이법","",FPR(H1063,I1063,J1063)))</f>
        <v/>
      </c>
      <c r="L1063" s="111" t="str">
        <f>IF(H1063="","",IF($C$29="상세법",FPV(H1063,K1063),IF(H1063="EI",4,IF(H1063="EO",5.2,IF(H1063="EQ",3.9,IF(H1063="ILF",7.5,IF(H1063="EIF",5.4)))))))</f>
        <v/>
      </c>
      <c r="M1063" s="112" t="str">
        <f t="shared" si="19"/>
        <v/>
      </c>
      <c r="N1063" s="113"/>
    </row>
    <row r="1064" spans="2:14">
      <c r="B1064" s="105"/>
      <c r="C1064" s="106"/>
      <c r="D1064" s="107"/>
      <c r="E1064" s="65"/>
      <c r="F1064" s="64"/>
      <c r="G1064" s="64"/>
      <c r="H1064" s="64"/>
      <c r="I1064" s="70"/>
      <c r="J1064" s="70"/>
      <c r="K1064" s="110" t="str">
        <f>IF(H1064="","",IF($C$29="간이법","",FPR(H1064,I1064,J1064)))</f>
        <v/>
      </c>
      <c r="L1064" s="111" t="str">
        <f>IF(H1064="","",IF($C$29="상세법",FPV(H1064,K1064),IF(H1064="EI",4,IF(H1064="EO",5.2,IF(H1064="EQ",3.9,IF(H1064="ILF",7.5,IF(H1064="EIF",5.4)))))))</f>
        <v/>
      </c>
      <c r="M1064" s="112" t="str">
        <f t="shared" si="19"/>
        <v/>
      </c>
      <c r="N1064" s="113"/>
    </row>
    <row r="1065" spans="2:14">
      <c r="B1065" s="105"/>
      <c r="C1065" s="106"/>
      <c r="D1065" s="107"/>
      <c r="E1065" s="65"/>
      <c r="F1065" s="64"/>
      <c r="G1065" s="64"/>
      <c r="H1065" s="64"/>
      <c r="I1065" s="70"/>
      <c r="J1065" s="70"/>
      <c r="K1065" s="110" t="str">
        <f>IF(H1065="","",IF($C$29="간이법","",FPR(H1065,I1065,J1065)))</f>
        <v/>
      </c>
      <c r="L1065" s="111" t="str">
        <f>IF(H1065="","",IF($C$29="상세법",FPV(H1065,K1065),IF(H1065="EI",4,IF(H1065="EO",5.2,IF(H1065="EQ",3.9,IF(H1065="ILF",7.5,IF(H1065="EIF",5.4)))))))</f>
        <v/>
      </c>
      <c r="M1065" s="112" t="str">
        <f t="shared" si="19"/>
        <v/>
      </c>
      <c r="N1065" s="113"/>
    </row>
    <row r="1066" spans="2:14">
      <c r="B1066" s="105"/>
      <c r="C1066" s="106"/>
      <c r="D1066" s="107"/>
      <c r="E1066" s="65"/>
      <c r="F1066" s="64"/>
      <c r="G1066" s="64"/>
      <c r="H1066" s="64"/>
      <c r="I1066" s="70"/>
      <c r="J1066" s="70"/>
      <c r="K1066" s="110" t="str">
        <f>IF(H1066="","",IF($C$29="간이법","",FPR(H1066,I1066,J1066)))</f>
        <v/>
      </c>
      <c r="L1066" s="111" t="str">
        <f>IF(H1066="","",IF($C$29="상세법",FPV(H1066,K1066),IF(H1066="EI",4,IF(H1066="EO",5.2,IF(H1066="EQ",3.9,IF(H1066="ILF",7.5,IF(H1066="EIF",5.4)))))))</f>
        <v/>
      </c>
      <c r="M1066" s="112" t="str">
        <f t="shared" si="19"/>
        <v/>
      </c>
      <c r="N1066" s="113"/>
    </row>
    <row r="1067" spans="2:14">
      <c r="B1067" s="105"/>
      <c r="C1067" s="106"/>
      <c r="D1067" s="107"/>
      <c r="E1067" s="65"/>
      <c r="F1067" s="64"/>
      <c r="G1067" s="64"/>
      <c r="H1067" s="64"/>
      <c r="I1067" s="70"/>
      <c r="J1067" s="70"/>
      <c r="K1067" s="110" t="str">
        <f>IF(H1067="","",IF($C$29="간이법","",FPR(H1067,I1067,J1067)))</f>
        <v/>
      </c>
      <c r="L1067" s="111" t="str">
        <f>IF(H1067="","",IF($C$29="상세법",FPV(H1067,K1067),IF(H1067="EI",4,IF(H1067="EO",5.2,IF(H1067="EQ",3.9,IF(H1067="ILF",7.5,IF(H1067="EIF",5.4)))))))</f>
        <v/>
      </c>
      <c r="M1067" s="112" t="str">
        <f t="shared" si="19"/>
        <v/>
      </c>
      <c r="N1067" s="113"/>
    </row>
    <row r="1068" spans="2:14">
      <c r="B1068" s="105"/>
      <c r="C1068" s="106"/>
      <c r="D1068" s="107"/>
      <c r="E1068" s="65"/>
      <c r="F1068" s="64"/>
      <c r="G1068" s="64"/>
      <c r="H1068" s="64"/>
      <c r="I1068" s="70"/>
      <c r="J1068" s="70"/>
      <c r="K1068" s="110" t="str">
        <f>IF(H1068="","",IF($C$29="간이법","",FPR(H1068,I1068,J1068)))</f>
        <v/>
      </c>
      <c r="L1068" s="111" t="str">
        <f>IF(H1068="","",IF($C$29="상세법",FPV(H1068,K1068),IF(H1068="EI",4,IF(H1068="EO",5.2,IF(H1068="EQ",3.9,IF(H1068="ILF",7.5,IF(H1068="EIF",5.4)))))))</f>
        <v/>
      </c>
      <c r="M1068" s="112" t="str">
        <f t="shared" si="19"/>
        <v/>
      </c>
      <c r="N1068" s="113"/>
    </row>
    <row r="1069" spans="2:14">
      <c r="B1069" s="105"/>
      <c r="C1069" s="106"/>
      <c r="D1069" s="107"/>
      <c r="E1069" s="65"/>
      <c r="F1069" s="64"/>
      <c r="G1069" s="64"/>
      <c r="H1069" s="64"/>
      <c r="I1069" s="70"/>
      <c r="J1069" s="70"/>
      <c r="K1069" s="110" t="str">
        <f>IF(H1069="","",IF($C$29="간이법","",FPR(H1069,I1069,J1069)))</f>
        <v/>
      </c>
      <c r="L1069" s="111" t="str">
        <f>IF(H1069="","",IF($C$29="상세법",FPV(H1069,K1069),IF(H1069="EI",4,IF(H1069="EO",5.2,IF(H1069="EQ",3.9,IF(H1069="ILF",7.5,IF(H1069="EIF",5.4)))))))</f>
        <v/>
      </c>
      <c r="M1069" s="112" t="str">
        <f t="shared" si="19"/>
        <v/>
      </c>
      <c r="N1069" s="113"/>
    </row>
    <row r="1070" spans="2:14">
      <c r="B1070" s="105"/>
      <c r="C1070" s="106"/>
      <c r="D1070" s="107"/>
      <c r="E1070" s="65"/>
      <c r="F1070" s="64"/>
      <c r="G1070" s="64"/>
      <c r="H1070" s="64"/>
      <c r="I1070" s="70"/>
      <c r="J1070" s="70"/>
      <c r="K1070" s="110" t="str">
        <f>IF(H1070="","",IF($C$29="간이법","",FPR(H1070,I1070,J1070)))</f>
        <v/>
      </c>
      <c r="L1070" s="111" t="str">
        <f>IF(H1070="","",IF($C$29="상세법",FPV(H1070,K1070),IF(H1070="EI",4,IF(H1070="EO",5.2,IF(H1070="EQ",3.9,IF(H1070="ILF",7.5,IF(H1070="EIF",5.4)))))))</f>
        <v/>
      </c>
      <c r="M1070" s="112" t="str">
        <f t="shared" si="19"/>
        <v/>
      </c>
      <c r="N1070" s="113"/>
    </row>
    <row r="1071" spans="2:14">
      <c r="B1071" s="105"/>
      <c r="C1071" s="106"/>
      <c r="D1071" s="107"/>
      <c r="E1071" s="65"/>
      <c r="F1071" s="64"/>
      <c r="G1071" s="64"/>
      <c r="H1071" s="64"/>
      <c r="I1071" s="70"/>
      <c r="J1071" s="70"/>
      <c r="K1071" s="110" t="str">
        <f>IF(H1071="","",IF($C$29="간이법","",FPR(H1071,I1071,J1071)))</f>
        <v/>
      </c>
      <c r="L1071" s="111" t="str">
        <f>IF(H1071="","",IF($C$29="상세법",FPV(H1071,K1071),IF(H1071="EI",4,IF(H1071="EO",5.2,IF(H1071="EQ",3.9,IF(H1071="ILF",7.5,IF(H1071="EIF",5.4)))))))</f>
        <v/>
      </c>
      <c r="M1071" s="112" t="str">
        <f t="shared" si="19"/>
        <v/>
      </c>
      <c r="N1071" s="113"/>
    </row>
    <row r="1072" spans="2:14">
      <c r="B1072" s="105"/>
      <c r="C1072" s="106"/>
      <c r="D1072" s="107"/>
      <c r="E1072" s="65"/>
      <c r="F1072" s="64"/>
      <c r="G1072" s="64"/>
      <c r="H1072" s="64"/>
      <c r="I1072" s="70"/>
      <c r="J1072" s="70"/>
      <c r="K1072" s="110" t="str">
        <f>IF(H1072="","",IF($C$29="간이법","",FPR(H1072,I1072,J1072)))</f>
        <v/>
      </c>
      <c r="L1072" s="111" t="str">
        <f>IF(H1072="","",IF($C$29="상세법",FPV(H1072,K1072),IF(H1072="EI",4,IF(H1072="EO",5.2,IF(H1072="EQ",3.9,IF(H1072="ILF",7.5,IF(H1072="EIF",5.4)))))))</f>
        <v/>
      </c>
      <c r="M1072" s="112" t="str">
        <f t="shared" si="19"/>
        <v/>
      </c>
      <c r="N1072" s="113"/>
    </row>
    <row r="1073" spans="2:14">
      <c r="B1073" s="105"/>
      <c r="C1073" s="106"/>
      <c r="D1073" s="107"/>
      <c r="E1073" s="65"/>
      <c r="F1073" s="64"/>
      <c r="G1073" s="64"/>
      <c r="H1073" s="64"/>
      <c r="I1073" s="70"/>
      <c r="J1073" s="70"/>
      <c r="K1073" s="110" t="str">
        <f>IF(H1073="","",IF($C$29="간이법","",FPR(H1073,I1073,J1073)))</f>
        <v/>
      </c>
      <c r="L1073" s="111" t="str">
        <f>IF(H1073="","",IF($C$29="상세법",FPV(H1073,K1073),IF(H1073="EI",4,IF(H1073="EO",5.2,IF(H1073="EQ",3.9,IF(H1073="ILF",7.5,IF(H1073="EIF",5.4)))))))</f>
        <v/>
      </c>
      <c r="M1073" s="112" t="str">
        <f t="shared" si="19"/>
        <v/>
      </c>
      <c r="N1073" s="113"/>
    </row>
    <row r="1074" spans="2:14">
      <c r="B1074" s="105"/>
      <c r="C1074" s="106"/>
      <c r="D1074" s="107"/>
      <c r="E1074" s="65"/>
      <c r="F1074" s="64"/>
      <c r="G1074" s="64"/>
      <c r="H1074" s="64"/>
      <c r="I1074" s="70"/>
      <c r="J1074" s="70"/>
      <c r="K1074" s="110" t="str">
        <f>IF(H1074="","",IF($C$29="간이법","",FPR(H1074,I1074,J1074)))</f>
        <v/>
      </c>
      <c r="L1074" s="111" t="str">
        <f>IF(H1074="","",IF($C$29="상세법",FPV(H1074,K1074),IF(H1074="EI",4,IF(H1074="EO",5.2,IF(H1074="EQ",3.9,IF(H1074="ILF",7.5,IF(H1074="EIF",5.4)))))))</f>
        <v/>
      </c>
      <c r="M1074" s="112" t="str">
        <f t="shared" si="19"/>
        <v/>
      </c>
      <c r="N1074" s="113"/>
    </row>
    <row r="1075" spans="2:14">
      <c r="B1075" s="105"/>
      <c r="C1075" s="106"/>
      <c r="D1075" s="107"/>
      <c r="E1075" s="65"/>
      <c r="F1075" s="64"/>
      <c r="G1075" s="64"/>
      <c r="H1075" s="64"/>
      <c r="I1075" s="70"/>
      <c r="J1075" s="70"/>
      <c r="K1075" s="110" t="str">
        <f>IF(H1075="","",IF($C$29="간이법","",FPR(H1075,I1075,J1075)))</f>
        <v/>
      </c>
      <c r="L1075" s="111" t="str">
        <f>IF(H1075="","",IF($C$29="상세법",FPV(H1075,K1075),IF(H1075="EI",4,IF(H1075="EO",5.2,IF(H1075="EQ",3.9,IF(H1075="ILF",7.5,IF(H1075="EIF",5.4)))))))</f>
        <v/>
      </c>
      <c r="M1075" s="112" t="str">
        <f t="shared" si="19"/>
        <v/>
      </c>
      <c r="N1075" s="113"/>
    </row>
    <row r="1076" spans="2:14">
      <c r="B1076" s="105"/>
      <c r="C1076" s="106"/>
      <c r="D1076" s="107"/>
      <c r="E1076" s="65"/>
      <c r="F1076" s="64"/>
      <c r="G1076" s="64"/>
      <c r="H1076" s="64"/>
      <c r="I1076" s="70"/>
      <c r="J1076" s="70"/>
      <c r="K1076" s="110" t="str">
        <f>IF(H1076="","",IF($C$29="간이법","",FPR(H1076,I1076,J1076)))</f>
        <v/>
      </c>
      <c r="L1076" s="111" t="str">
        <f>IF(H1076="","",IF($C$29="상세법",FPV(H1076,K1076),IF(H1076="EI",4,IF(H1076="EO",5.2,IF(H1076="EQ",3.9,IF(H1076="ILF",7.5,IF(H1076="EIF",5.4)))))))</f>
        <v/>
      </c>
      <c r="M1076" s="112" t="str">
        <f t="shared" si="19"/>
        <v/>
      </c>
      <c r="N1076" s="113"/>
    </row>
    <row r="1077" spans="2:14">
      <c r="B1077" s="105"/>
      <c r="C1077" s="106"/>
      <c r="D1077" s="107"/>
      <c r="E1077" s="65"/>
      <c r="F1077" s="64"/>
      <c r="G1077" s="64"/>
      <c r="H1077" s="64"/>
      <c r="I1077" s="70"/>
      <c r="J1077" s="70"/>
      <c r="K1077" s="110" t="str">
        <f>IF(H1077="","",IF($C$29="간이법","",FPR(H1077,I1077,J1077)))</f>
        <v/>
      </c>
      <c r="L1077" s="111" t="str">
        <f>IF(H1077="","",IF($C$29="상세법",FPV(H1077,K1077),IF(H1077="EI",4,IF(H1077="EO",5.2,IF(H1077="EQ",3.9,IF(H1077="ILF",7.5,IF(H1077="EIF",5.4)))))))</f>
        <v/>
      </c>
      <c r="M1077" s="112" t="str">
        <f t="shared" si="19"/>
        <v/>
      </c>
      <c r="N1077" s="113"/>
    </row>
    <row r="1078" spans="2:14">
      <c r="B1078" s="105"/>
      <c r="C1078" s="106"/>
      <c r="D1078" s="107"/>
      <c r="E1078" s="65"/>
      <c r="F1078" s="64"/>
      <c r="G1078" s="64"/>
      <c r="H1078" s="64"/>
      <c r="I1078" s="70"/>
      <c r="J1078" s="70"/>
      <c r="K1078" s="110" t="str">
        <f>IF(H1078="","",IF($C$29="간이법","",FPR(H1078,I1078,J1078)))</f>
        <v/>
      </c>
      <c r="L1078" s="111" t="str">
        <f>IF(H1078="","",IF($C$29="상세법",FPV(H1078,K1078),IF(H1078="EI",4,IF(H1078="EO",5.2,IF(H1078="EQ",3.9,IF(H1078="ILF",7.5,IF(H1078="EIF",5.4)))))))</f>
        <v/>
      </c>
      <c r="M1078" s="112" t="str">
        <f t="shared" si="19"/>
        <v/>
      </c>
      <c r="N1078" s="113"/>
    </row>
    <row r="1079" spans="2:14">
      <c r="B1079" s="105"/>
      <c r="C1079" s="106"/>
      <c r="D1079" s="107"/>
      <c r="E1079" s="65"/>
      <c r="F1079" s="64"/>
      <c r="G1079" s="64"/>
      <c r="H1079" s="64"/>
      <c r="I1079" s="70"/>
      <c r="J1079" s="70"/>
      <c r="K1079" s="110" t="str">
        <f>IF(H1079="","",IF($C$29="간이법","",FPR(H1079,I1079,J1079)))</f>
        <v/>
      </c>
      <c r="L1079" s="111" t="str">
        <f>IF(H1079="","",IF($C$29="상세법",FPV(H1079,K1079),IF(H1079="EI",4,IF(H1079="EO",5.2,IF(H1079="EQ",3.9,IF(H1079="ILF",7.5,IF(H1079="EIF",5.4)))))))</f>
        <v/>
      </c>
      <c r="M1079" s="112" t="str">
        <f t="shared" si="19"/>
        <v/>
      </c>
      <c r="N1079" s="113"/>
    </row>
    <row r="1080" spans="2:14">
      <c r="B1080" s="105"/>
      <c r="C1080" s="106"/>
      <c r="D1080" s="107"/>
      <c r="E1080" s="65"/>
      <c r="F1080" s="64"/>
      <c r="G1080" s="64"/>
      <c r="H1080" s="64"/>
      <c r="I1080" s="70"/>
      <c r="J1080" s="70"/>
      <c r="K1080" s="110" t="str">
        <f>IF(H1080="","",IF($C$29="간이법","",FPR(H1080,I1080,J1080)))</f>
        <v/>
      </c>
      <c r="L1080" s="111" t="str">
        <f>IF(H1080="","",IF($C$29="상세법",FPV(H1080,K1080),IF(H1080="EI",4,IF(H1080="EO",5.2,IF(H1080="EQ",3.9,IF(H1080="ILF",7.5,IF(H1080="EIF",5.4)))))))</f>
        <v/>
      </c>
      <c r="M1080" s="112" t="str">
        <f t="shared" si="19"/>
        <v/>
      </c>
      <c r="N1080" s="113"/>
    </row>
    <row r="1081" spans="2:14">
      <c r="B1081" s="105"/>
      <c r="C1081" s="106"/>
      <c r="D1081" s="107"/>
      <c r="E1081" s="65"/>
      <c r="F1081" s="64"/>
      <c r="G1081" s="64"/>
      <c r="H1081" s="64"/>
      <c r="I1081" s="70"/>
      <c r="J1081" s="70"/>
      <c r="K1081" s="110" t="str">
        <f>IF(H1081="","",IF($C$29="간이법","",FPR(H1081,I1081,J1081)))</f>
        <v/>
      </c>
      <c r="L1081" s="111" t="str">
        <f>IF(H1081="","",IF($C$29="상세법",FPV(H1081,K1081),IF(H1081="EI",4,IF(H1081="EO",5.2,IF(H1081="EQ",3.9,IF(H1081="ILF",7.5,IF(H1081="EIF",5.4)))))))</f>
        <v/>
      </c>
      <c r="M1081" s="112" t="str">
        <f t="shared" ref="M1081:M1144" si="20">IF(L1081="","",L1081*IF(G1081="상",0.7,IF(G1081="중",0.5,IF(G1081="하",0.2,1))))</f>
        <v/>
      </c>
      <c r="N1081" s="113"/>
    </row>
    <row r="1082" spans="2:14">
      <c r="B1082" s="105"/>
      <c r="C1082" s="106"/>
      <c r="D1082" s="107"/>
      <c r="E1082" s="65"/>
      <c r="F1082" s="64"/>
      <c r="G1082" s="64"/>
      <c r="H1082" s="64"/>
      <c r="I1082" s="70"/>
      <c r="J1082" s="70"/>
      <c r="K1082" s="110" t="str">
        <f>IF(H1082="","",IF($C$29="간이법","",FPR(H1082,I1082,J1082)))</f>
        <v/>
      </c>
      <c r="L1082" s="111" t="str">
        <f>IF(H1082="","",IF($C$29="상세법",FPV(H1082,K1082),IF(H1082="EI",4,IF(H1082="EO",5.2,IF(H1082="EQ",3.9,IF(H1082="ILF",7.5,IF(H1082="EIF",5.4)))))))</f>
        <v/>
      </c>
      <c r="M1082" s="112" t="str">
        <f t="shared" si="20"/>
        <v/>
      </c>
      <c r="N1082" s="113"/>
    </row>
    <row r="1083" spans="2:14">
      <c r="B1083" s="105"/>
      <c r="C1083" s="106"/>
      <c r="D1083" s="107"/>
      <c r="E1083" s="65"/>
      <c r="F1083" s="64"/>
      <c r="G1083" s="64"/>
      <c r="H1083" s="64"/>
      <c r="I1083" s="70"/>
      <c r="J1083" s="70"/>
      <c r="K1083" s="110" t="str">
        <f>IF(H1083="","",IF($C$29="간이법","",FPR(H1083,I1083,J1083)))</f>
        <v/>
      </c>
      <c r="L1083" s="111" t="str">
        <f>IF(H1083="","",IF($C$29="상세법",FPV(H1083,K1083),IF(H1083="EI",4,IF(H1083="EO",5.2,IF(H1083="EQ",3.9,IF(H1083="ILF",7.5,IF(H1083="EIF",5.4)))))))</f>
        <v/>
      </c>
      <c r="M1083" s="112" t="str">
        <f t="shared" si="20"/>
        <v/>
      </c>
      <c r="N1083" s="113"/>
    </row>
    <row r="1084" spans="2:14">
      <c r="B1084" s="105"/>
      <c r="C1084" s="106"/>
      <c r="D1084" s="107"/>
      <c r="E1084" s="65"/>
      <c r="F1084" s="64"/>
      <c r="G1084" s="64"/>
      <c r="H1084" s="64"/>
      <c r="I1084" s="70"/>
      <c r="J1084" s="70"/>
      <c r="K1084" s="110" t="str">
        <f>IF(H1084="","",IF($C$29="간이법","",FPR(H1084,I1084,J1084)))</f>
        <v/>
      </c>
      <c r="L1084" s="111" t="str">
        <f>IF(H1084="","",IF($C$29="상세법",FPV(H1084,K1084),IF(H1084="EI",4,IF(H1084="EO",5.2,IF(H1084="EQ",3.9,IF(H1084="ILF",7.5,IF(H1084="EIF",5.4)))))))</f>
        <v/>
      </c>
      <c r="M1084" s="112" t="str">
        <f t="shared" si="20"/>
        <v/>
      </c>
      <c r="N1084" s="113"/>
    </row>
    <row r="1085" spans="2:14">
      <c r="B1085" s="105"/>
      <c r="C1085" s="106"/>
      <c r="D1085" s="107"/>
      <c r="E1085" s="65"/>
      <c r="F1085" s="64"/>
      <c r="G1085" s="64"/>
      <c r="H1085" s="64"/>
      <c r="I1085" s="70"/>
      <c r="J1085" s="70"/>
      <c r="K1085" s="110" t="str">
        <f>IF(H1085="","",IF($C$29="간이법","",FPR(H1085,I1085,J1085)))</f>
        <v/>
      </c>
      <c r="L1085" s="111" t="str">
        <f>IF(H1085="","",IF($C$29="상세법",FPV(H1085,K1085),IF(H1085="EI",4,IF(H1085="EO",5.2,IF(H1085="EQ",3.9,IF(H1085="ILF",7.5,IF(H1085="EIF",5.4)))))))</f>
        <v/>
      </c>
      <c r="M1085" s="112" t="str">
        <f t="shared" si="20"/>
        <v/>
      </c>
      <c r="N1085" s="113"/>
    </row>
    <row r="1086" spans="2:14">
      <c r="B1086" s="105"/>
      <c r="C1086" s="106"/>
      <c r="D1086" s="107"/>
      <c r="E1086" s="65"/>
      <c r="F1086" s="64"/>
      <c r="G1086" s="64"/>
      <c r="H1086" s="64"/>
      <c r="I1086" s="70"/>
      <c r="J1086" s="70"/>
      <c r="K1086" s="110" t="str">
        <f>IF(H1086="","",IF($C$29="간이법","",FPR(H1086,I1086,J1086)))</f>
        <v/>
      </c>
      <c r="L1086" s="111" t="str">
        <f>IF(H1086="","",IF($C$29="상세법",FPV(H1086,K1086),IF(H1086="EI",4,IF(H1086="EO",5.2,IF(H1086="EQ",3.9,IF(H1086="ILF",7.5,IF(H1086="EIF",5.4)))))))</f>
        <v/>
      </c>
      <c r="M1086" s="112" t="str">
        <f t="shared" si="20"/>
        <v/>
      </c>
      <c r="N1086" s="113"/>
    </row>
    <row r="1087" spans="2:14">
      <c r="B1087" s="105"/>
      <c r="C1087" s="106"/>
      <c r="D1087" s="107"/>
      <c r="E1087" s="65"/>
      <c r="F1087" s="64"/>
      <c r="G1087" s="64"/>
      <c r="H1087" s="64"/>
      <c r="I1087" s="70"/>
      <c r="J1087" s="70"/>
      <c r="K1087" s="110" t="str">
        <f>IF(H1087="","",IF($C$29="간이법","",FPR(H1087,I1087,J1087)))</f>
        <v/>
      </c>
      <c r="L1087" s="111" t="str">
        <f>IF(H1087="","",IF($C$29="상세법",FPV(H1087,K1087),IF(H1087="EI",4,IF(H1087="EO",5.2,IF(H1087="EQ",3.9,IF(H1087="ILF",7.5,IF(H1087="EIF",5.4)))))))</f>
        <v/>
      </c>
      <c r="M1087" s="112" t="str">
        <f t="shared" si="20"/>
        <v/>
      </c>
      <c r="N1087" s="113"/>
    </row>
    <row r="1088" spans="2:14">
      <c r="B1088" s="105"/>
      <c r="C1088" s="106"/>
      <c r="D1088" s="107"/>
      <c r="E1088" s="65"/>
      <c r="F1088" s="64"/>
      <c r="G1088" s="64"/>
      <c r="H1088" s="64"/>
      <c r="I1088" s="70"/>
      <c r="J1088" s="70"/>
      <c r="K1088" s="110" t="str">
        <f>IF(H1088="","",IF($C$29="간이법","",FPR(H1088,I1088,J1088)))</f>
        <v/>
      </c>
      <c r="L1088" s="111" t="str">
        <f>IF(H1088="","",IF($C$29="상세법",FPV(H1088,K1088),IF(H1088="EI",4,IF(H1088="EO",5.2,IF(H1088="EQ",3.9,IF(H1088="ILF",7.5,IF(H1088="EIF",5.4)))))))</f>
        <v/>
      </c>
      <c r="M1088" s="112" t="str">
        <f t="shared" si="20"/>
        <v/>
      </c>
      <c r="N1088" s="113"/>
    </row>
    <row r="1089" spans="2:14">
      <c r="B1089" s="105"/>
      <c r="C1089" s="106"/>
      <c r="D1089" s="107"/>
      <c r="E1089" s="65"/>
      <c r="F1089" s="64"/>
      <c r="G1089" s="64"/>
      <c r="H1089" s="64"/>
      <c r="I1089" s="70"/>
      <c r="J1089" s="70"/>
      <c r="K1089" s="110" t="str">
        <f>IF(H1089="","",IF($C$29="간이법","",FPR(H1089,I1089,J1089)))</f>
        <v/>
      </c>
      <c r="L1089" s="111" t="str">
        <f>IF(H1089="","",IF($C$29="상세법",FPV(H1089,K1089),IF(H1089="EI",4,IF(H1089="EO",5.2,IF(H1089="EQ",3.9,IF(H1089="ILF",7.5,IF(H1089="EIF",5.4)))))))</f>
        <v/>
      </c>
      <c r="M1089" s="112" t="str">
        <f t="shared" si="20"/>
        <v/>
      </c>
      <c r="N1089" s="113"/>
    </row>
    <row r="1090" spans="2:14">
      <c r="B1090" s="105"/>
      <c r="C1090" s="106"/>
      <c r="D1090" s="107"/>
      <c r="E1090" s="65"/>
      <c r="F1090" s="64"/>
      <c r="G1090" s="64"/>
      <c r="H1090" s="64"/>
      <c r="I1090" s="70"/>
      <c r="J1090" s="70"/>
      <c r="K1090" s="110" t="str">
        <f>IF(H1090="","",IF($C$29="간이법","",FPR(H1090,I1090,J1090)))</f>
        <v/>
      </c>
      <c r="L1090" s="111" t="str">
        <f>IF(H1090="","",IF($C$29="상세법",FPV(H1090,K1090),IF(H1090="EI",4,IF(H1090="EO",5.2,IF(H1090="EQ",3.9,IF(H1090="ILF",7.5,IF(H1090="EIF",5.4)))))))</f>
        <v/>
      </c>
      <c r="M1090" s="112" t="str">
        <f t="shared" si="20"/>
        <v/>
      </c>
      <c r="N1090" s="113"/>
    </row>
    <row r="1091" spans="2:14">
      <c r="B1091" s="105"/>
      <c r="C1091" s="106"/>
      <c r="D1091" s="107"/>
      <c r="E1091" s="65"/>
      <c r="F1091" s="64"/>
      <c r="G1091" s="64"/>
      <c r="H1091" s="64"/>
      <c r="I1091" s="70"/>
      <c r="J1091" s="70"/>
      <c r="K1091" s="110" t="str">
        <f>IF(H1091="","",IF($C$29="간이법","",FPR(H1091,I1091,J1091)))</f>
        <v/>
      </c>
      <c r="L1091" s="111" t="str">
        <f>IF(H1091="","",IF($C$29="상세법",FPV(H1091,K1091),IF(H1091="EI",4,IF(H1091="EO",5.2,IF(H1091="EQ",3.9,IF(H1091="ILF",7.5,IF(H1091="EIF",5.4)))))))</f>
        <v/>
      </c>
      <c r="M1091" s="112" t="str">
        <f t="shared" si="20"/>
        <v/>
      </c>
      <c r="N1091" s="113"/>
    </row>
    <row r="1092" spans="2:14">
      <c r="B1092" s="105"/>
      <c r="C1092" s="106"/>
      <c r="D1092" s="107"/>
      <c r="E1092" s="65"/>
      <c r="F1092" s="64"/>
      <c r="G1092" s="64"/>
      <c r="H1092" s="64"/>
      <c r="I1092" s="70"/>
      <c r="J1092" s="70"/>
      <c r="K1092" s="110" t="str">
        <f>IF(H1092="","",IF($C$29="간이법","",FPR(H1092,I1092,J1092)))</f>
        <v/>
      </c>
      <c r="L1092" s="111" t="str">
        <f>IF(H1092="","",IF($C$29="상세법",FPV(H1092,K1092),IF(H1092="EI",4,IF(H1092="EO",5.2,IF(H1092="EQ",3.9,IF(H1092="ILF",7.5,IF(H1092="EIF",5.4)))))))</f>
        <v/>
      </c>
      <c r="M1092" s="112" t="str">
        <f t="shared" si="20"/>
        <v/>
      </c>
      <c r="N1092" s="113"/>
    </row>
    <row r="1093" spans="2:14">
      <c r="B1093" s="105"/>
      <c r="C1093" s="106"/>
      <c r="D1093" s="107"/>
      <c r="E1093" s="65"/>
      <c r="F1093" s="64"/>
      <c r="G1093" s="64"/>
      <c r="H1093" s="64"/>
      <c r="I1093" s="70"/>
      <c r="J1093" s="70"/>
      <c r="K1093" s="110" t="str">
        <f>IF(H1093="","",IF($C$29="간이법","",FPR(H1093,I1093,J1093)))</f>
        <v/>
      </c>
      <c r="L1093" s="111" t="str">
        <f>IF(H1093="","",IF($C$29="상세법",FPV(H1093,K1093),IF(H1093="EI",4,IF(H1093="EO",5.2,IF(H1093="EQ",3.9,IF(H1093="ILF",7.5,IF(H1093="EIF",5.4)))))))</f>
        <v/>
      </c>
      <c r="M1093" s="112" t="str">
        <f t="shared" si="20"/>
        <v/>
      </c>
      <c r="N1093" s="113"/>
    </row>
    <row r="1094" spans="2:14">
      <c r="B1094" s="105"/>
      <c r="C1094" s="106"/>
      <c r="D1094" s="107"/>
      <c r="E1094" s="65"/>
      <c r="F1094" s="64"/>
      <c r="G1094" s="64"/>
      <c r="H1094" s="64"/>
      <c r="I1094" s="70"/>
      <c r="J1094" s="70"/>
      <c r="K1094" s="110" t="str">
        <f>IF(H1094="","",IF($C$29="간이법","",FPR(H1094,I1094,J1094)))</f>
        <v/>
      </c>
      <c r="L1094" s="111" t="str">
        <f>IF(H1094="","",IF($C$29="상세법",FPV(H1094,K1094),IF(H1094="EI",4,IF(H1094="EO",5.2,IF(H1094="EQ",3.9,IF(H1094="ILF",7.5,IF(H1094="EIF",5.4)))))))</f>
        <v/>
      </c>
      <c r="M1094" s="112" t="str">
        <f t="shared" si="20"/>
        <v/>
      </c>
      <c r="N1094" s="113"/>
    </row>
    <row r="1095" spans="2:14">
      <c r="B1095" s="105"/>
      <c r="C1095" s="106"/>
      <c r="D1095" s="107"/>
      <c r="E1095" s="65"/>
      <c r="F1095" s="64"/>
      <c r="G1095" s="64"/>
      <c r="H1095" s="64"/>
      <c r="I1095" s="70"/>
      <c r="J1095" s="70"/>
      <c r="K1095" s="110" t="str">
        <f>IF(H1095="","",IF($C$29="간이법","",FPR(H1095,I1095,J1095)))</f>
        <v/>
      </c>
      <c r="L1095" s="111" t="str">
        <f>IF(H1095="","",IF($C$29="상세법",FPV(H1095,K1095),IF(H1095="EI",4,IF(H1095="EO",5.2,IF(H1095="EQ",3.9,IF(H1095="ILF",7.5,IF(H1095="EIF",5.4)))))))</f>
        <v/>
      </c>
      <c r="M1095" s="112" t="str">
        <f t="shared" si="20"/>
        <v/>
      </c>
      <c r="N1095" s="113"/>
    </row>
    <row r="1096" spans="2:14">
      <c r="B1096" s="105"/>
      <c r="C1096" s="106"/>
      <c r="D1096" s="107"/>
      <c r="E1096" s="65"/>
      <c r="F1096" s="64"/>
      <c r="G1096" s="64"/>
      <c r="H1096" s="64"/>
      <c r="I1096" s="70"/>
      <c r="J1096" s="70"/>
      <c r="K1096" s="110" t="str">
        <f>IF(H1096="","",IF($C$29="간이법","",FPR(H1096,I1096,J1096)))</f>
        <v/>
      </c>
      <c r="L1096" s="111" t="str">
        <f>IF(H1096="","",IF($C$29="상세법",FPV(H1096,K1096),IF(H1096="EI",4,IF(H1096="EO",5.2,IF(H1096="EQ",3.9,IF(H1096="ILF",7.5,IF(H1096="EIF",5.4)))))))</f>
        <v/>
      </c>
      <c r="M1096" s="112" t="str">
        <f t="shared" si="20"/>
        <v/>
      </c>
      <c r="N1096" s="113"/>
    </row>
    <row r="1097" spans="2:14">
      <c r="B1097" s="105"/>
      <c r="C1097" s="106"/>
      <c r="D1097" s="107"/>
      <c r="E1097" s="65"/>
      <c r="F1097" s="64"/>
      <c r="G1097" s="64"/>
      <c r="H1097" s="64"/>
      <c r="I1097" s="70"/>
      <c r="J1097" s="70"/>
      <c r="K1097" s="110" t="str">
        <f>IF(H1097="","",IF($C$29="간이법","",FPR(H1097,I1097,J1097)))</f>
        <v/>
      </c>
      <c r="L1097" s="111" t="str">
        <f>IF(H1097="","",IF($C$29="상세법",FPV(H1097,K1097),IF(H1097="EI",4,IF(H1097="EO",5.2,IF(H1097="EQ",3.9,IF(H1097="ILF",7.5,IF(H1097="EIF",5.4)))))))</f>
        <v/>
      </c>
      <c r="M1097" s="112" t="str">
        <f t="shared" si="20"/>
        <v/>
      </c>
      <c r="N1097" s="113"/>
    </row>
    <row r="1098" spans="2:14">
      <c r="B1098" s="105"/>
      <c r="C1098" s="106"/>
      <c r="D1098" s="107"/>
      <c r="E1098" s="65"/>
      <c r="F1098" s="64"/>
      <c r="G1098" s="64"/>
      <c r="H1098" s="64"/>
      <c r="I1098" s="70"/>
      <c r="J1098" s="70"/>
      <c r="K1098" s="110" t="str">
        <f>IF(H1098="","",IF($C$29="간이법","",FPR(H1098,I1098,J1098)))</f>
        <v/>
      </c>
      <c r="L1098" s="111" t="str">
        <f>IF(H1098="","",IF($C$29="상세법",FPV(H1098,K1098),IF(H1098="EI",4,IF(H1098="EO",5.2,IF(H1098="EQ",3.9,IF(H1098="ILF",7.5,IF(H1098="EIF",5.4)))))))</f>
        <v/>
      </c>
      <c r="M1098" s="112" t="str">
        <f t="shared" si="20"/>
        <v/>
      </c>
      <c r="N1098" s="113"/>
    </row>
    <row r="1099" spans="2:14">
      <c r="B1099" s="105"/>
      <c r="C1099" s="106"/>
      <c r="D1099" s="107"/>
      <c r="E1099" s="65"/>
      <c r="F1099" s="64"/>
      <c r="G1099" s="64"/>
      <c r="H1099" s="64"/>
      <c r="I1099" s="70"/>
      <c r="J1099" s="70"/>
      <c r="K1099" s="110" t="str">
        <f>IF(H1099="","",IF($C$29="간이법","",FPR(H1099,I1099,J1099)))</f>
        <v/>
      </c>
      <c r="L1099" s="111" t="str">
        <f>IF(H1099="","",IF($C$29="상세법",FPV(H1099,K1099),IF(H1099="EI",4,IF(H1099="EO",5.2,IF(H1099="EQ",3.9,IF(H1099="ILF",7.5,IF(H1099="EIF",5.4)))))))</f>
        <v/>
      </c>
      <c r="M1099" s="112" t="str">
        <f t="shared" si="20"/>
        <v/>
      </c>
      <c r="N1099" s="113"/>
    </row>
    <row r="1100" spans="2:14">
      <c r="B1100" s="105"/>
      <c r="C1100" s="106"/>
      <c r="D1100" s="107"/>
      <c r="E1100" s="65"/>
      <c r="F1100" s="64"/>
      <c r="G1100" s="64"/>
      <c r="H1100" s="64"/>
      <c r="I1100" s="70"/>
      <c r="J1100" s="70"/>
      <c r="K1100" s="110" t="str">
        <f>IF(H1100="","",IF($C$29="간이법","",FPR(H1100,I1100,J1100)))</f>
        <v/>
      </c>
      <c r="L1100" s="111" t="str">
        <f>IF(H1100="","",IF($C$29="상세법",FPV(H1100,K1100),IF(H1100="EI",4,IF(H1100="EO",5.2,IF(H1100="EQ",3.9,IF(H1100="ILF",7.5,IF(H1100="EIF",5.4)))))))</f>
        <v/>
      </c>
      <c r="M1100" s="112" t="str">
        <f t="shared" si="20"/>
        <v/>
      </c>
      <c r="N1100" s="113"/>
    </row>
    <row r="1101" spans="2:14">
      <c r="B1101" s="105"/>
      <c r="C1101" s="106"/>
      <c r="D1101" s="107"/>
      <c r="E1101" s="65"/>
      <c r="F1101" s="64"/>
      <c r="G1101" s="64"/>
      <c r="H1101" s="64"/>
      <c r="I1101" s="70"/>
      <c r="J1101" s="70"/>
      <c r="K1101" s="110" t="str">
        <f>IF(H1101="","",IF($C$29="간이법","",FPR(H1101,I1101,J1101)))</f>
        <v/>
      </c>
      <c r="L1101" s="111" t="str">
        <f>IF(H1101="","",IF($C$29="상세법",FPV(H1101,K1101),IF(H1101="EI",4,IF(H1101="EO",5.2,IF(H1101="EQ",3.9,IF(H1101="ILF",7.5,IF(H1101="EIF",5.4)))))))</f>
        <v/>
      </c>
      <c r="M1101" s="112" t="str">
        <f t="shared" si="20"/>
        <v/>
      </c>
      <c r="N1101" s="113"/>
    </row>
    <row r="1102" spans="2:14">
      <c r="B1102" s="105"/>
      <c r="C1102" s="106"/>
      <c r="D1102" s="107"/>
      <c r="E1102" s="65"/>
      <c r="F1102" s="64"/>
      <c r="G1102" s="64"/>
      <c r="H1102" s="64"/>
      <c r="I1102" s="70"/>
      <c r="J1102" s="70"/>
      <c r="K1102" s="110" t="str">
        <f>IF(H1102="","",IF($C$29="간이법","",FPR(H1102,I1102,J1102)))</f>
        <v/>
      </c>
      <c r="L1102" s="111" t="str">
        <f>IF(H1102="","",IF($C$29="상세법",FPV(H1102,K1102),IF(H1102="EI",4,IF(H1102="EO",5.2,IF(H1102="EQ",3.9,IF(H1102="ILF",7.5,IF(H1102="EIF",5.4)))))))</f>
        <v/>
      </c>
      <c r="M1102" s="112" t="str">
        <f t="shared" si="20"/>
        <v/>
      </c>
      <c r="N1102" s="113"/>
    </row>
    <row r="1103" spans="2:14">
      <c r="B1103" s="105"/>
      <c r="C1103" s="106"/>
      <c r="D1103" s="107"/>
      <c r="E1103" s="65"/>
      <c r="F1103" s="64"/>
      <c r="G1103" s="64"/>
      <c r="H1103" s="64"/>
      <c r="I1103" s="70"/>
      <c r="J1103" s="70"/>
      <c r="K1103" s="110" t="str">
        <f>IF(H1103="","",IF($C$29="간이법","",FPR(H1103,I1103,J1103)))</f>
        <v/>
      </c>
      <c r="L1103" s="111" t="str">
        <f>IF(H1103="","",IF($C$29="상세법",FPV(H1103,K1103),IF(H1103="EI",4,IF(H1103="EO",5.2,IF(H1103="EQ",3.9,IF(H1103="ILF",7.5,IF(H1103="EIF",5.4)))))))</f>
        <v/>
      </c>
      <c r="M1103" s="112" t="str">
        <f t="shared" si="20"/>
        <v/>
      </c>
      <c r="N1103" s="113"/>
    </row>
    <row r="1104" spans="2:14">
      <c r="B1104" s="105"/>
      <c r="C1104" s="106"/>
      <c r="D1104" s="107"/>
      <c r="E1104" s="65"/>
      <c r="F1104" s="64"/>
      <c r="G1104" s="64"/>
      <c r="H1104" s="64"/>
      <c r="I1104" s="70"/>
      <c r="J1104" s="70"/>
      <c r="K1104" s="110" t="str">
        <f>IF(H1104="","",IF($C$29="간이법","",FPR(H1104,I1104,J1104)))</f>
        <v/>
      </c>
      <c r="L1104" s="111" t="str">
        <f>IF(H1104="","",IF($C$29="상세법",FPV(H1104,K1104),IF(H1104="EI",4,IF(H1104="EO",5.2,IF(H1104="EQ",3.9,IF(H1104="ILF",7.5,IF(H1104="EIF",5.4)))))))</f>
        <v/>
      </c>
      <c r="M1104" s="112" t="str">
        <f t="shared" si="20"/>
        <v/>
      </c>
      <c r="N1104" s="113"/>
    </row>
    <row r="1105" spans="2:14">
      <c r="B1105" s="105"/>
      <c r="C1105" s="106"/>
      <c r="D1105" s="107"/>
      <c r="E1105" s="65"/>
      <c r="F1105" s="64"/>
      <c r="G1105" s="64"/>
      <c r="H1105" s="64"/>
      <c r="I1105" s="70"/>
      <c r="J1105" s="70"/>
      <c r="K1105" s="110" t="str">
        <f>IF(H1105="","",IF($C$29="간이법","",FPR(H1105,I1105,J1105)))</f>
        <v/>
      </c>
      <c r="L1105" s="111" t="str">
        <f>IF(H1105="","",IF($C$29="상세법",FPV(H1105,K1105),IF(H1105="EI",4,IF(H1105="EO",5.2,IF(H1105="EQ",3.9,IF(H1105="ILF",7.5,IF(H1105="EIF",5.4)))))))</f>
        <v/>
      </c>
      <c r="M1105" s="112" t="str">
        <f t="shared" si="20"/>
        <v/>
      </c>
      <c r="N1105" s="113"/>
    </row>
    <row r="1106" spans="2:14">
      <c r="B1106" s="105"/>
      <c r="C1106" s="106"/>
      <c r="D1106" s="107"/>
      <c r="E1106" s="65"/>
      <c r="F1106" s="64"/>
      <c r="G1106" s="64"/>
      <c r="H1106" s="64"/>
      <c r="I1106" s="70"/>
      <c r="J1106" s="70"/>
      <c r="K1106" s="110" t="str">
        <f>IF(H1106="","",IF($C$29="간이법","",FPR(H1106,I1106,J1106)))</f>
        <v/>
      </c>
      <c r="L1106" s="111" t="str">
        <f>IF(H1106="","",IF($C$29="상세법",FPV(H1106,K1106),IF(H1106="EI",4,IF(H1106="EO",5.2,IF(H1106="EQ",3.9,IF(H1106="ILF",7.5,IF(H1106="EIF",5.4)))))))</f>
        <v/>
      </c>
      <c r="M1106" s="112" t="str">
        <f t="shared" si="20"/>
        <v/>
      </c>
      <c r="N1106" s="113"/>
    </row>
    <row r="1107" spans="2:14">
      <c r="B1107" s="105"/>
      <c r="C1107" s="106"/>
      <c r="D1107" s="107"/>
      <c r="E1107" s="65"/>
      <c r="F1107" s="64"/>
      <c r="G1107" s="64"/>
      <c r="H1107" s="64"/>
      <c r="I1107" s="70"/>
      <c r="J1107" s="70"/>
      <c r="K1107" s="110" t="str">
        <f>IF(H1107="","",IF($C$29="간이법","",FPR(H1107,I1107,J1107)))</f>
        <v/>
      </c>
      <c r="L1107" s="111" t="str">
        <f>IF(H1107="","",IF($C$29="상세법",FPV(H1107,K1107),IF(H1107="EI",4,IF(H1107="EO",5.2,IF(H1107="EQ",3.9,IF(H1107="ILF",7.5,IF(H1107="EIF",5.4)))))))</f>
        <v/>
      </c>
      <c r="M1107" s="112" t="str">
        <f t="shared" si="20"/>
        <v/>
      </c>
      <c r="N1107" s="113"/>
    </row>
    <row r="1108" spans="2:14">
      <c r="B1108" s="105"/>
      <c r="C1108" s="106"/>
      <c r="D1108" s="107"/>
      <c r="E1108" s="65"/>
      <c r="F1108" s="64"/>
      <c r="G1108" s="64"/>
      <c r="H1108" s="64"/>
      <c r="I1108" s="70"/>
      <c r="J1108" s="70"/>
      <c r="K1108" s="110" t="str">
        <f>IF(H1108="","",IF($C$29="간이법","",FPR(H1108,I1108,J1108)))</f>
        <v/>
      </c>
      <c r="L1108" s="111" t="str">
        <f>IF(H1108="","",IF($C$29="상세법",FPV(H1108,K1108),IF(H1108="EI",4,IF(H1108="EO",5.2,IF(H1108="EQ",3.9,IF(H1108="ILF",7.5,IF(H1108="EIF",5.4)))))))</f>
        <v/>
      </c>
      <c r="M1108" s="112" t="str">
        <f t="shared" si="20"/>
        <v/>
      </c>
      <c r="N1108" s="113"/>
    </row>
    <row r="1109" spans="2:14">
      <c r="B1109" s="105"/>
      <c r="C1109" s="106"/>
      <c r="D1109" s="107"/>
      <c r="E1109" s="65"/>
      <c r="F1109" s="64"/>
      <c r="G1109" s="64"/>
      <c r="H1109" s="64"/>
      <c r="I1109" s="70"/>
      <c r="J1109" s="70"/>
      <c r="K1109" s="110" t="str">
        <f>IF(H1109="","",IF($C$29="간이법","",FPR(H1109,I1109,J1109)))</f>
        <v/>
      </c>
      <c r="L1109" s="111" t="str">
        <f>IF(H1109="","",IF($C$29="상세법",FPV(H1109,K1109),IF(H1109="EI",4,IF(H1109="EO",5.2,IF(H1109="EQ",3.9,IF(H1109="ILF",7.5,IF(H1109="EIF",5.4)))))))</f>
        <v/>
      </c>
      <c r="M1109" s="112" t="str">
        <f t="shared" si="20"/>
        <v/>
      </c>
      <c r="N1109" s="113"/>
    </row>
    <row r="1110" spans="2:14">
      <c r="B1110" s="105"/>
      <c r="C1110" s="106"/>
      <c r="D1110" s="107"/>
      <c r="E1110" s="65"/>
      <c r="F1110" s="64"/>
      <c r="G1110" s="64"/>
      <c r="H1110" s="64"/>
      <c r="I1110" s="70"/>
      <c r="J1110" s="70"/>
      <c r="K1110" s="110" t="str">
        <f>IF(H1110="","",IF($C$29="간이법","",FPR(H1110,I1110,J1110)))</f>
        <v/>
      </c>
      <c r="L1110" s="111" t="str">
        <f>IF(H1110="","",IF($C$29="상세법",FPV(H1110,K1110),IF(H1110="EI",4,IF(H1110="EO",5.2,IF(H1110="EQ",3.9,IF(H1110="ILF",7.5,IF(H1110="EIF",5.4)))))))</f>
        <v/>
      </c>
      <c r="M1110" s="112" t="str">
        <f t="shared" si="20"/>
        <v/>
      </c>
      <c r="N1110" s="113"/>
    </row>
    <row r="1111" spans="2:14">
      <c r="B1111" s="105"/>
      <c r="C1111" s="106"/>
      <c r="D1111" s="107"/>
      <c r="E1111" s="65"/>
      <c r="F1111" s="64"/>
      <c r="G1111" s="64"/>
      <c r="H1111" s="64"/>
      <c r="I1111" s="70"/>
      <c r="J1111" s="70"/>
      <c r="K1111" s="110" t="str">
        <f>IF(H1111="","",IF($C$29="간이법","",FPR(H1111,I1111,J1111)))</f>
        <v/>
      </c>
      <c r="L1111" s="111" t="str">
        <f>IF(H1111="","",IF($C$29="상세법",FPV(H1111,K1111),IF(H1111="EI",4,IF(H1111="EO",5.2,IF(H1111="EQ",3.9,IF(H1111="ILF",7.5,IF(H1111="EIF",5.4)))))))</f>
        <v/>
      </c>
      <c r="M1111" s="112" t="str">
        <f t="shared" si="20"/>
        <v/>
      </c>
      <c r="N1111" s="113"/>
    </row>
    <row r="1112" spans="2:14">
      <c r="B1112" s="105"/>
      <c r="C1112" s="106"/>
      <c r="D1112" s="107"/>
      <c r="E1112" s="65"/>
      <c r="F1112" s="64"/>
      <c r="G1112" s="64"/>
      <c r="H1112" s="64"/>
      <c r="I1112" s="70"/>
      <c r="J1112" s="70"/>
      <c r="K1112" s="110" t="str">
        <f>IF(H1112="","",IF($C$29="간이법","",FPR(H1112,I1112,J1112)))</f>
        <v/>
      </c>
      <c r="L1112" s="111" t="str">
        <f>IF(H1112="","",IF($C$29="상세법",FPV(H1112,K1112),IF(H1112="EI",4,IF(H1112="EO",5.2,IF(H1112="EQ",3.9,IF(H1112="ILF",7.5,IF(H1112="EIF",5.4)))))))</f>
        <v/>
      </c>
      <c r="M1112" s="112" t="str">
        <f t="shared" si="20"/>
        <v/>
      </c>
      <c r="N1112" s="113"/>
    </row>
    <row r="1113" spans="2:14">
      <c r="B1113" s="105"/>
      <c r="C1113" s="106"/>
      <c r="D1113" s="107"/>
      <c r="E1113" s="65"/>
      <c r="F1113" s="64"/>
      <c r="G1113" s="64"/>
      <c r="H1113" s="64"/>
      <c r="I1113" s="70"/>
      <c r="J1113" s="70"/>
      <c r="K1113" s="110" t="str">
        <f>IF(H1113="","",IF($C$29="간이법","",FPR(H1113,I1113,J1113)))</f>
        <v/>
      </c>
      <c r="L1113" s="111" t="str">
        <f>IF(H1113="","",IF($C$29="상세법",FPV(H1113,K1113),IF(H1113="EI",4,IF(H1113="EO",5.2,IF(H1113="EQ",3.9,IF(H1113="ILF",7.5,IF(H1113="EIF",5.4)))))))</f>
        <v/>
      </c>
      <c r="M1113" s="112" t="str">
        <f t="shared" si="20"/>
        <v/>
      </c>
      <c r="N1113" s="113"/>
    </row>
    <row r="1114" spans="2:14">
      <c r="B1114" s="105"/>
      <c r="C1114" s="106"/>
      <c r="D1114" s="107"/>
      <c r="E1114" s="65"/>
      <c r="F1114" s="64"/>
      <c r="G1114" s="64"/>
      <c r="H1114" s="64"/>
      <c r="I1114" s="70"/>
      <c r="J1114" s="70"/>
      <c r="K1114" s="110" t="str">
        <f>IF(H1114="","",IF($C$29="간이법","",FPR(H1114,I1114,J1114)))</f>
        <v/>
      </c>
      <c r="L1114" s="111" t="str">
        <f>IF(H1114="","",IF($C$29="상세법",FPV(H1114,K1114),IF(H1114="EI",4,IF(H1114="EO",5.2,IF(H1114="EQ",3.9,IF(H1114="ILF",7.5,IF(H1114="EIF",5.4)))))))</f>
        <v/>
      </c>
      <c r="M1114" s="112" t="str">
        <f t="shared" si="20"/>
        <v/>
      </c>
      <c r="N1114" s="113"/>
    </row>
    <row r="1115" spans="2:14">
      <c r="B1115" s="105"/>
      <c r="C1115" s="106"/>
      <c r="D1115" s="107"/>
      <c r="E1115" s="65"/>
      <c r="F1115" s="64"/>
      <c r="G1115" s="64"/>
      <c r="H1115" s="64"/>
      <c r="I1115" s="70"/>
      <c r="J1115" s="70"/>
      <c r="K1115" s="110" t="str">
        <f>IF(H1115="","",IF($C$29="간이법","",FPR(H1115,I1115,J1115)))</f>
        <v/>
      </c>
      <c r="L1115" s="111" t="str">
        <f>IF(H1115="","",IF($C$29="상세법",FPV(H1115,K1115),IF(H1115="EI",4,IF(H1115="EO",5.2,IF(H1115="EQ",3.9,IF(H1115="ILF",7.5,IF(H1115="EIF",5.4)))))))</f>
        <v/>
      </c>
      <c r="M1115" s="112" t="str">
        <f t="shared" si="20"/>
        <v/>
      </c>
      <c r="N1115" s="113"/>
    </row>
    <row r="1116" spans="2:14">
      <c r="B1116" s="105"/>
      <c r="C1116" s="106"/>
      <c r="D1116" s="107"/>
      <c r="E1116" s="65"/>
      <c r="F1116" s="64"/>
      <c r="G1116" s="64"/>
      <c r="H1116" s="64"/>
      <c r="I1116" s="70"/>
      <c r="J1116" s="70"/>
      <c r="K1116" s="110" t="str">
        <f>IF(H1116="","",IF($C$29="간이법","",FPR(H1116,I1116,J1116)))</f>
        <v/>
      </c>
      <c r="L1116" s="111" t="str">
        <f>IF(H1116="","",IF($C$29="상세법",FPV(H1116,K1116),IF(H1116="EI",4,IF(H1116="EO",5.2,IF(H1116="EQ",3.9,IF(H1116="ILF",7.5,IF(H1116="EIF",5.4)))))))</f>
        <v/>
      </c>
      <c r="M1116" s="112" t="str">
        <f t="shared" si="20"/>
        <v/>
      </c>
      <c r="N1116" s="113"/>
    </row>
    <row r="1117" spans="2:14">
      <c r="B1117" s="105"/>
      <c r="C1117" s="106"/>
      <c r="D1117" s="107"/>
      <c r="E1117" s="65"/>
      <c r="F1117" s="64"/>
      <c r="G1117" s="64"/>
      <c r="H1117" s="64"/>
      <c r="I1117" s="70"/>
      <c r="J1117" s="70"/>
      <c r="K1117" s="110" t="str">
        <f>IF(H1117="","",IF($C$29="간이법","",FPR(H1117,I1117,J1117)))</f>
        <v/>
      </c>
      <c r="L1117" s="111" t="str">
        <f>IF(H1117="","",IF($C$29="상세법",FPV(H1117,K1117),IF(H1117="EI",4,IF(H1117="EO",5.2,IF(H1117="EQ",3.9,IF(H1117="ILF",7.5,IF(H1117="EIF",5.4)))))))</f>
        <v/>
      </c>
      <c r="M1117" s="112" t="str">
        <f t="shared" si="20"/>
        <v/>
      </c>
      <c r="N1117" s="113"/>
    </row>
    <row r="1118" spans="2:14">
      <c r="B1118" s="105"/>
      <c r="C1118" s="106"/>
      <c r="D1118" s="107"/>
      <c r="E1118" s="65"/>
      <c r="F1118" s="64"/>
      <c r="G1118" s="64"/>
      <c r="H1118" s="64"/>
      <c r="I1118" s="70"/>
      <c r="J1118" s="70"/>
      <c r="K1118" s="110" t="str">
        <f>IF(H1118="","",IF($C$29="간이법","",FPR(H1118,I1118,J1118)))</f>
        <v/>
      </c>
      <c r="L1118" s="111" t="str">
        <f>IF(H1118="","",IF($C$29="상세법",FPV(H1118,K1118),IF(H1118="EI",4,IF(H1118="EO",5.2,IF(H1118="EQ",3.9,IF(H1118="ILF",7.5,IF(H1118="EIF",5.4)))))))</f>
        <v/>
      </c>
      <c r="M1118" s="112" t="str">
        <f t="shared" si="20"/>
        <v/>
      </c>
      <c r="N1118" s="113"/>
    </row>
    <row r="1119" spans="2:14">
      <c r="B1119" s="105"/>
      <c r="C1119" s="106"/>
      <c r="D1119" s="107"/>
      <c r="E1119" s="65"/>
      <c r="F1119" s="64"/>
      <c r="G1119" s="64"/>
      <c r="H1119" s="64"/>
      <c r="I1119" s="70"/>
      <c r="J1119" s="70"/>
      <c r="K1119" s="110" t="str">
        <f>IF(H1119="","",IF($C$29="간이법","",FPR(H1119,I1119,J1119)))</f>
        <v/>
      </c>
      <c r="L1119" s="111" t="str">
        <f>IF(H1119="","",IF($C$29="상세법",FPV(H1119,K1119),IF(H1119="EI",4,IF(H1119="EO",5.2,IF(H1119="EQ",3.9,IF(H1119="ILF",7.5,IF(H1119="EIF",5.4)))))))</f>
        <v/>
      </c>
      <c r="M1119" s="112" t="str">
        <f t="shared" si="20"/>
        <v/>
      </c>
      <c r="N1119" s="113"/>
    </row>
    <row r="1120" spans="2:14">
      <c r="B1120" s="105"/>
      <c r="C1120" s="106"/>
      <c r="D1120" s="107"/>
      <c r="E1120" s="65"/>
      <c r="F1120" s="64"/>
      <c r="G1120" s="64"/>
      <c r="H1120" s="64"/>
      <c r="I1120" s="70"/>
      <c r="J1120" s="70"/>
      <c r="K1120" s="110" t="str">
        <f>IF(H1120="","",IF($C$29="간이법","",FPR(H1120,I1120,J1120)))</f>
        <v/>
      </c>
      <c r="L1120" s="111" t="str">
        <f>IF(H1120="","",IF($C$29="상세법",FPV(H1120,K1120),IF(H1120="EI",4,IF(H1120="EO",5.2,IF(H1120="EQ",3.9,IF(H1120="ILF",7.5,IF(H1120="EIF",5.4)))))))</f>
        <v/>
      </c>
      <c r="M1120" s="112" t="str">
        <f t="shared" si="20"/>
        <v/>
      </c>
      <c r="N1120" s="113"/>
    </row>
    <row r="1121" spans="2:14">
      <c r="B1121" s="105"/>
      <c r="C1121" s="106"/>
      <c r="D1121" s="107"/>
      <c r="E1121" s="65"/>
      <c r="F1121" s="64"/>
      <c r="G1121" s="64"/>
      <c r="H1121" s="64"/>
      <c r="I1121" s="70"/>
      <c r="J1121" s="70"/>
      <c r="K1121" s="110" t="str">
        <f>IF(H1121="","",IF($C$29="간이법","",FPR(H1121,I1121,J1121)))</f>
        <v/>
      </c>
      <c r="L1121" s="111" t="str">
        <f>IF(H1121="","",IF($C$29="상세법",FPV(H1121,K1121),IF(H1121="EI",4,IF(H1121="EO",5.2,IF(H1121="EQ",3.9,IF(H1121="ILF",7.5,IF(H1121="EIF",5.4)))))))</f>
        <v/>
      </c>
      <c r="M1121" s="112" t="str">
        <f t="shared" si="20"/>
        <v/>
      </c>
      <c r="N1121" s="113"/>
    </row>
    <row r="1122" spans="2:14">
      <c r="B1122" s="105"/>
      <c r="C1122" s="106"/>
      <c r="D1122" s="107"/>
      <c r="E1122" s="65"/>
      <c r="F1122" s="64"/>
      <c r="G1122" s="64"/>
      <c r="H1122" s="64"/>
      <c r="I1122" s="70"/>
      <c r="J1122" s="70"/>
      <c r="K1122" s="110" t="str">
        <f>IF(H1122="","",IF($C$29="간이법","",FPR(H1122,I1122,J1122)))</f>
        <v/>
      </c>
      <c r="L1122" s="111" t="str">
        <f>IF(H1122="","",IF($C$29="상세법",FPV(H1122,K1122),IF(H1122="EI",4,IF(H1122="EO",5.2,IF(H1122="EQ",3.9,IF(H1122="ILF",7.5,IF(H1122="EIF",5.4)))))))</f>
        <v/>
      </c>
      <c r="M1122" s="112" t="str">
        <f t="shared" si="20"/>
        <v/>
      </c>
      <c r="N1122" s="113"/>
    </row>
    <row r="1123" spans="2:14">
      <c r="B1123" s="105"/>
      <c r="C1123" s="106"/>
      <c r="D1123" s="107"/>
      <c r="E1123" s="65"/>
      <c r="F1123" s="64"/>
      <c r="G1123" s="64"/>
      <c r="H1123" s="64"/>
      <c r="I1123" s="70"/>
      <c r="J1123" s="70"/>
      <c r="K1123" s="110" t="str">
        <f>IF(H1123="","",IF($C$29="간이법","",FPR(H1123,I1123,J1123)))</f>
        <v/>
      </c>
      <c r="L1123" s="111" t="str">
        <f>IF(H1123="","",IF($C$29="상세법",FPV(H1123,K1123),IF(H1123="EI",4,IF(H1123="EO",5.2,IF(H1123="EQ",3.9,IF(H1123="ILF",7.5,IF(H1123="EIF",5.4)))))))</f>
        <v/>
      </c>
      <c r="M1123" s="112" t="str">
        <f t="shared" si="20"/>
        <v/>
      </c>
      <c r="N1123" s="113"/>
    </row>
    <row r="1124" spans="2:14">
      <c r="B1124" s="105"/>
      <c r="C1124" s="106"/>
      <c r="D1124" s="107"/>
      <c r="E1124" s="65"/>
      <c r="F1124" s="64"/>
      <c r="G1124" s="64"/>
      <c r="H1124" s="64"/>
      <c r="I1124" s="70"/>
      <c r="J1124" s="70"/>
      <c r="K1124" s="110" t="str">
        <f>IF(H1124="","",IF($C$29="간이법","",FPR(H1124,I1124,J1124)))</f>
        <v/>
      </c>
      <c r="L1124" s="111" t="str">
        <f>IF(H1124="","",IF($C$29="상세법",FPV(H1124,K1124),IF(H1124="EI",4,IF(H1124="EO",5.2,IF(H1124="EQ",3.9,IF(H1124="ILF",7.5,IF(H1124="EIF",5.4)))))))</f>
        <v/>
      </c>
      <c r="M1124" s="112" t="str">
        <f t="shared" si="20"/>
        <v/>
      </c>
      <c r="N1124" s="113"/>
    </row>
    <row r="1125" spans="2:14">
      <c r="B1125" s="105"/>
      <c r="C1125" s="106"/>
      <c r="D1125" s="107"/>
      <c r="E1125" s="65"/>
      <c r="F1125" s="64"/>
      <c r="G1125" s="64"/>
      <c r="H1125" s="64"/>
      <c r="I1125" s="70"/>
      <c r="J1125" s="70"/>
      <c r="K1125" s="110" t="str">
        <f>IF(H1125="","",IF($C$29="간이법","",FPR(H1125,I1125,J1125)))</f>
        <v/>
      </c>
      <c r="L1125" s="111" t="str">
        <f>IF(H1125="","",IF($C$29="상세법",FPV(H1125,K1125),IF(H1125="EI",4,IF(H1125="EO",5.2,IF(H1125="EQ",3.9,IF(H1125="ILF",7.5,IF(H1125="EIF",5.4)))))))</f>
        <v/>
      </c>
      <c r="M1125" s="112" t="str">
        <f t="shared" si="20"/>
        <v/>
      </c>
      <c r="N1125" s="113"/>
    </row>
    <row r="1126" spans="2:14">
      <c r="B1126" s="105"/>
      <c r="C1126" s="106"/>
      <c r="D1126" s="107"/>
      <c r="E1126" s="65"/>
      <c r="F1126" s="64"/>
      <c r="G1126" s="64"/>
      <c r="H1126" s="64"/>
      <c r="I1126" s="70"/>
      <c r="J1126" s="70"/>
      <c r="K1126" s="110" t="str">
        <f>IF(H1126="","",IF($C$29="간이법","",FPR(H1126,I1126,J1126)))</f>
        <v/>
      </c>
      <c r="L1126" s="111" t="str">
        <f>IF(H1126="","",IF($C$29="상세법",FPV(H1126,K1126),IF(H1126="EI",4,IF(H1126="EO",5.2,IF(H1126="EQ",3.9,IF(H1126="ILF",7.5,IF(H1126="EIF",5.4)))))))</f>
        <v/>
      </c>
      <c r="M1126" s="112" t="str">
        <f t="shared" si="20"/>
        <v/>
      </c>
      <c r="N1126" s="113"/>
    </row>
    <row r="1127" spans="2:14">
      <c r="B1127" s="105"/>
      <c r="C1127" s="106"/>
      <c r="D1127" s="107"/>
      <c r="E1127" s="65"/>
      <c r="F1127" s="64"/>
      <c r="G1127" s="64"/>
      <c r="H1127" s="64"/>
      <c r="I1127" s="70"/>
      <c r="J1127" s="70"/>
      <c r="K1127" s="110" t="str">
        <f>IF(H1127="","",IF($C$29="간이법","",FPR(H1127,I1127,J1127)))</f>
        <v/>
      </c>
      <c r="L1127" s="111" t="str">
        <f>IF(H1127="","",IF($C$29="상세법",FPV(H1127,K1127),IF(H1127="EI",4,IF(H1127="EO",5.2,IF(H1127="EQ",3.9,IF(H1127="ILF",7.5,IF(H1127="EIF",5.4)))))))</f>
        <v/>
      </c>
      <c r="M1127" s="112" t="str">
        <f t="shared" si="20"/>
        <v/>
      </c>
      <c r="N1127" s="113"/>
    </row>
    <row r="1128" spans="2:14">
      <c r="B1128" s="105"/>
      <c r="C1128" s="106"/>
      <c r="D1128" s="107"/>
      <c r="E1128" s="65"/>
      <c r="F1128" s="64"/>
      <c r="G1128" s="64"/>
      <c r="H1128" s="64"/>
      <c r="I1128" s="70"/>
      <c r="J1128" s="70"/>
      <c r="K1128" s="110" t="str">
        <f>IF(H1128="","",IF($C$29="간이법","",FPR(H1128,I1128,J1128)))</f>
        <v/>
      </c>
      <c r="L1128" s="111" t="str">
        <f>IF(H1128="","",IF($C$29="상세법",FPV(H1128,K1128),IF(H1128="EI",4,IF(H1128="EO",5.2,IF(H1128="EQ",3.9,IF(H1128="ILF",7.5,IF(H1128="EIF",5.4)))))))</f>
        <v/>
      </c>
      <c r="M1128" s="112" t="str">
        <f t="shared" si="20"/>
        <v/>
      </c>
      <c r="N1128" s="113"/>
    </row>
    <row r="1129" spans="2:14">
      <c r="B1129" s="105"/>
      <c r="C1129" s="106"/>
      <c r="D1129" s="107"/>
      <c r="E1129" s="65"/>
      <c r="F1129" s="64"/>
      <c r="G1129" s="64"/>
      <c r="H1129" s="64"/>
      <c r="I1129" s="70"/>
      <c r="J1129" s="70"/>
      <c r="K1129" s="110" t="str">
        <f>IF(H1129="","",IF($C$29="간이법","",FPR(H1129,I1129,J1129)))</f>
        <v/>
      </c>
      <c r="L1129" s="111" t="str">
        <f>IF(H1129="","",IF($C$29="상세법",FPV(H1129,K1129),IF(H1129="EI",4,IF(H1129="EO",5.2,IF(H1129="EQ",3.9,IF(H1129="ILF",7.5,IF(H1129="EIF",5.4)))))))</f>
        <v/>
      </c>
      <c r="M1129" s="112" t="str">
        <f t="shared" si="20"/>
        <v/>
      </c>
      <c r="N1129" s="113"/>
    </row>
    <row r="1130" spans="2:14">
      <c r="B1130" s="105"/>
      <c r="C1130" s="106"/>
      <c r="D1130" s="107"/>
      <c r="E1130" s="65"/>
      <c r="F1130" s="64"/>
      <c r="G1130" s="64"/>
      <c r="H1130" s="64"/>
      <c r="I1130" s="70"/>
      <c r="J1130" s="70"/>
      <c r="K1130" s="110" t="str">
        <f>IF(H1130="","",IF($C$29="간이법","",FPR(H1130,I1130,J1130)))</f>
        <v/>
      </c>
      <c r="L1130" s="111" t="str">
        <f>IF(H1130="","",IF($C$29="상세법",FPV(H1130,K1130),IF(H1130="EI",4,IF(H1130="EO",5.2,IF(H1130="EQ",3.9,IF(H1130="ILF",7.5,IF(H1130="EIF",5.4)))))))</f>
        <v/>
      </c>
      <c r="M1130" s="112" t="str">
        <f t="shared" si="20"/>
        <v/>
      </c>
      <c r="N1130" s="113"/>
    </row>
    <row r="1131" spans="2:14">
      <c r="B1131" s="105"/>
      <c r="C1131" s="106"/>
      <c r="D1131" s="107"/>
      <c r="E1131" s="65"/>
      <c r="F1131" s="64"/>
      <c r="G1131" s="64"/>
      <c r="H1131" s="64"/>
      <c r="I1131" s="70"/>
      <c r="J1131" s="70"/>
      <c r="K1131" s="110" t="str">
        <f>IF(H1131="","",IF($C$29="간이법","",FPR(H1131,I1131,J1131)))</f>
        <v/>
      </c>
      <c r="L1131" s="111" t="str">
        <f>IF(H1131="","",IF($C$29="상세법",FPV(H1131,K1131),IF(H1131="EI",4,IF(H1131="EO",5.2,IF(H1131="EQ",3.9,IF(H1131="ILF",7.5,IF(H1131="EIF",5.4)))))))</f>
        <v/>
      </c>
      <c r="M1131" s="112" t="str">
        <f t="shared" si="20"/>
        <v/>
      </c>
      <c r="N1131" s="113"/>
    </row>
    <row r="1132" spans="2:14">
      <c r="B1132" s="105"/>
      <c r="C1132" s="106"/>
      <c r="D1132" s="107"/>
      <c r="E1132" s="65"/>
      <c r="F1132" s="64"/>
      <c r="G1132" s="64"/>
      <c r="H1132" s="64"/>
      <c r="I1132" s="70"/>
      <c r="J1132" s="70"/>
      <c r="K1132" s="110" t="str">
        <f>IF(H1132="","",IF($C$29="간이법","",FPR(H1132,I1132,J1132)))</f>
        <v/>
      </c>
      <c r="L1132" s="111" t="str">
        <f>IF(H1132="","",IF($C$29="상세법",FPV(H1132,K1132),IF(H1132="EI",4,IF(H1132="EO",5.2,IF(H1132="EQ",3.9,IF(H1132="ILF",7.5,IF(H1132="EIF",5.4)))))))</f>
        <v/>
      </c>
      <c r="M1132" s="112" t="str">
        <f t="shared" si="20"/>
        <v/>
      </c>
      <c r="N1132" s="113"/>
    </row>
    <row r="1133" spans="2:14">
      <c r="B1133" s="105"/>
      <c r="C1133" s="106"/>
      <c r="D1133" s="107"/>
      <c r="E1133" s="65"/>
      <c r="F1133" s="64"/>
      <c r="G1133" s="64"/>
      <c r="H1133" s="64"/>
      <c r="I1133" s="70"/>
      <c r="J1133" s="70"/>
      <c r="K1133" s="110" t="str">
        <f>IF(H1133="","",IF($C$29="간이법","",FPR(H1133,I1133,J1133)))</f>
        <v/>
      </c>
      <c r="L1133" s="111" t="str">
        <f>IF(H1133="","",IF($C$29="상세법",FPV(H1133,K1133),IF(H1133="EI",4,IF(H1133="EO",5.2,IF(H1133="EQ",3.9,IF(H1133="ILF",7.5,IF(H1133="EIF",5.4)))))))</f>
        <v/>
      </c>
      <c r="M1133" s="112" t="str">
        <f t="shared" si="20"/>
        <v/>
      </c>
      <c r="N1133" s="113"/>
    </row>
    <row r="1134" spans="2:14">
      <c r="B1134" s="105"/>
      <c r="C1134" s="106"/>
      <c r="D1134" s="107"/>
      <c r="E1134" s="65"/>
      <c r="F1134" s="64"/>
      <c r="G1134" s="64"/>
      <c r="H1134" s="64"/>
      <c r="I1134" s="70"/>
      <c r="J1134" s="70"/>
      <c r="K1134" s="110" t="str">
        <f>IF(H1134="","",IF($C$29="간이법","",FPR(H1134,I1134,J1134)))</f>
        <v/>
      </c>
      <c r="L1134" s="111" t="str">
        <f>IF(H1134="","",IF($C$29="상세법",FPV(H1134,K1134),IF(H1134="EI",4,IF(H1134="EO",5.2,IF(H1134="EQ",3.9,IF(H1134="ILF",7.5,IF(H1134="EIF",5.4)))))))</f>
        <v/>
      </c>
      <c r="M1134" s="112" t="str">
        <f t="shared" si="20"/>
        <v/>
      </c>
      <c r="N1134" s="113"/>
    </row>
    <row r="1135" spans="2:14">
      <c r="B1135" s="105"/>
      <c r="C1135" s="106"/>
      <c r="D1135" s="107"/>
      <c r="E1135" s="65"/>
      <c r="F1135" s="64"/>
      <c r="G1135" s="64"/>
      <c r="H1135" s="64"/>
      <c r="I1135" s="70"/>
      <c r="J1135" s="70"/>
      <c r="K1135" s="110" t="str">
        <f>IF(H1135="","",IF($C$29="간이법","",FPR(H1135,I1135,J1135)))</f>
        <v/>
      </c>
      <c r="L1135" s="111" t="str">
        <f>IF(H1135="","",IF($C$29="상세법",FPV(H1135,K1135),IF(H1135="EI",4,IF(H1135="EO",5.2,IF(H1135="EQ",3.9,IF(H1135="ILF",7.5,IF(H1135="EIF",5.4)))))))</f>
        <v/>
      </c>
      <c r="M1135" s="112" t="str">
        <f t="shared" si="20"/>
        <v/>
      </c>
      <c r="N1135" s="113"/>
    </row>
    <row r="1136" spans="2:14">
      <c r="B1136" s="105"/>
      <c r="C1136" s="106"/>
      <c r="D1136" s="107"/>
      <c r="E1136" s="65"/>
      <c r="F1136" s="64"/>
      <c r="G1136" s="64"/>
      <c r="H1136" s="64"/>
      <c r="I1136" s="70"/>
      <c r="J1136" s="70"/>
      <c r="K1136" s="110" t="str">
        <f>IF(H1136="","",IF($C$29="간이법","",FPR(H1136,I1136,J1136)))</f>
        <v/>
      </c>
      <c r="L1136" s="111" t="str">
        <f>IF(H1136="","",IF($C$29="상세법",FPV(H1136,K1136),IF(H1136="EI",4,IF(H1136="EO",5.2,IF(H1136="EQ",3.9,IF(H1136="ILF",7.5,IF(H1136="EIF",5.4)))))))</f>
        <v/>
      </c>
      <c r="M1136" s="112" t="str">
        <f t="shared" si="20"/>
        <v/>
      </c>
      <c r="N1136" s="113"/>
    </row>
    <row r="1137" spans="2:14">
      <c r="B1137" s="105"/>
      <c r="C1137" s="106"/>
      <c r="D1137" s="107"/>
      <c r="E1137" s="65"/>
      <c r="F1137" s="64"/>
      <c r="G1137" s="64"/>
      <c r="H1137" s="64"/>
      <c r="I1137" s="70"/>
      <c r="J1137" s="70"/>
      <c r="K1137" s="110" t="str">
        <f>IF(H1137="","",IF($C$29="간이법","",FPR(H1137,I1137,J1137)))</f>
        <v/>
      </c>
      <c r="L1137" s="111" t="str">
        <f>IF(H1137="","",IF($C$29="상세법",FPV(H1137,K1137),IF(H1137="EI",4,IF(H1137="EO",5.2,IF(H1137="EQ",3.9,IF(H1137="ILF",7.5,IF(H1137="EIF",5.4)))))))</f>
        <v/>
      </c>
      <c r="M1137" s="112" t="str">
        <f t="shared" si="20"/>
        <v/>
      </c>
      <c r="N1137" s="113"/>
    </row>
    <row r="1138" spans="2:14">
      <c r="B1138" s="105"/>
      <c r="C1138" s="106"/>
      <c r="D1138" s="107"/>
      <c r="E1138" s="65"/>
      <c r="F1138" s="64"/>
      <c r="G1138" s="64"/>
      <c r="H1138" s="64"/>
      <c r="I1138" s="70"/>
      <c r="J1138" s="70"/>
      <c r="K1138" s="110" t="str">
        <f>IF(H1138="","",IF($C$29="간이법","",FPR(H1138,I1138,J1138)))</f>
        <v/>
      </c>
      <c r="L1138" s="111" t="str">
        <f>IF(H1138="","",IF($C$29="상세법",FPV(H1138,K1138),IF(H1138="EI",4,IF(H1138="EO",5.2,IF(H1138="EQ",3.9,IF(H1138="ILF",7.5,IF(H1138="EIF",5.4)))))))</f>
        <v/>
      </c>
      <c r="M1138" s="112" t="str">
        <f t="shared" si="20"/>
        <v/>
      </c>
      <c r="N1138" s="113"/>
    </row>
    <row r="1139" spans="2:14">
      <c r="B1139" s="105"/>
      <c r="C1139" s="106"/>
      <c r="D1139" s="107"/>
      <c r="E1139" s="65"/>
      <c r="F1139" s="64"/>
      <c r="G1139" s="64"/>
      <c r="H1139" s="64"/>
      <c r="I1139" s="70"/>
      <c r="J1139" s="70"/>
      <c r="K1139" s="110" t="str">
        <f>IF(H1139="","",IF($C$29="간이법","",FPR(H1139,I1139,J1139)))</f>
        <v/>
      </c>
      <c r="L1139" s="111" t="str">
        <f>IF(H1139="","",IF($C$29="상세법",FPV(H1139,K1139),IF(H1139="EI",4,IF(H1139="EO",5.2,IF(H1139="EQ",3.9,IF(H1139="ILF",7.5,IF(H1139="EIF",5.4)))))))</f>
        <v/>
      </c>
      <c r="M1139" s="112" t="str">
        <f t="shared" si="20"/>
        <v/>
      </c>
      <c r="N1139" s="113"/>
    </row>
    <row r="1140" spans="2:14">
      <c r="B1140" s="105"/>
      <c r="C1140" s="106"/>
      <c r="D1140" s="107"/>
      <c r="E1140" s="65"/>
      <c r="F1140" s="64"/>
      <c r="G1140" s="64"/>
      <c r="H1140" s="64"/>
      <c r="I1140" s="70"/>
      <c r="J1140" s="70"/>
      <c r="K1140" s="110" t="str">
        <f>IF(H1140="","",IF($C$29="간이법","",FPR(H1140,I1140,J1140)))</f>
        <v/>
      </c>
      <c r="L1140" s="111" t="str">
        <f>IF(H1140="","",IF($C$29="상세법",FPV(H1140,K1140),IF(H1140="EI",4,IF(H1140="EO",5.2,IF(H1140="EQ",3.9,IF(H1140="ILF",7.5,IF(H1140="EIF",5.4)))))))</f>
        <v/>
      </c>
      <c r="M1140" s="112" t="str">
        <f t="shared" si="20"/>
        <v/>
      </c>
      <c r="N1140" s="113"/>
    </row>
    <row r="1141" spans="2:14">
      <c r="B1141" s="105"/>
      <c r="C1141" s="106"/>
      <c r="D1141" s="107"/>
      <c r="E1141" s="65"/>
      <c r="F1141" s="64"/>
      <c r="G1141" s="64"/>
      <c r="H1141" s="64"/>
      <c r="I1141" s="70"/>
      <c r="J1141" s="70"/>
      <c r="K1141" s="110" t="str">
        <f>IF(H1141="","",IF($C$29="간이법","",FPR(H1141,I1141,J1141)))</f>
        <v/>
      </c>
      <c r="L1141" s="111" t="str">
        <f>IF(H1141="","",IF($C$29="상세법",FPV(H1141,K1141),IF(H1141="EI",4,IF(H1141="EO",5.2,IF(H1141="EQ",3.9,IF(H1141="ILF",7.5,IF(H1141="EIF",5.4)))))))</f>
        <v/>
      </c>
      <c r="M1141" s="112" t="str">
        <f t="shared" si="20"/>
        <v/>
      </c>
      <c r="N1141" s="113"/>
    </row>
    <row r="1142" spans="2:14">
      <c r="B1142" s="105"/>
      <c r="C1142" s="106"/>
      <c r="D1142" s="107"/>
      <c r="E1142" s="65"/>
      <c r="F1142" s="64"/>
      <c r="G1142" s="64"/>
      <c r="H1142" s="64"/>
      <c r="I1142" s="70"/>
      <c r="J1142" s="70"/>
      <c r="K1142" s="110" t="str">
        <f>IF(H1142="","",IF($C$29="간이법","",FPR(H1142,I1142,J1142)))</f>
        <v/>
      </c>
      <c r="L1142" s="111" t="str">
        <f>IF(H1142="","",IF($C$29="상세법",FPV(H1142,K1142),IF(H1142="EI",4,IF(H1142="EO",5.2,IF(H1142="EQ",3.9,IF(H1142="ILF",7.5,IF(H1142="EIF",5.4)))))))</f>
        <v/>
      </c>
      <c r="M1142" s="112" t="str">
        <f t="shared" si="20"/>
        <v/>
      </c>
      <c r="N1142" s="113"/>
    </row>
    <row r="1143" spans="2:14">
      <c r="B1143" s="105"/>
      <c r="C1143" s="106"/>
      <c r="D1143" s="107"/>
      <c r="E1143" s="65"/>
      <c r="F1143" s="64"/>
      <c r="G1143" s="64"/>
      <c r="H1143" s="64"/>
      <c r="I1143" s="70"/>
      <c r="J1143" s="70"/>
      <c r="K1143" s="110" t="str">
        <f>IF(H1143="","",IF($C$29="간이법","",FPR(H1143,I1143,J1143)))</f>
        <v/>
      </c>
      <c r="L1143" s="111" t="str">
        <f>IF(H1143="","",IF($C$29="상세법",FPV(H1143,K1143),IF(H1143="EI",4,IF(H1143="EO",5.2,IF(H1143="EQ",3.9,IF(H1143="ILF",7.5,IF(H1143="EIF",5.4)))))))</f>
        <v/>
      </c>
      <c r="M1143" s="112" t="str">
        <f t="shared" si="20"/>
        <v/>
      </c>
      <c r="N1143" s="113"/>
    </row>
    <row r="1144" spans="2:14">
      <c r="B1144" s="105"/>
      <c r="C1144" s="106"/>
      <c r="D1144" s="107"/>
      <c r="E1144" s="65"/>
      <c r="F1144" s="64"/>
      <c r="G1144" s="64"/>
      <c r="H1144" s="64"/>
      <c r="I1144" s="70"/>
      <c r="J1144" s="70"/>
      <c r="K1144" s="110" t="str">
        <f>IF(H1144="","",IF($C$29="간이법","",FPR(H1144,I1144,J1144)))</f>
        <v/>
      </c>
      <c r="L1144" s="111" t="str">
        <f>IF(H1144="","",IF($C$29="상세법",FPV(H1144,K1144),IF(H1144="EI",4,IF(H1144="EO",5.2,IF(H1144="EQ",3.9,IF(H1144="ILF",7.5,IF(H1144="EIF",5.4)))))))</f>
        <v/>
      </c>
      <c r="M1144" s="112" t="str">
        <f t="shared" si="20"/>
        <v/>
      </c>
      <c r="N1144" s="113"/>
    </row>
    <row r="1145" spans="2:14">
      <c r="B1145" s="105"/>
      <c r="C1145" s="106"/>
      <c r="D1145" s="107"/>
      <c r="E1145" s="65"/>
      <c r="F1145" s="64"/>
      <c r="G1145" s="64"/>
      <c r="H1145" s="64"/>
      <c r="I1145" s="70"/>
      <c r="J1145" s="70"/>
      <c r="K1145" s="110" t="str">
        <f>IF(H1145="","",IF($C$29="간이법","",FPR(H1145,I1145,J1145)))</f>
        <v/>
      </c>
      <c r="L1145" s="111" t="str">
        <f>IF(H1145="","",IF($C$29="상세법",FPV(H1145,K1145),IF(H1145="EI",4,IF(H1145="EO",5.2,IF(H1145="EQ",3.9,IF(H1145="ILF",7.5,IF(H1145="EIF",5.4)))))))</f>
        <v/>
      </c>
      <c r="M1145" s="112" t="str">
        <f t="shared" ref="M1145:M1208" si="21">IF(L1145="","",L1145*IF(G1145="상",0.7,IF(G1145="중",0.5,IF(G1145="하",0.2,1))))</f>
        <v/>
      </c>
      <c r="N1145" s="113"/>
    </row>
    <row r="1146" spans="2:14">
      <c r="B1146" s="105"/>
      <c r="C1146" s="106"/>
      <c r="D1146" s="107"/>
      <c r="E1146" s="65"/>
      <c r="F1146" s="64"/>
      <c r="G1146" s="64"/>
      <c r="H1146" s="64"/>
      <c r="I1146" s="70"/>
      <c r="J1146" s="70"/>
      <c r="K1146" s="110" t="str">
        <f>IF(H1146="","",IF($C$29="간이법","",FPR(H1146,I1146,J1146)))</f>
        <v/>
      </c>
      <c r="L1146" s="111" t="str">
        <f>IF(H1146="","",IF($C$29="상세법",FPV(H1146,K1146),IF(H1146="EI",4,IF(H1146="EO",5.2,IF(H1146="EQ",3.9,IF(H1146="ILF",7.5,IF(H1146="EIF",5.4)))))))</f>
        <v/>
      </c>
      <c r="M1146" s="112" t="str">
        <f t="shared" si="21"/>
        <v/>
      </c>
      <c r="N1146" s="113"/>
    </row>
    <row r="1147" spans="2:14">
      <c r="B1147" s="105"/>
      <c r="C1147" s="106"/>
      <c r="D1147" s="107"/>
      <c r="E1147" s="65"/>
      <c r="F1147" s="64"/>
      <c r="G1147" s="64"/>
      <c r="H1147" s="64"/>
      <c r="I1147" s="70"/>
      <c r="J1147" s="70"/>
      <c r="K1147" s="110" t="str">
        <f>IF(H1147="","",IF($C$29="간이법","",FPR(H1147,I1147,J1147)))</f>
        <v/>
      </c>
      <c r="L1147" s="111" t="str">
        <f>IF(H1147="","",IF($C$29="상세법",FPV(H1147,K1147),IF(H1147="EI",4,IF(H1147="EO",5.2,IF(H1147="EQ",3.9,IF(H1147="ILF",7.5,IF(H1147="EIF",5.4)))))))</f>
        <v/>
      </c>
      <c r="M1147" s="112" t="str">
        <f t="shared" si="21"/>
        <v/>
      </c>
      <c r="N1147" s="113"/>
    </row>
    <row r="1148" spans="2:14">
      <c r="B1148" s="105"/>
      <c r="C1148" s="106"/>
      <c r="D1148" s="107"/>
      <c r="E1148" s="65"/>
      <c r="F1148" s="64"/>
      <c r="G1148" s="64"/>
      <c r="H1148" s="64"/>
      <c r="I1148" s="70"/>
      <c r="J1148" s="70"/>
      <c r="K1148" s="110" t="str">
        <f>IF(H1148="","",IF($C$29="간이법","",FPR(H1148,I1148,J1148)))</f>
        <v/>
      </c>
      <c r="L1148" s="111" t="str">
        <f>IF(H1148="","",IF($C$29="상세법",FPV(H1148,K1148),IF(H1148="EI",4,IF(H1148="EO",5.2,IF(H1148="EQ",3.9,IF(H1148="ILF",7.5,IF(H1148="EIF",5.4)))))))</f>
        <v/>
      </c>
      <c r="M1148" s="112" t="str">
        <f t="shared" si="21"/>
        <v/>
      </c>
      <c r="N1148" s="113"/>
    </row>
    <row r="1149" spans="2:14">
      <c r="B1149" s="105"/>
      <c r="C1149" s="106"/>
      <c r="D1149" s="107"/>
      <c r="E1149" s="65"/>
      <c r="F1149" s="64"/>
      <c r="G1149" s="64"/>
      <c r="H1149" s="64"/>
      <c r="I1149" s="70"/>
      <c r="J1149" s="70"/>
      <c r="K1149" s="110" t="str">
        <f>IF(H1149="","",IF($C$29="간이법","",FPR(H1149,I1149,J1149)))</f>
        <v/>
      </c>
      <c r="L1149" s="111" t="str">
        <f>IF(H1149="","",IF($C$29="상세법",FPV(H1149,K1149),IF(H1149="EI",4,IF(H1149="EO",5.2,IF(H1149="EQ",3.9,IF(H1149="ILF",7.5,IF(H1149="EIF",5.4)))))))</f>
        <v/>
      </c>
      <c r="M1149" s="112" t="str">
        <f t="shared" si="21"/>
        <v/>
      </c>
      <c r="N1149" s="113"/>
    </row>
    <row r="1150" spans="2:14">
      <c r="B1150" s="105"/>
      <c r="C1150" s="106"/>
      <c r="D1150" s="107"/>
      <c r="E1150" s="65"/>
      <c r="F1150" s="64"/>
      <c r="G1150" s="64"/>
      <c r="H1150" s="64"/>
      <c r="I1150" s="70"/>
      <c r="J1150" s="70"/>
      <c r="K1150" s="110" t="str">
        <f>IF(H1150="","",IF($C$29="간이법","",FPR(H1150,I1150,J1150)))</f>
        <v/>
      </c>
      <c r="L1150" s="111" t="str">
        <f>IF(H1150="","",IF($C$29="상세법",FPV(H1150,K1150),IF(H1150="EI",4,IF(H1150="EO",5.2,IF(H1150="EQ",3.9,IF(H1150="ILF",7.5,IF(H1150="EIF",5.4)))))))</f>
        <v/>
      </c>
      <c r="M1150" s="112" t="str">
        <f t="shared" si="21"/>
        <v/>
      </c>
      <c r="N1150" s="113"/>
    </row>
    <row r="1151" spans="2:14">
      <c r="B1151" s="105"/>
      <c r="C1151" s="106"/>
      <c r="D1151" s="107"/>
      <c r="E1151" s="65"/>
      <c r="F1151" s="64"/>
      <c r="G1151" s="64"/>
      <c r="H1151" s="64"/>
      <c r="I1151" s="70"/>
      <c r="J1151" s="70"/>
      <c r="K1151" s="110" t="str">
        <f>IF(H1151="","",IF($C$29="간이법","",FPR(H1151,I1151,J1151)))</f>
        <v/>
      </c>
      <c r="L1151" s="111" t="str">
        <f>IF(H1151="","",IF($C$29="상세법",FPV(H1151,K1151),IF(H1151="EI",4,IF(H1151="EO",5.2,IF(H1151="EQ",3.9,IF(H1151="ILF",7.5,IF(H1151="EIF",5.4)))))))</f>
        <v/>
      </c>
      <c r="M1151" s="112" t="str">
        <f t="shared" si="21"/>
        <v/>
      </c>
      <c r="N1151" s="113"/>
    </row>
    <row r="1152" spans="2:14">
      <c r="B1152" s="105"/>
      <c r="C1152" s="106"/>
      <c r="D1152" s="107"/>
      <c r="E1152" s="65"/>
      <c r="F1152" s="64"/>
      <c r="G1152" s="64"/>
      <c r="H1152" s="64"/>
      <c r="I1152" s="70"/>
      <c r="J1152" s="70"/>
      <c r="K1152" s="110" t="str">
        <f>IF(H1152="","",IF($C$29="간이법","",FPR(H1152,I1152,J1152)))</f>
        <v/>
      </c>
      <c r="L1152" s="111" t="str">
        <f>IF(H1152="","",IF($C$29="상세법",FPV(H1152,K1152),IF(H1152="EI",4,IF(H1152="EO",5.2,IF(H1152="EQ",3.9,IF(H1152="ILF",7.5,IF(H1152="EIF",5.4)))))))</f>
        <v/>
      </c>
      <c r="M1152" s="112" t="str">
        <f t="shared" si="21"/>
        <v/>
      </c>
      <c r="N1152" s="113"/>
    </row>
    <row r="1153" spans="2:14">
      <c r="B1153" s="105"/>
      <c r="C1153" s="106"/>
      <c r="D1153" s="107"/>
      <c r="E1153" s="65"/>
      <c r="F1153" s="64"/>
      <c r="G1153" s="64"/>
      <c r="H1153" s="64"/>
      <c r="I1153" s="70"/>
      <c r="J1153" s="70"/>
      <c r="K1153" s="110" t="str">
        <f>IF(H1153="","",IF($C$29="간이법","",FPR(H1153,I1153,J1153)))</f>
        <v/>
      </c>
      <c r="L1153" s="111" t="str">
        <f>IF(H1153="","",IF($C$29="상세법",FPV(H1153,K1153),IF(H1153="EI",4,IF(H1153="EO",5.2,IF(H1153="EQ",3.9,IF(H1153="ILF",7.5,IF(H1153="EIF",5.4)))))))</f>
        <v/>
      </c>
      <c r="M1153" s="112" t="str">
        <f t="shared" si="21"/>
        <v/>
      </c>
      <c r="N1153" s="113"/>
    </row>
    <row r="1154" spans="2:14">
      <c r="B1154" s="105"/>
      <c r="C1154" s="106"/>
      <c r="D1154" s="107"/>
      <c r="E1154" s="65"/>
      <c r="F1154" s="64"/>
      <c r="G1154" s="64"/>
      <c r="H1154" s="64"/>
      <c r="I1154" s="70"/>
      <c r="J1154" s="70"/>
      <c r="K1154" s="110" t="str">
        <f>IF(H1154="","",IF($C$29="간이법","",FPR(H1154,I1154,J1154)))</f>
        <v/>
      </c>
      <c r="L1154" s="111" t="str">
        <f>IF(H1154="","",IF($C$29="상세법",FPV(H1154,K1154),IF(H1154="EI",4,IF(H1154="EO",5.2,IF(H1154="EQ",3.9,IF(H1154="ILF",7.5,IF(H1154="EIF",5.4)))))))</f>
        <v/>
      </c>
      <c r="M1154" s="112" t="str">
        <f t="shared" si="21"/>
        <v/>
      </c>
      <c r="N1154" s="113"/>
    </row>
    <row r="1155" spans="2:14">
      <c r="B1155" s="105"/>
      <c r="C1155" s="106"/>
      <c r="D1155" s="107"/>
      <c r="E1155" s="65"/>
      <c r="F1155" s="64"/>
      <c r="G1155" s="64"/>
      <c r="H1155" s="64"/>
      <c r="I1155" s="70"/>
      <c r="J1155" s="70"/>
      <c r="K1155" s="110" t="str">
        <f>IF(H1155="","",IF($C$29="간이법","",FPR(H1155,I1155,J1155)))</f>
        <v/>
      </c>
      <c r="L1155" s="111" t="str">
        <f>IF(H1155="","",IF($C$29="상세법",FPV(H1155,K1155),IF(H1155="EI",4,IF(H1155="EO",5.2,IF(H1155="EQ",3.9,IF(H1155="ILF",7.5,IF(H1155="EIF",5.4)))))))</f>
        <v/>
      </c>
      <c r="M1155" s="112" t="str">
        <f t="shared" si="21"/>
        <v/>
      </c>
      <c r="N1155" s="113"/>
    </row>
    <row r="1156" spans="2:14">
      <c r="B1156" s="105"/>
      <c r="C1156" s="106"/>
      <c r="D1156" s="107"/>
      <c r="E1156" s="65"/>
      <c r="F1156" s="64"/>
      <c r="G1156" s="64"/>
      <c r="H1156" s="64"/>
      <c r="I1156" s="70"/>
      <c r="J1156" s="70"/>
      <c r="K1156" s="110" t="str">
        <f>IF(H1156="","",IF($C$29="간이법","",FPR(H1156,I1156,J1156)))</f>
        <v/>
      </c>
      <c r="L1156" s="111" t="str">
        <f>IF(H1156="","",IF($C$29="상세법",FPV(H1156,K1156),IF(H1156="EI",4,IF(H1156="EO",5.2,IF(H1156="EQ",3.9,IF(H1156="ILF",7.5,IF(H1156="EIF",5.4)))))))</f>
        <v/>
      </c>
      <c r="M1156" s="112" t="str">
        <f t="shared" si="21"/>
        <v/>
      </c>
      <c r="N1156" s="113"/>
    </row>
    <row r="1157" spans="2:14">
      <c r="B1157" s="105"/>
      <c r="C1157" s="106"/>
      <c r="D1157" s="107"/>
      <c r="E1157" s="65"/>
      <c r="F1157" s="64"/>
      <c r="G1157" s="64"/>
      <c r="H1157" s="64"/>
      <c r="I1157" s="70"/>
      <c r="J1157" s="70"/>
      <c r="K1157" s="110" t="str">
        <f>IF(H1157="","",IF($C$29="간이법","",FPR(H1157,I1157,J1157)))</f>
        <v/>
      </c>
      <c r="L1157" s="111" t="str">
        <f>IF(H1157="","",IF($C$29="상세법",FPV(H1157,K1157),IF(H1157="EI",4,IF(H1157="EO",5.2,IF(H1157="EQ",3.9,IF(H1157="ILF",7.5,IF(H1157="EIF",5.4)))))))</f>
        <v/>
      </c>
      <c r="M1157" s="112" t="str">
        <f t="shared" si="21"/>
        <v/>
      </c>
      <c r="N1157" s="113"/>
    </row>
    <row r="1158" spans="2:14">
      <c r="B1158" s="105"/>
      <c r="C1158" s="106"/>
      <c r="D1158" s="107"/>
      <c r="E1158" s="65"/>
      <c r="F1158" s="64"/>
      <c r="G1158" s="64"/>
      <c r="H1158" s="64"/>
      <c r="I1158" s="70"/>
      <c r="J1158" s="70"/>
      <c r="K1158" s="110" t="str">
        <f>IF(H1158="","",IF($C$29="간이법","",FPR(H1158,I1158,J1158)))</f>
        <v/>
      </c>
      <c r="L1158" s="111" t="str">
        <f>IF(H1158="","",IF($C$29="상세법",FPV(H1158,K1158),IF(H1158="EI",4,IF(H1158="EO",5.2,IF(H1158="EQ",3.9,IF(H1158="ILF",7.5,IF(H1158="EIF",5.4)))))))</f>
        <v/>
      </c>
      <c r="M1158" s="112" t="str">
        <f t="shared" si="21"/>
        <v/>
      </c>
      <c r="N1158" s="113"/>
    </row>
    <row r="1159" spans="2:14">
      <c r="B1159" s="105"/>
      <c r="C1159" s="106"/>
      <c r="D1159" s="107"/>
      <c r="E1159" s="65"/>
      <c r="F1159" s="64"/>
      <c r="G1159" s="64"/>
      <c r="H1159" s="64"/>
      <c r="I1159" s="70"/>
      <c r="J1159" s="70"/>
      <c r="K1159" s="110" t="str">
        <f>IF(H1159="","",IF($C$29="간이법","",FPR(H1159,I1159,J1159)))</f>
        <v/>
      </c>
      <c r="L1159" s="111" t="str">
        <f>IF(H1159="","",IF($C$29="상세법",FPV(H1159,K1159),IF(H1159="EI",4,IF(H1159="EO",5.2,IF(H1159="EQ",3.9,IF(H1159="ILF",7.5,IF(H1159="EIF",5.4)))))))</f>
        <v/>
      </c>
      <c r="M1159" s="112" t="str">
        <f t="shared" si="21"/>
        <v/>
      </c>
      <c r="N1159" s="113"/>
    </row>
    <row r="1160" spans="2:14">
      <c r="B1160" s="105"/>
      <c r="C1160" s="106"/>
      <c r="D1160" s="107"/>
      <c r="E1160" s="65"/>
      <c r="F1160" s="64"/>
      <c r="G1160" s="64"/>
      <c r="H1160" s="64"/>
      <c r="I1160" s="70"/>
      <c r="J1160" s="70"/>
      <c r="K1160" s="110" t="str">
        <f>IF(H1160="","",IF($C$29="간이법","",FPR(H1160,I1160,J1160)))</f>
        <v/>
      </c>
      <c r="L1160" s="111" t="str">
        <f>IF(H1160="","",IF($C$29="상세법",FPV(H1160,K1160),IF(H1160="EI",4,IF(H1160="EO",5.2,IF(H1160="EQ",3.9,IF(H1160="ILF",7.5,IF(H1160="EIF",5.4)))))))</f>
        <v/>
      </c>
      <c r="M1160" s="112" t="str">
        <f t="shared" si="21"/>
        <v/>
      </c>
      <c r="N1160" s="113"/>
    </row>
    <row r="1161" spans="2:14">
      <c r="B1161" s="105"/>
      <c r="C1161" s="106"/>
      <c r="D1161" s="107"/>
      <c r="E1161" s="65"/>
      <c r="F1161" s="64"/>
      <c r="G1161" s="64"/>
      <c r="H1161" s="64"/>
      <c r="I1161" s="70"/>
      <c r="J1161" s="70"/>
      <c r="K1161" s="110" t="str">
        <f>IF(H1161="","",IF($C$29="간이법","",FPR(H1161,I1161,J1161)))</f>
        <v/>
      </c>
      <c r="L1161" s="111" t="str">
        <f>IF(H1161="","",IF($C$29="상세법",FPV(H1161,K1161),IF(H1161="EI",4,IF(H1161="EO",5.2,IF(H1161="EQ",3.9,IF(H1161="ILF",7.5,IF(H1161="EIF",5.4)))))))</f>
        <v/>
      </c>
      <c r="M1161" s="112" t="str">
        <f t="shared" si="21"/>
        <v/>
      </c>
      <c r="N1161" s="113"/>
    </row>
    <row r="1162" spans="2:14">
      <c r="B1162" s="105"/>
      <c r="C1162" s="106"/>
      <c r="D1162" s="107"/>
      <c r="E1162" s="65"/>
      <c r="F1162" s="64"/>
      <c r="G1162" s="64"/>
      <c r="H1162" s="64"/>
      <c r="I1162" s="70"/>
      <c r="J1162" s="70"/>
      <c r="K1162" s="110" t="str">
        <f>IF(H1162="","",IF($C$29="간이법","",FPR(H1162,I1162,J1162)))</f>
        <v/>
      </c>
      <c r="L1162" s="111" t="str">
        <f>IF(H1162="","",IF($C$29="상세법",FPV(H1162,K1162),IF(H1162="EI",4,IF(H1162="EO",5.2,IF(H1162="EQ",3.9,IF(H1162="ILF",7.5,IF(H1162="EIF",5.4)))))))</f>
        <v/>
      </c>
      <c r="M1162" s="112" t="str">
        <f t="shared" si="21"/>
        <v/>
      </c>
      <c r="N1162" s="113"/>
    </row>
    <row r="1163" spans="2:14">
      <c r="B1163" s="105"/>
      <c r="C1163" s="106"/>
      <c r="D1163" s="107"/>
      <c r="E1163" s="65"/>
      <c r="F1163" s="64"/>
      <c r="G1163" s="64"/>
      <c r="H1163" s="64"/>
      <c r="I1163" s="70"/>
      <c r="J1163" s="70"/>
      <c r="K1163" s="110" t="str">
        <f>IF(H1163="","",IF($C$29="간이법","",FPR(H1163,I1163,J1163)))</f>
        <v/>
      </c>
      <c r="L1163" s="111" t="str">
        <f>IF(H1163="","",IF($C$29="상세법",FPV(H1163,K1163),IF(H1163="EI",4,IF(H1163="EO",5.2,IF(H1163="EQ",3.9,IF(H1163="ILF",7.5,IF(H1163="EIF",5.4)))))))</f>
        <v/>
      </c>
      <c r="M1163" s="112" t="str">
        <f t="shared" si="21"/>
        <v/>
      </c>
      <c r="N1163" s="113"/>
    </row>
    <row r="1164" spans="2:14">
      <c r="B1164" s="105"/>
      <c r="C1164" s="106"/>
      <c r="D1164" s="107"/>
      <c r="E1164" s="65"/>
      <c r="F1164" s="64"/>
      <c r="G1164" s="64"/>
      <c r="H1164" s="64"/>
      <c r="I1164" s="70"/>
      <c r="J1164" s="70"/>
      <c r="K1164" s="110" t="str">
        <f>IF(H1164="","",IF($C$29="간이법","",FPR(H1164,I1164,J1164)))</f>
        <v/>
      </c>
      <c r="L1164" s="111" t="str">
        <f>IF(H1164="","",IF($C$29="상세법",FPV(H1164,K1164),IF(H1164="EI",4,IF(H1164="EO",5.2,IF(H1164="EQ",3.9,IF(H1164="ILF",7.5,IF(H1164="EIF",5.4)))))))</f>
        <v/>
      </c>
      <c r="M1164" s="112" t="str">
        <f t="shared" si="21"/>
        <v/>
      </c>
      <c r="N1164" s="113"/>
    </row>
    <row r="1165" spans="2:14">
      <c r="B1165" s="105"/>
      <c r="C1165" s="106"/>
      <c r="D1165" s="107"/>
      <c r="E1165" s="65"/>
      <c r="F1165" s="64"/>
      <c r="G1165" s="64"/>
      <c r="H1165" s="64"/>
      <c r="I1165" s="70"/>
      <c r="J1165" s="70"/>
      <c r="K1165" s="110" t="str">
        <f>IF(H1165="","",IF($C$29="간이법","",FPR(H1165,I1165,J1165)))</f>
        <v/>
      </c>
      <c r="L1165" s="111" t="str">
        <f>IF(H1165="","",IF($C$29="상세법",FPV(H1165,K1165),IF(H1165="EI",4,IF(H1165="EO",5.2,IF(H1165="EQ",3.9,IF(H1165="ILF",7.5,IF(H1165="EIF",5.4)))))))</f>
        <v/>
      </c>
      <c r="M1165" s="112" t="str">
        <f t="shared" si="21"/>
        <v/>
      </c>
      <c r="N1165" s="113"/>
    </row>
    <row r="1166" spans="2:14">
      <c r="B1166" s="105"/>
      <c r="C1166" s="106"/>
      <c r="D1166" s="107"/>
      <c r="E1166" s="65"/>
      <c r="F1166" s="64"/>
      <c r="G1166" s="64"/>
      <c r="H1166" s="64"/>
      <c r="I1166" s="70"/>
      <c r="J1166" s="70"/>
      <c r="K1166" s="110" t="str">
        <f>IF(H1166="","",IF($C$29="간이법","",FPR(H1166,I1166,J1166)))</f>
        <v/>
      </c>
      <c r="L1166" s="111" t="str">
        <f>IF(H1166="","",IF($C$29="상세법",FPV(H1166,K1166),IF(H1166="EI",4,IF(H1166="EO",5.2,IF(H1166="EQ",3.9,IF(H1166="ILF",7.5,IF(H1166="EIF",5.4)))))))</f>
        <v/>
      </c>
      <c r="M1166" s="112" t="str">
        <f t="shared" si="21"/>
        <v/>
      </c>
      <c r="N1166" s="113"/>
    </row>
    <row r="1167" spans="2:14">
      <c r="B1167" s="105"/>
      <c r="C1167" s="106"/>
      <c r="D1167" s="107"/>
      <c r="E1167" s="65"/>
      <c r="F1167" s="64"/>
      <c r="G1167" s="64"/>
      <c r="H1167" s="64"/>
      <c r="I1167" s="70"/>
      <c r="J1167" s="70"/>
      <c r="K1167" s="110" t="str">
        <f>IF(H1167="","",IF($C$29="간이법","",FPR(H1167,I1167,J1167)))</f>
        <v/>
      </c>
      <c r="L1167" s="111" t="str">
        <f>IF(H1167="","",IF($C$29="상세법",FPV(H1167,K1167),IF(H1167="EI",4,IF(H1167="EO",5.2,IF(H1167="EQ",3.9,IF(H1167="ILF",7.5,IF(H1167="EIF",5.4)))))))</f>
        <v/>
      </c>
      <c r="M1167" s="112" t="str">
        <f t="shared" si="21"/>
        <v/>
      </c>
      <c r="N1167" s="113"/>
    </row>
    <row r="1168" spans="2:14">
      <c r="B1168" s="105"/>
      <c r="C1168" s="106"/>
      <c r="D1168" s="107"/>
      <c r="E1168" s="65"/>
      <c r="F1168" s="64"/>
      <c r="G1168" s="64"/>
      <c r="H1168" s="64"/>
      <c r="I1168" s="70"/>
      <c r="J1168" s="70"/>
      <c r="K1168" s="110" t="str">
        <f>IF(H1168="","",IF($C$29="간이법","",FPR(H1168,I1168,J1168)))</f>
        <v/>
      </c>
      <c r="L1168" s="111" t="str">
        <f>IF(H1168="","",IF($C$29="상세법",FPV(H1168,K1168),IF(H1168="EI",4,IF(H1168="EO",5.2,IF(H1168="EQ",3.9,IF(H1168="ILF",7.5,IF(H1168="EIF",5.4)))))))</f>
        <v/>
      </c>
      <c r="M1168" s="112" t="str">
        <f t="shared" si="21"/>
        <v/>
      </c>
      <c r="N1168" s="113"/>
    </row>
    <row r="1169" spans="2:14">
      <c r="B1169" s="105"/>
      <c r="C1169" s="106"/>
      <c r="D1169" s="107"/>
      <c r="E1169" s="65"/>
      <c r="F1169" s="64"/>
      <c r="G1169" s="64"/>
      <c r="H1169" s="64"/>
      <c r="I1169" s="70"/>
      <c r="J1169" s="70"/>
      <c r="K1169" s="110" t="str">
        <f>IF(H1169="","",IF($C$29="간이법","",FPR(H1169,I1169,J1169)))</f>
        <v/>
      </c>
      <c r="L1169" s="111" t="str">
        <f>IF(H1169="","",IF($C$29="상세법",FPV(H1169,K1169),IF(H1169="EI",4,IF(H1169="EO",5.2,IF(H1169="EQ",3.9,IF(H1169="ILF",7.5,IF(H1169="EIF",5.4)))))))</f>
        <v/>
      </c>
      <c r="M1169" s="112" t="str">
        <f t="shared" si="21"/>
        <v/>
      </c>
      <c r="N1169" s="113"/>
    </row>
    <row r="1170" spans="2:14">
      <c r="B1170" s="105"/>
      <c r="C1170" s="106"/>
      <c r="D1170" s="107"/>
      <c r="E1170" s="65"/>
      <c r="F1170" s="64"/>
      <c r="G1170" s="64"/>
      <c r="H1170" s="64"/>
      <c r="I1170" s="70"/>
      <c r="J1170" s="70"/>
      <c r="K1170" s="110" t="str">
        <f>IF(H1170="","",IF($C$29="간이법","",FPR(H1170,I1170,J1170)))</f>
        <v/>
      </c>
      <c r="L1170" s="111" t="str">
        <f>IF(H1170="","",IF($C$29="상세법",FPV(H1170,K1170),IF(H1170="EI",4,IF(H1170="EO",5.2,IF(H1170="EQ",3.9,IF(H1170="ILF",7.5,IF(H1170="EIF",5.4)))))))</f>
        <v/>
      </c>
      <c r="M1170" s="112" t="str">
        <f t="shared" si="21"/>
        <v/>
      </c>
      <c r="N1170" s="113"/>
    </row>
    <row r="1171" spans="2:14">
      <c r="B1171" s="105"/>
      <c r="C1171" s="106"/>
      <c r="D1171" s="107"/>
      <c r="E1171" s="65"/>
      <c r="F1171" s="64"/>
      <c r="G1171" s="64"/>
      <c r="H1171" s="64"/>
      <c r="I1171" s="70"/>
      <c r="J1171" s="70"/>
      <c r="K1171" s="110" t="str">
        <f>IF(H1171="","",IF($C$29="간이법","",FPR(H1171,I1171,J1171)))</f>
        <v/>
      </c>
      <c r="L1171" s="111" t="str">
        <f>IF(H1171="","",IF($C$29="상세법",FPV(H1171,K1171),IF(H1171="EI",4,IF(H1171="EO",5.2,IF(H1171="EQ",3.9,IF(H1171="ILF",7.5,IF(H1171="EIF",5.4)))))))</f>
        <v/>
      </c>
      <c r="M1171" s="112" t="str">
        <f t="shared" si="21"/>
        <v/>
      </c>
      <c r="N1171" s="113"/>
    </row>
    <row r="1172" spans="2:14">
      <c r="B1172" s="105"/>
      <c r="C1172" s="106"/>
      <c r="D1172" s="107"/>
      <c r="E1172" s="65"/>
      <c r="F1172" s="64"/>
      <c r="G1172" s="64"/>
      <c r="H1172" s="64"/>
      <c r="I1172" s="70"/>
      <c r="J1172" s="70"/>
      <c r="K1172" s="110" t="str">
        <f>IF(H1172="","",IF($C$29="간이법","",FPR(H1172,I1172,J1172)))</f>
        <v/>
      </c>
      <c r="L1172" s="111" t="str">
        <f>IF(H1172="","",IF($C$29="상세법",FPV(H1172,K1172),IF(H1172="EI",4,IF(H1172="EO",5.2,IF(H1172="EQ",3.9,IF(H1172="ILF",7.5,IF(H1172="EIF",5.4)))))))</f>
        <v/>
      </c>
      <c r="M1172" s="112" t="str">
        <f t="shared" si="21"/>
        <v/>
      </c>
      <c r="N1172" s="113"/>
    </row>
    <row r="1173" spans="2:14">
      <c r="B1173" s="105"/>
      <c r="C1173" s="106"/>
      <c r="D1173" s="107"/>
      <c r="E1173" s="65"/>
      <c r="F1173" s="64"/>
      <c r="G1173" s="64"/>
      <c r="H1173" s="64"/>
      <c r="I1173" s="70"/>
      <c r="J1173" s="70"/>
      <c r="K1173" s="110" t="str">
        <f>IF(H1173="","",IF($C$29="간이법","",FPR(H1173,I1173,J1173)))</f>
        <v/>
      </c>
      <c r="L1173" s="111" t="str">
        <f>IF(H1173="","",IF($C$29="상세법",FPV(H1173,K1173),IF(H1173="EI",4,IF(H1173="EO",5.2,IF(H1173="EQ",3.9,IF(H1173="ILF",7.5,IF(H1173="EIF",5.4)))))))</f>
        <v/>
      </c>
      <c r="M1173" s="112" t="str">
        <f t="shared" si="21"/>
        <v/>
      </c>
      <c r="N1173" s="113"/>
    </row>
    <row r="1174" spans="2:14">
      <c r="B1174" s="105"/>
      <c r="C1174" s="106"/>
      <c r="D1174" s="107"/>
      <c r="E1174" s="65"/>
      <c r="F1174" s="64"/>
      <c r="G1174" s="64"/>
      <c r="H1174" s="64"/>
      <c r="I1174" s="70"/>
      <c r="J1174" s="70"/>
      <c r="K1174" s="110" t="str">
        <f>IF(H1174="","",IF($C$29="간이법","",FPR(H1174,I1174,J1174)))</f>
        <v/>
      </c>
      <c r="L1174" s="111" t="str">
        <f>IF(H1174="","",IF($C$29="상세법",FPV(H1174,K1174),IF(H1174="EI",4,IF(H1174="EO",5.2,IF(H1174="EQ",3.9,IF(H1174="ILF",7.5,IF(H1174="EIF",5.4)))))))</f>
        <v/>
      </c>
      <c r="M1174" s="112" t="str">
        <f t="shared" si="21"/>
        <v/>
      </c>
      <c r="N1174" s="113"/>
    </row>
    <row r="1175" spans="2:14">
      <c r="B1175" s="105"/>
      <c r="C1175" s="106"/>
      <c r="D1175" s="107"/>
      <c r="E1175" s="65"/>
      <c r="F1175" s="64"/>
      <c r="G1175" s="64"/>
      <c r="H1175" s="64"/>
      <c r="I1175" s="70"/>
      <c r="J1175" s="70"/>
      <c r="K1175" s="110" t="str">
        <f>IF(H1175="","",IF($C$29="간이법","",FPR(H1175,I1175,J1175)))</f>
        <v/>
      </c>
      <c r="L1175" s="111" t="str">
        <f>IF(H1175="","",IF($C$29="상세법",FPV(H1175,K1175),IF(H1175="EI",4,IF(H1175="EO",5.2,IF(H1175="EQ",3.9,IF(H1175="ILF",7.5,IF(H1175="EIF",5.4)))))))</f>
        <v/>
      </c>
      <c r="M1175" s="112" t="str">
        <f t="shared" si="21"/>
        <v/>
      </c>
      <c r="N1175" s="113"/>
    </row>
    <row r="1176" spans="2:14">
      <c r="B1176" s="105"/>
      <c r="C1176" s="106"/>
      <c r="D1176" s="107"/>
      <c r="E1176" s="65"/>
      <c r="F1176" s="64"/>
      <c r="G1176" s="64"/>
      <c r="H1176" s="64"/>
      <c r="I1176" s="70"/>
      <c r="J1176" s="70"/>
      <c r="K1176" s="110" t="str">
        <f>IF(H1176="","",IF($C$29="간이법","",FPR(H1176,I1176,J1176)))</f>
        <v/>
      </c>
      <c r="L1176" s="111" t="str">
        <f>IF(H1176="","",IF($C$29="상세법",FPV(H1176,K1176),IF(H1176="EI",4,IF(H1176="EO",5.2,IF(H1176="EQ",3.9,IF(H1176="ILF",7.5,IF(H1176="EIF",5.4)))))))</f>
        <v/>
      </c>
      <c r="M1176" s="112" t="str">
        <f t="shared" si="21"/>
        <v/>
      </c>
      <c r="N1176" s="113"/>
    </row>
    <row r="1177" spans="2:14">
      <c r="B1177" s="105"/>
      <c r="C1177" s="106"/>
      <c r="D1177" s="107"/>
      <c r="E1177" s="65"/>
      <c r="F1177" s="64"/>
      <c r="G1177" s="64"/>
      <c r="H1177" s="64"/>
      <c r="I1177" s="70"/>
      <c r="J1177" s="70"/>
      <c r="K1177" s="110" t="str">
        <f>IF(H1177="","",IF($C$29="간이법","",FPR(H1177,I1177,J1177)))</f>
        <v/>
      </c>
      <c r="L1177" s="111" t="str">
        <f>IF(H1177="","",IF($C$29="상세법",FPV(H1177,K1177),IF(H1177="EI",4,IF(H1177="EO",5.2,IF(H1177="EQ",3.9,IF(H1177="ILF",7.5,IF(H1177="EIF",5.4)))))))</f>
        <v/>
      </c>
      <c r="M1177" s="112" t="str">
        <f t="shared" si="21"/>
        <v/>
      </c>
      <c r="N1177" s="113"/>
    </row>
    <row r="1178" spans="2:14">
      <c r="B1178" s="105"/>
      <c r="C1178" s="106"/>
      <c r="D1178" s="107"/>
      <c r="E1178" s="65"/>
      <c r="F1178" s="64"/>
      <c r="G1178" s="64"/>
      <c r="H1178" s="64"/>
      <c r="I1178" s="70"/>
      <c r="J1178" s="70"/>
      <c r="K1178" s="110" t="str">
        <f>IF(H1178="","",IF($C$29="간이법","",FPR(H1178,I1178,J1178)))</f>
        <v/>
      </c>
      <c r="L1178" s="111" t="str">
        <f>IF(H1178="","",IF($C$29="상세법",FPV(H1178,K1178),IF(H1178="EI",4,IF(H1178="EO",5.2,IF(H1178="EQ",3.9,IF(H1178="ILF",7.5,IF(H1178="EIF",5.4)))))))</f>
        <v/>
      </c>
      <c r="M1178" s="112" t="str">
        <f t="shared" si="21"/>
        <v/>
      </c>
      <c r="N1178" s="113"/>
    </row>
    <row r="1179" spans="2:14">
      <c r="B1179" s="105"/>
      <c r="C1179" s="106"/>
      <c r="D1179" s="107"/>
      <c r="E1179" s="65"/>
      <c r="F1179" s="64"/>
      <c r="G1179" s="64"/>
      <c r="H1179" s="64"/>
      <c r="I1179" s="70"/>
      <c r="J1179" s="70"/>
      <c r="K1179" s="110" t="str">
        <f>IF(H1179="","",IF($C$29="간이법","",FPR(H1179,I1179,J1179)))</f>
        <v/>
      </c>
      <c r="L1179" s="111" t="str">
        <f>IF(H1179="","",IF($C$29="상세법",FPV(H1179,K1179),IF(H1179="EI",4,IF(H1179="EO",5.2,IF(H1179="EQ",3.9,IF(H1179="ILF",7.5,IF(H1179="EIF",5.4)))))))</f>
        <v/>
      </c>
      <c r="M1179" s="112" t="str">
        <f t="shared" si="21"/>
        <v/>
      </c>
      <c r="N1179" s="113"/>
    </row>
    <row r="1180" spans="2:14">
      <c r="B1180" s="105"/>
      <c r="C1180" s="106"/>
      <c r="D1180" s="107"/>
      <c r="E1180" s="65"/>
      <c r="F1180" s="64"/>
      <c r="G1180" s="64"/>
      <c r="H1180" s="64"/>
      <c r="I1180" s="70"/>
      <c r="J1180" s="70"/>
      <c r="K1180" s="110" t="str">
        <f>IF(H1180="","",IF($C$29="간이법","",FPR(H1180,I1180,J1180)))</f>
        <v/>
      </c>
      <c r="L1180" s="111" t="str">
        <f>IF(H1180="","",IF($C$29="상세법",FPV(H1180,K1180),IF(H1180="EI",4,IF(H1180="EO",5.2,IF(H1180="EQ",3.9,IF(H1180="ILF",7.5,IF(H1180="EIF",5.4)))))))</f>
        <v/>
      </c>
      <c r="M1180" s="112" t="str">
        <f t="shared" si="21"/>
        <v/>
      </c>
      <c r="N1180" s="113"/>
    </row>
    <row r="1181" spans="2:14">
      <c r="B1181" s="105"/>
      <c r="C1181" s="106"/>
      <c r="D1181" s="107"/>
      <c r="E1181" s="65"/>
      <c r="F1181" s="64"/>
      <c r="G1181" s="64"/>
      <c r="H1181" s="64"/>
      <c r="I1181" s="70"/>
      <c r="J1181" s="70"/>
      <c r="K1181" s="110" t="str">
        <f>IF(H1181="","",IF($C$29="간이법","",FPR(H1181,I1181,J1181)))</f>
        <v/>
      </c>
      <c r="L1181" s="111" t="str">
        <f>IF(H1181="","",IF($C$29="상세법",FPV(H1181,K1181),IF(H1181="EI",4,IF(H1181="EO",5.2,IF(H1181="EQ",3.9,IF(H1181="ILF",7.5,IF(H1181="EIF",5.4)))))))</f>
        <v/>
      </c>
      <c r="M1181" s="112" t="str">
        <f t="shared" si="21"/>
        <v/>
      </c>
      <c r="N1181" s="113"/>
    </row>
    <row r="1182" spans="2:14">
      <c r="B1182" s="105"/>
      <c r="C1182" s="106"/>
      <c r="D1182" s="107"/>
      <c r="E1182" s="65"/>
      <c r="F1182" s="64"/>
      <c r="G1182" s="64"/>
      <c r="H1182" s="64"/>
      <c r="I1182" s="70"/>
      <c r="J1182" s="70"/>
      <c r="K1182" s="110" t="str">
        <f>IF(H1182="","",IF($C$29="간이법","",FPR(H1182,I1182,J1182)))</f>
        <v/>
      </c>
      <c r="L1182" s="111" t="str">
        <f>IF(H1182="","",IF($C$29="상세법",FPV(H1182,K1182),IF(H1182="EI",4,IF(H1182="EO",5.2,IF(H1182="EQ",3.9,IF(H1182="ILF",7.5,IF(H1182="EIF",5.4)))))))</f>
        <v/>
      </c>
      <c r="M1182" s="112" t="str">
        <f t="shared" si="21"/>
        <v/>
      </c>
      <c r="N1182" s="113"/>
    </row>
    <row r="1183" spans="2:14">
      <c r="B1183" s="105"/>
      <c r="C1183" s="106"/>
      <c r="D1183" s="107"/>
      <c r="E1183" s="65"/>
      <c r="F1183" s="64"/>
      <c r="G1183" s="64"/>
      <c r="H1183" s="64"/>
      <c r="I1183" s="70"/>
      <c r="J1183" s="70"/>
      <c r="K1183" s="110" t="str">
        <f>IF(H1183="","",IF($C$29="간이법","",FPR(H1183,I1183,J1183)))</f>
        <v/>
      </c>
      <c r="L1183" s="111" t="str">
        <f>IF(H1183="","",IF($C$29="상세법",FPV(H1183,K1183),IF(H1183="EI",4,IF(H1183="EO",5.2,IF(H1183="EQ",3.9,IF(H1183="ILF",7.5,IF(H1183="EIF",5.4)))))))</f>
        <v/>
      </c>
      <c r="M1183" s="112" t="str">
        <f t="shared" si="21"/>
        <v/>
      </c>
      <c r="N1183" s="113"/>
    </row>
    <row r="1184" spans="2:14">
      <c r="B1184" s="105"/>
      <c r="C1184" s="106"/>
      <c r="D1184" s="107"/>
      <c r="E1184" s="65"/>
      <c r="F1184" s="64"/>
      <c r="G1184" s="64"/>
      <c r="H1184" s="64"/>
      <c r="I1184" s="70"/>
      <c r="J1184" s="70"/>
      <c r="K1184" s="110" t="str">
        <f>IF(H1184="","",IF($C$29="간이법","",FPR(H1184,I1184,J1184)))</f>
        <v/>
      </c>
      <c r="L1184" s="111" t="str">
        <f>IF(H1184="","",IF($C$29="상세법",FPV(H1184,K1184),IF(H1184="EI",4,IF(H1184="EO",5.2,IF(H1184="EQ",3.9,IF(H1184="ILF",7.5,IF(H1184="EIF",5.4)))))))</f>
        <v/>
      </c>
      <c r="M1184" s="112" t="str">
        <f t="shared" si="21"/>
        <v/>
      </c>
      <c r="N1184" s="113"/>
    </row>
    <row r="1185" spans="2:14">
      <c r="B1185" s="105"/>
      <c r="C1185" s="106"/>
      <c r="D1185" s="107"/>
      <c r="E1185" s="65"/>
      <c r="F1185" s="64"/>
      <c r="G1185" s="64"/>
      <c r="H1185" s="64"/>
      <c r="I1185" s="70"/>
      <c r="J1185" s="70"/>
      <c r="K1185" s="110" t="str">
        <f>IF(H1185="","",IF($C$29="간이법","",FPR(H1185,I1185,J1185)))</f>
        <v/>
      </c>
      <c r="L1185" s="111" t="str">
        <f>IF(H1185="","",IF($C$29="상세법",FPV(H1185,K1185),IF(H1185="EI",4,IF(H1185="EO",5.2,IF(H1185="EQ",3.9,IF(H1185="ILF",7.5,IF(H1185="EIF",5.4)))))))</f>
        <v/>
      </c>
      <c r="M1185" s="112" t="str">
        <f t="shared" si="21"/>
        <v/>
      </c>
      <c r="N1185" s="113"/>
    </row>
    <row r="1186" spans="2:14">
      <c r="B1186" s="105"/>
      <c r="C1186" s="106"/>
      <c r="D1186" s="107"/>
      <c r="E1186" s="65"/>
      <c r="F1186" s="64"/>
      <c r="G1186" s="64"/>
      <c r="H1186" s="64"/>
      <c r="I1186" s="70"/>
      <c r="J1186" s="70"/>
      <c r="K1186" s="110" t="str">
        <f>IF(H1186="","",IF($C$29="간이법","",FPR(H1186,I1186,J1186)))</f>
        <v/>
      </c>
      <c r="L1186" s="111" t="str">
        <f>IF(H1186="","",IF($C$29="상세법",FPV(H1186,K1186),IF(H1186="EI",4,IF(H1186="EO",5.2,IF(H1186="EQ",3.9,IF(H1186="ILF",7.5,IF(H1186="EIF",5.4)))))))</f>
        <v/>
      </c>
      <c r="M1186" s="112" t="str">
        <f t="shared" si="21"/>
        <v/>
      </c>
      <c r="N1186" s="113"/>
    </row>
    <row r="1187" spans="2:14">
      <c r="B1187" s="105"/>
      <c r="C1187" s="106"/>
      <c r="D1187" s="107"/>
      <c r="E1187" s="65"/>
      <c r="F1187" s="64"/>
      <c r="G1187" s="64"/>
      <c r="H1187" s="64"/>
      <c r="I1187" s="70"/>
      <c r="J1187" s="70"/>
      <c r="K1187" s="110" t="str">
        <f>IF(H1187="","",IF($C$29="간이법","",FPR(H1187,I1187,J1187)))</f>
        <v/>
      </c>
      <c r="L1187" s="111" t="str">
        <f>IF(H1187="","",IF($C$29="상세법",FPV(H1187,K1187),IF(H1187="EI",4,IF(H1187="EO",5.2,IF(H1187="EQ",3.9,IF(H1187="ILF",7.5,IF(H1187="EIF",5.4)))))))</f>
        <v/>
      </c>
      <c r="M1187" s="112" t="str">
        <f t="shared" si="21"/>
        <v/>
      </c>
      <c r="N1187" s="113"/>
    </row>
    <row r="1188" spans="2:14">
      <c r="B1188" s="105"/>
      <c r="C1188" s="106"/>
      <c r="D1188" s="107"/>
      <c r="E1188" s="65"/>
      <c r="F1188" s="64"/>
      <c r="G1188" s="64"/>
      <c r="H1188" s="64"/>
      <c r="I1188" s="70"/>
      <c r="J1188" s="70"/>
      <c r="K1188" s="110" t="str">
        <f>IF(H1188="","",IF($C$29="간이법","",FPR(H1188,I1188,J1188)))</f>
        <v/>
      </c>
      <c r="L1188" s="111" t="str">
        <f>IF(H1188="","",IF($C$29="상세법",FPV(H1188,K1188),IF(H1188="EI",4,IF(H1188="EO",5.2,IF(H1188="EQ",3.9,IF(H1188="ILF",7.5,IF(H1188="EIF",5.4)))))))</f>
        <v/>
      </c>
      <c r="M1188" s="112" t="str">
        <f t="shared" si="21"/>
        <v/>
      </c>
      <c r="N1188" s="113"/>
    </row>
    <row r="1189" spans="2:14">
      <c r="B1189" s="105"/>
      <c r="C1189" s="106"/>
      <c r="D1189" s="107"/>
      <c r="E1189" s="65"/>
      <c r="F1189" s="64"/>
      <c r="G1189" s="64"/>
      <c r="H1189" s="64"/>
      <c r="I1189" s="70"/>
      <c r="J1189" s="70"/>
      <c r="K1189" s="110" t="str">
        <f>IF(H1189="","",IF($C$29="간이법","",FPR(H1189,I1189,J1189)))</f>
        <v/>
      </c>
      <c r="L1189" s="111" t="str">
        <f>IF(H1189="","",IF($C$29="상세법",FPV(H1189,K1189),IF(H1189="EI",4,IF(H1189="EO",5.2,IF(H1189="EQ",3.9,IF(H1189="ILF",7.5,IF(H1189="EIF",5.4)))))))</f>
        <v/>
      </c>
      <c r="M1189" s="112" t="str">
        <f t="shared" si="21"/>
        <v/>
      </c>
      <c r="N1189" s="113"/>
    </row>
    <row r="1190" spans="2:14">
      <c r="B1190" s="105"/>
      <c r="C1190" s="106"/>
      <c r="D1190" s="107"/>
      <c r="E1190" s="65"/>
      <c r="F1190" s="64"/>
      <c r="G1190" s="64"/>
      <c r="H1190" s="64"/>
      <c r="I1190" s="70"/>
      <c r="J1190" s="70"/>
      <c r="K1190" s="110" t="str">
        <f>IF(H1190="","",IF($C$29="간이법","",FPR(H1190,I1190,J1190)))</f>
        <v/>
      </c>
      <c r="L1190" s="111" t="str">
        <f>IF(H1190="","",IF($C$29="상세법",FPV(H1190,K1190),IF(H1190="EI",4,IF(H1190="EO",5.2,IF(H1190="EQ",3.9,IF(H1190="ILF",7.5,IF(H1190="EIF",5.4)))))))</f>
        <v/>
      </c>
      <c r="M1190" s="112" t="str">
        <f t="shared" si="21"/>
        <v/>
      </c>
      <c r="N1190" s="113"/>
    </row>
    <row r="1191" spans="2:14">
      <c r="B1191" s="105"/>
      <c r="C1191" s="106"/>
      <c r="D1191" s="107"/>
      <c r="E1191" s="65"/>
      <c r="F1191" s="64"/>
      <c r="G1191" s="64"/>
      <c r="H1191" s="64"/>
      <c r="I1191" s="70"/>
      <c r="J1191" s="70"/>
      <c r="K1191" s="110" t="str">
        <f>IF(H1191="","",IF($C$29="간이법","",FPR(H1191,I1191,J1191)))</f>
        <v/>
      </c>
      <c r="L1191" s="111" t="str">
        <f>IF(H1191="","",IF($C$29="상세법",FPV(H1191,K1191),IF(H1191="EI",4,IF(H1191="EO",5.2,IF(H1191="EQ",3.9,IF(H1191="ILF",7.5,IF(H1191="EIF",5.4)))))))</f>
        <v/>
      </c>
      <c r="M1191" s="112" t="str">
        <f t="shared" si="21"/>
        <v/>
      </c>
      <c r="N1191" s="113"/>
    </row>
    <row r="1192" spans="2:14">
      <c r="B1192" s="105"/>
      <c r="C1192" s="106"/>
      <c r="D1192" s="107"/>
      <c r="E1192" s="65"/>
      <c r="F1192" s="64"/>
      <c r="G1192" s="64"/>
      <c r="H1192" s="64"/>
      <c r="I1192" s="70"/>
      <c r="J1192" s="70"/>
      <c r="K1192" s="110" t="str">
        <f>IF(H1192="","",IF($C$29="간이법","",FPR(H1192,I1192,J1192)))</f>
        <v/>
      </c>
      <c r="L1192" s="111" t="str">
        <f>IF(H1192="","",IF($C$29="상세법",FPV(H1192,K1192),IF(H1192="EI",4,IF(H1192="EO",5.2,IF(H1192="EQ",3.9,IF(H1192="ILF",7.5,IF(H1192="EIF",5.4)))))))</f>
        <v/>
      </c>
      <c r="M1192" s="112" t="str">
        <f t="shared" si="21"/>
        <v/>
      </c>
      <c r="N1192" s="113"/>
    </row>
    <row r="1193" spans="2:14">
      <c r="B1193" s="105"/>
      <c r="C1193" s="106"/>
      <c r="D1193" s="107"/>
      <c r="E1193" s="65"/>
      <c r="F1193" s="64"/>
      <c r="G1193" s="64"/>
      <c r="H1193" s="64"/>
      <c r="I1193" s="70"/>
      <c r="J1193" s="70"/>
      <c r="K1193" s="110" t="str">
        <f>IF(H1193="","",IF($C$29="간이법","",FPR(H1193,I1193,J1193)))</f>
        <v/>
      </c>
      <c r="L1193" s="111" t="str">
        <f>IF(H1193="","",IF($C$29="상세법",FPV(H1193,K1193),IF(H1193="EI",4,IF(H1193="EO",5.2,IF(H1193="EQ",3.9,IF(H1193="ILF",7.5,IF(H1193="EIF",5.4)))))))</f>
        <v/>
      </c>
      <c r="M1193" s="112" t="str">
        <f t="shared" si="21"/>
        <v/>
      </c>
      <c r="N1193" s="113"/>
    </row>
    <row r="1194" spans="2:14">
      <c r="B1194" s="105"/>
      <c r="C1194" s="106"/>
      <c r="D1194" s="107"/>
      <c r="E1194" s="65"/>
      <c r="F1194" s="64"/>
      <c r="G1194" s="64"/>
      <c r="H1194" s="64"/>
      <c r="I1194" s="70"/>
      <c r="J1194" s="70"/>
      <c r="K1194" s="110" t="str">
        <f>IF(H1194="","",IF($C$29="간이법","",FPR(H1194,I1194,J1194)))</f>
        <v/>
      </c>
      <c r="L1194" s="111" t="str">
        <f>IF(H1194="","",IF($C$29="상세법",FPV(H1194,K1194),IF(H1194="EI",4,IF(H1194="EO",5.2,IF(H1194="EQ",3.9,IF(H1194="ILF",7.5,IF(H1194="EIF",5.4)))))))</f>
        <v/>
      </c>
      <c r="M1194" s="112" t="str">
        <f t="shared" si="21"/>
        <v/>
      </c>
      <c r="N1194" s="113"/>
    </row>
    <row r="1195" spans="2:14">
      <c r="B1195" s="105"/>
      <c r="C1195" s="106"/>
      <c r="D1195" s="107"/>
      <c r="E1195" s="65"/>
      <c r="F1195" s="64"/>
      <c r="G1195" s="64"/>
      <c r="H1195" s="64"/>
      <c r="I1195" s="70"/>
      <c r="J1195" s="70"/>
      <c r="K1195" s="110" t="str">
        <f>IF(H1195="","",IF($C$29="간이법","",FPR(H1195,I1195,J1195)))</f>
        <v/>
      </c>
      <c r="L1195" s="111" t="str">
        <f>IF(H1195="","",IF($C$29="상세법",FPV(H1195,K1195),IF(H1195="EI",4,IF(H1195="EO",5.2,IF(H1195="EQ",3.9,IF(H1195="ILF",7.5,IF(H1195="EIF",5.4)))))))</f>
        <v/>
      </c>
      <c r="M1195" s="112" t="str">
        <f t="shared" si="21"/>
        <v/>
      </c>
      <c r="N1195" s="113"/>
    </row>
    <row r="1196" spans="2:14">
      <c r="B1196" s="105"/>
      <c r="C1196" s="106"/>
      <c r="D1196" s="107"/>
      <c r="E1196" s="65"/>
      <c r="F1196" s="64"/>
      <c r="G1196" s="64"/>
      <c r="H1196" s="64"/>
      <c r="I1196" s="70"/>
      <c r="J1196" s="70"/>
      <c r="K1196" s="110" t="str">
        <f>IF(H1196="","",IF($C$29="간이법","",FPR(H1196,I1196,J1196)))</f>
        <v/>
      </c>
      <c r="L1196" s="111" t="str">
        <f>IF(H1196="","",IF($C$29="상세법",FPV(H1196,K1196),IF(H1196="EI",4,IF(H1196="EO",5.2,IF(H1196="EQ",3.9,IF(H1196="ILF",7.5,IF(H1196="EIF",5.4)))))))</f>
        <v/>
      </c>
      <c r="M1196" s="112" t="str">
        <f t="shared" si="21"/>
        <v/>
      </c>
      <c r="N1196" s="113"/>
    </row>
    <row r="1197" spans="2:14">
      <c r="B1197" s="105"/>
      <c r="C1197" s="106"/>
      <c r="D1197" s="107"/>
      <c r="E1197" s="65"/>
      <c r="F1197" s="64"/>
      <c r="G1197" s="64"/>
      <c r="H1197" s="64"/>
      <c r="I1197" s="70"/>
      <c r="J1197" s="70"/>
      <c r="K1197" s="110" t="str">
        <f>IF(H1197="","",IF($C$29="간이법","",FPR(H1197,I1197,J1197)))</f>
        <v/>
      </c>
      <c r="L1197" s="111" t="str">
        <f>IF(H1197="","",IF($C$29="상세법",FPV(H1197,K1197),IF(H1197="EI",4,IF(H1197="EO",5.2,IF(H1197="EQ",3.9,IF(H1197="ILF",7.5,IF(H1197="EIF",5.4)))))))</f>
        <v/>
      </c>
      <c r="M1197" s="112" t="str">
        <f t="shared" si="21"/>
        <v/>
      </c>
      <c r="N1197" s="113"/>
    </row>
    <row r="1198" spans="2:14">
      <c r="B1198" s="105"/>
      <c r="C1198" s="106"/>
      <c r="D1198" s="107"/>
      <c r="E1198" s="65"/>
      <c r="F1198" s="64"/>
      <c r="G1198" s="64"/>
      <c r="H1198" s="64"/>
      <c r="I1198" s="70"/>
      <c r="J1198" s="70"/>
      <c r="K1198" s="110" t="str">
        <f>IF(H1198="","",IF($C$29="간이법","",FPR(H1198,I1198,J1198)))</f>
        <v/>
      </c>
      <c r="L1198" s="111" t="str">
        <f>IF(H1198="","",IF($C$29="상세법",FPV(H1198,K1198),IF(H1198="EI",4,IF(H1198="EO",5.2,IF(H1198="EQ",3.9,IF(H1198="ILF",7.5,IF(H1198="EIF",5.4)))))))</f>
        <v/>
      </c>
      <c r="M1198" s="112" t="str">
        <f t="shared" si="21"/>
        <v/>
      </c>
      <c r="N1198" s="113"/>
    </row>
    <row r="1199" spans="2:14">
      <c r="B1199" s="105"/>
      <c r="C1199" s="106"/>
      <c r="D1199" s="107"/>
      <c r="E1199" s="65"/>
      <c r="F1199" s="64"/>
      <c r="G1199" s="64"/>
      <c r="H1199" s="64"/>
      <c r="I1199" s="70"/>
      <c r="J1199" s="70"/>
      <c r="K1199" s="110" t="str">
        <f>IF(H1199="","",IF($C$29="간이법","",FPR(H1199,I1199,J1199)))</f>
        <v/>
      </c>
      <c r="L1199" s="111" t="str">
        <f>IF(H1199="","",IF($C$29="상세법",FPV(H1199,K1199),IF(H1199="EI",4,IF(H1199="EO",5.2,IF(H1199="EQ",3.9,IF(H1199="ILF",7.5,IF(H1199="EIF",5.4)))))))</f>
        <v/>
      </c>
      <c r="M1199" s="112" t="str">
        <f t="shared" si="21"/>
        <v/>
      </c>
      <c r="N1199" s="113"/>
    </row>
    <row r="1200" spans="2:14">
      <c r="B1200" s="105"/>
      <c r="C1200" s="106"/>
      <c r="D1200" s="107"/>
      <c r="E1200" s="65"/>
      <c r="F1200" s="64"/>
      <c r="G1200" s="64"/>
      <c r="H1200" s="64"/>
      <c r="I1200" s="70"/>
      <c r="J1200" s="70"/>
      <c r="K1200" s="110" t="str">
        <f>IF(H1200="","",IF($C$29="간이법","",FPR(H1200,I1200,J1200)))</f>
        <v/>
      </c>
      <c r="L1200" s="111" t="str">
        <f>IF(H1200="","",IF($C$29="상세법",FPV(H1200,K1200),IF(H1200="EI",4,IF(H1200="EO",5.2,IF(H1200="EQ",3.9,IF(H1200="ILF",7.5,IF(H1200="EIF",5.4)))))))</f>
        <v/>
      </c>
      <c r="M1200" s="112" t="str">
        <f t="shared" si="21"/>
        <v/>
      </c>
      <c r="N1200" s="113"/>
    </row>
    <row r="1201" spans="2:14">
      <c r="B1201" s="105"/>
      <c r="C1201" s="106"/>
      <c r="D1201" s="107"/>
      <c r="E1201" s="65"/>
      <c r="F1201" s="64"/>
      <c r="G1201" s="64"/>
      <c r="H1201" s="64"/>
      <c r="I1201" s="70"/>
      <c r="J1201" s="70"/>
      <c r="K1201" s="110" t="str">
        <f>IF(H1201="","",IF($C$29="간이법","",FPR(H1201,I1201,J1201)))</f>
        <v/>
      </c>
      <c r="L1201" s="111" t="str">
        <f>IF(H1201="","",IF($C$29="상세법",FPV(H1201,K1201),IF(H1201="EI",4,IF(H1201="EO",5.2,IF(H1201="EQ",3.9,IF(H1201="ILF",7.5,IF(H1201="EIF",5.4)))))))</f>
        <v/>
      </c>
      <c r="M1201" s="112" t="str">
        <f t="shared" si="21"/>
        <v/>
      </c>
      <c r="N1201" s="113"/>
    </row>
    <row r="1202" spans="2:14">
      <c r="B1202" s="105"/>
      <c r="C1202" s="106"/>
      <c r="D1202" s="107"/>
      <c r="E1202" s="65"/>
      <c r="F1202" s="64"/>
      <c r="G1202" s="64"/>
      <c r="H1202" s="64"/>
      <c r="I1202" s="70"/>
      <c r="J1202" s="70"/>
      <c r="K1202" s="110" t="str">
        <f>IF(H1202="","",IF($C$29="간이법","",FPR(H1202,I1202,J1202)))</f>
        <v/>
      </c>
      <c r="L1202" s="111" t="str">
        <f>IF(H1202="","",IF($C$29="상세법",FPV(H1202,K1202),IF(H1202="EI",4,IF(H1202="EO",5.2,IF(H1202="EQ",3.9,IF(H1202="ILF",7.5,IF(H1202="EIF",5.4)))))))</f>
        <v/>
      </c>
      <c r="M1202" s="112" t="str">
        <f t="shared" si="21"/>
        <v/>
      </c>
      <c r="N1202" s="113"/>
    </row>
    <row r="1203" spans="2:14">
      <c r="B1203" s="105"/>
      <c r="C1203" s="106"/>
      <c r="D1203" s="107"/>
      <c r="E1203" s="65"/>
      <c r="F1203" s="64"/>
      <c r="G1203" s="64"/>
      <c r="H1203" s="64"/>
      <c r="I1203" s="70"/>
      <c r="J1203" s="70"/>
      <c r="K1203" s="110" t="str">
        <f>IF(H1203="","",IF($C$29="간이법","",FPR(H1203,I1203,J1203)))</f>
        <v/>
      </c>
      <c r="L1203" s="111" t="str">
        <f>IF(H1203="","",IF($C$29="상세법",FPV(H1203,K1203),IF(H1203="EI",4,IF(H1203="EO",5.2,IF(H1203="EQ",3.9,IF(H1203="ILF",7.5,IF(H1203="EIF",5.4)))))))</f>
        <v/>
      </c>
      <c r="M1203" s="112" t="str">
        <f t="shared" si="21"/>
        <v/>
      </c>
      <c r="N1203" s="113"/>
    </row>
    <row r="1204" spans="2:14">
      <c r="B1204" s="105"/>
      <c r="C1204" s="106"/>
      <c r="D1204" s="107"/>
      <c r="E1204" s="65"/>
      <c r="F1204" s="64"/>
      <c r="G1204" s="64"/>
      <c r="H1204" s="64"/>
      <c r="I1204" s="70"/>
      <c r="J1204" s="70"/>
      <c r="K1204" s="110" t="str">
        <f>IF(H1204="","",IF($C$29="간이법","",FPR(H1204,I1204,J1204)))</f>
        <v/>
      </c>
      <c r="L1204" s="111" t="str">
        <f>IF(H1204="","",IF($C$29="상세법",FPV(H1204,K1204),IF(H1204="EI",4,IF(H1204="EO",5.2,IF(H1204="EQ",3.9,IF(H1204="ILF",7.5,IF(H1204="EIF",5.4)))))))</f>
        <v/>
      </c>
      <c r="M1204" s="112" t="str">
        <f t="shared" si="21"/>
        <v/>
      </c>
      <c r="N1204" s="113"/>
    </row>
    <row r="1205" spans="2:14">
      <c r="B1205" s="105"/>
      <c r="C1205" s="106"/>
      <c r="D1205" s="107"/>
      <c r="E1205" s="65"/>
      <c r="F1205" s="64"/>
      <c r="G1205" s="64"/>
      <c r="H1205" s="64"/>
      <c r="I1205" s="70"/>
      <c r="J1205" s="70"/>
      <c r="K1205" s="110" t="str">
        <f>IF(H1205="","",IF($C$29="간이법","",FPR(H1205,I1205,J1205)))</f>
        <v/>
      </c>
      <c r="L1205" s="111" t="str">
        <f>IF(H1205="","",IF($C$29="상세법",FPV(H1205,K1205),IF(H1205="EI",4,IF(H1205="EO",5.2,IF(H1205="EQ",3.9,IF(H1205="ILF",7.5,IF(H1205="EIF",5.4)))))))</f>
        <v/>
      </c>
      <c r="M1205" s="112" t="str">
        <f t="shared" si="21"/>
        <v/>
      </c>
      <c r="N1205" s="113"/>
    </row>
    <row r="1206" spans="2:14">
      <c r="B1206" s="105"/>
      <c r="C1206" s="106"/>
      <c r="D1206" s="107"/>
      <c r="E1206" s="65"/>
      <c r="F1206" s="64"/>
      <c r="G1206" s="64"/>
      <c r="H1206" s="64"/>
      <c r="I1206" s="70"/>
      <c r="J1206" s="70"/>
      <c r="K1206" s="110" t="str">
        <f>IF(H1206="","",IF($C$29="간이법","",FPR(H1206,I1206,J1206)))</f>
        <v/>
      </c>
      <c r="L1206" s="111" t="str">
        <f>IF(H1206="","",IF($C$29="상세법",FPV(H1206,K1206),IF(H1206="EI",4,IF(H1206="EO",5.2,IF(H1206="EQ",3.9,IF(H1206="ILF",7.5,IF(H1206="EIF",5.4)))))))</f>
        <v/>
      </c>
      <c r="M1206" s="112" t="str">
        <f t="shared" si="21"/>
        <v/>
      </c>
      <c r="N1206" s="113"/>
    </row>
    <row r="1207" spans="2:14">
      <c r="B1207" s="105"/>
      <c r="C1207" s="106"/>
      <c r="D1207" s="107"/>
      <c r="E1207" s="65"/>
      <c r="F1207" s="64"/>
      <c r="G1207" s="64"/>
      <c r="H1207" s="64"/>
      <c r="I1207" s="70"/>
      <c r="J1207" s="70"/>
      <c r="K1207" s="110" t="str">
        <f>IF(H1207="","",IF($C$29="간이법","",FPR(H1207,I1207,J1207)))</f>
        <v/>
      </c>
      <c r="L1207" s="111" t="str">
        <f>IF(H1207="","",IF($C$29="상세법",FPV(H1207,K1207),IF(H1207="EI",4,IF(H1207="EO",5.2,IF(H1207="EQ",3.9,IF(H1207="ILF",7.5,IF(H1207="EIF",5.4)))))))</f>
        <v/>
      </c>
      <c r="M1207" s="112" t="str">
        <f t="shared" si="21"/>
        <v/>
      </c>
      <c r="N1207" s="113"/>
    </row>
    <row r="1208" spans="2:14">
      <c r="B1208" s="105"/>
      <c r="C1208" s="106"/>
      <c r="D1208" s="107"/>
      <c r="E1208" s="65"/>
      <c r="F1208" s="64"/>
      <c r="G1208" s="64"/>
      <c r="H1208" s="64"/>
      <c r="I1208" s="70"/>
      <c r="J1208" s="70"/>
      <c r="K1208" s="110" t="str">
        <f>IF(H1208="","",IF($C$29="간이법","",FPR(H1208,I1208,J1208)))</f>
        <v/>
      </c>
      <c r="L1208" s="111" t="str">
        <f>IF(H1208="","",IF($C$29="상세법",FPV(H1208,K1208),IF(H1208="EI",4,IF(H1208="EO",5.2,IF(H1208="EQ",3.9,IF(H1208="ILF",7.5,IF(H1208="EIF",5.4)))))))</f>
        <v/>
      </c>
      <c r="M1208" s="112" t="str">
        <f t="shared" si="21"/>
        <v/>
      </c>
      <c r="N1208" s="113"/>
    </row>
    <row r="1209" spans="2:14">
      <c r="B1209" s="105"/>
      <c r="C1209" s="106"/>
      <c r="D1209" s="107"/>
      <c r="E1209" s="65"/>
      <c r="F1209" s="64"/>
      <c r="G1209" s="64"/>
      <c r="H1209" s="64"/>
      <c r="I1209" s="70"/>
      <c r="J1209" s="70"/>
      <c r="K1209" s="110" t="str">
        <f>IF(H1209="","",IF($C$29="간이법","",FPR(H1209,I1209,J1209)))</f>
        <v/>
      </c>
      <c r="L1209" s="111" t="str">
        <f>IF(H1209="","",IF($C$29="상세법",FPV(H1209,K1209),IF(H1209="EI",4,IF(H1209="EO",5.2,IF(H1209="EQ",3.9,IF(H1209="ILF",7.5,IF(H1209="EIF",5.4)))))))</f>
        <v/>
      </c>
      <c r="M1209" s="112" t="str">
        <f t="shared" ref="M1209:M1272" si="22">IF(L1209="","",L1209*IF(G1209="상",0.7,IF(G1209="중",0.5,IF(G1209="하",0.2,1))))</f>
        <v/>
      </c>
      <c r="N1209" s="113"/>
    </row>
    <row r="1210" spans="2:14">
      <c r="B1210" s="105"/>
      <c r="C1210" s="106"/>
      <c r="D1210" s="107"/>
      <c r="E1210" s="65"/>
      <c r="F1210" s="64"/>
      <c r="G1210" s="64"/>
      <c r="H1210" s="64"/>
      <c r="I1210" s="70"/>
      <c r="J1210" s="70"/>
      <c r="K1210" s="110" t="str">
        <f>IF(H1210="","",IF($C$29="간이법","",FPR(H1210,I1210,J1210)))</f>
        <v/>
      </c>
      <c r="L1210" s="111" t="str">
        <f>IF(H1210="","",IF($C$29="상세법",FPV(H1210,K1210),IF(H1210="EI",4,IF(H1210="EO",5.2,IF(H1210="EQ",3.9,IF(H1210="ILF",7.5,IF(H1210="EIF",5.4)))))))</f>
        <v/>
      </c>
      <c r="M1210" s="112" t="str">
        <f t="shared" si="22"/>
        <v/>
      </c>
      <c r="N1210" s="113"/>
    </row>
    <row r="1211" spans="2:14">
      <c r="B1211" s="105"/>
      <c r="C1211" s="106"/>
      <c r="D1211" s="107"/>
      <c r="E1211" s="65"/>
      <c r="F1211" s="64"/>
      <c r="G1211" s="64"/>
      <c r="H1211" s="64"/>
      <c r="I1211" s="70"/>
      <c r="J1211" s="70"/>
      <c r="K1211" s="110" t="str">
        <f>IF(H1211="","",IF($C$29="간이법","",FPR(H1211,I1211,J1211)))</f>
        <v/>
      </c>
      <c r="L1211" s="111" t="str">
        <f>IF(H1211="","",IF($C$29="상세법",FPV(H1211,K1211),IF(H1211="EI",4,IF(H1211="EO",5.2,IF(H1211="EQ",3.9,IF(H1211="ILF",7.5,IF(H1211="EIF",5.4)))))))</f>
        <v/>
      </c>
      <c r="M1211" s="112" t="str">
        <f t="shared" si="22"/>
        <v/>
      </c>
      <c r="N1211" s="113"/>
    </row>
    <row r="1212" spans="2:14">
      <c r="B1212" s="105"/>
      <c r="C1212" s="106"/>
      <c r="D1212" s="107"/>
      <c r="E1212" s="65"/>
      <c r="F1212" s="64"/>
      <c r="G1212" s="64"/>
      <c r="H1212" s="64"/>
      <c r="I1212" s="70"/>
      <c r="J1212" s="70"/>
      <c r="K1212" s="110" t="str">
        <f>IF(H1212="","",IF($C$29="간이법","",FPR(H1212,I1212,J1212)))</f>
        <v/>
      </c>
      <c r="L1212" s="111" t="str">
        <f>IF(H1212="","",IF($C$29="상세법",FPV(H1212,K1212),IF(H1212="EI",4,IF(H1212="EO",5.2,IF(H1212="EQ",3.9,IF(H1212="ILF",7.5,IF(H1212="EIF",5.4)))))))</f>
        <v/>
      </c>
      <c r="M1212" s="112" t="str">
        <f t="shared" si="22"/>
        <v/>
      </c>
      <c r="N1212" s="113"/>
    </row>
    <row r="1213" spans="2:14">
      <c r="B1213" s="105"/>
      <c r="C1213" s="106"/>
      <c r="D1213" s="107"/>
      <c r="E1213" s="65"/>
      <c r="F1213" s="64"/>
      <c r="G1213" s="64"/>
      <c r="H1213" s="64"/>
      <c r="I1213" s="70"/>
      <c r="J1213" s="70"/>
      <c r="K1213" s="110" t="str">
        <f>IF(H1213="","",IF($C$29="간이법","",FPR(H1213,I1213,J1213)))</f>
        <v/>
      </c>
      <c r="L1213" s="111" t="str">
        <f>IF(H1213="","",IF($C$29="상세법",FPV(H1213,K1213),IF(H1213="EI",4,IF(H1213="EO",5.2,IF(H1213="EQ",3.9,IF(H1213="ILF",7.5,IF(H1213="EIF",5.4)))))))</f>
        <v/>
      </c>
      <c r="M1213" s="112" t="str">
        <f t="shared" si="22"/>
        <v/>
      </c>
      <c r="N1213" s="113"/>
    </row>
    <row r="1214" spans="2:14">
      <c r="B1214" s="105"/>
      <c r="C1214" s="106"/>
      <c r="D1214" s="107"/>
      <c r="E1214" s="65"/>
      <c r="F1214" s="64"/>
      <c r="G1214" s="64"/>
      <c r="H1214" s="64"/>
      <c r="I1214" s="70"/>
      <c r="J1214" s="70"/>
      <c r="K1214" s="110" t="str">
        <f>IF(H1214="","",IF($C$29="간이법","",FPR(H1214,I1214,J1214)))</f>
        <v/>
      </c>
      <c r="L1214" s="111" t="str">
        <f>IF(H1214="","",IF($C$29="상세법",FPV(H1214,K1214),IF(H1214="EI",4,IF(H1214="EO",5.2,IF(H1214="EQ",3.9,IF(H1214="ILF",7.5,IF(H1214="EIF",5.4)))))))</f>
        <v/>
      </c>
      <c r="M1214" s="112" t="str">
        <f t="shared" si="22"/>
        <v/>
      </c>
      <c r="N1214" s="113"/>
    </row>
    <row r="1215" spans="2:14">
      <c r="B1215" s="105"/>
      <c r="C1215" s="106"/>
      <c r="D1215" s="107"/>
      <c r="E1215" s="65"/>
      <c r="F1215" s="64"/>
      <c r="G1215" s="64"/>
      <c r="H1215" s="64"/>
      <c r="I1215" s="70"/>
      <c r="J1215" s="70"/>
      <c r="K1215" s="110" t="str">
        <f>IF(H1215="","",IF($C$29="간이법","",FPR(H1215,I1215,J1215)))</f>
        <v/>
      </c>
      <c r="L1215" s="111" t="str">
        <f>IF(H1215="","",IF($C$29="상세법",FPV(H1215,K1215),IF(H1215="EI",4,IF(H1215="EO",5.2,IF(H1215="EQ",3.9,IF(H1215="ILF",7.5,IF(H1215="EIF",5.4)))))))</f>
        <v/>
      </c>
      <c r="M1215" s="112" t="str">
        <f t="shared" si="22"/>
        <v/>
      </c>
      <c r="N1215" s="113"/>
    </row>
    <row r="1216" spans="2:14">
      <c r="B1216" s="105"/>
      <c r="C1216" s="106"/>
      <c r="D1216" s="107"/>
      <c r="E1216" s="65"/>
      <c r="F1216" s="64"/>
      <c r="G1216" s="64"/>
      <c r="H1216" s="64"/>
      <c r="I1216" s="70"/>
      <c r="J1216" s="70"/>
      <c r="K1216" s="110" t="str">
        <f>IF(H1216="","",IF($C$29="간이법","",FPR(H1216,I1216,J1216)))</f>
        <v/>
      </c>
      <c r="L1216" s="111" t="str">
        <f>IF(H1216="","",IF($C$29="상세법",FPV(H1216,K1216),IF(H1216="EI",4,IF(H1216="EO",5.2,IF(H1216="EQ",3.9,IF(H1216="ILF",7.5,IF(H1216="EIF",5.4)))))))</f>
        <v/>
      </c>
      <c r="M1216" s="112" t="str">
        <f t="shared" si="22"/>
        <v/>
      </c>
      <c r="N1216" s="113"/>
    </row>
    <row r="1217" spans="2:14">
      <c r="B1217" s="105"/>
      <c r="C1217" s="106"/>
      <c r="D1217" s="107"/>
      <c r="E1217" s="65"/>
      <c r="F1217" s="64"/>
      <c r="G1217" s="64"/>
      <c r="H1217" s="64"/>
      <c r="I1217" s="70"/>
      <c r="J1217" s="70"/>
      <c r="K1217" s="110" t="str">
        <f>IF(H1217="","",IF($C$29="간이법","",FPR(H1217,I1217,J1217)))</f>
        <v/>
      </c>
      <c r="L1217" s="111" t="str">
        <f>IF(H1217="","",IF($C$29="상세법",FPV(H1217,K1217),IF(H1217="EI",4,IF(H1217="EO",5.2,IF(H1217="EQ",3.9,IF(H1217="ILF",7.5,IF(H1217="EIF",5.4)))))))</f>
        <v/>
      </c>
      <c r="M1217" s="112" t="str">
        <f t="shared" si="22"/>
        <v/>
      </c>
      <c r="N1217" s="113"/>
    </row>
    <row r="1218" spans="2:14">
      <c r="B1218" s="105"/>
      <c r="C1218" s="106"/>
      <c r="D1218" s="107"/>
      <c r="E1218" s="65"/>
      <c r="F1218" s="64"/>
      <c r="G1218" s="64"/>
      <c r="H1218" s="64"/>
      <c r="I1218" s="70"/>
      <c r="J1218" s="70"/>
      <c r="K1218" s="110" t="str">
        <f>IF(H1218="","",IF($C$29="간이법","",FPR(H1218,I1218,J1218)))</f>
        <v/>
      </c>
      <c r="L1218" s="111" t="str">
        <f>IF(H1218="","",IF($C$29="상세법",FPV(H1218,K1218),IF(H1218="EI",4,IF(H1218="EO",5.2,IF(H1218="EQ",3.9,IF(H1218="ILF",7.5,IF(H1218="EIF",5.4)))))))</f>
        <v/>
      </c>
      <c r="M1218" s="112" t="str">
        <f t="shared" si="22"/>
        <v/>
      </c>
      <c r="N1218" s="113"/>
    </row>
    <row r="1219" spans="2:14">
      <c r="B1219" s="105"/>
      <c r="C1219" s="106"/>
      <c r="D1219" s="107"/>
      <c r="E1219" s="65"/>
      <c r="F1219" s="64"/>
      <c r="G1219" s="64"/>
      <c r="H1219" s="64"/>
      <c r="I1219" s="70"/>
      <c r="J1219" s="70"/>
      <c r="K1219" s="110" t="str">
        <f>IF(H1219="","",IF($C$29="간이법","",FPR(H1219,I1219,J1219)))</f>
        <v/>
      </c>
      <c r="L1219" s="111" t="str">
        <f>IF(H1219="","",IF($C$29="상세법",FPV(H1219,K1219),IF(H1219="EI",4,IF(H1219="EO",5.2,IF(H1219="EQ",3.9,IF(H1219="ILF",7.5,IF(H1219="EIF",5.4)))))))</f>
        <v/>
      </c>
      <c r="M1219" s="112" t="str">
        <f t="shared" si="22"/>
        <v/>
      </c>
      <c r="N1219" s="113"/>
    </row>
    <row r="1220" spans="2:14">
      <c r="B1220" s="105"/>
      <c r="C1220" s="106"/>
      <c r="D1220" s="107"/>
      <c r="E1220" s="65"/>
      <c r="F1220" s="64"/>
      <c r="G1220" s="64"/>
      <c r="H1220" s="64"/>
      <c r="I1220" s="70"/>
      <c r="J1220" s="70"/>
      <c r="K1220" s="110" t="str">
        <f>IF(H1220="","",IF($C$29="간이법","",FPR(H1220,I1220,J1220)))</f>
        <v/>
      </c>
      <c r="L1220" s="111" t="str">
        <f>IF(H1220="","",IF($C$29="상세법",FPV(H1220,K1220),IF(H1220="EI",4,IF(H1220="EO",5.2,IF(H1220="EQ",3.9,IF(H1220="ILF",7.5,IF(H1220="EIF",5.4)))))))</f>
        <v/>
      </c>
      <c r="M1220" s="112" t="str">
        <f t="shared" si="22"/>
        <v/>
      </c>
      <c r="N1220" s="113"/>
    </row>
    <row r="1221" spans="2:14">
      <c r="B1221" s="105"/>
      <c r="C1221" s="106"/>
      <c r="D1221" s="107"/>
      <c r="E1221" s="65"/>
      <c r="F1221" s="64"/>
      <c r="G1221" s="64"/>
      <c r="H1221" s="64"/>
      <c r="I1221" s="70"/>
      <c r="J1221" s="70"/>
      <c r="K1221" s="110" t="str">
        <f>IF(H1221="","",IF($C$29="간이법","",FPR(H1221,I1221,J1221)))</f>
        <v/>
      </c>
      <c r="L1221" s="111" t="str">
        <f>IF(H1221="","",IF($C$29="상세법",FPV(H1221,K1221),IF(H1221="EI",4,IF(H1221="EO",5.2,IF(H1221="EQ",3.9,IF(H1221="ILF",7.5,IF(H1221="EIF",5.4)))))))</f>
        <v/>
      </c>
      <c r="M1221" s="112" t="str">
        <f t="shared" si="22"/>
        <v/>
      </c>
      <c r="N1221" s="113"/>
    </row>
    <row r="1222" spans="2:14">
      <c r="B1222" s="105"/>
      <c r="C1222" s="106"/>
      <c r="D1222" s="107"/>
      <c r="E1222" s="65"/>
      <c r="F1222" s="64"/>
      <c r="G1222" s="64"/>
      <c r="H1222" s="64"/>
      <c r="I1222" s="70"/>
      <c r="J1222" s="70"/>
      <c r="K1222" s="110" t="str">
        <f>IF(H1222="","",IF($C$29="간이법","",FPR(H1222,I1222,J1222)))</f>
        <v/>
      </c>
      <c r="L1222" s="111" t="str">
        <f>IF(H1222="","",IF($C$29="상세법",FPV(H1222,K1222),IF(H1222="EI",4,IF(H1222="EO",5.2,IF(H1222="EQ",3.9,IF(H1222="ILF",7.5,IF(H1222="EIF",5.4)))))))</f>
        <v/>
      </c>
      <c r="M1222" s="112" t="str">
        <f t="shared" si="22"/>
        <v/>
      </c>
      <c r="N1222" s="113"/>
    </row>
    <row r="1223" spans="2:14">
      <c r="B1223" s="105"/>
      <c r="C1223" s="106"/>
      <c r="D1223" s="107"/>
      <c r="E1223" s="65"/>
      <c r="F1223" s="64"/>
      <c r="G1223" s="64"/>
      <c r="H1223" s="64"/>
      <c r="I1223" s="70"/>
      <c r="J1223" s="70"/>
      <c r="K1223" s="110" t="str">
        <f>IF(H1223="","",IF($C$29="간이법","",FPR(H1223,I1223,J1223)))</f>
        <v/>
      </c>
      <c r="L1223" s="111" t="str">
        <f>IF(H1223="","",IF($C$29="상세법",FPV(H1223,K1223),IF(H1223="EI",4,IF(H1223="EO",5.2,IF(H1223="EQ",3.9,IF(H1223="ILF",7.5,IF(H1223="EIF",5.4)))))))</f>
        <v/>
      </c>
      <c r="M1223" s="112" t="str">
        <f t="shared" si="22"/>
        <v/>
      </c>
      <c r="N1223" s="113"/>
    </row>
    <row r="1224" spans="2:14">
      <c r="B1224" s="105"/>
      <c r="C1224" s="106"/>
      <c r="D1224" s="107"/>
      <c r="E1224" s="65"/>
      <c r="F1224" s="64"/>
      <c r="G1224" s="64"/>
      <c r="H1224" s="64"/>
      <c r="I1224" s="70"/>
      <c r="J1224" s="70"/>
      <c r="K1224" s="110" t="str">
        <f>IF(H1224="","",IF($C$29="간이법","",FPR(H1224,I1224,J1224)))</f>
        <v/>
      </c>
      <c r="L1224" s="111" t="str">
        <f>IF(H1224="","",IF($C$29="상세법",FPV(H1224,K1224),IF(H1224="EI",4,IF(H1224="EO",5.2,IF(H1224="EQ",3.9,IF(H1224="ILF",7.5,IF(H1224="EIF",5.4)))))))</f>
        <v/>
      </c>
      <c r="M1224" s="112" t="str">
        <f t="shared" si="22"/>
        <v/>
      </c>
      <c r="N1224" s="113"/>
    </row>
    <row r="1225" spans="2:14">
      <c r="B1225" s="105"/>
      <c r="C1225" s="106"/>
      <c r="D1225" s="107"/>
      <c r="E1225" s="65"/>
      <c r="F1225" s="64"/>
      <c r="G1225" s="64"/>
      <c r="H1225" s="64"/>
      <c r="I1225" s="70"/>
      <c r="J1225" s="70"/>
      <c r="K1225" s="110" t="str">
        <f>IF(H1225="","",IF($C$29="간이법","",FPR(H1225,I1225,J1225)))</f>
        <v/>
      </c>
      <c r="L1225" s="111" t="str">
        <f>IF(H1225="","",IF($C$29="상세법",FPV(H1225,K1225),IF(H1225="EI",4,IF(H1225="EO",5.2,IF(H1225="EQ",3.9,IF(H1225="ILF",7.5,IF(H1225="EIF",5.4)))))))</f>
        <v/>
      </c>
      <c r="M1225" s="112" t="str">
        <f t="shared" si="22"/>
        <v/>
      </c>
      <c r="N1225" s="113"/>
    </row>
    <row r="1226" spans="2:14">
      <c r="B1226" s="105"/>
      <c r="C1226" s="106"/>
      <c r="D1226" s="107"/>
      <c r="E1226" s="65"/>
      <c r="F1226" s="64"/>
      <c r="G1226" s="64"/>
      <c r="H1226" s="64"/>
      <c r="I1226" s="70"/>
      <c r="J1226" s="70"/>
      <c r="K1226" s="110" t="str">
        <f>IF(H1226="","",IF($C$29="간이법","",FPR(H1226,I1226,J1226)))</f>
        <v/>
      </c>
      <c r="L1226" s="111" t="str">
        <f>IF(H1226="","",IF($C$29="상세법",FPV(H1226,K1226),IF(H1226="EI",4,IF(H1226="EO",5.2,IF(H1226="EQ",3.9,IF(H1226="ILF",7.5,IF(H1226="EIF",5.4)))))))</f>
        <v/>
      </c>
      <c r="M1226" s="112" t="str">
        <f t="shared" si="22"/>
        <v/>
      </c>
      <c r="N1226" s="113"/>
    </row>
    <row r="1227" spans="2:14">
      <c r="B1227" s="105"/>
      <c r="C1227" s="106"/>
      <c r="D1227" s="107"/>
      <c r="E1227" s="65"/>
      <c r="F1227" s="64"/>
      <c r="G1227" s="64"/>
      <c r="H1227" s="64"/>
      <c r="I1227" s="70"/>
      <c r="J1227" s="70"/>
      <c r="K1227" s="110" t="str">
        <f>IF(H1227="","",IF($C$29="간이법","",FPR(H1227,I1227,J1227)))</f>
        <v/>
      </c>
      <c r="L1227" s="111" t="str">
        <f>IF(H1227="","",IF($C$29="상세법",FPV(H1227,K1227),IF(H1227="EI",4,IF(H1227="EO",5.2,IF(H1227="EQ",3.9,IF(H1227="ILF",7.5,IF(H1227="EIF",5.4)))))))</f>
        <v/>
      </c>
      <c r="M1227" s="112" t="str">
        <f t="shared" si="22"/>
        <v/>
      </c>
      <c r="N1227" s="113"/>
    </row>
    <row r="1228" spans="2:14">
      <c r="B1228" s="105"/>
      <c r="C1228" s="106"/>
      <c r="D1228" s="107"/>
      <c r="E1228" s="65"/>
      <c r="F1228" s="64"/>
      <c r="G1228" s="64"/>
      <c r="H1228" s="64"/>
      <c r="I1228" s="70"/>
      <c r="J1228" s="70"/>
      <c r="K1228" s="110" t="str">
        <f>IF(H1228="","",IF($C$29="간이법","",FPR(H1228,I1228,J1228)))</f>
        <v/>
      </c>
      <c r="L1228" s="111" t="str">
        <f>IF(H1228="","",IF($C$29="상세법",FPV(H1228,K1228),IF(H1228="EI",4,IF(H1228="EO",5.2,IF(H1228="EQ",3.9,IF(H1228="ILF",7.5,IF(H1228="EIF",5.4)))))))</f>
        <v/>
      </c>
      <c r="M1228" s="112" t="str">
        <f t="shared" si="22"/>
        <v/>
      </c>
      <c r="N1228" s="113"/>
    </row>
    <row r="1229" spans="2:14">
      <c r="B1229" s="105"/>
      <c r="C1229" s="106"/>
      <c r="D1229" s="107"/>
      <c r="E1229" s="65"/>
      <c r="F1229" s="64"/>
      <c r="G1229" s="64"/>
      <c r="H1229" s="64"/>
      <c r="I1229" s="70"/>
      <c r="J1229" s="70"/>
      <c r="K1229" s="110" t="str">
        <f>IF(H1229="","",IF($C$29="간이법","",FPR(H1229,I1229,J1229)))</f>
        <v/>
      </c>
      <c r="L1229" s="111" t="str">
        <f>IF(H1229="","",IF($C$29="상세법",FPV(H1229,K1229),IF(H1229="EI",4,IF(H1229="EO",5.2,IF(H1229="EQ",3.9,IF(H1229="ILF",7.5,IF(H1229="EIF",5.4)))))))</f>
        <v/>
      </c>
      <c r="M1229" s="112" t="str">
        <f t="shared" si="22"/>
        <v/>
      </c>
      <c r="N1229" s="113"/>
    </row>
    <row r="1230" spans="2:14">
      <c r="B1230" s="105"/>
      <c r="C1230" s="106"/>
      <c r="D1230" s="107"/>
      <c r="E1230" s="65"/>
      <c r="F1230" s="64"/>
      <c r="G1230" s="64"/>
      <c r="H1230" s="64"/>
      <c r="I1230" s="70"/>
      <c r="J1230" s="70"/>
      <c r="K1230" s="110" t="str">
        <f>IF(H1230="","",IF($C$29="간이법","",FPR(H1230,I1230,J1230)))</f>
        <v/>
      </c>
      <c r="L1230" s="111" t="str">
        <f>IF(H1230="","",IF($C$29="상세법",FPV(H1230,K1230),IF(H1230="EI",4,IF(H1230="EO",5.2,IF(H1230="EQ",3.9,IF(H1230="ILF",7.5,IF(H1230="EIF",5.4)))))))</f>
        <v/>
      </c>
      <c r="M1230" s="112" t="str">
        <f t="shared" si="22"/>
        <v/>
      </c>
      <c r="N1230" s="113"/>
    </row>
    <row r="1231" spans="2:14">
      <c r="B1231" s="105"/>
      <c r="C1231" s="106"/>
      <c r="D1231" s="107"/>
      <c r="E1231" s="65"/>
      <c r="F1231" s="64"/>
      <c r="G1231" s="64"/>
      <c r="H1231" s="64"/>
      <c r="I1231" s="70"/>
      <c r="J1231" s="70"/>
      <c r="K1231" s="110" t="str">
        <f>IF(H1231="","",IF($C$29="간이법","",FPR(H1231,I1231,J1231)))</f>
        <v/>
      </c>
      <c r="L1231" s="111" t="str">
        <f>IF(H1231="","",IF($C$29="상세법",FPV(H1231,K1231),IF(H1231="EI",4,IF(H1231="EO",5.2,IF(H1231="EQ",3.9,IF(H1231="ILF",7.5,IF(H1231="EIF",5.4)))))))</f>
        <v/>
      </c>
      <c r="M1231" s="112" t="str">
        <f t="shared" si="22"/>
        <v/>
      </c>
      <c r="N1231" s="113"/>
    </row>
    <row r="1232" spans="2:14">
      <c r="B1232" s="105"/>
      <c r="C1232" s="106"/>
      <c r="D1232" s="107"/>
      <c r="E1232" s="65"/>
      <c r="F1232" s="64"/>
      <c r="G1232" s="64"/>
      <c r="H1232" s="64"/>
      <c r="I1232" s="70"/>
      <c r="J1232" s="70"/>
      <c r="K1232" s="110" t="str">
        <f>IF(H1232="","",IF($C$29="간이법","",FPR(H1232,I1232,J1232)))</f>
        <v/>
      </c>
      <c r="L1232" s="111" t="str">
        <f>IF(H1232="","",IF($C$29="상세법",FPV(H1232,K1232),IF(H1232="EI",4,IF(H1232="EO",5.2,IF(H1232="EQ",3.9,IF(H1232="ILF",7.5,IF(H1232="EIF",5.4)))))))</f>
        <v/>
      </c>
      <c r="M1232" s="112" t="str">
        <f t="shared" si="22"/>
        <v/>
      </c>
      <c r="N1232" s="113"/>
    </row>
    <row r="1233" spans="2:14">
      <c r="B1233" s="105"/>
      <c r="C1233" s="106"/>
      <c r="D1233" s="107"/>
      <c r="E1233" s="65"/>
      <c r="F1233" s="64"/>
      <c r="G1233" s="64"/>
      <c r="H1233" s="64"/>
      <c r="I1233" s="70"/>
      <c r="J1233" s="70"/>
      <c r="K1233" s="110" t="str">
        <f>IF(H1233="","",IF($C$29="간이법","",FPR(H1233,I1233,J1233)))</f>
        <v/>
      </c>
      <c r="L1233" s="111" t="str">
        <f>IF(H1233="","",IF($C$29="상세법",FPV(H1233,K1233),IF(H1233="EI",4,IF(H1233="EO",5.2,IF(H1233="EQ",3.9,IF(H1233="ILF",7.5,IF(H1233="EIF",5.4)))))))</f>
        <v/>
      </c>
      <c r="M1233" s="112" t="str">
        <f t="shared" si="22"/>
        <v/>
      </c>
      <c r="N1233" s="113"/>
    </row>
    <row r="1234" spans="2:14">
      <c r="B1234" s="105"/>
      <c r="C1234" s="106"/>
      <c r="D1234" s="107"/>
      <c r="E1234" s="65"/>
      <c r="F1234" s="64"/>
      <c r="G1234" s="64"/>
      <c r="H1234" s="64"/>
      <c r="I1234" s="70"/>
      <c r="J1234" s="70"/>
      <c r="K1234" s="110" t="str">
        <f>IF(H1234="","",IF($C$29="간이법","",FPR(H1234,I1234,J1234)))</f>
        <v/>
      </c>
      <c r="L1234" s="111" t="str">
        <f>IF(H1234="","",IF($C$29="상세법",FPV(H1234,K1234),IF(H1234="EI",4,IF(H1234="EO",5.2,IF(H1234="EQ",3.9,IF(H1234="ILF",7.5,IF(H1234="EIF",5.4)))))))</f>
        <v/>
      </c>
      <c r="M1234" s="112" t="str">
        <f t="shared" si="22"/>
        <v/>
      </c>
      <c r="N1234" s="113"/>
    </row>
    <row r="1235" spans="2:14">
      <c r="B1235" s="105"/>
      <c r="C1235" s="106"/>
      <c r="D1235" s="107"/>
      <c r="E1235" s="65"/>
      <c r="F1235" s="64"/>
      <c r="G1235" s="64"/>
      <c r="H1235" s="64"/>
      <c r="I1235" s="70"/>
      <c r="J1235" s="70"/>
      <c r="K1235" s="110" t="str">
        <f>IF(H1235="","",IF($C$29="간이법","",FPR(H1235,I1235,J1235)))</f>
        <v/>
      </c>
      <c r="L1235" s="111" t="str">
        <f>IF(H1235="","",IF($C$29="상세법",FPV(H1235,K1235),IF(H1235="EI",4,IF(H1235="EO",5.2,IF(H1235="EQ",3.9,IF(H1235="ILF",7.5,IF(H1235="EIF",5.4)))))))</f>
        <v/>
      </c>
      <c r="M1235" s="112" t="str">
        <f t="shared" si="22"/>
        <v/>
      </c>
      <c r="N1235" s="113"/>
    </row>
    <row r="1236" spans="2:14">
      <c r="B1236" s="105"/>
      <c r="C1236" s="106"/>
      <c r="D1236" s="107"/>
      <c r="E1236" s="65"/>
      <c r="F1236" s="64"/>
      <c r="G1236" s="64"/>
      <c r="H1236" s="64"/>
      <c r="I1236" s="70"/>
      <c r="J1236" s="70"/>
      <c r="K1236" s="110" t="str">
        <f>IF(H1236="","",IF($C$29="간이법","",FPR(H1236,I1236,J1236)))</f>
        <v/>
      </c>
      <c r="L1236" s="111" t="str">
        <f>IF(H1236="","",IF($C$29="상세법",FPV(H1236,K1236),IF(H1236="EI",4,IF(H1236="EO",5.2,IF(H1236="EQ",3.9,IF(H1236="ILF",7.5,IF(H1236="EIF",5.4)))))))</f>
        <v/>
      </c>
      <c r="M1236" s="112" t="str">
        <f t="shared" si="22"/>
        <v/>
      </c>
      <c r="N1236" s="113"/>
    </row>
    <row r="1237" spans="2:14">
      <c r="B1237" s="105"/>
      <c r="C1237" s="106"/>
      <c r="D1237" s="107"/>
      <c r="E1237" s="65"/>
      <c r="F1237" s="64"/>
      <c r="G1237" s="64"/>
      <c r="H1237" s="64"/>
      <c r="I1237" s="70"/>
      <c r="J1237" s="70"/>
      <c r="K1237" s="110" t="str">
        <f>IF(H1237="","",IF($C$29="간이법","",FPR(H1237,I1237,J1237)))</f>
        <v/>
      </c>
      <c r="L1237" s="111" t="str">
        <f>IF(H1237="","",IF($C$29="상세법",FPV(H1237,K1237),IF(H1237="EI",4,IF(H1237="EO",5.2,IF(H1237="EQ",3.9,IF(H1237="ILF",7.5,IF(H1237="EIF",5.4)))))))</f>
        <v/>
      </c>
      <c r="M1237" s="112" t="str">
        <f t="shared" si="22"/>
        <v/>
      </c>
      <c r="N1237" s="113"/>
    </row>
    <row r="1238" spans="2:14">
      <c r="B1238" s="105"/>
      <c r="C1238" s="106"/>
      <c r="D1238" s="107"/>
      <c r="E1238" s="65"/>
      <c r="F1238" s="64"/>
      <c r="G1238" s="64"/>
      <c r="H1238" s="64"/>
      <c r="I1238" s="70"/>
      <c r="J1238" s="70"/>
      <c r="K1238" s="110" t="str">
        <f>IF(H1238="","",IF($C$29="간이법","",FPR(H1238,I1238,J1238)))</f>
        <v/>
      </c>
      <c r="L1238" s="111" t="str">
        <f>IF(H1238="","",IF($C$29="상세법",FPV(H1238,K1238),IF(H1238="EI",4,IF(H1238="EO",5.2,IF(H1238="EQ",3.9,IF(H1238="ILF",7.5,IF(H1238="EIF",5.4)))))))</f>
        <v/>
      </c>
      <c r="M1238" s="112" t="str">
        <f t="shared" si="22"/>
        <v/>
      </c>
      <c r="N1238" s="113"/>
    </row>
    <row r="1239" spans="2:14">
      <c r="B1239" s="105"/>
      <c r="C1239" s="106"/>
      <c r="D1239" s="107"/>
      <c r="E1239" s="65"/>
      <c r="F1239" s="64"/>
      <c r="G1239" s="64"/>
      <c r="H1239" s="64"/>
      <c r="I1239" s="70"/>
      <c r="J1239" s="70"/>
      <c r="K1239" s="110" t="str">
        <f>IF(H1239="","",IF($C$29="간이법","",FPR(H1239,I1239,J1239)))</f>
        <v/>
      </c>
      <c r="L1239" s="111" t="str">
        <f>IF(H1239="","",IF($C$29="상세법",FPV(H1239,K1239),IF(H1239="EI",4,IF(H1239="EO",5.2,IF(H1239="EQ",3.9,IF(H1239="ILF",7.5,IF(H1239="EIF",5.4)))))))</f>
        <v/>
      </c>
      <c r="M1239" s="112" t="str">
        <f t="shared" si="22"/>
        <v/>
      </c>
      <c r="N1239" s="113"/>
    </row>
    <row r="1240" spans="2:14">
      <c r="B1240" s="105"/>
      <c r="C1240" s="106"/>
      <c r="D1240" s="107"/>
      <c r="E1240" s="65"/>
      <c r="F1240" s="64"/>
      <c r="G1240" s="64"/>
      <c r="H1240" s="64"/>
      <c r="I1240" s="70"/>
      <c r="J1240" s="70"/>
      <c r="K1240" s="110" t="str">
        <f>IF(H1240="","",IF($C$29="간이법","",FPR(H1240,I1240,J1240)))</f>
        <v/>
      </c>
      <c r="L1240" s="111" t="str">
        <f>IF(H1240="","",IF($C$29="상세법",FPV(H1240,K1240),IF(H1240="EI",4,IF(H1240="EO",5.2,IF(H1240="EQ",3.9,IF(H1240="ILF",7.5,IF(H1240="EIF",5.4)))))))</f>
        <v/>
      </c>
      <c r="M1240" s="112" t="str">
        <f t="shared" si="22"/>
        <v/>
      </c>
      <c r="N1240" s="113"/>
    </row>
    <row r="1241" spans="2:14">
      <c r="B1241" s="105"/>
      <c r="C1241" s="106"/>
      <c r="D1241" s="107"/>
      <c r="E1241" s="65"/>
      <c r="F1241" s="64"/>
      <c r="G1241" s="64"/>
      <c r="H1241" s="64"/>
      <c r="I1241" s="70"/>
      <c r="J1241" s="70"/>
      <c r="K1241" s="110" t="str">
        <f>IF(H1241="","",IF($C$29="간이법","",FPR(H1241,I1241,J1241)))</f>
        <v/>
      </c>
      <c r="L1241" s="111" t="str">
        <f>IF(H1241="","",IF($C$29="상세법",FPV(H1241,K1241),IF(H1241="EI",4,IF(H1241="EO",5.2,IF(H1241="EQ",3.9,IF(H1241="ILF",7.5,IF(H1241="EIF",5.4)))))))</f>
        <v/>
      </c>
      <c r="M1241" s="112" t="str">
        <f t="shared" si="22"/>
        <v/>
      </c>
      <c r="N1241" s="113"/>
    </row>
    <row r="1242" spans="2:14">
      <c r="B1242" s="105"/>
      <c r="C1242" s="106"/>
      <c r="D1242" s="107"/>
      <c r="E1242" s="65"/>
      <c r="F1242" s="64"/>
      <c r="G1242" s="64"/>
      <c r="H1242" s="64"/>
      <c r="I1242" s="70"/>
      <c r="J1242" s="70"/>
      <c r="K1242" s="110" t="str">
        <f>IF(H1242="","",IF($C$29="간이법","",FPR(H1242,I1242,J1242)))</f>
        <v/>
      </c>
      <c r="L1242" s="111" t="str">
        <f>IF(H1242="","",IF($C$29="상세법",FPV(H1242,K1242),IF(H1242="EI",4,IF(H1242="EO",5.2,IF(H1242="EQ",3.9,IF(H1242="ILF",7.5,IF(H1242="EIF",5.4)))))))</f>
        <v/>
      </c>
      <c r="M1242" s="112" t="str">
        <f t="shared" si="22"/>
        <v/>
      </c>
      <c r="N1242" s="113"/>
    </row>
    <row r="1243" spans="2:14">
      <c r="B1243" s="105"/>
      <c r="C1243" s="106"/>
      <c r="D1243" s="107"/>
      <c r="E1243" s="65"/>
      <c r="F1243" s="64"/>
      <c r="G1243" s="64"/>
      <c r="H1243" s="64"/>
      <c r="I1243" s="70"/>
      <c r="J1243" s="70"/>
      <c r="K1243" s="110" t="str">
        <f>IF(H1243="","",IF($C$29="간이법","",FPR(H1243,I1243,J1243)))</f>
        <v/>
      </c>
      <c r="L1243" s="111" t="str">
        <f>IF(H1243="","",IF($C$29="상세법",FPV(H1243,K1243),IF(H1243="EI",4,IF(H1243="EO",5.2,IF(H1243="EQ",3.9,IF(H1243="ILF",7.5,IF(H1243="EIF",5.4)))))))</f>
        <v/>
      </c>
      <c r="M1243" s="112" t="str">
        <f t="shared" si="22"/>
        <v/>
      </c>
      <c r="N1243" s="113"/>
    </row>
    <row r="1244" spans="2:14">
      <c r="B1244" s="105"/>
      <c r="C1244" s="106"/>
      <c r="D1244" s="107"/>
      <c r="E1244" s="65"/>
      <c r="F1244" s="64"/>
      <c r="G1244" s="64"/>
      <c r="H1244" s="64"/>
      <c r="I1244" s="70"/>
      <c r="J1244" s="70"/>
      <c r="K1244" s="110" t="str">
        <f>IF(H1244="","",IF($C$29="간이법","",FPR(H1244,I1244,J1244)))</f>
        <v/>
      </c>
      <c r="L1244" s="111" t="str">
        <f>IF(H1244="","",IF($C$29="상세법",FPV(H1244,K1244),IF(H1244="EI",4,IF(H1244="EO",5.2,IF(H1244="EQ",3.9,IF(H1244="ILF",7.5,IF(H1244="EIF",5.4)))))))</f>
        <v/>
      </c>
      <c r="M1244" s="112" t="str">
        <f t="shared" si="22"/>
        <v/>
      </c>
      <c r="N1244" s="113"/>
    </row>
    <row r="1245" spans="2:14">
      <c r="B1245" s="105"/>
      <c r="C1245" s="106"/>
      <c r="D1245" s="107"/>
      <c r="E1245" s="65"/>
      <c r="F1245" s="64"/>
      <c r="G1245" s="64"/>
      <c r="H1245" s="64"/>
      <c r="I1245" s="70"/>
      <c r="J1245" s="70"/>
      <c r="K1245" s="110" t="str">
        <f>IF(H1245="","",IF($C$29="간이법","",FPR(H1245,I1245,J1245)))</f>
        <v/>
      </c>
      <c r="L1245" s="111" t="str">
        <f>IF(H1245="","",IF($C$29="상세법",FPV(H1245,K1245),IF(H1245="EI",4,IF(H1245="EO",5.2,IF(H1245="EQ",3.9,IF(H1245="ILF",7.5,IF(H1245="EIF",5.4)))))))</f>
        <v/>
      </c>
      <c r="M1245" s="112" t="str">
        <f t="shared" si="22"/>
        <v/>
      </c>
      <c r="N1245" s="113"/>
    </row>
    <row r="1246" spans="2:14">
      <c r="B1246" s="105"/>
      <c r="C1246" s="106"/>
      <c r="D1246" s="107"/>
      <c r="E1246" s="65"/>
      <c r="F1246" s="64"/>
      <c r="G1246" s="64"/>
      <c r="H1246" s="64"/>
      <c r="I1246" s="70"/>
      <c r="J1246" s="70"/>
      <c r="K1246" s="110" t="str">
        <f>IF(H1246="","",IF($C$29="간이법","",FPR(H1246,I1246,J1246)))</f>
        <v/>
      </c>
      <c r="L1246" s="111" t="str">
        <f>IF(H1246="","",IF($C$29="상세법",FPV(H1246,K1246),IF(H1246="EI",4,IF(H1246="EO",5.2,IF(H1246="EQ",3.9,IF(H1246="ILF",7.5,IF(H1246="EIF",5.4)))))))</f>
        <v/>
      </c>
      <c r="M1246" s="112" t="str">
        <f t="shared" si="22"/>
        <v/>
      </c>
      <c r="N1246" s="113"/>
    </row>
    <row r="1247" spans="2:14">
      <c r="B1247" s="105"/>
      <c r="C1247" s="106"/>
      <c r="D1247" s="107"/>
      <c r="E1247" s="65"/>
      <c r="F1247" s="64"/>
      <c r="G1247" s="64"/>
      <c r="H1247" s="64"/>
      <c r="I1247" s="70"/>
      <c r="J1247" s="70"/>
      <c r="K1247" s="110" t="str">
        <f>IF(H1247="","",IF($C$29="간이법","",FPR(H1247,I1247,J1247)))</f>
        <v/>
      </c>
      <c r="L1247" s="111" t="str">
        <f>IF(H1247="","",IF($C$29="상세법",FPV(H1247,K1247),IF(H1247="EI",4,IF(H1247="EO",5.2,IF(H1247="EQ",3.9,IF(H1247="ILF",7.5,IF(H1247="EIF",5.4)))))))</f>
        <v/>
      </c>
      <c r="M1247" s="112" t="str">
        <f t="shared" si="22"/>
        <v/>
      </c>
      <c r="N1247" s="113"/>
    </row>
    <row r="1248" spans="2:14">
      <c r="B1248" s="105"/>
      <c r="C1248" s="106"/>
      <c r="D1248" s="107"/>
      <c r="E1248" s="65"/>
      <c r="F1248" s="64"/>
      <c r="G1248" s="64"/>
      <c r="H1248" s="64"/>
      <c r="I1248" s="70"/>
      <c r="J1248" s="70"/>
      <c r="K1248" s="110" t="str">
        <f>IF(H1248="","",IF($C$29="간이법","",FPR(H1248,I1248,J1248)))</f>
        <v/>
      </c>
      <c r="L1248" s="111" t="str">
        <f>IF(H1248="","",IF($C$29="상세법",FPV(H1248,K1248),IF(H1248="EI",4,IF(H1248="EO",5.2,IF(H1248="EQ",3.9,IF(H1248="ILF",7.5,IF(H1248="EIF",5.4)))))))</f>
        <v/>
      </c>
      <c r="M1248" s="112" t="str">
        <f t="shared" si="22"/>
        <v/>
      </c>
      <c r="N1248" s="113"/>
    </row>
    <row r="1249" spans="2:14">
      <c r="B1249" s="105"/>
      <c r="C1249" s="106"/>
      <c r="D1249" s="107"/>
      <c r="E1249" s="65"/>
      <c r="F1249" s="64"/>
      <c r="G1249" s="64"/>
      <c r="H1249" s="64"/>
      <c r="I1249" s="70"/>
      <c r="J1249" s="70"/>
      <c r="K1249" s="110" t="str">
        <f>IF(H1249="","",IF($C$29="간이법","",FPR(H1249,I1249,J1249)))</f>
        <v/>
      </c>
      <c r="L1249" s="111" t="str">
        <f>IF(H1249="","",IF($C$29="상세법",FPV(H1249,K1249),IF(H1249="EI",4,IF(H1249="EO",5.2,IF(H1249="EQ",3.9,IF(H1249="ILF",7.5,IF(H1249="EIF",5.4)))))))</f>
        <v/>
      </c>
      <c r="M1249" s="112" t="str">
        <f t="shared" si="22"/>
        <v/>
      </c>
      <c r="N1249" s="113"/>
    </row>
    <row r="1250" spans="2:14">
      <c r="B1250" s="105"/>
      <c r="C1250" s="106"/>
      <c r="D1250" s="107"/>
      <c r="E1250" s="65"/>
      <c r="F1250" s="64"/>
      <c r="G1250" s="64"/>
      <c r="H1250" s="64"/>
      <c r="I1250" s="70"/>
      <c r="J1250" s="70"/>
      <c r="K1250" s="110" t="str">
        <f>IF(H1250="","",IF($C$29="간이법","",FPR(H1250,I1250,J1250)))</f>
        <v/>
      </c>
      <c r="L1250" s="111" t="str">
        <f>IF(H1250="","",IF($C$29="상세법",FPV(H1250,K1250),IF(H1250="EI",4,IF(H1250="EO",5.2,IF(H1250="EQ",3.9,IF(H1250="ILF",7.5,IF(H1250="EIF",5.4)))))))</f>
        <v/>
      </c>
      <c r="M1250" s="112" t="str">
        <f t="shared" si="22"/>
        <v/>
      </c>
      <c r="N1250" s="113"/>
    </row>
    <row r="1251" spans="2:14">
      <c r="B1251" s="105"/>
      <c r="C1251" s="106"/>
      <c r="D1251" s="107"/>
      <c r="E1251" s="65"/>
      <c r="F1251" s="64"/>
      <c r="G1251" s="64"/>
      <c r="H1251" s="64"/>
      <c r="I1251" s="70"/>
      <c r="J1251" s="70"/>
      <c r="K1251" s="110" t="str">
        <f>IF(H1251="","",IF($C$29="간이법","",FPR(H1251,I1251,J1251)))</f>
        <v/>
      </c>
      <c r="L1251" s="111" t="str">
        <f>IF(H1251="","",IF($C$29="상세법",FPV(H1251,K1251),IF(H1251="EI",4,IF(H1251="EO",5.2,IF(H1251="EQ",3.9,IF(H1251="ILF",7.5,IF(H1251="EIF",5.4)))))))</f>
        <v/>
      </c>
      <c r="M1251" s="112" t="str">
        <f t="shared" si="22"/>
        <v/>
      </c>
      <c r="N1251" s="113"/>
    </row>
    <row r="1252" spans="2:14">
      <c r="B1252" s="105"/>
      <c r="C1252" s="106"/>
      <c r="D1252" s="107"/>
      <c r="E1252" s="65"/>
      <c r="F1252" s="64"/>
      <c r="G1252" s="64"/>
      <c r="H1252" s="64"/>
      <c r="I1252" s="70"/>
      <c r="J1252" s="70"/>
      <c r="K1252" s="110" t="str">
        <f>IF(H1252="","",IF($C$29="간이법","",FPR(H1252,I1252,J1252)))</f>
        <v/>
      </c>
      <c r="L1252" s="111" t="str">
        <f>IF(H1252="","",IF($C$29="상세법",FPV(H1252,K1252),IF(H1252="EI",4,IF(H1252="EO",5.2,IF(H1252="EQ",3.9,IF(H1252="ILF",7.5,IF(H1252="EIF",5.4)))))))</f>
        <v/>
      </c>
      <c r="M1252" s="112" t="str">
        <f t="shared" si="22"/>
        <v/>
      </c>
      <c r="N1252" s="113"/>
    </row>
    <row r="1253" spans="2:14">
      <c r="B1253" s="105"/>
      <c r="C1253" s="106"/>
      <c r="D1253" s="107"/>
      <c r="E1253" s="65"/>
      <c r="F1253" s="64"/>
      <c r="G1253" s="64"/>
      <c r="H1253" s="64"/>
      <c r="I1253" s="70"/>
      <c r="J1253" s="70"/>
      <c r="K1253" s="110" t="str">
        <f>IF(H1253="","",IF($C$29="간이법","",FPR(H1253,I1253,J1253)))</f>
        <v/>
      </c>
      <c r="L1253" s="111" t="str">
        <f>IF(H1253="","",IF($C$29="상세법",FPV(H1253,K1253),IF(H1253="EI",4,IF(H1253="EO",5.2,IF(H1253="EQ",3.9,IF(H1253="ILF",7.5,IF(H1253="EIF",5.4)))))))</f>
        <v/>
      </c>
      <c r="M1253" s="112" t="str">
        <f t="shared" si="22"/>
        <v/>
      </c>
      <c r="N1253" s="113"/>
    </row>
    <row r="1254" spans="2:14">
      <c r="B1254" s="105"/>
      <c r="C1254" s="106"/>
      <c r="D1254" s="107"/>
      <c r="E1254" s="65"/>
      <c r="F1254" s="64"/>
      <c r="G1254" s="64"/>
      <c r="H1254" s="64"/>
      <c r="I1254" s="70"/>
      <c r="J1254" s="70"/>
      <c r="K1254" s="110" t="str">
        <f>IF(H1254="","",IF($C$29="간이법","",FPR(H1254,I1254,J1254)))</f>
        <v/>
      </c>
      <c r="L1254" s="111" t="str">
        <f>IF(H1254="","",IF($C$29="상세법",FPV(H1254,K1254),IF(H1254="EI",4,IF(H1254="EO",5.2,IF(H1254="EQ",3.9,IF(H1254="ILF",7.5,IF(H1254="EIF",5.4)))))))</f>
        <v/>
      </c>
      <c r="M1254" s="112" t="str">
        <f t="shared" si="22"/>
        <v/>
      </c>
      <c r="N1254" s="113"/>
    </row>
    <row r="1255" spans="2:14">
      <c r="B1255" s="105"/>
      <c r="C1255" s="106"/>
      <c r="D1255" s="107"/>
      <c r="E1255" s="65"/>
      <c r="F1255" s="64"/>
      <c r="G1255" s="64"/>
      <c r="H1255" s="64"/>
      <c r="I1255" s="70"/>
      <c r="J1255" s="70"/>
      <c r="K1255" s="110" t="str">
        <f>IF(H1255="","",IF($C$29="간이법","",FPR(H1255,I1255,J1255)))</f>
        <v/>
      </c>
      <c r="L1255" s="111" t="str">
        <f>IF(H1255="","",IF($C$29="상세법",FPV(H1255,K1255),IF(H1255="EI",4,IF(H1255="EO",5.2,IF(H1255="EQ",3.9,IF(H1255="ILF",7.5,IF(H1255="EIF",5.4)))))))</f>
        <v/>
      </c>
      <c r="M1255" s="112" t="str">
        <f t="shared" si="22"/>
        <v/>
      </c>
      <c r="N1255" s="113"/>
    </row>
    <row r="1256" spans="2:14">
      <c r="B1256" s="105"/>
      <c r="C1256" s="106"/>
      <c r="D1256" s="107"/>
      <c r="E1256" s="65"/>
      <c r="F1256" s="64"/>
      <c r="G1256" s="64"/>
      <c r="H1256" s="64"/>
      <c r="I1256" s="70"/>
      <c r="J1256" s="70"/>
      <c r="K1256" s="110" t="str">
        <f>IF(H1256="","",IF($C$29="간이법","",FPR(H1256,I1256,J1256)))</f>
        <v/>
      </c>
      <c r="L1256" s="111" t="str">
        <f>IF(H1256="","",IF($C$29="상세법",FPV(H1256,K1256),IF(H1256="EI",4,IF(H1256="EO",5.2,IF(H1256="EQ",3.9,IF(H1256="ILF",7.5,IF(H1256="EIF",5.4)))))))</f>
        <v/>
      </c>
      <c r="M1256" s="112" t="str">
        <f t="shared" si="22"/>
        <v/>
      </c>
      <c r="N1256" s="113"/>
    </row>
    <row r="1257" spans="2:14">
      <c r="B1257" s="105"/>
      <c r="C1257" s="106"/>
      <c r="D1257" s="107"/>
      <c r="E1257" s="65"/>
      <c r="F1257" s="64"/>
      <c r="G1257" s="64"/>
      <c r="H1257" s="64"/>
      <c r="I1257" s="70"/>
      <c r="J1257" s="70"/>
      <c r="K1257" s="110" t="str">
        <f>IF(H1257="","",IF($C$29="간이법","",FPR(H1257,I1257,J1257)))</f>
        <v/>
      </c>
      <c r="L1257" s="111" t="str">
        <f>IF(H1257="","",IF($C$29="상세법",FPV(H1257,K1257),IF(H1257="EI",4,IF(H1257="EO",5.2,IF(H1257="EQ",3.9,IF(H1257="ILF",7.5,IF(H1257="EIF",5.4)))))))</f>
        <v/>
      </c>
      <c r="M1257" s="112" t="str">
        <f t="shared" si="22"/>
        <v/>
      </c>
      <c r="N1257" s="113"/>
    </row>
    <row r="1258" spans="2:14">
      <c r="B1258" s="105"/>
      <c r="C1258" s="106"/>
      <c r="D1258" s="107"/>
      <c r="E1258" s="65"/>
      <c r="F1258" s="64"/>
      <c r="G1258" s="64"/>
      <c r="H1258" s="64"/>
      <c r="I1258" s="70"/>
      <c r="J1258" s="70"/>
      <c r="K1258" s="110" t="str">
        <f>IF(H1258="","",IF($C$29="간이법","",FPR(H1258,I1258,J1258)))</f>
        <v/>
      </c>
      <c r="L1258" s="111" t="str">
        <f>IF(H1258="","",IF($C$29="상세법",FPV(H1258,K1258),IF(H1258="EI",4,IF(H1258="EO",5.2,IF(H1258="EQ",3.9,IF(H1258="ILF",7.5,IF(H1258="EIF",5.4)))))))</f>
        <v/>
      </c>
      <c r="M1258" s="112" t="str">
        <f t="shared" si="22"/>
        <v/>
      </c>
      <c r="N1258" s="113"/>
    </row>
    <row r="1259" spans="2:14">
      <c r="B1259" s="105"/>
      <c r="C1259" s="106"/>
      <c r="D1259" s="107"/>
      <c r="E1259" s="65"/>
      <c r="F1259" s="64"/>
      <c r="G1259" s="64"/>
      <c r="H1259" s="64"/>
      <c r="I1259" s="70"/>
      <c r="J1259" s="70"/>
      <c r="K1259" s="110" t="str">
        <f>IF(H1259="","",IF($C$29="간이법","",FPR(H1259,I1259,J1259)))</f>
        <v/>
      </c>
      <c r="L1259" s="111" t="str">
        <f>IF(H1259="","",IF($C$29="상세법",FPV(H1259,K1259),IF(H1259="EI",4,IF(H1259="EO",5.2,IF(H1259="EQ",3.9,IF(H1259="ILF",7.5,IF(H1259="EIF",5.4)))))))</f>
        <v/>
      </c>
      <c r="M1259" s="112" t="str">
        <f t="shared" si="22"/>
        <v/>
      </c>
      <c r="N1259" s="113"/>
    </row>
    <row r="1260" spans="2:14">
      <c r="B1260" s="105"/>
      <c r="C1260" s="106"/>
      <c r="D1260" s="107"/>
      <c r="E1260" s="65"/>
      <c r="F1260" s="64"/>
      <c r="G1260" s="64"/>
      <c r="H1260" s="64"/>
      <c r="I1260" s="70"/>
      <c r="J1260" s="70"/>
      <c r="K1260" s="110" t="str">
        <f>IF(H1260="","",IF($C$29="간이법","",FPR(H1260,I1260,J1260)))</f>
        <v/>
      </c>
      <c r="L1260" s="111" t="str">
        <f>IF(H1260="","",IF($C$29="상세법",FPV(H1260,K1260),IF(H1260="EI",4,IF(H1260="EO",5.2,IF(H1260="EQ",3.9,IF(H1260="ILF",7.5,IF(H1260="EIF",5.4)))))))</f>
        <v/>
      </c>
      <c r="M1260" s="112" t="str">
        <f t="shared" si="22"/>
        <v/>
      </c>
      <c r="N1260" s="113"/>
    </row>
    <row r="1261" spans="2:14">
      <c r="B1261" s="105"/>
      <c r="C1261" s="106"/>
      <c r="D1261" s="107"/>
      <c r="E1261" s="65"/>
      <c r="F1261" s="64"/>
      <c r="G1261" s="64"/>
      <c r="H1261" s="64"/>
      <c r="I1261" s="70"/>
      <c r="J1261" s="70"/>
      <c r="K1261" s="110" t="str">
        <f>IF(H1261="","",IF($C$29="간이법","",FPR(H1261,I1261,J1261)))</f>
        <v/>
      </c>
      <c r="L1261" s="111" t="str">
        <f>IF(H1261="","",IF($C$29="상세법",FPV(H1261,K1261),IF(H1261="EI",4,IF(H1261="EO",5.2,IF(H1261="EQ",3.9,IF(H1261="ILF",7.5,IF(H1261="EIF",5.4)))))))</f>
        <v/>
      </c>
      <c r="M1261" s="112" t="str">
        <f t="shared" si="22"/>
        <v/>
      </c>
      <c r="N1261" s="113"/>
    </row>
    <row r="1262" spans="2:14">
      <c r="B1262" s="105"/>
      <c r="C1262" s="106"/>
      <c r="D1262" s="107"/>
      <c r="E1262" s="65"/>
      <c r="F1262" s="64"/>
      <c r="G1262" s="64"/>
      <c r="H1262" s="64"/>
      <c r="I1262" s="70"/>
      <c r="J1262" s="70"/>
      <c r="K1262" s="110" t="str">
        <f>IF(H1262="","",IF($C$29="간이법","",FPR(H1262,I1262,J1262)))</f>
        <v/>
      </c>
      <c r="L1262" s="111" t="str">
        <f>IF(H1262="","",IF($C$29="상세법",FPV(H1262,K1262),IF(H1262="EI",4,IF(H1262="EO",5.2,IF(H1262="EQ",3.9,IF(H1262="ILF",7.5,IF(H1262="EIF",5.4)))))))</f>
        <v/>
      </c>
      <c r="M1262" s="112" t="str">
        <f t="shared" si="22"/>
        <v/>
      </c>
      <c r="N1262" s="113"/>
    </row>
    <row r="1263" spans="2:14">
      <c r="B1263" s="105"/>
      <c r="C1263" s="106"/>
      <c r="D1263" s="107"/>
      <c r="E1263" s="65"/>
      <c r="F1263" s="64"/>
      <c r="G1263" s="64"/>
      <c r="H1263" s="64"/>
      <c r="I1263" s="70"/>
      <c r="J1263" s="70"/>
      <c r="K1263" s="110" t="str">
        <f>IF(H1263="","",IF($C$29="간이법","",FPR(H1263,I1263,J1263)))</f>
        <v/>
      </c>
      <c r="L1263" s="111" t="str">
        <f>IF(H1263="","",IF($C$29="상세법",FPV(H1263,K1263),IF(H1263="EI",4,IF(H1263="EO",5.2,IF(H1263="EQ",3.9,IF(H1263="ILF",7.5,IF(H1263="EIF",5.4)))))))</f>
        <v/>
      </c>
      <c r="M1263" s="112" t="str">
        <f t="shared" si="22"/>
        <v/>
      </c>
      <c r="N1263" s="113"/>
    </row>
    <row r="1264" spans="2:14">
      <c r="B1264" s="105"/>
      <c r="C1264" s="106"/>
      <c r="D1264" s="107"/>
      <c r="E1264" s="65"/>
      <c r="F1264" s="64"/>
      <c r="G1264" s="64"/>
      <c r="H1264" s="64"/>
      <c r="I1264" s="70"/>
      <c r="J1264" s="70"/>
      <c r="K1264" s="110" t="str">
        <f>IF(H1264="","",IF($C$29="간이법","",FPR(H1264,I1264,J1264)))</f>
        <v/>
      </c>
      <c r="L1264" s="111" t="str">
        <f>IF(H1264="","",IF($C$29="상세법",FPV(H1264,K1264),IF(H1264="EI",4,IF(H1264="EO",5.2,IF(H1264="EQ",3.9,IF(H1264="ILF",7.5,IF(H1264="EIF",5.4)))))))</f>
        <v/>
      </c>
      <c r="M1264" s="112" t="str">
        <f t="shared" si="22"/>
        <v/>
      </c>
      <c r="N1264" s="113"/>
    </row>
    <row r="1265" spans="2:14">
      <c r="B1265" s="105"/>
      <c r="C1265" s="106"/>
      <c r="D1265" s="107"/>
      <c r="E1265" s="65"/>
      <c r="F1265" s="64"/>
      <c r="G1265" s="64"/>
      <c r="H1265" s="64"/>
      <c r="I1265" s="70"/>
      <c r="J1265" s="70"/>
      <c r="K1265" s="110" t="str">
        <f>IF(H1265="","",IF($C$29="간이법","",FPR(H1265,I1265,J1265)))</f>
        <v/>
      </c>
      <c r="L1265" s="111" t="str">
        <f>IF(H1265="","",IF($C$29="상세법",FPV(H1265,K1265),IF(H1265="EI",4,IF(H1265="EO",5.2,IF(H1265="EQ",3.9,IF(H1265="ILF",7.5,IF(H1265="EIF",5.4)))))))</f>
        <v/>
      </c>
      <c r="M1265" s="112" t="str">
        <f t="shared" si="22"/>
        <v/>
      </c>
      <c r="N1265" s="113"/>
    </row>
    <row r="1266" spans="2:14">
      <c r="B1266" s="105"/>
      <c r="C1266" s="106"/>
      <c r="D1266" s="107"/>
      <c r="E1266" s="65"/>
      <c r="F1266" s="64"/>
      <c r="G1266" s="64"/>
      <c r="H1266" s="64"/>
      <c r="I1266" s="70"/>
      <c r="J1266" s="70"/>
      <c r="K1266" s="110" t="str">
        <f>IF(H1266="","",IF($C$29="간이법","",FPR(H1266,I1266,J1266)))</f>
        <v/>
      </c>
      <c r="L1266" s="111" t="str">
        <f>IF(H1266="","",IF($C$29="상세법",FPV(H1266,K1266),IF(H1266="EI",4,IF(H1266="EO",5.2,IF(H1266="EQ",3.9,IF(H1266="ILF",7.5,IF(H1266="EIF",5.4)))))))</f>
        <v/>
      </c>
      <c r="M1266" s="112" t="str">
        <f t="shared" si="22"/>
        <v/>
      </c>
      <c r="N1266" s="113"/>
    </row>
    <row r="1267" spans="2:14">
      <c r="B1267" s="105"/>
      <c r="C1267" s="106"/>
      <c r="D1267" s="107"/>
      <c r="E1267" s="65"/>
      <c r="F1267" s="64"/>
      <c r="G1267" s="64"/>
      <c r="H1267" s="64"/>
      <c r="I1267" s="70"/>
      <c r="J1267" s="70"/>
      <c r="K1267" s="110" t="str">
        <f>IF(H1267="","",IF($C$29="간이법","",FPR(H1267,I1267,J1267)))</f>
        <v/>
      </c>
      <c r="L1267" s="111" t="str">
        <f>IF(H1267="","",IF($C$29="상세법",FPV(H1267,K1267),IF(H1267="EI",4,IF(H1267="EO",5.2,IF(H1267="EQ",3.9,IF(H1267="ILF",7.5,IF(H1267="EIF",5.4)))))))</f>
        <v/>
      </c>
      <c r="M1267" s="112" t="str">
        <f t="shared" si="22"/>
        <v/>
      </c>
      <c r="N1267" s="113"/>
    </row>
    <row r="1268" spans="2:14">
      <c r="B1268" s="105"/>
      <c r="C1268" s="106"/>
      <c r="D1268" s="107"/>
      <c r="E1268" s="65"/>
      <c r="F1268" s="64"/>
      <c r="G1268" s="64"/>
      <c r="H1268" s="64"/>
      <c r="I1268" s="70"/>
      <c r="J1268" s="70"/>
      <c r="K1268" s="110" t="str">
        <f>IF(H1268="","",IF($C$29="간이법","",FPR(H1268,I1268,J1268)))</f>
        <v/>
      </c>
      <c r="L1268" s="111" t="str">
        <f>IF(H1268="","",IF($C$29="상세법",FPV(H1268,K1268),IF(H1268="EI",4,IF(H1268="EO",5.2,IF(H1268="EQ",3.9,IF(H1268="ILF",7.5,IF(H1268="EIF",5.4)))))))</f>
        <v/>
      </c>
      <c r="M1268" s="112" t="str">
        <f t="shared" si="22"/>
        <v/>
      </c>
      <c r="N1268" s="113"/>
    </row>
    <row r="1269" spans="2:14">
      <c r="B1269" s="105"/>
      <c r="C1269" s="106"/>
      <c r="D1269" s="107"/>
      <c r="E1269" s="65"/>
      <c r="F1269" s="64"/>
      <c r="G1269" s="64"/>
      <c r="H1269" s="64"/>
      <c r="I1269" s="70"/>
      <c r="J1269" s="70"/>
      <c r="K1269" s="110" t="str">
        <f>IF(H1269="","",IF($C$29="간이법","",FPR(H1269,I1269,J1269)))</f>
        <v/>
      </c>
      <c r="L1269" s="111" t="str">
        <f>IF(H1269="","",IF($C$29="상세법",FPV(H1269,K1269),IF(H1269="EI",4,IF(H1269="EO",5.2,IF(H1269="EQ",3.9,IF(H1269="ILF",7.5,IF(H1269="EIF",5.4)))))))</f>
        <v/>
      </c>
      <c r="M1269" s="112" t="str">
        <f t="shared" si="22"/>
        <v/>
      </c>
      <c r="N1269" s="113"/>
    </row>
    <row r="1270" spans="2:14">
      <c r="B1270" s="105"/>
      <c r="C1270" s="106"/>
      <c r="D1270" s="107"/>
      <c r="E1270" s="65"/>
      <c r="F1270" s="64"/>
      <c r="G1270" s="64"/>
      <c r="H1270" s="64"/>
      <c r="I1270" s="70"/>
      <c r="J1270" s="70"/>
      <c r="K1270" s="110" t="str">
        <f>IF(H1270="","",IF($C$29="간이법","",FPR(H1270,I1270,J1270)))</f>
        <v/>
      </c>
      <c r="L1270" s="111" t="str">
        <f>IF(H1270="","",IF($C$29="상세법",FPV(H1270,K1270),IF(H1270="EI",4,IF(H1270="EO",5.2,IF(H1270="EQ",3.9,IF(H1270="ILF",7.5,IF(H1270="EIF",5.4)))))))</f>
        <v/>
      </c>
      <c r="M1270" s="112" t="str">
        <f t="shared" si="22"/>
        <v/>
      </c>
      <c r="N1270" s="113"/>
    </row>
    <row r="1271" spans="2:14">
      <c r="B1271" s="105"/>
      <c r="C1271" s="106"/>
      <c r="D1271" s="107"/>
      <c r="E1271" s="65"/>
      <c r="F1271" s="64"/>
      <c r="G1271" s="64"/>
      <c r="H1271" s="64"/>
      <c r="I1271" s="70"/>
      <c r="J1271" s="70"/>
      <c r="K1271" s="110" t="str">
        <f>IF(H1271="","",IF($C$29="간이법","",FPR(H1271,I1271,J1271)))</f>
        <v/>
      </c>
      <c r="L1271" s="111" t="str">
        <f>IF(H1271="","",IF($C$29="상세법",FPV(H1271,K1271),IF(H1271="EI",4,IF(H1271="EO",5.2,IF(H1271="EQ",3.9,IF(H1271="ILF",7.5,IF(H1271="EIF",5.4)))))))</f>
        <v/>
      </c>
      <c r="M1271" s="112" t="str">
        <f t="shared" si="22"/>
        <v/>
      </c>
      <c r="N1271" s="113"/>
    </row>
    <row r="1272" spans="2:14">
      <c r="B1272" s="105"/>
      <c r="C1272" s="106"/>
      <c r="D1272" s="107"/>
      <c r="E1272" s="65"/>
      <c r="F1272" s="64"/>
      <c r="G1272" s="64"/>
      <c r="H1272" s="64"/>
      <c r="I1272" s="70"/>
      <c r="J1272" s="70"/>
      <c r="K1272" s="110" t="str">
        <f>IF(H1272="","",IF($C$29="간이법","",FPR(H1272,I1272,J1272)))</f>
        <v/>
      </c>
      <c r="L1272" s="111" t="str">
        <f>IF(H1272="","",IF($C$29="상세법",FPV(H1272,K1272),IF(H1272="EI",4,IF(H1272="EO",5.2,IF(H1272="EQ",3.9,IF(H1272="ILF",7.5,IF(H1272="EIF",5.4)))))))</f>
        <v/>
      </c>
      <c r="M1272" s="112" t="str">
        <f t="shared" si="22"/>
        <v/>
      </c>
      <c r="N1272" s="113"/>
    </row>
    <row r="1273" spans="2:14">
      <c r="B1273" s="105"/>
      <c r="C1273" s="106"/>
      <c r="D1273" s="107"/>
      <c r="E1273" s="65"/>
      <c r="F1273" s="64"/>
      <c r="G1273" s="64"/>
      <c r="H1273" s="64"/>
      <c r="I1273" s="70"/>
      <c r="J1273" s="70"/>
      <c r="K1273" s="110" t="str">
        <f>IF(H1273="","",IF($C$29="간이법","",FPR(H1273,I1273,J1273)))</f>
        <v/>
      </c>
      <c r="L1273" s="111" t="str">
        <f>IF(H1273="","",IF($C$29="상세법",FPV(H1273,K1273),IF(H1273="EI",4,IF(H1273="EO",5.2,IF(H1273="EQ",3.9,IF(H1273="ILF",7.5,IF(H1273="EIF",5.4)))))))</f>
        <v/>
      </c>
      <c r="M1273" s="112" t="str">
        <f t="shared" ref="M1273:M1336" si="23">IF(L1273="","",L1273*IF(G1273="상",0.7,IF(G1273="중",0.5,IF(G1273="하",0.2,1))))</f>
        <v/>
      </c>
      <c r="N1273" s="113"/>
    </row>
    <row r="1274" spans="2:14">
      <c r="B1274" s="105"/>
      <c r="C1274" s="106"/>
      <c r="D1274" s="107"/>
      <c r="E1274" s="65"/>
      <c r="F1274" s="64"/>
      <c r="G1274" s="64"/>
      <c r="H1274" s="64"/>
      <c r="I1274" s="70"/>
      <c r="J1274" s="70"/>
      <c r="K1274" s="110" t="str">
        <f>IF(H1274="","",IF($C$29="간이법","",FPR(H1274,I1274,J1274)))</f>
        <v/>
      </c>
      <c r="L1274" s="111" t="str">
        <f>IF(H1274="","",IF($C$29="상세법",FPV(H1274,K1274),IF(H1274="EI",4,IF(H1274="EO",5.2,IF(H1274="EQ",3.9,IF(H1274="ILF",7.5,IF(H1274="EIF",5.4)))))))</f>
        <v/>
      </c>
      <c r="M1274" s="112" t="str">
        <f t="shared" si="23"/>
        <v/>
      </c>
      <c r="N1274" s="113"/>
    </row>
    <row r="1275" spans="2:14">
      <c r="B1275" s="105"/>
      <c r="C1275" s="106"/>
      <c r="D1275" s="107"/>
      <c r="E1275" s="65"/>
      <c r="F1275" s="64"/>
      <c r="G1275" s="64"/>
      <c r="H1275" s="64"/>
      <c r="I1275" s="70"/>
      <c r="J1275" s="70"/>
      <c r="K1275" s="110" t="str">
        <f>IF(H1275="","",IF($C$29="간이법","",FPR(H1275,I1275,J1275)))</f>
        <v/>
      </c>
      <c r="L1275" s="111" t="str">
        <f>IF(H1275="","",IF($C$29="상세법",FPV(H1275,K1275),IF(H1275="EI",4,IF(H1275="EO",5.2,IF(H1275="EQ",3.9,IF(H1275="ILF",7.5,IF(H1275="EIF",5.4)))))))</f>
        <v/>
      </c>
      <c r="M1275" s="112" t="str">
        <f t="shared" si="23"/>
        <v/>
      </c>
      <c r="N1275" s="113"/>
    </row>
    <row r="1276" spans="2:14">
      <c r="B1276" s="105"/>
      <c r="C1276" s="106"/>
      <c r="D1276" s="107"/>
      <c r="E1276" s="65"/>
      <c r="F1276" s="64"/>
      <c r="G1276" s="64"/>
      <c r="H1276" s="64"/>
      <c r="I1276" s="70"/>
      <c r="J1276" s="70"/>
      <c r="K1276" s="110" t="str">
        <f>IF(H1276="","",IF($C$29="간이법","",FPR(H1276,I1276,J1276)))</f>
        <v/>
      </c>
      <c r="L1276" s="111" t="str">
        <f>IF(H1276="","",IF($C$29="상세법",FPV(H1276,K1276),IF(H1276="EI",4,IF(H1276="EO",5.2,IF(H1276="EQ",3.9,IF(H1276="ILF",7.5,IF(H1276="EIF",5.4)))))))</f>
        <v/>
      </c>
      <c r="M1276" s="112" t="str">
        <f t="shared" si="23"/>
        <v/>
      </c>
      <c r="N1276" s="113"/>
    </row>
    <row r="1277" spans="2:14">
      <c r="B1277" s="105"/>
      <c r="C1277" s="106"/>
      <c r="D1277" s="107"/>
      <c r="E1277" s="65"/>
      <c r="F1277" s="64"/>
      <c r="G1277" s="64"/>
      <c r="H1277" s="64"/>
      <c r="I1277" s="70"/>
      <c r="J1277" s="70"/>
      <c r="K1277" s="110" t="str">
        <f>IF(H1277="","",IF($C$29="간이법","",FPR(H1277,I1277,J1277)))</f>
        <v/>
      </c>
      <c r="L1277" s="111" t="str">
        <f>IF(H1277="","",IF($C$29="상세법",FPV(H1277,K1277),IF(H1277="EI",4,IF(H1277="EO",5.2,IF(H1277="EQ",3.9,IF(H1277="ILF",7.5,IF(H1277="EIF",5.4)))))))</f>
        <v/>
      </c>
      <c r="M1277" s="112" t="str">
        <f t="shared" si="23"/>
        <v/>
      </c>
      <c r="N1277" s="113"/>
    </row>
    <row r="1278" spans="2:14">
      <c r="B1278" s="105"/>
      <c r="C1278" s="106"/>
      <c r="D1278" s="107"/>
      <c r="E1278" s="65"/>
      <c r="F1278" s="64"/>
      <c r="G1278" s="64"/>
      <c r="H1278" s="64"/>
      <c r="I1278" s="70"/>
      <c r="J1278" s="70"/>
      <c r="K1278" s="110" t="str">
        <f>IF(H1278="","",IF($C$29="간이법","",FPR(H1278,I1278,J1278)))</f>
        <v/>
      </c>
      <c r="L1278" s="111" t="str">
        <f>IF(H1278="","",IF($C$29="상세법",FPV(H1278,K1278),IF(H1278="EI",4,IF(H1278="EO",5.2,IF(H1278="EQ",3.9,IF(H1278="ILF",7.5,IF(H1278="EIF",5.4)))))))</f>
        <v/>
      </c>
      <c r="M1278" s="112" t="str">
        <f t="shared" si="23"/>
        <v/>
      </c>
      <c r="N1278" s="113"/>
    </row>
    <row r="1279" spans="2:14">
      <c r="B1279" s="105"/>
      <c r="C1279" s="106"/>
      <c r="D1279" s="107"/>
      <c r="E1279" s="65"/>
      <c r="F1279" s="64"/>
      <c r="G1279" s="64"/>
      <c r="H1279" s="64"/>
      <c r="I1279" s="70"/>
      <c r="J1279" s="70"/>
      <c r="K1279" s="110" t="str">
        <f>IF(H1279="","",IF($C$29="간이법","",FPR(H1279,I1279,J1279)))</f>
        <v/>
      </c>
      <c r="L1279" s="111" t="str">
        <f>IF(H1279="","",IF($C$29="상세법",FPV(H1279,K1279),IF(H1279="EI",4,IF(H1279="EO",5.2,IF(H1279="EQ",3.9,IF(H1279="ILF",7.5,IF(H1279="EIF",5.4)))))))</f>
        <v/>
      </c>
      <c r="M1279" s="112" t="str">
        <f t="shared" si="23"/>
        <v/>
      </c>
      <c r="N1279" s="113"/>
    </row>
    <row r="1280" spans="2:14">
      <c r="B1280" s="105"/>
      <c r="C1280" s="106"/>
      <c r="D1280" s="107"/>
      <c r="E1280" s="65"/>
      <c r="F1280" s="64"/>
      <c r="G1280" s="64"/>
      <c r="H1280" s="64"/>
      <c r="I1280" s="70"/>
      <c r="J1280" s="70"/>
      <c r="K1280" s="110" t="str">
        <f>IF(H1280="","",IF($C$29="간이법","",FPR(H1280,I1280,J1280)))</f>
        <v/>
      </c>
      <c r="L1280" s="111" t="str">
        <f>IF(H1280="","",IF($C$29="상세법",FPV(H1280,K1280),IF(H1280="EI",4,IF(H1280="EO",5.2,IF(H1280="EQ",3.9,IF(H1280="ILF",7.5,IF(H1280="EIF",5.4)))))))</f>
        <v/>
      </c>
      <c r="M1280" s="112" t="str">
        <f t="shared" si="23"/>
        <v/>
      </c>
      <c r="N1280" s="113"/>
    </row>
    <row r="1281" spans="2:14">
      <c r="B1281" s="105"/>
      <c r="C1281" s="106"/>
      <c r="D1281" s="107"/>
      <c r="E1281" s="65"/>
      <c r="F1281" s="64"/>
      <c r="G1281" s="64"/>
      <c r="H1281" s="64"/>
      <c r="I1281" s="70"/>
      <c r="J1281" s="70"/>
      <c r="K1281" s="110" t="str">
        <f>IF(H1281="","",IF($C$29="간이법","",FPR(H1281,I1281,J1281)))</f>
        <v/>
      </c>
      <c r="L1281" s="111" t="str">
        <f>IF(H1281="","",IF($C$29="상세법",FPV(H1281,K1281),IF(H1281="EI",4,IF(H1281="EO",5.2,IF(H1281="EQ",3.9,IF(H1281="ILF",7.5,IF(H1281="EIF",5.4)))))))</f>
        <v/>
      </c>
      <c r="M1281" s="112" t="str">
        <f t="shared" si="23"/>
        <v/>
      </c>
      <c r="N1281" s="113"/>
    </row>
    <row r="1282" spans="2:14">
      <c r="B1282" s="105"/>
      <c r="C1282" s="106"/>
      <c r="D1282" s="107"/>
      <c r="E1282" s="65"/>
      <c r="F1282" s="64"/>
      <c r="G1282" s="64"/>
      <c r="H1282" s="64"/>
      <c r="I1282" s="70"/>
      <c r="J1282" s="70"/>
      <c r="K1282" s="110" t="str">
        <f>IF(H1282="","",IF($C$29="간이법","",FPR(H1282,I1282,J1282)))</f>
        <v/>
      </c>
      <c r="L1282" s="111" t="str">
        <f>IF(H1282="","",IF($C$29="상세법",FPV(H1282,K1282),IF(H1282="EI",4,IF(H1282="EO",5.2,IF(H1282="EQ",3.9,IF(H1282="ILF",7.5,IF(H1282="EIF",5.4)))))))</f>
        <v/>
      </c>
      <c r="M1282" s="112" t="str">
        <f t="shared" si="23"/>
        <v/>
      </c>
      <c r="N1282" s="113"/>
    </row>
    <row r="1283" spans="2:14">
      <c r="B1283" s="105"/>
      <c r="C1283" s="106"/>
      <c r="D1283" s="107"/>
      <c r="E1283" s="65"/>
      <c r="F1283" s="64"/>
      <c r="G1283" s="64"/>
      <c r="H1283" s="64"/>
      <c r="I1283" s="70"/>
      <c r="J1283" s="70"/>
      <c r="K1283" s="110" t="str">
        <f>IF(H1283="","",IF($C$29="간이법","",FPR(H1283,I1283,J1283)))</f>
        <v/>
      </c>
      <c r="L1283" s="111" t="str">
        <f>IF(H1283="","",IF($C$29="상세법",FPV(H1283,K1283),IF(H1283="EI",4,IF(H1283="EO",5.2,IF(H1283="EQ",3.9,IF(H1283="ILF",7.5,IF(H1283="EIF",5.4)))))))</f>
        <v/>
      </c>
      <c r="M1283" s="112" t="str">
        <f t="shared" si="23"/>
        <v/>
      </c>
      <c r="N1283" s="113"/>
    </row>
    <row r="1284" spans="2:14">
      <c r="B1284" s="105"/>
      <c r="C1284" s="106"/>
      <c r="D1284" s="107"/>
      <c r="E1284" s="65"/>
      <c r="F1284" s="64"/>
      <c r="G1284" s="64"/>
      <c r="H1284" s="64"/>
      <c r="I1284" s="70"/>
      <c r="J1284" s="70"/>
      <c r="K1284" s="110" t="str">
        <f>IF(H1284="","",IF($C$29="간이법","",FPR(H1284,I1284,J1284)))</f>
        <v/>
      </c>
      <c r="L1284" s="111" t="str">
        <f>IF(H1284="","",IF($C$29="상세법",FPV(H1284,K1284),IF(H1284="EI",4,IF(H1284="EO",5.2,IF(H1284="EQ",3.9,IF(H1284="ILF",7.5,IF(H1284="EIF",5.4)))))))</f>
        <v/>
      </c>
      <c r="M1284" s="112" t="str">
        <f t="shared" si="23"/>
        <v/>
      </c>
      <c r="N1284" s="113"/>
    </row>
    <row r="1285" spans="2:14">
      <c r="B1285" s="105"/>
      <c r="C1285" s="106"/>
      <c r="D1285" s="107"/>
      <c r="E1285" s="65"/>
      <c r="F1285" s="64"/>
      <c r="G1285" s="64"/>
      <c r="H1285" s="64"/>
      <c r="I1285" s="70"/>
      <c r="J1285" s="70"/>
      <c r="K1285" s="110" t="str">
        <f>IF(H1285="","",IF($C$29="간이법","",FPR(H1285,I1285,J1285)))</f>
        <v/>
      </c>
      <c r="L1285" s="111" t="str">
        <f>IF(H1285="","",IF($C$29="상세법",FPV(H1285,K1285),IF(H1285="EI",4,IF(H1285="EO",5.2,IF(H1285="EQ",3.9,IF(H1285="ILF",7.5,IF(H1285="EIF",5.4)))))))</f>
        <v/>
      </c>
      <c r="M1285" s="112" t="str">
        <f t="shared" si="23"/>
        <v/>
      </c>
      <c r="N1285" s="113"/>
    </row>
    <row r="1286" spans="2:14">
      <c r="B1286" s="105"/>
      <c r="C1286" s="106"/>
      <c r="D1286" s="107"/>
      <c r="E1286" s="65"/>
      <c r="F1286" s="64"/>
      <c r="G1286" s="64"/>
      <c r="H1286" s="64"/>
      <c r="I1286" s="70"/>
      <c r="J1286" s="70"/>
      <c r="K1286" s="110" t="str">
        <f>IF(H1286="","",IF($C$29="간이법","",FPR(H1286,I1286,J1286)))</f>
        <v/>
      </c>
      <c r="L1286" s="111" t="str">
        <f>IF(H1286="","",IF($C$29="상세법",FPV(H1286,K1286),IF(H1286="EI",4,IF(H1286="EO",5.2,IF(H1286="EQ",3.9,IF(H1286="ILF",7.5,IF(H1286="EIF",5.4)))))))</f>
        <v/>
      </c>
      <c r="M1286" s="112" t="str">
        <f t="shared" si="23"/>
        <v/>
      </c>
      <c r="N1286" s="113"/>
    </row>
    <row r="1287" spans="2:14">
      <c r="B1287" s="105"/>
      <c r="C1287" s="106"/>
      <c r="D1287" s="107"/>
      <c r="E1287" s="65"/>
      <c r="F1287" s="64"/>
      <c r="G1287" s="64"/>
      <c r="H1287" s="64"/>
      <c r="I1287" s="70"/>
      <c r="J1287" s="70"/>
      <c r="K1287" s="110" t="str">
        <f>IF(H1287="","",IF($C$29="간이법","",FPR(H1287,I1287,J1287)))</f>
        <v/>
      </c>
      <c r="L1287" s="111" t="str">
        <f>IF(H1287="","",IF($C$29="상세법",FPV(H1287,K1287),IF(H1287="EI",4,IF(H1287="EO",5.2,IF(H1287="EQ",3.9,IF(H1287="ILF",7.5,IF(H1287="EIF",5.4)))))))</f>
        <v/>
      </c>
      <c r="M1287" s="112" t="str">
        <f t="shared" si="23"/>
        <v/>
      </c>
      <c r="N1287" s="113"/>
    </row>
    <row r="1288" spans="2:14">
      <c r="B1288" s="105"/>
      <c r="C1288" s="106"/>
      <c r="D1288" s="107"/>
      <c r="E1288" s="65"/>
      <c r="F1288" s="64"/>
      <c r="G1288" s="64"/>
      <c r="H1288" s="64"/>
      <c r="I1288" s="70"/>
      <c r="J1288" s="70"/>
      <c r="K1288" s="110" t="str">
        <f>IF(H1288="","",IF($C$29="간이법","",FPR(H1288,I1288,J1288)))</f>
        <v/>
      </c>
      <c r="L1288" s="111" t="str">
        <f>IF(H1288="","",IF($C$29="상세법",FPV(H1288,K1288),IF(H1288="EI",4,IF(H1288="EO",5.2,IF(H1288="EQ",3.9,IF(H1288="ILF",7.5,IF(H1288="EIF",5.4)))))))</f>
        <v/>
      </c>
      <c r="M1288" s="112" t="str">
        <f t="shared" si="23"/>
        <v/>
      </c>
      <c r="N1288" s="113"/>
    </row>
    <row r="1289" spans="2:14">
      <c r="B1289" s="105"/>
      <c r="C1289" s="106"/>
      <c r="D1289" s="107"/>
      <c r="E1289" s="65"/>
      <c r="F1289" s="64"/>
      <c r="G1289" s="64"/>
      <c r="H1289" s="64"/>
      <c r="I1289" s="70"/>
      <c r="J1289" s="70"/>
      <c r="K1289" s="110" t="str">
        <f>IF(H1289="","",IF($C$29="간이법","",FPR(H1289,I1289,J1289)))</f>
        <v/>
      </c>
      <c r="L1289" s="111" t="str">
        <f>IF(H1289="","",IF($C$29="상세법",FPV(H1289,K1289),IF(H1289="EI",4,IF(H1289="EO",5.2,IF(H1289="EQ",3.9,IF(H1289="ILF",7.5,IF(H1289="EIF",5.4)))))))</f>
        <v/>
      </c>
      <c r="M1289" s="112" t="str">
        <f t="shared" si="23"/>
        <v/>
      </c>
      <c r="N1289" s="113"/>
    </row>
    <row r="1290" spans="2:14">
      <c r="B1290" s="105"/>
      <c r="C1290" s="106"/>
      <c r="D1290" s="107"/>
      <c r="E1290" s="65"/>
      <c r="F1290" s="64"/>
      <c r="G1290" s="64"/>
      <c r="H1290" s="64"/>
      <c r="I1290" s="70"/>
      <c r="J1290" s="70"/>
      <c r="K1290" s="110" t="str">
        <f>IF(H1290="","",IF($C$29="간이법","",FPR(H1290,I1290,J1290)))</f>
        <v/>
      </c>
      <c r="L1290" s="111" t="str">
        <f>IF(H1290="","",IF($C$29="상세법",FPV(H1290,K1290),IF(H1290="EI",4,IF(H1290="EO",5.2,IF(H1290="EQ",3.9,IF(H1290="ILF",7.5,IF(H1290="EIF",5.4)))))))</f>
        <v/>
      </c>
      <c r="M1290" s="112" t="str">
        <f t="shared" si="23"/>
        <v/>
      </c>
      <c r="N1290" s="113"/>
    </row>
    <row r="1291" spans="2:14">
      <c r="B1291" s="105"/>
      <c r="C1291" s="106"/>
      <c r="D1291" s="107"/>
      <c r="E1291" s="65"/>
      <c r="F1291" s="64"/>
      <c r="G1291" s="64"/>
      <c r="H1291" s="64"/>
      <c r="I1291" s="70"/>
      <c r="J1291" s="70"/>
      <c r="K1291" s="110" t="str">
        <f>IF(H1291="","",IF($C$29="간이법","",FPR(H1291,I1291,J1291)))</f>
        <v/>
      </c>
      <c r="L1291" s="111" t="str">
        <f>IF(H1291="","",IF($C$29="상세법",FPV(H1291,K1291),IF(H1291="EI",4,IF(H1291="EO",5.2,IF(H1291="EQ",3.9,IF(H1291="ILF",7.5,IF(H1291="EIF",5.4)))))))</f>
        <v/>
      </c>
      <c r="M1291" s="112" t="str">
        <f t="shared" si="23"/>
        <v/>
      </c>
      <c r="N1291" s="113"/>
    </row>
    <row r="1292" spans="2:14">
      <c r="B1292" s="105"/>
      <c r="C1292" s="106"/>
      <c r="D1292" s="107"/>
      <c r="E1292" s="65"/>
      <c r="F1292" s="64"/>
      <c r="G1292" s="64"/>
      <c r="H1292" s="64"/>
      <c r="I1292" s="70"/>
      <c r="J1292" s="70"/>
      <c r="K1292" s="110" t="str">
        <f>IF(H1292="","",IF($C$29="간이법","",FPR(H1292,I1292,J1292)))</f>
        <v/>
      </c>
      <c r="L1292" s="111" t="str">
        <f>IF(H1292="","",IF($C$29="상세법",FPV(H1292,K1292),IF(H1292="EI",4,IF(H1292="EO",5.2,IF(H1292="EQ",3.9,IF(H1292="ILF",7.5,IF(H1292="EIF",5.4)))))))</f>
        <v/>
      </c>
      <c r="M1292" s="112" t="str">
        <f t="shared" si="23"/>
        <v/>
      </c>
      <c r="N1292" s="113"/>
    </row>
    <row r="1293" spans="2:14">
      <c r="B1293" s="105"/>
      <c r="C1293" s="106"/>
      <c r="D1293" s="107"/>
      <c r="E1293" s="65"/>
      <c r="F1293" s="64"/>
      <c r="G1293" s="64"/>
      <c r="H1293" s="64"/>
      <c r="I1293" s="70"/>
      <c r="J1293" s="70"/>
      <c r="K1293" s="110" t="str">
        <f>IF(H1293="","",IF($C$29="간이법","",FPR(H1293,I1293,J1293)))</f>
        <v/>
      </c>
      <c r="L1293" s="111" t="str">
        <f>IF(H1293="","",IF($C$29="상세법",FPV(H1293,K1293),IF(H1293="EI",4,IF(H1293="EO",5.2,IF(H1293="EQ",3.9,IF(H1293="ILF",7.5,IF(H1293="EIF",5.4)))))))</f>
        <v/>
      </c>
      <c r="M1293" s="112" t="str">
        <f t="shared" si="23"/>
        <v/>
      </c>
      <c r="N1293" s="113"/>
    </row>
    <row r="1294" spans="2:14">
      <c r="B1294" s="105"/>
      <c r="C1294" s="106"/>
      <c r="D1294" s="107"/>
      <c r="E1294" s="65"/>
      <c r="F1294" s="64"/>
      <c r="G1294" s="64"/>
      <c r="H1294" s="64"/>
      <c r="I1294" s="70"/>
      <c r="J1294" s="70"/>
      <c r="K1294" s="110" t="str">
        <f>IF(H1294="","",IF($C$29="간이법","",FPR(H1294,I1294,J1294)))</f>
        <v/>
      </c>
      <c r="L1294" s="111" t="str">
        <f>IF(H1294="","",IF($C$29="상세법",FPV(H1294,K1294),IF(H1294="EI",4,IF(H1294="EO",5.2,IF(H1294="EQ",3.9,IF(H1294="ILF",7.5,IF(H1294="EIF",5.4)))))))</f>
        <v/>
      </c>
      <c r="M1294" s="112" t="str">
        <f t="shared" si="23"/>
        <v/>
      </c>
      <c r="N1294" s="113"/>
    </row>
    <row r="1295" spans="2:14">
      <c r="B1295" s="105"/>
      <c r="C1295" s="106"/>
      <c r="D1295" s="107"/>
      <c r="E1295" s="65"/>
      <c r="F1295" s="64"/>
      <c r="G1295" s="64"/>
      <c r="H1295" s="64"/>
      <c r="I1295" s="70"/>
      <c r="J1295" s="70"/>
      <c r="K1295" s="110" t="str">
        <f>IF(H1295="","",IF($C$29="간이법","",FPR(H1295,I1295,J1295)))</f>
        <v/>
      </c>
      <c r="L1295" s="111" t="str">
        <f>IF(H1295="","",IF($C$29="상세법",FPV(H1295,K1295),IF(H1295="EI",4,IF(H1295="EO",5.2,IF(H1295="EQ",3.9,IF(H1295="ILF",7.5,IF(H1295="EIF",5.4)))))))</f>
        <v/>
      </c>
      <c r="M1295" s="112" t="str">
        <f t="shared" si="23"/>
        <v/>
      </c>
      <c r="N1295" s="113"/>
    </row>
    <row r="1296" spans="2:14">
      <c r="B1296" s="105"/>
      <c r="C1296" s="106"/>
      <c r="D1296" s="107"/>
      <c r="E1296" s="65"/>
      <c r="F1296" s="64"/>
      <c r="G1296" s="64"/>
      <c r="H1296" s="64"/>
      <c r="I1296" s="70"/>
      <c r="J1296" s="70"/>
      <c r="K1296" s="110" t="str">
        <f>IF(H1296="","",IF($C$29="간이법","",FPR(H1296,I1296,J1296)))</f>
        <v/>
      </c>
      <c r="L1296" s="111" t="str">
        <f>IF(H1296="","",IF($C$29="상세법",FPV(H1296,K1296),IF(H1296="EI",4,IF(H1296="EO",5.2,IF(H1296="EQ",3.9,IF(H1296="ILF",7.5,IF(H1296="EIF",5.4)))))))</f>
        <v/>
      </c>
      <c r="M1296" s="112" t="str">
        <f t="shared" si="23"/>
        <v/>
      </c>
      <c r="N1296" s="113"/>
    </row>
    <row r="1297" spans="2:14">
      <c r="B1297" s="105"/>
      <c r="C1297" s="106"/>
      <c r="D1297" s="107"/>
      <c r="E1297" s="65"/>
      <c r="F1297" s="64"/>
      <c r="G1297" s="64"/>
      <c r="H1297" s="64"/>
      <c r="I1297" s="70"/>
      <c r="J1297" s="70"/>
      <c r="K1297" s="110" t="str">
        <f>IF(H1297="","",IF($C$29="간이법","",FPR(H1297,I1297,J1297)))</f>
        <v/>
      </c>
      <c r="L1297" s="111" t="str">
        <f>IF(H1297="","",IF($C$29="상세법",FPV(H1297,K1297),IF(H1297="EI",4,IF(H1297="EO",5.2,IF(H1297="EQ",3.9,IF(H1297="ILF",7.5,IF(H1297="EIF",5.4)))))))</f>
        <v/>
      </c>
      <c r="M1297" s="112" t="str">
        <f t="shared" si="23"/>
        <v/>
      </c>
      <c r="N1297" s="113"/>
    </row>
    <row r="1298" spans="2:14">
      <c r="B1298" s="105"/>
      <c r="C1298" s="106"/>
      <c r="D1298" s="107"/>
      <c r="E1298" s="65"/>
      <c r="F1298" s="64"/>
      <c r="G1298" s="64"/>
      <c r="H1298" s="64"/>
      <c r="I1298" s="70"/>
      <c r="J1298" s="70"/>
      <c r="K1298" s="110" t="str">
        <f>IF(H1298="","",IF($C$29="간이법","",FPR(H1298,I1298,J1298)))</f>
        <v/>
      </c>
      <c r="L1298" s="111" t="str">
        <f>IF(H1298="","",IF($C$29="상세법",FPV(H1298,K1298),IF(H1298="EI",4,IF(H1298="EO",5.2,IF(H1298="EQ",3.9,IF(H1298="ILF",7.5,IF(H1298="EIF",5.4)))))))</f>
        <v/>
      </c>
      <c r="M1298" s="112" t="str">
        <f t="shared" si="23"/>
        <v/>
      </c>
      <c r="N1298" s="113"/>
    </row>
    <row r="1299" spans="2:14">
      <c r="B1299" s="105"/>
      <c r="C1299" s="106"/>
      <c r="D1299" s="107"/>
      <c r="E1299" s="65"/>
      <c r="F1299" s="64"/>
      <c r="G1299" s="64"/>
      <c r="H1299" s="64"/>
      <c r="I1299" s="70"/>
      <c r="J1299" s="70"/>
      <c r="K1299" s="110" t="str">
        <f>IF(H1299="","",IF($C$29="간이법","",FPR(H1299,I1299,J1299)))</f>
        <v/>
      </c>
      <c r="L1299" s="111" t="str">
        <f>IF(H1299="","",IF($C$29="상세법",FPV(H1299,K1299),IF(H1299="EI",4,IF(H1299="EO",5.2,IF(H1299="EQ",3.9,IF(H1299="ILF",7.5,IF(H1299="EIF",5.4)))))))</f>
        <v/>
      </c>
      <c r="M1299" s="112" t="str">
        <f t="shared" si="23"/>
        <v/>
      </c>
      <c r="N1299" s="113"/>
    </row>
    <row r="1300" spans="2:14">
      <c r="B1300" s="105"/>
      <c r="C1300" s="106"/>
      <c r="D1300" s="107"/>
      <c r="E1300" s="65"/>
      <c r="F1300" s="64"/>
      <c r="G1300" s="64"/>
      <c r="H1300" s="64"/>
      <c r="I1300" s="70"/>
      <c r="J1300" s="70"/>
      <c r="K1300" s="110" t="str">
        <f>IF(H1300="","",IF($C$29="간이법","",FPR(H1300,I1300,J1300)))</f>
        <v/>
      </c>
      <c r="L1300" s="111" t="str">
        <f>IF(H1300="","",IF($C$29="상세법",FPV(H1300,K1300),IF(H1300="EI",4,IF(H1300="EO",5.2,IF(H1300="EQ",3.9,IF(H1300="ILF",7.5,IF(H1300="EIF",5.4)))))))</f>
        <v/>
      </c>
      <c r="M1300" s="112" t="str">
        <f t="shared" si="23"/>
        <v/>
      </c>
      <c r="N1300" s="113"/>
    </row>
    <row r="1301" spans="2:14">
      <c r="B1301" s="105"/>
      <c r="C1301" s="106"/>
      <c r="D1301" s="107"/>
      <c r="E1301" s="65"/>
      <c r="F1301" s="64"/>
      <c r="G1301" s="64"/>
      <c r="H1301" s="64"/>
      <c r="I1301" s="70"/>
      <c r="J1301" s="70"/>
      <c r="K1301" s="110" t="str">
        <f>IF(H1301="","",IF($C$29="간이법","",FPR(H1301,I1301,J1301)))</f>
        <v/>
      </c>
      <c r="L1301" s="111" t="str">
        <f>IF(H1301="","",IF($C$29="상세법",FPV(H1301,K1301),IF(H1301="EI",4,IF(H1301="EO",5.2,IF(H1301="EQ",3.9,IF(H1301="ILF",7.5,IF(H1301="EIF",5.4)))))))</f>
        <v/>
      </c>
      <c r="M1301" s="112" t="str">
        <f t="shared" si="23"/>
        <v/>
      </c>
      <c r="N1301" s="113"/>
    </row>
    <row r="1302" spans="2:14">
      <c r="B1302" s="105"/>
      <c r="C1302" s="106"/>
      <c r="D1302" s="107"/>
      <c r="E1302" s="65"/>
      <c r="F1302" s="64"/>
      <c r="G1302" s="64"/>
      <c r="H1302" s="64"/>
      <c r="I1302" s="70"/>
      <c r="J1302" s="70"/>
      <c r="K1302" s="110" t="str">
        <f>IF(H1302="","",IF($C$29="간이법","",FPR(H1302,I1302,J1302)))</f>
        <v/>
      </c>
      <c r="L1302" s="111" t="str">
        <f>IF(H1302="","",IF($C$29="상세법",FPV(H1302,K1302),IF(H1302="EI",4,IF(H1302="EO",5.2,IF(H1302="EQ",3.9,IF(H1302="ILF",7.5,IF(H1302="EIF",5.4)))))))</f>
        <v/>
      </c>
      <c r="M1302" s="112" t="str">
        <f t="shared" si="23"/>
        <v/>
      </c>
      <c r="N1302" s="113"/>
    </row>
    <row r="1303" spans="2:14">
      <c r="B1303" s="105"/>
      <c r="C1303" s="106"/>
      <c r="D1303" s="107"/>
      <c r="E1303" s="65"/>
      <c r="F1303" s="64"/>
      <c r="G1303" s="64"/>
      <c r="H1303" s="64"/>
      <c r="I1303" s="70"/>
      <c r="J1303" s="70"/>
      <c r="K1303" s="110" t="str">
        <f>IF(H1303="","",IF($C$29="간이법","",FPR(H1303,I1303,J1303)))</f>
        <v/>
      </c>
      <c r="L1303" s="111" t="str">
        <f>IF(H1303="","",IF($C$29="상세법",FPV(H1303,K1303),IF(H1303="EI",4,IF(H1303="EO",5.2,IF(H1303="EQ",3.9,IF(H1303="ILF",7.5,IF(H1303="EIF",5.4)))))))</f>
        <v/>
      </c>
      <c r="M1303" s="112" t="str">
        <f t="shared" si="23"/>
        <v/>
      </c>
      <c r="N1303" s="113"/>
    </row>
    <row r="1304" spans="2:14">
      <c r="B1304" s="105"/>
      <c r="C1304" s="106"/>
      <c r="D1304" s="107"/>
      <c r="E1304" s="65"/>
      <c r="F1304" s="64"/>
      <c r="G1304" s="64"/>
      <c r="H1304" s="64"/>
      <c r="I1304" s="70"/>
      <c r="J1304" s="70"/>
      <c r="K1304" s="110" t="str">
        <f>IF(H1304="","",IF($C$29="간이법","",FPR(H1304,I1304,J1304)))</f>
        <v/>
      </c>
      <c r="L1304" s="111" t="str">
        <f>IF(H1304="","",IF($C$29="상세법",FPV(H1304,K1304),IF(H1304="EI",4,IF(H1304="EO",5.2,IF(H1304="EQ",3.9,IF(H1304="ILF",7.5,IF(H1304="EIF",5.4)))))))</f>
        <v/>
      </c>
      <c r="M1304" s="112" t="str">
        <f t="shared" si="23"/>
        <v/>
      </c>
      <c r="N1304" s="113"/>
    </row>
    <row r="1305" spans="2:14">
      <c r="B1305" s="105"/>
      <c r="C1305" s="106"/>
      <c r="D1305" s="107"/>
      <c r="E1305" s="65"/>
      <c r="F1305" s="64"/>
      <c r="G1305" s="64"/>
      <c r="H1305" s="64"/>
      <c r="I1305" s="70"/>
      <c r="J1305" s="70"/>
      <c r="K1305" s="110" t="str">
        <f>IF(H1305="","",IF($C$29="간이법","",FPR(H1305,I1305,J1305)))</f>
        <v/>
      </c>
      <c r="L1305" s="111" t="str">
        <f>IF(H1305="","",IF($C$29="상세법",FPV(H1305,K1305),IF(H1305="EI",4,IF(H1305="EO",5.2,IF(H1305="EQ",3.9,IF(H1305="ILF",7.5,IF(H1305="EIF",5.4)))))))</f>
        <v/>
      </c>
      <c r="M1305" s="112" t="str">
        <f t="shared" si="23"/>
        <v/>
      </c>
      <c r="N1305" s="113"/>
    </row>
    <row r="1306" spans="2:14">
      <c r="B1306" s="105"/>
      <c r="C1306" s="106"/>
      <c r="D1306" s="107"/>
      <c r="E1306" s="65"/>
      <c r="F1306" s="64"/>
      <c r="G1306" s="64"/>
      <c r="H1306" s="64"/>
      <c r="I1306" s="70"/>
      <c r="J1306" s="70"/>
      <c r="K1306" s="110" t="str">
        <f>IF(H1306="","",IF($C$29="간이법","",FPR(H1306,I1306,J1306)))</f>
        <v/>
      </c>
      <c r="L1306" s="111" t="str">
        <f>IF(H1306="","",IF($C$29="상세법",FPV(H1306,K1306),IF(H1306="EI",4,IF(H1306="EO",5.2,IF(H1306="EQ",3.9,IF(H1306="ILF",7.5,IF(H1306="EIF",5.4)))))))</f>
        <v/>
      </c>
      <c r="M1306" s="112" t="str">
        <f t="shared" si="23"/>
        <v/>
      </c>
      <c r="N1306" s="113"/>
    </row>
    <row r="1307" spans="2:14">
      <c r="B1307" s="105"/>
      <c r="C1307" s="106"/>
      <c r="D1307" s="107"/>
      <c r="E1307" s="65"/>
      <c r="F1307" s="64"/>
      <c r="G1307" s="64"/>
      <c r="H1307" s="64"/>
      <c r="I1307" s="70"/>
      <c r="J1307" s="70"/>
      <c r="K1307" s="110" t="str">
        <f>IF(H1307="","",IF($C$29="간이법","",FPR(H1307,I1307,J1307)))</f>
        <v/>
      </c>
      <c r="L1307" s="111" t="str">
        <f>IF(H1307="","",IF($C$29="상세법",FPV(H1307,K1307),IF(H1307="EI",4,IF(H1307="EO",5.2,IF(H1307="EQ",3.9,IF(H1307="ILF",7.5,IF(H1307="EIF",5.4)))))))</f>
        <v/>
      </c>
      <c r="M1307" s="112" t="str">
        <f t="shared" si="23"/>
        <v/>
      </c>
      <c r="N1307" s="113"/>
    </row>
    <row r="1308" spans="2:14">
      <c r="B1308" s="105"/>
      <c r="C1308" s="106"/>
      <c r="D1308" s="107"/>
      <c r="E1308" s="65"/>
      <c r="F1308" s="64"/>
      <c r="G1308" s="64"/>
      <c r="H1308" s="64"/>
      <c r="I1308" s="70"/>
      <c r="J1308" s="70"/>
      <c r="K1308" s="110" t="str">
        <f>IF(H1308="","",IF($C$29="간이법","",FPR(H1308,I1308,J1308)))</f>
        <v/>
      </c>
      <c r="L1308" s="111" t="str">
        <f>IF(H1308="","",IF($C$29="상세법",FPV(H1308,K1308),IF(H1308="EI",4,IF(H1308="EO",5.2,IF(H1308="EQ",3.9,IF(H1308="ILF",7.5,IF(H1308="EIF",5.4)))))))</f>
        <v/>
      </c>
      <c r="M1308" s="112" t="str">
        <f t="shared" si="23"/>
        <v/>
      </c>
      <c r="N1308" s="113"/>
    </row>
    <row r="1309" spans="2:14">
      <c r="B1309" s="105"/>
      <c r="C1309" s="106"/>
      <c r="D1309" s="107"/>
      <c r="E1309" s="65"/>
      <c r="F1309" s="64"/>
      <c r="G1309" s="64"/>
      <c r="H1309" s="64"/>
      <c r="I1309" s="70"/>
      <c r="J1309" s="70"/>
      <c r="K1309" s="110" t="str">
        <f>IF(H1309="","",IF($C$29="간이법","",FPR(H1309,I1309,J1309)))</f>
        <v/>
      </c>
      <c r="L1309" s="111" t="str">
        <f>IF(H1309="","",IF($C$29="상세법",FPV(H1309,K1309),IF(H1309="EI",4,IF(H1309="EO",5.2,IF(H1309="EQ",3.9,IF(H1309="ILF",7.5,IF(H1309="EIF",5.4)))))))</f>
        <v/>
      </c>
      <c r="M1309" s="112" t="str">
        <f t="shared" si="23"/>
        <v/>
      </c>
      <c r="N1309" s="113"/>
    </row>
    <row r="1310" spans="2:14">
      <c r="B1310" s="105"/>
      <c r="C1310" s="106"/>
      <c r="D1310" s="107"/>
      <c r="E1310" s="65"/>
      <c r="F1310" s="64"/>
      <c r="G1310" s="64"/>
      <c r="H1310" s="64"/>
      <c r="I1310" s="70"/>
      <c r="J1310" s="70"/>
      <c r="K1310" s="110" t="str">
        <f>IF(H1310="","",IF($C$29="간이법","",FPR(H1310,I1310,J1310)))</f>
        <v/>
      </c>
      <c r="L1310" s="111" t="str">
        <f>IF(H1310="","",IF($C$29="상세법",FPV(H1310,K1310),IF(H1310="EI",4,IF(H1310="EO",5.2,IF(H1310="EQ",3.9,IF(H1310="ILF",7.5,IF(H1310="EIF",5.4)))))))</f>
        <v/>
      </c>
      <c r="M1310" s="112" t="str">
        <f t="shared" si="23"/>
        <v/>
      </c>
      <c r="N1310" s="113"/>
    </row>
    <row r="1311" spans="2:14">
      <c r="B1311" s="105"/>
      <c r="C1311" s="106"/>
      <c r="D1311" s="107"/>
      <c r="E1311" s="65"/>
      <c r="F1311" s="64"/>
      <c r="G1311" s="64"/>
      <c r="H1311" s="64"/>
      <c r="I1311" s="70"/>
      <c r="J1311" s="70"/>
      <c r="K1311" s="110" t="str">
        <f>IF(H1311="","",IF($C$29="간이법","",FPR(H1311,I1311,J1311)))</f>
        <v/>
      </c>
      <c r="L1311" s="111" t="str">
        <f>IF(H1311="","",IF($C$29="상세법",FPV(H1311,K1311),IF(H1311="EI",4,IF(H1311="EO",5.2,IF(H1311="EQ",3.9,IF(H1311="ILF",7.5,IF(H1311="EIF",5.4)))))))</f>
        <v/>
      </c>
      <c r="M1311" s="112" t="str">
        <f t="shared" si="23"/>
        <v/>
      </c>
      <c r="N1311" s="113"/>
    </row>
    <row r="1312" spans="2:14">
      <c r="B1312" s="105"/>
      <c r="C1312" s="106"/>
      <c r="D1312" s="107"/>
      <c r="E1312" s="65"/>
      <c r="F1312" s="64"/>
      <c r="G1312" s="64"/>
      <c r="H1312" s="64"/>
      <c r="I1312" s="70"/>
      <c r="J1312" s="70"/>
      <c r="K1312" s="110" t="str">
        <f>IF(H1312="","",IF($C$29="간이법","",FPR(H1312,I1312,J1312)))</f>
        <v/>
      </c>
      <c r="L1312" s="111" t="str">
        <f>IF(H1312="","",IF($C$29="상세법",FPV(H1312,K1312),IF(H1312="EI",4,IF(H1312="EO",5.2,IF(H1312="EQ",3.9,IF(H1312="ILF",7.5,IF(H1312="EIF",5.4)))))))</f>
        <v/>
      </c>
      <c r="M1312" s="112" t="str">
        <f t="shared" si="23"/>
        <v/>
      </c>
      <c r="N1312" s="113"/>
    </row>
    <row r="1313" spans="2:14">
      <c r="B1313" s="105"/>
      <c r="C1313" s="106"/>
      <c r="D1313" s="107"/>
      <c r="E1313" s="65"/>
      <c r="F1313" s="64"/>
      <c r="G1313" s="64"/>
      <c r="H1313" s="64"/>
      <c r="I1313" s="70"/>
      <c r="J1313" s="70"/>
      <c r="K1313" s="110" t="str">
        <f>IF(H1313="","",IF($C$29="간이법","",FPR(H1313,I1313,J1313)))</f>
        <v/>
      </c>
      <c r="L1313" s="111" t="str">
        <f>IF(H1313="","",IF($C$29="상세법",FPV(H1313,K1313),IF(H1313="EI",4,IF(H1313="EO",5.2,IF(H1313="EQ",3.9,IF(H1313="ILF",7.5,IF(H1313="EIF",5.4)))))))</f>
        <v/>
      </c>
      <c r="M1313" s="112" t="str">
        <f t="shared" si="23"/>
        <v/>
      </c>
      <c r="N1313" s="113"/>
    </row>
    <row r="1314" spans="2:14">
      <c r="B1314" s="105"/>
      <c r="C1314" s="106"/>
      <c r="D1314" s="107"/>
      <c r="E1314" s="65"/>
      <c r="F1314" s="64"/>
      <c r="G1314" s="64"/>
      <c r="H1314" s="64"/>
      <c r="I1314" s="70"/>
      <c r="J1314" s="70"/>
      <c r="K1314" s="110" t="str">
        <f>IF(H1314="","",IF($C$29="간이법","",FPR(H1314,I1314,J1314)))</f>
        <v/>
      </c>
      <c r="L1314" s="111" t="str">
        <f>IF(H1314="","",IF($C$29="상세법",FPV(H1314,K1314),IF(H1314="EI",4,IF(H1314="EO",5.2,IF(H1314="EQ",3.9,IF(H1314="ILF",7.5,IF(H1314="EIF",5.4)))))))</f>
        <v/>
      </c>
      <c r="M1314" s="112" t="str">
        <f t="shared" si="23"/>
        <v/>
      </c>
      <c r="N1314" s="113"/>
    </row>
    <row r="1315" spans="2:14">
      <c r="B1315" s="105"/>
      <c r="C1315" s="106"/>
      <c r="D1315" s="107"/>
      <c r="E1315" s="65"/>
      <c r="F1315" s="64"/>
      <c r="G1315" s="64"/>
      <c r="H1315" s="64"/>
      <c r="I1315" s="70"/>
      <c r="J1315" s="70"/>
      <c r="K1315" s="110" t="str">
        <f>IF(H1315="","",IF($C$29="간이법","",FPR(H1315,I1315,J1315)))</f>
        <v/>
      </c>
      <c r="L1315" s="111" t="str">
        <f>IF(H1315="","",IF($C$29="상세법",FPV(H1315,K1315),IF(H1315="EI",4,IF(H1315="EO",5.2,IF(H1315="EQ",3.9,IF(H1315="ILF",7.5,IF(H1315="EIF",5.4)))))))</f>
        <v/>
      </c>
      <c r="M1315" s="112" t="str">
        <f t="shared" si="23"/>
        <v/>
      </c>
      <c r="N1315" s="113"/>
    </row>
    <row r="1316" spans="2:14">
      <c r="B1316" s="105"/>
      <c r="C1316" s="106"/>
      <c r="D1316" s="107"/>
      <c r="E1316" s="65"/>
      <c r="F1316" s="64"/>
      <c r="G1316" s="64"/>
      <c r="H1316" s="64"/>
      <c r="I1316" s="70"/>
      <c r="J1316" s="70"/>
      <c r="K1316" s="110" t="str">
        <f>IF(H1316="","",IF($C$29="간이법","",FPR(H1316,I1316,J1316)))</f>
        <v/>
      </c>
      <c r="L1316" s="111" t="str">
        <f>IF(H1316="","",IF($C$29="상세법",FPV(H1316,K1316),IF(H1316="EI",4,IF(H1316="EO",5.2,IF(H1316="EQ",3.9,IF(H1316="ILF",7.5,IF(H1316="EIF",5.4)))))))</f>
        <v/>
      </c>
      <c r="M1316" s="112" t="str">
        <f t="shared" si="23"/>
        <v/>
      </c>
      <c r="N1316" s="113"/>
    </row>
    <row r="1317" spans="2:14">
      <c r="B1317" s="105"/>
      <c r="C1317" s="106"/>
      <c r="D1317" s="107"/>
      <c r="E1317" s="65"/>
      <c r="F1317" s="64"/>
      <c r="G1317" s="64"/>
      <c r="H1317" s="64"/>
      <c r="I1317" s="70"/>
      <c r="J1317" s="70"/>
      <c r="K1317" s="110" t="str">
        <f>IF(H1317="","",IF($C$29="간이법","",FPR(H1317,I1317,J1317)))</f>
        <v/>
      </c>
      <c r="L1317" s="111" t="str">
        <f>IF(H1317="","",IF($C$29="상세법",FPV(H1317,K1317),IF(H1317="EI",4,IF(H1317="EO",5.2,IF(H1317="EQ",3.9,IF(H1317="ILF",7.5,IF(H1317="EIF",5.4)))))))</f>
        <v/>
      </c>
      <c r="M1317" s="112" t="str">
        <f t="shared" si="23"/>
        <v/>
      </c>
      <c r="N1317" s="113"/>
    </row>
    <row r="1318" spans="2:14">
      <c r="B1318" s="105"/>
      <c r="C1318" s="106"/>
      <c r="D1318" s="107"/>
      <c r="E1318" s="65"/>
      <c r="F1318" s="64"/>
      <c r="G1318" s="64"/>
      <c r="H1318" s="64"/>
      <c r="I1318" s="70"/>
      <c r="J1318" s="70"/>
      <c r="K1318" s="110" t="str">
        <f>IF(H1318="","",IF($C$29="간이법","",FPR(H1318,I1318,J1318)))</f>
        <v/>
      </c>
      <c r="L1318" s="111" t="str">
        <f>IF(H1318="","",IF($C$29="상세법",FPV(H1318,K1318),IF(H1318="EI",4,IF(H1318="EO",5.2,IF(H1318="EQ",3.9,IF(H1318="ILF",7.5,IF(H1318="EIF",5.4)))))))</f>
        <v/>
      </c>
      <c r="M1318" s="112" t="str">
        <f t="shared" si="23"/>
        <v/>
      </c>
      <c r="N1318" s="113"/>
    </row>
    <row r="1319" spans="2:14">
      <c r="B1319" s="105"/>
      <c r="C1319" s="106"/>
      <c r="D1319" s="107"/>
      <c r="E1319" s="65"/>
      <c r="F1319" s="64"/>
      <c r="G1319" s="64"/>
      <c r="H1319" s="64"/>
      <c r="I1319" s="70"/>
      <c r="J1319" s="70"/>
      <c r="K1319" s="110" t="str">
        <f>IF(H1319="","",IF($C$29="간이법","",FPR(H1319,I1319,J1319)))</f>
        <v/>
      </c>
      <c r="L1319" s="111" t="str">
        <f>IF(H1319="","",IF($C$29="상세법",FPV(H1319,K1319),IF(H1319="EI",4,IF(H1319="EO",5.2,IF(H1319="EQ",3.9,IF(H1319="ILF",7.5,IF(H1319="EIF",5.4)))))))</f>
        <v/>
      </c>
      <c r="M1319" s="112" t="str">
        <f t="shared" si="23"/>
        <v/>
      </c>
      <c r="N1319" s="113"/>
    </row>
    <row r="1320" spans="2:14">
      <c r="B1320" s="105"/>
      <c r="C1320" s="106"/>
      <c r="D1320" s="107"/>
      <c r="E1320" s="65"/>
      <c r="F1320" s="64"/>
      <c r="G1320" s="64"/>
      <c r="H1320" s="64"/>
      <c r="I1320" s="70"/>
      <c r="J1320" s="70"/>
      <c r="K1320" s="110" t="str">
        <f>IF(H1320="","",IF($C$29="간이법","",FPR(H1320,I1320,J1320)))</f>
        <v/>
      </c>
      <c r="L1320" s="111" t="str">
        <f>IF(H1320="","",IF($C$29="상세법",FPV(H1320,K1320),IF(H1320="EI",4,IF(H1320="EO",5.2,IF(H1320="EQ",3.9,IF(H1320="ILF",7.5,IF(H1320="EIF",5.4)))))))</f>
        <v/>
      </c>
      <c r="M1320" s="112" t="str">
        <f t="shared" si="23"/>
        <v/>
      </c>
      <c r="N1320" s="113"/>
    </row>
    <row r="1321" spans="2:14">
      <c r="B1321" s="105"/>
      <c r="C1321" s="106"/>
      <c r="D1321" s="107"/>
      <c r="E1321" s="65"/>
      <c r="F1321" s="64"/>
      <c r="G1321" s="64"/>
      <c r="H1321" s="64"/>
      <c r="I1321" s="70"/>
      <c r="J1321" s="70"/>
      <c r="K1321" s="110" t="str">
        <f>IF(H1321="","",IF($C$29="간이법","",FPR(H1321,I1321,J1321)))</f>
        <v/>
      </c>
      <c r="L1321" s="111" t="str">
        <f>IF(H1321="","",IF($C$29="상세법",FPV(H1321,K1321),IF(H1321="EI",4,IF(H1321="EO",5.2,IF(H1321="EQ",3.9,IF(H1321="ILF",7.5,IF(H1321="EIF",5.4)))))))</f>
        <v/>
      </c>
      <c r="M1321" s="112" t="str">
        <f t="shared" si="23"/>
        <v/>
      </c>
      <c r="N1321" s="113"/>
    </row>
    <row r="1322" spans="2:14">
      <c r="B1322" s="105"/>
      <c r="C1322" s="106"/>
      <c r="D1322" s="107"/>
      <c r="E1322" s="65"/>
      <c r="F1322" s="64"/>
      <c r="G1322" s="64"/>
      <c r="H1322" s="64"/>
      <c r="I1322" s="70"/>
      <c r="J1322" s="70"/>
      <c r="K1322" s="110" t="str">
        <f>IF(H1322="","",IF($C$29="간이법","",FPR(H1322,I1322,J1322)))</f>
        <v/>
      </c>
      <c r="L1322" s="111" t="str">
        <f>IF(H1322="","",IF($C$29="상세법",FPV(H1322,K1322),IF(H1322="EI",4,IF(H1322="EO",5.2,IF(H1322="EQ",3.9,IF(H1322="ILF",7.5,IF(H1322="EIF",5.4)))))))</f>
        <v/>
      </c>
      <c r="M1322" s="112" t="str">
        <f t="shared" si="23"/>
        <v/>
      </c>
      <c r="N1322" s="113"/>
    </row>
    <row r="1323" spans="2:14">
      <c r="B1323" s="105"/>
      <c r="C1323" s="106"/>
      <c r="D1323" s="107"/>
      <c r="E1323" s="65"/>
      <c r="F1323" s="64"/>
      <c r="G1323" s="64"/>
      <c r="H1323" s="64"/>
      <c r="I1323" s="70"/>
      <c r="J1323" s="70"/>
      <c r="K1323" s="110" t="str">
        <f>IF(H1323="","",IF($C$29="간이법","",FPR(H1323,I1323,J1323)))</f>
        <v/>
      </c>
      <c r="L1323" s="111" t="str">
        <f>IF(H1323="","",IF($C$29="상세법",FPV(H1323,K1323),IF(H1323="EI",4,IF(H1323="EO",5.2,IF(H1323="EQ",3.9,IF(H1323="ILF",7.5,IF(H1323="EIF",5.4)))))))</f>
        <v/>
      </c>
      <c r="M1323" s="112" t="str">
        <f t="shared" si="23"/>
        <v/>
      </c>
      <c r="N1323" s="113"/>
    </row>
    <row r="1324" spans="2:14">
      <c r="B1324" s="105"/>
      <c r="C1324" s="106"/>
      <c r="D1324" s="107"/>
      <c r="E1324" s="65"/>
      <c r="F1324" s="64"/>
      <c r="G1324" s="64"/>
      <c r="H1324" s="64"/>
      <c r="I1324" s="70"/>
      <c r="J1324" s="70"/>
      <c r="K1324" s="110" t="str">
        <f>IF(H1324="","",IF($C$29="간이법","",FPR(H1324,I1324,J1324)))</f>
        <v/>
      </c>
      <c r="L1324" s="111" t="str">
        <f>IF(H1324="","",IF($C$29="상세법",FPV(H1324,K1324),IF(H1324="EI",4,IF(H1324="EO",5.2,IF(H1324="EQ",3.9,IF(H1324="ILF",7.5,IF(H1324="EIF",5.4)))))))</f>
        <v/>
      </c>
      <c r="M1324" s="112" t="str">
        <f t="shared" si="23"/>
        <v/>
      </c>
      <c r="N1324" s="113"/>
    </row>
    <row r="1325" spans="2:14">
      <c r="B1325" s="105"/>
      <c r="C1325" s="106"/>
      <c r="D1325" s="107"/>
      <c r="E1325" s="65"/>
      <c r="F1325" s="64"/>
      <c r="G1325" s="64"/>
      <c r="H1325" s="64"/>
      <c r="I1325" s="70"/>
      <c r="J1325" s="70"/>
      <c r="K1325" s="110" t="str">
        <f>IF(H1325="","",IF($C$29="간이법","",FPR(H1325,I1325,J1325)))</f>
        <v/>
      </c>
      <c r="L1325" s="111" t="str">
        <f>IF(H1325="","",IF($C$29="상세법",FPV(H1325,K1325),IF(H1325="EI",4,IF(H1325="EO",5.2,IF(H1325="EQ",3.9,IF(H1325="ILF",7.5,IF(H1325="EIF",5.4)))))))</f>
        <v/>
      </c>
      <c r="M1325" s="112" t="str">
        <f t="shared" si="23"/>
        <v/>
      </c>
      <c r="N1325" s="113"/>
    </row>
    <row r="1326" spans="2:14">
      <c r="B1326" s="105"/>
      <c r="C1326" s="106"/>
      <c r="D1326" s="107"/>
      <c r="E1326" s="65"/>
      <c r="F1326" s="64"/>
      <c r="G1326" s="64"/>
      <c r="H1326" s="64"/>
      <c r="I1326" s="70"/>
      <c r="J1326" s="70"/>
      <c r="K1326" s="110" t="str">
        <f>IF(H1326="","",IF($C$29="간이법","",FPR(H1326,I1326,J1326)))</f>
        <v/>
      </c>
      <c r="L1326" s="111" t="str">
        <f>IF(H1326="","",IF($C$29="상세법",FPV(H1326,K1326),IF(H1326="EI",4,IF(H1326="EO",5.2,IF(H1326="EQ",3.9,IF(H1326="ILF",7.5,IF(H1326="EIF",5.4)))))))</f>
        <v/>
      </c>
      <c r="M1326" s="112" t="str">
        <f t="shared" si="23"/>
        <v/>
      </c>
      <c r="N1326" s="113"/>
    </row>
    <row r="1327" spans="2:14">
      <c r="B1327" s="105"/>
      <c r="C1327" s="106"/>
      <c r="D1327" s="107"/>
      <c r="E1327" s="65"/>
      <c r="F1327" s="64"/>
      <c r="G1327" s="64"/>
      <c r="H1327" s="64"/>
      <c r="I1327" s="70"/>
      <c r="J1327" s="70"/>
      <c r="K1327" s="110" t="str">
        <f>IF(H1327="","",IF($C$29="간이법","",FPR(H1327,I1327,J1327)))</f>
        <v/>
      </c>
      <c r="L1327" s="111" t="str">
        <f>IF(H1327="","",IF($C$29="상세법",FPV(H1327,K1327),IF(H1327="EI",4,IF(H1327="EO",5.2,IF(H1327="EQ",3.9,IF(H1327="ILF",7.5,IF(H1327="EIF",5.4)))))))</f>
        <v/>
      </c>
      <c r="M1327" s="112" t="str">
        <f t="shared" si="23"/>
        <v/>
      </c>
      <c r="N1327" s="113"/>
    </row>
    <row r="1328" spans="2:14">
      <c r="B1328" s="105"/>
      <c r="C1328" s="106"/>
      <c r="D1328" s="107"/>
      <c r="E1328" s="65"/>
      <c r="F1328" s="64"/>
      <c r="G1328" s="64"/>
      <c r="H1328" s="64"/>
      <c r="I1328" s="70"/>
      <c r="J1328" s="70"/>
      <c r="K1328" s="110" t="str">
        <f>IF(H1328="","",IF($C$29="간이법","",FPR(H1328,I1328,J1328)))</f>
        <v/>
      </c>
      <c r="L1328" s="111" t="str">
        <f>IF(H1328="","",IF($C$29="상세법",FPV(H1328,K1328),IF(H1328="EI",4,IF(H1328="EO",5.2,IF(H1328="EQ",3.9,IF(H1328="ILF",7.5,IF(H1328="EIF",5.4)))))))</f>
        <v/>
      </c>
      <c r="M1328" s="112" t="str">
        <f t="shared" si="23"/>
        <v/>
      </c>
      <c r="N1328" s="113"/>
    </row>
    <row r="1329" spans="2:14">
      <c r="B1329" s="105"/>
      <c r="C1329" s="106"/>
      <c r="D1329" s="107"/>
      <c r="E1329" s="65"/>
      <c r="F1329" s="64"/>
      <c r="G1329" s="64"/>
      <c r="H1329" s="64"/>
      <c r="I1329" s="70"/>
      <c r="J1329" s="70"/>
      <c r="K1329" s="110" t="str">
        <f>IF(H1329="","",IF($C$29="간이법","",FPR(H1329,I1329,J1329)))</f>
        <v/>
      </c>
      <c r="L1329" s="111" t="str">
        <f>IF(H1329="","",IF($C$29="상세법",FPV(H1329,K1329),IF(H1329="EI",4,IF(H1329="EO",5.2,IF(H1329="EQ",3.9,IF(H1329="ILF",7.5,IF(H1329="EIF",5.4)))))))</f>
        <v/>
      </c>
      <c r="M1329" s="112" t="str">
        <f t="shared" si="23"/>
        <v/>
      </c>
      <c r="N1329" s="113"/>
    </row>
    <row r="1330" spans="2:14">
      <c r="B1330" s="105"/>
      <c r="C1330" s="106"/>
      <c r="D1330" s="107"/>
      <c r="E1330" s="65"/>
      <c r="F1330" s="64"/>
      <c r="G1330" s="64"/>
      <c r="H1330" s="64"/>
      <c r="I1330" s="70"/>
      <c r="J1330" s="70"/>
      <c r="K1330" s="110" t="str">
        <f>IF(H1330="","",IF($C$29="간이법","",FPR(H1330,I1330,J1330)))</f>
        <v/>
      </c>
      <c r="L1330" s="111" t="str">
        <f>IF(H1330="","",IF($C$29="상세법",FPV(H1330,K1330),IF(H1330="EI",4,IF(H1330="EO",5.2,IF(H1330="EQ",3.9,IF(H1330="ILF",7.5,IF(H1330="EIF",5.4)))))))</f>
        <v/>
      </c>
      <c r="M1330" s="112" t="str">
        <f t="shared" si="23"/>
        <v/>
      </c>
      <c r="N1330" s="113"/>
    </row>
    <row r="1331" spans="2:14">
      <c r="B1331" s="105"/>
      <c r="C1331" s="106"/>
      <c r="D1331" s="107"/>
      <c r="E1331" s="65"/>
      <c r="F1331" s="64"/>
      <c r="G1331" s="64"/>
      <c r="H1331" s="64"/>
      <c r="I1331" s="70"/>
      <c r="J1331" s="70"/>
      <c r="K1331" s="110" t="str">
        <f>IF(H1331="","",IF($C$29="간이법","",FPR(H1331,I1331,J1331)))</f>
        <v/>
      </c>
      <c r="L1331" s="111" t="str">
        <f>IF(H1331="","",IF($C$29="상세법",FPV(H1331,K1331),IF(H1331="EI",4,IF(H1331="EO",5.2,IF(H1331="EQ",3.9,IF(H1331="ILF",7.5,IF(H1331="EIF",5.4)))))))</f>
        <v/>
      </c>
      <c r="M1331" s="112" t="str">
        <f t="shared" si="23"/>
        <v/>
      </c>
      <c r="N1331" s="113"/>
    </row>
    <row r="1332" spans="2:14">
      <c r="B1332" s="105"/>
      <c r="C1332" s="106"/>
      <c r="D1332" s="107"/>
      <c r="E1332" s="65"/>
      <c r="F1332" s="64"/>
      <c r="G1332" s="64"/>
      <c r="H1332" s="64"/>
      <c r="I1332" s="70"/>
      <c r="J1332" s="70"/>
      <c r="K1332" s="110" t="str">
        <f>IF(H1332="","",IF($C$29="간이법","",FPR(H1332,I1332,J1332)))</f>
        <v/>
      </c>
      <c r="L1332" s="111" t="str">
        <f>IF(H1332="","",IF($C$29="상세법",FPV(H1332,K1332),IF(H1332="EI",4,IF(H1332="EO",5.2,IF(H1332="EQ",3.9,IF(H1332="ILF",7.5,IF(H1332="EIF",5.4)))))))</f>
        <v/>
      </c>
      <c r="M1332" s="112" t="str">
        <f t="shared" si="23"/>
        <v/>
      </c>
      <c r="N1332" s="113"/>
    </row>
    <row r="1333" spans="2:14">
      <c r="B1333" s="105"/>
      <c r="C1333" s="106"/>
      <c r="D1333" s="107"/>
      <c r="E1333" s="65"/>
      <c r="F1333" s="64"/>
      <c r="G1333" s="64"/>
      <c r="H1333" s="64"/>
      <c r="I1333" s="70"/>
      <c r="J1333" s="70"/>
      <c r="K1333" s="110" t="str">
        <f>IF(H1333="","",IF($C$29="간이법","",FPR(H1333,I1333,J1333)))</f>
        <v/>
      </c>
      <c r="L1333" s="111" t="str">
        <f>IF(H1333="","",IF($C$29="상세법",FPV(H1333,K1333),IF(H1333="EI",4,IF(H1333="EO",5.2,IF(H1333="EQ",3.9,IF(H1333="ILF",7.5,IF(H1333="EIF",5.4)))))))</f>
        <v/>
      </c>
      <c r="M1333" s="112" t="str">
        <f t="shared" si="23"/>
        <v/>
      </c>
      <c r="N1333" s="113"/>
    </row>
    <row r="1334" spans="2:14">
      <c r="B1334" s="105"/>
      <c r="C1334" s="106"/>
      <c r="D1334" s="107"/>
      <c r="E1334" s="65"/>
      <c r="F1334" s="64"/>
      <c r="G1334" s="64"/>
      <c r="H1334" s="64"/>
      <c r="I1334" s="70"/>
      <c r="J1334" s="70"/>
      <c r="K1334" s="110" t="str">
        <f>IF(H1334="","",IF($C$29="간이법","",FPR(H1334,I1334,J1334)))</f>
        <v/>
      </c>
      <c r="L1334" s="111" t="str">
        <f>IF(H1334="","",IF($C$29="상세법",FPV(H1334,K1334),IF(H1334="EI",4,IF(H1334="EO",5.2,IF(H1334="EQ",3.9,IF(H1334="ILF",7.5,IF(H1334="EIF",5.4)))))))</f>
        <v/>
      </c>
      <c r="M1334" s="112" t="str">
        <f t="shared" si="23"/>
        <v/>
      </c>
      <c r="N1334" s="113"/>
    </row>
    <row r="1335" spans="2:14">
      <c r="B1335" s="105"/>
      <c r="C1335" s="106"/>
      <c r="D1335" s="107"/>
      <c r="E1335" s="65"/>
      <c r="F1335" s="64"/>
      <c r="G1335" s="64"/>
      <c r="H1335" s="64"/>
      <c r="I1335" s="70"/>
      <c r="J1335" s="70"/>
      <c r="K1335" s="110" t="str">
        <f>IF(H1335="","",IF($C$29="간이법","",FPR(H1335,I1335,J1335)))</f>
        <v/>
      </c>
      <c r="L1335" s="111" t="str">
        <f>IF(H1335="","",IF($C$29="상세법",FPV(H1335,K1335),IF(H1335="EI",4,IF(H1335="EO",5.2,IF(H1335="EQ",3.9,IF(H1335="ILF",7.5,IF(H1335="EIF",5.4)))))))</f>
        <v/>
      </c>
      <c r="M1335" s="112" t="str">
        <f t="shared" si="23"/>
        <v/>
      </c>
      <c r="N1335" s="113"/>
    </row>
    <row r="1336" spans="2:14">
      <c r="B1336" s="105"/>
      <c r="C1336" s="106"/>
      <c r="D1336" s="107"/>
      <c r="E1336" s="65"/>
      <c r="F1336" s="64"/>
      <c r="G1336" s="64"/>
      <c r="H1336" s="64"/>
      <c r="I1336" s="70"/>
      <c r="J1336" s="70"/>
      <c r="K1336" s="110" t="str">
        <f>IF(H1336="","",IF($C$29="간이법","",FPR(H1336,I1336,J1336)))</f>
        <v/>
      </c>
      <c r="L1336" s="111" t="str">
        <f>IF(H1336="","",IF($C$29="상세법",FPV(H1336,K1336),IF(H1336="EI",4,IF(H1336="EO",5.2,IF(H1336="EQ",3.9,IF(H1336="ILF",7.5,IF(H1336="EIF",5.4)))))))</f>
        <v/>
      </c>
      <c r="M1336" s="112" t="str">
        <f t="shared" si="23"/>
        <v/>
      </c>
      <c r="N1336" s="113"/>
    </row>
    <row r="1337" spans="2:14">
      <c r="B1337" s="105"/>
      <c r="C1337" s="106"/>
      <c r="D1337" s="107"/>
      <c r="E1337" s="65"/>
      <c r="F1337" s="64"/>
      <c r="G1337" s="64"/>
      <c r="H1337" s="64"/>
      <c r="I1337" s="70"/>
      <c r="J1337" s="70"/>
      <c r="K1337" s="110" t="str">
        <f>IF(H1337="","",IF($C$29="간이법","",FPR(H1337,I1337,J1337)))</f>
        <v/>
      </c>
      <c r="L1337" s="111" t="str">
        <f>IF(H1337="","",IF($C$29="상세법",FPV(H1337,K1337),IF(H1337="EI",4,IF(H1337="EO",5.2,IF(H1337="EQ",3.9,IF(H1337="ILF",7.5,IF(H1337="EIF",5.4)))))))</f>
        <v/>
      </c>
      <c r="M1337" s="112" t="str">
        <f t="shared" ref="M1337:M1400" si="24">IF(L1337="","",L1337*IF(G1337="상",0.7,IF(G1337="중",0.5,IF(G1337="하",0.2,1))))</f>
        <v/>
      </c>
      <c r="N1337" s="113"/>
    </row>
    <row r="1338" spans="2:14">
      <c r="B1338" s="105"/>
      <c r="C1338" s="106"/>
      <c r="D1338" s="107"/>
      <c r="E1338" s="65"/>
      <c r="F1338" s="64"/>
      <c r="G1338" s="64"/>
      <c r="H1338" s="64"/>
      <c r="I1338" s="70"/>
      <c r="J1338" s="70"/>
      <c r="K1338" s="110" t="str">
        <f>IF(H1338="","",IF($C$29="간이법","",FPR(H1338,I1338,J1338)))</f>
        <v/>
      </c>
      <c r="L1338" s="111" t="str">
        <f>IF(H1338="","",IF($C$29="상세법",FPV(H1338,K1338),IF(H1338="EI",4,IF(H1338="EO",5.2,IF(H1338="EQ",3.9,IF(H1338="ILF",7.5,IF(H1338="EIF",5.4)))))))</f>
        <v/>
      </c>
      <c r="M1338" s="112" t="str">
        <f t="shared" si="24"/>
        <v/>
      </c>
      <c r="N1338" s="113"/>
    </row>
    <row r="1339" spans="2:14">
      <c r="B1339" s="105"/>
      <c r="C1339" s="106"/>
      <c r="D1339" s="107"/>
      <c r="E1339" s="65"/>
      <c r="F1339" s="64"/>
      <c r="G1339" s="64"/>
      <c r="H1339" s="64"/>
      <c r="I1339" s="70"/>
      <c r="J1339" s="70"/>
      <c r="K1339" s="110" t="str">
        <f>IF(H1339="","",IF($C$29="간이법","",FPR(H1339,I1339,J1339)))</f>
        <v/>
      </c>
      <c r="L1339" s="111" t="str">
        <f>IF(H1339="","",IF($C$29="상세법",FPV(H1339,K1339),IF(H1339="EI",4,IF(H1339="EO",5.2,IF(H1339="EQ",3.9,IF(H1339="ILF",7.5,IF(H1339="EIF",5.4)))))))</f>
        <v/>
      </c>
      <c r="M1339" s="112" t="str">
        <f t="shared" si="24"/>
        <v/>
      </c>
      <c r="N1339" s="113"/>
    </row>
    <row r="1340" spans="2:14">
      <c r="B1340" s="105"/>
      <c r="C1340" s="106"/>
      <c r="D1340" s="107"/>
      <c r="E1340" s="65"/>
      <c r="F1340" s="64"/>
      <c r="G1340" s="64"/>
      <c r="H1340" s="64"/>
      <c r="I1340" s="70"/>
      <c r="J1340" s="70"/>
      <c r="K1340" s="110" t="str">
        <f>IF(H1340="","",IF($C$29="간이법","",FPR(H1340,I1340,J1340)))</f>
        <v/>
      </c>
      <c r="L1340" s="111" t="str">
        <f>IF(H1340="","",IF($C$29="상세법",FPV(H1340,K1340),IF(H1340="EI",4,IF(H1340="EO",5.2,IF(H1340="EQ",3.9,IF(H1340="ILF",7.5,IF(H1340="EIF",5.4)))))))</f>
        <v/>
      </c>
      <c r="M1340" s="112" t="str">
        <f t="shared" si="24"/>
        <v/>
      </c>
      <c r="N1340" s="113"/>
    </row>
    <row r="1341" spans="2:14">
      <c r="B1341" s="105"/>
      <c r="C1341" s="106"/>
      <c r="D1341" s="107"/>
      <c r="E1341" s="65"/>
      <c r="F1341" s="64"/>
      <c r="G1341" s="64"/>
      <c r="H1341" s="64"/>
      <c r="I1341" s="70"/>
      <c r="J1341" s="70"/>
      <c r="K1341" s="110" t="str">
        <f>IF(H1341="","",IF($C$29="간이법","",FPR(H1341,I1341,J1341)))</f>
        <v/>
      </c>
      <c r="L1341" s="111" t="str">
        <f>IF(H1341="","",IF($C$29="상세법",FPV(H1341,K1341),IF(H1341="EI",4,IF(H1341="EO",5.2,IF(H1341="EQ",3.9,IF(H1341="ILF",7.5,IF(H1341="EIF",5.4)))))))</f>
        <v/>
      </c>
      <c r="M1341" s="112" t="str">
        <f t="shared" si="24"/>
        <v/>
      </c>
      <c r="N1341" s="113"/>
    </row>
    <row r="1342" spans="2:14">
      <c r="B1342" s="105"/>
      <c r="C1342" s="106"/>
      <c r="D1342" s="107"/>
      <c r="E1342" s="65"/>
      <c r="F1342" s="64"/>
      <c r="G1342" s="64"/>
      <c r="H1342" s="64"/>
      <c r="I1342" s="70"/>
      <c r="J1342" s="70"/>
      <c r="K1342" s="110" t="str">
        <f>IF(H1342="","",IF($C$29="간이법","",FPR(H1342,I1342,J1342)))</f>
        <v/>
      </c>
      <c r="L1342" s="111" t="str">
        <f>IF(H1342="","",IF($C$29="상세법",FPV(H1342,K1342),IF(H1342="EI",4,IF(H1342="EO",5.2,IF(H1342="EQ",3.9,IF(H1342="ILF",7.5,IF(H1342="EIF",5.4)))))))</f>
        <v/>
      </c>
      <c r="M1342" s="112" t="str">
        <f t="shared" si="24"/>
        <v/>
      </c>
      <c r="N1342" s="113"/>
    </row>
    <row r="1343" spans="2:14">
      <c r="B1343" s="105"/>
      <c r="C1343" s="106"/>
      <c r="D1343" s="107"/>
      <c r="E1343" s="65"/>
      <c r="F1343" s="64"/>
      <c r="G1343" s="64"/>
      <c r="H1343" s="64"/>
      <c r="I1343" s="70"/>
      <c r="J1343" s="70"/>
      <c r="K1343" s="110" t="str">
        <f>IF(H1343="","",IF($C$29="간이법","",FPR(H1343,I1343,J1343)))</f>
        <v/>
      </c>
      <c r="L1343" s="111" t="str">
        <f>IF(H1343="","",IF($C$29="상세법",FPV(H1343,K1343),IF(H1343="EI",4,IF(H1343="EO",5.2,IF(H1343="EQ",3.9,IF(H1343="ILF",7.5,IF(H1343="EIF",5.4)))))))</f>
        <v/>
      </c>
      <c r="M1343" s="112" t="str">
        <f t="shared" si="24"/>
        <v/>
      </c>
      <c r="N1343" s="113"/>
    </row>
    <row r="1344" spans="2:14">
      <c r="B1344" s="105"/>
      <c r="C1344" s="106"/>
      <c r="D1344" s="107"/>
      <c r="E1344" s="65"/>
      <c r="F1344" s="64"/>
      <c r="G1344" s="64"/>
      <c r="H1344" s="64"/>
      <c r="I1344" s="70"/>
      <c r="J1344" s="70"/>
      <c r="K1344" s="110" t="str">
        <f>IF(H1344="","",IF($C$29="간이법","",FPR(H1344,I1344,J1344)))</f>
        <v/>
      </c>
      <c r="L1344" s="111" t="str">
        <f>IF(H1344="","",IF($C$29="상세법",FPV(H1344,K1344),IF(H1344="EI",4,IF(H1344="EO",5.2,IF(H1344="EQ",3.9,IF(H1344="ILF",7.5,IF(H1344="EIF",5.4)))))))</f>
        <v/>
      </c>
      <c r="M1344" s="112" t="str">
        <f t="shared" si="24"/>
        <v/>
      </c>
      <c r="N1344" s="113"/>
    </row>
    <row r="1345" spans="2:14">
      <c r="B1345" s="105"/>
      <c r="C1345" s="106"/>
      <c r="D1345" s="107"/>
      <c r="E1345" s="65"/>
      <c r="F1345" s="64"/>
      <c r="G1345" s="64"/>
      <c r="H1345" s="64"/>
      <c r="I1345" s="70"/>
      <c r="J1345" s="70"/>
      <c r="K1345" s="110" t="str">
        <f>IF(H1345="","",IF($C$29="간이법","",FPR(H1345,I1345,J1345)))</f>
        <v/>
      </c>
      <c r="L1345" s="111" t="str">
        <f>IF(H1345="","",IF($C$29="상세법",FPV(H1345,K1345),IF(H1345="EI",4,IF(H1345="EO",5.2,IF(H1345="EQ",3.9,IF(H1345="ILF",7.5,IF(H1345="EIF",5.4)))))))</f>
        <v/>
      </c>
      <c r="M1345" s="112" t="str">
        <f t="shared" si="24"/>
        <v/>
      </c>
      <c r="N1345" s="113"/>
    </row>
    <row r="1346" spans="2:14">
      <c r="B1346" s="105"/>
      <c r="C1346" s="106"/>
      <c r="D1346" s="107"/>
      <c r="E1346" s="65"/>
      <c r="F1346" s="64"/>
      <c r="G1346" s="64"/>
      <c r="H1346" s="64"/>
      <c r="I1346" s="70"/>
      <c r="J1346" s="70"/>
      <c r="K1346" s="110" t="str">
        <f>IF(H1346="","",IF($C$29="간이법","",FPR(H1346,I1346,J1346)))</f>
        <v/>
      </c>
      <c r="L1346" s="111" t="str">
        <f>IF(H1346="","",IF($C$29="상세법",FPV(H1346,K1346),IF(H1346="EI",4,IF(H1346="EO",5.2,IF(H1346="EQ",3.9,IF(H1346="ILF",7.5,IF(H1346="EIF",5.4)))))))</f>
        <v/>
      </c>
      <c r="M1346" s="112" t="str">
        <f t="shared" si="24"/>
        <v/>
      </c>
      <c r="N1346" s="113"/>
    </row>
    <row r="1347" spans="2:14">
      <c r="B1347" s="105"/>
      <c r="C1347" s="106"/>
      <c r="D1347" s="107"/>
      <c r="E1347" s="65"/>
      <c r="F1347" s="64"/>
      <c r="G1347" s="64"/>
      <c r="H1347" s="64"/>
      <c r="I1347" s="70"/>
      <c r="J1347" s="70"/>
      <c r="K1347" s="110" t="str">
        <f>IF(H1347="","",IF($C$29="간이법","",FPR(H1347,I1347,J1347)))</f>
        <v/>
      </c>
      <c r="L1347" s="111" t="str">
        <f>IF(H1347="","",IF($C$29="상세법",FPV(H1347,K1347),IF(H1347="EI",4,IF(H1347="EO",5.2,IF(H1347="EQ",3.9,IF(H1347="ILF",7.5,IF(H1347="EIF",5.4)))))))</f>
        <v/>
      </c>
      <c r="M1347" s="112" t="str">
        <f t="shared" si="24"/>
        <v/>
      </c>
      <c r="N1347" s="113"/>
    </row>
    <row r="1348" spans="2:14">
      <c r="B1348" s="105"/>
      <c r="C1348" s="106"/>
      <c r="D1348" s="107"/>
      <c r="E1348" s="65"/>
      <c r="F1348" s="64"/>
      <c r="G1348" s="64"/>
      <c r="H1348" s="64"/>
      <c r="I1348" s="70"/>
      <c r="J1348" s="70"/>
      <c r="K1348" s="110" t="str">
        <f>IF(H1348="","",IF($C$29="간이법","",FPR(H1348,I1348,J1348)))</f>
        <v/>
      </c>
      <c r="L1348" s="111" t="str">
        <f>IF(H1348="","",IF($C$29="상세법",FPV(H1348,K1348),IF(H1348="EI",4,IF(H1348="EO",5.2,IF(H1348="EQ",3.9,IF(H1348="ILF",7.5,IF(H1348="EIF",5.4)))))))</f>
        <v/>
      </c>
      <c r="M1348" s="112" t="str">
        <f t="shared" si="24"/>
        <v/>
      </c>
      <c r="N1348" s="113"/>
    </row>
    <row r="1349" spans="2:14">
      <c r="B1349" s="105"/>
      <c r="C1349" s="106"/>
      <c r="D1349" s="107"/>
      <c r="E1349" s="65"/>
      <c r="F1349" s="64"/>
      <c r="G1349" s="64"/>
      <c r="H1349" s="64"/>
      <c r="I1349" s="70"/>
      <c r="J1349" s="70"/>
      <c r="K1349" s="110" t="str">
        <f>IF(H1349="","",IF($C$29="간이법","",FPR(H1349,I1349,J1349)))</f>
        <v/>
      </c>
      <c r="L1349" s="111" t="str">
        <f>IF(H1349="","",IF($C$29="상세법",FPV(H1349,K1349),IF(H1349="EI",4,IF(H1349="EO",5.2,IF(H1349="EQ",3.9,IF(H1349="ILF",7.5,IF(H1349="EIF",5.4)))))))</f>
        <v/>
      </c>
      <c r="M1349" s="112" t="str">
        <f t="shared" si="24"/>
        <v/>
      </c>
      <c r="N1349" s="113"/>
    </row>
    <row r="1350" spans="2:14">
      <c r="B1350" s="105"/>
      <c r="C1350" s="106"/>
      <c r="D1350" s="107"/>
      <c r="E1350" s="65"/>
      <c r="F1350" s="64"/>
      <c r="G1350" s="64"/>
      <c r="H1350" s="64"/>
      <c r="I1350" s="70"/>
      <c r="J1350" s="70"/>
      <c r="K1350" s="110" t="str">
        <f>IF(H1350="","",IF($C$29="간이법","",FPR(H1350,I1350,J1350)))</f>
        <v/>
      </c>
      <c r="L1350" s="111" t="str">
        <f>IF(H1350="","",IF($C$29="상세법",FPV(H1350,K1350),IF(H1350="EI",4,IF(H1350="EO",5.2,IF(H1350="EQ",3.9,IF(H1350="ILF",7.5,IF(H1350="EIF",5.4)))))))</f>
        <v/>
      </c>
      <c r="M1350" s="112" t="str">
        <f t="shared" si="24"/>
        <v/>
      </c>
      <c r="N1350" s="113"/>
    </row>
    <row r="1351" spans="2:14">
      <c r="B1351" s="105"/>
      <c r="C1351" s="106"/>
      <c r="D1351" s="107"/>
      <c r="E1351" s="65"/>
      <c r="F1351" s="64"/>
      <c r="G1351" s="64"/>
      <c r="H1351" s="64"/>
      <c r="I1351" s="70"/>
      <c r="J1351" s="70"/>
      <c r="K1351" s="110" t="str">
        <f>IF(H1351="","",IF($C$29="간이법","",FPR(H1351,I1351,J1351)))</f>
        <v/>
      </c>
      <c r="L1351" s="111" t="str">
        <f>IF(H1351="","",IF($C$29="상세법",FPV(H1351,K1351),IF(H1351="EI",4,IF(H1351="EO",5.2,IF(H1351="EQ",3.9,IF(H1351="ILF",7.5,IF(H1351="EIF",5.4)))))))</f>
        <v/>
      </c>
      <c r="M1351" s="112" t="str">
        <f t="shared" si="24"/>
        <v/>
      </c>
      <c r="N1351" s="113"/>
    </row>
    <row r="1352" spans="2:14">
      <c r="B1352" s="105"/>
      <c r="C1352" s="106"/>
      <c r="D1352" s="107"/>
      <c r="E1352" s="65"/>
      <c r="F1352" s="64"/>
      <c r="G1352" s="64"/>
      <c r="H1352" s="64"/>
      <c r="I1352" s="70"/>
      <c r="J1352" s="70"/>
      <c r="K1352" s="110" t="str">
        <f>IF(H1352="","",IF($C$29="간이법","",FPR(H1352,I1352,J1352)))</f>
        <v/>
      </c>
      <c r="L1352" s="111" t="str">
        <f>IF(H1352="","",IF($C$29="상세법",FPV(H1352,K1352),IF(H1352="EI",4,IF(H1352="EO",5.2,IF(H1352="EQ",3.9,IF(H1352="ILF",7.5,IF(H1352="EIF",5.4)))))))</f>
        <v/>
      </c>
      <c r="M1352" s="112" t="str">
        <f t="shared" si="24"/>
        <v/>
      </c>
      <c r="N1352" s="113"/>
    </row>
    <row r="1353" spans="2:14">
      <c r="B1353" s="105"/>
      <c r="C1353" s="106"/>
      <c r="D1353" s="107"/>
      <c r="E1353" s="65"/>
      <c r="F1353" s="64"/>
      <c r="G1353" s="64"/>
      <c r="H1353" s="64"/>
      <c r="I1353" s="70"/>
      <c r="J1353" s="70"/>
      <c r="K1353" s="110" t="str">
        <f>IF(H1353="","",IF($C$29="간이법","",FPR(H1353,I1353,J1353)))</f>
        <v/>
      </c>
      <c r="L1353" s="111" t="str">
        <f>IF(H1353="","",IF($C$29="상세법",FPV(H1353,K1353),IF(H1353="EI",4,IF(H1353="EO",5.2,IF(H1353="EQ",3.9,IF(H1353="ILF",7.5,IF(H1353="EIF",5.4)))))))</f>
        <v/>
      </c>
      <c r="M1353" s="112" t="str">
        <f t="shared" si="24"/>
        <v/>
      </c>
      <c r="N1353" s="113"/>
    </row>
    <row r="1354" spans="2:14">
      <c r="B1354" s="105"/>
      <c r="C1354" s="106"/>
      <c r="D1354" s="107"/>
      <c r="E1354" s="65"/>
      <c r="F1354" s="64"/>
      <c r="G1354" s="64"/>
      <c r="H1354" s="64"/>
      <c r="I1354" s="70"/>
      <c r="J1354" s="70"/>
      <c r="K1354" s="110" t="str">
        <f>IF(H1354="","",IF($C$29="간이법","",FPR(H1354,I1354,J1354)))</f>
        <v/>
      </c>
      <c r="L1354" s="111" t="str">
        <f>IF(H1354="","",IF($C$29="상세법",FPV(H1354,K1354),IF(H1354="EI",4,IF(H1354="EO",5.2,IF(H1354="EQ",3.9,IF(H1354="ILF",7.5,IF(H1354="EIF",5.4)))))))</f>
        <v/>
      </c>
      <c r="M1354" s="112" t="str">
        <f t="shared" si="24"/>
        <v/>
      </c>
      <c r="N1354" s="113"/>
    </row>
    <row r="1355" spans="2:14">
      <c r="B1355" s="105"/>
      <c r="C1355" s="106"/>
      <c r="D1355" s="107"/>
      <c r="E1355" s="65"/>
      <c r="F1355" s="64"/>
      <c r="G1355" s="64"/>
      <c r="H1355" s="64"/>
      <c r="I1355" s="70"/>
      <c r="J1355" s="70"/>
      <c r="K1355" s="110" t="str">
        <f>IF(H1355="","",IF($C$29="간이법","",FPR(H1355,I1355,J1355)))</f>
        <v/>
      </c>
      <c r="L1355" s="111" t="str">
        <f>IF(H1355="","",IF($C$29="상세법",FPV(H1355,K1355),IF(H1355="EI",4,IF(H1355="EO",5.2,IF(H1355="EQ",3.9,IF(H1355="ILF",7.5,IF(H1355="EIF",5.4)))))))</f>
        <v/>
      </c>
      <c r="M1355" s="112" t="str">
        <f t="shared" si="24"/>
        <v/>
      </c>
      <c r="N1355" s="113"/>
    </row>
    <row r="1356" spans="2:14">
      <c r="B1356" s="105"/>
      <c r="C1356" s="106"/>
      <c r="D1356" s="107"/>
      <c r="E1356" s="65"/>
      <c r="F1356" s="64"/>
      <c r="G1356" s="64"/>
      <c r="H1356" s="64"/>
      <c r="I1356" s="70"/>
      <c r="J1356" s="70"/>
      <c r="K1356" s="110" t="str">
        <f>IF(H1356="","",IF($C$29="간이법","",FPR(H1356,I1356,J1356)))</f>
        <v/>
      </c>
      <c r="L1356" s="111" t="str">
        <f>IF(H1356="","",IF($C$29="상세법",FPV(H1356,K1356),IF(H1356="EI",4,IF(H1356="EO",5.2,IF(H1356="EQ",3.9,IF(H1356="ILF",7.5,IF(H1356="EIF",5.4)))))))</f>
        <v/>
      </c>
      <c r="M1356" s="112" t="str">
        <f t="shared" si="24"/>
        <v/>
      </c>
      <c r="N1356" s="113"/>
    </row>
    <row r="1357" spans="2:14">
      <c r="B1357" s="105"/>
      <c r="C1357" s="106"/>
      <c r="D1357" s="107"/>
      <c r="E1357" s="65"/>
      <c r="F1357" s="64"/>
      <c r="G1357" s="64"/>
      <c r="H1357" s="64"/>
      <c r="I1357" s="70"/>
      <c r="J1357" s="70"/>
      <c r="K1357" s="110" t="str">
        <f>IF(H1357="","",IF($C$29="간이법","",FPR(H1357,I1357,J1357)))</f>
        <v/>
      </c>
      <c r="L1357" s="111" t="str">
        <f>IF(H1357="","",IF($C$29="상세법",FPV(H1357,K1357),IF(H1357="EI",4,IF(H1357="EO",5.2,IF(H1357="EQ",3.9,IF(H1357="ILF",7.5,IF(H1357="EIF",5.4)))))))</f>
        <v/>
      </c>
      <c r="M1357" s="112" t="str">
        <f t="shared" si="24"/>
        <v/>
      </c>
      <c r="N1357" s="113"/>
    </row>
    <row r="1358" spans="2:14">
      <c r="B1358" s="105"/>
      <c r="C1358" s="106"/>
      <c r="D1358" s="107"/>
      <c r="E1358" s="65"/>
      <c r="F1358" s="64"/>
      <c r="G1358" s="64"/>
      <c r="H1358" s="64"/>
      <c r="I1358" s="70"/>
      <c r="J1358" s="70"/>
      <c r="K1358" s="110" t="str">
        <f>IF(H1358="","",IF($C$29="간이법","",FPR(H1358,I1358,J1358)))</f>
        <v/>
      </c>
      <c r="L1358" s="111" t="str">
        <f>IF(H1358="","",IF($C$29="상세법",FPV(H1358,K1358),IF(H1358="EI",4,IF(H1358="EO",5.2,IF(H1358="EQ",3.9,IF(H1358="ILF",7.5,IF(H1358="EIF",5.4)))))))</f>
        <v/>
      </c>
      <c r="M1358" s="112" t="str">
        <f t="shared" si="24"/>
        <v/>
      </c>
      <c r="N1358" s="113"/>
    </row>
    <row r="1359" spans="2:14">
      <c r="B1359" s="105"/>
      <c r="C1359" s="106"/>
      <c r="D1359" s="107"/>
      <c r="E1359" s="65"/>
      <c r="F1359" s="64"/>
      <c r="G1359" s="64"/>
      <c r="H1359" s="64"/>
      <c r="I1359" s="70"/>
      <c r="J1359" s="70"/>
      <c r="K1359" s="110" t="str">
        <f>IF(H1359="","",IF($C$29="간이법","",FPR(H1359,I1359,J1359)))</f>
        <v/>
      </c>
      <c r="L1359" s="111" t="str">
        <f>IF(H1359="","",IF($C$29="상세법",FPV(H1359,K1359),IF(H1359="EI",4,IF(H1359="EO",5.2,IF(H1359="EQ",3.9,IF(H1359="ILF",7.5,IF(H1359="EIF",5.4)))))))</f>
        <v/>
      </c>
      <c r="M1359" s="112" t="str">
        <f t="shared" si="24"/>
        <v/>
      </c>
      <c r="N1359" s="113"/>
    </row>
    <row r="1360" spans="2:14">
      <c r="B1360" s="105"/>
      <c r="C1360" s="106"/>
      <c r="D1360" s="107"/>
      <c r="E1360" s="65"/>
      <c r="F1360" s="64"/>
      <c r="G1360" s="64"/>
      <c r="H1360" s="64"/>
      <c r="I1360" s="70"/>
      <c r="J1360" s="70"/>
      <c r="K1360" s="110" t="str">
        <f>IF(H1360="","",IF($C$29="간이법","",FPR(H1360,I1360,J1360)))</f>
        <v/>
      </c>
      <c r="L1360" s="111" t="str">
        <f>IF(H1360="","",IF($C$29="상세법",FPV(H1360,K1360),IF(H1360="EI",4,IF(H1360="EO",5.2,IF(H1360="EQ",3.9,IF(H1360="ILF",7.5,IF(H1360="EIF",5.4)))))))</f>
        <v/>
      </c>
      <c r="M1360" s="112" t="str">
        <f t="shared" si="24"/>
        <v/>
      </c>
      <c r="N1360" s="113"/>
    </row>
    <row r="1361" spans="2:14">
      <c r="B1361" s="105"/>
      <c r="C1361" s="106"/>
      <c r="D1361" s="107"/>
      <c r="E1361" s="65"/>
      <c r="F1361" s="64"/>
      <c r="G1361" s="64"/>
      <c r="H1361" s="64"/>
      <c r="I1361" s="70"/>
      <c r="J1361" s="70"/>
      <c r="K1361" s="110" t="str">
        <f>IF(H1361="","",IF($C$29="간이법","",FPR(H1361,I1361,J1361)))</f>
        <v/>
      </c>
      <c r="L1361" s="111" t="str">
        <f>IF(H1361="","",IF($C$29="상세법",FPV(H1361,K1361),IF(H1361="EI",4,IF(H1361="EO",5.2,IF(H1361="EQ",3.9,IF(H1361="ILF",7.5,IF(H1361="EIF",5.4)))))))</f>
        <v/>
      </c>
      <c r="M1361" s="112" t="str">
        <f t="shared" si="24"/>
        <v/>
      </c>
      <c r="N1361" s="113"/>
    </row>
    <row r="1362" spans="2:14">
      <c r="B1362" s="105"/>
      <c r="C1362" s="106"/>
      <c r="D1362" s="107"/>
      <c r="E1362" s="65"/>
      <c r="F1362" s="64"/>
      <c r="G1362" s="64"/>
      <c r="H1362" s="64"/>
      <c r="I1362" s="70"/>
      <c r="J1362" s="70"/>
      <c r="K1362" s="110" t="str">
        <f>IF(H1362="","",IF($C$29="간이법","",FPR(H1362,I1362,J1362)))</f>
        <v/>
      </c>
      <c r="L1362" s="111" t="str">
        <f>IF(H1362="","",IF($C$29="상세법",FPV(H1362,K1362),IF(H1362="EI",4,IF(H1362="EO",5.2,IF(H1362="EQ",3.9,IF(H1362="ILF",7.5,IF(H1362="EIF",5.4)))))))</f>
        <v/>
      </c>
      <c r="M1362" s="112" t="str">
        <f t="shared" si="24"/>
        <v/>
      </c>
      <c r="N1362" s="113"/>
    </row>
    <row r="1363" spans="2:14">
      <c r="B1363" s="105"/>
      <c r="C1363" s="106"/>
      <c r="D1363" s="107"/>
      <c r="E1363" s="65"/>
      <c r="F1363" s="64"/>
      <c r="G1363" s="64"/>
      <c r="H1363" s="64"/>
      <c r="I1363" s="70"/>
      <c r="J1363" s="70"/>
      <c r="K1363" s="110" t="str">
        <f>IF(H1363="","",IF($C$29="간이법","",FPR(H1363,I1363,J1363)))</f>
        <v/>
      </c>
      <c r="L1363" s="111" t="str">
        <f>IF(H1363="","",IF($C$29="상세법",FPV(H1363,K1363),IF(H1363="EI",4,IF(H1363="EO",5.2,IF(H1363="EQ",3.9,IF(H1363="ILF",7.5,IF(H1363="EIF",5.4)))))))</f>
        <v/>
      </c>
      <c r="M1363" s="112" t="str">
        <f t="shared" si="24"/>
        <v/>
      </c>
      <c r="N1363" s="113"/>
    </row>
    <row r="1364" spans="2:14">
      <c r="B1364" s="105"/>
      <c r="C1364" s="106"/>
      <c r="D1364" s="107"/>
      <c r="E1364" s="65"/>
      <c r="F1364" s="64"/>
      <c r="G1364" s="64"/>
      <c r="H1364" s="64"/>
      <c r="I1364" s="70"/>
      <c r="J1364" s="70"/>
      <c r="K1364" s="110" t="str">
        <f>IF(H1364="","",IF($C$29="간이법","",FPR(H1364,I1364,J1364)))</f>
        <v/>
      </c>
      <c r="L1364" s="111" t="str">
        <f>IF(H1364="","",IF($C$29="상세법",FPV(H1364,K1364),IF(H1364="EI",4,IF(H1364="EO",5.2,IF(H1364="EQ",3.9,IF(H1364="ILF",7.5,IF(H1364="EIF",5.4)))))))</f>
        <v/>
      </c>
      <c r="M1364" s="112" t="str">
        <f t="shared" si="24"/>
        <v/>
      </c>
      <c r="N1364" s="113"/>
    </row>
    <row r="1365" spans="2:14">
      <c r="B1365" s="105"/>
      <c r="C1365" s="106"/>
      <c r="D1365" s="107"/>
      <c r="E1365" s="65"/>
      <c r="F1365" s="64"/>
      <c r="G1365" s="64"/>
      <c r="H1365" s="64"/>
      <c r="I1365" s="70"/>
      <c r="J1365" s="70"/>
      <c r="K1365" s="110" t="str">
        <f>IF(H1365="","",IF($C$29="간이법","",FPR(H1365,I1365,J1365)))</f>
        <v/>
      </c>
      <c r="L1365" s="111" t="str">
        <f>IF(H1365="","",IF($C$29="상세법",FPV(H1365,K1365),IF(H1365="EI",4,IF(H1365="EO",5.2,IF(H1365="EQ",3.9,IF(H1365="ILF",7.5,IF(H1365="EIF",5.4)))))))</f>
        <v/>
      </c>
      <c r="M1365" s="112" t="str">
        <f t="shared" si="24"/>
        <v/>
      </c>
      <c r="N1365" s="113"/>
    </row>
    <row r="1366" spans="2:14">
      <c r="B1366" s="105"/>
      <c r="C1366" s="106"/>
      <c r="D1366" s="107"/>
      <c r="E1366" s="65"/>
      <c r="F1366" s="64"/>
      <c r="G1366" s="64"/>
      <c r="H1366" s="64"/>
      <c r="I1366" s="70"/>
      <c r="J1366" s="70"/>
      <c r="K1366" s="110" t="str">
        <f>IF(H1366="","",IF($C$29="간이법","",FPR(H1366,I1366,J1366)))</f>
        <v/>
      </c>
      <c r="L1366" s="111" t="str">
        <f>IF(H1366="","",IF($C$29="상세법",FPV(H1366,K1366),IF(H1366="EI",4,IF(H1366="EO",5.2,IF(H1366="EQ",3.9,IF(H1366="ILF",7.5,IF(H1366="EIF",5.4)))))))</f>
        <v/>
      </c>
      <c r="M1366" s="112" t="str">
        <f t="shared" si="24"/>
        <v/>
      </c>
      <c r="N1366" s="113"/>
    </row>
    <row r="1367" spans="2:14">
      <c r="B1367" s="105"/>
      <c r="C1367" s="106"/>
      <c r="D1367" s="107"/>
      <c r="E1367" s="65"/>
      <c r="F1367" s="64"/>
      <c r="G1367" s="64"/>
      <c r="H1367" s="64"/>
      <c r="I1367" s="70"/>
      <c r="J1367" s="70"/>
      <c r="K1367" s="110" t="str">
        <f>IF(H1367="","",IF($C$29="간이법","",FPR(H1367,I1367,J1367)))</f>
        <v/>
      </c>
      <c r="L1367" s="111" t="str">
        <f>IF(H1367="","",IF($C$29="상세법",FPV(H1367,K1367),IF(H1367="EI",4,IF(H1367="EO",5.2,IF(H1367="EQ",3.9,IF(H1367="ILF",7.5,IF(H1367="EIF",5.4)))))))</f>
        <v/>
      </c>
      <c r="M1367" s="112" t="str">
        <f t="shared" si="24"/>
        <v/>
      </c>
      <c r="N1367" s="113"/>
    </row>
    <row r="1368" spans="2:14">
      <c r="B1368" s="105"/>
      <c r="C1368" s="106"/>
      <c r="D1368" s="107"/>
      <c r="E1368" s="65"/>
      <c r="F1368" s="64"/>
      <c r="G1368" s="64"/>
      <c r="H1368" s="64"/>
      <c r="I1368" s="70"/>
      <c r="J1368" s="70"/>
      <c r="K1368" s="110" t="str">
        <f>IF(H1368="","",IF($C$29="간이법","",FPR(H1368,I1368,J1368)))</f>
        <v/>
      </c>
      <c r="L1368" s="111" t="str">
        <f>IF(H1368="","",IF($C$29="상세법",FPV(H1368,K1368),IF(H1368="EI",4,IF(H1368="EO",5.2,IF(H1368="EQ",3.9,IF(H1368="ILF",7.5,IF(H1368="EIF",5.4)))))))</f>
        <v/>
      </c>
      <c r="M1368" s="112" t="str">
        <f t="shared" si="24"/>
        <v/>
      </c>
      <c r="N1368" s="113"/>
    </row>
    <row r="1369" spans="2:14">
      <c r="B1369" s="105"/>
      <c r="C1369" s="106"/>
      <c r="D1369" s="107"/>
      <c r="E1369" s="65"/>
      <c r="F1369" s="64"/>
      <c r="G1369" s="64"/>
      <c r="H1369" s="64"/>
      <c r="I1369" s="70"/>
      <c r="J1369" s="70"/>
      <c r="K1369" s="110" t="str">
        <f>IF(H1369="","",IF($C$29="간이법","",FPR(H1369,I1369,J1369)))</f>
        <v/>
      </c>
      <c r="L1369" s="111" t="str">
        <f>IF(H1369="","",IF($C$29="상세법",FPV(H1369,K1369),IF(H1369="EI",4,IF(H1369="EO",5.2,IF(H1369="EQ",3.9,IF(H1369="ILF",7.5,IF(H1369="EIF",5.4)))))))</f>
        <v/>
      </c>
      <c r="M1369" s="112" t="str">
        <f t="shared" si="24"/>
        <v/>
      </c>
      <c r="N1369" s="113"/>
    </row>
    <row r="1370" spans="2:14">
      <c r="B1370" s="105"/>
      <c r="C1370" s="106"/>
      <c r="D1370" s="107"/>
      <c r="E1370" s="65"/>
      <c r="F1370" s="64"/>
      <c r="G1370" s="64"/>
      <c r="H1370" s="64"/>
      <c r="I1370" s="70"/>
      <c r="J1370" s="70"/>
      <c r="K1370" s="110" t="str">
        <f>IF(H1370="","",IF($C$29="간이법","",FPR(H1370,I1370,J1370)))</f>
        <v/>
      </c>
      <c r="L1370" s="111" t="str">
        <f>IF(H1370="","",IF($C$29="상세법",FPV(H1370,K1370),IF(H1370="EI",4,IF(H1370="EO",5.2,IF(H1370="EQ",3.9,IF(H1370="ILF",7.5,IF(H1370="EIF",5.4)))))))</f>
        <v/>
      </c>
      <c r="M1370" s="112" t="str">
        <f t="shared" si="24"/>
        <v/>
      </c>
      <c r="N1370" s="113"/>
    </row>
    <row r="1371" spans="2:14">
      <c r="B1371" s="105"/>
      <c r="C1371" s="106"/>
      <c r="D1371" s="107"/>
      <c r="E1371" s="65"/>
      <c r="F1371" s="64"/>
      <c r="G1371" s="64"/>
      <c r="H1371" s="64"/>
      <c r="I1371" s="70"/>
      <c r="J1371" s="70"/>
      <c r="K1371" s="110" t="str">
        <f>IF(H1371="","",IF($C$29="간이법","",FPR(H1371,I1371,J1371)))</f>
        <v/>
      </c>
      <c r="L1371" s="111" t="str">
        <f>IF(H1371="","",IF($C$29="상세법",FPV(H1371,K1371),IF(H1371="EI",4,IF(H1371="EO",5.2,IF(H1371="EQ",3.9,IF(H1371="ILF",7.5,IF(H1371="EIF",5.4)))))))</f>
        <v/>
      </c>
      <c r="M1371" s="112" t="str">
        <f t="shared" si="24"/>
        <v/>
      </c>
      <c r="N1371" s="113"/>
    </row>
    <row r="1372" spans="2:14">
      <c r="B1372" s="105"/>
      <c r="C1372" s="106"/>
      <c r="D1372" s="107"/>
      <c r="E1372" s="65"/>
      <c r="F1372" s="64"/>
      <c r="G1372" s="64"/>
      <c r="H1372" s="64"/>
      <c r="I1372" s="70"/>
      <c r="J1372" s="70"/>
      <c r="K1372" s="110" t="str">
        <f>IF(H1372="","",IF($C$29="간이법","",FPR(H1372,I1372,J1372)))</f>
        <v/>
      </c>
      <c r="L1372" s="111" t="str">
        <f>IF(H1372="","",IF($C$29="상세법",FPV(H1372,K1372),IF(H1372="EI",4,IF(H1372="EO",5.2,IF(H1372="EQ",3.9,IF(H1372="ILF",7.5,IF(H1372="EIF",5.4)))))))</f>
        <v/>
      </c>
      <c r="M1372" s="112" t="str">
        <f t="shared" si="24"/>
        <v/>
      </c>
      <c r="N1372" s="113"/>
    </row>
    <row r="1373" spans="2:14">
      <c r="B1373" s="105"/>
      <c r="C1373" s="106"/>
      <c r="D1373" s="107"/>
      <c r="E1373" s="65"/>
      <c r="F1373" s="64"/>
      <c r="G1373" s="64"/>
      <c r="H1373" s="64"/>
      <c r="I1373" s="70"/>
      <c r="J1373" s="70"/>
      <c r="K1373" s="110" t="str">
        <f>IF(H1373="","",IF($C$29="간이법","",FPR(H1373,I1373,J1373)))</f>
        <v/>
      </c>
      <c r="L1373" s="111" t="str">
        <f>IF(H1373="","",IF($C$29="상세법",FPV(H1373,K1373),IF(H1373="EI",4,IF(H1373="EO",5.2,IF(H1373="EQ",3.9,IF(H1373="ILF",7.5,IF(H1373="EIF",5.4)))))))</f>
        <v/>
      </c>
      <c r="M1373" s="112" t="str">
        <f t="shared" si="24"/>
        <v/>
      </c>
      <c r="N1373" s="113"/>
    </row>
    <row r="1374" spans="2:14">
      <c r="B1374" s="105"/>
      <c r="C1374" s="106"/>
      <c r="D1374" s="107"/>
      <c r="E1374" s="65"/>
      <c r="F1374" s="64"/>
      <c r="G1374" s="64"/>
      <c r="H1374" s="64"/>
      <c r="I1374" s="70"/>
      <c r="J1374" s="70"/>
      <c r="K1374" s="110" t="str">
        <f>IF(H1374="","",IF($C$29="간이법","",FPR(H1374,I1374,J1374)))</f>
        <v/>
      </c>
      <c r="L1374" s="111" t="str">
        <f>IF(H1374="","",IF($C$29="상세법",FPV(H1374,K1374),IF(H1374="EI",4,IF(H1374="EO",5.2,IF(H1374="EQ",3.9,IF(H1374="ILF",7.5,IF(H1374="EIF",5.4)))))))</f>
        <v/>
      </c>
      <c r="M1374" s="112" t="str">
        <f t="shared" si="24"/>
        <v/>
      </c>
      <c r="N1374" s="113"/>
    </row>
    <row r="1375" spans="2:14">
      <c r="B1375" s="105"/>
      <c r="C1375" s="106"/>
      <c r="D1375" s="107"/>
      <c r="E1375" s="65"/>
      <c r="F1375" s="64"/>
      <c r="G1375" s="64"/>
      <c r="H1375" s="64"/>
      <c r="I1375" s="70"/>
      <c r="J1375" s="70"/>
      <c r="K1375" s="110" t="str">
        <f>IF(H1375="","",IF($C$29="간이법","",FPR(H1375,I1375,J1375)))</f>
        <v/>
      </c>
      <c r="L1375" s="111" t="str">
        <f>IF(H1375="","",IF($C$29="상세법",FPV(H1375,K1375),IF(H1375="EI",4,IF(H1375="EO",5.2,IF(H1375="EQ",3.9,IF(H1375="ILF",7.5,IF(H1375="EIF",5.4)))))))</f>
        <v/>
      </c>
      <c r="M1375" s="112" t="str">
        <f t="shared" si="24"/>
        <v/>
      </c>
      <c r="N1375" s="113"/>
    </row>
    <row r="1376" spans="2:14">
      <c r="B1376" s="105"/>
      <c r="C1376" s="106"/>
      <c r="D1376" s="107"/>
      <c r="E1376" s="65"/>
      <c r="F1376" s="64"/>
      <c r="G1376" s="64"/>
      <c r="H1376" s="64"/>
      <c r="I1376" s="70"/>
      <c r="J1376" s="70"/>
      <c r="K1376" s="110" t="str">
        <f>IF(H1376="","",IF($C$29="간이법","",FPR(H1376,I1376,J1376)))</f>
        <v/>
      </c>
      <c r="L1376" s="111" t="str">
        <f>IF(H1376="","",IF($C$29="상세법",FPV(H1376,K1376),IF(H1376="EI",4,IF(H1376="EO",5.2,IF(H1376="EQ",3.9,IF(H1376="ILF",7.5,IF(H1376="EIF",5.4)))))))</f>
        <v/>
      </c>
      <c r="M1376" s="112" t="str">
        <f t="shared" si="24"/>
        <v/>
      </c>
      <c r="N1376" s="113"/>
    </row>
    <row r="1377" spans="2:14">
      <c r="B1377" s="105"/>
      <c r="C1377" s="106"/>
      <c r="D1377" s="107"/>
      <c r="E1377" s="65"/>
      <c r="F1377" s="64"/>
      <c r="G1377" s="64"/>
      <c r="H1377" s="64"/>
      <c r="I1377" s="70"/>
      <c r="J1377" s="70"/>
      <c r="K1377" s="110" t="str">
        <f>IF(H1377="","",IF($C$29="간이법","",FPR(H1377,I1377,J1377)))</f>
        <v/>
      </c>
      <c r="L1377" s="111" t="str">
        <f>IF(H1377="","",IF($C$29="상세법",FPV(H1377,K1377),IF(H1377="EI",4,IF(H1377="EO",5.2,IF(H1377="EQ",3.9,IF(H1377="ILF",7.5,IF(H1377="EIF",5.4)))))))</f>
        <v/>
      </c>
      <c r="M1377" s="112" t="str">
        <f t="shared" si="24"/>
        <v/>
      </c>
      <c r="N1377" s="113"/>
    </row>
    <row r="1378" spans="2:14">
      <c r="B1378" s="105"/>
      <c r="C1378" s="106"/>
      <c r="D1378" s="107"/>
      <c r="E1378" s="65"/>
      <c r="F1378" s="64"/>
      <c r="G1378" s="64"/>
      <c r="H1378" s="64"/>
      <c r="I1378" s="70"/>
      <c r="J1378" s="70"/>
      <c r="K1378" s="110" t="str">
        <f>IF(H1378="","",IF($C$29="간이법","",FPR(H1378,I1378,J1378)))</f>
        <v/>
      </c>
      <c r="L1378" s="111" t="str">
        <f>IF(H1378="","",IF($C$29="상세법",FPV(H1378,K1378),IF(H1378="EI",4,IF(H1378="EO",5.2,IF(H1378="EQ",3.9,IF(H1378="ILF",7.5,IF(H1378="EIF",5.4)))))))</f>
        <v/>
      </c>
      <c r="M1378" s="112" t="str">
        <f t="shared" si="24"/>
        <v/>
      </c>
      <c r="N1378" s="113"/>
    </row>
    <row r="1379" spans="2:14">
      <c r="B1379" s="105"/>
      <c r="C1379" s="106"/>
      <c r="D1379" s="107"/>
      <c r="E1379" s="65"/>
      <c r="F1379" s="64"/>
      <c r="G1379" s="64"/>
      <c r="H1379" s="64"/>
      <c r="I1379" s="70"/>
      <c r="J1379" s="70"/>
      <c r="K1379" s="110" t="str">
        <f>IF(H1379="","",IF($C$29="간이법","",FPR(H1379,I1379,J1379)))</f>
        <v/>
      </c>
      <c r="L1379" s="111" t="str">
        <f>IF(H1379="","",IF($C$29="상세법",FPV(H1379,K1379),IF(H1379="EI",4,IF(H1379="EO",5.2,IF(H1379="EQ",3.9,IF(H1379="ILF",7.5,IF(H1379="EIF",5.4)))))))</f>
        <v/>
      </c>
      <c r="M1379" s="112" t="str">
        <f t="shared" si="24"/>
        <v/>
      </c>
      <c r="N1379" s="113"/>
    </row>
    <row r="1380" spans="2:14">
      <c r="B1380" s="105"/>
      <c r="C1380" s="106"/>
      <c r="D1380" s="107"/>
      <c r="E1380" s="65"/>
      <c r="F1380" s="64"/>
      <c r="G1380" s="64"/>
      <c r="H1380" s="64"/>
      <c r="I1380" s="70"/>
      <c r="J1380" s="70"/>
      <c r="K1380" s="110" t="str">
        <f>IF(H1380="","",IF($C$29="간이법","",FPR(H1380,I1380,J1380)))</f>
        <v/>
      </c>
      <c r="L1380" s="111" t="str">
        <f>IF(H1380="","",IF($C$29="상세법",FPV(H1380,K1380),IF(H1380="EI",4,IF(H1380="EO",5.2,IF(H1380="EQ",3.9,IF(H1380="ILF",7.5,IF(H1380="EIF",5.4)))))))</f>
        <v/>
      </c>
      <c r="M1380" s="112" t="str">
        <f t="shared" si="24"/>
        <v/>
      </c>
      <c r="N1380" s="113"/>
    </row>
    <row r="1381" spans="2:14">
      <c r="B1381" s="105"/>
      <c r="C1381" s="106"/>
      <c r="D1381" s="107"/>
      <c r="E1381" s="65"/>
      <c r="F1381" s="64"/>
      <c r="G1381" s="64"/>
      <c r="H1381" s="64"/>
      <c r="I1381" s="70"/>
      <c r="J1381" s="70"/>
      <c r="K1381" s="110" t="str">
        <f>IF(H1381="","",IF($C$29="간이법","",FPR(H1381,I1381,J1381)))</f>
        <v/>
      </c>
      <c r="L1381" s="111" t="str">
        <f>IF(H1381="","",IF($C$29="상세법",FPV(H1381,K1381),IF(H1381="EI",4,IF(H1381="EO",5.2,IF(H1381="EQ",3.9,IF(H1381="ILF",7.5,IF(H1381="EIF",5.4)))))))</f>
        <v/>
      </c>
      <c r="M1381" s="112" t="str">
        <f t="shared" si="24"/>
        <v/>
      </c>
      <c r="N1381" s="113"/>
    </row>
    <row r="1382" spans="2:14">
      <c r="B1382" s="105"/>
      <c r="C1382" s="106"/>
      <c r="D1382" s="107"/>
      <c r="E1382" s="65"/>
      <c r="F1382" s="64"/>
      <c r="G1382" s="64"/>
      <c r="H1382" s="64"/>
      <c r="I1382" s="70"/>
      <c r="J1382" s="70"/>
      <c r="K1382" s="110" t="str">
        <f>IF(H1382="","",IF($C$29="간이법","",FPR(H1382,I1382,J1382)))</f>
        <v/>
      </c>
      <c r="L1382" s="111" t="str">
        <f>IF(H1382="","",IF($C$29="상세법",FPV(H1382,K1382),IF(H1382="EI",4,IF(H1382="EO",5.2,IF(H1382="EQ",3.9,IF(H1382="ILF",7.5,IF(H1382="EIF",5.4)))))))</f>
        <v/>
      </c>
      <c r="M1382" s="112" t="str">
        <f t="shared" si="24"/>
        <v/>
      </c>
      <c r="N1382" s="113"/>
    </row>
    <row r="1383" spans="2:14">
      <c r="B1383" s="105"/>
      <c r="C1383" s="106"/>
      <c r="D1383" s="107"/>
      <c r="E1383" s="65"/>
      <c r="F1383" s="64"/>
      <c r="G1383" s="64"/>
      <c r="H1383" s="64"/>
      <c r="I1383" s="70"/>
      <c r="J1383" s="70"/>
      <c r="K1383" s="110" t="str">
        <f>IF(H1383="","",IF($C$29="간이법","",FPR(H1383,I1383,J1383)))</f>
        <v/>
      </c>
      <c r="L1383" s="111" t="str">
        <f>IF(H1383="","",IF($C$29="상세법",FPV(H1383,K1383),IF(H1383="EI",4,IF(H1383="EO",5.2,IF(H1383="EQ",3.9,IF(H1383="ILF",7.5,IF(H1383="EIF",5.4)))))))</f>
        <v/>
      </c>
      <c r="M1383" s="112" t="str">
        <f t="shared" si="24"/>
        <v/>
      </c>
      <c r="N1383" s="113"/>
    </row>
    <row r="1384" spans="2:14">
      <c r="B1384" s="105"/>
      <c r="C1384" s="106"/>
      <c r="D1384" s="107"/>
      <c r="E1384" s="65"/>
      <c r="F1384" s="64"/>
      <c r="G1384" s="64"/>
      <c r="H1384" s="64"/>
      <c r="I1384" s="70"/>
      <c r="J1384" s="70"/>
      <c r="K1384" s="110" t="str">
        <f>IF(H1384="","",IF($C$29="간이법","",FPR(H1384,I1384,J1384)))</f>
        <v/>
      </c>
      <c r="L1384" s="111" t="str">
        <f>IF(H1384="","",IF($C$29="상세법",FPV(H1384,K1384),IF(H1384="EI",4,IF(H1384="EO",5.2,IF(H1384="EQ",3.9,IF(H1384="ILF",7.5,IF(H1384="EIF",5.4)))))))</f>
        <v/>
      </c>
      <c r="M1384" s="112" t="str">
        <f t="shared" si="24"/>
        <v/>
      </c>
      <c r="N1384" s="113"/>
    </row>
    <row r="1385" spans="2:14">
      <c r="B1385" s="105"/>
      <c r="C1385" s="106"/>
      <c r="D1385" s="107"/>
      <c r="E1385" s="65"/>
      <c r="F1385" s="64"/>
      <c r="G1385" s="64"/>
      <c r="H1385" s="64"/>
      <c r="I1385" s="70"/>
      <c r="J1385" s="70"/>
      <c r="K1385" s="110" t="str">
        <f>IF(H1385="","",IF($C$29="간이법","",FPR(H1385,I1385,J1385)))</f>
        <v/>
      </c>
      <c r="L1385" s="111" t="str">
        <f>IF(H1385="","",IF($C$29="상세법",FPV(H1385,K1385),IF(H1385="EI",4,IF(H1385="EO",5.2,IF(H1385="EQ",3.9,IF(H1385="ILF",7.5,IF(H1385="EIF",5.4)))))))</f>
        <v/>
      </c>
      <c r="M1385" s="112" t="str">
        <f t="shared" si="24"/>
        <v/>
      </c>
      <c r="N1385" s="113"/>
    </row>
    <row r="1386" spans="2:14">
      <c r="B1386" s="105"/>
      <c r="C1386" s="106"/>
      <c r="D1386" s="107"/>
      <c r="E1386" s="65"/>
      <c r="F1386" s="64"/>
      <c r="G1386" s="64"/>
      <c r="H1386" s="64"/>
      <c r="I1386" s="70"/>
      <c r="J1386" s="70"/>
      <c r="K1386" s="110" t="str">
        <f>IF(H1386="","",IF($C$29="간이법","",FPR(H1386,I1386,J1386)))</f>
        <v/>
      </c>
      <c r="L1386" s="111" t="str">
        <f>IF(H1386="","",IF($C$29="상세법",FPV(H1386,K1386),IF(H1386="EI",4,IF(H1386="EO",5.2,IF(H1386="EQ",3.9,IF(H1386="ILF",7.5,IF(H1386="EIF",5.4)))))))</f>
        <v/>
      </c>
      <c r="M1386" s="112" t="str">
        <f t="shared" si="24"/>
        <v/>
      </c>
      <c r="N1386" s="113"/>
    </row>
    <row r="1387" spans="2:14">
      <c r="B1387" s="105"/>
      <c r="C1387" s="106"/>
      <c r="D1387" s="107"/>
      <c r="E1387" s="65"/>
      <c r="F1387" s="64"/>
      <c r="G1387" s="64"/>
      <c r="H1387" s="64"/>
      <c r="I1387" s="70"/>
      <c r="J1387" s="70"/>
      <c r="K1387" s="110" t="str">
        <f>IF(H1387="","",IF($C$29="간이법","",FPR(H1387,I1387,J1387)))</f>
        <v/>
      </c>
      <c r="L1387" s="111" t="str">
        <f>IF(H1387="","",IF($C$29="상세법",FPV(H1387,K1387),IF(H1387="EI",4,IF(H1387="EO",5.2,IF(H1387="EQ",3.9,IF(H1387="ILF",7.5,IF(H1387="EIF",5.4)))))))</f>
        <v/>
      </c>
      <c r="M1387" s="112" t="str">
        <f t="shared" si="24"/>
        <v/>
      </c>
      <c r="N1387" s="113"/>
    </row>
    <row r="1388" spans="2:14">
      <c r="B1388" s="105"/>
      <c r="C1388" s="106"/>
      <c r="D1388" s="107"/>
      <c r="E1388" s="65"/>
      <c r="F1388" s="64"/>
      <c r="G1388" s="64"/>
      <c r="H1388" s="64"/>
      <c r="I1388" s="70"/>
      <c r="J1388" s="70"/>
      <c r="K1388" s="110" t="str">
        <f>IF(H1388="","",IF($C$29="간이법","",FPR(H1388,I1388,J1388)))</f>
        <v/>
      </c>
      <c r="L1388" s="111" t="str">
        <f>IF(H1388="","",IF($C$29="상세법",FPV(H1388,K1388),IF(H1388="EI",4,IF(H1388="EO",5.2,IF(H1388="EQ",3.9,IF(H1388="ILF",7.5,IF(H1388="EIF",5.4)))))))</f>
        <v/>
      </c>
      <c r="M1388" s="112" t="str">
        <f t="shared" si="24"/>
        <v/>
      </c>
      <c r="N1388" s="113"/>
    </row>
    <row r="1389" spans="2:14">
      <c r="B1389" s="105"/>
      <c r="C1389" s="106"/>
      <c r="D1389" s="107"/>
      <c r="E1389" s="65"/>
      <c r="F1389" s="64"/>
      <c r="G1389" s="64"/>
      <c r="H1389" s="64"/>
      <c r="I1389" s="70"/>
      <c r="J1389" s="70"/>
      <c r="K1389" s="110" t="str">
        <f>IF(H1389="","",IF($C$29="간이법","",FPR(H1389,I1389,J1389)))</f>
        <v/>
      </c>
      <c r="L1389" s="111" t="str">
        <f>IF(H1389="","",IF($C$29="상세법",FPV(H1389,K1389),IF(H1389="EI",4,IF(H1389="EO",5.2,IF(H1389="EQ",3.9,IF(H1389="ILF",7.5,IF(H1389="EIF",5.4)))))))</f>
        <v/>
      </c>
      <c r="M1389" s="112" t="str">
        <f t="shared" si="24"/>
        <v/>
      </c>
      <c r="N1389" s="113"/>
    </row>
    <row r="1390" spans="2:14">
      <c r="B1390" s="105"/>
      <c r="C1390" s="106"/>
      <c r="D1390" s="107"/>
      <c r="E1390" s="65"/>
      <c r="F1390" s="64"/>
      <c r="G1390" s="64"/>
      <c r="H1390" s="64"/>
      <c r="I1390" s="70"/>
      <c r="J1390" s="70"/>
      <c r="K1390" s="110" t="str">
        <f>IF(H1390="","",IF($C$29="간이법","",FPR(H1390,I1390,J1390)))</f>
        <v/>
      </c>
      <c r="L1390" s="111" t="str">
        <f>IF(H1390="","",IF($C$29="상세법",FPV(H1390,K1390),IF(H1390="EI",4,IF(H1390="EO",5.2,IF(H1390="EQ",3.9,IF(H1390="ILF",7.5,IF(H1390="EIF",5.4)))))))</f>
        <v/>
      </c>
      <c r="M1390" s="112" t="str">
        <f t="shared" si="24"/>
        <v/>
      </c>
      <c r="N1390" s="113"/>
    </row>
    <row r="1391" spans="2:14">
      <c r="B1391" s="105"/>
      <c r="C1391" s="106"/>
      <c r="D1391" s="107"/>
      <c r="E1391" s="65"/>
      <c r="F1391" s="64"/>
      <c r="G1391" s="64"/>
      <c r="H1391" s="64"/>
      <c r="I1391" s="70"/>
      <c r="J1391" s="70"/>
      <c r="K1391" s="110" t="str">
        <f>IF(H1391="","",IF($C$29="간이법","",FPR(H1391,I1391,J1391)))</f>
        <v/>
      </c>
      <c r="L1391" s="111" t="str">
        <f>IF(H1391="","",IF($C$29="상세법",FPV(H1391,K1391),IF(H1391="EI",4,IF(H1391="EO",5.2,IF(H1391="EQ",3.9,IF(H1391="ILF",7.5,IF(H1391="EIF",5.4)))))))</f>
        <v/>
      </c>
      <c r="M1391" s="112" t="str">
        <f t="shared" si="24"/>
        <v/>
      </c>
      <c r="N1391" s="113"/>
    </row>
    <row r="1392" spans="2:14">
      <c r="B1392" s="105"/>
      <c r="C1392" s="106"/>
      <c r="D1392" s="107"/>
      <c r="E1392" s="65"/>
      <c r="F1392" s="64"/>
      <c r="G1392" s="64"/>
      <c r="H1392" s="64"/>
      <c r="I1392" s="70"/>
      <c r="J1392" s="70"/>
      <c r="K1392" s="110" t="str">
        <f>IF(H1392="","",IF($C$29="간이법","",FPR(H1392,I1392,J1392)))</f>
        <v/>
      </c>
      <c r="L1392" s="111" t="str">
        <f>IF(H1392="","",IF($C$29="상세법",FPV(H1392,K1392),IF(H1392="EI",4,IF(H1392="EO",5.2,IF(H1392="EQ",3.9,IF(H1392="ILF",7.5,IF(H1392="EIF",5.4)))))))</f>
        <v/>
      </c>
      <c r="M1392" s="112" t="str">
        <f t="shared" si="24"/>
        <v/>
      </c>
      <c r="N1392" s="113"/>
    </row>
    <row r="1393" spans="2:14">
      <c r="B1393" s="105"/>
      <c r="C1393" s="106"/>
      <c r="D1393" s="107"/>
      <c r="E1393" s="65"/>
      <c r="F1393" s="64"/>
      <c r="G1393" s="64"/>
      <c r="H1393" s="64"/>
      <c r="I1393" s="70"/>
      <c r="J1393" s="70"/>
      <c r="K1393" s="110" t="str">
        <f>IF(H1393="","",IF($C$29="간이법","",FPR(H1393,I1393,J1393)))</f>
        <v/>
      </c>
      <c r="L1393" s="111" t="str">
        <f>IF(H1393="","",IF($C$29="상세법",FPV(H1393,K1393),IF(H1393="EI",4,IF(H1393="EO",5.2,IF(H1393="EQ",3.9,IF(H1393="ILF",7.5,IF(H1393="EIF",5.4)))))))</f>
        <v/>
      </c>
      <c r="M1393" s="112" t="str">
        <f t="shared" si="24"/>
        <v/>
      </c>
      <c r="N1393" s="113"/>
    </row>
    <row r="1394" spans="2:14">
      <c r="B1394" s="105"/>
      <c r="C1394" s="106"/>
      <c r="D1394" s="107"/>
      <c r="E1394" s="65"/>
      <c r="F1394" s="64"/>
      <c r="G1394" s="64"/>
      <c r="H1394" s="64"/>
      <c r="I1394" s="70"/>
      <c r="J1394" s="70"/>
      <c r="K1394" s="110" t="str">
        <f>IF(H1394="","",IF($C$29="간이법","",FPR(H1394,I1394,J1394)))</f>
        <v/>
      </c>
      <c r="L1394" s="111" t="str">
        <f>IF(H1394="","",IF($C$29="상세법",FPV(H1394,K1394),IF(H1394="EI",4,IF(H1394="EO",5.2,IF(H1394="EQ",3.9,IF(H1394="ILF",7.5,IF(H1394="EIF",5.4)))))))</f>
        <v/>
      </c>
      <c r="M1394" s="112" t="str">
        <f t="shared" si="24"/>
        <v/>
      </c>
      <c r="N1394" s="113"/>
    </row>
    <row r="1395" spans="2:14">
      <c r="B1395" s="105"/>
      <c r="C1395" s="106"/>
      <c r="D1395" s="107"/>
      <c r="E1395" s="65"/>
      <c r="F1395" s="64"/>
      <c r="G1395" s="64"/>
      <c r="H1395" s="64"/>
      <c r="I1395" s="70"/>
      <c r="J1395" s="70"/>
      <c r="K1395" s="110" t="str">
        <f>IF(H1395="","",IF($C$29="간이법","",FPR(H1395,I1395,J1395)))</f>
        <v/>
      </c>
      <c r="L1395" s="111" t="str">
        <f>IF(H1395="","",IF($C$29="상세법",FPV(H1395,K1395),IF(H1395="EI",4,IF(H1395="EO",5.2,IF(H1395="EQ",3.9,IF(H1395="ILF",7.5,IF(H1395="EIF",5.4)))))))</f>
        <v/>
      </c>
      <c r="M1395" s="112" t="str">
        <f t="shared" si="24"/>
        <v/>
      </c>
      <c r="N1395" s="113"/>
    </row>
    <row r="1396" spans="2:14">
      <c r="B1396" s="105"/>
      <c r="C1396" s="106"/>
      <c r="D1396" s="107"/>
      <c r="E1396" s="65"/>
      <c r="F1396" s="64"/>
      <c r="G1396" s="64"/>
      <c r="H1396" s="64"/>
      <c r="I1396" s="70"/>
      <c r="J1396" s="70"/>
      <c r="K1396" s="110" t="str">
        <f>IF(H1396="","",IF($C$29="간이법","",FPR(H1396,I1396,J1396)))</f>
        <v/>
      </c>
      <c r="L1396" s="111" t="str">
        <f>IF(H1396="","",IF($C$29="상세법",FPV(H1396,K1396),IF(H1396="EI",4,IF(H1396="EO",5.2,IF(H1396="EQ",3.9,IF(H1396="ILF",7.5,IF(H1396="EIF",5.4)))))))</f>
        <v/>
      </c>
      <c r="M1396" s="112" t="str">
        <f t="shared" si="24"/>
        <v/>
      </c>
      <c r="N1396" s="113"/>
    </row>
    <row r="1397" spans="2:14">
      <c r="B1397" s="105"/>
      <c r="C1397" s="106"/>
      <c r="D1397" s="107"/>
      <c r="E1397" s="65"/>
      <c r="F1397" s="64"/>
      <c r="G1397" s="64"/>
      <c r="H1397" s="64"/>
      <c r="I1397" s="70"/>
      <c r="J1397" s="70"/>
      <c r="K1397" s="110" t="str">
        <f>IF(H1397="","",IF($C$29="간이법","",FPR(H1397,I1397,J1397)))</f>
        <v/>
      </c>
      <c r="L1397" s="111" t="str">
        <f>IF(H1397="","",IF($C$29="상세법",FPV(H1397,K1397),IF(H1397="EI",4,IF(H1397="EO",5.2,IF(H1397="EQ",3.9,IF(H1397="ILF",7.5,IF(H1397="EIF",5.4)))))))</f>
        <v/>
      </c>
      <c r="M1397" s="112" t="str">
        <f t="shared" si="24"/>
        <v/>
      </c>
      <c r="N1397" s="113"/>
    </row>
    <row r="1398" spans="2:14">
      <c r="B1398" s="105"/>
      <c r="C1398" s="106"/>
      <c r="D1398" s="107"/>
      <c r="E1398" s="65"/>
      <c r="F1398" s="64"/>
      <c r="G1398" s="64"/>
      <c r="H1398" s="64"/>
      <c r="I1398" s="70"/>
      <c r="J1398" s="70"/>
      <c r="K1398" s="110" t="str">
        <f>IF(H1398="","",IF($C$29="간이법","",FPR(H1398,I1398,J1398)))</f>
        <v/>
      </c>
      <c r="L1398" s="111" t="str">
        <f>IF(H1398="","",IF($C$29="상세법",FPV(H1398,K1398),IF(H1398="EI",4,IF(H1398="EO",5.2,IF(H1398="EQ",3.9,IF(H1398="ILF",7.5,IF(H1398="EIF",5.4)))))))</f>
        <v/>
      </c>
      <c r="M1398" s="112" t="str">
        <f t="shared" si="24"/>
        <v/>
      </c>
      <c r="N1398" s="113"/>
    </row>
    <row r="1399" spans="2:14">
      <c r="B1399" s="105"/>
      <c r="C1399" s="106"/>
      <c r="D1399" s="107"/>
      <c r="E1399" s="65"/>
      <c r="F1399" s="64"/>
      <c r="G1399" s="64"/>
      <c r="H1399" s="64"/>
      <c r="I1399" s="70"/>
      <c r="J1399" s="70"/>
      <c r="K1399" s="110" t="str">
        <f>IF(H1399="","",IF($C$29="간이법","",FPR(H1399,I1399,J1399)))</f>
        <v/>
      </c>
      <c r="L1399" s="111" t="str">
        <f>IF(H1399="","",IF($C$29="상세법",FPV(H1399,K1399),IF(H1399="EI",4,IF(H1399="EO",5.2,IF(H1399="EQ",3.9,IF(H1399="ILF",7.5,IF(H1399="EIF",5.4)))))))</f>
        <v/>
      </c>
      <c r="M1399" s="112" t="str">
        <f t="shared" si="24"/>
        <v/>
      </c>
      <c r="N1399" s="113"/>
    </row>
    <row r="1400" spans="2:14">
      <c r="B1400" s="105"/>
      <c r="C1400" s="106"/>
      <c r="D1400" s="107"/>
      <c r="E1400" s="65"/>
      <c r="F1400" s="64"/>
      <c r="G1400" s="64"/>
      <c r="H1400" s="64"/>
      <c r="I1400" s="70"/>
      <c r="J1400" s="70"/>
      <c r="K1400" s="110" t="str">
        <f>IF(H1400="","",IF($C$29="간이법","",FPR(H1400,I1400,J1400)))</f>
        <v/>
      </c>
      <c r="L1400" s="111" t="str">
        <f>IF(H1400="","",IF($C$29="상세법",FPV(H1400,K1400),IF(H1400="EI",4,IF(H1400="EO",5.2,IF(H1400="EQ",3.9,IF(H1400="ILF",7.5,IF(H1400="EIF",5.4)))))))</f>
        <v/>
      </c>
      <c r="M1400" s="112" t="str">
        <f t="shared" si="24"/>
        <v/>
      </c>
      <c r="N1400" s="113"/>
    </row>
    <row r="1401" spans="2:14">
      <c r="B1401" s="105"/>
      <c r="C1401" s="106"/>
      <c r="D1401" s="107"/>
      <c r="E1401" s="65"/>
      <c r="F1401" s="64"/>
      <c r="G1401" s="64"/>
      <c r="H1401" s="64"/>
      <c r="I1401" s="70"/>
      <c r="J1401" s="70"/>
      <c r="K1401" s="110" t="str">
        <f>IF(H1401="","",IF($C$29="간이법","",FPR(H1401,I1401,J1401)))</f>
        <v/>
      </c>
      <c r="L1401" s="111" t="str">
        <f>IF(H1401="","",IF($C$29="상세법",FPV(H1401,K1401),IF(H1401="EI",4,IF(H1401="EO",5.2,IF(H1401="EQ",3.9,IF(H1401="ILF",7.5,IF(H1401="EIF",5.4)))))))</f>
        <v/>
      </c>
      <c r="M1401" s="112" t="str">
        <f t="shared" ref="M1401:M1464" si="25">IF(L1401="","",L1401*IF(G1401="상",0.7,IF(G1401="중",0.5,IF(G1401="하",0.2,1))))</f>
        <v/>
      </c>
      <c r="N1401" s="113"/>
    </row>
    <row r="1402" spans="2:14">
      <c r="B1402" s="105"/>
      <c r="C1402" s="106"/>
      <c r="D1402" s="107"/>
      <c r="E1402" s="65"/>
      <c r="F1402" s="64"/>
      <c r="G1402" s="64"/>
      <c r="H1402" s="64"/>
      <c r="I1402" s="70"/>
      <c r="J1402" s="70"/>
      <c r="K1402" s="110" t="str">
        <f>IF(H1402="","",IF($C$29="간이법","",FPR(H1402,I1402,J1402)))</f>
        <v/>
      </c>
      <c r="L1402" s="111" t="str">
        <f>IF(H1402="","",IF($C$29="상세법",FPV(H1402,K1402),IF(H1402="EI",4,IF(H1402="EO",5.2,IF(H1402="EQ",3.9,IF(H1402="ILF",7.5,IF(H1402="EIF",5.4)))))))</f>
        <v/>
      </c>
      <c r="M1402" s="112" t="str">
        <f t="shared" si="25"/>
        <v/>
      </c>
      <c r="N1402" s="113"/>
    </row>
    <row r="1403" spans="2:14">
      <c r="B1403" s="105"/>
      <c r="C1403" s="106"/>
      <c r="D1403" s="107"/>
      <c r="E1403" s="65"/>
      <c r="F1403" s="64"/>
      <c r="G1403" s="64"/>
      <c r="H1403" s="64"/>
      <c r="I1403" s="70"/>
      <c r="J1403" s="70"/>
      <c r="K1403" s="110" t="str">
        <f>IF(H1403="","",IF($C$29="간이법","",FPR(H1403,I1403,J1403)))</f>
        <v/>
      </c>
      <c r="L1403" s="111" t="str">
        <f>IF(H1403="","",IF($C$29="상세법",FPV(H1403,K1403),IF(H1403="EI",4,IF(H1403="EO",5.2,IF(H1403="EQ",3.9,IF(H1403="ILF",7.5,IF(H1403="EIF",5.4)))))))</f>
        <v/>
      </c>
      <c r="M1403" s="112" t="str">
        <f t="shared" si="25"/>
        <v/>
      </c>
      <c r="N1403" s="113"/>
    </row>
    <row r="1404" spans="2:14">
      <c r="B1404" s="105"/>
      <c r="C1404" s="106"/>
      <c r="D1404" s="107"/>
      <c r="E1404" s="65"/>
      <c r="F1404" s="64"/>
      <c r="G1404" s="64"/>
      <c r="H1404" s="64"/>
      <c r="I1404" s="70"/>
      <c r="J1404" s="70"/>
      <c r="K1404" s="110" t="str">
        <f>IF(H1404="","",IF($C$29="간이법","",FPR(H1404,I1404,J1404)))</f>
        <v/>
      </c>
      <c r="L1404" s="111" t="str">
        <f>IF(H1404="","",IF($C$29="상세법",FPV(H1404,K1404),IF(H1404="EI",4,IF(H1404="EO",5.2,IF(H1404="EQ",3.9,IF(H1404="ILF",7.5,IF(H1404="EIF",5.4)))))))</f>
        <v/>
      </c>
      <c r="M1404" s="112" t="str">
        <f t="shared" si="25"/>
        <v/>
      </c>
      <c r="N1404" s="113"/>
    </row>
    <row r="1405" spans="2:14">
      <c r="B1405" s="105"/>
      <c r="C1405" s="106"/>
      <c r="D1405" s="107"/>
      <c r="E1405" s="65"/>
      <c r="F1405" s="64"/>
      <c r="G1405" s="64"/>
      <c r="H1405" s="64"/>
      <c r="I1405" s="70"/>
      <c r="J1405" s="70"/>
      <c r="K1405" s="110" t="str">
        <f>IF(H1405="","",IF($C$29="간이법","",FPR(H1405,I1405,J1405)))</f>
        <v/>
      </c>
      <c r="L1405" s="111" t="str">
        <f>IF(H1405="","",IF($C$29="상세법",FPV(H1405,K1405),IF(H1405="EI",4,IF(H1405="EO",5.2,IF(H1405="EQ",3.9,IF(H1405="ILF",7.5,IF(H1405="EIF",5.4)))))))</f>
        <v/>
      </c>
      <c r="M1405" s="112" t="str">
        <f t="shared" si="25"/>
        <v/>
      </c>
      <c r="N1405" s="113"/>
    </row>
    <row r="1406" spans="2:14">
      <c r="B1406" s="105"/>
      <c r="C1406" s="106"/>
      <c r="D1406" s="107"/>
      <c r="E1406" s="65"/>
      <c r="F1406" s="64"/>
      <c r="G1406" s="64"/>
      <c r="H1406" s="64"/>
      <c r="I1406" s="70"/>
      <c r="J1406" s="70"/>
      <c r="K1406" s="110" t="str">
        <f>IF(H1406="","",IF($C$29="간이법","",FPR(H1406,I1406,J1406)))</f>
        <v/>
      </c>
      <c r="L1406" s="111" t="str">
        <f>IF(H1406="","",IF($C$29="상세법",FPV(H1406,K1406),IF(H1406="EI",4,IF(H1406="EO",5.2,IF(H1406="EQ",3.9,IF(H1406="ILF",7.5,IF(H1406="EIF",5.4)))))))</f>
        <v/>
      </c>
      <c r="M1406" s="112" t="str">
        <f t="shared" si="25"/>
        <v/>
      </c>
      <c r="N1406" s="113"/>
    </row>
    <row r="1407" spans="2:14">
      <c r="B1407" s="105"/>
      <c r="C1407" s="106"/>
      <c r="D1407" s="107"/>
      <c r="E1407" s="65"/>
      <c r="F1407" s="64"/>
      <c r="G1407" s="64"/>
      <c r="H1407" s="64"/>
      <c r="I1407" s="70"/>
      <c r="J1407" s="70"/>
      <c r="K1407" s="110" t="str">
        <f>IF(H1407="","",IF($C$29="간이법","",FPR(H1407,I1407,J1407)))</f>
        <v/>
      </c>
      <c r="L1407" s="111" t="str">
        <f>IF(H1407="","",IF($C$29="상세법",FPV(H1407,K1407),IF(H1407="EI",4,IF(H1407="EO",5.2,IF(H1407="EQ",3.9,IF(H1407="ILF",7.5,IF(H1407="EIF",5.4)))))))</f>
        <v/>
      </c>
      <c r="M1407" s="112" t="str">
        <f t="shared" si="25"/>
        <v/>
      </c>
      <c r="N1407" s="113"/>
    </row>
    <row r="1408" spans="2:14">
      <c r="B1408" s="105"/>
      <c r="C1408" s="106"/>
      <c r="D1408" s="107"/>
      <c r="E1408" s="65"/>
      <c r="F1408" s="64"/>
      <c r="G1408" s="64"/>
      <c r="H1408" s="64"/>
      <c r="I1408" s="70"/>
      <c r="J1408" s="70"/>
      <c r="K1408" s="110" t="str">
        <f>IF(H1408="","",IF($C$29="간이법","",FPR(H1408,I1408,J1408)))</f>
        <v/>
      </c>
      <c r="L1408" s="111" t="str">
        <f>IF(H1408="","",IF($C$29="상세법",FPV(H1408,K1408),IF(H1408="EI",4,IF(H1408="EO",5.2,IF(H1408="EQ",3.9,IF(H1408="ILF",7.5,IF(H1408="EIF",5.4)))))))</f>
        <v/>
      </c>
      <c r="M1408" s="112" t="str">
        <f t="shared" si="25"/>
        <v/>
      </c>
      <c r="N1408" s="113"/>
    </row>
    <row r="1409" spans="2:14">
      <c r="B1409" s="105"/>
      <c r="C1409" s="106"/>
      <c r="D1409" s="107"/>
      <c r="E1409" s="65"/>
      <c r="F1409" s="64"/>
      <c r="G1409" s="64"/>
      <c r="H1409" s="64"/>
      <c r="I1409" s="70"/>
      <c r="J1409" s="70"/>
      <c r="K1409" s="110" t="str">
        <f>IF(H1409="","",IF($C$29="간이법","",FPR(H1409,I1409,J1409)))</f>
        <v/>
      </c>
      <c r="L1409" s="111" t="str">
        <f>IF(H1409="","",IF($C$29="상세법",FPV(H1409,K1409),IF(H1409="EI",4,IF(H1409="EO",5.2,IF(H1409="EQ",3.9,IF(H1409="ILF",7.5,IF(H1409="EIF",5.4)))))))</f>
        <v/>
      </c>
      <c r="M1409" s="112" t="str">
        <f t="shared" si="25"/>
        <v/>
      </c>
      <c r="N1409" s="113"/>
    </row>
    <row r="1410" spans="2:14">
      <c r="B1410" s="105"/>
      <c r="C1410" s="106"/>
      <c r="D1410" s="107"/>
      <c r="E1410" s="65"/>
      <c r="F1410" s="64"/>
      <c r="G1410" s="64"/>
      <c r="H1410" s="64"/>
      <c r="I1410" s="70"/>
      <c r="J1410" s="70"/>
      <c r="K1410" s="110" t="str">
        <f>IF(H1410="","",IF($C$29="간이법","",FPR(H1410,I1410,J1410)))</f>
        <v/>
      </c>
      <c r="L1410" s="111" t="str">
        <f>IF(H1410="","",IF($C$29="상세법",FPV(H1410,K1410),IF(H1410="EI",4,IF(H1410="EO",5.2,IF(H1410="EQ",3.9,IF(H1410="ILF",7.5,IF(H1410="EIF",5.4)))))))</f>
        <v/>
      </c>
      <c r="M1410" s="112" t="str">
        <f t="shared" si="25"/>
        <v/>
      </c>
      <c r="N1410" s="113"/>
    </row>
    <row r="1411" spans="2:14">
      <c r="B1411" s="105"/>
      <c r="C1411" s="106"/>
      <c r="D1411" s="107"/>
      <c r="E1411" s="65"/>
      <c r="F1411" s="64"/>
      <c r="G1411" s="64"/>
      <c r="H1411" s="64"/>
      <c r="I1411" s="70"/>
      <c r="J1411" s="70"/>
      <c r="K1411" s="110" t="str">
        <f>IF(H1411="","",IF($C$29="간이법","",FPR(H1411,I1411,J1411)))</f>
        <v/>
      </c>
      <c r="L1411" s="111" t="str">
        <f>IF(H1411="","",IF($C$29="상세법",FPV(H1411,K1411),IF(H1411="EI",4,IF(H1411="EO",5.2,IF(H1411="EQ",3.9,IF(H1411="ILF",7.5,IF(H1411="EIF",5.4)))))))</f>
        <v/>
      </c>
      <c r="M1411" s="112" t="str">
        <f t="shared" si="25"/>
        <v/>
      </c>
      <c r="N1411" s="113"/>
    </row>
    <row r="1412" spans="2:14">
      <c r="B1412" s="105"/>
      <c r="C1412" s="106"/>
      <c r="D1412" s="107"/>
      <c r="E1412" s="65"/>
      <c r="F1412" s="64"/>
      <c r="G1412" s="64"/>
      <c r="H1412" s="64"/>
      <c r="I1412" s="70"/>
      <c r="J1412" s="70"/>
      <c r="K1412" s="110" t="str">
        <f>IF(H1412="","",IF($C$29="간이법","",FPR(H1412,I1412,J1412)))</f>
        <v/>
      </c>
      <c r="L1412" s="111" t="str">
        <f>IF(H1412="","",IF($C$29="상세법",FPV(H1412,K1412),IF(H1412="EI",4,IF(H1412="EO",5.2,IF(H1412="EQ",3.9,IF(H1412="ILF",7.5,IF(H1412="EIF",5.4)))))))</f>
        <v/>
      </c>
      <c r="M1412" s="112" t="str">
        <f t="shared" si="25"/>
        <v/>
      </c>
      <c r="N1412" s="113"/>
    </row>
    <row r="1413" spans="2:14">
      <c r="B1413" s="105"/>
      <c r="C1413" s="106"/>
      <c r="D1413" s="107"/>
      <c r="E1413" s="65"/>
      <c r="F1413" s="64"/>
      <c r="G1413" s="64"/>
      <c r="H1413" s="64"/>
      <c r="I1413" s="70"/>
      <c r="J1413" s="70"/>
      <c r="K1413" s="110" t="str">
        <f>IF(H1413="","",IF($C$29="간이법","",FPR(H1413,I1413,J1413)))</f>
        <v/>
      </c>
      <c r="L1413" s="111" t="str">
        <f>IF(H1413="","",IF($C$29="상세법",FPV(H1413,K1413),IF(H1413="EI",4,IF(H1413="EO",5.2,IF(H1413="EQ",3.9,IF(H1413="ILF",7.5,IF(H1413="EIF",5.4)))))))</f>
        <v/>
      </c>
      <c r="M1413" s="112" t="str">
        <f t="shared" si="25"/>
        <v/>
      </c>
      <c r="N1413" s="113"/>
    </row>
    <row r="1414" spans="2:14">
      <c r="B1414" s="105"/>
      <c r="C1414" s="106"/>
      <c r="D1414" s="107"/>
      <c r="E1414" s="65"/>
      <c r="F1414" s="64"/>
      <c r="G1414" s="64"/>
      <c r="H1414" s="64"/>
      <c r="I1414" s="70"/>
      <c r="J1414" s="70"/>
      <c r="K1414" s="110" t="str">
        <f>IF(H1414="","",IF($C$29="간이법","",FPR(H1414,I1414,J1414)))</f>
        <v/>
      </c>
      <c r="L1414" s="111" t="str">
        <f>IF(H1414="","",IF($C$29="상세법",FPV(H1414,K1414),IF(H1414="EI",4,IF(H1414="EO",5.2,IF(H1414="EQ",3.9,IF(H1414="ILF",7.5,IF(H1414="EIF",5.4)))))))</f>
        <v/>
      </c>
      <c r="M1414" s="112" t="str">
        <f t="shared" si="25"/>
        <v/>
      </c>
      <c r="N1414" s="113"/>
    </row>
    <row r="1415" spans="2:14">
      <c r="B1415" s="105"/>
      <c r="C1415" s="106"/>
      <c r="D1415" s="107"/>
      <c r="E1415" s="65"/>
      <c r="F1415" s="64"/>
      <c r="G1415" s="64"/>
      <c r="H1415" s="64"/>
      <c r="I1415" s="70"/>
      <c r="J1415" s="70"/>
      <c r="K1415" s="110" t="str">
        <f>IF(H1415="","",IF($C$29="간이법","",FPR(H1415,I1415,J1415)))</f>
        <v/>
      </c>
      <c r="L1415" s="111" t="str">
        <f>IF(H1415="","",IF($C$29="상세법",FPV(H1415,K1415),IF(H1415="EI",4,IF(H1415="EO",5.2,IF(H1415="EQ",3.9,IF(H1415="ILF",7.5,IF(H1415="EIF",5.4)))))))</f>
        <v/>
      </c>
      <c r="M1415" s="112" t="str">
        <f t="shared" si="25"/>
        <v/>
      </c>
      <c r="N1415" s="113"/>
    </row>
    <row r="1416" spans="2:14">
      <c r="B1416" s="105"/>
      <c r="C1416" s="106"/>
      <c r="D1416" s="107"/>
      <c r="E1416" s="65"/>
      <c r="F1416" s="64"/>
      <c r="G1416" s="64"/>
      <c r="H1416" s="64"/>
      <c r="I1416" s="70"/>
      <c r="J1416" s="70"/>
      <c r="K1416" s="110" t="str">
        <f>IF(H1416="","",IF($C$29="간이법","",FPR(H1416,I1416,J1416)))</f>
        <v/>
      </c>
      <c r="L1416" s="111" t="str">
        <f>IF(H1416="","",IF($C$29="상세법",FPV(H1416,K1416),IF(H1416="EI",4,IF(H1416="EO",5.2,IF(H1416="EQ",3.9,IF(H1416="ILF",7.5,IF(H1416="EIF",5.4)))))))</f>
        <v/>
      </c>
      <c r="M1416" s="112" t="str">
        <f t="shared" si="25"/>
        <v/>
      </c>
      <c r="N1416" s="113"/>
    </row>
    <row r="1417" spans="2:14">
      <c r="B1417" s="105"/>
      <c r="C1417" s="106"/>
      <c r="D1417" s="107"/>
      <c r="E1417" s="65"/>
      <c r="F1417" s="64"/>
      <c r="G1417" s="64"/>
      <c r="H1417" s="64"/>
      <c r="I1417" s="70"/>
      <c r="J1417" s="70"/>
      <c r="K1417" s="110" t="str">
        <f>IF(H1417="","",IF($C$29="간이법","",FPR(H1417,I1417,J1417)))</f>
        <v/>
      </c>
      <c r="L1417" s="111" t="str">
        <f>IF(H1417="","",IF($C$29="상세법",FPV(H1417,K1417),IF(H1417="EI",4,IF(H1417="EO",5.2,IF(H1417="EQ",3.9,IF(H1417="ILF",7.5,IF(H1417="EIF",5.4)))))))</f>
        <v/>
      </c>
      <c r="M1417" s="112" t="str">
        <f t="shared" si="25"/>
        <v/>
      </c>
      <c r="N1417" s="113"/>
    </row>
    <row r="1418" spans="2:14">
      <c r="B1418" s="105"/>
      <c r="C1418" s="106"/>
      <c r="D1418" s="107"/>
      <c r="E1418" s="65"/>
      <c r="F1418" s="64"/>
      <c r="G1418" s="64"/>
      <c r="H1418" s="64"/>
      <c r="I1418" s="70"/>
      <c r="J1418" s="70"/>
      <c r="K1418" s="110" t="str">
        <f>IF(H1418="","",IF($C$29="간이법","",FPR(H1418,I1418,J1418)))</f>
        <v/>
      </c>
      <c r="L1418" s="111" t="str">
        <f>IF(H1418="","",IF($C$29="상세법",FPV(H1418,K1418),IF(H1418="EI",4,IF(H1418="EO",5.2,IF(H1418="EQ",3.9,IF(H1418="ILF",7.5,IF(H1418="EIF",5.4)))))))</f>
        <v/>
      </c>
      <c r="M1418" s="112" t="str">
        <f t="shared" si="25"/>
        <v/>
      </c>
      <c r="N1418" s="113"/>
    </row>
    <row r="1419" spans="2:14">
      <c r="B1419" s="105"/>
      <c r="C1419" s="106"/>
      <c r="D1419" s="107"/>
      <c r="E1419" s="65"/>
      <c r="F1419" s="64"/>
      <c r="G1419" s="64"/>
      <c r="H1419" s="64"/>
      <c r="I1419" s="70"/>
      <c r="J1419" s="70"/>
      <c r="K1419" s="110" t="str">
        <f>IF(H1419="","",IF($C$29="간이법","",FPR(H1419,I1419,J1419)))</f>
        <v/>
      </c>
      <c r="L1419" s="111" t="str">
        <f>IF(H1419="","",IF($C$29="상세법",FPV(H1419,K1419),IF(H1419="EI",4,IF(H1419="EO",5.2,IF(H1419="EQ",3.9,IF(H1419="ILF",7.5,IF(H1419="EIF",5.4)))))))</f>
        <v/>
      </c>
      <c r="M1419" s="112" t="str">
        <f t="shared" si="25"/>
        <v/>
      </c>
      <c r="N1419" s="113"/>
    </row>
    <row r="1420" spans="2:14">
      <c r="B1420" s="105"/>
      <c r="C1420" s="106"/>
      <c r="D1420" s="107"/>
      <c r="E1420" s="65"/>
      <c r="F1420" s="64"/>
      <c r="G1420" s="64"/>
      <c r="H1420" s="64"/>
      <c r="I1420" s="70"/>
      <c r="J1420" s="70"/>
      <c r="K1420" s="110" t="str">
        <f>IF(H1420="","",IF($C$29="간이법","",FPR(H1420,I1420,J1420)))</f>
        <v/>
      </c>
      <c r="L1420" s="111" t="str">
        <f>IF(H1420="","",IF($C$29="상세법",FPV(H1420,K1420),IF(H1420="EI",4,IF(H1420="EO",5.2,IF(H1420="EQ",3.9,IF(H1420="ILF",7.5,IF(H1420="EIF",5.4)))))))</f>
        <v/>
      </c>
      <c r="M1420" s="112" t="str">
        <f t="shared" si="25"/>
        <v/>
      </c>
      <c r="N1420" s="113"/>
    </row>
    <row r="1421" spans="2:14">
      <c r="B1421" s="105"/>
      <c r="C1421" s="106"/>
      <c r="D1421" s="107"/>
      <c r="E1421" s="65"/>
      <c r="F1421" s="64"/>
      <c r="G1421" s="64"/>
      <c r="H1421" s="64"/>
      <c r="I1421" s="70"/>
      <c r="J1421" s="70"/>
      <c r="K1421" s="110" t="str">
        <f>IF(H1421="","",IF($C$29="간이법","",FPR(H1421,I1421,J1421)))</f>
        <v/>
      </c>
      <c r="L1421" s="111" t="str">
        <f>IF(H1421="","",IF($C$29="상세법",FPV(H1421,K1421),IF(H1421="EI",4,IF(H1421="EO",5.2,IF(H1421="EQ",3.9,IF(H1421="ILF",7.5,IF(H1421="EIF",5.4)))))))</f>
        <v/>
      </c>
      <c r="M1421" s="112" t="str">
        <f t="shared" si="25"/>
        <v/>
      </c>
      <c r="N1421" s="113"/>
    </row>
    <row r="1422" spans="2:14">
      <c r="B1422" s="105"/>
      <c r="C1422" s="106"/>
      <c r="D1422" s="107"/>
      <c r="E1422" s="65"/>
      <c r="F1422" s="64"/>
      <c r="G1422" s="64"/>
      <c r="H1422" s="64"/>
      <c r="I1422" s="70"/>
      <c r="J1422" s="70"/>
      <c r="K1422" s="110" t="str">
        <f>IF(H1422="","",IF($C$29="간이법","",FPR(H1422,I1422,J1422)))</f>
        <v/>
      </c>
      <c r="L1422" s="111" t="str">
        <f>IF(H1422="","",IF($C$29="상세법",FPV(H1422,K1422),IF(H1422="EI",4,IF(H1422="EO",5.2,IF(H1422="EQ",3.9,IF(H1422="ILF",7.5,IF(H1422="EIF",5.4)))))))</f>
        <v/>
      </c>
      <c r="M1422" s="112" t="str">
        <f t="shared" si="25"/>
        <v/>
      </c>
      <c r="N1422" s="113"/>
    </row>
    <row r="1423" spans="2:14">
      <c r="B1423" s="105"/>
      <c r="C1423" s="106"/>
      <c r="D1423" s="107"/>
      <c r="E1423" s="65"/>
      <c r="F1423" s="64"/>
      <c r="G1423" s="64"/>
      <c r="H1423" s="64"/>
      <c r="I1423" s="70"/>
      <c r="J1423" s="70"/>
      <c r="K1423" s="110" t="str">
        <f>IF(H1423="","",IF($C$29="간이법","",FPR(H1423,I1423,J1423)))</f>
        <v/>
      </c>
      <c r="L1423" s="111" t="str">
        <f>IF(H1423="","",IF($C$29="상세법",FPV(H1423,K1423),IF(H1423="EI",4,IF(H1423="EO",5.2,IF(H1423="EQ",3.9,IF(H1423="ILF",7.5,IF(H1423="EIF",5.4)))))))</f>
        <v/>
      </c>
      <c r="M1423" s="112" t="str">
        <f t="shared" si="25"/>
        <v/>
      </c>
      <c r="N1423" s="113"/>
    </row>
    <row r="1424" spans="2:14">
      <c r="B1424" s="105"/>
      <c r="C1424" s="106"/>
      <c r="D1424" s="107"/>
      <c r="E1424" s="65"/>
      <c r="F1424" s="64"/>
      <c r="G1424" s="64"/>
      <c r="H1424" s="64"/>
      <c r="I1424" s="70"/>
      <c r="J1424" s="70"/>
      <c r="K1424" s="110" t="str">
        <f>IF(H1424="","",IF($C$29="간이법","",FPR(H1424,I1424,J1424)))</f>
        <v/>
      </c>
      <c r="L1424" s="111" t="str">
        <f>IF(H1424="","",IF($C$29="상세법",FPV(H1424,K1424),IF(H1424="EI",4,IF(H1424="EO",5.2,IF(H1424="EQ",3.9,IF(H1424="ILF",7.5,IF(H1424="EIF",5.4)))))))</f>
        <v/>
      </c>
      <c r="M1424" s="112" t="str">
        <f t="shared" si="25"/>
        <v/>
      </c>
      <c r="N1424" s="113"/>
    </row>
    <row r="1425" spans="2:14">
      <c r="B1425" s="105"/>
      <c r="C1425" s="106"/>
      <c r="D1425" s="107"/>
      <c r="E1425" s="65"/>
      <c r="F1425" s="64"/>
      <c r="G1425" s="64"/>
      <c r="H1425" s="64"/>
      <c r="I1425" s="70"/>
      <c r="J1425" s="70"/>
      <c r="K1425" s="110" t="str">
        <f>IF(H1425="","",IF($C$29="간이법","",FPR(H1425,I1425,J1425)))</f>
        <v/>
      </c>
      <c r="L1425" s="111" t="str">
        <f>IF(H1425="","",IF($C$29="상세법",FPV(H1425,K1425),IF(H1425="EI",4,IF(H1425="EO",5.2,IF(H1425="EQ",3.9,IF(H1425="ILF",7.5,IF(H1425="EIF",5.4)))))))</f>
        <v/>
      </c>
      <c r="M1425" s="112" t="str">
        <f t="shared" si="25"/>
        <v/>
      </c>
      <c r="N1425" s="113"/>
    </row>
    <row r="1426" spans="2:14">
      <c r="B1426" s="105"/>
      <c r="C1426" s="106"/>
      <c r="D1426" s="107"/>
      <c r="E1426" s="65"/>
      <c r="F1426" s="64"/>
      <c r="G1426" s="64"/>
      <c r="H1426" s="64"/>
      <c r="I1426" s="70"/>
      <c r="J1426" s="70"/>
      <c r="K1426" s="110" t="str">
        <f>IF(H1426="","",IF($C$29="간이법","",FPR(H1426,I1426,J1426)))</f>
        <v/>
      </c>
      <c r="L1426" s="111" t="str">
        <f>IF(H1426="","",IF($C$29="상세법",FPV(H1426,K1426),IF(H1426="EI",4,IF(H1426="EO",5.2,IF(H1426="EQ",3.9,IF(H1426="ILF",7.5,IF(H1426="EIF",5.4)))))))</f>
        <v/>
      </c>
      <c r="M1426" s="112" t="str">
        <f t="shared" si="25"/>
        <v/>
      </c>
      <c r="N1426" s="113"/>
    </row>
    <row r="1427" spans="2:14">
      <c r="B1427" s="105"/>
      <c r="C1427" s="106"/>
      <c r="D1427" s="107"/>
      <c r="E1427" s="65"/>
      <c r="F1427" s="64"/>
      <c r="G1427" s="64"/>
      <c r="H1427" s="64"/>
      <c r="I1427" s="70"/>
      <c r="J1427" s="70"/>
      <c r="K1427" s="110" t="str">
        <f>IF(H1427="","",IF($C$29="간이법","",FPR(H1427,I1427,J1427)))</f>
        <v/>
      </c>
      <c r="L1427" s="111" t="str">
        <f>IF(H1427="","",IF($C$29="상세법",FPV(H1427,K1427),IF(H1427="EI",4,IF(H1427="EO",5.2,IF(H1427="EQ",3.9,IF(H1427="ILF",7.5,IF(H1427="EIF",5.4)))))))</f>
        <v/>
      </c>
      <c r="M1427" s="112" t="str">
        <f t="shared" si="25"/>
        <v/>
      </c>
      <c r="N1427" s="113"/>
    </row>
    <row r="1428" spans="2:14">
      <c r="B1428" s="105"/>
      <c r="C1428" s="106"/>
      <c r="D1428" s="107"/>
      <c r="E1428" s="65"/>
      <c r="F1428" s="64"/>
      <c r="G1428" s="64"/>
      <c r="H1428" s="64"/>
      <c r="I1428" s="70"/>
      <c r="J1428" s="70"/>
      <c r="K1428" s="110" t="str">
        <f>IF(H1428="","",IF($C$29="간이법","",FPR(H1428,I1428,J1428)))</f>
        <v/>
      </c>
      <c r="L1428" s="111" t="str">
        <f>IF(H1428="","",IF($C$29="상세법",FPV(H1428,K1428),IF(H1428="EI",4,IF(H1428="EO",5.2,IF(H1428="EQ",3.9,IF(H1428="ILF",7.5,IF(H1428="EIF",5.4)))))))</f>
        <v/>
      </c>
      <c r="M1428" s="112" t="str">
        <f t="shared" si="25"/>
        <v/>
      </c>
      <c r="N1428" s="113"/>
    </row>
    <row r="1429" spans="2:14">
      <c r="B1429" s="105"/>
      <c r="C1429" s="106"/>
      <c r="D1429" s="107"/>
      <c r="E1429" s="65"/>
      <c r="F1429" s="64"/>
      <c r="G1429" s="64"/>
      <c r="H1429" s="64"/>
      <c r="I1429" s="70"/>
      <c r="J1429" s="70"/>
      <c r="K1429" s="110" t="str">
        <f>IF(H1429="","",IF($C$29="간이법","",FPR(H1429,I1429,J1429)))</f>
        <v/>
      </c>
      <c r="L1429" s="111" t="str">
        <f>IF(H1429="","",IF($C$29="상세법",FPV(H1429,K1429),IF(H1429="EI",4,IF(H1429="EO",5.2,IF(H1429="EQ",3.9,IF(H1429="ILF",7.5,IF(H1429="EIF",5.4)))))))</f>
        <v/>
      </c>
      <c r="M1429" s="112" t="str">
        <f t="shared" si="25"/>
        <v/>
      </c>
      <c r="N1429" s="113"/>
    </row>
    <row r="1430" spans="2:14">
      <c r="B1430" s="105"/>
      <c r="C1430" s="106"/>
      <c r="D1430" s="107"/>
      <c r="E1430" s="65"/>
      <c r="F1430" s="64"/>
      <c r="G1430" s="64"/>
      <c r="H1430" s="64"/>
      <c r="I1430" s="70"/>
      <c r="J1430" s="70"/>
      <c r="K1430" s="110" t="str">
        <f>IF(H1430="","",IF($C$29="간이법","",FPR(H1430,I1430,J1430)))</f>
        <v/>
      </c>
      <c r="L1430" s="111" t="str">
        <f>IF(H1430="","",IF($C$29="상세법",FPV(H1430,K1430),IF(H1430="EI",4,IF(H1430="EO",5.2,IF(H1430="EQ",3.9,IF(H1430="ILF",7.5,IF(H1430="EIF",5.4)))))))</f>
        <v/>
      </c>
      <c r="M1430" s="112" t="str">
        <f t="shared" si="25"/>
        <v/>
      </c>
      <c r="N1430" s="113"/>
    </row>
    <row r="1431" spans="2:14">
      <c r="B1431" s="105"/>
      <c r="C1431" s="106"/>
      <c r="D1431" s="107"/>
      <c r="E1431" s="65"/>
      <c r="F1431" s="64"/>
      <c r="G1431" s="64"/>
      <c r="H1431" s="64"/>
      <c r="I1431" s="70"/>
      <c r="J1431" s="70"/>
      <c r="K1431" s="110" t="str">
        <f>IF(H1431="","",IF($C$29="간이법","",FPR(H1431,I1431,J1431)))</f>
        <v/>
      </c>
      <c r="L1431" s="111" t="str">
        <f>IF(H1431="","",IF($C$29="상세법",FPV(H1431,K1431),IF(H1431="EI",4,IF(H1431="EO",5.2,IF(H1431="EQ",3.9,IF(H1431="ILF",7.5,IF(H1431="EIF",5.4)))))))</f>
        <v/>
      </c>
      <c r="M1431" s="112" t="str">
        <f t="shared" si="25"/>
        <v/>
      </c>
      <c r="N1431" s="113"/>
    </row>
    <row r="1432" spans="2:14">
      <c r="B1432" s="105"/>
      <c r="C1432" s="106"/>
      <c r="D1432" s="107"/>
      <c r="E1432" s="65"/>
      <c r="F1432" s="64"/>
      <c r="G1432" s="64"/>
      <c r="H1432" s="64"/>
      <c r="I1432" s="70"/>
      <c r="J1432" s="70"/>
      <c r="K1432" s="110" t="str">
        <f>IF(H1432="","",IF($C$29="간이법","",FPR(H1432,I1432,J1432)))</f>
        <v/>
      </c>
      <c r="L1432" s="111" t="str">
        <f>IF(H1432="","",IF($C$29="상세법",FPV(H1432,K1432),IF(H1432="EI",4,IF(H1432="EO",5.2,IF(H1432="EQ",3.9,IF(H1432="ILF",7.5,IF(H1432="EIF",5.4)))))))</f>
        <v/>
      </c>
      <c r="M1432" s="112" t="str">
        <f t="shared" si="25"/>
        <v/>
      </c>
      <c r="N1432" s="113"/>
    </row>
    <row r="1433" spans="2:14">
      <c r="B1433" s="105"/>
      <c r="C1433" s="106"/>
      <c r="D1433" s="107"/>
      <c r="E1433" s="65"/>
      <c r="F1433" s="64"/>
      <c r="G1433" s="64"/>
      <c r="H1433" s="64"/>
      <c r="I1433" s="70"/>
      <c r="J1433" s="70"/>
      <c r="K1433" s="110" t="str">
        <f>IF(H1433="","",IF($C$29="간이법","",FPR(H1433,I1433,J1433)))</f>
        <v/>
      </c>
      <c r="L1433" s="111" t="str">
        <f>IF(H1433="","",IF($C$29="상세법",FPV(H1433,K1433),IF(H1433="EI",4,IF(H1433="EO",5.2,IF(H1433="EQ",3.9,IF(H1433="ILF",7.5,IF(H1433="EIF",5.4)))))))</f>
        <v/>
      </c>
      <c r="M1433" s="112" t="str">
        <f t="shared" si="25"/>
        <v/>
      </c>
      <c r="N1433" s="113"/>
    </row>
    <row r="1434" spans="2:14">
      <c r="B1434" s="105"/>
      <c r="C1434" s="106"/>
      <c r="D1434" s="107"/>
      <c r="E1434" s="65"/>
      <c r="F1434" s="64"/>
      <c r="G1434" s="64"/>
      <c r="H1434" s="64"/>
      <c r="I1434" s="70"/>
      <c r="J1434" s="70"/>
      <c r="K1434" s="110" t="str">
        <f>IF(H1434="","",IF($C$29="간이법","",FPR(H1434,I1434,J1434)))</f>
        <v/>
      </c>
      <c r="L1434" s="111" t="str">
        <f>IF(H1434="","",IF($C$29="상세법",FPV(H1434,K1434),IF(H1434="EI",4,IF(H1434="EO",5.2,IF(H1434="EQ",3.9,IF(H1434="ILF",7.5,IF(H1434="EIF",5.4)))))))</f>
        <v/>
      </c>
      <c r="M1434" s="112" t="str">
        <f t="shared" si="25"/>
        <v/>
      </c>
      <c r="N1434" s="113"/>
    </row>
    <row r="1435" spans="2:14">
      <c r="B1435" s="105"/>
      <c r="C1435" s="106"/>
      <c r="D1435" s="107"/>
      <c r="E1435" s="65"/>
      <c r="F1435" s="64"/>
      <c r="G1435" s="64"/>
      <c r="H1435" s="64"/>
      <c r="I1435" s="70"/>
      <c r="J1435" s="70"/>
      <c r="K1435" s="110" t="str">
        <f>IF(H1435="","",IF($C$29="간이법","",FPR(H1435,I1435,J1435)))</f>
        <v/>
      </c>
      <c r="L1435" s="111" t="str">
        <f>IF(H1435="","",IF($C$29="상세법",FPV(H1435,K1435),IF(H1435="EI",4,IF(H1435="EO",5.2,IF(H1435="EQ",3.9,IF(H1435="ILF",7.5,IF(H1435="EIF",5.4)))))))</f>
        <v/>
      </c>
      <c r="M1435" s="112" t="str">
        <f t="shared" si="25"/>
        <v/>
      </c>
      <c r="N1435" s="113"/>
    </row>
    <row r="1436" spans="2:14">
      <c r="B1436" s="105"/>
      <c r="C1436" s="106"/>
      <c r="D1436" s="107"/>
      <c r="E1436" s="65"/>
      <c r="F1436" s="64"/>
      <c r="G1436" s="64"/>
      <c r="H1436" s="64"/>
      <c r="I1436" s="70"/>
      <c r="J1436" s="70"/>
      <c r="K1436" s="110" t="str">
        <f>IF(H1436="","",IF($C$29="간이법","",FPR(H1436,I1436,J1436)))</f>
        <v/>
      </c>
      <c r="L1436" s="111" t="str">
        <f>IF(H1436="","",IF($C$29="상세법",FPV(H1436,K1436),IF(H1436="EI",4,IF(H1436="EO",5.2,IF(H1436="EQ",3.9,IF(H1436="ILF",7.5,IF(H1436="EIF",5.4)))))))</f>
        <v/>
      </c>
      <c r="M1436" s="112" t="str">
        <f t="shared" si="25"/>
        <v/>
      </c>
      <c r="N1436" s="113"/>
    </row>
    <row r="1437" spans="2:14">
      <c r="B1437" s="105"/>
      <c r="C1437" s="106"/>
      <c r="D1437" s="107"/>
      <c r="E1437" s="65"/>
      <c r="F1437" s="64"/>
      <c r="G1437" s="64"/>
      <c r="H1437" s="64"/>
      <c r="I1437" s="70"/>
      <c r="J1437" s="70"/>
      <c r="K1437" s="110" t="str">
        <f>IF(H1437="","",IF($C$29="간이법","",FPR(H1437,I1437,J1437)))</f>
        <v/>
      </c>
      <c r="L1437" s="111" t="str">
        <f>IF(H1437="","",IF($C$29="상세법",FPV(H1437,K1437),IF(H1437="EI",4,IF(H1437="EO",5.2,IF(H1437="EQ",3.9,IF(H1437="ILF",7.5,IF(H1437="EIF",5.4)))))))</f>
        <v/>
      </c>
      <c r="M1437" s="112" t="str">
        <f t="shared" si="25"/>
        <v/>
      </c>
      <c r="N1437" s="113"/>
    </row>
    <row r="1438" spans="2:14">
      <c r="B1438" s="105"/>
      <c r="C1438" s="106"/>
      <c r="D1438" s="107"/>
      <c r="E1438" s="65"/>
      <c r="F1438" s="64"/>
      <c r="G1438" s="64"/>
      <c r="H1438" s="64"/>
      <c r="I1438" s="70"/>
      <c r="J1438" s="70"/>
      <c r="K1438" s="110" t="str">
        <f>IF(H1438="","",IF($C$29="간이법","",FPR(H1438,I1438,J1438)))</f>
        <v/>
      </c>
      <c r="L1438" s="111" t="str">
        <f>IF(H1438="","",IF($C$29="상세법",FPV(H1438,K1438),IF(H1438="EI",4,IF(H1438="EO",5.2,IF(H1438="EQ",3.9,IF(H1438="ILF",7.5,IF(H1438="EIF",5.4)))))))</f>
        <v/>
      </c>
      <c r="M1438" s="112" t="str">
        <f t="shared" si="25"/>
        <v/>
      </c>
      <c r="N1438" s="113"/>
    </row>
    <row r="1439" spans="2:14">
      <c r="B1439" s="105"/>
      <c r="C1439" s="106"/>
      <c r="D1439" s="107"/>
      <c r="E1439" s="65"/>
      <c r="F1439" s="64"/>
      <c r="G1439" s="64"/>
      <c r="H1439" s="64"/>
      <c r="I1439" s="70"/>
      <c r="J1439" s="70"/>
      <c r="K1439" s="110" t="str">
        <f>IF(H1439="","",IF($C$29="간이법","",FPR(H1439,I1439,J1439)))</f>
        <v/>
      </c>
      <c r="L1439" s="111" t="str">
        <f>IF(H1439="","",IF($C$29="상세법",FPV(H1439,K1439),IF(H1439="EI",4,IF(H1439="EO",5.2,IF(H1439="EQ",3.9,IF(H1439="ILF",7.5,IF(H1439="EIF",5.4)))))))</f>
        <v/>
      </c>
      <c r="M1439" s="112" t="str">
        <f t="shared" si="25"/>
        <v/>
      </c>
      <c r="N1439" s="113"/>
    </row>
    <row r="1440" spans="2:14">
      <c r="B1440" s="105"/>
      <c r="C1440" s="106"/>
      <c r="D1440" s="107"/>
      <c r="E1440" s="65"/>
      <c r="F1440" s="64"/>
      <c r="G1440" s="64"/>
      <c r="H1440" s="64"/>
      <c r="I1440" s="70"/>
      <c r="J1440" s="70"/>
      <c r="K1440" s="110" t="str">
        <f>IF(H1440="","",IF($C$29="간이법","",FPR(H1440,I1440,J1440)))</f>
        <v/>
      </c>
      <c r="L1440" s="111" t="str">
        <f>IF(H1440="","",IF($C$29="상세법",FPV(H1440,K1440),IF(H1440="EI",4,IF(H1440="EO",5.2,IF(H1440="EQ",3.9,IF(H1440="ILF",7.5,IF(H1440="EIF",5.4)))))))</f>
        <v/>
      </c>
      <c r="M1440" s="112" t="str">
        <f t="shared" si="25"/>
        <v/>
      </c>
      <c r="N1440" s="113"/>
    </row>
    <row r="1441" spans="2:14">
      <c r="B1441" s="105"/>
      <c r="C1441" s="106"/>
      <c r="D1441" s="107"/>
      <c r="E1441" s="65"/>
      <c r="F1441" s="64"/>
      <c r="G1441" s="64"/>
      <c r="H1441" s="64"/>
      <c r="I1441" s="70"/>
      <c r="J1441" s="70"/>
      <c r="K1441" s="110" t="str">
        <f>IF(H1441="","",IF($C$29="간이법","",FPR(H1441,I1441,J1441)))</f>
        <v/>
      </c>
      <c r="L1441" s="111" t="str">
        <f>IF(H1441="","",IF($C$29="상세법",FPV(H1441,K1441),IF(H1441="EI",4,IF(H1441="EO",5.2,IF(H1441="EQ",3.9,IF(H1441="ILF",7.5,IF(H1441="EIF",5.4)))))))</f>
        <v/>
      </c>
      <c r="M1441" s="112" t="str">
        <f t="shared" si="25"/>
        <v/>
      </c>
      <c r="N1441" s="113"/>
    </row>
    <row r="1442" spans="2:14">
      <c r="B1442" s="105"/>
      <c r="C1442" s="106"/>
      <c r="D1442" s="107"/>
      <c r="E1442" s="65"/>
      <c r="F1442" s="64"/>
      <c r="G1442" s="64"/>
      <c r="H1442" s="64"/>
      <c r="I1442" s="70"/>
      <c r="J1442" s="70"/>
      <c r="K1442" s="110" t="str">
        <f>IF(H1442="","",IF($C$29="간이법","",FPR(H1442,I1442,J1442)))</f>
        <v/>
      </c>
      <c r="L1442" s="111" t="str">
        <f>IF(H1442="","",IF($C$29="상세법",FPV(H1442,K1442),IF(H1442="EI",4,IF(H1442="EO",5.2,IF(H1442="EQ",3.9,IF(H1442="ILF",7.5,IF(H1442="EIF",5.4)))))))</f>
        <v/>
      </c>
      <c r="M1442" s="112" t="str">
        <f t="shared" si="25"/>
        <v/>
      </c>
      <c r="N1442" s="113"/>
    </row>
    <row r="1443" spans="2:14">
      <c r="B1443" s="105"/>
      <c r="C1443" s="106"/>
      <c r="D1443" s="107"/>
      <c r="E1443" s="65"/>
      <c r="F1443" s="64"/>
      <c r="G1443" s="64"/>
      <c r="H1443" s="64"/>
      <c r="I1443" s="70"/>
      <c r="J1443" s="70"/>
      <c r="K1443" s="110" t="str">
        <f>IF(H1443="","",IF($C$29="간이법","",FPR(H1443,I1443,J1443)))</f>
        <v/>
      </c>
      <c r="L1443" s="111" t="str">
        <f>IF(H1443="","",IF($C$29="상세법",FPV(H1443,K1443),IF(H1443="EI",4,IF(H1443="EO",5.2,IF(H1443="EQ",3.9,IF(H1443="ILF",7.5,IF(H1443="EIF",5.4)))))))</f>
        <v/>
      </c>
      <c r="M1443" s="112" t="str">
        <f t="shared" si="25"/>
        <v/>
      </c>
      <c r="N1443" s="113"/>
    </row>
    <row r="1444" spans="2:14">
      <c r="B1444" s="105"/>
      <c r="C1444" s="106"/>
      <c r="D1444" s="107"/>
      <c r="E1444" s="65"/>
      <c r="F1444" s="64"/>
      <c r="G1444" s="64"/>
      <c r="H1444" s="64"/>
      <c r="I1444" s="70"/>
      <c r="J1444" s="70"/>
      <c r="K1444" s="110" t="str">
        <f>IF(H1444="","",IF($C$29="간이법","",FPR(H1444,I1444,J1444)))</f>
        <v/>
      </c>
      <c r="L1444" s="111" t="str">
        <f>IF(H1444="","",IF($C$29="상세법",FPV(H1444,K1444),IF(H1444="EI",4,IF(H1444="EO",5.2,IF(H1444="EQ",3.9,IF(H1444="ILF",7.5,IF(H1444="EIF",5.4)))))))</f>
        <v/>
      </c>
      <c r="M1444" s="112" t="str">
        <f t="shared" si="25"/>
        <v/>
      </c>
      <c r="N1444" s="113"/>
    </row>
    <row r="1445" spans="2:14">
      <c r="B1445" s="105"/>
      <c r="C1445" s="106"/>
      <c r="D1445" s="107"/>
      <c r="E1445" s="65"/>
      <c r="F1445" s="64"/>
      <c r="G1445" s="64"/>
      <c r="H1445" s="64"/>
      <c r="I1445" s="70"/>
      <c r="J1445" s="70"/>
      <c r="K1445" s="110" t="str">
        <f>IF(H1445="","",IF($C$29="간이법","",FPR(H1445,I1445,J1445)))</f>
        <v/>
      </c>
      <c r="L1445" s="111" t="str">
        <f>IF(H1445="","",IF($C$29="상세법",FPV(H1445,K1445),IF(H1445="EI",4,IF(H1445="EO",5.2,IF(H1445="EQ",3.9,IF(H1445="ILF",7.5,IF(H1445="EIF",5.4)))))))</f>
        <v/>
      </c>
      <c r="M1445" s="112" t="str">
        <f t="shared" si="25"/>
        <v/>
      </c>
      <c r="N1445" s="113"/>
    </row>
    <row r="1446" spans="2:14">
      <c r="B1446" s="105"/>
      <c r="C1446" s="106"/>
      <c r="D1446" s="107"/>
      <c r="E1446" s="65"/>
      <c r="F1446" s="64"/>
      <c r="G1446" s="64"/>
      <c r="H1446" s="64"/>
      <c r="I1446" s="70"/>
      <c r="J1446" s="70"/>
      <c r="K1446" s="110" t="str">
        <f>IF(H1446="","",IF($C$29="간이법","",FPR(H1446,I1446,J1446)))</f>
        <v/>
      </c>
      <c r="L1446" s="111" t="str">
        <f>IF(H1446="","",IF($C$29="상세법",FPV(H1446,K1446),IF(H1446="EI",4,IF(H1446="EO",5.2,IF(H1446="EQ",3.9,IF(H1446="ILF",7.5,IF(H1446="EIF",5.4)))))))</f>
        <v/>
      </c>
      <c r="M1446" s="112" t="str">
        <f t="shared" si="25"/>
        <v/>
      </c>
      <c r="N1446" s="113"/>
    </row>
    <row r="1447" spans="2:14">
      <c r="B1447" s="105"/>
      <c r="C1447" s="106"/>
      <c r="D1447" s="107"/>
      <c r="E1447" s="65"/>
      <c r="F1447" s="64"/>
      <c r="G1447" s="64"/>
      <c r="H1447" s="64"/>
      <c r="I1447" s="70"/>
      <c r="J1447" s="70"/>
      <c r="K1447" s="110" t="str">
        <f>IF(H1447="","",IF($C$29="간이법","",FPR(H1447,I1447,J1447)))</f>
        <v/>
      </c>
      <c r="L1447" s="111" t="str">
        <f>IF(H1447="","",IF($C$29="상세법",FPV(H1447,K1447),IF(H1447="EI",4,IF(H1447="EO",5.2,IF(H1447="EQ",3.9,IF(H1447="ILF",7.5,IF(H1447="EIF",5.4)))))))</f>
        <v/>
      </c>
      <c r="M1447" s="112" t="str">
        <f t="shared" si="25"/>
        <v/>
      </c>
      <c r="N1447" s="113"/>
    </row>
    <row r="1448" spans="2:14">
      <c r="B1448" s="105"/>
      <c r="C1448" s="106"/>
      <c r="D1448" s="107"/>
      <c r="E1448" s="65"/>
      <c r="F1448" s="64"/>
      <c r="G1448" s="64"/>
      <c r="H1448" s="64"/>
      <c r="I1448" s="70"/>
      <c r="J1448" s="70"/>
      <c r="K1448" s="110" t="str">
        <f>IF(H1448="","",IF($C$29="간이법","",FPR(H1448,I1448,J1448)))</f>
        <v/>
      </c>
      <c r="L1448" s="111" t="str">
        <f>IF(H1448="","",IF($C$29="상세법",FPV(H1448,K1448),IF(H1448="EI",4,IF(H1448="EO",5.2,IF(H1448="EQ",3.9,IF(H1448="ILF",7.5,IF(H1448="EIF",5.4)))))))</f>
        <v/>
      </c>
      <c r="M1448" s="112" t="str">
        <f t="shared" si="25"/>
        <v/>
      </c>
      <c r="N1448" s="113"/>
    </row>
    <row r="1449" spans="2:14">
      <c r="B1449" s="105"/>
      <c r="C1449" s="106"/>
      <c r="D1449" s="107"/>
      <c r="E1449" s="65"/>
      <c r="F1449" s="64"/>
      <c r="G1449" s="64"/>
      <c r="H1449" s="64"/>
      <c r="I1449" s="70"/>
      <c r="J1449" s="70"/>
      <c r="K1449" s="110" t="str">
        <f>IF(H1449="","",IF($C$29="간이법","",FPR(H1449,I1449,J1449)))</f>
        <v/>
      </c>
      <c r="L1449" s="111" t="str">
        <f>IF(H1449="","",IF($C$29="상세법",FPV(H1449,K1449),IF(H1449="EI",4,IF(H1449="EO",5.2,IF(H1449="EQ",3.9,IF(H1449="ILF",7.5,IF(H1449="EIF",5.4)))))))</f>
        <v/>
      </c>
      <c r="M1449" s="112" t="str">
        <f t="shared" si="25"/>
        <v/>
      </c>
      <c r="N1449" s="113"/>
    </row>
    <row r="1450" spans="2:14">
      <c r="B1450" s="105"/>
      <c r="C1450" s="106"/>
      <c r="D1450" s="107"/>
      <c r="E1450" s="65"/>
      <c r="F1450" s="64"/>
      <c r="G1450" s="64"/>
      <c r="H1450" s="64"/>
      <c r="I1450" s="70"/>
      <c r="J1450" s="70"/>
      <c r="K1450" s="110" t="str">
        <f>IF(H1450="","",IF($C$29="간이법","",FPR(H1450,I1450,J1450)))</f>
        <v/>
      </c>
      <c r="L1450" s="111" t="str">
        <f>IF(H1450="","",IF($C$29="상세법",FPV(H1450,K1450),IF(H1450="EI",4,IF(H1450="EO",5.2,IF(H1450="EQ",3.9,IF(H1450="ILF",7.5,IF(H1450="EIF",5.4)))))))</f>
        <v/>
      </c>
      <c r="M1450" s="112" t="str">
        <f t="shared" si="25"/>
        <v/>
      </c>
      <c r="N1450" s="113"/>
    </row>
    <row r="1451" spans="2:14">
      <c r="B1451" s="105"/>
      <c r="C1451" s="106"/>
      <c r="D1451" s="107"/>
      <c r="E1451" s="65"/>
      <c r="F1451" s="64"/>
      <c r="G1451" s="64"/>
      <c r="H1451" s="64"/>
      <c r="I1451" s="70"/>
      <c r="J1451" s="70"/>
      <c r="K1451" s="110" t="str">
        <f>IF(H1451="","",IF($C$29="간이법","",FPR(H1451,I1451,J1451)))</f>
        <v/>
      </c>
      <c r="L1451" s="111" t="str">
        <f>IF(H1451="","",IF($C$29="상세법",FPV(H1451,K1451),IF(H1451="EI",4,IF(H1451="EO",5.2,IF(H1451="EQ",3.9,IF(H1451="ILF",7.5,IF(H1451="EIF",5.4)))))))</f>
        <v/>
      </c>
      <c r="M1451" s="112" t="str">
        <f t="shared" si="25"/>
        <v/>
      </c>
      <c r="N1451" s="113"/>
    </row>
    <row r="1452" spans="2:14">
      <c r="B1452" s="105"/>
      <c r="C1452" s="106"/>
      <c r="D1452" s="107"/>
      <c r="E1452" s="65"/>
      <c r="F1452" s="64"/>
      <c r="G1452" s="64"/>
      <c r="H1452" s="64"/>
      <c r="I1452" s="70"/>
      <c r="J1452" s="70"/>
      <c r="K1452" s="110" t="str">
        <f>IF(H1452="","",IF($C$29="간이법","",FPR(H1452,I1452,J1452)))</f>
        <v/>
      </c>
      <c r="L1452" s="111" t="str">
        <f>IF(H1452="","",IF($C$29="상세법",FPV(H1452,K1452),IF(H1452="EI",4,IF(H1452="EO",5.2,IF(H1452="EQ",3.9,IF(H1452="ILF",7.5,IF(H1452="EIF",5.4)))))))</f>
        <v/>
      </c>
      <c r="M1452" s="112" t="str">
        <f t="shared" si="25"/>
        <v/>
      </c>
      <c r="N1452" s="113"/>
    </row>
    <row r="1453" spans="2:14">
      <c r="B1453" s="105"/>
      <c r="C1453" s="106"/>
      <c r="D1453" s="107"/>
      <c r="E1453" s="65"/>
      <c r="F1453" s="64"/>
      <c r="G1453" s="64"/>
      <c r="H1453" s="64"/>
      <c r="I1453" s="70"/>
      <c r="J1453" s="70"/>
      <c r="K1453" s="110" t="str">
        <f>IF(H1453="","",IF($C$29="간이법","",FPR(H1453,I1453,J1453)))</f>
        <v/>
      </c>
      <c r="L1453" s="111" t="str">
        <f>IF(H1453="","",IF($C$29="상세법",FPV(H1453,K1453),IF(H1453="EI",4,IF(H1453="EO",5.2,IF(H1453="EQ",3.9,IF(H1453="ILF",7.5,IF(H1453="EIF",5.4)))))))</f>
        <v/>
      </c>
      <c r="M1453" s="112" t="str">
        <f t="shared" si="25"/>
        <v/>
      </c>
      <c r="N1453" s="113"/>
    </row>
    <row r="1454" spans="2:14">
      <c r="B1454" s="105"/>
      <c r="C1454" s="106"/>
      <c r="D1454" s="107"/>
      <c r="E1454" s="65"/>
      <c r="F1454" s="64"/>
      <c r="G1454" s="64"/>
      <c r="H1454" s="64"/>
      <c r="I1454" s="70"/>
      <c r="J1454" s="70"/>
      <c r="K1454" s="110" t="str">
        <f>IF(H1454="","",IF($C$29="간이법","",FPR(H1454,I1454,J1454)))</f>
        <v/>
      </c>
      <c r="L1454" s="111" t="str">
        <f>IF(H1454="","",IF($C$29="상세법",FPV(H1454,K1454),IF(H1454="EI",4,IF(H1454="EO",5.2,IF(H1454="EQ",3.9,IF(H1454="ILF",7.5,IF(H1454="EIF",5.4)))))))</f>
        <v/>
      </c>
      <c r="M1454" s="112" t="str">
        <f t="shared" si="25"/>
        <v/>
      </c>
      <c r="N1454" s="113"/>
    </row>
    <row r="1455" spans="2:14">
      <c r="B1455" s="105"/>
      <c r="C1455" s="106"/>
      <c r="D1455" s="107"/>
      <c r="E1455" s="65"/>
      <c r="F1455" s="64"/>
      <c r="G1455" s="64"/>
      <c r="H1455" s="64"/>
      <c r="I1455" s="70"/>
      <c r="J1455" s="70"/>
      <c r="K1455" s="110" t="str">
        <f>IF(H1455="","",IF($C$29="간이법","",FPR(H1455,I1455,J1455)))</f>
        <v/>
      </c>
      <c r="L1455" s="111" t="str">
        <f>IF(H1455="","",IF($C$29="상세법",FPV(H1455,K1455),IF(H1455="EI",4,IF(H1455="EO",5.2,IF(H1455="EQ",3.9,IF(H1455="ILF",7.5,IF(H1455="EIF",5.4)))))))</f>
        <v/>
      </c>
      <c r="M1455" s="112" t="str">
        <f t="shared" si="25"/>
        <v/>
      </c>
      <c r="N1455" s="113"/>
    </row>
    <row r="1456" spans="2:14">
      <c r="B1456" s="105"/>
      <c r="C1456" s="106"/>
      <c r="D1456" s="107"/>
      <c r="E1456" s="65"/>
      <c r="F1456" s="64"/>
      <c r="G1456" s="64"/>
      <c r="H1456" s="64"/>
      <c r="I1456" s="70"/>
      <c r="J1456" s="70"/>
      <c r="K1456" s="110" t="str">
        <f>IF(H1456="","",IF($C$29="간이법","",FPR(H1456,I1456,J1456)))</f>
        <v/>
      </c>
      <c r="L1456" s="111" t="str">
        <f>IF(H1456="","",IF($C$29="상세법",FPV(H1456,K1456),IF(H1456="EI",4,IF(H1456="EO",5.2,IF(H1456="EQ",3.9,IF(H1456="ILF",7.5,IF(H1456="EIF",5.4)))))))</f>
        <v/>
      </c>
      <c r="M1456" s="112" t="str">
        <f t="shared" si="25"/>
        <v/>
      </c>
      <c r="N1456" s="113"/>
    </row>
    <row r="1457" spans="2:14">
      <c r="B1457" s="105"/>
      <c r="C1457" s="106"/>
      <c r="D1457" s="107"/>
      <c r="E1457" s="65"/>
      <c r="F1457" s="64"/>
      <c r="G1457" s="64"/>
      <c r="H1457" s="64"/>
      <c r="I1457" s="70"/>
      <c r="J1457" s="70"/>
      <c r="K1457" s="110" t="str">
        <f>IF(H1457="","",IF($C$29="간이법","",FPR(H1457,I1457,J1457)))</f>
        <v/>
      </c>
      <c r="L1457" s="111" t="str">
        <f>IF(H1457="","",IF($C$29="상세법",FPV(H1457,K1457),IF(H1457="EI",4,IF(H1457="EO",5.2,IF(H1457="EQ",3.9,IF(H1457="ILF",7.5,IF(H1457="EIF",5.4)))))))</f>
        <v/>
      </c>
      <c r="M1457" s="112" t="str">
        <f t="shared" si="25"/>
        <v/>
      </c>
      <c r="N1457" s="113"/>
    </row>
    <row r="1458" spans="2:14">
      <c r="B1458" s="105"/>
      <c r="C1458" s="106"/>
      <c r="D1458" s="107"/>
      <c r="E1458" s="65"/>
      <c r="F1458" s="64"/>
      <c r="G1458" s="64"/>
      <c r="H1458" s="64"/>
      <c r="I1458" s="70"/>
      <c r="J1458" s="70"/>
      <c r="K1458" s="110" t="str">
        <f>IF(H1458="","",IF($C$29="간이법","",FPR(H1458,I1458,J1458)))</f>
        <v/>
      </c>
      <c r="L1458" s="111" t="str">
        <f>IF(H1458="","",IF($C$29="상세법",FPV(H1458,K1458),IF(H1458="EI",4,IF(H1458="EO",5.2,IF(H1458="EQ",3.9,IF(H1458="ILF",7.5,IF(H1458="EIF",5.4)))))))</f>
        <v/>
      </c>
      <c r="M1458" s="112" t="str">
        <f t="shared" si="25"/>
        <v/>
      </c>
      <c r="N1458" s="113"/>
    </row>
    <row r="1459" spans="2:14">
      <c r="B1459" s="105"/>
      <c r="C1459" s="106"/>
      <c r="D1459" s="107"/>
      <c r="E1459" s="65"/>
      <c r="F1459" s="64"/>
      <c r="G1459" s="64"/>
      <c r="H1459" s="64"/>
      <c r="I1459" s="70"/>
      <c r="J1459" s="70"/>
      <c r="K1459" s="110" t="str">
        <f>IF(H1459="","",IF($C$29="간이법","",FPR(H1459,I1459,J1459)))</f>
        <v/>
      </c>
      <c r="L1459" s="111" t="str">
        <f>IF(H1459="","",IF($C$29="상세법",FPV(H1459,K1459),IF(H1459="EI",4,IF(H1459="EO",5.2,IF(H1459="EQ",3.9,IF(H1459="ILF",7.5,IF(H1459="EIF",5.4)))))))</f>
        <v/>
      </c>
      <c r="M1459" s="112" t="str">
        <f t="shared" si="25"/>
        <v/>
      </c>
      <c r="N1459" s="113"/>
    </row>
    <row r="1460" spans="2:14">
      <c r="B1460" s="105"/>
      <c r="C1460" s="106"/>
      <c r="D1460" s="107"/>
      <c r="E1460" s="65"/>
      <c r="F1460" s="64"/>
      <c r="G1460" s="64"/>
      <c r="H1460" s="64"/>
      <c r="I1460" s="70"/>
      <c r="J1460" s="70"/>
      <c r="K1460" s="110" t="str">
        <f>IF(H1460="","",IF($C$29="간이법","",FPR(H1460,I1460,J1460)))</f>
        <v/>
      </c>
      <c r="L1460" s="111" t="str">
        <f>IF(H1460="","",IF($C$29="상세법",FPV(H1460,K1460),IF(H1460="EI",4,IF(H1460="EO",5.2,IF(H1460="EQ",3.9,IF(H1460="ILF",7.5,IF(H1460="EIF",5.4)))))))</f>
        <v/>
      </c>
      <c r="M1460" s="112" t="str">
        <f t="shared" si="25"/>
        <v/>
      </c>
      <c r="N1460" s="113"/>
    </row>
    <row r="1461" spans="2:14">
      <c r="B1461" s="105"/>
      <c r="C1461" s="106"/>
      <c r="D1461" s="107"/>
      <c r="E1461" s="65"/>
      <c r="F1461" s="64"/>
      <c r="G1461" s="64"/>
      <c r="H1461" s="64"/>
      <c r="I1461" s="70"/>
      <c r="J1461" s="70"/>
      <c r="K1461" s="110" t="str">
        <f>IF(H1461="","",IF($C$29="간이법","",FPR(H1461,I1461,J1461)))</f>
        <v/>
      </c>
      <c r="L1461" s="111" t="str">
        <f>IF(H1461="","",IF($C$29="상세법",FPV(H1461,K1461),IF(H1461="EI",4,IF(H1461="EO",5.2,IF(H1461="EQ",3.9,IF(H1461="ILF",7.5,IF(H1461="EIF",5.4)))))))</f>
        <v/>
      </c>
      <c r="M1461" s="112" t="str">
        <f t="shared" si="25"/>
        <v/>
      </c>
      <c r="N1461" s="113"/>
    </row>
    <row r="1462" spans="2:14">
      <c r="B1462" s="105"/>
      <c r="C1462" s="106"/>
      <c r="D1462" s="107"/>
      <c r="E1462" s="65"/>
      <c r="F1462" s="64"/>
      <c r="G1462" s="64"/>
      <c r="H1462" s="64"/>
      <c r="I1462" s="70"/>
      <c r="J1462" s="70"/>
      <c r="K1462" s="110" t="str">
        <f>IF(H1462="","",IF($C$29="간이법","",FPR(H1462,I1462,J1462)))</f>
        <v/>
      </c>
      <c r="L1462" s="111" t="str">
        <f>IF(H1462="","",IF($C$29="상세법",FPV(H1462,K1462),IF(H1462="EI",4,IF(H1462="EO",5.2,IF(H1462="EQ",3.9,IF(H1462="ILF",7.5,IF(H1462="EIF",5.4)))))))</f>
        <v/>
      </c>
      <c r="M1462" s="112" t="str">
        <f t="shared" si="25"/>
        <v/>
      </c>
      <c r="N1462" s="113"/>
    </row>
    <row r="1463" spans="2:14">
      <c r="B1463" s="105"/>
      <c r="C1463" s="106"/>
      <c r="D1463" s="107"/>
      <c r="E1463" s="65"/>
      <c r="F1463" s="64"/>
      <c r="G1463" s="64"/>
      <c r="H1463" s="64"/>
      <c r="I1463" s="70"/>
      <c r="J1463" s="70"/>
      <c r="K1463" s="110" t="str">
        <f>IF(H1463="","",IF($C$29="간이법","",FPR(H1463,I1463,J1463)))</f>
        <v/>
      </c>
      <c r="L1463" s="111" t="str">
        <f>IF(H1463="","",IF($C$29="상세법",FPV(H1463,K1463),IF(H1463="EI",4,IF(H1463="EO",5.2,IF(H1463="EQ",3.9,IF(H1463="ILF",7.5,IF(H1463="EIF",5.4)))))))</f>
        <v/>
      </c>
      <c r="M1463" s="112" t="str">
        <f t="shared" si="25"/>
        <v/>
      </c>
      <c r="N1463" s="113"/>
    </row>
    <row r="1464" spans="2:14">
      <c r="B1464" s="105"/>
      <c r="C1464" s="106"/>
      <c r="D1464" s="107"/>
      <c r="E1464" s="65"/>
      <c r="F1464" s="64"/>
      <c r="G1464" s="64"/>
      <c r="H1464" s="64"/>
      <c r="I1464" s="70"/>
      <c r="J1464" s="70"/>
      <c r="K1464" s="110" t="str">
        <f>IF(H1464="","",IF($C$29="간이법","",FPR(H1464,I1464,J1464)))</f>
        <v/>
      </c>
      <c r="L1464" s="111" t="str">
        <f>IF(H1464="","",IF($C$29="상세법",FPV(H1464,K1464),IF(H1464="EI",4,IF(H1464="EO",5.2,IF(H1464="EQ",3.9,IF(H1464="ILF",7.5,IF(H1464="EIF",5.4)))))))</f>
        <v/>
      </c>
      <c r="M1464" s="112" t="str">
        <f t="shared" si="25"/>
        <v/>
      </c>
      <c r="N1464" s="113"/>
    </row>
    <row r="1465" spans="2:14">
      <c r="B1465" s="105"/>
      <c r="C1465" s="106"/>
      <c r="D1465" s="107"/>
      <c r="E1465" s="65"/>
      <c r="F1465" s="64"/>
      <c r="G1465" s="64"/>
      <c r="H1465" s="64"/>
      <c r="I1465" s="70"/>
      <c r="J1465" s="70"/>
      <c r="K1465" s="110" t="str">
        <f>IF(H1465="","",IF($C$29="간이법","",FPR(H1465,I1465,J1465)))</f>
        <v/>
      </c>
      <c r="L1465" s="111" t="str">
        <f>IF(H1465="","",IF($C$29="상세법",FPV(H1465,K1465),IF(H1465="EI",4,IF(H1465="EO",5.2,IF(H1465="EQ",3.9,IF(H1465="ILF",7.5,IF(H1465="EIF",5.4)))))))</f>
        <v/>
      </c>
      <c r="M1465" s="112" t="str">
        <f t="shared" ref="M1465:M1528" si="26">IF(L1465="","",L1465*IF(G1465="상",0.7,IF(G1465="중",0.5,IF(G1465="하",0.2,1))))</f>
        <v/>
      </c>
      <c r="N1465" s="113"/>
    </row>
    <row r="1466" spans="2:14">
      <c r="B1466" s="105"/>
      <c r="C1466" s="106"/>
      <c r="D1466" s="107"/>
      <c r="E1466" s="65"/>
      <c r="F1466" s="64"/>
      <c r="G1466" s="64"/>
      <c r="H1466" s="64"/>
      <c r="I1466" s="70"/>
      <c r="J1466" s="70"/>
      <c r="K1466" s="110" t="str">
        <f>IF(H1466="","",IF($C$29="간이법","",FPR(H1466,I1466,J1466)))</f>
        <v/>
      </c>
      <c r="L1466" s="111" t="str">
        <f>IF(H1466="","",IF($C$29="상세법",FPV(H1466,K1466),IF(H1466="EI",4,IF(H1466="EO",5.2,IF(H1466="EQ",3.9,IF(H1466="ILF",7.5,IF(H1466="EIF",5.4)))))))</f>
        <v/>
      </c>
      <c r="M1466" s="112" t="str">
        <f t="shared" si="26"/>
        <v/>
      </c>
      <c r="N1466" s="113"/>
    </row>
    <row r="1467" spans="2:14">
      <c r="B1467" s="105"/>
      <c r="C1467" s="106"/>
      <c r="D1467" s="107"/>
      <c r="E1467" s="65"/>
      <c r="F1467" s="64"/>
      <c r="G1467" s="64"/>
      <c r="H1467" s="64"/>
      <c r="I1467" s="70"/>
      <c r="J1467" s="70"/>
      <c r="K1467" s="110" t="str">
        <f>IF(H1467="","",IF($C$29="간이법","",FPR(H1467,I1467,J1467)))</f>
        <v/>
      </c>
      <c r="L1467" s="111" t="str">
        <f>IF(H1467="","",IF($C$29="상세법",FPV(H1467,K1467),IF(H1467="EI",4,IF(H1467="EO",5.2,IF(H1467="EQ",3.9,IF(H1467="ILF",7.5,IF(H1467="EIF",5.4)))))))</f>
        <v/>
      </c>
      <c r="M1467" s="112" t="str">
        <f t="shared" si="26"/>
        <v/>
      </c>
      <c r="N1467" s="113"/>
    </row>
    <row r="1468" spans="2:14">
      <c r="B1468" s="105"/>
      <c r="C1468" s="106"/>
      <c r="D1468" s="107"/>
      <c r="E1468" s="65"/>
      <c r="F1468" s="64"/>
      <c r="G1468" s="64"/>
      <c r="H1468" s="64"/>
      <c r="I1468" s="70"/>
      <c r="J1468" s="70"/>
      <c r="K1468" s="110" t="str">
        <f>IF(H1468="","",IF($C$29="간이법","",FPR(H1468,I1468,J1468)))</f>
        <v/>
      </c>
      <c r="L1468" s="111" t="str">
        <f>IF(H1468="","",IF($C$29="상세법",FPV(H1468,K1468),IF(H1468="EI",4,IF(H1468="EO",5.2,IF(H1468="EQ",3.9,IF(H1468="ILF",7.5,IF(H1468="EIF",5.4)))))))</f>
        <v/>
      </c>
      <c r="M1468" s="112" t="str">
        <f t="shared" si="26"/>
        <v/>
      </c>
      <c r="N1468" s="113"/>
    </row>
    <row r="1469" spans="2:14">
      <c r="B1469" s="105"/>
      <c r="C1469" s="106"/>
      <c r="D1469" s="107"/>
      <c r="E1469" s="65"/>
      <c r="F1469" s="64"/>
      <c r="G1469" s="64"/>
      <c r="H1469" s="64"/>
      <c r="I1469" s="70"/>
      <c r="J1469" s="70"/>
      <c r="K1469" s="110" t="str">
        <f>IF(H1469="","",IF($C$29="간이법","",FPR(H1469,I1469,J1469)))</f>
        <v/>
      </c>
      <c r="L1469" s="111" t="str">
        <f>IF(H1469="","",IF($C$29="상세법",FPV(H1469,K1469),IF(H1469="EI",4,IF(H1469="EO",5.2,IF(H1469="EQ",3.9,IF(H1469="ILF",7.5,IF(H1469="EIF",5.4)))))))</f>
        <v/>
      </c>
      <c r="M1469" s="112" t="str">
        <f t="shared" si="26"/>
        <v/>
      </c>
      <c r="N1469" s="113"/>
    </row>
    <row r="1470" spans="2:14">
      <c r="B1470" s="105"/>
      <c r="C1470" s="106"/>
      <c r="D1470" s="107"/>
      <c r="E1470" s="65"/>
      <c r="F1470" s="64"/>
      <c r="G1470" s="64"/>
      <c r="H1470" s="64"/>
      <c r="I1470" s="70"/>
      <c r="J1470" s="70"/>
      <c r="K1470" s="110" t="str">
        <f>IF(H1470="","",IF($C$29="간이법","",FPR(H1470,I1470,J1470)))</f>
        <v/>
      </c>
      <c r="L1470" s="111" t="str">
        <f>IF(H1470="","",IF($C$29="상세법",FPV(H1470,K1470),IF(H1470="EI",4,IF(H1470="EO",5.2,IF(H1470="EQ",3.9,IF(H1470="ILF",7.5,IF(H1470="EIF",5.4)))))))</f>
        <v/>
      </c>
      <c r="M1470" s="112" t="str">
        <f t="shared" si="26"/>
        <v/>
      </c>
      <c r="N1470" s="113"/>
    </row>
    <row r="1471" spans="2:14">
      <c r="B1471" s="105"/>
      <c r="C1471" s="106"/>
      <c r="D1471" s="107"/>
      <c r="E1471" s="65"/>
      <c r="F1471" s="64"/>
      <c r="G1471" s="64"/>
      <c r="H1471" s="64"/>
      <c r="I1471" s="70"/>
      <c r="J1471" s="70"/>
      <c r="K1471" s="110" t="str">
        <f>IF(H1471="","",IF($C$29="간이법","",FPR(H1471,I1471,J1471)))</f>
        <v/>
      </c>
      <c r="L1471" s="111" t="str">
        <f>IF(H1471="","",IF($C$29="상세법",FPV(H1471,K1471),IF(H1471="EI",4,IF(H1471="EO",5.2,IF(H1471="EQ",3.9,IF(H1471="ILF",7.5,IF(H1471="EIF",5.4)))))))</f>
        <v/>
      </c>
      <c r="M1471" s="112" t="str">
        <f t="shared" si="26"/>
        <v/>
      </c>
      <c r="N1471" s="113"/>
    </row>
    <row r="1472" spans="2:14">
      <c r="B1472" s="105"/>
      <c r="C1472" s="106"/>
      <c r="D1472" s="107"/>
      <c r="E1472" s="65"/>
      <c r="F1472" s="64"/>
      <c r="G1472" s="64"/>
      <c r="H1472" s="64"/>
      <c r="I1472" s="70"/>
      <c r="J1472" s="70"/>
      <c r="K1472" s="110" t="str">
        <f>IF(H1472="","",IF($C$29="간이법","",FPR(H1472,I1472,J1472)))</f>
        <v/>
      </c>
      <c r="L1472" s="111" t="str">
        <f>IF(H1472="","",IF($C$29="상세법",FPV(H1472,K1472),IF(H1472="EI",4,IF(H1472="EO",5.2,IF(H1472="EQ",3.9,IF(H1472="ILF",7.5,IF(H1472="EIF",5.4)))))))</f>
        <v/>
      </c>
      <c r="M1472" s="112" t="str">
        <f t="shared" si="26"/>
        <v/>
      </c>
      <c r="N1472" s="113"/>
    </row>
    <row r="1473" spans="2:14">
      <c r="B1473" s="105"/>
      <c r="C1473" s="106"/>
      <c r="D1473" s="107"/>
      <c r="E1473" s="65"/>
      <c r="F1473" s="64"/>
      <c r="G1473" s="64"/>
      <c r="H1473" s="64"/>
      <c r="I1473" s="70"/>
      <c r="J1473" s="70"/>
      <c r="K1473" s="110" t="str">
        <f>IF(H1473="","",IF($C$29="간이법","",FPR(H1473,I1473,J1473)))</f>
        <v/>
      </c>
      <c r="L1473" s="111" t="str">
        <f>IF(H1473="","",IF($C$29="상세법",FPV(H1473,K1473),IF(H1473="EI",4,IF(H1473="EO",5.2,IF(H1473="EQ",3.9,IF(H1473="ILF",7.5,IF(H1473="EIF",5.4)))))))</f>
        <v/>
      </c>
      <c r="M1473" s="112" t="str">
        <f t="shared" si="26"/>
        <v/>
      </c>
      <c r="N1473" s="113"/>
    </row>
    <row r="1474" spans="2:14">
      <c r="B1474" s="105"/>
      <c r="C1474" s="106"/>
      <c r="D1474" s="107"/>
      <c r="E1474" s="65"/>
      <c r="F1474" s="64"/>
      <c r="G1474" s="64"/>
      <c r="H1474" s="64"/>
      <c r="I1474" s="70"/>
      <c r="J1474" s="70"/>
      <c r="K1474" s="110" t="str">
        <f>IF(H1474="","",IF($C$29="간이법","",FPR(H1474,I1474,J1474)))</f>
        <v/>
      </c>
      <c r="L1474" s="111" t="str">
        <f>IF(H1474="","",IF($C$29="상세법",FPV(H1474,K1474),IF(H1474="EI",4,IF(H1474="EO",5.2,IF(H1474="EQ",3.9,IF(H1474="ILF",7.5,IF(H1474="EIF",5.4)))))))</f>
        <v/>
      </c>
      <c r="M1474" s="112" t="str">
        <f t="shared" si="26"/>
        <v/>
      </c>
      <c r="N1474" s="113"/>
    </row>
    <row r="1475" spans="2:14">
      <c r="B1475" s="105"/>
      <c r="C1475" s="106"/>
      <c r="D1475" s="107"/>
      <c r="E1475" s="65"/>
      <c r="F1475" s="64"/>
      <c r="G1475" s="64"/>
      <c r="H1475" s="64"/>
      <c r="I1475" s="70"/>
      <c r="J1475" s="70"/>
      <c r="K1475" s="110" t="str">
        <f>IF(H1475="","",IF($C$29="간이법","",FPR(H1475,I1475,J1475)))</f>
        <v/>
      </c>
      <c r="L1475" s="111" t="str">
        <f>IF(H1475="","",IF($C$29="상세법",FPV(H1475,K1475),IF(H1475="EI",4,IF(H1475="EO",5.2,IF(H1475="EQ",3.9,IF(H1475="ILF",7.5,IF(H1475="EIF",5.4)))))))</f>
        <v/>
      </c>
      <c r="M1475" s="112" t="str">
        <f t="shared" si="26"/>
        <v/>
      </c>
      <c r="N1475" s="113"/>
    </row>
    <row r="1476" spans="2:14">
      <c r="B1476" s="105"/>
      <c r="C1476" s="106"/>
      <c r="D1476" s="107"/>
      <c r="E1476" s="65"/>
      <c r="F1476" s="64"/>
      <c r="G1476" s="64"/>
      <c r="H1476" s="64"/>
      <c r="I1476" s="70"/>
      <c r="J1476" s="70"/>
      <c r="K1476" s="110" t="str">
        <f>IF(H1476="","",IF($C$29="간이법","",FPR(H1476,I1476,J1476)))</f>
        <v/>
      </c>
      <c r="L1476" s="111" t="str">
        <f>IF(H1476="","",IF($C$29="상세법",FPV(H1476,K1476),IF(H1476="EI",4,IF(H1476="EO",5.2,IF(H1476="EQ",3.9,IF(H1476="ILF",7.5,IF(H1476="EIF",5.4)))))))</f>
        <v/>
      </c>
      <c r="M1476" s="112" t="str">
        <f t="shared" si="26"/>
        <v/>
      </c>
      <c r="N1476" s="113"/>
    </row>
    <row r="1477" spans="2:14">
      <c r="B1477" s="105"/>
      <c r="C1477" s="106"/>
      <c r="D1477" s="107"/>
      <c r="E1477" s="65"/>
      <c r="F1477" s="64"/>
      <c r="G1477" s="64"/>
      <c r="H1477" s="64"/>
      <c r="I1477" s="70"/>
      <c r="J1477" s="70"/>
      <c r="K1477" s="110" t="str">
        <f>IF(H1477="","",IF($C$29="간이법","",FPR(H1477,I1477,J1477)))</f>
        <v/>
      </c>
      <c r="L1477" s="111" t="str">
        <f>IF(H1477="","",IF($C$29="상세법",FPV(H1477,K1477),IF(H1477="EI",4,IF(H1477="EO",5.2,IF(H1477="EQ",3.9,IF(H1477="ILF",7.5,IF(H1477="EIF",5.4)))))))</f>
        <v/>
      </c>
      <c r="M1477" s="112" t="str">
        <f t="shared" si="26"/>
        <v/>
      </c>
      <c r="N1477" s="113"/>
    </row>
    <row r="1478" spans="2:14">
      <c r="B1478" s="105"/>
      <c r="C1478" s="106"/>
      <c r="D1478" s="107"/>
      <c r="E1478" s="65"/>
      <c r="F1478" s="64"/>
      <c r="G1478" s="64"/>
      <c r="H1478" s="64"/>
      <c r="I1478" s="70"/>
      <c r="J1478" s="70"/>
      <c r="K1478" s="110" t="str">
        <f>IF(H1478="","",IF($C$29="간이법","",FPR(H1478,I1478,J1478)))</f>
        <v/>
      </c>
      <c r="L1478" s="111" t="str">
        <f>IF(H1478="","",IF($C$29="상세법",FPV(H1478,K1478),IF(H1478="EI",4,IF(H1478="EO",5.2,IF(H1478="EQ",3.9,IF(H1478="ILF",7.5,IF(H1478="EIF",5.4)))))))</f>
        <v/>
      </c>
      <c r="M1478" s="112" t="str">
        <f t="shared" si="26"/>
        <v/>
      </c>
      <c r="N1478" s="113"/>
    </row>
    <row r="1479" spans="2:14">
      <c r="B1479" s="105"/>
      <c r="C1479" s="106"/>
      <c r="D1479" s="107"/>
      <c r="E1479" s="65"/>
      <c r="F1479" s="64"/>
      <c r="G1479" s="64"/>
      <c r="H1479" s="64"/>
      <c r="I1479" s="70"/>
      <c r="J1479" s="70"/>
      <c r="K1479" s="110" t="str">
        <f>IF(H1479="","",IF($C$29="간이법","",FPR(H1479,I1479,J1479)))</f>
        <v/>
      </c>
      <c r="L1479" s="111" t="str">
        <f>IF(H1479="","",IF($C$29="상세법",FPV(H1479,K1479),IF(H1479="EI",4,IF(H1479="EO",5.2,IF(H1479="EQ",3.9,IF(H1479="ILF",7.5,IF(H1479="EIF",5.4)))))))</f>
        <v/>
      </c>
      <c r="M1479" s="112" t="str">
        <f t="shared" si="26"/>
        <v/>
      </c>
      <c r="N1479" s="113"/>
    </row>
    <row r="1480" spans="2:14">
      <c r="B1480" s="105"/>
      <c r="C1480" s="106"/>
      <c r="D1480" s="107"/>
      <c r="E1480" s="65"/>
      <c r="F1480" s="64"/>
      <c r="G1480" s="64"/>
      <c r="H1480" s="64"/>
      <c r="I1480" s="70"/>
      <c r="J1480" s="70"/>
      <c r="K1480" s="110" t="str">
        <f>IF(H1480="","",IF($C$29="간이법","",FPR(H1480,I1480,J1480)))</f>
        <v/>
      </c>
      <c r="L1480" s="111" t="str">
        <f>IF(H1480="","",IF($C$29="상세법",FPV(H1480,K1480),IF(H1480="EI",4,IF(H1480="EO",5.2,IF(H1480="EQ",3.9,IF(H1480="ILF",7.5,IF(H1480="EIF",5.4)))))))</f>
        <v/>
      </c>
      <c r="M1480" s="112" t="str">
        <f t="shared" si="26"/>
        <v/>
      </c>
      <c r="N1480" s="113"/>
    </row>
    <row r="1481" spans="2:14">
      <c r="B1481" s="105"/>
      <c r="C1481" s="106"/>
      <c r="D1481" s="107"/>
      <c r="E1481" s="65"/>
      <c r="F1481" s="64"/>
      <c r="G1481" s="64"/>
      <c r="H1481" s="64"/>
      <c r="I1481" s="70"/>
      <c r="J1481" s="70"/>
      <c r="K1481" s="110" t="str">
        <f>IF(H1481="","",IF($C$29="간이법","",FPR(H1481,I1481,J1481)))</f>
        <v/>
      </c>
      <c r="L1481" s="111" t="str">
        <f>IF(H1481="","",IF($C$29="상세법",FPV(H1481,K1481),IF(H1481="EI",4,IF(H1481="EO",5.2,IF(H1481="EQ",3.9,IF(H1481="ILF",7.5,IF(H1481="EIF",5.4)))))))</f>
        <v/>
      </c>
      <c r="M1481" s="112" t="str">
        <f t="shared" si="26"/>
        <v/>
      </c>
      <c r="N1481" s="113"/>
    </row>
    <row r="1482" spans="2:14">
      <c r="B1482" s="105"/>
      <c r="C1482" s="106"/>
      <c r="D1482" s="107"/>
      <c r="E1482" s="65"/>
      <c r="F1482" s="64"/>
      <c r="G1482" s="64"/>
      <c r="H1482" s="64"/>
      <c r="I1482" s="70"/>
      <c r="J1482" s="70"/>
      <c r="K1482" s="110" t="str">
        <f>IF(H1482="","",IF($C$29="간이법","",FPR(H1482,I1482,J1482)))</f>
        <v/>
      </c>
      <c r="L1482" s="111" t="str">
        <f>IF(H1482="","",IF($C$29="상세법",FPV(H1482,K1482),IF(H1482="EI",4,IF(H1482="EO",5.2,IF(H1482="EQ",3.9,IF(H1482="ILF",7.5,IF(H1482="EIF",5.4)))))))</f>
        <v/>
      </c>
      <c r="M1482" s="112" t="str">
        <f t="shared" si="26"/>
        <v/>
      </c>
      <c r="N1482" s="113"/>
    </row>
    <row r="1483" spans="2:14">
      <c r="B1483" s="105"/>
      <c r="C1483" s="106"/>
      <c r="D1483" s="107"/>
      <c r="E1483" s="65"/>
      <c r="F1483" s="64"/>
      <c r="G1483" s="64"/>
      <c r="H1483" s="64"/>
      <c r="I1483" s="70"/>
      <c r="J1483" s="70"/>
      <c r="K1483" s="110" t="str">
        <f>IF(H1483="","",IF($C$29="간이법","",FPR(H1483,I1483,J1483)))</f>
        <v/>
      </c>
      <c r="L1483" s="111" t="str">
        <f>IF(H1483="","",IF($C$29="상세법",FPV(H1483,K1483),IF(H1483="EI",4,IF(H1483="EO",5.2,IF(H1483="EQ",3.9,IF(H1483="ILF",7.5,IF(H1483="EIF",5.4)))))))</f>
        <v/>
      </c>
      <c r="M1483" s="112" t="str">
        <f t="shared" si="26"/>
        <v/>
      </c>
      <c r="N1483" s="113"/>
    </row>
    <row r="1484" spans="2:14">
      <c r="B1484" s="105"/>
      <c r="C1484" s="106"/>
      <c r="D1484" s="107"/>
      <c r="E1484" s="65"/>
      <c r="F1484" s="64"/>
      <c r="G1484" s="64"/>
      <c r="H1484" s="64"/>
      <c r="I1484" s="70"/>
      <c r="J1484" s="70"/>
      <c r="K1484" s="110" t="str">
        <f>IF(H1484="","",IF($C$29="간이법","",FPR(H1484,I1484,J1484)))</f>
        <v/>
      </c>
      <c r="L1484" s="111" t="str">
        <f>IF(H1484="","",IF($C$29="상세법",FPV(H1484,K1484),IF(H1484="EI",4,IF(H1484="EO",5.2,IF(H1484="EQ",3.9,IF(H1484="ILF",7.5,IF(H1484="EIF",5.4)))))))</f>
        <v/>
      </c>
      <c r="M1484" s="112" t="str">
        <f t="shared" si="26"/>
        <v/>
      </c>
      <c r="N1484" s="113"/>
    </row>
    <row r="1485" spans="2:14">
      <c r="B1485" s="105"/>
      <c r="C1485" s="106"/>
      <c r="D1485" s="107"/>
      <c r="E1485" s="65"/>
      <c r="F1485" s="64"/>
      <c r="G1485" s="64"/>
      <c r="H1485" s="64"/>
      <c r="I1485" s="70"/>
      <c r="J1485" s="70"/>
      <c r="K1485" s="110" t="str">
        <f>IF(H1485="","",IF($C$29="간이법","",FPR(H1485,I1485,J1485)))</f>
        <v/>
      </c>
      <c r="L1485" s="111" t="str">
        <f>IF(H1485="","",IF($C$29="상세법",FPV(H1485,K1485),IF(H1485="EI",4,IF(H1485="EO",5.2,IF(H1485="EQ",3.9,IF(H1485="ILF",7.5,IF(H1485="EIF",5.4)))))))</f>
        <v/>
      </c>
      <c r="M1485" s="112" t="str">
        <f t="shared" si="26"/>
        <v/>
      </c>
      <c r="N1485" s="113"/>
    </row>
    <row r="1486" spans="2:14">
      <c r="B1486" s="105"/>
      <c r="C1486" s="106"/>
      <c r="D1486" s="107"/>
      <c r="E1486" s="65"/>
      <c r="F1486" s="64"/>
      <c r="G1486" s="64"/>
      <c r="H1486" s="64"/>
      <c r="I1486" s="70"/>
      <c r="J1486" s="70"/>
      <c r="K1486" s="110" t="str">
        <f>IF(H1486="","",IF($C$29="간이법","",FPR(H1486,I1486,J1486)))</f>
        <v/>
      </c>
      <c r="L1486" s="111" t="str">
        <f>IF(H1486="","",IF($C$29="상세법",FPV(H1486,K1486),IF(H1486="EI",4,IF(H1486="EO",5.2,IF(H1486="EQ",3.9,IF(H1486="ILF",7.5,IF(H1486="EIF",5.4)))))))</f>
        <v/>
      </c>
      <c r="M1486" s="112" t="str">
        <f t="shared" si="26"/>
        <v/>
      </c>
      <c r="N1486" s="113"/>
    </row>
    <row r="1487" spans="2:14">
      <c r="B1487" s="105"/>
      <c r="C1487" s="106"/>
      <c r="D1487" s="107"/>
      <c r="E1487" s="65"/>
      <c r="F1487" s="64"/>
      <c r="G1487" s="64"/>
      <c r="H1487" s="64"/>
      <c r="I1487" s="70"/>
      <c r="J1487" s="70"/>
      <c r="K1487" s="110" t="str">
        <f>IF(H1487="","",IF($C$29="간이법","",FPR(H1487,I1487,J1487)))</f>
        <v/>
      </c>
      <c r="L1487" s="111" t="str">
        <f>IF(H1487="","",IF($C$29="상세법",FPV(H1487,K1487),IF(H1487="EI",4,IF(H1487="EO",5.2,IF(H1487="EQ",3.9,IF(H1487="ILF",7.5,IF(H1487="EIF",5.4)))))))</f>
        <v/>
      </c>
      <c r="M1487" s="112" t="str">
        <f t="shared" si="26"/>
        <v/>
      </c>
      <c r="N1487" s="113"/>
    </row>
    <row r="1488" spans="2:14">
      <c r="B1488" s="105"/>
      <c r="C1488" s="106"/>
      <c r="D1488" s="107"/>
      <c r="E1488" s="65"/>
      <c r="F1488" s="64"/>
      <c r="G1488" s="64"/>
      <c r="H1488" s="64"/>
      <c r="I1488" s="70"/>
      <c r="J1488" s="70"/>
      <c r="K1488" s="110" t="str">
        <f>IF(H1488="","",IF($C$29="간이법","",FPR(H1488,I1488,J1488)))</f>
        <v/>
      </c>
      <c r="L1488" s="111" t="str">
        <f>IF(H1488="","",IF($C$29="상세법",FPV(H1488,K1488),IF(H1488="EI",4,IF(H1488="EO",5.2,IF(H1488="EQ",3.9,IF(H1488="ILF",7.5,IF(H1488="EIF",5.4)))))))</f>
        <v/>
      </c>
      <c r="M1488" s="112" t="str">
        <f t="shared" si="26"/>
        <v/>
      </c>
      <c r="N1488" s="113"/>
    </row>
    <row r="1489" spans="2:14">
      <c r="B1489" s="105"/>
      <c r="C1489" s="106"/>
      <c r="D1489" s="107"/>
      <c r="E1489" s="65"/>
      <c r="F1489" s="64"/>
      <c r="G1489" s="64"/>
      <c r="H1489" s="64"/>
      <c r="I1489" s="70"/>
      <c r="J1489" s="70"/>
      <c r="K1489" s="110" t="str">
        <f>IF(H1489="","",IF($C$29="간이법","",FPR(H1489,I1489,J1489)))</f>
        <v/>
      </c>
      <c r="L1489" s="111" t="str">
        <f>IF(H1489="","",IF($C$29="상세법",FPV(H1489,K1489),IF(H1489="EI",4,IF(H1489="EO",5.2,IF(H1489="EQ",3.9,IF(H1489="ILF",7.5,IF(H1489="EIF",5.4)))))))</f>
        <v/>
      </c>
      <c r="M1489" s="112" t="str">
        <f t="shared" si="26"/>
        <v/>
      </c>
      <c r="N1489" s="113"/>
    </row>
    <row r="1490" spans="2:14">
      <c r="B1490" s="105"/>
      <c r="C1490" s="106"/>
      <c r="D1490" s="107"/>
      <c r="E1490" s="65"/>
      <c r="F1490" s="64"/>
      <c r="G1490" s="64"/>
      <c r="H1490" s="64"/>
      <c r="I1490" s="70"/>
      <c r="J1490" s="70"/>
      <c r="K1490" s="110" t="str">
        <f>IF(H1490="","",IF($C$29="간이법","",FPR(H1490,I1490,J1490)))</f>
        <v/>
      </c>
      <c r="L1490" s="111" t="str">
        <f>IF(H1490="","",IF($C$29="상세법",FPV(H1490,K1490),IF(H1490="EI",4,IF(H1490="EO",5.2,IF(H1490="EQ",3.9,IF(H1490="ILF",7.5,IF(H1490="EIF",5.4)))))))</f>
        <v/>
      </c>
      <c r="M1490" s="112" t="str">
        <f t="shared" si="26"/>
        <v/>
      </c>
      <c r="N1490" s="113"/>
    </row>
    <row r="1491" spans="2:14">
      <c r="B1491" s="105"/>
      <c r="C1491" s="106"/>
      <c r="D1491" s="107"/>
      <c r="E1491" s="65"/>
      <c r="F1491" s="64"/>
      <c r="G1491" s="64"/>
      <c r="H1491" s="64"/>
      <c r="I1491" s="70"/>
      <c r="J1491" s="70"/>
      <c r="K1491" s="110" t="str">
        <f>IF(H1491="","",IF($C$29="간이법","",FPR(H1491,I1491,J1491)))</f>
        <v/>
      </c>
      <c r="L1491" s="111" t="str">
        <f>IF(H1491="","",IF($C$29="상세법",FPV(H1491,K1491),IF(H1491="EI",4,IF(H1491="EO",5.2,IF(H1491="EQ",3.9,IF(H1491="ILF",7.5,IF(H1491="EIF",5.4)))))))</f>
        <v/>
      </c>
      <c r="M1491" s="112" t="str">
        <f t="shared" si="26"/>
        <v/>
      </c>
      <c r="N1491" s="113"/>
    </row>
    <row r="1492" spans="2:14">
      <c r="B1492" s="105"/>
      <c r="C1492" s="106"/>
      <c r="D1492" s="107"/>
      <c r="E1492" s="65"/>
      <c r="F1492" s="64"/>
      <c r="G1492" s="64"/>
      <c r="H1492" s="64"/>
      <c r="I1492" s="70"/>
      <c r="J1492" s="70"/>
      <c r="K1492" s="110" t="str">
        <f>IF(H1492="","",IF($C$29="간이법","",FPR(H1492,I1492,J1492)))</f>
        <v/>
      </c>
      <c r="L1492" s="111" t="str">
        <f>IF(H1492="","",IF($C$29="상세법",FPV(H1492,K1492),IF(H1492="EI",4,IF(H1492="EO",5.2,IF(H1492="EQ",3.9,IF(H1492="ILF",7.5,IF(H1492="EIF",5.4)))))))</f>
        <v/>
      </c>
      <c r="M1492" s="112" t="str">
        <f t="shared" si="26"/>
        <v/>
      </c>
      <c r="N1492" s="113"/>
    </row>
    <row r="1493" spans="2:14">
      <c r="B1493" s="105"/>
      <c r="C1493" s="106"/>
      <c r="D1493" s="107"/>
      <c r="E1493" s="65"/>
      <c r="F1493" s="64"/>
      <c r="G1493" s="64"/>
      <c r="H1493" s="64"/>
      <c r="I1493" s="70"/>
      <c r="J1493" s="70"/>
      <c r="K1493" s="110" t="str">
        <f>IF(H1493="","",IF($C$29="간이법","",FPR(H1493,I1493,J1493)))</f>
        <v/>
      </c>
      <c r="L1493" s="111" t="str">
        <f>IF(H1493="","",IF($C$29="상세법",FPV(H1493,K1493),IF(H1493="EI",4,IF(H1493="EO",5.2,IF(H1493="EQ",3.9,IF(H1493="ILF",7.5,IF(H1493="EIF",5.4)))))))</f>
        <v/>
      </c>
      <c r="M1493" s="112" t="str">
        <f t="shared" si="26"/>
        <v/>
      </c>
      <c r="N1493" s="113"/>
    </row>
    <row r="1494" spans="2:14">
      <c r="B1494" s="105"/>
      <c r="C1494" s="106"/>
      <c r="D1494" s="107"/>
      <c r="E1494" s="65"/>
      <c r="F1494" s="64"/>
      <c r="G1494" s="64"/>
      <c r="H1494" s="64"/>
      <c r="I1494" s="70"/>
      <c r="J1494" s="70"/>
      <c r="K1494" s="110" t="str">
        <f>IF(H1494="","",IF($C$29="간이법","",FPR(H1494,I1494,J1494)))</f>
        <v/>
      </c>
      <c r="L1494" s="111" t="str">
        <f>IF(H1494="","",IF($C$29="상세법",FPV(H1494,K1494),IF(H1494="EI",4,IF(H1494="EO",5.2,IF(H1494="EQ",3.9,IF(H1494="ILF",7.5,IF(H1494="EIF",5.4)))))))</f>
        <v/>
      </c>
      <c r="M1494" s="112" t="str">
        <f t="shared" si="26"/>
        <v/>
      </c>
      <c r="N1494" s="113"/>
    </row>
    <row r="1495" spans="2:14">
      <c r="B1495" s="105"/>
      <c r="C1495" s="106"/>
      <c r="D1495" s="107"/>
      <c r="E1495" s="65"/>
      <c r="F1495" s="64"/>
      <c r="G1495" s="64"/>
      <c r="H1495" s="64"/>
      <c r="I1495" s="70"/>
      <c r="J1495" s="70"/>
      <c r="K1495" s="110" t="str">
        <f>IF(H1495="","",IF($C$29="간이법","",FPR(H1495,I1495,J1495)))</f>
        <v/>
      </c>
      <c r="L1495" s="111" t="str">
        <f>IF(H1495="","",IF($C$29="상세법",FPV(H1495,K1495),IF(H1495="EI",4,IF(H1495="EO",5.2,IF(H1495="EQ",3.9,IF(H1495="ILF",7.5,IF(H1495="EIF",5.4)))))))</f>
        <v/>
      </c>
      <c r="M1495" s="112" t="str">
        <f t="shared" si="26"/>
        <v/>
      </c>
      <c r="N1495" s="113"/>
    </row>
    <row r="1496" spans="2:14">
      <c r="B1496" s="105"/>
      <c r="C1496" s="106"/>
      <c r="D1496" s="107"/>
      <c r="E1496" s="65"/>
      <c r="F1496" s="64"/>
      <c r="G1496" s="64"/>
      <c r="H1496" s="64"/>
      <c r="I1496" s="70"/>
      <c r="J1496" s="70"/>
      <c r="K1496" s="110" t="str">
        <f>IF(H1496="","",IF($C$29="간이법","",FPR(H1496,I1496,J1496)))</f>
        <v/>
      </c>
      <c r="L1496" s="111" t="str">
        <f>IF(H1496="","",IF($C$29="상세법",FPV(H1496,K1496),IF(H1496="EI",4,IF(H1496="EO",5.2,IF(H1496="EQ",3.9,IF(H1496="ILF",7.5,IF(H1496="EIF",5.4)))))))</f>
        <v/>
      </c>
      <c r="M1496" s="112" t="str">
        <f t="shared" si="26"/>
        <v/>
      </c>
      <c r="N1496" s="113"/>
    </row>
    <row r="1497" spans="2:14">
      <c r="B1497" s="105"/>
      <c r="C1497" s="106"/>
      <c r="D1497" s="107"/>
      <c r="E1497" s="65"/>
      <c r="F1497" s="64"/>
      <c r="G1497" s="64"/>
      <c r="H1497" s="64"/>
      <c r="I1497" s="70"/>
      <c r="J1497" s="70"/>
      <c r="K1497" s="110" t="str">
        <f>IF(H1497="","",IF($C$29="간이법","",FPR(H1497,I1497,J1497)))</f>
        <v/>
      </c>
      <c r="L1497" s="111" t="str">
        <f>IF(H1497="","",IF($C$29="상세법",FPV(H1497,K1497),IF(H1497="EI",4,IF(H1497="EO",5.2,IF(H1497="EQ",3.9,IF(H1497="ILF",7.5,IF(H1497="EIF",5.4)))))))</f>
        <v/>
      </c>
      <c r="M1497" s="112" t="str">
        <f t="shared" si="26"/>
        <v/>
      </c>
      <c r="N1497" s="113"/>
    </row>
    <row r="1498" spans="2:14">
      <c r="B1498" s="105"/>
      <c r="C1498" s="106"/>
      <c r="D1498" s="107"/>
      <c r="E1498" s="65"/>
      <c r="F1498" s="64"/>
      <c r="G1498" s="64"/>
      <c r="H1498" s="64"/>
      <c r="I1498" s="70"/>
      <c r="J1498" s="70"/>
      <c r="K1498" s="110" t="str">
        <f>IF(H1498="","",IF($C$29="간이법","",FPR(H1498,I1498,J1498)))</f>
        <v/>
      </c>
      <c r="L1498" s="111" t="str">
        <f>IF(H1498="","",IF($C$29="상세법",FPV(H1498,K1498),IF(H1498="EI",4,IF(H1498="EO",5.2,IF(H1498="EQ",3.9,IF(H1498="ILF",7.5,IF(H1498="EIF",5.4)))))))</f>
        <v/>
      </c>
      <c r="M1498" s="112" t="str">
        <f t="shared" si="26"/>
        <v/>
      </c>
      <c r="N1498" s="113"/>
    </row>
    <row r="1499" spans="2:14">
      <c r="B1499" s="105"/>
      <c r="C1499" s="106"/>
      <c r="D1499" s="107"/>
      <c r="E1499" s="65"/>
      <c r="F1499" s="64"/>
      <c r="G1499" s="64"/>
      <c r="H1499" s="64"/>
      <c r="I1499" s="70"/>
      <c r="J1499" s="70"/>
      <c r="K1499" s="110" t="str">
        <f>IF(H1499="","",IF($C$29="간이법","",FPR(H1499,I1499,J1499)))</f>
        <v/>
      </c>
      <c r="L1499" s="111" t="str">
        <f>IF(H1499="","",IF($C$29="상세법",FPV(H1499,K1499),IF(H1499="EI",4,IF(H1499="EO",5.2,IF(H1499="EQ",3.9,IF(H1499="ILF",7.5,IF(H1499="EIF",5.4)))))))</f>
        <v/>
      </c>
      <c r="M1499" s="112" t="str">
        <f t="shared" si="26"/>
        <v/>
      </c>
      <c r="N1499" s="113"/>
    </row>
    <row r="1500" spans="2:14">
      <c r="B1500" s="105"/>
      <c r="C1500" s="106"/>
      <c r="D1500" s="107"/>
      <c r="E1500" s="65"/>
      <c r="F1500" s="64"/>
      <c r="G1500" s="64"/>
      <c r="H1500" s="64"/>
      <c r="I1500" s="70"/>
      <c r="J1500" s="70"/>
      <c r="K1500" s="110" t="str">
        <f>IF(H1500="","",IF($C$29="간이법","",FPR(H1500,I1500,J1500)))</f>
        <v/>
      </c>
      <c r="L1500" s="111" t="str">
        <f>IF(H1500="","",IF($C$29="상세법",FPV(H1500,K1500),IF(H1500="EI",4,IF(H1500="EO",5.2,IF(H1500="EQ",3.9,IF(H1500="ILF",7.5,IF(H1500="EIF",5.4)))))))</f>
        <v/>
      </c>
      <c r="M1500" s="112" t="str">
        <f t="shared" si="26"/>
        <v/>
      </c>
      <c r="N1500" s="113"/>
    </row>
    <row r="1501" spans="2:14">
      <c r="B1501" s="105"/>
      <c r="C1501" s="106"/>
      <c r="D1501" s="107"/>
      <c r="E1501" s="65"/>
      <c r="F1501" s="64"/>
      <c r="G1501" s="64"/>
      <c r="H1501" s="64"/>
      <c r="I1501" s="70"/>
      <c r="J1501" s="70"/>
      <c r="K1501" s="110" t="str">
        <f>IF(H1501="","",IF($C$29="간이법","",FPR(H1501,I1501,J1501)))</f>
        <v/>
      </c>
      <c r="L1501" s="111" t="str">
        <f>IF(H1501="","",IF($C$29="상세법",FPV(H1501,K1501),IF(H1501="EI",4,IF(H1501="EO",5.2,IF(H1501="EQ",3.9,IF(H1501="ILF",7.5,IF(H1501="EIF",5.4)))))))</f>
        <v/>
      </c>
      <c r="M1501" s="112" t="str">
        <f t="shared" si="26"/>
        <v/>
      </c>
      <c r="N1501" s="113"/>
    </row>
    <row r="1502" spans="2:14">
      <c r="B1502" s="105"/>
      <c r="C1502" s="106"/>
      <c r="D1502" s="107"/>
      <c r="E1502" s="65"/>
      <c r="F1502" s="64"/>
      <c r="G1502" s="64"/>
      <c r="H1502" s="64"/>
      <c r="I1502" s="70"/>
      <c r="J1502" s="70"/>
      <c r="K1502" s="110" t="str">
        <f>IF(H1502="","",IF($C$29="간이법","",FPR(H1502,I1502,J1502)))</f>
        <v/>
      </c>
      <c r="L1502" s="111" t="str">
        <f>IF(H1502="","",IF($C$29="상세법",FPV(H1502,K1502),IF(H1502="EI",4,IF(H1502="EO",5.2,IF(H1502="EQ",3.9,IF(H1502="ILF",7.5,IF(H1502="EIF",5.4)))))))</f>
        <v/>
      </c>
      <c r="M1502" s="112" t="str">
        <f t="shared" si="26"/>
        <v/>
      </c>
      <c r="N1502" s="113"/>
    </row>
    <row r="1503" spans="2:14">
      <c r="B1503" s="105"/>
      <c r="C1503" s="106"/>
      <c r="D1503" s="107"/>
      <c r="E1503" s="65"/>
      <c r="F1503" s="64"/>
      <c r="G1503" s="64"/>
      <c r="H1503" s="64"/>
      <c r="I1503" s="70"/>
      <c r="J1503" s="70"/>
      <c r="K1503" s="110" t="str">
        <f>IF(H1503="","",IF($C$29="간이법","",FPR(H1503,I1503,J1503)))</f>
        <v/>
      </c>
      <c r="L1503" s="111" t="str">
        <f>IF(H1503="","",IF($C$29="상세법",FPV(H1503,K1503),IF(H1503="EI",4,IF(H1503="EO",5.2,IF(H1503="EQ",3.9,IF(H1503="ILF",7.5,IF(H1503="EIF",5.4)))))))</f>
        <v/>
      </c>
      <c r="M1503" s="112" t="str">
        <f t="shared" si="26"/>
        <v/>
      </c>
      <c r="N1503" s="113"/>
    </row>
    <row r="1504" spans="2:14">
      <c r="B1504" s="105"/>
      <c r="C1504" s="106"/>
      <c r="D1504" s="107"/>
      <c r="E1504" s="65"/>
      <c r="F1504" s="64"/>
      <c r="G1504" s="64"/>
      <c r="H1504" s="64"/>
      <c r="I1504" s="70"/>
      <c r="J1504" s="70"/>
      <c r="K1504" s="110" t="str">
        <f>IF(H1504="","",IF($C$29="간이법","",FPR(H1504,I1504,J1504)))</f>
        <v/>
      </c>
      <c r="L1504" s="111" t="str">
        <f>IF(H1504="","",IF($C$29="상세법",FPV(H1504,K1504),IF(H1504="EI",4,IF(H1504="EO",5.2,IF(H1504="EQ",3.9,IF(H1504="ILF",7.5,IF(H1504="EIF",5.4)))))))</f>
        <v/>
      </c>
      <c r="M1504" s="112" t="str">
        <f t="shared" si="26"/>
        <v/>
      </c>
      <c r="N1504" s="113"/>
    </row>
    <row r="1505" spans="2:14">
      <c r="B1505" s="105"/>
      <c r="C1505" s="106"/>
      <c r="D1505" s="107"/>
      <c r="E1505" s="65"/>
      <c r="F1505" s="64"/>
      <c r="G1505" s="64"/>
      <c r="H1505" s="64"/>
      <c r="I1505" s="70"/>
      <c r="J1505" s="70"/>
      <c r="K1505" s="110" t="str">
        <f>IF(H1505="","",IF($C$29="간이법","",FPR(H1505,I1505,J1505)))</f>
        <v/>
      </c>
      <c r="L1505" s="111" t="str">
        <f>IF(H1505="","",IF($C$29="상세법",FPV(H1505,K1505),IF(H1505="EI",4,IF(H1505="EO",5.2,IF(H1505="EQ",3.9,IF(H1505="ILF",7.5,IF(H1505="EIF",5.4)))))))</f>
        <v/>
      </c>
      <c r="M1505" s="112" t="str">
        <f t="shared" si="26"/>
        <v/>
      </c>
      <c r="N1505" s="113"/>
    </row>
    <row r="1506" spans="2:14">
      <c r="B1506" s="105"/>
      <c r="C1506" s="106"/>
      <c r="D1506" s="107"/>
      <c r="E1506" s="65"/>
      <c r="F1506" s="64"/>
      <c r="G1506" s="64"/>
      <c r="H1506" s="64"/>
      <c r="I1506" s="70"/>
      <c r="J1506" s="70"/>
      <c r="K1506" s="110" t="str">
        <f>IF(H1506="","",IF($C$29="간이법","",FPR(H1506,I1506,J1506)))</f>
        <v/>
      </c>
      <c r="L1506" s="111" t="str">
        <f>IF(H1506="","",IF($C$29="상세법",FPV(H1506,K1506),IF(H1506="EI",4,IF(H1506="EO",5.2,IF(H1506="EQ",3.9,IF(H1506="ILF",7.5,IF(H1506="EIF",5.4)))))))</f>
        <v/>
      </c>
      <c r="M1506" s="112" t="str">
        <f t="shared" si="26"/>
        <v/>
      </c>
      <c r="N1506" s="113"/>
    </row>
    <row r="1507" spans="2:14">
      <c r="B1507" s="105"/>
      <c r="C1507" s="106"/>
      <c r="D1507" s="107"/>
      <c r="E1507" s="65"/>
      <c r="F1507" s="64"/>
      <c r="G1507" s="64"/>
      <c r="H1507" s="64"/>
      <c r="I1507" s="70"/>
      <c r="J1507" s="70"/>
      <c r="K1507" s="110" t="str">
        <f>IF(H1507="","",IF($C$29="간이법","",FPR(H1507,I1507,J1507)))</f>
        <v/>
      </c>
      <c r="L1507" s="111" t="str">
        <f>IF(H1507="","",IF($C$29="상세법",FPV(H1507,K1507),IF(H1507="EI",4,IF(H1507="EO",5.2,IF(H1507="EQ",3.9,IF(H1507="ILF",7.5,IF(H1507="EIF",5.4)))))))</f>
        <v/>
      </c>
      <c r="M1507" s="112" t="str">
        <f t="shared" si="26"/>
        <v/>
      </c>
      <c r="N1507" s="113"/>
    </row>
    <row r="1508" spans="2:14">
      <c r="B1508" s="105"/>
      <c r="C1508" s="106"/>
      <c r="D1508" s="107"/>
      <c r="E1508" s="65"/>
      <c r="F1508" s="64"/>
      <c r="G1508" s="64"/>
      <c r="H1508" s="64"/>
      <c r="I1508" s="70"/>
      <c r="J1508" s="70"/>
      <c r="K1508" s="110" t="str">
        <f>IF(H1508="","",IF($C$29="간이법","",FPR(H1508,I1508,J1508)))</f>
        <v/>
      </c>
      <c r="L1508" s="111" t="str">
        <f>IF(H1508="","",IF($C$29="상세법",FPV(H1508,K1508),IF(H1508="EI",4,IF(H1508="EO",5.2,IF(H1508="EQ",3.9,IF(H1508="ILF",7.5,IF(H1508="EIF",5.4)))))))</f>
        <v/>
      </c>
      <c r="M1508" s="112" t="str">
        <f t="shared" si="26"/>
        <v/>
      </c>
      <c r="N1508" s="113"/>
    </row>
    <row r="1509" spans="2:14">
      <c r="B1509" s="105"/>
      <c r="C1509" s="106"/>
      <c r="D1509" s="107"/>
      <c r="E1509" s="65"/>
      <c r="F1509" s="64"/>
      <c r="G1509" s="64"/>
      <c r="H1509" s="64"/>
      <c r="I1509" s="70"/>
      <c r="J1509" s="70"/>
      <c r="K1509" s="110" t="str">
        <f>IF(H1509="","",IF($C$29="간이법","",FPR(H1509,I1509,J1509)))</f>
        <v/>
      </c>
      <c r="L1509" s="111" t="str">
        <f>IF(H1509="","",IF($C$29="상세법",FPV(H1509,K1509),IF(H1509="EI",4,IF(H1509="EO",5.2,IF(H1509="EQ",3.9,IF(H1509="ILF",7.5,IF(H1509="EIF",5.4)))))))</f>
        <v/>
      </c>
      <c r="M1509" s="112" t="str">
        <f t="shared" si="26"/>
        <v/>
      </c>
      <c r="N1509" s="113"/>
    </row>
    <row r="1510" spans="2:14">
      <c r="B1510" s="105"/>
      <c r="C1510" s="106"/>
      <c r="D1510" s="107"/>
      <c r="E1510" s="65"/>
      <c r="F1510" s="64"/>
      <c r="G1510" s="64"/>
      <c r="H1510" s="64"/>
      <c r="I1510" s="70"/>
      <c r="J1510" s="70"/>
      <c r="K1510" s="110" t="str">
        <f>IF(H1510="","",IF($C$29="간이법","",FPR(H1510,I1510,J1510)))</f>
        <v/>
      </c>
      <c r="L1510" s="111" t="str">
        <f>IF(H1510="","",IF($C$29="상세법",FPV(H1510,K1510),IF(H1510="EI",4,IF(H1510="EO",5.2,IF(H1510="EQ",3.9,IF(H1510="ILF",7.5,IF(H1510="EIF",5.4)))))))</f>
        <v/>
      </c>
      <c r="M1510" s="112" t="str">
        <f t="shared" si="26"/>
        <v/>
      </c>
      <c r="N1510" s="113"/>
    </row>
    <row r="1511" spans="2:14">
      <c r="B1511" s="105"/>
      <c r="C1511" s="106"/>
      <c r="D1511" s="107"/>
      <c r="E1511" s="65"/>
      <c r="F1511" s="64"/>
      <c r="G1511" s="64"/>
      <c r="H1511" s="64"/>
      <c r="I1511" s="70"/>
      <c r="J1511" s="70"/>
      <c r="K1511" s="110" t="str">
        <f>IF(H1511="","",IF($C$29="간이법","",FPR(H1511,I1511,J1511)))</f>
        <v/>
      </c>
      <c r="L1511" s="111" t="str">
        <f>IF(H1511="","",IF($C$29="상세법",FPV(H1511,K1511),IF(H1511="EI",4,IF(H1511="EO",5.2,IF(H1511="EQ",3.9,IF(H1511="ILF",7.5,IF(H1511="EIF",5.4)))))))</f>
        <v/>
      </c>
      <c r="M1511" s="112" t="str">
        <f t="shared" si="26"/>
        <v/>
      </c>
      <c r="N1511" s="113"/>
    </row>
    <row r="1512" spans="2:14">
      <c r="B1512" s="105"/>
      <c r="C1512" s="106"/>
      <c r="D1512" s="107"/>
      <c r="E1512" s="65"/>
      <c r="F1512" s="64"/>
      <c r="G1512" s="64"/>
      <c r="H1512" s="64"/>
      <c r="I1512" s="70"/>
      <c r="J1512" s="70"/>
      <c r="K1512" s="110" t="str">
        <f>IF(H1512="","",IF($C$29="간이법","",FPR(H1512,I1512,J1512)))</f>
        <v/>
      </c>
      <c r="L1512" s="111" t="str">
        <f>IF(H1512="","",IF($C$29="상세법",FPV(H1512,K1512),IF(H1512="EI",4,IF(H1512="EO",5.2,IF(H1512="EQ",3.9,IF(H1512="ILF",7.5,IF(H1512="EIF",5.4)))))))</f>
        <v/>
      </c>
      <c r="M1512" s="112" t="str">
        <f t="shared" si="26"/>
        <v/>
      </c>
      <c r="N1512" s="113"/>
    </row>
    <row r="1513" spans="2:14">
      <c r="B1513" s="105"/>
      <c r="C1513" s="106"/>
      <c r="D1513" s="107"/>
      <c r="E1513" s="65"/>
      <c r="F1513" s="64"/>
      <c r="G1513" s="64"/>
      <c r="H1513" s="64"/>
      <c r="I1513" s="70"/>
      <c r="J1513" s="70"/>
      <c r="K1513" s="110" t="str">
        <f>IF(H1513="","",IF($C$29="간이법","",FPR(H1513,I1513,J1513)))</f>
        <v/>
      </c>
      <c r="L1513" s="111" t="str">
        <f>IF(H1513="","",IF($C$29="상세법",FPV(H1513,K1513),IF(H1513="EI",4,IF(H1513="EO",5.2,IF(H1513="EQ",3.9,IF(H1513="ILF",7.5,IF(H1513="EIF",5.4)))))))</f>
        <v/>
      </c>
      <c r="M1513" s="112" t="str">
        <f t="shared" si="26"/>
        <v/>
      </c>
      <c r="N1513" s="113"/>
    </row>
    <row r="1514" spans="2:14">
      <c r="B1514" s="105"/>
      <c r="C1514" s="106"/>
      <c r="D1514" s="107"/>
      <c r="E1514" s="65"/>
      <c r="F1514" s="64"/>
      <c r="G1514" s="64"/>
      <c r="H1514" s="64"/>
      <c r="I1514" s="70"/>
      <c r="J1514" s="70"/>
      <c r="K1514" s="110" t="str">
        <f>IF(H1514="","",IF($C$29="간이법","",FPR(H1514,I1514,J1514)))</f>
        <v/>
      </c>
      <c r="L1514" s="111" t="str">
        <f>IF(H1514="","",IF($C$29="상세법",FPV(H1514,K1514),IF(H1514="EI",4,IF(H1514="EO",5.2,IF(H1514="EQ",3.9,IF(H1514="ILF",7.5,IF(H1514="EIF",5.4)))))))</f>
        <v/>
      </c>
      <c r="M1514" s="112" t="str">
        <f t="shared" si="26"/>
        <v/>
      </c>
      <c r="N1514" s="113"/>
    </row>
    <row r="1515" spans="2:14">
      <c r="B1515" s="105"/>
      <c r="C1515" s="106"/>
      <c r="D1515" s="107"/>
      <c r="E1515" s="65"/>
      <c r="F1515" s="64"/>
      <c r="G1515" s="64"/>
      <c r="H1515" s="64"/>
      <c r="I1515" s="70"/>
      <c r="J1515" s="70"/>
      <c r="K1515" s="110" t="str">
        <f>IF(H1515="","",IF($C$29="간이법","",FPR(H1515,I1515,J1515)))</f>
        <v/>
      </c>
      <c r="L1515" s="111" t="str">
        <f>IF(H1515="","",IF($C$29="상세법",FPV(H1515,K1515),IF(H1515="EI",4,IF(H1515="EO",5.2,IF(H1515="EQ",3.9,IF(H1515="ILF",7.5,IF(H1515="EIF",5.4)))))))</f>
        <v/>
      </c>
      <c r="M1515" s="112" t="str">
        <f t="shared" si="26"/>
        <v/>
      </c>
      <c r="N1515" s="113"/>
    </row>
    <row r="1516" spans="2:14">
      <c r="B1516" s="105"/>
      <c r="C1516" s="106"/>
      <c r="D1516" s="107"/>
      <c r="E1516" s="65"/>
      <c r="F1516" s="64"/>
      <c r="G1516" s="64"/>
      <c r="H1516" s="64"/>
      <c r="I1516" s="70"/>
      <c r="J1516" s="70"/>
      <c r="K1516" s="110" t="str">
        <f>IF(H1516="","",IF($C$29="간이법","",FPR(H1516,I1516,J1516)))</f>
        <v/>
      </c>
      <c r="L1516" s="111" t="str">
        <f>IF(H1516="","",IF($C$29="상세법",FPV(H1516,K1516),IF(H1516="EI",4,IF(H1516="EO",5.2,IF(H1516="EQ",3.9,IF(H1516="ILF",7.5,IF(H1516="EIF",5.4)))))))</f>
        <v/>
      </c>
      <c r="M1516" s="112" t="str">
        <f t="shared" si="26"/>
        <v/>
      </c>
      <c r="N1516" s="113"/>
    </row>
    <row r="1517" spans="2:14">
      <c r="B1517" s="105"/>
      <c r="C1517" s="106"/>
      <c r="D1517" s="107"/>
      <c r="E1517" s="65"/>
      <c r="F1517" s="64"/>
      <c r="G1517" s="64"/>
      <c r="H1517" s="64"/>
      <c r="I1517" s="70"/>
      <c r="J1517" s="70"/>
      <c r="K1517" s="110" t="str">
        <f>IF(H1517="","",IF($C$29="간이법","",FPR(H1517,I1517,J1517)))</f>
        <v/>
      </c>
      <c r="L1517" s="111" t="str">
        <f>IF(H1517="","",IF($C$29="상세법",FPV(H1517,K1517),IF(H1517="EI",4,IF(H1517="EO",5.2,IF(H1517="EQ",3.9,IF(H1517="ILF",7.5,IF(H1517="EIF",5.4)))))))</f>
        <v/>
      </c>
      <c r="M1517" s="112" t="str">
        <f t="shared" si="26"/>
        <v/>
      </c>
      <c r="N1517" s="113"/>
    </row>
    <row r="1518" spans="2:14">
      <c r="B1518" s="105"/>
      <c r="C1518" s="106"/>
      <c r="D1518" s="107"/>
      <c r="E1518" s="65"/>
      <c r="F1518" s="64"/>
      <c r="G1518" s="64"/>
      <c r="H1518" s="64"/>
      <c r="I1518" s="70"/>
      <c r="J1518" s="70"/>
      <c r="K1518" s="110" t="str">
        <f>IF(H1518="","",IF($C$29="간이법","",FPR(H1518,I1518,J1518)))</f>
        <v/>
      </c>
      <c r="L1518" s="111" t="str">
        <f>IF(H1518="","",IF($C$29="상세법",FPV(H1518,K1518),IF(H1518="EI",4,IF(H1518="EO",5.2,IF(H1518="EQ",3.9,IF(H1518="ILF",7.5,IF(H1518="EIF",5.4)))))))</f>
        <v/>
      </c>
      <c r="M1518" s="112" t="str">
        <f t="shared" si="26"/>
        <v/>
      </c>
      <c r="N1518" s="113"/>
    </row>
    <row r="1519" spans="2:14">
      <c r="B1519" s="105"/>
      <c r="C1519" s="106"/>
      <c r="D1519" s="107"/>
      <c r="E1519" s="65"/>
      <c r="F1519" s="64"/>
      <c r="G1519" s="64"/>
      <c r="H1519" s="64"/>
      <c r="I1519" s="70"/>
      <c r="J1519" s="70"/>
      <c r="K1519" s="110" t="str">
        <f>IF(H1519="","",IF($C$29="간이법","",FPR(H1519,I1519,J1519)))</f>
        <v/>
      </c>
      <c r="L1519" s="111" t="str">
        <f>IF(H1519="","",IF($C$29="상세법",FPV(H1519,K1519),IF(H1519="EI",4,IF(H1519="EO",5.2,IF(H1519="EQ",3.9,IF(H1519="ILF",7.5,IF(H1519="EIF",5.4)))))))</f>
        <v/>
      </c>
      <c r="M1519" s="112" t="str">
        <f t="shared" si="26"/>
        <v/>
      </c>
      <c r="N1519" s="113"/>
    </row>
    <row r="1520" spans="2:14">
      <c r="B1520" s="105"/>
      <c r="C1520" s="106"/>
      <c r="D1520" s="107"/>
      <c r="E1520" s="65"/>
      <c r="F1520" s="64"/>
      <c r="G1520" s="64"/>
      <c r="H1520" s="64"/>
      <c r="I1520" s="70"/>
      <c r="J1520" s="70"/>
      <c r="K1520" s="110" t="str">
        <f>IF(H1520="","",IF($C$29="간이법","",FPR(H1520,I1520,J1520)))</f>
        <v/>
      </c>
      <c r="L1520" s="111" t="str">
        <f>IF(H1520="","",IF($C$29="상세법",FPV(H1520,K1520),IF(H1520="EI",4,IF(H1520="EO",5.2,IF(H1520="EQ",3.9,IF(H1520="ILF",7.5,IF(H1520="EIF",5.4)))))))</f>
        <v/>
      </c>
      <c r="M1520" s="112" t="str">
        <f t="shared" si="26"/>
        <v/>
      </c>
      <c r="N1520" s="113"/>
    </row>
    <row r="1521" spans="2:14">
      <c r="B1521" s="105"/>
      <c r="C1521" s="106"/>
      <c r="D1521" s="107"/>
      <c r="E1521" s="65"/>
      <c r="F1521" s="64"/>
      <c r="G1521" s="64"/>
      <c r="H1521" s="64"/>
      <c r="I1521" s="70"/>
      <c r="J1521" s="70"/>
      <c r="K1521" s="110" t="str">
        <f>IF(H1521="","",IF($C$29="간이법","",FPR(H1521,I1521,J1521)))</f>
        <v/>
      </c>
      <c r="L1521" s="111" t="str">
        <f>IF(H1521="","",IF($C$29="상세법",FPV(H1521,K1521),IF(H1521="EI",4,IF(H1521="EO",5.2,IF(H1521="EQ",3.9,IF(H1521="ILF",7.5,IF(H1521="EIF",5.4)))))))</f>
        <v/>
      </c>
      <c r="M1521" s="112" t="str">
        <f t="shared" si="26"/>
        <v/>
      </c>
      <c r="N1521" s="113"/>
    </row>
    <row r="1522" spans="2:14">
      <c r="B1522" s="105"/>
      <c r="C1522" s="106"/>
      <c r="D1522" s="107"/>
      <c r="E1522" s="65"/>
      <c r="F1522" s="64"/>
      <c r="G1522" s="64"/>
      <c r="H1522" s="64"/>
      <c r="I1522" s="70"/>
      <c r="J1522" s="70"/>
      <c r="K1522" s="110" t="str">
        <f>IF(H1522="","",IF($C$29="간이법","",FPR(H1522,I1522,J1522)))</f>
        <v/>
      </c>
      <c r="L1522" s="111" t="str">
        <f>IF(H1522="","",IF($C$29="상세법",FPV(H1522,K1522),IF(H1522="EI",4,IF(H1522="EO",5.2,IF(H1522="EQ",3.9,IF(H1522="ILF",7.5,IF(H1522="EIF",5.4)))))))</f>
        <v/>
      </c>
      <c r="M1522" s="112" t="str">
        <f t="shared" si="26"/>
        <v/>
      </c>
      <c r="N1522" s="113"/>
    </row>
    <row r="1523" spans="2:14">
      <c r="B1523" s="105"/>
      <c r="C1523" s="106"/>
      <c r="D1523" s="107"/>
      <c r="E1523" s="65"/>
      <c r="F1523" s="64"/>
      <c r="G1523" s="64"/>
      <c r="H1523" s="64"/>
      <c r="I1523" s="70"/>
      <c r="J1523" s="70"/>
      <c r="K1523" s="110" t="str">
        <f>IF(H1523="","",IF($C$29="간이법","",FPR(H1523,I1523,J1523)))</f>
        <v/>
      </c>
      <c r="L1523" s="111" t="str">
        <f>IF(H1523="","",IF($C$29="상세법",FPV(H1523,K1523),IF(H1523="EI",4,IF(H1523="EO",5.2,IF(H1523="EQ",3.9,IF(H1523="ILF",7.5,IF(H1523="EIF",5.4)))))))</f>
        <v/>
      </c>
      <c r="M1523" s="112" t="str">
        <f t="shared" si="26"/>
        <v/>
      </c>
      <c r="N1523" s="113"/>
    </row>
    <row r="1524" spans="2:14">
      <c r="B1524" s="105"/>
      <c r="C1524" s="106"/>
      <c r="D1524" s="107"/>
      <c r="E1524" s="65"/>
      <c r="F1524" s="64"/>
      <c r="G1524" s="64"/>
      <c r="H1524" s="64"/>
      <c r="I1524" s="70"/>
      <c r="J1524" s="70"/>
      <c r="K1524" s="110" t="str">
        <f>IF(H1524="","",IF($C$29="간이법","",FPR(H1524,I1524,J1524)))</f>
        <v/>
      </c>
      <c r="L1524" s="111" t="str">
        <f>IF(H1524="","",IF($C$29="상세법",FPV(H1524,K1524),IF(H1524="EI",4,IF(H1524="EO",5.2,IF(H1524="EQ",3.9,IF(H1524="ILF",7.5,IF(H1524="EIF",5.4)))))))</f>
        <v/>
      </c>
      <c r="M1524" s="112" t="str">
        <f t="shared" si="26"/>
        <v/>
      </c>
      <c r="N1524" s="113"/>
    </row>
    <row r="1525" spans="2:14">
      <c r="B1525" s="105"/>
      <c r="C1525" s="106"/>
      <c r="D1525" s="107"/>
      <c r="E1525" s="65"/>
      <c r="F1525" s="64"/>
      <c r="G1525" s="64"/>
      <c r="H1525" s="64"/>
      <c r="I1525" s="70"/>
      <c r="J1525" s="70"/>
      <c r="K1525" s="110" t="str">
        <f>IF(H1525="","",IF($C$29="간이법","",FPR(H1525,I1525,J1525)))</f>
        <v/>
      </c>
      <c r="L1525" s="111" t="str">
        <f>IF(H1525="","",IF($C$29="상세법",FPV(H1525,K1525),IF(H1525="EI",4,IF(H1525="EO",5.2,IF(H1525="EQ",3.9,IF(H1525="ILF",7.5,IF(H1525="EIF",5.4)))))))</f>
        <v/>
      </c>
      <c r="M1525" s="112" t="str">
        <f t="shared" si="26"/>
        <v/>
      </c>
      <c r="N1525" s="113"/>
    </row>
    <row r="1526" spans="2:14">
      <c r="B1526" s="105"/>
      <c r="C1526" s="106"/>
      <c r="D1526" s="107"/>
      <c r="E1526" s="65"/>
      <c r="F1526" s="64"/>
      <c r="G1526" s="64"/>
      <c r="H1526" s="64"/>
      <c r="I1526" s="70"/>
      <c r="J1526" s="70"/>
      <c r="K1526" s="110" t="str">
        <f>IF(H1526="","",IF($C$29="간이법","",FPR(H1526,I1526,J1526)))</f>
        <v/>
      </c>
      <c r="L1526" s="111" t="str">
        <f>IF(H1526="","",IF($C$29="상세법",FPV(H1526,K1526),IF(H1526="EI",4,IF(H1526="EO",5.2,IF(H1526="EQ",3.9,IF(H1526="ILF",7.5,IF(H1526="EIF",5.4)))))))</f>
        <v/>
      </c>
      <c r="M1526" s="112" t="str">
        <f t="shared" si="26"/>
        <v/>
      </c>
      <c r="N1526" s="113"/>
    </row>
    <row r="1527" spans="2:14">
      <c r="B1527" s="105"/>
      <c r="C1527" s="106"/>
      <c r="D1527" s="107"/>
      <c r="E1527" s="65"/>
      <c r="F1527" s="64"/>
      <c r="G1527" s="64"/>
      <c r="H1527" s="64"/>
      <c r="I1527" s="70"/>
      <c r="J1527" s="70"/>
      <c r="K1527" s="110" t="str">
        <f>IF(H1527="","",IF($C$29="간이법","",FPR(H1527,I1527,J1527)))</f>
        <v/>
      </c>
      <c r="L1527" s="111" t="str">
        <f>IF(H1527="","",IF($C$29="상세법",FPV(H1527,K1527),IF(H1527="EI",4,IF(H1527="EO",5.2,IF(H1527="EQ",3.9,IF(H1527="ILF",7.5,IF(H1527="EIF",5.4)))))))</f>
        <v/>
      </c>
      <c r="M1527" s="112" t="str">
        <f t="shared" si="26"/>
        <v/>
      </c>
      <c r="N1527" s="113"/>
    </row>
    <row r="1528" spans="2:14">
      <c r="B1528" s="105"/>
      <c r="C1528" s="106"/>
      <c r="D1528" s="107"/>
      <c r="E1528" s="65"/>
      <c r="F1528" s="64"/>
      <c r="G1528" s="64"/>
      <c r="H1528" s="64"/>
      <c r="I1528" s="70"/>
      <c r="J1528" s="70"/>
      <c r="K1528" s="110" t="str">
        <f>IF(H1528="","",IF($C$29="간이법","",FPR(H1528,I1528,J1528)))</f>
        <v/>
      </c>
      <c r="L1528" s="111" t="str">
        <f>IF(H1528="","",IF($C$29="상세법",FPV(H1528,K1528),IF(H1528="EI",4,IF(H1528="EO",5.2,IF(H1528="EQ",3.9,IF(H1528="ILF",7.5,IF(H1528="EIF",5.4)))))))</f>
        <v/>
      </c>
      <c r="M1528" s="112" t="str">
        <f t="shared" si="26"/>
        <v/>
      </c>
      <c r="N1528" s="113"/>
    </row>
    <row r="1529" spans="2:14">
      <c r="B1529" s="105"/>
      <c r="C1529" s="106"/>
      <c r="D1529" s="107"/>
      <c r="E1529" s="65"/>
      <c r="F1529" s="64"/>
      <c r="G1529" s="64"/>
      <c r="H1529" s="64"/>
      <c r="I1529" s="70"/>
      <c r="J1529" s="70"/>
      <c r="K1529" s="110" t="str">
        <f>IF(H1529="","",IF($C$29="간이법","",FPR(H1529,I1529,J1529)))</f>
        <v/>
      </c>
      <c r="L1529" s="111" t="str">
        <f>IF(H1529="","",IF($C$29="상세법",FPV(H1529,K1529),IF(H1529="EI",4,IF(H1529="EO",5.2,IF(H1529="EQ",3.9,IF(H1529="ILF",7.5,IF(H1529="EIF",5.4)))))))</f>
        <v/>
      </c>
      <c r="M1529" s="112" t="str">
        <f t="shared" ref="M1529:M1592" si="27">IF(L1529="","",L1529*IF(G1529="상",0.7,IF(G1529="중",0.5,IF(G1529="하",0.2,1))))</f>
        <v/>
      </c>
      <c r="N1529" s="113"/>
    </row>
    <row r="1530" spans="2:14">
      <c r="B1530" s="105"/>
      <c r="C1530" s="106"/>
      <c r="D1530" s="107"/>
      <c r="E1530" s="65"/>
      <c r="F1530" s="64"/>
      <c r="G1530" s="64"/>
      <c r="H1530" s="64"/>
      <c r="I1530" s="70"/>
      <c r="J1530" s="70"/>
      <c r="K1530" s="110" t="str">
        <f>IF(H1530="","",IF($C$29="간이법","",FPR(H1530,I1530,J1530)))</f>
        <v/>
      </c>
      <c r="L1530" s="111" t="str">
        <f>IF(H1530="","",IF($C$29="상세법",FPV(H1530,K1530),IF(H1530="EI",4,IF(H1530="EO",5.2,IF(H1530="EQ",3.9,IF(H1530="ILF",7.5,IF(H1530="EIF",5.4)))))))</f>
        <v/>
      </c>
      <c r="M1530" s="112" t="str">
        <f t="shared" si="27"/>
        <v/>
      </c>
      <c r="N1530" s="113"/>
    </row>
    <row r="1531" spans="2:14">
      <c r="B1531" s="105"/>
      <c r="C1531" s="106"/>
      <c r="D1531" s="107"/>
      <c r="E1531" s="65"/>
      <c r="F1531" s="64"/>
      <c r="G1531" s="64"/>
      <c r="H1531" s="64"/>
      <c r="I1531" s="70"/>
      <c r="J1531" s="70"/>
      <c r="K1531" s="110" t="str">
        <f>IF(H1531="","",IF($C$29="간이법","",FPR(H1531,I1531,J1531)))</f>
        <v/>
      </c>
      <c r="L1531" s="111" t="str">
        <f>IF(H1531="","",IF($C$29="상세법",FPV(H1531,K1531),IF(H1531="EI",4,IF(H1531="EO",5.2,IF(H1531="EQ",3.9,IF(H1531="ILF",7.5,IF(H1531="EIF",5.4)))))))</f>
        <v/>
      </c>
      <c r="M1531" s="112" t="str">
        <f t="shared" si="27"/>
        <v/>
      </c>
      <c r="N1531" s="113"/>
    </row>
    <row r="1532" spans="2:14">
      <c r="B1532" s="105"/>
      <c r="C1532" s="106"/>
      <c r="D1532" s="107"/>
      <c r="E1532" s="65"/>
      <c r="F1532" s="64"/>
      <c r="G1532" s="64"/>
      <c r="H1532" s="64"/>
      <c r="I1532" s="70"/>
      <c r="J1532" s="70"/>
      <c r="K1532" s="110" t="str">
        <f>IF(H1532="","",IF($C$29="간이법","",FPR(H1532,I1532,J1532)))</f>
        <v/>
      </c>
      <c r="L1532" s="111" t="str">
        <f>IF(H1532="","",IF($C$29="상세법",FPV(H1532,K1532),IF(H1532="EI",4,IF(H1532="EO",5.2,IF(H1532="EQ",3.9,IF(H1532="ILF",7.5,IF(H1532="EIF",5.4)))))))</f>
        <v/>
      </c>
      <c r="M1532" s="112" t="str">
        <f t="shared" si="27"/>
        <v/>
      </c>
      <c r="N1532" s="113"/>
    </row>
    <row r="1533" spans="2:14">
      <c r="B1533" s="105"/>
      <c r="C1533" s="106"/>
      <c r="D1533" s="107"/>
      <c r="E1533" s="65"/>
      <c r="F1533" s="64"/>
      <c r="G1533" s="64"/>
      <c r="H1533" s="64"/>
      <c r="I1533" s="70"/>
      <c r="J1533" s="70"/>
      <c r="K1533" s="110" t="str">
        <f>IF(H1533="","",IF($C$29="간이법","",FPR(H1533,I1533,J1533)))</f>
        <v/>
      </c>
      <c r="L1533" s="111" t="str">
        <f>IF(H1533="","",IF($C$29="상세법",FPV(H1533,K1533),IF(H1533="EI",4,IF(H1533="EO",5.2,IF(H1533="EQ",3.9,IF(H1533="ILF",7.5,IF(H1533="EIF",5.4)))))))</f>
        <v/>
      </c>
      <c r="M1533" s="112" t="str">
        <f t="shared" si="27"/>
        <v/>
      </c>
      <c r="N1533" s="113"/>
    </row>
    <row r="1534" spans="2:14">
      <c r="B1534" s="105"/>
      <c r="C1534" s="106"/>
      <c r="D1534" s="107"/>
      <c r="E1534" s="65"/>
      <c r="F1534" s="64"/>
      <c r="G1534" s="64"/>
      <c r="H1534" s="64"/>
      <c r="I1534" s="70"/>
      <c r="J1534" s="70"/>
      <c r="K1534" s="110" t="str">
        <f>IF(H1534="","",IF($C$29="간이법","",FPR(H1534,I1534,J1534)))</f>
        <v/>
      </c>
      <c r="L1534" s="111" t="str">
        <f>IF(H1534="","",IF($C$29="상세법",FPV(H1534,K1534),IF(H1534="EI",4,IF(H1534="EO",5.2,IF(H1534="EQ",3.9,IF(H1534="ILF",7.5,IF(H1534="EIF",5.4)))))))</f>
        <v/>
      </c>
      <c r="M1534" s="112" t="str">
        <f t="shared" si="27"/>
        <v/>
      </c>
      <c r="N1534" s="113"/>
    </row>
    <row r="1535" spans="2:14">
      <c r="B1535" s="105"/>
      <c r="C1535" s="106"/>
      <c r="D1535" s="107"/>
      <c r="E1535" s="65"/>
      <c r="F1535" s="64"/>
      <c r="G1535" s="64"/>
      <c r="H1535" s="64"/>
      <c r="I1535" s="70"/>
      <c r="J1535" s="70"/>
      <c r="K1535" s="110" t="str">
        <f>IF(H1535="","",IF($C$29="간이법","",FPR(H1535,I1535,J1535)))</f>
        <v/>
      </c>
      <c r="L1535" s="111" t="str">
        <f>IF(H1535="","",IF($C$29="상세법",FPV(H1535,K1535),IF(H1535="EI",4,IF(H1535="EO",5.2,IF(H1535="EQ",3.9,IF(H1535="ILF",7.5,IF(H1535="EIF",5.4)))))))</f>
        <v/>
      </c>
      <c r="M1535" s="112" t="str">
        <f t="shared" si="27"/>
        <v/>
      </c>
      <c r="N1535" s="113"/>
    </row>
    <row r="1536" spans="2:14">
      <c r="B1536" s="105"/>
      <c r="C1536" s="106"/>
      <c r="D1536" s="107"/>
      <c r="E1536" s="65"/>
      <c r="F1536" s="64"/>
      <c r="G1536" s="64"/>
      <c r="H1536" s="64"/>
      <c r="I1536" s="70"/>
      <c r="J1536" s="70"/>
      <c r="K1536" s="110" t="str">
        <f>IF(H1536="","",IF($C$29="간이법","",FPR(H1536,I1536,J1536)))</f>
        <v/>
      </c>
      <c r="L1536" s="111" t="str">
        <f>IF(H1536="","",IF($C$29="상세법",FPV(H1536,K1536),IF(H1536="EI",4,IF(H1536="EO",5.2,IF(H1536="EQ",3.9,IF(H1536="ILF",7.5,IF(H1536="EIF",5.4)))))))</f>
        <v/>
      </c>
      <c r="M1536" s="112" t="str">
        <f t="shared" si="27"/>
        <v/>
      </c>
      <c r="N1536" s="113"/>
    </row>
    <row r="1537" spans="2:14">
      <c r="B1537" s="105"/>
      <c r="C1537" s="106"/>
      <c r="D1537" s="107"/>
      <c r="E1537" s="65"/>
      <c r="F1537" s="64"/>
      <c r="G1537" s="64"/>
      <c r="H1537" s="64"/>
      <c r="I1537" s="70"/>
      <c r="J1537" s="70"/>
      <c r="K1537" s="110" t="str">
        <f>IF(H1537="","",IF($C$29="간이법","",FPR(H1537,I1537,J1537)))</f>
        <v/>
      </c>
      <c r="L1537" s="111" t="str">
        <f>IF(H1537="","",IF($C$29="상세법",FPV(H1537,K1537),IF(H1537="EI",4,IF(H1537="EO",5.2,IF(H1537="EQ",3.9,IF(H1537="ILF",7.5,IF(H1537="EIF",5.4)))))))</f>
        <v/>
      </c>
      <c r="M1537" s="112" t="str">
        <f t="shared" si="27"/>
        <v/>
      </c>
      <c r="N1537" s="113"/>
    </row>
    <row r="1538" spans="2:14">
      <c r="B1538" s="105"/>
      <c r="C1538" s="106"/>
      <c r="D1538" s="107"/>
      <c r="E1538" s="65"/>
      <c r="F1538" s="64"/>
      <c r="G1538" s="64"/>
      <c r="H1538" s="64"/>
      <c r="I1538" s="70"/>
      <c r="J1538" s="70"/>
      <c r="K1538" s="110" t="str">
        <f>IF(H1538="","",IF($C$29="간이법","",FPR(H1538,I1538,J1538)))</f>
        <v/>
      </c>
      <c r="L1538" s="111" t="str">
        <f>IF(H1538="","",IF($C$29="상세법",FPV(H1538,K1538),IF(H1538="EI",4,IF(H1538="EO",5.2,IF(H1538="EQ",3.9,IF(H1538="ILF",7.5,IF(H1538="EIF",5.4)))))))</f>
        <v/>
      </c>
      <c r="M1538" s="112" t="str">
        <f t="shared" si="27"/>
        <v/>
      </c>
      <c r="N1538" s="113"/>
    </row>
    <row r="1539" spans="2:14">
      <c r="B1539" s="105"/>
      <c r="C1539" s="106"/>
      <c r="D1539" s="107"/>
      <c r="E1539" s="65"/>
      <c r="F1539" s="64"/>
      <c r="G1539" s="64"/>
      <c r="H1539" s="64"/>
      <c r="I1539" s="70"/>
      <c r="J1539" s="70"/>
      <c r="K1539" s="110" t="str">
        <f>IF(H1539="","",IF($C$29="간이법","",FPR(H1539,I1539,J1539)))</f>
        <v/>
      </c>
      <c r="L1539" s="111" t="str">
        <f>IF(H1539="","",IF($C$29="상세법",FPV(H1539,K1539),IF(H1539="EI",4,IF(H1539="EO",5.2,IF(H1539="EQ",3.9,IF(H1539="ILF",7.5,IF(H1539="EIF",5.4)))))))</f>
        <v/>
      </c>
      <c r="M1539" s="112" t="str">
        <f t="shared" si="27"/>
        <v/>
      </c>
      <c r="N1539" s="113"/>
    </row>
    <row r="1540" spans="2:14">
      <c r="B1540" s="105"/>
      <c r="C1540" s="106"/>
      <c r="D1540" s="107"/>
      <c r="E1540" s="65"/>
      <c r="F1540" s="64"/>
      <c r="G1540" s="64"/>
      <c r="H1540" s="64"/>
      <c r="I1540" s="70"/>
      <c r="J1540" s="70"/>
      <c r="K1540" s="110" t="str">
        <f>IF(H1540="","",IF($C$29="간이법","",FPR(H1540,I1540,J1540)))</f>
        <v/>
      </c>
      <c r="L1540" s="111" t="str">
        <f>IF(H1540="","",IF($C$29="상세법",FPV(H1540,K1540),IF(H1540="EI",4,IF(H1540="EO",5.2,IF(H1540="EQ",3.9,IF(H1540="ILF",7.5,IF(H1540="EIF",5.4)))))))</f>
        <v/>
      </c>
      <c r="M1540" s="112" t="str">
        <f t="shared" si="27"/>
        <v/>
      </c>
      <c r="N1540" s="113"/>
    </row>
    <row r="1541" spans="2:14">
      <c r="B1541" s="105"/>
      <c r="C1541" s="106"/>
      <c r="D1541" s="107"/>
      <c r="E1541" s="65"/>
      <c r="F1541" s="64"/>
      <c r="G1541" s="64"/>
      <c r="H1541" s="64"/>
      <c r="I1541" s="70"/>
      <c r="J1541" s="70"/>
      <c r="K1541" s="110" t="str">
        <f>IF(H1541="","",IF($C$29="간이법","",FPR(H1541,I1541,J1541)))</f>
        <v/>
      </c>
      <c r="L1541" s="111" t="str">
        <f>IF(H1541="","",IF($C$29="상세법",FPV(H1541,K1541),IF(H1541="EI",4,IF(H1541="EO",5.2,IF(H1541="EQ",3.9,IF(H1541="ILF",7.5,IF(H1541="EIF",5.4)))))))</f>
        <v/>
      </c>
      <c r="M1541" s="112" t="str">
        <f t="shared" si="27"/>
        <v/>
      </c>
      <c r="N1541" s="113"/>
    </row>
    <row r="1542" spans="2:14">
      <c r="B1542" s="105"/>
      <c r="C1542" s="106"/>
      <c r="D1542" s="107"/>
      <c r="E1542" s="65"/>
      <c r="F1542" s="64"/>
      <c r="G1542" s="64"/>
      <c r="H1542" s="64"/>
      <c r="I1542" s="70"/>
      <c r="J1542" s="70"/>
      <c r="K1542" s="110" t="str">
        <f>IF(H1542="","",IF($C$29="간이법","",FPR(H1542,I1542,J1542)))</f>
        <v/>
      </c>
      <c r="L1542" s="111" t="str">
        <f>IF(H1542="","",IF($C$29="상세법",FPV(H1542,K1542),IF(H1542="EI",4,IF(H1542="EO",5.2,IF(H1542="EQ",3.9,IF(H1542="ILF",7.5,IF(H1542="EIF",5.4)))))))</f>
        <v/>
      </c>
      <c r="M1542" s="112" t="str">
        <f t="shared" si="27"/>
        <v/>
      </c>
      <c r="N1542" s="113"/>
    </row>
    <row r="1543" spans="2:14">
      <c r="B1543" s="105"/>
      <c r="C1543" s="106"/>
      <c r="D1543" s="107"/>
      <c r="E1543" s="65"/>
      <c r="F1543" s="64"/>
      <c r="G1543" s="64"/>
      <c r="H1543" s="64"/>
      <c r="I1543" s="70"/>
      <c r="J1543" s="70"/>
      <c r="K1543" s="110" t="str">
        <f>IF(H1543="","",IF($C$29="간이법","",FPR(H1543,I1543,J1543)))</f>
        <v/>
      </c>
      <c r="L1543" s="111" t="str">
        <f>IF(H1543="","",IF($C$29="상세법",FPV(H1543,K1543),IF(H1543="EI",4,IF(H1543="EO",5.2,IF(H1543="EQ",3.9,IF(H1543="ILF",7.5,IF(H1543="EIF",5.4)))))))</f>
        <v/>
      </c>
      <c r="M1543" s="112" t="str">
        <f t="shared" si="27"/>
        <v/>
      </c>
      <c r="N1543" s="113"/>
    </row>
    <row r="1544" spans="2:14">
      <c r="B1544" s="105"/>
      <c r="C1544" s="106"/>
      <c r="D1544" s="107"/>
      <c r="E1544" s="65"/>
      <c r="F1544" s="64"/>
      <c r="G1544" s="64"/>
      <c r="H1544" s="64"/>
      <c r="I1544" s="70"/>
      <c r="J1544" s="70"/>
      <c r="K1544" s="110" t="str">
        <f>IF(H1544="","",IF($C$29="간이법","",FPR(H1544,I1544,J1544)))</f>
        <v/>
      </c>
      <c r="L1544" s="111" t="str">
        <f>IF(H1544="","",IF($C$29="상세법",FPV(H1544,K1544),IF(H1544="EI",4,IF(H1544="EO",5.2,IF(H1544="EQ",3.9,IF(H1544="ILF",7.5,IF(H1544="EIF",5.4)))))))</f>
        <v/>
      </c>
      <c r="M1544" s="112" t="str">
        <f t="shared" si="27"/>
        <v/>
      </c>
      <c r="N1544" s="113"/>
    </row>
    <row r="1545" spans="2:14">
      <c r="B1545" s="105"/>
      <c r="C1545" s="106"/>
      <c r="D1545" s="107"/>
      <c r="E1545" s="65"/>
      <c r="F1545" s="64"/>
      <c r="G1545" s="64"/>
      <c r="H1545" s="64"/>
      <c r="I1545" s="70"/>
      <c r="J1545" s="70"/>
      <c r="K1545" s="110" t="str">
        <f>IF(H1545="","",IF($C$29="간이법","",FPR(H1545,I1545,J1545)))</f>
        <v/>
      </c>
      <c r="L1545" s="111" t="str">
        <f>IF(H1545="","",IF($C$29="상세법",FPV(H1545,K1545),IF(H1545="EI",4,IF(H1545="EO",5.2,IF(H1545="EQ",3.9,IF(H1545="ILF",7.5,IF(H1545="EIF",5.4)))))))</f>
        <v/>
      </c>
      <c r="M1545" s="112" t="str">
        <f t="shared" si="27"/>
        <v/>
      </c>
      <c r="N1545" s="113"/>
    </row>
    <row r="1546" spans="2:14">
      <c r="B1546" s="105"/>
      <c r="C1546" s="106"/>
      <c r="D1546" s="107"/>
      <c r="E1546" s="65"/>
      <c r="F1546" s="64"/>
      <c r="G1546" s="64"/>
      <c r="H1546" s="64"/>
      <c r="I1546" s="70"/>
      <c r="J1546" s="70"/>
      <c r="K1546" s="110" t="str">
        <f>IF(H1546="","",IF($C$29="간이법","",FPR(H1546,I1546,J1546)))</f>
        <v/>
      </c>
      <c r="L1546" s="111" t="str">
        <f>IF(H1546="","",IF($C$29="상세법",FPV(H1546,K1546),IF(H1546="EI",4,IF(H1546="EO",5.2,IF(H1546="EQ",3.9,IF(H1546="ILF",7.5,IF(H1546="EIF",5.4)))))))</f>
        <v/>
      </c>
      <c r="M1546" s="112" t="str">
        <f t="shared" si="27"/>
        <v/>
      </c>
      <c r="N1546" s="113"/>
    </row>
    <row r="1547" spans="2:14">
      <c r="B1547" s="105"/>
      <c r="C1547" s="106"/>
      <c r="D1547" s="107"/>
      <c r="E1547" s="65"/>
      <c r="F1547" s="64"/>
      <c r="G1547" s="64"/>
      <c r="H1547" s="64"/>
      <c r="I1547" s="70"/>
      <c r="J1547" s="70"/>
      <c r="K1547" s="110" t="str">
        <f>IF(H1547="","",IF($C$29="간이법","",FPR(H1547,I1547,J1547)))</f>
        <v/>
      </c>
      <c r="L1547" s="111" t="str">
        <f>IF(H1547="","",IF($C$29="상세법",FPV(H1547,K1547),IF(H1547="EI",4,IF(H1547="EO",5.2,IF(H1547="EQ",3.9,IF(H1547="ILF",7.5,IF(H1547="EIF",5.4)))))))</f>
        <v/>
      </c>
      <c r="M1547" s="112" t="str">
        <f t="shared" si="27"/>
        <v/>
      </c>
      <c r="N1547" s="113"/>
    </row>
    <row r="1548" spans="2:14">
      <c r="B1548" s="105"/>
      <c r="C1548" s="106"/>
      <c r="D1548" s="107"/>
      <c r="E1548" s="65"/>
      <c r="F1548" s="64"/>
      <c r="G1548" s="64"/>
      <c r="H1548" s="64"/>
      <c r="I1548" s="70"/>
      <c r="J1548" s="70"/>
      <c r="K1548" s="110" t="str">
        <f>IF(H1548="","",IF($C$29="간이법","",FPR(H1548,I1548,J1548)))</f>
        <v/>
      </c>
      <c r="L1548" s="111" t="str">
        <f>IF(H1548="","",IF($C$29="상세법",FPV(H1548,K1548),IF(H1548="EI",4,IF(H1548="EO",5.2,IF(H1548="EQ",3.9,IF(H1548="ILF",7.5,IF(H1548="EIF",5.4)))))))</f>
        <v/>
      </c>
      <c r="M1548" s="112" t="str">
        <f t="shared" si="27"/>
        <v/>
      </c>
      <c r="N1548" s="113"/>
    </row>
    <row r="1549" spans="2:14">
      <c r="B1549" s="105"/>
      <c r="C1549" s="106"/>
      <c r="D1549" s="107"/>
      <c r="E1549" s="65"/>
      <c r="F1549" s="64"/>
      <c r="G1549" s="64"/>
      <c r="H1549" s="64"/>
      <c r="I1549" s="70"/>
      <c r="J1549" s="70"/>
      <c r="K1549" s="110" t="str">
        <f>IF(H1549="","",IF($C$29="간이법","",FPR(H1549,I1549,J1549)))</f>
        <v/>
      </c>
      <c r="L1549" s="111" t="str">
        <f>IF(H1549="","",IF($C$29="상세법",FPV(H1549,K1549),IF(H1549="EI",4,IF(H1549="EO",5.2,IF(H1549="EQ",3.9,IF(H1549="ILF",7.5,IF(H1549="EIF",5.4)))))))</f>
        <v/>
      </c>
      <c r="M1549" s="112" t="str">
        <f t="shared" si="27"/>
        <v/>
      </c>
      <c r="N1549" s="113"/>
    </row>
    <row r="1550" spans="2:14">
      <c r="B1550" s="105"/>
      <c r="C1550" s="106"/>
      <c r="D1550" s="107"/>
      <c r="E1550" s="65"/>
      <c r="F1550" s="64"/>
      <c r="G1550" s="64"/>
      <c r="H1550" s="64"/>
      <c r="I1550" s="70"/>
      <c r="J1550" s="70"/>
      <c r="K1550" s="110" t="str">
        <f>IF(H1550="","",IF($C$29="간이법","",FPR(H1550,I1550,J1550)))</f>
        <v/>
      </c>
      <c r="L1550" s="111" t="str">
        <f>IF(H1550="","",IF($C$29="상세법",FPV(H1550,K1550),IF(H1550="EI",4,IF(H1550="EO",5.2,IF(H1550="EQ",3.9,IF(H1550="ILF",7.5,IF(H1550="EIF",5.4)))))))</f>
        <v/>
      </c>
      <c r="M1550" s="112" t="str">
        <f t="shared" si="27"/>
        <v/>
      </c>
      <c r="N1550" s="113"/>
    </row>
    <row r="1551" spans="2:14">
      <c r="B1551" s="105"/>
      <c r="C1551" s="106"/>
      <c r="D1551" s="107"/>
      <c r="E1551" s="65"/>
      <c r="F1551" s="64"/>
      <c r="G1551" s="64"/>
      <c r="H1551" s="64"/>
      <c r="I1551" s="70"/>
      <c r="J1551" s="70"/>
      <c r="K1551" s="110" t="str">
        <f>IF(H1551="","",IF($C$29="간이법","",FPR(H1551,I1551,J1551)))</f>
        <v/>
      </c>
      <c r="L1551" s="111" t="str">
        <f>IF(H1551="","",IF($C$29="상세법",FPV(H1551,K1551),IF(H1551="EI",4,IF(H1551="EO",5.2,IF(H1551="EQ",3.9,IF(H1551="ILF",7.5,IF(H1551="EIF",5.4)))))))</f>
        <v/>
      </c>
      <c r="M1551" s="112" t="str">
        <f t="shared" si="27"/>
        <v/>
      </c>
      <c r="N1551" s="113"/>
    </row>
    <row r="1552" spans="2:14">
      <c r="B1552" s="105"/>
      <c r="C1552" s="106"/>
      <c r="D1552" s="107"/>
      <c r="E1552" s="65"/>
      <c r="F1552" s="64"/>
      <c r="G1552" s="64"/>
      <c r="H1552" s="64"/>
      <c r="I1552" s="70"/>
      <c r="J1552" s="70"/>
      <c r="K1552" s="110" t="str">
        <f>IF(H1552="","",IF($C$29="간이법","",FPR(H1552,I1552,J1552)))</f>
        <v/>
      </c>
      <c r="L1552" s="111" t="str">
        <f>IF(H1552="","",IF($C$29="상세법",FPV(H1552,K1552),IF(H1552="EI",4,IF(H1552="EO",5.2,IF(H1552="EQ",3.9,IF(H1552="ILF",7.5,IF(H1552="EIF",5.4)))))))</f>
        <v/>
      </c>
      <c r="M1552" s="112" t="str">
        <f t="shared" si="27"/>
        <v/>
      </c>
      <c r="N1552" s="113"/>
    </row>
    <row r="1553" spans="2:14">
      <c r="B1553" s="105"/>
      <c r="C1553" s="106"/>
      <c r="D1553" s="107"/>
      <c r="E1553" s="65"/>
      <c r="F1553" s="64"/>
      <c r="G1553" s="64"/>
      <c r="H1553" s="64"/>
      <c r="I1553" s="70"/>
      <c r="J1553" s="70"/>
      <c r="K1553" s="110" t="str">
        <f>IF(H1553="","",IF($C$29="간이법","",FPR(H1553,I1553,J1553)))</f>
        <v/>
      </c>
      <c r="L1553" s="111" t="str">
        <f>IF(H1553="","",IF($C$29="상세법",FPV(H1553,K1553),IF(H1553="EI",4,IF(H1553="EO",5.2,IF(H1553="EQ",3.9,IF(H1553="ILF",7.5,IF(H1553="EIF",5.4)))))))</f>
        <v/>
      </c>
      <c r="M1553" s="112" t="str">
        <f t="shared" si="27"/>
        <v/>
      </c>
      <c r="N1553" s="113"/>
    </row>
    <row r="1554" spans="2:14">
      <c r="B1554" s="105"/>
      <c r="C1554" s="106"/>
      <c r="D1554" s="107"/>
      <c r="E1554" s="65"/>
      <c r="F1554" s="64"/>
      <c r="G1554" s="64"/>
      <c r="H1554" s="64"/>
      <c r="I1554" s="70"/>
      <c r="J1554" s="70"/>
      <c r="K1554" s="110" t="str">
        <f>IF(H1554="","",IF($C$29="간이법","",FPR(H1554,I1554,J1554)))</f>
        <v/>
      </c>
      <c r="L1554" s="111" t="str">
        <f>IF(H1554="","",IF($C$29="상세법",FPV(H1554,K1554),IF(H1554="EI",4,IF(H1554="EO",5.2,IF(H1554="EQ",3.9,IF(H1554="ILF",7.5,IF(H1554="EIF",5.4)))))))</f>
        <v/>
      </c>
      <c r="M1554" s="112" t="str">
        <f t="shared" si="27"/>
        <v/>
      </c>
      <c r="N1554" s="113"/>
    </row>
    <row r="1555" spans="2:14">
      <c r="B1555" s="105"/>
      <c r="C1555" s="106"/>
      <c r="D1555" s="107"/>
      <c r="E1555" s="65"/>
      <c r="F1555" s="64"/>
      <c r="G1555" s="64"/>
      <c r="H1555" s="64"/>
      <c r="I1555" s="70"/>
      <c r="J1555" s="70"/>
      <c r="K1555" s="110" t="str">
        <f>IF(H1555="","",IF($C$29="간이법","",FPR(H1555,I1555,J1555)))</f>
        <v/>
      </c>
      <c r="L1555" s="111" t="str">
        <f>IF(H1555="","",IF($C$29="상세법",FPV(H1555,K1555),IF(H1555="EI",4,IF(H1555="EO",5.2,IF(H1555="EQ",3.9,IF(H1555="ILF",7.5,IF(H1555="EIF",5.4)))))))</f>
        <v/>
      </c>
      <c r="M1555" s="112" t="str">
        <f t="shared" si="27"/>
        <v/>
      </c>
      <c r="N1555" s="113"/>
    </row>
    <row r="1556" spans="2:14">
      <c r="B1556" s="105"/>
      <c r="C1556" s="106"/>
      <c r="D1556" s="107"/>
      <c r="E1556" s="65"/>
      <c r="F1556" s="64"/>
      <c r="G1556" s="64"/>
      <c r="H1556" s="64"/>
      <c r="I1556" s="70"/>
      <c r="J1556" s="70"/>
      <c r="K1556" s="110" t="str">
        <f>IF(H1556="","",IF($C$29="간이법","",FPR(H1556,I1556,J1556)))</f>
        <v/>
      </c>
      <c r="L1556" s="111" t="str">
        <f>IF(H1556="","",IF($C$29="상세법",FPV(H1556,K1556),IF(H1556="EI",4,IF(H1556="EO",5.2,IF(H1556="EQ",3.9,IF(H1556="ILF",7.5,IF(H1556="EIF",5.4)))))))</f>
        <v/>
      </c>
      <c r="M1556" s="112" t="str">
        <f t="shared" si="27"/>
        <v/>
      </c>
      <c r="N1556" s="113"/>
    </row>
    <row r="1557" spans="2:14">
      <c r="B1557" s="105"/>
      <c r="C1557" s="106"/>
      <c r="D1557" s="107"/>
      <c r="E1557" s="65"/>
      <c r="F1557" s="64"/>
      <c r="G1557" s="64"/>
      <c r="H1557" s="64"/>
      <c r="I1557" s="70"/>
      <c r="J1557" s="70"/>
      <c r="K1557" s="110" t="str">
        <f>IF(H1557="","",IF($C$29="간이법","",FPR(H1557,I1557,J1557)))</f>
        <v/>
      </c>
      <c r="L1557" s="111" t="str">
        <f>IF(H1557="","",IF($C$29="상세법",FPV(H1557,K1557),IF(H1557="EI",4,IF(H1557="EO",5.2,IF(H1557="EQ",3.9,IF(H1557="ILF",7.5,IF(H1557="EIF",5.4)))))))</f>
        <v/>
      </c>
      <c r="M1557" s="112" t="str">
        <f t="shared" si="27"/>
        <v/>
      </c>
      <c r="N1557" s="113"/>
    </row>
    <row r="1558" spans="2:14">
      <c r="B1558" s="105"/>
      <c r="C1558" s="106"/>
      <c r="D1558" s="107"/>
      <c r="E1558" s="65"/>
      <c r="F1558" s="64"/>
      <c r="G1558" s="64"/>
      <c r="H1558" s="64"/>
      <c r="I1558" s="70"/>
      <c r="J1558" s="70"/>
      <c r="K1558" s="110" t="str">
        <f>IF(H1558="","",IF($C$29="간이법","",FPR(H1558,I1558,J1558)))</f>
        <v/>
      </c>
      <c r="L1558" s="111" t="str">
        <f>IF(H1558="","",IF($C$29="상세법",FPV(H1558,K1558),IF(H1558="EI",4,IF(H1558="EO",5.2,IF(H1558="EQ",3.9,IF(H1558="ILF",7.5,IF(H1558="EIF",5.4)))))))</f>
        <v/>
      </c>
      <c r="M1558" s="112" t="str">
        <f t="shared" si="27"/>
        <v/>
      </c>
      <c r="N1558" s="113"/>
    </row>
    <row r="1559" spans="2:14">
      <c r="B1559" s="105"/>
      <c r="C1559" s="106"/>
      <c r="D1559" s="107"/>
      <c r="E1559" s="65"/>
      <c r="F1559" s="64"/>
      <c r="G1559" s="64"/>
      <c r="H1559" s="64"/>
      <c r="I1559" s="70"/>
      <c r="J1559" s="70"/>
      <c r="K1559" s="110" t="str">
        <f>IF(H1559="","",IF($C$29="간이법","",FPR(H1559,I1559,J1559)))</f>
        <v/>
      </c>
      <c r="L1559" s="111" t="str">
        <f>IF(H1559="","",IF($C$29="상세법",FPV(H1559,K1559),IF(H1559="EI",4,IF(H1559="EO",5.2,IF(H1559="EQ",3.9,IF(H1559="ILF",7.5,IF(H1559="EIF",5.4)))))))</f>
        <v/>
      </c>
      <c r="M1559" s="112" t="str">
        <f t="shared" si="27"/>
        <v/>
      </c>
      <c r="N1559" s="113"/>
    </row>
    <row r="1560" spans="2:14">
      <c r="B1560" s="105"/>
      <c r="C1560" s="106"/>
      <c r="D1560" s="107"/>
      <c r="E1560" s="65"/>
      <c r="F1560" s="64"/>
      <c r="G1560" s="64"/>
      <c r="H1560" s="64"/>
      <c r="I1560" s="70"/>
      <c r="J1560" s="70"/>
      <c r="K1560" s="110" t="str">
        <f>IF(H1560="","",IF($C$29="간이법","",FPR(H1560,I1560,J1560)))</f>
        <v/>
      </c>
      <c r="L1560" s="111" t="str">
        <f>IF(H1560="","",IF($C$29="상세법",FPV(H1560,K1560),IF(H1560="EI",4,IF(H1560="EO",5.2,IF(H1560="EQ",3.9,IF(H1560="ILF",7.5,IF(H1560="EIF",5.4)))))))</f>
        <v/>
      </c>
      <c r="M1560" s="112" t="str">
        <f t="shared" si="27"/>
        <v/>
      </c>
      <c r="N1560" s="113"/>
    </row>
    <row r="1561" spans="2:14">
      <c r="B1561" s="105"/>
      <c r="C1561" s="106"/>
      <c r="D1561" s="107"/>
      <c r="E1561" s="65"/>
      <c r="F1561" s="64"/>
      <c r="G1561" s="64"/>
      <c r="H1561" s="64"/>
      <c r="I1561" s="70"/>
      <c r="J1561" s="70"/>
      <c r="K1561" s="110" t="str">
        <f>IF(H1561="","",IF($C$29="간이법","",FPR(H1561,I1561,J1561)))</f>
        <v/>
      </c>
      <c r="L1561" s="111" t="str">
        <f>IF(H1561="","",IF($C$29="상세법",FPV(H1561,K1561),IF(H1561="EI",4,IF(H1561="EO",5.2,IF(H1561="EQ",3.9,IF(H1561="ILF",7.5,IF(H1561="EIF",5.4)))))))</f>
        <v/>
      </c>
      <c r="M1561" s="112" t="str">
        <f t="shared" si="27"/>
        <v/>
      </c>
      <c r="N1561" s="113"/>
    </row>
    <row r="1562" spans="2:14">
      <c r="B1562" s="105"/>
      <c r="C1562" s="106"/>
      <c r="D1562" s="107"/>
      <c r="E1562" s="65"/>
      <c r="F1562" s="64"/>
      <c r="G1562" s="64"/>
      <c r="H1562" s="64"/>
      <c r="I1562" s="70"/>
      <c r="J1562" s="70"/>
      <c r="K1562" s="110" t="str">
        <f>IF(H1562="","",IF($C$29="간이법","",FPR(H1562,I1562,J1562)))</f>
        <v/>
      </c>
      <c r="L1562" s="111" t="str">
        <f>IF(H1562="","",IF($C$29="상세법",FPV(H1562,K1562),IF(H1562="EI",4,IF(H1562="EO",5.2,IF(H1562="EQ",3.9,IF(H1562="ILF",7.5,IF(H1562="EIF",5.4)))))))</f>
        <v/>
      </c>
      <c r="M1562" s="112" t="str">
        <f t="shared" si="27"/>
        <v/>
      </c>
      <c r="N1562" s="113"/>
    </row>
    <row r="1563" spans="2:14">
      <c r="B1563" s="105"/>
      <c r="C1563" s="106"/>
      <c r="D1563" s="107"/>
      <c r="E1563" s="65"/>
      <c r="F1563" s="64"/>
      <c r="G1563" s="64"/>
      <c r="H1563" s="64"/>
      <c r="I1563" s="70"/>
      <c r="J1563" s="70"/>
      <c r="K1563" s="110" t="str">
        <f>IF(H1563="","",IF($C$29="간이법","",FPR(H1563,I1563,J1563)))</f>
        <v/>
      </c>
      <c r="L1563" s="111" t="str">
        <f>IF(H1563="","",IF($C$29="상세법",FPV(H1563,K1563),IF(H1563="EI",4,IF(H1563="EO",5.2,IF(H1563="EQ",3.9,IF(H1563="ILF",7.5,IF(H1563="EIF",5.4)))))))</f>
        <v/>
      </c>
      <c r="M1563" s="112" t="str">
        <f t="shared" si="27"/>
        <v/>
      </c>
      <c r="N1563" s="113"/>
    </row>
    <row r="1564" spans="2:14">
      <c r="B1564" s="105"/>
      <c r="C1564" s="106"/>
      <c r="D1564" s="107"/>
      <c r="E1564" s="65"/>
      <c r="F1564" s="64"/>
      <c r="G1564" s="64"/>
      <c r="H1564" s="64"/>
      <c r="I1564" s="70"/>
      <c r="J1564" s="70"/>
      <c r="K1564" s="110" t="str">
        <f>IF(H1564="","",IF($C$29="간이법","",FPR(H1564,I1564,J1564)))</f>
        <v/>
      </c>
      <c r="L1564" s="111" t="str">
        <f>IF(H1564="","",IF($C$29="상세법",FPV(H1564,K1564),IF(H1564="EI",4,IF(H1564="EO",5.2,IF(H1564="EQ",3.9,IF(H1564="ILF",7.5,IF(H1564="EIF",5.4)))))))</f>
        <v/>
      </c>
      <c r="M1564" s="112" t="str">
        <f t="shared" si="27"/>
        <v/>
      </c>
      <c r="N1564" s="113"/>
    </row>
    <row r="1565" spans="2:14">
      <c r="B1565" s="105"/>
      <c r="C1565" s="106"/>
      <c r="D1565" s="107"/>
      <c r="E1565" s="65"/>
      <c r="F1565" s="64"/>
      <c r="G1565" s="64"/>
      <c r="H1565" s="64"/>
      <c r="I1565" s="70"/>
      <c r="J1565" s="70"/>
      <c r="K1565" s="110" t="str">
        <f>IF(H1565="","",IF($C$29="간이법","",FPR(H1565,I1565,J1565)))</f>
        <v/>
      </c>
      <c r="L1565" s="111" t="str">
        <f>IF(H1565="","",IF($C$29="상세법",FPV(H1565,K1565),IF(H1565="EI",4,IF(H1565="EO",5.2,IF(H1565="EQ",3.9,IF(H1565="ILF",7.5,IF(H1565="EIF",5.4)))))))</f>
        <v/>
      </c>
      <c r="M1565" s="112" t="str">
        <f t="shared" si="27"/>
        <v/>
      </c>
      <c r="N1565" s="113"/>
    </row>
    <row r="1566" spans="2:14">
      <c r="B1566" s="105"/>
      <c r="C1566" s="106"/>
      <c r="D1566" s="107"/>
      <c r="E1566" s="65"/>
      <c r="F1566" s="64"/>
      <c r="G1566" s="64"/>
      <c r="H1566" s="64"/>
      <c r="I1566" s="70"/>
      <c r="J1566" s="70"/>
      <c r="K1566" s="110" t="str">
        <f>IF(H1566="","",IF($C$29="간이법","",FPR(H1566,I1566,J1566)))</f>
        <v/>
      </c>
      <c r="L1566" s="111" t="str">
        <f>IF(H1566="","",IF($C$29="상세법",FPV(H1566,K1566),IF(H1566="EI",4,IF(H1566="EO",5.2,IF(H1566="EQ",3.9,IF(H1566="ILF",7.5,IF(H1566="EIF",5.4)))))))</f>
        <v/>
      </c>
      <c r="M1566" s="112" t="str">
        <f t="shared" si="27"/>
        <v/>
      </c>
      <c r="N1566" s="113"/>
    </row>
    <row r="1567" spans="2:14">
      <c r="B1567" s="105"/>
      <c r="C1567" s="106"/>
      <c r="D1567" s="107"/>
      <c r="E1567" s="65"/>
      <c r="F1567" s="64"/>
      <c r="G1567" s="64"/>
      <c r="H1567" s="64"/>
      <c r="I1567" s="70"/>
      <c r="J1567" s="70"/>
      <c r="K1567" s="110" t="str">
        <f>IF(H1567="","",IF($C$29="간이법","",FPR(H1567,I1567,J1567)))</f>
        <v/>
      </c>
      <c r="L1567" s="111" t="str">
        <f>IF(H1567="","",IF($C$29="상세법",FPV(H1567,K1567),IF(H1567="EI",4,IF(H1567="EO",5.2,IF(H1567="EQ",3.9,IF(H1567="ILF",7.5,IF(H1567="EIF",5.4)))))))</f>
        <v/>
      </c>
      <c r="M1567" s="112" t="str">
        <f t="shared" si="27"/>
        <v/>
      </c>
      <c r="N1567" s="113"/>
    </row>
    <row r="1568" spans="2:14">
      <c r="B1568" s="105"/>
      <c r="C1568" s="106"/>
      <c r="D1568" s="107"/>
      <c r="E1568" s="65"/>
      <c r="F1568" s="64"/>
      <c r="G1568" s="64"/>
      <c r="H1568" s="64"/>
      <c r="I1568" s="70"/>
      <c r="J1568" s="70"/>
      <c r="K1568" s="110" t="str">
        <f>IF(H1568="","",IF($C$29="간이법","",FPR(H1568,I1568,J1568)))</f>
        <v/>
      </c>
      <c r="L1568" s="111" t="str">
        <f>IF(H1568="","",IF($C$29="상세법",FPV(H1568,K1568),IF(H1568="EI",4,IF(H1568="EO",5.2,IF(H1568="EQ",3.9,IF(H1568="ILF",7.5,IF(H1568="EIF",5.4)))))))</f>
        <v/>
      </c>
      <c r="M1568" s="112" t="str">
        <f t="shared" si="27"/>
        <v/>
      </c>
      <c r="N1568" s="113"/>
    </row>
    <row r="1569" spans="2:14">
      <c r="B1569" s="105"/>
      <c r="C1569" s="106"/>
      <c r="D1569" s="107"/>
      <c r="E1569" s="65"/>
      <c r="F1569" s="64"/>
      <c r="G1569" s="64"/>
      <c r="H1569" s="64"/>
      <c r="I1569" s="70"/>
      <c r="J1569" s="70"/>
      <c r="K1569" s="110" t="str">
        <f>IF(H1569="","",IF($C$29="간이법","",FPR(H1569,I1569,J1569)))</f>
        <v/>
      </c>
      <c r="L1569" s="111" t="str">
        <f>IF(H1569="","",IF($C$29="상세법",FPV(H1569,K1569),IF(H1569="EI",4,IF(H1569="EO",5.2,IF(H1569="EQ",3.9,IF(H1569="ILF",7.5,IF(H1569="EIF",5.4)))))))</f>
        <v/>
      </c>
      <c r="M1569" s="112" t="str">
        <f t="shared" si="27"/>
        <v/>
      </c>
      <c r="N1569" s="113"/>
    </row>
    <row r="1570" spans="2:14">
      <c r="B1570" s="105"/>
      <c r="C1570" s="106"/>
      <c r="D1570" s="107"/>
      <c r="E1570" s="65"/>
      <c r="F1570" s="64"/>
      <c r="G1570" s="64"/>
      <c r="H1570" s="64"/>
      <c r="I1570" s="70"/>
      <c r="J1570" s="70"/>
      <c r="K1570" s="110" t="str">
        <f>IF(H1570="","",IF($C$29="간이법","",FPR(H1570,I1570,J1570)))</f>
        <v/>
      </c>
      <c r="L1570" s="111" t="str">
        <f>IF(H1570="","",IF($C$29="상세법",FPV(H1570,K1570),IF(H1570="EI",4,IF(H1570="EO",5.2,IF(H1570="EQ",3.9,IF(H1570="ILF",7.5,IF(H1570="EIF",5.4)))))))</f>
        <v/>
      </c>
      <c r="M1570" s="112" t="str">
        <f t="shared" si="27"/>
        <v/>
      </c>
      <c r="N1570" s="113"/>
    </row>
    <row r="1571" spans="2:14">
      <c r="B1571" s="105"/>
      <c r="C1571" s="106"/>
      <c r="D1571" s="107"/>
      <c r="E1571" s="65"/>
      <c r="F1571" s="64"/>
      <c r="G1571" s="64"/>
      <c r="H1571" s="64"/>
      <c r="I1571" s="70"/>
      <c r="J1571" s="70"/>
      <c r="K1571" s="110" t="str">
        <f>IF(H1571="","",IF($C$29="간이법","",FPR(H1571,I1571,J1571)))</f>
        <v/>
      </c>
      <c r="L1571" s="111" t="str">
        <f>IF(H1571="","",IF($C$29="상세법",FPV(H1571,K1571),IF(H1571="EI",4,IF(H1571="EO",5.2,IF(H1571="EQ",3.9,IF(H1571="ILF",7.5,IF(H1571="EIF",5.4)))))))</f>
        <v/>
      </c>
      <c r="M1571" s="112" t="str">
        <f t="shared" si="27"/>
        <v/>
      </c>
      <c r="N1571" s="113"/>
    </row>
    <row r="1572" spans="2:14">
      <c r="B1572" s="105"/>
      <c r="C1572" s="106"/>
      <c r="D1572" s="107"/>
      <c r="E1572" s="65"/>
      <c r="F1572" s="64"/>
      <c r="G1572" s="64"/>
      <c r="H1572" s="64"/>
      <c r="I1572" s="70"/>
      <c r="J1572" s="70"/>
      <c r="K1572" s="110" t="str">
        <f>IF(H1572="","",IF($C$29="간이법","",FPR(H1572,I1572,J1572)))</f>
        <v/>
      </c>
      <c r="L1572" s="111" t="str">
        <f>IF(H1572="","",IF($C$29="상세법",FPV(H1572,K1572),IF(H1572="EI",4,IF(H1572="EO",5.2,IF(H1572="EQ",3.9,IF(H1572="ILF",7.5,IF(H1572="EIF",5.4)))))))</f>
        <v/>
      </c>
      <c r="M1572" s="112" t="str">
        <f t="shared" si="27"/>
        <v/>
      </c>
      <c r="N1572" s="113"/>
    </row>
    <row r="1573" spans="2:14">
      <c r="B1573" s="105"/>
      <c r="C1573" s="106"/>
      <c r="D1573" s="107"/>
      <c r="E1573" s="65"/>
      <c r="F1573" s="64"/>
      <c r="G1573" s="64"/>
      <c r="H1573" s="64"/>
      <c r="I1573" s="70"/>
      <c r="J1573" s="70"/>
      <c r="K1573" s="110" t="str">
        <f>IF(H1573="","",IF($C$29="간이법","",FPR(H1573,I1573,J1573)))</f>
        <v/>
      </c>
      <c r="L1573" s="111" t="str">
        <f>IF(H1573="","",IF($C$29="상세법",FPV(H1573,K1573),IF(H1573="EI",4,IF(H1573="EO",5.2,IF(H1573="EQ",3.9,IF(H1573="ILF",7.5,IF(H1573="EIF",5.4)))))))</f>
        <v/>
      </c>
      <c r="M1573" s="112" t="str">
        <f t="shared" si="27"/>
        <v/>
      </c>
      <c r="N1573" s="113"/>
    </row>
    <row r="1574" spans="2:14">
      <c r="B1574" s="105"/>
      <c r="C1574" s="106"/>
      <c r="D1574" s="107"/>
      <c r="E1574" s="65"/>
      <c r="F1574" s="64"/>
      <c r="G1574" s="64"/>
      <c r="H1574" s="64"/>
      <c r="I1574" s="70"/>
      <c r="J1574" s="70"/>
      <c r="K1574" s="110" t="str">
        <f>IF(H1574="","",IF($C$29="간이법","",FPR(H1574,I1574,J1574)))</f>
        <v/>
      </c>
      <c r="L1574" s="111" t="str">
        <f>IF(H1574="","",IF($C$29="상세법",FPV(H1574,K1574),IF(H1574="EI",4,IF(H1574="EO",5.2,IF(H1574="EQ",3.9,IF(H1574="ILF",7.5,IF(H1574="EIF",5.4)))))))</f>
        <v/>
      </c>
      <c r="M1574" s="112" t="str">
        <f t="shared" si="27"/>
        <v/>
      </c>
      <c r="N1574" s="113"/>
    </row>
    <row r="1575" spans="2:14">
      <c r="B1575" s="105"/>
      <c r="C1575" s="106"/>
      <c r="D1575" s="107"/>
      <c r="E1575" s="65"/>
      <c r="F1575" s="64"/>
      <c r="G1575" s="64"/>
      <c r="H1575" s="64"/>
      <c r="I1575" s="70"/>
      <c r="J1575" s="70"/>
      <c r="K1575" s="110" t="str">
        <f>IF(H1575="","",IF($C$29="간이법","",FPR(H1575,I1575,J1575)))</f>
        <v/>
      </c>
      <c r="L1575" s="111" t="str">
        <f>IF(H1575="","",IF($C$29="상세법",FPV(H1575,K1575),IF(H1575="EI",4,IF(H1575="EO",5.2,IF(H1575="EQ",3.9,IF(H1575="ILF",7.5,IF(H1575="EIF",5.4)))))))</f>
        <v/>
      </c>
      <c r="M1575" s="112" t="str">
        <f t="shared" si="27"/>
        <v/>
      </c>
      <c r="N1575" s="113"/>
    </row>
    <row r="1576" spans="2:14">
      <c r="B1576" s="105"/>
      <c r="C1576" s="106"/>
      <c r="D1576" s="107"/>
      <c r="E1576" s="65"/>
      <c r="F1576" s="64"/>
      <c r="G1576" s="64"/>
      <c r="H1576" s="64"/>
      <c r="I1576" s="70"/>
      <c r="J1576" s="70"/>
      <c r="K1576" s="110" t="str">
        <f>IF(H1576="","",IF($C$29="간이법","",FPR(H1576,I1576,J1576)))</f>
        <v/>
      </c>
      <c r="L1576" s="111" t="str">
        <f>IF(H1576="","",IF($C$29="상세법",FPV(H1576,K1576),IF(H1576="EI",4,IF(H1576="EO",5.2,IF(H1576="EQ",3.9,IF(H1576="ILF",7.5,IF(H1576="EIF",5.4)))))))</f>
        <v/>
      </c>
      <c r="M1576" s="112" t="str">
        <f t="shared" si="27"/>
        <v/>
      </c>
      <c r="N1576" s="113"/>
    </row>
    <row r="1577" spans="2:14">
      <c r="B1577" s="105"/>
      <c r="C1577" s="106"/>
      <c r="D1577" s="107"/>
      <c r="E1577" s="65"/>
      <c r="F1577" s="64"/>
      <c r="G1577" s="64"/>
      <c r="H1577" s="64"/>
      <c r="I1577" s="70"/>
      <c r="J1577" s="70"/>
      <c r="K1577" s="110" t="str">
        <f>IF(H1577="","",IF($C$29="간이법","",FPR(H1577,I1577,J1577)))</f>
        <v/>
      </c>
      <c r="L1577" s="111" t="str">
        <f>IF(H1577="","",IF($C$29="상세법",FPV(H1577,K1577),IF(H1577="EI",4,IF(H1577="EO",5.2,IF(H1577="EQ",3.9,IF(H1577="ILF",7.5,IF(H1577="EIF",5.4)))))))</f>
        <v/>
      </c>
      <c r="M1577" s="112" t="str">
        <f t="shared" si="27"/>
        <v/>
      </c>
      <c r="N1577" s="113"/>
    </row>
    <row r="1578" spans="2:14">
      <c r="B1578" s="105"/>
      <c r="C1578" s="106"/>
      <c r="D1578" s="107"/>
      <c r="E1578" s="65"/>
      <c r="F1578" s="64"/>
      <c r="G1578" s="64"/>
      <c r="H1578" s="64"/>
      <c r="I1578" s="70"/>
      <c r="J1578" s="70"/>
      <c r="K1578" s="110" t="str">
        <f>IF(H1578="","",IF($C$29="간이법","",FPR(H1578,I1578,J1578)))</f>
        <v/>
      </c>
      <c r="L1578" s="111" t="str">
        <f>IF(H1578="","",IF($C$29="상세법",FPV(H1578,K1578),IF(H1578="EI",4,IF(H1578="EO",5.2,IF(H1578="EQ",3.9,IF(H1578="ILF",7.5,IF(H1578="EIF",5.4)))))))</f>
        <v/>
      </c>
      <c r="M1578" s="112" t="str">
        <f t="shared" si="27"/>
        <v/>
      </c>
      <c r="N1578" s="113"/>
    </row>
    <row r="1579" spans="2:14">
      <c r="B1579" s="105"/>
      <c r="C1579" s="106"/>
      <c r="D1579" s="107"/>
      <c r="E1579" s="65"/>
      <c r="F1579" s="64"/>
      <c r="G1579" s="64"/>
      <c r="H1579" s="64"/>
      <c r="I1579" s="70"/>
      <c r="J1579" s="70"/>
      <c r="K1579" s="110" t="str">
        <f>IF(H1579="","",IF($C$29="간이법","",FPR(H1579,I1579,J1579)))</f>
        <v/>
      </c>
      <c r="L1579" s="111" t="str">
        <f>IF(H1579="","",IF($C$29="상세법",FPV(H1579,K1579),IF(H1579="EI",4,IF(H1579="EO",5.2,IF(H1579="EQ",3.9,IF(H1579="ILF",7.5,IF(H1579="EIF",5.4)))))))</f>
        <v/>
      </c>
      <c r="M1579" s="112" t="str">
        <f t="shared" si="27"/>
        <v/>
      </c>
      <c r="N1579" s="113"/>
    </row>
    <row r="1580" spans="2:14">
      <c r="B1580" s="105"/>
      <c r="C1580" s="106"/>
      <c r="D1580" s="107"/>
      <c r="E1580" s="65"/>
      <c r="F1580" s="64"/>
      <c r="G1580" s="64"/>
      <c r="H1580" s="64"/>
      <c r="I1580" s="70"/>
      <c r="J1580" s="70"/>
      <c r="K1580" s="110" t="str">
        <f>IF(H1580="","",IF($C$29="간이법","",FPR(H1580,I1580,J1580)))</f>
        <v/>
      </c>
      <c r="L1580" s="111" t="str">
        <f>IF(H1580="","",IF($C$29="상세법",FPV(H1580,K1580),IF(H1580="EI",4,IF(H1580="EO",5.2,IF(H1580="EQ",3.9,IF(H1580="ILF",7.5,IF(H1580="EIF",5.4)))))))</f>
        <v/>
      </c>
      <c r="M1580" s="112" t="str">
        <f t="shared" si="27"/>
        <v/>
      </c>
      <c r="N1580" s="113"/>
    </row>
    <row r="1581" spans="2:14">
      <c r="B1581" s="105"/>
      <c r="C1581" s="106"/>
      <c r="D1581" s="107"/>
      <c r="E1581" s="65"/>
      <c r="F1581" s="64"/>
      <c r="G1581" s="64"/>
      <c r="H1581" s="64"/>
      <c r="I1581" s="70"/>
      <c r="J1581" s="70"/>
      <c r="K1581" s="110" t="str">
        <f>IF(H1581="","",IF($C$29="간이법","",FPR(H1581,I1581,J1581)))</f>
        <v/>
      </c>
      <c r="L1581" s="111" t="str">
        <f>IF(H1581="","",IF($C$29="상세법",FPV(H1581,K1581),IF(H1581="EI",4,IF(H1581="EO",5.2,IF(H1581="EQ",3.9,IF(H1581="ILF",7.5,IF(H1581="EIF",5.4)))))))</f>
        <v/>
      </c>
      <c r="M1581" s="112" t="str">
        <f t="shared" si="27"/>
        <v/>
      </c>
      <c r="N1581" s="113"/>
    </row>
    <row r="1582" spans="2:14">
      <c r="B1582" s="105"/>
      <c r="C1582" s="106"/>
      <c r="D1582" s="107"/>
      <c r="E1582" s="65"/>
      <c r="F1582" s="64"/>
      <c r="G1582" s="64"/>
      <c r="H1582" s="64"/>
      <c r="I1582" s="70"/>
      <c r="J1582" s="70"/>
      <c r="K1582" s="110" t="str">
        <f>IF(H1582="","",IF($C$29="간이법","",FPR(H1582,I1582,J1582)))</f>
        <v/>
      </c>
      <c r="L1582" s="111" t="str">
        <f>IF(H1582="","",IF($C$29="상세법",FPV(H1582,K1582),IF(H1582="EI",4,IF(H1582="EO",5.2,IF(H1582="EQ",3.9,IF(H1582="ILF",7.5,IF(H1582="EIF",5.4)))))))</f>
        <v/>
      </c>
      <c r="M1582" s="112" t="str">
        <f t="shared" si="27"/>
        <v/>
      </c>
      <c r="N1582" s="113"/>
    </row>
    <row r="1583" spans="2:14">
      <c r="B1583" s="105"/>
      <c r="C1583" s="106"/>
      <c r="D1583" s="107"/>
      <c r="E1583" s="65"/>
      <c r="F1583" s="64"/>
      <c r="G1583" s="64"/>
      <c r="H1583" s="64"/>
      <c r="I1583" s="70"/>
      <c r="J1583" s="70"/>
      <c r="K1583" s="110" t="str">
        <f>IF(H1583="","",IF($C$29="간이법","",FPR(H1583,I1583,J1583)))</f>
        <v/>
      </c>
      <c r="L1583" s="111" t="str">
        <f>IF(H1583="","",IF($C$29="상세법",FPV(H1583,K1583),IF(H1583="EI",4,IF(H1583="EO",5.2,IF(H1583="EQ",3.9,IF(H1583="ILF",7.5,IF(H1583="EIF",5.4)))))))</f>
        <v/>
      </c>
      <c r="M1583" s="112" t="str">
        <f t="shared" si="27"/>
        <v/>
      </c>
      <c r="N1583" s="113"/>
    </row>
    <row r="1584" spans="2:14">
      <c r="B1584" s="105"/>
      <c r="C1584" s="106"/>
      <c r="D1584" s="107"/>
      <c r="E1584" s="65"/>
      <c r="F1584" s="64"/>
      <c r="G1584" s="64"/>
      <c r="H1584" s="64"/>
      <c r="I1584" s="70"/>
      <c r="J1584" s="70"/>
      <c r="K1584" s="110" t="str">
        <f>IF(H1584="","",IF($C$29="간이법","",FPR(H1584,I1584,J1584)))</f>
        <v/>
      </c>
      <c r="L1584" s="111" t="str">
        <f>IF(H1584="","",IF($C$29="상세법",FPV(H1584,K1584),IF(H1584="EI",4,IF(H1584="EO",5.2,IF(H1584="EQ",3.9,IF(H1584="ILF",7.5,IF(H1584="EIF",5.4)))))))</f>
        <v/>
      </c>
      <c r="M1584" s="112" t="str">
        <f t="shared" si="27"/>
        <v/>
      </c>
      <c r="N1584" s="113"/>
    </row>
    <row r="1585" spans="2:14">
      <c r="B1585" s="105"/>
      <c r="C1585" s="106"/>
      <c r="D1585" s="107"/>
      <c r="E1585" s="65"/>
      <c r="F1585" s="64"/>
      <c r="G1585" s="64"/>
      <c r="H1585" s="64"/>
      <c r="I1585" s="70"/>
      <c r="J1585" s="70"/>
      <c r="K1585" s="110" t="str">
        <f>IF(H1585="","",IF($C$29="간이법","",FPR(H1585,I1585,J1585)))</f>
        <v/>
      </c>
      <c r="L1585" s="111" t="str">
        <f>IF(H1585="","",IF($C$29="상세법",FPV(H1585,K1585),IF(H1585="EI",4,IF(H1585="EO",5.2,IF(H1585="EQ",3.9,IF(H1585="ILF",7.5,IF(H1585="EIF",5.4)))))))</f>
        <v/>
      </c>
      <c r="M1585" s="112" t="str">
        <f t="shared" si="27"/>
        <v/>
      </c>
      <c r="N1585" s="113"/>
    </row>
    <row r="1586" spans="2:14">
      <c r="B1586" s="105"/>
      <c r="C1586" s="106"/>
      <c r="D1586" s="107"/>
      <c r="E1586" s="65"/>
      <c r="F1586" s="64"/>
      <c r="G1586" s="64"/>
      <c r="H1586" s="64"/>
      <c r="I1586" s="70"/>
      <c r="J1586" s="70"/>
      <c r="K1586" s="110" t="str">
        <f>IF(H1586="","",IF($C$29="간이법","",FPR(H1586,I1586,J1586)))</f>
        <v/>
      </c>
      <c r="L1586" s="111" t="str">
        <f>IF(H1586="","",IF($C$29="상세법",FPV(H1586,K1586),IF(H1586="EI",4,IF(H1586="EO",5.2,IF(H1586="EQ",3.9,IF(H1586="ILF",7.5,IF(H1586="EIF",5.4)))))))</f>
        <v/>
      </c>
      <c r="M1586" s="112" t="str">
        <f t="shared" si="27"/>
        <v/>
      </c>
      <c r="N1586" s="113"/>
    </row>
    <row r="1587" spans="2:14">
      <c r="B1587" s="105"/>
      <c r="C1587" s="106"/>
      <c r="D1587" s="107"/>
      <c r="E1587" s="65"/>
      <c r="F1587" s="64"/>
      <c r="G1587" s="64"/>
      <c r="H1587" s="64"/>
      <c r="I1587" s="70"/>
      <c r="J1587" s="70"/>
      <c r="K1587" s="110" t="str">
        <f>IF(H1587="","",IF($C$29="간이법","",FPR(H1587,I1587,J1587)))</f>
        <v/>
      </c>
      <c r="L1587" s="111" t="str">
        <f>IF(H1587="","",IF($C$29="상세법",FPV(H1587,K1587),IF(H1587="EI",4,IF(H1587="EO",5.2,IF(H1587="EQ",3.9,IF(H1587="ILF",7.5,IF(H1587="EIF",5.4)))))))</f>
        <v/>
      </c>
      <c r="M1587" s="112" t="str">
        <f t="shared" si="27"/>
        <v/>
      </c>
      <c r="N1587" s="113"/>
    </row>
    <row r="1588" spans="2:14">
      <c r="B1588" s="105"/>
      <c r="C1588" s="106"/>
      <c r="D1588" s="107"/>
      <c r="E1588" s="65"/>
      <c r="F1588" s="64"/>
      <c r="G1588" s="64"/>
      <c r="H1588" s="64"/>
      <c r="I1588" s="70"/>
      <c r="J1588" s="70"/>
      <c r="K1588" s="110" t="str">
        <f>IF(H1588="","",IF($C$29="간이법","",FPR(H1588,I1588,J1588)))</f>
        <v/>
      </c>
      <c r="L1588" s="111" t="str">
        <f>IF(H1588="","",IF($C$29="상세법",FPV(H1588,K1588),IF(H1588="EI",4,IF(H1588="EO",5.2,IF(H1588="EQ",3.9,IF(H1588="ILF",7.5,IF(H1588="EIF",5.4)))))))</f>
        <v/>
      </c>
      <c r="M1588" s="112" t="str">
        <f t="shared" si="27"/>
        <v/>
      </c>
      <c r="N1588" s="113"/>
    </row>
    <row r="1589" spans="2:14">
      <c r="B1589" s="105"/>
      <c r="C1589" s="106"/>
      <c r="D1589" s="107"/>
      <c r="E1589" s="65"/>
      <c r="F1589" s="64"/>
      <c r="G1589" s="64"/>
      <c r="H1589" s="64"/>
      <c r="I1589" s="70"/>
      <c r="J1589" s="70"/>
      <c r="K1589" s="110" t="str">
        <f>IF(H1589="","",IF($C$29="간이법","",FPR(H1589,I1589,J1589)))</f>
        <v/>
      </c>
      <c r="L1589" s="111" t="str">
        <f>IF(H1589="","",IF($C$29="상세법",FPV(H1589,K1589),IF(H1589="EI",4,IF(H1589="EO",5.2,IF(H1589="EQ",3.9,IF(H1589="ILF",7.5,IF(H1589="EIF",5.4)))))))</f>
        <v/>
      </c>
      <c r="M1589" s="112" t="str">
        <f t="shared" si="27"/>
        <v/>
      </c>
      <c r="N1589" s="113"/>
    </row>
    <row r="1590" spans="2:14">
      <c r="B1590" s="105"/>
      <c r="C1590" s="106"/>
      <c r="D1590" s="107"/>
      <c r="E1590" s="65"/>
      <c r="F1590" s="64"/>
      <c r="G1590" s="64"/>
      <c r="H1590" s="64"/>
      <c r="I1590" s="70"/>
      <c r="J1590" s="70"/>
      <c r="K1590" s="110" t="str">
        <f>IF(H1590="","",IF($C$29="간이법","",FPR(H1590,I1590,J1590)))</f>
        <v/>
      </c>
      <c r="L1590" s="111" t="str">
        <f>IF(H1590="","",IF($C$29="상세법",FPV(H1590,K1590),IF(H1590="EI",4,IF(H1590="EO",5.2,IF(H1590="EQ",3.9,IF(H1590="ILF",7.5,IF(H1590="EIF",5.4)))))))</f>
        <v/>
      </c>
      <c r="M1590" s="112" t="str">
        <f t="shared" si="27"/>
        <v/>
      </c>
      <c r="N1590" s="113"/>
    </row>
    <row r="1591" spans="2:14">
      <c r="B1591" s="105"/>
      <c r="C1591" s="106"/>
      <c r="D1591" s="107"/>
      <c r="E1591" s="65"/>
      <c r="F1591" s="64"/>
      <c r="G1591" s="64"/>
      <c r="H1591" s="64"/>
      <c r="I1591" s="70"/>
      <c r="J1591" s="70"/>
      <c r="K1591" s="110" t="str">
        <f>IF(H1591="","",IF($C$29="간이법","",FPR(H1591,I1591,J1591)))</f>
        <v/>
      </c>
      <c r="L1591" s="111" t="str">
        <f>IF(H1591="","",IF($C$29="상세법",FPV(H1591,K1591),IF(H1591="EI",4,IF(H1591="EO",5.2,IF(H1591="EQ",3.9,IF(H1591="ILF",7.5,IF(H1591="EIF",5.4)))))))</f>
        <v/>
      </c>
      <c r="M1591" s="112" t="str">
        <f t="shared" si="27"/>
        <v/>
      </c>
      <c r="N1591" s="113"/>
    </row>
    <row r="1592" spans="2:14">
      <c r="B1592" s="105"/>
      <c r="C1592" s="106"/>
      <c r="D1592" s="107"/>
      <c r="E1592" s="65"/>
      <c r="F1592" s="64"/>
      <c r="G1592" s="64"/>
      <c r="H1592" s="64"/>
      <c r="I1592" s="70"/>
      <c r="J1592" s="70"/>
      <c r="K1592" s="110" t="str">
        <f>IF(H1592="","",IF($C$29="간이법","",FPR(H1592,I1592,J1592)))</f>
        <v/>
      </c>
      <c r="L1592" s="111" t="str">
        <f>IF(H1592="","",IF($C$29="상세법",FPV(H1592,K1592),IF(H1592="EI",4,IF(H1592="EO",5.2,IF(H1592="EQ",3.9,IF(H1592="ILF",7.5,IF(H1592="EIF",5.4)))))))</f>
        <v/>
      </c>
      <c r="M1592" s="112" t="str">
        <f t="shared" si="27"/>
        <v/>
      </c>
      <c r="N1592" s="113"/>
    </row>
    <row r="1593" spans="2:14">
      <c r="B1593" s="105"/>
      <c r="C1593" s="106"/>
      <c r="D1593" s="107"/>
      <c r="E1593" s="65"/>
      <c r="F1593" s="64"/>
      <c r="G1593" s="64"/>
      <c r="H1593" s="64"/>
      <c r="I1593" s="70"/>
      <c r="J1593" s="70"/>
      <c r="K1593" s="110" t="str">
        <f>IF(H1593="","",IF($C$29="간이법","",FPR(H1593,I1593,J1593)))</f>
        <v/>
      </c>
      <c r="L1593" s="111" t="str">
        <f>IF(H1593="","",IF($C$29="상세법",FPV(H1593,K1593),IF(H1593="EI",4,IF(H1593="EO",5.2,IF(H1593="EQ",3.9,IF(H1593="ILF",7.5,IF(H1593="EIF",5.4)))))))</f>
        <v/>
      </c>
      <c r="M1593" s="112" t="str">
        <f t="shared" ref="M1593:M1656" si="28">IF(L1593="","",L1593*IF(G1593="상",0.7,IF(G1593="중",0.5,IF(G1593="하",0.2,1))))</f>
        <v/>
      </c>
      <c r="N1593" s="113"/>
    </row>
    <row r="1594" spans="2:14">
      <c r="B1594" s="105"/>
      <c r="C1594" s="106"/>
      <c r="D1594" s="107"/>
      <c r="E1594" s="65"/>
      <c r="F1594" s="64"/>
      <c r="G1594" s="64"/>
      <c r="H1594" s="64"/>
      <c r="I1594" s="70"/>
      <c r="J1594" s="70"/>
      <c r="K1594" s="110" t="str">
        <f>IF(H1594="","",IF($C$29="간이법","",FPR(H1594,I1594,J1594)))</f>
        <v/>
      </c>
      <c r="L1594" s="111" t="str">
        <f>IF(H1594="","",IF($C$29="상세법",FPV(H1594,K1594),IF(H1594="EI",4,IF(H1594="EO",5.2,IF(H1594="EQ",3.9,IF(H1594="ILF",7.5,IF(H1594="EIF",5.4)))))))</f>
        <v/>
      </c>
      <c r="M1594" s="112" t="str">
        <f t="shared" si="28"/>
        <v/>
      </c>
      <c r="N1594" s="113"/>
    </row>
    <row r="1595" spans="2:14">
      <c r="B1595" s="105"/>
      <c r="C1595" s="106"/>
      <c r="D1595" s="107"/>
      <c r="E1595" s="65"/>
      <c r="F1595" s="64"/>
      <c r="G1595" s="64"/>
      <c r="H1595" s="64"/>
      <c r="I1595" s="70"/>
      <c r="J1595" s="70"/>
      <c r="K1595" s="110" t="str">
        <f>IF(H1595="","",IF($C$29="간이법","",FPR(H1595,I1595,J1595)))</f>
        <v/>
      </c>
      <c r="L1595" s="111" t="str">
        <f>IF(H1595="","",IF($C$29="상세법",FPV(H1595,K1595),IF(H1595="EI",4,IF(H1595="EO",5.2,IF(H1595="EQ",3.9,IF(H1595="ILF",7.5,IF(H1595="EIF",5.4)))))))</f>
        <v/>
      </c>
      <c r="M1595" s="112" t="str">
        <f t="shared" si="28"/>
        <v/>
      </c>
      <c r="N1595" s="113"/>
    </row>
    <row r="1596" spans="2:14">
      <c r="B1596" s="105"/>
      <c r="C1596" s="106"/>
      <c r="D1596" s="107"/>
      <c r="E1596" s="65"/>
      <c r="F1596" s="64"/>
      <c r="G1596" s="64"/>
      <c r="H1596" s="64"/>
      <c r="I1596" s="70"/>
      <c r="J1596" s="70"/>
      <c r="K1596" s="110" t="str">
        <f>IF(H1596="","",IF($C$29="간이법","",FPR(H1596,I1596,J1596)))</f>
        <v/>
      </c>
      <c r="L1596" s="111" t="str">
        <f>IF(H1596="","",IF($C$29="상세법",FPV(H1596,K1596),IF(H1596="EI",4,IF(H1596="EO",5.2,IF(H1596="EQ",3.9,IF(H1596="ILF",7.5,IF(H1596="EIF",5.4)))))))</f>
        <v/>
      </c>
      <c r="M1596" s="112" t="str">
        <f t="shared" si="28"/>
        <v/>
      </c>
      <c r="N1596" s="113"/>
    </row>
    <row r="1597" spans="2:14">
      <c r="B1597" s="105"/>
      <c r="C1597" s="106"/>
      <c r="D1597" s="107"/>
      <c r="E1597" s="65"/>
      <c r="F1597" s="64"/>
      <c r="G1597" s="64"/>
      <c r="H1597" s="64"/>
      <c r="I1597" s="70"/>
      <c r="J1597" s="70"/>
      <c r="K1597" s="110" t="str">
        <f>IF(H1597="","",IF($C$29="간이법","",FPR(H1597,I1597,J1597)))</f>
        <v/>
      </c>
      <c r="L1597" s="111" t="str">
        <f>IF(H1597="","",IF($C$29="상세법",FPV(H1597,K1597),IF(H1597="EI",4,IF(H1597="EO",5.2,IF(H1597="EQ",3.9,IF(H1597="ILF",7.5,IF(H1597="EIF",5.4)))))))</f>
        <v/>
      </c>
      <c r="M1597" s="112" t="str">
        <f t="shared" si="28"/>
        <v/>
      </c>
      <c r="N1597" s="113"/>
    </row>
    <row r="1598" spans="2:14">
      <c r="B1598" s="105"/>
      <c r="C1598" s="106"/>
      <c r="D1598" s="107"/>
      <c r="E1598" s="65"/>
      <c r="F1598" s="64"/>
      <c r="G1598" s="64"/>
      <c r="H1598" s="64"/>
      <c r="I1598" s="70"/>
      <c r="J1598" s="70"/>
      <c r="K1598" s="110" t="str">
        <f>IF(H1598="","",IF($C$29="간이법","",FPR(H1598,I1598,J1598)))</f>
        <v/>
      </c>
      <c r="L1598" s="111" t="str">
        <f>IF(H1598="","",IF($C$29="상세법",FPV(H1598,K1598),IF(H1598="EI",4,IF(H1598="EO",5.2,IF(H1598="EQ",3.9,IF(H1598="ILF",7.5,IF(H1598="EIF",5.4)))))))</f>
        <v/>
      </c>
      <c r="M1598" s="112" t="str">
        <f t="shared" si="28"/>
        <v/>
      </c>
      <c r="N1598" s="113"/>
    </row>
    <row r="1599" spans="2:14">
      <c r="B1599" s="105"/>
      <c r="C1599" s="106"/>
      <c r="D1599" s="107"/>
      <c r="E1599" s="65"/>
      <c r="F1599" s="64"/>
      <c r="G1599" s="64"/>
      <c r="H1599" s="64"/>
      <c r="I1599" s="70"/>
      <c r="J1599" s="70"/>
      <c r="K1599" s="110" t="str">
        <f>IF(H1599="","",IF($C$29="간이법","",FPR(H1599,I1599,J1599)))</f>
        <v/>
      </c>
      <c r="L1599" s="111" t="str">
        <f>IF(H1599="","",IF($C$29="상세법",FPV(H1599,K1599),IF(H1599="EI",4,IF(H1599="EO",5.2,IF(H1599="EQ",3.9,IF(H1599="ILF",7.5,IF(H1599="EIF",5.4)))))))</f>
        <v/>
      </c>
      <c r="M1599" s="112" t="str">
        <f t="shared" si="28"/>
        <v/>
      </c>
      <c r="N1599" s="113"/>
    </row>
    <row r="1600" spans="2:14">
      <c r="B1600" s="105"/>
      <c r="C1600" s="106"/>
      <c r="D1600" s="107"/>
      <c r="E1600" s="65"/>
      <c r="F1600" s="64"/>
      <c r="G1600" s="64"/>
      <c r="H1600" s="64"/>
      <c r="I1600" s="70"/>
      <c r="J1600" s="70"/>
      <c r="K1600" s="110" t="str">
        <f>IF(H1600="","",IF($C$29="간이법","",FPR(H1600,I1600,J1600)))</f>
        <v/>
      </c>
      <c r="L1600" s="111" t="str">
        <f>IF(H1600="","",IF($C$29="상세법",FPV(H1600,K1600),IF(H1600="EI",4,IF(H1600="EO",5.2,IF(H1600="EQ",3.9,IF(H1600="ILF",7.5,IF(H1600="EIF",5.4)))))))</f>
        <v/>
      </c>
      <c r="M1600" s="112" t="str">
        <f t="shared" si="28"/>
        <v/>
      </c>
      <c r="N1600" s="113"/>
    </row>
    <row r="1601" spans="2:14">
      <c r="B1601" s="105"/>
      <c r="C1601" s="106"/>
      <c r="D1601" s="107"/>
      <c r="E1601" s="65"/>
      <c r="F1601" s="64"/>
      <c r="G1601" s="64"/>
      <c r="H1601" s="64"/>
      <c r="I1601" s="70"/>
      <c r="J1601" s="70"/>
      <c r="K1601" s="110" t="str">
        <f>IF(H1601="","",IF($C$29="간이법","",FPR(H1601,I1601,J1601)))</f>
        <v/>
      </c>
      <c r="L1601" s="111" t="str">
        <f>IF(H1601="","",IF($C$29="상세법",FPV(H1601,K1601),IF(H1601="EI",4,IF(H1601="EO",5.2,IF(H1601="EQ",3.9,IF(H1601="ILF",7.5,IF(H1601="EIF",5.4)))))))</f>
        <v/>
      </c>
      <c r="M1601" s="112" t="str">
        <f t="shared" si="28"/>
        <v/>
      </c>
      <c r="N1601" s="113"/>
    </row>
    <row r="1602" spans="2:14">
      <c r="B1602" s="105"/>
      <c r="C1602" s="106"/>
      <c r="D1602" s="107"/>
      <c r="E1602" s="65"/>
      <c r="F1602" s="64"/>
      <c r="G1602" s="64"/>
      <c r="H1602" s="64"/>
      <c r="I1602" s="70"/>
      <c r="J1602" s="70"/>
      <c r="K1602" s="110" t="str">
        <f>IF(H1602="","",IF($C$29="간이법","",FPR(H1602,I1602,J1602)))</f>
        <v/>
      </c>
      <c r="L1602" s="111" t="str">
        <f>IF(H1602="","",IF($C$29="상세법",FPV(H1602,K1602),IF(H1602="EI",4,IF(H1602="EO",5.2,IF(H1602="EQ",3.9,IF(H1602="ILF",7.5,IF(H1602="EIF",5.4)))))))</f>
        <v/>
      </c>
      <c r="M1602" s="112" t="str">
        <f t="shared" si="28"/>
        <v/>
      </c>
      <c r="N1602" s="113"/>
    </row>
    <row r="1603" spans="2:14">
      <c r="B1603" s="105"/>
      <c r="C1603" s="106"/>
      <c r="D1603" s="107"/>
      <c r="E1603" s="65"/>
      <c r="F1603" s="64"/>
      <c r="G1603" s="64"/>
      <c r="H1603" s="64"/>
      <c r="I1603" s="70"/>
      <c r="J1603" s="70"/>
      <c r="K1603" s="110" t="str">
        <f>IF(H1603="","",IF($C$29="간이법","",FPR(H1603,I1603,J1603)))</f>
        <v/>
      </c>
      <c r="L1603" s="111" t="str">
        <f>IF(H1603="","",IF($C$29="상세법",FPV(H1603,K1603),IF(H1603="EI",4,IF(H1603="EO",5.2,IF(H1603="EQ",3.9,IF(H1603="ILF",7.5,IF(H1603="EIF",5.4)))))))</f>
        <v/>
      </c>
      <c r="M1603" s="112" t="str">
        <f t="shared" si="28"/>
        <v/>
      </c>
      <c r="N1603" s="113"/>
    </row>
    <row r="1604" spans="2:14">
      <c r="B1604" s="105"/>
      <c r="C1604" s="106"/>
      <c r="D1604" s="107"/>
      <c r="E1604" s="65"/>
      <c r="F1604" s="64"/>
      <c r="G1604" s="64"/>
      <c r="H1604" s="64"/>
      <c r="I1604" s="70"/>
      <c r="J1604" s="70"/>
      <c r="K1604" s="110" t="str">
        <f>IF(H1604="","",IF($C$29="간이법","",FPR(H1604,I1604,J1604)))</f>
        <v/>
      </c>
      <c r="L1604" s="111" t="str">
        <f>IF(H1604="","",IF($C$29="상세법",FPV(H1604,K1604),IF(H1604="EI",4,IF(H1604="EO",5.2,IF(H1604="EQ",3.9,IF(H1604="ILF",7.5,IF(H1604="EIF",5.4)))))))</f>
        <v/>
      </c>
      <c r="M1604" s="112" t="str">
        <f t="shared" si="28"/>
        <v/>
      </c>
      <c r="N1604" s="113"/>
    </row>
    <row r="1605" spans="2:14">
      <c r="B1605" s="105"/>
      <c r="C1605" s="106"/>
      <c r="D1605" s="107"/>
      <c r="E1605" s="65"/>
      <c r="F1605" s="64"/>
      <c r="G1605" s="64"/>
      <c r="H1605" s="64"/>
      <c r="I1605" s="70"/>
      <c r="J1605" s="70"/>
      <c r="K1605" s="110" t="str">
        <f>IF(H1605="","",IF($C$29="간이법","",FPR(H1605,I1605,J1605)))</f>
        <v/>
      </c>
      <c r="L1605" s="111" t="str">
        <f>IF(H1605="","",IF($C$29="상세법",FPV(H1605,K1605),IF(H1605="EI",4,IF(H1605="EO",5.2,IF(H1605="EQ",3.9,IF(H1605="ILF",7.5,IF(H1605="EIF",5.4)))))))</f>
        <v/>
      </c>
      <c r="M1605" s="112" t="str">
        <f t="shared" si="28"/>
        <v/>
      </c>
      <c r="N1605" s="113"/>
    </row>
    <row r="1606" spans="2:14">
      <c r="B1606" s="105"/>
      <c r="C1606" s="106"/>
      <c r="D1606" s="107"/>
      <c r="E1606" s="65"/>
      <c r="F1606" s="64"/>
      <c r="G1606" s="64"/>
      <c r="H1606" s="64"/>
      <c r="I1606" s="70"/>
      <c r="J1606" s="70"/>
      <c r="K1606" s="110" t="str">
        <f>IF(H1606="","",IF($C$29="간이법","",FPR(H1606,I1606,J1606)))</f>
        <v/>
      </c>
      <c r="L1606" s="111" t="str">
        <f>IF(H1606="","",IF($C$29="상세법",FPV(H1606,K1606),IF(H1606="EI",4,IF(H1606="EO",5.2,IF(H1606="EQ",3.9,IF(H1606="ILF",7.5,IF(H1606="EIF",5.4)))))))</f>
        <v/>
      </c>
      <c r="M1606" s="112" t="str">
        <f t="shared" si="28"/>
        <v/>
      </c>
      <c r="N1606" s="113"/>
    </row>
    <row r="1607" spans="2:14">
      <c r="B1607" s="105"/>
      <c r="C1607" s="106"/>
      <c r="D1607" s="107"/>
      <c r="E1607" s="65"/>
      <c r="F1607" s="64"/>
      <c r="G1607" s="64"/>
      <c r="H1607" s="64"/>
      <c r="I1607" s="70"/>
      <c r="J1607" s="70"/>
      <c r="K1607" s="110" t="str">
        <f>IF(H1607="","",IF($C$29="간이법","",FPR(H1607,I1607,J1607)))</f>
        <v/>
      </c>
      <c r="L1607" s="111" t="str">
        <f>IF(H1607="","",IF($C$29="상세법",FPV(H1607,K1607),IF(H1607="EI",4,IF(H1607="EO",5.2,IF(H1607="EQ",3.9,IF(H1607="ILF",7.5,IF(H1607="EIF",5.4)))))))</f>
        <v/>
      </c>
      <c r="M1607" s="112" t="str">
        <f t="shared" si="28"/>
        <v/>
      </c>
      <c r="N1607" s="113"/>
    </row>
    <row r="1608" spans="2:14">
      <c r="B1608" s="105"/>
      <c r="C1608" s="106"/>
      <c r="D1608" s="107"/>
      <c r="E1608" s="65"/>
      <c r="F1608" s="64"/>
      <c r="G1608" s="64"/>
      <c r="H1608" s="64"/>
      <c r="I1608" s="70"/>
      <c r="J1608" s="70"/>
      <c r="K1608" s="110" t="str">
        <f>IF(H1608="","",IF($C$29="간이법","",FPR(H1608,I1608,J1608)))</f>
        <v/>
      </c>
      <c r="L1608" s="111" t="str">
        <f>IF(H1608="","",IF($C$29="상세법",FPV(H1608,K1608),IF(H1608="EI",4,IF(H1608="EO",5.2,IF(H1608="EQ",3.9,IF(H1608="ILF",7.5,IF(H1608="EIF",5.4)))))))</f>
        <v/>
      </c>
      <c r="M1608" s="112" t="str">
        <f t="shared" si="28"/>
        <v/>
      </c>
      <c r="N1608" s="113"/>
    </row>
    <row r="1609" spans="2:14">
      <c r="B1609" s="105"/>
      <c r="C1609" s="106"/>
      <c r="D1609" s="107"/>
      <c r="E1609" s="65"/>
      <c r="F1609" s="64"/>
      <c r="G1609" s="64"/>
      <c r="H1609" s="64"/>
      <c r="I1609" s="70"/>
      <c r="J1609" s="70"/>
      <c r="K1609" s="110" t="str">
        <f>IF(H1609="","",IF($C$29="간이법","",FPR(H1609,I1609,J1609)))</f>
        <v/>
      </c>
      <c r="L1609" s="111" t="str">
        <f>IF(H1609="","",IF($C$29="상세법",FPV(H1609,K1609),IF(H1609="EI",4,IF(H1609="EO",5.2,IF(H1609="EQ",3.9,IF(H1609="ILF",7.5,IF(H1609="EIF",5.4)))))))</f>
        <v/>
      </c>
      <c r="M1609" s="112" t="str">
        <f t="shared" si="28"/>
        <v/>
      </c>
      <c r="N1609" s="113"/>
    </row>
    <row r="1610" spans="2:14">
      <c r="B1610" s="105"/>
      <c r="C1610" s="106"/>
      <c r="D1610" s="107"/>
      <c r="E1610" s="65"/>
      <c r="F1610" s="64"/>
      <c r="G1610" s="64"/>
      <c r="H1610" s="64"/>
      <c r="I1610" s="70"/>
      <c r="J1610" s="70"/>
      <c r="K1610" s="110" t="str">
        <f>IF(H1610="","",IF($C$29="간이법","",FPR(H1610,I1610,J1610)))</f>
        <v/>
      </c>
      <c r="L1610" s="111" t="str">
        <f>IF(H1610="","",IF($C$29="상세법",FPV(H1610,K1610),IF(H1610="EI",4,IF(H1610="EO",5.2,IF(H1610="EQ",3.9,IF(H1610="ILF",7.5,IF(H1610="EIF",5.4)))))))</f>
        <v/>
      </c>
      <c r="M1610" s="112" t="str">
        <f t="shared" si="28"/>
        <v/>
      </c>
      <c r="N1610" s="113"/>
    </row>
    <row r="1611" spans="2:14">
      <c r="B1611" s="105"/>
      <c r="C1611" s="106"/>
      <c r="D1611" s="107"/>
      <c r="E1611" s="65"/>
      <c r="F1611" s="64"/>
      <c r="G1611" s="64"/>
      <c r="H1611" s="64"/>
      <c r="I1611" s="70"/>
      <c r="J1611" s="70"/>
      <c r="K1611" s="110" t="str">
        <f>IF(H1611="","",IF($C$29="간이법","",FPR(H1611,I1611,J1611)))</f>
        <v/>
      </c>
      <c r="L1611" s="111" t="str">
        <f>IF(H1611="","",IF($C$29="상세법",FPV(H1611,K1611),IF(H1611="EI",4,IF(H1611="EO",5.2,IF(H1611="EQ",3.9,IF(H1611="ILF",7.5,IF(H1611="EIF",5.4)))))))</f>
        <v/>
      </c>
      <c r="M1611" s="112" t="str">
        <f t="shared" si="28"/>
        <v/>
      </c>
      <c r="N1611" s="113"/>
    </row>
    <row r="1612" spans="2:14">
      <c r="B1612" s="105"/>
      <c r="C1612" s="106"/>
      <c r="D1612" s="107"/>
      <c r="E1612" s="65"/>
      <c r="F1612" s="64"/>
      <c r="G1612" s="64"/>
      <c r="H1612" s="64"/>
      <c r="I1612" s="70"/>
      <c r="J1612" s="70"/>
      <c r="K1612" s="110" t="str">
        <f>IF(H1612="","",IF($C$29="간이법","",FPR(H1612,I1612,J1612)))</f>
        <v/>
      </c>
      <c r="L1612" s="111" t="str">
        <f>IF(H1612="","",IF($C$29="상세법",FPV(H1612,K1612),IF(H1612="EI",4,IF(H1612="EO",5.2,IF(H1612="EQ",3.9,IF(H1612="ILF",7.5,IF(H1612="EIF",5.4)))))))</f>
        <v/>
      </c>
      <c r="M1612" s="112" t="str">
        <f t="shared" si="28"/>
        <v/>
      </c>
      <c r="N1612" s="113"/>
    </row>
    <row r="1613" spans="2:14">
      <c r="B1613" s="105"/>
      <c r="C1613" s="106"/>
      <c r="D1613" s="107"/>
      <c r="E1613" s="65"/>
      <c r="F1613" s="64"/>
      <c r="G1613" s="64"/>
      <c r="H1613" s="64"/>
      <c r="I1613" s="70"/>
      <c r="J1613" s="70"/>
      <c r="K1613" s="110" t="str">
        <f>IF(H1613="","",IF($C$29="간이법","",FPR(H1613,I1613,J1613)))</f>
        <v/>
      </c>
      <c r="L1613" s="111" t="str">
        <f>IF(H1613="","",IF($C$29="상세법",FPV(H1613,K1613),IF(H1613="EI",4,IF(H1613="EO",5.2,IF(H1613="EQ",3.9,IF(H1613="ILF",7.5,IF(H1613="EIF",5.4)))))))</f>
        <v/>
      </c>
      <c r="M1613" s="112" t="str">
        <f t="shared" si="28"/>
        <v/>
      </c>
      <c r="N1613" s="113"/>
    </row>
    <row r="1614" spans="2:14">
      <c r="B1614" s="105"/>
      <c r="C1614" s="106"/>
      <c r="D1614" s="107"/>
      <c r="E1614" s="65"/>
      <c r="F1614" s="64"/>
      <c r="G1614" s="64"/>
      <c r="H1614" s="64"/>
      <c r="I1614" s="70"/>
      <c r="J1614" s="70"/>
      <c r="K1614" s="110" t="str">
        <f>IF(H1614="","",IF($C$29="간이법","",FPR(H1614,I1614,J1614)))</f>
        <v/>
      </c>
      <c r="L1614" s="111" t="str">
        <f>IF(H1614="","",IF($C$29="상세법",FPV(H1614,K1614),IF(H1614="EI",4,IF(H1614="EO",5.2,IF(H1614="EQ",3.9,IF(H1614="ILF",7.5,IF(H1614="EIF",5.4)))))))</f>
        <v/>
      </c>
      <c r="M1614" s="112" t="str">
        <f t="shared" si="28"/>
        <v/>
      </c>
      <c r="N1614" s="113"/>
    </row>
    <row r="1615" spans="2:14">
      <c r="B1615" s="105"/>
      <c r="C1615" s="106"/>
      <c r="D1615" s="107"/>
      <c r="E1615" s="65"/>
      <c r="F1615" s="64"/>
      <c r="G1615" s="64"/>
      <c r="H1615" s="64"/>
      <c r="I1615" s="70"/>
      <c r="J1615" s="70"/>
      <c r="K1615" s="110" t="str">
        <f>IF(H1615="","",IF($C$29="간이법","",FPR(H1615,I1615,J1615)))</f>
        <v/>
      </c>
      <c r="L1615" s="111" t="str">
        <f>IF(H1615="","",IF($C$29="상세법",FPV(H1615,K1615),IF(H1615="EI",4,IF(H1615="EO",5.2,IF(H1615="EQ",3.9,IF(H1615="ILF",7.5,IF(H1615="EIF",5.4)))))))</f>
        <v/>
      </c>
      <c r="M1615" s="112" t="str">
        <f t="shared" si="28"/>
        <v/>
      </c>
      <c r="N1615" s="113"/>
    </row>
    <row r="1616" spans="2:14">
      <c r="B1616" s="105"/>
      <c r="C1616" s="106"/>
      <c r="D1616" s="107"/>
      <c r="E1616" s="65"/>
      <c r="F1616" s="64"/>
      <c r="G1616" s="64"/>
      <c r="H1616" s="64"/>
      <c r="I1616" s="70"/>
      <c r="J1616" s="70"/>
      <c r="K1616" s="110" t="str">
        <f>IF(H1616="","",IF($C$29="간이법","",FPR(H1616,I1616,J1616)))</f>
        <v/>
      </c>
      <c r="L1616" s="111" t="str">
        <f>IF(H1616="","",IF($C$29="상세법",FPV(H1616,K1616),IF(H1616="EI",4,IF(H1616="EO",5.2,IF(H1616="EQ",3.9,IF(H1616="ILF",7.5,IF(H1616="EIF",5.4)))))))</f>
        <v/>
      </c>
      <c r="M1616" s="112" t="str">
        <f t="shared" si="28"/>
        <v/>
      </c>
      <c r="N1616" s="113"/>
    </row>
    <row r="1617" spans="2:14">
      <c r="B1617" s="105"/>
      <c r="C1617" s="106"/>
      <c r="D1617" s="107"/>
      <c r="E1617" s="65"/>
      <c r="F1617" s="64"/>
      <c r="G1617" s="64"/>
      <c r="H1617" s="64"/>
      <c r="I1617" s="70"/>
      <c r="J1617" s="70"/>
      <c r="K1617" s="110" t="str">
        <f>IF(H1617="","",IF($C$29="간이법","",FPR(H1617,I1617,J1617)))</f>
        <v/>
      </c>
      <c r="L1617" s="111" t="str">
        <f>IF(H1617="","",IF($C$29="상세법",FPV(H1617,K1617),IF(H1617="EI",4,IF(H1617="EO",5.2,IF(H1617="EQ",3.9,IF(H1617="ILF",7.5,IF(H1617="EIF",5.4)))))))</f>
        <v/>
      </c>
      <c r="M1617" s="112" t="str">
        <f t="shared" si="28"/>
        <v/>
      </c>
      <c r="N1617" s="113"/>
    </row>
    <row r="1618" spans="2:14">
      <c r="B1618" s="105"/>
      <c r="C1618" s="106"/>
      <c r="D1618" s="107"/>
      <c r="E1618" s="65"/>
      <c r="F1618" s="64"/>
      <c r="G1618" s="64"/>
      <c r="H1618" s="64"/>
      <c r="I1618" s="70"/>
      <c r="J1618" s="70"/>
      <c r="K1618" s="110" t="str">
        <f>IF(H1618="","",IF($C$29="간이법","",FPR(H1618,I1618,J1618)))</f>
        <v/>
      </c>
      <c r="L1618" s="111" t="str">
        <f>IF(H1618="","",IF($C$29="상세법",FPV(H1618,K1618),IF(H1618="EI",4,IF(H1618="EO",5.2,IF(H1618="EQ",3.9,IF(H1618="ILF",7.5,IF(H1618="EIF",5.4)))))))</f>
        <v/>
      </c>
      <c r="M1618" s="112" t="str">
        <f t="shared" si="28"/>
        <v/>
      </c>
      <c r="N1618" s="113"/>
    </row>
    <row r="1619" spans="2:14">
      <c r="B1619" s="105"/>
      <c r="C1619" s="106"/>
      <c r="D1619" s="107"/>
      <c r="E1619" s="65"/>
      <c r="F1619" s="64"/>
      <c r="G1619" s="64"/>
      <c r="H1619" s="64"/>
      <c r="I1619" s="70"/>
      <c r="J1619" s="70"/>
      <c r="K1619" s="110" t="str">
        <f>IF(H1619="","",IF($C$29="간이법","",FPR(H1619,I1619,J1619)))</f>
        <v/>
      </c>
      <c r="L1619" s="111" t="str">
        <f>IF(H1619="","",IF($C$29="상세법",FPV(H1619,K1619),IF(H1619="EI",4,IF(H1619="EO",5.2,IF(H1619="EQ",3.9,IF(H1619="ILF",7.5,IF(H1619="EIF",5.4)))))))</f>
        <v/>
      </c>
      <c r="M1619" s="112" t="str">
        <f t="shared" si="28"/>
        <v/>
      </c>
      <c r="N1619" s="113"/>
    </row>
    <row r="1620" spans="2:14">
      <c r="B1620" s="105"/>
      <c r="C1620" s="106"/>
      <c r="D1620" s="107"/>
      <c r="E1620" s="65"/>
      <c r="F1620" s="64"/>
      <c r="G1620" s="64"/>
      <c r="H1620" s="64"/>
      <c r="I1620" s="70"/>
      <c r="J1620" s="70"/>
      <c r="K1620" s="110" t="str">
        <f>IF(H1620="","",IF($C$29="간이법","",FPR(H1620,I1620,J1620)))</f>
        <v/>
      </c>
      <c r="L1620" s="111" t="str">
        <f>IF(H1620="","",IF($C$29="상세법",FPV(H1620,K1620),IF(H1620="EI",4,IF(H1620="EO",5.2,IF(H1620="EQ",3.9,IF(H1620="ILF",7.5,IF(H1620="EIF",5.4)))))))</f>
        <v/>
      </c>
      <c r="M1620" s="112" t="str">
        <f t="shared" si="28"/>
        <v/>
      </c>
      <c r="N1620" s="113"/>
    </row>
    <row r="1621" spans="2:14">
      <c r="B1621" s="105"/>
      <c r="C1621" s="106"/>
      <c r="D1621" s="107"/>
      <c r="E1621" s="65"/>
      <c r="F1621" s="64"/>
      <c r="G1621" s="64"/>
      <c r="H1621" s="64"/>
      <c r="I1621" s="70"/>
      <c r="J1621" s="70"/>
      <c r="K1621" s="110" t="str">
        <f>IF(H1621="","",IF($C$29="간이법","",FPR(H1621,I1621,J1621)))</f>
        <v/>
      </c>
      <c r="L1621" s="111" t="str">
        <f>IF(H1621="","",IF($C$29="상세법",FPV(H1621,K1621),IF(H1621="EI",4,IF(H1621="EO",5.2,IF(H1621="EQ",3.9,IF(H1621="ILF",7.5,IF(H1621="EIF",5.4)))))))</f>
        <v/>
      </c>
      <c r="M1621" s="112" t="str">
        <f t="shared" si="28"/>
        <v/>
      </c>
      <c r="N1621" s="113"/>
    </row>
    <row r="1622" spans="2:14">
      <c r="B1622" s="105"/>
      <c r="C1622" s="106"/>
      <c r="D1622" s="107"/>
      <c r="E1622" s="65"/>
      <c r="F1622" s="64"/>
      <c r="G1622" s="64"/>
      <c r="H1622" s="64"/>
      <c r="I1622" s="70"/>
      <c r="J1622" s="70"/>
      <c r="K1622" s="110" t="str">
        <f>IF(H1622="","",IF($C$29="간이법","",FPR(H1622,I1622,J1622)))</f>
        <v/>
      </c>
      <c r="L1622" s="111" t="str">
        <f>IF(H1622="","",IF($C$29="상세법",FPV(H1622,K1622),IF(H1622="EI",4,IF(H1622="EO",5.2,IF(H1622="EQ",3.9,IF(H1622="ILF",7.5,IF(H1622="EIF",5.4)))))))</f>
        <v/>
      </c>
      <c r="M1622" s="112" t="str">
        <f t="shared" si="28"/>
        <v/>
      </c>
      <c r="N1622" s="113"/>
    </row>
    <row r="1623" spans="2:14">
      <c r="B1623" s="105"/>
      <c r="C1623" s="106"/>
      <c r="D1623" s="107"/>
      <c r="E1623" s="65"/>
      <c r="F1623" s="64"/>
      <c r="G1623" s="64"/>
      <c r="H1623" s="64"/>
      <c r="I1623" s="70"/>
      <c r="J1623" s="70"/>
      <c r="K1623" s="110" t="str">
        <f>IF(H1623="","",IF($C$29="간이법","",FPR(H1623,I1623,J1623)))</f>
        <v/>
      </c>
      <c r="L1623" s="111" t="str">
        <f>IF(H1623="","",IF($C$29="상세법",FPV(H1623,K1623),IF(H1623="EI",4,IF(H1623="EO",5.2,IF(H1623="EQ",3.9,IF(H1623="ILF",7.5,IF(H1623="EIF",5.4)))))))</f>
        <v/>
      </c>
      <c r="M1623" s="112" t="str">
        <f t="shared" si="28"/>
        <v/>
      </c>
      <c r="N1623" s="113"/>
    </row>
    <row r="1624" spans="2:14">
      <c r="B1624" s="105"/>
      <c r="C1624" s="106"/>
      <c r="D1624" s="107"/>
      <c r="E1624" s="65"/>
      <c r="F1624" s="64"/>
      <c r="G1624" s="64"/>
      <c r="H1624" s="64"/>
      <c r="I1624" s="70"/>
      <c r="J1624" s="70"/>
      <c r="K1624" s="110" t="str">
        <f>IF(H1624="","",IF($C$29="간이법","",FPR(H1624,I1624,J1624)))</f>
        <v/>
      </c>
      <c r="L1624" s="111" t="str">
        <f>IF(H1624="","",IF($C$29="상세법",FPV(H1624,K1624),IF(H1624="EI",4,IF(H1624="EO",5.2,IF(H1624="EQ",3.9,IF(H1624="ILF",7.5,IF(H1624="EIF",5.4)))))))</f>
        <v/>
      </c>
      <c r="M1624" s="112" t="str">
        <f t="shared" si="28"/>
        <v/>
      </c>
      <c r="N1624" s="113"/>
    </row>
    <row r="1625" spans="2:14">
      <c r="B1625" s="105"/>
      <c r="C1625" s="106"/>
      <c r="D1625" s="107"/>
      <c r="E1625" s="65"/>
      <c r="F1625" s="64"/>
      <c r="G1625" s="64"/>
      <c r="H1625" s="64"/>
      <c r="I1625" s="70"/>
      <c r="J1625" s="70"/>
      <c r="K1625" s="110" t="str">
        <f>IF(H1625="","",IF($C$29="간이법","",FPR(H1625,I1625,J1625)))</f>
        <v/>
      </c>
      <c r="L1625" s="111" t="str">
        <f>IF(H1625="","",IF($C$29="상세법",FPV(H1625,K1625),IF(H1625="EI",4,IF(H1625="EO",5.2,IF(H1625="EQ",3.9,IF(H1625="ILF",7.5,IF(H1625="EIF",5.4)))))))</f>
        <v/>
      </c>
      <c r="M1625" s="112" t="str">
        <f t="shared" si="28"/>
        <v/>
      </c>
      <c r="N1625" s="113"/>
    </row>
    <row r="1626" spans="2:14">
      <c r="B1626" s="105"/>
      <c r="C1626" s="106"/>
      <c r="D1626" s="107"/>
      <c r="E1626" s="65"/>
      <c r="F1626" s="64"/>
      <c r="G1626" s="64"/>
      <c r="H1626" s="64"/>
      <c r="I1626" s="70"/>
      <c r="J1626" s="70"/>
      <c r="K1626" s="110" t="str">
        <f>IF(H1626="","",IF($C$29="간이법","",FPR(H1626,I1626,J1626)))</f>
        <v/>
      </c>
      <c r="L1626" s="111" t="str">
        <f>IF(H1626="","",IF($C$29="상세법",FPV(H1626,K1626),IF(H1626="EI",4,IF(H1626="EO",5.2,IF(H1626="EQ",3.9,IF(H1626="ILF",7.5,IF(H1626="EIF",5.4)))))))</f>
        <v/>
      </c>
      <c r="M1626" s="112" t="str">
        <f t="shared" si="28"/>
        <v/>
      </c>
      <c r="N1626" s="113"/>
    </row>
    <row r="1627" spans="2:14">
      <c r="B1627" s="105"/>
      <c r="C1627" s="106"/>
      <c r="D1627" s="107"/>
      <c r="E1627" s="65"/>
      <c r="F1627" s="64"/>
      <c r="G1627" s="64"/>
      <c r="H1627" s="64"/>
      <c r="I1627" s="70"/>
      <c r="J1627" s="70"/>
      <c r="K1627" s="110" t="str">
        <f>IF(H1627="","",IF($C$29="간이법","",FPR(H1627,I1627,J1627)))</f>
        <v/>
      </c>
      <c r="L1627" s="111" t="str">
        <f>IF(H1627="","",IF($C$29="상세법",FPV(H1627,K1627),IF(H1627="EI",4,IF(H1627="EO",5.2,IF(H1627="EQ",3.9,IF(H1627="ILF",7.5,IF(H1627="EIF",5.4)))))))</f>
        <v/>
      </c>
      <c r="M1627" s="112" t="str">
        <f t="shared" si="28"/>
        <v/>
      </c>
      <c r="N1627" s="113"/>
    </row>
    <row r="1628" spans="2:14">
      <c r="B1628" s="105"/>
      <c r="C1628" s="106"/>
      <c r="D1628" s="107"/>
      <c r="E1628" s="65"/>
      <c r="F1628" s="64"/>
      <c r="G1628" s="64"/>
      <c r="H1628" s="64"/>
      <c r="I1628" s="70"/>
      <c r="J1628" s="70"/>
      <c r="K1628" s="110" t="str">
        <f>IF(H1628="","",IF($C$29="간이법","",FPR(H1628,I1628,J1628)))</f>
        <v/>
      </c>
      <c r="L1628" s="111" t="str">
        <f>IF(H1628="","",IF($C$29="상세법",FPV(H1628,K1628),IF(H1628="EI",4,IF(H1628="EO",5.2,IF(H1628="EQ",3.9,IF(H1628="ILF",7.5,IF(H1628="EIF",5.4)))))))</f>
        <v/>
      </c>
      <c r="M1628" s="112" t="str">
        <f t="shared" si="28"/>
        <v/>
      </c>
      <c r="N1628" s="113"/>
    </row>
    <row r="1629" spans="2:14">
      <c r="B1629" s="105"/>
      <c r="C1629" s="106"/>
      <c r="D1629" s="107"/>
      <c r="E1629" s="65"/>
      <c r="F1629" s="64"/>
      <c r="G1629" s="64"/>
      <c r="H1629" s="64"/>
      <c r="I1629" s="70"/>
      <c r="J1629" s="70"/>
      <c r="K1629" s="110" t="str">
        <f>IF(H1629="","",IF($C$29="간이법","",FPR(H1629,I1629,J1629)))</f>
        <v/>
      </c>
      <c r="L1629" s="111" t="str">
        <f>IF(H1629="","",IF($C$29="상세법",FPV(H1629,K1629),IF(H1629="EI",4,IF(H1629="EO",5.2,IF(H1629="EQ",3.9,IF(H1629="ILF",7.5,IF(H1629="EIF",5.4)))))))</f>
        <v/>
      </c>
      <c r="M1629" s="112" t="str">
        <f t="shared" si="28"/>
        <v/>
      </c>
      <c r="N1629" s="113"/>
    </row>
    <row r="1630" spans="2:14">
      <c r="B1630" s="105"/>
      <c r="C1630" s="106"/>
      <c r="D1630" s="107"/>
      <c r="E1630" s="65"/>
      <c r="F1630" s="64"/>
      <c r="G1630" s="64"/>
      <c r="H1630" s="64"/>
      <c r="I1630" s="70"/>
      <c r="J1630" s="70"/>
      <c r="K1630" s="110" t="str">
        <f>IF(H1630="","",IF($C$29="간이법","",FPR(H1630,I1630,J1630)))</f>
        <v/>
      </c>
      <c r="L1630" s="111" t="str">
        <f>IF(H1630="","",IF($C$29="상세법",FPV(H1630,K1630),IF(H1630="EI",4,IF(H1630="EO",5.2,IF(H1630="EQ",3.9,IF(H1630="ILF",7.5,IF(H1630="EIF",5.4)))))))</f>
        <v/>
      </c>
      <c r="M1630" s="112" t="str">
        <f t="shared" si="28"/>
        <v/>
      </c>
      <c r="N1630" s="113"/>
    </row>
    <row r="1631" spans="2:14">
      <c r="B1631" s="105"/>
      <c r="C1631" s="106"/>
      <c r="D1631" s="107"/>
      <c r="E1631" s="65"/>
      <c r="F1631" s="64"/>
      <c r="G1631" s="64"/>
      <c r="H1631" s="64"/>
      <c r="I1631" s="70"/>
      <c r="J1631" s="70"/>
      <c r="K1631" s="110" t="str">
        <f>IF(H1631="","",IF($C$29="간이법","",FPR(H1631,I1631,J1631)))</f>
        <v/>
      </c>
      <c r="L1631" s="111" t="str">
        <f>IF(H1631="","",IF($C$29="상세법",FPV(H1631,K1631),IF(H1631="EI",4,IF(H1631="EO",5.2,IF(H1631="EQ",3.9,IF(H1631="ILF",7.5,IF(H1631="EIF",5.4)))))))</f>
        <v/>
      </c>
      <c r="M1631" s="112" t="str">
        <f t="shared" si="28"/>
        <v/>
      </c>
      <c r="N1631" s="113"/>
    </row>
    <row r="1632" spans="2:14">
      <c r="B1632" s="105"/>
      <c r="C1632" s="106"/>
      <c r="D1632" s="107"/>
      <c r="E1632" s="65"/>
      <c r="F1632" s="64"/>
      <c r="G1632" s="64"/>
      <c r="H1632" s="64"/>
      <c r="I1632" s="70"/>
      <c r="J1632" s="70"/>
      <c r="K1632" s="110" t="str">
        <f>IF(H1632="","",IF($C$29="간이법","",FPR(H1632,I1632,J1632)))</f>
        <v/>
      </c>
      <c r="L1632" s="111" t="str">
        <f>IF(H1632="","",IF($C$29="상세법",FPV(H1632,K1632),IF(H1632="EI",4,IF(H1632="EO",5.2,IF(H1632="EQ",3.9,IF(H1632="ILF",7.5,IF(H1632="EIF",5.4)))))))</f>
        <v/>
      </c>
      <c r="M1632" s="112" t="str">
        <f t="shared" si="28"/>
        <v/>
      </c>
      <c r="N1632" s="113"/>
    </row>
    <row r="1633" spans="2:14">
      <c r="B1633" s="105"/>
      <c r="C1633" s="106"/>
      <c r="D1633" s="107"/>
      <c r="E1633" s="65"/>
      <c r="F1633" s="64"/>
      <c r="G1633" s="64"/>
      <c r="H1633" s="64"/>
      <c r="I1633" s="70"/>
      <c r="J1633" s="70"/>
      <c r="K1633" s="110" t="str">
        <f>IF(H1633="","",IF($C$29="간이법","",FPR(H1633,I1633,J1633)))</f>
        <v/>
      </c>
      <c r="L1633" s="111" t="str">
        <f>IF(H1633="","",IF($C$29="상세법",FPV(H1633,K1633),IF(H1633="EI",4,IF(H1633="EO",5.2,IF(H1633="EQ",3.9,IF(H1633="ILF",7.5,IF(H1633="EIF",5.4)))))))</f>
        <v/>
      </c>
      <c r="M1633" s="112" t="str">
        <f t="shared" si="28"/>
        <v/>
      </c>
      <c r="N1633" s="113"/>
    </row>
    <row r="1634" spans="2:14">
      <c r="B1634" s="105"/>
      <c r="C1634" s="106"/>
      <c r="D1634" s="107"/>
      <c r="E1634" s="65"/>
      <c r="F1634" s="64"/>
      <c r="G1634" s="64"/>
      <c r="H1634" s="64"/>
      <c r="I1634" s="70"/>
      <c r="J1634" s="70"/>
      <c r="K1634" s="110" t="str">
        <f>IF(H1634="","",IF($C$29="간이법","",FPR(H1634,I1634,J1634)))</f>
        <v/>
      </c>
      <c r="L1634" s="111" t="str">
        <f>IF(H1634="","",IF($C$29="상세법",FPV(H1634,K1634),IF(H1634="EI",4,IF(H1634="EO",5.2,IF(H1634="EQ",3.9,IF(H1634="ILF",7.5,IF(H1634="EIF",5.4)))))))</f>
        <v/>
      </c>
      <c r="M1634" s="112" t="str">
        <f t="shared" si="28"/>
        <v/>
      </c>
      <c r="N1634" s="113"/>
    </row>
    <row r="1635" spans="2:14">
      <c r="B1635" s="105"/>
      <c r="C1635" s="106"/>
      <c r="D1635" s="107"/>
      <c r="E1635" s="65"/>
      <c r="F1635" s="64"/>
      <c r="G1635" s="64"/>
      <c r="H1635" s="64"/>
      <c r="I1635" s="70"/>
      <c r="J1635" s="70"/>
      <c r="K1635" s="110" t="str">
        <f>IF(H1635="","",IF($C$29="간이법","",FPR(H1635,I1635,J1635)))</f>
        <v/>
      </c>
      <c r="L1635" s="111" t="str">
        <f>IF(H1635="","",IF($C$29="상세법",FPV(H1635,K1635),IF(H1635="EI",4,IF(H1635="EO",5.2,IF(H1635="EQ",3.9,IF(H1635="ILF",7.5,IF(H1635="EIF",5.4)))))))</f>
        <v/>
      </c>
      <c r="M1635" s="112" t="str">
        <f t="shared" si="28"/>
        <v/>
      </c>
      <c r="N1635" s="113"/>
    </row>
    <row r="1636" spans="2:14">
      <c r="B1636" s="105"/>
      <c r="C1636" s="106"/>
      <c r="D1636" s="107"/>
      <c r="E1636" s="65"/>
      <c r="F1636" s="64"/>
      <c r="G1636" s="64"/>
      <c r="H1636" s="64"/>
      <c r="I1636" s="70"/>
      <c r="J1636" s="70"/>
      <c r="K1636" s="110" t="str">
        <f>IF(H1636="","",IF($C$29="간이법","",FPR(H1636,I1636,J1636)))</f>
        <v/>
      </c>
      <c r="L1636" s="111" t="str">
        <f>IF(H1636="","",IF($C$29="상세법",FPV(H1636,K1636),IF(H1636="EI",4,IF(H1636="EO",5.2,IF(H1636="EQ",3.9,IF(H1636="ILF",7.5,IF(H1636="EIF",5.4)))))))</f>
        <v/>
      </c>
      <c r="M1636" s="112" t="str">
        <f t="shared" si="28"/>
        <v/>
      </c>
      <c r="N1636" s="113"/>
    </row>
    <row r="1637" spans="2:14">
      <c r="B1637" s="105"/>
      <c r="C1637" s="106"/>
      <c r="D1637" s="107"/>
      <c r="E1637" s="65"/>
      <c r="F1637" s="64"/>
      <c r="G1637" s="64"/>
      <c r="H1637" s="64"/>
      <c r="I1637" s="70"/>
      <c r="J1637" s="70"/>
      <c r="K1637" s="110" t="str">
        <f>IF(H1637="","",IF($C$29="간이법","",FPR(H1637,I1637,J1637)))</f>
        <v/>
      </c>
      <c r="L1637" s="111" t="str">
        <f>IF(H1637="","",IF($C$29="상세법",FPV(H1637,K1637),IF(H1637="EI",4,IF(H1637="EO",5.2,IF(H1637="EQ",3.9,IF(H1637="ILF",7.5,IF(H1637="EIF",5.4)))))))</f>
        <v/>
      </c>
      <c r="M1637" s="112" t="str">
        <f t="shared" si="28"/>
        <v/>
      </c>
      <c r="N1637" s="113"/>
    </row>
    <row r="1638" spans="2:14">
      <c r="B1638" s="105"/>
      <c r="C1638" s="106"/>
      <c r="D1638" s="107"/>
      <c r="E1638" s="65"/>
      <c r="F1638" s="64"/>
      <c r="G1638" s="64"/>
      <c r="H1638" s="64"/>
      <c r="I1638" s="70"/>
      <c r="J1638" s="70"/>
      <c r="K1638" s="110" t="str">
        <f>IF(H1638="","",IF($C$29="간이법","",FPR(H1638,I1638,J1638)))</f>
        <v/>
      </c>
      <c r="L1638" s="111" t="str">
        <f>IF(H1638="","",IF($C$29="상세법",FPV(H1638,K1638),IF(H1638="EI",4,IF(H1638="EO",5.2,IF(H1638="EQ",3.9,IF(H1638="ILF",7.5,IF(H1638="EIF",5.4)))))))</f>
        <v/>
      </c>
      <c r="M1638" s="112" t="str">
        <f t="shared" si="28"/>
        <v/>
      </c>
      <c r="N1638" s="113"/>
    </row>
    <row r="1639" spans="2:14">
      <c r="B1639" s="105"/>
      <c r="C1639" s="106"/>
      <c r="D1639" s="107"/>
      <c r="E1639" s="65"/>
      <c r="F1639" s="64"/>
      <c r="G1639" s="64"/>
      <c r="H1639" s="64"/>
      <c r="I1639" s="70"/>
      <c r="J1639" s="70"/>
      <c r="K1639" s="110" t="str">
        <f>IF(H1639="","",IF($C$29="간이법","",FPR(H1639,I1639,J1639)))</f>
        <v/>
      </c>
      <c r="L1639" s="111" t="str">
        <f>IF(H1639="","",IF($C$29="상세법",FPV(H1639,K1639),IF(H1639="EI",4,IF(H1639="EO",5.2,IF(H1639="EQ",3.9,IF(H1639="ILF",7.5,IF(H1639="EIF",5.4)))))))</f>
        <v/>
      </c>
      <c r="M1639" s="112" t="str">
        <f t="shared" si="28"/>
        <v/>
      </c>
      <c r="N1639" s="113"/>
    </row>
    <row r="1640" spans="2:14">
      <c r="B1640" s="105"/>
      <c r="C1640" s="106"/>
      <c r="D1640" s="107"/>
      <c r="E1640" s="65"/>
      <c r="F1640" s="64"/>
      <c r="G1640" s="64"/>
      <c r="H1640" s="64"/>
      <c r="I1640" s="70"/>
      <c r="J1640" s="70"/>
      <c r="K1640" s="110" t="str">
        <f>IF(H1640="","",IF($C$29="간이법","",FPR(H1640,I1640,J1640)))</f>
        <v/>
      </c>
      <c r="L1640" s="111" t="str">
        <f>IF(H1640="","",IF($C$29="상세법",FPV(H1640,K1640),IF(H1640="EI",4,IF(H1640="EO",5.2,IF(H1640="EQ",3.9,IF(H1640="ILF",7.5,IF(H1640="EIF",5.4)))))))</f>
        <v/>
      </c>
      <c r="M1640" s="112" t="str">
        <f t="shared" si="28"/>
        <v/>
      </c>
      <c r="N1640" s="113"/>
    </row>
    <row r="1641" spans="2:14">
      <c r="B1641" s="105"/>
      <c r="C1641" s="106"/>
      <c r="D1641" s="107"/>
      <c r="E1641" s="65"/>
      <c r="F1641" s="64"/>
      <c r="G1641" s="64"/>
      <c r="H1641" s="64"/>
      <c r="I1641" s="70"/>
      <c r="J1641" s="70"/>
      <c r="K1641" s="110" t="str">
        <f>IF(H1641="","",IF($C$29="간이법","",FPR(H1641,I1641,J1641)))</f>
        <v/>
      </c>
      <c r="L1641" s="111" t="str">
        <f>IF(H1641="","",IF($C$29="상세법",FPV(H1641,K1641),IF(H1641="EI",4,IF(H1641="EO",5.2,IF(H1641="EQ",3.9,IF(H1641="ILF",7.5,IF(H1641="EIF",5.4)))))))</f>
        <v/>
      </c>
      <c r="M1641" s="112" t="str">
        <f t="shared" si="28"/>
        <v/>
      </c>
      <c r="N1641" s="113"/>
    </row>
    <row r="1642" spans="2:14">
      <c r="B1642" s="105"/>
      <c r="C1642" s="106"/>
      <c r="D1642" s="107"/>
      <c r="E1642" s="65"/>
      <c r="F1642" s="64"/>
      <c r="G1642" s="64"/>
      <c r="H1642" s="64"/>
      <c r="I1642" s="70"/>
      <c r="J1642" s="70"/>
      <c r="K1642" s="110" t="str">
        <f>IF(H1642="","",IF($C$29="간이법","",FPR(H1642,I1642,J1642)))</f>
        <v/>
      </c>
      <c r="L1642" s="111" t="str">
        <f>IF(H1642="","",IF($C$29="상세법",FPV(H1642,K1642),IF(H1642="EI",4,IF(H1642="EO",5.2,IF(H1642="EQ",3.9,IF(H1642="ILF",7.5,IF(H1642="EIF",5.4)))))))</f>
        <v/>
      </c>
      <c r="M1642" s="112" t="str">
        <f t="shared" si="28"/>
        <v/>
      </c>
      <c r="N1642" s="113"/>
    </row>
    <row r="1643" spans="2:14">
      <c r="B1643" s="105"/>
      <c r="C1643" s="106"/>
      <c r="D1643" s="107"/>
      <c r="E1643" s="65"/>
      <c r="F1643" s="64"/>
      <c r="G1643" s="64"/>
      <c r="H1643" s="64"/>
      <c r="I1643" s="70"/>
      <c r="J1643" s="70"/>
      <c r="K1643" s="110" t="str">
        <f>IF(H1643="","",IF($C$29="간이법","",FPR(H1643,I1643,J1643)))</f>
        <v/>
      </c>
      <c r="L1643" s="111" t="str">
        <f>IF(H1643="","",IF($C$29="상세법",FPV(H1643,K1643),IF(H1643="EI",4,IF(H1643="EO",5.2,IF(H1643="EQ",3.9,IF(H1643="ILF",7.5,IF(H1643="EIF",5.4)))))))</f>
        <v/>
      </c>
      <c r="M1643" s="112" t="str">
        <f t="shared" si="28"/>
        <v/>
      </c>
      <c r="N1643" s="113"/>
    </row>
    <row r="1644" spans="2:14">
      <c r="B1644" s="105"/>
      <c r="C1644" s="106"/>
      <c r="D1644" s="107"/>
      <c r="E1644" s="65"/>
      <c r="F1644" s="64"/>
      <c r="G1644" s="64"/>
      <c r="H1644" s="64"/>
      <c r="I1644" s="70"/>
      <c r="J1644" s="70"/>
      <c r="K1644" s="110" t="str">
        <f>IF(H1644="","",IF($C$29="간이법","",FPR(H1644,I1644,J1644)))</f>
        <v/>
      </c>
      <c r="L1644" s="111" t="str">
        <f>IF(H1644="","",IF($C$29="상세법",FPV(H1644,K1644),IF(H1644="EI",4,IF(H1644="EO",5.2,IF(H1644="EQ",3.9,IF(H1644="ILF",7.5,IF(H1644="EIF",5.4)))))))</f>
        <v/>
      </c>
      <c r="M1644" s="112" t="str">
        <f t="shared" si="28"/>
        <v/>
      </c>
      <c r="N1644" s="113"/>
    </row>
    <row r="1645" spans="2:14">
      <c r="B1645" s="105"/>
      <c r="C1645" s="106"/>
      <c r="D1645" s="107"/>
      <c r="E1645" s="65"/>
      <c r="F1645" s="64"/>
      <c r="G1645" s="64"/>
      <c r="H1645" s="64"/>
      <c r="I1645" s="70"/>
      <c r="J1645" s="70"/>
      <c r="K1645" s="110" t="str">
        <f>IF(H1645="","",IF($C$29="간이법","",FPR(H1645,I1645,J1645)))</f>
        <v/>
      </c>
      <c r="L1645" s="111" t="str">
        <f>IF(H1645="","",IF($C$29="상세법",FPV(H1645,K1645),IF(H1645="EI",4,IF(H1645="EO",5.2,IF(H1645="EQ",3.9,IF(H1645="ILF",7.5,IF(H1645="EIF",5.4)))))))</f>
        <v/>
      </c>
      <c r="M1645" s="112" t="str">
        <f t="shared" si="28"/>
        <v/>
      </c>
      <c r="N1645" s="113"/>
    </row>
    <row r="1646" spans="2:14">
      <c r="B1646" s="105"/>
      <c r="C1646" s="106"/>
      <c r="D1646" s="107"/>
      <c r="E1646" s="65"/>
      <c r="F1646" s="64"/>
      <c r="G1646" s="64"/>
      <c r="H1646" s="64"/>
      <c r="I1646" s="70"/>
      <c r="J1646" s="70"/>
      <c r="K1646" s="110" t="str">
        <f>IF(H1646="","",IF($C$29="간이법","",FPR(H1646,I1646,J1646)))</f>
        <v/>
      </c>
      <c r="L1646" s="111" t="str">
        <f>IF(H1646="","",IF($C$29="상세법",FPV(H1646,K1646),IF(H1646="EI",4,IF(H1646="EO",5.2,IF(H1646="EQ",3.9,IF(H1646="ILF",7.5,IF(H1646="EIF",5.4)))))))</f>
        <v/>
      </c>
      <c r="M1646" s="112" t="str">
        <f t="shared" si="28"/>
        <v/>
      </c>
      <c r="N1646" s="113"/>
    </row>
    <row r="1647" spans="2:14">
      <c r="B1647" s="105"/>
      <c r="C1647" s="106"/>
      <c r="D1647" s="107"/>
      <c r="E1647" s="65"/>
      <c r="F1647" s="64"/>
      <c r="G1647" s="64"/>
      <c r="H1647" s="64"/>
      <c r="I1647" s="70"/>
      <c r="J1647" s="70"/>
      <c r="K1647" s="110" t="str">
        <f>IF(H1647="","",IF($C$29="간이법","",FPR(H1647,I1647,J1647)))</f>
        <v/>
      </c>
      <c r="L1647" s="111" t="str">
        <f>IF(H1647="","",IF($C$29="상세법",FPV(H1647,K1647),IF(H1647="EI",4,IF(H1647="EO",5.2,IF(H1647="EQ",3.9,IF(H1647="ILF",7.5,IF(H1647="EIF",5.4)))))))</f>
        <v/>
      </c>
      <c r="M1647" s="112" t="str">
        <f t="shared" si="28"/>
        <v/>
      </c>
      <c r="N1647" s="113"/>
    </row>
    <row r="1648" spans="2:14">
      <c r="B1648" s="105"/>
      <c r="C1648" s="106"/>
      <c r="D1648" s="107"/>
      <c r="E1648" s="65"/>
      <c r="F1648" s="64"/>
      <c r="G1648" s="64"/>
      <c r="H1648" s="64"/>
      <c r="I1648" s="70"/>
      <c r="J1648" s="70"/>
      <c r="K1648" s="110" t="str">
        <f>IF(H1648="","",IF($C$29="간이법","",FPR(H1648,I1648,J1648)))</f>
        <v/>
      </c>
      <c r="L1648" s="111" t="str">
        <f>IF(H1648="","",IF($C$29="상세법",FPV(H1648,K1648),IF(H1648="EI",4,IF(H1648="EO",5.2,IF(H1648="EQ",3.9,IF(H1648="ILF",7.5,IF(H1648="EIF",5.4)))))))</f>
        <v/>
      </c>
      <c r="M1648" s="112" t="str">
        <f t="shared" si="28"/>
        <v/>
      </c>
      <c r="N1648" s="113"/>
    </row>
    <row r="1649" spans="2:14">
      <c r="B1649" s="105"/>
      <c r="C1649" s="106"/>
      <c r="D1649" s="107"/>
      <c r="E1649" s="65"/>
      <c r="F1649" s="64"/>
      <c r="G1649" s="64"/>
      <c r="H1649" s="64"/>
      <c r="I1649" s="70"/>
      <c r="J1649" s="70"/>
      <c r="K1649" s="110" t="str">
        <f>IF(H1649="","",IF($C$29="간이법","",FPR(H1649,I1649,J1649)))</f>
        <v/>
      </c>
      <c r="L1649" s="111" t="str">
        <f>IF(H1649="","",IF($C$29="상세법",FPV(H1649,K1649),IF(H1649="EI",4,IF(H1649="EO",5.2,IF(H1649="EQ",3.9,IF(H1649="ILF",7.5,IF(H1649="EIF",5.4)))))))</f>
        <v/>
      </c>
      <c r="M1649" s="112" t="str">
        <f t="shared" si="28"/>
        <v/>
      </c>
      <c r="N1649" s="113"/>
    </row>
    <row r="1650" spans="2:14">
      <c r="B1650" s="105"/>
      <c r="C1650" s="106"/>
      <c r="D1650" s="107"/>
      <c r="E1650" s="65"/>
      <c r="F1650" s="64"/>
      <c r="G1650" s="64"/>
      <c r="H1650" s="64"/>
      <c r="I1650" s="70"/>
      <c r="J1650" s="70"/>
      <c r="K1650" s="110" t="str">
        <f>IF(H1650="","",IF($C$29="간이법","",FPR(H1650,I1650,J1650)))</f>
        <v/>
      </c>
      <c r="L1650" s="111" t="str">
        <f>IF(H1650="","",IF($C$29="상세법",FPV(H1650,K1650),IF(H1650="EI",4,IF(H1650="EO",5.2,IF(H1650="EQ",3.9,IF(H1650="ILF",7.5,IF(H1650="EIF",5.4)))))))</f>
        <v/>
      </c>
      <c r="M1650" s="112" t="str">
        <f t="shared" si="28"/>
        <v/>
      </c>
      <c r="N1650" s="113"/>
    </row>
    <row r="1651" spans="2:14">
      <c r="B1651" s="105"/>
      <c r="C1651" s="106"/>
      <c r="D1651" s="107"/>
      <c r="E1651" s="65"/>
      <c r="F1651" s="64"/>
      <c r="G1651" s="64"/>
      <c r="H1651" s="64"/>
      <c r="I1651" s="70"/>
      <c r="J1651" s="70"/>
      <c r="K1651" s="110" t="str">
        <f>IF(H1651="","",IF($C$29="간이법","",FPR(H1651,I1651,J1651)))</f>
        <v/>
      </c>
      <c r="L1651" s="111" t="str">
        <f>IF(H1651="","",IF($C$29="상세법",FPV(H1651,K1651),IF(H1651="EI",4,IF(H1651="EO",5.2,IF(H1651="EQ",3.9,IF(H1651="ILF",7.5,IF(H1651="EIF",5.4)))))))</f>
        <v/>
      </c>
      <c r="M1651" s="112" t="str">
        <f t="shared" si="28"/>
        <v/>
      </c>
      <c r="N1651" s="113"/>
    </row>
    <row r="1652" spans="2:14">
      <c r="B1652" s="105"/>
      <c r="C1652" s="106"/>
      <c r="D1652" s="107"/>
      <c r="E1652" s="65"/>
      <c r="F1652" s="64"/>
      <c r="G1652" s="64"/>
      <c r="H1652" s="64"/>
      <c r="I1652" s="70"/>
      <c r="J1652" s="70"/>
      <c r="K1652" s="110" t="str">
        <f>IF(H1652="","",IF($C$29="간이법","",FPR(H1652,I1652,J1652)))</f>
        <v/>
      </c>
      <c r="L1652" s="111" t="str">
        <f>IF(H1652="","",IF($C$29="상세법",FPV(H1652,K1652),IF(H1652="EI",4,IF(H1652="EO",5.2,IF(H1652="EQ",3.9,IF(H1652="ILF",7.5,IF(H1652="EIF",5.4)))))))</f>
        <v/>
      </c>
      <c r="M1652" s="112" t="str">
        <f t="shared" si="28"/>
        <v/>
      </c>
      <c r="N1652" s="113"/>
    </row>
    <row r="1653" spans="2:14">
      <c r="B1653" s="105"/>
      <c r="C1653" s="106"/>
      <c r="D1653" s="107"/>
      <c r="E1653" s="65"/>
      <c r="F1653" s="64"/>
      <c r="G1653" s="64"/>
      <c r="H1653" s="64"/>
      <c r="I1653" s="70"/>
      <c r="J1653" s="70"/>
      <c r="K1653" s="110" t="str">
        <f>IF(H1653="","",IF($C$29="간이법","",FPR(H1653,I1653,J1653)))</f>
        <v/>
      </c>
      <c r="L1653" s="111" t="str">
        <f>IF(H1653="","",IF($C$29="상세법",FPV(H1653,K1653),IF(H1653="EI",4,IF(H1653="EO",5.2,IF(H1653="EQ",3.9,IF(H1653="ILF",7.5,IF(H1653="EIF",5.4)))))))</f>
        <v/>
      </c>
      <c r="M1653" s="112" t="str">
        <f t="shared" si="28"/>
        <v/>
      </c>
      <c r="N1653" s="113"/>
    </row>
    <row r="1654" spans="2:14">
      <c r="B1654" s="105"/>
      <c r="C1654" s="106"/>
      <c r="D1654" s="107"/>
      <c r="E1654" s="65"/>
      <c r="F1654" s="64"/>
      <c r="G1654" s="64"/>
      <c r="H1654" s="64"/>
      <c r="I1654" s="70"/>
      <c r="J1654" s="70"/>
      <c r="K1654" s="110" t="str">
        <f>IF(H1654="","",IF($C$29="간이법","",FPR(H1654,I1654,J1654)))</f>
        <v/>
      </c>
      <c r="L1654" s="111" t="str">
        <f>IF(H1654="","",IF($C$29="상세법",FPV(H1654,K1654),IF(H1654="EI",4,IF(H1654="EO",5.2,IF(H1654="EQ",3.9,IF(H1654="ILF",7.5,IF(H1654="EIF",5.4)))))))</f>
        <v/>
      </c>
      <c r="M1654" s="112" t="str">
        <f t="shared" si="28"/>
        <v/>
      </c>
      <c r="N1654" s="113"/>
    </row>
    <row r="1655" spans="2:14">
      <c r="B1655" s="105"/>
      <c r="C1655" s="106"/>
      <c r="D1655" s="107"/>
      <c r="E1655" s="65"/>
      <c r="F1655" s="64"/>
      <c r="G1655" s="64"/>
      <c r="H1655" s="64"/>
      <c r="I1655" s="70"/>
      <c r="J1655" s="70"/>
      <c r="K1655" s="110" t="str">
        <f>IF(H1655="","",IF($C$29="간이법","",FPR(H1655,I1655,J1655)))</f>
        <v/>
      </c>
      <c r="L1655" s="111" t="str">
        <f>IF(H1655="","",IF($C$29="상세법",FPV(H1655,K1655),IF(H1655="EI",4,IF(H1655="EO",5.2,IF(H1655="EQ",3.9,IF(H1655="ILF",7.5,IF(H1655="EIF",5.4)))))))</f>
        <v/>
      </c>
      <c r="M1655" s="112" t="str">
        <f t="shared" si="28"/>
        <v/>
      </c>
      <c r="N1655" s="113"/>
    </row>
    <row r="1656" spans="2:14">
      <c r="B1656" s="105"/>
      <c r="C1656" s="106"/>
      <c r="D1656" s="107"/>
      <c r="E1656" s="65"/>
      <c r="F1656" s="64"/>
      <c r="G1656" s="64"/>
      <c r="H1656" s="64"/>
      <c r="I1656" s="70"/>
      <c r="J1656" s="70"/>
      <c r="K1656" s="110" t="str">
        <f>IF(H1656="","",IF($C$29="간이법","",FPR(H1656,I1656,J1656)))</f>
        <v/>
      </c>
      <c r="L1656" s="111" t="str">
        <f>IF(H1656="","",IF($C$29="상세법",FPV(H1656,K1656),IF(H1656="EI",4,IF(H1656="EO",5.2,IF(H1656="EQ",3.9,IF(H1656="ILF",7.5,IF(H1656="EIF",5.4)))))))</f>
        <v/>
      </c>
      <c r="M1656" s="112" t="str">
        <f t="shared" si="28"/>
        <v/>
      </c>
      <c r="N1656" s="113"/>
    </row>
    <row r="1657" spans="2:14">
      <c r="B1657" s="105"/>
      <c r="C1657" s="106"/>
      <c r="D1657" s="107"/>
      <c r="E1657" s="65"/>
      <c r="F1657" s="64"/>
      <c r="G1657" s="64"/>
      <c r="H1657" s="64"/>
      <c r="I1657" s="70"/>
      <c r="J1657" s="70"/>
      <c r="K1657" s="110" t="str">
        <f>IF(H1657="","",IF($C$29="간이법","",FPR(H1657,I1657,J1657)))</f>
        <v/>
      </c>
      <c r="L1657" s="111" t="str">
        <f>IF(H1657="","",IF($C$29="상세법",FPV(H1657,K1657),IF(H1657="EI",4,IF(H1657="EO",5.2,IF(H1657="EQ",3.9,IF(H1657="ILF",7.5,IF(H1657="EIF",5.4)))))))</f>
        <v/>
      </c>
      <c r="M1657" s="112" t="str">
        <f t="shared" ref="M1657:M1720" si="29">IF(L1657="","",L1657*IF(G1657="상",0.7,IF(G1657="중",0.5,IF(G1657="하",0.2,1))))</f>
        <v/>
      </c>
      <c r="N1657" s="113"/>
    </row>
    <row r="1658" spans="2:14">
      <c r="B1658" s="105"/>
      <c r="C1658" s="106"/>
      <c r="D1658" s="107"/>
      <c r="E1658" s="65"/>
      <c r="F1658" s="64"/>
      <c r="G1658" s="64"/>
      <c r="H1658" s="64"/>
      <c r="I1658" s="70"/>
      <c r="J1658" s="70"/>
      <c r="K1658" s="110" t="str">
        <f>IF(H1658="","",IF($C$29="간이법","",FPR(H1658,I1658,J1658)))</f>
        <v/>
      </c>
      <c r="L1658" s="111" t="str">
        <f>IF(H1658="","",IF($C$29="상세법",FPV(H1658,K1658),IF(H1658="EI",4,IF(H1658="EO",5.2,IF(H1658="EQ",3.9,IF(H1658="ILF",7.5,IF(H1658="EIF",5.4)))))))</f>
        <v/>
      </c>
      <c r="M1658" s="112" t="str">
        <f t="shared" si="29"/>
        <v/>
      </c>
      <c r="N1658" s="113"/>
    </row>
    <row r="1659" spans="2:14">
      <c r="B1659" s="105"/>
      <c r="C1659" s="106"/>
      <c r="D1659" s="107"/>
      <c r="E1659" s="65"/>
      <c r="F1659" s="64"/>
      <c r="G1659" s="64"/>
      <c r="H1659" s="64"/>
      <c r="I1659" s="70"/>
      <c r="J1659" s="70"/>
      <c r="K1659" s="110" t="str">
        <f>IF(H1659="","",IF($C$29="간이법","",FPR(H1659,I1659,J1659)))</f>
        <v/>
      </c>
      <c r="L1659" s="111" t="str">
        <f>IF(H1659="","",IF($C$29="상세법",FPV(H1659,K1659),IF(H1659="EI",4,IF(H1659="EO",5.2,IF(H1659="EQ",3.9,IF(H1659="ILF",7.5,IF(H1659="EIF",5.4)))))))</f>
        <v/>
      </c>
      <c r="M1659" s="112" t="str">
        <f t="shared" si="29"/>
        <v/>
      </c>
      <c r="N1659" s="113"/>
    </row>
    <row r="1660" spans="2:14">
      <c r="B1660" s="105"/>
      <c r="C1660" s="106"/>
      <c r="D1660" s="107"/>
      <c r="E1660" s="65"/>
      <c r="F1660" s="64"/>
      <c r="G1660" s="64"/>
      <c r="H1660" s="64"/>
      <c r="I1660" s="70"/>
      <c r="J1660" s="70"/>
      <c r="K1660" s="110" t="str">
        <f>IF(H1660="","",IF($C$29="간이법","",FPR(H1660,I1660,J1660)))</f>
        <v/>
      </c>
      <c r="L1660" s="111" t="str">
        <f>IF(H1660="","",IF($C$29="상세법",FPV(H1660,K1660),IF(H1660="EI",4,IF(H1660="EO",5.2,IF(H1660="EQ",3.9,IF(H1660="ILF",7.5,IF(H1660="EIF",5.4)))))))</f>
        <v/>
      </c>
      <c r="M1660" s="112" t="str">
        <f t="shared" si="29"/>
        <v/>
      </c>
      <c r="N1660" s="113"/>
    </row>
    <row r="1661" spans="2:14">
      <c r="B1661" s="105"/>
      <c r="C1661" s="106"/>
      <c r="D1661" s="107"/>
      <c r="E1661" s="65"/>
      <c r="F1661" s="64"/>
      <c r="G1661" s="64"/>
      <c r="H1661" s="64"/>
      <c r="I1661" s="70"/>
      <c r="J1661" s="70"/>
      <c r="K1661" s="110" t="str">
        <f>IF(H1661="","",IF($C$29="간이법","",FPR(H1661,I1661,J1661)))</f>
        <v/>
      </c>
      <c r="L1661" s="111" t="str">
        <f>IF(H1661="","",IF($C$29="상세법",FPV(H1661,K1661),IF(H1661="EI",4,IF(H1661="EO",5.2,IF(H1661="EQ",3.9,IF(H1661="ILF",7.5,IF(H1661="EIF",5.4)))))))</f>
        <v/>
      </c>
      <c r="M1661" s="112" t="str">
        <f t="shared" si="29"/>
        <v/>
      </c>
      <c r="N1661" s="113"/>
    </row>
    <row r="1662" spans="2:14">
      <c r="B1662" s="105"/>
      <c r="C1662" s="106"/>
      <c r="D1662" s="107"/>
      <c r="E1662" s="65"/>
      <c r="F1662" s="64"/>
      <c r="G1662" s="64"/>
      <c r="H1662" s="64"/>
      <c r="I1662" s="70"/>
      <c r="J1662" s="70"/>
      <c r="K1662" s="110" t="str">
        <f>IF(H1662="","",IF($C$29="간이법","",FPR(H1662,I1662,J1662)))</f>
        <v/>
      </c>
      <c r="L1662" s="111" t="str">
        <f>IF(H1662="","",IF($C$29="상세법",FPV(H1662,K1662),IF(H1662="EI",4,IF(H1662="EO",5.2,IF(H1662="EQ",3.9,IF(H1662="ILF",7.5,IF(H1662="EIF",5.4)))))))</f>
        <v/>
      </c>
      <c r="M1662" s="112" t="str">
        <f t="shared" si="29"/>
        <v/>
      </c>
      <c r="N1662" s="113"/>
    </row>
    <row r="1663" spans="2:14">
      <c r="B1663" s="105"/>
      <c r="C1663" s="106"/>
      <c r="D1663" s="107"/>
      <c r="E1663" s="65"/>
      <c r="F1663" s="64"/>
      <c r="G1663" s="64"/>
      <c r="H1663" s="64"/>
      <c r="I1663" s="70"/>
      <c r="J1663" s="70"/>
      <c r="K1663" s="110" t="str">
        <f>IF(H1663="","",IF($C$29="간이법","",FPR(H1663,I1663,J1663)))</f>
        <v/>
      </c>
      <c r="L1663" s="111" t="str">
        <f>IF(H1663="","",IF($C$29="상세법",FPV(H1663,K1663),IF(H1663="EI",4,IF(H1663="EO",5.2,IF(H1663="EQ",3.9,IF(H1663="ILF",7.5,IF(H1663="EIF",5.4)))))))</f>
        <v/>
      </c>
      <c r="M1663" s="112" t="str">
        <f t="shared" si="29"/>
        <v/>
      </c>
      <c r="N1663" s="113"/>
    </row>
    <row r="1664" spans="2:14">
      <c r="B1664" s="105"/>
      <c r="C1664" s="106"/>
      <c r="D1664" s="107"/>
      <c r="E1664" s="65"/>
      <c r="F1664" s="64"/>
      <c r="G1664" s="64"/>
      <c r="H1664" s="64"/>
      <c r="I1664" s="70"/>
      <c r="J1664" s="70"/>
      <c r="K1664" s="110" t="str">
        <f>IF(H1664="","",IF($C$29="간이법","",FPR(H1664,I1664,J1664)))</f>
        <v/>
      </c>
      <c r="L1664" s="111" t="str">
        <f>IF(H1664="","",IF($C$29="상세법",FPV(H1664,K1664),IF(H1664="EI",4,IF(H1664="EO",5.2,IF(H1664="EQ",3.9,IF(H1664="ILF",7.5,IF(H1664="EIF",5.4)))))))</f>
        <v/>
      </c>
      <c r="M1664" s="112" t="str">
        <f t="shared" si="29"/>
        <v/>
      </c>
      <c r="N1664" s="113"/>
    </row>
    <row r="1665" spans="2:14">
      <c r="B1665" s="105"/>
      <c r="C1665" s="106"/>
      <c r="D1665" s="107"/>
      <c r="E1665" s="65"/>
      <c r="F1665" s="64"/>
      <c r="G1665" s="64"/>
      <c r="H1665" s="64"/>
      <c r="I1665" s="70"/>
      <c r="J1665" s="70"/>
      <c r="K1665" s="110" t="str">
        <f>IF(H1665="","",IF($C$29="간이법","",FPR(H1665,I1665,J1665)))</f>
        <v/>
      </c>
      <c r="L1665" s="111" t="str">
        <f>IF(H1665="","",IF($C$29="상세법",FPV(H1665,K1665),IF(H1665="EI",4,IF(H1665="EO",5.2,IF(H1665="EQ",3.9,IF(H1665="ILF",7.5,IF(H1665="EIF",5.4)))))))</f>
        <v/>
      </c>
      <c r="M1665" s="112" t="str">
        <f t="shared" si="29"/>
        <v/>
      </c>
      <c r="N1665" s="113"/>
    </row>
    <row r="1666" spans="2:14">
      <c r="B1666" s="105"/>
      <c r="C1666" s="106"/>
      <c r="D1666" s="107"/>
      <c r="E1666" s="65"/>
      <c r="F1666" s="64"/>
      <c r="G1666" s="64"/>
      <c r="H1666" s="64"/>
      <c r="I1666" s="70"/>
      <c r="J1666" s="70"/>
      <c r="K1666" s="110" t="str">
        <f>IF(H1666="","",IF($C$29="간이법","",FPR(H1666,I1666,J1666)))</f>
        <v/>
      </c>
      <c r="L1666" s="111" t="str">
        <f>IF(H1666="","",IF($C$29="상세법",FPV(H1666,K1666),IF(H1666="EI",4,IF(H1666="EO",5.2,IF(H1666="EQ",3.9,IF(H1666="ILF",7.5,IF(H1666="EIF",5.4)))))))</f>
        <v/>
      </c>
      <c r="M1666" s="112" t="str">
        <f t="shared" si="29"/>
        <v/>
      </c>
      <c r="N1666" s="113"/>
    </row>
    <row r="1667" spans="2:14">
      <c r="B1667" s="105"/>
      <c r="C1667" s="106"/>
      <c r="D1667" s="107"/>
      <c r="E1667" s="65"/>
      <c r="F1667" s="64"/>
      <c r="G1667" s="64"/>
      <c r="H1667" s="64"/>
      <c r="I1667" s="70"/>
      <c r="J1667" s="70"/>
      <c r="K1667" s="110" t="str">
        <f>IF(H1667="","",IF($C$29="간이법","",FPR(H1667,I1667,J1667)))</f>
        <v/>
      </c>
      <c r="L1667" s="111" t="str">
        <f>IF(H1667="","",IF($C$29="상세법",FPV(H1667,K1667),IF(H1667="EI",4,IF(H1667="EO",5.2,IF(H1667="EQ",3.9,IF(H1667="ILF",7.5,IF(H1667="EIF",5.4)))))))</f>
        <v/>
      </c>
      <c r="M1667" s="112" t="str">
        <f t="shared" si="29"/>
        <v/>
      </c>
      <c r="N1667" s="113"/>
    </row>
    <row r="1668" spans="2:14">
      <c r="B1668" s="105"/>
      <c r="C1668" s="106"/>
      <c r="D1668" s="107"/>
      <c r="E1668" s="65"/>
      <c r="F1668" s="64"/>
      <c r="G1668" s="64"/>
      <c r="H1668" s="64"/>
      <c r="I1668" s="70"/>
      <c r="J1668" s="70"/>
      <c r="K1668" s="110" t="str">
        <f>IF(H1668="","",IF($C$29="간이법","",FPR(H1668,I1668,J1668)))</f>
        <v/>
      </c>
      <c r="L1668" s="111" t="str">
        <f>IF(H1668="","",IF($C$29="상세법",FPV(H1668,K1668),IF(H1668="EI",4,IF(H1668="EO",5.2,IF(H1668="EQ",3.9,IF(H1668="ILF",7.5,IF(H1668="EIF",5.4)))))))</f>
        <v/>
      </c>
      <c r="M1668" s="112" t="str">
        <f t="shared" si="29"/>
        <v/>
      </c>
      <c r="N1668" s="113"/>
    </row>
    <row r="1669" spans="2:14">
      <c r="B1669" s="105"/>
      <c r="C1669" s="106"/>
      <c r="D1669" s="107"/>
      <c r="E1669" s="65"/>
      <c r="F1669" s="64"/>
      <c r="G1669" s="64"/>
      <c r="H1669" s="64"/>
      <c r="I1669" s="70"/>
      <c r="J1669" s="70"/>
      <c r="K1669" s="110" t="str">
        <f>IF(H1669="","",IF($C$29="간이법","",FPR(H1669,I1669,J1669)))</f>
        <v/>
      </c>
      <c r="L1669" s="111" t="str">
        <f>IF(H1669="","",IF($C$29="상세법",FPV(H1669,K1669),IF(H1669="EI",4,IF(H1669="EO",5.2,IF(H1669="EQ",3.9,IF(H1669="ILF",7.5,IF(H1669="EIF",5.4)))))))</f>
        <v/>
      </c>
      <c r="M1669" s="112" t="str">
        <f t="shared" si="29"/>
        <v/>
      </c>
      <c r="N1669" s="113"/>
    </row>
    <row r="1670" spans="2:14">
      <c r="B1670" s="105"/>
      <c r="C1670" s="106"/>
      <c r="D1670" s="107"/>
      <c r="E1670" s="65"/>
      <c r="F1670" s="64"/>
      <c r="G1670" s="64"/>
      <c r="H1670" s="64"/>
      <c r="I1670" s="70"/>
      <c r="J1670" s="70"/>
      <c r="K1670" s="110" t="str">
        <f>IF(H1670="","",IF($C$29="간이법","",FPR(H1670,I1670,J1670)))</f>
        <v/>
      </c>
      <c r="L1670" s="111" t="str">
        <f>IF(H1670="","",IF($C$29="상세법",FPV(H1670,K1670),IF(H1670="EI",4,IF(H1670="EO",5.2,IF(H1670="EQ",3.9,IF(H1670="ILF",7.5,IF(H1670="EIF",5.4)))))))</f>
        <v/>
      </c>
      <c r="M1670" s="112" t="str">
        <f t="shared" si="29"/>
        <v/>
      </c>
      <c r="N1670" s="113"/>
    </row>
    <row r="1671" spans="2:14">
      <c r="B1671" s="105"/>
      <c r="C1671" s="106"/>
      <c r="D1671" s="107"/>
      <c r="E1671" s="65"/>
      <c r="F1671" s="64"/>
      <c r="G1671" s="64"/>
      <c r="H1671" s="64"/>
      <c r="I1671" s="70"/>
      <c r="J1671" s="70"/>
      <c r="K1671" s="110" t="str">
        <f>IF(H1671="","",IF($C$29="간이법","",FPR(H1671,I1671,J1671)))</f>
        <v/>
      </c>
      <c r="L1671" s="111" t="str">
        <f>IF(H1671="","",IF($C$29="상세법",FPV(H1671,K1671),IF(H1671="EI",4,IF(H1671="EO",5.2,IF(H1671="EQ",3.9,IF(H1671="ILF",7.5,IF(H1671="EIF",5.4)))))))</f>
        <v/>
      </c>
      <c r="M1671" s="112" t="str">
        <f t="shared" si="29"/>
        <v/>
      </c>
      <c r="N1671" s="113"/>
    </row>
    <row r="1672" spans="2:14">
      <c r="B1672" s="105"/>
      <c r="C1672" s="106"/>
      <c r="D1672" s="107"/>
      <c r="E1672" s="65"/>
      <c r="F1672" s="64"/>
      <c r="G1672" s="64"/>
      <c r="H1672" s="64"/>
      <c r="I1672" s="70"/>
      <c r="J1672" s="70"/>
      <c r="K1672" s="110" t="str">
        <f>IF(H1672="","",IF($C$29="간이법","",FPR(H1672,I1672,J1672)))</f>
        <v/>
      </c>
      <c r="L1672" s="111" t="str">
        <f>IF(H1672="","",IF($C$29="상세법",FPV(H1672,K1672),IF(H1672="EI",4,IF(H1672="EO",5.2,IF(H1672="EQ",3.9,IF(H1672="ILF",7.5,IF(H1672="EIF",5.4)))))))</f>
        <v/>
      </c>
      <c r="M1672" s="112" t="str">
        <f t="shared" si="29"/>
        <v/>
      </c>
      <c r="N1672" s="113"/>
    </row>
    <row r="1673" spans="2:14">
      <c r="B1673" s="105"/>
      <c r="C1673" s="106"/>
      <c r="D1673" s="107"/>
      <c r="E1673" s="65"/>
      <c r="F1673" s="64"/>
      <c r="G1673" s="64"/>
      <c r="H1673" s="64"/>
      <c r="I1673" s="70"/>
      <c r="J1673" s="70"/>
      <c r="K1673" s="110" t="str">
        <f>IF(H1673="","",IF($C$29="간이법","",FPR(H1673,I1673,J1673)))</f>
        <v/>
      </c>
      <c r="L1673" s="111" t="str">
        <f>IF(H1673="","",IF($C$29="상세법",FPV(H1673,K1673),IF(H1673="EI",4,IF(H1673="EO",5.2,IF(H1673="EQ",3.9,IF(H1673="ILF",7.5,IF(H1673="EIF",5.4)))))))</f>
        <v/>
      </c>
      <c r="M1673" s="112" t="str">
        <f t="shared" si="29"/>
        <v/>
      </c>
      <c r="N1673" s="113"/>
    </row>
    <row r="1674" spans="2:14">
      <c r="B1674" s="105"/>
      <c r="C1674" s="106"/>
      <c r="D1674" s="107"/>
      <c r="E1674" s="65"/>
      <c r="F1674" s="64"/>
      <c r="G1674" s="64"/>
      <c r="H1674" s="64"/>
      <c r="I1674" s="70"/>
      <c r="J1674" s="70"/>
      <c r="K1674" s="110" t="str">
        <f>IF(H1674="","",IF($C$29="간이법","",FPR(H1674,I1674,J1674)))</f>
        <v/>
      </c>
      <c r="L1674" s="111" t="str">
        <f>IF(H1674="","",IF($C$29="상세법",FPV(H1674,K1674),IF(H1674="EI",4,IF(H1674="EO",5.2,IF(H1674="EQ",3.9,IF(H1674="ILF",7.5,IF(H1674="EIF",5.4)))))))</f>
        <v/>
      </c>
      <c r="M1674" s="112" t="str">
        <f t="shared" si="29"/>
        <v/>
      </c>
      <c r="N1674" s="113"/>
    </row>
    <row r="1675" spans="2:14">
      <c r="B1675" s="105"/>
      <c r="C1675" s="106"/>
      <c r="D1675" s="107"/>
      <c r="E1675" s="65"/>
      <c r="F1675" s="64"/>
      <c r="G1675" s="64"/>
      <c r="H1675" s="64"/>
      <c r="I1675" s="70"/>
      <c r="J1675" s="70"/>
      <c r="K1675" s="110" t="str">
        <f>IF(H1675="","",IF($C$29="간이법","",FPR(H1675,I1675,J1675)))</f>
        <v/>
      </c>
      <c r="L1675" s="111" t="str">
        <f>IF(H1675="","",IF($C$29="상세법",FPV(H1675,K1675),IF(H1675="EI",4,IF(H1675="EO",5.2,IF(H1675="EQ",3.9,IF(H1675="ILF",7.5,IF(H1675="EIF",5.4)))))))</f>
        <v/>
      </c>
      <c r="M1675" s="112" t="str">
        <f t="shared" si="29"/>
        <v/>
      </c>
      <c r="N1675" s="113"/>
    </row>
    <row r="1676" spans="2:14">
      <c r="B1676" s="105"/>
      <c r="C1676" s="106"/>
      <c r="D1676" s="107"/>
      <c r="E1676" s="65"/>
      <c r="F1676" s="64"/>
      <c r="G1676" s="64"/>
      <c r="H1676" s="64"/>
      <c r="I1676" s="70"/>
      <c r="J1676" s="70"/>
      <c r="K1676" s="110" t="str">
        <f>IF(H1676="","",IF($C$29="간이법","",FPR(H1676,I1676,J1676)))</f>
        <v/>
      </c>
      <c r="L1676" s="111" t="str">
        <f>IF(H1676="","",IF($C$29="상세법",FPV(H1676,K1676),IF(H1676="EI",4,IF(H1676="EO",5.2,IF(H1676="EQ",3.9,IF(H1676="ILF",7.5,IF(H1676="EIF",5.4)))))))</f>
        <v/>
      </c>
      <c r="M1676" s="112" t="str">
        <f t="shared" si="29"/>
        <v/>
      </c>
      <c r="N1676" s="113"/>
    </row>
    <row r="1677" spans="2:14">
      <c r="B1677" s="105"/>
      <c r="C1677" s="106"/>
      <c r="D1677" s="107"/>
      <c r="E1677" s="65"/>
      <c r="F1677" s="64"/>
      <c r="G1677" s="64"/>
      <c r="H1677" s="64"/>
      <c r="I1677" s="70"/>
      <c r="J1677" s="70"/>
      <c r="K1677" s="110" t="str">
        <f>IF(H1677="","",IF($C$29="간이법","",FPR(H1677,I1677,J1677)))</f>
        <v/>
      </c>
      <c r="L1677" s="111" t="str">
        <f>IF(H1677="","",IF($C$29="상세법",FPV(H1677,K1677),IF(H1677="EI",4,IF(H1677="EO",5.2,IF(H1677="EQ",3.9,IF(H1677="ILF",7.5,IF(H1677="EIF",5.4)))))))</f>
        <v/>
      </c>
      <c r="M1677" s="112" t="str">
        <f t="shared" si="29"/>
        <v/>
      </c>
      <c r="N1677" s="113"/>
    </row>
    <row r="1678" spans="2:14">
      <c r="B1678" s="105"/>
      <c r="C1678" s="106"/>
      <c r="D1678" s="107"/>
      <c r="E1678" s="65"/>
      <c r="F1678" s="64"/>
      <c r="G1678" s="64"/>
      <c r="H1678" s="64"/>
      <c r="I1678" s="70"/>
      <c r="J1678" s="70"/>
      <c r="K1678" s="110" t="str">
        <f>IF(H1678="","",IF($C$29="간이법","",FPR(H1678,I1678,J1678)))</f>
        <v/>
      </c>
      <c r="L1678" s="111" t="str">
        <f>IF(H1678="","",IF($C$29="상세법",FPV(H1678,K1678),IF(H1678="EI",4,IF(H1678="EO",5.2,IF(H1678="EQ",3.9,IF(H1678="ILF",7.5,IF(H1678="EIF",5.4)))))))</f>
        <v/>
      </c>
      <c r="M1678" s="112" t="str">
        <f t="shared" si="29"/>
        <v/>
      </c>
      <c r="N1678" s="113"/>
    </row>
    <row r="1679" spans="2:14">
      <c r="B1679" s="105"/>
      <c r="C1679" s="106"/>
      <c r="D1679" s="107"/>
      <c r="E1679" s="65"/>
      <c r="F1679" s="64"/>
      <c r="G1679" s="64"/>
      <c r="H1679" s="64"/>
      <c r="I1679" s="70"/>
      <c r="J1679" s="70"/>
      <c r="K1679" s="110" t="str">
        <f>IF(H1679="","",IF($C$29="간이법","",FPR(H1679,I1679,J1679)))</f>
        <v/>
      </c>
      <c r="L1679" s="111" t="str">
        <f>IF(H1679="","",IF($C$29="상세법",FPV(H1679,K1679),IF(H1679="EI",4,IF(H1679="EO",5.2,IF(H1679="EQ",3.9,IF(H1679="ILF",7.5,IF(H1679="EIF",5.4)))))))</f>
        <v/>
      </c>
      <c r="M1679" s="112" t="str">
        <f t="shared" si="29"/>
        <v/>
      </c>
      <c r="N1679" s="113"/>
    </row>
    <row r="1680" spans="2:14">
      <c r="B1680" s="105"/>
      <c r="C1680" s="106"/>
      <c r="D1680" s="107"/>
      <c r="E1680" s="65"/>
      <c r="F1680" s="64"/>
      <c r="G1680" s="64"/>
      <c r="H1680" s="64"/>
      <c r="I1680" s="70"/>
      <c r="J1680" s="70"/>
      <c r="K1680" s="110" t="str">
        <f>IF(H1680="","",IF($C$29="간이법","",FPR(H1680,I1680,J1680)))</f>
        <v/>
      </c>
      <c r="L1680" s="111" t="str">
        <f>IF(H1680="","",IF($C$29="상세법",FPV(H1680,K1680),IF(H1680="EI",4,IF(H1680="EO",5.2,IF(H1680="EQ",3.9,IF(H1680="ILF",7.5,IF(H1680="EIF",5.4)))))))</f>
        <v/>
      </c>
      <c r="M1680" s="112" t="str">
        <f t="shared" si="29"/>
        <v/>
      </c>
      <c r="N1680" s="113"/>
    </row>
    <row r="1681" spans="2:14">
      <c r="B1681" s="105"/>
      <c r="C1681" s="106"/>
      <c r="D1681" s="107"/>
      <c r="E1681" s="65"/>
      <c r="F1681" s="64"/>
      <c r="G1681" s="64"/>
      <c r="H1681" s="64"/>
      <c r="I1681" s="70"/>
      <c r="J1681" s="70"/>
      <c r="K1681" s="110" t="str">
        <f>IF(H1681="","",IF($C$29="간이법","",FPR(H1681,I1681,J1681)))</f>
        <v/>
      </c>
      <c r="L1681" s="111" t="str">
        <f>IF(H1681="","",IF($C$29="상세법",FPV(H1681,K1681),IF(H1681="EI",4,IF(H1681="EO",5.2,IF(H1681="EQ",3.9,IF(H1681="ILF",7.5,IF(H1681="EIF",5.4)))))))</f>
        <v/>
      </c>
      <c r="M1681" s="112" t="str">
        <f t="shared" si="29"/>
        <v/>
      </c>
      <c r="N1681" s="113"/>
    </row>
    <row r="1682" spans="2:14">
      <c r="B1682" s="105"/>
      <c r="C1682" s="106"/>
      <c r="D1682" s="107"/>
      <c r="E1682" s="65"/>
      <c r="F1682" s="64"/>
      <c r="G1682" s="64"/>
      <c r="H1682" s="64"/>
      <c r="I1682" s="70"/>
      <c r="J1682" s="70"/>
      <c r="K1682" s="110" t="str">
        <f>IF(H1682="","",IF($C$29="간이법","",FPR(H1682,I1682,J1682)))</f>
        <v/>
      </c>
      <c r="L1682" s="111" t="str">
        <f>IF(H1682="","",IF($C$29="상세법",FPV(H1682,K1682),IF(H1682="EI",4,IF(H1682="EO",5.2,IF(H1682="EQ",3.9,IF(H1682="ILF",7.5,IF(H1682="EIF",5.4)))))))</f>
        <v/>
      </c>
      <c r="M1682" s="112" t="str">
        <f t="shared" si="29"/>
        <v/>
      </c>
      <c r="N1682" s="113"/>
    </row>
    <row r="1683" spans="2:14">
      <c r="B1683" s="105"/>
      <c r="C1683" s="106"/>
      <c r="D1683" s="107"/>
      <c r="E1683" s="65"/>
      <c r="F1683" s="64"/>
      <c r="G1683" s="64"/>
      <c r="H1683" s="64"/>
      <c r="I1683" s="70"/>
      <c r="J1683" s="70"/>
      <c r="K1683" s="110" t="str">
        <f>IF(H1683="","",IF($C$29="간이법","",FPR(H1683,I1683,J1683)))</f>
        <v/>
      </c>
      <c r="L1683" s="111" t="str">
        <f>IF(H1683="","",IF($C$29="상세법",FPV(H1683,K1683),IF(H1683="EI",4,IF(H1683="EO",5.2,IF(H1683="EQ",3.9,IF(H1683="ILF",7.5,IF(H1683="EIF",5.4)))))))</f>
        <v/>
      </c>
      <c r="M1683" s="112" t="str">
        <f t="shared" si="29"/>
        <v/>
      </c>
      <c r="N1683" s="113"/>
    </row>
    <row r="1684" spans="2:14">
      <c r="B1684" s="105"/>
      <c r="C1684" s="106"/>
      <c r="D1684" s="107"/>
      <c r="E1684" s="65"/>
      <c r="F1684" s="64"/>
      <c r="G1684" s="64"/>
      <c r="H1684" s="64"/>
      <c r="I1684" s="70"/>
      <c r="J1684" s="70"/>
      <c r="K1684" s="110" t="str">
        <f>IF(H1684="","",IF($C$29="간이법","",FPR(H1684,I1684,J1684)))</f>
        <v/>
      </c>
      <c r="L1684" s="111" t="str">
        <f>IF(H1684="","",IF($C$29="상세법",FPV(H1684,K1684),IF(H1684="EI",4,IF(H1684="EO",5.2,IF(H1684="EQ",3.9,IF(H1684="ILF",7.5,IF(H1684="EIF",5.4)))))))</f>
        <v/>
      </c>
      <c r="M1684" s="112" t="str">
        <f t="shared" si="29"/>
        <v/>
      </c>
      <c r="N1684" s="113"/>
    </row>
    <row r="1685" spans="2:14">
      <c r="B1685" s="105"/>
      <c r="C1685" s="106"/>
      <c r="D1685" s="107"/>
      <c r="E1685" s="65"/>
      <c r="F1685" s="64"/>
      <c r="G1685" s="64"/>
      <c r="H1685" s="64"/>
      <c r="I1685" s="70"/>
      <c r="J1685" s="70"/>
      <c r="K1685" s="110" t="str">
        <f>IF(H1685="","",IF($C$29="간이법","",FPR(H1685,I1685,J1685)))</f>
        <v/>
      </c>
      <c r="L1685" s="111" t="str">
        <f>IF(H1685="","",IF($C$29="상세법",FPV(H1685,K1685),IF(H1685="EI",4,IF(H1685="EO",5.2,IF(H1685="EQ",3.9,IF(H1685="ILF",7.5,IF(H1685="EIF",5.4)))))))</f>
        <v/>
      </c>
      <c r="M1685" s="112" t="str">
        <f t="shared" si="29"/>
        <v/>
      </c>
      <c r="N1685" s="113"/>
    </row>
    <row r="1686" spans="2:14">
      <c r="B1686" s="105"/>
      <c r="C1686" s="106"/>
      <c r="D1686" s="107"/>
      <c r="E1686" s="65"/>
      <c r="F1686" s="64"/>
      <c r="G1686" s="64"/>
      <c r="H1686" s="64"/>
      <c r="I1686" s="70"/>
      <c r="J1686" s="70"/>
      <c r="K1686" s="110" t="str">
        <f>IF(H1686="","",IF($C$29="간이법","",FPR(H1686,I1686,J1686)))</f>
        <v/>
      </c>
      <c r="L1686" s="111" t="str">
        <f>IF(H1686="","",IF($C$29="상세법",FPV(H1686,K1686),IF(H1686="EI",4,IF(H1686="EO",5.2,IF(H1686="EQ",3.9,IF(H1686="ILF",7.5,IF(H1686="EIF",5.4)))))))</f>
        <v/>
      </c>
      <c r="M1686" s="112" t="str">
        <f t="shared" si="29"/>
        <v/>
      </c>
      <c r="N1686" s="113"/>
    </row>
    <row r="1687" spans="2:14">
      <c r="B1687" s="105"/>
      <c r="C1687" s="106"/>
      <c r="D1687" s="107"/>
      <c r="E1687" s="65"/>
      <c r="F1687" s="64"/>
      <c r="G1687" s="64"/>
      <c r="H1687" s="64"/>
      <c r="I1687" s="70"/>
      <c r="J1687" s="70"/>
      <c r="K1687" s="110" t="str">
        <f>IF(H1687="","",IF($C$29="간이법","",FPR(H1687,I1687,J1687)))</f>
        <v/>
      </c>
      <c r="L1687" s="111" t="str">
        <f>IF(H1687="","",IF($C$29="상세법",FPV(H1687,K1687),IF(H1687="EI",4,IF(H1687="EO",5.2,IF(H1687="EQ",3.9,IF(H1687="ILF",7.5,IF(H1687="EIF",5.4)))))))</f>
        <v/>
      </c>
      <c r="M1687" s="112" t="str">
        <f t="shared" si="29"/>
        <v/>
      </c>
      <c r="N1687" s="113"/>
    </row>
    <row r="1688" spans="2:14">
      <c r="B1688" s="105"/>
      <c r="C1688" s="106"/>
      <c r="D1688" s="107"/>
      <c r="E1688" s="65"/>
      <c r="F1688" s="64"/>
      <c r="G1688" s="64"/>
      <c r="H1688" s="64"/>
      <c r="I1688" s="70"/>
      <c r="J1688" s="70"/>
      <c r="K1688" s="110" t="str">
        <f>IF(H1688="","",IF($C$29="간이법","",FPR(H1688,I1688,J1688)))</f>
        <v/>
      </c>
      <c r="L1688" s="111" t="str">
        <f>IF(H1688="","",IF($C$29="상세법",FPV(H1688,K1688),IF(H1688="EI",4,IF(H1688="EO",5.2,IF(H1688="EQ",3.9,IF(H1688="ILF",7.5,IF(H1688="EIF",5.4)))))))</f>
        <v/>
      </c>
      <c r="M1688" s="112" t="str">
        <f t="shared" si="29"/>
        <v/>
      </c>
      <c r="N1688" s="113"/>
    </row>
    <row r="1689" spans="2:14">
      <c r="B1689" s="105"/>
      <c r="C1689" s="106"/>
      <c r="D1689" s="107"/>
      <c r="E1689" s="65"/>
      <c r="F1689" s="64"/>
      <c r="G1689" s="64"/>
      <c r="H1689" s="64"/>
      <c r="I1689" s="70"/>
      <c r="J1689" s="70"/>
      <c r="K1689" s="110" t="str">
        <f>IF(H1689="","",IF($C$29="간이법","",FPR(H1689,I1689,J1689)))</f>
        <v/>
      </c>
      <c r="L1689" s="111" t="str">
        <f>IF(H1689="","",IF($C$29="상세법",FPV(H1689,K1689),IF(H1689="EI",4,IF(H1689="EO",5.2,IF(H1689="EQ",3.9,IF(H1689="ILF",7.5,IF(H1689="EIF",5.4)))))))</f>
        <v/>
      </c>
      <c r="M1689" s="112" t="str">
        <f t="shared" si="29"/>
        <v/>
      </c>
      <c r="N1689" s="113"/>
    </row>
    <row r="1690" spans="2:14">
      <c r="B1690" s="105"/>
      <c r="C1690" s="106"/>
      <c r="D1690" s="107"/>
      <c r="E1690" s="65"/>
      <c r="F1690" s="64"/>
      <c r="G1690" s="64"/>
      <c r="H1690" s="64"/>
      <c r="I1690" s="70"/>
      <c r="J1690" s="70"/>
      <c r="K1690" s="110" t="str">
        <f>IF(H1690="","",IF($C$29="간이법","",FPR(H1690,I1690,J1690)))</f>
        <v/>
      </c>
      <c r="L1690" s="111" t="str">
        <f>IF(H1690="","",IF($C$29="상세법",FPV(H1690,K1690),IF(H1690="EI",4,IF(H1690="EO",5.2,IF(H1690="EQ",3.9,IF(H1690="ILF",7.5,IF(H1690="EIF",5.4)))))))</f>
        <v/>
      </c>
      <c r="M1690" s="112" t="str">
        <f t="shared" si="29"/>
        <v/>
      </c>
      <c r="N1690" s="113"/>
    </row>
    <row r="1691" spans="2:14">
      <c r="B1691" s="105"/>
      <c r="C1691" s="106"/>
      <c r="D1691" s="107"/>
      <c r="E1691" s="65"/>
      <c r="F1691" s="64"/>
      <c r="G1691" s="64"/>
      <c r="H1691" s="64"/>
      <c r="I1691" s="70"/>
      <c r="J1691" s="70"/>
      <c r="K1691" s="110" t="str">
        <f>IF(H1691="","",IF($C$29="간이법","",FPR(H1691,I1691,J1691)))</f>
        <v/>
      </c>
      <c r="L1691" s="111" t="str">
        <f>IF(H1691="","",IF($C$29="상세법",FPV(H1691,K1691),IF(H1691="EI",4,IF(H1691="EO",5.2,IF(H1691="EQ",3.9,IF(H1691="ILF",7.5,IF(H1691="EIF",5.4)))))))</f>
        <v/>
      </c>
      <c r="M1691" s="112" t="str">
        <f t="shared" si="29"/>
        <v/>
      </c>
      <c r="N1691" s="113"/>
    </row>
    <row r="1692" spans="2:14">
      <c r="B1692" s="105"/>
      <c r="C1692" s="106"/>
      <c r="D1692" s="107"/>
      <c r="E1692" s="65"/>
      <c r="F1692" s="64"/>
      <c r="G1692" s="64"/>
      <c r="H1692" s="64"/>
      <c r="I1692" s="70"/>
      <c r="J1692" s="70"/>
      <c r="K1692" s="110" t="str">
        <f>IF(H1692="","",IF($C$29="간이법","",FPR(H1692,I1692,J1692)))</f>
        <v/>
      </c>
      <c r="L1692" s="111" t="str">
        <f>IF(H1692="","",IF($C$29="상세법",FPV(H1692,K1692),IF(H1692="EI",4,IF(H1692="EO",5.2,IF(H1692="EQ",3.9,IF(H1692="ILF",7.5,IF(H1692="EIF",5.4)))))))</f>
        <v/>
      </c>
      <c r="M1692" s="112" t="str">
        <f t="shared" si="29"/>
        <v/>
      </c>
      <c r="N1692" s="113"/>
    </row>
    <row r="1693" spans="2:14">
      <c r="B1693" s="105"/>
      <c r="C1693" s="106"/>
      <c r="D1693" s="107"/>
      <c r="E1693" s="65"/>
      <c r="F1693" s="64"/>
      <c r="G1693" s="64"/>
      <c r="H1693" s="64"/>
      <c r="I1693" s="70"/>
      <c r="J1693" s="70"/>
      <c r="K1693" s="110" t="str">
        <f>IF(H1693="","",IF($C$29="간이법","",FPR(H1693,I1693,J1693)))</f>
        <v/>
      </c>
      <c r="L1693" s="111" t="str">
        <f>IF(H1693="","",IF($C$29="상세법",FPV(H1693,K1693),IF(H1693="EI",4,IF(H1693="EO",5.2,IF(H1693="EQ",3.9,IF(H1693="ILF",7.5,IF(H1693="EIF",5.4)))))))</f>
        <v/>
      </c>
      <c r="M1693" s="112" t="str">
        <f t="shared" si="29"/>
        <v/>
      </c>
      <c r="N1693" s="113"/>
    </row>
    <row r="1694" spans="2:14">
      <c r="B1694" s="105"/>
      <c r="C1694" s="106"/>
      <c r="D1694" s="107"/>
      <c r="E1694" s="65"/>
      <c r="F1694" s="64"/>
      <c r="G1694" s="64"/>
      <c r="H1694" s="64"/>
      <c r="I1694" s="70"/>
      <c r="J1694" s="70"/>
      <c r="K1694" s="110" t="str">
        <f>IF(H1694="","",IF($C$29="간이법","",FPR(H1694,I1694,J1694)))</f>
        <v/>
      </c>
      <c r="L1694" s="111" t="str">
        <f>IF(H1694="","",IF($C$29="상세법",FPV(H1694,K1694),IF(H1694="EI",4,IF(H1694="EO",5.2,IF(H1694="EQ",3.9,IF(H1694="ILF",7.5,IF(H1694="EIF",5.4)))))))</f>
        <v/>
      </c>
      <c r="M1694" s="112" t="str">
        <f t="shared" si="29"/>
        <v/>
      </c>
      <c r="N1694" s="113"/>
    </row>
    <row r="1695" spans="2:14">
      <c r="B1695" s="105"/>
      <c r="C1695" s="106"/>
      <c r="D1695" s="107"/>
      <c r="E1695" s="65"/>
      <c r="F1695" s="64"/>
      <c r="G1695" s="64"/>
      <c r="H1695" s="64"/>
      <c r="I1695" s="70"/>
      <c r="J1695" s="70"/>
      <c r="K1695" s="110" t="str">
        <f>IF(H1695="","",IF($C$29="간이법","",FPR(H1695,I1695,J1695)))</f>
        <v/>
      </c>
      <c r="L1695" s="111" t="str">
        <f>IF(H1695="","",IF($C$29="상세법",FPV(H1695,K1695),IF(H1695="EI",4,IF(H1695="EO",5.2,IF(H1695="EQ",3.9,IF(H1695="ILF",7.5,IF(H1695="EIF",5.4)))))))</f>
        <v/>
      </c>
      <c r="M1695" s="112" t="str">
        <f t="shared" si="29"/>
        <v/>
      </c>
      <c r="N1695" s="113"/>
    </row>
    <row r="1696" spans="2:14">
      <c r="B1696" s="105"/>
      <c r="C1696" s="106"/>
      <c r="D1696" s="107"/>
      <c r="E1696" s="65"/>
      <c r="F1696" s="64"/>
      <c r="G1696" s="64"/>
      <c r="H1696" s="64"/>
      <c r="I1696" s="70"/>
      <c r="J1696" s="70"/>
      <c r="K1696" s="110" t="str">
        <f>IF(H1696="","",IF($C$29="간이법","",FPR(H1696,I1696,J1696)))</f>
        <v/>
      </c>
      <c r="L1696" s="111" t="str">
        <f>IF(H1696="","",IF($C$29="상세법",FPV(H1696,K1696),IF(H1696="EI",4,IF(H1696="EO",5.2,IF(H1696="EQ",3.9,IF(H1696="ILF",7.5,IF(H1696="EIF",5.4)))))))</f>
        <v/>
      </c>
      <c r="M1696" s="112" t="str">
        <f t="shared" si="29"/>
        <v/>
      </c>
      <c r="N1696" s="113"/>
    </row>
    <row r="1697" spans="2:14">
      <c r="B1697" s="105"/>
      <c r="C1697" s="106"/>
      <c r="D1697" s="107"/>
      <c r="E1697" s="65"/>
      <c r="F1697" s="64"/>
      <c r="G1697" s="64"/>
      <c r="H1697" s="64"/>
      <c r="I1697" s="70"/>
      <c r="J1697" s="70"/>
      <c r="K1697" s="110" t="str">
        <f>IF(H1697="","",IF($C$29="간이법","",FPR(H1697,I1697,J1697)))</f>
        <v/>
      </c>
      <c r="L1697" s="111" t="str">
        <f>IF(H1697="","",IF($C$29="상세법",FPV(H1697,K1697),IF(H1697="EI",4,IF(H1697="EO",5.2,IF(H1697="EQ",3.9,IF(H1697="ILF",7.5,IF(H1697="EIF",5.4)))))))</f>
        <v/>
      </c>
      <c r="M1697" s="112" t="str">
        <f t="shared" si="29"/>
        <v/>
      </c>
      <c r="N1697" s="113"/>
    </row>
    <row r="1698" spans="2:14">
      <c r="B1698" s="105"/>
      <c r="C1698" s="106"/>
      <c r="D1698" s="107"/>
      <c r="E1698" s="65"/>
      <c r="F1698" s="64"/>
      <c r="G1698" s="64"/>
      <c r="H1698" s="64"/>
      <c r="I1698" s="70"/>
      <c r="J1698" s="70"/>
      <c r="K1698" s="110" t="str">
        <f>IF(H1698="","",IF($C$29="간이법","",FPR(H1698,I1698,J1698)))</f>
        <v/>
      </c>
      <c r="L1698" s="111" t="str">
        <f>IF(H1698="","",IF($C$29="상세법",FPV(H1698,K1698),IF(H1698="EI",4,IF(H1698="EO",5.2,IF(H1698="EQ",3.9,IF(H1698="ILF",7.5,IF(H1698="EIF",5.4)))))))</f>
        <v/>
      </c>
      <c r="M1698" s="112" t="str">
        <f t="shared" si="29"/>
        <v/>
      </c>
      <c r="N1698" s="113"/>
    </row>
    <row r="1699" spans="2:14">
      <c r="B1699" s="105"/>
      <c r="C1699" s="106"/>
      <c r="D1699" s="107"/>
      <c r="E1699" s="65"/>
      <c r="F1699" s="64"/>
      <c r="G1699" s="64"/>
      <c r="H1699" s="64"/>
      <c r="I1699" s="70"/>
      <c r="J1699" s="70"/>
      <c r="K1699" s="110" t="str">
        <f>IF(H1699="","",IF($C$29="간이법","",FPR(H1699,I1699,J1699)))</f>
        <v/>
      </c>
      <c r="L1699" s="111" t="str">
        <f>IF(H1699="","",IF($C$29="상세법",FPV(H1699,K1699),IF(H1699="EI",4,IF(H1699="EO",5.2,IF(H1699="EQ",3.9,IF(H1699="ILF",7.5,IF(H1699="EIF",5.4)))))))</f>
        <v/>
      </c>
      <c r="M1699" s="112" t="str">
        <f t="shared" si="29"/>
        <v/>
      </c>
      <c r="N1699" s="113"/>
    </row>
    <row r="1700" spans="2:14">
      <c r="B1700" s="105"/>
      <c r="C1700" s="106"/>
      <c r="D1700" s="107"/>
      <c r="E1700" s="65"/>
      <c r="F1700" s="64"/>
      <c r="G1700" s="64"/>
      <c r="H1700" s="64"/>
      <c r="I1700" s="70"/>
      <c r="J1700" s="70"/>
      <c r="K1700" s="110" t="str">
        <f>IF(H1700="","",IF($C$29="간이법","",FPR(H1700,I1700,J1700)))</f>
        <v/>
      </c>
      <c r="L1700" s="111" t="str">
        <f>IF(H1700="","",IF($C$29="상세법",FPV(H1700,K1700),IF(H1700="EI",4,IF(H1700="EO",5.2,IF(H1700="EQ",3.9,IF(H1700="ILF",7.5,IF(H1700="EIF",5.4)))))))</f>
        <v/>
      </c>
      <c r="M1700" s="112" t="str">
        <f t="shared" si="29"/>
        <v/>
      </c>
      <c r="N1700" s="113"/>
    </row>
    <row r="1701" spans="2:14">
      <c r="B1701" s="105"/>
      <c r="C1701" s="106"/>
      <c r="D1701" s="107"/>
      <c r="E1701" s="65"/>
      <c r="F1701" s="64"/>
      <c r="G1701" s="64"/>
      <c r="H1701" s="64"/>
      <c r="I1701" s="70"/>
      <c r="J1701" s="70"/>
      <c r="K1701" s="110" t="str">
        <f>IF(H1701="","",IF($C$29="간이법","",FPR(H1701,I1701,J1701)))</f>
        <v/>
      </c>
      <c r="L1701" s="111" t="str">
        <f>IF(H1701="","",IF($C$29="상세법",FPV(H1701,K1701),IF(H1701="EI",4,IF(H1701="EO",5.2,IF(H1701="EQ",3.9,IF(H1701="ILF",7.5,IF(H1701="EIF",5.4)))))))</f>
        <v/>
      </c>
      <c r="M1701" s="112" t="str">
        <f t="shared" si="29"/>
        <v/>
      </c>
      <c r="N1701" s="113"/>
    </row>
    <row r="1702" spans="2:14">
      <c r="B1702" s="105"/>
      <c r="C1702" s="106"/>
      <c r="D1702" s="107"/>
      <c r="E1702" s="65"/>
      <c r="F1702" s="64"/>
      <c r="G1702" s="64"/>
      <c r="H1702" s="64"/>
      <c r="I1702" s="70"/>
      <c r="J1702" s="70"/>
      <c r="K1702" s="110" t="str">
        <f>IF(H1702="","",IF($C$29="간이법","",FPR(H1702,I1702,J1702)))</f>
        <v/>
      </c>
      <c r="L1702" s="111" t="str">
        <f>IF(H1702="","",IF($C$29="상세법",FPV(H1702,K1702),IF(H1702="EI",4,IF(H1702="EO",5.2,IF(H1702="EQ",3.9,IF(H1702="ILF",7.5,IF(H1702="EIF",5.4)))))))</f>
        <v/>
      </c>
      <c r="M1702" s="112" t="str">
        <f t="shared" si="29"/>
        <v/>
      </c>
      <c r="N1702" s="113"/>
    </row>
    <row r="1703" spans="2:14">
      <c r="B1703" s="105"/>
      <c r="C1703" s="106"/>
      <c r="D1703" s="107"/>
      <c r="E1703" s="65"/>
      <c r="F1703" s="64"/>
      <c r="G1703" s="64"/>
      <c r="H1703" s="64"/>
      <c r="I1703" s="70"/>
      <c r="J1703" s="70"/>
      <c r="K1703" s="110" t="str">
        <f>IF(H1703="","",IF($C$29="간이법","",FPR(H1703,I1703,J1703)))</f>
        <v/>
      </c>
      <c r="L1703" s="111" t="str">
        <f>IF(H1703="","",IF($C$29="상세법",FPV(H1703,K1703),IF(H1703="EI",4,IF(H1703="EO",5.2,IF(H1703="EQ",3.9,IF(H1703="ILF",7.5,IF(H1703="EIF",5.4)))))))</f>
        <v/>
      </c>
      <c r="M1703" s="112" t="str">
        <f t="shared" si="29"/>
        <v/>
      </c>
      <c r="N1703" s="113"/>
    </row>
    <row r="1704" spans="2:14">
      <c r="B1704" s="105"/>
      <c r="C1704" s="106"/>
      <c r="D1704" s="107"/>
      <c r="E1704" s="65"/>
      <c r="F1704" s="64"/>
      <c r="G1704" s="64"/>
      <c r="H1704" s="64"/>
      <c r="I1704" s="70"/>
      <c r="J1704" s="70"/>
      <c r="K1704" s="110" t="str">
        <f>IF(H1704="","",IF($C$29="간이법","",FPR(H1704,I1704,J1704)))</f>
        <v/>
      </c>
      <c r="L1704" s="111" t="str">
        <f>IF(H1704="","",IF($C$29="상세법",FPV(H1704,K1704),IF(H1704="EI",4,IF(H1704="EO",5.2,IF(H1704="EQ",3.9,IF(H1704="ILF",7.5,IF(H1704="EIF",5.4)))))))</f>
        <v/>
      </c>
      <c r="M1704" s="112" t="str">
        <f t="shared" si="29"/>
        <v/>
      </c>
      <c r="N1704" s="113"/>
    </row>
    <row r="1705" spans="2:14">
      <c r="B1705" s="105"/>
      <c r="C1705" s="106"/>
      <c r="D1705" s="107"/>
      <c r="E1705" s="65"/>
      <c r="F1705" s="64"/>
      <c r="G1705" s="64"/>
      <c r="H1705" s="64"/>
      <c r="I1705" s="70"/>
      <c r="J1705" s="70"/>
      <c r="K1705" s="110" t="str">
        <f>IF(H1705="","",IF($C$29="간이법","",FPR(H1705,I1705,J1705)))</f>
        <v/>
      </c>
      <c r="L1705" s="111" t="str">
        <f>IF(H1705="","",IF($C$29="상세법",FPV(H1705,K1705),IF(H1705="EI",4,IF(H1705="EO",5.2,IF(H1705="EQ",3.9,IF(H1705="ILF",7.5,IF(H1705="EIF",5.4)))))))</f>
        <v/>
      </c>
      <c r="M1705" s="112" t="str">
        <f t="shared" si="29"/>
        <v/>
      </c>
      <c r="N1705" s="113"/>
    </row>
    <row r="1706" spans="2:14">
      <c r="B1706" s="105"/>
      <c r="C1706" s="106"/>
      <c r="D1706" s="107"/>
      <c r="E1706" s="65"/>
      <c r="F1706" s="64"/>
      <c r="G1706" s="64"/>
      <c r="H1706" s="64"/>
      <c r="I1706" s="70"/>
      <c r="J1706" s="70"/>
      <c r="K1706" s="110" t="str">
        <f>IF(H1706="","",IF($C$29="간이법","",FPR(H1706,I1706,J1706)))</f>
        <v/>
      </c>
      <c r="L1706" s="111" t="str">
        <f>IF(H1706="","",IF($C$29="상세법",FPV(H1706,K1706),IF(H1706="EI",4,IF(H1706="EO",5.2,IF(H1706="EQ",3.9,IF(H1706="ILF",7.5,IF(H1706="EIF",5.4)))))))</f>
        <v/>
      </c>
      <c r="M1706" s="112" t="str">
        <f t="shared" si="29"/>
        <v/>
      </c>
      <c r="N1706" s="113"/>
    </row>
    <row r="1707" spans="2:14">
      <c r="B1707" s="105"/>
      <c r="C1707" s="106"/>
      <c r="D1707" s="107"/>
      <c r="E1707" s="65"/>
      <c r="F1707" s="64"/>
      <c r="G1707" s="64"/>
      <c r="H1707" s="64"/>
      <c r="I1707" s="70"/>
      <c r="J1707" s="70"/>
      <c r="K1707" s="110" t="str">
        <f>IF(H1707="","",IF($C$29="간이법","",FPR(H1707,I1707,J1707)))</f>
        <v/>
      </c>
      <c r="L1707" s="111" t="str">
        <f>IF(H1707="","",IF($C$29="상세법",FPV(H1707,K1707),IF(H1707="EI",4,IF(H1707="EO",5.2,IF(H1707="EQ",3.9,IF(H1707="ILF",7.5,IF(H1707="EIF",5.4)))))))</f>
        <v/>
      </c>
      <c r="M1707" s="112" t="str">
        <f t="shared" si="29"/>
        <v/>
      </c>
      <c r="N1707" s="113"/>
    </row>
    <row r="1708" spans="2:14">
      <c r="B1708" s="105"/>
      <c r="C1708" s="106"/>
      <c r="D1708" s="107"/>
      <c r="E1708" s="65"/>
      <c r="F1708" s="64"/>
      <c r="G1708" s="64"/>
      <c r="H1708" s="64"/>
      <c r="I1708" s="70"/>
      <c r="J1708" s="70"/>
      <c r="K1708" s="110" t="str">
        <f>IF(H1708="","",IF($C$29="간이법","",FPR(H1708,I1708,J1708)))</f>
        <v/>
      </c>
      <c r="L1708" s="111" t="str">
        <f>IF(H1708="","",IF($C$29="상세법",FPV(H1708,K1708),IF(H1708="EI",4,IF(H1708="EO",5.2,IF(H1708="EQ",3.9,IF(H1708="ILF",7.5,IF(H1708="EIF",5.4)))))))</f>
        <v/>
      </c>
      <c r="M1708" s="112" t="str">
        <f t="shared" si="29"/>
        <v/>
      </c>
      <c r="N1708" s="113"/>
    </row>
    <row r="1709" spans="2:14">
      <c r="B1709" s="105"/>
      <c r="C1709" s="106"/>
      <c r="D1709" s="107"/>
      <c r="E1709" s="65"/>
      <c r="F1709" s="64"/>
      <c r="G1709" s="64"/>
      <c r="H1709" s="64"/>
      <c r="I1709" s="70"/>
      <c r="J1709" s="70"/>
      <c r="K1709" s="110" t="str">
        <f>IF(H1709="","",IF($C$29="간이법","",FPR(H1709,I1709,J1709)))</f>
        <v/>
      </c>
      <c r="L1709" s="111" t="str">
        <f>IF(H1709="","",IF($C$29="상세법",FPV(H1709,K1709),IF(H1709="EI",4,IF(H1709="EO",5.2,IF(H1709="EQ",3.9,IF(H1709="ILF",7.5,IF(H1709="EIF",5.4)))))))</f>
        <v/>
      </c>
      <c r="M1709" s="112" t="str">
        <f t="shared" si="29"/>
        <v/>
      </c>
      <c r="N1709" s="113"/>
    </row>
    <row r="1710" spans="2:14">
      <c r="B1710" s="105"/>
      <c r="C1710" s="106"/>
      <c r="D1710" s="107"/>
      <c r="E1710" s="65"/>
      <c r="F1710" s="64"/>
      <c r="G1710" s="64"/>
      <c r="H1710" s="64"/>
      <c r="I1710" s="70"/>
      <c r="J1710" s="70"/>
      <c r="K1710" s="110" t="str">
        <f>IF(H1710="","",IF($C$29="간이법","",FPR(H1710,I1710,J1710)))</f>
        <v/>
      </c>
      <c r="L1710" s="111" t="str">
        <f>IF(H1710="","",IF($C$29="상세법",FPV(H1710,K1710),IF(H1710="EI",4,IF(H1710="EO",5.2,IF(H1710="EQ",3.9,IF(H1710="ILF",7.5,IF(H1710="EIF",5.4)))))))</f>
        <v/>
      </c>
      <c r="M1710" s="112" t="str">
        <f t="shared" si="29"/>
        <v/>
      </c>
      <c r="N1710" s="113"/>
    </row>
    <row r="1711" spans="2:14">
      <c r="B1711" s="105"/>
      <c r="C1711" s="106"/>
      <c r="D1711" s="107"/>
      <c r="E1711" s="65"/>
      <c r="F1711" s="64"/>
      <c r="G1711" s="64"/>
      <c r="H1711" s="64"/>
      <c r="I1711" s="70"/>
      <c r="J1711" s="70"/>
      <c r="K1711" s="110" t="str">
        <f>IF(H1711="","",IF($C$29="간이법","",FPR(H1711,I1711,J1711)))</f>
        <v/>
      </c>
      <c r="L1711" s="111" t="str">
        <f>IF(H1711="","",IF($C$29="상세법",FPV(H1711,K1711),IF(H1711="EI",4,IF(H1711="EO",5.2,IF(H1711="EQ",3.9,IF(H1711="ILF",7.5,IF(H1711="EIF",5.4)))))))</f>
        <v/>
      </c>
      <c r="M1711" s="112" t="str">
        <f t="shared" si="29"/>
        <v/>
      </c>
      <c r="N1711" s="113"/>
    </row>
    <row r="1712" spans="2:14">
      <c r="B1712" s="105"/>
      <c r="C1712" s="106"/>
      <c r="D1712" s="107"/>
      <c r="E1712" s="65"/>
      <c r="F1712" s="64"/>
      <c r="G1712" s="64"/>
      <c r="H1712" s="64"/>
      <c r="I1712" s="70"/>
      <c r="J1712" s="70"/>
      <c r="K1712" s="110" t="str">
        <f>IF(H1712="","",IF($C$29="간이법","",FPR(H1712,I1712,J1712)))</f>
        <v/>
      </c>
      <c r="L1712" s="111" t="str">
        <f>IF(H1712="","",IF($C$29="상세법",FPV(H1712,K1712),IF(H1712="EI",4,IF(H1712="EO",5.2,IF(H1712="EQ",3.9,IF(H1712="ILF",7.5,IF(H1712="EIF",5.4)))))))</f>
        <v/>
      </c>
      <c r="M1712" s="112" t="str">
        <f t="shared" si="29"/>
        <v/>
      </c>
      <c r="N1712" s="113"/>
    </row>
    <row r="1713" spans="2:14">
      <c r="B1713" s="105"/>
      <c r="C1713" s="106"/>
      <c r="D1713" s="107"/>
      <c r="E1713" s="65"/>
      <c r="F1713" s="64"/>
      <c r="G1713" s="64"/>
      <c r="H1713" s="64"/>
      <c r="I1713" s="70"/>
      <c r="J1713" s="70"/>
      <c r="K1713" s="110" t="str">
        <f>IF(H1713="","",IF($C$29="간이법","",FPR(H1713,I1713,J1713)))</f>
        <v/>
      </c>
      <c r="L1713" s="111" t="str">
        <f>IF(H1713="","",IF($C$29="상세법",FPV(H1713,K1713),IF(H1713="EI",4,IF(H1713="EO",5.2,IF(H1713="EQ",3.9,IF(H1713="ILF",7.5,IF(H1713="EIF",5.4)))))))</f>
        <v/>
      </c>
      <c r="M1713" s="112" t="str">
        <f t="shared" si="29"/>
        <v/>
      </c>
      <c r="N1713" s="113"/>
    </row>
    <row r="1714" spans="2:14">
      <c r="B1714" s="105"/>
      <c r="C1714" s="106"/>
      <c r="D1714" s="107"/>
      <c r="E1714" s="65"/>
      <c r="F1714" s="64"/>
      <c r="G1714" s="64"/>
      <c r="H1714" s="64"/>
      <c r="I1714" s="70"/>
      <c r="J1714" s="70"/>
      <c r="K1714" s="110" t="str">
        <f>IF(H1714="","",IF($C$29="간이법","",FPR(H1714,I1714,J1714)))</f>
        <v/>
      </c>
      <c r="L1714" s="111" t="str">
        <f>IF(H1714="","",IF($C$29="상세법",FPV(H1714,K1714),IF(H1714="EI",4,IF(H1714="EO",5.2,IF(H1714="EQ",3.9,IF(H1714="ILF",7.5,IF(H1714="EIF",5.4)))))))</f>
        <v/>
      </c>
      <c r="M1714" s="112" t="str">
        <f t="shared" si="29"/>
        <v/>
      </c>
      <c r="N1714" s="113"/>
    </row>
    <row r="1715" spans="2:14">
      <c r="B1715" s="105"/>
      <c r="C1715" s="106"/>
      <c r="D1715" s="107"/>
      <c r="E1715" s="65"/>
      <c r="F1715" s="64"/>
      <c r="G1715" s="64"/>
      <c r="H1715" s="64"/>
      <c r="I1715" s="70"/>
      <c r="J1715" s="70"/>
      <c r="K1715" s="110" t="str">
        <f>IF(H1715="","",IF($C$29="간이법","",FPR(H1715,I1715,J1715)))</f>
        <v/>
      </c>
      <c r="L1715" s="111" t="str">
        <f>IF(H1715="","",IF($C$29="상세법",FPV(H1715,K1715),IF(H1715="EI",4,IF(H1715="EO",5.2,IF(H1715="EQ",3.9,IF(H1715="ILF",7.5,IF(H1715="EIF",5.4)))))))</f>
        <v/>
      </c>
      <c r="M1715" s="112" t="str">
        <f t="shared" si="29"/>
        <v/>
      </c>
      <c r="N1715" s="113"/>
    </row>
    <row r="1716" spans="2:14">
      <c r="B1716" s="105"/>
      <c r="C1716" s="106"/>
      <c r="D1716" s="107"/>
      <c r="E1716" s="65"/>
      <c r="F1716" s="64"/>
      <c r="G1716" s="64"/>
      <c r="H1716" s="64"/>
      <c r="I1716" s="70"/>
      <c r="J1716" s="70"/>
      <c r="K1716" s="110" t="str">
        <f>IF(H1716="","",IF($C$29="간이법","",FPR(H1716,I1716,J1716)))</f>
        <v/>
      </c>
      <c r="L1716" s="111" t="str">
        <f>IF(H1716="","",IF($C$29="상세법",FPV(H1716,K1716),IF(H1716="EI",4,IF(H1716="EO",5.2,IF(H1716="EQ",3.9,IF(H1716="ILF",7.5,IF(H1716="EIF",5.4)))))))</f>
        <v/>
      </c>
      <c r="M1716" s="112" t="str">
        <f t="shared" si="29"/>
        <v/>
      </c>
      <c r="N1716" s="113"/>
    </row>
    <row r="1717" spans="2:14">
      <c r="B1717" s="105"/>
      <c r="C1717" s="106"/>
      <c r="D1717" s="107"/>
      <c r="E1717" s="65"/>
      <c r="F1717" s="64"/>
      <c r="G1717" s="64"/>
      <c r="H1717" s="64"/>
      <c r="I1717" s="70"/>
      <c r="J1717" s="70"/>
      <c r="K1717" s="110" t="str">
        <f>IF(H1717="","",IF($C$29="간이법","",FPR(H1717,I1717,J1717)))</f>
        <v/>
      </c>
      <c r="L1717" s="111" t="str">
        <f>IF(H1717="","",IF($C$29="상세법",FPV(H1717,K1717),IF(H1717="EI",4,IF(H1717="EO",5.2,IF(H1717="EQ",3.9,IF(H1717="ILF",7.5,IF(H1717="EIF",5.4)))))))</f>
        <v/>
      </c>
      <c r="M1717" s="112" t="str">
        <f t="shared" si="29"/>
        <v/>
      </c>
      <c r="N1717" s="113"/>
    </row>
    <row r="1718" spans="2:14">
      <c r="B1718" s="105"/>
      <c r="C1718" s="106"/>
      <c r="D1718" s="107"/>
      <c r="E1718" s="65"/>
      <c r="F1718" s="64"/>
      <c r="G1718" s="64"/>
      <c r="H1718" s="64"/>
      <c r="I1718" s="70"/>
      <c r="J1718" s="70"/>
      <c r="K1718" s="110" t="str">
        <f>IF(H1718="","",IF($C$29="간이법","",FPR(H1718,I1718,J1718)))</f>
        <v/>
      </c>
      <c r="L1718" s="111" t="str">
        <f>IF(H1718="","",IF($C$29="상세법",FPV(H1718,K1718),IF(H1718="EI",4,IF(H1718="EO",5.2,IF(H1718="EQ",3.9,IF(H1718="ILF",7.5,IF(H1718="EIF",5.4)))))))</f>
        <v/>
      </c>
      <c r="M1718" s="112" t="str">
        <f t="shared" si="29"/>
        <v/>
      </c>
      <c r="N1718" s="113"/>
    </row>
    <row r="1719" spans="2:14">
      <c r="B1719" s="105"/>
      <c r="C1719" s="106"/>
      <c r="D1719" s="107"/>
      <c r="E1719" s="65"/>
      <c r="F1719" s="64"/>
      <c r="G1719" s="64"/>
      <c r="H1719" s="64"/>
      <c r="I1719" s="70"/>
      <c r="J1719" s="70"/>
      <c r="K1719" s="110" t="str">
        <f>IF(H1719="","",IF($C$29="간이법","",FPR(H1719,I1719,J1719)))</f>
        <v/>
      </c>
      <c r="L1719" s="111" t="str">
        <f>IF(H1719="","",IF($C$29="상세법",FPV(H1719,K1719),IF(H1719="EI",4,IF(H1719="EO",5.2,IF(H1719="EQ",3.9,IF(H1719="ILF",7.5,IF(H1719="EIF",5.4)))))))</f>
        <v/>
      </c>
      <c r="M1719" s="112" t="str">
        <f t="shared" si="29"/>
        <v/>
      </c>
      <c r="N1719" s="113"/>
    </row>
    <row r="1720" spans="2:14">
      <c r="B1720" s="105"/>
      <c r="C1720" s="106"/>
      <c r="D1720" s="107"/>
      <c r="E1720" s="65"/>
      <c r="F1720" s="64"/>
      <c r="G1720" s="64"/>
      <c r="H1720" s="64"/>
      <c r="I1720" s="70"/>
      <c r="J1720" s="70"/>
      <c r="K1720" s="110" t="str">
        <f>IF(H1720="","",IF($C$29="간이법","",FPR(H1720,I1720,J1720)))</f>
        <v/>
      </c>
      <c r="L1720" s="111" t="str">
        <f>IF(H1720="","",IF($C$29="상세법",FPV(H1720,K1720),IF(H1720="EI",4,IF(H1720="EO",5.2,IF(H1720="EQ",3.9,IF(H1720="ILF",7.5,IF(H1720="EIF",5.4)))))))</f>
        <v/>
      </c>
      <c r="M1720" s="112" t="str">
        <f t="shared" si="29"/>
        <v/>
      </c>
      <c r="N1720" s="113"/>
    </row>
    <row r="1721" spans="2:14">
      <c r="B1721" s="105"/>
      <c r="C1721" s="106"/>
      <c r="D1721" s="107"/>
      <c r="E1721" s="65"/>
      <c r="F1721" s="64"/>
      <c r="G1721" s="64"/>
      <c r="H1721" s="64"/>
      <c r="I1721" s="70"/>
      <c r="J1721" s="70"/>
      <c r="K1721" s="110" t="str">
        <f>IF(H1721="","",IF($C$29="간이법","",FPR(H1721,I1721,J1721)))</f>
        <v/>
      </c>
      <c r="L1721" s="111" t="str">
        <f>IF(H1721="","",IF($C$29="상세법",FPV(H1721,K1721),IF(H1721="EI",4,IF(H1721="EO",5.2,IF(H1721="EQ",3.9,IF(H1721="ILF",7.5,IF(H1721="EIF",5.4)))))))</f>
        <v/>
      </c>
      <c r="M1721" s="112" t="str">
        <f t="shared" ref="M1721:M1784" si="30">IF(L1721="","",L1721*IF(G1721="상",0.7,IF(G1721="중",0.5,IF(G1721="하",0.2,1))))</f>
        <v/>
      </c>
      <c r="N1721" s="113"/>
    </row>
    <row r="1722" spans="2:14">
      <c r="B1722" s="105"/>
      <c r="C1722" s="106"/>
      <c r="D1722" s="107"/>
      <c r="E1722" s="65"/>
      <c r="F1722" s="64"/>
      <c r="G1722" s="64"/>
      <c r="H1722" s="64"/>
      <c r="I1722" s="70"/>
      <c r="J1722" s="70"/>
      <c r="K1722" s="110" t="str">
        <f>IF(H1722="","",IF($C$29="간이법","",FPR(H1722,I1722,J1722)))</f>
        <v/>
      </c>
      <c r="L1722" s="111" t="str">
        <f>IF(H1722="","",IF($C$29="상세법",FPV(H1722,K1722),IF(H1722="EI",4,IF(H1722="EO",5.2,IF(H1722="EQ",3.9,IF(H1722="ILF",7.5,IF(H1722="EIF",5.4)))))))</f>
        <v/>
      </c>
      <c r="M1722" s="112" t="str">
        <f t="shared" si="30"/>
        <v/>
      </c>
      <c r="N1722" s="113"/>
    </row>
    <row r="1723" spans="2:14">
      <c r="B1723" s="105"/>
      <c r="C1723" s="106"/>
      <c r="D1723" s="107"/>
      <c r="E1723" s="65"/>
      <c r="F1723" s="64"/>
      <c r="G1723" s="64"/>
      <c r="H1723" s="64"/>
      <c r="I1723" s="70"/>
      <c r="J1723" s="70"/>
      <c r="K1723" s="110" t="str">
        <f>IF(H1723="","",IF($C$29="간이법","",FPR(H1723,I1723,J1723)))</f>
        <v/>
      </c>
      <c r="L1723" s="111" t="str">
        <f>IF(H1723="","",IF($C$29="상세법",FPV(H1723,K1723),IF(H1723="EI",4,IF(H1723="EO",5.2,IF(H1723="EQ",3.9,IF(H1723="ILF",7.5,IF(H1723="EIF",5.4)))))))</f>
        <v/>
      </c>
      <c r="M1723" s="112" t="str">
        <f t="shared" si="30"/>
        <v/>
      </c>
      <c r="N1723" s="113"/>
    </row>
    <row r="1724" spans="2:14">
      <c r="B1724" s="105"/>
      <c r="C1724" s="106"/>
      <c r="D1724" s="107"/>
      <c r="E1724" s="65"/>
      <c r="F1724" s="64"/>
      <c r="G1724" s="64"/>
      <c r="H1724" s="64"/>
      <c r="I1724" s="70"/>
      <c r="J1724" s="70"/>
      <c r="K1724" s="110" t="str">
        <f>IF(H1724="","",IF($C$29="간이법","",FPR(H1724,I1724,J1724)))</f>
        <v/>
      </c>
      <c r="L1724" s="111" t="str">
        <f>IF(H1724="","",IF($C$29="상세법",FPV(H1724,K1724),IF(H1724="EI",4,IF(H1724="EO",5.2,IF(H1724="EQ",3.9,IF(H1724="ILF",7.5,IF(H1724="EIF",5.4)))))))</f>
        <v/>
      </c>
      <c r="M1724" s="112" t="str">
        <f t="shared" si="30"/>
        <v/>
      </c>
      <c r="N1724" s="113"/>
    </row>
    <row r="1725" spans="2:14">
      <c r="B1725" s="105"/>
      <c r="C1725" s="106"/>
      <c r="D1725" s="107"/>
      <c r="E1725" s="65"/>
      <c r="F1725" s="64"/>
      <c r="G1725" s="64"/>
      <c r="H1725" s="64"/>
      <c r="I1725" s="70"/>
      <c r="J1725" s="70"/>
      <c r="K1725" s="110" t="str">
        <f>IF(H1725="","",IF($C$29="간이법","",FPR(H1725,I1725,J1725)))</f>
        <v/>
      </c>
      <c r="L1725" s="111" t="str">
        <f>IF(H1725="","",IF($C$29="상세법",FPV(H1725,K1725),IF(H1725="EI",4,IF(H1725="EO",5.2,IF(H1725="EQ",3.9,IF(H1725="ILF",7.5,IF(H1725="EIF",5.4)))))))</f>
        <v/>
      </c>
      <c r="M1725" s="112" t="str">
        <f t="shared" si="30"/>
        <v/>
      </c>
      <c r="N1725" s="113"/>
    </row>
    <row r="1726" spans="2:14">
      <c r="B1726" s="105"/>
      <c r="C1726" s="106"/>
      <c r="D1726" s="107"/>
      <c r="E1726" s="65"/>
      <c r="F1726" s="64"/>
      <c r="G1726" s="64"/>
      <c r="H1726" s="64"/>
      <c r="I1726" s="70"/>
      <c r="J1726" s="70"/>
      <c r="K1726" s="110" t="str">
        <f>IF(H1726="","",IF($C$29="간이법","",FPR(H1726,I1726,J1726)))</f>
        <v/>
      </c>
      <c r="L1726" s="111" t="str">
        <f>IF(H1726="","",IF($C$29="상세법",FPV(H1726,K1726),IF(H1726="EI",4,IF(H1726="EO",5.2,IF(H1726="EQ",3.9,IF(H1726="ILF",7.5,IF(H1726="EIF",5.4)))))))</f>
        <v/>
      </c>
      <c r="M1726" s="112" t="str">
        <f t="shared" si="30"/>
        <v/>
      </c>
      <c r="N1726" s="113"/>
    </row>
    <row r="1727" spans="2:14">
      <c r="B1727" s="105"/>
      <c r="C1727" s="106"/>
      <c r="D1727" s="107"/>
      <c r="E1727" s="65"/>
      <c r="F1727" s="64"/>
      <c r="G1727" s="64"/>
      <c r="H1727" s="64"/>
      <c r="I1727" s="70"/>
      <c r="J1727" s="70"/>
      <c r="K1727" s="110" t="str">
        <f>IF(H1727="","",IF($C$29="간이법","",FPR(H1727,I1727,J1727)))</f>
        <v/>
      </c>
      <c r="L1727" s="111" t="str">
        <f>IF(H1727="","",IF($C$29="상세법",FPV(H1727,K1727),IF(H1727="EI",4,IF(H1727="EO",5.2,IF(H1727="EQ",3.9,IF(H1727="ILF",7.5,IF(H1727="EIF",5.4)))))))</f>
        <v/>
      </c>
      <c r="M1727" s="112" t="str">
        <f t="shared" si="30"/>
        <v/>
      </c>
      <c r="N1727" s="113"/>
    </row>
    <row r="1728" spans="2:14">
      <c r="B1728" s="105"/>
      <c r="C1728" s="106"/>
      <c r="D1728" s="107"/>
      <c r="E1728" s="65"/>
      <c r="F1728" s="64"/>
      <c r="G1728" s="64"/>
      <c r="H1728" s="64"/>
      <c r="I1728" s="70"/>
      <c r="J1728" s="70"/>
      <c r="K1728" s="110" t="str">
        <f>IF(H1728="","",IF($C$29="간이법","",FPR(H1728,I1728,J1728)))</f>
        <v/>
      </c>
      <c r="L1728" s="111" t="str">
        <f>IF(H1728="","",IF($C$29="상세법",FPV(H1728,K1728),IF(H1728="EI",4,IF(H1728="EO",5.2,IF(H1728="EQ",3.9,IF(H1728="ILF",7.5,IF(H1728="EIF",5.4)))))))</f>
        <v/>
      </c>
      <c r="M1728" s="112" t="str">
        <f t="shared" si="30"/>
        <v/>
      </c>
      <c r="N1728" s="113"/>
    </row>
    <row r="1729" spans="2:14">
      <c r="B1729" s="105"/>
      <c r="C1729" s="106"/>
      <c r="D1729" s="107"/>
      <c r="E1729" s="65"/>
      <c r="F1729" s="64"/>
      <c r="G1729" s="64"/>
      <c r="H1729" s="64"/>
      <c r="I1729" s="70"/>
      <c r="J1729" s="70"/>
      <c r="K1729" s="110" t="str">
        <f>IF(H1729="","",IF($C$29="간이법","",FPR(H1729,I1729,J1729)))</f>
        <v/>
      </c>
      <c r="L1729" s="111" t="str">
        <f>IF(H1729="","",IF($C$29="상세법",FPV(H1729,K1729),IF(H1729="EI",4,IF(H1729="EO",5.2,IF(H1729="EQ",3.9,IF(H1729="ILF",7.5,IF(H1729="EIF",5.4)))))))</f>
        <v/>
      </c>
      <c r="M1729" s="112" t="str">
        <f t="shared" si="30"/>
        <v/>
      </c>
      <c r="N1729" s="113"/>
    </row>
    <row r="1730" spans="2:14">
      <c r="B1730" s="105"/>
      <c r="C1730" s="106"/>
      <c r="D1730" s="107"/>
      <c r="E1730" s="65"/>
      <c r="F1730" s="64"/>
      <c r="G1730" s="64"/>
      <c r="H1730" s="64"/>
      <c r="I1730" s="70"/>
      <c r="J1730" s="70"/>
      <c r="K1730" s="110" t="str">
        <f>IF(H1730="","",IF($C$29="간이법","",FPR(H1730,I1730,J1730)))</f>
        <v/>
      </c>
      <c r="L1730" s="111" t="str">
        <f>IF(H1730="","",IF($C$29="상세법",FPV(H1730,K1730),IF(H1730="EI",4,IF(H1730="EO",5.2,IF(H1730="EQ",3.9,IF(H1730="ILF",7.5,IF(H1730="EIF",5.4)))))))</f>
        <v/>
      </c>
      <c r="M1730" s="112" t="str">
        <f t="shared" si="30"/>
        <v/>
      </c>
      <c r="N1730" s="113"/>
    </row>
    <row r="1731" spans="2:14">
      <c r="B1731" s="105"/>
      <c r="C1731" s="106"/>
      <c r="D1731" s="107"/>
      <c r="E1731" s="65"/>
      <c r="F1731" s="64"/>
      <c r="G1731" s="64"/>
      <c r="H1731" s="64"/>
      <c r="I1731" s="70"/>
      <c r="J1731" s="70"/>
      <c r="K1731" s="110" t="str">
        <f>IF(H1731="","",IF($C$29="간이법","",FPR(H1731,I1731,J1731)))</f>
        <v/>
      </c>
      <c r="L1731" s="111" t="str">
        <f>IF(H1731="","",IF($C$29="상세법",FPV(H1731,K1731),IF(H1731="EI",4,IF(H1731="EO",5.2,IF(H1731="EQ",3.9,IF(H1731="ILF",7.5,IF(H1731="EIF",5.4)))))))</f>
        <v/>
      </c>
      <c r="M1731" s="112" t="str">
        <f t="shared" si="30"/>
        <v/>
      </c>
      <c r="N1731" s="113"/>
    </row>
    <row r="1732" spans="2:14">
      <c r="B1732" s="105"/>
      <c r="C1732" s="106"/>
      <c r="D1732" s="107"/>
      <c r="E1732" s="65"/>
      <c r="F1732" s="64"/>
      <c r="G1732" s="64"/>
      <c r="H1732" s="64"/>
      <c r="I1732" s="70"/>
      <c r="J1732" s="70"/>
      <c r="K1732" s="110" t="str">
        <f>IF(H1732="","",IF($C$29="간이법","",FPR(H1732,I1732,J1732)))</f>
        <v/>
      </c>
      <c r="L1732" s="111" t="str">
        <f>IF(H1732="","",IF($C$29="상세법",FPV(H1732,K1732),IF(H1732="EI",4,IF(H1732="EO",5.2,IF(H1732="EQ",3.9,IF(H1732="ILF",7.5,IF(H1732="EIF",5.4)))))))</f>
        <v/>
      </c>
      <c r="M1732" s="112" t="str">
        <f t="shared" si="30"/>
        <v/>
      </c>
      <c r="N1732" s="113"/>
    </row>
    <row r="1733" spans="2:14">
      <c r="B1733" s="105"/>
      <c r="C1733" s="106"/>
      <c r="D1733" s="107"/>
      <c r="E1733" s="65"/>
      <c r="F1733" s="64"/>
      <c r="G1733" s="64"/>
      <c r="H1733" s="64"/>
      <c r="I1733" s="70"/>
      <c r="J1733" s="70"/>
      <c r="K1733" s="110" t="str">
        <f>IF(H1733="","",IF($C$29="간이법","",FPR(H1733,I1733,J1733)))</f>
        <v/>
      </c>
      <c r="L1733" s="111" t="str">
        <f>IF(H1733="","",IF($C$29="상세법",FPV(H1733,K1733),IF(H1733="EI",4,IF(H1733="EO",5.2,IF(H1733="EQ",3.9,IF(H1733="ILF",7.5,IF(H1733="EIF",5.4)))))))</f>
        <v/>
      </c>
      <c r="M1733" s="112" t="str">
        <f t="shared" si="30"/>
        <v/>
      </c>
      <c r="N1733" s="113"/>
    </row>
    <row r="1734" spans="2:14">
      <c r="B1734" s="105"/>
      <c r="C1734" s="106"/>
      <c r="D1734" s="107"/>
      <c r="E1734" s="65"/>
      <c r="F1734" s="64"/>
      <c r="G1734" s="64"/>
      <c r="H1734" s="64"/>
      <c r="I1734" s="70"/>
      <c r="J1734" s="70"/>
      <c r="K1734" s="110" t="str">
        <f>IF(H1734="","",IF($C$29="간이법","",FPR(H1734,I1734,J1734)))</f>
        <v/>
      </c>
      <c r="L1734" s="111" t="str">
        <f>IF(H1734="","",IF($C$29="상세법",FPV(H1734,K1734),IF(H1734="EI",4,IF(H1734="EO",5.2,IF(H1734="EQ",3.9,IF(H1734="ILF",7.5,IF(H1734="EIF",5.4)))))))</f>
        <v/>
      </c>
      <c r="M1734" s="112" t="str">
        <f t="shared" si="30"/>
        <v/>
      </c>
      <c r="N1734" s="113"/>
    </row>
    <row r="1735" spans="2:14">
      <c r="B1735" s="105"/>
      <c r="C1735" s="106"/>
      <c r="D1735" s="107"/>
      <c r="E1735" s="65"/>
      <c r="F1735" s="64"/>
      <c r="G1735" s="64"/>
      <c r="H1735" s="64"/>
      <c r="I1735" s="70"/>
      <c r="J1735" s="70"/>
      <c r="K1735" s="110" t="str">
        <f>IF(H1735="","",IF($C$29="간이법","",FPR(H1735,I1735,J1735)))</f>
        <v/>
      </c>
      <c r="L1735" s="111" t="str">
        <f>IF(H1735="","",IF($C$29="상세법",FPV(H1735,K1735),IF(H1735="EI",4,IF(H1735="EO",5.2,IF(H1735="EQ",3.9,IF(H1735="ILF",7.5,IF(H1735="EIF",5.4)))))))</f>
        <v/>
      </c>
      <c r="M1735" s="112" t="str">
        <f t="shared" si="30"/>
        <v/>
      </c>
      <c r="N1735" s="113"/>
    </row>
    <row r="1736" spans="2:14">
      <c r="B1736" s="105"/>
      <c r="C1736" s="106"/>
      <c r="D1736" s="107"/>
      <c r="E1736" s="65"/>
      <c r="F1736" s="64"/>
      <c r="G1736" s="64"/>
      <c r="H1736" s="64"/>
      <c r="I1736" s="70"/>
      <c r="J1736" s="70"/>
      <c r="K1736" s="110" t="str">
        <f>IF(H1736="","",IF($C$29="간이법","",FPR(H1736,I1736,J1736)))</f>
        <v/>
      </c>
      <c r="L1736" s="111" t="str">
        <f>IF(H1736="","",IF($C$29="상세법",FPV(H1736,K1736),IF(H1736="EI",4,IF(H1736="EO",5.2,IF(H1736="EQ",3.9,IF(H1736="ILF",7.5,IF(H1736="EIF",5.4)))))))</f>
        <v/>
      </c>
      <c r="M1736" s="112" t="str">
        <f t="shared" si="30"/>
        <v/>
      </c>
      <c r="N1736" s="113"/>
    </row>
    <row r="1737" spans="2:14">
      <c r="B1737" s="105"/>
      <c r="C1737" s="106"/>
      <c r="D1737" s="107"/>
      <c r="E1737" s="65"/>
      <c r="F1737" s="64"/>
      <c r="G1737" s="64"/>
      <c r="H1737" s="64"/>
      <c r="I1737" s="70"/>
      <c r="J1737" s="70"/>
      <c r="K1737" s="110" t="str">
        <f>IF(H1737="","",IF($C$29="간이법","",FPR(H1737,I1737,J1737)))</f>
        <v/>
      </c>
      <c r="L1737" s="111" t="str">
        <f>IF(H1737="","",IF($C$29="상세법",FPV(H1737,K1737),IF(H1737="EI",4,IF(H1737="EO",5.2,IF(H1737="EQ",3.9,IF(H1737="ILF",7.5,IF(H1737="EIF",5.4)))))))</f>
        <v/>
      </c>
      <c r="M1737" s="112" t="str">
        <f t="shared" si="30"/>
        <v/>
      </c>
      <c r="N1737" s="113"/>
    </row>
    <row r="1738" spans="2:14">
      <c r="B1738" s="105"/>
      <c r="C1738" s="106"/>
      <c r="D1738" s="107"/>
      <c r="E1738" s="65"/>
      <c r="F1738" s="64"/>
      <c r="G1738" s="64"/>
      <c r="H1738" s="64"/>
      <c r="I1738" s="70"/>
      <c r="J1738" s="70"/>
      <c r="K1738" s="110" t="str">
        <f>IF(H1738="","",IF($C$29="간이법","",FPR(H1738,I1738,J1738)))</f>
        <v/>
      </c>
      <c r="L1738" s="111" t="str">
        <f>IF(H1738="","",IF($C$29="상세법",FPV(H1738,K1738),IF(H1738="EI",4,IF(H1738="EO",5.2,IF(H1738="EQ",3.9,IF(H1738="ILF",7.5,IF(H1738="EIF",5.4)))))))</f>
        <v/>
      </c>
      <c r="M1738" s="112" t="str">
        <f t="shared" si="30"/>
        <v/>
      </c>
      <c r="N1738" s="113"/>
    </row>
    <row r="1739" spans="2:14">
      <c r="B1739" s="105"/>
      <c r="C1739" s="106"/>
      <c r="D1739" s="107"/>
      <c r="E1739" s="65"/>
      <c r="F1739" s="64"/>
      <c r="G1739" s="64"/>
      <c r="H1739" s="64"/>
      <c r="I1739" s="70"/>
      <c r="J1739" s="70"/>
      <c r="K1739" s="110" t="str">
        <f>IF(H1739="","",IF($C$29="간이법","",FPR(H1739,I1739,J1739)))</f>
        <v/>
      </c>
      <c r="L1739" s="111" t="str">
        <f>IF(H1739="","",IF($C$29="상세법",FPV(H1739,K1739),IF(H1739="EI",4,IF(H1739="EO",5.2,IF(H1739="EQ",3.9,IF(H1739="ILF",7.5,IF(H1739="EIF",5.4)))))))</f>
        <v/>
      </c>
      <c r="M1739" s="112" t="str">
        <f t="shared" si="30"/>
        <v/>
      </c>
      <c r="N1739" s="113"/>
    </row>
    <row r="1740" spans="2:14">
      <c r="B1740" s="105"/>
      <c r="C1740" s="106"/>
      <c r="D1740" s="107"/>
      <c r="E1740" s="65"/>
      <c r="F1740" s="64"/>
      <c r="G1740" s="64"/>
      <c r="H1740" s="64"/>
      <c r="I1740" s="70"/>
      <c r="J1740" s="70"/>
      <c r="K1740" s="110" t="str">
        <f>IF(H1740="","",IF($C$29="간이법","",FPR(H1740,I1740,J1740)))</f>
        <v/>
      </c>
      <c r="L1740" s="111" t="str">
        <f>IF(H1740="","",IF($C$29="상세법",FPV(H1740,K1740),IF(H1740="EI",4,IF(H1740="EO",5.2,IF(H1740="EQ",3.9,IF(H1740="ILF",7.5,IF(H1740="EIF",5.4)))))))</f>
        <v/>
      </c>
      <c r="M1740" s="112" t="str">
        <f t="shared" si="30"/>
        <v/>
      </c>
      <c r="N1740" s="113"/>
    </row>
    <row r="1741" spans="2:14">
      <c r="B1741" s="105"/>
      <c r="C1741" s="106"/>
      <c r="D1741" s="107"/>
      <c r="E1741" s="65"/>
      <c r="F1741" s="64"/>
      <c r="G1741" s="64"/>
      <c r="H1741" s="64"/>
      <c r="I1741" s="70"/>
      <c r="J1741" s="70"/>
      <c r="K1741" s="110" t="str">
        <f>IF(H1741="","",IF($C$29="간이법","",FPR(H1741,I1741,J1741)))</f>
        <v/>
      </c>
      <c r="L1741" s="111" t="str">
        <f>IF(H1741="","",IF($C$29="상세법",FPV(H1741,K1741),IF(H1741="EI",4,IF(H1741="EO",5.2,IF(H1741="EQ",3.9,IF(H1741="ILF",7.5,IF(H1741="EIF",5.4)))))))</f>
        <v/>
      </c>
      <c r="M1741" s="112" t="str">
        <f t="shared" si="30"/>
        <v/>
      </c>
      <c r="N1741" s="113"/>
    </row>
    <row r="1742" spans="2:14">
      <c r="B1742" s="105"/>
      <c r="C1742" s="106"/>
      <c r="D1742" s="107"/>
      <c r="E1742" s="65"/>
      <c r="F1742" s="64"/>
      <c r="G1742" s="64"/>
      <c r="H1742" s="64"/>
      <c r="I1742" s="70"/>
      <c r="J1742" s="70"/>
      <c r="K1742" s="110" t="str">
        <f>IF(H1742="","",IF($C$29="간이법","",FPR(H1742,I1742,J1742)))</f>
        <v/>
      </c>
      <c r="L1742" s="111" t="str">
        <f>IF(H1742="","",IF($C$29="상세법",FPV(H1742,K1742),IF(H1742="EI",4,IF(H1742="EO",5.2,IF(H1742="EQ",3.9,IF(H1742="ILF",7.5,IF(H1742="EIF",5.4)))))))</f>
        <v/>
      </c>
      <c r="M1742" s="112" t="str">
        <f t="shared" si="30"/>
        <v/>
      </c>
      <c r="N1742" s="113"/>
    </row>
    <row r="1743" spans="2:14">
      <c r="B1743" s="105"/>
      <c r="C1743" s="106"/>
      <c r="D1743" s="107"/>
      <c r="E1743" s="65"/>
      <c r="F1743" s="64"/>
      <c r="G1743" s="64"/>
      <c r="H1743" s="64"/>
      <c r="I1743" s="70"/>
      <c r="J1743" s="70"/>
      <c r="K1743" s="110" t="str">
        <f>IF(H1743="","",IF($C$29="간이법","",FPR(H1743,I1743,J1743)))</f>
        <v/>
      </c>
      <c r="L1743" s="111" t="str">
        <f>IF(H1743="","",IF($C$29="상세법",FPV(H1743,K1743),IF(H1743="EI",4,IF(H1743="EO",5.2,IF(H1743="EQ",3.9,IF(H1743="ILF",7.5,IF(H1743="EIF",5.4)))))))</f>
        <v/>
      </c>
      <c r="M1743" s="112" t="str">
        <f t="shared" si="30"/>
        <v/>
      </c>
      <c r="N1743" s="113"/>
    </row>
    <row r="1744" spans="2:14">
      <c r="B1744" s="105"/>
      <c r="C1744" s="106"/>
      <c r="D1744" s="107"/>
      <c r="E1744" s="65"/>
      <c r="F1744" s="64"/>
      <c r="G1744" s="64"/>
      <c r="H1744" s="64"/>
      <c r="I1744" s="70"/>
      <c r="J1744" s="70"/>
      <c r="K1744" s="110" t="str">
        <f>IF(H1744="","",IF($C$29="간이법","",FPR(H1744,I1744,J1744)))</f>
        <v/>
      </c>
      <c r="L1744" s="111" t="str">
        <f>IF(H1744="","",IF($C$29="상세법",FPV(H1744,K1744),IF(H1744="EI",4,IF(H1744="EO",5.2,IF(H1744="EQ",3.9,IF(H1744="ILF",7.5,IF(H1744="EIF",5.4)))))))</f>
        <v/>
      </c>
      <c r="M1744" s="112" t="str">
        <f t="shared" si="30"/>
        <v/>
      </c>
      <c r="N1744" s="113"/>
    </row>
    <row r="1745" spans="2:14">
      <c r="B1745" s="105"/>
      <c r="C1745" s="106"/>
      <c r="D1745" s="107"/>
      <c r="E1745" s="65"/>
      <c r="F1745" s="64"/>
      <c r="G1745" s="64"/>
      <c r="H1745" s="64"/>
      <c r="I1745" s="70"/>
      <c r="J1745" s="70"/>
      <c r="K1745" s="110" t="str">
        <f>IF(H1745="","",IF($C$29="간이법","",FPR(H1745,I1745,J1745)))</f>
        <v/>
      </c>
      <c r="L1745" s="111" t="str">
        <f>IF(H1745="","",IF($C$29="상세법",FPV(H1745,K1745),IF(H1745="EI",4,IF(H1745="EO",5.2,IF(H1745="EQ",3.9,IF(H1745="ILF",7.5,IF(H1745="EIF",5.4)))))))</f>
        <v/>
      </c>
      <c r="M1745" s="112" t="str">
        <f t="shared" si="30"/>
        <v/>
      </c>
      <c r="N1745" s="113"/>
    </row>
    <row r="1746" spans="2:14">
      <c r="B1746" s="105"/>
      <c r="C1746" s="106"/>
      <c r="D1746" s="107"/>
      <c r="E1746" s="65"/>
      <c r="F1746" s="64"/>
      <c r="G1746" s="64"/>
      <c r="H1746" s="64"/>
      <c r="I1746" s="70"/>
      <c r="J1746" s="70"/>
      <c r="K1746" s="110" t="str">
        <f>IF(H1746="","",IF($C$29="간이법","",FPR(H1746,I1746,J1746)))</f>
        <v/>
      </c>
      <c r="L1746" s="111" t="str">
        <f>IF(H1746="","",IF($C$29="상세법",FPV(H1746,K1746),IF(H1746="EI",4,IF(H1746="EO",5.2,IF(H1746="EQ",3.9,IF(H1746="ILF",7.5,IF(H1746="EIF",5.4)))))))</f>
        <v/>
      </c>
      <c r="M1746" s="112" t="str">
        <f t="shared" si="30"/>
        <v/>
      </c>
      <c r="N1746" s="113"/>
    </row>
    <row r="1747" spans="2:14">
      <c r="B1747" s="105"/>
      <c r="C1747" s="106"/>
      <c r="D1747" s="107"/>
      <c r="E1747" s="65"/>
      <c r="F1747" s="64"/>
      <c r="G1747" s="64"/>
      <c r="H1747" s="64"/>
      <c r="I1747" s="70"/>
      <c r="J1747" s="70"/>
      <c r="K1747" s="110" t="str">
        <f>IF(H1747="","",IF($C$29="간이법","",FPR(H1747,I1747,J1747)))</f>
        <v/>
      </c>
      <c r="L1747" s="111" t="str">
        <f>IF(H1747="","",IF($C$29="상세법",FPV(H1747,K1747),IF(H1747="EI",4,IF(H1747="EO",5.2,IF(H1747="EQ",3.9,IF(H1747="ILF",7.5,IF(H1747="EIF",5.4)))))))</f>
        <v/>
      </c>
      <c r="M1747" s="112" t="str">
        <f t="shared" si="30"/>
        <v/>
      </c>
      <c r="N1747" s="113"/>
    </row>
    <row r="1748" spans="2:14">
      <c r="B1748" s="105"/>
      <c r="C1748" s="106"/>
      <c r="D1748" s="107"/>
      <c r="E1748" s="65"/>
      <c r="F1748" s="64"/>
      <c r="G1748" s="64"/>
      <c r="H1748" s="64"/>
      <c r="I1748" s="70"/>
      <c r="J1748" s="70"/>
      <c r="K1748" s="110" t="str">
        <f>IF(H1748="","",IF($C$29="간이법","",FPR(H1748,I1748,J1748)))</f>
        <v/>
      </c>
      <c r="L1748" s="111" t="str">
        <f>IF(H1748="","",IF($C$29="상세법",FPV(H1748,K1748),IF(H1748="EI",4,IF(H1748="EO",5.2,IF(H1748="EQ",3.9,IF(H1748="ILF",7.5,IF(H1748="EIF",5.4)))))))</f>
        <v/>
      </c>
      <c r="M1748" s="112" t="str">
        <f t="shared" si="30"/>
        <v/>
      </c>
      <c r="N1748" s="113"/>
    </row>
    <row r="1749" spans="2:14">
      <c r="B1749" s="105"/>
      <c r="C1749" s="106"/>
      <c r="D1749" s="107"/>
      <c r="E1749" s="65"/>
      <c r="F1749" s="64"/>
      <c r="G1749" s="64"/>
      <c r="H1749" s="64"/>
      <c r="I1749" s="70"/>
      <c r="J1749" s="70"/>
      <c r="K1749" s="110" t="str">
        <f>IF(H1749="","",IF($C$29="간이법","",FPR(H1749,I1749,J1749)))</f>
        <v/>
      </c>
      <c r="L1749" s="111" t="str">
        <f>IF(H1749="","",IF($C$29="상세법",FPV(H1749,K1749),IF(H1749="EI",4,IF(H1749="EO",5.2,IF(H1749="EQ",3.9,IF(H1749="ILF",7.5,IF(H1749="EIF",5.4)))))))</f>
        <v/>
      </c>
      <c r="M1749" s="112" t="str">
        <f t="shared" si="30"/>
        <v/>
      </c>
      <c r="N1749" s="113"/>
    </row>
    <row r="1750" spans="2:14">
      <c r="B1750" s="105"/>
      <c r="C1750" s="106"/>
      <c r="D1750" s="107"/>
      <c r="E1750" s="65"/>
      <c r="F1750" s="64"/>
      <c r="G1750" s="64"/>
      <c r="H1750" s="64"/>
      <c r="I1750" s="70"/>
      <c r="J1750" s="70"/>
      <c r="K1750" s="110" t="str">
        <f>IF(H1750="","",IF($C$29="간이법","",FPR(H1750,I1750,J1750)))</f>
        <v/>
      </c>
      <c r="L1750" s="111" t="str">
        <f>IF(H1750="","",IF($C$29="상세법",FPV(H1750,K1750),IF(H1750="EI",4,IF(H1750="EO",5.2,IF(H1750="EQ",3.9,IF(H1750="ILF",7.5,IF(H1750="EIF",5.4)))))))</f>
        <v/>
      </c>
      <c r="M1750" s="112" t="str">
        <f t="shared" si="30"/>
        <v/>
      </c>
      <c r="N1750" s="113"/>
    </row>
    <row r="1751" spans="2:14">
      <c r="B1751" s="105"/>
      <c r="C1751" s="106"/>
      <c r="D1751" s="107"/>
      <c r="E1751" s="65"/>
      <c r="F1751" s="64"/>
      <c r="G1751" s="64"/>
      <c r="H1751" s="64"/>
      <c r="I1751" s="70"/>
      <c r="J1751" s="70"/>
      <c r="K1751" s="110" t="str">
        <f>IF(H1751="","",IF($C$29="간이법","",FPR(H1751,I1751,J1751)))</f>
        <v/>
      </c>
      <c r="L1751" s="111" t="str">
        <f>IF(H1751="","",IF($C$29="상세법",FPV(H1751,K1751),IF(H1751="EI",4,IF(H1751="EO",5.2,IF(H1751="EQ",3.9,IF(H1751="ILF",7.5,IF(H1751="EIF",5.4)))))))</f>
        <v/>
      </c>
      <c r="M1751" s="112" t="str">
        <f t="shared" si="30"/>
        <v/>
      </c>
      <c r="N1751" s="113"/>
    </row>
    <row r="1752" spans="2:14">
      <c r="B1752" s="105"/>
      <c r="C1752" s="106"/>
      <c r="D1752" s="107"/>
      <c r="E1752" s="65"/>
      <c r="F1752" s="64"/>
      <c r="G1752" s="64"/>
      <c r="H1752" s="64"/>
      <c r="I1752" s="70"/>
      <c r="J1752" s="70"/>
      <c r="K1752" s="110" t="str">
        <f>IF(H1752="","",IF($C$29="간이법","",FPR(H1752,I1752,J1752)))</f>
        <v/>
      </c>
      <c r="L1752" s="111" t="str">
        <f>IF(H1752="","",IF($C$29="상세법",FPV(H1752,K1752),IF(H1752="EI",4,IF(H1752="EO",5.2,IF(H1752="EQ",3.9,IF(H1752="ILF",7.5,IF(H1752="EIF",5.4)))))))</f>
        <v/>
      </c>
      <c r="M1752" s="112" t="str">
        <f t="shared" si="30"/>
        <v/>
      </c>
      <c r="N1752" s="113"/>
    </row>
    <row r="1753" spans="2:14">
      <c r="B1753" s="105"/>
      <c r="C1753" s="106"/>
      <c r="D1753" s="107"/>
      <c r="E1753" s="65"/>
      <c r="F1753" s="64"/>
      <c r="G1753" s="64"/>
      <c r="H1753" s="64"/>
      <c r="I1753" s="70"/>
      <c r="J1753" s="70"/>
      <c r="K1753" s="110" t="str">
        <f>IF(H1753="","",IF($C$29="간이법","",FPR(H1753,I1753,J1753)))</f>
        <v/>
      </c>
      <c r="L1753" s="111" t="str">
        <f>IF(H1753="","",IF($C$29="상세법",FPV(H1753,K1753),IF(H1753="EI",4,IF(H1753="EO",5.2,IF(H1753="EQ",3.9,IF(H1753="ILF",7.5,IF(H1753="EIF",5.4)))))))</f>
        <v/>
      </c>
      <c r="M1753" s="112" t="str">
        <f t="shared" si="30"/>
        <v/>
      </c>
      <c r="N1753" s="113"/>
    </row>
    <row r="1754" spans="2:14">
      <c r="B1754" s="105"/>
      <c r="C1754" s="106"/>
      <c r="D1754" s="107"/>
      <c r="E1754" s="65"/>
      <c r="F1754" s="64"/>
      <c r="G1754" s="64"/>
      <c r="H1754" s="64"/>
      <c r="I1754" s="70"/>
      <c r="J1754" s="70"/>
      <c r="K1754" s="110" t="str">
        <f>IF(H1754="","",IF($C$29="간이법","",FPR(H1754,I1754,J1754)))</f>
        <v/>
      </c>
      <c r="L1754" s="111" t="str">
        <f>IF(H1754="","",IF($C$29="상세법",FPV(H1754,K1754),IF(H1754="EI",4,IF(H1754="EO",5.2,IF(H1754="EQ",3.9,IF(H1754="ILF",7.5,IF(H1754="EIF",5.4)))))))</f>
        <v/>
      </c>
      <c r="M1754" s="112" t="str">
        <f t="shared" si="30"/>
        <v/>
      </c>
      <c r="N1754" s="113"/>
    </row>
    <row r="1755" spans="2:14">
      <c r="B1755" s="105"/>
      <c r="C1755" s="106"/>
      <c r="D1755" s="107"/>
      <c r="E1755" s="65"/>
      <c r="F1755" s="64"/>
      <c r="G1755" s="64"/>
      <c r="H1755" s="64"/>
      <c r="I1755" s="70"/>
      <c r="J1755" s="70"/>
      <c r="K1755" s="110" t="str">
        <f>IF(H1755="","",IF($C$29="간이법","",FPR(H1755,I1755,J1755)))</f>
        <v/>
      </c>
      <c r="L1755" s="111" t="str">
        <f>IF(H1755="","",IF($C$29="상세법",FPV(H1755,K1755),IF(H1755="EI",4,IF(H1755="EO",5.2,IF(H1755="EQ",3.9,IF(H1755="ILF",7.5,IF(H1755="EIF",5.4)))))))</f>
        <v/>
      </c>
      <c r="M1755" s="112" t="str">
        <f t="shared" si="30"/>
        <v/>
      </c>
      <c r="N1755" s="113"/>
    </row>
    <row r="1756" spans="2:14">
      <c r="B1756" s="105"/>
      <c r="C1756" s="106"/>
      <c r="D1756" s="107"/>
      <c r="E1756" s="65"/>
      <c r="F1756" s="64"/>
      <c r="G1756" s="64"/>
      <c r="H1756" s="64"/>
      <c r="I1756" s="70"/>
      <c r="J1756" s="70"/>
      <c r="K1756" s="110" t="str">
        <f>IF(H1756="","",IF($C$29="간이법","",FPR(H1756,I1756,J1756)))</f>
        <v/>
      </c>
      <c r="L1756" s="111" t="str">
        <f>IF(H1756="","",IF($C$29="상세법",FPV(H1756,K1756),IF(H1756="EI",4,IF(H1756="EO",5.2,IF(H1756="EQ",3.9,IF(H1756="ILF",7.5,IF(H1756="EIF",5.4)))))))</f>
        <v/>
      </c>
      <c r="M1756" s="112" t="str">
        <f t="shared" si="30"/>
        <v/>
      </c>
      <c r="N1756" s="113"/>
    </row>
    <row r="1757" spans="2:14">
      <c r="B1757" s="105"/>
      <c r="C1757" s="106"/>
      <c r="D1757" s="107"/>
      <c r="E1757" s="65"/>
      <c r="F1757" s="64"/>
      <c r="G1757" s="64"/>
      <c r="H1757" s="64"/>
      <c r="I1757" s="70"/>
      <c r="J1757" s="70"/>
      <c r="K1757" s="110" t="str">
        <f>IF(H1757="","",IF($C$29="간이법","",FPR(H1757,I1757,J1757)))</f>
        <v/>
      </c>
      <c r="L1757" s="111" t="str">
        <f>IF(H1757="","",IF($C$29="상세법",FPV(H1757,K1757),IF(H1757="EI",4,IF(H1757="EO",5.2,IF(H1757="EQ",3.9,IF(H1757="ILF",7.5,IF(H1757="EIF",5.4)))))))</f>
        <v/>
      </c>
      <c r="M1757" s="112" t="str">
        <f t="shared" si="30"/>
        <v/>
      </c>
      <c r="N1757" s="113"/>
    </row>
    <row r="1758" spans="2:14">
      <c r="B1758" s="105"/>
      <c r="C1758" s="106"/>
      <c r="D1758" s="107"/>
      <c r="E1758" s="65"/>
      <c r="F1758" s="64"/>
      <c r="G1758" s="64"/>
      <c r="H1758" s="64"/>
      <c r="I1758" s="70"/>
      <c r="J1758" s="70"/>
      <c r="K1758" s="110" t="str">
        <f>IF(H1758="","",IF($C$29="간이법","",FPR(H1758,I1758,J1758)))</f>
        <v/>
      </c>
      <c r="L1758" s="111" t="str">
        <f>IF(H1758="","",IF($C$29="상세법",FPV(H1758,K1758),IF(H1758="EI",4,IF(H1758="EO",5.2,IF(H1758="EQ",3.9,IF(H1758="ILF",7.5,IF(H1758="EIF",5.4)))))))</f>
        <v/>
      </c>
      <c r="M1758" s="112" t="str">
        <f t="shared" si="30"/>
        <v/>
      </c>
      <c r="N1758" s="113"/>
    </row>
    <row r="1759" spans="2:14">
      <c r="B1759" s="105"/>
      <c r="C1759" s="106"/>
      <c r="D1759" s="107"/>
      <c r="E1759" s="65"/>
      <c r="F1759" s="64"/>
      <c r="G1759" s="64"/>
      <c r="H1759" s="64"/>
      <c r="I1759" s="70"/>
      <c r="J1759" s="70"/>
      <c r="K1759" s="110" t="str">
        <f>IF(H1759="","",IF($C$29="간이법","",FPR(H1759,I1759,J1759)))</f>
        <v/>
      </c>
      <c r="L1759" s="111" t="str">
        <f>IF(H1759="","",IF($C$29="상세법",FPV(H1759,K1759),IF(H1759="EI",4,IF(H1759="EO",5.2,IF(H1759="EQ",3.9,IF(H1759="ILF",7.5,IF(H1759="EIF",5.4)))))))</f>
        <v/>
      </c>
      <c r="M1759" s="112" t="str">
        <f t="shared" si="30"/>
        <v/>
      </c>
      <c r="N1759" s="113"/>
    </row>
    <row r="1760" spans="2:14">
      <c r="B1760" s="105"/>
      <c r="C1760" s="106"/>
      <c r="D1760" s="107"/>
      <c r="E1760" s="65"/>
      <c r="F1760" s="64"/>
      <c r="G1760" s="64"/>
      <c r="H1760" s="64"/>
      <c r="I1760" s="70"/>
      <c r="J1760" s="70"/>
      <c r="K1760" s="110" t="str">
        <f>IF(H1760="","",IF($C$29="간이법","",FPR(H1760,I1760,J1760)))</f>
        <v/>
      </c>
      <c r="L1760" s="111" t="str">
        <f>IF(H1760="","",IF($C$29="상세법",FPV(H1760,K1760),IF(H1760="EI",4,IF(H1760="EO",5.2,IF(H1760="EQ",3.9,IF(H1760="ILF",7.5,IF(H1760="EIF",5.4)))))))</f>
        <v/>
      </c>
      <c r="M1760" s="112" t="str">
        <f t="shared" si="30"/>
        <v/>
      </c>
      <c r="N1760" s="113"/>
    </row>
    <row r="1761" spans="2:14">
      <c r="B1761" s="105"/>
      <c r="C1761" s="106"/>
      <c r="D1761" s="107"/>
      <c r="E1761" s="65"/>
      <c r="F1761" s="64"/>
      <c r="G1761" s="64"/>
      <c r="H1761" s="64"/>
      <c r="I1761" s="70"/>
      <c r="J1761" s="70"/>
      <c r="K1761" s="110" t="str">
        <f>IF(H1761="","",IF($C$29="간이법","",FPR(H1761,I1761,J1761)))</f>
        <v/>
      </c>
      <c r="L1761" s="111" t="str">
        <f>IF(H1761="","",IF($C$29="상세법",FPV(H1761,K1761),IF(H1761="EI",4,IF(H1761="EO",5.2,IF(H1761="EQ",3.9,IF(H1761="ILF",7.5,IF(H1761="EIF",5.4)))))))</f>
        <v/>
      </c>
      <c r="M1761" s="112" t="str">
        <f t="shared" si="30"/>
        <v/>
      </c>
      <c r="N1761" s="113"/>
    </row>
    <row r="1762" spans="2:14">
      <c r="B1762" s="105"/>
      <c r="C1762" s="106"/>
      <c r="D1762" s="107"/>
      <c r="E1762" s="65"/>
      <c r="F1762" s="64"/>
      <c r="G1762" s="64"/>
      <c r="H1762" s="64"/>
      <c r="I1762" s="70"/>
      <c r="J1762" s="70"/>
      <c r="K1762" s="110" t="str">
        <f>IF(H1762="","",IF($C$29="간이법","",FPR(H1762,I1762,J1762)))</f>
        <v/>
      </c>
      <c r="L1762" s="111" t="str">
        <f>IF(H1762="","",IF($C$29="상세법",FPV(H1762,K1762),IF(H1762="EI",4,IF(H1762="EO",5.2,IF(H1762="EQ",3.9,IF(H1762="ILF",7.5,IF(H1762="EIF",5.4)))))))</f>
        <v/>
      </c>
      <c r="M1762" s="112" t="str">
        <f t="shared" si="30"/>
        <v/>
      </c>
      <c r="N1762" s="113"/>
    </row>
    <row r="1763" spans="2:14">
      <c r="B1763" s="105"/>
      <c r="C1763" s="106"/>
      <c r="D1763" s="107"/>
      <c r="E1763" s="65"/>
      <c r="F1763" s="64"/>
      <c r="G1763" s="64"/>
      <c r="H1763" s="64"/>
      <c r="I1763" s="70"/>
      <c r="J1763" s="70"/>
      <c r="K1763" s="110" t="str">
        <f>IF(H1763="","",IF($C$29="간이법","",FPR(H1763,I1763,J1763)))</f>
        <v/>
      </c>
      <c r="L1763" s="111" t="str">
        <f>IF(H1763="","",IF($C$29="상세법",FPV(H1763,K1763),IF(H1763="EI",4,IF(H1763="EO",5.2,IF(H1763="EQ",3.9,IF(H1763="ILF",7.5,IF(H1763="EIF",5.4)))))))</f>
        <v/>
      </c>
      <c r="M1763" s="112" t="str">
        <f t="shared" si="30"/>
        <v/>
      </c>
      <c r="N1763" s="113"/>
    </row>
    <row r="1764" spans="2:14">
      <c r="B1764" s="105"/>
      <c r="C1764" s="106"/>
      <c r="D1764" s="107"/>
      <c r="E1764" s="65"/>
      <c r="F1764" s="64"/>
      <c r="G1764" s="64"/>
      <c r="H1764" s="64"/>
      <c r="I1764" s="70"/>
      <c r="J1764" s="70"/>
      <c r="K1764" s="110" t="str">
        <f>IF(H1764="","",IF($C$29="간이법","",FPR(H1764,I1764,J1764)))</f>
        <v/>
      </c>
      <c r="L1764" s="111" t="str">
        <f>IF(H1764="","",IF($C$29="상세법",FPV(H1764,K1764),IF(H1764="EI",4,IF(H1764="EO",5.2,IF(H1764="EQ",3.9,IF(H1764="ILF",7.5,IF(H1764="EIF",5.4)))))))</f>
        <v/>
      </c>
      <c r="M1764" s="112" t="str">
        <f t="shared" si="30"/>
        <v/>
      </c>
      <c r="N1764" s="113"/>
    </row>
    <row r="1765" spans="2:14">
      <c r="B1765" s="105"/>
      <c r="C1765" s="106"/>
      <c r="D1765" s="107"/>
      <c r="E1765" s="65"/>
      <c r="F1765" s="64"/>
      <c r="G1765" s="64"/>
      <c r="H1765" s="64"/>
      <c r="I1765" s="70"/>
      <c r="J1765" s="70"/>
      <c r="K1765" s="110" t="str">
        <f>IF(H1765="","",IF($C$29="간이법","",FPR(H1765,I1765,J1765)))</f>
        <v/>
      </c>
      <c r="L1765" s="111" t="str">
        <f>IF(H1765="","",IF($C$29="상세법",FPV(H1765,K1765),IF(H1765="EI",4,IF(H1765="EO",5.2,IF(H1765="EQ",3.9,IF(H1765="ILF",7.5,IF(H1765="EIF",5.4)))))))</f>
        <v/>
      </c>
      <c r="M1765" s="112" t="str">
        <f t="shared" si="30"/>
        <v/>
      </c>
      <c r="N1765" s="113"/>
    </row>
    <row r="1766" spans="2:14">
      <c r="B1766" s="105"/>
      <c r="C1766" s="106"/>
      <c r="D1766" s="107"/>
      <c r="E1766" s="65"/>
      <c r="F1766" s="64"/>
      <c r="G1766" s="64"/>
      <c r="H1766" s="64"/>
      <c r="I1766" s="70"/>
      <c r="J1766" s="70"/>
      <c r="K1766" s="110" t="str">
        <f>IF(H1766="","",IF($C$29="간이법","",FPR(H1766,I1766,J1766)))</f>
        <v/>
      </c>
      <c r="L1766" s="111" t="str">
        <f>IF(H1766="","",IF($C$29="상세법",FPV(H1766,K1766),IF(H1766="EI",4,IF(H1766="EO",5.2,IF(H1766="EQ",3.9,IF(H1766="ILF",7.5,IF(H1766="EIF",5.4)))))))</f>
        <v/>
      </c>
      <c r="M1766" s="112" t="str">
        <f t="shared" si="30"/>
        <v/>
      </c>
      <c r="N1766" s="113"/>
    </row>
    <row r="1767" spans="2:14">
      <c r="B1767" s="105"/>
      <c r="C1767" s="106"/>
      <c r="D1767" s="107"/>
      <c r="E1767" s="65"/>
      <c r="F1767" s="64"/>
      <c r="G1767" s="64"/>
      <c r="H1767" s="64"/>
      <c r="I1767" s="70"/>
      <c r="J1767" s="70"/>
      <c r="K1767" s="110" t="str">
        <f>IF(H1767="","",IF($C$29="간이법","",FPR(H1767,I1767,J1767)))</f>
        <v/>
      </c>
      <c r="L1767" s="111" t="str">
        <f>IF(H1767="","",IF($C$29="상세법",FPV(H1767,K1767),IF(H1767="EI",4,IF(H1767="EO",5.2,IF(H1767="EQ",3.9,IF(H1767="ILF",7.5,IF(H1767="EIF",5.4)))))))</f>
        <v/>
      </c>
      <c r="M1767" s="112" t="str">
        <f t="shared" si="30"/>
        <v/>
      </c>
      <c r="N1767" s="113"/>
    </row>
    <row r="1768" spans="2:14">
      <c r="B1768" s="105"/>
      <c r="C1768" s="106"/>
      <c r="D1768" s="107"/>
      <c r="E1768" s="65"/>
      <c r="F1768" s="64"/>
      <c r="G1768" s="64"/>
      <c r="H1768" s="64"/>
      <c r="I1768" s="70"/>
      <c r="J1768" s="70"/>
      <c r="K1768" s="110" t="str">
        <f>IF(H1768="","",IF($C$29="간이법","",FPR(H1768,I1768,J1768)))</f>
        <v/>
      </c>
      <c r="L1768" s="111" t="str">
        <f>IF(H1768="","",IF($C$29="상세법",FPV(H1768,K1768),IF(H1768="EI",4,IF(H1768="EO",5.2,IF(H1768="EQ",3.9,IF(H1768="ILF",7.5,IF(H1768="EIF",5.4)))))))</f>
        <v/>
      </c>
      <c r="M1768" s="112" t="str">
        <f t="shared" si="30"/>
        <v/>
      </c>
      <c r="N1768" s="113"/>
    </row>
    <row r="1769" spans="2:14">
      <c r="B1769" s="105"/>
      <c r="C1769" s="106"/>
      <c r="D1769" s="107"/>
      <c r="E1769" s="65"/>
      <c r="F1769" s="64"/>
      <c r="G1769" s="64"/>
      <c r="H1769" s="64"/>
      <c r="I1769" s="70"/>
      <c r="J1769" s="70"/>
      <c r="K1769" s="110" t="str">
        <f>IF(H1769="","",IF($C$29="간이법","",FPR(H1769,I1769,J1769)))</f>
        <v/>
      </c>
      <c r="L1769" s="111" t="str">
        <f>IF(H1769="","",IF($C$29="상세법",FPV(H1769,K1769),IF(H1769="EI",4,IF(H1769="EO",5.2,IF(H1769="EQ",3.9,IF(H1769="ILF",7.5,IF(H1769="EIF",5.4)))))))</f>
        <v/>
      </c>
      <c r="M1769" s="112" t="str">
        <f t="shared" si="30"/>
        <v/>
      </c>
      <c r="N1769" s="113"/>
    </row>
    <row r="1770" spans="2:14">
      <c r="B1770" s="105"/>
      <c r="C1770" s="106"/>
      <c r="D1770" s="107"/>
      <c r="E1770" s="65"/>
      <c r="F1770" s="64"/>
      <c r="G1770" s="64"/>
      <c r="H1770" s="64"/>
      <c r="I1770" s="70"/>
      <c r="J1770" s="70"/>
      <c r="K1770" s="110" t="str">
        <f>IF(H1770="","",IF($C$29="간이법","",FPR(H1770,I1770,J1770)))</f>
        <v/>
      </c>
      <c r="L1770" s="111" t="str">
        <f>IF(H1770="","",IF($C$29="상세법",FPV(H1770,K1770),IF(H1770="EI",4,IF(H1770="EO",5.2,IF(H1770="EQ",3.9,IF(H1770="ILF",7.5,IF(H1770="EIF",5.4)))))))</f>
        <v/>
      </c>
      <c r="M1770" s="112" t="str">
        <f t="shared" si="30"/>
        <v/>
      </c>
      <c r="N1770" s="113"/>
    </row>
    <row r="1771" spans="2:14">
      <c r="B1771" s="105"/>
      <c r="C1771" s="106"/>
      <c r="D1771" s="107"/>
      <c r="E1771" s="65"/>
      <c r="F1771" s="64"/>
      <c r="G1771" s="64"/>
      <c r="H1771" s="64"/>
      <c r="I1771" s="70"/>
      <c r="J1771" s="70"/>
      <c r="K1771" s="110" t="str">
        <f>IF(H1771="","",IF($C$29="간이법","",FPR(H1771,I1771,J1771)))</f>
        <v/>
      </c>
      <c r="L1771" s="111" t="str">
        <f>IF(H1771="","",IF($C$29="상세법",FPV(H1771,K1771),IF(H1771="EI",4,IF(H1771="EO",5.2,IF(H1771="EQ",3.9,IF(H1771="ILF",7.5,IF(H1771="EIF",5.4)))))))</f>
        <v/>
      </c>
      <c r="M1771" s="112" t="str">
        <f t="shared" si="30"/>
        <v/>
      </c>
      <c r="N1771" s="113"/>
    </row>
    <row r="1772" spans="2:14">
      <c r="B1772" s="105"/>
      <c r="C1772" s="106"/>
      <c r="D1772" s="107"/>
      <c r="E1772" s="65"/>
      <c r="F1772" s="64"/>
      <c r="G1772" s="64"/>
      <c r="H1772" s="64"/>
      <c r="I1772" s="70"/>
      <c r="J1772" s="70"/>
      <c r="K1772" s="110" t="str">
        <f>IF(H1772="","",IF($C$29="간이법","",FPR(H1772,I1772,J1772)))</f>
        <v/>
      </c>
      <c r="L1772" s="111" t="str">
        <f>IF(H1772="","",IF($C$29="상세법",FPV(H1772,K1772),IF(H1772="EI",4,IF(H1772="EO",5.2,IF(H1772="EQ",3.9,IF(H1772="ILF",7.5,IF(H1772="EIF",5.4)))))))</f>
        <v/>
      </c>
      <c r="M1772" s="112" t="str">
        <f t="shared" si="30"/>
        <v/>
      </c>
      <c r="N1772" s="113"/>
    </row>
    <row r="1773" spans="2:14">
      <c r="B1773" s="105"/>
      <c r="C1773" s="106"/>
      <c r="D1773" s="107"/>
      <c r="E1773" s="65"/>
      <c r="F1773" s="64"/>
      <c r="G1773" s="64"/>
      <c r="H1773" s="64"/>
      <c r="I1773" s="70"/>
      <c r="J1773" s="70"/>
      <c r="K1773" s="110" t="str">
        <f>IF(H1773="","",IF($C$29="간이법","",FPR(H1773,I1773,J1773)))</f>
        <v/>
      </c>
      <c r="L1773" s="111" t="str">
        <f>IF(H1773="","",IF($C$29="상세법",FPV(H1773,K1773),IF(H1773="EI",4,IF(H1773="EO",5.2,IF(H1773="EQ",3.9,IF(H1773="ILF",7.5,IF(H1773="EIF",5.4)))))))</f>
        <v/>
      </c>
      <c r="M1773" s="112" t="str">
        <f t="shared" si="30"/>
        <v/>
      </c>
      <c r="N1773" s="113"/>
    </row>
    <row r="1774" spans="2:14">
      <c r="B1774" s="105"/>
      <c r="C1774" s="106"/>
      <c r="D1774" s="107"/>
      <c r="E1774" s="65"/>
      <c r="F1774" s="64"/>
      <c r="G1774" s="64"/>
      <c r="H1774" s="64"/>
      <c r="I1774" s="70"/>
      <c r="J1774" s="70"/>
      <c r="K1774" s="110" t="str">
        <f>IF(H1774="","",IF($C$29="간이법","",FPR(H1774,I1774,J1774)))</f>
        <v/>
      </c>
      <c r="L1774" s="111" t="str">
        <f>IF(H1774="","",IF($C$29="상세법",FPV(H1774,K1774),IF(H1774="EI",4,IF(H1774="EO",5.2,IF(H1774="EQ",3.9,IF(H1774="ILF",7.5,IF(H1774="EIF",5.4)))))))</f>
        <v/>
      </c>
      <c r="M1774" s="112" t="str">
        <f t="shared" si="30"/>
        <v/>
      </c>
      <c r="N1774" s="113"/>
    </row>
    <row r="1775" spans="2:14">
      <c r="B1775" s="105"/>
      <c r="C1775" s="106"/>
      <c r="D1775" s="107"/>
      <c r="E1775" s="65"/>
      <c r="F1775" s="64"/>
      <c r="G1775" s="64"/>
      <c r="H1775" s="64"/>
      <c r="I1775" s="70"/>
      <c r="J1775" s="70"/>
      <c r="K1775" s="110" t="str">
        <f>IF(H1775="","",IF($C$29="간이법","",FPR(H1775,I1775,J1775)))</f>
        <v/>
      </c>
      <c r="L1775" s="111" t="str">
        <f>IF(H1775="","",IF($C$29="상세법",FPV(H1775,K1775),IF(H1775="EI",4,IF(H1775="EO",5.2,IF(H1775="EQ",3.9,IF(H1775="ILF",7.5,IF(H1775="EIF",5.4)))))))</f>
        <v/>
      </c>
      <c r="M1775" s="112" t="str">
        <f t="shared" si="30"/>
        <v/>
      </c>
      <c r="N1775" s="113"/>
    </row>
    <row r="1776" spans="2:14">
      <c r="B1776" s="105"/>
      <c r="C1776" s="106"/>
      <c r="D1776" s="107"/>
      <c r="E1776" s="65"/>
      <c r="F1776" s="64"/>
      <c r="G1776" s="64"/>
      <c r="H1776" s="64"/>
      <c r="I1776" s="70"/>
      <c r="J1776" s="70"/>
      <c r="K1776" s="110" t="str">
        <f>IF(H1776="","",IF($C$29="간이법","",FPR(H1776,I1776,J1776)))</f>
        <v/>
      </c>
      <c r="L1776" s="111" t="str">
        <f>IF(H1776="","",IF($C$29="상세법",FPV(H1776,K1776),IF(H1776="EI",4,IF(H1776="EO",5.2,IF(H1776="EQ",3.9,IF(H1776="ILF",7.5,IF(H1776="EIF",5.4)))))))</f>
        <v/>
      </c>
      <c r="M1776" s="112" t="str">
        <f t="shared" si="30"/>
        <v/>
      </c>
      <c r="N1776" s="113"/>
    </row>
    <row r="1777" spans="2:14">
      <c r="B1777" s="105"/>
      <c r="C1777" s="106"/>
      <c r="D1777" s="107"/>
      <c r="E1777" s="65"/>
      <c r="F1777" s="64"/>
      <c r="G1777" s="64"/>
      <c r="H1777" s="64"/>
      <c r="I1777" s="70"/>
      <c r="J1777" s="70"/>
      <c r="K1777" s="110" t="str">
        <f>IF(H1777="","",IF($C$29="간이법","",FPR(H1777,I1777,J1777)))</f>
        <v/>
      </c>
      <c r="L1777" s="111" t="str">
        <f>IF(H1777="","",IF($C$29="상세법",FPV(H1777,K1777),IF(H1777="EI",4,IF(H1777="EO",5.2,IF(H1777="EQ",3.9,IF(H1777="ILF",7.5,IF(H1777="EIF",5.4)))))))</f>
        <v/>
      </c>
      <c r="M1777" s="112" t="str">
        <f t="shared" si="30"/>
        <v/>
      </c>
      <c r="N1777" s="113"/>
    </row>
    <row r="1778" spans="2:14">
      <c r="B1778" s="105"/>
      <c r="C1778" s="106"/>
      <c r="D1778" s="107"/>
      <c r="E1778" s="65"/>
      <c r="F1778" s="64"/>
      <c r="G1778" s="64"/>
      <c r="H1778" s="64"/>
      <c r="I1778" s="70"/>
      <c r="J1778" s="70"/>
      <c r="K1778" s="110" t="str">
        <f>IF(H1778="","",IF($C$29="간이법","",FPR(H1778,I1778,J1778)))</f>
        <v/>
      </c>
      <c r="L1778" s="111" t="str">
        <f>IF(H1778="","",IF($C$29="상세법",FPV(H1778,K1778),IF(H1778="EI",4,IF(H1778="EO",5.2,IF(H1778="EQ",3.9,IF(H1778="ILF",7.5,IF(H1778="EIF",5.4)))))))</f>
        <v/>
      </c>
      <c r="M1778" s="112" t="str">
        <f t="shared" si="30"/>
        <v/>
      </c>
      <c r="N1778" s="113"/>
    </row>
    <row r="1779" spans="2:14">
      <c r="B1779" s="105"/>
      <c r="C1779" s="106"/>
      <c r="D1779" s="107"/>
      <c r="E1779" s="65"/>
      <c r="F1779" s="64"/>
      <c r="G1779" s="64"/>
      <c r="H1779" s="64"/>
      <c r="I1779" s="70"/>
      <c r="J1779" s="70"/>
      <c r="K1779" s="110" t="str">
        <f>IF(H1779="","",IF($C$29="간이법","",FPR(H1779,I1779,J1779)))</f>
        <v/>
      </c>
      <c r="L1779" s="111" t="str">
        <f>IF(H1779="","",IF($C$29="상세법",FPV(H1779,K1779),IF(H1779="EI",4,IF(H1779="EO",5.2,IF(H1779="EQ",3.9,IF(H1779="ILF",7.5,IF(H1779="EIF",5.4)))))))</f>
        <v/>
      </c>
      <c r="M1779" s="112" t="str">
        <f t="shared" si="30"/>
        <v/>
      </c>
      <c r="N1779" s="113"/>
    </row>
    <row r="1780" spans="2:14">
      <c r="B1780" s="105"/>
      <c r="C1780" s="106"/>
      <c r="D1780" s="107"/>
      <c r="E1780" s="65"/>
      <c r="F1780" s="64"/>
      <c r="G1780" s="64"/>
      <c r="H1780" s="64"/>
      <c r="I1780" s="70"/>
      <c r="J1780" s="70"/>
      <c r="K1780" s="110" t="str">
        <f>IF(H1780="","",IF($C$29="간이법","",FPR(H1780,I1780,J1780)))</f>
        <v/>
      </c>
      <c r="L1780" s="111" t="str">
        <f>IF(H1780="","",IF($C$29="상세법",FPV(H1780,K1780),IF(H1780="EI",4,IF(H1780="EO",5.2,IF(H1780="EQ",3.9,IF(H1780="ILF",7.5,IF(H1780="EIF",5.4)))))))</f>
        <v/>
      </c>
      <c r="M1780" s="112" t="str">
        <f t="shared" si="30"/>
        <v/>
      </c>
      <c r="N1780" s="113"/>
    </row>
    <row r="1781" spans="2:14">
      <c r="B1781" s="105"/>
      <c r="C1781" s="106"/>
      <c r="D1781" s="107"/>
      <c r="E1781" s="65"/>
      <c r="F1781" s="64"/>
      <c r="G1781" s="64"/>
      <c r="H1781" s="64"/>
      <c r="I1781" s="70"/>
      <c r="J1781" s="70"/>
      <c r="K1781" s="110" t="str">
        <f>IF(H1781="","",IF($C$29="간이법","",FPR(H1781,I1781,J1781)))</f>
        <v/>
      </c>
      <c r="L1781" s="111" t="str">
        <f>IF(H1781="","",IF($C$29="상세법",FPV(H1781,K1781),IF(H1781="EI",4,IF(H1781="EO",5.2,IF(H1781="EQ",3.9,IF(H1781="ILF",7.5,IF(H1781="EIF",5.4)))))))</f>
        <v/>
      </c>
      <c r="M1781" s="112" t="str">
        <f t="shared" si="30"/>
        <v/>
      </c>
      <c r="N1781" s="113"/>
    </row>
    <row r="1782" spans="2:14">
      <c r="B1782" s="105"/>
      <c r="C1782" s="106"/>
      <c r="D1782" s="107"/>
      <c r="E1782" s="65"/>
      <c r="F1782" s="64"/>
      <c r="G1782" s="64"/>
      <c r="H1782" s="64"/>
      <c r="I1782" s="70"/>
      <c r="J1782" s="70"/>
      <c r="K1782" s="110" t="str">
        <f>IF(H1782="","",IF($C$29="간이법","",FPR(H1782,I1782,J1782)))</f>
        <v/>
      </c>
      <c r="L1782" s="111" t="str">
        <f>IF(H1782="","",IF($C$29="상세법",FPV(H1782,K1782),IF(H1782="EI",4,IF(H1782="EO",5.2,IF(H1782="EQ",3.9,IF(H1782="ILF",7.5,IF(H1782="EIF",5.4)))))))</f>
        <v/>
      </c>
      <c r="M1782" s="112" t="str">
        <f t="shared" si="30"/>
        <v/>
      </c>
      <c r="N1782" s="113"/>
    </row>
    <row r="1783" spans="2:14">
      <c r="B1783" s="105"/>
      <c r="C1783" s="106"/>
      <c r="D1783" s="107"/>
      <c r="E1783" s="65"/>
      <c r="F1783" s="64"/>
      <c r="G1783" s="64"/>
      <c r="H1783" s="64"/>
      <c r="I1783" s="70"/>
      <c r="J1783" s="70"/>
      <c r="K1783" s="110" t="str">
        <f>IF(H1783="","",IF($C$29="간이법","",FPR(H1783,I1783,J1783)))</f>
        <v/>
      </c>
      <c r="L1783" s="111" t="str">
        <f>IF(H1783="","",IF($C$29="상세법",FPV(H1783,K1783),IF(H1783="EI",4,IF(H1783="EO",5.2,IF(H1783="EQ",3.9,IF(H1783="ILF",7.5,IF(H1783="EIF",5.4)))))))</f>
        <v/>
      </c>
      <c r="M1783" s="112" t="str">
        <f t="shared" si="30"/>
        <v/>
      </c>
      <c r="N1783" s="113"/>
    </row>
    <row r="1784" spans="2:14">
      <c r="B1784" s="105"/>
      <c r="C1784" s="106"/>
      <c r="D1784" s="107"/>
      <c r="E1784" s="65"/>
      <c r="F1784" s="64"/>
      <c r="G1784" s="64"/>
      <c r="H1784" s="64"/>
      <c r="I1784" s="70"/>
      <c r="J1784" s="70"/>
      <c r="K1784" s="110" t="str">
        <f>IF(H1784="","",IF($C$29="간이법","",FPR(H1784,I1784,J1784)))</f>
        <v/>
      </c>
      <c r="L1784" s="111" t="str">
        <f>IF(H1784="","",IF($C$29="상세법",FPV(H1784,K1784),IF(H1784="EI",4,IF(H1784="EO",5.2,IF(H1784="EQ",3.9,IF(H1784="ILF",7.5,IF(H1784="EIF",5.4)))))))</f>
        <v/>
      </c>
      <c r="M1784" s="112" t="str">
        <f t="shared" si="30"/>
        <v/>
      </c>
      <c r="N1784" s="113"/>
    </row>
    <row r="1785" spans="2:14">
      <c r="B1785" s="105"/>
      <c r="C1785" s="106"/>
      <c r="D1785" s="107"/>
      <c r="E1785" s="65"/>
      <c r="F1785" s="64"/>
      <c r="G1785" s="64"/>
      <c r="H1785" s="64"/>
      <c r="I1785" s="70"/>
      <c r="J1785" s="70"/>
      <c r="K1785" s="110" t="str">
        <f>IF(H1785="","",IF($C$29="간이법","",FPR(H1785,I1785,J1785)))</f>
        <v/>
      </c>
      <c r="L1785" s="111" t="str">
        <f>IF(H1785="","",IF($C$29="상세법",FPV(H1785,K1785),IF(H1785="EI",4,IF(H1785="EO",5.2,IF(H1785="EQ",3.9,IF(H1785="ILF",7.5,IF(H1785="EIF",5.4)))))))</f>
        <v/>
      </c>
      <c r="M1785" s="112" t="str">
        <f t="shared" ref="M1785:M1848" si="31">IF(L1785="","",L1785*IF(G1785="상",0.7,IF(G1785="중",0.5,IF(G1785="하",0.2,1))))</f>
        <v/>
      </c>
      <c r="N1785" s="113"/>
    </row>
    <row r="1786" spans="2:14">
      <c r="B1786" s="105"/>
      <c r="C1786" s="106"/>
      <c r="D1786" s="107"/>
      <c r="E1786" s="65"/>
      <c r="F1786" s="64"/>
      <c r="G1786" s="64"/>
      <c r="H1786" s="64"/>
      <c r="I1786" s="70"/>
      <c r="J1786" s="70"/>
      <c r="K1786" s="110" t="str">
        <f>IF(H1786="","",IF($C$29="간이법","",FPR(H1786,I1786,J1786)))</f>
        <v/>
      </c>
      <c r="L1786" s="111" t="str">
        <f>IF(H1786="","",IF($C$29="상세법",FPV(H1786,K1786),IF(H1786="EI",4,IF(H1786="EO",5.2,IF(H1786="EQ",3.9,IF(H1786="ILF",7.5,IF(H1786="EIF",5.4)))))))</f>
        <v/>
      </c>
      <c r="M1786" s="112" t="str">
        <f t="shared" si="31"/>
        <v/>
      </c>
      <c r="N1786" s="113"/>
    </row>
    <row r="1787" spans="2:14">
      <c r="B1787" s="105"/>
      <c r="C1787" s="106"/>
      <c r="D1787" s="107"/>
      <c r="E1787" s="65"/>
      <c r="F1787" s="64"/>
      <c r="G1787" s="64"/>
      <c r="H1787" s="64"/>
      <c r="I1787" s="70"/>
      <c r="J1787" s="70"/>
      <c r="K1787" s="110" t="str">
        <f>IF(H1787="","",IF($C$29="간이법","",FPR(H1787,I1787,J1787)))</f>
        <v/>
      </c>
      <c r="L1787" s="111" t="str">
        <f>IF(H1787="","",IF($C$29="상세법",FPV(H1787,K1787),IF(H1787="EI",4,IF(H1787="EO",5.2,IF(H1787="EQ",3.9,IF(H1787="ILF",7.5,IF(H1787="EIF",5.4)))))))</f>
        <v/>
      </c>
      <c r="M1787" s="112" t="str">
        <f t="shared" si="31"/>
        <v/>
      </c>
      <c r="N1787" s="113"/>
    </row>
    <row r="1788" spans="2:14">
      <c r="B1788" s="105"/>
      <c r="C1788" s="106"/>
      <c r="D1788" s="107"/>
      <c r="E1788" s="65"/>
      <c r="F1788" s="64"/>
      <c r="G1788" s="64"/>
      <c r="H1788" s="64"/>
      <c r="I1788" s="70"/>
      <c r="J1788" s="70"/>
      <c r="K1788" s="110" t="str">
        <f>IF(H1788="","",IF($C$29="간이법","",FPR(H1788,I1788,J1788)))</f>
        <v/>
      </c>
      <c r="L1788" s="111" t="str">
        <f>IF(H1788="","",IF($C$29="상세법",FPV(H1788,K1788),IF(H1788="EI",4,IF(H1788="EO",5.2,IF(H1788="EQ",3.9,IF(H1788="ILF",7.5,IF(H1788="EIF",5.4)))))))</f>
        <v/>
      </c>
      <c r="M1788" s="112" t="str">
        <f t="shared" si="31"/>
        <v/>
      </c>
      <c r="N1788" s="113"/>
    </row>
    <row r="1789" spans="2:14">
      <c r="B1789" s="105"/>
      <c r="C1789" s="106"/>
      <c r="D1789" s="107"/>
      <c r="E1789" s="65"/>
      <c r="F1789" s="64"/>
      <c r="G1789" s="64"/>
      <c r="H1789" s="64"/>
      <c r="I1789" s="70"/>
      <c r="J1789" s="70"/>
      <c r="K1789" s="110" t="str">
        <f>IF(H1789="","",IF($C$29="간이법","",FPR(H1789,I1789,J1789)))</f>
        <v/>
      </c>
      <c r="L1789" s="111" t="str">
        <f>IF(H1789="","",IF($C$29="상세법",FPV(H1789,K1789),IF(H1789="EI",4,IF(H1789="EO",5.2,IF(H1789="EQ",3.9,IF(H1789="ILF",7.5,IF(H1789="EIF",5.4)))))))</f>
        <v/>
      </c>
      <c r="M1789" s="112" t="str">
        <f t="shared" si="31"/>
        <v/>
      </c>
      <c r="N1789" s="113"/>
    </row>
    <row r="1790" spans="2:14">
      <c r="B1790" s="105"/>
      <c r="C1790" s="106"/>
      <c r="D1790" s="107"/>
      <c r="E1790" s="65"/>
      <c r="F1790" s="64"/>
      <c r="G1790" s="64"/>
      <c r="H1790" s="64"/>
      <c r="I1790" s="70"/>
      <c r="J1790" s="70"/>
      <c r="K1790" s="110" t="str">
        <f>IF(H1790="","",IF($C$29="간이법","",FPR(H1790,I1790,J1790)))</f>
        <v/>
      </c>
      <c r="L1790" s="111" t="str">
        <f>IF(H1790="","",IF($C$29="상세법",FPV(H1790,K1790),IF(H1790="EI",4,IF(H1790="EO",5.2,IF(H1790="EQ",3.9,IF(H1790="ILF",7.5,IF(H1790="EIF",5.4)))))))</f>
        <v/>
      </c>
      <c r="M1790" s="112" t="str">
        <f t="shared" si="31"/>
        <v/>
      </c>
      <c r="N1790" s="113"/>
    </row>
    <row r="1791" spans="2:14">
      <c r="B1791" s="105"/>
      <c r="C1791" s="106"/>
      <c r="D1791" s="107"/>
      <c r="E1791" s="65"/>
      <c r="F1791" s="64"/>
      <c r="G1791" s="64"/>
      <c r="H1791" s="64"/>
      <c r="I1791" s="70"/>
      <c r="J1791" s="70"/>
      <c r="K1791" s="110" t="str">
        <f>IF(H1791="","",IF($C$29="간이법","",FPR(H1791,I1791,J1791)))</f>
        <v/>
      </c>
      <c r="L1791" s="111" t="str">
        <f>IF(H1791="","",IF($C$29="상세법",FPV(H1791,K1791),IF(H1791="EI",4,IF(H1791="EO",5.2,IF(H1791="EQ",3.9,IF(H1791="ILF",7.5,IF(H1791="EIF",5.4)))))))</f>
        <v/>
      </c>
      <c r="M1791" s="112" t="str">
        <f t="shared" si="31"/>
        <v/>
      </c>
      <c r="N1791" s="113"/>
    </row>
    <row r="1792" spans="2:14">
      <c r="B1792" s="105"/>
      <c r="C1792" s="106"/>
      <c r="D1792" s="107"/>
      <c r="E1792" s="65"/>
      <c r="F1792" s="64"/>
      <c r="G1792" s="64"/>
      <c r="H1792" s="64"/>
      <c r="I1792" s="70"/>
      <c r="J1792" s="70"/>
      <c r="K1792" s="110" t="str">
        <f>IF(H1792="","",IF($C$29="간이법","",FPR(H1792,I1792,J1792)))</f>
        <v/>
      </c>
      <c r="L1792" s="111" t="str">
        <f>IF(H1792="","",IF($C$29="상세법",FPV(H1792,K1792),IF(H1792="EI",4,IF(H1792="EO",5.2,IF(H1792="EQ",3.9,IF(H1792="ILF",7.5,IF(H1792="EIF",5.4)))))))</f>
        <v/>
      </c>
      <c r="M1792" s="112" t="str">
        <f t="shared" si="31"/>
        <v/>
      </c>
      <c r="N1792" s="113"/>
    </row>
    <row r="1793" spans="2:14">
      <c r="B1793" s="105"/>
      <c r="C1793" s="106"/>
      <c r="D1793" s="107"/>
      <c r="E1793" s="65"/>
      <c r="F1793" s="64"/>
      <c r="G1793" s="64"/>
      <c r="H1793" s="64"/>
      <c r="I1793" s="70"/>
      <c r="J1793" s="70"/>
      <c r="K1793" s="110" t="str">
        <f>IF(H1793="","",IF($C$29="간이법","",FPR(H1793,I1793,J1793)))</f>
        <v/>
      </c>
      <c r="L1793" s="111" t="str">
        <f>IF(H1793="","",IF($C$29="상세법",FPV(H1793,K1793),IF(H1793="EI",4,IF(H1793="EO",5.2,IF(H1793="EQ",3.9,IF(H1793="ILF",7.5,IF(H1793="EIF",5.4)))))))</f>
        <v/>
      </c>
      <c r="M1793" s="112" t="str">
        <f t="shared" si="31"/>
        <v/>
      </c>
      <c r="N1793" s="113"/>
    </row>
    <row r="1794" spans="2:14">
      <c r="B1794" s="105"/>
      <c r="C1794" s="106"/>
      <c r="D1794" s="107"/>
      <c r="E1794" s="65"/>
      <c r="F1794" s="64"/>
      <c r="G1794" s="64"/>
      <c r="H1794" s="64"/>
      <c r="I1794" s="70"/>
      <c r="J1794" s="70"/>
      <c r="K1794" s="110" t="str">
        <f>IF(H1794="","",IF($C$29="간이법","",FPR(H1794,I1794,J1794)))</f>
        <v/>
      </c>
      <c r="L1794" s="111" t="str">
        <f>IF(H1794="","",IF($C$29="상세법",FPV(H1794,K1794),IF(H1794="EI",4,IF(H1794="EO",5.2,IF(H1794="EQ",3.9,IF(H1794="ILF",7.5,IF(H1794="EIF",5.4)))))))</f>
        <v/>
      </c>
      <c r="M1794" s="112" t="str">
        <f t="shared" si="31"/>
        <v/>
      </c>
      <c r="N1794" s="113"/>
    </row>
    <row r="1795" spans="2:14">
      <c r="B1795" s="105"/>
      <c r="C1795" s="106"/>
      <c r="D1795" s="107"/>
      <c r="E1795" s="65"/>
      <c r="F1795" s="64"/>
      <c r="G1795" s="64"/>
      <c r="H1795" s="64"/>
      <c r="I1795" s="70"/>
      <c r="J1795" s="70"/>
      <c r="K1795" s="110" t="str">
        <f>IF(H1795="","",IF($C$29="간이법","",FPR(H1795,I1795,J1795)))</f>
        <v/>
      </c>
      <c r="L1795" s="111" t="str">
        <f>IF(H1795="","",IF($C$29="상세법",FPV(H1795,K1795),IF(H1795="EI",4,IF(H1795="EO",5.2,IF(H1795="EQ",3.9,IF(H1795="ILF",7.5,IF(H1795="EIF",5.4)))))))</f>
        <v/>
      </c>
      <c r="M1795" s="112" t="str">
        <f t="shared" si="31"/>
        <v/>
      </c>
      <c r="N1795" s="113"/>
    </row>
    <row r="1796" spans="2:14">
      <c r="B1796" s="105"/>
      <c r="C1796" s="106"/>
      <c r="D1796" s="107"/>
      <c r="E1796" s="65"/>
      <c r="F1796" s="64"/>
      <c r="G1796" s="64"/>
      <c r="H1796" s="64"/>
      <c r="I1796" s="70"/>
      <c r="J1796" s="70"/>
      <c r="K1796" s="110" t="str">
        <f>IF(H1796="","",IF($C$29="간이법","",FPR(H1796,I1796,J1796)))</f>
        <v/>
      </c>
      <c r="L1796" s="111" t="str">
        <f>IF(H1796="","",IF($C$29="상세법",FPV(H1796,K1796),IF(H1796="EI",4,IF(H1796="EO",5.2,IF(H1796="EQ",3.9,IF(H1796="ILF",7.5,IF(H1796="EIF",5.4)))))))</f>
        <v/>
      </c>
      <c r="M1796" s="112" t="str">
        <f t="shared" si="31"/>
        <v/>
      </c>
      <c r="N1796" s="113"/>
    </row>
    <row r="1797" spans="2:14">
      <c r="B1797" s="105"/>
      <c r="C1797" s="106"/>
      <c r="D1797" s="107"/>
      <c r="E1797" s="65"/>
      <c r="F1797" s="64"/>
      <c r="G1797" s="64"/>
      <c r="H1797" s="64"/>
      <c r="I1797" s="70"/>
      <c r="J1797" s="70"/>
      <c r="K1797" s="110" t="str">
        <f>IF(H1797="","",IF($C$29="간이법","",FPR(H1797,I1797,J1797)))</f>
        <v/>
      </c>
      <c r="L1797" s="111" t="str">
        <f>IF(H1797="","",IF($C$29="상세법",FPV(H1797,K1797),IF(H1797="EI",4,IF(H1797="EO",5.2,IF(H1797="EQ",3.9,IF(H1797="ILF",7.5,IF(H1797="EIF",5.4)))))))</f>
        <v/>
      </c>
      <c r="M1797" s="112" t="str">
        <f t="shared" si="31"/>
        <v/>
      </c>
      <c r="N1797" s="113"/>
    </row>
    <row r="1798" spans="2:14">
      <c r="B1798" s="105"/>
      <c r="C1798" s="106"/>
      <c r="D1798" s="107"/>
      <c r="E1798" s="65"/>
      <c r="F1798" s="64"/>
      <c r="G1798" s="64"/>
      <c r="H1798" s="64"/>
      <c r="I1798" s="70"/>
      <c r="J1798" s="70"/>
      <c r="K1798" s="110" t="str">
        <f>IF(H1798="","",IF($C$29="간이법","",FPR(H1798,I1798,J1798)))</f>
        <v/>
      </c>
      <c r="L1798" s="111" t="str">
        <f>IF(H1798="","",IF($C$29="상세법",FPV(H1798,K1798),IF(H1798="EI",4,IF(H1798="EO",5.2,IF(H1798="EQ",3.9,IF(H1798="ILF",7.5,IF(H1798="EIF",5.4)))))))</f>
        <v/>
      </c>
      <c r="M1798" s="112" t="str">
        <f t="shared" si="31"/>
        <v/>
      </c>
      <c r="N1798" s="113"/>
    </row>
    <row r="1799" spans="2:14">
      <c r="B1799" s="105"/>
      <c r="C1799" s="106"/>
      <c r="D1799" s="107"/>
      <c r="E1799" s="65"/>
      <c r="F1799" s="64"/>
      <c r="G1799" s="64"/>
      <c r="H1799" s="64"/>
      <c r="I1799" s="70"/>
      <c r="J1799" s="70"/>
      <c r="K1799" s="110" t="str">
        <f>IF(H1799="","",IF($C$29="간이법","",FPR(H1799,I1799,J1799)))</f>
        <v/>
      </c>
      <c r="L1799" s="111" t="str">
        <f>IF(H1799="","",IF($C$29="상세법",FPV(H1799,K1799),IF(H1799="EI",4,IF(H1799="EO",5.2,IF(H1799="EQ",3.9,IF(H1799="ILF",7.5,IF(H1799="EIF",5.4)))))))</f>
        <v/>
      </c>
      <c r="M1799" s="112" t="str">
        <f t="shared" si="31"/>
        <v/>
      </c>
      <c r="N1799" s="113"/>
    </row>
    <row r="1800" spans="2:14">
      <c r="B1800" s="105"/>
      <c r="C1800" s="106"/>
      <c r="D1800" s="107"/>
      <c r="E1800" s="65"/>
      <c r="F1800" s="64"/>
      <c r="G1800" s="64"/>
      <c r="H1800" s="64"/>
      <c r="I1800" s="70"/>
      <c r="J1800" s="70"/>
      <c r="K1800" s="110" t="str">
        <f>IF(H1800="","",IF($C$29="간이법","",FPR(H1800,I1800,J1800)))</f>
        <v/>
      </c>
      <c r="L1800" s="111" t="str">
        <f>IF(H1800="","",IF($C$29="상세법",FPV(H1800,K1800),IF(H1800="EI",4,IF(H1800="EO",5.2,IF(H1800="EQ",3.9,IF(H1800="ILF",7.5,IF(H1800="EIF",5.4)))))))</f>
        <v/>
      </c>
      <c r="M1800" s="112" t="str">
        <f t="shared" si="31"/>
        <v/>
      </c>
      <c r="N1800" s="113"/>
    </row>
    <row r="1801" spans="2:14">
      <c r="B1801" s="105"/>
      <c r="C1801" s="106"/>
      <c r="D1801" s="107"/>
      <c r="E1801" s="65"/>
      <c r="F1801" s="64"/>
      <c r="G1801" s="64"/>
      <c r="H1801" s="64"/>
      <c r="I1801" s="70"/>
      <c r="J1801" s="70"/>
      <c r="K1801" s="110" t="str">
        <f>IF(H1801="","",IF($C$29="간이법","",FPR(H1801,I1801,J1801)))</f>
        <v/>
      </c>
      <c r="L1801" s="111" t="str">
        <f>IF(H1801="","",IF($C$29="상세법",FPV(H1801,K1801),IF(H1801="EI",4,IF(H1801="EO",5.2,IF(H1801="EQ",3.9,IF(H1801="ILF",7.5,IF(H1801="EIF",5.4)))))))</f>
        <v/>
      </c>
      <c r="M1801" s="112" t="str">
        <f t="shared" si="31"/>
        <v/>
      </c>
      <c r="N1801" s="113"/>
    </row>
    <row r="1802" spans="2:14">
      <c r="B1802" s="105"/>
      <c r="C1802" s="106"/>
      <c r="D1802" s="107"/>
      <c r="E1802" s="65"/>
      <c r="F1802" s="64"/>
      <c r="G1802" s="64"/>
      <c r="H1802" s="64"/>
      <c r="I1802" s="70"/>
      <c r="J1802" s="70"/>
      <c r="K1802" s="110" t="str">
        <f>IF(H1802="","",IF($C$29="간이법","",FPR(H1802,I1802,J1802)))</f>
        <v/>
      </c>
      <c r="L1802" s="111" t="str">
        <f>IF(H1802="","",IF($C$29="상세법",FPV(H1802,K1802),IF(H1802="EI",4,IF(H1802="EO",5.2,IF(H1802="EQ",3.9,IF(H1802="ILF",7.5,IF(H1802="EIF",5.4)))))))</f>
        <v/>
      </c>
      <c r="M1802" s="112" t="str">
        <f t="shared" si="31"/>
        <v/>
      </c>
      <c r="N1802" s="113"/>
    </row>
    <row r="1803" spans="2:14">
      <c r="B1803" s="105"/>
      <c r="C1803" s="106"/>
      <c r="D1803" s="107"/>
      <c r="E1803" s="65"/>
      <c r="F1803" s="64"/>
      <c r="G1803" s="64"/>
      <c r="H1803" s="64"/>
      <c r="I1803" s="70"/>
      <c r="J1803" s="70"/>
      <c r="K1803" s="110" t="str">
        <f>IF(H1803="","",IF($C$29="간이법","",FPR(H1803,I1803,J1803)))</f>
        <v/>
      </c>
      <c r="L1803" s="111" t="str">
        <f>IF(H1803="","",IF($C$29="상세법",FPV(H1803,K1803),IF(H1803="EI",4,IF(H1803="EO",5.2,IF(H1803="EQ",3.9,IF(H1803="ILF",7.5,IF(H1803="EIF",5.4)))))))</f>
        <v/>
      </c>
      <c r="M1803" s="112" t="str">
        <f t="shared" si="31"/>
        <v/>
      </c>
      <c r="N1803" s="113"/>
    </row>
    <row r="1804" spans="2:14">
      <c r="B1804" s="105"/>
      <c r="C1804" s="106"/>
      <c r="D1804" s="107"/>
      <c r="E1804" s="65"/>
      <c r="F1804" s="64"/>
      <c r="G1804" s="64"/>
      <c r="H1804" s="64"/>
      <c r="I1804" s="70"/>
      <c r="J1804" s="70"/>
      <c r="K1804" s="110" t="str">
        <f>IF(H1804="","",IF($C$29="간이법","",FPR(H1804,I1804,J1804)))</f>
        <v/>
      </c>
      <c r="L1804" s="111" t="str">
        <f>IF(H1804="","",IF($C$29="상세법",FPV(H1804,K1804),IF(H1804="EI",4,IF(H1804="EO",5.2,IF(H1804="EQ",3.9,IF(H1804="ILF",7.5,IF(H1804="EIF",5.4)))))))</f>
        <v/>
      </c>
      <c r="M1804" s="112" t="str">
        <f t="shared" si="31"/>
        <v/>
      </c>
      <c r="N1804" s="113"/>
    </row>
    <row r="1805" spans="2:14">
      <c r="B1805" s="105"/>
      <c r="C1805" s="106"/>
      <c r="D1805" s="107"/>
      <c r="E1805" s="65"/>
      <c r="F1805" s="64"/>
      <c r="G1805" s="64"/>
      <c r="H1805" s="64"/>
      <c r="I1805" s="70"/>
      <c r="J1805" s="70"/>
      <c r="K1805" s="110" t="str">
        <f>IF(H1805="","",IF($C$29="간이법","",FPR(H1805,I1805,J1805)))</f>
        <v/>
      </c>
      <c r="L1805" s="111" t="str">
        <f>IF(H1805="","",IF($C$29="상세법",FPV(H1805,K1805),IF(H1805="EI",4,IF(H1805="EO",5.2,IF(H1805="EQ",3.9,IF(H1805="ILF",7.5,IF(H1805="EIF",5.4)))))))</f>
        <v/>
      </c>
      <c r="M1805" s="112" t="str">
        <f t="shared" si="31"/>
        <v/>
      </c>
      <c r="N1805" s="113"/>
    </row>
    <row r="1806" spans="2:14">
      <c r="B1806" s="105"/>
      <c r="C1806" s="106"/>
      <c r="D1806" s="107"/>
      <c r="E1806" s="65"/>
      <c r="F1806" s="64"/>
      <c r="G1806" s="64"/>
      <c r="H1806" s="64"/>
      <c r="I1806" s="70"/>
      <c r="J1806" s="70"/>
      <c r="K1806" s="110" t="str">
        <f>IF(H1806="","",IF($C$29="간이법","",FPR(H1806,I1806,J1806)))</f>
        <v/>
      </c>
      <c r="L1806" s="111" t="str">
        <f>IF(H1806="","",IF($C$29="상세법",FPV(H1806,K1806),IF(H1806="EI",4,IF(H1806="EO",5.2,IF(H1806="EQ",3.9,IF(H1806="ILF",7.5,IF(H1806="EIF",5.4)))))))</f>
        <v/>
      </c>
      <c r="M1806" s="112" t="str">
        <f t="shared" si="31"/>
        <v/>
      </c>
      <c r="N1806" s="113"/>
    </row>
    <row r="1807" spans="2:14">
      <c r="B1807" s="105"/>
      <c r="C1807" s="106"/>
      <c r="D1807" s="107"/>
      <c r="E1807" s="65"/>
      <c r="F1807" s="64"/>
      <c r="G1807" s="64"/>
      <c r="H1807" s="64"/>
      <c r="I1807" s="70"/>
      <c r="J1807" s="70"/>
      <c r="K1807" s="110" t="str">
        <f>IF(H1807="","",IF($C$29="간이법","",FPR(H1807,I1807,J1807)))</f>
        <v/>
      </c>
      <c r="L1807" s="111" t="str">
        <f>IF(H1807="","",IF($C$29="상세법",FPV(H1807,K1807),IF(H1807="EI",4,IF(H1807="EO",5.2,IF(H1807="EQ",3.9,IF(H1807="ILF",7.5,IF(H1807="EIF",5.4)))))))</f>
        <v/>
      </c>
      <c r="M1807" s="112" t="str">
        <f t="shared" si="31"/>
        <v/>
      </c>
      <c r="N1807" s="113"/>
    </row>
    <row r="1808" spans="2:14">
      <c r="B1808" s="105"/>
      <c r="C1808" s="106"/>
      <c r="D1808" s="107"/>
      <c r="E1808" s="65"/>
      <c r="F1808" s="64"/>
      <c r="G1808" s="64"/>
      <c r="H1808" s="64"/>
      <c r="I1808" s="70"/>
      <c r="J1808" s="70"/>
      <c r="K1808" s="110" t="str">
        <f>IF(H1808="","",IF($C$29="간이법","",FPR(H1808,I1808,J1808)))</f>
        <v/>
      </c>
      <c r="L1808" s="111" t="str">
        <f>IF(H1808="","",IF($C$29="상세법",FPV(H1808,K1808),IF(H1808="EI",4,IF(H1808="EO",5.2,IF(H1808="EQ",3.9,IF(H1808="ILF",7.5,IF(H1808="EIF",5.4)))))))</f>
        <v/>
      </c>
      <c r="M1808" s="112" t="str">
        <f t="shared" si="31"/>
        <v/>
      </c>
      <c r="N1808" s="113"/>
    </row>
    <row r="1809" spans="2:14">
      <c r="B1809" s="105"/>
      <c r="C1809" s="106"/>
      <c r="D1809" s="107"/>
      <c r="E1809" s="65"/>
      <c r="F1809" s="64"/>
      <c r="G1809" s="64"/>
      <c r="H1809" s="64"/>
      <c r="I1809" s="70"/>
      <c r="J1809" s="70"/>
      <c r="K1809" s="110" t="str">
        <f>IF(H1809="","",IF($C$29="간이법","",FPR(H1809,I1809,J1809)))</f>
        <v/>
      </c>
      <c r="L1809" s="111" t="str">
        <f>IF(H1809="","",IF($C$29="상세법",FPV(H1809,K1809),IF(H1809="EI",4,IF(H1809="EO",5.2,IF(H1809="EQ",3.9,IF(H1809="ILF",7.5,IF(H1809="EIF",5.4)))))))</f>
        <v/>
      </c>
      <c r="M1809" s="112" t="str">
        <f t="shared" si="31"/>
        <v/>
      </c>
      <c r="N1809" s="113"/>
    </row>
    <row r="1810" spans="2:14">
      <c r="B1810" s="105"/>
      <c r="C1810" s="106"/>
      <c r="D1810" s="107"/>
      <c r="E1810" s="65"/>
      <c r="F1810" s="64"/>
      <c r="G1810" s="64"/>
      <c r="H1810" s="64"/>
      <c r="I1810" s="70"/>
      <c r="J1810" s="70"/>
      <c r="K1810" s="110" t="str">
        <f>IF(H1810="","",IF($C$29="간이법","",FPR(H1810,I1810,J1810)))</f>
        <v/>
      </c>
      <c r="L1810" s="111" t="str">
        <f>IF(H1810="","",IF($C$29="상세법",FPV(H1810,K1810),IF(H1810="EI",4,IF(H1810="EO",5.2,IF(H1810="EQ",3.9,IF(H1810="ILF",7.5,IF(H1810="EIF",5.4)))))))</f>
        <v/>
      </c>
      <c r="M1810" s="112" t="str">
        <f t="shared" si="31"/>
        <v/>
      </c>
      <c r="N1810" s="113"/>
    </row>
    <row r="1811" spans="2:14">
      <c r="B1811" s="105"/>
      <c r="C1811" s="106"/>
      <c r="D1811" s="107"/>
      <c r="E1811" s="65"/>
      <c r="F1811" s="64"/>
      <c r="G1811" s="64"/>
      <c r="H1811" s="64"/>
      <c r="I1811" s="70"/>
      <c r="J1811" s="70"/>
      <c r="K1811" s="110" t="str">
        <f>IF(H1811="","",IF($C$29="간이법","",FPR(H1811,I1811,J1811)))</f>
        <v/>
      </c>
      <c r="L1811" s="111" t="str">
        <f>IF(H1811="","",IF($C$29="상세법",FPV(H1811,K1811),IF(H1811="EI",4,IF(H1811="EO",5.2,IF(H1811="EQ",3.9,IF(H1811="ILF",7.5,IF(H1811="EIF",5.4)))))))</f>
        <v/>
      </c>
      <c r="M1811" s="112" t="str">
        <f t="shared" si="31"/>
        <v/>
      </c>
      <c r="N1811" s="113"/>
    </row>
    <row r="1812" spans="2:14">
      <c r="B1812" s="105"/>
      <c r="C1812" s="106"/>
      <c r="D1812" s="107"/>
      <c r="E1812" s="65"/>
      <c r="F1812" s="64"/>
      <c r="G1812" s="64"/>
      <c r="H1812" s="64"/>
      <c r="I1812" s="70"/>
      <c r="J1812" s="70"/>
      <c r="K1812" s="110" t="str">
        <f>IF(H1812="","",IF($C$29="간이법","",FPR(H1812,I1812,J1812)))</f>
        <v/>
      </c>
      <c r="L1812" s="111" t="str">
        <f>IF(H1812="","",IF($C$29="상세법",FPV(H1812,K1812),IF(H1812="EI",4,IF(H1812="EO",5.2,IF(H1812="EQ",3.9,IF(H1812="ILF",7.5,IF(H1812="EIF",5.4)))))))</f>
        <v/>
      </c>
      <c r="M1812" s="112" t="str">
        <f t="shared" si="31"/>
        <v/>
      </c>
      <c r="N1812" s="113"/>
    </row>
    <row r="1813" spans="2:14">
      <c r="B1813" s="105"/>
      <c r="C1813" s="106"/>
      <c r="D1813" s="107"/>
      <c r="E1813" s="65"/>
      <c r="F1813" s="64"/>
      <c r="G1813" s="64"/>
      <c r="H1813" s="64"/>
      <c r="I1813" s="70"/>
      <c r="J1813" s="70"/>
      <c r="K1813" s="110" t="str">
        <f>IF(H1813="","",IF($C$29="간이법","",FPR(H1813,I1813,J1813)))</f>
        <v/>
      </c>
      <c r="L1813" s="111" t="str">
        <f>IF(H1813="","",IF($C$29="상세법",FPV(H1813,K1813),IF(H1813="EI",4,IF(H1813="EO",5.2,IF(H1813="EQ",3.9,IF(H1813="ILF",7.5,IF(H1813="EIF",5.4)))))))</f>
        <v/>
      </c>
      <c r="M1813" s="112" t="str">
        <f t="shared" si="31"/>
        <v/>
      </c>
      <c r="N1813" s="113"/>
    </row>
    <row r="1814" spans="2:14">
      <c r="B1814" s="105"/>
      <c r="C1814" s="106"/>
      <c r="D1814" s="107"/>
      <c r="E1814" s="65"/>
      <c r="F1814" s="64"/>
      <c r="G1814" s="64"/>
      <c r="H1814" s="64"/>
      <c r="I1814" s="70"/>
      <c r="J1814" s="70"/>
      <c r="K1814" s="110" t="str">
        <f>IF(H1814="","",IF($C$29="간이법","",FPR(H1814,I1814,J1814)))</f>
        <v/>
      </c>
      <c r="L1814" s="111" t="str">
        <f>IF(H1814="","",IF($C$29="상세법",FPV(H1814,K1814),IF(H1814="EI",4,IF(H1814="EO",5.2,IF(H1814="EQ",3.9,IF(H1814="ILF",7.5,IF(H1814="EIF",5.4)))))))</f>
        <v/>
      </c>
      <c r="M1814" s="112" t="str">
        <f t="shared" si="31"/>
        <v/>
      </c>
      <c r="N1814" s="113"/>
    </row>
    <row r="1815" spans="2:14">
      <c r="B1815" s="105"/>
      <c r="C1815" s="106"/>
      <c r="D1815" s="107"/>
      <c r="E1815" s="65"/>
      <c r="F1815" s="64"/>
      <c r="G1815" s="64"/>
      <c r="H1815" s="64"/>
      <c r="I1815" s="70"/>
      <c r="J1815" s="70"/>
      <c r="K1815" s="110" t="str">
        <f>IF(H1815="","",IF($C$29="간이법","",FPR(H1815,I1815,J1815)))</f>
        <v/>
      </c>
      <c r="L1815" s="111" t="str">
        <f>IF(H1815="","",IF($C$29="상세법",FPV(H1815,K1815),IF(H1815="EI",4,IF(H1815="EO",5.2,IF(H1815="EQ",3.9,IF(H1815="ILF",7.5,IF(H1815="EIF",5.4)))))))</f>
        <v/>
      </c>
      <c r="M1815" s="112" t="str">
        <f t="shared" si="31"/>
        <v/>
      </c>
      <c r="N1815" s="113"/>
    </row>
    <row r="1816" spans="2:14">
      <c r="B1816" s="105"/>
      <c r="C1816" s="106"/>
      <c r="D1816" s="107"/>
      <c r="E1816" s="65"/>
      <c r="F1816" s="64"/>
      <c r="G1816" s="64"/>
      <c r="H1816" s="64"/>
      <c r="I1816" s="70"/>
      <c r="J1816" s="70"/>
      <c r="K1816" s="110" t="str">
        <f>IF(H1816="","",IF($C$29="간이법","",FPR(H1816,I1816,J1816)))</f>
        <v/>
      </c>
      <c r="L1816" s="111" t="str">
        <f>IF(H1816="","",IF($C$29="상세법",FPV(H1816,K1816),IF(H1816="EI",4,IF(H1816="EO",5.2,IF(H1816="EQ",3.9,IF(H1816="ILF",7.5,IF(H1816="EIF",5.4)))))))</f>
        <v/>
      </c>
      <c r="M1816" s="112" t="str">
        <f t="shared" si="31"/>
        <v/>
      </c>
      <c r="N1816" s="113"/>
    </row>
    <row r="1817" spans="2:14">
      <c r="B1817" s="105"/>
      <c r="C1817" s="106"/>
      <c r="D1817" s="107"/>
      <c r="E1817" s="65"/>
      <c r="F1817" s="64"/>
      <c r="G1817" s="64"/>
      <c r="H1817" s="64"/>
      <c r="I1817" s="70"/>
      <c r="J1817" s="70"/>
      <c r="K1817" s="110" t="str">
        <f>IF(H1817="","",IF($C$29="간이법","",FPR(H1817,I1817,J1817)))</f>
        <v/>
      </c>
      <c r="L1817" s="111" t="str">
        <f>IF(H1817="","",IF($C$29="상세법",FPV(H1817,K1817),IF(H1817="EI",4,IF(H1817="EO",5.2,IF(H1817="EQ",3.9,IF(H1817="ILF",7.5,IF(H1817="EIF",5.4)))))))</f>
        <v/>
      </c>
      <c r="M1817" s="112" t="str">
        <f t="shared" si="31"/>
        <v/>
      </c>
      <c r="N1817" s="113"/>
    </row>
    <row r="1818" spans="2:14">
      <c r="B1818" s="105"/>
      <c r="C1818" s="106"/>
      <c r="D1818" s="107"/>
      <c r="E1818" s="65"/>
      <c r="F1818" s="64"/>
      <c r="G1818" s="64"/>
      <c r="H1818" s="64"/>
      <c r="I1818" s="70"/>
      <c r="J1818" s="70"/>
      <c r="K1818" s="110" t="str">
        <f>IF(H1818="","",IF($C$29="간이법","",FPR(H1818,I1818,J1818)))</f>
        <v/>
      </c>
      <c r="L1818" s="111" t="str">
        <f>IF(H1818="","",IF($C$29="상세법",FPV(H1818,K1818),IF(H1818="EI",4,IF(H1818="EO",5.2,IF(H1818="EQ",3.9,IF(H1818="ILF",7.5,IF(H1818="EIF",5.4)))))))</f>
        <v/>
      </c>
      <c r="M1818" s="112" t="str">
        <f t="shared" si="31"/>
        <v/>
      </c>
      <c r="N1818" s="113"/>
    </row>
    <row r="1819" spans="2:14">
      <c r="B1819" s="105"/>
      <c r="C1819" s="106"/>
      <c r="D1819" s="107"/>
      <c r="E1819" s="65"/>
      <c r="F1819" s="64"/>
      <c r="G1819" s="64"/>
      <c r="H1819" s="64"/>
      <c r="I1819" s="70"/>
      <c r="J1819" s="70"/>
      <c r="K1819" s="110" t="str">
        <f>IF(H1819="","",IF($C$29="간이법","",FPR(H1819,I1819,J1819)))</f>
        <v/>
      </c>
      <c r="L1819" s="111" t="str">
        <f>IF(H1819="","",IF($C$29="상세법",FPV(H1819,K1819),IF(H1819="EI",4,IF(H1819="EO",5.2,IF(H1819="EQ",3.9,IF(H1819="ILF",7.5,IF(H1819="EIF",5.4)))))))</f>
        <v/>
      </c>
      <c r="M1819" s="112" t="str">
        <f t="shared" si="31"/>
        <v/>
      </c>
      <c r="N1819" s="113"/>
    </row>
    <row r="1820" spans="2:14">
      <c r="B1820" s="105"/>
      <c r="C1820" s="106"/>
      <c r="D1820" s="107"/>
      <c r="E1820" s="65"/>
      <c r="F1820" s="64"/>
      <c r="G1820" s="64"/>
      <c r="H1820" s="64"/>
      <c r="I1820" s="70"/>
      <c r="J1820" s="70"/>
      <c r="K1820" s="110" t="str">
        <f>IF(H1820="","",IF($C$29="간이법","",FPR(H1820,I1820,J1820)))</f>
        <v/>
      </c>
      <c r="L1820" s="111" t="str">
        <f>IF(H1820="","",IF($C$29="상세법",FPV(H1820,K1820),IF(H1820="EI",4,IF(H1820="EO",5.2,IF(H1820="EQ",3.9,IF(H1820="ILF",7.5,IF(H1820="EIF",5.4)))))))</f>
        <v/>
      </c>
      <c r="M1820" s="112" t="str">
        <f t="shared" si="31"/>
        <v/>
      </c>
      <c r="N1820" s="113"/>
    </row>
    <row r="1821" spans="2:14">
      <c r="B1821" s="105"/>
      <c r="C1821" s="106"/>
      <c r="D1821" s="107"/>
      <c r="E1821" s="65"/>
      <c r="F1821" s="64"/>
      <c r="G1821" s="64"/>
      <c r="H1821" s="64"/>
      <c r="I1821" s="70"/>
      <c r="J1821" s="70"/>
      <c r="K1821" s="110" t="str">
        <f>IF(H1821="","",IF($C$29="간이법","",FPR(H1821,I1821,J1821)))</f>
        <v/>
      </c>
      <c r="L1821" s="111" t="str">
        <f>IF(H1821="","",IF($C$29="상세법",FPV(H1821,K1821),IF(H1821="EI",4,IF(H1821="EO",5.2,IF(H1821="EQ",3.9,IF(H1821="ILF",7.5,IF(H1821="EIF",5.4)))))))</f>
        <v/>
      </c>
      <c r="M1821" s="112" t="str">
        <f t="shared" si="31"/>
        <v/>
      </c>
      <c r="N1821" s="113"/>
    </row>
    <row r="1822" spans="2:14">
      <c r="B1822" s="105"/>
      <c r="C1822" s="106"/>
      <c r="D1822" s="107"/>
      <c r="E1822" s="65"/>
      <c r="F1822" s="64"/>
      <c r="G1822" s="64"/>
      <c r="H1822" s="64"/>
      <c r="I1822" s="70"/>
      <c r="J1822" s="70"/>
      <c r="K1822" s="110" t="str">
        <f>IF(H1822="","",IF($C$29="간이법","",FPR(H1822,I1822,J1822)))</f>
        <v/>
      </c>
      <c r="L1822" s="111" t="str">
        <f>IF(H1822="","",IF($C$29="상세법",FPV(H1822,K1822),IF(H1822="EI",4,IF(H1822="EO",5.2,IF(H1822="EQ",3.9,IF(H1822="ILF",7.5,IF(H1822="EIF",5.4)))))))</f>
        <v/>
      </c>
      <c r="M1822" s="112" t="str">
        <f t="shared" si="31"/>
        <v/>
      </c>
      <c r="N1822" s="113"/>
    </row>
    <row r="1823" spans="2:14">
      <c r="B1823" s="105"/>
      <c r="C1823" s="106"/>
      <c r="D1823" s="107"/>
      <c r="E1823" s="65"/>
      <c r="F1823" s="64"/>
      <c r="G1823" s="64"/>
      <c r="H1823" s="64"/>
      <c r="I1823" s="70"/>
      <c r="J1823" s="70"/>
      <c r="K1823" s="110" t="str">
        <f>IF(H1823="","",IF($C$29="간이법","",FPR(H1823,I1823,J1823)))</f>
        <v/>
      </c>
      <c r="L1823" s="111" t="str">
        <f>IF(H1823="","",IF($C$29="상세법",FPV(H1823,K1823),IF(H1823="EI",4,IF(H1823="EO",5.2,IF(H1823="EQ",3.9,IF(H1823="ILF",7.5,IF(H1823="EIF",5.4)))))))</f>
        <v/>
      </c>
      <c r="M1823" s="112" t="str">
        <f t="shared" si="31"/>
        <v/>
      </c>
      <c r="N1823" s="113"/>
    </row>
    <row r="1824" spans="2:14">
      <c r="B1824" s="105"/>
      <c r="C1824" s="106"/>
      <c r="D1824" s="107"/>
      <c r="E1824" s="65"/>
      <c r="F1824" s="64"/>
      <c r="G1824" s="64"/>
      <c r="H1824" s="64"/>
      <c r="I1824" s="70"/>
      <c r="J1824" s="70"/>
      <c r="K1824" s="110" t="str">
        <f>IF(H1824="","",IF($C$29="간이법","",FPR(H1824,I1824,J1824)))</f>
        <v/>
      </c>
      <c r="L1824" s="111" t="str">
        <f>IF(H1824="","",IF($C$29="상세법",FPV(H1824,K1824),IF(H1824="EI",4,IF(H1824="EO",5.2,IF(H1824="EQ",3.9,IF(H1824="ILF",7.5,IF(H1824="EIF",5.4)))))))</f>
        <v/>
      </c>
      <c r="M1824" s="112" t="str">
        <f t="shared" si="31"/>
        <v/>
      </c>
      <c r="N1824" s="113"/>
    </row>
    <row r="1825" spans="2:14">
      <c r="B1825" s="105"/>
      <c r="C1825" s="106"/>
      <c r="D1825" s="107"/>
      <c r="E1825" s="65"/>
      <c r="F1825" s="64"/>
      <c r="G1825" s="64"/>
      <c r="H1825" s="64"/>
      <c r="I1825" s="70"/>
      <c r="J1825" s="70"/>
      <c r="K1825" s="110" t="str">
        <f>IF(H1825="","",IF($C$29="간이법","",FPR(H1825,I1825,J1825)))</f>
        <v/>
      </c>
      <c r="L1825" s="111" t="str">
        <f>IF(H1825="","",IF($C$29="상세법",FPV(H1825,K1825),IF(H1825="EI",4,IF(H1825="EO",5.2,IF(H1825="EQ",3.9,IF(H1825="ILF",7.5,IF(H1825="EIF",5.4)))))))</f>
        <v/>
      </c>
      <c r="M1825" s="112" t="str">
        <f t="shared" si="31"/>
        <v/>
      </c>
      <c r="N1825" s="113"/>
    </row>
    <row r="1826" spans="2:14">
      <c r="B1826" s="105"/>
      <c r="C1826" s="106"/>
      <c r="D1826" s="107"/>
      <c r="E1826" s="65"/>
      <c r="F1826" s="64"/>
      <c r="G1826" s="64"/>
      <c r="H1826" s="64"/>
      <c r="I1826" s="70"/>
      <c r="J1826" s="70"/>
      <c r="K1826" s="110" t="str">
        <f>IF(H1826="","",IF($C$29="간이법","",FPR(H1826,I1826,J1826)))</f>
        <v/>
      </c>
      <c r="L1826" s="111" t="str">
        <f>IF(H1826="","",IF($C$29="상세법",FPV(H1826,K1826),IF(H1826="EI",4,IF(H1826="EO",5.2,IF(H1826="EQ",3.9,IF(H1826="ILF",7.5,IF(H1826="EIF",5.4)))))))</f>
        <v/>
      </c>
      <c r="M1826" s="112" t="str">
        <f t="shared" si="31"/>
        <v/>
      </c>
      <c r="N1826" s="113"/>
    </row>
    <row r="1827" spans="2:14">
      <c r="B1827" s="105"/>
      <c r="C1827" s="106"/>
      <c r="D1827" s="107"/>
      <c r="E1827" s="65"/>
      <c r="F1827" s="64"/>
      <c r="G1827" s="64"/>
      <c r="H1827" s="64"/>
      <c r="I1827" s="70"/>
      <c r="J1827" s="70"/>
      <c r="K1827" s="110" t="str">
        <f>IF(H1827="","",IF($C$29="간이법","",FPR(H1827,I1827,J1827)))</f>
        <v/>
      </c>
      <c r="L1827" s="111" t="str">
        <f>IF(H1827="","",IF($C$29="상세법",FPV(H1827,K1827),IF(H1827="EI",4,IF(H1827="EO",5.2,IF(H1827="EQ",3.9,IF(H1827="ILF",7.5,IF(H1827="EIF",5.4)))))))</f>
        <v/>
      </c>
      <c r="M1827" s="112" t="str">
        <f t="shared" si="31"/>
        <v/>
      </c>
      <c r="N1827" s="113"/>
    </row>
    <row r="1828" spans="2:14">
      <c r="B1828" s="105"/>
      <c r="C1828" s="106"/>
      <c r="D1828" s="107"/>
      <c r="E1828" s="65"/>
      <c r="F1828" s="64"/>
      <c r="G1828" s="64"/>
      <c r="H1828" s="64"/>
      <c r="I1828" s="70"/>
      <c r="J1828" s="70"/>
      <c r="K1828" s="110" t="str">
        <f>IF(H1828="","",IF($C$29="간이법","",FPR(H1828,I1828,J1828)))</f>
        <v/>
      </c>
      <c r="L1828" s="111" t="str">
        <f>IF(H1828="","",IF($C$29="상세법",FPV(H1828,K1828),IF(H1828="EI",4,IF(H1828="EO",5.2,IF(H1828="EQ",3.9,IF(H1828="ILF",7.5,IF(H1828="EIF",5.4)))))))</f>
        <v/>
      </c>
      <c r="M1828" s="112" t="str">
        <f t="shared" si="31"/>
        <v/>
      </c>
      <c r="N1828" s="113"/>
    </row>
    <row r="1829" spans="2:14">
      <c r="B1829" s="105"/>
      <c r="C1829" s="106"/>
      <c r="D1829" s="107"/>
      <c r="E1829" s="65"/>
      <c r="F1829" s="64"/>
      <c r="G1829" s="64"/>
      <c r="H1829" s="64"/>
      <c r="I1829" s="70"/>
      <c r="J1829" s="70"/>
      <c r="K1829" s="110" t="str">
        <f>IF(H1829="","",IF($C$29="간이법","",FPR(H1829,I1829,J1829)))</f>
        <v/>
      </c>
      <c r="L1829" s="111" t="str">
        <f>IF(H1829="","",IF($C$29="상세법",FPV(H1829,K1829),IF(H1829="EI",4,IF(H1829="EO",5.2,IF(H1829="EQ",3.9,IF(H1829="ILF",7.5,IF(H1829="EIF",5.4)))))))</f>
        <v/>
      </c>
      <c r="M1829" s="112" t="str">
        <f t="shared" si="31"/>
        <v/>
      </c>
      <c r="N1829" s="113"/>
    </row>
    <row r="1830" spans="2:14">
      <c r="B1830" s="105"/>
      <c r="C1830" s="106"/>
      <c r="D1830" s="107"/>
      <c r="E1830" s="65"/>
      <c r="F1830" s="64"/>
      <c r="G1830" s="64"/>
      <c r="H1830" s="64"/>
      <c r="I1830" s="70"/>
      <c r="J1830" s="70"/>
      <c r="K1830" s="110" t="str">
        <f>IF(H1830="","",IF($C$29="간이법","",FPR(H1830,I1830,J1830)))</f>
        <v/>
      </c>
      <c r="L1830" s="111" t="str">
        <f>IF(H1830="","",IF($C$29="상세법",FPV(H1830,K1830),IF(H1830="EI",4,IF(H1830="EO",5.2,IF(H1830="EQ",3.9,IF(H1830="ILF",7.5,IF(H1830="EIF",5.4)))))))</f>
        <v/>
      </c>
      <c r="M1830" s="112" t="str">
        <f t="shared" si="31"/>
        <v/>
      </c>
      <c r="N1830" s="113"/>
    </row>
    <row r="1831" spans="2:14">
      <c r="B1831" s="105"/>
      <c r="C1831" s="106"/>
      <c r="D1831" s="107"/>
      <c r="E1831" s="65"/>
      <c r="F1831" s="64"/>
      <c r="G1831" s="64"/>
      <c r="H1831" s="64"/>
      <c r="I1831" s="70"/>
      <c r="J1831" s="70"/>
      <c r="K1831" s="110" t="str">
        <f>IF(H1831="","",IF($C$29="간이법","",FPR(H1831,I1831,J1831)))</f>
        <v/>
      </c>
      <c r="L1831" s="111" t="str">
        <f>IF(H1831="","",IF($C$29="상세법",FPV(H1831,K1831),IF(H1831="EI",4,IF(H1831="EO",5.2,IF(H1831="EQ",3.9,IF(H1831="ILF",7.5,IF(H1831="EIF",5.4)))))))</f>
        <v/>
      </c>
      <c r="M1831" s="112" t="str">
        <f t="shared" si="31"/>
        <v/>
      </c>
      <c r="N1831" s="113"/>
    </row>
    <row r="1832" spans="2:14">
      <c r="B1832" s="105"/>
      <c r="C1832" s="106"/>
      <c r="D1832" s="107"/>
      <c r="E1832" s="65"/>
      <c r="F1832" s="64"/>
      <c r="G1832" s="64"/>
      <c r="H1832" s="64"/>
      <c r="I1832" s="70"/>
      <c r="J1832" s="70"/>
      <c r="K1832" s="110" t="str">
        <f>IF(H1832="","",IF($C$29="간이법","",FPR(H1832,I1832,J1832)))</f>
        <v/>
      </c>
      <c r="L1832" s="111" t="str">
        <f>IF(H1832="","",IF($C$29="상세법",FPV(H1832,K1832),IF(H1832="EI",4,IF(H1832="EO",5.2,IF(H1832="EQ",3.9,IF(H1832="ILF",7.5,IF(H1832="EIF",5.4)))))))</f>
        <v/>
      </c>
      <c r="M1832" s="112" t="str">
        <f t="shared" si="31"/>
        <v/>
      </c>
      <c r="N1832" s="113"/>
    </row>
    <row r="1833" spans="2:14">
      <c r="B1833" s="105"/>
      <c r="C1833" s="106"/>
      <c r="D1833" s="107"/>
      <c r="E1833" s="65"/>
      <c r="F1833" s="64"/>
      <c r="G1833" s="64"/>
      <c r="H1833" s="64"/>
      <c r="I1833" s="70"/>
      <c r="J1833" s="70"/>
      <c r="K1833" s="110" t="str">
        <f>IF(H1833="","",IF($C$29="간이법","",FPR(H1833,I1833,J1833)))</f>
        <v/>
      </c>
      <c r="L1833" s="111" t="str">
        <f>IF(H1833="","",IF($C$29="상세법",FPV(H1833,K1833),IF(H1833="EI",4,IF(H1833="EO",5.2,IF(H1833="EQ",3.9,IF(H1833="ILF",7.5,IF(H1833="EIF",5.4)))))))</f>
        <v/>
      </c>
      <c r="M1833" s="112" t="str">
        <f t="shared" si="31"/>
        <v/>
      </c>
      <c r="N1833" s="113"/>
    </row>
    <row r="1834" spans="2:14">
      <c r="B1834" s="105"/>
      <c r="C1834" s="106"/>
      <c r="D1834" s="107"/>
      <c r="E1834" s="65"/>
      <c r="F1834" s="64"/>
      <c r="G1834" s="64"/>
      <c r="H1834" s="64"/>
      <c r="I1834" s="70"/>
      <c r="J1834" s="70"/>
      <c r="K1834" s="110" t="str">
        <f>IF(H1834="","",IF($C$29="간이법","",FPR(H1834,I1834,J1834)))</f>
        <v/>
      </c>
      <c r="L1834" s="111" t="str">
        <f>IF(H1834="","",IF($C$29="상세법",FPV(H1834,K1834),IF(H1834="EI",4,IF(H1834="EO",5.2,IF(H1834="EQ",3.9,IF(H1834="ILF",7.5,IF(H1834="EIF",5.4)))))))</f>
        <v/>
      </c>
      <c r="M1834" s="112" t="str">
        <f t="shared" si="31"/>
        <v/>
      </c>
      <c r="N1834" s="113"/>
    </row>
    <row r="1835" spans="2:14">
      <c r="B1835" s="105"/>
      <c r="C1835" s="106"/>
      <c r="D1835" s="107"/>
      <c r="E1835" s="65"/>
      <c r="F1835" s="64"/>
      <c r="G1835" s="64"/>
      <c r="H1835" s="64"/>
      <c r="I1835" s="70"/>
      <c r="J1835" s="70"/>
      <c r="K1835" s="110" t="str">
        <f>IF(H1835="","",IF($C$29="간이법","",FPR(H1835,I1835,J1835)))</f>
        <v/>
      </c>
      <c r="L1835" s="111" t="str">
        <f>IF(H1835="","",IF($C$29="상세법",FPV(H1835,K1835),IF(H1835="EI",4,IF(H1835="EO",5.2,IF(H1835="EQ",3.9,IF(H1835="ILF",7.5,IF(H1835="EIF",5.4)))))))</f>
        <v/>
      </c>
      <c r="M1835" s="112" t="str">
        <f t="shared" si="31"/>
        <v/>
      </c>
      <c r="N1835" s="113"/>
    </row>
    <row r="1836" spans="2:14">
      <c r="B1836" s="105"/>
      <c r="C1836" s="106"/>
      <c r="D1836" s="107"/>
      <c r="E1836" s="65"/>
      <c r="F1836" s="64"/>
      <c r="G1836" s="64"/>
      <c r="H1836" s="64"/>
      <c r="I1836" s="70"/>
      <c r="J1836" s="70"/>
      <c r="K1836" s="110" t="str">
        <f>IF(H1836="","",IF($C$29="간이법","",FPR(H1836,I1836,J1836)))</f>
        <v/>
      </c>
      <c r="L1836" s="111" t="str">
        <f>IF(H1836="","",IF($C$29="상세법",FPV(H1836,K1836),IF(H1836="EI",4,IF(H1836="EO",5.2,IF(H1836="EQ",3.9,IF(H1836="ILF",7.5,IF(H1836="EIF",5.4)))))))</f>
        <v/>
      </c>
      <c r="M1836" s="112" t="str">
        <f t="shared" si="31"/>
        <v/>
      </c>
      <c r="N1836" s="113"/>
    </row>
    <row r="1837" spans="2:14">
      <c r="B1837" s="105"/>
      <c r="C1837" s="106"/>
      <c r="D1837" s="107"/>
      <c r="E1837" s="65"/>
      <c r="F1837" s="64"/>
      <c r="G1837" s="64"/>
      <c r="H1837" s="64"/>
      <c r="I1837" s="70"/>
      <c r="J1837" s="70"/>
      <c r="K1837" s="110" t="str">
        <f>IF(H1837="","",IF($C$29="간이법","",FPR(H1837,I1837,J1837)))</f>
        <v/>
      </c>
      <c r="L1837" s="111" t="str">
        <f>IF(H1837="","",IF($C$29="상세법",FPV(H1837,K1837),IF(H1837="EI",4,IF(H1837="EO",5.2,IF(H1837="EQ",3.9,IF(H1837="ILF",7.5,IF(H1837="EIF",5.4)))))))</f>
        <v/>
      </c>
      <c r="M1837" s="112" t="str">
        <f t="shared" si="31"/>
        <v/>
      </c>
      <c r="N1837" s="113"/>
    </row>
    <row r="1838" spans="2:14">
      <c r="B1838" s="105"/>
      <c r="C1838" s="106"/>
      <c r="D1838" s="107"/>
      <c r="E1838" s="65"/>
      <c r="F1838" s="64"/>
      <c r="G1838" s="64"/>
      <c r="H1838" s="64"/>
      <c r="I1838" s="70"/>
      <c r="J1838" s="70"/>
      <c r="K1838" s="110" t="str">
        <f>IF(H1838="","",IF($C$29="간이법","",FPR(H1838,I1838,J1838)))</f>
        <v/>
      </c>
      <c r="L1838" s="111" t="str">
        <f>IF(H1838="","",IF($C$29="상세법",FPV(H1838,K1838),IF(H1838="EI",4,IF(H1838="EO",5.2,IF(H1838="EQ",3.9,IF(H1838="ILF",7.5,IF(H1838="EIF",5.4)))))))</f>
        <v/>
      </c>
      <c r="M1838" s="112" t="str">
        <f t="shared" si="31"/>
        <v/>
      </c>
      <c r="N1838" s="113"/>
    </row>
    <row r="1839" spans="2:14">
      <c r="B1839" s="105"/>
      <c r="C1839" s="106"/>
      <c r="D1839" s="107"/>
      <c r="E1839" s="65"/>
      <c r="F1839" s="64"/>
      <c r="G1839" s="64"/>
      <c r="H1839" s="64"/>
      <c r="I1839" s="70"/>
      <c r="J1839" s="70"/>
      <c r="K1839" s="110" t="str">
        <f>IF(H1839="","",IF($C$29="간이법","",FPR(H1839,I1839,J1839)))</f>
        <v/>
      </c>
      <c r="L1839" s="111" t="str">
        <f>IF(H1839="","",IF($C$29="상세법",FPV(H1839,K1839),IF(H1839="EI",4,IF(H1839="EO",5.2,IF(H1839="EQ",3.9,IF(H1839="ILF",7.5,IF(H1839="EIF",5.4)))))))</f>
        <v/>
      </c>
      <c r="M1839" s="112" t="str">
        <f t="shared" si="31"/>
        <v/>
      </c>
      <c r="N1839" s="113"/>
    </row>
    <row r="1840" spans="2:14">
      <c r="B1840" s="105"/>
      <c r="C1840" s="106"/>
      <c r="D1840" s="107"/>
      <c r="E1840" s="65"/>
      <c r="F1840" s="64"/>
      <c r="G1840" s="64"/>
      <c r="H1840" s="64"/>
      <c r="I1840" s="70"/>
      <c r="J1840" s="70"/>
      <c r="K1840" s="110" t="str">
        <f>IF(H1840="","",IF($C$29="간이법","",FPR(H1840,I1840,J1840)))</f>
        <v/>
      </c>
      <c r="L1840" s="111" t="str">
        <f>IF(H1840="","",IF($C$29="상세법",FPV(H1840,K1840),IF(H1840="EI",4,IF(H1840="EO",5.2,IF(H1840="EQ",3.9,IF(H1840="ILF",7.5,IF(H1840="EIF",5.4)))))))</f>
        <v/>
      </c>
      <c r="M1840" s="112" t="str">
        <f t="shared" si="31"/>
        <v/>
      </c>
      <c r="N1840" s="113"/>
    </row>
    <row r="1841" spans="2:14">
      <c r="B1841" s="105"/>
      <c r="C1841" s="106"/>
      <c r="D1841" s="107"/>
      <c r="E1841" s="65"/>
      <c r="F1841" s="64"/>
      <c r="G1841" s="64"/>
      <c r="H1841" s="64"/>
      <c r="I1841" s="70"/>
      <c r="J1841" s="70"/>
      <c r="K1841" s="110" t="str">
        <f>IF(H1841="","",IF($C$29="간이법","",FPR(H1841,I1841,J1841)))</f>
        <v/>
      </c>
      <c r="L1841" s="111" t="str">
        <f>IF(H1841="","",IF($C$29="상세법",FPV(H1841,K1841),IF(H1841="EI",4,IF(H1841="EO",5.2,IF(H1841="EQ",3.9,IF(H1841="ILF",7.5,IF(H1841="EIF",5.4)))))))</f>
        <v/>
      </c>
      <c r="M1841" s="112" t="str">
        <f t="shared" si="31"/>
        <v/>
      </c>
      <c r="N1841" s="113"/>
    </row>
    <row r="1842" spans="2:14">
      <c r="B1842" s="105"/>
      <c r="C1842" s="106"/>
      <c r="D1842" s="107"/>
      <c r="E1842" s="65"/>
      <c r="F1842" s="64"/>
      <c r="G1842" s="64"/>
      <c r="H1842" s="64"/>
      <c r="I1842" s="70"/>
      <c r="J1842" s="70"/>
      <c r="K1842" s="110" t="str">
        <f>IF(H1842="","",IF($C$29="간이법","",FPR(H1842,I1842,J1842)))</f>
        <v/>
      </c>
      <c r="L1842" s="111" t="str">
        <f>IF(H1842="","",IF($C$29="상세법",FPV(H1842,K1842),IF(H1842="EI",4,IF(H1842="EO",5.2,IF(H1842="EQ",3.9,IF(H1842="ILF",7.5,IF(H1842="EIF",5.4)))))))</f>
        <v/>
      </c>
      <c r="M1842" s="112" t="str">
        <f t="shared" si="31"/>
        <v/>
      </c>
      <c r="N1842" s="113"/>
    </row>
    <row r="1843" spans="2:14">
      <c r="B1843" s="105"/>
      <c r="C1843" s="106"/>
      <c r="D1843" s="107"/>
      <c r="E1843" s="65"/>
      <c r="F1843" s="64"/>
      <c r="G1843" s="64"/>
      <c r="H1843" s="64"/>
      <c r="I1843" s="70"/>
      <c r="J1843" s="70"/>
      <c r="K1843" s="110" t="str">
        <f>IF(H1843="","",IF($C$29="간이법","",FPR(H1843,I1843,J1843)))</f>
        <v/>
      </c>
      <c r="L1843" s="111" t="str">
        <f>IF(H1843="","",IF($C$29="상세법",FPV(H1843,K1843),IF(H1843="EI",4,IF(H1843="EO",5.2,IF(H1843="EQ",3.9,IF(H1843="ILF",7.5,IF(H1843="EIF",5.4)))))))</f>
        <v/>
      </c>
      <c r="M1843" s="112" t="str">
        <f t="shared" si="31"/>
        <v/>
      </c>
      <c r="N1843" s="113"/>
    </row>
    <row r="1844" spans="2:14">
      <c r="B1844" s="105"/>
      <c r="C1844" s="106"/>
      <c r="D1844" s="107"/>
      <c r="E1844" s="65"/>
      <c r="F1844" s="64"/>
      <c r="G1844" s="64"/>
      <c r="H1844" s="64"/>
      <c r="I1844" s="70"/>
      <c r="J1844" s="70"/>
      <c r="K1844" s="110" t="str">
        <f>IF(H1844="","",IF($C$29="간이법","",FPR(H1844,I1844,J1844)))</f>
        <v/>
      </c>
      <c r="L1844" s="111" t="str">
        <f>IF(H1844="","",IF($C$29="상세법",FPV(H1844,K1844),IF(H1844="EI",4,IF(H1844="EO",5.2,IF(H1844="EQ",3.9,IF(H1844="ILF",7.5,IF(H1844="EIF",5.4)))))))</f>
        <v/>
      </c>
      <c r="M1844" s="112" t="str">
        <f t="shared" si="31"/>
        <v/>
      </c>
      <c r="N1844" s="113"/>
    </row>
    <row r="1845" spans="2:14">
      <c r="B1845" s="105"/>
      <c r="C1845" s="106"/>
      <c r="D1845" s="107"/>
      <c r="E1845" s="65"/>
      <c r="F1845" s="64"/>
      <c r="G1845" s="64"/>
      <c r="H1845" s="64"/>
      <c r="I1845" s="70"/>
      <c r="J1845" s="70"/>
      <c r="K1845" s="110" t="str">
        <f>IF(H1845="","",IF($C$29="간이법","",FPR(H1845,I1845,J1845)))</f>
        <v/>
      </c>
      <c r="L1845" s="111" t="str">
        <f>IF(H1845="","",IF($C$29="상세법",FPV(H1845,K1845),IF(H1845="EI",4,IF(H1845="EO",5.2,IF(H1845="EQ",3.9,IF(H1845="ILF",7.5,IF(H1845="EIF",5.4)))))))</f>
        <v/>
      </c>
      <c r="M1845" s="112" t="str">
        <f t="shared" si="31"/>
        <v/>
      </c>
      <c r="N1845" s="113"/>
    </row>
    <row r="1846" spans="2:14">
      <c r="B1846" s="105"/>
      <c r="C1846" s="106"/>
      <c r="D1846" s="107"/>
      <c r="E1846" s="65"/>
      <c r="F1846" s="64"/>
      <c r="G1846" s="64"/>
      <c r="H1846" s="64"/>
      <c r="I1846" s="70"/>
      <c r="J1846" s="70"/>
      <c r="K1846" s="110" t="str">
        <f>IF(H1846="","",IF($C$29="간이법","",FPR(H1846,I1846,J1846)))</f>
        <v/>
      </c>
      <c r="L1846" s="111" t="str">
        <f>IF(H1846="","",IF($C$29="상세법",FPV(H1846,K1846),IF(H1846="EI",4,IF(H1846="EO",5.2,IF(H1846="EQ",3.9,IF(H1846="ILF",7.5,IF(H1846="EIF",5.4)))))))</f>
        <v/>
      </c>
      <c r="M1846" s="112" t="str">
        <f t="shared" si="31"/>
        <v/>
      </c>
      <c r="N1846" s="113"/>
    </row>
    <row r="1847" spans="2:14">
      <c r="B1847" s="105"/>
      <c r="C1847" s="106"/>
      <c r="D1847" s="107"/>
      <c r="E1847" s="65"/>
      <c r="F1847" s="64"/>
      <c r="G1847" s="64"/>
      <c r="H1847" s="64"/>
      <c r="I1847" s="70"/>
      <c r="J1847" s="70"/>
      <c r="K1847" s="110" t="str">
        <f>IF(H1847="","",IF($C$29="간이법","",FPR(H1847,I1847,J1847)))</f>
        <v/>
      </c>
      <c r="L1847" s="111" t="str">
        <f>IF(H1847="","",IF($C$29="상세법",FPV(H1847,K1847),IF(H1847="EI",4,IF(H1847="EO",5.2,IF(H1847="EQ",3.9,IF(H1847="ILF",7.5,IF(H1847="EIF",5.4)))))))</f>
        <v/>
      </c>
      <c r="M1847" s="112" t="str">
        <f t="shared" si="31"/>
        <v/>
      </c>
      <c r="N1847" s="113"/>
    </row>
    <row r="1848" spans="2:14">
      <c r="B1848" s="105"/>
      <c r="C1848" s="106"/>
      <c r="D1848" s="107"/>
      <c r="E1848" s="65"/>
      <c r="F1848" s="64"/>
      <c r="G1848" s="64"/>
      <c r="H1848" s="64"/>
      <c r="I1848" s="70"/>
      <c r="J1848" s="70"/>
      <c r="K1848" s="110" t="str">
        <f>IF(H1848="","",IF($C$29="간이법","",FPR(H1848,I1848,J1848)))</f>
        <v/>
      </c>
      <c r="L1848" s="111" t="str">
        <f>IF(H1848="","",IF($C$29="상세법",FPV(H1848,K1848),IF(H1848="EI",4,IF(H1848="EO",5.2,IF(H1848="EQ",3.9,IF(H1848="ILF",7.5,IF(H1848="EIF",5.4)))))))</f>
        <v/>
      </c>
      <c r="M1848" s="112" t="str">
        <f t="shared" si="31"/>
        <v/>
      </c>
      <c r="N1848" s="113"/>
    </row>
    <row r="1849" spans="2:14">
      <c r="B1849" s="105"/>
      <c r="C1849" s="106"/>
      <c r="D1849" s="107"/>
      <c r="E1849" s="65"/>
      <c r="F1849" s="64"/>
      <c r="G1849" s="64"/>
      <c r="H1849" s="64"/>
      <c r="I1849" s="70"/>
      <c r="J1849" s="70"/>
      <c r="K1849" s="110" t="str">
        <f>IF(H1849="","",IF($C$29="간이법","",FPR(H1849,I1849,J1849)))</f>
        <v/>
      </c>
      <c r="L1849" s="111" t="str">
        <f>IF(H1849="","",IF($C$29="상세법",FPV(H1849,K1849),IF(H1849="EI",4,IF(H1849="EO",5.2,IF(H1849="EQ",3.9,IF(H1849="ILF",7.5,IF(H1849="EIF",5.4)))))))</f>
        <v/>
      </c>
      <c r="M1849" s="112" t="str">
        <f t="shared" ref="M1849:M1912" si="32">IF(L1849="","",L1849*IF(G1849="상",0.7,IF(G1849="중",0.5,IF(G1849="하",0.2,1))))</f>
        <v/>
      </c>
      <c r="N1849" s="113"/>
    </row>
    <row r="1850" spans="2:14">
      <c r="B1850" s="105"/>
      <c r="C1850" s="106"/>
      <c r="D1850" s="107"/>
      <c r="E1850" s="65"/>
      <c r="F1850" s="64"/>
      <c r="G1850" s="64"/>
      <c r="H1850" s="64"/>
      <c r="I1850" s="70"/>
      <c r="J1850" s="70"/>
      <c r="K1850" s="110" t="str">
        <f>IF(H1850="","",IF($C$29="간이법","",FPR(H1850,I1850,J1850)))</f>
        <v/>
      </c>
      <c r="L1850" s="111" t="str">
        <f>IF(H1850="","",IF($C$29="상세법",FPV(H1850,K1850),IF(H1850="EI",4,IF(H1850="EO",5.2,IF(H1850="EQ",3.9,IF(H1850="ILF",7.5,IF(H1850="EIF",5.4)))))))</f>
        <v/>
      </c>
      <c r="M1850" s="112" t="str">
        <f t="shared" si="32"/>
        <v/>
      </c>
      <c r="N1850" s="113"/>
    </row>
    <row r="1851" spans="2:14">
      <c r="B1851" s="105"/>
      <c r="C1851" s="106"/>
      <c r="D1851" s="107"/>
      <c r="E1851" s="65"/>
      <c r="F1851" s="64"/>
      <c r="G1851" s="64"/>
      <c r="H1851" s="64"/>
      <c r="I1851" s="70"/>
      <c r="J1851" s="70"/>
      <c r="K1851" s="110" t="str">
        <f>IF(H1851="","",IF($C$29="간이법","",FPR(H1851,I1851,J1851)))</f>
        <v/>
      </c>
      <c r="L1851" s="111" t="str">
        <f>IF(H1851="","",IF($C$29="상세법",FPV(H1851,K1851),IF(H1851="EI",4,IF(H1851="EO",5.2,IF(H1851="EQ",3.9,IF(H1851="ILF",7.5,IF(H1851="EIF",5.4)))))))</f>
        <v/>
      </c>
      <c r="M1851" s="112" t="str">
        <f t="shared" si="32"/>
        <v/>
      </c>
      <c r="N1851" s="113"/>
    </row>
    <row r="1852" spans="2:14">
      <c r="B1852" s="105"/>
      <c r="C1852" s="106"/>
      <c r="D1852" s="107"/>
      <c r="E1852" s="65"/>
      <c r="F1852" s="64"/>
      <c r="G1852" s="64"/>
      <c r="H1852" s="64"/>
      <c r="I1852" s="70"/>
      <c r="J1852" s="70"/>
      <c r="K1852" s="110" t="str">
        <f>IF(H1852="","",IF($C$29="간이법","",FPR(H1852,I1852,J1852)))</f>
        <v/>
      </c>
      <c r="L1852" s="111" t="str">
        <f>IF(H1852="","",IF($C$29="상세법",FPV(H1852,K1852),IF(H1852="EI",4,IF(H1852="EO",5.2,IF(H1852="EQ",3.9,IF(H1852="ILF",7.5,IF(H1852="EIF",5.4)))))))</f>
        <v/>
      </c>
      <c r="M1852" s="112" t="str">
        <f t="shared" si="32"/>
        <v/>
      </c>
      <c r="N1852" s="113"/>
    </row>
    <row r="1853" spans="2:14">
      <c r="B1853" s="105"/>
      <c r="C1853" s="106"/>
      <c r="D1853" s="107"/>
      <c r="E1853" s="65"/>
      <c r="F1853" s="64"/>
      <c r="G1853" s="64"/>
      <c r="H1853" s="64"/>
      <c r="I1853" s="70"/>
      <c r="J1853" s="70"/>
      <c r="K1853" s="110" t="str">
        <f>IF(H1853="","",IF($C$29="간이법","",FPR(H1853,I1853,J1853)))</f>
        <v/>
      </c>
      <c r="L1853" s="111" t="str">
        <f>IF(H1853="","",IF($C$29="상세법",FPV(H1853,K1853),IF(H1853="EI",4,IF(H1853="EO",5.2,IF(H1853="EQ",3.9,IF(H1853="ILF",7.5,IF(H1853="EIF",5.4)))))))</f>
        <v/>
      </c>
      <c r="M1853" s="112" t="str">
        <f t="shared" si="32"/>
        <v/>
      </c>
      <c r="N1853" s="113"/>
    </row>
    <row r="1854" spans="2:14">
      <c r="B1854" s="105"/>
      <c r="C1854" s="106"/>
      <c r="D1854" s="107"/>
      <c r="E1854" s="65"/>
      <c r="F1854" s="64"/>
      <c r="G1854" s="64"/>
      <c r="H1854" s="64"/>
      <c r="I1854" s="70"/>
      <c r="J1854" s="70"/>
      <c r="K1854" s="110" t="str">
        <f>IF(H1854="","",IF($C$29="간이법","",FPR(H1854,I1854,J1854)))</f>
        <v/>
      </c>
      <c r="L1854" s="111" t="str">
        <f>IF(H1854="","",IF($C$29="상세법",FPV(H1854,K1854),IF(H1854="EI",4,IF(H1854="EO",5.2,IF(H1854="EQ",3.9,IF(H1854="ILF",7.5,IF(H1854="EIF",5.4)))))))</f>
        <v/>
      </c>
      <c r="M1854" s="112" t="str">
        <f t="shared" si="32"/>
        <v/>
      </c>
      <c r="N1854" s="113"/>
    </row>
    <row r="1855" spans="2:14">
      <c r="B1855" s="105"/>
      <c r="C1855" s="106"/>
      <c r="D1855" s="107"/>
      <c r="E1855" s="65"/>
      <c r="F1855" s="64"/>
      <c r="G1855" s="64"/>
      <c r="H1855" s="64"/>
      <c r="I1855" s="70"/>
      <c r="J1855" s="70"/>
      <c r="K1855" s="110" t="str">
        <f>IF(H1855="","",IF($C$29="간이법","",FPR(H1855,I1855,J1855)))</f>
        <v/>
      </c>
      <c r="L1855" s="111" t="str">
        <f>IF(H1855="","",IF($C$29="상세법",FPV(H1855,K1855),IF(H1855="EI",4,IF(H1855="EO",5.2,IF(H1855="EQ",3.9,IF(H1855="ILF",7.5,IF(H1855="EIF",5.4)))))))</f>
        <v/>
      </c>
      <c r="M1855" s="112" t="str">
        <f t="shared" si="32"/>
        <v/>
      </c>
      <c r="N1855" s="113"/>
    </row>
    <row r="1856" spans="2:14">
      <c r="B1856" s="105"/>
      <c r="C1856" s="106"/>
      <c r="D1856" s="107"/>
      <c r="E1856" s="65"/>
      <c r="F1856" s="64"/>
      <c r="G1856" s="64"/>
      <c r="H1856" s="64"/>
      <c r="I1856" s="70"/>
      <c r="J1856" s="70"/>
      <c r="K1856" s="110" t="str">
        <f>IF(H1856="","",IF($C$29="간이법","",FPR(H1856,I1856,J1856)))</f>
        <v/>
      </c>
      <c r="L1856" s="111" t="str">
        <f>IF(H1856="","",IF($C$29="상세법",FPV(H1856,K1856),IF(H1856="EI",4,IF(H1856="EO",5.2,IF(H1856="EQ",3.9,IF(H1856="ILF",7.5,IF(H1856="EIF",5.4)))))))</f>
        <v/>
      </c>
      <c r="M1856" s="112" t="str">
        <f t="shared" si="32"/>
        <v/>
      </c>
      <c r="N1856" s="113"/>
    </row>
    <row r="1857" spans="2:14">
      <c r="B1857" s="105"/>
      <c r="C1857" s="106"/>
      <c r="D1857" s="107"/>
      <c r="E1857" s="65"/>
      <c r="F1857" s="64"/>
      <c r="G1857" s="64"/>
      <c r="H1857" s="64"/>
      <c r="I1857" s="70"/>
      <c r="J1857" s="70"/>
      <c r="K1857" s="110" t="str">
        <f>IF(H1857="","",IF($C$29="간이법","",FPR(H1857,I1857,J1857)))</f>
        <v/>
      </c>
      <c r="L1857" s="111" t="str">
        <f>IF(H1857="","",IF($C$29="상세법",FPV(H1857,K1857),IF(H1857="EI",4,IF(H1857="EO",5.2,IF(H1857="EQ",3.9,IF(H1857="ILF",7.5,IF(H1857="EIF",5.4)))))))</f>
        <v/>
      </c>
      <c r="M1857" s="112" t="str">
        <f t="shared" si="32"/>
        <v/>
      </c>
      <c r="N1857" s="113"/>
    </row>
    <row r="1858" spans="2:14">
      <c r="B1858" s="105"/>
      <c r="C1858" s="106"/>
      <c r="D1858" s="107"/>
      <c r="E1858" s="65"/>
      <c r="F1858" s="64"/>
      <c r="G1858" s="64"/>
      <c r="H1858" s="64"/>
      <c r="I1858" s="70"/>
      <c r="J1858" s="70"/>
      <c r="K1858" s="110" t="str">
        <f>IF(H1858="","",IF($C$29="간이법","",FPR(H1858,I1858,J1858)))</f>
        <v/>
      </c>
      <c r="L1858" s="111" t="str">
        <f>IF(H1858="","",IF($C$29="상세법",FPV(H1858,K1858),IF(H1858="EI",4,IF(H1858="EO",5.2,IF(H1858="EQ",3.9,IF(H1858="ILF",7.5,IF(H1858="EIF",5.4)))))))</f>
        <v/>
      </c>
      <c r="M1858" s="112" t="str">
        <f t="shared" si="32"/>
        <v/>
      </c>
      <c r="N1858" s="113"/>
    </row>
    <row r="1859" spans="2:14">
      <c r="B1859" s="105"/>
      <c r="C1859" s="106"/>
      <c r="D1859" s="107"/>
      <c r="E1859" s="65"/>
      <c r="F1859" s="64"/>
      <c r="G1859" s="64"/>
      <c r="H1859" s="64"/>
      <c r="I1859" s="70"/>
      <c r="J1859" s="70"/>
      <c r="K1859" s="110" t="str">
        <f>IF(H1859="","",IF($C$29="간이법","",FPR(H1859,I1859,J1859)))</f>
        <v/>
      </c>
      <c r="L1859" s="111" t="str">
        <f>IF(H1859="","",IF($C$29="상세법",FPV(H1859,K1859),IF(H1859="EI",4,IF(H1859="EO",5.2,IF(H1859="EQ",3.9,IF(H1859="ILF",7.5,IF(H1859="EIF",5.4)))))))</f>
        <v/>
      </c>
      <c r="M1859" s="112" t="str">
        <f t="shared" si="32"/>
        <v/>
      </c>
      <c r="N1859" s="113"/>
    </row>
    <row r="1860" spans="2:14">
      <c r="B1860" s="105"/>
      <c r="C1860" s="106"/>
      <c r="D1860" s="107"/>
      <c r="E1860" s="65"/>
      <c r="F1860" s="64"/>
      <c r="G1860" s="64"/>
      <c r="H1860" s="64"/>
      <c r="I1860" s="70"/>
      <c r="J1860" s="70"/>
      <c r="K1860" s="110" t="str">
        <f>IF(H1860="","",IF($C$29="간이법","",FPR(H1860,I1860,J1860)))</f>
        <v/>
      </c>
      <c r="L1860" s="111" t="str">
        <f>IF(H1860="","",IF($C$29="상세법",FPV(H1860,K1860),IF(H1860="EI",4,IF(H1860="EO",5.2,IF(H1860="EQ",3.9,IF(H1860="ILF",7.5,IF(H1860="EIF",5.4)))))))</f>
        <v/>
      </c>
      <c r="M1860" s="112" t="str">
        <f t="shared" si="32"/>
        <v/>
      </c>
      <c r="N1860" s="113"/>
    </row>
    <row r="1861" spans="2:14">
      <c r="B1861" s="105"/>
      <c r="C1861" s="106"/>
      <c r="D1861" s="107"/>
      <c r="E1861" s="65"/>
      <c r="F1861" s="64"/>
      <c r="G1861" s="64"/>
      <c r="H1861" s="64"/>
      <c r="I1861" s="70"/>
      <c r="J1861" s="70"/>
      <c r="K1861" s="110" t="str">
        <f>IF(H1861="","",IF($C$29="간이법","",FPR(H1861,I1861,J1861)))</f>
        <v/>
      </c>
      <c r="L1861" s="111" t="str">
        <f>IF(H1861="","",IF($C$29="상세법",FPV(H1861,K1861),IF(H1861="EI",4,IF(H1861="EO",5.2,IF(H1861="EQ",3.9,IF(H1861="ILF",7.5,IF(H1861="EIF",5.4)))))))</f>
        <v/>
      </c>
      <c r="M1861" s="112" t="str">
        <f t="shared" si="32"/>
        <v/>
      </c>
      <c r="N1861" s="113"/>
    </row>
    <row r="1862" spans="2:14">
      <c r="B1862" s="105"/>
      <c r="C1862" s="106"/>
      <c r="D1862" s="107"/>
      <c r="E1862" s="65"/>
      <c r="F1862" s="64"/>
      <c r="G1862" s="64"/>
      <c r="H1862" s="64"/>
      <c r="I1862" s="70"/>
      <c r="J1862" s="70"/>
      <c r="K1862" s="110" t="str">
        <f>IF(H1862="","",IF($C$29="간이법","",FPR(H1862,I1862,J1862)))</f>
        <v/>
      </c>
      <c r="L1862" s="111" t="str">
        <f>IF(H1862="","",IF($C$29="상세법",FPV(H1862,K1862),IF(H1862="EI",4,IF(H1862="EO",5.2,IF(H1862="EQ",3.9,IF(H1862="ILF",7.5,IF(H1862="EIF",5.4)))))))</f>
        <v/>
      </c>
      <c r="M1862" s="112" t="str">
        <f t="shared" si="32"/>
        <v/>
      </c>
      <c r="N1862" s="113"/>
    </row>
    <row r="1863" spans="2:14">
      <c r="B1863" s="105"/>
      <c r="C1863" s="106"/>
      <c r="D1863" s="107"/>
      <c r="E1863" s="65"/>
      <c r="F1863" s="64"/>
      <c r="G1863" s="64"/>
      <c r="H1863" s="64"/>
      <c r="I1863" s="70"/>
      <c r="J1863" s="70"/>
      <c r="K1863" s="110" t="str">
        <f>IF(H1863="","",IF($C$29="간이법","",FPR(H1863,I1863,J1863)))</f>
        <v/>
      </c>
      <c r="L1863" s="111" t="str">
        <f>IF(H1863="","",IF($C$29="상세법",FPV(H1863,K1863),IF(H1863="EI",4,IF(H1863="EO",5.2,IF(H1863="EQ",3.9,IF(H1863="ILF",7.5,IF(H1863="EIF",5.4)))))))</f>
        <v/>
      </c>
      <c r="M1863" s="112" t="str">
        <f t="shared" si="32"/>
        <v/>
      </c>
      <c r="N1863" s="113"/>
    </row>
    <row r="1864" spans="2:14">
      <c r="B1864" s="105"/>
      <c r="C1864" s="106"/>
      <c r="D1864" s="107"/>
      <c r="E1864" s="65"/>
      <c r="F1864" s="64"/>
      <c r="G1864" s="64"/>
      <c r="H1864" s="64"/>
      <c r="I1864" s="70"/>
      <c r="J1864" s="70"/>
      <c r="K1864" s="110" t="str">
        <f>IF(H1864="","",IF($C$29="간이법","",FPR(H1864,I1864,J1864)))</f>
        <v/>
      </c>
      <c r="L1864" s="111" t="str">
        <f>IF(H1864="","",IF($C$29="상세법",FPV(H1864,K1864),IF(H1864="EI",4,IF(H1864="EO",5.2,IF(H1864="EQ",3.9,IF(H1864="ILF",7.5,IF(H1864="EIF",5.4)))))))</f>
        <v/>
      </c>
      <c r="M1864" s="112" t="str">
        <f t="shared" si="32"/>
        <v/>
      </c>
      <c r="N1864" s="113"/>
    </row>
    <row r="1865" spans="2:14">
      <c r="B1865" s="105"/>
      <c r="C1865" s="106"/>
      <c r="D1865" s="107"/>
      <c r="E1865" s="65"/>
      <c r="F1865" s="64"/>
      <c r="G1865" s="64"/>
      <c r="H1865" s="64"/>
      <c r="I1865" s="70"/>
      <c r="J1865" s="70"/>
      <c r="K1865" s="110" t="str">
        <f>IF(H1865="","",IF($C$29="간이법","",FPR(H1865,I1865,J1865)))</f>
        <v/>
      </c>
      <c r="L1865" s="111" t="str">
        <f>IF(H1865="","",IF($C$29="상세법",FPV(H1865,K1865),IF(H1865="EI",4,IF(H1865="EO",5.2,IF(H1865="EQ",3.9,IF(H1865="ILF",7.5,IF(H1865="EIF",5.4)))))))</f>
        <v/>
      </c>
      <c r="M1865" s="112" t="str">
        <f t="shared" si="32"/>
        <v/>
      </c>
      <c r="N1865" s="113"/>
    </row>
    <row r="1866" spans="2:14">
      <c r="B1866" s="105"/>
      <c r="C1866" s="106"/>
      <c r="D1866" s="107"/>
      <c r="E1866" s="65"/>
      <c r="F1866" s="64"/>
      <c r="G1866" s="64"/>
      <c r="H1866" s="64"/>
      <c r="I1866" s="70"/>
      <c r="J1866" s="70"/>
      <c r="K1866" s="110" t="str">
        <f>IF(H1866="","",IF($C$29="간이법","",FPR(H1866,I1866,J1866)))</f>
        <v/>
      </c>
      <c r="L1866" s="111" t="str">
        <f>IF(H1866="","",IF($C$29="상세법",FPV(H1866,K1866),IF(H1866="EI",4,IF(H1866="EO",5.2,IF(H1866="EQ",3.9,IF(H1866="ILF",7.5,IF(H1866="EIF",5.4)))))))</f>
        <v/>
      </c>
      <c r="M1866" s="112" t="str">
        <f t="shared" si="32"/>
        <v/>
      </c>
      <c r="N1866" s="113"/>
    </row>
    <row r="1867" spans="2:14">
      <c r="B1867" s="105"/>
      <c r="C1867" s="106"/>
      <c r="D1867" s="107"/>
      <c r="E1867" s="65"/>
      <c r="F1867" s="64"/>
      <c r="G1867" s="64"/>
      <c r="H1867" s="64"/>
      <c r="I1867" s="70"/>
      <c r="J1867" s="70"/>
      <c r="K1867" s="110" t="str">
        <f>IF(H1867="","",IF($C$29="간이법","",FPR(H1867,I1867,J1867)))</f>
        <v/>
      </c>
      <c r="L1867" s="111" t="str">
        <f>IF(H1867="","",IF($C$29="상세법",FPV(H1867,K1867),IF(H1867="EI",4,IF(H1867="EO",5.2,IF(H1867="EQ",3.9,IF(H1867="ILF",7.5,IF(H1867="EIF",5.4)))))))</f>
        <v/>
      </c>
      <c r="M1867" s="112" t="str">
        <f t="shared" si="32"/>
        <v/>
      </c>
      <c r="N1867" s="113"/>
    </row>
    <row r="1868" spans="2:14">
      <c r="B1868" s="105"/>
      <c r="C1868" s="106"/>
      <c r="D1868" s="107"/>
      <c r="E1868" s="65"/>
      <c r="F1868" s="64"/>
      <c r="G1868" s="64"/>
      <c r="H1868" s="64"/>
      <c r="I1868" s="70"/>
      <c r="J1868" s="70"/>
      <c r="K1868" s="110" t="str">
        <f>IF(H1868="","",IF($C$29="간이법","",FPR(H1868,I1868,J1868)))</f>
        <v/>
      </c>
      <c r="L1868" s="111" t="str">
        <f>IF(H1868="","",IF($C$29="상세법",FPV(H1868,K1868),IF(H1868="EI",4,IF(H1868="EO",5.2,IF(H1868="EQ",3.9,IF(H1868="ILF",7.5,IF(H1868="EIF",5.4)))))))</f>
        <v/>
      </c>
      <c r="M1868" s="112" t="str">
        <f t="shared" si="32"/>
        <v/>
      </c>
      <c r="N1868" s="113"/>
    </row>
    <row r="1869" spans="2:14">
      <c r="B1869" s="105"/>
      <c r="C1869" s="106"/>
      <c r="D1869" s="107"/>
      <c r="E1869" s="65"/>
      <c r="F1869" s="64"/>
      <c r="G1869" s="64"/>
      <c r="H1869" s="64"/>
      <c r="I1869" s="70"/>
      <c r="J1869" s="70"/>
      <c r="K1869" s="110" t="str">
        <f>IF(H1869="","",IF($C$29="간이법","",FPR(H1869,I1869,J1869)))</f>
        <v/>
      </c>
      <c r="L1869" s="111" t="str">
        <f>IF(H1869="","",IF($C$29="상세법",FPV(H1869,K1869),IF(H1869="EI",4,IF(H1869="EO",5.2,IF(H1869="EQ",3.9,IF(H1869="ILF",7.5,IF(H1869="EIF",5.4)))))))</f>
        <v/>
      </c>
      <c r="M1869" s="112" t="str">
        <f t="shared" si="32"/>
        <v/>
      </c>
      <c r="N1869" s="113"/>
    </row>
    <row r="1870" spans="2:14">
      <c r="B1870" s="105"/>
      <c r="C1870" s="106"/>
      <c r="D1870" s="107"/>
      <c r="E1870" s="65"/>
      <c r="F1870" s="64"/>
      <c r="G1870" s="64"/>
      <c r="H1870" s="64"/>
      <c r="I1870" s="70"/>
      <c r="J1870" s="70"/>
      <c r="K1870" s="110" t="str">
        <f>IF(H1870="","",IF($C$29="간이법","",FPR(H1870,I1870,J1870)))</f>
        <v/>
      </c>
      <c r="L1870" s="111" t="str">
        <f>IF(H1870="","",IF($C$29="상세법",FPV(H1870,K1870),IF(H1870="EI",4,IF(H1870="EO",5.2,IF(H1870="EQ",3.9,IF(H1870="ILF",7.5,IF(H1870="EIF",5.4)))))))</f>
        <v/>
      </c>
      <c r="M1870" s="112" t="str">
        <f t="shared" si="32"/>
        <v/>
      </c>
      <c r="N1870" s="113"/>
    </row>
    <row r="1871" spans="2:14">
      <c r="B1871" s="105"/>
      <c r="C1871" s="106"/>
      <c r="D1871" s="107"/>
      <c r="E1871" s="65"/>
      <c r="F1871" s="64"/>
      <c r="G1871" s="64"/>
      <c r="H1871" s="64"/>
      <c r="I1871" s="70"/>
      <c r="J1871" s="70"/>
      <c r="K1871" s="110" t="str">
        <f>IF(H1871="","",IF($C$29="간이법","",FPR(H1871,I1871,J1871)))</f>
        <v/>
      </c>
      <c r="L1871" s="111" t="str">
        <f>IF(H1871="","",IF($C$29="상세법",FPV(H1871,K1871),IF(H1871="EI",4,IF(H1871="EO",5.2,IF(H1871="EQ",3.9,IF(H1871="ILF",7.5,IF(H1871="EIF",5.4)))))))</f>
        <v/>
      </c>
      <c r="M1871" s="112" t="str">
        <f t="shared" si="32"/>
        <v/>
      </c>
      <c r="N1871" s="113"/>
    </row>
    <row r="1872" spans="2:14">
      <c r="B1872" s="105"/>
      <c r="C1872" s="106"/>
      <c r="D1872" s="107"/>
      <c r="E1872" s="65"/>
      <c r="F1872" s="64"/>
      <c r="G1872" s="64"/>
      <c r="H1872" s="64"/>
      <c r="I1872" s="70"/>
      <c r="J1872" s="70"/>
      <c r="K1872" s="110" t="str">
        <f>IF(H1872="","",IF($C$29="간이법","",FPR(H1872,I1872,J1872)))</f>
        <v/>
      </c>
      <c r="L1872" s="111" t="str">
        <f>IF(H1872="","",IF($C$29="상세법",FPV(H1872,K1872),IF(H1872="EI",4,IF(H1872="EO",5.2,IF(H1872="EQ",3.9,IF(H1872="ILF",7.5,IF(H1872="EIF",5.4)))))))</f>
        <v/>
      </c>
      <c r="M1872" s="112" t="str">
        <f t="shared" si="32"/>
        <v/>
      </c>
      <c r="N1872" s="113"/>
    </row>
    <row r="1873" spans="2:14">
      <c r="B1873" s="105"/>
      <c r="C1873" s="106"/>
      <c r="D1873" s="107"/>
      <c r="E1873" s="65"/>
      <c r="F1873" s="64"/>
      <c r="G1873" s="64"/>
      <c r="H1873" s="64"/>
      <c r="I1873" s="70"/>
      <c r="J1873" s="70"/>
      <c r="K1873" s="110" t="str">
        <f>IF(H1873="","",IF($C$29="간이법","",FPR(H1873,I1873,J1873)))</f>
        <v/>
      </c>
      <c r="L1873" s="111" t="str">
        <f>IF(H1873="","",IF($C$29="상세법",FPV(H1873,K1873),IF(H1873="EI",4,IF(H1873="EO",5.2,IF(H1873="EQ",3.9,IF(H1873="ILF",7.5,IF(H1873="EIF",5.4)))))))</f>
        <v/>
      </c>
      <c r="M1873" s="112" t="str">
        <f t="shared" si="32"/>
        <v/>
      </c>
      <c r="N1873" s="113"/>
    </row>
    <row r="1874" spans="2:14">
      <c r="B1874" s="105"/>
      <c r="C1874" s="106"/>
      <c r="D1874" s="107"/>
      <c r="E1874" s="65"/>
      <c r="F1874" s="64"/>
      <c r="G1874" s="64"/>
      <c r="H1874" s="64"/>
      <c r="I1874" s="70"/>
      <c r="J1874" s="70"/>
      <c r="K1874" s="110" t="str">
        <f>IF(H1874="","",IF($C$29="간이법","",FPR(H1874,I1874,J1874)))</f>
        <v/>
      </c>
      <c r="L1874" s="111" t="str">
        <f>IF(H1874="","",IF($C$29="상세법",FPV(H1874,K1874),IF(H1874="EI",4,IF(H1874="EO",5.2,IF(H1874="EQ",3.9,IF(H1874="ILF",7.5,IF(H1874="EIF",5.4)))))))</f>
        <v/>
      </c>
      <c r="M1874" s="112" t="str">
        <f t="shared" si="32"/>
        <v/>
      </c>
      <c r="N1874" s="113"/>
    </row>
    <row r="1875" spans="2:14">
      <c r="B1875" s="105"/>
      <c r="C1875" s="106"/>
      <c r="D1875" s="107"/>
      <c r="E1875" s="65"/>
      <c r="F1875" s="64"/>
      <c r="G1875" s="64"/>
      <c r="H1875" s="64"/>
      <c r="I1875" s="70"/>
      <c r="J1875" s="70"/>
      <c r="K1875" s="110" t="str">
        <f>IF(H1875="","",IF($C$29="간이법","",FPR(H1875,I1875,J1875)))</f>
        <v/>
      </c>
      <c r="L1875" s="111" t="str">
        <f>IF(H1875="","",IF($C$29="상세법",FPV(H1875,K1875),IF(H1875="EI",4,IF(H1875="EO",5.2,IF(H1875="EQ",3.9,IF(H1875="ILF",7.5,IF(H1875="EIF",5.4)))))))</f>
        <v/>
      </c>
      <c r="M1875" s="112" t="str">
        <f t="shared" si="32"/>
        <v/>
      </c>
      <c r="N1875" s="113"/>
    </row>
    <row r="1876" spans="2:14">
      <c r="B1876" s="105"/>
      <c r="C1876" s="106"/>
      <c r="D1876" s="107"/>
      <c r="E1876" s="65"/>
      <c r="F1876" s="64"/>
      <c r="G1876" s="64"/>
      <c r="H1876" s="64"/>
      <c r="I1876" s="70"/>
      <c r="J1876" s="70"/>
      <c r="K1876" s="110" t="str">
        <f>IF(H1876="","",IF($C$29="간이법","",FPR(H1876,I1876,J1876)))</f>
        <v/>
      </c>
      <c r="L1876" s="111" t="str">
        <f>IF(H1876="","",IF($C$29="상세법",FPV(H1876,K1876),IF(H1876="EI",4,IF(H1876="EO",5.2,IF(H1876="EQ",3.9,IF(H1876="ILF",7.5,IF(H1876="EIF",5.4)))))))</f>
        <v/>
      </c>
      <c r="M1876" s="112" t="str">
        <f t="shared" si="32"/>
        <v/>
      </c>
      <c r="N1876" s="113"/>
    </row>
    <row r="1877" spans="2:14">
      <c r="B1877" s="105"/>
      <c r="C1877" s="106"/>
      <c r="D1877" s="107"/>
      <c r="E1877" s="65"/>
      <c r="F1877" s="64"/>
      <c r="G1877" s="64"/>
      <c r="H1877" s="64"/>
      <c r="I1877" s="70"/>
      <c r="J1877" s="70"/>
      <c r="K1877" s="110" t="str">
        <f>IF(H1877="","",IF($C$29="간이법","",FPR(H1877,I1877,J1877)))</f>
        <v/>
      </c>
      <c r="L1877" s="111" t="str">
        <f>IF(H1877="","",IF($C$29="상세법",FPV(H1877,K1877),IF(H1877="EI",4,IF(H1877="EO",5.2,IF(H1877="EQ",3.9,IF(H1877="ILF",7.5,IF(H1877="EIF",5.4)))))))</f>
        <v/>
      </c>
      <c r="M1877" s="112" t="str">
        <f t="shared" si="32"/>
        <v/>
      </c>
      <c r="N1877" s="113"/>
    </row>
    <row r="1878" spans="2:14">
      <c r="B1878" s="105"/>
      <c r="C1878" s="106"/>
      <c r="D1878" s="107"/>
      <c r="E1878" s="65"/>
      <c r="F1878" s="64"/>
      <c r="G1878" s="64"/>
      <c r="H1878" s="64"/>
      <c r="I1878" s="70"/>
      <c r="J1878" s="70"/>
      <c r="K1878" s="110" t="str">
        <f>IF(H1878="","",IF($C$29="간이법","",FPR(H1878,I1878,J1878)))</f>
        <v/>
      </c>
      <c r="L1878" s="111" t="str">
        <f>IF(H1878="","",IF($C$29="상세법",FPV(H1878,K1878),IF(H1878="EI",4,IF(H1878="EO",5.2,IF(H1878="EQ",3.9,IF(H1878="ILF",7.5,IF(H1878="EIF",5.4)))))))</f>
        <v/>
      </c>
      <c r="M1878" s="112" t="str">
        <f t="shared" si="32"/>
        <v/>
      </c>
      <c r="N1878" s="113"/>
    </row>
    <row r="1879" spans="2:14">
      <c r="B1879" s="105"/>
      <c r="C1879" s="106"/>
      <c r="D1879" s="107"/>
      <c r="E1879" s="65"/>
      <c r="F1879" s="64"/>
      <c r="G1879" s="64"/>
      <c r="H1879" s="64"/>
      <c r="I1879" s="70"/>
      <c r="J1879" s="70"/>
      <c r="K1879" s="110" t="str">
        <f>IF(H1879="","",IF($C$29="간이법","",FPR(H1879,I1879,J1879)))</f>
        <v/>
      </c>
      <c r="L1879" s="111" t="str">
        <f>IF(H1879="","",IF($C$29="상세법",FPV(H1879,K1879),IF(H1879="EI",4,IF(H1879="EO",5.2,IF(H1879="EQ",3.9,IF(H1879="ILF",7.5,IF(H1879="EIF",5.4)))))))</f>
        <v/>
      </c>
      <c r="M1879" s="112" t="str">
        <f t="shared" si="32"/>
        <v/>
      </c>
      <c r="N1879" s="113"/>
    </row>
    <row r="1880" spans="2:14">
      <c r="B1880" s="105"/>
      <c r="C1880" s="106"/>
      <c r="D1880" s="107"/>
      <c r="E1880" s="65"/>
      <c r="F1880" s="64"/>
      <c r="G1880" s="64"/>
      <c r="H1880" s="64"/>
      <c r="I1880" s="70"/>
      <c r="J1880" s="70"/>
      <c r="K1880" s="110" t="str">
        <f>IF(H1880="","",IF($C$29="간이법","",FPR(H1880,I1880,J1880)))</f>
        <v/>
      </c>
      <c r="L1880" s="111" t="str">
        <f>IF(H1880="","",IF($C$29="상세법",FPV(H1880,K1880),IF(H1880="EI",4,IF(H1880="EO",5.2,IF(H1880="EQ",3.9,IF(H1880="ILF",7.5,IF(H1880="EIF",5.4)))))))</f>
        <v/>
      </c>
      <c r="M1880" s="112" t="str">
        <f t="shared" si="32"/>
        <v/>
      </c>
      <c r="N1880" s="113"/>
    </row>
    <row r="1881" spans="2:14">
      <c r="B1881" s="105"/>
      <c r="C1881" s="106"/>
      <c r="D1881" s="107"/>
      <c r="E1881" s="65"/>
      <c r="F1881" s="64"/>
      <c r="G1881" s="64"/>
      <c r="H1881" s="64"/>
      <c r="I1881" s="70"/>
      <c r="J1881" s="70"/>
      <c r="K1881" s="110" t="str">
        <f>IF(H1881="","",IF($C$29="간이법","",FPR(H1881,I1881,J1881)))</f>
        <v/>
      </c>
      <c r="L1881" s="111" t="str">
        <f>IF(H1881="","",IF($C$29="상세법",FPV(H1881,K1881),IF(H1881="EI",4,IF(H1881="EO",5.2,IF(H1881="EQ",3.9,IF(H1881="ILF",7.5,IF(H1881="EIF",5.4)))))))</f>
        <v/>
      </c>
      <c r="M1881" s="112" t="str">
        <f t="shared" si="32"/>
        <v/>
      </c>
      <c r="N1881" s="113"/>
    </row>
    <row r="1882" spans="2:14">
      <c r="B1882" s="105"/>
      <c r="C1882" s="106"/>
      <c r="D1882" s="107"/>
      <c r="E1882" s="65"/>
      <c r="F1882" s="64"/>
      <c r="G1882" s="64"/>
      <c r="H1882" s="64"/>
      <c r="I1882" s="70"/>
      <c r="J1882" s="70"/>
      <c r="K1882" s="110" t="str">
        <f>IF(H1882="","",IF($C$29="간이법","",FPR(H1882,I1882,J1882)))</f>
        <v/>
      </c>
      <c r="L1882" s="111" t="str">
        <f>IF(H1882="","",IF($C$29="상세법",FPV(H1882,K1882),IF(H1882="EI",4,IF(H1882="EO",5.2,IF(H1882="EQ",3.9,IF(H1882="ILF",7.5,IF(H1882="EIF",5.4)))))))</f>
        <v/>
      </c>
      <c r="M1882" s="112" t="str">
        <f t="shared" si="32"/>
        <v/>
      </c>
      <c r="N1882" s="113"/>
    </row>
    <row r="1883" spans="2:14">
      <c r="B1883" s="105"/>
      <c r="C1883" s="106"/>
      <c r="D1883" s="107"/>
      <c r="E1883" s="65"/>
      <c r="F1883" s="64"/>
      <c r="G1883" s="64"/>
      <c r="H1883" s="64"/>
      <c r="I1883" s="70"/>
      <c r="J1883" s="70"/>
      <c r="K1883" s="110" t="str">
        <f>IF(H1883="","",IF($C$29="간이법","",FPR(H1883,I1883,J1883)))</f>
        <v/>
      </c>
      <c r="L1883" s="111" t="str">
        <f>IF(H1883="","",IF($C$29="상세법",FPV(H1883,K1883),IF(H1883="EI",4,IF(H1883="EO",5.2,IF(H1883="EQ",3.9,IF(H1883="ILF",7.5,IF(H1883="EIF",5.4)))))))</f>
        <v/>
      </c>
      <c r="M1883" s="112" t="str">
        <f t="shared" si="32"/>
        <v/>
      </c>
      <c r="N1883" s="113"/>
    </row>
    <row r="1884" spans="2:14">
      <c r="B1884" s="105"/>
      <c r="C1884" s="106"/>
      <c r="D1884" s="107"/>
      <c r="E1884" s="65"/>
      <c r="F1884" s="64"/>
      <c r="G1884" s="64"/>
      <c r="H1884" s="64"/>
      <c r="I1884" s="70"/>
      <c r="J1884" s="70"/>
      <c r="K1884" s="110" t="str">
        <f>IF(H1884="","",IF($C$29="간이법","",FPR(H1884,I1884,J1884)))</f>
        <v/>
      </c>
      <c r="L1884" s="111" t="str">
        <f>IF(H1884="","",IF($C$29="상세법",FPV(H1884,K1884),IF(H1884="EI",4,IF(H1884="EO",5.2,IF(H1884="EQ",3.9,IF(H1884="ILF",7.5,IF(H1884="EIF",5.4)))))))</f>
        <v/>
      </c>
      <c r="M1884" s="112" t="str">
        <f t="shared" si="32"/>
        <v/>
      </c>
      <c r="N1884" s="113"/>
    </row>
    <row r="1885" spans="2:14">
      <c r="B1885" s="105"/>
      <c r="C1885" s="106"/>
      <c r="D1885" s="107"/>
      <c r="E1885" s="65"/>
      <c r="F1885" s="64"/>
      <c r="G1885" s="64"/>
      <c r="H1885" s="64"/>
      <c r="I1885" s="70"/>
      <c r="J1885" s="70"/>
      <c r="K1885" s="110" t="str">
        <f>IF(H1885="","",IF($C$29="간이법","",FPR(H1885,I1885,J1885)))</f>
        <v/>
      </c>
      <c r="L1885" s="111" t="str">
        <f>IF(H1885="","",IF($C$29="상세법",FPV(H1885,K1885),IF(H1885="EI",4,IF(H1885="EO",5.2,IF(H1885="EQ",3.9,IF(H1885="ILF",7.5,IF(H1885="EIF",5.4)))))))</f>
        <v/>
      </c>
      <c r="M1885" s="112" t="str">
        <f t="shared" si="32"/>
        <v/>
      </c>
      <c r="N1885" s="113"/>
    </row>
    <row r="1886" spans="2:14">
      <c r="B1886" s="105"/>
      <c r="C1886" s="106"/>
      <c r="D1886" s="107"/>
      <c r="E1886" s="65"/>
      <c r="F1886" s="64"/>
      <c r="G1886" s="64"/>
      <c r="H1886" s="64"/>
      <c r="I1886" s="70"/>
      <c r="J1886" s="70"/>
      <c r="K1886" s="110" t="str">
        <f>IF(H1886="","",IF($C$29="간이법","",FPR(H1886,I1886,J1886)))</f>
        <v/>
      </c>
      <c r="L1886" s="111" t="str">
        <f>IF(H1886="","",IF($C$29="상세법",FPV(H1886,K1886),IF(H1886="EI",4,IF(H1886="EO",5.2,IF(H1886="EQ",3.9,IF(H1886="ILF",7.5,IF(H1886="EIF",5.4)))))))</f>
        <v/>
      </c>
      <c r="M1886" s="112" t="str">
        <f t="shared" si="32"/>
        <v/>
      </c>
      <c r="N1886" s="113"/>
    </row>
    <row r="1887" spans="2:14">
      <c r="B1887" s="105"/>
      <c r="C1887" s="106"/>
      <c r="D1887" s="107"/>
      <c r="E1887" s="65"/>
      <c r="F1887" s="64"/>
      <c r="G1887" s="64"/>
      <c r="H1887" s="64"/>
      <c r="I1887" s="70"/>
      <c r="J1887" s="70"/>
      <c r="K1887" s="110" t="str">
        <f>IF(H1887="","",IF($C$29="간이법","",FPR(H1887,I1887,J1887)))</f>
        <v/>
      </c>
      <c r="L1887" s="111" t="str">
        <f>IF(H1887="","",IF($C$29="상세법",FPV(H1887,K1887),IF(H1887="EI",4,IF(H1887="EO",5.2,IF(H1887="EQ",3.9,IF(H1887="ILF",7.5,IF(H1887="EIF",5.4)))))))</f>
        <v/>
      </c>
      <c r="M1887" s="112" t="str">
        <f t="shared" si="32"/>
        <v/>
      </c>
      <c r="N1887" s="113"/>
    </row>
    <row r="1888" spans="2:14">
      <c r="B1888" s="105"/>
      <c r="C1888" s="106"/>
      <c r="D1888" s="107"/>
      <c r="E1888" s="65"/>
      <c r="F1888" s="64"/>
      <c r="G1888" s="64"/>
      <c r="H1888" s="64"/>
      <c r="I1888" s="70"/>
      <c r="J1888" s="70"/>
      <c r="K1888" s="110" t="str">
        <f>IF(H1888="","",IF($C$29="간이법","",FPR(H1888,I1888,J1888)))</f>
        <v/>
      </c>
      <c r="L1888" s="111" t="str">
        <f>IF(H1888="","",IF($C$29="상세법",FPV(H1888,K1888),IF(H1888="EI",4,IF(H1888="EO",5.2,IF(H1888="EQ",3.9,IF(H1888="ILF",7.5,IF(H1888="EIF",5.4)))))))</f>
        <v/>
      </c>
      <c r="M1888" s="112" t="str">
        <f t="shared" si="32"/>
        <v/>
      </c>
      <c r="N1888" s="113"/>
    </row>
    <row r="1889" spans="2:14">
      <c r="B1889" s="105"/>
      <c r="C1889" s="106"/>
      <c r="D1889" s="107"/>
      <c r="E1889" s="65"/>
      <c r="F1889" s="64"/>
      <c r="G1889" s="64"/>
      <c r="H1889" s="64"/>
      <c r="I1889" s="70"/>
      <c r="J1889" s="70"/>
      <c r="K1889" s="110" t="str">
        <f>IF(H1889="","",IF($C$29="간이법","",FPR(H1889,I1889,J1889)))</f>
        <v/>
      </c>
      <c r="L1889" s="111" t="str">
        <f>IF(H1889="","",IF($C$29="상세법",FPV(H1889,K1889),IF(H1889="EI",4,IF(H1889="EO",5.2,IF(H1889="EQ",3.9,IF(H1889="ILF",7.5,IF(H1889="EIF",5.4)))))))</f>
        <v/>
      </c>
      <c r="M1889" s="112" t="str">
        <f t="shared" si="32"/>
        <v/>
      </c>
      <c r="N1889" s="113"/>
    </row>
    <row r="1890" spans="2:14">
      <c r="B1890" s="105"/>
      <c r="C1890" s="106"/>
      <c r="D1890" s="107"/>
      <c r="E1890" s="65"/>
      <c r="F1890" s="64"/>
      <c r="G1890" s="64"/>
      <c r="H1890" s="64"/>
      <c r="I1890" s="70"/>
      <c r="J1890" s="70"/>
      <c r="K1890" s="110" t="str">
        <f>IF(H1890="","",IF($C$29="간이법","",FPR(H1890,I1890,J1890)))</f>
        <v/>
      </c>
      <c r="L1890" s="111" t="str">
        <f>IF(H1890="","",IF($C$29="상세법",FPV(H1890,K1890),IF(H1890="EI",4,IF(H1890="EO",5.2,IF(H1890="EQ",3.9,IF(H1890="ILF",7.5,IF(H1890="EIF",5.4)))))))</f>
        <v/>
      </c>
      <c r="M1890" s="112" t="str">
        <f t="shared" si="32"/>
        <v/>
      </c>
      <c r="N1890" s="113"/>
    </row>
    <row r="1891" spans="2:14">
      <c r="B1891" s="105"/>
      <c r="C1891" s="106"/>
      <c r="D1891" s="107"/>
      <c r="E1891" s="65"/>
      <c r="F1891" s="64"/>
      <c r="G1891" s="64"/>
      <c r="H1891" s="64"/>
      <c r="I1891" s="70"/>
      <c r="J1891" s="70"/>
      <c r="K1891" s="110" t="str">
        <f>IF(H1891="","",IF($C$29="간이법","",FPR(H1891,I1891,J1891)))</f>
        <v/>
      </c>
      <c r="L1891" s="111" t="str">
        <f>IF(H1891="","",IF($C$29="상세법",FPV(H1891,K1891),IF(H1891="EI",4,IF(H1891="EO",5.2,IF(H1891="EQ",3.9,IF(H1891="ILF",7.5,IF(H1891="EIF",5.4)))))))</f>
        <v/>
      </c>
      <c r="M1891" s="112" t="str">
        <f t="shared" si="32"/>
        <v/>
      </c>
      <c r="N1891" s="113"/>
    </row>
    <row r="1892" spans="2:14">
      <c r="B1892" s="105"/>
      <c r="C1892" s="106"/>
      <c r="D1892" s="107"/>
      <c r="E1892" s="65"/>
      <c r="F1892" s="64"/>
      <c r="G1892" s="64"/>
      <c r="H1892" s="64"/>
      <c r="I1892" s="70"/>
      <c r="J1892" s="70"/>
      <c r="K1892" s="110" t="str">
        <f>IF(H1892="","",IF($C$29="간이법","",FPR(H1892,I1892,J1892)))</f>
        <v/>
      </c>
      <c r="L1892" s="111" t="str">
        <f>IF(H1892="","",IF($C$29="상세법",FPV(H1892,K1892),IF(H1892="EI",4,IF(H1892="EO",5.2,IF(H1892="EQ",3.9,IF(H1892="ILF",7.5,IF(H1892="EIF",5.4)))))))</f>
        <v/>
      </c>
      <c r="M1892" s="112" t="str">
        <f t="shared" si="32"/>
        <v/>
      </c>
      <c r="N1892" s="113"/>
    </row>
    <row r="1893" spans="2:14">
      <c r="B1893" s="105"/>
      <c r="C1893" s="106"/>
      <c r="D1893" s="107"/>
      <c r="E1893" s="65"/>
      <c r="F1893" s="64"/>
      <c r="G1893" s="64"/>
      <c r="H1893" s="64"/>
      <c r="I1893" s="70"/>
      <c r="J1893" s="70"/>
      <c r="K1893" s="110" t="str">
        <f>IF(H1893="","",IF($C$29="간이법","",FPR(H1893,I1893,J1893)))</f>
        <v/>
      </c>
      <c r="L1893" s="111" t="str">
        <f>IF(H1893="","",IF($C$29="상세법",FPV(H1893,K1893),IF(H1893="EI",4,IF(H1893="EO",5.2,IF(H1893="EQ",3.9,IF(H1893="ILF",7.5,IF(H1893="EIF",5.4)))))))</f>
        <v/>
      </c>
      <c r="M1893" s="112" t="str">
        <f t="shared" si="32"/>
        <v/>
      </c>
      <c r="N1893" s="113"/>
    </row>
    <row r="1894" spans="2:14">
      <c r="B1894" s="105"/>
      <c r="C1894" s="106"/>
      <c r="D1894" s="107"/>
      <c r="E1894" s="65"/>
      <c r="F1894" s="64"/>
      <c r="G1894" s="64"/>
      <c r="H1894" s="64"/>
      <c r="I1894" s="70"/>
      <c r="J1894" s="70"/>
      <c r="K1894" s="110" t="str">
        <f>IF(H1894="","",IF($C$29="간이법","",FPR(H1894,I1894,J1894)))</f>
        <v/>
      </c>
      <c r="L1894" s="111" t="str">
        <f>IF(H1894="","",IF($C$29="상세법",FPV(H1894,K1894),IF(H1894="EI",4,IF(H1894="EO",5.2,IF(H1894="EQ",3.9,IF(H1894="ILF",7.5,IF(H1894="EIF",5.4)))))))</f>
        <v/>
      </c>
      <c r="M1894" s="112" t="str">
        <f t="shared" si="32"/>
        <v/>
      </c>
      <c r="N1894" s="113"/>
    </row>
    <row r="1895" spans="2:14">
      <c r="B1895" s="105"/>
      <c r="C1895" s="106"/>
      <c r="D1895" s="107"/>
      <c r="E1895" s="65"/>
      <c r="F1895" s="64"/>
      <c r="G1895" s="64"/>
      <c r="H1895" s="64"/>
      <c r="I1895" s="70"/>
      <c r="J1895" s="70"/>
      <c r="K1895" s="110" t="str">
        <f>IF(H1895="","",IF($C$29="간이법","",FPR(H1895,I1895,J1895)))</f>
        <v/>
      </c>
      <c r="L1895" s="111" t="str">
        <f>IF(H1895="","",IF($C$29="상세법",FPV(H1895,K1895),IF(H1895="EI",4,IF(H1895="EO",5.2,IF(H1895="EQ",3.9,IF(H1895="ILF",7.5,IF(H1895="EIF",5.4)))))))</f>
        <v/>
      </c>
      <c r="M1895" s="112" t="str">
        <f t="shared" si="32"/>
        <v/>
      </c>
      <c r="N1895" s="113"/>
    </row>
    <row r="1896" spans="2:14">
      <c r="B1896" s="105"/>
      <c r="C1896" s="106"/>
      <c r="D1896" s="107"/>
      <c r="E1896" s="65"/>
      <c r="F1896" s="64"/>
      <c r="G1896" s="64"/>
      <c r="H1896" s="64"/>
      <c r="I1896" s="70"/>
      <c r="J1896" s="70"/>
      <c r="K1896" s="110" t="str">
        <f>IF(H1896="","",IF($C$29="간이법","",FPR(H1896,I1896,J1896)))</f>
        <v/>
      </c>
      <c r="L1896" s="111" t="str">
        <f>IF(H1896="","",IF($C$29="상세법",FPV(H1896,K1896),IF(H1896="EI",4,IF(H1896="EO",5.2,IF(H1896="EQ",3.9,IF(H1896="ILF",7.5,IF(H1896="EIF",5.4)))))))</f>
        <v/>
      </c>
      <c r="M1896" s="112" t="str">
        <f t="shared" si="32"/>
        <v/>
      </c>
      <c r="N1896" s="113"/>
    </row>
    <row r="1897" spans="2:14">
      <c r="B1897" s="105"/>
      <c r="C1897" s="106"/>
      <c r="D1897" s="107"/>
      <c r="E1897" s="65"/>
      <c r="F1897" s="64"/>
      <c r="G1897" s="64"/>
      <c r="H1897" s="64"/>
      <c r="I1897" s="70"/>
      <c r="J1897" s="70"/>
      <c r="K1897" s="110" t="str">
        <f>IF(H1897="","",IF($C$29="간이법","",FPR(H1897,I1897,J1897)))</f>
        <v/>
      </c>
      <c r="L1897" s="111" t="str">
        <f>IF(H1897="","",IF($C$29="상세법",FPV(H1897,K1897),IF(H1897="EI",4,IF(H1897="EO",5.2,IF(H1897="EQ",3.9,IF(H1897="ILF",7.5,IF(H1897="EIF",5.4)))))))</f>
        <v/>
      </c>
      <c r="M1897" s="112" t="str">
        <f t="shared" si="32"/>
        <v/>
      </c>
      <c r="N1897" s="113"/>
    </row>
    <row r="1898" spans="2:14">
      <c r="B1898" s="105"/>
      <c r="C1898" s="106"/>
      <c r="D1898" s="107"/>
      <c r="E1898" s="65"/>
      <c r="F1898" s="64"/>
      <c r="G1898" s="64"/>
      <c r="H1898" s="64"/>
      <c r="I1898" s="70"/>
      <c r="J1898" s="70"/>
      <c r="K1898" s="110" t="str">
        <f>IF(H1898="","",IF($C$29="간이법","",FPR(H1898,I1898,J1898)))</f>
        <v/>
      </c>
      <c r="L1898" s="111" t="str">
        <f>IF(H1898="","",IF($C$29="상세법",FPV(H1898,K1898),IF(H1898="EI",4,IF(H1898="EO",5.2,IF(H1898="EQ",3.9,IF(H1898="ILF",7.5,IF(H1898="EIF",5.4)))))))</f>
        <v/>
      </c>
      <c r="M1898" s="112" t="str">
        <f t="shared" si="32"/>
        <v/>
      </c>
      <c r="N1898" s="113"/>
    </row>
    <row r="1899" spans="2:14">
      <c r="B1899" s="105"/>
      <c r="C1899" s="106"/>
      <c r="D1899" s="107"/>
      <c r="E1899" s="65"/>
      <c r="F1899" s="64"/>
      <c r="G1899" s="64"/>
      <c r="H1899" s="64"/>
      <c r="I1899" s="70"/>
      <c r="J1899" s="70"/>
      <c r="K1899" s="110" t="str">
        <f>IF(H1899="","",IF($C$29="간이법","",FPR(H1899,I1899,J1899)))</f>
        <v/>
      </c>
      <c r="L1899" s="111" t="str">
        <f>IF(H1899="","",IF($C$29="상세법",FPV(H1899,K1899),IF(H1899="EI",4,IF(H1899="EO",5.2,IF(H1899="EQ",3.9,IF(H1899="ILF",7.5,IF(H1899="EIF",5.4)))))))</f>
        <v/>
      </c>
      <c r="M1899" s="112" t="str">
        <f t="shared" si="32"/>
        <v/>
      </c>
      <c r="N1899" s="113"/>
    </row>
    <row r="1900" spans="2:14">
      <c r="B1900" s="105"/>
      <c r="C1900" s="106"/>
      <c r="D1900" s="107"/>
      <c r="E1900" s="65"/>
      <c r="F1900" s="64"/>
      <c r="G1900" s="64"/>
      <c r="H1900" s="64"/>
      <c r="I1900" s="70"/>
      <c r="J1900" s="70"/>
      <c r="K1900" s="110" t="str">
        <f>IF(H1900="","",IF($C$29="간이법","",FPR(H1900,I1900,J1900)))</f>
        <v/>
      </c>
      <c r="L1900" s="111" t="str">
        <f>IF(H1900="","",IF($C$29="상세법",FPV(H1900,K1900),IF(H1900="EI",4,IF(H1900="EO",5.2,IF(H1900="EQ",3.9,IF(H1900="ILF",7.5,IF(H1900="EIF",5.4)))))))</f>
        <v/>
      </c>
      <c r="M1900" s="112" t="str">
        <f t="shared" si="32"/>
        <v/>
      </c>
      <c r="N1900" s="113"/>
    </row>
    <row r="1901" spans="2:14">
      <c r="B1901" s="105"/>
      <c r="C1901" s="106"/>
      <c r="D1901" s="107"/>
      <c r="E1901" s="65"/>
      <c r="F1901" s="64"/>
      <c r="G1901" s="64"/>
      <c r="H1901" s="64"/>
      <c r="I1901" s="70"/>
      <c r="J1901" s="70"/>
      <c r="K1901" s="110" t="str">
        <f>IF(H1901="","",IF($C$29="간이법","",FPR(H1901,I1901,J1901)))</f>
        <v/>
      </c>
      <c r="L1901" s="111" t="str">
        <f>IF(H1901="","",IF($C$29="상세법",FPV(H1901,K1901),IF(H1901="EI",4,IF(H1901="EO",5.2,IF(H1901="EQ",3.9,IF(H1901="ILF",7.5,IF(H1901="EIF",5.4)))))))</f>
        <v/>
      </c>
      <c r="M1901" s="112" t="str">
        <f t="shared" si="32"/>
        <v/>
      </c>
      <c r="N1901" s="113"/>
    </row>
    <row r="1902" spans="2:14">
      <c r="B1902" s="105"/>
      <c r="C1902" s="106"/>
      <c r="D1902" s="107"/>
      <c r="E1902" s="65"/>
      <c r="F1902" s="64"/>
      <c r="G1902" s="64"/>
      <c r="H1902" s="64"/>
      <c r="I1902" s="70"/>
      <c r="J1902" s="70"/>
      <c r="K1902" s="110" t="str">
        <f>IF(H1902="","",IF($C$29="간이법","",FPR(H1902,I1902,J1902)))</f>
        <v/>
      </c>
      <c r="L1902" s="111" t="str">
        <f>IF(H1902="","",IF($C$29="상세법",FPV(H1902,K1902),IF(H1902="EI",4,IF(H1902="EO",5.2,IF(H1902="EQ",3.9,IF(H1902="ILF",7.5,IF(H1902="EIF",5.4)))))))</f>
        <v/>
      </c>
      <c r="M1902" s="112" t="str">
        <f t="shared" si="32"/>
        <v/>
      </c>
      <c r="N1902" s="113"/>
    </row>
    <row r="1903" spans="2:14">
      <c r="B1903" s="105"/>
      <c r="C1903" s="106"/>
      <c r="D1903" s="107"/>
      <c r="E1903" s="65"/>
      <c r="F1903" s="64"/>
      <c r="G1903" s="64"/>
      <c r="H1903" s="64"/>
      <c r="I1903" s="70"/>
      <c r="J1903" s="70"/>
      <c r="K1903" s="110" t="str">
        <f>IF(H1903="","",IF($C$29="간이법","",FPR(H1903,I1903,J1903)))</f>
        <v/>
      </c>
      <c r="L1903" s="111" t="str">
        <f>IF(H1903="","",IF($C$29="상세법",FPV(H1903,K1903),IF(H1903="EI",4,IF(H1903="EO",5.2,IF(H1903="EQ",3.9,IF(H1903="ILF",7.5,IF(H1903="EIF",5.4)))))))</f>
        <v/>
      </c>
      <c r="M1903" s="112" t="str">
        <f t="shared" si="32"/>
        <v/>
      </c>
      <c r="N1903" s="113"/>
    </row>
    <row r="1904" spans="2:14">
      <c r="B1904" s="105"/>
      <c r="C1904" s="106"/>
      <c r="D1904" s="107"/>
      <c r="E1904" s="65"/>
      <c r="F1904" s="64"/>
      <c r="G1904" s="64"/>
      <c r="H1904" s="64"/>
      <c r="I1904" s="70"/>
      <c r="J1904" s="70"/>
      <c r="K1904" s="110" t="str">
        <f>IF(H1904="","",IF($C$29="간이법","",FPR(H1904,I1904,J1904)))</f>
        <v/>
      </c>
      <c r="L1904" s="111" t="str">
        <f>IF(H1904="","",IF($C$29="상세법",FPV(H1904,K1904),IF(H1904="EI",4,IF(H1904="EO",5.2,IF(H1904="EQ",3.9,IF(H1904="ILF",7.5,IF(H1904="EIF",5.4)))))))</f>
        <v/>
      </c>
      <c r="M1904" s="112" t="str">
        <f t="shared" si="32"/>
        <v/>
      </c>
      <c r="N1904" s="113"/>
    </row>
    <row r="1905" spans="2:14">
      <c r="B1905" s="105"/>
      <c r="C1905" s="106"/>
      <c r="D1905" s="107"/>
      <c r="E1905" s="65"/>
      <c r="F1905" s="64"/>
      <c r="G1905" s="64"/>
      <c r="H1905" s="64"/>
      <c r="I1905" s="70"/>
      <c r="J1905" s="70"/>
      <c r="K1905" s="110" t="str">
        <f>IF(H1905="","",IF($C$29="간이법","",FPR(H1905,I1905,J1905)))</f>
        <v/>
      </c>
      <c r="L1905" s="111" t="str">
        <f>IF(H1905="","",IF($C$29="상세법",FPV(H1905,K1905),IF(H1905="EI",4,IF(H1905="EO",5.2,IF(H1905="EQ",3.9,IF(H1905="ILF",7.5,IF(H1905="EIF",5.4)))))))</f>
        <v/>
      </c>
      <c r="M1905" s="112" t="str">
        <f t="shared" si="32"/>
        <v/>
      </c>
      <c r="N1905" s="113"/>
    </row>
    <row r="1906" spans="2:14">
      <c r="B1906" s="105"/>
      <c r="C1906" s="106"/>
      <c r="D1906" s="107"/>
      <c r="E1906" s="65"/>
      <c r="F1906" s="64"/>
      <c r="G1906" s="64"/>
      <c r="H1906" s="64"/>
      <c r="I1906" s="70"/>
      <c r="J1906" s="70"/>
      <c r="K1906" s="110" t="str">
        <f>IF(H1906="","",IF($C$29="간이법","",FPR(H1906,I1906,J1906)))</f>
        <v/>
      </c>
      <c r="L1906" s="111" t="str">
        <f>IF(H1906="","",IF($C$29="상세법",FPV(H1906,K1906),IF(H1906="EI",4,IF(H1906="EO",5.2,IF(H1906="EQ",3.9,IF(H1906="ILF",7.5,IF(H1906="EIF",5.4)))))))</f>
        <v/>
      </c>
      <c r="M1906" s="112" t="str">
        <f t="shared" si="32"/>
        <v/>
      </c>
      <c r="N1906" s="113"/>
    </row>
    <row r="1907" spans="2:14">
      <c r="B1907" s="105"/>
      <c r="C1907" s="106"/>
      <c r="D1907" s="107"/>
      <c r="E1907" s="65"/>
      <c r="F1907" s="64"/>
      <c r="G1907" s="64"/>
      <c r="H1907" s="64"/>
      <c r="I1907" s="70"/>
      <c r="J1907" s="70"/>
      <c r="K1907" s="110" t="str">
        <f>IF(H1907="","",IF($C$29="간이법","",FPR(H1907,I1907,J1907)))</f>
        <v/>
      </c>
      <c r="L1907" s="111" t="str">
        <f>IF(H1907="","",IF($C$29="상세법",FPV(H1907,K1907),IF(H1907="EI",4,IF(H1907="EO",5.2,IF(H1907="EQ",3.9,IF(H1907="ILF",7.5,IF(H1907="EIF",5.4)))))))</f>
        <v/>
      </c>
      <c r="M1907" s="112" t="str">
        <f t="shared" si="32"/>
        <v/>
      </c>
      <c r="N1907" s="113"/>
    </row>
    <row r="1908" spans="2:14">
      <c r="B1908" s="105"/>
      <c r="C1908" s="106"/>
      <c r="D1908" s="107"/>
      <c r="E1908" s="65"/>
      <c r="F1908" s="64"/>
      <c r="G1908" s="64"/>
      <c r="H1908" s="64"/>
      <c r="I1908" s="70"/>
      <c r="J1908" s="70"/>
      <c r="K1908" s="110" t="str">
        <f>IF(H1908="","",IF($C$29="간이법","",FPR(H1908,I1908,J1908)))</f>
        <v/>
      </c>
      <c r="L1908" s="111" t="str">
        <f>IF(H1908="","",IF($C$29="상세법",FPV(H1908,K1908),IF(H1908="EI",4,IF(H1908="EO",5.2,IF(H1908="EQ",3.9,IF(H1908="ILF",7.5,IF(H1908="EIF",5.4)))))))</f>
        <v/>
      </c>
      <c r="M1908" s="112" t="str">
        <f t="shared" si="32"/>
        <v/>
      </c>
      <c r="N1908" s="113"/>
    </row>
    <row r="1909" spans="2:14">
      <c r="B1909" s="105"/>
      <c r="C1909" s="106"/>
      <c r="D1909" s="107"/>
      <c r="E1909" s="65"/>
      <c r="F1909" s="64"/>
      <c r="G1909" s="64"/>
      <c r="H1909" s="64"/>
      <c r="I1909" s="70"/>
      <c r="J1909" s="70"/>
      <c r="K1909" s="110" t="str">
        <f>IF(H1909="","",IF($C$29="간이법","",FPR(H1909,I1909,J1909)))</f>
        <v/>
      </c>
      <c r="L1909" s="111" t="str">
        <f>IF(H1909="","",IF($C$29="상세법",FPV(H1909,K1909),IF(H1909="EI",4,IF(H1909="EO",5.2,IF(H1909="EQ",3.9,IF(H1909="ILF",7.5,IF(H1909="EIF",5.4)))))))</f>
        <v/>
      </c>
      <c r="M1909" s="112" t="str">
        <f t="shared" si="32"/>
        <v/>
      </c>
      <c r="N1909" s="113"/>
    </row>
    <row r="1910" spans="2:14">
      <c r="B1910" s="105"/>
      <c r="C1910" s="106"/>
      <c r="D1910" s="107"/>
      <c r="E1910" s="65"/>
      <c r="F1910" s="64"/>
      <c r="G1910" s="64"/>
      <c r="H1910" s="64"/>
      <c r="I1910" s="70"/>
      <c r="J1910" s="70"/>
      <c r="K1910" s="110" t="str">
        <f>IF(H1910="","",IF($C$29="간이법","",FPR(H1910,I1910,J1910)))</f>
        <v/>
      </c>
      <c r="L1910" s="111" t="str">
        <f>IF(H1910="","",IF($C$29="상세법",FPV(H1910,K1910),IF(H1910="EI",4,IF(H1910="EO",5.2,IF(H1910="EQ",3.9,IF(H1910="ILF",7.5,IF(H1910="EIF",5.4)))))))</f>
        <v/>
      </c>
      <c r="M1910" s="112" t="str">
        <f t="shared" si="32"/>
        <v/>
      </c>
      <c r="N1910" s="113"/>
    </row>
    <row r="1911" spans="2:14">
      <c r="B1911" s="105"/>
      <c r="C1911" s="106"/>
      <c r="D1911" s="107"/>
      <c r="E1911" s="65"/>
      <c r="F1911" s="64"/>
      <c r="G1911" s="64"/>
      <c r="H1911" s="64"/>
      <c r="I1911" s="70"/>
      <c r="J1911" s="70"/>
      <c r="K1911" s="110" t="str">
        <f>IF(H1911="","",IF($C$29="간이법","",FPR(H1911,I1911,J1911)))</f>
        <v/>
      </c>
      <c r="L1911" s="111" t="str">
        <f>IF(H1911="","",IF($C$29="상세법",FPV(H1911,K1911),IF(H1911="EI",4,IF(H1911="EO",5.2,IF(H1911="EQ",3.9,IF(H1911="ILF",7.5,IF(H1911="EIF",5.4)))))))</f>
        <v/>
      </c>
      <c r="M1911" s="112" t="str">
        <f t="shared" si="32"/>
        <v/>
      </c>
      <c r="N1911" s="113"/>
    </row>
    <row r="1912" spans="2:14">
      <c r="B1912" s="105"/>
      <c r="C1912" s="106"/>
      <c r="D1912" s="107"/>
      <c r="E1912" s="65"/>
      <c r="F1912" s="64"/>
      <c r="G1912" s="64"/>
      <c r="H1912" s="64"/>
      <c r="I1912" s="70"/>
      <c r="J1912" s="70"/>
      <c r="K1912" s="110" t="str">
        <f>IF(H1912="","",IF($C$29="간이법","",FPR(H1912,I1912,J1912)))</f>
        <v/>
      </c>
      <c r="L1912" s="111" t="str">
        <f>IF(H1912="","",IF($C$29="상세법",FPV(H1912,K1912),IF(H1912="EI",4,IF(H1912="EO",5.2,IF(H1912="EQ",3.9,IF(H1912="ILF",7.5,IF(H1912="EIF",5.4)))))))</f>
        <v/>
      </c>
      <c r="M1912" s="112" t="str">
        <f t="shared" si="32"/>
        <v/>
      </c>
      <c r="N1912" s="113"/>
    </row>
    <row r="1913" spans="2:14">
      <c r="B1913" s="105"/>
      <c r="C1913" s="106"/>
      <c r="D1913" s="107"/>
      <c r="E1913" s="65"/>
      <c r="F1913" s="64"/>
      <c r="G1913" s="64"/>
      <c r="H1913" s="64"/>
      <c r="I1913" s="70"/>
      <c r="J1913" s="70"/>
      <c r="K1913" s="110" t="str">
        <f>IF(H1913="","",IF($C$29="간이법","",FPR(H1913,I1913,J1913)))</f>
        <v/>
      </c>
      <c r="L1913" s="111" t="str">
        <f>IF(H1913="","",IF($C$29="상세법",FPV(H1913,K1913),IF(H1913="EI",4,IF(H1913="EO",5.2,IF(H1913="EQ",3.9,IF(H1913="ILF",7.5,IF(H1913="EIF",5.4)))))))</f>
        <v/>
      </c>
      <c r="M1913" s="112" t="str">
        <f t="shared" ref="M1913:M1976" si="33">IF(L1913="","",L1913*IF(G1913="상",0.7,IF(G1913="중",0.5,IF(G1913="하",0.2,1))))</f>
        <v/>
      </c>
      <c r="N1913" s="113"/>
    </row>
    <row r="1914" spans="2:14">
      <c r="B1914" s="105"/>
      <c r="C1914" s="106"/>
      <c r="D1914" s="107"/>
      <c r="E1914" s="65"/>
      <c r="F1914" s="64"/>
      <c r="G1914" s="64"/>
      <c r="H1914" s="64"/>
      <c r="I1914" s="70"/>
      <c r="J1914" s="70"/>
      <c r="K1914" s="110" t="str">
        <f>IF(H1914="","",IF($C$29="간이법","",FPR(H1914,I1914,J1914)))</f>
        <v/>
      </c>
      <c r="L1914" s="111" t="str">
        <f>IF(H1914="","",IF($C$29="상세법",FPV(H1914,K1914),IF(H1914="EI",4,IF(H1914="EO",5.2,IF(H1914="EQ",3.9,IF(H1914="ILF",7.5,IF(H1914="EIF",5.4)))))))</f>
        <v/>
      </c>
      <c r="M1914" s="112" t="str">
        <f t="shared" si="33"/>
        <v/>
      </c>
      <c r="N1914" s="113"/>
    </row>
    <row r="1915" spans="2:14">
      <c r="B1915" s="105"/>
      <c r="C1915" s="106"/>
      <c r="D1915" s="107"/>
      <c r="E1915" s="65"/>
      <c r="F1915" s="64"/>
      <c r="G1915" s="64"/>
      <c r="H1915" s="64"/>
      <c r="I1915" s="70"/>
      <c r="J1915" s="70"/>
      <c r="K1915" s="110" t="str">
        <f>IF(H1915="","",IF($C$29="간이법","",FPR(H1915,I1915,J1915)))</f>
        <v/>
      </c>
      <c r="L1915" s="111" t="str">
        <f>IF(H1915="","",IF($C$29="상세법",FPV(H1915,K1915),IF(H1915="EI",4,IF(H1915="EO",5.2,IF(H1915="EQ",3.9,IF(H1915="ILF",7.5,IF(H1915="EIF",5.4)))))))</f>
        <v/>
      </c>
      <c r="M1915" s="112" t="str">
        <f t="shared" si="33"/>
        <v/>
      </c>
      <c r="N1915" s="113"/>
    </row>
    <row r="1916" spans="2:14">
      <c r="B1916" s="105"/>
      <c r="C1916" s="106"/>
      <c r="D1916" s="107"/>
      <c r="E1916" s="65"/>
      <c r="F1916" s="64"/>
      <c r="G1916" s="64"/>
      <c r="H1916" s="64"/>
      <c r="I1916" s="70"/>
      <c r="J1916" s="70"/>
      <c r="K1916" s="110" t="str">
        <f>IF(H1916="","",IF($C$29="간이법","",FPR(H1916,I1916,J1916)))</f>
        <v/>
      </c>
      <c r="L1916" s="111" t="str">
        <f>IF(H1916="","",IF($C$29="상세법",FPV(H1916,K1916),IF(H1916="EI",4,IF(H1916="EO",5.2,IF(H1916="EQ",3.9,IF(H1916="ILF",7.5,IF(H1916="EIF",5.4)))))))</f>
        <v/>
      </c>
      <c r="M1916" s="112" t="str">
        <f t="shared" si="33"/>
        <v/>
      </c>
      <c r="N1916" s="113"/>
    </row>
    <row r="1917" spans="2:14">
      <c r="B1917" s="105"/>
      <c r="C1917" s="106"/>
      <c r="D1917" s="107"/>
      <c r="E1917" s="65"/>
      <c r="F1917" s="64"/>
      <c r="G1917" s="64"/>
      <c r="H1917" s="64"/>
      <c r="I1917" s="70"/>
      <c r="J1917" s="70"/>
      <c r="K1917" s="110" t="str">
        <f>IF(H1917="","",IF($C$29="간이법","",FPR(H1917,I1917,J1917)))</f>
        <v/>
      </c>
      <c r="L1917" s="111" t="str">
        <f>IF(H1917="","",IF($C$29="상세법",FPV(H1917,K1917),IF(H1917="EI",4,IF(H1917="EO",5.2,IF(H1917="EQ",3.9,IF(H1917="ILF",7.5,IF(H1917="EIF",5.4)))))))</f>
        <v/>
      </c>
      <c r="M1917" s="112" t="str">
        <f t="shared" si="33"/>
        <v/>
      </c>
      <c r="N1917" s="113"/>
    </row>
    <row r="1918" spans="2:14">
      <c r="B1918" s="105"/>
      <c r="C1918" s="106"/>
      <c r="D1918" s="107"/>
      <c r="E1918" s="65"/>
      <c r="F1918" s="64"/>
      <c r="G1918" s="64"/>
      <c r="H1918" s="64"/>
      <c r="I1918" s="70"/>
      <c r="J1918" s="70"/>
      <c r="K1918" s="110" t="str">
        <f>IF(H1918="","",IF($C$29="간이법","",FPR(H1918,I1918,J1918)))</f>
        <v/>
      </c>
      <c r="L1918" s="111" t="str">
        <f>IF(H1918="","",IF($C$29="상세법",FPV(H1918,K1918),IF(H1918="EI",4,IF(H1918="EO",5.2,IF(H1918="EQ",3.9,IF(H1918="ILF",7.5,IF(H1918="EIF",5.4)))))))</f>
        <v/>
      </c>
      <c r="M1918" s="112" t="str">
        <f t="shared" si="33"/>
        <v/>
      </c>
      <c r="N1918" s="113"/>
    </row>
    <row r="1919" spans="2:14">
      <c r="B1919" s="105"/>
      <c r="C1919" s="106"/>
      <c r="D1919" s="107"/>
      <c r="E1919" s="65"/>
      <c r="F1919" s="64"/>
      <c r="G1919" s="64"/>
      <c r="H1919" s="64"/>
      <c r="I1919" s="70"/>
      <c r="J1919" s="70"/>
      <c r="K1919" s="110" t="str">
        <f>IF(H1919="","",IF($C$29="간이법","",FPR(H1919,I1919,J1919)))</f>
        <v/>
      </c>
      <c r="L1919" s="111" t="str">
        <f>IF(H1919="","",IF($C$29="상세법",FPV(H1919,K1919),IF(H1919="EI",4,IF(H1919="EO",5.2,IF(H1919="EQ",3.9,IF(H1919="ILF",7.5,IF(H1919="EIF",5.4)))))))</f>
        <v/>
      </c>
      <c r="M1919" s="112" t="str">
        <f t="shared" si="33"/>
        <v/>
      </c>
      <c r="N1919" s="113"/>
    </row>
    <row r="1920" spans="2:14">
      <c r="B1920" s="105"/>
      <c r="C1920" s="106"/>
      <c r="D1920" s="107"/>
      <c r="E1920" s="65"/>
      <c r="F1920" s="64"/>
      <c r="G1920" s="64"/>
      <c r="H1920" s="64"/>
      <c r="I1920" s="70"/>
      <c r="J1920" s="70"/>
      <c r="K1920" s="110" t="str">
        <f>IF(H1920="","",IF($C$29="간이법","",FPR(H1920,I1920,J1920)))</f>
        <v/>
      </c>
      <c r="L1920" s="111" t="str">
        <f>IF(H1920="","",IF($C$29="상세법",FPV(H1920,K1920),IF(H1920="EI",4,IF(H1920="EO",5.2,IF(H1920="EQ",3.9,IF(H1920="ILF",7.5,IF(H1920="EIF",5.4)))))))</f>
        <v/>
      </c>
      <c r="M1920" s="112" t="str">
        <f t="shared" si="33"/>
        <v/>
      </c>
      <c r="N1920" s="113"/>
    </row>
    <row r="1921" spans="2:14">
      <c r="B1921" s="105"/>
      <c r="C1921" s="106"/>
      <c r="D1921" s="107"/>
      <c r="E1921" s="65"/>
      <c r="F1921" s="64"/>
      <c r="G1921" s="64"/>
      <c r="H1921" s="64"/>
      <c r="I1921" s="70"/>
      <c r="J1921" s="70"/>
      <c r="K1921" s="110" t="str">
        <f>IF(H1921="","",IF($C$29="간이법","",FPR(H1921,I1921,J1921)))</f>
        <v/>
      </c>
      <c r="L1921" s="111" t="str">
        <f>IF(H1921="","",IF($C$29="상세법",FPV(H1921,K1921),IF(H1921="EI",4,IF(H1921="EO",5.2,IF(H1921="EQ",3.9,IF(H1921="ILF",7.5,IF(H1921="EIF",5.4)))))))</f>
        <v/>
      </c>
      <c r="M1921" s="112" t="str">
        <f t="shared" si="33"/>
        <v/>
      </c>
      <c r="N1921" s="113"/>
    </row>
    <row r="1922" spans="2:14">
      <c r="B1922" s="105"/>
      <c r="C1922" s="106"/>
      <c r="D1922" s="107"/>
      <c r="E1922" s="65"/>
      <c r="F1922" s="64"/>
      <c r="G1922" s="64"/>
      <c r="H1922" s="64"/>
      <c r="I1922" s="70"/>
      <c r="J1922" s="70"/>
      <c r="K1922" s="110" t="str">
        <f>IF(H1922="","",IF($C$29="간이법","",FPR(H1922,I1922,J1922)))</f>
        <v/>
      </c>
      <c r="L1922" s="111" t="str">
        <f>IF(H1922="","",IF($C$29="상세법",FPV(H1922,K1922),IF(H1922="EI",4,IF(H1922="EO",5.2,IF(H1922="EQ",3.9,IF(H1922="ILF",7.5,IF(H1922="EIF",5.4)))))))</f>
        <v/>
      </c>
      <c r="M1922" s="112" t="str">
        <f t="shared" si="33"/>
        <v/>
      </c>
      <c r="N1922" s="113"/>
    </row>
    <row r="1923" spans="2:14">
      <c r="B1923" s="105"/>
      <c r="C1923" s="106"/>
      <c r="D1923" s="107"/>
      <c r="E1923" s="65"/>
      <c r="F1923" s="64"/>
      <c r="G1923" s="64"/>
      <c r="H1923" s="64"/>
      <c r="I1923" s="70"/>
      <c r="J1923" s="70"/>
      <c r="K1923" s="110" t="str">
        <f>IF(H1923="","",IF($C$29="간이법","",FPR(H1923,I1923,J1923)))</f>
        <v/>
      </c>
      <c r="L1923" s="111" t="str">
        <f>IF(H1923="","",IF($C$29="상세법",FPV(H1923,K1923),IF(H1923="EI",4,IF(H1923="EO",5.2,IF(H1923="EQ",3.9,IF(H1923="ILF",7.5,IF(H1923="EIF",5.4)))))))</f>
        <v/>
      </c>
      <c r="M1923" s="112" t="str">
        <f t="shared" si="33"/>
        <v/>
      </c>
      <c r="N1923" s="113"/>
    </row>
    <row r="1924" spans="2:14">
      <c r="B1924" s="105"/>
      <c r="C1924" s="106"/>
      <c r="D1924" s="107"/>
      <c r="E1924" s="65"/>
      <c r="F1924" s="64"/>
      <c r="G1924" s="64"/>
      <c r="H1924" s="64"/>
      <c r="I1924" s="70"/>
      <c r="J1924" s="70"/>
      <c r="K1924" s="110" t="str">
        <f>IF(H1924="","",IF($C$29="간이법","",FPR(H1924,I1924,J1924)))</f>
        <v/>
      </c>
      <c r="L1924" s="111" t="str">
        <f>IF(H1924="","",IF($C$29="상세법",FPV(H1924,K1924),IF(H1924="EI",4,IF(H1924="EO",5.2,IF(H1924="EQ",3.9,IF(H1924="ILF",7.5,IF(H1924="EIF",5.4)))))))</f>
        <v/>
      </c>
      <c r="M1924" s="112" t="str">
        <f t="shared" si="33"/>
        <v/>
      </c>
      <c r="N1924" s="113"/>
    </row>
    <row r="1925" spans="2:14">
      <c r="B1925" s="105"/>
      <c r="C1925" s="106"/>
      <c r="D1925" s="107"/>
      <c r="E1925" s="65"/>
      <c r="F1925" s="64"/>
      <c r="G1925" s="64"/>
      <c r="H1925" s="64"/>
      <c r="I1925" s="70"/>
      <c r="J1925" s="70"/>
      <c r="K1925" s="110" t="str">
        <f>IF(H1925="","",IF($C$29="간이법","",FPR(H1925,I1925,J1925)))</f>
        <v/>
      </c>
      <c r="L1925" s="111" t="str">
        <f>IF(H1925="","",IF($C$29="상세법",FPV(H1925,K1925),IF(H1925="EI",4,IF(H1925="EO",5.2,IF(H1925="EQ",3.9,IF(H1925="ILF",7.5,IF(H1925="EIF",5.4)))))))</f>
        <v/>
      </c>
      <c r="M1925" s="112" t="str">
        <f t="shared" si="33"/>
        <v/>
      </c>
      <c r="N1925" s="113"/>
    </row>
    <row r="1926" spans="2:14">
      <c r="B1926" s="105"/>
      <c r="C1926" s="106"/>
      <c r="D1926" s="107"/>
      <c r="E1926" s="65"/>
      <c r="F1926" s="64"/>
      <c r="G1926" s="64"/>
      <c r="H1926" s="64"/>
      <c r="I1926" s="70"/>
      <c r="J1926" s="70"/>
      <c r="K1926" s="110" t="str">
        <f>IF(H1926="","",IF($C$29="간이법","",FPR(H1926,I1926,J1926)))</f>
        <v/>
      </c>
      <c r="L1926" s="111" t="str">
        <f>IF(H1926="","",IF($C$29="상세법",FPV(H1926,K1926),IF(H1926="EI",4,IF(H1926="EO",5.2,IF(H1926="EQ",3.9,IF(H1926="ILF",7.5,IF(H1926="EIF",5.4)))))))</f>
        <v/>
      </c>
      <c r="M1926" s="112" t="str">
        <f t="shared" si="33"/>
        <v/>
      </c>
      <c r="N1926" s="113"/>
    </row>
    <row r="1927" spans="2:14">
      <c r="B1927" s="105"/>
      <c r="C1927" s="106"/>
      <c r="D1927" s="107"/>
      <c r="E1927" s="65"/>
      <c r="F1927" s="64"/>
      <c r="G1927" s="64"/>
      <c r="H1927" s="64"/>
      <c r="I1927" s="70"/>
      <c r="J1927" s="70"/>
      <c r="K1927" s="110" t="str">
        <f>IF(H1927="","",IF($C$29="간이법","",FPR(H1927,I1927,J1927)))</f>
        <v/>
      </c>
      <c r="L1927" s="111" t="str">
        <f>IF(H1927="","",IF($C$29="상세법",FPV(H1927,K1927),IF(H1927="EI",4,IF(H1927="EO",5.2,IF(H1927="EQ",3.9,IF(H1927="ILF",7.5,IF(H1927="EIF",5.4)))))))</f>
        <v/>
      </c>
      <c r="M1927" s="112" t="str">
        <f t="shared" si="33"/>
        <v/>
      </c>
      <c r="N1927" s="113"/>
    </row>
    <row r="1928" spans="2:14">
      <c r="B1928" s="105"/>
      <c r="C1928" s="106"/>
      <c r="D1928" s="107"/>
      <c r="E1928" s="65"/>
      <c r="F1928" s="64"/>
      <c r="G1928" s="64"/>
      <c r="H1928" s="64"/>
      <c r="I1928" s="70"/>
      <c r="J1928" s="70"/>
      <c r="K1928" s="110" t="str">
        <f>IF(H1928="","",IF($C$29="간이법","",FPR(H1928,I1928,J1928)))</f>
        <v/>
      </c>
      <c r="L1928" s="111" t="str">
        <f>IF(H1928="","",IF($C$29="상세법",FPV(H1928,K1928),IF(H1928="EI",4,IF(H1928="EO",5.2,IF(H1928="EQ",3.9,IF(H1928="ILF",7.5,IF(H1928="EIF",5.4)))))))</f>
        <v/>
      </c>
      <c r="M1928" s="112" t="str">
        <f t="shared" si="33"/>
        <v/>
      </c>
      <c r="N1928" s="113"/>
    </row>
    <row r="1929" spans="2:14">
      <c r="B1929" s="105"/>
      <c r="C1929" s="106"/>
      <c r="D1929" s="107"/>
      <c r="E1929" s="65"/>
      <c r="F1929" s="64"/>
      <c r="G1929" s="64"/>
      <c r="H1929" s="64"/>
      <c r="I1929" s="70"/>
      <c r="J1929" s="70"/>
      <c r="K1929" s="110" t="str">
        <f>IF(H1929="","",IF($C$29="간이법","",FPR(H1929,I1929,J1929)))</f>
        <v/>
      </c>
      <c r="L1929" s="111" t="str">
        <f>IF(H1929="","",IF($C$29="상세법",FPV(H1929,K1929),IF(H1929="EI",4,IF(H1929="EO",5.2,IF(H1929="EQ",3.9,IF(H1929="ILF",7.5,IF(H1929="EIF",5.4)))))))</f>
        <v/>
      </c>
      <c r="M1929" s="112" t="str">
        <f t="shared" si="33"/>
        <v/>
      </c>
      <c r="N1929" s="113"/>
    </row>
    <row r="1930" spans="2:14">
      <c r="B1930" s="105"/>
      <c r="C1930" s="106"/>
      <c r="D1930" s="107"/>
      <c r="E1930" s="65"/>
      <c r="F1930" s="64"/>
      <c r="G1930" s="64"/>
      <c r="H1930" s="64"/>
      <c r="I1930" s="70"/>
      <c r="J1930" s="70"/>
      <c r="K1930" s="110" t="str">
        <f>IF(H1930="","",IF($C$29="간이법","",FPR(H1930,I1930,J1930)))</f>
        <v/>
      </c>
      <c r="L1930" s="111" t="str">
        <f>IF(H1930="","",IF($C$29="상세법",FPV(H1930,K1930),IF(H1930="EI",4,IF(H1930="EO",5.2,IF(H1930="EQ",3.9,IF(H1930="ILF",7.5,IF(H1930="EIF",5.4)))))))</f>
        <v/>
      </c>
      <c r="M1930" s="112" t="str">
        <f t="shared" si="33"/>
        <v/>
      </c>
      <c r="N1930" s="113"/>
    </row>
    <row r="1931" spans="2:14">
      <c r="B1931" s="105"/>
      <c r="C1931" s="106"/>
      <c r="D1931" s="107"/>
      <c r="E1931" s="65"/>
      <c r="F1931" s="64"/>
      <c r="G1931" s="64"/>
      <c r="H1931" s="64"/>
      <c r="I1931" s="70"/>
      <c r="J1931" s="70"/>
      <c r="K1931" s="110" t="str">
        <f>IF(H1931="","",IF($C$29="간이법","",FPR(H1931,I1931,J1931)))</f>
        <v/>
      </c>
      <c r="L1931" s="111" t="str">
        <f>IF(H1931="","",IF($C$29="상세법",FPV(H1931,K1931),IF(H1931="EI",4,IF(H1931="EO",5.2,IF(H1931="EQ",3.9,IF(H1931="ILF",7.5,IF(H1931="EIF",5.4)))))))</f>
        <v/>
      </c>
      <c r="M1931" s="112" t="str">
        <f t="shared" si="33"/>
        <v/>
      </c>
      <c r="N1931" s="113"/>
    </row>
    <row r="1932" spans="2:14">
      <c r="B1932" s="105"/>
      <c r="C1932" s="106"/>
      <c r="D1932" s="107"/>
      <c r="E1932" s="65"/>
      <c r="F1932" s="64"/>
      <c r="G1932" s="64"/>
      <c r="H1932" s="64"/>
      <c r="I1932" s="70"/>
      <c r="J1932" s="70"/>
      <c r="K1932" s="110" t="str">
        <f>IF(H1932="","",IF($C$29="간이법","",FPR(H1932,I1932,J1932)))</f>
        <v/>
      </c>
      <c r="L1932" s="111" t="str">
        <f>IF(H1932="","",IF($C$29="상세법",FPV(H1932,K1932),IF(H1932="EI",4,IF(H1932="EO",5.2,IF(H1932="EQ",3.9,IF(H1932="ILF",7.5,IF(H1932="EIF",5.4)))))))</f>
        <v/>
      </c>
      <c r="M1932" s="112" t="str">
        <f t="shared" si="33"/>
        <v/>
      </c>
      <c r="N1932" s="113"/>
    </row>
    <row r="1933" spans="2:14">
      <c r="B1933" s="105"/>
      <c r="C1933" s="106"/>
      <c r="D1933" s="107"/>
      <c r="E1933" s="65"/>
      <c r="F1933" s="64"/>
      <c r="G1933" s="64"/>
      <c r="H1933" s="64"/>
      <c r="I1933" s="70"/>
      <c r="J1933" s="70"/>
      <c r="K1933" s="110" t="str">
        <f>IF(H1933="","",IF($C$29="간이법","",FPR(H1933,I1933,J1933)))</f>
        <v/>
      </c>
      <c r="L1933" s="111" t="str">
        <f>IF(H1933="","",IF($C$29="상세법",FPV(H1933,K1933),IF(H1933="EI",4,IF(H1933="EO",5.2,IF(H1933="EQ",3.9,IF(H1933="ILF",7.5,IF(H1933="EIF",5.4)))))))</f>
        <v/>
      </c>
      <c r="M1933" s="112" t="str">
        <f t="shared" si="33"/>
        <v/>
      </c>
      <c r="N1933" s="113"/>
    </row>
    <row r="1934" spans="2:14">
      <c r="B1934" s="105"/>
      <c r="C1934" s="106"/>
      <c r="D1934" s="107"/>
      <c r="E1934" s="65"/>
      <c r="F1934" s="64"/>
      <c r="G1934" s="64"/>
      <c r="H1934" s="64"/>
      <c r="I1934" s="70"/>
      <c r="J1934" s="70"/>
      <c r="K1934" s="110" t="str">
        <f>IF(H1934="","",IF($C$29="간이법","",FPR(H1934,I1934,J1934)))</f>
        <v/>
      </c>
      <c r="L1934" s="111" t="str">
        <f>IF(H1934="","",IF($C$29="상세법",FPV(H1934,K1934),IF(H1934="EI",4,IF(H1934="EO",5.2,IF(H1934="EQ",3.9,IF(H1934="ILF",7.5,IF(H1934="EIF",5.4)))))))</f>
        <v/>
      </c>
      <c r="M1934" s="112" t="str">
        <f t="shared" si="33"/>
        <v/>
      </c>
      <c r="N1934" s="113"/>
    </row>
    <row r="1935" spans="2:14">
      <c r="B1935" s="105"/>
      <c r="C1935" s="106"/>
      <c r="D1935" s="107"/>
      <c r="E1935" s="65"/>
      <c r="F1935" s="64"/>
      <c r="G1935" s="64"/>
      <c r="H1935" s="64"/>
      <c r="I1935" s="70"/>
      <c r="J1935" s="70"/>
      <c r="K1935" s="110" t="str">
        <f>IF(H1935="","",IF($C$29="간이법","",FPR(H1935,I1935,J1935)))</f>
        <v/>
      </c>
      <c r="L1935" s="111" t="str">
        <f>IF(H1935="","",IF($C$29="상세법",FPV(H1935,K1935),IF(H1935="EI",4,IF(H1935="EO",5.2,IF(H1935="EQ",3.9,IF(H1935="ILF",7.5,IF(H1935="EIF",5.4)))))))</f>
        <v/>
      </c>
      <c r="M1935" s="112" t="str">
        <f t="shared" si="33"/>
        <v/>
      </c>
      <c r="N1935" s="113"/>
    </row>
    <row r="1936" spans="2:14">
      <c r="B1936" s="105"/>
      <c r="C1936" s="106"/>
      <c r="D1936" s="107"/>
      <c r="E1936" s="65"/>
      <c r="F1936" s="64"/>
      <c r="G1936" s="64"/>
      <c r="H1936" s="64"/>
      <c r="I1936" s="70"/>
      <c r="J1936" s="70"/>
      <c r="K1936" s="110" t="str">
        <f>IF(H1936="","",IF($C$29="간이법","",FPR(H1936,I1936,J1936)))</f>
        <v/>
      </c>
      <c r="L1936" s="111" t="str">
        <f>IF(H1936="","",IF($C$29="상세법",FPV(H1936,K1936),IF(H1936="EI",4,IF(H1936="EO",5.2,IF(H1936="EQ",3.9,IF(H1936="ILF",7.5,IF(H1936="EIF",5.4)))))))</f>
        <v/>
      </c>
      <c r="M1936" s="112" t="str">
        <f t="shared" si="33"/>
        <v/>
      </c>
      <c r="N1936" s="113"/>
    </row>
    <row r="1937" spans="2:14">
      <c r="B1937" s="105"/>
      <c r="C1937" s="106"/>
      <c r="D1937" s="107"/>
      <c r="E1937" s="65"/>
      <c r="F1937" s="64"/>
      <c r="G1937" s="64"/>
      <c r="H1937" s="64"/>
      <c r="I1937" s="70"/>
      <c r="J1937" s="70"/>
      <c r="K1937" s="110" t="str">
        <f>IF(H1937="","",IF($C$29="간이법","",FPR(H1937,I1937,J1937)))</f>
        <v/>
      </c>
      <c r="L1937" s="111" t="str">
        <f>IF(H1937="","",IF($C$29="상세법",FPV(H1937,K1937),IF(H1937="EI",4,IF(H1937="EO",5.2,IF(H1937="EQ",3.9,IF(H1937="ILF",7.5,IF(H1937="EIF",5.4)))))))</f>
        <v/>
      </c>
      <c r="M1937" s="112" t="str">
        <f t="shared" si="33"/>
        <v/>
      </c>
      <c r="N1937" s="113"/>
    </row>
    <row r="1938" spans="2:14">
      <c r="B1938" s="105"/>
      <c r="C1938" s="106"/>
      <c r="D1938" s="107"/>
      <c r="E1938" s="65"/>
      <c r="F1938" s="64"/>
      <c r="G1938" s="64"/>
      <c r="H1938" s="64"/>
      <c r="I1938" s="70"/>
      <c r="J1938" s="70"/>
      <c r="K1938" s="110" t="str">
        <f>IF(H1938="","",IF($C$29="간이법","",FPR(H1938,I1938,J1938)))</f>
        <v/>
      </c>
      <c r="L1938" s="111" t="str">
        <f>IF(H1938="","",IF($C$29="상세법",FPV(H1938,K1938),IF(H1938="EI",4,IF(H1938="EO",5.2,IF(H1938="EQ",3.9,IF(H1938="ILF",7.5,IF(H1938="EIF",5.4)))))))</f>
        <v/>
      </c>
      <c r="M1938" s="112" t="str">
        <f t="shared" si="33"/>
        <v/>
      </c>
      <c r="N1938" s="113"/>
    </row>
    <row r="1939" spans="2:14">
      <c r="B1939" s="105"/>
      <c r="C1939" s="106"/>
      <c r="D1939" s="107"/>
      <c r="E1939" s="65"/>
      <c r="F1939" s="64"/>
      <c r="G1939" s="64"/>
      <c r="H1939" s="64"/>
      <c r="I1939" s="70"/>
      <c r="J1939" s="70"/>
      <c r="K1939" s="110" t="str">
        <f>IF(H1939="","",IF($C$29="간이법","",FPR(H1939,I1939,J1939)))</f>
        <v/>
      </c>
      <c r="L1939" s="111" t="str">
        <f>IF(H1939="","",IF($C$29="상세법",FPV(H1939,K1939),IF(H1939="EI",4,IF(H1939="EO",5.2,IF(H1939="EQ",3.9,IF(H1939="ILF",7.5,IF(H1939="EIF",5.4)))))))</f>
        <v/>
      </c>
      <c r="M1939" s="112" t="str">
        <f t="shared" si="33"/>
        <v/>
      </c>
      <c r="N1939" s="113"/>
    </row>
    <row r="1940" spans="2:14">
      <c r="B1940" s="105"/>
      <c r="C1940" s="106"/>
      <c r="D1940" s="107"/>
      <c r="E1940" s="65"/>
      <c r="F1940" s="64"/>
      <c r="G1940" s="64"/>
      <c r="H1940" s="64"/>
      <c r="I1940" s="70"/>
      <c r="J1940" s="70"/>
      <c r="K1940" s="110" t="str">
        <f>IF(H1940="","",IF($C$29="간이법","",FPR(H1940,I1940,J1940)))</f>
        <v/>
      </c>
      <c r="L1940" s="111" t="str">
        <f>IF(H1940="","",IF($C$29="상세법",FPV(H1940,K1940),IF(H1940="EI",4,IF(H1940="EO",5.2,IF(H1940="EQ",3.9,IF(H1940="ILF",7.5,IF(H1940="EIF",5.4)))))))</f>
        <v/>
      </c>
      <c r="M1940" s="112" t="str">
        <f t="shared" si="33"/>
        <v/>
      </c>
      <c r="N1940" s="113"/>
    </row>
    <row r="1941" spans="2:14">
      <c r="B1941" s="105"/>
      <c r="C1941" s="106"/>
      <c r="D1941" s="107"/>
      <c r="E1941" s="65"/>
      <c r="F1941" s="64"/>
      <c r="G1941" s="64"/>
      <c r="H1941" s="64"/>
      <c r="I1941" s="70"/>
      <c r="J1941" s="70"/>
      <c r="K1941" s="110" t="str">
        <f>IF(H1941="","",IF($C$29="간이법","",FPR(H1941,I1941,J1941)))</f>
        <v/>
      </c>
      <c r="L1941" s="111" t="str">
        <f>IF(H1941="","",IF($C$29="상세법",FPV(H1941,K1941),IF(H1941="EI",4,IF(H1941="EO",5.2,IF(H1941="EQ",3.9,IF(H1941="ILF",7.5,IF(H1941="EIF",5.4)))))))</f>
        <v/>
      </c>
      <c r="M1941" s="112" t="str">
        <f t="shared" si="33"/>
        <v/>
      </c>
      <c r="N1941" s="113"/>
    </row>
    <row r="1942" spans="2:14">
      <c r="B1942" s="105"/>
      <c r="C1942" s="106"/>
      <c r="D1942" s="107"/>
      <c r="E1942" s="65"/>
      <c r="F1942" s="64"/>
      <c r="G1942" s="64"/>
      <c r="H1942" s="64"/>
      <c r="I1942" s="70"/>
      <c r="J1942" s="70"/>
      <c r="K1942" s="110" t="str">
        <f>IF(H1942="","",IF($C$29="간이법","",FPR(H1942,I1942,J1942)))</f>
        <v/>
      </c>
      <c r="L1942" s="111" t="str">
        <f>IF(H1942="","",IF($C$29="상세법",FPV(H1942,K1942),IF(H1942="EI",4,IF(H1942="EO",5.2,IF(H1942="EQ",3.9,IF(H1942="ILF",7.5,IF(H1942="EIF",5.4)))))))</f>
        <v/>
      </c>
      <c r="M1942" s="112" t="str">
        <f t="shared" si="33"/>
        <v/>
      </c>
      <c r="N1942" s="113"/>
    </row>
    <row r="1943" spans="2:14">
      <c r="B1943" s="105"/>
      <c r="C1943" s="106"/>
      <c r="D1943" s="107"/>
      <c r="E1943" s="65"/>
      <c r="F1943" s="64"/>
      <c r="G1943" s="64"/>
      <c r="H1943" s="64"/>
      <c r="I1943" s="70"/>
      <c r="J1943" s="70"/>
      <c r="K1943" s="110" t="str">
        <f>IF(H1943="","",IF($C$29="간이법","",FPR(H1943,I1943,J1943)))</f>
        <v/>
      </c>
      <c r="L1943" s="111" t="str">
        <f>IF(H1943="","",IF($C$29="상세법",FPV(H1943,K1943),IF(H1943="EI",4,IF(H1943="EO",5.2,IF(H1943="EQ",3.9,IF(H1943="ILF",7.5,IF(H1943="EIF",5.4)))))))</f>
        <v/>
      </c>
      <c r="M1943" s="112" t="str">
        <f t="shared" si="33"/>
        <v/>
      </c>
      <c r="N1943" s="113"/>
    </row>
    <row r="1944" spans="2:14">
      <c r="B1944" s="105"/>
      <c r="C1944" s="106"/>
      <c r="D1944" s="107"/>
      <c r="E1944" s="65"/>
      <c r="F1944" s="64"/>
      <c r="G1944" s="64"/>
      <c r="H1944" s="64"/>
      <c r="I1944" s="70"/>
      <c r="J1944" s="70"/>
      <c r="K1944" s="110" t="str">
        <f>IF(H1944="","",IF($C$29="간이법","",FPR(H1944,I1944,J1944)))</f>
        <v/>
      </c>
      <c r="L1944" s="111" t="str">
        <f>IF(H1944="","",IF($C$29="상세법",FPV(H1944,K1944),IF(H1944="EI",4,IF(H1944="EO",5.2,IF(H1944="EQ",3.9,IF(H1944="ILF",7.5,IF(H1944="EIF",5.4)))))))</f>
        <v/>
      </c>
      <c r="M1944" s="112" t="str">
        <f t="shared" si="33"/>
        <v/>
      </c>
      <c r="N1944" s="113"/>
    </row>
    <row r="1945" spans="2:14">
      <c r="B1945" s="105"/>
      <c r="C1945" s="106"/>
      <c r="D1945" s="107"/>
      <c r="E1945" s="65"/>
      <c r="F1945" s="64"/>
      <c r="G1945" s="64"/>
      <c r="H1945" s="64"/>
      <c r="I1945" s="70"/>
      <c r="J1945" s="70"/>
      <c r="K1945" s="110" t="str">
        <f>IF(H1945="","",IF($C$29="간이법","",FPR(H1945,I1945,J1945)))</f>
        <v/>
      </c>
      <c r="L1945" s="111" t="str">
        <f>IF(H1945="","",IF($C$29="상세법",FPV(H1945,K1945),IF(H1945="EI",4,IF(H1945="EO",5.2,IF(H1945="EQ",3.9,IF(H1945="ILF",7.5,IF(H1945="EIF",5.4)))))))</f>
        <v/>
      </c>
      <c r="M1945" s="112" t="str">
        <f t="shared" si="33"/>
        <v/>
      </c>
      <c r="N1945" s="113"/>
    </row>
    <row r="1946" spans="2:14">
      <c r="B1946" s="105"/>
      <c r="C1946" s="106"/>
      <c r="D1946" s="107"/>
      <c r="E1946" s="65"/>
      <c r="F1946" s="64"/>
      <c r="G1946" s="64"/>
      <c r="H1946" s="64"/>
      <c r="I1946" s="70"/>
      <c r="J1946" s="70"/>
      <c r="K1946" s="110" t="str">
        <f>IF(H1946="","",IF($C$29="간이법","",FPR(H1946,I1946,J1946)))</f>
        <v/>
      </c>
      <c r="L1946" s="111" t="str">
        <f>IF(H1946="","",IF($C$29="상세법",FPV(H1946,K1946),IF(H1946="EI",4,IF(H1946="EO",5.2,IF(H1946="EQ",3.9,IF(H1946="ILF",7.5,IF(H1946="EIF",5.4)))))))</f>
        <v/>
      </c>
      <c r="M1946" s="112" t="str">
        <f t="shared" si="33"/>
        <v/>
      </c>
      <c r="N1946" s="113"/>
    </row>
    <row r="1947" spans="2:14">
      <c r="B1947" s="105"/>
      <c r="C1947" s="106"/>
      <c r="D1947" s="107"/>
      <c r="E1947" s="65"/>
      <c r="F1947" s="64"/>
      <c r="G1947" s="64"/>
      <c r="H1947" s="64"/>
      <c r="I1947" s="70"/>
      <c r="J1947" s="70"/>
      <c r="K1947" s="110" t="str">
        <f>IF(H1947="","",IF($C$29="간이법","",FPR(H1947,I1947,J1947)))</f>
        <v/>
      </c>
      <c r="L1947" s="111" t="str">
        <f>IF(H1947="","",IF($C$29="상세법",FPV(H1947,K1947),IF(H1947="EI",4,IF(H1947="EO",5.2,IF(H1947="EQ",3.9,IF(H1947="ILF",7.5,IF(H1947="EIF",5.4)))))))</f>
        <v/>
      </c>
      <c r="M1947" s="112" t="str">
        <f t="shared" si="33"/>
        <v/>
      </c>
      <c r="N1947" s="113"/>
    </row>
    <row r="1948" spans="2:14">
      <c r="B1948" s="105"/>
      <c r="C1948" s="106"/>
      <c r="D1948" s="107"/>
      <c r="E1948" s="65"/>
      <c r="F1948" s="64"/>
      <c r="G1948" s="64"/>
      <c r="H1948" s="64"/>
      <c r="I1948" s="70"/>
      <c r="J1948" s="70"/>
      <c r="K1948" s="110" t="str">
        <f>IF(H1948="","",IF($C$29="간이법","",FPR(H1948,I1948,J1948)))</f>
        <v/>
      </c>
      <c r="L1948" s="111" t="str">
        <f>IF(H1948="","",IF($C$29="상세법",FPV(H1948,K1948),IF(H1948="EI",4,IF(H1948="EO",5.2,IF(H1948="EQ",3.9,IF(H1948="ILF",7.5,IF(H1948="EIF",5.4)))))))</f>
        <v/>
      </c>
      <c r="M1948" s="112" t="str">
        <f t="shared" si="33"/>
        <v/>
      </c>
      <c r="N1948" s="113"/>
    </row>
    <row r="1949" spans="2:14">
      <c r="B1949" s="105"/>
      <c r="C1949" s="106"/>
      <c r="D1949" s="107"/>
      <c r="E1949" s="65"/>
      <c r="F1949" s="64"/>
      <c r="G1949" s="64"/>
      <c r="H1949" s="64"/>
      <c r="I1949" s="70"/>
      <c r="J1949" s="70"/>
      <c r="K1949" s="110" t="str">
        <f>IF(H1949="","",IF($C$29="간이법","",FPR(H1949,I1949,J1949)))</f>
        <v/>
      </c>
      <c r="L1949" s="111" t="str">
        <f>IF(H1949="","",IF($C$29="상세법",FPV(H1949,K1949),IF(H1949="EI",4,IF(H1949="EO",5.2,IF(H1949="EQ",3.9,IF(H1949="ILF",7.5,IF(H1949="EIF",5.4)))))))</f>
        <v/>
      </c>
      <c r="M1949" s="112" t="str">
        <f t="shared" si="33"/>
        <v/>
      </c>
      <c r="N1949" s="113"/>
    </row>
    <row r="1950" spans="2:14">
      <c r="B1950" s="105"/>
      <c r="C1950" s="106"/>
      <c r="D1950" s="107"/>
      <c r="E1950" s="65"/>
      <c r="F1950" s="64"/>
      <c r="G1950" s="64"/>
      <c r="H1950" s="64"/>
      <c r="I1950" s="70"/>
      <c r="J1950" s="70"/>
      <c r="K1950" s="110" t="str">
        <f>IF(H1950="","",IF($C$29="간이법","",FPR(H1950,I1950,J1950)))</f>
        <v/>
      </c>
      <c r="L1950" s="111" t="str">
        <f>IF(H1950="","",IF($C$29="상세법",FPV(H1950,K1950),IF(H1950="EI",4,IF(H1950="EO",5.2,IF(H1950="EQ",3.9,IF(H1950="ILF",7.5,IF(H1950="EIF",5.4)))))))</f>
        <v/>
      </c>
      <c r="M1950" s="112" t="str">
        <f t="shared" si="33"/>
        <v/>
      </c>
      <c r="N1950" s="113"/>
    </row>
    <row r="1951" spans="2:14">
      <c r="B1951" s="105"/>
      <c r="C1951" s="106"/>
      <c r="D1951" s="107"/>
      <c r="E1951" s="65"/>
      <c r="F1951" s="64"/>
      <c r="G1951" s="64"/>
      <c r="H1951" s="64"/>
      <c r="I1951" s="70"/>
      <c r="J1951" s="70"/>
      <c r="K1951" s="110" t="str">
        <f>IF(H1951="","",IF($C$29="간이법","",FPR(H1951,I1951,J1951)))</f>
        <v/>
      </c>
      <c r="L1951" s="111" t="str">
        <f>IF(H1951="","",IF($C$29="상세법",FPV(H1951,K1951),IF(H1951="EI",4,IF(H1951="EO",5.2,IF(H1951="EQ",3.9,IF(H1951="ILF",7.5,IF(H1951="EIF",5.4)))))))</f>
        <v/>
      </c>
      <c r="M1951" s="112" t="str">
        <f t="shared" si="33"/>
        <v/>
      </c>
      <c r="N1951" s="113"/>
    </row>
    <row r="1952" spans="2:14">
      <c r="B1952" s="105"/>
      <c r="C1952" s="106"/>
      <c r="D1952" s="107"/>
      <c r="E1952" s="65"/>
      <c r="F1952" s="64"/>
      <c r="G1952" s="64"/>
      <c r="H1952" s="64"/>
      <c r="I1952" s="70"/>
      <c r="J1952" s="70"/>
      <c r="K1952" s="110" t="str">
        <f>IF(H1952="","",IF($C$29="간이법","",FPR(H1952,I1952,J1952)))</f>
        <v/>
      </c>
      <c r="L1952" s="111" t="str">
        <f>IF(H1952="","",IF($C$29="상세법",FPV(H1952,K1952),IF(H1952="EI",4,IF(H1952="EO",5.2,IF(H1952="EQ",3.9,IF(H1952="ILF",7.5,IF(H1952="EIF",5.4)))))))</f>
        <v/>
      </c>
      <c r="M1952" s="112" t="str">
        <f t="shared" si="33"/>
        <v/>
      </c>
      <c r="N1952" s="113"/>
    </row>
    <row r="1953" spans="2:14">
      <c r="B1953" s="105"/>
      <c r="C1953" s="106"/>
      <c r="D1953" s="107"/>
      <c r="E1953" s="65"/>
      <c r="F1953" s="64"/>
      <c r="G1953" s="64"/>
      <c r="H1953" s="64"/>
      <c r="I1953" s="70"/>
      <c r="J1953" s="70"/>
      <c r="K1953" s="110" t="str">
        <f>IF(H1953="","",IF($C$29="간이법","",FPR(H1953,I1953,J1953)))</f>
        <v/>
      </c>
      <c r="L1953" s="111" t="str">
        <f>IF(H1953="","",IF($C$29="상세법",FPV(H1953,K1953),IF(H1953="EI",4,IF(H1953="EO",5.2,IF(H1953="EQ",3.9,IF(H1953="ILF",7.5,IF(H1953="EIF",5.4)))))))</f>
        <v/>
      </c>
      <c r="M1953" s="112" t="str">
        <f t="shared" si="33"/>
        <v/>
      </c>
      <c r="N1953" s="113"/>
    </row>
    <row r="1954" spans="2:14">
      <c r="B1954" s="105"/>
      <c r="C1954" s="106"/>
      <c r="D1954" s="107"/>
      <c r="E1954" s="65"/>
      <c r="F1954" s="64"/>
      <c r="G1954" s="64"/>
      <c r="H1954" s="64"/>
      <c r="I1954" s="70"/>
      <c r="J1954" s="70"/>
      <c r="K1954" s="110" t="str">
        <f>IF(H1954="","",IF($C$29="간이법","",FPR(H1954,I1954,J1954)))</f>
        <v/>
      </c>
      <c r="L1954" s="111" t="str">
        <f>IF(H1954="","",IF($C$29="상세법",FPV(H1954,K1954),IF(H1954="EI",4,IF(H1954="EO",5.2,IF(H1954="EQ",3.9,IF(H1954="ILF",7.5,IF(H1954="EIF",5.4)))))))</f>
        <v/>
      </c>
      <c r="M1954" s="112" t="str">
        <f t="shared" si="33"/>
        <v/>
      </c>
      <c r="N1954" s="113"/>
    </row>
    <row r="1955" spans="2:14">
      <c r="B1955" s="105"/>
      <c r="C1955" s="106"/>
      <c r="D1955" s="107"/>
      <c r="E1955" s="65"/>
      <c r="F1955" s="64"/>
      <c r="G1955" s="64"/>
      <c r="H1955" s="64"/>
      <c r="I1955" s="70"/>
      <c r="J1955" s="70"/>
      <c r="K1955" s="110" t="str">
        <f>IF(H1955="","",IF($C$29="간이법","",FPR(H1955,I1955,J1955)))</f>
        <v/>
      </c>
      <c r="L1955" s="111" t="str">
        <f>IF(H1955="","",IF($C$29="상세법",FPV(H1955,K1955),IF(H1955="EI",4,IF(H1955="EO",5.2,IF(H1955="EQ",3.9,IF(H1955="ILF",7.5,IF(H1955="EIF",5.4)))))))</f>
        <v/>
      </c>
      <c r="M1955" s="112" t="str">
        <f t="shared" si="33"/>
        <v/>
      </c>
      <c r="N1955" s="113"/>
    </row>
    <row r="1956" spans="2:14">
      <c r="B1956" s="105"/>
      <c r="C1956" s="106"/>
      <c r="D1956" s="107"/>
      <c r="E1956" s="65"/>
      <c r="F1956" s="64"/>
      <c r="G1956" s="64"/>
      <c r="H1956" s="64"/>
      <c r="I1956" s="70"/>
      <c r="J1956" s="70"/>
      <c r="K1956" s="110" t="str">
        <f>IF(H1956="","",IF($C$29="간이법","",FPR(H1956,I1956,J1956)))</f>
        <v/>
      </c>
      <c r="L1956" s="111" t="str">
        <f>IF(H1956="","",IF($C$29="상세법",FPV(H1956,K1956),IF(H1956="EI",4,IF(H1956="EO",5.2,IF(H1956="EQ",3.9,IF(H1956="ILF",7.5,IF(H1956="EIF",5.4)))))))</f>
        <v/>
      </c>
      <c r="M1956" s="112" t="str">
        <f t="shared" si="33"/>
        <v/>
      </c>
      <c r="N1956" s="113"/>
    </row>
    <row r="1957" spans="2:14">
      <c r="B1957" s="105"/>
      <c r="C1957" s="106"/>
      <c r="D1957" s="107"/>
      <c r="E1957" s="65"/>
      <c r="F1957" s="64"/>
      <c r="G1957" s="64"/>
      <c r="H1957" s="64"/>
      <c r="I1957" s="70"/>
      <c r="J1957" s="70"/>
      <c r="K1957" s="110" t="str">
        <f>IF(H1957="","",IF($C$29="간이법","",FPR(H1957,I1957,J1957)))</f>
        <v/>
      </c>
      <c r="L1957" s="111" t="str">
        <f>IF(H1957="","",IF($C$29="상세법",FPV(H1957,K1957),IF(H1957="EI",4,IF(H1957="EO",5.2,IF(H1957="EQ",3.9,IF(H1957="ILF",7.5,IF(H1957="EIF",5.4)))))))</f>
        <v/>
      </c>
      <c r="M1957" s="112" t="str">
        <f t="shared" si="33"/>
        <v/>
      </c>
      <c r="N1957" s="113"/>
    </row>
    <row r="1958" spans="2:14">
      <c r="B1958" s="105"/>
      <c r="C1958" s="106"/>
      <c r="D1958" s="107"/>
      <c r="E1958" s="65"/>
      <c r="F1958" s="64"/>
      <c r="G1958" s="64"/>
      <c r="H1958" s="64"/>
      <c r="I1958" s="70"/>
      <c r="J1958" s="70"/>
      <c r="K1958" s="110" t="str">
        <f>IF(H1958="","",IF($C$29="간이법","",FPR(H1958,I1958,J1958)))</f>
        <v/>
      </c>
      <c r="L1958" s="111" t="str">
        <f>IF(H1958="","",IF($C$29="상세법",FPV(H1958,K1958),IF(H1958="EI",4,IF(H1958="EO",5.2,IF(H1958="EQ",3.9,IF(H1958="ILF",7.5,IF(H1958="EIF",5.4)))))))</f>
        <v/>
      </c>
      <c r="M1958" s="112" t="str">
        <f t="shared" si="33"/>
        <v/>
      </c>
      <c r="N1958" s="113"/>
    </row>
    <row r="1959" spans="2:14">
      <c r="B1959" s="105"/>
      <c r="C1959" s="106"/>
      <c r="D1959" s="107"/>
      <c r="E1959" s="65"/>
      <c r="F1959" s="64"/>
      <c r="G1959" s="64"/>
      <c r="H1959" s="64"/>
      <c r="I1959" s="70"/>
      <c r="J1959" s="70"/>
      <c r="K1959" s="110" t="str">
        <f>IF(H1959="","",IF($C$29="간이법","",FPR(H1959,I1959,J1959)))</f>
        <v/>
      </c>
      <c r="L1959" s="111" t="str">
        <f>IF(H1959="","",IF($C$29="상세법",FPV(H1959,K1959),IF(H1959="EI",4,IF(H1959="EO",5.2,IF(H1959="EQ",3.9,IF(H1959="ILF",7.5,IF(H1959="EIF",5.4)))))))</f>
        <v/>
      </c>
      <c r="M1959" s="112" t="str">
        <f t="shared" si="33"/>
        <v/>
      </c>
      <c r="N1959" s="113"/>
    </row>
    <row r="1960" spans="2:14">
      <c r="B1960" s="105"/>
      <c r="C1960" s="106"/>
      <c r="D1960" s="107"/>
      <c r="E1960" s="65"/>
      <c r="F1960" s="64"/>
      <c r="G1960" s="64"/>
      <c r="H1960" s="64"/>
      <c r="I1960" s="70"/>
      <c r="J1960" s="70"/>
      <c r="K1960" s="110" t="str">
        <f>IF(H1960="","",IF($C$29="간이법","",FPR(H1960,I1960,J1960)))</f>
        <v/>
      </c>
      <c r="L1960" s="111" t="str">
        <f>IF(H1960="","",IF($C$29="상세법",FPV(H1960,K1960),IF(H1960="EI",4,IF(H1960="EO",5.2,IF(H1960="EQ",3.9,IF(H1960="ILF",7.5,IF(H1960="EIF",5.4)))))))</f>
        <v/>
      </c>
      <c r="M1960" s="112" t="str">
        <f t="shared" si="33"/>
        <v/>
      </c>
      <c r="N1960" s="113"/>
    </row>
    <row r="1961" spans="2:14">
      <c r="B1961" s="105"/>
      <c r="C1961" s="106"/>
      <c r="D1961" s="107"/>
      <c r="E1961" s="65"/>
      <c r="F1961" s="64"/>
      <c r="G1961" s="64"/>
      <c r="H1961" s="64"/>
      <c r="I1961" s="70"/>
      <c r="J1961" s="70"/>
      <c r="K1961" s="110" t="str">
        <f>IF(H1961="","",IF($C$29="간이법","",FPR(H1961,I1961,J1961)))</f>
        <v/>
      </c>
      <c r="L1961" s="111" t="str">
        <f>IF(H1961="","",IF($C$29="상세법",FPV(H1961,K1961),IF(H1961="EI",4,IF(H1961="EO",5.2,IF(H1961="EQ",3.9,IF(H1961="ILF",7.5,IF(H1961="EIF",5.4)))))))</f>
        <v/>
      </c>
      <c r="M1961" s="112" t="str">
        <f t="shared" si="33"/>
        <v/>
      </c>
      <c r="N1961" s="113"/>
    </row>
    <row r="1962" spans="2:14">
      <c r="B1962" s="105"/>
      <c r="C1962" s="106"/>
      <c r="D1962" s="107"/>
      <c r="E1962" s="65"/>
      <c r="F1962" s="64"/>
      <c r="G1962" s="64"/>
      <c r="H1962" s="64"/>
      <c r="I1962" s="70"/>
      <c r="J1962" s="70"/>
      <c r="K1962" s="110" t="str">
        <f>IF(H1962="","",IF($C$29="간이법","",FPR(H1962,I1962,J1962)))</f>
        <v/>
      </c>
      <c r="L1962" s="111" t="str">
        <f>IF(H1962="","",IF($C$29="상세법",FPV(H1962,K1962),IF(H1962="EI",4,IF(H1962="EO",5.2,IF(H1962="EQ",3.9,IF(H1962="ILF",7.5,IF(H1962="EIF",5.4)))))))</f>
        <v/>
      </c>
      <c r="M1962" s="112" t="str">
        <f t="shared" si="33"/>
        <v/>
      </c>
      <c r="N1962" s="113"/>
    </row>
    <row r="1963" spans="2:14">
      <c r="B1963" s="105"/>
      <c r="C1963" s="106"/>
      <c r="D1963" s="107"/>
      <c r="E1963" s="65"/>
      <c r="F1963" s="64"/>
      <c r="G1963" s="64"/>
      <c r="H1963" s="64"/>
      <c r="I1963" s="70"/>
      <c r="J1963" s="70"/>
      <c r="K1963" s="110" t="str">
        <f>IF(H1963="","",IF($C$29="간이법","",FPR(H1963,I1963,J1963)))</f>
        <v/>
      </c>
      <c r="L1963" s="111" t="str">
        <f>IF(H1963="","",IF($C$29="상세법",FPV(H1963,K1963),IF(H1963="EI",4,IF(H1963="EO",5.2,IF(H1963="EQ",3.9,IF(H1963="ILF",7.5,IF(H1963="EIF",5.4)))))))</f>
        <v/>
      </c>
      <c r="M1963" s="112" t="str">
        <f t="shared" si="33"/>
        <v/>
      </c>
      <c r="N1963" s="113"/>
    </row>
    <row r="1964" spans="2:14">
      <c r="B1964" s="105"/>
      <c r="C1964" s="106"/>
      <c r="D1964" s="107"/>
      <c r="E1964" s="65"/>
      <c r="F1964" s="64"/>
      <c r="G1964" s="64"/>
      <c r="H1964" s="64"/>
      <c r="I1964" s="70"/>
      <c r="J1964" s="70"/>
      <c r="K1964" s="110" t="str">
        <f>IF(H1964="","",IF($C$29="간이법","",FPR(H1964,I1964,J1964)))</f>
        <v/>
      </c>
      <c r="L1964" s="111" t="str">
        <f>IF(H1964="","",IF($C$29="상세법",FPV(H1964,K1964),IF(H1964="EI",4,IF(H1964="EO",5.2,IF(H1964="EQ",3.9,IF(H1964="ILF",7.5,IF(H1964="EIF",5.4)))))))</f>
        <v/>
      </c>
      <c r="M1964" s="112" t="str">
        <f t="shared" si="33"/>
        <v/>
      </c>
      <c r="N1964" s="113"/>
    </row>
    <row r="1965" spans="2:14">
      <c r="B1965" s="105"/>
      <c r="C1965" s="106"/>
      <c r="D1965" s="107"/>
      <c r="E1965" s="65"/>
      <c r="F1965" s="64"/>
      <c r="G1965" s="64"/>
      <c r="H1965" s="64"/>
      <c r="I1965" s="70"/>
      <c r="J1965" s="70"/>
      <c r="K1965" s="110" t="str">
        <f>IF(H1965="","",IF($C$29="간이법","",FPR(H1965,I1965,J1965)))</f>
        <v/>
      </c>
      <c r="L1965" s="111" t="str">
        <f>IF(H1965="","",IF($C$29="상세법",FPV(H1965,K1965),IF(H1965="EI",4,IF(H1965="EO",5.2,IF(H1965="EQ",3.9,IF(H1965="ILF",7.5,IF(H1965="EIF",5.4)))))))</f>
        <v/>
      </c>
      <c r="M1965" s="112" t="str">
        <f t="shared" si="33"/>
        <v/>
      </c>
      <c r="N1965" s="113"/>
    </row>
    <row r="1966" spans="2:14">
      <c r="B1966" s="105"/>
      <c r="C1966" s="106"/>
      <c r="D1966" s="107"/>
      <c r="E1966" s="65"/>
      <c r="F1966" s="64"/>
      <c r="G1966" s="64"/>
      <c r="H1966" s="64"/>
      <c r="I1966" s="70"/>
      <c r="J1966" s="70"/>
      <c r="K1966" s="110" t="str">
        <f>IF(H1966="","",IF($C$29="간이법","",FPR(H1966,I1966,J1966)))</f>
        <v/>
      </c>
      <c r="L1966" s="111" t="str">
        <f>IF(H1966="","",IF($C$29="상세법",FPV(H1966,K1966),IF(H1966="EI",4,IF(H1966="EO",5.2,IF(H1966="EQ",3.9,IF(H1966="ILF",7.5,IF(H1966="EIF",5.4)))))))</f>
        <v/>
      </c>
      <c r="M1966" s="112" t="str">
        <f t="shared" si="33"/>
        <v/>
      </c>
      <c r="N1966" s="113"/>
    </row>
    <row r="1967" spans="2:14">
      <c r="B1967" s="105"/>
      <c r="C1967" s="106"/>
      <c r="D1967" s="107"/>
      <c r="E1967" s="65"/>
      <c r="F1967" s="64"/>
      <c r="G1967" s="64"/>
      <c r="H1967" s="64"/>
      <c r="I1967" s="70"/>
      <c r="J1967" s="70"/>
      <c r="K1967" s="110" t="str">
        <f>IF(H1967="","",IF($C$29="간이법","",FPR(H1967,I1967,J1967)))</f>
        <v/>
      </c>
      <c r="L1967" s="111" t="str">
        <f>IF(H1967="","",IF($C$29="상세법",FPV(H1967,K1967),IF(H1967="EI",4,IF(H1967="EO",5.2,IF(H1967="EQ",3.9,IF(H1967="ILF",7.5,IF(H1967="EIF",5.4)))))))</f>
        <v/>
      </c>
      <c r="M1967" s="112" t="str">
        <f t="shared" si="33"/>
        <v/>
      </c>
      <c r="N1967" s="113"/>
    </row>
    <row r="1968" spans="2:14">
      <c r="B1968" s="105"/>
      <c r="C1968" s="106"/>
      <c r="D1968" s="107"/>
      <c r="E1968" s="65"/>
      <c r="F1968" s="64"/>
      <c r="G1968" s="64"/>
      <c r="H1968" s="64"/>
      <c r="I1968" s="70"/>
      <c r="J1968" s="70"/>
      <c r="K1968" s="110" t="str">
        <f>IF(H1968="","",IF($C$29="간이법","",FPR(H1968,I1968,J1968)))</f>
        <v/>
      </c>
      <c r="L1968" s="111" t="str">
        <f>IF(H1968="","",IF($C$29="상세법",FPV(H1968,K1968),IF(H1968="EI",4,IF(H1968="EO",5.2,IF(H1968="EQ",3.9,IF(H1968="ILF",7.5,IF(H1968="EIF",5.4)))))))</f>
        <v/>
      </c>
      <c r="M1968" s="112" t="str">
        <f t="shared" si="33"/>
        <v/>
      </c>
      <c r="N1968" s="113"/>
    </row>
    <row r="1969" spans="2:14">
      <c r="B1969" s="105"/>
      <c r="C1969" s="106"/>
      <c r="D1969" s="107"/>
      <c r="E1969" s="65"/>
      <c r="F1969" s="64"/>
      <c r="G1969" s="64"/>
      <c r="H1969" s="64"/>
      <c r="I1969" s="70"/>
      <c r="J1969" s="70"/>
      <c r="K1969" s="110" t="str">
        <f>IF(H1969="","",IF($C$29="간이법","",FPR(H1969,I1969,J1969)))</f>
        <v/>
      </c>
      <c r="L1969" s="111" t="str">
        <f>IF(H1969="","",IF($C$29="상세법",FPV(H1969,K1969),IF(H1969="EI",4,IF(H1969="EO",5.2,IF(H1969="EQ",3.9,IF(H1969="ILF",7.5,IF(H1969="EIF",5.4)))))))</f>
        <v/>
      </c>
      <c r="M1969" s="112" t="str">
        <f t="shared" si="33"/>
        <v/>
      </c>
      <c r="N1969" s="113"/>
    </row>
    <row r="1970" spans="2:14">
      <c r="B1970" s="105"/>
      <c r="C1970" s="106"/>
      <c r="D1970" s="107"/>
      <c r="E1970" s="65"/>
      <c r="F1970" s="64"/>
      <c r="G1970" s="64"/>
      <c r="H1970" s="64"/>
      <c r="I1970" s="70"/>
      <c r="J1970" s="70"/>
      <c r="K1970" s="110" t="str">
        <f>IF(H1970="","",IF($C$29="간이법","",FPR(H1970,I1970,J1970)))</f>
        <v/>
      </c>
      <c r="L1970" s="111" t="str">
        <f>IF(H1970="","",IF($C$29="상세법",FPV(H1970,K1970),IF(H1970="EI",4,IF(H1970="EO",5.2,IF(H1970="EQ",3.9,IF(H1970="ILF",7.5,IF(H1970="EIF",5.4)))))))</f>
        <v/>
      </c>
      <c r="M1970" s="112" t="str">
        <f t="shared" si="33"/>
        <v/>
      </c>
      <c r="N1970" s="113"/>
    </row>
    <row r="1971" spans="2:14">
      <c r="B1971" s="105"/>
      <c r="C1971" s="106"/>
      <c r="D1971" s="107"/>
      <c r="E1971" s="65"/>
      <c r="F1971" s="64"/>
      <c r="G1971" s="64"/>
      <c r="H1971" s="64"/>
      <c r="I1971" s="70"/>
      <c r="J1971" s="70"/>
      <c r="K1971" s="110" t="str">
        <f>IF(H1971="","",IF($C$29="간이법","",FPR(H1971,I1971,J1971)))</f>
        <v/>
      </c>
      <c r="L1971" s="111" t="str">
        <f>IF(H1971="","",IF($C$29="상세법",FPV(H1971,K1971),IF(H1971="EI",4,IF(H1971="EO",5.2,IF(H1971="EQ",3.9,IF(H1971="ILF",7.5,IF(H1971="EIF",5.4)))))))</f>
        <v/>
      </c>
      <c r="M1971" s="112" t="str">
        <f t="shared" si="33"/>
        <v/>
      </c>
      <c r="N1971" s="113"/>
    </row>
    <row r="1972" spans="2:14">
      <c r="B1972" s="105"/>
      <c r="C1972" s="106"/>
      <c r="D1972" s="107"/>
      <c r="E1972" s="65"/>
      <c r="F1972" s="64"/>
      <c r="G1972" s="64"/>
      <c r="H1972" s="64"/>
      <c r="I1972" s="70"/>
      <c r="J1972" s="70"/>
      <c r="K1972" s="110" t="str">
        <f>IF(H1972="","",IF($C$29="간이법","",FPR(H1972,I1972,J1972)))</f>
        <v/>
      </c>
      <c r="L1972" s="111" t="str">
        <f>IF(H1972="","",IF($C$29="상세법",FPV(H1972,K1972),IF(H1972="EI",4,IF(H1972="EO",5.2,IF(H1972="EQ",3.9,IF(H1972="ILF",7.5,IF(H1972="EIF",5.4)))))))</f>
        <v/>
      </c>
      <c r="M1972" s="112" t="str">
        <f t="shared" si="33"/>
        <v/>
      </c>
      <c r="N1972" s="113"/>
    </row>
    <row r="1973" spans="2:14">
      <c r="B1973" s="105"/>
      <c r="C1973" s="106"/>
      <c r="D1973" s="107"/>
      <c r="E1973" s="65"/>
      <c r="F1973" s="64"/>
      <c r="G1973" s="64"/>
      <c r="H1973" s="64"/>
      <c r="I1973" s="70"/>
      <c r="J1973" s="70"/>
      <c r="K1973" s="110" t="str">
        <f>IF(H1973="","",IF($C$29="간이법","",FPR(H1973,I1973,J1973)))</f>
        <v/>
      </c>
      <c r="L1973" s="111" t="str">
        <f>IF(H1973="","",IF($C$29="상세법",FPV(H1973,K1973),IF(H1973="EI",4,IF(H1973="EO",5.2,IF(H1973="EQ",3.9,IF(H1973="ILF",7.5,IF(H1973="EIF",5.4)))))))</f>
        <v/>
      </c>
      <c r="M1973" s="112" t="str">
        <f t="shared" si="33"/>
        <v/>
      </c>
      <c r="N1973" s="113"/>
    </row>
    <row r="1974" spans="2:14">
      <c r="B1974" s="105"/>
      <c r="C1974" s="106"/>
      <c r="D1974" s="107"/>
      <c r="E1974" s="65"/>
      <c r="F1974" s="64"/>
      <c r="G1974" s="64"/>
      <c r="H1974" s="64"/>
      <c r="I1974" s="70"/>
      <c r="J1974" s="70"/>
      <c r="K1974" s="110" t="str">
        <f>IF(H1974="","",IF($C$29="간이법","",FPR(H1974,I1974,J1974)))</f>
        <v/>
      </c>
      <c r="L1974" s="111" t="str">
        <f>IF(H1974="","",IF($C$29="상세법",FPV(H1974,K1974),IF(H1974="EI",4,IF(H1974="EO",5.2,IF(H1974="EQ",3.9,IF(H1974="ILF",7.5,IF(H1974="EIF",5.4)))))))</f>
        <v/>
      </c>
      <c r="M1974" s="112" t="str">
        <f t="shared" si="33"/>
        <v/>
      </c>
      <c r="N1974" s="113"/>
    </row>
    <row r="1975" spans="2:14">
      <c r="B1975" s="105"/>
      <c r="C1975" s="106"/>
      <c r="D1975" s="107"/>
      <c r="E1975" s="65"/>
      <c r="F1975" s="64"/>
      <c r="G1975" s="64"/>
      <c r="H1975" s="64"/>
      <c r="I1975" s="70"/>
      <c r="J1975" s="70"/>
      <c r="K1975" s="110" t="str">
        <f>IF(H1975="","",IF($C$29="간이법","",FPR(H1975,I1975,J1975)))</f>
        <v/>
      </c>
      <c r="L1975" s="111" t="str">
        <f>IF(H1975="","",IF($C$29="상세법",FPV(H1975,K1975),IF(H1975="EI",4,IF(H1975="EO",5.2,IF(H1975="EQ",3.9,IF(H1975="ILF",7.5,IF(H1975="EIF",5.4)))))))</f>
        <v/>
      </c>
      <c r="M1975" s="112" t="str">
        <f t="shared" si="33"/>
        <v/>
      </c>
      <c r="N1975" s="113"/>
    </row>
    <row r="1976" spans="2:14">
      <c r="B1976" s="105"/>
      <c r="C1976" s="106"/>
      <c r="D1976" s="107"/>
      <c r="E1976" s="65"/>
      <c r="F1976" s="64"/>
      <c r="G1976" s="64"/>
      <c r="H1976" s="64"/>
      <c r="I1976" s="70"/>
      <c r="J1976" s="70"/>
      <c r="K1976" s="110" t="str">
        <f>IF(H1976="","",IF($C$29="간이법","",FPR(H1976,I1976,J1976)))</f>
        <v/>
      </c>
      <c r="L1976" s="111" t="str">
        <f>IF(H1976="","",IF($C$29="상세법",FPV(H1976,K1976),IF(H1976="EI",4,IF(H1976="EO",5.2,IF(H1976="EQ",3.9,IF(H1976="ILF",7.5,IF(H1976="EIF",5.4)))))))</f>
        <v/>
      </c>
      <c r="M1976" s="112" t="str">
        <f t="shared" si="33"/>
        <v/>
      </c>
      <c r="N1976" s="113"/>
    </row>
    <row r="1977" spans="2:14">
      <c r="B1977" s="105"/>
      <c r="C1977" s="106"/>
      <c r="D1977" s="107"/>
      <c r="E1977" s="65"/>
      <c r="F1977" s="64"/>
      <c r="G1977" s="64"/>
      <c r="H1977" s="64"/>
      <c r="I1977" s="70"/>
      <c r="J1977" s="70"/>
      <c r="K1977" s="110" t="str">
        <f>IF(H1977="","",IF($C$29="간이법","",FPR(H1977,I1977,J1977)))</f>
        <v/>
      </c>
      <c r="L1977" s="111" t="str">
        <f>IF(H1977="","",IF($C$29="상세법",FPV(H1977,K1977),IF(H1977="EI",4,IF(H1977="EO",5.2,IF(H1977="EQ",3.9,IF(H1977="ILF",7.5,IF(H1977="EIF",5.4)))))))</f>
        <v/>
      </c>
      <c r="M1977" s="112" t="str">
        <f t="shared" ref="M1977:M2040" si="34">IF(L1977="","",L1977*IF(G1977="상",0.7,IF(G1977="중",0.5,IF(G1977="하",0.2,1))))</f>
        <v/>
      </c>
      <c r="N1977" s="113"/>
    </row>
    <row r="1978" spans="2:14">
      <c r="B1978" s="105"/>
      <c r="C1978" s="106"/>
      <c r="D1978" s="107"/>
      <c r="E1978" s="65"/>
      <c r="F1978" s="64"/>
      <c r="G1978" s="64"/>
      <c r="H1978" s="64"/>
      <c r="I1978" s="70"/>
      <c r="J1978" s="70"/>
      <c r="K1978" s="110" t="str">
        <f>IF(H1978="","",IF($C$29="간이법","",FPR(H1978,I1978,J1978)))</f>
        <v/>
      </c>
      <c r="L1978" s="111" t="str">
        <f>IF(H1978="","",IF($C$29="상세법",FPV(H1978,K1978),IF(H1978="EI",4,IF(H1978="EO",5.2,IF(H1978="EQ",3.9,IF(H1978="ILF",7.5,IF(H1978="EIF",5.4)))))))</f>
        <v/>
      </c>
      <c r="M1978" s="112" t="str">
        <f t="shared" si="34"/>
        <v/>
      </c>
      <c r="N1978" s="113"/>
    </row>
    <row r="1979" spans="2:14">
      <c r="B1979" s="105"/>
      <c r="C1979" s="106"/>
      <c r="D1979" s="107"/>
      <c r="E1979" s="65"/>
      <c r="F1979" s="64"/>
      <c r="G1979" s="64"/>
      <c r="H1979" s="64"/>
      <c r="I1979" s="70"/>
      <c r="J1979" s="70"/>
      <c r="K1979" s="110" t="str">
        <f>IF(H1979="","",IF($C$29="간이법","",FPR(H1979,I1979,J1979)))</f>
        <v/>
      </c>
      <c r="L1979" s="111" t="str">
        <f>IF(H1979="","",IF($C$29="상세법",FPV(H1979,K1979),IF(H1979="EI",4,IF(H1979="EO",5.2,IF(H1979="EQ",3.9,IF(H1979="ILF",7.5,IF(H1979="EIF",5.4)))))))</f>
        <v/>
      </c>
      <c r="M1979" s="112" t="str">
        <f t="shared" si="34"/>
        <v/>
      </c>
      <c r="N1979" s="113"/>
    </row>
    <row r="1980" spans="2:14">
      <c r="B1980" s="105"/>
      <c r="C1980" s="106"/>
      <c r="D1980" s="107"/>
      <c r="E1980" s="65"/>
      <c r="F1980" s="64"/>
      <c r="G1980" s="64"/>
      <c r="H1980" s="64"/>
      <c r="I1980" s="70"/>
      <c r="J1980" s="70"/>
      <c r="K1980" s="110" t="str">
        <f>IF(H1980="","",IF($C$29="간이법","",FPR(H1980,I1980,J1980)))</f>
        <v/>
      </c>
      <c r="L1980" s="111" t="str">
        <f>IF(H1980="","",IF($C$29="상세법",FPV(H1980,K1980),IF(H1980="EI",4,IF(H1980="EO",5.2,IF(H1980="EQ",3.9,IF(H1980="ILF",7.5,IF(H1980="EIF",5.4)))))))</f>
        <v/>
      </c>
      <c r="M1980" s="112" t="str">
        <f t="shared" si="34"/>
        <v/>
      </c>
      <c r="N1980" s="113"/>
    </row>
    <row r="1981" spans="2:14">
      <c r="B1981" s="105"/>
      <c r="C1981" s="106"/>
      <c r="D1981" s="107"/>
      <c r="E1981" s="65"/>
      <c r="F1981" s="64"/>
      <c r="G1981" s="64"/>
      <c r="H1981" s="64"/>
      <c r="I1981" s="70"/>
      <c r="J1981" s="70"/>
      <c r="K1981" s="110" t="str">
        <f>IF(H1981="","",IF($C$29="간이법","",FPR(H1981,I1981,J1981)))</f>
        <v/>
      </c>
      <c r="L1981" s="111" t="str">
        <f>IF(H1981="","",IF($C$29="상세법",FPV(H1981,K1981),IF(H1981="EI",4,IF(H1981="EO",5.2,IF(H1981="EQ",3.9,IF(H1981="ILF",7.5,IF(H1981="EIF",5.4)))))))</f>
        <v/>
      </c>
      <c r="M1981" s="112" t="str">
        <f t="shared" si="34"/>
        <v/>
      </c>
      <c r="N1981" s="113"/>
    </row>
    <row r="1982" spans="2:14">
      <c r="B1982" s="105"/>
      <c r="C1982" s="106"/>
      <c r="D1982" s="107"/>
      <c r="E1982" s="65"/>
      <c r="F1982" s="64"/>
      <c r="G1982" s="64"/>
      <c r="H1982" s="64"/>
      <c r="I1982" s="70"/>
      <c r="J1982" s="70"/>
      <c r="K1982" s="110" t="str">
        <f>IF(H1982="","",IF($C$29="간이법","",FPR(H1982,I1982,J1982)))</f>
        <v/>
      </c>
      <c r="L1982" s="111" t="str">
        <f>IF(H1982="","",IF($C$29="상세법",FPV(H1982,K1982),IF(H1982="EI",4,IF(H1982="EO",5.2,IF(H1982="EQ",3.9,IF(H1982="ILF",7.5,IF(H1982="EIF",5.4)))))))</f>
        <v/>
      </c>
      <c r="M1982" s="112" t="str">
        <f t="shared" si="34"/>
        <v/>
      </c>
      <c r="N1982" s="113"/>
    </row>
    <row r="1983" spans="2:14">
      <c r="B1983" s="105"/>
      <c r="C1983" s="106"/>
      <c r="D1983" s="107"/>
      <c r="E1983" s="65"/>
      <c r="F1983" s="64"/>
      <c r="G1983" s="64"/>
      <c r="H1983" s="64"/>
      <c r="I1983" s="70"/>
      <c r="J1983" s="70"/>
      <c r="K1983" s="110" t="str">
        <f>IF(H1983="","",IF($C$29="간이법","",FPR(H1983,I1983,J1983)))</f>
        <v/>
      </c>
      <c r="L1983" s="111" t="str">
        <f>IF(H1983="","",IF($C$29="상세법",FPV(H1983,K1983),IF(H1983="EI",4,IF(H1983="EO",5.2,IF(H1983="EQ",3.9,IF(H1983="ILF",7.5,IF(H1983="EIF",5.4)))))))</f>
        <v/>
      </c>
      <c r="M1983" s="112" t="str">
        <f t="shared" si="34"/>
        <v/>
      </c>
      <c r="N1983" s="113"/>
    </row>
    <row r="1984" spans="2:14">
      <c r="B1984" s="105"/>
      <c r="C1984" s="106"/>
      <c r="D1984" s="107"/>
      <c r="E1984" s="65"/>
      <c r="F1984" s="64"/>
      <c r="G1984" s="64"/>
      <c r="H1984" s="64"/>
      <c r="I1984" s="70"/>
      <c r="J1984" s="70"/>
      <c r="K1984" s="110" t="str">
        <f>IF(H1984="","",IF($C$29="간이법","",FPR(H1984,I1984,J1984)))</f>
        <v/>
      </c>
      <c r="L1984" s="111" t="str">
        <f>IF(H1984="","",IF($C$29="상세법",FPV(H1984,K1984),IF(H1984="EI",4,IF(H1984="EO",5.2,IF(H1984="EQ",3.9,IF(H1984="ILF",7.5,IF(H1984="EIF",5.4)))))))</f>
        <v/>
      </c>
      <c r="M1984" s="112" t="str">
        <f t="shared" si="34"/>
        <v/>
      </c>
      <c r="N1984" s="113"/>
    </row>
    <row r="1985" spans="2:14">
      <c r="B1985" s="105"/>
      <c r="C1985" s="106"/>
      <c r="D1985" s="107"/>
      <c r="E1985" s="65"/>
      <c r="F1985" s="64"/>
      <c r="G1985" s="64"/>
      <c r="H1985" s="64"/>
      <c r="I1985" s="70"/>
      <c r="J1985" s="70"/>
      <c r="K1985" s="110" t="str">
        <f>IF(H1985="","",IF($C$29="간이법","",FPR(H1985,I1985,J1985)))</f>
        <v/>
      </c>
      <c r="L1985" s="111" t="str">
        <f>IF(H1985="","",IF($C$29="상세법",FPV(H1985,K1985),IF(H1985="EI",4,IF(H1985="EO",5.2,IF(H1985="EQ",3.9,IF(H1985="ILF",7.5,IF(H1985="EIF",5.4)))))))</f>
        <v/>
      </c>
      <c r="M1985" s="112" t="str">
        <f t="shared" si="34"/>
        <v/>
      </c>
      <c r="N1985" s="113"/>
    </row>
    <row r="1986" spans="2:14">
      <c r="B1986" s="105"/>
      <c r="C1986" s="106"/>
      <c r="D1986" s="107"/>
      <c r="E1986" s="65"/>
      <c r="F1986" s="64"/>
      <c r="G1986" s="64"/>
      <c r="H1986" s="64"/>
      <c r="I1986" s="70"/>
      <c r="J1986" s="70"/>
      <c r="K1986" s="110" t="str">
        <f>IF(H1986="","",IF($C$29="간이법","",FPR(H1986,I1986,J1986)))</f>
        <v/>
      </c>
      <c r="L1986" s="111" t="str">
        <f>IF(H1986="","",IF($C$29="상세법",FPV(H1986,K1986),IF(H1986="EI",4,IF(H1986="EO",5.2,IF(H1986="EQ",3.9,IF(H1986="ILF",7.5,IF(H1986="EIF",5.4)))))))</f>
        <v/>
      </c>
      <c r="M1986" s="112" t="str">
        <f t="shared" si="34"/>
        <v/>
      </c>
      <c r="N1986" s="113"/>
    </row>
    <row r="1987" spans="2:14">
      <c r="B1987" s="105"/>
      <c r="C1987" s="106"/>
      <c r="D1987" s="107"/>
      <c r="E1987" s="65"/>
      <c r="F1987" s="64"/>
      <c r="G1987" s="64"/>
      <c r="H1987" s="64"/>
      <c r="I1987" s="70"/>
      <c r="J1987" s="70"/>
      <c r="K1987" s="110" t="str">
        <f>IF(H1987="","",IF($C$29="간이법","",FPR(H1987,I1987,J1987)))</f>
        <v/>
      </c>
      <c r="L1987" s="111" t="str">
        <f>IF(H1987="","",IF($C$29="상세법",FPV(H1987,K1987),IF(H1987="EI",4,IF(H1987="EO",5.2,IF(H1987="EQ",3.9,IF(H1987="ILF",7.5,IF(H1987="EIF",5.4)))))))</f>
        <v/>
      </c>
      <c r="M1987" s="112" t="str">
        <f t="shared" si="34"/>
        <v/>
      </c>
      <c r="N1987" s="113"/>
    </row>
    <row r="1988" spans="2:14">
      <c r="B1988" s="105"/>
      <c r="C1988" s="106"/>
      <c r="D1988" s="107"/>
      <c r="E1988" s="65"/>
      <c r="F1988" s="64"/>
      <c r="G1988" s="64"/>
      <c r="H1988" s="64"/>
      <c r="I1988" s="70"/>
      <c r="J1988" s="70"/>
      <c r="K1988" s="110" t="str">
        <f>IF(H1988="","",IF($C$29="간이법","",FPR(H1988,I1988,J1988)))</f>
        <v/>
      </c>
      <c r="L1988" s="111" t="str">
        <f>IF(H1988="","",IF($C$29="상세법",FPV(H1988,K1988),IF(H1988="EI",4,IF(H1988="EO",5.2,IF(H1988="EQ",3.9,IF(H1988="ILF",7.5,IF(H1988="EIF",5.4)))))))</f>
        <v/>
      </c>
      <c r="M1988" s="112" t="str">
        <f t="shared" si="34"/>
        <v/>
      </c>
      <c r="N1988" s="113"/>
    </row>
    <row r="1989" spans="2:14">
      <c r="B1989" s="105"/>
      <c r="C1989" s="106"/>
      <c r="D1989" s="107"/>
      <c r="E1989" s="65"/>
      <c r="F1989" s="64"/>
      <c r="G1989" s="64"/>
      <c r="H1989" s="64"/>
      <c r="I1989" s="70"/>
      <c r="J1989" s="70"/>
      <c r="K1989" s="110" t="str">
        <f>IF(H1989="","",IF($C$29="간이법","",FPR(H1989,I1989,J1989)))</f>
        <v/>
      </c>
      <c r="L1989" s="111" t="str">
        <f>IF(H1989="","",IF($C$29="상세법",FPV(H1989,K1989),IF(H1989="EI",4,IF(H1989="EO",5.2,IF(H1989="EQ",3.9,IF(H1989="ILF",7.5,IF(H1989="EIF",5.4)))))))</f>
        <v/>
      </c>
      <c r="M1989" s="112" t="str">
        <f t="shared" si="34"/>
        <v/>
      </c>
      <c r="N1989" s="113"/>
    </row>
    <row r="1990" spans="2:14">
      <c r="B1990" s="105"/>
      <c r="C1990" s="106"/>
      <c r="D1990" s="107"/>
      <c r="E1990" s="65"/>
      <c r="F1990" s="64"/>
      <c r="G1990" s="64"/>
      <c r="H1990" s="64"/>
      <c r="I1990" s="70"/>
      <c r="J1990" s="70"/>
      <c r="K1990" s="110" t="str">
        <f>IF(H1990="","",IF($C$29="간이법","",FPR(H1990,I1990,J1990)))</f>
        <v/>
      </c>
      <c r="L1990" s="111" t="str">
        <f>IF(H1990="","",IF($C$29="상세법",FPV(H1990,K1990),IF(H1990="EI",4,IF(H1990="EO",5.2,IF(H1990="EQ",3.9,IF(H1990="ILF",7.5,IF(H1990="EIF",5.4)))))))</f>
        <v/>
      </c>
      <c r="M1990" s="112" t="str">
        <f t="shared" si="34"/>
        <v/>
      </c>
      <c r="N1990" s="113"/>
    </row>
    <row r="1991" spans="2:14">
      <c r="B1991" s="105"/>
      <c r="C1991" s="106"/>
      <c r="D1991" s="107"/>
      <c r="E1991" s="65"/>
      <c r="F1991" s="64"/>
      <c r="G1991" s="64"/>
      <c r="H1991" s="64"/>
      <c r="I1991" s="70"/>
      <c r="J1991" s="70"/>
      <c r="K1991" s="110" t="str">
        <f>IF(H1991="","",IF($C$29="간이법","",FPR(H1991,I1991,J1991)))</f>
        <v/>
      </c>
      <c r="L1991" s="111" t="str">
        <f>IF(H1991="","",IF($C$29="상세법",FPV(H1991,K1991),IF(H1991="EI",4,IF(H1991="EO",5.2,IF(H1991="EQ",3.9,IF(H1991="ILF",7.5,IF(H1991="EIF",5.4)))))))</f>
        <v/>
      </c>
      <c r="M1991" s="112" t="str">
        <f t="shared" si="34"/>
        <v/>
      </c>
      <c r="N1991" s="113"/>
    </row>
    <row r="1992" spans="2:14">
      <c r="B1992" s="105"/>
      <c r="C1992" s="106"/>
      <c r="D1992" s="107"/>
      <c r="E1992" s="65"/>
      <c r="F1992" s="64"/>
      <c r="G1992" s="64"/>
      <c r="H1992" s="64"/>
      <c r="I1992" s="70"/>
      <c r="J1992" s="70"/>
      <c r="K1992" s="110" t="str">
        <f>IF(H1992="","",IF($C$29="간이법","",FPR(H1992,I1992,J1992)))</f>
        <v/>
      </c>
      <c r="L1992" s="111" t="str">
        <f>IF(H1992="","",IF($C$29="상세법",FPV(H1992,K1992),IF(H1992="EI",4,IF(H1992="EO",5.2,IF(H1992="EQ",3.9,IF(H1992="ILF",7.5,IF(H1992="EIF",5.4)))))))</f>
        <v/>
      </c>
      <c r="M1992" s="112" t="str">
        <f t="shared" si="34"/>
        <v/>
      </c>
      <c r="N1992" s="113"/>
    </row>
    <row r="1993" spans="2:14">
      <c r="B1993" s="105"/>
      <c r="C1993" s="106"/>
      <c r="D1993" s="107"/>
      <c r="E1993" s="65"/>
      <c r="F1993" s="64"/>
      <c r="G1993" s="64"/>
      <c r="H1993" s="64"/>
      <c r="I1993" s="70"/>
      <c r="J1993" s="70"/>
      <c r="K1993" s="110" t="str">
        <f>IF(H1993="","",IF($C$29="간이법","",FPR(H1993,I1993,J1993)))</f>
        <v/>
      </c>
      <c r="L1993" s="111" t="str">
        <f>IF(H1993="","",IF($C$29="상세법",FPV(H1993,K1993),IF(H1993="EI",4,IF(H1993="EO",5.2,IF(H1993="EQ",3.9,IF(H1993="ILF",7.5,IF(H1993="EIF",5.4)))))))</f>
        <v/>
      </c>
      <c r="M1993" s="112" t="str">
        <f t="shared" si="34"/>
        <v/>
      </c>
      <c r="N1993" s="113"/>
    </row>
    <row r="1994" spans="2:14">
      <c r="B1994" s="105"/>
      <c r="C1994" s="106"/>
      <c r="D1994" s="107"/>
      <c r="E1994" s="65"/>
      <c r="F1994" s="64"/>
      <c r="G1994" s="64"/>
      <c r="H1994" s="64"/>
      <c r="I1994" s="70"/>
      <c r="J1994" s="70"/>
      <c r="K1994" s="110" t="str">
        <f>IF(H1994="","",IF($C$29="간이법","",FPR(H1994,I1994,J1994)))</f>
        <v/>
      </c>
      <c r="L1994" s="111" t="str">
        <f>IF(H1994="","",IF($C$29="상세법",FPV(H1994,K1994),IF(H1994="EI",4,IF(H1994="EO",5.2,IF(H1994="EQ",3.9,IF(H1994="ILF",7.5,IF(H1994="EIF",5.4)))))))</f>
        <v/>
      </c>
      <c r="M1994" s="112" t="str">
        <f t="shared" si="34"/>
        <v/>
      </c>
      <c r="N1994" s="113"/>
    </row>
    <row r="1995" spans="2:14">
      <c r="B1995" s="105"/>
      <c r="C1995" s="106"/>
      <c r="D1995" s="107"/>
      <c r="E1995" s="65"/>
      <c r="F1995" s="64"/>
      <c r="G1995" s="64"/>
      <c r="H1995" s="64"/>
      <c r="I1995" s="70"/>
      <c r="J1995" s="70"/>
      <c r="K1995" s="110" t="str">
        <f>IF(H1995="","",IF($C$29="간이법","",FPR(H1995,I1995,J1995)))</f>
        <v/>
      </c>
      <c r="L1995" s="111" t="str">
        <f>IF(H1995="","",IF($C$29="상세법",FPV(H1995,K1995),IF(H1995="EI",4,IF(H1995="EO",5.2,IF(H1995="EQ",3.9,IF(H1995="ILF",7.5,IF(H1995="EIF",5.4)))))))</f>
        <v/>
      </c>
      <c r="M1995" s="112" t="str">
        <f t="shared" si="34"/>
        <v/>
      </c>
      <c r="N1995" s="113"/>
    </row>
    <row r="1996" spans="2:14">
      <c r="B1996" s="105"/>
      <c r="C1996" s="106"/>
      <c r="D1996" s="107"/>
      <c r="E1996" s="65"/>
      <c r="F1996" s="64"/>
      <c r="G1996" s="64"/>
      <c r="H1996" s="64"/>
      <c r="I1996" s="70"/>
      <c r="J1996" s="70"/>
      <c r="K1996" s="110" t="str">
        <f>IF(H1996="","",IF($C$29="간이법","",FPR(H1996,I1996,J1996)))</f>
        <v/>
      </c>
      <c r="L1996" s="111" t="str">
        <f>IF(H1996="","",IF($C$29="상세법",FPV(H1996,K1996),IF(H1996="EI",4,IF(H1996="EO",5.2,IF(H1996="EQ",3.9,IF(H1996="ILF",7.5,IF(H1996="EIF",5.4)))))))</f>
        <v/>
      </c>
      <c r="M1996" s="112" t="str">
        <f t="shared" si="34"/>
        <v/>
      </c>
      <c r="N1996" s="113"/>
    </row>
    <row r="1997" spans="2:14">
      <c r="B1997" s="105"/>
      <c r="C1997" s="106"/>
      <c r="D1997" s="107"/>
      <c r="E1997" s="65"/>
      <c r="F1997" s="64"/>
      <c r="G1997" s="64"/>
      <c r="H1997" s="64"/>
      <c r="I1997" s="70"/>
      <c r="J1997" s="70"/>
      <c r="K1997" s="110" t="str">
        <f>IF(H1997="","",IF($C$29="간이법","",FPR(H1997,I1997,J1997)))</f>
        <v/>
      </c>
      <c r="L1997" s="111" t="str">
        <f>IF(H1997="","",IF($C$29="상세법",FPV(H1997,K1997),IF(H1997="EI",4,IF(H1997="EO",5.2,IF(H1997="EQ",3.9,IF(H1997="ILF",7.5,IF(H1997="EIF",5.4)))))))</f>
        <v/>
      </c>
      <c r="M1997" s="112" t="str">
        <f t="shared" si="34"/>
        <v/>
      </c>
      <c r="N1997" s="113"/>
    </row>
    <row r="1998" spans="2:14">
      <c r="B1998" s="105"/>
      <c r="C1998" s="106"/>
      <c r="D1998" s="107"/>
      <c r="E1998" s="65"/>
      <c r="F1998" s="64"/>
      <c r="G1998" s="64"/>
      <c r="H1998" s="64"/>
      <c r="I1998" s="70"/>
      <c r="J1998" s="70"/>
      <c r="K1998" s="110" t="str">
        <f>IF(H1998="","",IF($C$29="간이법","",FPR(H1998,I1998,J1998)))</f>
        <v/>
      </c>
      <c r="L1998" s="111" t="str">
        <f>IF(H1998="","",IF($C$29="상세법",FPV(H1998,K1998),IF(H1998="EI",4,IF(H1998="EO",5.2,IF(H1998="EQ",3.9,IF(H1998="ILF",7.5,IF(H1998="EIF",5.4)))))))</f>
        <v/>
      </c>
      <c r="M1998" s="112" t="str">
        <f t="shared" si="34"/>
        <v/>
      </c>
      <c r="N1998" s="113"/>
    </row>
    <row r="1999" spans="2:14">
      <c r="B1999" s="105"/>
      <c r="C1999" s="106"/>
      <c r="D1999" s="107"/>
      <c r="E1999" s="65"/>
      <c r="F1999" s="64"/>
      <c r="G1999" s="64"/>
      <c r="H1999" s="64"/>
      <c r="I1999" s="70"/>
      <c r="J1999" s="70"/>
      <c r="K1999" s="110" t="str">
        <f>IF(H1999="","",IF($C$29="간이법","",FPR(H1999,I1999,J1999)))</f>
        <v/>
      </c>
      <c r="L1999" s="111" t="str">
        <f>IF(H1999="","",IF($C$29="상세법",FPV(H1999,K1999),IF(H1999="EI",4,IF(H1999="EO",5.2,IF(H1999="EQ",3.9,IF(H1999="ILF",7.5,IF(H1999="EIF",5.4)))))))</f>
        <v/>
      </c>
      <c r="M1999" s="112" t="str">
        <f t="shared" si="34"/>
        <v/>
      </c>
      <c r="N1999" s="113"/>
    </row>
    <row r="2000" spans="2:14">
      <c r="B2000" s="105"/>
      <c r="C2000" s="106"/>
      <c r="D2000" s="107"/>
      <c r="E2000" s="65"/>
      <c r="F2000" s="64"/>
      <c r="G2000" s="64"/>
      <c r="H2000" s="64"/>
      <c r="I2000" s="70"/>
      <c r="J2000" s="70"/>
      <c r="K2000" s="110" t="str">
        <f>IF(H2000="","",IF($C$29="간이법","",FPR(H2000,I2000,J2000)))</f>
        <v/>
      </c>
      <c r="L2000" s="111" t="str">
        <f>IF(H2000="","",IF($C$29="상세법",FPV(H2000,K2000),IF(H2000="EI",4,IF(H2000="EO",5.2,IF(H2000="EQ",3.9,IF(H2000="ILF",7.5,IF(H2000="EIF",5.4)))))))</f>
        <v/>
      </c>
      <c r="M2000" s="112" t="str">
        <f t="shared" si="34"/>
        <v/>
      </c>
      <c r="N2000" s="113"/>
    </row>
    <row r="2001" spans="2:14">
      <c r="B2001" s="105"/>
      <c r="C2001" s="106"/>
      <c r="D2001" s="107"/>
      <c r="E2001" s="65"/>
      <c r="F2001" s="64"/>
      <c r="G2001" s="64"/>
      <c r="H2001" s="64"/>
      <c r="I2001" s="70"/>
      <c r="J2001" s="70"/>
      <c r="K2001" s="110" t="str">
        <f>IF(H2001="","",IF($C$29="간이법","",FPR(H2001,I2001,J2001)))</f>
        <v/>
      </c>
      <c r="L2001" s="111" t="str">
        <f>IF(H2001="","",IF($C$29="상세법",FPV(H2001,K2001),IF(H2001="EI",4,IF(H2001="EO",5.2,IF(H2001="EQ",3.9,IF(H2001="ILF",7.5,IF(H2001="EIF",5.4)))))))</f>
        <v/>
      </c>
      <c r="M2001" s="112" t="str">
        <f t="shared" si="34"/>
        <v/>
      </c>
      <c r="N2001" s="113"/>
    </row>
    <row r="2002" spans="2:14">
      <c r="B2002" s="105"/>
      <c r="C2002" s="106"/>
      <c r="D2002" s="107"/>
      <c r="E2002" s="65"/>
      <c r="F2002" s="64"/>
      <c r="G2002" s="64"/>
      <c r="H2002" s="64"/>
      <c r="I2002" s="70"/>
      <c r="J2002" s="70"/>
      <c r="K2002" s="110" t="str">
        <f>IF(H2002="","",IF($C$29="간이법","",FPR(H2002,I2002,J2002)))</f>
        <v/>
      </c>
      <c r="L2002" s="111" t="str">
        <f>IF(H2002="","",IF($C$29="상세법",FPV(H2002,K2002),IF(H2002="EI",4,IF(H2002="EO",5.2,IF(H2002="EQ",3.9,IF(H2002="ILF",7.5,IF(H2002="EIF",5.4)))))))</f>
        <v/>
      </c>
      <c r="M2002" s="112" t="str">
        <f t="shared" si="34"/>
        <v/>
      </c>
      <c r="N2002" s="113"/>
    </row>
    <row r="2003" spans="2:14">
      <c r="B2003" s="105"/>
      <c r="C2003" s="106"/>
      <c r="D2003" s="107"/>
      <c r="E2003" s="65"/>
      <c r="F2003" s="64"/>
      <c r="G2003" s="64"/>
      <c r="H2003" s="64"/>
      <c r="I2003" s="70"/>
      <c r="J2003" s="70"/>
      <c r="K2003" s="110" t="str">
        <f>IF(H2003="","",IF($C$29="간이법","",FPR(H2003,I2003,J2003)))</f>
        <v/>
      </c>
      <c r="L2003" s="111" t="str">
        <f>IF(H2003="","",IF($C$29="상세법",FPV(H2003,K2003),IF(H2003="EI",4,IF(H2003="EO",5.2,IF(H2003="EQ",3.9,IF(H2003="ILF",7.5,IF(H2003="EIF",5.4)))))))</f>
        <v/>
      </c>
      <c r="M2003" s="112" t="str">
        <f t="shared" si="34"/>
        <v/>
      </c>
      <c r="N2003" s="113"/>
    </row>
    <row r="2004" spans="2:14">
      <c r="B2004" s="105"/>
      <c r="C2004" s="106"/>
      <c r="D2004" s="107"/>
      <c r="E2004" s="65"/>
      <c r="F2004" s="64"/>
      <c r="G2004" s="64"/>
      <c r="H2004" s="64"/>
      <c r="I2004" s="70"/>
      <c r="J2004" s="70"/>
      <c r="K2004" s="110" t="str">
        <f>IF(H2004="","",IF($C$29="간이법","",FPR(H2004,I2004,J2004)))</f>
        <v/>
      </c>
      <c r="L2004" s="111" t="str">
        <f>IF(H2004="","",IF($C$29="상세법",FPV(H2004,K2004),IF(H2004="EI",4,IF(H2004="EO",5.2,IF(H2004="EQ",3.9,IF(H2004="ILF",7.5,IF(H2004="EIF",5.4)))))))</f>
        <v/>
      </c>
      <c r="M2004" s="112" t="str">
        <f t="shared" si="34"/>
        <v/>
      </c>
      <c r="N2004" s="113"/>
    </row>
    <row r="2005" spans="2:14">
      <c r="B2005" s="105"/>
      <c r="C2005" s="106"/>
      <c r="D2005" s="107"/>
      <c r="E2005" s="65"/>
      <c r="F2005" s="64"/>
      <c r="G2005" s="64"/>
      <c r="H2005" s="64"/>
      <c r="I2005" s="70"/>
      <c r="J2005" s="70"/>
      <c r="K2005" s="110" t="str">
        <f>IF(H2005="","",IF($C$29="간이법","",FPR(H2005,I2005,J2005)))</f>
        <v/>
      </c>
      <c r="L2005" s="111" t="str">
        <f>IF(H2005="","",IF($C$29="상세법",FPV(H2005,K2005),IF(H2005="EI",4,IF(H2005="EO",5.2,IF(H2005="EQ",3.9,IF(H2005="ILF",7.5,IF(H2005="EIF",5.4)))))))</f>
        <v/>
      </c>
      <c r="M2005" s="112" t="str">
        <f t="shared" si="34"/>
        <v/>
      </c>
      <c r="N2005" s="113"/>
    </row>
    <row r="2006" spans="2:14">
      <c r="B2006" s="105"/>
      <c r="C2006" s="106"/>
      <c r="D2006" s="107"/>
      <c r="E2006" s="65"/>
      <c r="F2006" s="64"/>
      <c r="G2006" s="64"/>
      <c r="H2006" s="64"/>
      <c r="I2006" s="70"/>
      <c r="J2006" s="70"/>
      <c r="K2006" s="110" t="str">
        <f>IF(H2006="","",IF($C$29="간이법","",FPR(H2006,I2006,J2006)))</f>
        <v/>
      </c>
      <c r="L2006" s="111" t="str">
        <f>IF(H2006="","",IF($C$29="상세법",FPV(H2006,K2006),IF(H2006="EI",4,IF(H2006="EO",5.2,IF(H2006="EQ",3.9,IF(H2006="ILF",7.5,IF(H2006="EIF",5.4)))))))</f>
        <v/>
      </c>
      <c r="M2006" s="112" t="str">
        <f t="shared" si="34"/>
        <v/>
      </c>
      <c r="N2006" s="113"/>
    </row>
    <row r="2007" spans="2:14">
      <c r="B2007" s="105"/>
      <c r="C2007" s="106"/>
      <c r="D2007" s="107"/>
      <c r="E2007" s="65"/>
      <c r="F2007" s="64"/>
      <c r="G2007" s="64"/>
      <c r="H2007" s="64"/>
      <c r="I2007" s="70"/>
      <c r="J2007" s="70"/>
      <c r="K2007" s="110" t="str">
        <f>IF(H2007="","",IF($C$29="간이법","",FPR(H2007,I2007,J2007)))</f>
        <v/>
      </c>
      <c r="L2007" s="111" t="str">
        <f>IF(H2007="","",IF($C$29="상세법",FPV(H2007,K2007),IF(H2007="EI",4,IF(H2007="EO",5.2,IF(H2007="EQ",3.9,IF(H2007="ILF",7.5,IF(H2007="EIF",5.4)))))))</f>
        <v/>
      </c>
      <c r="M2007" s="112" t="str">
        <f t="shared" si="34"/>
        <v/>
      </c>
      <c r="N2007" s="113"/>
    </row>
    <row r="2008" spans="2:14">
      <c r="B2008" s="105"/>
      <c r="C2008" s="106"/>
      <c r="D2008" s="107"/>
      <c r="E2008" s="65"/>
      <c r="F2008" s="64"/>
      <c r="G2008" s="64"/>
      <c r="H2008" s="64"/>
      <c r="I2008" s="70"/>
      <c r="J2008" s="70"/>
      <c r="K2008" s="110" t="str">
        <f>IF(H2008="","",IF($C$29="간이법","",FPR(H2008,I2008,J2008)))</f>
        <v/>
      </c>
      <c r="L2008" s="111" t="str">
        <f>IF(H2008="","",IF($C$29="상세법",FPV(H2008,K2008),IF(H2008="EI",4,IF(H2008="EO",5.2,IF(H2008="EQ",3.9,IF(H2008="ILF",7.5,IF(H2008="EIF",5.4)))))))</f>
        <v/>
      </c>
      <c r="M2008" s="112" t="str">
        <f t="shared" si="34"/>
        <v/>
      </c>
      <c r="N2008" s="113"/>
    </row>
    <row r="2009" spans="2:14">
      <c r="B2009" s="105"/>
      <c r="C2009" s="106"/>
      <c r="D2009" s="107"/>
      <c r="E2009" s="65"/>
      <c r="F2009" s="64"/>
      <c r="G2009" s="64"/>
      <c r="H2009" s="64"/>
      <c r="I2009" s="70"/>
      <c r="J2009" s="70"/>
      <c r="K2009" s="110" t="str">
        <f>IF(H2009="","",IF($C$29="간이법","",FPR(H2009,I2009,J2009)))</f>
        <v/>
      </c>
      <c r="L2009" s="111" t="str">
        <f>IF(H2009="","",IF($C$29="상세법",FPV(H2009,K2009),IF(H2009="EI",4,IF(H2009="EO",5.2,IF(H2009="EQ",3.9,IF(H2009="ILF",7.5,IF(H2009="EIF",5.4)))))))</f>
        <v/>
      </c>
      <c r="M2009" s="112" t="str">
        <f t="shared" si="34"/>
        <v/>
      </c>
      <c r="N2009" s="113"/>
    </row>
    <row r="2010" spans="2:14">
      <c r="B2010" s="105"/>
      <c r="C2010" s="106"/>
      <c r="D2010" s="107"/>
      <c r="E2010" s="65"/>
      <c r="F2010" s="64"/>
      <c r="G2010" s="64"/>
      <c r="H2010" s="64"/>
      <c r="I2010" s="70"/>
      <c r="J2010" s="70"/>
      <c r="K2010" s="110" t="str">
        <f>IF(H2010="","",IF($C$29="간이법","",FPR(H2010,I2010,J2010)))</f>
        <v/>
      </c>
      <c r="L2010" s="111" t="str">
        <f>IF(H2010="","",IF($C$29="상세법",FPV(H2010,K2010),IF(H2010="EI",4,IF(H2010="EO",5.2,IF(H2010="EQ",3.9,IF(H2010="ILF",7.5,IF(H2010="EIF",5.4)))))))</f>
        <v/>
      </c>
      <c r="M2010" s="112" t="str">
        <f t="shared" si="34"/>
        <v/>
      </c>
      <c r="N2010" s="113"/>
    </row>
    <row r="2011" spans="2:14">
      <c r="B2011" s="105"/>
      <c r="C2011" s="106"/>
      <c r="D2011" s="107"/>
      <c r="E2011" s="65"/>
      <c r="F2011" s="64"/>
      <c r="G2011" s="64"/>
      <c r="H2011" s="64"/>
      <c r="I2011" s="70"/>
      <c r="J2011" s="70"/>
      <c r="K2011" s="110" t="str">
        <f>IF(H2011="","",IF($C$29="간이법","",FPR(H2011,I2011,J2011)))</f>
        <v/>
      </c>
      <c r="L2011" s="111" t="str">
        <f>IF(H2011="","",IF($C$29="상세법",FPV(H2011,K2011),IF(H2011="EI",4,IF(H2011="EO",5.2,IF(H2011="EQ",3.9,IF(H2011="ILF",7.5,IF(H2011="EIF",5.4)))))))</f>
        <v/>
      </c>
      <c r="M2011" s="112" t="str">
        <f t="shared" si="34"/>
        <v/>
      </c>
      <c r="N2011" s="113"/>
    </row>
    <row r="2012" spans="2:14">
      <c r="B2012" s="105"/>
      <c r="C2012" s="106"/>
      <c r="D2012" s="107"/>
      <c r="E2012" s="65"/>
      <c r="F2012" s="64"/>
      <c r="G2012" s="64"/>
      <c r="H2012" s="64"/>
      <c r="I2012" s="70"/>
      <c r="J2012" s="70"/>
      <c r="K2012" s="110" t="str">
        <f>IF(H2012="","",IF($C$29="간이법","",FPR(H2012,I2012,J2012)))</f>
        <v/>
      </c>
      <c r="L2012" s="111" t="str">
        <f>IF(H2012="","",IF($C$29="상세법",FPV(H2012,K2012),IF(H2012="EI",4,IF(H2012="EO",5.2,IF(H2012="EQ",3.9,IF(H2012="ILF",7.5,IF(H2012="EIF",5.4)))))))</f>
        <v/>
      </c>
      <c r="M2012" s="112" t="str">
        <f t="shared" si="34"/>
        <v/>
      </c>
      <c r="N2012" s="113"/>
    </row>
    <row r="2013" spans="2:14">
      <c r="B2013" s="105"/>
      <c r="C2013" s="106"/>
      <c r="D2013" s="107"/>
      <c r="E2013" s="65"/>
      <c r="F2013" s="64"/>
      <c r="G2013" s="64"/>
      <c r="H2013" s="64"/>
      <c r="I2013" s="70"/>
      <c r="J2013" s="70"/>
      <c r="K2013" s="110" t="str">
        <f>IF(H2013="","",IF($C$29="간이법","",FPR(H2013,I2013,J2013)))</f>
        <v/>
      </c>
      <c r="L2013" s="111" t="str">
        <f>IF(H2013="","",IF($C$29="상세법",FPV(H2013,K2013),IF(H2013="EI",4,IF(H2013="EO",5.2,IF(H2013="EQ",3.9,IF(H2013="ILF",7.5,IF(H2013="EIF",5.4)))))))</f>
        <v/>
      </c>
      <c r="M2013" s="112" t="str">
        <f t="shared" si="34"/>
        <v/>
      </c>
      <c r="N2013" s="113"/>
    </row>
    <row r="2014" spans="2:14">
      <c r="B2014" s="105"/>
      <c r="C2014" s="106"/>
      <c r="D2014" s="107"/>
      <c r="E2014" s="65"/>
      <c r="F2014" s="64"/>
      <c r="G2014" s="64"/>
      <c r="H2014" s="64"/>
      <c r="I2014" s="70"/>
      <c r="J2014" s="70"/>
      <c r="K2014" s="110" t="str">
        <f>IF(H2014="","",IF($C$29="간이법","",FPR(H2014,I2014,J2014)))</f>
        <v/>
      </c>
      <c r="L2014" s="111" t="str">
        <f>IF(H2014="","",IF($C$29="상세법",FPV(H2014,K2014),IF(H2014="EI",4,IF(H2014="EO",5.2,IF(H2014="EQ",3.9,IF(H2014="ILF",7.5,IF(H2014="EIF",5.4)))))))</f>
        <v/>
      </c>
      <c r="M2014" s="112" t="str">
        <f t="shared" si="34"/>
        <v/>
      </c>
      <c r="N2014" s="113"/>
    </row>
    <row r="2015" spans="2:14">
      <c r="B2015" s="105"/>
      <c r="C2015" s="106"/>
      <c r="D2015" s="107"/>
      <c r="E2015" s="65"/>
      <c r="F2015" s="64"/>
      <c r="G2015" s="64"/>
      <c r="H2015" s="64"/>
      <c r="I2015" s="70"/>
      <c r="J2015" s="70"/>
      <c r="K2015" s="110" t="str">
        <f>IF(H2015="","",IF($C$29="간이법","",FPR(H2015,I2015,J2015)))</f>
        <v/>
      </c>
      <c r="L2015" s="111" t="str">
        <f>IF(H2015="","",IF($C$29="상세법",FPV(H2015,K2015),IF(H2015="EI",4,IF(H2015="EO",5.2,IF(H2015="EQ",3.9,IF(H2015="ILF",7.5,IF(H2015="EIF",5.4)))))))</f>
        <v/>
      </c>
      <c r="M2015" s="112" t="str">
        <f t="shared" si="34"/>
        <v/>
      </c>
      <c r="N2015" s="113"/>
    </row>
    <row r="2016" spans="2:14">
      <c r="B2016" s="105"/>
      <c r="C2016" s="106"/>
      <c r="D2016" s="107"/>
      <c r="E2016" s="65"/>
      <c r="F2016" s="64"/>
      <c r="G2016" s="64"/>
      <c r="H2016" s="64"/>
      <c r="I2016" s="70"/>
      <c r="J2016" s="70"/>
      <c r="K2016" s="110" t="str">
        <f>IF(H2016="","",IF($C$29="간이법","",FPR(H2016,I2016,J2016)))</f>
        <v/>
      </c>
      <c r="L2016" s="111" t="str">
        <f>IF(H2016="","",IF($C$29="상세법",FPV(H2016,K2016),IF(H2016="EI",4,IF(H2016="EO",5.2,IF(H2016="EQ",3.9,IF(H2016="ILF",7.5,IF(H2016="EIF",5.4)))))))</f>
        <v/>
      </c>
      <c r="M2016" s="112" t="str">
        <f t="shared" si="34"/>
        <v/>
      </c>
      <c r="N2016" s="113"/>
    </row>
    <row r="2017" spans="2:14">
      <c r="B2017" s="105"/>
      <c r="C2017" s="106"/>
      <c r="D2017" s="107"/>
      <c r="E2017" s="65"/>
      <c r="F2017" s="64"/>
      <c r="G2017" s="64"/>
      <c r="H2017" s="64"/>
      <c r="I2017" s="70"/>
      <c r="J2017" s="70"/>
      <c r="K2017" s="110" t="str">
        <f>IF(H2017="","",IF($C$29="간이법","",FPR(H2017,I2017,J2017)))</f>
        <v/>
      </c>
      <c r="L2017" s="111" t="str">
        <f>IF(H2017="","",IF($C$29="상세법",FPV(H2017,K2017),IF(H2017="EI",4,IF(H2017="EO",5.2,IF(H2017="EQ",3.9,IF(H2017="ILF",7.5,IF(H2017="EIF",5.4)))))))</f>
        <v/>
      </c>
      <c r="M2017" s="112" t="str">
        <f t="shared" si="34"/>
        <v/>
      </c>
      <c r="N2017" s="113"/>
    </row>
    <row r="2018" spans="2:14">
      <c r="B2018" s="105"/>
      <c r="C2018" s="106"/>
      <c r="D2018" s="107"/>
      <c r="E2018" s="65"/>
      <c r="F2018" s="64"/>
      <c r="G2018" s="64"/>
      <c r="H2018" s="64"/>
      <c r="I2018" s="70"/>
      <c r="J2018" s="70"/>
      <c r="K2018" s="110" t="str">
        <f>IF(H2018="","",IF($C$29="간이법","",FPR(H2018,I2018,J2018)))</f>
        <v/>
      </c>
      <c r="L2018" s="111" t="str">
        <f>IF(H2018="","",IF($C$29="상세법",FPV(H2018,K2018),IF(H2018="EI",4,IF(H2018="EO",5.2,IF(H2018="EQ",3.9,IF(H2018="ILF",7.5,IF(H2018="EIF",5.4)))))))</f>
        <v/>
      </c>
      <c r="M2018" s="112" t="str">
        <f t="shared" si="34"/>
        <v/>
      </c>
      <c r="N2018" s="113"/>
    </row>
    <row r="2019" spans="2:14">
      <c r="B2019" s="105"/>
      <c r="C2019" s="106"/>
      <c r="D2019" s="107"/>
      <c r="E2019" s="65"/>
      <c r="F2019" s="64"/>
      <c r="G2019" s="64"/>
      <c r="H2019" s="64"/>
      <c r="I2019" s="70"/>
      <c r="J2019" s="70"/>
      <c r="K2019" s="110" t="str">
        <f>IF(H2019="","",IF($C$29="간이법","",FPR(H2019,I2019,J2019)))</f>
        <v/>
      </c>
      <c r="L2019" s="111" t="str">
        <f>IF(H2019="","",IF($C$29="상세법",FPV(H2019,K2019),IF(H2019="EI",4,IF(H2019="EO",5.2,IF(H2019="EQ",3.9,IF(H2019="ILF",7.5,IF(H2019="EIF",5.4)))))))</f>
        <v/>
      </c>
      <c r="M2019" s="112" t="str">
        <f t="shared" si="34"/>
        <v/>
      </c>
      <c r="N2019" s="113"/>
    </row>
    <row r="2020" spans="2:14">
      <c r="B2020" s="105"/>
      <c r="C2020" s="106"/>
      <c r="D2020" s="107"/>
      <c r="E2020" s="65"/>
      <c r="F2020" s="64"/>
      <c r="G2020" s="64"/>
      <c r="H2020" s="64"/>
      <c r="I2020" s="70"/>
      <c r="J2020" s="70"/>
      <c r="K2020" s="110" t="str">
        <f>IF(H2020="","",IF($C$29="간이법","",FPR(H2020,I2020,J2020)))</f>
        <v/>
      </c>
      <c r="L2020" s="111" t="str">
        <f>IF(H2020="","",IF($C$29="상세법",FPV(H2020,K2020),IF(H2020="EI",4,IF(H2020="EO",5.2,IF(H2020="EQ",3.9,IF(H2020="ILF",7.5,IF(H2020="EIF",5.4)))))))</f>
        <v/>
      </c>
      <c r="M2020" s="112" t="str">
        <f t="shared" si="34"/>
        <v/>
      </c>
      <c r="N2020" s="113"/>
    </row>
    <row r="2021" spans="2:14">
      <c r="B2021" s="105"/>
      <c r="C2021" s="106"/>
      <c r="D2021" s="107"/>
      <c r="E2021" s="65"/>
      <c r="F2021" s="64"/>
      <c r="G2021" s="64"/>
      <c r="H2021" s="64"/>
      <c r="I2021" s="70"/>
      <c r="J2021" s="70"/>
      <c r="K2021" s="110" t="str">
        <f>IF(H2021="","",IF($C$29="간이법","",FPR(H2021,I2021,J2021)))</f>
        <v/>
      </c>
      <c r="L2021" s="111" t="str">
        <f>IF(H2021="","",IF($C$29="상세법",FPV(H2021,K2021),IF(H2021="EI",4,IF(H2021="EO",5.2,IF(H2021="EQ",3.9,IF(H2021="ILF",7.5,IF(H2021="EIF",5.4)))))))</f>
        <v/>
      </c>
      <c r="M2021" s="112" t="str">
        <f t="shared" si="34"/>
        <v/>
      </c>
      <c r="N2021" s="113"/>
    </row>
    <row r="2022" spans="2:14">
      <c r="B2022" s="105"/>
      <c r="C2022" s="106"/>
      <c r="D2022" s="107"/>
      <c r="E2022" s="65"/>
      <c r="F2022" s="64"/>
      <c r="G2022" s="64"/>
      <c r="H2022" s="64"/>
      <c r="I2022" s="70"/>
      <c r="J2022" s="70"/>
      <c r="K2022" s="110" t="str">
        <f>IF(H2022="","",IF($C$29="간이법","",FPR(H2022,I2022,J2022)))</f>
        <v/>
      </c>
      <c r="L2022" s="111" t="str">
        <f>IF(H2022="","",IF($C$29="상세법",FPV(H2022,K2022),IF(H2022="EI",4,IF(H2022="EO",5.2,IF(H2022="EQ",3.9,IF(H2022="ILF",7.5,IF(H2022="EIF",5.4)))))))</f>
        <v/>
      </c>
      <c r="M2022" s="112" t="str">
        <f t="shared" si="34"/>
        <v/>
      </c>
      <c r="N2022" s="113"/>
    </row>
    <row r="2023" spans="2:14">
      <c r="B2023" s="105"/>
      <c r="C2023" s="106"/>
      <c r="D2023" s="107"/>
      <c r="E2023" s="65"/>
      <c r="F2023" s="64"/>
      <c r="G2023" s="64"/>
      <c r="H2023" s="64"/>
      <c r="I2023" s="70"/>
      <c r="J2023" s="70"/>
      <c r="K2023" s="110" t="str">
        <f>IF(H2023="","",IF($C$29="간이법","",FPR(H2023,I2023,J2023)))</f>
        <v/>
      </c>
      <c r="L2023" s="111" t="str">
        <f>IF(H2023="","",IF($C$29="상세법",FPV(H2023,K2023),IF(H2023="EI",4,IF(H2023="EO",5.2,IF(H2023="EQ",3.9,IF(H2023="ILF",7.5,IF(H2023="EIF",5.4)))))))</f>
        <v/>
      </c>
      <c r="M2023" s="112" t="str">
        <f t="shared" si="34"/>
        <v/>
      </c>
      <c r="N2023" s="113"/>
    </row>
    <row r="2024" spans="2:14">
      <c r="B2024" s="105"/>
      <c r="C2024" s="106"/>
      <c r="D2024" s="107"/>
      <c r="E2024" s="65"/>
      <c r="F2024" s="64"/>
      <c r="G2024" s="64"/>
      <c r="H2024" s="64"/>
      <c r="I2024" s="70"/>
      <c r="J2024" s="70"/>
      <c r="K2024" s="110" t="str">
        <f>IF(H2024="","",IF($C$29="간이법","",FPR(H2024,I2024,J2024)))</f>
        <v/>
      </c>
      <c r="L2024" s="111" t="str">
        <f>IF(H2024="","",IF($C$29="상세법",FPV(H2024,K2024),IF(H2024="EI",4,IF(H2024="EO",5.2,IF(H2024="EQ",3.9,IF(H2024="ILF",7.5,IF(H2024="EIF",5.4)))))))</f>
        <v/>
      </c>
      <c r="M2024" s="112" t="str">
        <f t="shared" si="34"/>
        <v/>
      </c>
      <c r="N2024" s="113"/>
    </row>
    <row r="2025" spans="2:14">
      <c r="B2025" s="105"/>
      <c r="C2025" s="106"/>
      <c r="D2025" s="107"/>
      <c r="E2025" s="65"/>
      <c r="F2025" s="64"/>
      <c r="G2025" s="64"/>
      <c r="H2025" s="64"/>
      <c r="I2025" s="70"/>
      <c r="J2025" s="70"/>
      <c r="K2025" s="110" t="str">
        <f>IF(H2025="","",IF($C$29="간이법","",FPR(H2025,I2025,J2025)))</f>
        <v/>
      </c>
      <c r="L2025" s="111" t="str">
        <f>IF(H2025="","",IF($C$29="상세법",FPV(H2025,K2025),IF(H2025="EI",4,IF(H2025="EO",5.2,IF(H2025="EQ",3.9,IF(H2025="ILF",7.5,IF(H2025="EIF",5.4)))))))</f>
        <v/>
      </c>
      <c r="M2025" s="112" t="str">
        <f t="shared" si="34"/>
        <v/>
      </c>
      <c r="N2025" s="113"/>
    </row>
    <row r="2026" spans="2:14">
      <c r="B2026" s="105"/>
      <c r="C2026" s="106"/>
      <c r="D2026" s="107"/>
      <c r="E2026" s="65"/>
      <c r="F2026" s="64"/>
      <c r="G2026" s="64"/>
      <c r="H2026" s="64"/>
      <c r="I2026" s="70"/>
      <c r="J2026" s="70"/>
      <c r="K2026" s="110" t="str">
        <f>IF(H2026="","",IF($C$29="간이법","",FPR(H2026,I2026,J2026)))</f>
        <v/>
      </c>
      <c r="L2026" s="111" t="str">
        <f>IF(H2026="","",IF($C$29="상세법",FPV(H2026,K2026),IF(H2026="EI",4,IF(H2026="EO",5.2,IF(H2026="EQ",3.9,IF(H2026="ILF",7.5,IF(H2026="EIF",5.4)))))))</f>
        <v/>
      </c>
      <c r="M2026" s="112" t="str">
        <f t="shared" si="34"/>
        <v/>
      </c>
      <c r="N2026" s="113"/>
    </row>
    <row r="2027" spans="2:14">
      <c r="B2027" s="105"/>
      <c r="C2027" s="106"/>
      <c r="D2027" s="107"/>
      <c r="E2027" s="65"/>
      <c r="F2027" s="64"/>
      <c r="G2027" s="64"/>
      <c r="H2027" s="64"/>
      <c r="I2027" s="70"/>
      <c r="J2027" s="70"/>
      <c r="K2027" s="110" t="str">
        <f>IF(H2027="","",IF($C$29="간이법","",FPR(H2027,I2027,J2027)))</f>
        <v/>
      </c>
      <c r="L2027" s="111" t="str">
        <f>IF(H2027="","",IF($C$29="상세법",FPV(H2027,K2027),IF(H2027="EI",4,IF(H2027="EO",5.2,IF(H2027="EQ",3.9,IF(H2027="ILF",7.5,IF(H2027="EIF",5.4)))))))</f>
        <v/>
      </c>
      <c r="M2027" s="112" t="str">
        <f t="shared" si="34"/>
        <v/>
      </c>
      <c r="N2027" s="113"/>
    </row>
    <row r="2028" spans="2:14">
      <c r="B2028" s="105"/>
      <c r="C2028" s="106"/>
      <c r="D2028" s="107"/>
      <c r="E2028" s="65"/>
      <c r="F2028" s="64"/>
      <c r="G2028" s="64"/>
      <c r="H2028" s="64"/>
      <c r="I2028" s="70"/>
      <c r="J2028" s="70"/>
      <c r="K2028" s="110" t="str">
        <f>IF(H2028="","",IF($C$29="간이법","",FPR(H2028,I2028,J2028)))</f>
        <v/>
      </c>
      <c r="L2028" s="111" t="str">
        <f>IF(H2028="","",IF($C$29="상세법",FPV(H2028,K2028),IF(H2028="EI",4,IF(H2028="EO",5.2,IF(H2028="EQ",3.9,IF(H2028="ILF",7.5,IF(H2028="EIF",5.4)))))))</f>
        <v/>
      </c>
      <c r="M2028" s="112" t="str">
        <f t="shared" si="34"/>
        <v/>
      </c>
      <c r="N2028" s="113"/>
    </row>
    <row r="2029" spans="2:14">
      <c r="B2029" s="105"/>
      <c r="C2029" s="106"/>
      <c r="D2029" s="107"/>
      <c r="E2029" s="65"/>
      <c r="F2029" s="64"/>
      <c r="G2029" s="64"/>
      <c r="H2029" s="64"/>
      <c r="I2029" s="70"/>
      <c r="J2029" s="70"/>
      <c r="K2029" s="110" t="str">
        <f>IF(H2029="","",IF($C$29="간이법","",FPR(H2029,I2029,J2029)))</f>
        <v/>
      </c>
      <c r="L2029" s="111" t="str">
        <f>IF(H2029="","",IF($C$29="상세법",FPV(H2029,K2029),IF(H2029="EI",4,IF(H2029="EO",5.2,IF(H2029="EQ",3.9,IF(H2029="ILF",7.5,IF(H2029="EIF",5.4)))))))</f>
        <v/>
      </c>
      <c r="M2029" s="112" t="str">
        <f t="shared" si="34"/>
        <v/>
      </c>
      <c r="N2029" s="113"/>
    </row>
    <row r="2030" spans="2:14">
      <c r="B2030" s="105"/>
      <c r="C2030" s="106"/>
      <c r="D2030" s="107"/>
      <c r="E2030" s="65"/>
      <c r="F2030" s="64"/>
      <c r="G2030" s="64"/>
      <c r="H2030" s="64"/>
      <c r="I2030" s="70"/>
      <c r="J2030" s="70"/>
      <c r="K2030" s="110" t="str">
        <f>IF(H2030="","",IF($C$29="간이법","",FPR(H2030,I2030,J2030)))</f>
        <v/>
      </c>
      <c r="L2030" s="111" t="str">
        <f>IF(H2030="","",IF($C$29="상세법",FPV(H2030,K2030),IF(H2030="EI",4,IF(H2030="EO",5.2,IF(H2030="EQ",3.9,IF(H2030="ILF",7.5,IF(H2030="EIF",5.4)))))))</f>
        <v/>
      </c>
      <c r="M2030" s="112" t="str">
        <f t="shared" si="34"/>
        <v/>
      </c>
      <c r="N2030" s="113"/>
    </row>
    <row r="2031" spans="2:14">
      <c r="B2031" s="105"/>
      <c r="C2031" s="106"/>
      <c r="D2031" s="107"/>
      <c r="E2031" s="65"/>
      <c r="F2031" s="64"/>
      <c r="G2031" s="64"/>
      <c r="H2031" s="64"/>
      <c r="I2031" s="70"/>
      <c r="J2031" s="70"/>
      <c r="K2031" s="110" t="str">
        <f>IF(H2031="","",IF($C$29="간이법","",FPR(H2031,I2031,J2031)))</f>
        <v/>
      </c>
      <c r="L2031" s="111" t="str">
        <f>IF(H2031="","",IF($C$29="상세법",FPV(H2031,K2031),IF(H2031="EI",4,IF(H2031="EO",5.2,IF(H2031="EQ",3.9,IF(H2031="ILF",7.5,IF(H2031="EIF",5.4)))))))</f>
        <v/>
      </c>
      <c r="M2031" s="112" t="str">
        <f t="shared" si="34"/>
        <v/>
      </c>
      <c r="N2031" s="113"/>
    </row>
    <row r="2032" spans="2:14">
      <c r="B2032" s="105"/>
      <c r="C2032" s="106"/>
      <c r="D2032" s="107"/>
      <c r="E2032" s="65"/>
      <c r="F2032" s="64"/>
      <c r="G2032" s="64"/>
      <c r="H2032" s="64"/>
      <c r="I2032" s="70"/>
      <c r="J2032" s="70"/>
      <c r="K2032" s="110" t="str">
        <f>IF(H2032="","",IF($C$29="간이법","",FPR(H2032,I2032,J2032)))</f>
        <v/>
      </c>
      <c r="L2032" s="111" t="str">
        <f>IF(H2032="","",IF($C$29="상세법",FPV(H2032,K2032),IF(H2032="EI",4,IF(H2032="EO",5.2,IF(H2032="EQ",3.9,IF(H2032="ILF",7.5,IF(H2032="EIF",5.4)))))))</f>
        <v/>
      </c>
      <c r="M2032" s="112" t="str">
        <f t="shared" si="34"/>
        <v/>
      </c>
      <c r="N2032" s="113"/>
    </row>
    <row r="2033" spans="2:14">
      <c r="B2033" s="105"/>
      <c r="C2033" s="106"/>
      <c r="D2033" s="107"/>
      <c r="E2033" s="65"/>
      <c r="F2033" s="64"/>
      <c r="G2033" s="64"/>
      <c r="H2033" s="64"/>
      <c r="I2033" s="70"/>
      <c r="J2033" s="70"/>
      <c r="K2033" s="110" t="str">
        <f>IF(H2033="","",IF($C$29="간이법","",FPR(H2033,I2033,J2033)))</f>
        <v/>
      </c>
      <c r="L2033" s="111" t="str">
        <f>IF(H2033="","",IF($C$29="상세법",FPV(H2033,K2033),IF(H2033="EI",4,IF(H2033="EO",5.2,IF(H2033="EQ",3.9,IF(H2033="ILF",7.5,IF(H2033="EIF",5.4)))))))</f>
        <v/>
      </c>
      <c r="M2033" s="112" t="str">
        <f t="shared" si="34"/>
        <v/>
      </c>
      <c r="N2033" s="113"/>
    </row>
    <row r="2034" spans="2:14">
      <c r="B2034" s="105"/>
      <c r="C2034" s="106"/>
      <c r="D2034" s="107"/>
      <c r="E2034" s="65"/>
      <c r="F2034" s="64"/>
      <c r="G2034" s="64"/>
      <c r="H2034" s="64"/>
      <c r="I2034" s="70"/>
      <c r="J2034" s="70"/>
      <c r="K2034" s="110" t="str">
        <f>IF(H2034="","",IF($C$29="간이법","",FPR(H2034,I2034,J2034)))</f>
        <v/>
      </c>
      <c r="L2034" s="111" t="str">
        <f>IF(H2034="","",IF($C$29="상세법",FPV(H2034,K2034),IF(H2034="EI",4,IF(H2034="EO",5.2,IF(H2034="EQ",3.9,IF(H2034="ILF",7.5,IF(H2034="EIF",5.4)))))))</f>
        <v/>
      </c>
      <c r="M2034" s="112" t="str">
        <f t="shared" si="34"/>
        <v/>
      </c>
      <c r="N2034" s="113"/>
    </row>
    <row r="2035" spans="2:14">
      <c r="B2035" s="105"/>
      <c r="C2035" s="106"/>
      <c r="D2035" s="107"/>
      <c r="E2035" s="65"/>
      <c r="F2035" s="64"/>
      <c r="G2035" s="64"/>
      <c r="H2035" s="64"/>
      <c r="I2035" s="70"/>
      <c r="J2035" s="70"/>
      <c r="K2035" s="110" t="str">
        <f>IF(H2035="","",IF($C$29="간이법","",FPR(H2035,I2035,J2035)))</f>
        <v/>
      </c>
      <c r="L2035" s="111" t="str">
        <f>IF(H2035="","",IF($C$29="상세법",FPV(H2035,K2035),IF(H2035="EI",4,IF(H2035="EO",5.2,IF(H2035="EQ",3.9,IF(H2035="ILF",7.5,IF(H2035="EIF",5.4)))))))</f>
        <v/>
      </c>
      <c r="M2035" s="112" t="str">
        <f t="shared" si="34"/>
        <v/>
      </c>
      <c r="N2035" s="113"/>
    </row>
    <row r="2036" spans="2:14">
      <c r="B2036" s="105"/>
      <c r="C2036" s="106"/>
      <c r="D2036" s="107"/>
      <c r="E2036" s="65"/>
      <c r="F2036" s="64"/>
      <c r="G2036" s="64"/>
      <c r="H2036" s="64"/>
      <c r="I2036" s="70"/>
      <c r="J2036" s="70"/>
      <c r="K2036" s="110" t="str">
        <f>IF(H2036="","",IF($C$29="간이법","",FPR(H2036,I2036,J2036)))</f>
        <v/>
      </c>
      <c r="L2036" s="111" t="str">
        <f>IF(H2036="","",IF($C$29="상세법",FPV(H2036,K2036),IF(H2036="EI",4,IF(H2036="EO",5.2,IF(H2036="EQ",3.9,IF(H2036="ILF",7.5,IF(H2036="EIF",5.4)))))))</f>
        <v/>
      </c>
      <c r="M2036" s="112" t="str">
        <f t="shared" si="34"/>
        <v/>
      </c>
      <c r="N2036" s="113"/>
    </row>
    <row r="2037" spans="2:14">
      <c r="B2037" s="105"/>
      <c r="C2037" s="106"/>
      <c r="D2037" s="107"/>
      <c r="E2037" s="65"/>
      <c r="F2037" s="64"/>
      <c r="G2037" s="64"/>
      <c r="H2037" s="64"/>
      <c r="I2037" s="70"/>
      <c r="J2037" s="70"/>
      <c r="K2037" s="110" t="str">
        <f>IF(H2037="","",IF($C$29="간이법","",FPR(H2037,I2037,J2037)))</f>
        <v/>
      </c>
      <c r="L2037" s="111" t="str">
        <f>IF(H2037="","",IF($C$29="상세법",FPV(H2037,K2037),IF(H2037="EI",4,IF(H2037="EO",5.2,IF(H2037="EQ",3.9,IF(H2037="ILF",7.5,IF(H2037="EIF",5.4)))))))</f>
        <v/>
      </c>
      <c r="M2037" s="112" t="str">
        <f t="shared" si="34"/>
        <v/>
      </c>
      <c r="N2037" s="113"/>
    </row>
    <row r="2038" spans="2:14">
      <c r="B2038" s="105"/>
      <c r="C2038" s="106"/>
      <c r="D2038" s="107"/>
      <c r="E2038" s="65"/>
      <c r="F2038" s="64"/>
      <c r="G2038" s="64"/>
      <c r="H2038" s="64"/>
      <c r="I2038" s="70"/>
      <c r="J2038" s="70"/>
      <c r="K2038" s="110" t="str">
        <f>IF(H2038="","",IF($C$29="간이법","",FPR(H2038,I2038,J2038)))</f>
        <v/>
      </c>
      <c r="L2038" s="111" t="str">
        <f>IF(H2038="","",IF($C$29="상세법",FPV(H2038,K2038),IF(H2038="EI",4,IF(H2038="EO",5.2,IF(H2038="EQ",3.9,IF(H2038="ILF",7.5,IF(H2038="EIF",5.4)))))))</f>
        <v/>
      </c>
      <c r="M2038" s="112" t="str">
        <f t="shared" si="34"/>
        <v/>
      </c>
      <c r="N2038" s="113"/>
    </row>
    <row r="2039" spans="2:14">
      <c r="B2039" s="105"/>
      <c r="C2039" s="106"/>
      <c r="D2039" s="107"/>
      <c r="E2039" s="65"/>
      <c r="F2039" s="64"/>
      <c r="G2039" s="64"/>
      <c r="H2039" s="64"/>
      <c r="I2039" s="70"/>
      <c r="J2039" s="70"/>
      <c r="K2039" s="110" t="str">
        <f>IF(H2039="","",IF($C$29="간이법","",FPR(H2039,I2039,J2039)))</f>
        <v/>
      </c>
      <c r="L2039" s="111" t="str">
        <f>IF(H2039="","",IF($C$29="상세법",FPV(H2039,K2039),IF(H2039="EI",4,IF(H2039="EO",5.2,IF(H2039="EQ",3.9,IF(H2039="ILF",7.5,IF(H2039="EIF",5.4)))))))</f>
        <v/>
      </c>
      <c r="M2039" s="112" t="str">
        <f t="shared" si="34"/>
        <v/>
      </c>
      <c r="N2039" s="113"/>
    </row>
    <row r="2040" spans="2:14">
      <c r="B2040" s="105"/>
      <c r="C2040" s="106"/>
      <c r="D2040" s="107"/>
      <c r="E2040" s="65"/>
      <c r="F2040" s="64"/>
      <c r="G2040" s="64"/>
      <c r="H2040" s="64"/>
      <c r="I2040" s="70"/>
      <c r="J2040" s="70"/>
      <c r="K2040" s="110" t="str">
        <f>IF(H2040="","",IF($C$29="간이법","",FPR(H2040,I2040,J2040)))</f>
        <v/>
      </c>
      <c r="L2040" s="111" t="str">
        <f>IF(H2040="","",IF($C$29="상세법",FPV(H2040,K2040),IF(H2040="EI",4,IF(H2040="EO",5.2,IF(H2040="EQ",3.9,IF(H2040="ILF",7.5,IF(H2040="EIF",5.4)))))))</f>
        <v/>
      </c>
      <c r="M2040" s="112" t="str">
        <f t="shared" si="34"/>
        <v/>
      </c>
      <c r="N2040" s="113"/>
    </row>
    <row r="2041" spans="2:14">
      <c r="B2041" s="105"/>
      <c r="C2041" s="106"/>
      <c r="D2041" s="107"/>
      <c r="E2041" s="65"/>
      <c r="F2041" s="64"/>
      <c r="G2041" s="64"/>
      <c r="H2041" s="64"/>
      <c r="I2041" s="70"/>
      <c r="J2041" s="70"/>
      <c r="K2041" s="110" t="str">
        <f>IF(H2041="","",IF($C$29="간이법","",FPR(H2041,I2041,J2041)))</f>
        <v/>
      </c>
      <c r="L2041" s="111" t="str">
        <f>IF(H2041="","",IF($C$29="상세법",FPV(H2041,K2041),IF(H2041="EI",4,IF(H2041="EO",5.2,IF(H2041="EQ",3.9,IF(H2041="ILF",7.5,IF(H2041="EIF",5.4)))))))</f>
        <v/>
      </c>
      <c r="M2041" s="112" t="str">
        <f t="shared" ref="M2041:M2104" si="35">IF(L2041="","",L2041*IF(G2041="상",0.7,IF(G2041="중",0.5,IF(G2041="하",0.2,1))))</f>
        <v/>
      </c>
      <c r="N2041" s="113"/>
    </row>
    <row r="2042" spans="2:14">
      <c r="B2042" s="105"/>
      <c r="C2042" s="106"/>
      <c r="D2042" s="107"/>
      <c r="E2042" s="65"/>
      <c r="F2042" s="64"/>
      <c r="G2042" s="64"/>
      <c r="H2042" s="64"/>
      <c r="I2042" s="70"/>
      <c r="J2042" s="70"/>
      <c r="K2042" s="110" t="str">
        <f>IF(H2042="","",IF($C$29="간이법","",FPR(H2042,I2042,J2042)))</f>
        <v/>
      </c>
      <c r="L2042" s="111" t="str">
        <f>IF(H2042="","",IF($C$29="상세법",FPV(H2042,K2042),IF(H2042="EI",4,IF(H2042="EO",5.2,IF(H2042="EQ",3.9,IF(H2042="ILF",7.5,IF(H2042="EIF",5.4)))))))</f>
        <v/>
      </c>
      <c r="M2042" s="112" t="str">
        <f t="shared" si="35"/>
        <v/>
      </c>
      <c r="N2042" s="113"/>
    </row>
    <row r="2043" spans="2:14">
      <c r="B2043" s="105"/>
      <c r="C2043" s="106"/>
      <c r="D2043" s="107"/>
      <c r="E2043" s="65"/>
      <c r="F2043" s="64"/>
      <c r="G2043" s="64"/>
      <c r="H2043" s="64"/>
      <c r="I2043" s="70"/>
      <c r="J2043" s="70"/>
      <c r="K2043" s="110" t="str">
        <f>IF(H2043="","",IF($C$29="간이법","",FPR(H2043,I2043,J2043)))</f>
        <v/>
      </c>
      <c r="L2043" s="111" t="str">
        <f>IF(H2043="","",IF($C$29="상세법",FPV(H2043,K2043),IF(H2043="EI",4,IF(H2043="EO",5.2,IF(H2043="EQ",3.9,IF(H2043="ILF",7.5,IF(H2043="EIF",5.4)))))))</f>
        <v/>
      </c>
      <c r="M2043" s="112" t="str">
        <f t="shared" si="35"/>
        <v/>
      </c>
      <c r="N2043" s="113"/>
    </row>
    <row r="2044" spans="2:14">
      <c r="B2044" s="105"/>
      <c r="C2044" s="106"/>
      <c r="D2044" s="107"/>
      <c r="E2044" s="65"/>
      <c r="F2044" s="64"/>
      <c r="G2044" s="64"/>
      <c r="H2044" s="64"/>
      <c r="I2044" s="70"/>
      <c r="J2044" s="70"/>
      <c r="K2044" s="110" t="str">
        <f>IF(H2044="","",IF($C$29="간이법","",FPR(H2044,I2044,J2044)))</f>
        <v/>
      </c>
      <c r="L2044" s="111" t="str">
        <f>IF(H2044="","",IF($C$29="상세법",FPV(H2044,K2044),IF(H2044="EI",4,IF(H2044="EO",5.2,IF(H2044="EQ",3.9,IF(H2044="ILF",7.5,IF(H2044="EIF",5.4)))))))</f>
        <v/>
      </c>
      <c r="M2044" s="112" t="str">
        <f t="shared" si="35"/>
        <v/>
      </c>
      <c r="N2044" s="113"/>
    </row>
    <row r="2045" spans="2:14">
      <c r="B2045" s="105"/>
      <c r="C2045" s="106"/>
      <c r="D2045" s="107"/>
      <c r="E2045" s="65"/>
      <c r="F2045" s="64"/>
      <c r="G2045" s="64"/>
      <c r="H2045" s="64"/>
      <c r="I2045" s="70"/>
      <c r="J2045" s="70"/>
      <c r="K2045" s="110" t="str">
        <f>IF(H2045="","",IF($C$29="간이법","",FPR(H2045,I2045,J2045)))</f>
        <v/>
      </c>
      <c r="L2045" s="111" t="str">
        <f>IF(H2045="","",IF($C$29="상세법",FPV(H2045,K2045),IF(H2045="EI",4,IF(H2045="EO",5.2,IF(H2045="EQ",3.9,IF(H2045="ILF",7.5,IF(H2045="EIF",5.4)))))))</f>
        <v/>
      </c>
      <c r="M2045" s="112" t="str">
        <f t="shared" si="35"/>
        <v/>
      </c>
      <c r="N2045" s="113"/>
    </row>
    <row r="2046" spans="2:14">
      <c r="B2046" s="105"/>
      <c r="C2046" s="106"/>
      <c r="D2046" s="107"/>
      <c r="E2046" s="65"/>
      <c r="F2046" s="64"/>
      <c r="G2046" s="64"/>
      <c r="H2046" s="64"/>
      <c r="I2046" s="70"/>
      <c r="J2046" s="70"/>
      <c r="K2046" s="110" t="str">
        <f>IF(H2046="","",IF($C$29="간이법","",FPR(H2046,I2046,J2046)))</f>
        <v/>
      </c>
      <c r="L2046" s="111" t="str">
        <f>IF(H2046="","",IF($C$29="상세법",FPV(H2046,K2046),IF(H2046="EI",4,IF(H2046="EO",5.2,IF(H2046="EQ",3.9,IF(H2046="ILF",7.5,IF(H2046="EIF",5.4)))))))</f>
        <v/>
      </c>
      <c r="M2046" s="112" t="str">
        <f t="shared" si="35"/>
        <v/>
      </c>
      <c r="N2046" s="113"/>
    </row>
    <row r="2047" spans="2:14">
      <c r="B2047" s="105"/>
      <c r="C2047" s="106"/>
      <c r="D2047" s="107"/>
      <c r="E2047" s="65"/>
      <c r="F2047" s="64"/>
      <c r="G2047" s="64"/>
      <c r="H2047" s="64"/>
      <c r="I2047" s="70"/>
      <c r="J2047" s="70"/>
      <c r="K2047" s="110" t="str">
        <f>IF(H2047="","",IF($C$29="간이법","",FPR(H2047,I2047,J2047)))</f>
        <v/>
      </c>
      <c r="L2047" s="111" t="str">
        <f>IF(H2047="","",IF($C$29="상세법",FPV(H2047,K2047),IF(H2047="EI",4,IF(H2047="EO",5.2,IF(H2047="EQ",3.9,IF(H2047="ILF",7.5,IF(H2047="EIF",5.4)))))))</f>
        <v/>
      </c>
      <c r="M2047" s="112" t="str">
        <f t="shared" si="35"/>
        <v/>
      </c>
      <c r="N2047" s="113"/>
    </row>
    <row r="2048" spans="2:14">
      <c r="B2048" s="105"/>
      <c r="C2048" s="106"/>
      <c r="D2048" s="107"/>
      <c r="E2048" s="65"/>
      <c r="F2048" s="64"/>
      <c r="G2048" s="64"/>
      <c r="H2048" s="64"/>
      <c r="I2048" s="70"/>
      <c r="J2048" s="70"/>
      <c r="K2048" s="110" t="str">
        <f>IF(H2048="","",IF($C$29="간이법","",FPR(H2048,I2048,J2048)))</f>
        <v/>
      </c>
      <c r="L2048" s="111" t="str">
        <f>IF(H2048="","",IF($C$29="상세법",FPV(H2048,K2048),IF(H2048="EI",4,IF(H2048="EO",5.2,IF(H2048="EQ",3.9,IF(H2048="ILF",7.5,IF(H2048="EIF",5.4)))))))</f>
        <v/>
      </c>
      <c r="M2048" s="112" t="str">
        <f t="shared" si="35"/>
        <v/>
      </c>
      <c r="N2048" s="113"/>
    </row>
    <row r="2049" spans="2:14">
      <c r="B2049" s="105"/>
      <c r="C2049" s="106"/>
      <c r="D2049" s="107"/>
      <c r="E2049" s="65"/>
      <c r="F2049" s="64"/>
      <c r="G2049" s="64"/>
      <c r="H2049" s="64"/>
      <c r="I2049" s="70"/>
      <c r="J2049" s="70"/>
      <c r="K2049" s="110" t="str">
        <f>IF(H2049="","",IF($C$29="간이법","",FPR(H2049,I2049,J2049)))</f>
        <v/>
      </c>
      <c r="L2049" s="111" t="str">
        <f>IF(H2049="","",IF($C$29="상세법",FPV(H2049,K2049),IF(H2049="EI",4,IF(H2049="EO",5.2,IF(H2049="EQ",3.9,IF(H2049="ILF",7.5,IF(H2049="EIF",5.4)))))))</f>
        <v/>
      </c>
      <c r="M2049" s="112" t="str">
        <f t="shared" si="35"/>
        <v/>
      </c>
      <c r="N2049" s="113"/>
    </row>
    <row r="2050" spans="2:14">
      <c r="B2050" s="105"/>
      <c r="C2050" s="106"/>
      <c r="D2050" s="107"/>
      <c r="E2050" s="65"/>
      <c r="F2050" s="64"/>
      <c r="G2050" s="64"/>
      <c r="H2050" s="64"/>
      <c r="I2050" s="70"/>
      <c r="J2050" s="70"/>
      <c r="K2050" s="110" t="str">
        <f>IF(H2050="","",IF($C$29="간이법","",FPR(H2050,I2050,J2050)))</f>
        <v/>
      </c>
      <c r="L2050" s="111" t="str">
        <f>IF(H2050="","",IF($C$29="상세법",FPV(H2050,K2050),IF(H2050="EI",4,IF(H2050="EO",5.2,IF(H2050="EQ",3.9,IF(H2050="ILF",7.5,IF(H2050="EIF",5.4)))))))</f>
        <v/>
      </c>
      <c r="M2050" s="112" t="str">
        <f t="shared" si="35"/>
        <v/>
      </c>
      <c r="N2050" s="113"/>
    </row>
    <row r="2051" spans="2:14">
      <c r="B2051" s="105"/>
      <c r="C2051" s="106"/>
      <c r="D2051" s="107"/>
      <c r="E2051" s="65"/>
      <c r="F2051" s="64"/>
      <c r="G2051" s="64"/>
      <c r="H2051" s="64"/>
      <c r="I2051" s="70"/>
      <c r="J2051" s="70"/>
      <c r="K2051" s="110" t="str">
        <f>IF(H2051="","",IF($C$29="간이법","",FPR(H2051,I2051,J2051)))</f>
        <v/>
      </c>
      <c r="L2051" s="111" t="str">
        <f>IF(H2051="","",IF($C$29="상세법",FPV(H2051,K2051),IF(H2051="EI",4,IF(H2051="EO",5.2,IF(H2051="EQ",3.9,IF(H2051="ILF",7.5,IF(H2051="EIF",5.4)))))))</f>
        <v/>
      </c>
      <c r="M2051" s="112" t="str">
        <f t="shared" si="35"/>
        <v/>
      </c>
      <c r="N2051" s="113"/>
    </row>
    <row r="2052" spans="2:14">
      <c r="B2052" s="105"/>
      <c r="C2052" s="106"/>
      <c r="D2052" s="107"/>
      <c r="E2052" s="65"/>
      <c r="F2052" s="64"/>
      <c r="G2052" s="64"/>
      <c r="H2052" s="64"/>
      <c r="I2052" s="70"/>
      <c r="J2052" s="70"/>
      <c r="K2052" s="110" t="str">
        <f>IF(H2052="","",IF($C$29="간이법","",FPR(H2052,I2052,J2052)))</f>
        <v/>
      </c>
      <c r="L2052" s="111" t="str">
        <f>IF(H2052="","",IF($C$29="상세법",FPV(H2052,K2052),IF(H2052="EI",4,IF(H2052="EO",5.2,IF(H2052="EQ",3.9,IF(H2052="ILF",7.5,IF(H2052="EIF",5.4)))))))</f>
        <v/>
      </c>
      <c r="M2052" s="112" t="str">
        <f t="shared" si="35"/>
        <v/>
      </c>
      <c r="N2052" s="113"/>
    </row>
    <row r="2053" spans="2:14">
      <c r="B2053" s="105"/>
      <c r="C2053" s="106"/>
      <c r="D2053" s="107"/>
      <c r="E2053" s="65"/>
      <c r="F2053" s="64"/>
      <c r="G2053" s="64"/>
      <c r="H2053" s="64"/>
      <c r="I2053" s="70"/>
      <c r="J2053" s="70"/>
      <c r="K2053" s="110" t="str">
        <f>IF(H2053="","",IF($C$29="간이법","",FPR(H2053,I2053,J2053)))</f>
        <v/>
      </c>
      <c r="L2053" s="111" t="str">
        <f>IF(H2053="","",IF($C$29="상세법",FPV(H2053,K2053),IF(H2053="EI",4,IF(H2053="EO",5.2,IF(H2053="EQ",3.9,IF(H2053="ILF",7.5,IF(H2053="EIF",5.4)))))))</f>
        <v/>
      </c>
      <c r="M2053" s="112" t="str">
        <f t="shared" si="35"/>
        <v/>
      </c>
      <c r="N2053" s="113"/>
    </row>
    <row r="2054" spans="2:14">
      <c r="B2054" s="105"/>
      <c r="C2054" s="106"/>
      <c r="D2054" s="107"/>
      <c r="E2054" s="65"/>
      <c r="F2054" s="64"/>
      <c r="G2054" s="64"/>
      <c r="H2054" s="64"/>
      <c r="I2054" s="70"/>
      <c r="J2054" s="70"/>
      <c r="K2054" s="110" t="str">
        <f>IF(H2054="","",IF($C$29="간이법","",FPR(H2054,I2054,J2054)))</f>
        <v/>
      </c>
      <c r="L2054" s="111" t="str">
        <f>IF(H2054="","",IF($C$29="상세법",FPV(H2054,K2054),IF(H2054="EI",4,IF(H2054="EO",5.2,IF(H2054="EQ",3.9,IF(H2054="ILF",7.5,IF(H2054="EIF",5.4)))))))</f>
        <v/>
      </c>
      <c r="M2054" s="112" t="str">
        <f t="shared" si="35"/>
        <v/>
      </c>
      <c r="N2054" s="113"/>
    </row>
    <row r="2055" spans="2:14">
      <c r="B2055" s="105"/>
      <c r="C2055" s="106"/>
      <c r="D2055" s="107"/>
      <c r="E2055" s="65"/>
      <c r="F2055" s="64"/>
      <c r="G2055" s="64"/>
      <c r="H2055" s="64"/>
      <c r="I2055" s="70"/>
      <c r="J2055" s="70"/>
      <c r="K2055" s="110" t="str">
        <f>IF(H2055="","",IF($C$29="간이법","",FPR(H2055,I2055,J2055)))</f>
        <v/>
      </c>
      <c r="L2055" s="111" t="str">
        <f>IF(H2055="","",IF($C$29="상세법",FPV(H2055,K2055),IF(H2055="EI",4,IF(H2055="EO",5.2,IF(H2055="EQ",3.9,IF(H2055="ILF",7.5,IF(H2055="EIF",5.4)))))))</f>
        <v/>
      </c>
      <c r="M2055" s="112" t="str">
        <f t="shared" si="35"/>
        <v/>
      </c>
      <c r="N2055" s="113"/>
    </row>
    <row r="2056" spans="2:14">
      <c r="B2056" s="105"/>
      <c r="C2056" s="106"/>
      <c r="D2056" s="107"/>
      <c r="E2056" s="65"/>
      <c r="F2056" s="64"/>
      <c r="G2056" s="64"/>
      <c r="H2056" s="64"/>
      <c r="I2056" s="70"/>
      <c r="J2056" s="70"/>
      <c r="K2056" s="110" t="str">
        <f>IF(H2056="","",IF($C$29="간이법","",FPR(H2056,I2056,J2056)))</f>
        <v/>
      </c>
      <c r="L2056" s="111" t="str">
        <f>IF(H2056="","",IF($C$29="상세법",FPV(H2056,K2056),IF(H2056="EI",4,IF(H2056="EO",5.2,IF(H2056="EQ",3.9,IF(H2056="ILF",7.5,IF(H2056="EIF",5.4)))))))</f>
        <v/>
      </c>
      <c r="M2056" s="112" t="str">
        <f t="shared" si="35"/>
        <v/>
      </c>
      <c r="N2056" s="113"/>
    </row>
    <row r="2057" spans="2:14">
      <c r="B2057" s="105"/>
      <c r="C2057" s="106"/>
      <c r="D2057" s="107"/>
      <c r="E2057" s="65"/>
      <c r="F2057" s="64"/>
      <c r="G2057" s="64"/>
      <c r="H2057" s="64"/>
      <c r="I2057" s="70"/>
      <c r="J2057" s="70"/>
      <c r="K2057" s="110" t="str">
        <f>IF(H2057="","",IF($C$29="간이법","",FPR(H2057,I2057,J2057)))</f>
        <v/>
      </c>
      <c r="L2057" s="111" t="str">
        <f>IF(H2057="","",IF($C$29="상세법",FPV(H2057,K2057),IF(H2057="EI",4,IF(H2057="EO",5.2,IF(H2057="EQ",3.9,IF(H2057="ILF",7.5,IF(H2057="EIF",5.4)))))))</f>
        <v/>
      </c>
      <c r="M2057" s="112" t="str">
        <f t="shared" si="35"/>
        <v/>
      </c>
      <c r="N2057" s="113"/>
    </row>
    <row r="2058" spans="2:14">
      <c r="B2058" s="105"/>
      <c r="C2058" s="106"/>
      <c r="D2058" s="107"/>
      <c r="E2058" s="65"/>
      <c r="F2058" s="64"/>
      <c r="G2058" s="64"/>
      <c r="H2058" s="64"/>
      <c r="I2058" s="70"/>
      <c r="J2058" s="70"/>
      <c r="K2058" s="110" t="str">
        <f>IF(H2058="","",IF($C$29="간이법","",FPR(H2058,I2058,J2058)))</f>
        <v/>
      </c>
      <c r="L2058" s="111" t="str">
        <f>IF(H2058="","",IF($C$29="상세법",FPV(H2058,K2058),IF(H2058="EI",4,IF(H2058="EO",5.2,IF(H2058="EQ",3.9,IF(H2058="ILF",7.5,IF(H2058="EIF",5.4)))))))</f>
        <v/>
      </c>
      <c r="M2058" s="112" t="str">
        <f t="shared" si="35"/>
        <v/>
      </c>
      <c r="N2058" s="113"/>
    </row>
    <row r="2059" spans="2:14">
      <c r="B2059" s="105"/>
      <c r="C2059" s="106"/>
      <c r="D2059" s="107"/>
      <c r="E2059" s="65"/>
      <c r="F2059" s="64"/>
      <c r="G2059" s="64"/>
      <c r="H2059" s="64"/>
      <c r="I2059" s="70"/>
      <c r="J2059" s="70"/>
      <c r="K2059" s="110" t="str">
        <f>IF(H2059="","",IF($C$29="간이법","",FPR(H2059,I2059,J2059)))</f>
        <v/>
      </c>
      <c r="L2059" s="111" t="str">
        <f>IF(H2059="","",IF($C$29="상세법",FPV(H2059,K2059),IF(H2059="EI",4,IF(H2059="EO",5.2,IF(H2059="EQ",3.9,IF(H2059="ILF",7.5,IF(H2059="EIF",5.4)))))))</f>
        <v/>
      </c>
      <c r="M2059" s="112" t="str">
        <f t="shared" si="35"/>
        <v/>
      </c>
      <c r="N2059" s="113"/>
    </row>
    <row r="2060" spans="2:14">
      <c r="B2060" s="105"/>
      <c r="C2060" s="106"/>
      <c r="D2060" s="107"/>
      <c r="E2060" s="65"/>
      <c r="F2060" s="64"/>
      <c r="G2060" s="64"/>
      <c r="H2060" s="64"/>
      <c r="I2060" s="70"/>
      <c r="J2060" s="70"/>
      <c r="K2060" s="110" t="str">
        <f>IF(H2060="","",IF($C$29="간이법","",FPR(H2060,I2060,J2060)))</f>
        <v/>
      </c>
      <c r="L2060" s="111" t="str">
        <f>IF(H2060="","",IF($C$29="상세법",FPV(H2060,K2060),IF(H2060="EI",4,IF(H2060="EO",5.2,IF(H2060="EQ",3.9,IF(H2060="ILF",7.5,IF(H2060="EIF",5.4)))))))</f>
        <v/>
      </c>
      <c r="M2060" s="112" t="str">
        <f t="shared" si="35"/>
        <v/>
      </c>
      <c r="N2060" s="113"/>
    </row>
    <row r="2061" spans="2:14">
      <c r="B2061" s="105"/>
      <c r="C2061" s="106"/>
      <c r="D2061" s="107"/>
      <c r="E2061" s="65"/>
      <c r="F2061" s="64"/>
      <c r="G2061" s="64"/>
      <c r="H2061" s="64"/>
      <c r="I2061" s="70"/>
      <c r="J2061" s="70"/>
      <c r="K2061" s="110" t="str">
        <f>IF(H2061="","",IF($C$29="간이법","",FPR(H2061,I2061,J2061)))</f>
        <v/>
      </c>
      <c r="L2061" s="111" t="str">
        <f>IF(H2061="","",IF($C$29="상세법",FPV(H2061,K2061),IF(H2061="EI",4,IF(H2061="EO",5.2,IF(H2061="EQ",3.9,IF(H2061="ILF",7.5,IF(H2061="EIF",5.4)))))))</f>
        <v/>
      </c>
      <c r="M2061" s="112" t="str">
        <f t="shared" si="35"/>
        <v/>
      </c>
      <c r="N2061" s="113"/>
    </row>
    <row r="2062" spans="2:14">
      <c r="B2062" s="105"/>
      <c r="C2062" s="106"/>
      <c r="D2062" s="107"/>
      <c r="E2062" s="65"/>
      <c r="F2062" s="64"/>
      <c r="G2062" s="64"/>
      <c r="H2062" s="64"/>
      <c r="I2062" s="70"/>
      <c r="J2062" s="70"/>
      <c r="K2062" s="110" t="str">
        <f>IF(H2062="","",IF($C$29="간이법","",FPR(H2062,I2062,J2062)))</f>
        <v/>
      </c>
      <c r="L2062" s="111" t="str">
        <f>IF(H2062="","",IF($C$29="상세법",FPV(H2062,K2062),IF(H2062="EI",4,IF(H2062="EO",5.2,IF(H2062="EQ",3.9,IF(H2062="ILF",7.5,IF(H2062="EIF",5.4)))))))</f>
        <v/>
      </c>
      <c r="M2062" s="112" t="str">
        <f t="shared" si="35"/>
        <v/>
      </c>
      <c r="N2062" s="113"/>
    </row>
    <row r="2063" spans="2:14">
      <c r="B2063" s="105"/>
      <c r="C2063" s="106"/>
      <c r="D2063" s="107"/>
      <c r="E2063" s="65"/>
      <c r="F2063" s="64"/>
      <c r="G2063" s="64"/>
      <c r="H2063" s="64"/>
      <c r="I2063" s="70"/>
      <c r="J2063" s="70"/>
      <c r="K2063" s="110" t="str">
        <f>IF(H2063="","",IF($C$29="간이법","",FPR(H2063,I2063,J2063)))</f>
        <v/>
      </c>
      <c r="L2063" s="111" t="str">
        <f>IF(H2063="","",IF($C$29="상세법",FPV(H2063,K2063),IF(H2063="EI",4,IF(H2063="EO",5.2,IF(H2063="EQ",3.9,IF(H2063="ILF",7.5,IF(H2063="EIF",5.4)))))))</f>
        <v/>
      </c>
      <c r="M2063" s="112" t="str">
        <f t="shared" si="35"/>
        <v/>
      </c>
      <c r="N2063" s="113"/>
    </row>
    <row r="2064" spans="2:14">
      <c r="B2064" s="105"/>
      <c r="C2064" s="106"/>
      <c r="D2064" s="107"/>
      <c r="E2064" s="65"/>
      <c r="F2064" s="64"/>
      <c r="G2064" s="64"/>
      <c r="H2064" s="64"/>
      <c r="I2064" s="70"/>
      <c r="J2064" s="70"/>
      <c r="K2064" s="110" t="str">
        <f>IF(H2064="","",IF($C$29="간이법","",FPR(H2064,I2064,J2064)))</f>
        <v/>
      </c>
      <c r="L2064" s="111" t="str">
        <f>IF(H2064="","",IF($C$29="상세법",FPV(H2064,K2064),IF(H2064="EI",4,IF(H2064="EO",5.2,IF(H2064="EQ",3.9,IF(H2064="ILF",7.5,IF(H2064="EIF",5.4)))))))</f>
        <v/>
      </c>
      <c r="M2064" s="112" t="str">
        <f t="shared" si="35"/>
        <v/>
      </c>
      <c r="N2064" s="113"/>
    </row>
    <row r="2065" spans="2:14">
      <c r="B2065" s="105"/>
      <c r="C2065" s="106"/>
      <c r="D2065" s="107"/>
      <c r="E2065" s="65"/>
      <c r="F2065" s="64"/>
      <c r="G2065" s="64"/>
      <c r="H2065" s="64"/>
      <c r="I2065" s="70"/>
      <c r="J2065" s="70"/>
      <c r="K2065" s="110" t="str">
        <f>IF(H2065="","",IF($C$29="간이법","",FPR(H2065,I2065,J2065)))</f>
        <v/>
      </c>
      <c r="L2065" s="111" t="str">
        <f>IF(H2065="","",IF($C$29="상세법",FPV(H2065,K2065),IF(H2065="EI",4,IF(H2065="EO",5.2,IF(H2065="EQ",3.9,IF(H2065="ILF",7.5,IF(H2065="EIF",5.4)))))))</f>
        <v/>
      </c>
      <c r="M2065" s="112" t="str">
        <f t="shared" si="35"/>
        <v/>
      </c>
      <c r="N2065" s="113"/>
    </row>
    <row r="2066" spans="2:14">
      <c r="B2066" s="105"/>
      <c r="C2066" s="106"/>
      <c r="D2066" s="107"/>
      <c r="E2066" s="65"/>
      <c r="F2066" s="64"/>
      <c r="G2066" s="64"/>
      <c r="H2066" s="64"/>
      <c r="I2066" s="70"/>
      <c r="J2066" s="70"/>
      <c r="K2066" s="110" t="str">
        <f>IF(H2066="","",IF($C$29="간이법","",FPR(H2066,I2066,J2066)))</f>
        <v/>
      </c>
      <c r="L2066" s="111" t="str">
        <f>IF(H2066="","",IF($C$29="상세법",FPV(H2066,K2066),IF(H2066="EI",4,IF(H2066="EO",5.2,IF(H2066="EQ",3.9,IF(H2066="ILF",7.5,IF(H2066="EIF",5.4)))))))</f>
        <v/>
      </c>
      <c r="M2066" s="112" t="str">
        <f t="shared" si="35"/>
        <v/>
      </c>
      <c r="N2066" s="113"/>
    </row>
    <row r="2067" spans="2:14">
      <c r="B2067" s="105"/>
      <c r="C2067" s="106"/>
      <c r="D2067" s="107"/>
      <c r="E2067" s="65"/>
      <c r="F2067" s="64"/>
      <c r="G2067" s="64"/>
      <c r="H2067" s="64"/>
      <c r="I2067" s="70"/>
      <c r="J2067" s="70"/>
      <c r="K2067" s="110" t="str">
        <f>IF(H2067="","",IF($C$29="간이법","",FPR(H2067,I2067,J2067)))</f>
        <v/>
      </c>
      <c r="L2067" s="111" t="str">
        <f>IF(H2067="","",IF($C$29="상세법",FPV(H2067,K2067),IF(H2067="EI",4,IF(H2067="EO",5.2,IF(H2067="EQ",3.9,IF(H2067="ILF",7.5,IF(H2067="EIF",5.4)))))))</f>
        <v/>
      </c>
      <c r="M2067" s="112" t="str">
        <f t="shared" si="35"/>
        <v/>
      </c>
      <c r="N2067" s="113"/>
    </row>
    <row r="2068" spans="2:14">
      <c r="B2068" s="105"/>
      <c r="C2068" s="106"/>
      <c r="D2068" s="107"/>
      <c r="E2068" s="65"/>
      <c r="F2068" s="64"/>
      <c r="G2068" s="64"/>
      <c r="H2068" s="64"/>
      <c r="I2068" s="70"/>
      <c r="J2068" s="70"/>
      <c r="K2068" s="110" t="str">
        <f>IF(H2068="","",IF($C$29="간이법","",FPR(H2068,I2068,J2068)))</f>
        <v/>
      </c>
      <c r="L2068" s="111" t="str">
        <f>IF(H2068="","",IF($C$29="상세법",FPV(H2068,K2068),IF(H2068="EI",4,IF(H2068="EO",5.2,IF(H2068="EQ",3.9,IF(H2068="ILF",7.5,IF(H2068="EIF",5.4)))))))</f>
        <v/>
      </c>
      <c r="M2068" s="112" t="str">
        <f t="shared" si="35"/>
        <v/>
      </c>
      <c r="N2068" s="113"/>
    </row>
    <row r="2069" spans="2:14">
      <c r="B2069" s="105"/>
      <c r="C2069" s="106"/>
      <c r="D2069" s="107"/>
      <c r="E2069" s="65"/>
      <c r="F2069" s="64"/>
      <c r="G2069" s="64"/>
      <c r="H2069" s="64"/>
      <c r="I2069" s="70"/>
      <c r="J2069" s="70"/>
      <c r="K2069" s="110" t="str">
        <f>IF(H2069="","",IF($C$29="간이법","",FPR(H2069,I2069,J2069)))</f>
        <v/>
      </c>
      <c r="L2069" s="111" t="str">
        <f>IF(H2069="","",IF($C$29="상세법",FPV(H2069,K2069),IF(H2069="EI",4,IF(H2069="EO",5.2,IF(H2069="EQ",3.9,IF(H2069="ILF",7.5,IF(H2069="EIF",5.4)))))))</f>
        <v/>
      </c>
      <c r="M2069" s="112" t="str">
        <f t="shared" si="35"/>
        <v/>
      </c>
      <c r="N2069" s="113"/>
    </row>
    <row r="2070" spans="2:14">
      <c r="B2070" s="105"/>
      <c r="C2070" s="106"/>
      <c r="D2070" s="107"/>
      <c r="E2070" s="65"/>
      <c r="F2070" s="64"/>
      <c r="G2070" s="64"/>
      <c r="H2070" s="64"/>
      <c r="I2070" s="70"/>
      <c r="J2070" s="70"/>
      <c r="K2070" s="110" t="str">
        <f>IF(H2070="","",IF($C$29="간이법","",FPR(H2070,I2070,J2070)))</f>
        <v/>
      </c>
      <c r="L2070" s="111" t="str">
        <f>IF(H2070="","",IF($C$29="상세법",FPV(H2070,K2070),IF(H2070="EI",4,IF(H2070="EO",5.2,IF(H2070="EQ",3.9,IF(H2070="ILF",7.5,IF(H2070="EIF",5.4)))))))</f>
        <v/>
      </c>
      <c r="M2070" s="112" t="str">
        <f t="shared" si="35"/>
        <v/>
      </c>
      <c r="N2070" s="113"/>
    </row>
    <row r="2071" spans="2:14">
      <c r="B2071" s="105"/>
      <c r="C2071" s="106"/>
      <c r="D2071" s="107"/>
      <c r="E2071" s="65"/>
      <c r="F2071" s="64"/>
      <c r="G2071" s="64"/>
      <c r="H2071" s="64"/>
      <c r="I2071" s="70"/>
      <c r="J2071" s="70"/>
      <c r="K2071" s="110" t="str">
        <f>IF(H2071="","",IF($C$29="간이법","",FPR(H2071,I2071,J2071)))</f>
        <v/>
      </c>
      <c r="L2071" s="111" t="str">
        <f>IF(H2071="","",IF($C$29="상세법",FPV(H2071,K2071),IF(H2071="EI",4,IF(H2071="EO",5.2,IF(H2071="EQ",3.9,IF(H2071="ILF",7.5,IF(H2071="EIF",5.4)))))))</f>
        <v/>
      </c>
      <c r="M2071" s="112" t="str">
        <f t="shared" si="35"/>
        <v/>
      </c>
      <c r="N2071" s="113"/>
    </row>
    <row r="2072" spans="2:14">
      <c r="B2072" s="105"/>
      <c r="C2072" s="106"/>
      <c r="D2072" s="107"/>
      <c r="E2072" s="65"/>
      <c r="F2072" s="64"/>
      <c r="G2072" s="64"/>
      <c r="H2072" s="64"/>
      <c r="I2072" s="70"/>
      <c r="J2072" s="70"/>
      <c r="K2072" s="110" t="str">
        <f>IF(H2072="","",IF($C$29="간이법","",FPR(H2072,I2072,J2072)))</f>
        <v/>
      </c>
      <c r="L2072" s="111" t="str">
        <f>IF(H2072="","",IF($C$29="상세법",FPV(H2072,K2072),IF(H2072="EI",4,IF(H2072="EO",5.2,IF(H2072="EQ",3.9,IF(H2072="ILF",7.5,IF(H2072="EIF",5.4)))))))</f>
        <v/>
      </c>
      <c r="M2072" s="112" t="str">
        <f t="shared" si="35"/>
        <v/>
      </c>
      <c r="N2072" s="113"/>
    </row>
    <row r="2073" spans="2:14">
      <c r="B2073" s="105"/>
      <c r="C2073" s="106"/>
      <c r="D2073" s="107"/>
      <c r="E2073" s="65"/>
      <c r="F2073" s="64"/>
      <c r="G2073" s="64"/>
      <c r="H2073" s="64"/>
      <c r="I2073" s="70"/>
      <c r="J2073" s="70"/>
      <c r="K2073" s="110" t="str">
        <f>IF(H2073="","",IF($C$29="간이법","",FPR(H2073,I2073,J2073)))</f>
        <v/>
      </c>
      <c r="L2073" s="111" t="str">
        <f>IF(H2073="","",IF($C$29="상세법",FPV(H2073,K2073),IF(H2073="EI",4,IF(H2073="EO",5.2,IF(H2073="EQ",3.9,IF(H2073="ILF",7.5,IF(H2073="EIF",5.4)))))))</f>
        <v/>
      </c>
      <c r="M2073" s="112" t="str">
        <f t="shared" si="35"/>
        <v/>
      </c>
      <c r="N2073" s="113"/>
    </row>
    <row r="2074" spans="2:14">
      <c r="B2074" s="105"/>
      <c r="C2074" s="106"/>
      <c r="D2074" s="107"/>
      <c r="E2074" s="65"/>
      <c r="F2074" s="64"/>
      <c r="G2074" s="64"/>
      <c r="H2074" s="64"/>
      <c r="I2074" s="70"/>
      <c r="J2074" s="70"/>
      <c r="K2074" s="110" t="str">
        <f>IF(H2074="","",IF($C$29="간이법","",FPR(H2074,I2074,J2074)))</f>
        <v/>
      </c>
      <c r="L2074" s="111" t="str">
        <f>IF(H2074="","",IF($C$29="상세법",FPV(H2074,K2074),IF(H2074="EI",4,IF(H2074="EO",5.2,IF(H2074="EQ",3.9,IF(H2074="ILF",7.5,IF(H2074="EIF",5.4)))))))</f>
        <v/>
      </c>
      <c r="M2074" s="112" t="str">
        <f t="shared" si="35"/>
        <v/>
      </c>
      <c r="N2074" s="113"/>
    </row>
    <row r="2075" spans="2:14">
      <c r="B2075" s="105"/>
      <c r="C2075" s="106"/>
      <c r="D2075" s="107"/>
      <c r="E2075" s="65"/>
      <c r="F2075" s="64"/>
      <c r="G2075" s="64"/>
      <c r="H2075" s="64"/>
      <c r="I2075" s="70"/>
      <c r="J2075" s="70"/>
      <c r="K2075" s="110" t="str">
        <f>IF(H2075="","",IF($C$29="간이법","",FPR(H2075,I2075,J2075)))</f>
        <v/>
      </c>
      <c r="L2075" s="111" t="str">
        <f>IF(H2075="","",IF($C$29="상세법",FPV(H2075,K2075),IF(H2075="EI",4,IF(H2075="EO",5.2,IF(H2075="EQ",3.9,IF(H2075="ILF",7.5,IF(H2075="EIF",5.4)))))))</f>
        <v/>
      </c>
      <c r="M2075" s="112" t="str">
        <f t="shared" si="35"/>
        <v/>
      </c>
      <c r="N2075" s="113"/>
    </row>
    <row r="2076" spans="2:14">
      <c r="B2076" s="105"/>
      <c r="C2076" s="106"/>
      <c r="D2076" s="107"/>
      <c r="E2076" s="65"/>
      <c r="F2076" s="64"/>
      <c r="G2076" s="64"/>
      <c r="H2076" s="64"/>
      <c r="I2076" s="70"/>
      <c r="J2076" s="70"/>
      <c r="K2076" s="110" t="str">
        <f>IF(H2076="","",IF($C$29="간이법","",FPR(H2076,I2076,J2076)))</f>
        <v/>
      </c>
      <c r="L2076" s="111" t="str">
        <f>IF(H2076="","",IF($C$29="상세법",FPV(H2076,K2076),IF(H2076="EI",4,IF(H2076="EO",5.2,IF(H2076="EQ",3.9,IF(H2076="ILF",7.5,IF(H2076="EIF",5.4)))))))</f>
        <v/>
      </c>
      <c r="M2076" s="112" t="str">
        <f t="shared" si="35"/>
        <v/>
      </c>
      <c r="N2076" s="113"/>
    </row>
    <row r="2077" spans="2:14">
      <c r="B2077" s="105"/>
      <c r="C2077" s="106"/>
      <c r="D2077" s="107"/>
      <c r="E2077" s="65"/>
      <c r="F2077" s="64"/>
      <c r="G2077" s="64"/>
      <c r="H2077" s="64"/>
      <c r="I2077" s="70"/>
      <c r="J2077" s="70"/>
      <c r="K2077" s="110" t="str">
        <f>IF(H2077="","",IF($C$29="간이법","",FPR(H2077,I2077,J2077)))</f>
        <v/>
      </c>
      <c r="L2077" s="111" t="str">
        <f>IF(H2077="","",IF($C$29="상세법",FPV(H2077,K2077),IF(H2077="EI",4,IF(H2077="EO",5.2,IF(H2077="EQ",3.9,IF(H2077="ILF",7.5,IF(H2077="EIF",5.4)))))))</f>
        <v/>
      </c>
      <c r="M2077" s="112" t="str">
        <f t="shared" si="35"/>
        <v/>
      </c>
      <c r="N2077" s="113"/>
    </row>
    <row r="2078" spans="2:14">
      <c r="B2078" s="105"/>
      <c r="C2078" s="106"/>
      <c r="D2078" s="107"/>
      <c r="E2078" s="65"/>
      <c r="F2078" s="64"/>
      <c r="G2078" s="64"/>
      <c r="H2078" s="64"/>
      <c r="I2078" s="70"/>
      <c r="J2078" s="70"/>
      <c r="K2078" s="110" t="str">
        <f>IF(H2078="","",IF($C$29="간이법","",FPR(H2078,I2078,J2078)))</f>
        <v/>
      </c>
      <c r="L2078" s="111" t="str">
        <f>IF(H2078="","",IF($C$29="상세법",FPV(H2078,K2078),IF(H2078="EI",4,IF(H2078="EO",5.2,IF(H2078="EQ",3.9,IF(H2078="ILF",7.5,IF(H2078="EIF",5.4)))))))</f>
        <v/>
      </c>
      <c r="M2078" s="112" t="str">
        <f t="shared" si="35"/>
        <v/>
      </c>
      <c r="N2078" s="113"/>
    </row>
    <row r="2079" spans="2:14">
      <c r="B2079" s="105"/>
      <c r="C2079" s="106"/>
      <c r="D2079" s="107"/>
      <c r="E2079" s="65"/>
      <c r="F2079" s="64"/>
      <c r="G2079" s="64"/>
      <c r="H2079" s="64"/>
      <c r="I2079" s="70"/>
      <c r="J2079" s="70"/>
      <c r="K2079" s="110" t="str">
        <f>IF(H2079="","",IF($C$29="간이법","",FPR(H2079,I2079,J2079)))</f>
        <v/>
      </c>
      <c r="L2079" s="111" t="str">
        <f>IF(H2079="","",IF($C$29="상세법",FPV(H2079,K2079),IF(H2079="EI",4,IF(H2079="EO",5.2,IF(H2079="EQ",3.9,IF(H2079="ILF",7.5,IF(H2079="EIF",5.4)))))))</f>
        <v/>
      </c>
      <c r="M2079" s="112" t="str">
        <f t="shared" si="35"/>
        <v/>
      </c>
      <c r="N2079" s="113"/>
    </row>
    <row r="2080" spans="2:14">
      <c r="B2080" s="105"/>
      <c r="C2080" s="106"/>
      <c r="D2080" s="107"/>
      <c r="E2080" s="65"/>
      <c r="F2080" s="64"/>
      <c r="G2080" s="64"/>
      <c r="H2080" s="64"/>
      <c r="I2080" s="70"/>
      <c r="J2080" s="70"/>
      <c r="K2080" s="110" t="str">
        <f>IF(H2080="","",IF($C$29="간이법","",FPR(H2080,I2080,J2080)))</f>
        <v/>
      </c>
      <c r="L2080" s="111" t="str">
        <f>IF(H2080="","",IF($C$29="상세법",FPV(H2080,K2080),IF(H2080="EI",4,IF(H2080="EO",5.2,IF(H2080="EQ",3.9,IF(H2080="ILF",7.5,IF(H2080="EIF",5.4)))))))</f>
        <v/>
      </c>
      <c r="M2080" s="112" t="str">
        <f t="shared" si="35"/>
        <v/>
      </c>
      <c r="N2080" s="113"/>
    </row>
    <row r="2081" spans="2:14">
      <c r="B2081" s="105"/>
      <c r="C2081" s="106"/>
      <c r="D2081" s="107"/>
      <c r="E2081" s="65"/>
      <c r="F2081" s="64"/>
      <c r="G2081" s="64"/>
      <c r="H2081" s="64"/>
      <c r="I2081" s="70"/>
      <c r="J2081" s="70"/>
      <c r="K2081" s="110" t="str">
        <f>IF(H2081="","",IF($C$29="간이법","",FPR(H2081,I2081,J2081)))</f>
        <v/>
      </c>
      <c r="L2081" s="111" t="str">
        <f>IF(H2081="","",IF($C$29="상세법",FPV(H2081,K2081),IF(H2081="EI",4,IF(H2081="EO",5.2,IF(H2081="EQ",3.9,IF(H2081="ILF",7.5,IF(H2081="EIF",5.4)))))))</f>
        <v/>
      </c>
      <c r="M2081" s="112" t="str">
        <f t="shared" si="35"/>
        <v/>
      </c>
      <c r="N2081" s="113"/>
    </row>
    <row r="2082" spans="2:14">
      <c r="B2082" s="105"/>
      <c r="C2082" s="106"/>
      <c r="D2082" s="107"/>
      <c r="E2082" s="65"/>
      <c r="F2082" s="64"/>
      <c r="G2082" s="64"/>
      <c r="H2082" s="64"/>
      <c r="I2082" s="70"/>
      <c r="J2082" s="70"/>
      <c r="K2082" s="110" t="str">
        <f>IF(H2082="","",IF($C$29="간이법","",FPR(H2082,I2082,J2082)))</f>
        <v/>
      </c>
      <c r="L2082" s="111" t="str">
        <f>IF(H2082="","",IF($C$29="상세법",FPV(H2082,K2082),IF(H2082="EI",4,IF(H2082="EO",5.2,IF(H2082="EQ",3.9,IF(H2082="ILF",7.5,IF(H2082="EIF",5.4)))))))</f>
        <v/>
      </c>
      <c r="M2082" s="112" t="str">
        <f t="shared" si="35"/>
        <v/>
      </c>
      <c r="N2082" s="113"/>
    </row>
    <row r="2083" spans="2:14">
      <c r="B2083" s="105"/>
      <c r="C2083" s="106"/>
      <c r="D2083" s="107"/>
      <c r="E2083" s="65"/>
      <c r="F2083" s="64"/>
      <c r="G2083" s="64"/>
      <c r="H2083" s="64"/>
      <c r="I2083" s="70"/>
      <c r="J2083" s="70"/>
      <c r="K2083" s="110" t="str">
        <f>IF(H2083="","",IF($C$29="간이법","",FPR(H2083,I2083,J2083)))</f>
        <v/>
      </c>
      <c r="L2083" s="111" t="str">
        <f>IF(H2083="","",IF($C$29="상세법",FPV(H2083,K2083),IF(H2083="EI",4,IF(H2083="EO",5.2,IF(H2083="EQ",3.9,IF(H2083="ILF",7.5,IF(H2083="EIF",5.4)))))))</f>
        <v/>
      </c>
      <c r="M2083" s="112" t="str">
        <f t="shared" si="35"/>
        <v/>
      </c>
      <c r="N2083" s="113"/>
    </row>
    <row r="2084" spans="2:14">
      <c r="B2084" s="105"/>
      <c r="C2084" s="106"/>
      <c r="D2084" s="107"/>
      <c r="E2084" s="65"/>
      <c r="F2084" s="64"/>
      <c r="G2084" s="64"/>
      <c r="H2084" s="64"/>
      <c r="I2084" s="70"/>
      <c r="J2084" s="70"/>
      <c r="K2084" s="110" t="str">
        <f>IF(H2084="","",IF($C$29="간이법","",FPR(H2084,I2084,J2084)))</f>
        <v/>
      </c>
      <c r="L2084" s="111" t="str">
        <f>IF(H2084="","",IF($C$29="상세법",FPV(H2084,K2084),IF(H2084="EI",4,IF(H2084="EO",5.2,IF(H2084="EQ",3.9,IF(H2084="ILF",7.5,IF(H2084="EIF",5.4)))))))</f>
        <v/>
      </c>
      <c r="M2084" s="112" t="str">
        <f t="shared" si="35"/>
        <v/>
      </c>
      <c r="N2084" s="113"/>
    </row>
    <row r="2085" spans="2:14">
      <c r="B2085" s="105"/>
      <c r="C2085" s="106"/>
      <c r="D2085" s="107"/>
      <c r="E2085" s="65"/>
      <c r="F2085" s="64"/>
      <c r="G2085" s="64"/>
      <c r="H2085" s="64"/>
      <c r="I2085" s="70"/>
      <c r="J2085" s="70"/>
      <c r="K2085" s="110" t="str">
        <f>IF(H2085="","",IF($C$29="간이법","",FPR(H2085,I2085,J2085)))</f>
        <v/>
      </c>
      <c r="L2085" s="111" t="str">
        <f>IF(H2085="","",IF($C$29="상세법",FPV(H2085,K2085),IF(H2085="EI",4,IF(H2085="EO",5.2,IF(H2085="EQ",3.9,IF(H2085="ILF",7.5,IF(H2085="EIF",5.4)))))))</f>
        <v/>
      </c>
      <c r="M2085" s="112" t="str">
        <f t="shared" si="35"/>
        <v/>
      </c>
      <c r="N2085" s="113"/>
    </row>
    <row r="2086" spans="2:14">
      <c r="B2086" s="105"/>
      <c r="C2086" s="106"/>
      <c r="D2086" s="107"/>
      <c r="E2086" s="65"/>
      <c r="F2086" s="64"/>
      <c r="G2086" s="64"/>
      <c r="H2086" s="64"/>
      <c r="I2086" s="70"/>
      <c r="J2086" s="70"/>
      <c r="K2086" s="110" t="str">
        <f>IF(H2086="","",IF($C$29="간이법","",FPR(H2086,I2086,J2086)))</f>
        <v/>
      </c>
      <c r="L2086" s="111" t="str">
        <f>IF(H2086="","",IF($C$29="상세법",FPV(H2086,K2086),IF(H2086="EI",4,IF(H2086="EO",5.2,IF(H2086="EQ",3.9,IF(H2086="ILF",7.5,IF(H2086="EIF",5.4)))))))</f>
        <v/>
      </c>
      <c r="M2086" s="112" t="str">
        <f t="shared" si="35"/>
        <v/>
      </c>
      <c r="N2086" s="113"/>
    </row>
    <row r="2087" spans="2:14">
      <c r="B2087" s="105"/>
      <c r="C2087" s="106"/>
      <c r="D2087" s="107"/>
      <c r="E2087" s="65"/>
      <c r="F2087" s="64"/>
      <c r="G2087" s="64"/>
      <c r="H2087" s="64"/>
      <c r="I2087" s="70"/>
      <c r="J2087" s="70"/>
      <c r="K2087" s="110" t="str">
        <f>IF(H2087="","",IF($C$29="간이법","",FPR(H2087,I2087,J2087)))</f>
        <v/>
      </c>
      <c r="L2087" s="111" t="str">
        <f>IF(H2087="","",IF($C$29="상세법",FPV(H2087,K2087),IF(H2087="EI",4,IF(H2087="EO",5.2,IF(H2087="EQ",3.9,IF(H2087="ILF",7.5,IF(H2087="EIF",5.4)))))))</f>
        <v/>
      </c>
      <c r="M2087" s="112" t="str">
        <f t="shared" si="35"/>
        <v/>
      </c>
      <c r="N2087" s="113"/>
    </row>
    <row r="2088" spans="2:14">
      <c r="B2088" s="105"/>
      <c r="C2088" s="106"/>
      <c r="D2088" s="107"/>
      <c r="E2088" s="65"/>
      <c r="F2088" s="64"/>
      <c r="G2088" s="64"/>
      <c r="H2088" s="64"/>
      <c r="I2088" s="70"/>
      <c r="J2088" s="70"/>
      <c r="K2088" s="110" t="str">
        <f>IF(H2088="","",IF($C$29="간이법","",FPR(H2088,I2088,J2088)))</f>
        <v/>
      </c>
      <c r="L2088" s="111" t="str">
        <f>IF(H2088="","",IF($C$29="상세법",FPV(H2088,K2088),IF(H2088="EI",4,IF(H2088="EO",5.2,IF(H2088="EQ",3.9,IF(H2088="ILF",7.5,IF(H2088="EIF",5.4)))))))</f>
        <v/>
      </c>
      <c r="M2088" s="112" t="str">
        <f t="shared" si="35"/>
        <v/>
      </c>
      <c r="N2088" s="113"/>
    </row>
    <row r="2089" spans="2:14">
      <c r="B2089" s="105"/>
      <c r="C2089" s="106"/>
      <c r="D2089" s="107"/>
      <c r="E2089" s="65"/>
      <c r="F2089" s="64"/>
      <c r="G2089" s="64"/>
      <c r="H2089" s="64"/>
      <c r="I2089" s="70"/>
      <c r="J2089" s="70"/>
      <c r="K2089" s="110" t="str">
        <f>IF(H2089="","",IF($C$29="간이법","",FPR(H2089,I2089,J2089)))</f>
        <v/>
      </c>
      <c r="L2089" s="111" t="str">
        <f>IF(H2089="","",IF($C$29="상세법",FPV(H2089,K2089),IF(H2089="EI",4,IF(H2089="EO",5.2,IF(H2089="EQ",3.9,IF(H2089="ILF",7.5,IF(H2089="EIF",5.4)))))))</f>
        <v/>
      </c>
      <c r="M2089" s="112" t="str">
        <f t="shared" si="35"/>
        <v/>
      </c>
      <c r="N2089" s="113"/>
    </row>
    <row r="2090" spans="2:14">
      <c r="B2090" s="105"/>
      <c r="C2090" s="106"/>
      <c r="D2090" s="107"/>
      <c r="E2090" s="65"/>
      <c r="F2090" s="64"/>
      <c r="G2090" s="64"/>
      <c r="H2090" s="64"/>
      <c r="I2090" s="70"/>
      <c r="J2090" s="70"/>
      <c r="K2090" s="110" t="str">
        <f>IF(H2090="","",IF($C$29="간이법","",FPR(H2090,I2090,J2090)))</f>
        <v/>
      </c>
      <c r="L2090" s="111" t="str">
        <f>IF(H2090="","",IF($C$29="상세법",FPV(H2090,K2090),IF(H2090="EI",4,IF(H2090="EO",5.2,IF(H2090="EQ",3.9,IF(H2090="ILF",7.5,IF(H2090="EIF",5.4)))))))</f>
        <v/>
      </c>
      <c r="M2090" s="112" t="str">
        <f t="shared" si="35"/>
        <v/>
      </c>
      <c r="N2090" s="113"/>
    </row>
    <row r="2091" spans="2:14">
      <c r="B2091" s="105"/>
      <c r="C2091" s="106"/>
      <c r="D2091" s="107"/>
      <c r="E2091" s="65"/>
      <c r="F2091" s="64"/>
      <c r="G2091" s="64"/>
      <c r="H2091" s="64"/>
      <c r="I2091" s="70"/>
      <c r="J2091" s="70"/>
      <c r="K2091" s="110" t="str">
        <f>IF(H2091="","",IF($C$29="간이법","",FPR(H2091,I2091,J2091)))</f>
        <v/>
      </c>
      <c r="L2091" s="111" t="str">
        <f>IF(H2091="","",IF($C$29="상세법",FPV(H2091,K2091),IF(H2091="EI",4,IF(H2091="EO",5.2,IF(H2091="EQ",3.9,IF(H2091="ILF",7.5,IF(H2091="EIF",5.4)))))))</f>
        <v/>
      </c>
      <c r="M2091" s="112" t="str">
        <f t="shared" si="35"/>
        <v/>
      </c>
      <c r="N2091" s="113"/>
    </row>
    <row r="2092" spans="2:14">
      <c r="B2092" s="105"/>
      <c r="C2092" s="106"/>
      <c r="D2092" s="107"/>
      <c r="E2092" s="65"/>
      <c r="F2092" s="64"/>
      <c r="G2092" s="64"/>
      <c r="H2092" s="64"/>
      <c r="I2092" s="70"/>
      <c r="J2092" s="70"/>
      <c r="K2092" s="110" t="str">
        <f>IF(H2092="","",IF($C$29="간이법","",FPR(H2092,I2092,J2092)))</f>
        <v/>
      </c>
      <c r="L2092" s="111" t="str">
        <f>IF(H2092="","",IF($C$29="상세법",FPV(H2092,K2092),IF(H2092="EI",4,IF(H2092="EO",5.2,IF(H2092="EQ",3.9,IF(H2092="ILF",7.5,IF(H2092="EIF",5.4)))))))</f>
        <v/>
      </c>
      <c r="M2092" s="112" t="str">
        <f t="shared" si="35"/>
        <v/>
      </c>
      <c r="N2092" s="113"/>
    </row>
    <row r="2093" spans="2:14">
      <c r="B2093" s="105"/>
      <c r="C2093" s="106"/>
      <c r="D2093" s="107"/>
      <c r="E2093" s="65"/>
      <c r="F2093" s="64"/>
      <c r="G2093" s="64"/>
      <c r="H2093" s="64"/>
      <c r="I2093" s="70"/>
      <c r="J2093" s="70"/>
      <c r="K2093" s="110" t="str">
        <f>IF(H2093="","",IF($C$29="간이법","",FPR(H2093,I2093,J2093)))</f>
        <v/>
      </c>
      <c r="L2093" s="111" t="str">
        <f>IF(H2093="","",IF($C$29="상세법",FPV(H2093,K2093),IF(H2093="EI",4,IF(H2093="EO",5.2,IF(H2093="EQ",3.9,IF(H2093="ILF",7.5,IF(H2093="EIF",5.4)))))))</f>
        <v/>
      </c>
      <c r="M2093" s="112" t="str">
        <f t="shared" si="35"/>
        <v/>
      </c>
      <c r="N2093" s="113"/>
    </row>
    <row r="2094" spans="2:14">
      <c r="B2094" s="105"/>
      <c r="C2094" s="106"/>
      <c r="D2094" s="107"/>
      <c r="E2094" s="65"/>
      <c r="F2094" s="64"/>
      <c r="G2094" s="64"/>
      <c r="H2094" s="64"/>
      <c r="I2094" s="70"/>
      <c r="J2094" s="70"/>
      <c r="K2094" s="110" t="str">
        <f>IF(H2094="","",IF($C$29="간이법","",FPR(H2094,I2094,J2094)))</f>
        <v/>
      </c>
      <c r="L2094" s="111" t="str">
        <f>IF(H2094="","",IF($C$29="상세법",FPV(H2094,K2094),IF(H2094="EI",4,IF(H2094="EO",5.2,IF(H2094="EQ",3.9,IF(H2094="ILF",7.5,IF(H2094="EIF",5.4)))))))</f>
        <v/>
      </c>
      <c r="M2094" s="112" t="str">
        <f t="shared" si="35"/>
        <v/>
      </c>
      <c r="N2094" s="113"/>
    </row>
    <row r="2095" spans="2:14">
      <c r="B2095" s="105"/>
      <c r="C2095" s="106"/>
      <c r="D2095" s="107"/>
      <c r="E2095" s="65"/>
      <c r="F2095" s="64"/>
      <c r="G2095" s="64"/>
      <c r="H2095" s="64"/>
      <c r="I2095" s="70"/>
      <c r="J2095" s="70"/>
      <c r="K2095" s="110" t="str">
        <f>IF(H2095="","",IF($C$29="간이법","",FPR(H2095,I2095,J2095)))</f>
        <v/>
      </c>
      <c r="L2095" s="111" t="str">
        <f>IF(H2095="","",IF($C$29="상세법",FPV(H2095,K2095),IF(H2095="EI",4,IF(H2095="EO",5.2,IF(H2095="EQ",3.9,IF(H2095="ILF",7.5,IF(H2095="EIF",5.4)))))))</f>
        <v/>
      </c>
      <c r="M2095" s="112" t="str">
        <f t="shared" si="35"/>
        <v/>
      </c>
      <c r="N2095" s="113"/>
    </row>
    <row r="2096" spans="2:14">
      <c r="B2096" s="105"/>
      <c r="C2096" s="106"/>
      <c r="D2096" s="107"/>
      <c r="E2096" s="65"/>
      <c r="F2096" s="64"/>
      <c r="G2096" s="64"/>
      <c r="H2096" s="64"/>
      <c r="I2096" s="70"/>
      <c r="J2096" s="70"/>
      <c r="K2096" s="110" t="str">
        <f>IF(H2096="","",IF($C$29="간이법","",FPR(H2096,I2096,J2096)))</f>
        <v/>
      </c>
      <c r="L2096" s="111" t="str">
        <f>IF(H2096="","",IF($C$29="상세법",FPV(H2096,K2096),IF(H2096="EI",4,IF(H2096="EO",5.2,IF(H2096="EQ",3.9,IF(H2096="ILF",7.5,IF(H2096="EIF",5.4)))))))</f>
        <v/>
      </c>
      <c r="M2096" s="112" t="str">
        <f t="shared" si="35"/>
        <v/>
      </c>
      <c r="N2096" s="113"/>
    </row>
    <row r="2097" spans="2:14">
      <c r="B2097" s="105"/>
      <c r="C2097" s="106"/>
      <c r="D2097" s="107"/>
      <c r="E2097" s="65"/>
      <c r="F2097" s="64"/>
      <c r="G2097" s="64"/>
      <c r="H2097" s="64"/>
      <c r="I2097" s="70"/>
      <c r="J2097" s="70"/>
      <c r="K2097" s="110" t="str">
        <f>IF(H2097="","",IF($C$29="간이법","",FPR(H2097,I2097,J2097)))</f>
        <v/>
      </c>
      <c r="L2097" s="111" t="str">
        <f>IF(H2097="","",IF($C$29="상세법",FPV(H2097,K2097),IF(H2097="EI",4,IF(H2097="EO",5.2,IF(H2097="EQ",3.9,IF(H2097="ILF",7.5,IF(H2097="EIF",5.4)))))))</f>
        <v/>
      </c>
      <c r="M2097" s="112" t="str">
        <f t="shared" si="35"/>
        <v/>
      </c>
      <c r="N2097" s="113"/>
    </row>
    <row r="2098" spans="2:14">
      <c r="B2098" s="105"/>
      <c r="C2098" s="106"/>
      <c r="D2098" s="107"/>
      <c r="E2098" s="65"/>
      <c r="F2098" s="64"/>
      <c r="G2098" s="64"/>
      <c r="H2098" s="64"/>
      <c r="I2098" s="70"/>
      <c r="J2098" s="70"/>
      <c r="K2098" s="110" t="str">
        <f>IF(H2098="","",IF($C$29="간이법","",FPR(H2098,I2098,J2098)))</f>
        <v/>
      </c>
      <c r="L2098" s="111" t="str">
        <f>IF(H2098="","",IF($C$29="상세법",FPV(H2098,K2098),IF(H2098="EI",4,IF(H2098="EO",5.2,IF(H2098="EQ",3.9,IF(H2098="ILF",7.5,IF(H2098="EIF",5.4)))))))</f>
        <v/>
      </c>
      <c r="M2098" s="112" t="str">
        <f t="shared" si="35"/>
        <v/>
      </c>
      <c r="N2098" s="113"/>
    </row>
    <row r="2099" spans="2:14">
      <c r="B2099" s="105"/>
      <c r="C2099" s="106"/>
      <c r="D2099" s="107"/>
      <c r="E2099" s="65"/>
      <c r="F2099" s="64"/>
      <c r="G2099" s="64"/>
      <c r="H2099" s="64"/>
      <c r="I2099" s="70"/>
      <c r="J2099" s="70"/>
      <c r="K2099" s="110" t="str">
        <f>IF(H2099="","",IF($C$29="간이법","",FPR(H2099,I2099,J2099)))</f>
        <v/>
      </c>
      <c r="L2099" s="111" t="str">
        <f>IF(H2099="","",IF($C$29="상세법",FPV(H2099,K2099),IF(H2099="EI",4,IF(H2099="EO",5.2,IF(H2099="EQ",3.9,IF(H2099="ILF",7.5,IF(H2099="EIF",5.4)))))))</f>
        <v/>
      </c>
      <c r="M2099" s="112" t="str">
        <f t="shared" si="35"/>
        <v/>
      </c>
      <c r="N2099" s="113"/>
    </row>
    <row r="2100" spans="2:14">
      <c r="B2100" s="105"/>
      <c r="C2100" s="106"/>
      <c r="D2100" s="107"/>
      <c r="E2100" s="65"/>
      <c r="F2100" s="64"/>
      <c r="G2100" s="64"/>
      <c r="H2100" s="64"/>
      <c r="I2100" s="70"/>
      <c r="J2100" s="70"/>
      <c r="K2100" s="110" t="str">
        <f>IF(H2100="","",IF($C$29="간이법","",FPR(H2100,I2100,J2100)))</f>
        <v/>
      </c>
      <c r="L2100" s="111" t="str">
        <f>IF(H2100="","",IF($C$29="상세법",FPV(H2100,K2100),IF(H2100="EI",4,IF(H2100="EO",5.2,IF(H2100="EQ",3.9,IF(H2100="ILF",7.5,IF(H2100="EIF",5.4)))))))</f>
        <v/>
      </c>
      <c r="M2100" s="112" t="str">
        <f t="shared" si="35"/>
        <v/>
      </c>
      <c r="N2100" s="113"/>
    </row>
    <row r="2101" spans="2:14">
      <c r="B2101" s="105"/>
      <c r="C2101" s="106"/>
      <c r="D2101" s="107"/>
      <c r="E2101" s="65"/>
      <c r="F2101" s="64"/>
      <c r="G2101" s="64"/>
      <c r="H2101" s="64"/>
      <c r="I2101" s="70"/>
      <c r="J2101" s="70"/>
      <c r="K2101" s="110" t="str">
        <f>IF(H2101="","",IF($C$29="간이법","",FPR(H2101,I2101,J2101)))</f>
        <v/>
      </c>
      <c r="L2101" s="111" t="str">
        <f>IF(H2101="","",IF($C$29="상세법",FPV(H2101,K2101),IF(H2101="EI",4,IF(H2101="EO",5.2,IF(H2101="EQ",3.9,IF(H2101="ILF",7.5,IF(H2101="EIF",5.4)))))))</f>
        <v/>
      </c>
      <c r="M2101" s="112" t="str">
        <f t="shared" si="35"/>
        <v/>
      </c>
      <c r="N2101" s="113"/>
    </row>
    <row r="2102" spans="2:14">
      <c r="B2102" s="105"/>
      <c r="C2102" s="106"/>
      <c r="D2102" s="107"/>
      <c r="E2102" s="65"/>
      <c r="F2102" s="64"/>
      <c r="G2102" s="64"/>
      <c r="H2102" s="64"/>
      <c r="I2102" s="70"/>
      <c r="J2102" s="70"/>
      <c r="K2102" s="110" t="str">
        <f>IF(H2102="","",IF($C$29="간이법","",FPR(H2102,I2102,J2102)))</f>
        <v/>
      </c>
      <c r="L2102" s="111" t="str">
        <f>IF(H2102="","",IF($C$29="상세법",FPV(H2102,K2102),IF(H2102="EI",4,IF(H2102="EO",5.2,IF(H2102="EQ",3.9,IF(H2102="ILF",7.5,IF(H2102="EIF",5.4)))))))</f>
        <v/>
      </c>
      <c r="M2102" s="112" t="str">
        <f t="shared" si="35"/>
        <v/>
      </c>
      <c r="N2102" s="113"/>
    </row>
    <row r="2103" spans="2:14">
      <c r="B2103" s="105"/>
      <c r="C2103" s="106"/>
      <c r="D2103" s="107"/>
      <c r="E2103" s="65"/>
      <c r="F2103" s="64"/>
      <c r="G2103" s="64"/>
      <c r="H2103" s="64"/>
      <c r="I2103" s="70"/>
      <c r="J2103" s="70"/>
      <c r="K2103" s="110" t="str">
        <f>IF(H2103="","",IF($C$29="간이법","",FPR(H2103,I2103,J2103)))</f>
        <v/>
      </c>
      <c r="L2103" s="111" t="str">
        <f>IF(H2103="","",IF($C$29="상세법",FPV(H2103,K2103),IF(H2103="EI",4,IF(H2103="EO",5.2,IF(H2103="EQ",3.9,IF(H2103="ILF",7.5,IF(H2103="EIF",5.4)))))))</f>
        <v/>
      </c>
      <c r="M2103" s="112" t="str">
        <f t="shared" si="35"/>
        <v/>
      </c>
      <c r="N2103" s="113"/>
    </row>
    <row r="2104" spans="2:14">
      <c r="B2104" s="105"/>
      <c r="C2104" s="106"/>
      <c r="D2104" s="107"/>
      <c r="E2104" s="65"/>
      <c r="F2104" s="64"/>
      <c r="G2104" s="64"/>
      <c r="H2104" s="64"/>
      <c r="I2104" s="70"/>
      <c r="J2104" s="70"/>
      <c r="K2104" s="110" t="str">
        <f>IF(H2104="","",IF($C$29="간이법","",FPR(H2104,I2104,J2104)))</f>
        <v/>
      </c>
      <c r="L2104" s="111" t="str">
        <f>IF(H2104="","",IF($C$29="상세법",FPV(H2104,K2104),IF(H2104="EI",4,IF(H2104="EO",5.2,IF(H2104="EQ",3.9,IF(H2104="ILF",7.5,IF(H2104="EIF",5.4)))))))</f>
        <v/>
      </c>
      <c r="M2104" s="112" t="str">
        <f t="shared" si="35"/>
        <v/>
      </c>
      <c r="N2104" s="113"/>
    </row>
    <row r="2105" spans="2:14">
      <c r="B2105" s="105"/>
      <c r="C2105" s="106"/>
      <c r="D2105" s="107"/>
      <c r="E2105" s="65"/>
      <c r="F2105" s="64"/>
      <c r="G2105" s="64"/>
      <c r="H2105" s="64"/>
      <c r="I2105" s="70"/>
      <c r="J2105" s="70"/>
      <c r="K2105" s="110" t="str">
        <f>IF(H2105="","",IF($C$29="간이법","",FPR(H2105,I2105,J2105)))</f>
        <v/>
      </c>
      <c r="L2105" s="111" t="str">
        <f>IF(H2105="","",IF($C$29="상세법",FPV(H2105,K2105),IF(H2105="EI",4,IF(H2105="EO",5.2,IF(H2105="EQ",3.9,IF(H2105="ILF",7.5,IF(H2105="EIF",5.4)))))))</f>
        <v/>
      </c>
      <c r="M2105" s="112" t="str">
        <f t="shared" ref="M2105:M2168" si="36">IF(L2105="","",L2105*IF(G2105="상",0.7,IF(G2105="중",0.5,IF(G2105="하",0.2,1))))</f>
        <v/>
      </c>
      <c r="N2105" s="113"/>
    </row>
    <row r="2106" spans="2:14">
      <c r="B2106" s="105"/>
      <c r="C2106" s="106"/>
      <c r="D2106" s="107"/>
      <c r="E2106" s="65"/>
      <c r="F2106" s="64"/>
      <c r="G2106" s="64"/>
      <c r="H2106" s="64"/>
      <c r="I2106" s="70"/>
      <c r="J2106" s="70"/>
      <c r="K2106" s="110" t="str">
        <f>IF(H2106="","",IF($C$29="간이법","",FPR(H2106,I2106,J2106)))</f>
        <v/>
      </c>
      <c r="L2106" s="111" t="str">
        <f>IF(H2106="","",IF($C$29="상세법",FPV(H2106,K2106),IF(H2106="EI",4,IF(H2106="EO",5.2,IF(H2106="EQ",3.9,IF(H2106="ILF",7.5,IF(H2106="EIF",5.4)))))))</f>
        <v/>
      </c>
      <c r="M2106" s="112" t="str">
        <f t="shared" si="36"/>
        <v/>
      </c>
      <c r="N2106" s="113"/>
    </row>
    <row r="2107" spans="2:14">
      <c r="B2107" s="105"/>
      <c r="C2107" s="106"/>
      <c r="D2107" s="107"/>
      <c r="E2107" s="65"/>
      <c r="F2107" s="64"/>
      <c r="G2107" s="64"/>
      <c r="H2107" s="64"/>
      <c r="I2107" s="70"/>
      <c r="J2107" s="70"/>
      <c r="K2107" s="110" t="str">
        <f>IF(H2107="","",IF($C$29="간이법","",FPR(H2107,I2107,J2107)))</f>
        <v/>
      </c>
      <c r="L2107" s="111" t="str">
        <f>IF(H2107="","",IF($C$29="상세법",FPV(H2107,K2107),IF(H2107="EI",4,IF(H2107="EO",5.2,IF(H2107="EQ",3.9,IF(H2107="ILF",7.5,IF(H2107="EIF",5.4)))))))</f>
        <v/>
      </c>
      <c r="M2107" s="112" t="str">
        <f t="shared" si="36"/>
        <v/>
      </c>
      <c r="N2107" s="113"/>
    </row>
    <row r="2108" spans="2:14">
      <c r="B2108" s="105"/>
      <c r="C2108" s="106"/>
      <c r="D2108" s="107"/>
      <c r="E2108" s="65"/>
      <c r="F2108" s="64"/>
      <c r="G2108" s="64"/>
      <c r="H2108" s="64"/>
      <c r="I2108" s="70"/>
      <c r="J2108" s="70"/>
      <c r="K2108" s="110" t="str">
        <f>IF(H2108="","",IF($C$29="간이법","",FPR(H2108,I2108,J2108)))</f>
        <v/>
      </c>
      <c r="L2108" s="111" t="str">
        <f>IF(H2108="","",IF($C$29="상세법",FPV(H2108,K2108),IF(H2108="EI",4,IF(H2108="EO",5.2,IF(H2108="EQ",3.9,IF(H2108="ILF",7.5,IF(H2108="EIF",5.4)))))))</f>
        <v/>
      </c>
      <c r="M2108" s="112" t="str">
        <f t="shared" si="36"/>
        <v/>
      </c>
      <c r="N2108" s="113"/>
    </row>
    <row r="2109" spans="2:14">
      <c r="B2109" s="105"/>
      <c r="C2109" s="106"/>
      <c r="D2109" s="107"/>
      <c r="E2109" s="65"/>
      <c r="F2109" s="64"/>
      <c r="G2109" s="64"/>
      <c r="H2109" s="64"/>
      <c r="I2109" s="70"/>
      <c r="J2109" s="70"/>
      <c r="K2109" s="110" t="str">
        <f>IF(H2109="","",IF($C$29="간이법","",FPR(H2109,I2109,J2109)))</f>
        <v/>
      </c>
      <c r="L2109" s="111" t="str">
        <f>IF(H2109="","",IF($C$29="상세법",FPV(H2109,K2109),IF(H2109="EI",4,IF(H2109="EO",5.2,IF(H2109="EQ",3.9,IF(H2109="ILF",7.5,IF(H2109="EIF",5.4)))))))</f>
        <v/>
      </c>
      <c r="M2109" s="112" t="str">
        <f t="shared" si="36"/>
        <v/>
      </c>
      <c r="N2109" s="113"/>
    </row>
    <row r="2110" spans="2:14">
      <c r="B2110" s="105"/>
      <c r="C2110" s="106"/>
      <c r="D2110" s="107"/>
      <c r="E2110" s="65"/>
      <c r="F2110" s="64"/>
      <c r="G2110" s="64"/>
      <c r="H2110" s="64"/>
      <c r="I2110" s="70"/>
      <c r="J2110" s="70"/>
      <c r="K2110" s="110" t="str">
        <f>IF(H2110="","",IF($C$29="간이법","",FPR(H2110,I2110,J2110)))</f>
        <v/>
      </c>
      <c r="L2110" s="111" t="str">
        <f>IF(H2110="","",IF($C$29="상세법",FPV(H2110,K2110),IF(H2110="EI",4,IF(H2110="EO",5.2,IF(H2110="EQ",3.9,IF(H2110="ILF",7.5,IF(H2110="EIF",5.4)))))))</f>
        <v/>
      </c>
      <c r="M2110" s="112" t="str">
        <f t="shared" si="36"/>
        <v/>
      </c>
      <c r="N2110" s="113"/>
    </row>
    <row r="2111" spans="2:14">
      <c r="B2111" s="105"/>
      <c r="C2111" s="106"/>
      <c r="D2111" s="107"/>
      <c r="E2111" s="65"/>
      <c r="F2111" s="64"/>
      <c r="G2111" s="64"/>
      <c r="H2111" s="64"/>
      <c r="I2111" s="70"/>
      <c r="J2111" s="70"/>
      <c r="K2111" s="110" t="str">
        <f>IF(H2111="","",IF($C$29="간이법","",FPR(H2111,I2111,J2111)))</f>
        <v/>
      </c>
      <c r="L2111" s="111" t="str">
        <f>IF(H2111="","",IF($C$29="상세법",FPV(H2111,K2111),IF(H2111="EI",4,IF(H2111="EO",5.2,IF(H2111="EQ",3.9,IF(H2111="ILF",7.5,IF(H2111="EIF",5.4)))))))</f>
        <v/>
      </c>
      <c r="M2111" s="112" t="str">
        <f t="shared" si="36"/>
        <v/>
      </c>
      <c r="N2111" s="113"/>
    </row>
    <row r="2112" spans="2:14">
      <c r="B2112" s="105"/>
      <c r="C2112" s="106"/>
      <c r="D2112" s="107"/>
      <c r="E2112" s="65"/>
      <c r="F2112" s="64"/>
      <c r="G2112" s="64"/>
      <c r="H2112" s="64"/>
      <c r="I2112" s="70"/>
      <c r="J2112" s="70"/>
      <c r="K2112" s="110" t="str">
        <f>IF(H2112="","",IF($C$29="간이법","",FPR(H2112,I2112,J2112)))</f>
        <v/>
      </c>
      <c r="L2112" s="111" t="str">
        <f>IF(H2112="","",IF($C$29="상세법",FPV(H2112,K2112),IF(H2112="EI",4,IF(H2112="EO",5.2,IF(H2112="EQ",3.9,IF(H2112="ILF",7.5,IF(H2112="EIF",5.4)))))))</f>
        <v/>
      </c>
      <c r="M2112" s="112" t="str">
        <f t="shared" si="36"/>
        <v/>
      </c>
      <c r="N2112" s="113"/>
    </row>
    <row r="2113" spans="2:14">
      <c r="B2113" s="105"/>
      <c r="C2113" s="106"/>
      <c r="D2113" s="107"/>
      <c r="E2113" s="65"/>
      <c r="F2113" s="64"/>
      <c r="G2113" s="64"/>
      <c r="H2113" s="64"/>
      <c r="I2113" s="70"/>
      <c r="J2113" s="70"/>
      <c r="K2113" s="110" t="str">
        <f>IF(H2113="","",IF($C$29="간이법","",FPR(H2113,I2113,J2113)))</f>
        <v/>
      </c>
      <c r="L2113" s="111" t="str">
        <f>IF(H2113="","",IF($C$29="상세법",FPV(H2113,K2113),IF(H2113="EI",4,IF(H2113="EO",5.2,IF(H2113="EQ",3.9,IF(H2113="ILF",7.5,IF(H2113="EIF",5.4)))))))</f>
        <v/>
      </c>
      <c r="M2113" s="112" t="str">
        <f t="shared" si="36"/>
        <v/>
      </c>
      <c r="N2113" s="113"/>
    </row>
    <row r="2114" spans="2:14">
      <c r="B2114" s="105"/>
      <c r="C2114" s="106"/>
      <c r="D2114" s="107"/>
      <c r="E2114" s="65"/>
      <c r="F2114" s="64"/>
      <c r="G2114" s="64"/>
      <c r="H2114" s="64"/>
      <c r="I2114" s="70"/>
      <c r="J2114" s="70"/>
      <c r="K2114" s="110" t="str">
        <f>IF(H2114="","",IF($C$29="간이법","",FPR(H2114,I2114,J2114)))</f>
        <v/>
      </c>
      <c r="L2114" s="111" t="str">
        <f>IF(H2114="","",IF($C$29="상세법",FPV(H2114,K2114),IF(H2114="EI",4,IF(H2114="EO",5.2,IF(H2114="EQ",3.9,IF(H2114="ILF",7.5,IF(H2114="EIF",5.4)))))))</f>
        <v/>
      </c>
      <c r="M2114" s="112" t="str">
        <f t="shared" si="36"/>
        <v/>
      </c>
      <c r="N2114" s="113"/>
    </row>
    <row r="2115" spans="2:14">
      <c r="B2115" s="105"/>
      <c r="C2115" s="106"/>
      <c r="D2115" s="107"/>
      <c r="E2115" s="65"/>
      <c r="F2115" s="64"/>
      <c r="G2115" s="64"/>
      <c r="H2115" s="64"/>
      <c r="I2115" s="70"/>
      <c r="J2115" s="70"/>
      <c r="K2115" s="110" t="str">
        <f>IF(H2115="","",IF($C$29="간이법","",FPR(H2115,I2115,J2115)))</f>
        <v/>
      </c>
      <c r="L2115" s="111" t="str">
        <f>IF(H2115="","",IF($C$29="상세법",FPV(H2115,K2115),IF(H2115="EI",4,IF(H2115="EO",5.2,IF(H2115="EQ",3.9,IF(H2115="ILF",7.5,IF(H2115="EIF",5.4)))))))</f>
        <v/>
      </c>
      <c r="M2115" s="112" t="str">
        <f t="shared" si="36"/>
        <v/>
      </c>
      <c r="N2115" s="113"/>
    </row>
    <row r="2116" spans="2:14">
      <c r="B2116" s="105"/>
      <c r="C2116" s="106"/>
      <c r="D2116" s="107"/>
      <c r="E2116" s="65"/>
      <c r="F2116" s="64"/>
      <c r="G2116" s="64"/>
      <c r="H2116" s="64"/>
      <c r="I2116" s="70"/>
      <c r="J2116" s="70"/>
      <c r="K2116" s="110" t="str">
        <f>IF(H2116="","",IF($C$29="간이법","",FPR(H2116,I2116,J2116)))</f>
        <v/>
      </c>
      <c r="L2116" s="111" t="str">
        <f>IF(H2116="","",IF($C$29="상세법",FPV(H2116,K2116),IF(H2116="EI",4,IF(H2116="EO",5.2,IF(H2116="EQ",3.9,IF(H2116="ILF",7.5,IF(H2116="EIF",5.4)))))))</f>
        <v/>
      </c>
      <c r="M2116" s="112" t="str">
        <f t="shared" si="36"/>
        <v/>
      </c>
      <c r="N2116" s="113"/>
    </row>
    <row r="2117" spans="2:14">
      <c r="B2117" s="105"/>
      <c r="C2117" s="106"/>
      <c r="D2117" s="107"/>
      <c r="E2117" s="65"/>
      <c r="F2117" s="64"/>
      <c r="G2117" s="64"/>
      <c r="H2117" s="64"/>
      <c r="I2117" s="70"/>
      <c r="J2117" s="70"/>
      <c r="K2117" s="110" t="str">
        <f>IF(H2117="","",IF($C$29="간이법","",FPR(H2117,I2117,J2117)))</f>
        <v/>
      </c>
      <c r="L2117" s="111" t="str">
        <f>IF(H2117="","",IF($C$29="상세법",FPV(H2117,K2117),IF(H2117="EI",4,IF(H2117="EO",5.2,IF(H2117="EQ",3.9,IF(H2117="ILF",7.5,IF(H2117="EIF",5.4)))))))</f>
        <v/>
      </c>
      <c r="M2117" s="112" t="str">
        <f t="shared" si="36"/>
        <v/>
      </c>
      <c r="N2117" s="113"/>
    </row>
    <row r="2118" spans="2:14">
      <c r="B2118" s="105"/>
      <c r="C2118" s="106"/>
      <c r="D2118" s="107"/>
      <c r="E2118" s="65"/>
      <c r="F2118" s="64"/>
      <c r="G2118" s="64"/>
      <c r="H2118" s="64"/>
      <c r="I2118" s="70"/>
      <c r="J2118" s="70"/>
      <c r="K2118" s="110" t="str">
        <f>IF(H2118="","",IF($C$29="간이법","",FPR(H2118,I2118,J2118)))</f>
        <v/>
      </c>
      <c r="L2118" s="111" t="str">
        <f>IF(H2118="","",IF($C$29="상세법",FPV(H2118,K2118),IF(H2118="EI",4,IF(H2118="EO",5.2,IF(H2118="EQ",3.9,IF(H2118="ILF",7.5,IF(H2118="EIF",5.4)))))))</f>
        <v/>
      </c>
      <c r="M2118" s="112" t="str">
        <f t="shared" si="36"/>
        <v/>
      </c>
      <c r="N2118" s="113"/>
    </row>
    <row r="2119" spans="2:14">
      <c r="B2119" s="105"/>
      <c r="C2119" s="106"/>
      <c r="D2119" s="107"/>
      <c r="E2119" s="65"/>
      <c r="F2119" s="64"/>
      <c r="G2119" s="64"/>
      <c r="H2119" s="64"/>
      <c r="I2119" s="70"/>
      <c r="J2119" s="70"/>
      <c r="K2119" s="110" t="str">
        <f>IF(H2119="","",IF($C$29="간이법","",FPR(H2119,I2119,J2119)))</f>
        <v/>
      </c>
      <c r="L2119" s="111" t="str">
        <f>IF(H2119="","",IF($C$29="상세법",FPV(H2119,K2119),IF(H2119="EI",4,IF(H2119="EO",5.2,IF(H2119="EQ",3.9,IF(H2119="ILF",7.5,IF(H2119="EIF",5.4)))))))</f>
        <v/>
      </c>
      <c r="M2119" s="112" t="str">
        <f t="shared" si="36"/>
        <v/>
      </c>
      <c r="N2119" s="113"/>
    </row>
    <row r="2120" spans="2:14">
      <c r="B2120" s="105"/>
      <c r="C2120" s="106"/>
      <c r="D2120" s="107"/>
      <c r="E2120" s="65"/>
      <c r="F2120" s="64"/>
      <c r="G2120" s="64"/>
      <c r="H2120" s="64"/>
      <c r="I2120" s="70"/>
      <c r="J2120" s="70"/>
      <c r="K2120" s="110" t="str">
        <f>IF(H2120="","",IF($C$29="간이법","",FPR(H2120,I2120,J2120)))</f>
        <v/>
      </c>
      <c r="L2120" s="111" t="str">
        <f>IF(H2120="","",IF($C$29="상세법",FPV(H2120,K2120),IF(H2120="EI",4,IF(H2120="EO",5.2,IF(H2120="EQ",3.9,IF(H2120="ILF",7.5,IF(H2120="EIF",5.4)))))))</f>
        <v/>
      </c>
      <c r="M2120" s="112" t="str">
        <f t="shared" si="36"/>
        <v/>
      </c>
      <c r="N2120" s="113"/>
    </row>
    <row r="2121" spans="2:14">
      <c r="B2121" s="105"/>
      <c r="C2121" s="106"/>
      <c r="D2121" s="107"/>
      <c r="E2121" s="65"/>
      <c r="F2121" s="64"/>
      <c r="G2121" s="64"/>
      <c r="H2121" s="64"/>
      <c r="I2121" s="70"/>
      <c r="J2121" s="70"/>
      <c r="K2121" s="110" t="str">
        <f>IF(H2121="","",IF($C$29="간이법","",FPR(H2121,I2121,J2121)))</f>
        <v/>
      </c>
      <c r="L2121" s="111" t="str">
        <f>IF(H2121="","",IF($C$29="상세법",FPV(H2121,K2121),IF(H2121="EI",4,IF(H2121="EO",5.2,IF(H2121="EQ",3.9,IF(H2121="ILF",7.5,IF(H2121="EIF",5.4)))))))</f>
        <v/>
      </c>
      <c r="M2121" s="112" t="str">
        <f t="shared" si="36"/>
        <v/>
      </c>
      <c r="N2121" s="113"/>
    </row>
    <row r="2122" spans="2:14">
      <c r="B2122" s="105"/>
      <c r="C2122" s="106"/>
      <c r="D2122" s="107"/>
      <c r="E2122" s="65"/>
      <c r="F2122" s="64"/>
      <c r="G2122" s="64"/>
      <c r="H2122" s="64"/>
      <c r="I2122" s="70"/>
      <c r="J2122" s="70"/>
      <c r="K2122" s="110" t="str">
        <f>IF(H2122="","",IF($C$29="간이법","",FPR(H2122,I2122,J2122)))</f>
        <v/>
      </c>
      <c r="L2122" s="111" t="str">
        <f>IF(H2122="","",IF($C$29="상세법",FPV(H2122,K2122),IF(H2122="EI",4,IF(H2122="EO",5.2,IF(H2122="EQ",3.9,IF(H2122="ILF",7.5,IF(H2122="EIF",5.4)))))))</f>
        <v/>
      </c>
      <c r="M2122" s="112" t="str">
        <f t="shared" si="36"/>
        <v/>
      </c>
      <c r="N2122" s="113"/>
    </row>
    <row r="2123" spans="2:14">
      <c r="B2123" s="105"/>
      <c r="C2123" s="106"/>
      <c r="D2123" s="107"/>
      <c r="E2123" s="65"/>
      <c r="F2123" s="64"/>
      <c r="G2123" s="64"/>
      <c r="H2123" s="64"/>
      <c r="I2123" s="70"/>
      <c r="J2123" s="70"/>
      <c r="K2123" s="110" t="str">
        <f>IF(H2123="","",IF($C$29="간이법","",FPR(H2123,I2123,J2123)))</f>
        <v/>
      </c>
      <c r="L2123" s="111" t="str">
        <f>IF(H2123="","",IF($C$29="상세법",FPV(H2123,K2123),IF(H2123="EI",4,IF(H2123="EO",5.2,IF(H2123="EQ",3.9,IF(H2123="ILF",7.5,IF(H2123="EIF",5.4)))))))</f>
        <v/>
      </c>
      <c r="M2123" s="112" t="str">
        <f t="shared" si="36"/>
        <v/>
      </c>
      <c r="N2123" s="113"/>
    </row>
    <row r="2124" spans="2:14">
      <c r="B2124" s="105"/>
      <c r="C2124" s="106"/>
      <c r="D2124" s="107"/>
      <c r="E2124" s="65"/>
      <c r="F2124" s="64"/>
      <c r="G2124" s="64"/>
      <c r="H2124" s="64"/>
      <c r="I2124" s="70"/>
      <c r="J2124" s="70"/>
      <c r="K2124" s="110" t="str">
        <f>IF(H2124="","",IF($C$29="간이법","",FPR(H2124,I2124,J2124)))</f>
        <v/>
      </c>
      <c r="L2124" s="111" t="str">
        <f>IF(H2124="","",IF($C$29="상세법",FPV(H2124,K2124),IF(H2124="EI",4,IF(H2124="EO",5.2,IF(H2124="EQ",3.9,IF(H2124="ILF",7.5,IF(H2124="EIF",5.4)))))))</f>
        <v/>
      </c>
      <c r="M2124" s="112" t="str">
        <f t="shared" si="36"/>
        <v/>
      </c>
      <c r="N2124" s="113"/>
    </row>
    <row r="2125" spans="2:14">
      <c r="B2125" s="105"/>
      <c r="C2125" s="106"/>
      <c r="D2125" s="107"/>
      <c r="E2125" s="65"/>
      <c r="F2125" s="64"/>
      <c r="G2125" s="64"/>
      <c r="H2125" s="64"/>
      <c r="I2125" s="70"/>
      <c r="J2125" s="70"/>
      <c r="K2125" s="110" t="str">
        <f>IF(H2125="","",IF($C$29="간이법","",FPR(H2125,I2125,J2125)))</f>
        <v/>
      </c>
      <c r="L2125" s="111" t="str">
        <f>IF(H2125="","",IF($C$29="상세법",FPV(H2125,K2125),IF(H2125="EI",4,IF(H2125="EO",5.2,IF(H2125="EQ",3.9,IF(H2125="ILF",7.5,IF(H2125="EIF",5.4)))))))</f>
        <v/>
      </c>
      <c r="M2125" s="112" t="str">
        <f t="shared" si="36"/>
        <v/>
      </c>
      <c r="N2125" s="113"/>
    </row>
    <row r="2126" spans="2:14">
      <c r="B2126" s="105"/>
      <c r="C2126" s="106"/>
      <c r="D2126" s="107"/>
      <c r="E2126" s="65"/>
      <c r="F2126" s="64"/>
      <c r="G2126" s="64"/>
      <c r="H2126" s="64"/>
      <c r="I2126" s="70"/>
      <c r="J2126" s="70"/>
      <c r="K2126" s="110" t="str">
        <f>IF(H2126="","",IF($C$29="간이법","",FPR(H2126,I2126,J2126)))</f>
        <v/>
      </c>
      <c r="L2126" s="111" t="str">
        <f>IF(H2126="","",IF($C$29="상세법",FPV(H2126,K2126),IF(H2126="EI",4,IF(H2126="EO",5.2,IF(H2126="EQ",3.9,IF(H2126="ILF",7.5,IF(H2126="EIF",5.4)))))))</f>
        <v/>
      </c>
      <c r="M2126" s="112" t="str">
        <f t="shared" si="36"/>
        <v/>
      </c>
      <c r="N2126" s="113"/>
    </row>
    <row r="2127" spans="2:14">
      <c r="B2127" s="105"/>
      <c r="C2127" s="106"/>
      <c r="D2127" s="107"/>
      <c r="E2127" s="65"/>
      <c r="F2127" s="64"/>
      <c r="G2127" s="64"/>
      <c r="H2127" s="64"/>
      <c r="I2127" s="70"/>
      <c r="J2127" s="70"/>
      <c r="K2127" s="110" t="str">
        <f>IF(H2127="","",IF($C$29="간이법","",FPR(H2127,I2127,J2127)))</f>
        <v/>
      </c>
      <c r="L2127" s="111" t="str">
        <f>IF(H2127="","",IF($C$29="상세법",FPV(H2127,K2127),IF(H2127="EI",4,IF(H2127="EO",5.2,IF(H2127="EQ",3.9,IF(H2127="ILF",7.5,IF(H2127="EIF",5.4)))))))</f>
        <v/>
      </c>
      <c r="M2127" s="112" t="str">
        <f t="shared" si="36"/>
        <v/>
      </c>
      <c r="N2127" s="113"/>
    </row>
    <row r="2128" spans="2:14">
      <c r="B2128" s="105"/>
      <c r="C2128" s="106"/>
      <c r="D2128" s="107"/>
      <c r="E2128" s="65"/>
      <c r="F2128" s="64"/>
      <c r="G2128" s="64"/>
      <c r="H2128" s="64"/>
      <c r="I2128" s="70"/>
      <c r="J2128" s="70"/>
      <c r="K2128" s="110" t="str">
        <f>IF(H2128="","",IF($C$29="간이법","",FPR(H2128,I2128,J2128)))</f>
        <v/>
      </c>
      <c r="L2128" s="111" t="str">
        <f>IF(H2128="","",IF($C$29="상세법",FPV(H2128,K2128),IF(H2128="EI",4,IF(H2128="EO",5.2,IF(H2128="EQ",3.9,IF(H2128="ILF",7.5,IF(H2128="EIF",5.4)))))))</f>
        <v/>
      </c>
      <c r="M2128" s="112" t="str">
        <f t="shared" si="36"/>
        <v/>
      </c>
      <c r="N2128" s="113"/>
    </row>
    <row r="2129" spans="2:14">
      <c r="B2129" s="105"/>
      <c r="C2129" s="106"/>
      <c r="D2129" s="107"/>
      <c r="E2129" s="65"/>
      <c r="F2129" s="64"/>
      <c r="G2129" s="64"/>
      <c r="H2129" s="64"/>
      <c r="I2129" s="70"/>
      <c r="J2129" s="70"/>
      <c r="K2129" s="110" t="str">
        <f>IF(H2129="","",IF($C$29="간이법","",FPR(H2129,I2129,J2129)))</f>
        <v/>
      </c>
      <c r="L2129" s="111" t="str">
        <f>IF(H2129="","",IF($C$29="상세법",FPV(H2129,K2129),IF(H2129="EI",4,IF(H2129="EO",5.2,IF(H2129="EQ",3.9,IF(H2129="ILF",7.5,IF(H2129="EIF",5.4)))))))</f>
        <v/>
      </c>
      <c r="M2129" s="112" t="str">
        <f t="shared" si="36"/>
        <v/>
      </c>
      <c r="N2129" s="113"/>
    </row>
    <row r="2130" spans="2:14">
      <c r="B2130" s="105"/>
      <c r="C2130" s="106"/>
      <c r="D2130" s="107"/>
      <c r="E2130" s="65"/>
      <c r="F2130" s="64"/>
      <c r="G2130" s="64"/>
      <c r="H2130" s="64"/>
      <c r="I2130" s="70"/>
      <c r="J2130" s="70"/>
      <c r="K2130" s="110" t="str">
        <f>IF(H2130="","",IF($C$29="간이법","",FPR(H2130,I2130,J2130)))</f>
        <v/>
      </c>
      <c r="L2130" s="111" t="str">
        <f>IF(H2130="","",IF($C$29="상세법",FPV(H2130,K2130),IF(H2130="EI",4,IF(H2130="EO",5.2,IF(H2130="EQ",3.9,IF(H2130="ILF",7.5,IF(H2130="EIF",5.4)))))))</f>
        <v/>
      </c>
      <c r="M2130" s="112" t="str">
        <f t="shared" si="36"/>
        <v/>
      </c>
      <c r="N2130" s="113"/>
    </row>
    <row r="2131" spans="2:14">
      <c r="B2131" s="105"/>
      <c r="C2131" s="106"/>
      <c r="D2131" s="107"/>
      <c r="E2131" s="65"/>
      <c r="F2131" s="64"/>
      <c r="G2131" s="64"/>
      <c r="H2131" s="64"/>
      <c r="I2131" s="70"/>
      <c r="J2131" s="70"/>
      <c r="K2131" s="110" t="str">
        <f>IF(H2131="","",IF($C$29="간이법","",FPR(H2131,I2131,J2131)))</f>
        <v/>
      </c>
      <c r="L2131" s="111" t="str">
        <f>IF(H2131="","",IF($C$29="상세법",FPV(H2131,K2131),IF(H2131="EI",4,IF(H2131="EO",5.2,IF(H2131="EQ",3.9,IF(H2131="ILF",7.5,IF(H2131="EIF",5.4)))))))</f>
        <v/>
      </c>
      <c r="M2131" s="112" t="str">
        <f t="shared" si="36"/>
        <v/>
      </c>
      <c r="N2131" s="113"/>
    </row>
    <row r="2132" spans="2:14">
      <c r="B2132" s="105"/>
      <c r="C2132" s="106"/>
      <c r="D2132" s="107"/>
      <c r="E2132" s="65"/>
      <c r="F2132" s="64"/>
      <c r="G2132" s="64"/>
      <c r="H2132" s="64"/>
      <c r="I2132" s="70"/>
      <c r="J2132" s="70"/>
      <c r="K2132" s="110" t="str">
        <f>IF(H2132="","",IF($C$29="간이법","",FPR(H2132,I2132,J2132)))</f>
        <v/>
      </c>
      <c r="L2132" s="111" t="str">
        <f>IF(H2132="","",IF($C$29="상세법",FPV(H2132,K2132),IF(H2132="EI",4,IF(H2132="EO",5.2,IF(H2132="EQ",3.9,IF(H2132="ILF",7.5,IF(H2132="EIF",5.4)))))))</f>
        <v/>
      </c>
      <c r="M2132" s="112" t="str">
        <f t="shared" si="36"/>
        <v/>
      </c>
      <c r="N2132" s="113"/>
    </row>
    <row r="2133" spans="2:14">
      <c r="B2133" s="105"/>
      <c r="C2133" s="106"/>
      <c r="D2133" s="107"/>
      <c r="E2133" s="65"/>
      <c r="F2133" s="64"/>
      <c r="G2133" s="64"/>
      <c r="H2133" s="64"/>
      <c r="I2133" s="70"/>
      <c r="J2133" s="70"/>
      <c r="K2133" s="110" t="str">
        <f>IF(H2133="","",IF($C$29="간이법","",FPR(H2133,I2133,J2133)))</f>
        <v/>
      </c>
      <c r="L2133" s="111" t="str">
        <f>IF(H2133="","",IF($C$29="상세법",FPV(H2133,K2133),IF(H2133="EI",4,IF(H2133="EO",5.2,IF(H2133="EQ",3.9,IF(H2133="ILF",7.5,IF(H2133="EIF",5.4)))))))</f>
        <v/>
      </c>
      <c r="M2133" s="112" t="str">
        <f t="shared" si="36"/>
        <v/>
      </c>
      <c r="N2133" s="113"/>
    </row>
    <row r="2134" spans="2:14">
      <c r="B2134" s="105"/>
      <c r="C2134" s="106"/>
      <c r="D2134" s="107"/>
      <c r="E2134" s="65"/>
      <c r="F2134" s="64"/>
      <c r="G2134" s="64"/>
      <c r="H2134" s="64"/>
      <c r="I2134" s="70"/>
      <c r="J2134" s="70"/>
      <c r="K2134" s="110" t="str">
        <f>IF(H2134="","",IF($C$29="간이법","",FPR(H2134,I2134,J2134)))</f>
        <v/>
      </c>
      <c r="L2134" s="111" t="str">
        <f>IF(H2134="","",IF($C$29="상세법",FPV(H2134,K2134),IF(H2134="EI",4,IF(H2134="EO",5.2,IF(H2134="EQ",3.9,IF(H2134="ILF",7.5,IF(H2134="EIF",5.4)))))))</f>
        <v/>
      </c>
      <c r="M2134" s="112" t="str">
        <f t="shared" si="36"/>
        <v/>
      </c>
      <c r="N2134" s="113"/>
    </row>
    <row r="2135" spans="2:14">
      <c r="B2135" s="105"/>
      <c r="C2135" s="106"/>
      <c r="D2135" s="107"/>
      <c r="E2135" s="65"/>
      <c r="F2135" s="64"/>
      <c r="G2135" s="64"/>
      <c r="H2135" s="64"/>
      <c r="I2135" s="70"/>
      <c r="J2135" s="70"/>
      <c r="K2135" s="110" t="str">
        <f>IF(H2135="","",IF($C$29="간이법","",FPR(H2135,I2135,J2135)))</f>
        <v/>
      </c>
      <c r="L2135" s="111" t="str">
        <f>IF(H2135="","",IF($C$29="상세법",FPV(H2135,K2135),IF(H2135="EI",4,IF(H2135="EO",5.2,IF(H2135="EQ",3.9,IF(H2135="ILF",7.5,IF(H2135="EIF",5.4)))))))</f>
        <v/>
      </c>
      <c r="M2135" s="112" t="str">
        <f t="shared" si="36"/>
        <v/>
      </c>
      <c r="N2135" s="113"/>
    </row>
    <row r="2136" spans="2:14">
      <c r="B2136" s="105"/>
      <c r="C2136" s="106"/>
      <c r="D2136" s="107"/>
      <c r="E2136" s="65"/>
      <c r="F2136" s="64"/>
      <c r="G2136" s="64"/>
      <c r="H2136" s="64"/>
      <c r="I2136" s="70"/>
      <c r="J2136" s="70"/>
      <c r="K2136" s="110" t="str">
        <f>IF(H2136="","",IF($C$29="간이법","",FPR(H2136,I2136,J2136)))</f>
        <v/>
      </c>
      <c r="L2136" s="111" t="str">
        <f>IF(H2136="","",IF($C$29="상세법",FPV(H2136,K2136),IF(H2136="EI",4,IF(H2136="EO",5.2,IF(H2136="EQ",3.9,IF(H2136="ILF",7.5,IF(H2136="EIF",5.4)))))))</f>
        <v/>
      </c>
      <c r="M2136" s="112" t="str">
        <f t="shared" si="36"/>
        <v/>
      </c>
      <c r="N2136" s="113"/>
    </row>
    <row r="2137" spans="2:14">
      <c r="B2137" s="105"/>
      <c r="C2137" s="106"/>
      <c r="D2137" s="107"/>
      <c r="E2137" s="65"/>
      <c r="F2137" s="64"/>
      <c r="G2137" s="64"/>
      <c r="H2137" s="64"/>
      <c r="I2137" s="70"/>
      <c r="J2137" s="70"/>
      <c r="K2137" s="110" t="str">
        <f>IF(H2137="","",IF($C$29="간이법","",FPR(H2137,I2137,J2137)))</f>
        <v/>
      </c>
      <c r="L2137" s="111" t="str">
        <f>IF(H2137="","",IF($C$29="상세법",FPV(H2137,K2137),IF(H2137="EI",4,IF(H2137="EO",5.2,IF(H2137="EQ",3.9,IF(H2137="ILF",7.5,IF(H2137="EIF",5.4)))))))</f>
        <v/>
      </c>
      <c r="M2137" s="112" t="str">
        <f t="shared" si="36"/>
        <v/>
      </c>
      <c r="N2137" s="113"/>
    </row>
    <row r="2138" spans="2:14">
      <c r="B2138" s="105"/>
      <c r="C2138" s="106"/>
      <c r="D2138" s="107"/>
      <c r="E2138" s="65"/>
      <c r="F2138" s="64"/>
      <c r="G2138" s="64"/>
      <c r="H2138" s="64"/>
      <c r="I2138" s="70"/>
      <c r="J2138" s="70"/>
      <c r="K2138" s="110" t="str">
        <f>IF(H2138="","",IF($C$29="간이법","",FPR(H2138,I2138,J2138)))</f>
        <v/>
      </c>
      <c r="L2138" s="111" t="str">
        <f>IF(H2138="","",IF($C$29="상세법",FPV(H2138,K2138),IF(H2138="EI",4,IF(H2138="EO",5.2,IF(H2138="EQ",3.9,IF(H2138="ILF",7.5,IF(H2138="EIF",5.4)))))))</f>
        <v/>
      </c>
      <c r="M2138" s="112" t="str">
        <f t="shared" si="36"/>
        <v/>
      </c>
      <c r="N2138" s="113"/>
    </row>
    <row r="2139" spans="2:14">
      <c r="B2139" s="105"/>
      <c r="C2139" s="106"/>
      <c r="D2139" s="107"/>
      <c r="E2139" s="65"/>
      <c r="F2139" s="64"/>
      <c r="G2139" s="64"/>
      <c r="H2139" s="64"/>
      <c r="I2139" s="70"/>
      <c r="J2139" s="70"/>
      <c r="K2139" s="110" t="str">
        <f>IF(H2139="","",IF($C$29="간이법","",FPR(H2139,I2139,J2139)))</f>
        <v/>
      </c>
      <c r="L2139" s="111" t="str">
        <f>IF(H2139="","",IF($C$29="상세법",FPV(H2139,K2139),IF(H2139="EI",4,IF(H2139="EO",5.2,IF(H2139="EQ",3.9,IF(H2139="ILF",7.5,IF(H2139="EIF",5.4)))))))</f>
        <v/>
      </c>
      <c r="M2139" s="112" t="str">
        <f t="shared" si="36"/>
        <v/>
      </c>
      <c r="N2139" s="113"/>
    </row>
    <row r="2140" spans="2:14">
      <c r="B2140" s="105"/>
      <c r="C2140" s="106"/>
      <c r="D2140" s="107"/>
      <c r="E2140" s="65"/>
      <c r="F2140" s="64"/>
      <c r="G2140" s="64"/>
      <c r="H2140" s="64"/>
      <c r="I2140" s="70"/>
      <c r="J2140" s="70"/>
      <c r="K2140" s="110" t="str">
        <f>IF(H2140="","",IF($C$29="간이법","",FPR(H2140,I2140,J2140)))</f>
        <v/>
      </c>
      <c r="L2140" s="111" t="str">
        <f>IF(H2140="","",IF($C$29="상세법",FPV(H2140,K2140),IF(H2140="EI",4,IF(H2140="EO",5.2,IF(H2140="EQ",3.9,IF(H2140="ILF",7.5,IF(H2140="EIF",5.4)))))))</f>
        <v/>
      </c>
      <c r="M2140" s="112" t="str">
        <f t="shared" si="36"/>
        <v/>
      </c>
      <c r="N2140" s="113"/>
    </row>
    <row r="2141" spans="2:14">
      <c r="B2141" s="105"/>
      <c r="C2141" s="106"/>
      <c r="D2141" s="107"/>
      <c r="E2141" s="65"/>
      <c r="F2141" s="64"/>
      <c r="G2141" s="64"/>
      <c r="H2141" s="64"/>
      <c r="I2141" s="70"/>
      <c r="J2141" s="70"/>
      <c r="K2141" s="110" t="str">
        <f>IF(H2141="","",IF($C$29="간이법","",FPR(H2141,I2141,J2141)))</f>
        <v/>
      </c>
      <c r="L2141" s="111" t="str">
        <f>IF(H2141="","",IF($C$29="상세법",FPV(H2141,K2141),IF(H2141="EI",4,IF(H2141="EO",5.2,IF(H2141="EQ",3.9,IF(H2141="ILF",7.5,IF(H2141="EIF",5.4)))))))</f>
        <v/>
      </c>
      <c r="M2141" s="112" t="str">
        <f t="shared" si="36"/>
        <v/>
      </c>
      <c r="N2141" s="113"/>
    </row>
    <row r="2142" spans="2:14">
      <c r="B2142" s="105"/>
      <c r="C2142" s="106"/>
      <c r="D2142" s="107"/>
      <c r="E2142" s="65"/>
      <c r="F2142" s="64"/>
      <c r="G2142" s="64"/>
      <c r="H2142" s="64"/>
      <c r="I2142" s="70"/>
      <c r="J2142" s="70"/>
      <c r="K2142" s="110" t="str">
        <f>IF(H2142="","",IF($C$29="간이법","",FPR(H2142,I2142,J2142)))</f>
        <v/>
      </c>
      <c r="L2142" s="111" t="str">
        <f>IF(H2142="","",IF($C$29="상세법",FPV(H2142,K2142),IF(H2142="EI",4,IF(H2142="EO",5.2,IF(H2142="EQ",3.9,IF(H2142="ILF",7.5,IF(H2142="EIF",5.4)))))))</f>
        <v/>
      </c>
      <c r="M2142" s="112" t="str">
        <f t="shared" si="36"/>
        <v/>
      </c>
      <c r="N2142" s="113"/>
    </row>
    <row r="2143" spans="2:14">
      <c r="B2143" s="105"/>
      <c r="C2143" s="106"/>
      <c r="D2143" s="107"/>
      <c r="E2143" s="65"/>
      <c r="F2143" s="64"/>
      <c r="G2143" s="64"/>
      <c r="H2143" s="64"/>
      <c r="I2143" s="70"/>
      <c r="J2143" s="70"/>
      <c r="K2143" s="110" t="str">
        <f>IF(H2143="","",IF($C$29="간이법","",FPR(H2143,I2143,J2143)))</f>
        <v/>
      </c>
      <c r="L2143" s="111" t="str">
        <f>IF(H2143="","",IF($C$29="상세법",FPV(H2143,K2143),IF(H2143="EI",4,IF(H2143="EO",5.2,IF(H2143="EQ",3.9,IF(H2143="ILF",7.5,IF(H2143="EIF",5.4)))))))</f>
        <v/>
      </c>
      <c r="M2143" s="112" t="str">
        <f t="shared" si="36"/>
        <v/>
      </c>
      <c r="N2143" s="113"/>
    </row>
    <row r="2144" spans="2:14">
      <c r="B2144" s="105"/>
      <c r="C2144" s="106"/>
      <c r="D2144" s="107"/>
      <c r="E2144" s="65"/>
      <c r="F2144" s="64"/>
      <c r="G2144" s="64"/>
      <c r="H2144" s="64"/>
      <c r="I2144" s="70"/>
      <c r="J2144" s="70"/>
      <c r="K2144" s="110" t="str">
        <f>IF(H2144="","",IF($C$29="간이법","",FPR(H2144,I2144,J2144)))</f>
        <v/>
      </c>
      <c r="L2144" s="111" t="str">
        <f>IF(H2144="","",IF($C$29="상세법",FPV(H2144,K2144),IF(H2144="EI",4,IF(H2144="EO",5.2,IF(H2144="EQ",3.9,IF(H2144="ILF",7.5,IF(H2144="EIF",5.4)))))))</f>
        <v/>
      </c>
      <c r="M2144" s="112" t="str">
        <f t="shared" si="36"/>
        <v/>
      </c>
      <c r="N2144" s="113"/>
    </row>
    <row r="2145" spans="2:14">
      <c r="B2145" s="105"/>
      <c r="C2145" s="106"/>
      <c r="D2145" s="107"/>
      <c r="E2145" s="65"/>
      <c r="F2145" s="64"/>
      <c r="G2145" s="64"/>
      <c r="H2145" s="64"/>
      <c r="I2145" s="70"/>
      <c r="J2145" s="70"/>
      <c r="K2145" s="110" t="str">
        <f>IF(H2145="","",IF($C$29="간이법","",FPR(H2145,I2145,J2145)))</f>
        <v/>
      </c>
      <c r="L2145" s="111" t="str">
        <f>IF(H2145="","",IF($C$29="상세법",FPV(H2145,K2145),IF(H2145="EI",4,IF(H2145="EO",5.2,IF(H2145="EQ",3.9,IF(H2145="ILF",7.5,IF(H2145="EIF",5.4)))))))</f>
        <v/>
      </c>
      <c r="M2145" s="112" t="str">
        <f t="shared" si="36"/>
        <v/>
      </c>
      <c r="N2145" s="113"/>
    </row>
    <row r="2146" spans="2:14">
      <c r="B2146" s="105"/>
      <c r="C2146" s="106"/>
      <c r="D2146" s="107"/>
      <c r="E2146" s="65"/>
      <c r="F2146" s="64"/>
      <c r="G2146" s="64"/>
      <c r="H2146" s="64"/>
      <c r="I2146" s="70"/>
      <c r="J2146" s="70"/>
      <c r="K2146" s="110" t="str">
        <f>IF(H2146="","",IF($C$29="간이법","",FPR(H2146,I2146,J2146)))</f>
        <v/>
      </c>
      <c r="L2146" s="111" t="str">
        <f>IF(H2146="","",IF($C$29="상세법",FPV(H2146,K2146),IF(H2146="EI",4,IF(H2146="EO",5.2,IF(H2146="EQ",3.9,IF(H2146="ILF",7.5,IF(H2146="EIF",5.4)))))))</f>
        <v/>
      </c>
      <c r="M2146" s="112" t="str">
        <f t="shared" si="36"/>
        <v/>
      </c>
      <c r="N2146" s="113"/>
    </row>
    <row r="2147" spans="2:14">
      <c r="B2147" s="105"/>
      <c r="C2147" s="106"/>
      <c r="D2147" s="107"/>
      <c r="E2147" s="65"/>
      <c r="F2147" s="64"/>
      <c r="G2147" s="64"/>
      <c r="H2147" s="64"/>
      <c r="I2147" s="70"/>
      <c r="J2147" s="70"/>
      <c r="K2147" s="110" t="str">
        <f>IF(H2147="","",IF($C$29="간이법","",FPR(H2147,I2147,J2147)))</f>
        <v/>
      </c>
      <c r="L2147" s="111" t="str">
        <f>IF(H2147="","",IF($C$29="상세법",FPV(H2147,K2147),IF(H2147="EI",4,IF(H2147="EO",5.2,IF(H2147="EQ",3.9,IF(H2147="ILF",7.5,IF(H2147="EIF",5.4)))))))</f>
        <v/>
      </c>
      <c r="M2147" s="112" t="str">
        <f t="shared" si="36"/>
        <v/>
      </c>
      <c r="N2147" s="113"/>
    </row>
    <row r="2148" spans="2:14">
      <c r="B2148" s="105"/>
      <c r="C2148" s="106"/>
      <c r="D2148" s="107"/>
      <c r="E2148" s="65"/>
      <c r="F2148" s="64"/>
      <c r="G2148" s="64"/>
      <c r="H2148" s="64"/>
      <c r="I2148" s="70"/>
      <c r="J2148" s="70"/>
      <c r="K2148" s="110" t="str">
        <f>IF(H2148="","",IF($C$29="간이법","",FPR(H2148,I2148,J2148)))</f>
        <v/>
      </c>
      <c r="L2148" s="111" t="str">
        <f>IF(H2148="","",IF($C$29="상세법",FPV(H2148,K2148),IF(H2148="EI",4,IF(H2148="EO",5.2,IF(H2148="EQ",3.9,IF(H2148="ILF",7.5,IF(H2148="EIF",5.4)))))))</f>
        <v/>
      </c>
      <c r="M2148" s="112" t="str">
        <f t="shared" si="36"/>
        <v/>
      </c>
      <c r="N2148" s="113"/>
    </row>
    <row r="2149" spans="2:14">
      <c r="B2149" s="105"/>
      <c r="C2149" s="106"/>
      <c r="D2149" s="107"/>
      <c r="E2149" s="65"/>
      <c r="F2149" s="64"/>
      <c r="G2149" s="64"/>
      <c r="H2149" s="64"/>
      <c r="I2149" s="70"/>
      <c r="J2149" s="70"/>
      <c r="K2149" s="110" t="str">
        <f>IF(H2149="","",IF($C$29="간이법","",FPR(H2149,I2149,J2149)))</f>
        <v/>
      </c>
      <c r="L2149" s="111" t="str">
        <f>IF(H2149="","",IF($C$29="상세법",FPV(H2149,K2149),IF(H2149="EI",4,IF(H2149="EO",5.2,IF(H2149="EQ",3.9,IF(H2149="ILF",7.5,IF(H2149="EIF",5.4)))))))</f>
        <v/>
      </c>
      <c r="M2149" s="112" t="str">
        <f t="shared" si="36"/>
        <v/>
      </c>
      <c r="N2149" s="113"/>
    </row>
    <row r="2150" spans="2:14">
      <c r="B2150" s="105"/>
      <c r="C2150" s="106"/>
      <c r="D2150" s="107"/>
      <c r="E2150" s="65"/>
      <c r="F2150" s="64"/>
      <c r="G2150" s="64"/>
      <c r="H2150" s="64"/>
      <c r="I2150" s="70"/>
      <c r="J2150" s="70"/>
      <c r="K2150" s="110" t="str">
        <f>IF(H2150="","",IF($C$29="간이법","",FPR(H2150,I2150,J2150)))</f>
        <v/>
      </c>
      <c r="L2150" s="111" t="str">
        <f>IF(H2150="","",IF($C$29="상세법",FPV(H2150,K2150),IF(H2150="EI",4,IF(H2150="EO",5.2,IF(H2150="EQ",3.9,IF(H2150="ILF",7.5,IF(H2150="EIF",5.4)))))))</f>
        <v/>
      </c>
      <c r="M2150" s="112" t="str">
        <f t="shared" si="36"/>
        <v/>
      </c>
      <c r="N2150" s="113"/>
    </row>
    <row r="2151" spans="2:14">
      <c r="B2151" s="105"/>
      <c r="C2151" s="106"/>
      <c r="D2151" s="107"/>
      <c r="E2151" s="65"/>
      <c r="F2151" s="64"/>
      <c r="G2151" s="64"/>
      <c r="H2151" s="64"/>
      <c r="I2151" s="70"/>
      <c r="J2151" s="70"/>
      <c r="K2151" s="110" t="str">
        <f>IF(H2151="","",IF($C$29="간이법","",FPR(H2151,I2151,J2151)))</f>
        <v/>
      </c>
      <c r="L2151" s="111" t="str">
        <f>IF(H2151="","",IF($C$29="상세법",FPV(H2151,K2151),IF(H2151="EI",4,IF(H2151="EO",5.2,IF(H2151="EQ",3.9,IF(H2151="ILF",7.5,IF(H2151="EIF",5.4)))))))</f>
        <v/>
      </c>
      <c r="M2151" s="112" t="str">
        <f t="shared" si="36"/>
        <v/>
      </c>
      <c r="N2151" s="113"/>
    </row>
    <row r="2152" spans="2:14">
      <c r="B2152" s="105"/>
      <c r="C2152" s="106"/>
      <c r="D2152" s="107"/>
      <c r="E2152" s="65"/>
      <c r="F2152" s="64"/>
      <c r="G2152" s="64"/>
      <c r="H2152" s="64"/>
      <c r="I2152" s="70"/>
      <c r="J2152" s="70"/>
      <c r="K2152" s="110" t="str">
        <f>IF(H2152="","",IF($C$29="간이법","",FPR(H2152,I2152,J2152)))</f>
        <v/>
      </c>
      <c r="L2152" s="111" t="str">
        <f>IF(H2152="","",IF($C$29="상세법",FPV(H2152,K2152),IF(H2152="EI",4,IF(H2152="EO",5.2,IF(H2152="EQ",3.9,IF(H2152="ILF",7.5,IF(H2152="EIF",5.4)))))))</f>
        <v/>
      </c>
      <c r="M2152" s="112" t="str">
        <f t="shared" si="36"/>
        <v/>
      </c>
      <c r="N2152" s="113"/>
    </row>
    <row r="2153" spans="2:14">
      <c r="B2153" s="105"/>
      <c r="C2153" s="106"/>
      <c r="D2153" s="107"/>
      <c r="E2153" s="65"/>
      <c r="F2153" s="64"/>
      <c r="G2153" s="64"/>
      <c r="H2153" s="64"/>
      <c r="I2153" s="70"/>
      <c r="J2153" s="70"/>
      <c r="K2153" s="110" t="str">
        <f>IF(H2153="","",IF($C$29="간이법","",FPR(H2153,I2153,J2153)))</f>
        <v/>
      </c>
      <c r="L2153" s="111" t="str">
        <f>IF(H2153="","",IF($C$29="상세법",FPV(H2153,K2153),IF(H2153="EI",4,IF(H2153="EO",5.2,IF(H2153="EQ",3.9,IF(H2153="ILF",7.5,IF(H2153="EIF",5.4)))))))</f>
        <v/>
      </c>
      <c r="M2153" s="112" t="str">
        <f t="shared" si="36"/>
        <v/>
      </c>
      <c r="N2153" s="113"/>
    </row>
    <row r="2154" spans="2:14">
      <c r="B2154" s="105"/>
      <c r="C2154" s="106"/>
      <c r="D2154" s="107"/>
      <c r="E2154" s="65"/>
      <c r="F2154" s="64"/>
      <c r="G2154" s="64"/>
      <c r="H2154" s="64"/>
      <c r="I2154" s="70"/>
      <c r="J2154" s="70"/>
      <c r="K2154" s="110" t="str">
        <f>IF(H2154="","",IF($C$29="간이법","",FPR(H2154,I2154,J2154)))</f>
        <v/>
      </c>
      <c r="L2154" s="111" t="str">
        <f>IF(H2154="","",IF($C$29="상세법",FPV(H2154,K2154),IF(H2154="EI",4,IF(H2154="EO",5.2,IF(H2154="EQ",3.9,IF(H2154="ILF",7.5,IF(H2154="EIF",5.4)))))))</f>
        <v/>
      </c>
      <c r="M2154" s="112" t="str">
        <f t="shared" si="36"/>
        <v/>
      </c>
      <c r="N2154" s="113"/>
    </row>
    <row r="2155" spans="2:14">
      <c r="B2155" s="105"/>
      <c r="C2155" s="106"/>
      <c r="D2155" s="107"/>
      <c r="E2155" s="65"/>
      <c r="F2155" s="64"/>
      <c r="G2155" s="64"/>
      <c r="H2155" s="64"/>
      <c r="I2155" s="70"/>
      <c r="J2155" s="70"/>
      <c r="K2155" s="110" t="str">
        <f>IF(H2155="","",IF($C$29="간이법","",FPR(H2155,I2155,J2155)))</f>
        <v/>
      </c>
      <c r="L2155" s="111" t="str">
        <f>IF(H2155="","",IF($C$29="상세법",FPV(H2155,K2155),IF(H2155="EI",4,IF(H2155="EO",5.2,IF(H2155="EQ",3.9,IF(H2155="ILF",7.5,IF(H2155="EIF",5.4)))))))</f>
        <v/>
      </c>
      <c r="M2155" s="112" t="str">
        <f t="shared" si="36"/>
        <v/>
      </c>
      <c r="N2155" s="113"/>
    </row>
    <row r="2156" spans="2:14">
      <c r="B2156" s="105"/>
      <c r="C2156" s="106"/>
      <c r="D2156" s="107"/>
      <c r="E2156" s="65"/>
      <c r="F2156" s="64"/>
      <c r="G2156" s="64"/>
      <c r="H2156" s="64"/>
      <c r="I2156" s="70"/>
      <c r="J2156" s="70"/>
      <c r="K2156" s="110" t="str">
        <f>IF(H2156="","",IF($C$29="간이법","",FPR(H2156,I2156,J2156)))</f>
        <v/>
      </c>
      <c r="L2156" s="111" t="str">
        <f>IF(H2156="","",IF($C$29="상세법",FPV(H2156,K2156),IF(H2156="EI",4,IF(H2156="EO",5.2,IF(H2156="EQ",3.9,IF(H2156="ILF",7.5,IF(H2156="EIF",5.4)))))))</f>
        <v/>
      </c>
      <c r="M2156" s="112" t="str">
        <f t="shared" si="36"/>
        <v/>
      </c>
      <c r="N2156" s="113"/>
    </row>
    <row r="2157" spans="2:14">
      <c r="B2157" s="105"/>
      <c r="C2157" s="106"/>
      <c r="D2157" s="107"/>
      <c r="E2157" s="65"/>
      <c r="F2157" s="64"/>
      <c r="G2157" s="64"/>
      <c r="H2157" s="64"/>
      <c r="I2157" s="70"/>
      <c r="J2157" s="70"/>
      <c r="K2157" s="110" t="str">
        <f>IF(H2157="","",IF($C$29="간이법","",FPR(H2157,I2157,J2157)))</f>
        <v/>
      </c>
      <c r="L2157" s="111" t="str">
        <f>IF(H2157="","",IF($C$29="상세법",FPV(H2157,K2157),IF(H2157="EI",4,IF(H2157="EO",5.2,IF(H2157="EQ",3.9,IF(H2157="ILF",7.5,IF(H2157="EIF",5.4)))))))</f>
        <v/>
      </c>
      <c r="M2157" s="112" t="str">
        <f t="shared" si="36"/>
        <v/>
      </c>
      <c r="N2157" s="113"/>
    </row>
    <row r="2158" spans="2:14">
      <c r="B2158" s="105"/>
      <c r="C2158" s="106"/>
      <c r="D2158" s="107"/>
      <c r="E2158" s="65"/>
      <c r="F2158" s="64"/>
      <c r="G2158" s="64"/>
      <c r="H2158" s="64"/>
      <c r="I2158" s="70"/>
      <c r="J2158" s="70"/>
      <c r="K2158" s="110" t="str">
        <f>IF(H2158="","",IF($C$29="간이법","",FPR(H2158,I2158,J2158)))</f>
        <v/>
      </c>
      <c r="L2158" s="111" t="str">
        <f>IF(H2158="","",IF($C$29="상세법",FPV(H2158,K2158),IF(H2158="EI",4,IF(H2158="EO",5.2,IF(H2158="EQ",3.9,IF(H2158="ILF",7.5,IF(H2158="EIF",5.4)))))))</f>
        <v/>
      </c>
      <c r="M2158" s="112" t="str">
        <f t="shared" si="36"/>
        <v/>
      </c>
      <c r="N2158" s="113"/>
    </row>
    <row r="2159" spans="2:14">
      <c r="B2159" s="105"/>
      <c r="C2159" s="106"/>
      <c r="D2159" s="107"/>
      <c r="E2159" s="65"/>
      <c r="F2159" s="64"/>
      <c r="G2159" s="64"/>
      <c r="H2159" s="64"/>
      <c r="I2159" s="70"/>
      <c r="J2159" s="70"/>
      <c r="K2159" s="110" t="str">
        <f>IF(H2159="","",IF($C$29="간이법","",FPR(H2159,I2159,J2159)))</f>
        <v/>
      </c>
      <c r="L2159" s="111" t="str">
        <f>IF(H2159="","",IF($C$29="상세법",FPV(H2159,K2159),IF(H2159="EI",4,IF(H2159="EO",5.2,IF(H2159="EQ",3.9,IF(H2159="ILF",7.5,IF(H2159="EIF",5.4)))))))</f>
        <v/>
      </c>
      <c r="M2159" s="112" t="str">
        <f t="shared" si="36"/>
        <v/>
      </c>
      <c r="N2159" s="113"/>
    </row>
    <row r="2160" spans="2:14">
      <c r="B2160" s="105"/>
      <c r="C2160" s="106"/>
      <c r="D2160" s="107"/>
      <c r="E2160" s="65"/>
      <c r="F2160" s="64"/>
      <c r="G2160" s="64"/>
      <c r="H2160" s="64"/>
      <c r="I2160" s="70"/>
      <c r="J2160" s="70"/>
      <c r="K2160" s="110" t="str">
        <f>IF(H2160="","",IF($C$29="간이법","",FPR(H2160,I2160,J2160)))</f>
        <v/>
      </c>
      <c r="L2160" s="111" t="str">
        <f>IF(H2160="","",IF($C$29="상세법",FPV(H2160,K2160),IF(H2160="EI",4,IF(H2160="EO",5.2,IF(H2160="EQ",3.9,IF(H2160="ILF",7.5,IF(H2160="EIF",5.4)))))))</f>
        <v/>
      </c>
      <c r="M2160" s="112" t="str">
        <f t="shared" si="36"/>
        <v/>
      </c>
      <c r="N2160" s="113"/>
    </row>
    <row r="2161" spans="2:14">
      <c r="B2161" s="105"/>
      <c r="C2161" s="106"/>
      <c r="D2161" s="107"/>
      <c r="E2161" s="65"/>
      <c r="F2161" s="64"/>
      <c r="G2161" s="64"/>
      <c r="H2161" s="64"/>
      <c r="I2161" s="70"/>
      <c r="J2161" s="70"/>
      <c r="K2161" s="110" t="str">
        <f>IF(H2161="","",IF($C$29="간이법","",FPR(H2161,I2161,J2161)))</f>
        <v/>
      </c>
      <c r="L2161" s="111" t="str">
        <f>IF(H2161="","",IF($C$29="상세법",FPV(H2161,K2161),IF(H2161="EI",4,IF(H2161="EO",5.2,IF(H2161="EQ",3.9,IF(H2161="ILF",7.5,IF(H2161="EIF",5.4)))))))</f>
        <v/>
      </c>
      <c r="M2161" s="112" t="str">
        <f t="shared" si="36"/>
        <v/>
      </c>
      <c r="N2161" s="113"/>
    </row>
    <row r="2162" spans="2:14">
      <c r="B2162" s="105"/>
      <c r="C2162" s="106"/>
      <c r="D2162" s="107"/>
      <c r="E2162" s="65"/>
      <c r="F2162" s="64"/>
      <c r="G2162" s="64"/>
      <c r="H2162" s="64"/>
      <c r="I2162" s="70"/>
      <c r="J2162" s="70"/>
      <c r="K2162" s="110" t="str">
        <f>IF(H2162="","",IF($C$29="간이법","",FPR(H2162,I2162,J2162)))</f>
        <v/>
      </c>
      <c r="L2162" s="111" t="str">
        <f>IF(H2162="","",IF($C$29="상세법",FPV(H2162,K2162),IF(H2162="EI",4,IF(H2162="EO",5.2,IF(H2162="EQ",3.9,IF(H2162="ILF",7.5,IF(H2162="EIF",5.4)))))))</f>
        <v/>
      </c>
      <c r="M2162" s="112" t="str">
        <f t="shared" si="36"/>
        <v/>
      </c>
      <c r="N2162" s="113"/>
    </row>
    <row r="2163" spans="2:14">
      <c r="B2163" s="105"/>
      <c r="C2163" s="106"/>
      <c r="D2163" s="107"/>
      <c r="E2163" s="65"/>
      <c r="F2163" s="64"/>
      <c r="G2163" s="64"/>
      <c r="H2163" s="64"/>
      <c r="I2163" s="70"/>
      <c r="J2163" s="70"/>
      <c r="K2163" s="110" t="str">
        <f>IF(H2163="","",IF($C$29="간이법","",FPR(H2163,I2163,J2163)))</f>
        <v/>
      </c>
      <c r="L2163" s="111" t="str">
        <f>IF(H2163="","",IF($C$29="상세법",FPV(H2163,K2163),IF(H2163="EI",4,IF(H2163="EO",5.2,IF(H2163="EQ",3.9,IF(H2163="ILF",7.5,IF(H2163="EIF",5.4)))))))</f>
        <v/>
      </c>
      <c r="M2163" s="112" t="str">
        <f t="shared" si="36"/>
        <v/>
      </c>
      <c r="N2163" s="113"/>
    </row>
    <row r="2164" spans="2:14">
      <c r="B2164" s="105"/>
      <c r="C2164" s="106"/>
      <c r="D2164" s="107"/>
      <c r="E2164" s="65"/>
      <c r="F2164" s="64"/>
      <c r="G2164" s="64"/>
      <c r="H2164" s="64"/>
      <c r="I2164" s="70"/>
      <c r="J2164" s="70"/>
      <c r="K2164" s="110" t="str">
        <f>IF(H2164="","",IF($C$29="간이법","",FPR(H2164,I2164,J2164)))</f>
        <v/>
      </c>
      <c r="L2164" s="111" t="str">
        <f>IF(H2164="","",IF($C$29="상세법",FPV(H2164,K2164),IF(H2164="EI",4,IF(H2164="EO",5.2,IF(H2164="EQ",3.9,IF(H2164="ILF",7.5,IF(H2164="EIF",5.4)))))))</f>
        <v/>
      </c>
      <c r="M2164" s="112" t="str">
        <f t="shared" si="36"/>
        <v/>
      </c>
      <c r="N2164" s="113"/>
    </row>
    <row r="2165" spans="2:14">
      <c r="B2165" s="105"/>
      <c r="C2165" s="106"/>
      <c r="D2165" s="107"/>
      <c r="E2165" s="65"/>
      <c r="F2165" s="64"/>
      <c r="G2165" s="64"/>
      <c r="H2165" s="64"/>
      <c r="I2165" s="70"/>
      <c r="J2165" s="70"/>
      <c r="K2165" s="110" t="str">
        <f>IF(H2165="","",IF($C$29="간이법","",FPR(H2165,I2165,J2165)))</f>
        <v/>
      </c>
      <c r="L2165" s="111" t="str">
        <f>IF(H2165="","",IF($C$29="상세법",FPV(H2165,K2165),IF(H2165="EI",4,IF(H2165="EO",5.2,IF(H2165="EQ",3.9,IF(H2165="ILF",7.5,IF(H2165="EIF",5.4)))))))</f>
        <v/>
      </c>
      <c r="M2165" s="112" t="str">
        <f t="shared" si="36"/>
        <v/>
      </c>
      <c r="N2165" s="113"/>
    </row>
    <row r="2166" spans="2:14">
      <c r="B2166" s="105"/>
      <c r="C2166" s="106"/>
      <c r="D2166" s="107"/>
      <c r="E2166" s="65"/>
      <c r="F2166" s="64"/>
      <c r="G2166" s="64"/>
      <c r="H2166" s="64"/>
      <c r="I2166" s="70"/>
      <c r="J2166" s="70"/>
      <c r="K2166" s="110" t="str">
        <f>IF(H2166="","",IF($C$29="간이법","",FPR(H2166,I2166,J2166)))</f>
        <v/>
      </c>
      <c r="L2166" s="111" t="str">
        <f>IF(H2166="","",IF($C$29="상세법",FPV(H2166,K2166),IF(H2166="EI",4,IF(H2166="EO",5.2,IF(H2166="EQ",3.9,IF(H2166="ILF",7.5,IF(H2166="EIF",5.4)))))))</f>
        <v/>
      </c>
      <c r="M2166" s="112" t="str">
        <f t="shared" si="36"/>
        <v/>
      </c>
      <c r="N2166" s="113"/>
    </row>
    <row r="2167" spans="2:14">
      <c r="B2167" s="105"/>
      <c r="C2167" s="106"/>
      <c r="D2167" s="107"/>
      <c r="E2167" s="65"/>
      <c r="F2167" s="64"/>
      <c r="G2167" s="64"/>
      <c r="H2167" s="64"/>
      <c r="I2167" s="70"/>
      <c r="J2167" s="70"/>
      <c r="K2167" s="110" t="str">
        <f>IF(H2167="","",IF($C$29="간이법","",FPR(H2167,I2167,J2167)))</f>
        <v/>
      </c>
      <c r="L2167" s="111" t="str">
        <f>IF(H2167="","",IF($C$29="상세법",FPV(H2167,K2167),IF(H2167="EI",4,IF(H2167="EO",5.2,IF(H2167="EQ",3.9,IF(H2167="ILF",7.5,IF(H2167="EIF",5.4)))))))</f>
        <v/>
      </c>
      <c r="M2167" s="112" t="str">
        <f t="shared" si="36"/>
        <v/>
      </c>
      <c r="N2167" s="113"/>
    </row>
    <row r="2168" spans="2:14">
      <c r="B2168" s="105"/>
      <c r="C2168" s="106"/>
      <c r="D2168" s="107"/>
      <c r="E2168" s="65"/>
      <c r="F2168" s="64"/>
      <c r="G2168" s="64"/>
      <c r="H2168" s="64"/>
      <c r="I2168" s="70"/>
      <c r="J2168" s="70"/>
      <c r="K2168" s="110" t="str">
        <f>IF(H2168="","",IF($C$29="간이법","",FPR(H2168,I2168,J2168)))</f>
        <v/>
      </c>
      <c r="L2168" s="111" t="str">
        <f>IF(H2168="","",IF($C$29="상세법",FPV(H2168,K2168),IF(H2168="EI",4,IF(H2168="EO",5.2,IF(H2168="EQ",3.9,IF(H2168="ILF",7.5,IF(H2168="EIF",5.4)))))))</f>
        <v/>
      </c>
      <c r="M2168" s="112" t="str">
        <f t="shared" si="36"/>
        <v/>
      </c>
      <c r="N2168" s="113"/>
    </row>
    <row r="2169" spans="2:14">
      <c r="B2169" s="105"/>
      <c r="C2169" s="106"/>
      <c r="D2169" s="107"/>
      <c r="E2169" s="65"/>
      <c r="F2169" s="64"/>
      <c r="G2169" s="64"/>
      <c r="H2169" s="64"/>
      <c r="I2169" s="70"/>
      <c r="J2169" s="70"/>
      <c r="K2169" s="110" t="str">
        <f>IF(H2169="","",IF($C$29="간이법","",FPR(H2169,I2169,J2169)))</f>
        <v/>
      </c>
      <c r="L2169" s="111" t="str">
        <f>IF(H2169="","",IF($C$29="상세법",FPV(H2169,K2169),IF(H2169="EI",4,IF(H2169="EO",5.2,IF(H2169="EQ",3.9,IF(H2169="ILF",7.5,IF(H2169="EIF",5.4)))))))</f>
        <v/>
      </c>
      <c r="M2169" s="112" t="str">
        <f t="shared" ref="M2169:M2232" si="37">IF(L2169="","",L2169*IF(G2169="상",0.7,IF(G2169="중",0.5,IF(G2169="하",0.2,1))))</f>
        <v/>
      </c>
      <c r="N2169" s="113"/>
    </row>
    <row r="2170" spans="2:14">
      <c r="B2170" s="105"/>
      <c r="C2170" s="106"/>
      <c r="D2170" s="107"/>
      <c r="E2170" s="65"/>
      <c r="F2170" s="64"/>
      <c r="G2170" s="64"/>
      <c r="H2170" s="64"/>
      <c r="I2170" s="70"/>
      <c r="J2170" s="70"/>
      <c r="K2170" s="110" t="str">
        <f>IF(H2170="","",IF($C$29="간이법","",FPR(H2170,I2170,J2170)))</f>
        <v/>
      </c>
      <c r="L2170" s="111" t="str">
        <f>IF(H2170="","",IF($C$29="상세법",FPV(H2170,K2170),IF(H2170="EI",4,IF(H2170="EO",5.2,IF(H2170="EQ",3.9,IF(H2170="ILF",7.5,IF(H2170="EIF",5.4)))))))</f>
        <v/>
      </c>
      <c r="M2170" s="112" t="str">
        <f t="shared" si="37"/>
        <v/>
      </c>
      <c r="N2170" s="113"/>
    </row>
    <row r="2171" spans="2:14">
      <c r="B2171" s="105"/>
      <c r="C2171" s="106"/>
      <c r="D2171" s="107"/>
      <c r="E2171" s="65"/>
      <c r="F2171" s="64"/>
      <c r="G2171" s="64"/>
      <c r="H2171" s="64"/>
      <c r="I2171" s="70"/>
      <c r="J2171" s="70"/>
      <c r="K2171" s="110" t="str">
        <f>IF(H2171="","",IF($C$29="간이법","",FPR(H2171,I2171,J2171)))</f>
        <v/>
      </c>
      <c r="L2171" s="111" t="str">
        <f>IF(H2171="","",IF($C$29="상세법",FPV(H2171,K2171),IF(H2171="EI",4,IF(H2171="EO",5.2,IF(H2171="EQ",3.9,IF(H2171="ILF",7.5,IF(H2171="EIF",5.4)))))))</f>
        <v/>
      </c>
      <c r="M2171" s="112" t="str">
        <f t="shared" si="37"/>
        <v/>
      </c>
      <c r="N2171" s="113"/>
    </row>
    <row r="2172" spans="2:14">
      <c r="B2172" s="105"/>
      <c r="C2172" s="106"/>
      <c r="D2172" s="107"/>
      <c r="E2172" s="65"/>
      <c r="F2172" s="64"/>
      <c r="G2172" s="64"/>
      <c r="H2172" s="64"/>
      <c r="I2172" s="70"/>
      <c r="J2172" s="70"/>
      <c r="K2172" s="110" t="str">
        <f>IF(H2172="","",IF($C$29="간이법","",FPR(H2172,I2172,J2172)))</f>
        <v/>
      </c>
      <c r="L2172" s="111" t="str">
        <f>IF(H2172="","",IF($C$29="상세법",FPV(H2172,K2172),IF(H2172="EI",4,IF(H2172="EO",5.2,IF(H2172="EQ",3.9,IF(H2172="ILF",7.5,IF(H2172="EIF",5.4)))))))</f>
        <v/>
      </c>
      <c r="M2172" s="112" t="str">
        <f t="shared" si="37"/>
        <v/>
      </c>
      <c r="N2172" s="113"/>
    </row>
    <row r="2173" spans="2:14">
      <c r="B2173" s="105"/>
      <c r="C2173" s="106"/>
      <c r="D2173" s="107"/>
      <c r="E2173" s="65"/>
      <c r="F2173" s="64"/>
      <c r="G2173" s="64"/>
      <c r="H2173" s="64"/>
      <c r="I2173" s="70"/>
      <c r="J2173" s="70"/>
      <c r="K2173" s="110" t="str">
        <f>IF(H2173="","",IF($C$29="간이법","",FPR(H2173,I2173,J2173)))</f>
        <v/>
      </c>
      <c r="L2173" s="111" t="str">
        <f>IF(H2173="","",IF($C$29="상세법",FPV(H2173,K2173),IF(H2173="EI",4,IF(H2173="EO",5.2,IF(H2173="EQ",3.9,IF(H2173="ILF",7.5,IF(H2173="EIF",5.4)))))))</f>
        <v/>
      </c>
      <c r="M2173" s="112" t="str">
        <f t="shared" si="37"/>
        <v/>
      </c>
      <c r="N2173" s="113"/>
    </row>
    <row r="2174" spans="2:14">
      <c r="B2174" s="105"/>
      <c r="C2174" s="106"/>
      <c r="D2174" s="107"/>
      <c r="E2174" s="65"/>
      <c r="F2174" s="64"/>
      <c r="G2174" s="64"/>
      <c r="H2174" s="64"/>
      <c r="I2174" s="70"/>
      <c r="J2174" s="70"/>
      <c r="K2174" s="110" t="str">
        <f>IF(H2174="","",IF($C$29="간이법","",FPR(H2174,I2174,J2174)))</f>
        <v/>
      </c>
      <c r="L2174" s="111" t="str">
        <f>IF(H2174="","",IF($C$29="상세법",FPV(H2174,K2174),IF(H2174="EI",4,IF(H2174="EO",5.2,IF(H2174="EQ",3.9,IF(H2174="ILF",7.5,IF(H2174="EIF",5.4)))))))</f>
        <v/>
      </c>
      <c r="M2174" s="112" t="str">
        <f t="shared" si="37"/>
        <v/>
      </c>
      <c r="N2174" s="113"/>
    </row>
    <row r="2175" spans="2:14">
      <c r="B2175" s="105"/>
      <c r="C2175" s="106"/>
      <c r="D2175" s="107"/>
      <c r="E2175" s="65"/>
      <c r="F2175" s="64"/>
      <c r="G2175" s="64"/>
      <c r="H2175" s="64"/>
      <c r="I2175" s="70"/>
      <c r="J2175" s="70"/>
      <c r="K2175" s="110" t="str">
        <f>IF(H2175="","",IF($C$29="간이법","",FPR(H2175,I2175,J2175)))</f>
        <v/>
      </c>
      <c r="L2175" s="111" t="str">
        <f>IF(H2175="","",IF($C$29="상세법",FPV(H2175,K2175),IF(H2175="EI",4,IF(H2175="EO",5.2,IF(H2175="EQ",3.9,IF(H2175="ILF",7.5,IF(H2175="EIF",5.4)))))))</f>
        <v/>
      </c>
      <c r="M2175" s="112" t="str">
        <f t="shared" si="37"/>
        <v/>
      </c>
      <c r="N2175" s="113"/>
    </row>
    <row r="2176" spans="2:14">
      <c r="B2176" s="105"/>
      <c r="C2176" s="106"/>
      <c r="D2176" s="107"/>
      <c r="E2176" s="65"/>
      <c r="F2176" s="64"/>
      <c r="G2176" s="64"/>
      <c r="H2176" s="64"/>
      <c r="I2176" s="70"/>
      <c r="J2176" s="70"/>
      <c r="K2176" s="110" t="str">
        <f>IF(H2176="","",IF($C$29="간이법","",FPR(H2176,I2176,J2176)))</f>
        <v/>
      </c>
      <c r="L2176" s="111" t="str">
        <f>IF(H2176="","",IF($C$29="상세법",FPV(H2176,K2176),IF(H2176="EI",4,IF(H2176="EO",5.2,IF(H2176="EQ",3.9,IF(H2176="ILF",7.5,IF(H2176="EIF",5.4)))))))</f>
        <v/>
      </c>
      <c r="M2176" s="112" t="str">
        <f t="shared" si="37"/>
        <v/>
      </c>
      <c r="N2176" s="113"/>
    </row>
    <row r="2177" spans="2:14">
      <c r="B2177" s="105"/>
      <c r="C2177" s="106"/>
      <c r="D2177" s="107"/>
      <c r="E2177" s="65"/>
      <c r="F2177" s="64"/>
      <c r="G2177" s="64"/>
      <c r="H2177" s="64"/>
      <c r="I2177" s="70"/>
      <c r="J2177" s="70"/>
      <c r="K2177" s="110" t="str">
        <f>IF(H2177="","",IF($C$29="간이법","",FPR(H2177,I2177,J2177)))</f>
        <v/>
      </c>
      <c r="L2177" s="111" t="str">
        <f>IF(H2177="","",IF($C$29="상세법",FPV(H2177,K2177),IF(H2177="EI",4,IF(H2177="EO",5.2,IF(H2177="EQ",3.9,IF(H2177="ILF",7.5,IF(H2177="EIF",5.4)))))))</f>
        <v/>
      </c>
      <c r="M2177" s="112" t="str">
        <f t="shared" si="37"/>
        <v/>
      </c>
      <c r="N2177" s="113"/>
    </row>
    <row r="2178" spans="2:14">
      <c r="B2178" s="105"/>
      <c r="C2178" s="106"/>
      <c r="D2178" s="107"/>
      <c r="E2178" s="65"/>
      <c r="F2178" s="64"/>
      <c r="G2178" s="64"/>
      <c r="H2178" s="64"/>
      <c r="I2178" s="70"/>
      <c r="J2178" s="70"/>
      <c r="K2178" s="110" t="str">
        <f>IF(H2178="","",IF($C$29="간이법","",FPR(H2178,I2178,J2178)))</f>
        <v/>
      </c>
      <c r="L2178" s="111" t="str">
        <f>IF(H2178="","",IF($C$29="상세법",FPV(H2178,K2178),IF(H2178="EI",4,IF(H2178="EO",5.2,IF(H2178="EQ",3.9,IF(H2178="ILF",7.5,IF(H2178="EIF",5.4)))))))</f>
        <v/>
      </c>
      <c r="M2178" s="112" t="str">
        <f t="shared" si="37"/>
        <v/>
      </c>
      <c r="N2178" s="113"/>
    </row>
    <row r="2179" spans="2:14">
      <c r="B2179" s="105"/>
      <c r="C2179" s="106"/>
      <c r="D2179" s="107"/>
      <c r="E2179" s="65"/>
      <c r="F2179" s="64"/>
      <c r="G2179" s="64"/>
      <c r="H2179" s="64"/>
      <c r="I2179" s="70"/>
      <c r="J2179" s="70"/>
      <c r="K2179" s="110" t="str">
        <f>IF(H2179="","",IF($C$29="간이법","",FPR(H2179,I2179,J2179)))</f>
        <v/>
      </c>
      <c r="L2179" s="111" t="str">
        <f>IF(H2179="","",IF($C$29="상세법",FPV(H2179,K2179),IF(H2179="EI",4,IF(H2179="EO",5.2,IF(H2179="EQ",3.9,IF(H2179="ILF",7.5,IF(H2179="EIF",5.4)))))))</f>
        <v/>
      </c>
      <c r="M2179" s="112" t="str">
        <f t="shared" si="37"/>
        <v/>
      </c>
      <c r="N2179" s="113"/>
    </row>
    <row r="2180" spans="2:14">
      <c r="B2180" s="105"/>
      <c r="C2180" s="106"/>
      <c r="D2180" s="107"/>
      <c r="E2180" s="65"/>
      <c r="F2180" s="64"/>
      <c r="G2180" s="64"/>
      <c r="H2180" s="64"/>
      <c r="I2180" s="70"/>
      <c r="J2180" s="70"/>
      <c r="K2180" s="110" t="str">
        <f>IF(H2180="","",IF($C$29="간이법","",FPR(H2180,I2180,J2180)))</f>
        <v/>
      </c>
      <c r="L2180" s="111" t="str">
        <f>IF(H2180="","",IF($C$29="상세법",FPV(H2180,K2180),IF(H2180="EI",4,IF(H2180="EO",5.2,IF(H2180="EQ",3.9,IF(H2180="ILF",7.5,IF(H2180="EIF",5.4)))))))</f>
        <v/>
      </c>
      <c r="M2180" s="112" t="str">
        <f t="shared" si="37"/>
        <v/>
      </c>
      <c r="N2180" s="113"/>
    </row>
    <row r="2181" spans="2:14">
      <c r="B2181" s="105"/>
      <c r="C2181" s="106"/>
      <c r="D2181" s="107"/>
      <c r="E2181" s="65"/>
      <c r="F2181" s="64"/>
      <c r="G2181" s="64"/>
      <c r="H2181" s="64"/>
      <c r="I2181" s="70"/>
      <c r="J2181" s="70"/>
      <c r="K2181" s="110" t="str">
        <f>IF(H2181="","",IF($C$29="간이법","",FPR(H2181,I2181,J2181)))</f>
        <v/>
      </c>
      <c r="L2181" s="111" t="str">
        <f>IF(H2181="","",IF($C$29="상세법",FPV(H2181,K2181),IF(H2181="EI",4,IF(H2181="EO",5.2,IF(H2181="EQ",3.9,IF(H2181="ILF",7.5,IF(H2181="EIF",5.4)))))))</f>
        <v/>
      </c>
      <c r="M2181" s="112" t="str">
        <f t="shared" si="37"/>
        <v/>
      </c>
      <c r="N2181" s="113"/>
    </row>
    <row r="2182" spans="2:14">
      <c r="B2182" s="105"/>
      <c r="C2182" s="106"/>
      <c r="D2182" s="107"/>
      <c r="E2182" s="65"/>
      <c r="F2182" s="64"/>
      <c r="G2182" s="64"/>
      <c r="H2182" s="64"/>
      <c r="I2182" s="70"/>
      <c r="J2182" s="70"/>
      <c r="K2182" s="110" t="str">
        <f>IF(H2182="","",IF($C$29="간이법","",FPR(H2182,I2182,J2182)))</f>
        <v/>
      </c>
      <c r="L2182" s="111" t="str">
        <f>IF(H2182="","",IF($C$29="상세법",FPV(H2182,K2182),IF(H2182="EI",4,IF(H2182="EO",5.2,IF(H2182="EQ",3.9,IF(H2182="ILF",7.5,IF(H2182="EIF",5.4)))))))</f>
        <v/>
      </c>
      <c r="M2182" s="112" t="str">
        <f t="shared" si="37"/>
        <v/>
      </c>
      <c r="N2182" s="113"/>
    </row>
    <row r="2183" spans="2:14">
      <c r="B2183" s="105"/>
      <c r="C2183" s="106"/>
      <c r="D2183" s="107"/>
      <c r="E2183" s="65"/>
      <c r="F2183" s="64"/>
      <c r="G2183" s="64"/>
      <c r="H2183" s="64"/>
      <c r="I2183" s="70"/>
      <c r="J2183" s="70"/>
      <c r="K2183" s="110" t="str">
        <f>IF(H2183="","",IF($C$29="간이법","",FPR(H2183,I2183,J2183)))</f>
        <v/>
      </c>
      <c r="L2183" s="111" t="str">
        <f>IF(H2183="","",IF($C$29="상세법",FPV(H2183,K2183),IF(H2183="EI",4,IF(H2183="EO",5.2,IF(H2183="EQ",3.9,IF(H2183="ILF",7.5,IF(H2183="EIF",5.4)))))))</f>
        <v/>
      </c>
      <c r="M2183" s="112" t="str">
        <f t="shared" si="37"/>
        <v/>
      </c>
      <c r="N2183" s="113"/>
    </row>
    <row r="2184" spans="2:14">
      <c r="B2184" s="105"/>
      <c r="C2184" s="106"/>
      <c r="D2184" s="107"/>
      <c r="E2184" s="65"/>
      <c r="F2184" s="64"/>
      <c r="G2184" s="64"/>
      <c r="H2184" s="64"/>
      <c r="I2184" s="70"/>
      <c r="J2184" s="70"/>
      <c r="K2184" s="110" t="str">
        <f>IF(H2184="","",IF($C$29="간이법","",FPR(H2184,I2184,J2184)))</f>
        <v/>
      </c>
      <c r="L2184" s="111" t="str">
        <f>IF(H2184="","",IF($C$29="상세법",FPV(H2184,K2184),IF(H2184="EI",4,IF(H2184="EO",5.2,IF(H2184="EQ",3.9,IF(H2184="ILF",7.5,IF(H2184="EIF",5.4)))))))</f>
        <v/>
      </c>
      <c r="M2184" s="112" t="str">
        <f t="shared" si="37"/>
        <v/>
      </c>
      <c r="N2184" s="113"/>
    </row>
    <row r="2185" spans="2:14">
      <c r="B2185" s="105"/>
      <c r="C2185" s="106"/>
      <c r="D2185" s="107"/>
      <c r="E2185" s="65"/>
      <c r="F2185" s="64"/>
      <c r="G2185" s="64"/>
      <c r="H2185" s="64"/>
      <c r="I2185" s="70"/>
      <c r="J2185" s="70"/>
      <c r="K2185" s="110" t="str">
        <f>IF(H2185="","",IF($C$29="간이법","",FPR(H2185,I2185,J2185)))</f>
        <v/>
      </c>
      <c r="L2185" s="111" t="str">
        <f>IF(H2185="","",IF($C$29="상세법",FPV(H2185,K2185),IF(H2185="EI",4,IF(H2185="EO",5.2,IF(H2185="EQ",3.9,IF(H2185="ILF",7.5,IF(H2185="EIF",5.4)))))))</f>
        <v/>
      </c>
      <c r="M2185" s="112" t="str">
        <f t="shared" si="37"/>
        <v/>
      </c>
      <c r="N2185" s="113"/>
    </row>
    <row r="2186" spans="2:14">
      <c r="B2186" s="105"/>
      <c r="C2186" s="106"/>
      <c r="D2186" s="107"/>
      <c r="E2186" s="65"/>
      <c r="F2186" s="64"/>
      <c r="G2186" s="64"/>
      <c r="H2186" s="64"/>
      <c r="I2186" s="70"/>
      <c r="J2186" s="70"/>
      <c r="K2186" s="110" t="str">
        <f>IF(H2186="","",IF($C$29="간이법","",FPR(H2186,I2186,J2186)))</f>
        <v/>
      </c>
      <c r="L2186" s="111" t="str">
        <f>IF(H2186="","",IF($C$29="상세법",FPV(H2186,K2186),IF(H2186="EI",4,IF(H2186="EO",5.2,IF(H2186="EQ",3.9,IF(H2186="ILF",7.5,IF(H2186="EIF",5.4)))))))</f>
        <v/>
      </c>
      <c r="M2186" s="112" t="str">
        <f t="shared" si="37"/>
        <v/>
      </c>
      <c r="N2186" s="113"/>
    </row>
    <row r="2187" spans="2:14">
      <c r="B2187" s="105"/>
      <c r="C2187" s="106"/>
      <c r="D2187" s="107"/>
      <c r="E2187" s="65"/>
      <c r="F2187" s="64"/>
      <c r="G2187" s="64"/>
      <c r="H2187" s="64"/>
      <c r="I2187" s="70"/>
      <c r="J2187" s="70"/>
      <c r="K2187" s="110" t="str">
        <f>IF(H2187="","",IF($C$29="간이법","",FPR(H2187,I2187,J2187)))</f>
        <v/>
      </c>
      <c r="L2187" s="111" t="str">
        <f>IF(H2187="","",IF($C$29="상세법",FPV(H2187,K2187),IF(H2187="EI",4,IF(H2187="EO",5.2,IF(H2187="EQ",3.9,IF(H2187="ILF",7.5,IF(H2187="EIF",5.4)))))))</f>
        <v/>
      </c>
      <c r="M2187" s="112" t="str">
        <f t="shared" si="37"/>
        <v/>
      </c>
      <c r="N2187" s="113"/>
    </row>
    <row r="2188" spans="2:14">
      <c r="B2188" s="105"/>
      <c r="C2188" s="106"/>
      <c r="D2188" s="107"/>
      <c r="E2188" s="65"/>
      <c r="F2188" s="64"/>
      <c r="G2188" s="64"/>
      <c r="H2188" s="64"/>
      <c r="I2188" s="70"/>
      <c r="J2188" s="70"/>
      <c r="K2188" s="110" t="str">
        <f>IF(H2188="","",IF($C$29="간이법","",FPR(H2188,I2188,J2188)))</f>
        <v/>
      </c>
      <c r="L2188" s="111" t="str">
        <f>IF(H2188="","",IF($C$29="상세법",FPV(H2188,K2188),IF(H2188="EI",4,IF(H2188="EO",5.2,IF(H2188="EQ",3.9,IF(H2188="ILF",7.5,IF(H2188="EIF",5.4)))))))</f>
        <v/>
      </c>
      <c r="M2188" s="112" t="str">
        <f t="shared" si="37"/>
        <v/>
      </c>
      <c r="N2188" s="113"/>
    </row>
    <row r="2189" spans="2:14">
      <c r="B2189" s="105"/>
      <c r="C2189" s="106"/>
      <c r="D2189" s="107"/>
      <c r="E2189" s="65"/>
      <c r="F2189" s="64"/>
      <c r="G2189" s="64"/>
      <c r="H2189" s="64"/>
      <c r="I2189" s="70"/>
      <c r="J2189" s="70"/>
      <c r="K2189" s="110" t="str">
        <f>IF(H2189="","",IF($C$29="간이법","",FPR(H2189,I2189,J2189)))</f>
        <v/>
      </c>
      <c r="L2189" s="111" t="str">
        <f>IF(H2189="","",IF($C$29="상세법",FPV(H2189,K2189),IF(H2189="EI",4,IF(H2189="EO",5.2,IF(H2189="EQ",3.9,IF(H2189="ILF",7.5,IF(H2189="EIF",5.4)))))))</f>
        <v/>
      </c>
      <c r="M2189" s="112" t="str">
        <f t="shared" si="37"/>
        <v/>
      </c>
      <c r="N2189" s="113"/>
    </row>
    <row r="2190" spans="2:14">
      <c r="B2190" s="105"/>
      <c r="C2190" s="106"/>
      <c r="D2190" s="107"/>
      <c r="E2190" s="65"/>
      <c r="F2190" s="64"/>
      <c r="G2190" s="64"/>
      <c r="H2190" s="64"/>
      <c r="I2190" s="70"/>
      <c r="J2190" s="70"/>
      <c r="K2190" s="110" t="str">
        <f>IF(H2190="","",IF($C$29="간이법","",FPR(H2190,I2190,J2190)))</f>
        <v/>
      </c>
      <c r="L2190" s="111" t="str">
        <f>IF(H2190="","",IF($C$29="상세법",FPV(H2190,K2190),IF(H2190="EI",4,IF(H2190="EO",5.2,IF(H2190="EQ",3.9,IF(H2190="ILF",7.5,IF(H2190="EIF",5.4)))))))</f>
        <v/>
      </c>
      <c r="M2190" s="112" t="str">
        <f t="shared" si="37"/>
        <v/>
      </c>
      <c r="N2190" s="113"/>
    </row>
    <row r="2191" spans="2:14">
      <c r="B2191" s="105"/>
      <c r="C2191" s="106"/>
      <c r="D2191" s="107"/>
      <c r="E2191" s="65"/>
      <c r="F2191" s="64"/>
      <c r="G2191" s="64"/>
      <c r="H2191" s="64"/>
      <c r="I2191" s="70"/>
      <c r="J2191" s="70"/>
      <c r="K2191" s="110" t="str">
        <f>IF(H2191="","",IF($C$29="간이법","",FPR(H2191,I2191,J2191)))</f>
        <v/>
      </c>
      <c r="L2191" s="111" t="str">
        <f>IF(H2191="","",IF($C$29="상세법",FPV(H2191,K2191),IF(H2191="EI",4,IF(H2191="EO",5.2,IF(H2191="EQ",3.9,IF(H2191="ILF",7.5,IF(H2191="EIF",5.4)))))))</f>
        <v/>
      </c>
      <c r="M2191" s="112" t="str">
        <f t="shared" si="37"/>
        <v/>
      </c>
      <c r="N2191" s="113"/>
    </row>
    <row r="2192" spans="2:14">
      <c r="B2192" s="105"/>
      <c r="C2192" s="106"/>
      <c r="D2192" s="107"/>
      <c r="E2192" s="65"/>
      <c r="F2192" s="64"/>
      <c r="G2192" s="64"/>
      <c r="H2192" s="64"/>
      <c r="I2192" s="70"/>
      <c r="J2192" s="70"/>
      <c r="K2192" s="110" t="str">
        <f>IF(H2192="","",IF($C$29="간이법","",FPR(H2192,I2192,J2192)))</f>
        <v/>
      </c>
      <c r="L2192" s="111" t="str">
        <f>IF(H2192="","",IF($C$29="상세법",FPV(H2192,K2192),IF(H2192="EI",4,IF(H2192="EO",5.2,IF(H2192="EQ",3.9,IF(H2192="ILF",7.5,IF(H2192="EIF",5.4)))))))</f>
        <v/>
      </c>
      <c r="M2192" s="112" t="str">
        <f t="shared" si="37"/>
        <v/>
      </c>
      <c r="N2192" s="113"/>
    </row>
    <row r="2193" spans="2:14">
      <c r="B2193" s="105"/>
      <c r="C2193" s="106"/>
      <c r="D2193" s="107"/>
      <c r="E2193" s="65"/>
      <c r="F2193" s="64"/>
      <c r="G2193" s="64"/>
      <c r="H2193" s="64"/>
      <c r="I2193" s="70"/>
      <c r="J2193" s="70"/>
      <c r="K2193" s="110" t="str">
        <f>IF(H2193="","",IF($C$29="간이법","",FPR(H2193,I2193,J2193)))</f>
        <v/>
      </c>
      <c r="L2193" s="111" t="str">
        <f>IF(H2193="","",IF($C$29="상세법",FPV(H2193,K2193),IF(H2193="EI",4,IF(H2193="EO",5.2,IF(H2193="EQ",3.9,IF(H2193="ILF",7.5,IF(H2193="EIF",5.4)))))))</f>
        <v/>
      </c>
      <c r="M2193" s="112" t="str">
        <f t="shared" si="37"/>
        <v/>
      </c>
      <c r="N2193" s="113"/>
    </row>
    <row r="2194" spans="2:14">
      <c r="B2194" s="105"/>
      <c r="C2194" s="106"/>
      <c r="D2194" s="107"/>
      <c r="E2194" s="65"/>
      <c r="F2194" s="64"/>
      <c r="G2194" s="64"/>
      <c r="H2194" s="64"/>
      <c r="I2194" s="70"/>
      <c r="J2194" s="70"/>
      <c r="K2194" s="110" t="str">
        <f>IF(H2194="","",IF($C$29="간이법","",FPR(H2194,I2194,J2194)))</f>
        <v/>
      </c>
      <c r="L2194" s="111" t="str">
        <f>IF(H2194="","",IF($C$29="상세법",FPV(H2194,K2194),IF(H2194="EI",4,IF(H2194="EO",5.2,IF(H2194="EQ",3.9,IF(H2194="ILF",7.5,IF(H2194="EIF",5.4)))))))</f>
        <v/>
      </c>
      <c r="M2194" s="112" t="str">
        <f t="shared" si="37"/>
        <v/>
      </c>
      <c r="N2194" s="113"/>
    </row>
    <row r="2195" spans="2:14">
      <c r="B2195" s="105"/>
      <c r="C2195" s="106"/>
      <c r="D2195" s="107"/>
      <c r="E2195" s="65"/>
      <c r="F2195" s="64"/>
      <c r="G2195" s="64"/>
      <c r="H2195" s="64"/>
      <c r="I2195" s="70"/>
      <c r="J2195" s="70"/>
      <c r="K2195" s="110" t="str">
        <f>IF(H2195="","",IF($C$29="간이법","",FPR(H2195,I2195,J2195)))</f>
        <v/>
      </c>
      <c r="L2195" s="111" t="str">
        <f>IF(H2195="","",IF($C$29="상세법",FPV(H2195,K2195),IF(H2195="EI",4,IF(H2195="EO",5.2,IF(H2195="EQ",3.9,IF(H2195="ILF",7.5,IF(H2195="EIF",5.4)))))))</f>
        <v/>
      </c>
      <c r="M2195" s="112" t="str">
        <f t="shared" si="37"/>
        <v/>
      </c>
      <c r="N2195" s="113"/>
    </row>
    <row r="2196" spans="2:14">
      <c r="B2196" s="105"/>
      <c r="C2196" s="106"/>
      <c r="D2196" s="107"/>
      <c r="E2196" s="65"/>
      <c r="F2196" s="64"/>
      <c r="G2196" s="64"/>
      <c r="H2196" s="64"/>
      <c r="I2196" s="70"/>
      <c r="J2196" s="70"/>
      <c r="K2196" s="110" t="str">
        <f>IF(H2196="","",IF($C$29="간이법","",FPR(H2196,I2196,J2196)))</f>
        <v/>
      </c>
      <c r="L2196" s="111" t="str">
        <f>IF(H2196="","",IF($C$29="상세법",FPV(H2196,K2196),IF(H2196="EI",4,IF(H2196="EO",5.2,IF(H2196="EQ",3.9,IF(H2196="ILF",7.5,IF(H2196="EIF",5.4)))))))</f>
        <v/>
      </c>
      <c r="M2196" s="112" t="str">
        <f t="shared" si="37"/>
        <v/>
      </c>
      <c r="N2196" s="113"/>
    </row>
    <row r="2197" spans="2:14">
      <c r="B2197" s="105"/>
      <c r="C2197" s="106"/>
      <c r="D2197" s="107"/>
      <c r="E2197" s="65"/>
      <c r="F2197" s="64"/>
      <c r="G2197" s="64"/>
      <c r="H2197" s="64"/>
      <c r="I2197" s="70"/>
      <c r="J2197" s="70"/>
      <c r="K2197" s="110" t="str">
        <f>IF(H2197="","",IF($C$29="간이법","",FPR(H2197,I2197,J2197)))</f>
        <v/>
      </c>
      <c r="L2197" s="111" t="str">
        <f>IF(H2197="","",IF($C$29="상세법",FPV(H2197,K2197),IF(H2197="EI",4,IF(H2197="EO",5.2,IF(H2197="EQ",3.9,IF(H2197="ILF",7.5,IF(H2197="EIF",5.4)))))))</f>
        <v/>
      </c>
      <c r="M2197" s="112" t="str">
        <f t="shared" si="37"/>
        <v/>
      </c>
      <c r="N2197" s="113"/>
    </row>
    <row r="2198" spans="2:14">
      <c r="B2198" s="105"/>
      <c r="C2198" s="106"/>
      <c r="D2198" s="107"/>
      <c r="E2198" s="65"/>
      <c r="F2198" s="64"/>
      <c r="G2198" s="64"/>
      <c r="H2198" s="64"/>
      <c r="I2198" s="70"/>
      <c r="J2198" s="70"/>
      <c r="K2198" s="110" t="str">
        <f>IF(H2198="","",IF($C$29="간이법","",FPR(H2198,I2198,J2198)))</f>
        <v/>
      </c>
      <c r="L2198" s="111" t="str">
        <f>IF(H2198="","",IF($C$29="상세법",FPV(H2198,K2198),IF(H2198="EI",4,IF(H2198="EO",5.2,IF(H2198="EQ",3.9,IF(H2198="ILF",7.5,IF(H2198="EIF",5.4)))))))</f>
        <v/>
      </c>
      <c r="M2198" s="112" t="str">
        <f t="shared" si="37"/>
        <v/>
      </c>
      <c r="N2198" s="113"/>
    </row>
    <row r="2199" spans="2:14">
      <c r="B2199" s="105"/>
      <c r="C2199" s="106"/>
      <c r="D2199" s="107"/>
      <c r="E2199" s="65"/>
      <c r="F2199" s="64"/>
      <c r="G2199" s="64"/>
      <c r="H2199" s="64"/>
      <c r="I2199" s="70"/>
      <c r="J2199" s="70"/>
      <c r="K2199" s="110" t="str">
        <f>IF(H2199="","",IF($C$29="간이법","",FPR(H2199,I2199,J2199)))</f>
        <v/>
      </c>
      <c r="L2199" s="111" t="str">
        <f>IF(H2199="","",IF($C$29="상세법",FPV(H2199,K2199),IF(H2199="EI",4,IF(H2199="EO",5.2,IF(H2199="EQ",3.9,IF(H2199="ILF",7.5,IF(H2199="EIF",5.4)))))))</f>
        <v/>
      </c>
      <c r="M2199" s="112" t="str">
        <f t="shared" si="37"/>
        <v/>
      </c>
      <c r="N2199" s="113"/>
    </row>
    <row r="2200" spans="2:14">
      <c r="B2200" s="105"/>
      <c r="C2200" s="106"/>
      <c r="D2200" s="107"/>
      <c r="E2200" s="65"/>
      <c r="F2200" s="64"/>
      <c r="G2200" s="64"/>
      <c r="H2200" s="64"/>
      <c r="I2200" s="70"/>
      <c r="J2200" s="70"/>
      <c r="K2200" s="110" t="str">
        <f>IF(H2200="","",IF($C$29="간이법","",FPR(H2200,I2200,J2200)))</f>
        <v/>
      </c>
      <c r="L2200" s="111" t="str">
        <f>IF(H2200="","",IF($C$29="상세법",FPV(H2200,K2200),IF(H2200="EI",4,IF(H2200="EO",5.2,IF(H2200="EQ",3.9,IF(H2200="ILF",7.5,IF(H2200="EIF",5.4)))))))</f>
        <v/>
      </c>
      <c r="M2200" s="112" t="str">
        <f t="shared" si="37"/>
        <v/>
      </c>
      <c r="N2200" s="113"/>
    </row>
    <row r="2201" spans="2:14">
      <c r="B2201" s="105"/>
      <c r="C2201" s="106"/>
      <c r="D2201" s="107"/>
      <c r="E2201" s="65"/>
      <c r="F2201" s="64"/>
      <c r="G2201" s="64"/>
      <c r="H2201" s="64"/>
      <c r="I2201" s="70"/>
      <c r="J2201" s="70"/>
      <c r="K2201" s="110" t="str">
        <f>IF(H2201="","",IF($C$29="간이법","",FPR(H2201,I2201,J2201)))</f>
        <v/>
      </c>
      <c r="L2201" s="111" t="str">
        <f>IF(H2201="","",IF($C$29="상세법",FPV(H2201,K2201),IF(H2201="EI",4,IF(H2201="EO",5.2,IF(H2201="EQ",3.9,IF(H2201="ILF",7.5,IF(H2201="EIF",5.4)))))))</f>
        <v/>
      </c>
      <c r="M2201" s="112" t="str">
        <f t="shared" si="37"/>
        <v/>
      </c>
      <c r="N2201" s="113"/>
    </row>
    <row r="2202" spans="2:14">
      <c r="B2202" s="105"/>
      <c r="C2202" s="106"/>
      <c r="D2202" s="107"/>
      <c r="E2202" s="65"/>
      <c r="F2202" s="64"/>
      <c r="G2202" s="64"/>
      <c r="H2202" s="64"/>
      <c r="I2202" s="70"/>
      <c r="J2202" s="70"/>
      <c r="K2202" s="110" t="str">
        <f>IF(H2202="","",IF($C$29="간이법","",FPR(H2202,I2202,J2202)))</f>
        <v/>
      </c>
      <c r="L2202" s="111" t="str">
        <f>IF(H2202="","",IF($C$29="상세법",FPV(H2202,K2202),IF(H2202="EI",4,IF(H2202="EO",5.2,IF(H2202="EQ",3.9,IF(H2202="ILF",7.5,IF(H2202="EIF",5.4)))))))</f>
        <v/>
      </c>
      <c r="M2202" s="112" t="str">
        <f t="shared" si="37"/>
        <v/>
      </c>
      <c r="N2202" s="113"/>
    </row>
    <row r="2203" spans="2:14">
      <c r="B2203" s="105"/>
      <c r="C2203" s="106"/>
      <c r="D2203" s="107"/>
      <c r="E2203" s="65"/>
      <c r="F2203" s="64"/>
      <c r="G2203" s="64"/>
      <c r="H2203" s="64"/>
      <c r="I2203" s="70"/>
      <c r="J2203" s="70"/>
      <c r="K2203" s="110" t="str">
        <f>IF(H2203="","",IF($C$29="간이법","",FPR(H2203,I2203,J2203)))</f>
        <v/>
      </c>
      <c r="L2203" s="111" t="str">
        <f>IF(H2203="","",IF($C$29="상세법",FPV(H2203,K2203),IF(H2203="EI",4,IF(H2203="EO",5.2,IF(H2203="EQ",3.9,IF(H2203="ILF",7.5,IF(H2203="EIF",5.4)))))))</f>
        <v/>
      </c>
      <c r="M2203" s="112" t="str">
        <f t="shared" si="37"/>
        <v/>
      </c>
      <c r="N2203" s="113"/>
    </row>
    <row r="2204" spans="2:14">
      <c r="B2204" s="105"/>
      <c r="C2204" s="106"/>
      <c r="D2204" s="107"/>
      <c r="E2204" s="65"/>
      <c r="F2204" s="64"/>
      <c r="G2204" s="64"/>
      <c r="H2204" s="64"/>
      <c r="I2204" s="70"/>
      <c r="J2204" s="70"/>
      <c r="K2204" s="110" t="str">
        <f>IF(H2204="","",IF($C$29="간이법","",FPR(H2204,I2204,J2204)))</f>
        <v/>
      </c>
      <c r="L2204" s="111" t="str">
        <f>IF(H2204="","",IF($C$29="상세법",FPV(H2204,K2204),IF(H2204="EI",4,IF(H2204="EO",5.2,IF(H2204="EQ",3.9,IF(H2204="ILF",7.5,IF(H2204="EIF",5.4)))))))</f>
        <v/>
      </c>
      <c r="M2204" s="112" t="str">
        <f t="shared" si="37"/>
        <v/>
      </c>
      <c r="N2204" s="113"/>
    </row>
    <row r="2205" spans="2:14">
      <c r="B2205" s="105"/>
      <c r="C2205" s="106"/>
      <c r="D2205" s="107"/>
      <c r="E2205" s="65"/>
      <c r="F2205" s="64"/>
      <c r="G2205" s="64"/>
      <c r="H2205" s="64"/>
      <c r="I2205" s="70"/>
      <c r="J2205" s="70"/>
      <c r="K2205" s="110" t="str">
        <f>IF(H2205="","",IF($C$29="간이법","",FPR(H2205,I2205,J2205)))</f>
        <v/>
      </c>
      <c r="L2205" s="111" t="str">
        <f>IF(H2205="","",IF($C$29="상세법",FPV(H2205,K2205),IF(H2205="EI",4,IF(H2205="EO",5.2,IF(H2205="EQ",3.9,IF(H2205="ILF",7.5,IF(H2205="EIF",5.4)))))))</f>
        <v/>
      </c>
      <c r="M2205" s="112" t="str">
        <f t="shared" si="37"/>
        <v/>
      </c>
      <c r="N2205" s="113"/>
    </row>
    <row r="2206" spans="2:14">
      <c r="B2206" s="105"/>
      <c r="C2206" s="106"/>
      <c r="D2206" s="107"/>
      <c r="E2206" s="65"/>
      <c r="F2206" s="64"/>
      <c r="G2206" s="64"/>
      <c r="H2206" s="64"/>
      <c r="I2206" s="70"/>
      <c r="J2206" s="70"/>
      <c r="K2206" s="110" t="str">
        <f>IF(H2206="","",IF($C$29="간이법","",FPR(H2206,I2206,J2206)))</f>
        <v/>
      </c>
      <c r="L2206" s="111" t="str">
        <f>IF(H2206="","",IF($C$29="상세법",FPV(H2206,K2206),IF(H2206="EI",4,IF(H2206="EO",5.2,IF(H2206="EQ",3.9,IF(H2206="ILF",7.5,IF(H2206="EIF",5.4)))))))</f>
        <v/>
      </c>
      <c r="M2206" s="112" t="str">
        <f t="shared" si="37"/>
        <v/>
      </c>
      <c r="N2206" s="113"/>
    </row>
    <row r="2207" spans="2:14">
      <c r="B2207" s="105"/>
      <c r="C2207" s="106"/>
      <c r="D2207" s="107"/>
      <c r="E2207" s="65"/>
      <c r="F2207" s="64"/>
      <c r="G2207" s="64"/>
      <c r="H2207" s="64"/>
      <c r="I2207" s="70"/>
      <c r="J2207" s="70"/>
      <c r="K2207" s="110" t="str">
        <f>IF(H2207="","",IF($C$29="간이법","",FPR(H2207,I2207,J2207)))</f>
        <v/>
      </c>
      <c r="L2207" s="111" t="str">
        <f>IF(H2207="","",IF($C$29="상세법",FPV(H2207,K2207),IF(H2207="EI",4,IF(H2207="EO",5.2,IF(H2207="EQ",3.9,IF(H2207="ILF",7.5,IF(H2207="EIF",5.4)))))))</f>
        <v/>
      </c>
      <c r="M2207" s="112" t="str">
        <f t="shared" si="37"/>
        <v/>
      </c>
      <c r="N2207" s="113"/>
    </row>
    <row r="2208" spans="2:14">
      <c r="B2208" s="105"/>
      <c r="C2208" s="106"/>
      <c r="D2208" s="107"/>
      <c r="E2208" s="65"/>
      <c r="F2208" s="64"/>
      <c r="G2208" s="64"/>
      <c r="H2208" s="64"/>
      <c r="I2208" s="70"/>
      <c r="J2208" s="70"/>
      <c r="K2208" s="110" t="str">
        <f>IF(H2208="","",IF($C$29="간이법","",FPR(H2208,I2208,J2208)))</f>
        <v/>
      </c>
      <c r="L2208" s="111" t="str">
        <f>IF(H2208="","",IF($C$29="상세법",FPV(H2208,K2208),IF(H2208="EI",4,IF(H2208="EO",5.2,IF(H2208="EQ",3.9,IF(H2208="ILF",7.5,IF(H2208="EIF",5.4)))))))</f>
        <v/>
      </c>
      <c r="M2208" s="112" t="str">
        <f t="shared" si="37"/>
        <v/>
      </c>
      <c r="N2208" s="113"/>
    </row>
    <row r="2209" spans="2:14">
      <c r="B2209" s="105"/>
      <c r="C2209" s="106"/>
      <c r="D2209" s="107"/>
      <c r="E2209" s="65"/>
      <c r="F2209" s="64"/>
      <c r="G2209" s="64"/>
      <c r="H2209" s="64"/>
      <c r="I2209" s="70"/>
      <c r="J2209" s="70"/>
      <c r="K2209" s="110" t="str">
        <f>IF(H2209="","",IF($C$29="간이법","",FPR(H2209,I2209,J2209)))</f>
        <v/>
      </c>
      <c r="L2209" s="111" t="str">
        <f>IF(H2209="","",IF($C$29="상세법",FPV(H2209,K2209),IF(H2209="EI",4,IF(H2209="EO",5.2,IF(H2209="EQ",3.9,IF(H2209="ILF",7.5,IF(H2209="EIF",5.4)))))))</f>
        <v/>
      </c>
      <c r="M2209" s="112" t="str">
        <f t="shared" si="37"/>
        <v/>
      </c>
      <c r="N2209" s="113"/>
    </row>
    <row r="2210" spans="2:14">
      <c r="B2210" s="105"/>
      <c r="C2210" s="106"/>
      <c r="D2210" s="107"/>
      <c r="E2210" s="65"/>
      <c r="F2210" s="64"/>
      <c r="G2210" s="64"/>
      <c r="H2210" s="64"/>
      <c r="I2210" s="70"/>
      <c r="J2210" s="70"/>
      <c r="K2210" s="110" t="str">
        <f>IF(H2210="","",IF($C$29="간이법","",FPR(H2210,I2210,J2210)))</f>
        <v/>
      </c>
      <c r="L2210" s="111" t="str">
        <f>IF(H2210="","",IF($C$29="상세법",FPV(H2210,K2210),IF(H2210="EI",4,IF(H2210="EO",5.2,IF(H2210="EQ",3.9,IF(H2210="ILF",7.5,IF(H2210="EIF",5.4)))))))</f>
        <v/>
      </c>
      <c r="M2210" s="112" t="str">
        <f t="shared" si="37"/>
        <v/>
      </c>
      <c r="N2210" s="113"/>
    </row>
    <row r="2211" spans="2:14">
      <c r="B2211" s="105"/>
      <c r="C2211" s="106"/>
      <c r="D2211" s="107"/>
      <c r="E2211" s="65"/>
      <c r="F2211" s="64"/>
      <c r="G2211" s="64"/>
      <c r="H2211" s="64"/>
      <c r="I2211" s="70"/>
      <c r="J2211" s="70"/>
      <c r="K2211" s="110" t="str">
        <f>IF(H2211="","",IF($C$29="간이법","",FPR(H2211,I2211,J2211)))</f>
        <v/>
      </c>
      <c r="L2211" s="111" t="str">
        <f>IF(H2211="","",IF($C$29="상세법",FPV(H2211,K2211),IF(H2211="EI",4,IF(H2211="EO",5.2,IF(H2211="EQ",3.9,IF(H2211="ILF",7.5,IF(H2211="EIF",5.4)))))))</f>
        <v/>
      </c>
      <c r="M2211" s="112" t="str">
        <f t="shared" si="37"/>
        <v/>
      </c>
      <c r="N2211" s="113"/>
    </row>
    <row r="2212" spans="2:14">
      <c r="B2212" s="105"/>
      <c r="C2212" s="106"/>
      <c r="D2212" s="107"/>
      <c r="E2212" s="65"/>
      <c r="F2212" s="64"/>
      <c r="G2212" s="64"/>
      <c r="H2212" s="64"/>
      <c r="I2212" s="70"/>
      <c r="J2212" s="70"/>
      <c r="K2212" s="110" t="str">
        <f>IF(H2212="","",IF($C$29="간이법","",FPR(H2212,I2212,J2212)))</f>
        <v/>
      </c>
      <c r="L2212" s="111" t="str">
        <f>IF(H2212="","",IF($C$29="상세법",FPV(H2212,K2212),IF(H2212="EI",4,IF(H2212="EO",5.2,IF(H2212="EQ",3.9,IF(H2212="ILF",7.5,IF(H2212="EIF",5.4)))))))</f>
        <v/>
      </c>
      <c r="M2212" s="112" t="str">
        <f t="shared" si="37"/>
        <v/>
      </c>
      <c r="N2212" s="113"/>
    </row>
    <row r="2213" spans="2:14">
      <c r="B2213" s="105"/>
      <c r="C2213" s="106"/>
      <c r="D2213" s="107"/>
      <c r="E2213" s="65"/>
      <c r="F2213" s="64"/>
      <c r="G2213" s="64"/>
      <c r="H2213" s="64"/>
      <c r="I2213" s="70"/>
      <c r="J2213" s="70"/>
      <c r="K2213" s="110" t="str">
        <f>IF(H2213="","",IF($C$29="간이법","",FPR(H2213,I2213,J2213)))</f>
        <v/>
      </c>
      <c r="L2213" s="111" t="str">
        <f>IF(H2213="","",IF($C$29="상세법",FPV(H2213,K2213),IF(H2213="EI",4,IF(H2213="EO",5.2,IF(H2213="EQ",3.9,IF(H2213="ILF",7.5,IF(H2213="EIF",5.4)))))))</f>
        <v/>
      </c>
      <c r="M2213" s="112" t="str">
        <f t="shared" si="37"/>
        <v/>
      </c>
      <c r="N2213" s="113"/>
    </row>
    <row r="2214" spans="2:14">
      <c r="B2214" s="105"/>
      <c r="C2214" s="106"/>
      <c r="D2214" s="107"/>
      <c r="E2214" s="65"/>
      <c r="F2214" s="64"/>
      <c r="G2214" s="64"/>
      <c r="H2214" s="64"/>
      <c r="I2214" s="70"/>
      <c r="J2214" s="70"/>
      <c r="K2214" s="110" t="str">
        <f>IF(H2214="","",IF($C$29="간이법","",FPR(H2214,I2214,J2214)))</f>
        <v/>
      </c>
      <c r="L2214" s="111" t="str">
        <f>IF(H2214="","",IF($C$29="상세법",FPV(H2214,K2214),IF(H2214="EI",4,IF(H2214="EO",5.2,IF(H2214="EQ",3.9,IF(H2214="ILF",7.5,IF(H2214="EIF",5.4)))))))</f>
        <v/>
      </c>
      <c r="M2214" s="112" t="str">
        <f t="shared" si="37"/>
        <v/>
      </c>
      <c r="N2214" s="113"/>
    </row>
    <row r="2215" spans="2:14">
      <c r="B2215" s="105"/>
      <c r="C2215" s="106"/>
      <c r="D2215" s="107"/>
      <c r="E2215" s="65"/>
      <c r="F2215" s="64"/>
      <c r="G2215" s="64"/>
      <c r="H2215" s="64"/>
      <c r="I2215" s="70"/>
      <c r="J2215" s="70"/>
      <c r="K2215" s="110" t="str">
        <f>IF(H2215="","",IF($C$29="간이법","",FPR(H2215,I2215,J2215)))</f>
        <v/>
      </c>
      <c r="L2215" s="111" t="str">
        <f>IF(H2215="","",IF($C$29="상세법",FPV(H2215,K2215),IF(H2215="EI",4,IF(H2215="EO",5.2,IF(H2215="EQ",3.9,IF(H2215="ILF",7.5,IF(H2215="EIF",5.4)))))))</f>
        <v/>
      </c>
      <c r="M2215" s="112" t="str">
        <f t="shared" si="37"/>
        <v/>
      </c>
      <c r="N2215" s="113"/>
    </row>
    <row r="2216" spans="2:14">
      <c r="B2216" s="105"/>
      <c r="C2216" s="106"/>
      <c r="D2216" s="107"/>
      <c r="E2216" s="65"/>
      <c r="F2216" s="64"/>
      <c r="G2216" s="64"/>
      <c r="H2216" s="64"/>
      <c r="I2216" s="70"/>
      <c r="J2216" s="70"/>
      <c r="K2216" s="110" t="str">
        <f>IF(H2216="","",IF($C$29="간이법","",FPR(H2216,I2216,J2216)))</f>
        <v/>
      </c>
      <c r="L2216" s="111" t="str">
        <f>IF(H2216="","",IF($C$29="상세법",FPV(H2216,K2216),IF(H2216="EI",4,IF(H2216="EO",5.2,IF(H2216="EQ",3.9,IF(H2216="ILF",7.5,IF(H2216="EIF",5.4)))))))</f>
        <v/>
      </c>
      <c r="M2216" s="112" t="str">
        <f t="shared" si="37"/>
        <v/>
      </c>
      <c r="N2216" s="113"/>
    </row>
    <row r="2217" spans="2:14">
      <c r="B2217" s="105"/>
      <c r="C2217" s="106"/>
      <c r="D2217" s="107"/>
      <c r="E2217" s="65"/>
      <c r="F2217" s="64"/>
      <c r="G2217" s="64"/>
      <c r="H2217" s="64"/>
      <c r="I2217" s="70"/>
      <c r="J2217" s="70"/>
      <c r="K2217" s="110" t="str">
        <f>IF(H2217="","",IF($C$29="간이법","",FPR(H2217,I2217,J2217)))</f>
        <v/>
      </c>
      <c r="L2217" s="111" t="str">
        <f>IF(H2217="","",IF($C$29="상세법",FPV(H2217,K2217),IF(H2217="EI",4,IF(H2217="EO",5.2,IF(H2217="EQ",3.9,IF(H2217="ILF",7.5,IF(H2217="EIF",5.4)))))))</f>
        <v/>
      </c>
      <c r="M2217" s="112" t="str">
        <f t="shared" si="37"/>
        <v/>
      </c>
      <c r="N2217" s="113"/>
    </row>
    <row r="2218" spans="2:14">
      <c r="B2218" s="105"/>
      <c r="C2218" s="106"/>
      <c r="D2218" s="107"/>
      <c r="E2218" s="65"/>
      <c r="F2218" s="64"/>
      <c r="G2218" s="64"/>
      <c r="H2218" s="64"/>
      <c r="I2218" s="70"/>
      <c r="J2218" s="70"/>
      <c r="K2218" s="110" t="str">
        <f>IF(H2218="","",IF($C$29="간이법","",FPR(H2218,I2218,J2218)))</f>
        <v/>
      </c>
      <c r="L2218" s="111" t="str">
        <f>IF(H2218="","",IF($C$29="상세법",FPV(H2218,K2218),IF(H2218="EI",4,IF(H2218="EO",5.2,IF(H2218="EQ",3.9,IF(H2218="ILF",7.5,IF(H2218="EIF",5.4)))))))</f>
        <v/>
      </c>
      <c r="M2218" s="112" t="str">
        <f t="shared" si="37"/>
        <v/>
      </c>
      <c r="N2218" s="113"/>
    </row>
    <row r="2219" spans="2:14">
      <c r="B2219" s="105"/>
      <c r="C2219" s="106"/>
      <c r="D2219" s="107"/>
      <c r="E2219" s="65"/>
      <c r="F2219" s="64"/>
      <c r="G2219" s="64"/>
      <c r="H2219" s="64"/>
      <c r="I2219" s="70"/>
      <c r="J2219" s="70"/>
      <c r="K2219" s="110" t="str">
        <f>IF(H2219="","",IF($C$29="간이법","",FPR(H2219,I2219,J2219)))</f>
        <v/>
      </c>
      <c r="L2219" s="111" t="str">
        <f>IF(H2219="","",IF($C$29="상세법",FPV(H2219,K2219),IF(H2219="EI",4,IF(H2219="EO",5.2,IF(H2219="EQ",3.9,IF(H2219="ILF",7.5,IF(H2219="EIF",5.4)))))))</f>
        <v/>
      </c>
      <c r="M2219" s="112" t="str">
        <f t="shared" si="37"/>
        <v/>
      </c>
      <c r="N2219" s="113"/>
    </row>
    <row r="2220" spans="2:14">
      <c r="B2220" s="105"/>
      <c r="C2220" s="106"/>
      <c r="D2220" s="107"/>
      <c r="E2220" s="65"/>
      <c r="F2220" s="64"/>
      <c r="G2220" s="64"/>
      <c r="H2220" s="64"/>
      <c r="I2220" s="70"/>
      <c r="J2220" s="70"/>
      <c r="K2220" s="110" t="str">
        <f>IF(H2220="","",IF($C$29="간이법","",FPR(H2220,I2220,J2220)))</f>
        <v/>
      </c>
      <c r="L2220" s="111" t="str">
        <f>IF(H2220="","",IF($C$29="상세법",FPV(H2220,K2220),IF(H2220="EI",4,IF(H2220="EO",5.2,IF(H2220="EQ",3.9,IF(H2220="ILF",7.5,IF(H2220="EIF",5.4)))))))</f>
        <v/>
      </c>
      <c r="M2220" s="112" t="str">
        <f t="shared" si="37"/>
        <v/>
      </c>
      <c r="N2220" s="113"/>
    </row>
    <row r="2221" spans="2:14">
      <c r="B2221" s="105"/>
      <c r="C2221" s="106"/>
      <c r="D2221" s="107"/>
      <c r="E2221" s="65"/>
      <c r="F2221" s="64"/>
      <c r="G2221" s="64"/>
      <c r="H2221" s="64"/>
      <c r="I2221" s="70"/>
      <c r="J2221" s="70"/>
      <c r="K2221" s="110" t="str">
        <f>IF(H2221="","",IF($C$29="간이법","",FPR(H2221,I2221,J2221)))</f>
        <v/>
      </c>
      <c r="L2221" s="111" t="str">
        <f>IF(H2221="","",IF($C$29="상세법",FPV(H2221,K2221),IF(H2221="EI",4,IF(H2221="EO",5.2,IF(H2221="EQ",3.9,IF(H2221="ILF",7.5,IF(H2221="EIF",5.4)))))))</f>
        <v/>
      </c>
      <c r="M2221" s="112" t="str">
        <f t="shared" si="37"/>
        <v/>
      </c>
      <c r="N2221" s="113"/>
    </row>
    <row r="2222" spans="2:14">
      <c r="B2222" s="105"/>
      <c r="C2222" s="106"/>
      <c r="D2222" s="107"/>
      <c r="E2222" s="65"/>
      <c r="F2222" s="64"/>
      <c r="G2222" s="64"/>
      <c r="H2222" s="64"/>
      <c r="I2222" s="70"/>
      <c r="J2222" s="70"/>
      <c r="K2222" s="110" t="str">
        <f>IF(H2222="","",IF($C$29="간이법","",FPR(H2222,I2222,J2222)))</f>
        <v/>
      </c>
      <c r="L2222" s="111" t="str">
        <f>IF(H2222="","",IF($C$29="상세법",FPV(H2222,K2222),IF(H2222="EI",4,IF(H2222="EO",5.2,IF(H2222="EQ",3.9,IF(H2222="ILF",7.5,IF(H2222="EIF",5.4)))))))</f>
        <v/>
      </c>
      <c r="M2222" s="112" t="str">
        <f t="shared" si="37"/>
        <v/>
      </c>
      <c r="N2222" s="113"/>
    </row>
    <row r="2223" spans="2:14">
      <c r="B2223" s="105"/>
      <c r="C2223" s="106"/>
      <c r="D2223" s="107"/>
      <c r="E2223" s="65"/>
      <c r="F2223" s="64"/>
      <c r="G2223" s="64"/>
      <c r="H2223" s="64"/>
      <c r="I2223" s="70"/>
      <c r="J2223" s="70"/>
      <c r="K2223" s="110" t="str">
        <f>IF(H2223="","",IF($C$29="간이법","",FPR(H2223,I2223,J2223)))</f>
        <v/>
      </c>
      <c r="L2223" s="111" t="str">
        <f>IF(H2223="","",IF($C$29="상세법",FPV(H2223,K2223),IF(H2223="EI",4,IF(H2223="EO",5.2,IF(H2223="EQ",3.9,IF(H2223="ILF",7.5,IF(H2223="EIF",5.4)))))))</f>
        <v/>
      </c>
      <c r="M2223" s="112" t="str">
        <f t="shared" si="37"/>
        <v/>
      </c>
      <c r="N2223" s="113"/>
    </row>
    <row r="2224" spans="2:14">
      <c r="B2224" s="105"/>
      <c r="C2224" s="106"/>
      <c r="D2224" s="107"/>
      <c r="E2224" s="65"/>
      <c r="F2224" s="64"/>
      <c r="G2224" s="64"/>
      <c r="H2224" s="64"/>
      <c r="I2224" s="70"/>
      <c r="J2224" s="70"/>
      <c r="K2224" s="110" t="str">
        <f>IF(H2224="","",IF($C$29="간이법","",FPR(H2224,I2224,J2224)))</f>
        <v/>
      </c>
      <c r="L2224" s="111" t="str">
        <f>IF(H2224="","",IF($C$29="상세법",FPV(H2224,K2224),IF(H2224="EI",4,IF(H2224="EO",5.2,IF(H2224="EQ",3.9,IF(H2224="ILF",7.5,IF(H2224="EIF",5.4)))))))</f>
        <v/>
      </c>
      <c r="M2224" s="112" t="str">
        <f t="shared" si="37"/>
        <v/>
      </c>
      <c r="N2224" s="113"/>
    </row>
    <row r="2225" spans="2:14">
      <c r="B2225" s="105"/>
      <c r="C2225" s="106"/>
      <c r="D2225" s="107"/>
      <c r="E2225" s="65"/>
      <c r="F2225" s="64"/>
      <c r="G2225" s="64"/>
      <c r="H2225" s="64"/>
      <c r="I2225" s="70"/>
      <c r="J2225" s="70"/>
      <c r="K2225" s="110" t="str">
        <f>IF(H2225="","",IF($C$29="간이법","",FPR(H2225,I2225,J2225)))</f>
        <v/>
      </c>
      <c r="L2225" s="111" t="str">
        <f>IF(H2225="","",IF($C$29="상세법",FPV(H2225,K2225),IF(H2225="EI",4,IF(H2225="EO",5.2,IF(H2225="EQ",3.9,IF(H2225="ILF",7.5,IF(H2225="EIF",5.4)))))))</f>
        <v/>
      </c>
      <c r="M2225" s="112" t="str">
        <f t="shared" si="37"/>
        <v/>
      </c>
      <c r="N2225" s="113"/>
    </row>
    <row r="2226" spans="2:14">
      <c r="B2226" s="105"/>
      <c r="C2226" s="106"/>
      <c r="D2226" s="107"/>
      <c r="E2226" s="65"/>
      <c r="F2226" s="64"/>
      <c r="G2226" s="64"/>
      <c r="H2226" s="64"/>
      <c r="I2226" s="70"/>
      <c r="J2226" s="70"/>
      <c r="K2226" s="110" t="str">
        <f>IF(H2226="","",IF($C$29="간이법","",FPR(H2226,I2226,J2226)))</f>
        <v/>
      </c>
      <c r="L2226" s="111" t="str">
        <f>IF(H2226="","",IF($C$29="상세법",FPV(H2226,K2226),IF(H2226="EI",4,IF(H2226="EO",5.2,IF(H2226="EQ",3.9,IF(H2226="ILF",7.5,IF(H2226="EIF",5.4)))))))</f>
        <v/>
      </c>
      <c r="M2226" s="112" t="str">
        <f t="shared" si="37"/>
        <v/>
      </c>
      <c r="N2226" s="113"/>
    </row>
    <row r="2227" spans="2:14">
      <c r="B2227" s="105"/>
      <c r="C2227" s="106"/>
      <c r="D2227" s="107"/>
      <c r="E2227" s="65"/>
      <c r="F2227" s="64"/>
      <c r="G2227" s="64"/>
      <c r="H2227" s="64"/>
      <c r="I2227" s="70"/>
      <c r="J2227" s="70"/>
      <c r="K2227" s="110" t="str">
        <f>IF(H2227="","",IF($C$29="간이법","",FPR(H2227,I2227,J2227)))</f>
        <v/>
      </c>
      <c r="L2227" s="111" t="str">
        <f>IF(H2227="","",IF($C$29="상세법",FPV(H2227,K2227),IF(H2227="EI",4,IF(H2227="EO",5.2,IF(H2227="EQ",3.9,IF(H2227="ILF",7.5,IF(H2227="EIF",5.4)))))))</f>
        <v/>
      </c>
      <c r="M2227" s="112" t="str">
        <f t="shared" si="37"/>
        <v/>
      </c>
      <c r="N2227" s="113"/>
    </row>
    <row r="2228" spans="2:14">
      <c r="B2228" s="105"/>
      <c r="C2228" s="106"/>
      <c r="D2228" s="107"/>
      <c r="E2228" s="65"/>
      <c r="F2228" s="64"/>
      <c r="G2228" s="64"/>
      <c r="H2228" s="64"/>
      <c r="I2228" s="70"/>
      <c r="J2228" s="70"/>
      <c r="K2228" s="110" t="str">
        <f>IF(H2228="","",IF($C$29="간이법","",FPR(H2228,I2228,J2228)))</f>
        <v/>
      </c>
      <c r="L2228" s="111" t="str">
        <f>IF(H2228="","",IF($C$29="상세법",FPV(H2228,K2228),IF(H2228="EI",4,IF(H2228="EO",5.2,IF(H2228="EQ",3.9,IF(H2228="ILF",7.5,IF(H2228="EIF",5.4)))))))</f>
        <v/>
      </c>
      <c r="M2228" s="112" t="str">
        <f t="shared" si="37"/>
        <v/>
      </c>
      <c r="N2228" s="113"/>
    </row>
    <row r="2229" spans="2:14">
      <c r="B2229" s="105"/>
      <c r="C2229" s="106"/>
      <c r="D2229" s="107"/>
      <c r="E2229" s="65"/>
      <c r="F2229" s="64"/>
      <c r="G2229" s="64"/>
      <c r="H2229" s="64"/>
      <c r="I2229" s="70"/>
      <c r="J2229" s="70"/>
      <c r="K2229" s="110" t="str">
        <f>IF(H2229="","",IF($C$29="간이법","",FPR(H2229,I2229,J2229)))</f>
        <v/>
      </c>
      <c r="L2229" s="111" t="str">
        <f>IF(H2229="","",IF($C$29="상세법",FPV(H2229,K2229),IF(H2229="EI",4,IF(H2229="EO",5.2,IF(H2229="EQ",3.9,IF(H2229="ILF",7.5,IF(H2229="EIF",5.4)))))))</f>
        <v/>
      </c>
      <c r="M2229" s="112" t="str">
        <f t="shared" si="37"/>
        <v/>
      </c>
      <c r="N2229" s="113"/>
    </row>
    <row r="2230" spans="2:14">
      <c r="B2230" s="105"/>
      <c r="C2230" s="106"/>
      <c r="D2230" s="107"/>
      <c r="E2230" s="65"/>
      <c r="F2230" s="64"/>
      <c r="G2230" s="64"/>
      <c r="H2230" s="64"/>
      <c r="I2230" s="70"/>
      <c r="J2230" s="70"/>
      <c r="K2230" s="110" t="str">
        <f>IF(H2230="","",IF($C$29="간이법","",FPR(H2230,I2230,J2230)))</f>
        <v/>
      </c>
      <c r="L2230" s="111" t="str">
        <f>IF(H2230="","",IF($C$29="상세법",FPV(H2230,K2230),IF(H2230="EI",4,IF(H2230="EO",5.2,IF(H2230="EQ",3.9,IF(H2230="ILF",7.5,IF(H2230="EIF",5.4)))))))</f>
        <v/>
      </c>
      <c r="M2230" s="112" t="str">
        <f t="shared" si="37"/>
        <v/>
      </c>
      <c r="N2230" s="113"/>
    </row>
    <row r="2231" spans="2:14">
      <c r="B2231" s="105"/>
      <c r="C2231" s="106"/>
      <c r="D2231" s="107"/>
      <c r="E2231" s="65"/>
      <c r="F2231" s="64"/>
      <c r="G2231" s="64"/>
      <c r="H2231" s="64"/>
      <c r="I2231" s="70"/>
      <c r="J2231" s="70"/>
      <c r="K2231" s="110" t="str">
        <f>IF(H2231="","",IF($C$29="간이법","",FPR(H2231,I2231,J2231)))</f>
        <v/>
      </c>
      <c r="L2231" s="111" t="str">
        <f>IF(H2231="","",IF($C$29="상세법",FPV(H2231,K2231),IF(H2231="EI",4,IF(H2231="EO",5.2,IF(H2231="EQ",3.9,IF(H2231="ILF",7.5,IF(H2231="EIF",5.4)))))))</f>
        <v/>
      </c>
      <c r="M2231" s="112" t="str">
        <f t="shared" si="37"/>
        <v/>
      </c>
      <c r="N2231" s="113"/>
    </row>
    <row r="2232" spans="2:14">
      <c r="B2232" s="105"/>
      <c r="C2232" s="106"/>
      <c r="D2232" s="107"/>
      <c r="E2232" s="65"/>
      <c r="F2232" s="64"/>
      <c r="G2232" s="64"/>
      <c r="H2232" s="64"/>
      <c r="I2232" s="70"/>
      <c r="J2232" s="70"/>
      <c r="K2232" s="110" t="str">
        <f>IF(H2232="","",IF($C$29="간이법","",FPR(H2232,I2232,J2232)))</f>
        <v/>
      </c>
      <c r="L2232" s="111" t="str">
        <f>IF(H2232="","",IF($C$29="상세법",FPV(H2232,K2232),IF(H2232="EI",4,IF(H2232="EO",5.2,IF(H2232="EQ",3.9,IF(H2232="ILF",7.5,IF(H2232="EIF",5.4)))))))</f>
        <v/>
      </c>
      <c r="M2232" s="112" t="str">
        <f t="shared" si="37"/>
        <v/>
      </c>
      <c r="N2232" s="113"/>
    </row>
    <row r="2233" spans="2:14">
      <c r="B2233" s="105"/>
      <c r="C2233" s="106"/>
      <c r="D2233" s="107"/>
      <c r="E2233" s="65"/>
      <c r="F2233" s="64"/>
      <c r="G2233" s="64"/>
      <c r="H2233" s="64"/>
      <c r="I2233" s="70"/>
      <c r="J2233" s="70"/>
      <c r="K2233" s="110" t="str">
        <f>IF(H2233="","",IF($C$29="간이법","",FPR(H2233,I2233,J2233)))</f>
        <v/>
      </c>
      <c r="L2233" s="111" t="str">
        <f>IF(H2233="","",IF($C$29="상세법",FPV(H2233,K2233),IF(H2233="EI",4,IF(H2233="EO",5.2,IF(H2233="EQ",3.9,IF(H2233="ILF",7.5,IF(H2233="EIF",5.4)))))))</f>
        <v/>
      </c>
      <c r="M2233" s="112" t="str">
        <f t="shared" ref="M2233:M2296" si="38">IF(L2233="","",L2233*IF(G2233="상",0.7,IF(G2233="중",0.5,IF(G2233="하",0.2,1))))</f>
        <v/>
      </c>
      <c r="N2233" s="113"/>
    </row>
    <row r="2234" spans="2:14">
      <c r="B2234" s="105"/>
      <c r="C2234" s="106"/>
      <c r="D2234" s="107"/>
      <c r="E2234" s="65"/>
      <c r="F2234" s="64"/>
      <c r="G2234" s="64"/>
      <c r="H2234" s="64"/>
      <c r="I2234" s="70"/>
      <c r="J2234" s="70"/>
      <c r="K2234" s="110" t="str">
        <f>IF(H2234="","",IF($C$29="간이법","",FPR(H2234,I2234,J2234)))</f>
        <v/>
      </c>
      <c r="L2234" s="111" t="str">
        <f>IF(H2234="","",IF($C$29="상세법",FPV(H2234,K2234),IF(H2234="EI",4,IF(H2234="EO",5.2,IF(H2234="EQ",3.9,IF(H2234="ILF",7.5,IF(H2234="EIF",5.4)))))))</f>
        <v/>
      </c>
      <c r="M2234" s="112" t="str">
        <f t="shared" si="38"/>
        <v/>
      </c>
      <c r="N2234" s="113"/>
    </row>
    <row r="2235" spans="2:14">
      <c r="B2235" s="105"/>
      <c r="C2235" s="106"/>
      <c r="D2235" s="107"/>
      <c r="E2235" s="65"/>
      <c r="F2235" s="64"/>
      <c r="G2235" s="64"/>
      <c r="H2235" s="64"/>
      <c r="I2235" s="70"/>
      <c r="J2235" s="70"/>
      <c r="K2235" s="110" t="str">
        <f>IF(H2235="","",IF($C$29="간이법","",FPR(H2235,I2235,J2235)))</f>
        <v/>
      </c>
      <c r="L2235" s="111" t="str">
        <f>IF(H2235="","",IF($C$29="상세법",FPV(H2235,K2235),IF(H2235="EI",4,IF(H2235="EO",5.2,IF(H2235="EQ",3.9,IF(H2235="ILF",7.5,IF(H2235="EIF",5.4)))))))</f>
        <v/>
      </c>
      <c r="M2235" s="112" t="str">
        <f t="shared" si="38"/>
        <v/>
      </c>
      <c r="N2235" s="113"/>
    </row>
    <row r="2236" spans="2:14">
      <c r="B2236" s="105"/>
      <c r="C2236" s="106"/>
      <c r="D2236" s="107"/>
      <c r="E2236" s="65"/>
      <c r="F2236" s="64"/>
      <c r="G2236" s="64"/>
      <c r="H2236" s="64"/>
      <c r="I2236" s="70"/>
      <c r="J2236" s="70"/>
      <c r="K2236" s="110" t="str">
        <f>IF(H2236="","",IF($C$29="간이법","",FPR(H2236,I2236,J2236)))</f>
        <v/>
      </c>
      <c r="L2236" s="111" t="str">
        <f>IF(H2236="","",IF($C$29="상세법",FPV(H2236,K2236),IF(H2236="EI",4,IF(H2236="EO",5.2,IF(H2236="EQ",3.9,IF(H2236="ILF",7.5,IF(H2236="EIF",5.4)))))))</f>
        <v/>
      </c>
      <c r="M2236" s="112" t="str">
        <f t="shared" si="38"/>
        <v/>
      </c>
      <c r="N2236" s="113"/>
    </row>
    <row r="2237" spans="2:14">
      <c r="B2237" s="105"/>
      <c r="C2237" s="106"/>
      <c r="D2237" s="107"/>
      <c r="E2237" s="65"/>
      <c r="F2237" s="64"/>
      <c r="G2237" s="64"/>
      <c r="H2237" s="64"/>
      <c r="I2237" s="70"/>
      <c r="J2237" s="70"/>
      <c r="K2237" s="110" t="str">
        <f>IF(H2237="","",IF($C$29="간이법","",FPR(H2237,I2237,J2237)))</f>
        <v/>
      </c>
      <c r="L2237" s="111" t="str">
        <f>IF(H2237="","",IF($C$29="상세법",FPV(H2237,K2237),IF(H2237="EI",4,IF(H2237="EO",5.2,IF(H2237="EQ",3.9,IF(H2237="ILF",7.5,IF(H2237="EIF",5.4)))))))</f>
        <v/>
      </c>
      <c r="M2237" s="112" t="str">
        <f t="shared" si="38"/>
        <v/>
      </c>
      <c r="N2237" s="113"/>
    </row>
    <row r="2238" spans="2:14">
      <c r="B2238" s="105"/>
      <c r="C2238" s="106"/>
      <c r="D2238" s="107"/>
      <c r="E2238" s="65"/>
      <c r="F2238" s="64"/>
      <c r="G2238" s="64"/>
      <c r="H2238" s="64"/>
      <c r="I2238" s="70"/>
      <c r="J2238" s="70"/>
      <c r="K2238" s="110" t="str">
        <f>IF(H2238="","",IF($C$29="간이법","",FPR(H2238,I2238,J2238)))</f>
        <v/>
      </c>
      <c r="L2238" s="111" t="str">
        <f>IF(H2238="","",IF($C$29="상세법",FPV(H2238,K2238),IF(H2238="EI",4,IF(H2238="EO",5.2,IF(H2238="EQ",3.9,IF(H2238="ILF",7.5,IF(H2238="EIF",5.4)))))))</f>
        <v/>
      </c>
      <c r="M2238" s="112" t="str">
        <f t="shared" si="38"/>
        <v/>
      </c>
      <c r="N2238" s="113"/>
    </row>
    <row r="2239" spans="2:14">
      <c r="B2239" s="105"/>
      <c r="C2239" s="106"/>
      <c r="D2239" s="107"/>
      <c r="E2239" s="65"/>
      <c r="F2239" s="64"/>
      <c r="G2239" s="64"/>
      <c r="H2239" s="64"/>
      <c r="I2239" s="70"/>
      <c r="J2239" s="70"/>
      <c r="K2239" s="110" t="str">
        <f>IF(H2239="","",IF($C$29="간이법","",FPR(H2239,I2239,J2239)))</f>
        <v/>
      </c>
      <c r="L2239" s="111" t="str">
        <f>IF(H2239="","",IF($C$29="상세법",FPV(H2239,K2239),IF(H2239="EI",4,IF(H2239="EO",5.2,IF(H2239="EQ",3.9,IF(H2239="ILF",7.5,IF(H2239="EIF",5.4)))))))</f>
        <v/>
      </c>
      <c r="M2239" s="112" t="str">
        <f t="shared" si="38"/>
        <v/>
      </c>
      <c r="N2239" s="113"/>
    </row>
    <row r="2240" spans="2:14">
      <c r="B2240" s="105"/>
      <c r="C2240" s="106"/>
      <c r="D2240" s="107"/>
      <c r="E2240" s="65"/>
      <c r="F2240" s="64"/>
      <c r="G2240" s="64"/>
      <c r="H2240" s="64"/>
      <c r="I2240" s="70"/>
      <c r="J2240" s="70"/>
      <c r="K2240" s="110" t="str">
        <f>IF(H2240="","",IF($C$29="간이법","",FPR(H2240,I2240,J2240)))</f>
        <v/>
      </c>
      <c r="L2240" s="111" t="str">
        <f>IF(H2240="","",IF($C$29="상세법",FPV(H2240,K2240),IF(H2240="EI",4,IF(H2240="EO",5.2,IF(H2240="EQ",3.9,IF(H2240="ILF",7.5,IF(H2240="EIF",5.4)))))))</f>
        <v/>
      </c>
      <c r="M2240" s="112" t="str">
        <f t="shared" si="38"/>
        <v/>
      </c>
      <c r="N2240" s="113"/>
    </row>
    <row r="2241" spans="2:14">
      <c r="B2241" s="105"/>
      <c r="C2241" s="106"/>
      <c r="D2241" s="107"/>
      <c r="E2241" s="65"/>
      <c r="F2241" s="64"/>
      <c r="G2241" s="64"/>
      <c r="H2241" s="64"/>
      <c r="I2241" s="70"/>
      <c r="J2241" s="70"/>
      <c r="K2241" s="110" t="str">
        <f>IF(H2241="","",IF($C$29="간이법","",FPR(H2241,I2241,J2241)))</f>
        <v/>
      </c>
      <c r="L2241" s="111" t="str">
        <f>IF(H2241="","",IF($C$29="상세법",FPV(H2241,K2241),IF(H2241="EI",4,IF(H2241="EO",5.2,IF(H2241="EQ",3.9,IF(H2241="ILF",7.5,IF(H2241="EIF",5.4)))))))</f>
        <v/>
      </c>
      <c r="M2241" s="112" t="str">
        <f t="shared" si="38"/>
        <v/>
      </c>
      <c r="N2241" s="113"/>
    </row>
    <row r="2242" spans="2:14">
      <c r="B2242" s="105"/>
      <c r="C2242" s="106"/>
      <c r="D2242" s="107"/>
      <c r="E2242" s="65"/>
      <c r="F2242" s="64"/>
      <c r="G2242" s="64"/>
      <c r="H2242" s="64"/>
      <c r="I2242" s="70"/>
      <c r="J2242" s="70"/>
      <c r="K2242" s="110" t="str">
        <f>IF(H2242="","",IF($C$29="간이법","",FPR(H2242,I2242,J2242)))</f>
        <v/>
      </c>
      <c r="L2242" s="111" t="str">
        <f>IF(H2242="","",IF($C$29="상세법",FPV(H2242,K2242),IF(H2242="EI",4,IF(H2242="EO",5.2,IF(H2242="EQ",3.9,IF(H2242="ILF",7.5,IF(H2242="EIF",5.4)))))))</f>
        <v/>
      </c>
      <c r="M2242" s="112" t="str">
        <f t="shared" si="38"/>
        <v/>
      </c>
      <c r="N2242" s="113"/>
    </row>
    <row r="2243" spans="2:14">
      <c r="B2243" s="105"/>
      <c r="C2243" s="106"/>
      <c r="D2243" s="107"/>
      <c r="E2243" s="65"/>
      <c r="F2243" s="64"/>
      <c r="G2243" s="64"/>
      <c r="H2243" s="64"/>
      <c r="I2243" s="70"/>
      <c r="J2243" s="70"/>
      <c r="K2243" s="110" t="str">
        <f>IF(H2243="","",IF($C$29="간이법","",FPR(H2243,I2243,J2243)))</f>
        <v/>
      </c>
      <c r="L2243" s="111" t="str">
        <f>IF(H2243="","",IF($C$29="상세법",FPV(H2243,K2243),IF(H2243="EI",4,IF(H2243="EO",5.2,IF(H2243="EQ",3.9,IF(H2243="ILF",7.5,IF(H2243="EIF",5.4)))))))</f>
        <v/>
      </c>
      <c r="M2243" s="112" t="str">
        <f t="shared" si="38"/>
        <v/>
      </c>
      <c r="N2243" s="113"/>
    </row>
    <row r="2244" spans="2:14">
      <c r="B2244" s="105"/>
      <c r="C2244" s="106"/>
      <c r="D2244" s="107"/>
      <c r="E2244" s="65"/>
      <c r="F2244" s="64"/>
      <c r="G2244" s="64"/>
      <c r="H2244" s="64"/>
      <c r="I2244" s="70"/>
      <c r="J2244" s="70"/>
      <c r="K2244" s="110" t="str">
        <f>IF(H2244="","",IF($C$29="간이법","",FPR(H2244,I2244,J2244)))</f>
        <v/>
      </c>
      <c r="L2244" s="111" t="str">
        <f>IF(H2244="","",IF($C$29="상세법",FPV(H2244,K2244),IF(H2244="EI",4,IF(H2244="EO",5.2,IF(H2244="EQ",3.9,IF(H2244="ILF",7.5,IF(H2244="EIF",5.4)))))))</f>
        <v/>
      </c>
      <c r="M2244" s="112" t="str">
        <f t="shared" si="38"/>
        <v/>
      </c>
      <c r="N2244" s="113"/>
    </row>
    <row r="2245" spans="2:14">
      <c r="B2245" s="105"/>
      <c r="C2245" s="106"/>
      <c r="D2245" s="107"/>
      <c r="E2245" s="65"/>
      <c r="F2245" s="64"/>
      <c r="G2245" s="64"/>
      <c r="H2245" s="64"/>
      <c r="I2245" s="70"/>
      <c r="J2245" s="70"/>
      <c r="K2245" s="110" t="str">
        <f>IF(H2245="","",IF($C$29="간이법","",FPR(H2245,I2245,J2245)))</f>
        <v/>
      </c>
      <c r="L2245" s="111" t="str">
        <f>IF(H2245="","",IF($C$29="상세법",FPV(H2245,K2245),IF(H2245="EI",4,IF(H2245="EO",5.2,IF(H2245="EQ",3.9,IF(H2245="ILF",7.5,IF(H2245="EIF",5.4)))))))</f>
        <v/>
      </c>
      <c r="M2245" s="112" t="str">
        <f t="shared" si="38"/>
        <v/>
      </c>
      <c r="N2245" s="113"/>
    </row>
    <row r="2246" spans="2:14">
      <c r="B2246" s="105"/>
      <c r="C2246" s="106"/>
      <c r="D2246" s="107"/>
      <c r="E2246" s="65"/>
      <c r="F2246" s="64"/>
      <c r="G2246" s="64"/>
      <c r="H2246" s="64"/>
      <c r="I2246" s="70"/>
      <c r="J2246" s="70"/>
      <c r="K2246" s="110" t="str">
        <f>IF(H2246="","",IF($C$29="간이법","",FPR(H2246,I2246,J2246)))</f>
        <v/>
      </c>
      <c r="L2246" s="111" t="str">
        <f>IF(H2246="","",IF($C$29="상세법",FPV(H2246,K2246),IF(H2246="EI",4,IF(H2246="EO",5.2,IF(H2246="EQ",3.9,IF(H2246="ILF",7.5,IF(H2246="EIF",5.4)))))))</f>
        <v/>
      </c>
      <c r="M2246" s="112" t="str">
        <f t="shared" si="38"/>
        <v/>
      </c>
      <c r="N2246" s="113"/>
    </row>
    <row r="2247" spans="2:14">
      <c r="B2247" s="105"/>
      <c r="C2247" s="106"/>
      <c r="D2247" s="107"/>
      <c r="E2247" s="65"/>
      <c r="F2247" s="64"/>
      <c r="G2247" s="64"/>
      <c r="H2247" s="64"/>
      <c r="I2247" s="70"/>
      <c r="J2247" s="70"/>
      <c r="K2247" s="110" t="str">
        <f>IF(H2247="","",IF($C$29="간이법","",FPR(H2247,I2247,J2247)))</f>
        <v/>
      </c>
      <c r="L2247" s="111" t="str">
        <f>IF(H2247="","",IF($C$29="상세법",FPV(H2247,K2247),IF(H2247="EI",4,IF(H2247="EO",5.2,IF(H2247="EQ",3.9,IF(H2247="ILF",7.5,IF(H2247="EIF",5.4)))))))</f>
        <v/>
      </c>
      <c r="M2247" s="112" t="str">
        <f t="shared" si="38"/>
        <v/>
      </c>
      <c r="N2247" s="113"/>
    </row>
    <row r="2248" spans="2:14">
      <c r="B2248" s="105"/>
      <c r="C2248" s="106"/>
      <c r="D2248" s="107"/>
      <c r="E2248" s="65"/>
      <c r="F2248" s="64"/>
      <c r="G2248" s="64"/>
      <c r="H2248" s="64"/>
      <c r="I2248" s="70"/>
      <c r="J2248" s="70"/>
      <c r="K2248" s="110" t="str">
        <f>IF(H2248="","",IF($C$29="간이법","",FPR(H2248,I2248,J2248)))</f>
        <v/>
      </c>
      <c r="L2248" s="111" t="str">
        <f>IF(H2248="","",IF($C$29="상세법",FPV(H2248,K2248),IF(H2248="EI",4,IF(H2248="EO",5.2,IF(H2248="EQ",3.9,IF(H2248="ILF",7.5,IF(H2248="EIF",5.4)))))))</f>
        <v/>
      </c>
      <c r="M2248" s="112" t="str">
        <f t="shared" si="38"/>
        <v/>
      </c>
      <c r="N2248" s="113"/>
    </row>
    <row r="2249" spans="2:14">
      <c r="B2249" s="105"/>
      <c r="C2249" s="106"/>
      <c r="D2249" s="107"/>
      <c r="E2249" s="65"/>
      <c r="F2249" s="64"/>
      <c r="G2249" s="64"/>
      <c r="H2249" s="64"/>
      <c r="I2249" s="70"/>
      <c r="J2249" s="70"/>
      <c r="K2249" s="110" t="str">
        <f>IF(H2249="","",IF($C$29="간이법","",FPR(H2249,I2249,J2249)))</f>
        <v/>
      </c>
      <c r="L2249" s="111" t="str">
        <f>IF(H2249="","",IF($C$29="상세법",FPV(H2249,K2249),IF(H2249="EI",4,IF(H2249="EO",5.2,IF(H2249="EQ",3.9,IF(H2249="ILF",7.5,IF(H2249="EIF",5.4)))))))</f>
        <v/>
      </c>
      <c r="M2249" s="112" t="str">
        <f t="shared" si="38"/>
        <v/>
      </c>
      <c r="N2249" s="113"/>
    </row>
    <row r="2250" spans="2:14">
      <c r="B2250" s="105"/>
      <c r="C2250" s="106"/>
      <c r="D2250" s="107"/>
      <c r="E2250" s="65"/>
      <c r="F2250" s="64"/>
      <c r="G2250" s="64"/>
      <c r="H2250" s="64"/>
      <c r="I2250" s="70"/>
      <c r="J2250" s="70"/>
      <c r="K2250" s="110" t="str">
        <f>IF(H2250="","",IF($C$29="간이법","",FPR(H2250,I2250,J2250)))</f>
        <v/>
      </c>
      <c r="L2250" s="111" t="str">
        <f>IF(H2250="","",IF($C$29="상세법",FPV(H2250,K2250),IF(H2250="EI",4,IF(H2250="EO",5.2,IF(H2250="EQ",3.9,IF(H2250="ILF",7.5,IF(H2250="EIF",5.4)))))))</f>
        <v/>
      </c>
      <c r="M2250" s="112" t="str">
        <f t="shared" si="38"/>
        <v/>
      </c>
      <c r="N2250" s="113"/>
    </row>
    <row r="2251" spans="2:14">
      <c r="B2251" s="105"/>
      <c r="C2251" s="106"/>
      <c r="D2251" s="107"/>
      <c r="E2251" s="65"/>
      <c r="F2251" s="64"/>
      <c r="G2251" s="64"/>
      <c r="H2251" s="64"/>
      <c r="I2251" s="70"/>
      <c r="J2251" s="70"/>
      <c r="K2251" s="110" t="str">
        <f>IF(H2251="","",IF($C$29="간이법","",FPR(H2251,I2251,J2251)))</f>
        <v/>
      </c>
      <c r="L2251" s="111" t="str">
        <f>IF(H2251="","",IF($C$29="상세법",FPV(H2251,K2251),IF(H2251="EI",4,IF(H2251="EO",5.2,IF(H2251="EQ",3.9,IF(H2251="ILF",7.5,IF(H2251="EIF",5.4)))))))</f>
        <v/>
      </c>
      <c r="M2251" s="112" t="str">
        <f t="shared" si="38"/>
        <v/>
      </c>
      <c r="N2251" s="113"/>
    </row>
    <row r="2252" spans="2:14">
      <c r="B2252" s="105"/>
      <c r="C2252" s="106"/>
      <c r="D2252" s="107"/>
      <c r="E2252" s="65"/>
      <c r="F2252" s="64"/>
      <c r="G2252" s="64"/>
      <c r="H2252" s="64"/>
      <c r="I2252" s="70"/>
      <c r="J2252" s="70"/>
      <c r="K2252" s="110" t="str">
        <f>IF(H2252="","",IF($C$29="간이법","",FPR(H2252,I2252,J2252)))</f>
        <v/>
      </c>
      <c r="L2252" s="111" t="str">
        <f>IF(H2252="","",IF($C$29="상세법",FPV(H2252,K2252),IF(H2252="EI",4,IF(H2252="EO",5.2,IF(H2252="EQ",3.9,IF(H2252="ILF",7.5,IF(H2252="EIF",5.4)))))))</f>
        <v/>
      </c>
      <c r="M2252" s="112" t="str">
        <f t="shared" si="38"/>
        <v/>
      </c>
      <c r="N2252" s="113"/>
    </row>
    <row r="2253" spans="2:14">
      <c r="B2253" s="105"/>
      <c r="C2253" s="106"/>
      <c r="D2253" s="107"/>
      <c r="E2253" s="65"/>
      <c r="F2253" s="64"/>
      <c r="G2253" s="64"/>
      <c r="H2253" s="64"/>
      <c r="I2253" s="70"/>
      <c r="J2253" s="70"/>
      <c r="K2253" s="110" t="str">
        <f>IF(H2253="","",IF($C$29="간이법","",FPR(H2253,I2253,J2253)))</f>
        <v/>
      </c>
      <c r="L2253" s="111" t="str">
        <f>IF(H2253="","",IF($C$29="상세법",FPV(H2253,K2253),IF(H2253="EI",4,IF(H2253="EO",5.2,IF(H2253="EQ",3.9,IF(H2253="ILF",7.5,IF(H2253="EIF",5.4)))))))</f>
        <v/>
      </c>
      <c r="M2253" s="112" t="str">
        <f t="shared" si="38"/>
        <v/>
      </c>
      <c r="N2253" s="113"/>
    </row>
    <row r="2254" spans="2:14">
      <c r="B2254" s="105"/>
      <c r="C2254" s="106"/>
      <c r="D2254" s="107"/>
      <c r="E2254" s="65"/>
      <c r="F2254" s="64"/>
      <c r="G2254" s="64"/>
      <c r="H2254" s="64"/>
      <c r="I2254" s="70"/>
      <c r="J2254" s="70"/>
      <c r="K2254" s="110" t="str">
        <f>IF(H2254="","",IF($C$29="간이법","",FPR(H2254,I2254,J2254)))</f>
        <v/>
      </c>
      <c r="L2254" s="111" t="str">
        <f>IF(H2254="","",IF($C$29="상세법",FPV(H2254,K2254),IF(H2254="EI",4,IF(H2254="EO",5.2,IF(H2254="EQ",3.9,IF(H2254="ILF",7.5,IF(H2254="EIF",5.4)))))))</f>
        <v/>
      </c>
      <c r="M2254" s="112" t="str">
        <f t="shared" si="38"/>
        <v/>
      </c>
      <c r="N2254" s="113"/>
    </row>
    <row r="2255" spans="2:14">
      <c r="B2255" s="105"/>
      <c r="C2255" s="106"/>
      <c r="D2255" s="107"/>
      <c r="E2255" s="65"/>
      <c r="F2255" s="64"/>
      <c r="G2255" s="64"/>
      <c r="H2255" s="64"/>
      <c r="I2255" s="70"/>
      <c r="J2255" s="70"/>
      <c r="K2255" s="110" t="str">
        <f>IF(H2255="","",IF($C$29="간이법","",FPR(H2255,I2255,J2255)))</f>
        <v/>
      </c>
      <c r="L2255" s="111" t="str">
        <f>IF(H2255="","",IF($C$29="상세법",FPV(H2255,K2255),IF(H2255="EI",4,IF(H2255="EO",5.2,IF(H2255="EQ",3.9,IF(H2255="ILF",7.5,IF(H2255="EIF",5.4)))))))</f>
        <v/>
      </c>
      <c r="M2255" s="112" t="str">
        <f t="shared" si="38"/>
        <v/>
      </c>
      <c r="N2255" s="113"/>
    </row>
    <row r="2256" spans="2:14">
      <c r="B2256" s="105"/>
      <c r="C2256" s="106"/>
      <c r="D2256" s="107"/>
      <c r="E2256" s="65"/>
      <c r="F2256" s="64"/>
      <c r="G2256" s="64"/>
      <c r="H2256" s="64"/>
      <c r="I2256" s="70"/>
      <c r="J2256" s="70"/>
      <c r="K2256" s="110" t="str">
        <f>IF(H2256="","",IF($C$29="간이법","",FPR(H2256,I2256,J2256)))</f>
        <v/>
      </c>
      <c r="L2256" s="111" t="str">
        <f>IF(H2256="","",IF($C$29="상세법",FPV(H2256,K2256),IF(H2256="EI",4,IF(H2256="EO",5.2,IF(H2256="EQ",3.9,IF(H2256="ILF",7.5,IF(H2256="EIF",5.4)))))))</f>
        <v/>
      </c>
      <c r="M2256" s="112" t="str">
        <f t="shared" si="38"/>
        <v/>
      </c>
      <c r="N2256" s="113"/>
    </row>
    <row r="2257" spans="2:14">
      <c r="B2257" s="105"/>
      <c r="C2257" s="106"/>
      <c r="D2257" s="107"/>
      <c r="E2257" s="65"/>
      <c r="F2257" s="64"/>
      <c r="G2257" s="64"/>
      <c r="H2257" s="64"/>
      <c r="I2257" s="70"/>
      <c r="J2257" s="70"/>
      <c r="K2257" s="110" t="str">
        <f>IF(H2257="","",IF($C$29="간이법","",FPR(H2257,I2257,J2257)))</f>
        <v/>
      </c>
      <c r="L2257" s="111" t="str">
        <f>IF(H2257="","",IF($C$29="상세법",FPV(H2257,K2257),IF(H2257="EI",4,IF(H2257="EO",5.2,IF(H2257="EQ",3.9,IF(H2257="ILF",7.5,IF(H2257="EIF",5.4)))))))</f>
        <v/>
      </c>
      <c r="M2257" s="112" t="str">
        <f t="shared" si="38"/>
        <v/>
      </c>
      <c r="N2257" s="113"/>
    </row>
    <row r="2258" spans="2:14">
      <c r="B2258" s="105"/>
      <c r="C2258" s="106"/>
      <c r="D2258" s="107"/>
      <c r="E2258" s="65"/>
      <c r="F2258" s="64"/>
      <c r="G2258" s="64"/>
      <c r="H2258" s="64"/>
      <c r="I2258" s="70"/>
      <c r="J2258" s="70"/>
      <c r="K2258" s="110" t="str">
        <f>IF(H2258="","",IF($C$29="간이법","",FPR(H2258,I2258,J2258)))</f>
        <v/>
      </c>
      <c r="L2258" s="111" t="str">
        <f>IF(H2258="","",IF($C$29="상세법",FPV(H2258,K2258),IF(H2258="EI",4,IF(H2258="EO",5.2,IF(H2258="EQ",3.9,IF(H2258="ILF",7.5,IF(H2258="EIF",5.4)))))))</f>
        <v/>
      </c>
      <c r="M2258" s="112" t="str">
        <f t="shared" si="38"/>
        <v/>
      </c>
      <c r="N2258" s="113"/>
    </row>
    <row r="2259" spans="2:14">
      <c r="B2259" s="105"/>
      <c r="C2259" s="106"/>
      <c r="D2259" s="107"/>
      <c r="E2259" s="65"/>
      <c r="F2259" s="64"/>
      <c r="G2259" s="64"/>
      <c r="H2259" s="64"/>
      <c r="I2259" s="70"/>
      <c r="J2259" s="70"/>
      <c r="K2259" s="110" t="str">
        <f>IF(H2259="","",IF($C$29="간이법","",FPR(H2259,I2259,J2259)))</f>
        <v/>
      </c>
      <c r="L2259" s="111" t="str">
        <f>IF(H2259="","",IF($C$29="상세법",FPV(H2259,K2259),IF(H2259="EI",4,IF(H2259="EO",5.2,IF(H2259="EQ",3.9,IF(H2259="ILF",7.5,IF(H2259="EIF",5.4)))))))</f>
        <v/>
      </c>
      <c r="M2259" s="112" t="str">
        <f t="shared" si="38"/>
        <v/>
      </c>
      <c r="N2259" s="113"/>
    </row>
    <row r="2260" spans="2:14">
      <c r="B2260" s="105"/>
      <c r="C2260" s="106"/>
      <c r="D2260" s="107"/>
      <c r="E2260" s="65"/>
      <c r="F2260" s="64"/>
      <c r="G2260" s="64"/>
      <c r="H2260" s="64"/>
      <c r="I2260" s="70"/>
      <c r="J2260" s="70"/>
      <c r="K2260" s="110" t="str">
        <f>IF(H2260="","",IF($C$29="간이법","",FPR(H2260,I2260,J2260)))</f>
        <v/>
      </c>
      <c r="L2260" s="111" t="str">
        <f>IF(H2260="","",IF($C$29="상세법",FPV(H2260,K2260),IF(H2260="EI",4,IF(H2260="EO",5.2,IF(H2260="EQ",3.9,IF(H2260="ILF",7.5,IF(H2260="EIF",5.4)))))))</f>
        <v/>
      </c>
      <c r="M2260" s="112" t="str">
        <f t="shared" si="38"/>
        <v/>
      </c>
      <c r="N2260" s="113"/>
    </row>
    <row r="2261" spans="2:14">
      <c r="B2261" s="105"/>
      <c r="C2261" s="106"/>
      <c r="D2261" s="107"/>
      <c r="E2261" s="65"/>
      <c r="F2261" s="64"/>
      <c r="G2261" s="64"/>
      <c r="H2261" s="64"/>
      <c r="I2261" s="70"/>
      <c r="J2261" s="70"/>
      <c r="K2261" s="110" t="str">
        <f>IF(H2261="","",IF($C$29="간이법","",FPR(H2261,I2261,J2261)))</f>
        <v/>
      </c>
      <c r="L2261" s="111" t="str">
        <f>IF(H2261="","",IF($C$29="상세법",FPV(H2261,K2261),IF(H2261="EI",4,IF(H2261="EO",5.2,IF(H2261="EQ",3.9,IF(H2261="ILF",7.5,IF(H2261="EIF",5.4)))))))</f>
        <v/>
      </c>
      <c r="M2261" s="112" t="str">
        <f t="shared" si="38"/>
        <v/>
      </c>
      <c r="N2261" s="113"/>
    </row>
    <row r="2262" spans="2:14">
      <c r="B2262" s="105"/>
      <c r="C2262" s="106"/>
      <c r="D2262" s="107"/>
      <c r="E2262" s="65"/>
      <c r="F2262" s="64"/>
      <c r="G2262" s="64"/>
      <c r="H2262" s="64"/>
      <c r="I2262" s="70"/>
      <c r="J2262" s="70"/>
      <c r="K2262" s="110" t="str">
        <f>IF(H2262="","",IF($C$29="간이법","",FPR(H2262,I2262,J2262)))</f>
        <v/>
      </c>
      <c r="L2262" s="111" t="str">
        <f>IF(H2262="","",IF($C$29="상세법",FPV(H2262,K2262),IF(H2262="EI",4,IF(H2262="EO",5.2,IF(H2262="EQ",3.9,IF(H2262="ILF",7.5,IF(H2262="EIF",5.4)))))))</f>
        <v/>
      </c>
      <c r="M2262" s="112" t="str">
        <f t="shared" si="38"/>
        <v/>
      </c>
      <c r="N2262" s="113"/>
    </row>
    <row r="2263" spans="2:14">
      <c r="B2263" s="105"/>
      <c r="C2263" s="106"/>
      <c r="D2263" s="107"/>
      <c r="E2263" s="65"/>
      <c r="F2263" s="64"/>
      <c r="G2263" s="64"/>
      <c r="H2263" s="64"/>
      <c r="I2263" s="70"/>
      <c r="J2263" s="70"/>
      <c r="K2263" s="110" t="str">
        <f>IF(H2263="","",IF($C$29="간이법","",FPR(H2263,I2263,J2263)))</f>
        <v/>
      </c>
      <c r="L2263" s="111" t="str">
        <f>IF(H2263="","",IF($C$29="상세법",FPV(H2263,K2263),IF(H2263="EI",4,IF(H2263="EO",5.2,IF(H2263="EQ",3.9,IF(H2263="ILF",7.5,IF(H2263="EIF",5.4)))))))</f>
        <v/>
      </c>
      <c r="M2263" s="112" t="str">
        <f t="shared" si="38"/>
        <v/>
      </c>
      <c r="N2263" s="113"/>
    </row>
    <row r="2264" spans="2:14">
      <c r="B2264" s="105"/>
      <c r="C2264" s="106"/>
      <c r="D2264" s="107"/>
      <c r="E2264" s="65"/>
      <c r="F2264" s="64"/>
      <c r="G2264" s="64"/>
      <c r="H2264" s="64"/>
      <c r="I2264" s="70"/>
      <c r="J2264" s="70"/>
      <c r="K2264" s="110" t="str">
        <f>IF(H2264="","",IF($C$29="간이법","",FPR(H2264,I2264,J2264)))</f>
        <v/>
      </c>
      <c r="L2264" s="111" t="str">
        <f>IF(H2264="","",IF($C$29="상세법",FPV(H2264,K2264),IF(H2264="EI",4,IF(H2264="EO",5.2,IF(H2264="EQ",3.9,IF(H2264="ILF",7.5,IF(H2264="EIF",5.4)))))))</f>
        <v/>
      </c>
      <c r="M2264" s="112" t="str">
        <f t="shared" si="38"/>
        <v/>
      </c>
      <c r="N2264" s="113"/>
    </row>
    <row r="2265" spans="2:14">
      <c r="B2265" s="105"/>
      <c r="C2265" s="106"/>
      <c r="D2265" s="107"/>
      <c r="E2265" s="65"/>
      <c r="F2265" s="64"/>
      <c r="G2265" s="64"/>
      <c r="H2265" s="64"/>
      <c r="I2265" s="70"/>
      <c r="J2265" s="70"/>
      <c r="K2265" s="110" t="str">
        <f>IF(H2265="","",IF($C$29="간이법","",FPR(H2265,I2265,J2265)))</f>
        <v/>
      </c>
      <c r="L2265" s="111" t="str">
        <f>IF(H2265="","",IF($C$29="상세법",FPV(H2265,K2265),IF(H2265="EI",4,IF(H2265="EO",5.2,IF(H2265="EQ",3.9,IF(H2265="ILF",7.5,IF(H2265="EIF",5.4)))))))</f>
        <v/>
      </c>
      <c r="M2265" s="112" t="str">
        <f t="shared" si="38"/>
        <v/>
      </c>
      <c r="N2265" s="113"/>
    </row>
    <row r="2266" spans="2:14">
      <c r="B2266" s="105"/>
      <c r="C2266" s="106"/>
      <c r="D2266" s="107"/>
      <c r="E2266" s="65"/>
      <c r="F2266" s="64"/>
      <c r="G2266" s="64"/>
      <c r="H2266" s="64"/>
      <c r="I2266" s="70"/>
      <c r="J2266" s="70"/>
      <c r="K2266" s="110" t="str">
        <f>IF(H2266="","",IF($C$29="간이법","",FPR(H2266,I2266,J2266)))</f>
        <v/>
      </c>
      <c r="L2266" s="111" t="str">
        <f>IF(H2266="","",IF($C$29="상세법",FPV(H2266,K2266),IF(H2266="EI",4,IF(H2266="EO",5.2,IF(H2266="EQ",3.9,IF(H2266="ILF",7.5,IF(H2266="EIF",5.4)))))))</f>
        <v/>
      </c>
      <c r="M2266" s="112" t="str">
        <f t="shared" si="38"/>
        <v/>
      </c>
      <c r="N2266" s="113"/>
    </row>
    <row r="2267" spans="2:14">
      <c r="B2267" s="105"/>
      <c r="C2267" s="106"/>
      <c r="D2267" s="107"/>
      <c r="E2267" s="65"/>
      <c r="F2267" s="64"/>
      <c r="G2267" s="64"/>
      <c r="H2267" s="64"/>
      <c r="I2267" s="70"/>
      <c r="J2267" s="70"/>
      <c r="K2267" s="110" t="str">
        <f>IF(H2267="","",IF($C$29="간이법","",FPR(H2267,I2267,J2267)))</f>
        <v/>
      </c>
      <c r="L2267" s="111" t="str">
        <f>IF(H2267="","",IF($C$29="상세법",FPV(H2267,K2267),IF(H2267="EI",4,IF(H2267="EO",5.2,IF(H2267="EQ",3.9,IF(H2267="ILF",7.5,IF(H2267="EIF",5.4)))))))</f>
        <v/>
      </c>
      <c r="M2267" s="112" t="str">
        <f t="shared" si="38"/>
        <v/>
      </c>
      <c r="N2267" s="113"/>
    </row>
    <row r="2268" spans="2:14">
      <c r="B2268" s="105"/>
      <c r="C2268" s="106"/>
      <c r="D2268" s="107"/>
      <c r="E2268" s="65"/>
      <c r="F2268" s="64"/>
      <c r="G2268" s="64"/>
      <c r="H2268" s="64"/>
      <c r="I2268" s="70"/>
      <c r="J2268" s="70"/>
      <c r="K2268" s="110" t="str">
        <f>IF(H2268="","",IF($C$29="간이법","",FPR(H2268,I2268,J2268)))</f>
        <v/>
      </c>
      <c r="L2268" s="111" t="str">
        <f>IF(H2268="","",IF($C$29="상세법",FPV(H2268,K2268),IF(H2268="EI",4,IF(H2268="EO",5.2,IF(H2268="EQ",3.9,IF(H2268="ILF",7.5,IF(H2268="EIF",5.4)))))))</f>
        <v/>
      </c>
      <c r="M2268" s="112" t="str">
        <f t="shared" si="38"/>
        <v/>
      </c>
      <c r="N2268" s="113"/>
    </row>
    <row r="2269" spans="2:14">
      <c r="B2269" s="105"/>
      <c r="C2269" s="106"/>
      <c r="D2269" s="107"/>
      <c r="E2269" s="65"/>
      <c r="F2269" s="64"/>
      <c r="G2269" s="64"/>
      <c r="H2269" s="64"/>
      <c r="I2269" s="70"/>
      <c r="J2269" s="70"/>
      <c r="K2269" s="110" t="str">
        <f>IF(H2269="","",IF($C$29="간이법","",FPR(H2269,I2269,J2269)))</f>
        <v/>
      </c>
      <c r="L2269" s="111" t="str">
        <f>IF(H2269="","",IF($C$29="상세법",FPV(H2269,K2269),IF(H2269="EI",4,IF(H2269="EO",5.2,IF(H2269="EQ",3.9,IF(H2269="ILF",7.5,IF(H2269="EIF",5.4)))))))</f>
        <v/>
      </c>
      <c r="M2269" s="112" t="str">
        <f t="shared" si="38"/>
        <v/>
      </c>
      <c r="N2269" s="113"/>
    </row>
    <row r="2270" spans="2:14">
      <c r="B2270" s="105"/>
      <c r="C2270" s="106"/>
      <c r="D2270" s="107"/>
      <c r="E2270" s="65"/>
      <c r="F2270" s="64"/>
      <c r="G2270" s="64"/>
      <c r="H2270" s="64"/>
      <c r="I2270" s="70"/>
      <c r="J2270" s="70"/>
      <c r="K2270" s="110" t="str">
        <f>IF(H2270="","",IF($C$29="간이법","",FPR(H2270,I2270,J2270)))</f>
        <v/>
      </c>
      <c r="L2270" s="111" t="str">
        <f>IF(H2270="","",IF($C$29="상세법",FPV(H2270,K2270),IF(H2270="EI",4,IF(H2270="EO",5.2,IF(H2270="EQ",3.9,IF(H2270="ILF",7.5,IF(H2270="EIF",5.4)))))))</f>
        <v/>
      </c>
      <c r="M2270" s="112" t="str">
        <f t="shared" si="38"/>
        <v/>
      </c>
      <c r="N2270" s="113"/>
    </row>
    <row r="2271" spans="2:14">
      <c r="B2271" s="105"/>
      <c r="C2271" s="106"/>
      <c r="D2271" s="107"/>
      <c r="E2271" s="65"/>
      <c r="F2271" s="64"/>
      <c r="G2271" s="64"/>
      <c r="H2271" s="64"/>
      <c r="I2271" s="70"/>
      <c r="J2271" s="70"/>
      <c r="K2271" s="110" t="str">
        <f>IF(H2271="","",IF($C$29="간이법","",FPR(H2271,I2271,J2271)))</f>
        <v/>
      </c>
      <c r="L2271" s="111" t="str">
        <f>IF(H2271="","",IF($C$29="상세법",FPV(H2271,K2271),IF(H2271="EI",4,IF(H2271="EO",5.2,IF(H2271="EQ",3.9,IF(H2271="ILF",7.5,IF(H2271="EIF",5.4)))))))</f>
        <v/>
      </c>
      <c r="M2271" s="112" t="str">
        <f t="shared" si="38"/>
        <v/>
      </c>
      <c r="N2271" s="113"/>
    </row>
    <row r="2272" spans="2:14">
      <c r="B2272" s="105"/>
      <c r="C2272" s="106"/>
      <c r="D2272" s="107"/>
      <c r="E2272" s="65"/>
      <c r="F2272" s="64"/>
      <c r="G2272" s="64"/>
      <c r="H2272" s="64"/>
      <c r="I2272" s="70"/>
      <c r="J2272" s="70"/>
      <c r="K2272" s="110" t="str">
        <f>IF(H2272="","",IF($C$29="간이법","",FPR(H2272,I2272,J2272)))</f>
        <v/>
      </c>
      <c r="L2272" s="111" t="str">
        <f>IF(H2272="","",IF($C$29="상세법",FPV(H2272,K2272),IF(H2272="EI",4,IF(H2272="EO",5.2,IF(H2272="EQ",3.9,IF(H2272="ILF",7.5,IF(H2272="EIF",5.4)))))))</f>
        <v/>
      </c>
      <c r="M2272" s="112" t="str">
        <f t="shared" si="38"/>
        <v/>
      </c>
      <c r="N2272" s="113"/>
    </row>
    <row r="2273" spans="2:14">
      <c r="B2273" s="105"/>
      <c r="C2273" s="106"/>
      <c r="D2273" s="107"/>
      <c r="E2273" s="65"/>
      <c r="F2273" s="64"/>
      <c r="G2273" s="64"/>
      <c r="H2273" s="64"/>
      <c r="I2273" s="70"/>
      <c r="J2273" s="70"/>
      <c r="K2273" s="110" t="str">
        <f>IF(H2273="","",IF($C$29="간이법","",FPR(H2273,I2273,J2273)))</f>
        <v/>
      </c>
      <c r="L2273" s="111" t="str">
        <f>IF(H2273="","",IF($C$29="상세법",FPV(H2273,K2273),IF(H2273="EI",4,IF(H2273="EO",5.2,IF(H2273="EQ",3.9,IF(H2273="ILF",7.5,IF(H2273="EIF",5.4)))))))</f>
        <v/>
      </c>
      <c r="M2273" s="112" t="str">
        <f t="shared" si="38"/>
        <v/>
      </c>
      <c r="N2273" s="113"/>
    </row>
    <row r="2274" spans="2:14">
      <c r="B2274" s="105"/>
      <c r="C2274" s="106"/>
      <c r="D2274" s="107"/>
      <c r="E2274" s="65"/>
      <c r="F2274" s="64"/>
      <c r="G2274" s="64"/>
      <c r="H2274" s="64"/>
      <c r="I2274" s="70"/>
      <c r="J2274" s="70"/>
      <c r="K2274" s="110" t="str">
        <f>IF(H2274="","",IF($C$29="간이법","",FPR(H2274,I2274,J2274)))</f>
        <v/>
      </c>
      <c r="L2274" s="111" t="str">
        <f>IF(H2274="","",IF($C$29="상세법",FPV(H2274,K2274),IF(H2274="EI",4,IF(H2274="EO",5.2,IF(H2274="EQ",3.9,IF(H2274="ILF",7.5,IF(H2274="EIF",5.4)))))))</f>
        <v/>
      </c>
      <c r="M2274" s="112" t="str">
        <f t="shared" si="38"/>
        <v/>
      </c>
      <c r="N2274" s="113"/>
    </row>
    <row r="2275" spans="2:14">
      <c r="B2275" s="105"/>
      <c r="C2275" s="106"/>
      <c r="D2275" s="107"/>
      <c r="E2275" s="65"/>
      <c r="F2275" s="64"/>
      <c r="G2275" s="64"/>
      <c r="H2275" s="64"/>
      <c r="I2275" s="70"/>
      <c r="J2275" s="70"/>
      <c r="K2275" s="110" t="str">
        <f>IF(H2275="","",IF($C$29="간이법","",FPR(H2275,I2275,J2275)))</f>
        <v/>
      </c>
      <c r="L2275" s="111" t="str">
        <f>IF(H2275="","",IF($C$29="상세법",FPV(H2275,K2275),IF(H2275="EI",4,IF(H2275="EO",5.2,IF(H2275="EQ",3.9,IF(H2275="ILF",7.5,IF(H2275="EIF",5.4)))))))</f>
        <v/>
      </c>
      <c r="M2275" s="112" t="str">
        <f t="shared" si="38"/>
        <v/>
      </c>
      <c r="N2275" s="113"/>
    </row>
    <row r="2276" spans="2:14">
      <c r="B2276" s="105"/>
      <c r="C2276" s="106"/>
      <c r="D2276" s="107"/>
      <c r="E2276" s="65"/>
      <c r="F2276" s="64"/>
      <c r="G2276" s="64"/>
      <c r="H2276" s="64"/>
      <c r="I2276" s="70"/>
      <c r="J2276" s="70"/>
      <c r="K2276" s="110" t="str">
        <f>IF(H2276="","",IF($C$29="간이법","",FPR(H2276,I2276,J2276)))</f>
        <v/>
      </c>
      <c r="L2276" s="111" t="str">
        <f>IF(H2276="","",IF($C$29="상세법",FPV(H2276,K2276),IF(H2276="EI",4,IF(H2276="EO",5.2,IF(H2276="EQ",3.9,IF(H2276="ILF",7.5,IF(H2276="EIF",5.4)))))))</f>
        <v/>
      </c>
      <c r="M2276" s="112" t="str">
        <f t="shared" si="38"/>
        <v/>
      </c>
      <c r="N2276" s="113"/>
    </row>
    <row r="2277" spans="2:14">
      <c r="B2277" s="105"/>
      <c r="C2277" s="106"/>
      <c r="D2277" s="107"/>
      <c r="E2277" s="65"/>
      <c r="F2277" s="64"/>
      <c r="G2277" s="64"/>
      <c r="H2277" s="64"/>
      <c r="I2277" s="70"/>
      <c r="J2277" s="70"/>
      <c r="K2277" s="110" t="str">
        <f>IF(H2277="","",IF($C$29="간이법","",FPR(H2277,I2277,J2277)))</f>
        <v/>
      </c>
      <c r="L2277" s="111" t="str">
        <f>IF(H2277="","",IF($C$29="상세법",FPV(H2277,K2277),IF(H2277="EI",4,IF(H2277="EO",5.2,IF(H2277="EQ",3.9,IF(H2277="ILF",7.5,IF(H2277="EIF",5.4)))))))</f>
        <v/>
      </c>
      <c r="M2277" s="112" t="str">
        <f t="shared" si="38"/>
        <v/>
      </c>
      <c r="N2277" s="113"/>
    </row>
    <row r="2278" spans="2:14">
      <c r="B2278" s="105"/>
      <c r="C2278" s="106"/>
      <c r="D2278" s="107"/>
      <c r="E2278" s="65"/>
      <c r="F2278" s="64"/>
      <c r="G2278" s="64"/>
      <c r="H2278" s="64"/>
      <c r="I2278" s="70"/>
      <c r="J2278" s="70"/>
      <c r="K2278" s="110" t="str">
        <f>IF(H2278="","",IF($C$29="간이법","",FPR(H2278,I2278,J2278)))</f>
        <v/>
      </c>
      <c r="L2278" s="111" t="str">
        <f>IF(H2278="","",IF($C$29="상세법",FPV(H2278,K2278),IF(H2278="EI",4,IF(H2278="EO",5.2,IF(H2278="EQ",3.9,IF(H2278="ILF",7.5,IF(H2278="EIF",5.4)))))))</f>
        <v/>
      </c>
      <c r="M2278" s="112" t="str">
        <f t="shared" si="38"/>
        <v/>
      </c>
      <c r="N2278" s="113"/>
    </row>
    <row r="2279" spans="2:14">
      <c r="B2279" s="105"/>
      <c r="C2279" s="106"/>
      <c r="D2279" s="107"/>
      <c r="E2279" s="65"/>
      <c r="F2279" s="64"/>
      <c r="G2279" s="64"/>
      <c r="H2279" s="64"/>
      <c r="I2279" s="70"/>
      <c r="J2279" s="70"/>
      <c r="K2279" s="110" t="str">
        <f>IF(H2279="","",IF($C$29="간이법","",FPR(H2279,I2279,J2279)))</f>
        <v/>
      </c>
      <c r="L2279" s="111" t="str">
        <f>IF(H2279="","",IF($C$29="상세법",FPV(H2279,K2279),IF(H2279="EI",4,IF(H2279="EO",5.2,IF(H2279="EQ",3.9,IF(H2279="ILF",7.5,IF(H2279="EIF",5.4)))))))</f>
        <v/>
      </c>
      <c r="M2279" s="112" t="str">
        <f t="shared" si="38"/>
        <v/>
      </c>
      <c r="N2279" s="113"/>
    </row>
    <row r="2280" spans="2:14">
      <c r="B2280" s="105"/>
      <c r="C2280" s="106"/>
      <c r="D2280" s="107"/>
      <c r="E2280" s="65"/>
      <c r="F2280" s="64"/>
      <c r="G2280" s="64"/>
      <c r="H2280" s="64"/>
      <c r="I2280" s="70"/>
      <c r="J2280" s="70"/>
      <c r="K2280" s="110" t="str">
        <f>IF(H2280="","",IF($C$29="간이법","",FPR(H2280,I2280,J2280)))</f>
        <v/>
      </c>
      <c r="L2280" s="111" t="str">
        <f>IF(H2280="","",IF($C$29="상세법",FPV(H2280,K2280),IF(H2280="EI",4,IF(H2280="EO",5.2,IF(H2280="EQ",3.9,IF(H2280="ILF",7.5,IF(H2280="EIF",5.4)))))))</f>
        <v/>
      </c>
      <c r="M2280" s="112" t="str">
        <f t="shared" si="38"/>
        <v/>
      </c>
      <c r="N2280" s="113"/>
    </row>
    <row r="2281" spans="2:14">
      <c r="B2281" s="105"/>
      <c r="C2281" s="106"/>
      <c r="D2281" s="107"/>
      <c r="E2281" s="65"/>
      <c r="F2281" s="64"/>
      <c r="G2281" s="64"/>
      <c r="H2281" s="64"/>
      <c r="I2281" s="70"/>
      <c r="J2281" s="70"/>
      <c r="K2281" s="110" t="str">
        <f>IF(H2281="","",IF($C$29="간이법","",FPR(H2281,I2281,J2281)))</f>
        <v/>
      </c>
      <c r="L2281" s="111" t="str">
        <f>IF(H2281="","",IF($C$29="상세법",FPV(H2281,K2281),IF(H2281="EI",4,IF(H2281="EO",5.2,IF(H2281="EQ",3.9,IF(H2281="ILF",7.5,IF(H2281="EIF",5.4)))))))</f>
        <v/>
      </c>
      <c r="M2281" s="112" t="str">
        <f t="shared" si="38"/>
        <v/>
      </c>
      <c r="N2281" s="113"/>
    </row>
    <row r="2282" spans="2:14">
      <c r="B2282" s="105"/>
      <c r="C2282" s="106"/>
      <c r="D2282" s="107"/>
      <c r="E2282" s="65"/>
      <c r="F2282" s="64"/>
      <c r="G2282" s="64"/>
      <c r="H2282" s="64"/>
      <c r="I2282" s="70"/>
      <c r="J2282" s="70"/>
      <c r="K2282" s="110" t="str">
        <f>IF(H2282="","",IF($C$29="간이법","",FPR(H2282,I2282,J2282)))</f>
        <v/>
      </c>
      <c r="L2282" s="111" t="str">
        <f>IF(H2282="","",IF($C$29="상세법",FPV(H2282,K2282),IF(H2282="EI",4,IF(H2282="EO",5.2,IF(H2282="EQ",3.9,IF(H2282="ILF",7.5,IF(H2282="EIF",5.4)))))))</f>
        <v/>
      </c>
      <c r="M2282" s="112" t="str">
        <f t="shared" si="38"/>
        <v/>
      </c>
      <c r="N2282" s="113"/>
    </row>
    <row r="2283" spans="2:14">
      <c r="B2283" s="105"/>
      <c r="C2283" s="106"/>
      <c r="D2283" s="107"/>
      <c r="E2283" s="65"/>
      <c r="F2283" s="64"/>
      <c r="G2283" s="64"/>
      <c r="H2283" s="64"/>
      <c r="I2283" s="70"/>
      <c r="J2283" s="70"/>
      <c r="K2283" s="110" t="str">
        <f>IF(H2283="","",IF($C$29="간이법","",FPR(H2283,I2283,J2283)))</f>
        <v/>
      </c>
      <c r="L2283" s="111" t="str">
        <f>IF(H2283="","",IF($C$29="상세법",FPV(H2283,K2283),IF(H2283="EI",4,IF(H2283="EO",5.2,IF(H2283="EQ",3.9,IF(H2283="ILF",7.5,IF(H2283="EIF",5.4)))))))</f>
        <v/>
      </c>
      <c r="M2283" s="112" t="str">
        <f t="shared" si="38"/>
        <v/>
      </c>
      <c r="N2283" s="113"/>
    </row>
    <row r="2284" spans="2:14">
      <c r="B2284" s="105"/>
      <c r="C2284" s="106"/>
      <c r="D2284" s="107"/>
      <c r="E2284" s="65"/>
      <c r="F2284" s="64"/>
      <c r="G2284" s="64"/>
      <c r="H2284" s="64"/>
      <c r="I2284" s="70"/>
      <c r="J2284" s="70"/>
      <c r="K2284" s="110" t="str">
        <f>IF(H2284="","",IF($C$29="간이법","",FPR(H2284,I2284,J2284)))</f>
        <v/>
      </c>
      <c r="L2284" s="111" t="str">
        <f>IF(H2284="","",IF($C$29="상세법",FPV(H2284,K2284),IF(H2284="EI",4,IF(H2284="EO",5.2,IF(H2284="EQ",3.9,IF(H2284="ILF",7.5,IF(H2284="EIF",5.4)))))))</f>
        <v/>
      </c>
      <c r="M2284" s="112" t="str">
        <f t="shared" si="38"/>
        <v/>
      </c>
      <c r="N2284" s="113"/>
    </row>
    <row r="2285" spans="2:14">
      <c r="B2285" s="105"/>
      <c r="C2285" s="106"/>
      <c r="D2285" s="107"/>
      <c r="E2285" s="65"/>
      <c r="F2285" s="64"/>
      <c r="G2285" s="64"/>
      <c r="H2285" s="64"/>
      <c r="I2285" s="70"/>
      <c r="J2285" s="70"/>
      <c r="K2285" s="110" t="str">
        <f>IF(H2285="","",IF($C$29="간이법","",FPR(H2285,I2285,J2285)))</f>
        <v/>
      </c>
      <c r="L2285" s="111" t="str">
        <f>IF(H2285="","",IF($C$29="상세법",FPV(H2285,K2285),IF(H2285="EI",4,IF(H2285="EO",5.2,IF(H2285="EQ",3.9,IF(H2285="ILF",7.5,IF(H2285="EIF",5.4)))))))</f>
        <v/>
      </c>
      <c r="M2285" s="112" t="str">
        <f t="shared" si="38"/>
        <v/>
      </c>
      <c r="N2285" s="113"/>
    </row>
    <row r="2286" spans="2:14">
      <c r="B2286" s="105"/>
      <c r="C2286" s="106"/>
      <c r="D2286" s="107"/>
      <c r="E2286" s="65"/>
      <c r="F2286" s="64"/>
      <c r="G2286" s="64"/>
      <c r="H2286" s="64"/>
      <c r="I2286" s="70"/>
      <c r="J2286" s="70"/>
      <c r="K2286" s="110" t="str">
        <f>IF(H2286="","",IF($C$29="간이법","",FPR(H2286,I2286,J2286)))</f>
        <v/>
      </c>
      <c r="L2286" s="111" t="str">
        <f>IF(H2286="","",IF($C$29="상세법",FPV(H2286,K2286),IF(H2286="EI",4,IF(H2286="EO",5.2,IF(H2286="EQ",3.9,IF(H2286="ILF",7.5,IF(H2286="EIF",5.4)))))))</f>
        <v/>
      </c>
      <c r="M2286" s="112" t="str">
        <f t="shared" si="38"/>
        <v/>
      </c>
      <c r="N2286" s="113"/>
    </row>
    <row r="2287" spans="2:14">
      <c r="B2287" s="105"/>
      <c r="C2287" s="106"/>
      <c r="D2287" s="107"/>
      <c r="E2287" s="65"/>
      <c r="F2287" s="64"/>
      <c r="G2287" s="64"/>
      <c r="H2287" s="64"/>
      <c r="I2287" s="70"/>
      <c r="J2287" s="70"/>
      <c r="K2287" s="110" t="str">
        <f>IF(H2287="","",IF($C$29="간이법","",FPR(H2287,I2287,J2287)))</f>
        <v/>
      </c>
      <c r="L2287" s="111" t="str">
        <f>IF(H2287="","",IF($C$29="상세법",FPV(H2287,K2287),IF(H2287="EI",4,IF(H2287="EO",5.2,IF(H2287="EQ",3.9,IF(H2287="ILF",7.5,IF(H2287="EIF",5.4)))))))</f>
        <v/>
      </c>
      <c r="M2287" s="112" t="str">
        <f t="shared" si="38"/>
        <v/>
      </c>
      <c r="N2287" s="113"/>
    </row>
    <row r="2288" spans="2:14">
      <c r="B2288" s="105"/>
      <c r="C2288" s="106"/>
      <c r="D2288" s="107"/>
      <c r="E2288" s="65"/>
      <c r="F2288" s="64"/>
      <c r="G2288" s="64"/>
      <c r="H2288" s="64"/>
      <c r="I2288" s="70"/>
      <c r="J2288" s="70"/>
      <c r="K2288" s="110" t="str">
        <f>IF(H2288="","",IF($C$29="간이법","",FPR(H2288,I2288,J2288)))</f>
        <v/>
      </c>
      <c r="L2288" s="111" t="str">
        <f>IF(H2288="","",IF($C$29="상세법",FPV(H2288,K2288),IF(H2288="EI",4,IF(H2288="EO",5.2,IF(H2288="EQ",3.9,IF(H2288="ILF",7.5,IF(H2288="EIF",5.4)))))))</f>
        <v/>
      </c>
      <c r="M2288" s="112" t="str">
        <f t="shared" si="38"/>
        <v/>
      </c>
      <c r="N2288" s="113"/>
    </row>
    <row r="2289" spans="2:14">
      <c r="B2289" s="105"/>
      <c r="C2289" s="106"/>
      <c r="D2289" s="107"/>
      <c r="E2289" s="65"/>
      <c r="F2289" s="64"/>
      <c r="G2289" s="64"/>
      <c r="H2289" s="64"/>
      <c r="I2289" s="70"/>
      <c r="J2289" s="70"/>
      <c r="K2289" s="110" t="str">
        <f>IF(H2289="","",IF($C$29="간이법","",FPR(H2289,I2289,J2289)))</f>
        <v/>
      </c>
      <c r="L2289" s="111" t="str">
        <f>IF(H2289="","",IF($C$29="상세법",FPV(H2289,K2289),IF(H2289="EI",4,IF(H2289="EO",5.2,IF(H2289="EQ",3.9,IF(H2289="ILF",7.5,IF(H2289="EIF",5.4)))))))</f>
        <v/>
      </c>
      <c r="M2289" s="112" t="str">
        <f t="shared" si="38"/>
        <v/>
      </c>
      <c r="N2289" s="113"/>
    </row>
    <row r="2290" spans="2:14">
      <c r="B2290" s="105"/>
      <c r="C2290" s="106"/>
      <c r="D2290" s="107"/>
      <c r="E2290" s="65"/>
      <c r="F2290" s="64"/>
      <c r="G2290" s="64"/>
      <c r="H2290" s="64"/>
      <c r="I2290" s="70"/>
      <c r="J2290" s="70"/>
      <c r="K2290" s="110" t="str">
        <f>IF(H2290="","",IF($C$29="간이법","",FPR(H2290,I2290,J2290)))</f>
        <v/>
      </c>
      <c r="L2290" s="111" t="str">
        <f>IF(H2290="","",IF($C$29="상세법",FPV(H2290,K2290),IF(H2290="EI",4,IF(H2290="EO",5.2,IF(H2290="EQ",3.9,IF(H2290="ILF",7.5,IF(H2290="EIF",5.4)))))))</f>
        <v/>
      </c>
      <c r="M2290" s="112" t="str">
        <f t="shared" si="38"/>
        <v/>
      </c>
      <c r="N2290" s="113"/>
    </row>
    <row r="2291" spans="2:14">
      <c r="B2291" s="105"/>
      <c r="C2291" s="106"/>
      <c r="D2291" s="107"/>
      <c r="E2291" s="65"/>
      <c r="F2291" s="64"/>
      <c r="G2291" s="64"/>
      <c r="H2291" s="64"/>
      <c r="I2291" s="70"/>
      <c r="J2291" s="70"/>
      <c r="K2291" s="110" t="str">
        <f>IF(H2291="","",IF($C$29="간이법","",FPR(H2291,I2291,J2291)))</f>
        <v/>
      </c>
      <c r="L2291" s="111" t="str">
        <f>IF(H2291="","",IF($C$29="상세법",FPV(H2291,K2291),IF(H2291="EI",4,IF(H2291="EO",5.2,IF(H2291="EQ",3.9,IF(H2291="ILF",7.5,IF(H2291="EIF",5.4)))))))</f>
        <v/>
      </c>
      <c r="M2291" s="112" t="str">
        <f t="shared" si="38"/>
        <v/>
      </c>
      <c r="N2291" s="113"/>
    </row>
    <row r="2292" spans="2:14">
      <c r="B2292" s="105"/>
      <c r="C2292" s="106"/>
      <c r="D2292" s="107"/>
      <c r="E2292" s="65"/>
      <c r="F2292" s="64"/>
      <c r="G2292" s="64"/>
      <c r="H2292" s="64"/>
      <c r="I2292" s="70"/>
      <c r="J2292" s="70"/>
      <c r="K2292" s="110" t="str">
        <f>IF(H2292="","",IF($C$29="간이법","",FPR(H2292,I2292,J2292)))</f>
        <v/>
      </c>
      <c r="L2292" s="111" t="str">
        <f>IF(H2292="","",IF($C$29="상세법",FPV(H2292,K2292),IF(H2292="EI",4,IF(H2292="EO",5.2,IF(H2292="EQ",3.9,IF(H2292="ILF",7.5,IF(H2292="EIF",5.4)))))))</f>
        <v/>
      </c>
      <c r="M2292" s="112" t="str">
        <f t="shared" si="38"/>
        <v/>
      </c>
      <c r="N2292" s="113"/>
    </row>
    <row r="2293" spans="2:14">
      <c r="B2293" s="105"/>
      <c r="C2293" s="106"/>
      <c r="D2293" s="107"/>
      <c r="E2293" s="65"/>
      <c r="F2293" s="64"/>
      <c r="G2293" s="64"/>
      <c r="H2293" s="64"/>
      <c r="I2293" s="70"/>
      <c r="J2293" s="70"/>
      <c r="K2293" s="110" t="str">
        <f>IF(H2293="","",IF($C$29="간이법","",FPR(H2293,I2293,J2293)))</f>
        <v/>
      </c>
      <c r="L2293" s="111" t="str">
        <f>IF(H2293="","",IF($C$29="상세법",FPV(H2293,K2293),IF(H2293="EI",4,IF(H2293="EO",5.2,IF(H2293="EQ",3.9,IF(H2293="ILF",7.5,IF(H2293="EIF",5.4)))))))</f>
        <v/>
      </c>
      <c r="M2293" s="112" t="str">
        <f t="shared" si="38"/>
        <v/>
      </c>
      <c r="N2293" s="113"/>
    </row>
    <row r="2294" spans="2:14">
      <c r="B2294" s="105"/>
      <c r="C2294" s="106"/>
      <c r="D2294" s="107"/>
      <c r="E2294" s="65"/>
      <c r="F2294" s="64"/>
      <c r="G2294" s="64"/>
      <c r="H2294" s="64"/>
      <c r="I2294" s="70"/>
      <c r="J2294" s="70"/>
      <c r="K2294" s="110" t="str">
        <f>IF(H2294="","",IF($C$29="간이법","",FPR(H2294,I2294,J2294)))</f>
        <v/>
      </c>
      <c r="L2294" s="111" t="str">
        <f>IF(H2294="","",IF($C$29="상세법",FPV(H2294,K2294),IF(H2294="EI",4,IF(H2294="EO",5.2,IF(H2294="EQ",3.9,IF(H2294="ILF",7.5,IF(H2294="EIF",5.4)))))))</f>
        <v/>
      </c>
      <c r="M2294" s="112" t="str">
        <f t="shared" si="38"/>
        <v/>
      </c>
      <c r="N2294" s="113"/>
    </row>
    <row r="2295" spans="2:14">
      <c r="B2295" s="105"/>
      <c r="C2295" s="106"/>
      <c r="D2295" s="107"/>
      <c r="E2295" s="65"/>
      <c r="F2295" s="64"/>
      <c r="G2295" s="64"/>
      <c r="H2295" s="64"/>
      <c r="I2295" s="70"/>
      <c r="J2295" s="70"/>
      <c r="K2295" s="110" t="str">
        <f>IF(H2295="","",IF($C$29="간이법","",FPR(H2295,I2295,J2295)))</f>
        <v/>
      </c>
      <c r="L2295" s="111" t="str">
        <f>IF(H2295="","",IF($C$29="상세법",FPV(H2295,K2295),IF(H2295="EI",4,IF(H2295="EO",5.2,IF(H2295="EQ",3.9,IF(H2295="ILF",7.5,IF(H2295="EIF",5.4)))))))</f>
        <v/>
      </c>
      <c r="M2295" s="112" t="str">
        <f t="shared" si="38"/>
        <v/>
      </c>
      <c r="N2295" s="113"/>
    </row>
    <row r="2296" spans="2:14">
      <c r="B2296" s="105"/>
      <c r="C2296" s="106"/>
      <c r="D2296" s="107"/>
      <c r="E2296" s="65"/>
      <c r="F2296" s="64"/>
      <c r="G2296" s="64"/>
      <c r="H2296" s="64"/>
      <c r="I2296" s="70"/>
      <c r="J2296" s="70"/>
      <c r="K2296" s="110" t="str">
        <f>IF(H2296="","",IF($C$29="간이법","",FPR(H2296,I2296,J2296)))</f>
        <v/>
      </c>
      <c r="L2296" s="111" t="str">
        <f>IF(H2296="","",IF($C$29="상세법",FPV(H2296,K2296),IF(H2296="EI",4,IF(H2296="EO",5.2,IF(H2296="EQ",3.9,IF(H2296="ILF",7.5,IF(H2296="EIF",5.4)))))))</f>
        <v/>
      </c>
      <c r="M2296" s="112" t="str">
        <f t="shared" si="38"/>
        <v/>
      </c>
      <c r="N2296" s="113"/>
    </row>
    <row r="2297" spans="2:14">
      <c r="B2297" s="105"/>
      <c r="C2297" s="106"/>
      <c r="D2297" s="107"/>
      <c r="E2297" s="65"/>
      <c r="F2297" s="64"/>
      <c r="G2297" s="64"/>
      <c r="H2297" s="64"/>
      <c r="I2297" s="70"/>
      <c r="J2297" s="70"/>
      <c r="K2297" s="110" t="str">
        <f>IF(H2297="","",IF($C$29="간이법","",FPR(H2297,I2297,J2297)))</f>
        <v/>
      </c>
      <c r="L2297" s="111" t="str">
        <f>IF(H2297="","",IF($C$29="상세법",FPV(H2297,K2297),IF(H2297="EI",4,IF(H2297="EO",5.2,IF(H2297="EQ",3.9,IF(H2297="ILF",7.5,IF(H2297="EIF",5.4)))))))</f>
        <v/>
      </c>
      <c r="M2297" s="112" t="str">
        <f t="shared" ref="M2297:M2360" si="39">IF(L2297="","",L2297*IF(G2297="상",0.7,IF(G2297="중",0.5,IF(G2297="하",0.2,1))))</f>
        <v/>
      </c>
      <c r="N2297" s="113"/>
    </row>
    <row r="2298" spans="2:14">
      <c r="B2298" s="105"/>
      <c r="C2298" s="106"/>
      <c r="D2298" s="107"/>
      <c r="E2298" s="65"/>
      <c r="F2298" s="64"/>
      <c r="G2298" s="64"/>
      <c r="H2298" s="64"/>
      <c r="I2298" s="70"/>
      <c r="J2298" s="70"/>
      <c r="K2298" s="110" t="str">
        <f>IF(H2298="","",IF($C$29="간이법","",FPR(H2298,I2298,J2298)))</f>
        <v/>
      </c>
      <c r="L2298" s="111" t="str">
        <f>IF(H2298="","",IF($C$29="상세법",FPV(H2298,K2298),IF(H2298="EI",4,IF(H2298="EO",5.2,IF(H2298="EQ",3.9,IF(H2298="ILF",7.5,IF(H2298="EIF",5.4)))))))</f>
        <v/>
      </c>
      <c r="M2298" s="112" t="str">
        <f t="shared" si="39"/>
        <v/>
      </c>
      <c r="N2298" s="113"/>
    </row>
    <row r="2299" spans="2:14">
      <c r="B2299" s="105"/>
      <c r="C2299" s="106"/>
      <c r="D2299" s="107"/>
      <c r="E2299" s="65"/>
      <c r="F2299" s="64"/>
      <c r="G2299" s="64"/>
      <c r="H2299" s="64"/>
      <c r="I2299" s="70"/>
      <c r="J2299" s="70"/>
      <c r="K2299" s="110" t="str">
        <f>IF(H2299="","",IF($C$29="간이법","",FPR(H2299,I2299,J2299)))</f>
        <v/>
      </c>
      <c r="L2299" s="111" t="str">
        <f>IF(H2299="","",IF($C$29="상세법",FPV(H2299,K2299),IF(H2299="EI",4,IF(H2299="EO",5.2,IF(H2299="EQ",3.9,IF(H2299="ILF",7.5,IF(H2299="EIF",5.4)))))))</f>
        <v/>
      </c>
      <c r="M2299" s="112" t="str">
        <f t="shared" si="39"/>
        <v/>
      </c>
      <c r="N2299" s="113"/>
    </row>
    <row r="2300" spans="2:14">
      <c r="B2300" s="105"/>
      <c r="C2300" s="106"/>
      <c r="D2300" s="107"/>
      <c r="E2300" s="65"/>
      <c r="F2300" s="64"/>
      <c r="G2300" s="64"/>
      <c r="H2300" s="64"/>
      <c r="I2300" s="70"/>
      <c r="J2300" s="70"/>
      <c r="K2300" s="110" t="str">
        <f>IF(H2300="","",IF($C$29="간이법","",FPR(H2300,I2300,J2300)))</f>
        <v/>
      </c>
      <c r="L2300" s="111" t="str">
        <f>IF(H2300="","",IF($C$29="상세법",FPV(H2300,K2300),IF(H2300="EI",4,IF(H2300="EO",5.2,IF(H2300="EQ",3.9,IF(H2300="ILF",7.5,IF(H2300="EIF",5.4)))))))</f>
        <v/>
      </c>
      <c r="M2300" s="112" t="str">
        <f t="shared" si="39"/>
        <v/>
      </c>
      <c r="N2300" s="113"/>
    </row>
    <row r="2301" spans="2:14">
      <c r="B2301" s="105"/>
      <c r="C2301" s="106"/>
      <c r="D2301" s="107"/>
      <c r="E2301" s="65"/>
      <c r="F2301" s="64"/>
      <c r="G2301" s="64"/>
      <c r="H2301" s="64"/>
      <c r="I2301" s="70"/>
      <c r="J2301" s="70"/>
      <c r="K2301" s="110" t="str">
        <f>IF(H2301="","",IF($C$29="간이법","",FPR(H2301,I2301,J2301)))</f>
        <v/>
      </c>
      <c r="L2301" s="111" t="str">
        <f>IF(H2301="","",IF($C$29="상세법",FPV(H2301,K2301),IF(H2301="EI",4,IF(H2301="EO",5.2,IF(H2301="EQ",3.9,IF(H2301="ILF",7.5,IF(H2301="EIF",5.4)))))))</f>
        <v/>
      </c>
      <c r="M2301" s="112" t="str">
        <f t="shared" si="39"/>
        <v/>
      </c>
      <c r="N2301" s="113"/>
    </row>
    <row r="2302" spans="2:14">
      <c r="B2302" s="105"/>
      <c r="C2302" s="106"/>
      <c r="D2302" s="107"/>
      <c r="E2302" s="65"/>
      <c r="F2302" s="64"/>
      <c r="G2302" s="64"/>
      <c r="H2302" s="64"/>
      <c r="I2302" s="70"/>
      <c r="J2302" s="70"/>
      <c r="K2302" s="110" t="str">
        <f>IF(H2302="","",IF($C$29="간이법","",FPR(H2302,I2302,J2302)))</f>
        <v/>
      </c>
      <c r="L2302" s="111" t="str">
        <f>IF(H2302="","",IF($C$29="상세법",FPV(H2302,K2302),IF(H2302="EI",4,IF(H2302="EO",5.2,IF(H2302="EQ",3.9,IF(H2302="ILF",7.5,IF(H2302="EIF",5.4)))))))</f>
        <v/>
      </c>
      <c r="M2302" s="112" t="str">
        <f t="shared" si="39"/>
        <v/>
      </c>
      <c r="N2302" s="113"/>
    </row>
    <row r="2303" spans="2:14">
      <c r="B2303" s="105"/>
      <c r="C2303" s="106"/>
      <c r="D2303" s="107"/>
      <c r="E2303" s="65"/>
      <c r="F2303" s="64"/>
      <c r="G2303" s="64"/>
      <c r="H2303" s="64"/>
      <c r="I2303" s="70"/>
      <c r="J2303" s="70"/>
      <c r="K2303" s="110" t="str">
        <f>IF(H2303="","",IF($C$29="간이법","",FPR(H2303,I2303,J2303)))</f>
        <v/>
      </c>
      <c r="L2303" s="111" t="str">
        <f>IF(H2303="","",IF($C$29="상세법",FPV(H2303,K2303),IF(H2303="EI",4,IF(H2303="EO",5.2,IF(H2303="EQ",3.9,IF(H2303="ILF",7.5,IF(H2303="EIF",5.4)))))))</f>
        <v/>
      </c>
      <c r="M2303" s="112" t="str">
        <f t="shared" si="39"/>
        <v/>
      </c>
      <c r="N2303" s="113"/>
    </row>
    <row r="2304" spans="2:14">
      <c r="B2304" s="105"/>
      <c r="C2304" s="106"/>
      <c r="D2304" s="107"/>
      <c r="E2304" s="65"/>
      <c r="F2304" s="64"/>
      <c r="G2304" s="64"/>
      <c r="H2304" s="64"/>
      <c r="I2304" s="70"/>
      <c r="J2304" s="70"/>
      <c r="K2304" s="110" t="str">
        <f>IF(H2304="","",IF($C$29="간이법","",FPR(H2304,I2304,J2304)))</f>
        <v/>
      </c>
      <c r="L2304" s="111" t="str">
        <f>IF(H2304="","",IF($C$29="상세법",FPV(H2304,K2304),IF(H2304="EI",4,IF(H2304="EO",5.2,IF(H2304="EQ",3.9,IF(H2304="ILF",7.5,IF(H2304="EIF",5.4)))))))</f>
        <v/>
      </c>
      <c r="M2304" s="112" t="str">
        <f t="shared" si="39"/>
        <v/>
      </c>
      <c r="N2304" s="113"/>
    </row>
    <row r="2305" spans="2:14">
      <c r="B2305" s="105"/>
      <c r="C2305" s="106"/>
      <c r="D2305" s="107"/>
      <c r="E2305" s="65"/>
      <c r="F2305" s="64"/>
      <c r="G2305" s="64"/>
      <c r="H2305" s="64"/>
      <c r="I2305" s="70"/>
      <c r="J2305" s="70"/>
      <c r="K2305" s="110" t="str">
        <f>IF(H2305="","",IF($C$29="간이법","",FPR(H2305,I2305,J2305)))</f>
        <v/>
      </c>
      <c r="L2305" s="111" t="str">
        <f>IF(H2305="","",IF($C$29="상세법",FPV(H2305,K2305),IF(H2305="EI",4,IF(H2305="EO",5.2,IF(H2305="EQ",3.9,IF(H2305="ILF",7.5,IF(H2305="EIF",5.4)))))))</f>
        <v/>
      </c>
      <c r="M2305" s="112" t="str">
        <f t="shared" si="39"/>
        <v/>
      </c>
      <c r="N2305" s="113"/>
    </row>
    <row r="2306" spans="2:14">
      <c r="B2306" s="105"/>
      <c r="C2306" s="106"/>
      <c r="D2306" s="107"/>
      <c r="E2306" s="65"/>
      <c r="F2306" s="64"/>
      <c r="G2306" s="64"/>
      <c r="H2306" s="64"/>
      <c r="I2306" s="70"/>
      <c r="J2306" s="70"/>
      <c r="K2306" s="110" t="str">
        <f>IF(H2306="","",IF($C$29="간이법","",FPR(H2306,I2306,J2306)))</f>
        <v/>
      </c>
      <c r="L2306" s="111" t="str">
        <f>IF(H2306="","",IF($C$29="상세법",FPV(H2306,K2306),IF(H2306="EI",4,IF(H2306="EO",5.2,IF(H2306="EQ",3.9,IF(H2306="ILF",7.5,IF(H2306="EIF",5.4)))))))</f>
        <v/>
      </c>
      <c r="M2306" s="112" t="str">
        <f t="shared" si="39"/>
        <v/>
      </c>
      <c r="N2306" s="113"/>
    </row>
    <row r="2307" spans="2:14">
      <c r="B2307" s="105"/>
      <c r="C2307" s="106"/>
      <c r="D2307" s="107"/>
      <c r="E2307" s="65"/>
      <c r="F2307" s="64"/>
      <c r="G2307" s="64"/>
      <c r="H2307" s="64"/>
      <c r="I2307" s="70"/>
      <c r="J2307" s="70"/>
      <c r="K2307" s="110" t="str">
        <f>IF(H2307="","",IF($C$29="간이법","",FPR(H2307,I2307,J2307)))</f>
        <v/>
      </c>
      <c r="L2307" s="111" t="str">
        <f>IF(H2307="","",IF($C$29="상세법",FPV(H2307,K2307),IF(H2307="EI",4,IF(H2307="EO",5.2,IF(H2307="EQ",3.9,IF(H2307="ILF",7.5,IF(H2307="EIF",5.4)))))))</f>
        <v/>
      </c>
      <c r="M2307" s="112" t="str">
        <f t="shared" si="39"/>
        <v/>
      </c>
      <c r="N2307" s="113"/>
    </row>
    <row r="2308" spans="2:14">
      <c r="B2308" s="105"/>
      <c r="C2308" s="106"/>
      <c r="D2308" s="107"/>
      <c r="E2308" s="65"/>
      <c r="F2308" s="64"/>
      <c r="G2308" s="64"/>
      <c r="H2308" s="64"/>
      <c r="I2308" s="70"/>
      <c r="J2308" s="70"/>
      <c r="K2308" s="110" t="str">
        <f>IF(H2308="","",IF($C$29="간이법","",FPR(H2308,I2308,J2308)))</f>
        <v/>
      </c>
      <c r="L2308" s="111" t="str">
        <f>IF(H2308="","",IF($C$29="상세법",FPV(H2308,K2308),IF(H2308="EI",4,IF(H2308="EO",5.2,IF(H2308="EQ",3.9,IF(H2308="ILF",7.5,IF(H2308="EIF",5.4)))))))</f>
        <v/>
      </c>
      <c r="M2308" s="112" t="str">
        <f t="shared" si="39"/>
        <v/>
      </c>
      <c r="N2308" s="113"/>
    </row>
    <row r="2309" spans="2:14">
      <c r="B2309" s="105"/>
      <c r="C2309" s="106"/>
      <c r="D2309" s="107"/>
      <c r="E2309" s="65"/>
      <c r="F2309" s="64"/>
      <c r="G2309" s="64"/>
      <c r="H2309" s="64"/>
      <c r="I2309" s="70"/>
      <c r="J2309" s="70"/>
      <c r="K2309" s="110" t="str">
        <f>IF(H2309="","",IF($C$29="간이법","",FPR(H2309,I2309,J2309)))</f>
        <v/>
      </c>
      <c r="L2309" s="111" t="str">
        <f>IF(H2309="","",IF($C$29="상세법",FPV(H2309,K2309),IF(H2309="EI",4,IF(H2309="EO",5.2,IF(H2309="EQ",3.9,IF(H2309="ILF",7.5,IF(H2309="EIF",5.4)))))))</f>
        <v/>
      </c>
      <c r="M2309" s="112" t="str">
        <f t="shared" si="39"/>
        <v/>
      </c>
      <c r="N2309" s="113"/>
    </row>
    <row r="2310" spans="2:14">
      <c r="B2310" s="105"/>
      <c r="C2310" s="106"/>
      <c r="D2310" s="107"/>
      <c r="E2310" s="65"/>
      <c r="F2310" s="64"/>
      <c r="G2310" s="64"/>
      <c r="H2310" s="64"/>
      <c r="I2310" s="70"/>
      <c r="J2310" s="70"/>
      <c r="K2310" s="110" t="str">
        <f>IF(H2310="","",IF($C$29="간이법","",FPR(H2310,I2310,J2310)))</f>
        <v/>
      </c>
      <c r="L2310" s="111" t="str">
        <f>IF(H2310="","",IF($C$29="상세법",FPV(H2310,K2310),IF(H2310="EI",4,IF(H2310="EO",5.2,IF(H2310="EQ",3.9,IF(H2310="ILF",7.5,IF(H2310="EIF",5.4)))))))</f>
        <v/>
      </c>
      <c r="M2310" s="112" t="str">
        <f t="shared" si="39"/>
        <v/>
      </c>
      <c r="N2310" s="113"/>
    </row>
    <row r="2311" spans="2:14">
      <c r="B2311" s="105"/>
      <c r="C2311" s="106"/>
      <c r="D2311" s="107"/>
      <c r="E2311" s="65"/>
      <c r="F2311" s="64"/>
      <c r="G2311" s="64"/>
      <c r="H2311" s="64"/>
      <c r="I2311" s="70"/>
      <c r="J2311" s="70"/>
      <c r="K2311" s="110" t="str">
        <f>IF(H2311="","",IF($C$29="간이법","",FPR(H2311,I2311,J2311)))</f>
        <v/>
      </c>
      <c r="L2311" s="111" t="str">
        <f>IF(H2311="","",IF($C$29="상세법",FPV(H2311,K2311),IF(H2311="EI",4,IF(H2311="EO",5.2,IF(H2311="EQ",3.9,IF(H2311="ILF",7.5,IF(H2311="EIF",5.4)))))))</f>
        <v/>
      </c>
      <c r="M2311" s="112" t="str">
        <f t="shared" si="39"/>
        <v/>
      </c>
      <c r="N2311" s="113"/>
    </row>
    <row r="2312" spans="2:14">
      <c r="B2312" s="105"/>
      <c r="C2312" s="106"/>
      <c r="D2312" s="107"/>
      <c r="E2312" s="65"/>
      <c r="F2312" s="64"/>
      <c r="G2312" s="64"/>
      <c r="H2312" s="64"/>
      <c r="I2312" s="70"/>
      <c r="J2312" s="70"/>
      <c r="K2312" s="110" t="str">
        <f>IF(H2312="","",IF($C$29="간이법","",FPR(H2312,I2312,J2312)))</f>
        <v/>
      </c>
      <c r="L2312" s="111" t="str">
        <f>IF(H2312="","",IF($C$29="상세법",FPV(H2312,K2312),IF(H2312="EI",4,IF(H2312="EO",5.2,IF(H2312="EQ",3.9,IF(H2312="ILF",7.5,IF(H2312="EIF",5.4)))))))</f>
        <v/>
      </c>
      <c r="M2312" s="112" t="str">
        <f t="shared" si="39"/>
        <v/>
      </c>
      <c r="N2312" s="113"/>
    </row>
    <row r="2313" spans="2:14">
      <c r="B2313" s="105"/>
      <c r="C2313" s="106"/>
      <c r="D2313" s="107"/>
      <c r="E2313" s="65"/>
      <c r="F2313" s="64"/>
      <c r="G2313" s="64"/>
      <c r="H2313" s="64"/>
      <c r="I2313" s="70"/>
      <c r="J2313" s="70"/>
      <c r="K2313" s="110" t="str">
        <f>IF(H2313="","",IF($C$29="간이법","",FPR(H2313,I2313,J2313)))</f>
        <v/>
      </c>
      <c r="L2313" s="111" t="str">
        <f>IF(H2313="","",IF($C$29="상세법",FPV(H2313,K2313),IF(H2313="EI",4,IF(H2313="EO",5.2,IF(H2313="EQ",3.9,IF(H2313="ILF",7.5,IF(H2313="EIF",5.4)))))))</f>
        <v/>
      </c>
      <c r="M2313" s="112" t="str">
        <f t="shared" si="39"/>
        <v/>
      </c>
      <c r="N2313" s="113"/>
    </row>
    <row r="2314" spans="2:14">
      <c r="B2314" s="105"/>
      <c r="C2314" s="106"/>
      <c r="D2314" s="107"/>
      <c r="E2314" s="65"/>
      <c r="F2314" s="64"/>
      <c r="G2314" s="64"/>
      <c r="H2314" s="64"/>
      <c r="I2314" s="70"/>
      <c r="J2314" s="70"/>
      <c r="K2314" s="110" t="str">
        <f>IF(H2314="","",IF($C$29="간이법","",FPR(H2314,I2314,J2314)))</f>
        <v/>
      </c>
      <c r="L2314" s="111" t="str">
        <f>IF(H2314="","",IF($C$29="상세법",FPV(H2314,K2314),IF(H2314="EI",4,IF(H2314="EO",5.2,IF(H2314="EQ",3.9,IF(H2314="ILF",7.5,IF(H2314="EIF",5.4)))))))</f>
        <v/>
      </c>
      <c r="M2314" s="112" t="str">
        <f t="shared" si="39"/>
        <v/>
      </c>
      <c r="N2314" s="113"/>
    </row>
    <row r="2315" spans="2:14">
      <c r="B2315" s="105"/>
      <c r="C2315" s="106"/>
      <c r="D2315" s="107"/>
      <c r="E2315" s="65"/>
      <c r="F2315" s="64"/>
      <c r="G2315" s="64"/>
      <c r="H2315" s="64"/>
      <c r="I2315" s="70"/>
      <c r="J2315" s="70"/>
      <c r="K2315" s="110" t="str">
        <f>IF(H2315="","",IF($C$29="간이법","",FPR(H2315,I2315,J2315)))</f>
        <v/>
      </c>
      <c r="L2315" s="111" t="str">
        <f>IF(H2315="","",IF($C$29="상세법",FPV(H2315,K2315),IF(H2315="EI",4,IF(H2315="EO",5.2,IF(H2315="EQ",3.9,IF(H2315="ILF",7.5,IF(H2315="EIF",5.4)))))))</f>
        <v/>
      </c>
      <c r="M2315" s="112" t="str">
        <f t="shared" si="39"/>
        <v/>
      </c>
      <c r="N2315" s="113"/>
    </row>
    <row r="2316" spans="2:14">
      <c r="B2316" s="105"/>
      <c r="C2316" s="106"/>
      <c r="D2316" s="107"/>
      <c r="E2316" s="65"/>
      <c r="F2316" s="64"/>
      <c r="G2316" s="64"/>
      <c r="H2316" s="64"/>
      <c r="I2316" s="70"/>
      <c r="J2316" s="70"/>
      <c r="K2316" s="110" t="str">
        <f>IF(H2316="","",IF($C$29="간이법","",FPR(H2316,I2316,J2316)))</f>
        <v/>
      </c>
      <c r="L2316" s="111" t="str">
        <f>IF(H2316="","",IF($C$29="상세법",FPV(H2316,K2316),IF(H2316="EI",4,IF(H2316="EO",5.2,IF(H2316="EQ",3.9,IF(H2316="ILF",7.5,IF(H2316="EIF",5.4)))))))</f>
        <v/>
      </c>
      <c r="M2316" s="112" t="str">
        <f t="shared" si="39"/>
        <v/>
      </c>
      <c r="N2316" s="113"/>
    </row>
    <row r="2317" spans="2:14">
      <c r="B2317" s="105"/>
      <c r="C2317" s="106"/>
      <c r="D2317" s="107"/>
      <c r="E2317" s="65"/>
      <c r="F2317" s="64"/>
      <c r="G2317" s="64"/>
      <c r="H2317" s="64"/>
      <c r="I2317" s="70"/>
      <c r="J2317" s="70"/>
      <c r="K2317" s="110" t="str">
        <f>IF(H2317="","",IF($C$29="간이법","",FPR(H2317,I2317,J2317)))</f>
        <v/>
      </c>
      <c r="L2317" s="111" t="str">
        <f>IF(H2317="","",IF($C$29="상세법",FPV(H2317,K2317),IF(H2317="EI",4,IF(H2317="EO",5.2,IF(H2317="EQ",3.9,IF(H2317="ILF",7.5,IF(H2317="EIF",5.4)))))))</f>
        <v/>
      </c>
      <c r="M2317" s="112" t="str">
        <f t="shared" si="39"/>
        <v/>
      </c>
      <c r="N2317" s="113"/>
    </row>
    <row r="2318" spans="2:14">
      <c r="B2318" s="105"/>
      <c r="C2318" s="106"/>
      <c r="D2318" s="107"/>
      <c r="E2318" s="65"/>
      <c r="F2318" s="64"/>
      <c r="G2318" s="64"/>
      <c r="H2318" s="64"/>
      <c r="I2318" s="70"/>
      <c r="J2318" s="70"/>
      <c r="K2318" s="110" t="str">
        <f>IF(H2318="","",IF($C$29="간이법","",FPR(H2318,I2318,J2318)))</f>
        <v/>
      </c>
      <c r="L2318" s="111" t="str">
        <f>IF(H2318="","",IF($C$29="상세법",FPV(H2318,K2318),IF(H2318="EI",4,IF(H2318="EO",5.2,IF(H2318="EQ",3.9,IF(H2318="ILF",7.5,IF(H2318="EIF",5.4)))))))</f>
        <v/>
      </c>
      <c r="M2318" s="112" t="str">
        <f t="shared" si="39"/>
        <v/>
      </c>
      <c r="N2318" s="113"/>
    </row>
    <row r="2319" spans="2:14">
      <c r="B2319" s="105"/>
      <c r="C2319" s="106"/>
      <c r="D2319" s="107"/>
      <c r="E2319" s="65"/>
      <c r="F2319" s="64"/>
      <c r="G2319" s="64"/>
      <c r="H2319" s="64"/>
      <c r="I2319" s="70"/>
      <c r="J2319" s="70"/>
      <c r="K2319" s="110" t="str">
        <f>IF(H2319="","",IF($C$29="간이법","",FPR(H2319,I2319,J2319)))</f>
        <v/>
      </c>
      <c r="L2319" s="111" t="str">
        <f>IF(H2319="","",IF($C$29="상세법",FPV(H2319,K2319),IF(H2319="EI",4,IF(H2319="EO",5.2,IF(H2319="EQ",3.9,IF(H2319="ILF",7.5,IF(H2319="EIF",5.4)))))))</f>
        <v/>
      </c>
      <c r="M2319" s="112" t="str">
        <f t="shared" si="39"/>
        <v/>
      </c>
      <c r="N2319" s="113"/>
    </row>
    <row r="2320" spans="2:14">
      <c r="B2320" s="105"/>
      <c r="C2320" s="106"/>
      <c r="D2320" s="107"/>
      <c r="E2320" s="65"/>
      <c r="F2320" s="64"/>
      <c r="G2320" s="64"/>
      <c r="H2320" s="64"/>
      <c r="I2320" s="70"/>
      <c r="J2320" s="70"/>
      <c r="K2320" s="110" t="str">
        <f>IF(H2320="","",IF($C$29="간이법","",FPR(H2320,I2320,J2320)))</f>
        <v/>
      </c>
      <c r="L2320" s="111" t="str">
        <f>IF(H2320="","",IF($C$29="상세법",FPV(H2320,K2320),IF(H2320="EI",4,IF(H2320="EO",5.2,IF(H2320="EQ",3.9,IF(H2320="ILF",7.5,IF(H2320="EIF",5.4)))))))</f>
        <v/>
      </c>
      <c r="M2320" s="112" t="str">
        <f t="shared" si="39"/>
        <v/>
      </c>
      <c r="N2320" s="113"/>
    </row>
    <row r="2321" spans="2:14">
      <c r="B2321" s="105"/>
      <c r="C2321" s="106"/>
      <c r="D2321" s="107"/>
      <c r="E2321" s="65"/>
      <c r="F2321" s="64"/>
      <c r="G2321" s="64"/>
      <c r="H2321" s="64"/>
      <c r="I2321" s="70"/>
      <c r="J2321" s="70"/>
      <c r="K2321" s="110" t="str">
        <f>IF(H2321="","",IF($C$29="간이법","",FPR(H2321,I2321,J2321)))</f>
        <v/>
      </c>
      <c r="L2321" s="111" t="str">
        <f>IF(H2321="","",IF($C$29="상세법",FPV(H2321,K2321),IF(H2321="EI",4,IF(H2321="EO",5.2,IF(H2321="EQ",3.9,IF(H2321="ILF",7.5,IF(H2321="EIF",5.4)))))))</f>
        <v/>
      </c>
      <c r="M2321" s="112" t="str">
        <f t="shared" si="39"/>
        <v/>
      </c>
      <c r="N2321" s="113"/>
    </row>
    <row r="2322" spans="2:14">
      <c r="B2322" s="105"/>
      <c r="C2322" s="106"/>
      <c r="D2322" s="107"/>
      <c r="E2322" s="65"/>
      <c r="F2322" s="64"/>
      <c r="G2322" s="64"/>
      <c r="H2322" s="64"/>
      <c r="I2322" s="70"/>
      <c r="J2322" s="70"/>
      <c r="K2322" s="110" t="str">
        <f>IF(H2322="","",IF($C$29="간이법","",FPR(H2322,I2322,J2322)))</f>
        <v/>
      </c>
      <c r="L2322" s="111" t="str">
        <f>IF(H2322="","",IF($C$29="상세법",FPV(H2322,K2322),IF(H2322="EI",4,IF(H2322="EO",5.2,IF(H2322="EQ",3.9,IF(H2322="ILF",7.5,IF(H2322="EIF",5.4)))))))</f>
        <v/>
      </c>
      <c r="M2322" s="112" t="str">
        <f t="shared" si="39"/>
        <v/>
      </c>
      <c r="N2322" s="113"/>
    </row>
    <row r="2323" spans="2:14">
      <c r="B2323" s="105"/>
      <c r="C2323" s="106"/>
      <c r="D2323" s="107"/>
      <c r="E2323" s="65"/>
      <c r="F2323" s="64"/>
      <c r="G2323" s="64"/>
      <c r="H2323" s="64"/>
      <c r="I2323" s="70"/>
      <c r="J2323" s="70"/>
      <c r="K2323" s="110" t="str">
        <f>IF(H2323="","",IF($C$29="간이법","",FPR(H2323,I2323,J2323)))</f>
        <v/>
      </c>
      <c r="L2323" s="111" t="str">
        <f>IF(H2323="","",IF($C$29="상세법",FPV(H2323,K2323),IF(H2323="EI",4,IF(H2323="EO",5.2,IF(H2323="EQ",3.9,IF(H2323="ILF",7.5,IF(H2323="EIF",5.4)))))))</f>
        <v/>
      </c>
      <c r="M2323" s="112" t="str">
        <f t="shared" si="39"/>
        <v/>
      </c>
      <c r="N2323" s="113"/>
    </row>
    <row r="2324" spans="2:14">
      <c r="B2324" s="105"/>
      <c r="C2324" s="106"/>
      <c r="D2324" s="107"/>
      <c r="E2324" s="65"/>
      <c r="F2324" s="64"/>
      <c r="G2324" s="64"/>
      <c r="H2324" s="64"/>
      <c r="I2324" s="70"/>
      <c r="J2324" s="70"/>
      <c r="K2324" s="110" t="str">
        <f>IF(H2324="","",IF($C$29="간이법","",FPR(H2324,I2324,J2324)))</f>
        <v/>
      </c>
      <c r="L2324" s="111" t="str">
        <f>IF(H2324="","",IF($C$29="상세법",FPV(H2324,K2324),IF(H2324="EI",4,IF(H2324="EO",5.2,IF(H2324="EQ",3.9,IF(H2324="ILF",7.5,IF(H2324="EIF",5.4)))))))</f>
        <v/>
      </c>
      <c r="M2324" s="112" t="str">
        <f t="shared" si="39"/>
        <v/>
      </c>
      <c r="N2324" s="113"/>
    </row>
    <row r="2325" spans="2:14">
      <c r="B2325" s="105"/>
      <c r="C2325" s="106"/>
      <c r="D2325" s="107"/>
      <c r="E2325" s="65"/>
      <c r="F2325" s="64"/>
      <c r="G2325" s="64"/>
      <c r="H2325" s="64"/>
      <c r="I2325" s="70"/>
      <c r="J2325" s="70"/>
      <c r="K2325" s="110" t="str">
        <f>IF(H2325="","",IF($C$29="간이법","",FPR(H2325,I2325,J2325)))</f>
        <v/>
      </c>
      <c r="L2325" s="111" t="str">
        <f>IF(H2325="","",IF($C$29="상세법",FPV(H2325,K2325),IF(H2325="EI",4,IF(H2325="EO",5.2,IF(H2325="EQ",3.9,IF(H2325="ILF",7.5,IF(H2325="EIF",5.4)))))))</f>
        <v/>
      </c>
      <c r="M2325" s="112" t="str">
        <f t="shared" si="39"/>
        <v/>
      </c>
      <c r="N2325" s="113"/>
    </row>
    <row r="2326" spans="2:14">
      <c r="B2326" s="105"/>
      <c r="C2326" s="106"/>
      <c r="D2326" s="107"/>
      <c r="E2326" s="65"/>
      <c r="F2326" s="64"/>
      <c r="G2326" s="64"/>
      <c r="H2326" s="64"/>
      <c r="I2326" s="70"/>
      <c r="J2326" s="70"/>
      <c r="K2326" s="110" t="str">
        <f>IF(H2326="","",IF($C$29="간이법","",FPR(H2326,I2326,J2326)))</f>
        <v/>
      </c>
      <c r="L2326" s="111" t="str">
        <f>IF(H2326="","",IF($C$29="상세법",FPV(H2326,K2326),IF(H2326="EI",4,IF(H2326="EO",5.2,IF(H2326="EQ",3.9,IF(H2326="ILF",7.5,IF(H2326="EIF",5.4)))))))</f>
        <v/>
      </c>
      <c r="M2326" s="112" t="str">
        <f t="shared" si="39"/>
        <v/>
      </c>
      <c r="N2326" s="113"/>
    </row>
    <row r="2327" spans="2:14">
      <c r="B2327" s="105"/>
      <c r="C2327" s="106"/>
      <c r="D2327" s="107"/>
      <c r="E2327" s="65"/>
      <c r="F2327" s="64"/>
      <c r="G2327" s="64"/>
      <c r="H2327" s="64"/>
      <c r="I2327" s="70"/>
      <c r="J2327" s="70"/>
      <c r="K2327" s="110" t="str">
        <f>IF(H2327="","",IF($C$29="간이법","",FPR(H2327,I2327,J2327)))</f>
        <v/>
      </c>
      <c r="L2327" s="111" t="str">
        <f>IF(H2327="","",IF($C$29="상세법",FPV(H2327,K2327),IF(H2327="EI",4,IF(H2327="EO",5.2,IF(H2327="EQ",3.9,IF(H2327="ILF",7.5,IF(H2327="EIF",5.4)))))))</f>
        <v/>
      </c>
      <c r="M2327" s="112" t="str">
        <f t="shared" si="39"/>
        <v/>
      </c>
      <c r="N2327" s="113"/>
    </row>
    <row r="2328" spans="2:14">
      <c r="B2328" s="105"/>
      <c r="C2328" s="106"/>
      <c r="D2328" s="107"/>
      <c r="E2328" s="65"/>
      <c r="F2328" s="64"/>
      <c r="G2328" s="64"/>
      <c r="H2328" s="64"/>
      <c r="I2328" s="70"/>
      <c r="J2328" s="70"/>
      <c r="K2328" s="110" t="str">
        <f>IF(H2328="","",IF($C$29="간이법","",FPR(H2328,I2328,J2328)))</f>
        <v/>
      </c>
      <c r="L2328" s="111" t="str">
        <f>IF(H2328="","",IF($C$29="상세법",FPV(H2328,K2328),IF(H2328="EI",4,IF(H2328="EO",5.2,IF(H2328="EQ",3.9,IF(H2328="ILF",7.5,IF(H2328="EIF",5.4)))))))</f>
        <v/>
      </c>
      <c r="M2328" s="112" t="str">
        <f t="shared" si="39"/>
        <v/>
      </c>
      <c r="N2328" s="113"/>
    </row>
    <row r="2329" spans="2:14">
      <c r="B2329" s="105"/>
      <c r="C2329" s="106"/>
      <c r="D2329" s="107"/>
      <c r="E2329" s="65"/>
      <c r="F2329" s="64"/>
      <c r="G2329" s="64"/>
      <c r="H2329" s="64"/>
      <c r="I2329" s="70"/>
      <c r="J2329" s="70"/>
      <c r="K2329" s="110" t="str">
        <f>IF(H2329="","",IF($C$29="간이법","",FPR(H2329,I2329,J2329)))</f>
        <v/>
      </c>
      <c r="L2329" s="111" t="str">
        <f>IF(H2329="","",IF($C$29="상세법",FPV(H2329,K2329),IF(H2329="EI",4,IF(H2329="EO",5.2,IF(H2329="EQ",3.9,IF(H2329="ILF",7.5,IF(H2329="EIF",5.4)))))))</f>
        <v/>
      </c>
      <c r="M2329" s="112" t="str">
        <f t="shared" si="39"/>
        <v/>
      </c>
      <c r="N2329" s="113"/>
    </row>
    <row r="2330" spans="2:14">
      <c r="B2330" s="105"/>
      <c r="C2330" s="106"/>
      <c r="D2330" s="107"/>
      <c r="E2330" s="65"/>
      <c r="F2330" s="64"/>
      <c r="G2330" s="64"/>
      <c r="H2330" s="64"/>
      <c r="I2330" s="70"/>
      <c r="J2330" s="70"/>
      <c r="K2330" s="110" t="str">
        <f>IF(H2330="","",IF($C$29="간이법","",FPR(H2330,I2330,J2330)))</f>
        <v/>
      </c>
      <c r="L2330" s="111" t="str">
        <f>IF(H2330="","",IF($C$29="상세법",FPV(H2330,K2330),IF(H2330="EI",4,IF(H2330="EO",5.2,IF(H2330="EQ",3.9,IF(H2330="ILF",7.5,IF(H2330="EIF",5.4)))))))</f>
        <v/>
      </c>
      <c r="M2330" s="112" t="str">
        <f t="shared" si="39"/>
        <v/>
      </c>
      <c r="N2330" s="113"/>
    </row>
    <row r="2331" spans="2:14">
      <c r="B2331" s="105"/>
      <c r="C2331" s="106"/>
      <c r="D2331" s="107"/>
      <c r="E2331" s="65"/>
      <c r="F2331" s="64"/>
      <c r="G2331" s="64"/>
      <c r="H2331" s="64"/>
      <c r="I2331" s="70"/>
      <c r="J2331" s="70"/>
      <c r="K2331" s="110" t="str">
        <f>IF(H2331="","",IF($C$29="간이법","",FPR(H2331,I2331,J2331)))</f>
        <v/>
      </c>
      <c r="L2331" s="111" t="str">
        <f>IF(H2331="","",IF($C$29="상세법",FPV(H2331,K2331),IF(H2331="EI",4,IF(H2331="EO",5.2,IF(H2331="EQ",3.9,IF(H2331="ILF",7.5,IF(H2331="EIF",5.4)))))))</f>
        <v/>
      </c>
      <c r="M2331" s="112" t="str">
        <f t="shared" si="39"/>
        <v/>
      </c>
      <c r="N2331" s="113"/>
    </row>
    <row r="2332" spans="2:14">
      <c r="B2332" s="105"/>
      <c r="C2332" s="106"/>
      <c r="D2332" s="107"/>
      <c r="E2332" s="65"/>
      <c r="F2332" s="64"/>
      <c r="G2332" s="64"/>
      <c r="H2332" s="64"/>
      <c r="I2332" s="70"/>
      <c r="J2332" s="70"/>
      <c r="K2332" s="110" t="str">
        <f>IF(H2332="","",IF($C$29="간이법","",FPR(H2332,I2332,J2332)))</f>
        <v/>
      </c>
      <c r="L2332" s="111" t="str">
        <f>IF(H2332="","",IF($C$29="상세법",FPV(H2332,K2332),IF(H2332="EI",4,IF(H2332="EO",5.2,IF(H2332="EQ",3.9,IF(H2332="ILF",7.5,IF(H2332="EIF",5.4)))))))</f>
        <v/>
      </c>
      <c r="M2332" s="112" t="str">
        <f t="shared" si="39"/>
        <v/>
      </c>
      <c r="N2332" s="113"/>
    </row>
    <row r="2333" spans="2:14">
      <c r="B2333" s="105"/>
      <c r="C2333" s="106"/>
      <c r="D2333" s="107"/>
      <c r="E2333" s="65"/>
      <c r="F2333" s="64"/>
      <c r="G2333" s="64"/>
      <c r="H2333" s="64"/>
      <c r="I2333" s="70"/>
      <c r="J2333" s="70"/>
      <c r="K2333" s="110" t="str">
        <f>IF(H2333="","",IF($C$29="간이법","",FPR(H2333,I2333,J2333)))</f>
        <v/>
      </c>
      <c r="L2333" s="111" t="str">
        <f>IF(H2333="","",IF($C$29="상세법",FPV(H2333,K2333),IF(H2333="EI",4,IF(H2333="EO",5.2,IF(H2333="EQ",3.9,IF(H2333="ILF",7.5,IF(H2333="EIF",5.4)))))))</f>
        <v/>
      </c>
      <c r="M2333" s="112" t="str">
        <f t="shared" si="39"/>
        <v/>
      </c>
      <c r="N2333" s="113"/>
    </row>
    <row r="2334" spans="2:14">
      <c r="B2334" s="105"/>
      <c r="C2334" s="106"/>
      <c r="D2334" s="107"/>
      <c r="E2334" s="65"/>
      <c r="F2334" s="64"/>
      <c r="G2334" s="64"/>
      <c r="H2334" s="64"/>
      <c r="I2334" s="70"/>
      <c r="J2334" s="70"/>
      <c r="K2334" s="110" t="str">
        <f>IF(H2334="","",IF($C$29="간이법","",FPR(H2334,I2334,J2334)))</f>
        <v/>
      </c>
      <c r="L2334" s="111" t="str">
        <f>IF(H2334="","",IF($C$29="상세법",FPV(H2334,K2334),IF(H2334="EI",4,IF(H2334="EO",5.2,IF(H2334="EQ",3.9,IF(H2334="ILF",7.5,IF(H2334="EIF",5.4)))))))</f>
        <v/>
      </c>
      <c r="M2334" s="112" t="str">
        <f t="shared" si="39"/>
        <v/>
      </c>
      <c r="N2334" s="113"/>
    </row>
    <row r="2335" spans="2:14">
      <c r="B2335" s="105"/>
      <c r="C2335" s="106"/>
      <c r="D2335" s="107"/>
      <c r="E2335" s="65"/>
      <c r="F2335" s="64"/>
      <c r="G2335" s="64"/>
      <c r="H2335" s="64"/>
      <c r="I2335" s="70"/>
      <c r="J2335" s="70"/>
      <c r="K2335" s="110" t="str">
        <f>IF(H2335="","",IF($C$29="간이법","",FPR(H2335,I2335,J2335)))</f>
        <v/>
      </c>
      <c r="L2335" s="111" t="str">
        <f>IF(H2335="","",IF($C$29="상세법",FPV(H2335,K2335),IF(H2335="EI",4,IF(H2335="EO",5.2,IF(H2335="EQ",3.9,IF(H2335="ILF",7.5,IF(H2335="EIF",5.4)))))))</f>
        <v/>
      </c>
      <c r="M2335" s="112" t="str">
        <f t="shared" si="39"/>
        <v/>
      </c>
      <c r="N2335" s="113"/>
    </row>
    <row r="2336" spans="2:14">
      <c r="B2336" s="105"/>
      <c r="C2336" s="106"/>
      <c r="D2336" s="107"/>
      <c r="E2336" s="65"/>
      <c r="F2336" s="64"/>
      <c r="G2336" s="64"/>
      <c r="H2336" s="64"/>
      <c r="I2336" s="70"/>
      <c r="J2336" s="70"/>
      <c r="K2336" s="110" t="str">
        <f>IF(H2336="","",IF($C$29="간이법","",FPR(H2336,I2336,J2336)))</f>
        <v/>
      </c>
      <c r="L2336" s="111" t="str">
        <f>IF(H2336="","",IF($C$29="상세법",FPV(H2336,K2336),IF(H2336="EI",4,IF(H2336="EO",5.2,IF(H2336="EQ",3.9,IF(H2336="ILF",7.5,IF(H2336="EIF",5.4)))))))</f>
        <v/>
      </c>
      <c r="M2336" s="112" t="str">
        <f t="shared" si="39"/>
        <v/>
      </c>
      <c r="N2336" s="113"/>
    </row>
    <row r="2337" spans="2:14">
      <c r="B2337" s="105"/>
      <c r="C2337" s="106"/>
      <c r="D2337" s="107"/>
      <c r="E2337" s="65"/>
      <c r="F2337" s="64"/>
      <c r="G2337" s="64"/>
      <c r="H2337" s="64"/>
      <c r="I2337" s="70"/>
      <c r="J2337" s="70"/>
      <c r="K2337" s="110" t="str">
        <f>IF(H2337="","",IF($C$29="간이법","",FPR(H2337,I2337,J2337)))</f>
        <v/>
      </c>
      <c r="L2337" s="111" t="str">
        <f>IF(H2337="","",IF($C$29="상세법",FPV(H2337,K2337),IF(H2337="EI",4,IF(H2337="EO",5.2,IF(H2337="EQ",3.9,IF(H2337="ILF",7.5,IF(H2337="EIF",5.4)))))))</f>
        <v/>
      </c>
      <c r="M2337" s="112" t="str">
        <f t="shared" si="39"/>
        <v/>
      </c>
      <c r="N2337" s="113"/>
    </row>
    <row r="2338" spans="2:14">
      <c r="B2338" s="105"/>
      <c r="C2338" s="106"/>
      <c r="D2338" s="107"/>
      <c r="E2338" s="65"/>
      <c r="F2338" s="64"/>
      <c r="G2338" s="64"/>
      <c r="H2338" s="64"/>
      <c r="I2338" s="70"/>
      <c r="J2338" s="70"/>
      <c r="K2338" s="110" t="str">
        <f>IF(H2338="","",IF($C$29="간이법","",FPR(H2338,I2338,J2338)))</f>
        <v/>
      </c>
      <c r="L2338" s="111" t="str">
        <f>IF(H2338="","",IF($C$29="상세법",FPV(H2338,K2338),IF(H2338="EI",4,IF(H2338="EO",5.2,IF(H2338="EQ",3.9,IF(H2338="ILF",7.5,IF(H2338="EIF",5.4)))))))</f>
        <v/>
      </c>
      <c r="M2338" s="112" t="str">
        <f t="shared" si="39"/>
        <v/>
      </c>
      <c r="N2338" s="113"/>
    </row>
    <row r="2339" spans="2:14">
      <c r="B2339" s="105"/>
      <c r="C2339" s="106"/>
      <c r="D2339" s="107"/>
      <c r="E2339" s="65"/>
      <c r="F2339" s="64"/>
      <c r="G2339" s="64"/>
      <c r="H2339" s="64"/>
      <c r="I2339" s="70"/>
      <c r="J2339" s="70"/>
      <c r="K2339" s="110" t="str">
        <f>IF(H2339="","",IF($C$29="간이법","",FPR(H2339,I2339,J2339)))</f>
        <v/>
      </c>
      <c r="L2339" s="111" t="str">
        <f>IF(H2339="","",IF($C$29="상세법",FPV(H2339,K2339),IF(H2339="EI",4,IF(H2339="EO",5.2,IF(H2339="EQ",3.9,IF(H2339="ILF",7.5,IF(H2339="EIF",5.4)))))))</f>
        <v/>
      </c>
      <c r="M2339" s="112" t="str">
        <f t="shared" si="39"/>
        <v/>
      </c>
      <c r="N2339" s="113"/>
    </row>
    <row r="2340" spans="2:14">
      <c r="B2340" s="105"/>
      <c r="C2340" s="106"/>
      <c r="D2340" s="107"/>
      <c r="E2340" s="65"/>
      <c r="F2340" s="64"/>
      <c r="G2340" s="64"/>
      <c r="H2340" s="64"/>
      <c r="I2340" s="70"/>
      <c r="J2340" s="70"/>
      <c r="K2340" s="110" t="str">
        <f>IF(H2340="","",IF($C$29="간이법","",FPR(H2340,I2340,J2340)))</f>
        <v/>
      </c>
      <c r="L2340" s="111" t="str">
        <f>IF(H2340="","",IF($C$29="상세법",FPV(H2340,K2340),IF(H2340="EI",4,IF(H2340="EO",5.2,IF(H2340="EQ",3.9,IF(H2340="ILF",7.5,IF(H2340="EIF",5.4)))))))</f>
        <v/>
      </c>
      <c r="M2340" s="112" t="str">
        <f t="shared" si="39"/>
        <v/>
      </c>
      <c r="N2340" s="113"/>
    </row>
    <row r="2341" spans="2:14">
      <c r="B2341" s="105"/>
      <c r="C2341" s="106"/>
      <c r="D2341" s="107"/>
      <c r="E2341" s="65"/>
      <c r="F2341" s="64"/>
      <c r="G2341" s="64"/>
      <c r="H2341" s="64"/>
      <c r="I2341" s="70"/>
      <c r="J2341" s="70"/>
      <c r="K2341" s="110" t="str">
        <f>IF(H2341="","",IF($C$29="간이법","",FPR(H2341,I2341,J2341)))</f>
        <v/>
      </c>
      <c r="L2341" s="111" t="str">
        <f>IF(H2341="","",IF($C$29="상세법",FPV(H2341,K2341),IF(H2341="EI",4,IF(H2341="EO",5.2,IF(H2341="EQ",3.9,IF(H2341="ILF",7.5,IF(H2341="EIF",5.4)))))))</f>
        <v/>
      </c>
      <c r="M2341" s="112" t="str">
        <f t="shared" si="39"/>
        <v/>
      </c>
      <c r="N2341" s="113"/>
    </row>
    <row r="2342" spans="2:14">
      <c r="B2342" s="105"/>
      <c r="C2342" s="106"/>
      <c r="D2342" s="107"/>
      <c r="E2342" s="65"/>
      <c r="F2342" s="64"/>
      <c r="G2342" s="64"/>
      <c r="H2342" s="64"/>
      <c r="I2342" s="70"/>
      <c r="J2342" s="70"/>
      <c r="K2342" s="110" t="str">
        <f>IF(H2342="","",IF($C$29="간이법","",FPR(H2342,I2342,J2342)))</f>
        <v/>
      </c>
      <c r="L2342" s="111" t="str">
        <f>IF(H2342="","",IF($C$29="상세법",FPV(H2342,K2342),IF(H2342="EI",4,IF(H2342="EO",5.2,IF(H2342="EQ",3.9,IF(H2342="ILF",7.5,IF(H2342="EIF",5.4)))))))</f>
        <v/>
      </c>
      <c r="M2342" s="112" t="str">
        <f t="shared" si="39"/>
        <v/>
      </c>
      <c r="N2342" s="113"/>
    </row>
    <row r="2343" spans="2:14">
      <c r="B2343" s="105"/>
      <c r="C2343" s="106"/>
      <c r="D2343" s="107"/>
      <c r="E2343" s="65"/>
      <c r="F2343" s="64"/>
      <c r="G2343" s="64"/>
      <c r="H2343" s="64"/>
      <c r="I2343" s="70"/>
      <c r="J2343" s="70"/>
      <c r="K2343" s="110" t="str">
        <f>IF(H2343="","",IF($C$29="간이법","",FPR(H2343,I2343,J2343)))</f>
        <v/>
      </c>
      <c r="L2343" s="111" t="str">
        <f>IF(H2343="","",IF($C$29="상세법",FPV(H2343,K2343),IF(H2343="EI",4,IF(H2343="EO",5.2,IF(H2343="EQ",3.9,IF(H2343="ILF",7.5,IF(H2343="EIF",5.4)))))))</f>
        <v/>
      </c>
      <c r="M2343" s="112" t="str">
        <f t="shared" si="39"/>
        <v/>
      </c>
      <c r="N2343" s="113"/>
    </row>
    <row r="2344" spans="2:14">
      <c r="B2344" s="105"/>
      <c r="C2344" s="106"/>
      <c r="D2344" s="107"/>
      <c r="E2344" s="65"/>
      <c r="F2344" s="64"/>
      <c r="G2344" s="64"/>
      <c r="H2344" s="64"/>
      <c r="I2344" s="70"/>
      <c r="J2344" s="70"/>
      <c r="K2344" s="110" t="str">
        <f>IF(H2344="","",IF($C$29="간이법","",FPR(H2344,I2344,J2344)))</f>
        <v/>
      </c>
      <c r="L2344" s="111" t="str">
        <f>IF(H2344="","",IF($C$29="상세법",FPV(H2344,K2344),IF(H2344="EI",4,IF(H2344="EO",5.2,IF(H2344="EQ",3.9,IF(H2344="ILF",7.5,IF(H2344="EIF",5.4)))))))</f>
        <v/>
      </c>
      <c r="M2344" s="112" t="str">
        <f t="shared" si="39"/>
        <v/>
      </c>
      <c r="N2344" s="113"/>
    </row>
    <row r="2345" spans="2:14">
      <c r="B2345" s="105"/>
      <c r="C2345" s="106"/>
      <c r="D2345" s="107"/>
      <c r="E2345" s="65"/>
      <c r="F2345" s="64"/>
      <c r="G2345" s="64"/>
      <c r="H2345" s="64"/>
      <c r="I2345" s="70"/>
      <c r="J2345" s="70"/>
      <c r="K2345" s="110" t="str">
        <f>IF(H2345="","",IF($C$29="간이법","",FPR(H2345,I2345,J2345)))</f>
        <v/>
      </c>
      <c r="L2345" s="111" t="str">
        <f>IF(H2345="","",IF($C$29="상세법",FPV(H2345,K2345),IF(H2345="EI",4,IF(H2345="EO",5.2,IF(H2345="EQ",3.9,IF(H2345="ILF",7.5,IF(H2345="EIF",5.4)))))))</f>
        <v/>
      </c>
      <c r="M2345" s="112" t="str">
        <f t="shared" si="39"/>
        <v/>
      </c>
      <c r="N2345" s="113"/>
    </row>
    <row r="2346" spans="2:14">
      <c r="B2346" s="105"/>
      <c r="C2346" s="106"/>
      <c r="D2346" s="107"/>
      <c r="E2346" s="65"/>
      <c r="F2346" s="64"/>
      <c r="G2346" s="64"/>
      <c r="H2346" s="64"/>
      <c r="I2346" s="70"/>
      <c r="J2346" s="70"/>
      <c r="K2346" s="110" t="str">
        <f>IF(H2346="","",IF($C$29="간이법","",FPR(H2346,I2346,J2346)))</f>
        <v/>
      </c>
      <c r="L2346" s="111" t="str">
        <f>IF(H2346="","",IF($C$29="상세법",FPV(H2346,K2346),IF(H2346="EI",4,IF(H2346="EO",5.2,IF(H2346="EQ",3.9,IF(H2346="ILF",7.5,IF(H2346="EIF",5.4)))))))</f>
        <v/>
      </c>
      <c r="M2346" s="112" t="str">
        <f t="shared" si="39"/>
        <v/>
      </c>
      <c r="N2346" s="113"/>
    </row>
    <row r="2347" spans="2:14">
      <c r="B2347" s="105"/>
      <c r="C2347" s="106"/>
      <c r="D2347" s="107"/>
      <c r="E2347" s="65"/>
      <c r="F2347" s="64"/>
      <c r="G2347" s="64"/>
      <c r="H2347" s="64"/>
      <c r="I2347" s="70"/>
      <c r="J2347" s="70"/>
      <c r="K2347" s="110" t="str">
        <f>IF(H2347="","",IF($C$29="간이법","",FPR(H2347,I2347,J2347)))</f>
        <v/>
      </c>
      <c r="L2347" s="111" t="str">
        <f>IF(H2347="","",IF($C$29="상세법",FPV(H2347,K2347),IF(H2347="EI",4,IF(H2347="EO",5.2,IF(H2347="EQ",3.9,IF(H2347="ILF",7.5,IF(H2347="EIF",5.4)))))))</f>
        <v/>
      </c>
      <c r="M2347" s="112" t="str">
        <f t="shared" si="39"/>
        <v/>
      </c>
      <c r="N2347" s="113"/>
    </row>
    <row r="2348" spans="2:14">
      <c r="B2348" s="105"/>
      <c r="C2348" s="106"/>
      <c r="D2348" s="107"/>
      <c r="E2348" s="65"/>
      <c r="F2348" s="64"/>
      <c r="G2348" s="64"/>
      <c r="H2348" s="64"/>
      <c r="I2348" s="70"/>
      <c r="J2348" s="70"/>
      <c r="K2348" s="110" t="str">
        <f>IF(H2348="","",IF($C$29="간이법","",FPR(H2348,I2348,J2348)))</f>
        <v/>
      </c>
      <c r="L2348" s="111" t="str">
        <f>IF(H2348="","",IF($C$29="상세법",FPV(H2348,K2348),IF(H2348="EI",4,IF(H2348="EO",5.2,IF(H2348="EQ",3.9,IF(H2348="ILF",7.5,IF(H2348="EIF",5.4)))))))</f>
        <v/>
      </c>
      <c r="M2348" s="112" t="str">
        <f t="shared" si="39"/>
        <v/>
      </c>
      <c r="N2348" s="113"/>
    </row>
    <row r="2349" spans="2:14">
      <c r="B2349" s="105"/>
      <c r="C2349" s="106"/>
      <c r="D2349" s="107"/>
      <c r="E2349" s="65"/>
      <c r="F2349" s="64"/>
      <c r="G2349" s="64"/>
      <c r="H2349" s="64"/>
      <c r="I2349" s="70"/>
      <c r="J2349" s="70"/>
      <c r="K2349" s="110" t="str">
        <f>IF(H2349="","",IF($C$29="간이법","",FPR(H2349,I2349,J2349)))</f>
        <v/>
      </c>
      <c r="L2349" s="111" t="str">
        <f>IF(H2349="","",IF($C$29="상세법",FPV(H2349,K2349),IF(H2349="EI",4,IF(H2349="EO",5.2,IF(H2349="EQ",3.9,IF(H2349="ILF",7.5,IF(H2349="EIF",5.4)))))))</f>
        <v/>
      </c>
      <c r="M2349" s="112" t="str">
        <f t="shared" si="39"/>
        <v/>
      </c>
      <c r="N2349" s="113"/>
    </row>
    <row r="2350" spans="2:14">
      <c r="B2350" s="105"/>
      <c r="C2350" s="106"/>
      <c r="D2350" s="107"/>
      <c r="E2350" s="65"/>
      <c r="F2350" s="64"/>
      <c r="G2350" s="64"/>
      <c r="H2350" s="64"/>
      <c r="I2350" s="70"/>
      <c r="J2350" s="70"/>
      <c r="K2350" s="110" t="str">
        <f>IF(H2350="","",IF($C$29="간이법","",FPR(H2350,I2350,J2350)))</f>
        <v/>
      </c>
      <c r="L2350" s="111" t="str">
        <f>IF(H2350="","",IF($C$29="상세법",FPV(H2350,K2350),IF(H2350="EI",4,IF(H2350="EO",5.2,IF(H2350="EQ",3.9,IF(H2350="ILF",7.5,IF(H2350="EIF",5.4)))))))</f>
        <v/>
      </c>
      <c r="M2350" s="112" t="str">
        <f t="shared" si="39"/>
        <v/>
      </c>
      <c r="N2350" s="113"/>
    </row>
    <row r="2351" spans="2:14">
      <c r="B2351" s="105"/>
      <c r="C2351" s="106"/>
      <c r="D2351" s="107"/>
      <c r="E2351" s="65"/>
      <c r="F2351" s="64"/>
      <c r="G2351" s="64"/>
      <c r="H2351" s="64"/>
      <c r="I2351" s="70"/>
      <c r="J2351" s="70"/>
      <c r="K2351" s="110" t="str">
        <f>IF(H2351="","",IF($C$29="간이법","",FPR(H2351,I2351,J2351)))</f>
        <v/>
      </c>
      <c r="L2351" s="111" t="str">
        <f>IF(H2351="","",IF($C$29="상세법",FPV(H2351,K2351),IF(H2351="EI",4,IF(H2351="EO",5.2,IF(H2351="EQ",3.9,IF(H2351="ILF",7.5,IF(H2351="EIF",5.4)))))))</f>
        <v/>
      </c>
      <c r="M2351" s="112" t="str">
        <f t="shared" si="39"/>
        <v/>
      </c>
      <c r="N2351" s="113"/>
    </row>
    <row r="2352" spans="2:14">
      <c r="B2352" s="105"/>
      <c r="C2352" s="106"/>
      <c r="D2352" s="107"/>
      <c r="E2352" s="65"/>
      <c r="F2352" s="64"/>
      <c r="G2352" s="64"/>
      <c r="H2352" s="64"/>
      <c r="I2352" s="70"/>
      <c r="J2352" s="70"/>
      <c r="K2352" s="110" t="str">
        <f>IF(H2352="","",IF($C$29="간이법","",FPR(H2352,I2352,J2352)))</f>
        <v/>
      </c>
      <c r="L2352" s="111" t="str">
        <f>IF(H2352="","",IF($C$29="상세법",FPV(H2352,K2352),IF(H2352="EI",4,IF(H2352="EO",5.2,IF(H2352="EQ",3.9,IF(H2352="ILF",7.5,IF(H2352="EIF",5.4)))))))</f>
        <v/>
      </c>
      <c r="M2352" s="112" t="str">
        <f t="shared" si="39"/>
        <v/>
      </c>
      <c r="N2352" s="113"/>
    </row>
    <row r="2353" spans="2:14">
      <c r="B2353" s="105"/>
      <c r="C2353" s="106"/>
      <c r="D2353" s="107"/>
      <c r="E2353" s="65"/>
      <c r="F2353" s="64"/>
      <c r="G2353" s="64"/>
      <c r="H2353" s="64"/>
      <c r="I2353" s="70"/>
      <c r="J2353" s="70"/>
      <c r="K2353" s="110" t="str">
        <f>IF(H2353="","",IF($C$29="간이법","",FPR(H2353,I2353,J2353)))</f>
        <v/>
      </c>
      <c r="L2353" s="111" t="str">
        <f>IF(H2353="","",IF($C$29="상세법",FPV(H2353,K2353),IF(H2353="EI",4,IF(H2353="EO",5.2,IF(H2353="EQ",3.9,IF(H2353="ILF",7.5,IF(H2353="EIF",5.4)))))))</f>
        <v/>
      </c>
      <c r="M2353" s="112" t="str">
        <f t="shared" si="39"/>
        <v/>
      </c>
      <c r="N2353" s="113"/>
    </row>
    <row r="2354" spans="2:14">
      <c r="B2354" s="105"/>
      <c r="C2354" s="106"/>
      <c r="D2354" s="107"/>
      <c r="E2354" s="65"/>
      <c r="F2354" s="64"/>
      <c r="G2354" s="64"/>
      <c r="H2354" s="64"/>
      <c r="I2354" s="70"/>
      <c r="J2354" s="70"/>
      <c r="K2354" s="110" t="str">
        <f>IF(H2354="","",IF($C$29="간이법","",FPR(H2354,I2354,J2354)))</f>
        <v/>
      </c>
      <c r="L2354" s="111" t="str">
        <f>IF(H2354="","",IF($C$29="상세법",FPV(H2354,K2354),IF(H2354="EI",4,IF(H2354="EO",5.2,IF(H2354="EQ",3.9,IF(H2354="ILF",7.5,IF(H2354="EIF",5.4)))))))</f>
        <v/>
      </c>
      <c r="M2354" s="112" t="str">
        <f t="shared" si="39"/>
        <v/>
      </c>
      <c r="N2354" s="113"/>
    </row>
    <row r="2355" spans="2:14">
      <c r="B2355" s="105"/>
      <c r="C2355" s="106"/>
      <c r="D2355" s="107"/>
      <c r="E2355" s="65"/>
      <c r="F2355" s="64"/>
      <c r="G2355" s="64"/>
      <c r="H2355" s="64"/>
      <c r="I2355" s="70"/>
      <c r="J2355" s="70"/>
      <c r="K2355" s="110" t="str">
        <f>IF(H2355="","",IF($C$29="간이법","",FPR(H2355,I2355,J2355)))</f>
        <v/>
      </c>
      <c r="L2355" s="111" t="str">
        <f>IF(H2355="","",IF($C$29="상세법",FPV(H2355,K2355),IF(H2355="EI",4,IF(H2355="EO",5.2,IF(H2355="EQ",3.9,IF(H2355="ILF",7.5,IF(H2355="EIF",5.4)))))))</f>
        <v/>
      </c>
      <c r="M2355" s="112" t="str">
        <f t="shared" si="39"/>
        <v/>
      </c>
      <c r="N2355" s="113"/>
    </row>
    <row r="2356" spans="2:14">
      <c r="B2356" s="105"/>
      <c r="C2356" s="106"/>
      <c r="D2356" s="107"/>
      <c r="E2356" s="65"/>
      <c r="F2356" s="64"/>
      <c r="G2356" s="64"/>
      <c r="H2356" s="64"/>
      <c r="I2356" s="70"/>
      <c r="J2356" s="70"/>
      <c r="K2356" s="110" t="str">
        <f>IF(H2356="","",IF($C$29="간이법","",FPR(H2356,I2356,J2356)))</f>
        <v/>
      </c>
      <c r="L2356" s="111" t="str">
        <f>IF(H2356="","",IF($C$29="상세법",FPV(H2356,K2356),IF(H2356="EI",4,IF(H2356="EO",5.2,IF(H2356="EQ",3.9,IF(H2356="ILF",7.5,IF(H2356="EIF",5.4)))))))</f>
        <v/>
      </c>
      <c r="M2356" s="112" t="str">
        <f t="shared" si="39"/>
        <v/>
      </c>
      <c r="N2356" s="113"/>
    </row>
    <row r="2357" spans="2:14">
      <c r="B2357" s="105"/>
      <c r="C2357" s="106"/>
      <c r="D2357" s="107"/>
      <c r="E2357" s="65"/>
      <c r="F2357" s="64"/>
      <c r="G2357" s="64"/>
      <c r="H2357" s="64"/>
      <c r="I2357" s="70"/>
      <c r="J2357" s="70"/>
      <c r="K2357" s="110" t="str">
        <f>IF(H2357="","",IF($C$29="간이법","",FPR(H2357,I2357,J2357)))</f>
        <v/>
      </c>
      <c r="L2357" s="111" t="str">
        <f>IF(H2357="","",IF($C$29="상세법",FPV(H2357,K2357),IF(H2357="EI",4,IF(H2357="EO",5.2,IF(H2357="EQ",3.9,IF(H2357="ILF",7.5,IF(H2357="EIF",5.4)))))))</f>
        <v/>
      </c>
      <c r="M2357" s="112" t="str">
        <f t="shared" si="39"/>
        <v/>
      </c>
      <c r="N2357" s="113"/>
    </row>
    <row r="2358" spans="2:14">
      <c r="B2358" s="105"/>
      <c r="C2358" s="106"/>
      <c r="D2358" s="107"/>
      <c r="E2358" s="65"/>
      <c r="F2358" s="64"/>
      <c r="G2358" s="64"/>
      <c r="H2358" s="64"/>
      <c r="I2358" s="70"/>
      <c r="J2358" s="70"/>
      <c r="K2358" s="110" t="str">
        <f>IF(H2358="","",IF($C$29="간이법","",FPR(H2358,I2358,J2358)))</f>
        <v/>
      </c>
      <c r="L2358" s="111" t="str">
        <f>IF(H2358="","",IF($C$29="상세법",FPV(H2358,K2358),IF(H2358="EI",4,IF(H2358="EO",5.2,IF(H2358="EQ",3.9,IF(H2358="ILF",7.5,IF(H2358="EIF",5.4)))))))</f>
        <v/>
      </c>
      <c r="M2358" s="112" t="str">
        <f t="shared" si="39"/>
        <v/>
      </c>
      <c r="N2358" s="113"/>
    </row>
    <row r="2359" spans="2:14">
      <c r="B2359" s="105"/>
      <c r="C2359" s="106"/>
      <c r="D2359" s="107"/>
      <c r="E2359" s="65"/>
      <c r="F2359" s="64"/>
      <c r="G2359" s="64"/>
      <c r="H2359" s="64"/>
      <c r="I2359" s="70"/>
      <c r="J2359" s="70"/>
      <c r="K2359" s="110" t="str">
        <f>IF(H2359="","",IF($C$29="간이법","",FPR(H2359,I2359,J2359)))</f>
        <v/>
      </c>
      <c r="L2359" s="111" t="str">
        <f>IF(H2359="","",IF($C$29="상세법",FPV(H2359,K2359),IF(H2359="EI",4,IF(H2359="EO",5.2,IF(H2359="EQ",3.9,IF(H2359="ILF",7.5,IF(H2359="EIF",5.4)))))))</f>
        <v/>
      </c>
      <c r="M2359" s="112" t="str">
        <f t="shared" si="39"/>
        <v/>
      </c>
      <c r="N2359" s="113"/>
    </row>
    <row r="2360" spans="2:14">
      <c r="B2360" s="105"/>
      <c r="C2360" s="106"/>
      <c r="D2360" s="107"/>
      <c r="E2360" s="65"/>
      <c r="F2360" s="64"/>
      <c r="G2360" s="64"/>
      <c r="H2360" s="64"/>
      <c r="I2360" s="70"/>
      <c r="J2360" s="70"/>
      <c r="K2360" s="110" t="str">
        <f>IF(H2360="","",IF($C$29="간이법","",FPR(H2360,I2360,J2360)))</f>
        <v/>
      </c>
      <c r="L2360" s="111" t="str">
        <f>IF(H2360="","",IF($C$29="상세법",FPV(H2360,K2360),IF(H2360="EI",4,IF(H2360="EO",5.2,IF(H2360="EQ",3.9,IF(H2360="ILF",7.5,IF(H2360="EIF",5.4)))))))</f>
        <v/>
      </c>
      <c r="M2360" s="112" t="str">
        <f t="shared" si="39"/>
        <v/>
      </c>
      <c r="N2360" s="113"/>
    </row>
    <row r="2361" spans="2:14">
      <c r="B2361" s="105"/>
      <c r="C2361" s="106"/>
      <c r="D2361" s="107"/>
      <c r="E2361" s="65"/>
      <c r="F2361" s="64"/>
      <c r="G2361" s="64"/>
      <c r="H2361" s="64"/>
      <c r="I2361" s="70"/>
      <c r="J2361" s="70"/>
      <c r="K2361" s="110" t="str">
        <f>IF(H2361="","",IF($C$29="간이법","",FPR(H2361,I2361,J2361)))</f>
        <v/>
      </c>
      <c r="L2361" s="111" t="str">
        <f>IF(H2361="","",IF($C$29="상세법",FPV(H2361,K2361),IF(H2361="EI",4,IF(H2361="EO",5.2,IF(H2361="EQ",3.9,IF(H2361="ILF",7.5,IF(H2361="EIF",5.4)))))))</f>
        <v/>
      </c>
      <c r="M2361" s="112" t="str">
        <f t="shared" ref="M2361:M2424" si="40">IF(L2361="","",L2361*IF(G2361="상",0.7,IF(G2361="중",0.5,IF(G2361="하",0.2,1))))</f>
        <v/>
      </c>
      <c r="N2361" s="113"/>
    </row>
    <row r="2362" spans="2:14">
      <c r="B2362" s="105"/>
      <c r="C2362" s="106"/>
      <c r="D2362" s="107"/>
      <c r="E2362" s="65"/>
      <c r="F2362" s="64"/>
      <c r="G2362" s="64"/>
      <c r="H2362" s="64"/>
      <c r="I2362" s="70"/>
      <c r="J2362" s="70"/>
      <c r="K2362" s="110" t="str">
        <f>IF(H2362="","",IF($C$29="간이법","",FPR(H2362,I2362,J2362)))</f>
        <v/>
      </c>
      <c r="L2362" s="111" t="str">
        <f>IF(H2362="","",IF($C$29="상세법",FPV(H2362,K2362),IF(H2362="EI",4,IF(H2362="EO",5.2,IF(H2362="EQ",3.9,IF(H2362="ILF",7.5,IF(H2362="EIF",5.4)))))))</f>
        <v/>
      </c>
      <c r="M2362" s="112" t="str">
        <f t="shared" si="40"/>
        <v/>
      </c>
      <c r="N2362" s="113"/>
    </row>
    <row r="2363" spans="2:14">
      <c r="B2363" s="105"/>
      <c r="C2363" s="106"/>
      <c r="D2363" s="107"/>
      <c r="E2363" s="65"/>
      <c r="F2363" s="64"/>
      <c r="G2363" s="64"/>
      <c r="H2363" s="64"/>
      <c r="I2363" s="70"/>
      <c r="J2363" s="70"/>
      <c r="K2363" s="110" t="str">
        <f>IF(H2363="","",IF($C$29="간이법","",FPR(H2363,I2363,J2363)))</f>
        <v/>
      </c>
      <c r="L2363" s="111" t="str">
        <f>IF(H2363="","",IF($C$29="상세법",FPV(H2363,K2363),IF(H2363="EI",4,IF(H2363="EO",5.2,IF(H2363="EQ",3.9,IF(H2363="ILF",7.5,IF(H2363="EIF",5.4)))))))</f>
        <v/>
      </c>
      <c r="M2363" s="112" t="str">
        <f t="shared" si="40"/>
        <v/>
      </c>
      <c r="N2363" s="113"/>
    </row>
    <row r="2364" spans="2:14">
      <c r="B2364" s="105"/>
      <c r="C2364" s="106"/>
      <c r="D2364" s="107"/>
      <c r="E2364" s="65"/>
      <c r="F2364" s="64"/>
      <c r="G2364" s="64"/>
      <c r="H2364" s="64"/>
      <c r="I2364" s="70"/>
      <c r="J2364" s="70"/>
      <c r="K2364" s="110" t="str">
        <f>IF(H2364="","",IF($C$29="간이법","",FPR(H2364,I2364,J2364)))</f>
        <v/>
      </c>
      <c r="L2364" s="111" t="str">
        <f>IF(H2364="","",IF($C$29="상세법",FPV(H2364,K2364),IF(H2364="EI",4,IF(H2364="EO",5.2,IF(H2364="EQ",3.9,IF(H2364="ILF",7.5,IF(H2364="EIF",5.4)))))))</f>
        <v/>
      </c>
      <c r="M2364" s="112" t="str">
        <f t="shared" si="40"/>
        <v/>
      </c>
      <c r="N2364" s="113"/>
    </row>
    <row r="2365" spans="2:14">
      <c r="B2365" s="105"/>
      <c r="C2365" s="106"/>
      <c r="D2365" s="107"/>
      <c r="E2365" s="65"/>
      <c r="F2365" s="64"/>
      <c r="G2365" s="64"/>
      <c r="H2365" s="64"/>
      <c r="I2365" s="70"/>
      <c r="J2365" s="70"/>
      <c r="K2365" s="110" t="str">
        <f>IF(H2365="","",IF($C$29="간이법","",FPR(H2365,I2365,J2365)))</f>
        <v/>
      </c>
      <c r="L2365" s="111" t="str">
        <f>IF(H2365="","",IF($C$29="상세법",FPV(H2365,K2365),IF(H2365="EI",4,IF(H2365="EO",5.2,IF(H2365="EQ",3.9,IF(H2365="ILF",7.5,IF(H2365="EIF",5.4)))))))</f>
        <v/>
      </c>
      <c r="M2365" s="112" t="str">
        <f t="shared" si="40"/>
        <v/>
      </c>
      <c r="N2365" s="113"/>
    </row>
    <row r="2366" spans="2:14">
      <c r="B2366" s="105"/>
      <c r="C2366" s="106"/>
      <c r="D2366" s="107"/>
      <c r="E2366" s="65"/>
      <c r="F2366" s="64"/>
      <c r="G2366" s="64"/>
      <c r="H2366" s="64"/>
      <c r="I2366" s="70"/>
      <c r="J2366" s="70"/>
      <c r="K2366" s="110" t="str">
        <f>IF(H2366="","",IF($C$29="간이법","",FPR(H2366,I2366,J2366)))</f>
        <v/>
      </c>
      <c r="L2366" s="111" t="str">
        <f>IF(H2366="","",IF($C$29="상세법",FPV(H2366,K2366),IF(H2366="EI",4,IF(H2366="EO",5.2,IF(H2366="EQ",3.9,IF(H2366="ILF",7.5,IF(H2366="EIF",5.4)))))))</f>
        <v/>
      </c>
      <c r="M2366" s="112" t="str">
        <f t="shared" si="40"/>
        <v/>
      </c>
      <c r="N2366" s="113"/>
    </row>
    <row r="2367" spans="2:14">
      <c r="B2367" s="105"/>
      <c r="C2367" s="106"/>
      <c r="D2367" s="107"/>
      <c r="E2367" s="65"/>
      <c r="F2367" s="64"/>
      <c r="G2367" s="64"/>
      <c r="H2367" s="64"/>
      <c r="I2367" s="70"/>
      <c r="J2367" s="70"/>
      <c r="K2367" s="110" t="str">
        <f>IF(H2367="","",IF($C$29="간이법","",FPR(H2367,I2367,J2367)))</f>
        <v/>
      </c>
      <c r="L2367" s="111" t="str">
        <f>IF(H2367="","",IF($C$29="상세법",FPV(H2367,K2367),IF(H2367="EI",4,IF(H2367="EO",5.2,IF(H2367="EQ",3.9,IF(H2367="ILF",7.5,IF(H2367="EIF",5.4)))))))</f>
        <v/>
      </c>
      <c r="M2367" s="112" t="str">
        <f t="shared" si="40"/>
        <v/>
      </c>
      <c r="N2367" s="113"/>
    </row>
    <row r="2368" spans="2:14">
      <c r="B2368" s="105"/>
      <c r="C2368" s="106"/>
      <c r="D2368" s="107"/>
      <c r="E2368" s="65"/>
      <c r="F2368" s="64"/>
      <c r="G2368" s="64"/>
      <c r="H2368" s="64"/>
      <c r="I2368" s="70"/>
      <c r="J2368" s="70"/>
      <c r="K2368" s="110" t="str">
        <f>IF(H2368="","",IF($C$29="간이법","",FPR(H2368,I2368,J2368)))</f>
        <v/>
      </c>
      <c r="L2368" s="111" t="str">
        <f>IF(H2368="","",IF($C$29="상세법",FPV(H2368,K2368),IF(H2368="EI",4,IF(H2368="EO",5.2,IF(H2368="EQ",3.9,IF(H2368="ILF",7.5,IF(H2368="EIF",5.4)))))))</f>
        <v/>
      </c>
      <c r="M2368" s="112" t="str">
        <f t="shared" si="40"/>
        <v/>
      </c>
      <c r="N2368" s="113"/>
    </row>
    <row r="2369" spans="2:14">
      <c r="B2369" s="105"/>
      <c r="C2369" s="106"/>
      <c r="D2369" s="107"/>
      <c r="E2369" s="65"/>
      <c r="F2369" s="64"/>
      <c r="G2369" s="64"/>
      <c r="H2369" s="64"/>
      <c r="I2369" s="70"/>
      <c r="J2369" s="70"/>
      <c r="K2369" s="110" t="str">
        <f>IF(H2369="","",IF($C$29="간이법","",FPR(H2369,I2369,J2369)))</f>
        <v/>
      </c>
      <c r="L2369" s="111" t="str">
        <f>IF(H2369="","",IF($C$29="상세법",FPV(H2369,K2369),IF(H2369="EI",4,IF(H2369="EO",5.2,IF(H2369="EQ",3.9,IF(H2369="ILF",7.5,IF(H2369="EIF",5.4)))))))</f>
        <v/>
      </c>
      <c r="M2369" s="112" t="str">
        <f t="shared" si="40"/>
        <v/>
      </c>
      <c r="N2369" s="113"/>
    </row>
    <row r="2370" spans="2:14">
      <c r="B2370" s="105"/>
      <c r="C2370" s="106"/>
      <c r="D2370" s="107"/>
      <c r="E2370" s="65"/>
      <c r="F2370" s="64"/>
      <c r="G2370" s="64"/>
      <c r="H2370" s="64"/>
      <c r="I2370" s="70"/>
      <c r="J2370" s="70"/>
      <c r="K2370" s="110" t="str">
        <f>IF(H2370="","",IF($C$29="간이법","",FPR(H2370,I2370,J2370)))</f>
        <v/>
      </c>
      <c r="L2370" s="111" t="str">
        <f>IF(H2370="","",IF($C$29="상세법",FPV(H2370,K2370),IF(H2370="EI",4,IF(H2370="EO",5.2,IF(H2370="EQ",3.9,IF(H2370="ILF",7.5,IF(H2370="EIF",5.4)))))))</f>
        <v/>
      </c>
      <c r="M2370" s="112" t="str">
        <f t="shared" si="40"/>
        <v/>
      </c>
      <c r="N2370" s="113"/>
    </row>
    <row r="2371" spans="2:14">
      <c r="B2371" s="105"/>
      <c r="C2371" s="106"/>
      <c r="D2371" s="107"/>
      <c r="E2371" s="65"/>
      <c r="F2371" s="64"/>
      <c r="G2371" s="64"/>
      <c r="H2371" s="64"/>
      <c r="I2371" s="70"/>
      <c r="J2371" s="70"/>
      <c r="K2371" s="110" t="str">
        <f>IF(H2371="","",IF($C$29="간이법","",FPR(H2371,I2371,J2371)))</f>
        <v/>
      </c>
      <c r="L2371" s="111" t="str">
        <f>IF(H2371="","",IF($C$29="상세법",FPV(H2371,K2371),IF(H2371="EI",4,IF(H2371="EO",5.2,IF(H2371="EQ",3.9,IF(H2371="ILF",7.5,IF(H2371="EIF",5.4)))))))</f>
        <v/>
      </c>
      <c r="M2371" s="112" t="str">
        <f t="shared" si="40"/>
        <v/>
      </c>
      <c r="N2371" s="113"/>
    </row>
    <row r="2372" spans="2:14">
      <c r="B2372" s="105"/>
      <c r="C2372" s="106"/>
      <c r="D2372" s="107"/>
      <c r="E2372" s="65"/>
      <c r="F2372" s="64"/>
      <c r="G2372" s="64"/>
      <c r="H2372" s="64"/>
      <c r="I2372" s="70"/>
      <c r="J2372" s="70"/>
      <c r="K2372" s="110" t="str">
        <f>IF(H2372="","",IF($C$29="간이법","",FPR(H2372,I2372,J2372)))</f>
        <v/>
      </c>
      <c r="L2372" s="111" t="str">
        <f>IF(H2372="","",IF($C$29="상세법",FPV(H2372,K2372),IF(H2372="EI",4,IF(H2372="EO",5.2,IF(H2372="EQ",3.9,IF(H2372="ILF",7.5,IF(H2372="EIF",5.4)))))))</f>
        <v/>
      </c>
      <c r="M2372" s="112" t="str">
        <f t="shared" si="40"/>
        <v/>
      </c>
      <c r="N2372" s="113"/>
    </row>
    <row r="2373" spans="2:14">
      <c r="B2373" s="105"/>
      <c r="C2373" s="106"/>
      <c r="D2373" s="107"/>
      <c r="E2373" s="65"/>
      <c r="F2373" s="64"/>
      <c r="G2373" s="64"/>
      <c r="H2373" s="64"/>
      <c r="I2373" s="70"/>
      <c r="J2373" s="70"/>
      <c r="K2373" s="110" t="str">
        <f>IF(H2373="","",IF($C$29="간이법","",FPR(H2373,I2373,J2373)))</f>
        <v/>
      </c>
      <c r="L2373" s="111" t="str">
        <f>IF(H2373="","",IF($C$29="상세법",FPV(H2373,K2373),IF(H2373="EI",4,IF(H2373="EO",5.2,IF(H2373="EQ",3.9,IF(H2373="ILF",7.5,IF(H2373="EIF",5.4)))))))</f>
        <v/>
      </c>
      <c r="M2373" s="112" t="str">
        <f t="shared" si="40"/>
        <v/>
      </c>
      <c r="N2373" s="113"/>
    </row>
    <row r="2374" spans="2:14">
      <c r="B2374" s="105"/>
      <c r="C2374" s="106"/>
      <c r="D2374" s="107"/>
      <c r="E2374" s="65"/>
      <c r="F2374" s="64"/>
      <c r="G2374" s="64"/>
      <c r="H2374" s="64"/>
      <c r="I2374" s="70"/>
      <c r="J2374" s="70"/>
      <c r="K2374" s="110" t="str">
        <f>IF(H2374="","",IF($C$29="간이법","",FPR(H2374,I2374,J2374)))</f>
        <v/>
      </c>
      <c r="L2374" s="111" t="str">
        <f>IF(H2374="","",IF($C$29="상세법",FPV(H2374,K2374),IF(H2374="EI",4,IF(H2374="EO",5.2,IF(H2374="EQ",3.9,IF(H2374="ILF",7.5,IF(H2374="EIF",5.4)))))))</f>
        <v/>
      </c>
      <c r="M2374" s="112" t="str">
        <f t="shared" si="40"/>
        <v/>
      </c>
      <c r="N2374" s="113"/>
    </row>
    <row r="2375" spans="2:14">
      <c r="B2375" s="105"/>
      <c r="C2375" s="106"/>
      <c r="D2375" s="107"/>
      <c r="E2375" s="65"/>
      <c r="F2375" s="64"/>
      <c r="G2375" s="64"/>
      <c r="H2375" s="64"/>
      <c r="I2375" s="70"/>
      <c r="J2375" s="70"/>
      <c r="K2375" s="110" t="str">
        <f>IF(H2375="","",IF($C$29="간이법","",FPR(H2375,I2375,J2375)))</f>
        <v/>
      </c>
      <c r="L2375" s="111" t="str">
        <f>IF(H2375="","",IF($C$29="상세법",FPV(H2375,K2375),IF(H2375="EI",4,IF(H2375="EO",5.2,IF(H2375="EQ",3.9,IF(H2375="ILF",7.5,IF(H2375="EIF",5.4)))))))</f>
        <v/>
      </c>
      <c r="M2375" s="112" t="str">
        <f t="shared" si="40"/>
        <v/>
      </c>
      <c r="N2375" s="113"/>
    </row>
    <row r="2376" spans="2:14">
      <c r="B2376" s="105"/>
      <c r="C2376" s="106"/>
      <c r="D2376" s="107"/>
      <c r="E2376" s="65"/>
      <c r="F2376" s="64"/>
      <c r="G2376" s="64"/>
      <c r="H2376" s="64"/>
      <c r="I2376" s="70"/>
      <c r="J2376" s="70"/>
      <c r="K2376" s="110" t="str">
        <f>IF(H2376="","",IF($C$29="간이법","",FPR(H2376,I2376,J2376)))</f>
        <v/>
      </c>
      <c r="L2376" s="111" t="str">
        <f>IF(H2376="","",IF($C$29="상세법",FPV(H2376,K2376),IF(H2376="EI",4,IF(H2376="EO",5.2,IF(H2376="EQ",3.9,IF(H2376="ILF",7.5,IF(H2376="EIF",5.4)))))))</f>
        <v/>
      </c>
      <c r="M2376" s="112" t="str">
        <f t="shared" si="40"/>
        <v/>
      </c>
      <c r="N2376" s="113"/>
    </row>
    <row r="2377" spans="2:14">
      <c r="B2377" s="105"/>
      <c r="C2377" s="106"/>
      <c r="D2377" s="107"/>
      <c r="E2377" s="65"/>
      <c r="F2377" s="64"/>
      <c r="G2377" s="64"/>
      <c r="H2377" s="64"/>
      <c r="I2377" s="70"/>
      <c r="J2377" s="70"/>
      <c r="K2377" s="110" t="str">
        <f>IF(H2377="","",IF($C$29="간이법","",FPR(H2377,I2377,J2377)))</f>
        <v/>
      </c>
      <c r="L2377" s="111" t="str">
        <f>IF(H2377="","",IF($C$29="상세법",FPV(H2377,K2377),IF(H2377="EI",4,IF(H2377="EO",5.2,IF(H2377="EQ",3.9,IF(H2377="ILF",7.5,IF(H2377="EIF",5.4)))))))</f>
        <v/>
      </c>
      <c r="M2377" s="112" t="str">
        <f t="shared" si="40"/>
        <v/>
      </c>
      <c r="N2377" s="113"/>
    </row>
    <row r="2378" spans="2:14">
      <c r="B2378" s="105"/>
      <c r="C2378" s="106"/>
      <c r="D2378" s="107"/>
      <c r="E2378" s="65"/>
      <c r="F2378" s="64"/>
      <c r="G2378" s="64"/>
      <c r="H2378" s="64"/>
      <c r="I2378" s="70"/>
      <c r="J2378" s="70"/>
      <c r="K2378" s="110" t="str">
        <f>IF(H2378="","",IF($C$29="간이법","",FPR(H2378,I2378,J2378)))</f>
        <v/>
      </c>
      <c r="L2378" s="111" t="str">
        <f>IF(H2378="","",IF($C$29="상세법",FPV(H2378,K2378),IF(H2378="EI",4,IF(H2378="EO",5.2,IF(H2378="EQ",3.9,IF(H2378="ILF",7.5,IF(H2378="EIF",5.4)))))))</f>
        <v/>
      </c>
      <c r="M2378" s="112" t="str">
        <f t="shared" si="40"/>
        <v/>
      </c>
      <c r="N2378" s="113"/>
    </row>
    <row r="2379" spans="2:14">
      <c r="B2379" s="105"/>
      <c r="C2379" s="106"/>
      <c r="D2379" s="107"/>
      <c r="E2379" s="65"/>
      <c r="F2379" s="64"/>
      <c r="G2379" s="64"/>
      <c r="H2379" s="64"/>
      <c r="I2379" s="70"/>
      <c r="J2379" s="70"/>
      <c r="K2379" s="110" t="str">
        <f>IF(H2379="","",IF($C$29="간이법","",FPR(H2379,I2379,J2379)))</f>
        <v/>
      </c>
      <c r="L2379" s="111" t="str">
        <f>IF(H2379="","",IF($C$29="상세법",FPV(H2379,K2379),IF(H2379="EI",4,IF(H2379="EO",5.2,IF(H2379="EQ",3.9,IF(H2379="ILF",7.5,IF(H2379="EIF",5.4)))))))</f>
        <v/>
      </c>
      <c r="M2379" s="112" t="str">
        <f t="shared" si="40"/>
        <v/>
      </c>
      <c r="N2379" s="113"/>
    </row>
    <row r="2380" spans="2:14">
      <c r="B2380" s="105"/>
      <c r="C2380" s="106"/>
      <c r="D2380" s="107"/>
      <c r="E2380" s="65"/>
      <c r="F2380" s="64"/>
      <c r="G2380" s="64"/>
      <c r="H2380" s="64"/>
      <c r="I2380" s="70"/>
      <c r="J2380" s="70"/>
      <c r="K2380" s="110" t="str">
        <f>IF(H2380="","",IF($C$29="간이법","",FPR(H2380,I2380,J2380)))</f>
        <v/>
      </c>
      <c r="L2380" s="111" t="str">
        <f>IF(H2380="","",IF($C$29="상세법",FPV(H2380,K2380),IF(H2380="EI",4,IF(H2380="EO",5.2,IF(H2380="EQ",3.9,IF(H2380="ILF",7.5,IF(H2380="EIF",5.4)))))))</f>
        <v/>
      </c>
      <c r="M2380" s="112" t="str">
        <f t="shared" si="40"/>
        <v/>
      </c>
      <c r="N2380" s="113"/>
    </row>
    <row r="2381" spans="2:14">
      <c r="B2381" s="105"/>
      <c r="C2381" s="106"/>
      <c r="D2381" s="107"/>
      <c r="E2381" s="65"/>
      <c r="F2381" s="64"/>
      <c r="G2381" s="64"/>
      <c r="H2381" s="64"/>
      <c r="I2381" s="70"/>
      <c r="J2381" s="70"/>
      <c r="K2381" s="110" t="str">
        <f>IF(H2381="","",IF($C$29="간이법","",FPR(H2381,I2381,J2381)))</f>
        <v/>
      </c>
      <c r="L2381" s="111" t="str">
        <f>IF(H2381="","",IF($C$29="상세법",FPV(H2381,K2381),IF(H2381="EI",4,IF(H2381="EO",5.2,IF(H2381="EQ",3.9,IF(H2381="ILF",7.5,IF(H2381="EIF",5.4)))))))</f>
        <v/>
      </c>
      <c r="M2381" s="112" t="str">
        <f t="shared" si="40"/>
        <v/>
      </c>
      <c r="N2381" s="113"/>
    </row>
    <row r="2382" spans="2:14">
      <c r="B2382" s="105"/>
      <c r="C2382" s="106"/>
      <c r="D2382" s="107"/>
      <c r="E2382" s="65"/>
      <c r="F2382" s="64"/>
      <c r="G2382" s="64"/>
      <c r="H2382" s="64"/>
      <c r="I2382" s="70"/>
      <c r="J2382" s="70"/>
      <c r="K2382" s="110" t="str">
        <f>IF(H2382="","",IF($C$29="간이법","",FPR(H2382,I2382,J2382)))</f>
        <v/>
      </c>
      <c r="L2382" s="111" t="str">
        <f>IF(H2382="","",IF($C$29="상세법",FPV(H2382,K2382),IF(H2382="EI",4,IF(H2382="EO",5.2,IF(H2382="EQ",3.9,IF(H2382="ILF",7.5,IF(H2382="EIF",5.4)))))))</f>
        <v/>
      </c>
      <c r="M2382" s="112" t="str">
        <f t="shared" si="40"/>
        <v/>
      </c>
      <c r="N2382" s="113"/>
    </row>
    <row r="2383" spans="2:14">
      <c r="B2383" s="105"/>
      <c r="C2383" s="106"/>
      <c r="D2383" s="107"/>
      <c r="E2383" s="65"/>
      <c r="F2383" s="64"/>
      <c r="G2383" s="64"/>
      <c r="H2383" s="64"/>
      <c r="I2383" s="70"/>
      <c r="J2383" s="70"/>
      <c r="K2383" s="110" t="str">
        <f>IF(H2383="","",IF($C$29="간이법","",FPR(H2383,I2383,J2383)))</f>
        <v/>
      </c>
      <c r="L2383" s="111" t="str">
        <f>IF(H2383="","",IF($C$29="상세법",FPV(H2383,K2383),IF(H2383="EI",4,IF(H2383="EO",5.2,IF(H2383="EQ",3.9,IF(H2383="ILF",7.5,IF(H2383="EIF",5.4)))))))</f>
        <v/>
      </c>
      <c r="M2383" s="112" t="str">
        <f t="shared" si="40"/>
        <v/>
      </c>
      <c r="N2383" s="113"/>
    </row>
    <row r="2384" spans="2:14">
      <c r="B2384" s="105"/>
      <c r="C2384" s="106"/>
      <c r="D2384" s="107"/>
      <c r="E2384" s="65"/>
      <c r="F2384" s="64"/>
      <c r="G2384" s="64"/>
      <c r="H2384" s="64"/>
      <c r="I2384" s="70"/>
      <c r="J2384" s="70"/>
      <c r="K2384" s="110" t="str">
        <f>IF(H2384="","",IF($C$29="간이법","",FPR(H2384,I2384,J2384)))</f>
        <v/>
      </c>
      <c r="L2384" s="111" t="str">
        <f>IF(H2384="","",IF($C$29="상세법",FPV(H2384,K2384),IF(H2384="EI",4,IF(H2384="EO",5.2,IF(H2384="EQ",3.9,IF(H2384="ILF",7.5,IF(H2384="EIF",5.4)))))))</f>
        <v/>
      </c>
      <c r="M2384" s="112" t="str">
        <f t="shared" si="40"/>
        <v/>
      </c>
      <c r="N2384" s="113"/>
    </row>
    <row r="2385" spans="2:14">
      <c r="B2385" s="105"/>
      <c r="C2385" s="106"/>
      <c r="D2385" s="107"/>
      <c r="E2385" s="65"/>
      <c r="F2385" s="64"/>
      <c r="G2385" s="64"/>
      <c r="H2385" s="64"/>
      <c r="I2385" s="70"/>
      <c r="J2385" s="70"/>
      <c r="K2385" s="110" t="str">
        <f>IF(H2385="","",IF($C$29="간이법","",FPR(H2385,I2385,J2385)))</f>
        <v/>
      </c>
      <c r="L2385" s="111" t="str">
        <f>IF(H2385="","",IF($C$29="상세법",FPV(H2385,K2385),IF(H2385="EI",4,IF(H2385="EO",5.2,IF(H2385="EQ",3.9,IF(H2385="ILF",7.5,IF(H2385="EIF",5.4)))))))</f>
        <v/>
      </c>
      <c r="M2385" s="112" t="str">
        <f t="shared" si="40"/>
        <v/>
      </c>
      <c r="N2385" s="113"/>
    </row>
    <row r="2386" spans="2:14">
      <c r="B2386" s="105"/>
      <c r="C2386" s="106"/>
      <c r="D2386" s="107"/>
      <c r="E2386" s="65"/>
      <c r="F2386" s="64"/>
      <c r="G2386" s="64"/>
      <c r="H2386" s="64"/>
      <c r="I2386" s="70"/>
      <c r="J2386" s="70"/>
      <c r="K2386" s="110" t="str">
        <f>IF(H2386="","",IF($C$29="간이법","",FPR(H2386,I2386,J2386)))</f>
        <v/>
      </c>
      <c r="L2386" s="111" t="str">
        <f>IF(H2386="","",IF($C$29="상세법",FPV(H2386,K2386),IF(H2386="EI",4,IF(H2386="EO",5.2,IF(H2386="EQ",3.9,IF(H2386="ILF",7.5,IF(H2386="EIF",5.4)))))))</f>
        <v/>
      </c>
      <c r="M2386" s="112" t="str">
        <f t="shared" si="40"/>
        <v/>
      </c>
      <c r="N2386" s="113"/>
    </row>
    <row r="2387" spans="2:14">
      <c r="B2387" s="105"/>
      <c r="C2387" s="106"/>
      <c r="D2387" s="107"/>
      <c r="E2387" s="65"/>
      <c r="F2387" s="64"/>
      <c r="G2387" s="64"/>
      <c r="H2387" s="64"/>
      <c r="I2387" s="70"/>
      <c r="J2387" s="70"/>
      <c r="K2387" s="110" t="str">
        <f>IF(H2387="","",IF($C$29="간이법","",FPR(H2387,I2387,J2387)))</f>
        <v/>
      </c>
      <c r="L2387" s="111" t="str">
        <f>IF(H2387="","",IF($C$29="상세법",FPV(H2387,K2387),IF(H2387="EI",4,IF(H2387="EO",5.2,IF(H2387="EQ",3.9,IF(H2387="ILF",7.5,IF(H2387="EIF",5.4)))))))</f>
        <v/>
      </c>
      <c r="M2387" s="112" t="str">
        <f t="shared" si="40"/>
        <v/>
      </c>
      <c r="N2387" s="113"/>
    </row>
    <row r="2388" spans="2:14">
      <c r="B2388" s="105"/>
      <c r="C2388" s="106"/>
      <c r="D2388" s="107"/>
      <c r="E2388" s="65"/>
      <c r="F2388" s="64"/>
      <c r="G2388" s="64"/>
      <c r="H2388" s="64"/>
      <c r="I2388" s="70"/>
      <c r="J2388" s="70"/>
      <c r="K2388" s="110" t="str">
        <f>IF(H2388="","",IF($C$29="간이법","",FPR(H2388,I2388,J2388)))</f>
        <v/>
      </c>
      <c r="L2388" s="111" t="str">
        <f>IF(H2388="","",IF($C$29="상세법",FPV(H2388,K2388),IF(H2388="EI",4,IF(H2388="EO",5.2,IF(H2388="EQ",3.9,IF(H2388="ILF",7.5,IF(H2388="EIF",5.4)))))))</f>
        <v/>
      </c>
      <c r="M2388" s="112" t="str">
        <f t="shared" si="40"/>
        <v/>
      </c>
      <c r="N2388" s="113"/>
    </row>
    <row r="2389" spans="2:14">
      <c r="B2389" s="105"/>
      <c r="C2389" s="106"/>
      <c r="D2389" s="107"/>
      <c r="E2389" s="65"/>
      <c r="F2389" s="64"/>
      <c r="G2389" s="64"/>
      <c r="H2389" s="64"/>
      <c r="I2389" s="70"/>
      <c r="J2389" s="70"/>
      <c r="K2389" s="110" t="str">
        <f>IF(H2389="","",IF($C$29="간이법","",FPR(H2389,I2389,J2389)))</f>
        <v/>
      </c>
      <c r="L2389" s="111" t="str">
        <f>IF(H2389="","",IF($C$29="상세법",FPV(H2389,K2389),IF(H2389="EI",4,IF(H2389="EO",5.2,IF(H2389="EQ",3.9,IF(H2389="ILF",7.5,IF(H2389="EIF",5.4)))))))</f>
        <v/>
      </c>
      <c r="M2389" s="112" t="str">
        <f t="shared" si="40"/>
        <v/>
      </c>
      <c r="N2389" s="113"/>
    </row>
    <row r="2390" spans="2:14">
      <c r="B2390" s="105"/>
      <c r="C2390" s="106"/>
      <c r="D2390" s="107"/>
      <c r="E2390" s="65"/>
      <c r="F2390" s="64"/>
      <c r="G2390" s="64"/>
      <c r="H2390" s="64"/>
      <c r="I2390" s="70"/>
      <c r="J2390" s="70"/>
      <c r="K2390" s="110" t="str">
        <f>IF(H2390="","",IF($C$29="간이법","",FPR(H2390,I2390,J2390)))</f>
        <v/>
      </c>
      <c r="L2390" s="111" t="str">
        <f>IF(H2390="","",IF($C$29="상세법",FPV(H2390,K2390),IF(H2390="EI",4,IF(H2390="EO",5.2,IF(H2390="EQ",3.9,IF(H2390="ILF",7.5,IF(H2390="EIF",5.4)))))))</f>
        <v/>
      </c>
      <c r="M2390" s="112" t="str">
        <f t="shared" si="40"/>
        <v/>
      </c>
      <c r="N2390" s="113"/>
    </row>
    <row r="2391" spans="2:14">
      <c r="B2391" s="105"/>
      <c r="C2391" s="106"/>
      <c r="D2391" s="107"/>
      <c r="E2391" s="65"/>
      <c r="F2391" s="64"/>
      <c r="G2391" s="64"/>
      <c r="H2391" s="64"/>
      <c r="I2391" s="70"/>
      <c r="J2391" s="70"/>
      <c r="K2391" s="110" t="str">
        <f>IF(H2391="","",IF($C$29="간이법","",FPR(H2391,I2391,J2391)))</f>
        <v/>
      </c>
      <c r="L2391" s="111" t="str">
        <f>IF(H2391="","",IF($C$29="상세법",FPV(H2391,K2391),IF(H2391="EI",4,IF(H2391="EO",5.2,IF(H2391="EQ",3.9,IF(H2391="ILF",7.5,IF(H2391="EIF",5.4)))))))</f>
        <v/>
      </c>
      <c r="M2391" s="112" t="str">
        <f t="shared" si="40"/>
        <v/>
      </c>
      <c r="N2391" s="113"/>
    </row>
    <row r="2392" spans="2:14">
      <c r="B2392" s="105"/>
      <c r="C2392" s="106"/>
      <c r="D2392" s="107"/>
      <c r="E2392" s="65"/>
      <c r="F2392" s="64"/>
      <c r="G2392" s="64"/>
      <c r="H2392" s="64"/>
      <c r="I2392" s="70"/>
      <c r="J2392" s="70"/>
      <c r="K2392" s="110" t="str">
        <f>IF(H2392="","",IF($C$29="간이법","",FPR(H2392,I2392,J2392)))</f>
        <v/>
      </c>
      <c r="L2392" s="111" t="str">
        <f>IF(H2392="","",IF($C$29="상세법",FPV(H2392,K2392),IF(H2392="EI",4,IF(H2392="EO",5.2,IF(H2392="EQ",3.9,IF(H2392="ILF",7.5,IF(H2392="EIF",5.4)))))))</f>
        <v/>
      </c>
      <c r="M2392" s="112" t="str">
        <f t="shared" si="40"/>
        <v/>
      </c>
      <c r="N2392" s="113"/>
    </row>
    <row r="2393" spans="2:14">
      <c r="B2393" s="105"/>
      <c r="C2393" s="106"/>
      <c r="D2393" s="107"/>
      <c r="E2393" s="65"/>
      <c r="F2393" s="64"/>
      <c r="G2393" s="64"/>
      <c r="H2393" s="64"/>
      <c r="I2393" s="70"/>
      <c r="J2393" s="70"/>
      <c r="K2393" s="110" t="str">
        <f>IF(H2393="","",IF($C$29="간이법","",FPR(H2393,I2393,J2393)))</f>
        <v/>
      </c>
      <c r="L2393" s="111" t="str">
        <f>IF(H2393="","",IF($C$29="상세법",FPV(H2393,K2393),IF(H2393="EI",4,IF(H2393="EO",5.2,IF(H2393="EQ",3.9,IF(H2393="ILF",7.5,IF(H2393="EIF",5.4)))))))</f>
        <v/>
      </c>
      <c r="M2393" s="112" t="str">
        <f t="shared" si="40"/>
        <v/>
      </c>
      <c r="N2393" s="113"/>
    </row>
    <row r="2394" spans="2:14">
      <c r="B2394" s="105"/>
      <c r="C2394" s="106"/>
      <c r="D2394" s="107"/>
      <c r="E2394" s="65"/>
      <c r="F2394" s="64"/>
      <c r="G2394" s="64"/>
      <c r="H2394" s="64"/>
      <c r="I2394" s="70"/>
      <c r="J2394" s="70"/>
      <c r="K2394" s="110" t="str">
        <f>IF(H2394="","",IF($C$29="간이법","",FPR(H2394,I2394,J2394)))</f>
        <v/>
      </c>
      <c r="L2394" s="111" t="str">
        <f>IF(H2394="","",IF($C$29="상세법",FPV(H2394,K2394),IF(H2394="EI",4,IF(H2394="EO",5.2,IF(H2394="EQ",3.9,IF(H2394="ILF",7.5,IF(H2394="EIF",5.4)))))))</f>
        <v/>
      </c>
      <c r="M2394" s="112" t="str">
        <f t="shared" si="40"/>
        <v/>
      </c>
      <c r="N2394" s="113"/>
    </row>
    <row r="2395" spans="2:14">
      <c r="B2395" s="105"/>
      <c r="C2395" s="106"/>
      <c r="D2395" s="107"/>
      <c r="E2395" s="65"/>
      <c r="F2395" s="64"/>
      <c r="G2395" s="64"/>
      <c r="H2395" s="64"/>
      <c r="I2395" s="70"/>
      <c r="J2395" s="70"/>
      <c r="K2395" s="110" t="str">
        <f>IF(H2395="","",IF($C$29="간이법","",FPR(H2395,I2395,J2395)))</f>
        <v/>
      </c>
      <c r="L2395" s="111" t="str">
        <f>IF(H2395="","",IF($C$29="상세법",FPV(H2395,K2395),IF(H2395="EI",4,IF(H2395="EO",5.2,IF(H2395="EQ",3.9,IF(H2395="ILF",7.5,IF(H2395="EIF",5.4)))))))</f>
        <v/>
      </c>
      <c r="M2395" s="112" t="str">
        <f t="shared" si="40"/>
        <v/>
      </c>
      <c r="N2395" s="113"/>
    </row>
    <row r="2396" spans="2:14">
      <c r="B2396" s="105"/>
      <c r="C2396" s="106"/>
      <c r="D2396" s="107"/>
      <c r="E2396" s="65"/>
      <c r="F2396" s="64"/>
      <c r="G2396" s="64"/>
      <c r="H2396" s="64"/>
      <c r="I2396" s="70"/>
      <c r="J2396" s="70"/>
      <c r="K2396" s="110" t="str">
        <f>IF(H2396="","",IF($C$29="간이법","",FPR(H2396,I2396,J2396)))</f>
        <v/>
      </c>
      <c r="L2396" s="111" t="str">
        <f>IF(H2396="","",IF($C$29="상세법",FPV(H2396,K2396),IF(H2396="EI",4,IF(H2396="EO",5.2,IF(H2396="EQ",3.9,IF(H2396="ILF",7.5,IF(H2396="EIF",5.4)))))))</f>
        <v/>
      </c>
      <c r="M2396" s="112" t="str">
        <f t="shared" si="40"/>
        <v/>
      </c>
      <c r="N2396" s="113"/>
    </row>
    <row r="2397" spans="2:14">
      <c r="B2397" s="105"/>
      <c r="C2397" s="106"/>
      <c r="D2397" s="107"/>
      <c r="E2397" s="65"/>
      <c r="F2397" s="64"/>
      <c r="G2397" s="64"/>
      <c r="H2397" s="64"/>
      <c r="I2397" s="70"/>
      <c r="J2397" s="70"/>
      <c r="K2397" s="110" t="str">
        <f>IF(H2397="","",IF($C$29="간이법","",FPR(H2397,I2397,J2397)))</f>
        <v/>
      </c>
      <c r="L2397" s="111" t="str">
        <f>IF(H2397="","",IF($C$29="상세법",FPV(H2397,K2397),IF(H2397="EI",4,IF(H2397="EO",5.2,IF(H2397="EQ",3.9,IF(H2397="ILF",7.5,IF(H2397="EIF",5.4)))))))</f>
        <v/>
      </c>
      <c r="M2397" s="112" t="str">
        <f t="shared" si="40"/>
        <v/>
      </c>
      <c r="N2397" s="113"/>
    </row>
    <row r="2398" spans="2:14">
      <c r="B2398" s="105"/>
      <c r="C2398" s="106"/>
      <c r="D2398" s="107"/>
      <c r="E2398" s="65"/>
      <c r="F2398" s="64"/>
      <c r="G2398" s="64"/>
      <c r="H2398" s="64"/>
      <c r="I2398" s="70"/>
      <c r="J2398" s="70"/>
      <c r="K2398" s="110" t="str">
        <f>IF(H2398="","",IF($C$29="간이법","",FPR(H2398,I2398,J2398)))</f>
        <v/>
      </c>
      <c r="L2398" s="111" t="str">
        <f>IF(H2398="","",IF($C$29="상세법",FPV(H2398,K2398),IF(H2398="EI",4,IF(H2398="EO",5.2,IF(H2398="EQ",3.9,IF(H2398="ILF",7.5,IF(H2398="EIF",5.4)))))))</f>
        <v/>
      </c>
      <c r="M2398" s="112" t="str">
        <f t="shared" si="40"/>
        <v/>
      </c>
      <c r="N2398" s="113"/>
    </row>
    <row r="2399" spans="2:14">
      <c r="B2399" s="105"/>
      <c r="C2399" s="106"/>
      <c r="D2399" s="107"/>
      <c r="E2399" s="65"/>
      <c r="F2399" s="64"/>
      <c r="G2399" s="64"/>
      <c r="H2399" s="64"/>
      <c r="I2399" s="70"/>
      <c r="J2399" s="70"/>
      <c r="K2399" s="110" t="str">
        <f>IF(H2399="","",IF($C$29="간이법","",FPR(H2399,I2399,J2399)))</f>
        <v/>
      </c>
      <c r="L2399" s="111" t="str">
        <f>IF(H2399="","",IF($C$29="상세법",FPV(H2399,K2399),IF(H2399="EI",4,IF(H2399="EO",5.2,IF(H2399="EQ",3.9,IF(H2399="ILF",7.5,IF(H2399="EIF",5.4)))))))</f>
        <v/>
      </c>
      <c r="M2399" s="112" t="str">
        <f t="shared" si="40"/>
        <v/>
      </c>
      <c r="N2399" s="113"/>
    </row>
    <row r="2400" spans="2:14">
      <c r="B2400" s="105"/>
      <c r="C2400" s="106"/>
      <c r="D2400" s="107"/>
      <c r="E2400" s="65"/>
      <c r="F2400" s="64"/>
      <c r="G2400" s="64"/>
      <c r="H2400" s="64"/>
      <c r="I2400" s="70"/>
      <c r="J2400" s="70"/>
      <c r="K2400" s="110" t="str">
        <f>IF(H2400="","",IF($C$29="간이법","",FPR(H2400,I2400,J2400)))</f>
        <v/>
      </c>
      <c r="L2400" s="111" t="str">
        <f>IF(H2400="","",IF($C$29="상세법",FPV(H2400,K2400),IF(H2400="EI",4,IF(H2400="EO",5.2,IF(H2400="EQ",3.9,IF(H2400="ILF",7.5,IF(H2400="EIF",5.4)))))))</f>
        <v/>
      </c>
      <c r="M2400" s="112" t="str">
        <f t="shared" si="40"/>
        <v/>
      </c>
      <c r="N2400" s="113"/>
    </row>
    <row r="2401" spans="2:14">
      <c r="B2401" s="105"/>
      <c r="C2401" s="106"/>
      <c r="D2401" s="107"/>
      <c r="E2401" s="65"/>
      <c r="F2401" s="64"/>
      <c r="G2401" s="64"/>
      <c r="H2401" s="64"/>
      <c r="I2401" s="70"/>
      <c r="J2401" s="70"/>
      <c r="K2401" s="110" t="str">
        <f>IF(H2401="","",IF($C$29="간이법","",FPR(H2401,I2401,J2401)))</f>
        <v/>
      </c>
      <c r="L2401" s="111" t="str">
        <f>IF(H2401="","",IF($C$29="상세법",FPV(H2401,K2401),IF(H2401="EI",4,IF(H2401="EO",5.2,IF(H2401="EQ",3.9,IF(H2401="ILF",7.5,IF(H2401="EIF",5.4)))))))</f>
        <v/>
      </c>
      <c r="M2401" s="112" t="str">
        <f t="shared" si="40"/>
        <v/>
      </c>
      <c r="N2401" s="113"/>
    </row>
    <row r="2402" spans="2:14">
      <c r="B2402" s="105"/>
      <c r="C2402" s="106"/>
      <c r="D2402" s="107"/>
      <c r="E2402" s="65"/>
      <c r="F2402" s="64"/>
      <c r="G2402" s="64"/>
      <c r="H2402" s="64"/>
      <c r="I2402" s="70"/>
      <c r="J2402" s="70"/>
      <c r="K2402" s="110" t="str">
        <f>IF(H2402="","",IF($C$29="간이법","",FPR(H2402,I2402,J2402)))</f>
        <v/>
      </c>
      <c r="L2402" s="111" t="str">
        <f>IF(H2402="","",IF($C$29="상세법",FPV(H2402,K2402),IF(H2402="EI",4,IF(H2402="EO",5.2,IF(H2402="EQ",3.9,IF(H2402="ILF",7.5,IF(H2402="EIF",5.4)))))))</f>
        <v/>
      </c>
      <c r="M2402" s="112" t="str">
        <f t="shared" si="40"/>
        <v/>
      </c>
      <c r="N2402" s="113"/>
    </row>
    <row r="2403" spans="2:14">
      <c r="B2403" s="105"/>
      <c r="C2403" s="106"/>
      <c r="D2403" s="107"/>
      <c r="E2403" s="65"/>
      <c r="F2403" s="64"/>
      <c r="G2403" s="64"/>
      <c r="H2403" s="64"/>
      <c r="I2403" s="70"/>
      <c r="J2403" s="70"/>
      <c r="K2403" s="110" t="str">
        <f>IF(H2403="","",IF($C$29="간이법","",FPR(H2403,I2403,J2403)))</f>
        <v/>
      </c>
      <c r="L2403" s="111" t="str">
        <f>IF(H2403="","",IF($C$29="상세법",FPV(H2403,K2403),IF(H2403="EI",4,IF(H2403="EO",5.2,IF(H2403="EQ",3.9,IF(H2403="ILF",7.5,IF(H2403="EIF",5.4)))))))</f>
        <v/>
      </c>
      <c r="M2403" s="112" t="str">
        <f t="shared" si="40"/>
        <v/>
      </c>
      <c r="N2403" s="113"/>
    </row>
    <row r="2404" spans="2:14">
      <c r="B2404" s="105"/>
      <c r="C2404" s="106"/>
      <c r="D2404" s="107"/>
      <c r="E2404" s="65"/>
      <c r="F2404" s="64"/>
      <c r="G2404" s="64"/>
      <c r="H2404" s="64"/>
      <c r="I2404" s="70"/>
      <c r="J2404" s="70"/>
      <c r="K2404" s="110" t="str">
        <f>IF(H2404="","",IF($C$29="간이법","",FPR(H2404,I2404,J2404)))</f>
        <v/>
      </c>
      <c r="L2404" s="111" t="str">
        <f>IF(H2404="","",IF($C$29="상세법",FPV(H2404,K2404),IF(H2404="EI",4,IF(H2404="EO",5.2,IF(H2404="EQ",3.9,IF(H2404="ILF",7.5,IF(H2404="EIF",5.4)))))))</f>
        <v/>
      </c>
      <c r="M2404" s="112" t="str">
        <f t="shared" si="40"/>
        <v/>
      </c>
      <c r="N2404" s="113"/>
    </row>
    <row r="2405" spans="2:14">
      <c r="B2405" s="105"/>
      <c r="C2405" s="106"/>
      <c r="D2405" s="107"/>
      <c r="E2405" s="65"/>
      <c r="F2405" s="64"/>
      <c r="G2405" s="64"/>
      <c r="H2405" s="64"/>
      <c r="I2405" s="70"/>
      <c r="J2405" s="70"/>
      <c r="K2405" s="110" t="str">
        <f>IF(H2405="","",IF($C$29="간이법","",FPR(H2405,I2405,J2405)))</f>
        <v/>
      </c>
      <c r="L2405" s="111" t="str">
        <f>IF(H2405="","",IF($C$29="상세법",FPV(H2405,K2405),IF(H2405="EI",4,IF(H2405="EO",5.2,IF(H2405="EQ",3.9,IF(H2405="ILF",7.5,IF(H2405="EIF",5.4)))))))</f>
        <v/>
      </c>
      <c r="M2405" s="112" t="str">
        <f t="shared" si="40"/>
        <v/>
      </c>
      <c r="N2405" s="113"/>
    </row>
    <row r="2406" spans="2:14">
      <c r="B2406" s="105"/>
      <c r="C2406" s="106"/>
      <c r="D2406" s="107"/>
      <c r="E2406" s="65"/>
      <c r="F2406" s="64"/>
      <c r="G2406" s="64"/>
      <c r="H2406" s="64"/>
      <c r="I2406" s="70"/>
      <c r="J2406" s="70"/>
      <c r="K2406" s="110" t="str">
        <f>IF(H2406="","",IF($C$29="간이법","",FPR(H2406,I2406,J2406)))</f>
        <v/>
      </c>
      <c r="L2406" s="111" t="str">
        <f>IF(H2406="","",IF($C$29="상세법",FPV(H2406,K2406),IF(H2406="EI",4,IF(H2406="EO",5.2,IF(H2406="EQ",3.9,IF(H2406="ILF",7.5,IF(H2406="EIF",5.4)))))))</f>
        <v/>
      </c>
      <c r="M2406" s="112" t="str">
        <f t="shared" si="40"/>
        <v/>
      </c>
      <c r="N2406" s="113"/>
    </row>
    <row r="2407" spans="2:14">
      <c r="B2407" s="105"/>
      <c r="C2407" s="106"/>
      <c r="D2407" s="107"/>
      <c r="E2407" s="65"/>
      <c r="F2407" s="64"/>
      <c r="G2407" s="64"/>
      <c r="H2407" s="64"/>
      <c r="I2407" s="70"/>
      <c r="J2407" s="70"/>
      <c r="K2407" s="110" t="str">
        <f>IF(H2407="","",IF($C$29="간이법","",FPR(H2407,I2407,J2407)))</f>
        <v/>
      </c>
      <c r="L2407" s="111" t="str">
        <f>IF(H2407="","",IF($C$29="상세법",FPV(H2407,K2407),IF(H2407="EI",4,IF(H2407="EO",5.2,IF(H2407="EQ",3.9,IF(H2407="ILF",7.5,IF(H2407="EIF",5.4)))))))</f>
        <v/>
      </c>
      <c r="M2407" s="112" t="str">
        <f t="shared" si="40"/>
        <v/>
      </c>
      <c r="N2407" s="113"/>
    </row>
    <row r="2408" spans="2:14">
      <c r="B2408" s="105"/>
      <c r="C2408" s="106"/>
      <c r="D2408" s="107"/>
      <c r="E2408" s="65"/>
      <c r="F2408" s="64"/>
      <c r="G2408" s="64"/>
      <c r="H2408" s="64"/>
      <c r="I2408" s="70"/>
      <c r="J2408" s="70"/>
      <c r="K2408" s="110" t="str">
        <f>IF(H2408="","",IF($C$29="간이법","",FPR(H2408,I2408,J2408)))</f>
        <v/>
      </c>
      <c r="L2408" s="111" t="str">
        <f>IF(H2408="","",IF($C$29="상세법",FPV(H2408,K2408),IF(H2408="EI",4,IF(H2408="EO",5.2,IF(H2408="EQ",3.9,IF(H2408="ILF",7.5,IF(H2408="EIF",5.4)))))))</f>
        <v/>
      </c>
      <c r="M2408" s="112" t="str">
        <f t="shared" si="40"/>
        <v/>
      </c>
      <c r="N2408" s="113"/>
    </row>
    <row r="2409" spans="2:14">
      <c r="B2409" s="105"/>
      <c r="C2409" s="106"/>
      <c r="D2409" s="107"/>
      <c r="E2409" s="65"/>
      <c r="F2409" s="64"/>
      <c r="G2409" s="64"/>
      <c r="H2409" s="64"/>
      <c r="I2409" s="70"/>
      <c r="J2409" s="70"/>
      <c r="K2409" s="110" t="str">
        <f>IF(H2409="","",IF($C$29="간이법","",FPR(H2409,I2409,J2409)))</f>
        <v/>
      </c>
      <c r="L2409" s="111" t="str">
        <f>IF(H2409="","",IF($C$29="상세법",FPV(H2409,K2409),IF(H2409="EI",4,IF(H2409="EO",5.2,IF(H2409="EQ",3.9,IF(H2409="ILF",7.5,IF(H2409="EIF",5.4)))))))</f>
        <v/>
      </c>
      <c r="M2409" s="112" t="str">
        <f t="shared" si="40"/>
        <v/>
      </c>
      <c r="N2409" s="113"/>
    </row>
    <row r="2410" spans="2:14">
      <c r="B2410" s="105"/>
      <c r="C2410" s="106"/>
      <c r="D2410" s="107"/>
      <c r="E2410" s="65"/>
      <c r="F2410" s="64"/>
      <c r="G2410" s="64"/>
      <c r="H2410" s="64"/>
      <c r="I2410" s="70"/>
      <c r="J2410" s="70"/>
      <c r="K2410" s="110" t="str">
        <f>IF(H2410="","",IF($C$29="간이법","",FPR(H2410,I2410,J2410)))</f>
        <v/>
      </c>
      <c r="L2410" s="111" t="str">
        <f>IF(H2410="","",IF($C$29="상세법",FPV(H2410,K2410),IF(H2410="EI",4,IF(H2410="EO",5.2,IF(H2410="EQ",3.9,IF(H2410="ILF",7.5,IF(H2410="EIF",5.4)))))))</f>
        <v/>
      </c>
      <c r="M2410" s="112" t="str">
        <f t="shared" si="40"/>
        <v/>
      </c>
      <c r="N2410" s="113"/>
    </row>
    <row r="2411" spans="2:14">
      <c r="B2411" s="105"/>
      <c r="C2411" s="106"/>
      <c r="D2411" s="107"/>
      <c r="E2411" s="65"/>
      <c r="F2411" s="64"/>
      <c r="G2411" s="64"/>
      <c r="H2411" s="64"/>
      <c r="I2411" s="70"/>
      <c r="J2411" s="70"/>
      <c r="K2411" s="110" t="str">
        <f>IF(H2411="","",IF($C$29="간이법","",FPR(H2411,I2411,J2411)))</f>
        <v/>
      </c>
      <c r="L2411" s="111" t="str">
        <f>IF(H2411="","",IF($C$29="상세법",FPV(H2411,K2411),IF(H2411="EI",4,IF(H2411="EO",5.2,IF(H2411="EQ",3.9,IF(H2411="ILF",7.5,IF(H2411="EIF",5.4)))))))</f>
        <v/>
      </c>
      <c r="M2411" s="112" t="str">
        <f t="shared" si="40"/>
        <v/>
      </c>
      <c r="N2411" s="113"/>
    </row>
    <row r="2412" spans="2:14">
      <c r="B2412" s="105"/>
      <c r="C2412" s="106"/>
      <c r="D2412" s="107"/>
      <c r="E2412" s="65"/>
      <c r="F2412" s="64"/>
      <c r="G2412" s="64"/>
      <c r="H2412" s="64"/>
      <c r="I2412" s="70"/>
      <c r="J2412" s="70"/>
      <c r="K2412" s="110" t="str">
        <f>IF(H2412="","",IF($C$29="간이법","",FPR(H2412,I2412,J2412)))</f>
        <v/>
      </c>
      <c r="L2412" s="111" t="str">
        <f>IF(H2412="","",IF($C$29="상세법",FPV(H2412,K2412),IF(H2412="EI",4,IF(H2412="EO",5.2,IF(H2412="EQ",3.9,IF(H2412="ILF",7.5,IF(H2412="EIF",5.4)))))))</f>
        <v/>
      </c>
      <c r="M2412" s="112" t="str">
        <f t="shared" si="40"/>
        <v/>
      </c>
      <c r="N2412" s="113"/>
    </row>
    <row r="2413" spans="2:14">
      <c r="B2413" s="105"/>
      <c r="C2413" s="106"/>
      <c r="D2413" s="107"/>
      <c r="E2413" s="65"/>
      <c r="F2413" s="64"/>
      <c r="G2413" s="64"/>
      <c r="H2413" s="64"/>
      <c r="I2413" s="70"/>
      <c r="J2413" s="70"/>
      <c r="K2413" s="110" t="str">
        <f>IF(H2413="","",IF($C$29="간이법","",FPR(H2413,I2413,J2413)))</f>
        <v/>
      </c>
      <c r="L2413" s="111" t="str">
        <f>IF(H2413="","",IF($C$29="상세법",FPV(H2413,K2413),IF(H2413="EI",4,IF(H2413="EO",5.2,IF(H2413="EQ",3.9,IF(H2413="ILF",7.5,IF(H2413="EIF",5.4)))))))</f>
        <v/>
      </c>
      <c r="M2413" s="112" t="str">
        <f t="shared" si="40"/>
        <v/>
      </c>
      <c r="N2413" s="113"/>
    </row>
    <row r="2414" spans="2:14">
      <c r="B2414" s="105"/>
      <c r="C2414" s="106"/>
      <c r="D2414" s="107"/>
      <c r="E2414" s="65"/>
      <c r="F2414" s="64"/>
      <c r="G2414" s="64"/>
      <c r="H2414" s="64"/>
      <c r="I2414" s="70"/>
      <c r="J2414" s="70"/>
      <c r="K2414" s="110" t="str">
        <f>IF(H2414="","",IF($C$29="간이법","",FPR(H2414,I2414,J2414)))</f>
        <v/>
      </c>
      <c r="L2414" s="111" t="str">
        <f>IF(H2414="","",IF($C$29="상세법",FPV(H2414,K2414),IF(H2414="EI",4,IF(H2414="EO",5.2,IF(H2414="EQ",3.9,IF(H2414="ILF",7.5,IF(H2414="EIF",5.4)))))))</f>
        <v/>
      </c>
      <c r="M2414" s="112" t="str">
        <f t="shared" si="40"/>
        <v/>
      </c>
      <c r="N2414" s="113"/>
    </row>
    <row r="2415" spans="2:14">
      <c r="B2415" s="105"/>
      <c r="C2415" s="106"/>
      <c r="D2415" s="107"/>
      <c r="E2415" s="65"/>
      <c r="F2415" s="64"/>
      <c r="G2415" s="64"/>
      <c r="H2415" s="64"/>
      <c r="I2415" s="70"/>
      <c r="J2415" s="70"/>
      <c r="K2415" s="110" t="str">
        <f>IF(H2415="","",IF($C$29="간이법","",FPR(H2415,I2415,J2415)))</f>
        <v/>
      </c>
      <c r="L2415" s="111" t="str">
        <f>IF(H2415="","",IF($C$29="상세법",FPV(H2415,K2415),IF(H2415="EI",4,IF(H2415="EO",5.2,IF(H2415="EQ",3.9,IF(H2415="ILF",7.5,IF(H2415="EIF",5.4)))))))</f>
        <v/>
      </c>
      <c r="M2415" s="112" t="str">
        <f t="shared" si="40"/>
        <v/>
      </c>
      <c r="N2415" s="113"/>
    </row>
    <row r="2416" spans="2:14">
      <c r="B2416" s="105"/>
      <c r="C2416" s="106"/>
      <c r="D2416" s="107"/>
      <c r="E2416" s="65"/>
      <c r="F2416" s="64"/>
      <c r="G2416" s="64"/>
      <c r="H2416" s="64"/>
      <c r="I2416" s="70"/>
      <c r="J2416" s="70"/>
      <c r="K2416" s="110" t="str">
        <f>IF(H2416="","",IF($C$29="간이법","",FPR(H2416,I2416,J2416)))</f>
        <v/>
      </c>
      <c r="L2416" s="111" t="str">
        <f>IF(H2416="","",IF($C$29="상세법",FPV(H2416,K2416),IF(H2416="EI",4,IF(H2416="EO",5.2,IF(H2416="EQ",3.9,IF(H2416="ILF",7.5,IF(H2416="EIF",5.4)))))))</f>
        <v/>
      </c>
      <c r="M2416" s="112" t="str">
        <f t="shared" si="40"/>
        <v/>
      </c>
      <c r="N2416" s="113"/>
    </row>
    <row r="2417" spans="2:14">
      <c r="B2417" s="105"/>
      <c r="C2417" s="106"/>
      <c r="D2417" s="107"/>
      <c r="E2417" s="65"/>
      <c r="F2417" s="64"/>
      <c r="G2417" s="64"/>
      <c r="H2417" s="64"/>
      <c r="I2417" s="70"/>
      <c r="J2417" s="70"/>
      <c r="K2417" s="110" t="str">
        <f>IF(H2417="","",IF($C$29="간이법","",FPR(H2417,I2417,J2417)))</f>
        <v/>
      </c>
      <c r="L2417" s="111" t="str">
        <f>IF(H2417="","",IF($C$29="상세법",FPV(H2417,K2417),IF(H2417="EI",4,IF(H2417="EO",5.2,IF(H2417="EQ",3.9,IF(H2417="ILF",7.5,IF(H2417="EIF",5.4)))))))</f>
        <v/>
      </c>
      <c r="M2417" s="112" t="str">
        <f t="shared" si="40"/>
        <v/>
      </c>
      <c r="N2417" s="113"/>
    </row>
    <row r="2418" spans="2:14">
      <c r="B2418" s="105"/>
      <c r="C2418" s="106"/>
      <c r="D2418" s="107"/>
      <c r="E2418" s="65"/>
      <c r="F2418" s="64"/>
      <c r="G2418" s="64"/>
      <c r="H2418" s="64"/>
      <c r="I2418" s="70"/>
      <c r="J2418" s="70"/>
      <c r="K2418" s="110" t="str">
        <f>IF(H2418="","",IF($C$29="간이법","",FPR(H2418,I2418,J2418)))</f>
        <v/>
      </c>
      <c r="L2418" s="111" t="str">
        <f>IF(H2418="","",IF($C$29="상세법",FPV(H2418,K2418),IF(H2418="EI",4,IF(H2418="EO",5.2,IF(H2418="EQ",3.9,IF(H2418="ILF",7.5,IF(H2418="EIF",5.4)))))))</f>
        <v/>
      </c>
      <c r="M2418" s="112" t="str">
        <f t="shared" si="40"/>
        <v/>
      </c>
      <c r="N2418" s="113"/>
    </row>
    <row r="2419" spans="2:14">
      <c r="B2419" s="105"/>
      <c r="C2419" s="106"/>
      <c r="D2419" s="107"/>
      <c r="E2419" s="65"/>
      <c r="F2419" s="64"/>
      <c r="G2419" s="64"/>
      <c r="H2419" s="64"/>
      <c r="I2419" s="70"/>
      <c r="J2419" s="70"/>
      <c r="K2419" s="110" t="str">
        <f>IF(H2419="","",IF($C$29="간이법","",FPR(H2419,I2419,J2419)))</f>
        <v/>
      </c>
      <c r="L2419" s="111" t="str">
        <f>IF(H2419="","",IF($C$29="상세법",FPV(H2419,K2419),IF(H2419="EI",4,IF(H2419="EO",5.2,IF(H2419="EQ",3.9,IF(H2419="ILF",7.5,IF(H2419="EIF",5.4)))))))</f>
        <v/>
      </c>
      <c r="M2419" s="112" t="str">
        <f t="shared" si="40"/>
        <v/>
      </c>
      <c r="N2419" s="113"/>
    </row>
    <row r="2420" spans="2:14">
      <c r="B2420" s="105"/>
      <c r="C2420" s="106"/>
      <c r="D2420" s="107"/>
      <c r="E2420" s="65"/>
      <c r="F2420" s="64"/>
      <c r="G2420" s="64"/>
      <c r="H2420" s="64"/>
      <c r="I2420" s="70"/>
      <c r="J2420" s="70"/>
      <c r="K2420" s="110" t="str">
        <f>IF(H2420="","",IF($C$29="간이법","",FPR(H2420,I2420,J2420)))</f>
        <v/>
      </c>
      <c r="L2420" s="111" t="str">
        <f>IF(H2420="","",IF($C$29="상세법",FPV(H2420,K2420),IF(H2420="EI",4,IF(H2420="EO",5.2,IF(H2420="EQ",3.9,IF(H2420="ILF",7.5,IF(H2420="EIF",5.4)))))))</f>
        <v/>
      </c>
      <c r="M2420" s="112" t="str">
        <f t="shared" si="40"/>
        <v/>
      </c>
      <c r="N2420" s="113"/>
    </row>
    <row r="2421" spans="2:14">
      <c r="B2421" s="105"/>
      <c r="C2421" s="106"/>
      <c r="D2421" s="107"/>
      <c r="E2421" s="65"/>
      <c r="F2421" s="64"/>
      <c r="G2421" s="64"/>
      <c r="H2421" s="64"/>
      <c r="I2421" s="70"/>
      <c r="J2421" s="70"/>
      <c r="K2421" s="110" t="str">
        <f>IF(H2421="","",IF($C$29="간이법","",FPR(H2421,I2421,J2421)))</f>
        <v/>
      </c>
      <c r="L2421" s="111" t="str">
        <f>IF(H2421="","",IF($C$29="상세법",FPV(H2421,K2421),IF(H2421="EI",4,IF(H2421="EO",5.2,IF(H2421="EQ",3.9,IF(H2421="ILF",7.5,IF(H2421="EIF",5.4)))))))</f>
        <v/>
      </c>
      <c r="M2421" s="112" t="str">
        <f t="shared" si="40"/>
        <v/>
      </c>
      <c r="N2421" s="113"/>
    </row>
    <row r="2422" spans="2:14">
      <c r="B2422" s="105"/>
      <c r="C2422" s="106"/>
      <c r="D2422" s="107"/>
      <c r="E2422" s="65"/>
      <c r="F2422" s="64"/>
      <c r="G2422" s="64"/>
      <c r="H2422" s="64"/>
      <c r="I2422" s="70"/>
      <c r="J2422" s="70"/>
      <c r="K2422" s="110" t="str">
        <f>IF(H2422="","",IF($C$29="간이법","",FPR(H2422,I2422,J2422)))</f>
        <v/>
      </c>
      <c r="L2422" s="111" t="str">
        <f>IF(H2422="","",IF($C$29="상세법",FPV(H2422,K2422),IF(H2422="EI",4,IF(H2422="EO",5.2,IF(H2422="EQ",3.9,IF(H2422="ILF",7.5,IF(H2422="EIF",5.4)))))))</f>
        <v/>
      </c>
      <c r="M2422" s="112" t="str">
        <f t="shared" si="40"/>
        <v/>
      </c>
      <c r="N2422" s="113"/>
    </row>
    <row r="2423" spans="2:14">
      <c r="B2423" s="105"/>
      <c r="C2423" s="106"/>
      <c r="D2423" s="107"/>
      <c r="E2423" s="65"/>
      <c r="F2423" s="64"/>
      <c r="G2423" s="64"/>
      <c r="H2423" s="64"/>
      <c r="I2423" s="70"/>
      <c r="J2423" s="70"/>
      <c r="K2423" s="110" t="str">
        <f>IF(H2423="","",IF($C$29="간이법","",FPR(H2423,I2423,J2423)))</f>
        <v/>
      </c>
      <c r="L2423" s="111" t="str">
        <f>IF(H2423="","",IF($C$29="상세법",FPV(H2423,K2423),IF(H2423="EI",4,IF(H2423="EO",5.2,IF(H2423="EQ",3.9,IF(H2423="ILF",7.5,IF(H2423="EIF",5.4)))))))</f>
        <v/>
      </c>
      <c r="M2423" s="112" t="str">
        <f t="shared" si="40"/>
        <v/>
      </c>
      <c r="N2423" s="113"/>
    </row>
    <row r="2424" spans="2:14">
      <c r="B2424" s="105"/>
      <c r="C2424" s="106"/>
      <c r="D2424" s="107"/>
      <c r="E2424" s="65"/>
      <c r="F2424" s="64"/>
      <c r="G2424" s="64"/>
      <c r="H2424" s="64"/>
      <c r="I2424" s="70"/>
      <c r="J2424" s="70"/>
      <c r="K2424" s="110" t="str">
        <f>IF(H2424="","",IF($C$29="간이법","",FPR(H2424,I2424,J2424)))</f>
        <v/>
      </c>
      <c r="L2424" s="111" t="str">
        <f>IF(H2424="","",IF($C$29="상세법",FPV(H2424,K2424),IF(H2424="EI",4,IF(H2424="EO",5.2,IF(H2424="EQ",3.9,IF(H2424="ILF",7.5,IF(H2424="EIF",5.4)))))))</f>
        <v/>
      </c>
      <c r="M2424" s="112" t="str">
        <f t="shared" si="40"/>
        <v/>
      </c>
      <c r="N2424" s="113"/>
    </row>
    <row r="2425" spans="2:14">
      <c r="B2425" s="105"/>
      <c r="C2425" s="106"/>
      <c r="D2425" s="107"/>
      <c r="E2425" s="65"/>
      <c r="F2425" s="64"/>
      <c r="G2425" s="64"/>
      <c r="H2425" s="64"/>
      <c r="I2425" s="70"/>
      <c r="J2425" s="70"/>
      <c r="K2425" s="110" t="str">
        <f>IF(H2425="","",IF($C$29="간이법","",FPR(H2425,I2425,J2425)))</f>
        <v/>
      </c>
      <c r="L2425" s="111" t="str">
        <f>IF(H2425="","",IF($C$29="상세법",FPV(H2425,K2425),IF(H2425="EI",4,IF(H2425="EO",5.2,IF(H2425="EQ",3.9,IF(H2425="ILF",7.5,IF(H2425="EIF",5.4)))))))</f>
        <v/>
      </c>
      <c r="M2425" s="112" t="str">
        <f t="shared" ref="M2425:M2488" si="41">IF(L2425="","",L2425*IF(G2425="상",0.7,IF(G2425="중",0.5,IF(G2425="하",0.2,1))))</f>
        <v/>
      </c>
      <c r="N2425" s="113"/>
    </row>
    <row r="2426" spans="2:14">
      <c r="B2426" s="105"/>
      <c r="C2426" s="106"/>
      <c r="D2426" s="107"/>
      <c r="E2426" s="65"/>
      <c r="F2426" s="64"/>
      <c r="G2426" s="64"/>
      <c r="H2426" s="64"/>
      <c r="I2426" s="70"/>
      <c r="J2426" s="70"/>
      <c r="K2426" s="110" t="str">
        <f>IF(H2426="","",IF($C$29="간이법","",FPR(H2426,I2426,J2426)))</f>
        <v/>
      </c>
      <c r="L2426" s="111" t="str">
        <f>IF(H2426="","",IF($C$29="상세법",FPV(H2426,K2426),IF(H2426="EI",4,IF(H2426="EO",5.2,IF(H2426="EQ",3.9,IF(H2426="ILF",7.5,IF(H2426="EIF",5.4)))))))</f>
        <v/>
      </c>
      <c r="M2426" s="112" t="str">
        <f t="shared" si="41"/>
        <v/>
      </c>
      <c r="N2426" s="113"/>
    </row>
    <row r="2427" spans="2:14">
      <c r="B2427" s="105"/>
      <c r="C2427" s="106"/>
      <c r="D2427" s="107"/>
      <c r="E2427" s="65"/>
      <c r="F2427" s="64"/>
      <c r="G2427" s="64"/>
      <c r="H2427" s="64"/>
      <c r="I2427" s="70"/>
      <c r="J2427" s="70"/>
      <c r="K2427" s="110" t="str">
        <f>IF(H2427="","",IF($C$29="간이법","",FPR(H2427,I2427,J2427)))</f>
        <v/>
      </c>
      <c r="L2427" s="111" t="str">
        <f>IF(H2427="","",IF($C$29="상세법",FPV(H2427,K2427),IF(H2427="EI",4,IF(H2427="EO",5.2,IF(H2427="EQ",3.9,IF(H2427="ILF",7.5,IF(H2427="EIF",5.4)))))))</f>
        <v/>
      </c>
      <c r="M2427" s="112" t="str">
        <f t="shared" si="41"/>
        <v/>
      </c>
      <c r="N2427" s="113"/>
    </row>
    <row r="2428" spans="2:14">
      <c r="B2428" s="105"/>
      <c r="C2428" s="106"/>
      <c r="D2428" s="107"/>
      <c r="E2428" s="65"/>
      <c r="F2428" s="64"/>
      <c r="G2428" s="64"/>
      <c r="H2428" s="64"/>
      <c r="I2428" s="70"/>
      <c r="J2428" s="70"/>
      <c r="K2428" s="110" t="str">
        <f>IF(H2428="","",IF($C$29="간이법","",FPR(H2428,I2428,J2428)))</f>
        <v/>
      </c>
      <c r="L2428" s="111" t="str">
        <f>IF(H2428="","",IF($C$29="상세법",FPV(H2428,K2428),IF(H2428="EI",4,IF(H2428="EO",5.2,IF(H2428="EQ",3.9,IF(H2428="ILF",7.5,IF(H2428="EIF",5.4)))))))</f>
        <v/>
      </c>
      <c r="M2428" s="112" t="str">
        <f t="shared" si="41"/>
        <v/>
      </c>
      <c r="N2428" s="113"/>
    </row>
    <row r="2429" spans="2:14">
      <c r="B2429" s="105"/>
      <c r="C2429" s="106"/>
      <c r="D2429" s="107"/>
      <c r="E2429" s="65"/>
      <c r="F2429" s="64"/>
      <c r="G2429" s="64"/>
      <c r="H2429" s="64"/>
      <c r="I2429" s="70"/>
      <c r="J2429" s="70"/>
      <c r="K2429" s="110" t="str">
        <f>IF(H2429="","",IF($C$29="간이법","",FPR(H2429,I2429,J2429)))</f>
        <v/>
      </c>
      <c r="L2429" s="111" t="str">
        <f>IF(H2429="","",IF($C$29="상세법",FPV(H2429,K2429),IF(H2429="EI",4,IF(H2429="EO",5.2,IF(H2429="EQ",3.9,IF(H2429="ILF",7.5,IF(H2429="EIF",5.4)))))))</f>
        <v/>
      </c>
      <c r="M2429" s="112" t="str">
        <f t="shared" si="41"/>
        <v/>
      </c>
      <c r="N2429" s="113"/>
    </row>
    <row r="2430" spans="2:14">
      <c r="B2430" s="105"/>
      <c r="C2430" s="106"/>
      <c r="D2430" s="107"/>
      <c r="E2430" s="65"/>
      <c r="F2430" s="64"/>
      <c r="G2430" s="64"/>
      <c r="H2430" s="64"/>
      <c r="I2430" s="70"/>
      <c r="J2430" s="70"/>
      <c r="K2430" s="110" t="str">
        <f>IF(H2430="","",IF($C$29="간이법","",FPR(H2430,I2430,J2430)))</f>
        <v/>
      </c>
      <c r="L2430" s="111" t="str">
        <f>IF(H2430="","",IF($C$29="상세법",FPV(H2430,K2430),IF(H2430="EI",4,IF(H2430="EO",5.2,IF(H2430="EQ",3.9,IF(H2430="ILF",7.5,IF(H2430="EIF",5.4)))))))</f>
        <v/>
      </c>
      <c r="M2430" s="112" t="str">
        <f t="shared" si="41"/>
        <v/>
      </c>
      <c r="N2430" s="113"/>
    </row>
    <row r="2431" spans="2:14">
      <c r="B2431" s="105"/>
      <c r="C2431" s="106"/>
      <c r="D2431" s="107"/>
      <c r="E2431" s="65"/>
      <c r="F2431" s="64"/>
      <c r="G2431" s="64"/>
      <c r="H2431" s="64"/>
      <c r="I2431" s="70"/>
      <c r="J2431" s="70"/>
      <c r="K2431" s="110" t="str">
        <f>IF(H2431="","",IF($C$29="간이법","",FPR(H2431,I2431,J2431)))</f>
        <v/>
      </c>
      <c r="L2431" s="111" t="str">
        <f>IF(H2431="","",IF($C$29="상세법",FPV(H2431,K2431),IF(H2431="EI",4,IF(H2431="EO",5.2,IF(H2431="EQ",3.9,IF(H2431="ILF",7.5,IF(H2431="EIF",5.4)))))))</f>
        <v/>
      </c>
      <c r="M2431" s="112" t="str">
        <f t="shared" si="41"/>
        <v/>
      </c>
      <c r="N2431" s="113"/>
    </row>
    <row r="2432" spans="2:14">
      <c r="B2432" s="105"/>
      <c r="C2432" s="106"/>
      <c r="D2432" s="107"/>
      <c r="E2432" s="65"/>
      <c r="F2432" s="64"/>
      <c r="G2432" s="64"/>
      <c r="H2432" s="64"/>
      <c r="I2432" s="70"/>
      <c r="J2432" s="70"/>
      <c r="K2432" s="110" t="str">
        <f>IF(H2432="","",IF($C$29="간이법","",FPR(H2432,I2432,J2432)))</f>
        <v/>
      </c>
      <c r="L2432" s="111" t="str">
        <f>IF(H2432="","",IF($C$29="상세법",FPV(H2432,K2432),IF(H2432="EI",4,IF(H2432="EO",5.2,IF(H2432="EQ",3.9,IF(H2432="ILF",7.5,IF(H2432="EIF",5.4)))))))</f>
        <v/>
      </c>
      <c r="M2432" s="112" t="str">
        <f t="shared" si="41"/>
        <v/>
      </c>
      <c r="N2432" s="113"/>
    </row>
    <row r="2433" spans="2:14">
      <c r="B2433" s="105"/>
      <c r="C2433" s="106"/>
      <c r="D2433" s="107"/>
      <c r="E2433" s="65"/>
      <c r="F2433" s="64"/>
      <c r="G2433" s="64"/>
      <c r="H2433" s="64"/>
      <c r="I2433" s="70"/>
      <c r="J2433" s="70"/>
      <c r="K2433" s="110" t="str">
        <f>IF(H2433="","",IF($C$29="간이법","",FPR(H2433,I2433,J2433)))</f>
        <v/>
      </c>
      <c r="L2433" s="111" t="str">
        <f>IF(H2433="","",IF($C$29="상세법",FPV(H2433,K2433),IF(H2433="EI",4,IF(H2433="EO",5.2,IF(H2433="EQ",3.9,IF(H2433="ILF",7.5,IF(H2433="EIF",5.4)))))))</f>
        <v/>
      </c>
      <c r="M2433" s="112" t="str">
        <f t="shared" si="41"/>
        <v/>
      </c>
      <c r="N2433" s="113"/>
    </row>
    <row r="2434" spans="2:14">
      <c r="B2434" s="105"/>
      <c r="C2434" s="106"/>
      <c r="D2434" s="107"/>
      <c r="E2434" s="65"/>
      <c r="F2434" s="64"/>
      <c r="G2434" s="64"/>
      <c r="H2434" s="64"/>
      <c r="I2434" s="70"/>
      <c r="J2434" s="70"/>
      <c r="K2434" s="110" t="str">
        <f>IF(H2434="","",IF($C$29="간이법","",FPR(H2434,I2434,J2434)))</f>
        <v/>
      </c>
      <c r="L2434" s="111" t="str">
        <f>IF(H2434="","",IF($C$29="상세법",FPV(H2434,K2434),IF(H2434="EI",4,IF(H2434="EO",5.2,IF(H2434="EQ",3.9,IF(H2434="ILF",7.5,IF(H2434="EIF",5.4)))))))</f>
        <v/>
      </c>
      <c r="M2434" s="112" t="str">
        <f t="shared" si="41"/>
        <v/>
      </c>
      <c r="N2434" s="113"/>
    </row>
    <row r="2435" spans="2:14">
      <c r="B2435" s="105"/>
      <c r="C2435" s="106"/>
      <c r="D2435" s="107"/>
      <c r="E2435" s="65"/>
      <c r="F2435" s="64"/>
      <c r="G2435" s="64"/>
      <c r="H2435" s="64"/>
      <c r="I2435" s="70"/>
      <c r="J2435" s="70"/>
      <c r="K2435" s="110" t="str">
        <f>IF(H2435="","",IF($C$29="간이법","",FPR(H2435,I2435,J2435)))</f>
        <v/>
      </c>
      <c r="L2435" s="111" t="str">
        <f>IF(H2435="","",IF($C$29="상세법",FPV(H2435,K2435),IF(H2435="EI",4,IF(H2435="EO",5.2,IF(H2435="EQ",3.9,IF(H2435="ILF",7.5,IF(H2435="EIF",5.4)))))))</f>
        <v/>
      </c>
      <c r="M2435" s="112" t="str">
        <f t="shared" si="41"/>
        <v/>
      </c>
      <c r="N2435" s="113"/>
    </row>
    <row r="2436" spans="2:14">
      <c r="B2436" s="105"/>
      <c r="C2436" s="106"/>
      <c r="D2436" s="107"/>
      <c r="E2436" s="65"/>
      <c r="F2436" s="64"/>
      <c r="G2436" s="64"/>
      <c r="H2436" s="64"/>
      <c r="I2436" s="70"/>
      <c r="J2436" s="70"/>
      <c r="K2436" s="110" t="str">
        <f>IF(H2436="","",IF($C$29="간이법","",FPR(H2436,I2436,J2436)))</f>
        <v/>
      </c>
      <c r="L2436" s="111" t="str">
        <f>IF(H2436="","",IF($C$29="상세법",FPV(H2436,K2436),IF(H2436="EI",4,IF(H2436="EO",5.2,IF(H2436="EQ",3.9,IF(H2436="ILF",7.5,IF(H2436="EIF",5.4)))))))</f>
        <v/>
      </c>
      <c r="M2436" s="112" t="str">
        <f t="shared" si="41"/>
        <v/>
      </c>
      <c r="N2436" s="113"/>
    </row>
    <row r="2437" spans="2:14">
      <c r="B2437" s="105"/>
      <c r="C2437" s="106"/>
      <c r="D2437" s="107"/>
      <c r="E2437" s="65"/>
      <c r="F2437" s="64"/>
      <c r="G2437" s="64"/>
      <c r="H2437" s="64"/>
      <c r="I2437" s="70"/>
      <c r="J2437" s="70"/>
      <c r="K2437" s="110" t="str">
        <f>IF(H2437="","",IF($C$29="간이법","",FPR(H2437,I2437,J2437)))</f>
        <v/>
      </c>
      <c r="L2437" s="111" t="str">
        <f>IF(H2437="","",IF($C$29="상세법",FPV(H2437,K2437),IF(H2437="EI",4,IF(H2437="EO",5.2,IF(H2437="EQ",3.9,IF(H2437="ILF",7.5,IF(H2437="EIF",5.4)))))))</f>
        <v/>
      </c>
      <c r="M2437" s="112" t="str">
        <f t="shared" si="41"/>
        <v/>
      </c>
      <c r="N2437" s="113"/>
    </row>
    <row r="2438" spans="2:14">
      <c r="B2438" s="105"/>
      <c r="C2438" s="106"/>
      <c r="D2438" s="107"/>
      <c r="E2438" s="65"/>
      <c r="F2438" s="64"/>
      <c r="G2438" s="64"/>
      <c r="H2438" s="64"/>
      <c r="I2438" s="70"/>
      <c r="J2438" s="70"/>
      <c r="K2438" s="110" t="str">
        <f>IF(H2438="","",IF($C$29="간이법","",FPR(H2438,I2438,J2438)))</f>
        <v/>
      </c>
      <c r="L2438" s="111" t="str">
        <f>IF(H2438="","",IF($C$29="상세법",FPV(H2438,K2438),IF(H2438="EI",4,IF(H2438="EO",5.2,IF(H2438="EQ",3.9,IF(H2438="ILF",7.5,IF(H2438="EIF",5.4)))))))</f>
        <v/>
      </c>
      <c r="M2438" s="112" t="str">
        <f t="shared" si="41"/>
        <v/>
      </c>
      <c r="N2438" s="113"/>
    </row>
    <row r="2439" spans="2:14">
      <c r="B2439" s="105"/>
      <c r="C2439" s="106"/>
      <c r="D2439" s="107"/>
      <c r="E2439" s="65"/>
      <c r="F2439" s="64"/>
      <c r="G2439" s="64"/>
      <c r="H2439" s="64"/>
      <c r="I2439" s="70"/>
      <c r="J2439" s="70"/>
      <c r="K2439" s="110" t="str">
        <f>IF(H2439="","",IF($C$29="간이법","",FPR(H2439,I2439,J2439)))</f>
        <v/>
      </c>
      <c r="L2439" s="111" t="str">
        <f>IF(H2439="","",IF($C$29="상세법",FPV(H2439,K2439),IF(H2439="EI",4,IF(H2439="EO",5.2,IF(H2439="EQ",3.9,IF(H2439="ILF",7.5,IF(H2439="EIF",5.4)))))))</f>
        <v/>
      </c>
      <c r="M2439" s="112" t="str">
        <f t="shared" si="41"/>
        <v/>
      </c>
      <c r="N2439" s="113"/>
    </row>
    <row r="2440" spans="2:14">
      <c r="B2440" s="105"/>
      <c r="C2440" s="106"/>
      <c r="D2440" s="107"/>
      <c r="E2440" s="65"/>
      <c r="F2440" s="64"/>
      <c r="G2440" s="64"/>
      <c r="H2440" s="64"/>
      <c r="I2440" s="70"/>
      <c r="J2440" s="70"/>
      <c r="K2440" s="110" t="str">
        <f>IF(H2440="","",IF($C$29="간이법","",FPR(H2440,I2440,J2440)))</f>
        <v/>
      </c>
      <c r="L2440" s="111" t="str">
        <f>IF(H2440="","",IF($C$29="상세법",FPV(H2440,K2440),IF(H2440="EI",4,IF(H2440="EO",5.2,IF(H2440="EQ",3.9,IF(H2440="ILF",7.5,IF(H2440="EIF",5.4)))))))</f>
        <v/>
      </c>
      <c r="M2440" s="112" t="str">
        <f t="shared" si="41"/>
        <v/>
      </c>
      <c r="N2440" s="113"/>
    </row>
    <row r="2441" spans="2:14">
      <c r="B2441" s="105"/>
      <c r="C2441" s="106"/>
      <c r="D2441" s="107"/>
      <c r="E2441" s="65"/>
      <c r="F2441" s="64"/>
      <c r="G2441" s="64"/>
      <c r="H2441" s="64"/>
      <c r="I2441" s="70"/>
      <c r="J2441" s="70"/>
      <c r="K2441" s="110" t="str">
        <f>IF(H2441="","",IF($C$29="간이법","",FPR(H2441,I2441,J2441)))</f>
        <v/>
      </c>
      <c r="L2441" s="111" t="str">
        <f>IF(H2441="","",IF($C$29="상세법",FPV(H2441,K2441),IF(H2441="EI",4,IF(H2441="EO",5.2,IF(H2441="EQ",3.9,IF(H2441="ILF",7.5,IF(H2441="EIF",5.4)))))))</f>
        <v/>
      </c>
      <c r="M2441" s="112" t="str">
        <f t="shared" si="41"/>
        <v/>
      </c>
      <c r="N2441" s="113"/>
    </row>
    <row r="2442" spans="2:14">
      <c r="B2442" s="105"/>
      <c r="C2442" s="106"/>
      <c r="D2442" s="107"/>
      <c r="E2442" s="65"/>
      <c r="F2442" s="64"/>
      <c r="G2442" s="64"/>
      <c r="H2442" s="64"/>
      <c r="I2442" s="70"/>
      <c r="J2442" s="70"/>
      <c r="K2442" s="110" t="str">
        <f>IF(H2442="","",IF($C$29="간이법","",FPR(H2442,I2442,J2442)))</f>
        <v/>
      </c>
      <c r="L2442" s="111" t="str">
        <f>IF(H2442="","",IF($C$29="상세법",FPV(H2442,K2442),IF(H2442="EI",4,IF(H2442="EO",5.2,IF(H2442="EQ",3.9,IF(H2442="ILF",7.5,IF(H2442="EIF",5.4)))))))</f>
        <v/>
      </c>
      <c r="M2442" s="112" t="str">
        <f t="shared" si="41"/>
        <v/>
      </c>
      <c r="N2442" s="113"/>
    </row>
    <row r="2443" spans="2:14">
      <c r="B2443" s="105"/>
      <c r="C2443" s="106"/>
      <c r="D2443" s="107"/>
      <c r="E2443" s="65"/>
      <c r="F2443" s="64"/>
      <c r="G2443" s="64"/>
      <c r="H2443" s="64"/>
      <c r="I2443" s="70"/>
      <c r="J2443" s="70"/>
      <c r="K2443" s="110" t="str">
        <f>IF(H2443="","",IF($C$29="간이법","",FPR(H2443,I2443,J2443)))</f>
        <v/>
      </c>
      <c r="L2443" s="111" t="str">
        <f>IF(H2443="","",IF($C$29="상세법",FPV(H2443,K2443),IF(H2443="EI",4,IF(H2443="EO",5.2,IF(H2443="EQ",3.9,IF(H2443="ILF",7.5,IF(H2443="EIF",5.4)))))))</f>
        <v/>
      </c>
      <c r="M2443" s="112" t="str">
        <f t="shared" si="41"/>
        <v/>
      </c>
      <c r="N2443" s="113"/>
    </row>
    <row r="2444" spans="2:14">
      <c r="B2444" s="105"/>
      <c r="C2444" s="106"/>
      <c r="D2444" s="107"/>
      <c r="E2444" s="65"/>
      <c r="F2444" s="64"/>
      <c r="G2444" s="64"/>
      <c r="H2444" s="64"/>
      <c r="I2444" s="70"/>
      <c r="J2444" s="70"/>
      <c r="K2444" s="110" t="str">
        <f>IF(H2444="","",IF($C$29="간이법","",FPR(H2444,I2444,J2444)))</f>
        <v/>
      </c>
      <c r="L2444" s="111" t="str">
        <f>IF(H2444="","",IF($C$29="상세법",FPV(H2444,K2444),IF(H2444="EI",4,IF(H2444="EO",5.2,IF(H2444="EQ",3.9,IF(H2444="ILF",7.5,IF(H2444="EIF",5.4)))))))</f>
        <v/>
      </c>
      <c r="M2444" s="112" t="str">
        <f t="shared" si="41"/>
        <v/>
      </c>
      <c r="N2444" s="113"/>
    </row>
    <row r="2445" spans="2:14">
      <c r="B2445" s="105"/>
      <c r="C2445" s="106"/>
      <c r="D2445" s="107"/>
      <c r="E2445" s="65"/>
      <c r="F2445" s="64"/>
      <c r="G2445" s="64"/>
      <c r="H2445" s="64"/>
      <c r="I2445" s="70"/>
      <c r="J2445" s="70"/>
      <c r="K2445" s="110" t="str">
        <f>IF(H2445="","",IF($C$29="간이법","",FPR(H2445,I2445,J2445)))</f>
        <v/>
      </c>
      <c r="L2445" s="111" t="str">
        <f>IF(H2445="","",IF($C$29="상세법",FPV(H2445,K2445),IF(H2445="EI",4,IF(H2445="EO",5.2,IF(H2445="EQ",3.9,IF(H2445="ILF",7.5,IF(H2445="EIF",5.4)))))))</f>
        <v/>
      </c>
      <c r="M2445" s="112" t="str">
        <f t="shared" si="41"/>
        <v/>
      </c>
      <c r="N2445" s="113"/>
    </row>
    <row r="2446" spans="2:14">
      <c r="B2446" s="105"/>
      <c r="C2446" s="106"/>
      <c r="D2446" s="107"/>
      <c r="E2446" s="65"/>
      <c r="F2446" s="64"/>
      <c r="G2446" s="64"/>
      <c r="H2446" s="64"/>
      <c r="I2446" s="70"/>
      <c r="J2446" s="70"/>
      <c r="K2446" s="110" t="str">
        <f>IF(H2446="","",IF($C$29="간이법","",FPR(H2446,I2446,J2446)))</f>
        <v/>
      </c>
      <c r="L2446" s="111" t="str">
        <f>IF(H2446="","",IF($C$29="상세법",FPV(H2446,K2446),IF(H2446="EI",4,IF(H2446="EO",5.2,IF(H2446="EQ",3.9,IF(H2446="ILF",7.5,IF(H2446="EIF",5.4)))))))</f>
        <v/>
      </c>
      <c r="M2446" s="112" t="str">
        <f t="shared" si="41"/>
        <v/>
      </c>
      <c r="N2446" s="113"/>
    </row>
    <row r="2447" spans="2:14">
      <c r="B2447" s="105"/>
      <c r="C2447" s="106"/>
      <c r="D2447" s="107"/>
      <c r="E2447" s="65"/>
      <c r="F2447" s="64"/>
      <c r="G2447" s="64"/>
      <c r="H2447" s="64"/>
      <c r="I2447" s="70"/>
      <c r="J2447" s="70"/>
      <c r="K2447" s="110" t="str">
        <f>IF(H2447="","",IF($C$29="간이법","",FPR(H2447,I2447,J2447)))</f>
        <v/>
      </c>
      <c r="L2447" s="111" t="str">
        <f>IF(H2447="","",IF($C$29="상세법",FPV(H2447,K2447),IF(H2447="EI",4,IF(H2447="EO",5.2,IF(H2447="EQ",3.9,IF(H2447="ILF",7.5,IF(H2447="EIF",5.4)))))))</f>
        <v/>
      </c>
      <c r="M2447" s="112" t="str">
        <f t="shared" si="41"/>
        <v/>
      </c>
      <c r="N2447" s="113"/>
    </row>
    <row r="2448" spans="2:14">
      <c r="B2448" s="105"/>
      <c r="C2448" s="106"/>
      <c r="D2448" s="107"/>
      <c r="E2448" s="65"/>
      <c r="F2448" s="64"/>
      <c r="G2448" s="64"/>
      <c r="H2448" s="64"/>
      <c r="I2448" s="70"/>
      <c r="J2448" s="70"/>
      <c r="K2448" s="110" t="str">
        <f>IF(H2448="","",IF($C$29="간이법","",FPR(H2448,I2448,J2448)))</f>
        <v/>
      </c>
      <c r="L2448" s="111" t="str">
        <f>IF(H2448="","",IF($C$29="상세법",FPV(H2448,K2448),IF(H2448="EI",4,IF(H2448="EO",5.2,IF(H2448="EQ",3.9,IF(H2448="ILF",7.5,IF(H2448="EIF",5.4)))))))</f>
        <v/>
      </c>
      <c r="M2448" s="112" t="str">
        <f t="shared" si="41"/>
        <v/>
      </c>
      <c r="N2448" s="113"/>
    </row>
    <row r="2449" spans="2:14">
      <c r="B2449" s="105"/>
      <c r="C2449" s="106"/>
      <c r="D2449" s="107"/>
      <c r="E2449" s="65"/>
      <c r="F2449" s="64"/>
      <c r="G2449" s="64"/>
      <c r="H2449" s="64"/>
      <c r="I2449" s="70"/>
      <c r="J2449" s="70"/>
      <c r="K2449" s="110" t="str">
        <f>IF(H2449="","",IF($C$29="간이법","",FPR(H2449,I2449,J2449)))</f>
        <v/>
      </c>
      <c r="L2449" s="111" t="str">
        <f>IF(H2449="","",IF($C$29="상세법",FPV(H2449,K2449),IF(H2449="EI",4,IF(H2449="EO",5.2,IF(H2449="EQ",3.9,IF(H2449="ILF",7.5,IF(H2449="EIF",5.4)))))))</f>
        <v/>
      </c>
      <c r="M2449" s="112" t="str">
        <f t="shared" si="41"/>
        <v/>
      </c>
      <c r="N2449" s="113"/>
    </row>
    <row r="2450" spans="2:14">
      <c r="B2450" s="105"/>
      <c r="C2450" s="106"/>
      <c r="D2450" s="107"/>
      <c r="E2450" s="65"/>
      <c r="F2450" s="64"/>
      <c r="G2450" s="64"/>
      <c r="H2450" s="64"/>
      <c r="I2450" s="70"/>
      <c r="J2450" s="70"/>
      <c r="K2450" s="110" t="str">
        <f>IF(H2450="","",IF($C$29="간이법","",FPR(H2450,I2450,J2450)))</f>
        <v/>
      </c>
      <c r="L2450" s="111" t="str">
        <f>IF(H2450="","",IF($C$29="상세법",FPV(H2450,K2450),IF(H2450="EI",4,IF(H2450="EO",5.2,IF(H2450="EQ",3.9,IF(H2450="ILF",7.5,IF(H2450="EIF",5.4)))))))</f>
        <v/>
      </c>
      <c r="M2450" s="112" t="str">
        <f t="shared" si="41"/>
        <v/>
      </c>
      <c r="N2450" s="113"/>
    </row>
    <row r="2451" spans="2:14">
      <c r="B2451" s="105"/>
      <c r="C2451" s="106"/>
      <c r="D2451" s="107"/>
      <c r="E2451" s="65"/>
      <c r="F2451" s="64"/>
      <c r="G2451" s="64"/>
      <c r="H2451" s="64"/>
      <c r="I2451" s="70"/>
      <c r="J2451" s="70"/>
      <c r="K2451" s="110" t="str">
        <f>IF(H2451="","",IF($C$29="간이법","",FPR(H2451,I2451,J2451)))</f>
        <v/>
      </c>
      <c r="L2451" s="111" t="str">
        <f>IF(H2451="","",IF($C$29="상세법",FPV(H2451,K2451),IF(H2451="EI",4,IF(H2451="EO",5.2,IF(H2451="EQ",3.9,IF(H2451="ILF",7.5,IF(H2451="EIF",5.4)))))))</f>
        <v/>
      </c>
      <c r="M2451" s="112" t="str">
        <f t="shared" si="41"/>
        <v/>
      </c>
      <c r="N2451" s="113"/>
    </row>
    <row r="2452" spans="2:14">
      <c r="B2452" s="105"/>
      <c r="C2452" s="106"/>
      <c r="D2452" s="107"/>
      <c r="E2452" s="65"/>
      <c r="F2452" s="64"/>
      <c r="G2452" s="64"/>
      <c r="H2452" s="64"/>
      <c r="I2452" s="70"/>
      <c r="J2452" s="70"/>
      <c r="K2452" s="110" t="str">
        <f>IF(H2452="","",IF($C$29="간이법","",FPR(H2452,I2452,J2452)))</f>
        <v/>
      </c>
      <c r="L2452" s="111" t="str">
        <f>IF(H2452="","",IF($C$29="상세법",FPV(H2452,K2452),IF(H2452="EI",4,IF(H2452="EO",5.2,IF(H2452="EQ",3.9,IF(H2452="ILF",7.5,IF(H2452="EIF",5.4)))))))</f>
        <v/>
      </c>
      <c r="M2452" s="112" t="str">
        <f t="shared" si="41"/>
        <v/>
      </c>
      <c r="N2452" s="113"/>
    </row>
    <row r="2453" spans="2:14">
      <c r="B2453" s="105"/>
      <c r="C2453" s="106"/>
      <c r="D2453" s="107"/>
      <c r="E2453" s="65"/>
      <c r="F2453" s="64"/>
      <c r="G2453" s="64"/>
      <c r="H2453" s="64"/>
      <c r="I2453" s="70"/>
      <c r="J2453" s="70"/>
      <c r="K2453" s="110" t="str">
        <f>IF(H2453="","",IF($C$29="간이법","",FPR(H2453,I2453,J2453)))</f>
        <v/>
      </c>
      <c r="L2453" s="111" t="str">
        <f>IF(H2453="","",IF($C$29="상세법",FPV(H2453,K2453),IF(H2453="EI",4,IF(H2453="EO",5.2,IF(H2453="EQ",3.9,IF(H2453="ILF",7.5,IF(H2453="EIF",5.4)))))))</f>
        <v/>
      </c>
      <c r="M2453" s="112" t="str">
        <f t="shared" si="41"/>
        <v/>
      </c>
      <c r="N2453" s="113"/>
    </row>
    <row r="2454" spans="2:14">
      <c r="B2454" s="105"/>
      <c r="C2454" s="106"/>
      <c r="D2454" s="107"/>
      <c r="E2454" s="65"/>
      <c r="F2454" s="64"/>
      <c r="G2454" s="64"/>
      <c r="H2454" s="64"/>
      <c r="I2454" s="70"/>
      <c r="J2454" s="70"/>
      <c r="K2454" s="110" t="str">
        <f>IF(H2454="","",IF($C$29="간이법","",FPR(H2454,I2454,J2454)))</f>
        <v/>
      </c>
      <c r="L2454" s="111" t="str">
        <f>IF(H2454="","",IF($C$29="상세법",FPV(H2454,K2454),IF(H2454="EI",4,IF(H2454="EO",5.2,IF(H2454="EQ",3.9,IF(H2454="ILF",7.5,IF(H2454="EIF",5.4)))))))</f>
        <v/>
      </c>
      <c r="M2454" s="112" t="str">
        <f t="shared" si="41"/>
        <v/>
      </c>
      <c r="N2454" s="113"/>
    </row>
    <row r="2455" spans="2:14">
      <c r="B2455" s="105"/>
      <c r="C2455" s="106"/>
      <c r="D2455" s="107"/>
      <c r="E2455" s="65"/>
      <c r="F2455" s="64"/>
      <c r="G2455" s="64"/>
      <c r="H2455" s="64"/>
      <c r="I2455" s="70"/>
      <c r="J2455" s="70"/>
      <c r="K2455" s="110" t="str">
        <f>IF(H2455="","",IF($C$29="간이법","",FPR(H2455,I2455,J2455)))</f>
        <v/>
      </c>
      <c r="L2455" s="111" t="str">
        <f>IF(H2455="","",IF($C$29="상세법",FPV(H2455,K2455),IF(H2455="EI",4,IF(H2455="EO",5.2,IF(H2455="EQ",3.9,IF(H2455="ILF",7.5,IF(H2455="EIF",5.4)))))))</f>
        <v/>
      </c>
      <c r="M2455" s="112" t="str">
        <f t="shared" si="41"/>
        <v/>
      </c>
      <c r="N2455" s="113"/>
    </row>
    <row r="2456" spans="2:14">
      <c r="B2456" s="105"/>
      <c r="C2456" s="106"/>
      <c r="D2456" s="107"/>
      <c r="E2456" s="65"/>
      <c r="F2456" s="64"/>
      <c r="G2456" s="64"/>
      <c r="H2456" s="64"/>
      <c r="I2456" s="70"/>
      <c r="J2456" s="70"/>
      <c r="K2456" s="110" t="str">
        <f>IF(H2456="","",IF($C$29="간이법","",FPR(H2456,I2456,J2456)))</f>
        <v/>
      </c>
      <c r="L2456" s="111" t="str">
        <f>IF(H2456="","",IF($C$29="상세법",FPV(H2456,K2456),IF(H2456="EI",4,IF(H2456="EO",5.2,IF(H2456="EQ",3.9,IF(H2456="ILF",7.5,IF(H2456="EIF",5.4)))))))</f>
        <v/>
      </c>
      <c r="M2456" s="112" t="str">
        <f t="shared" si="41"/>
        <v/>
      </c>
      <c r="N2456" s="113"/>
    </row>
    <row r="2457" spans="2:14">
      <c r="B2457" s="105"/>
      <c r="C2457" s="106"/>
      <c r="D2457" s="107"/>
      <c r="E2457" s="65"/>
      <c r="F2457" s="64"/>
      <c r="G2457" s="64"/>
      <c r="H2457" s="64"/>
      <c r="I2457" s="70"/>
      <c r="J2457" s="70"/>
      <c r="K2457" s="110" t="str">
        <f>IF(H2457="","",IF($C$29="간이법","",FPR(H2457,I2457,J2457)))</f>
        <v/>
      </c>
      <c r="L2457" s="111" t="str">
        <f>IF(H2457="","",IF($C$29="상세법",FPV(H2457,K2457),IF(H2457="EI",4,IF(H2457="EO",5.2,IF(H2457="EQ",3.9,IF(H2457="ILF",7.5,IF(H2457="EIF",5.4)))))))</f>
        <v/>
      </c>
      <c r="M2457" s="112" t="str">
        <f t="shared" si="41"/>
        <v/>
      </c>
      <c r="N2457" s="113"/>
    </row>
    <row r="2458" spans="2:14">
      <c r="B2458" s="105"/>
      <c r="C2458" s="106"/>
      <c r="D2458" s="107"/>
      <c r="E2458" s="65"/>
      <c r="F2458" s="64"/>
      <c r="G2458" s="64"/>
      <c r="H2458" s="64"/>
      <c r="I2458" s="70"/>
      <c r="J2458" s="70"/>
      <c r="K2458" s="110" t="str">
        <f>IF(H2458="","",IF($C$29="간이법","",FPR(H2458,I2458,J2458)))</f>
        <v/>
      </c>
      <c r="L2458" s="111" t="str">
        <f>IF(H2458="","",IF($C$29="상세법",FPV(H2458,K2458),IF(H2458="EI",4,IF(H2458="EO",5.2,IF(H2458="EQ",3.9,IF(H2458="ILF",7.5,IF(H2458="EIF",5.4)))))))</f>
        <v/>
      </c>
      <c r="M2458" s="112" t="str">
        <f t="shared" si="41"/>
        <v/>
      </c>
      <c r="N2458" s="113"/>
    </row>
    <row r="2459" spans="2:14">
      <c r="B2459" s="105"/>
      <c r="C2459" s="106"/>
      <c r="D2459" s="107"/>
      <c r="E2459" s="65"/>
      <c r="F2459" s="64"/>
      <c r="G2459" s="64"/>
      <c r="H2459" s="64"/>
      <c r="I2459" s="70"/>
      <c r="J2459" s="70"/>
      <c r="K2459" s="110" t="str">
        <f>IF(H2459="","",IF($C$29="간이법","",FPR(H2459,I2459,J2459)))</f>
        <v/>
      </c>
      <c r="L2459" s="111" t="str">
        <f>IF(H2459="","",IF($C$29="상세법",FPV(H2459,K2459),IF(H2459="EI",4,IF(H2459="EO",5.2,IF(H2459="EQ",3.9,IF(H2459="ILF",7.5,IF(H2459="EIF",5.4)))))))</f>
        <v/>
      </c>
      <c r="M2459" s="112" t="str">
        <f t="shared" si="41"/>
        <v/>
      </c>
      <c r="N2459" s="113"/>
    </row>
    <row r="2460" spans="2:14">
      <c r="B2460" s="105"/>
      <c r="C2460" s="106"/>
      <c r="D2460" s="107"/>
      <c r="E2460" s="65"/>
      <c r="F2460" s="64"/>
      <c r="G2460" s="64"/>
      <c r="H2460" s="64"/>
      <c r="I2460" s="70"/>
      <c r="J2460" s="70"/>
      <c r="K2460" s="110" t="str">
        <f>IF(H2460="","",IF($C$29="간이법","",FPR(H2460,I2460,J2460)))</f>
        <v/>
      </c>
      <c r="L2460" s="111" t="str">
        <f>IF(H2460="","",IF($C$29="상세법",FPV(H2460,K2460),IF(H2460="EI",4,IF(H2460="EO",5.2,IF(H2460="EQ",3.9,IF(H2460="ILF",7.5,IF(H2460="EIF",5.4)))))))</f>
        <v/>
      </c>
      <c r="M2460" s="112" t="str">
        <f t="shared" si="41"/>
        <v/>
      </c>
      <c r="N2460" s="113"/>
    </row>
    <row r="2461" spans="2:14">
      <c r="B2461" s="105"/>
      <c r="C2461" s="106"/>
      <c r="D2461" s="107"/>
      <c r="E2461" s="65"/>
      <c r="F2461" s="64"/>
      <c r="G2461" s="64"/>
      <c r="H2461" s="64"/>
      <c r="I2461" s="70"/>
      <c r="J2461" s="70"/>
      <c r="K2461" s="110" t="str">
        <f>IF(H2461="","",IF($C$29="간이법","",FPR(H2461,I2461,J2461)))</f>
        <v/>
      </c>
      <c r="L2461" s="111" t="str">
        <f>IF(H2461="","",IF($C$29="상세법",FPV(H2461,K2461),IF(H2461="EI",4,IF(H2461="EO",5.2,IF(H2461="EQ",3.9,IF(H2461="ILF",7.5,IF(H2461="EIF",5.4)))))))</f>
        <v/>
      </c>
      <c r="M2461" s="112" t="str">
        <f t="shared" si="41"/>
        <v/>
      </c>
      <c r="N2461" s="113"/>
    </row>
    <row r="2462" spans="2:14">
      <c r="B2462" s="105"/>
      <c r="C2462" s="106"/>
      <c r="D2462" s="107"/>
      <c r="E2462" s="65"/>
      <c r="F2462" s="64"/>
      <c r="G2462" s="64"/>
      <c r="H2462" s="64"/>
      <c r="I2462" s="70"/>
      <c r="J2462" s="70"/>
      <c r="K2462" s="110" t="str">
        <f>IF(H2462="","",IF($C$29="간이법","",FPR(H2462,I2462,J2462)))</f>
        <v/>
      </c>
      <c r="L2462" s="111" t="str">
        <f>IF(H2462="","",IF($C$29="상세법",FPV(H2462,K2462),IF(H2462="EI",4,IF(H2462="EO",5.2,IF(H2462="EQ",3.9,IF(H2462="ILF",7.5,IF(H2462="EIF",5.4)))))))</f>
        <v/>
      </c>
      <c r="M2462" s="112" t="str">
        <f t="shared" si="41"/>
        <v/>
      </c>
      <c r="N2462" s="113"/>
    </row>
    <row r="2463" spans="2:14">
      <c r="B2463" s="105"/>
      <c r="C2463" s="106"/>
      <c r="D2463" s="107"/>
      <c r="E2463" s="65"/>
      <c r="F2463" s="64"/>
      <c r="G2463" s="64"/>
      <c r="H2463" s="64"/>
      <c r="I2463" s="70"/>
      <c r="J2463" s="70"/>
      <c r="K2463" s="110" t="str">
        <f>IF(H2463="","",IF($C$29="간이법","",FPR(H2463,I2463,J2463)))</f>
        <v/>
      </c>
      <c r="L2463" s="111" t="str">
        <f>IF(H2463="","",IF($C$29="상세법",FPV(H2463,K2463),IF(H2463="EI",4,IF(H2463="EO",5.2,IF(H2463="EQ",3.9,IF(H2463="ILF",7.5,IF(H2463="EIF",5.4)))))))</f>
        <v/>
      </c>
      <c r="M2463" s="112" t="str">
        <f t="shared" si="41"/>
        <v/>
      </c>
      <c r="N2463" s="113"/>
    </row>
    <row r="2464" spans="2:14">
      <c r="B2464" s="105"/>
      <c r="C2464" s="106"/>
      <c r="D2464" s="107"/>
      <c r="E2464" s="65"/>
      <c r="F2464" s="64"/>
      <c r="G2464" s="64"/>
      <c r="H2464" s="64"/>
      <c r="I2464" s="70"/>
      <c r="J2464" s="70"/>
      <c r="K2464" s="110" t="str">
        <f>IF(H2464="","",IF($C$29="간이법","",FPR(H2464,I2464,J2464)))</f>
        <v/>
      </c>
      <c r="L2464" s="111" t="str">
        <f>IF(H2464="","",IF($C$29="상세법",FPV(H2464,K2464),IF(H2464="EI",4,IF(H2464="EO",5.2,IF(H2464="EQ",3.9,IF(H2464="ILF",7.5,IF(H2464="EIF",5.4)))))))</f>
        <v/>
      </c>
      <c r="M2464" s="112" t="str">
        <f t="shared" si="41"/>
        <v/>
      </c>
      <c r="N2464" s="113"/>
    </row>
    <row r="2465" spans="2:14">
      <c r="B2465" s="105"/>
      <c r="C2465" s="106"/>
      <c r="D2465" s="107"/>
      <c r="E2465" s="65"/>
      <c r="F2465" s="64"/>
      <c r="G2465" s="64"/>
      <c r="H2465" s="64"/>
      <c r="I2465" s="70"/>
      <c r="J2465" s="70"/>
      <c r="K2465" s="110" t="str">
        <f>IF(H2465="","",IF($C$29="간이법","",FPR(H2465,I2465,J2465)))</f>
        <v/>
      </c>
      <c r="L2465" s="111" t="str">
        <f>IF(H2465="","",IF($C$29="상세법",FPV(H2465,K2465),IF(H2465="EI",4,IF(H2465="EO",5.2,IF(H2465="EQ",3.9,IF(H2465="ILF",7.5,IF(H2465="EIF",5.4)))))))</f>
        <v/>
      </c>
      <c r="M2465" s="112" t="str">
        <f t="shared" si="41"/>
        <v/>
      </c>
      <c r="N2465" s="113"/>
    </row>
    <row r="2466" spans="2:14">
      <c r="B2466" s="105"/>
      <c r="C2466" s="106"/>
      <c r="D2466" s="107"/>
      <c r="E2466" s="65"/>
      <c r="F2466" s="64"/>
      <c r="G2466" s="64"/>
      <c r="H2466" s="64"/>
      <c r="I2466" s="70"/>
      <c r="J2466" s="70"/>
      <c r="K2466" s="110" t="str">
        <f>IF(H2466="","",IF($C$29="간이법","",FPR(H2466,I2466,J2466)))</f>
        <v/>
      </c>
      <c r="L2466" s="111" t="str">
        <f>IF(H2466="","",IF($C$29="상세법",FPV(H2466,K2466),IF(H2466="EI",4,IF(H2466="EO",5.2,IF(H2466="EQ",3.9,IF(H2466="ILF",7.5,IF(H2466="EIF",5.4)))))))</f>
        <v/>
      </c>
      <c r="M2466" s="112" t="str">
        <f t="shared" si="41"/>
        <v/>
      </c>
      <c r="N2466" s="113"/>
    </row>
    <row r="2467" spans="2:14">
      <c r="B2467" s="105"/>
      <c r="C2467" s="106"/>
      <c r="D2467" s="107"/>
      <c r="E2467" s="65"/>
      <c r="F2467" s="64"/>
      <c r="G2467" s="64"/>
      <c r="H2467" s="64"/>
      <c r="I2467" s="70"/>
      <c r="J2467" s="70"/>
      <c r="K2467" s="110" t="str">
        <f>IF(H2467="","",IF($C$29="간이법","",FPR(H2467,I2467,J2467)))</f>
        <v/>
      </c>
      <c r="L2467" s="111" t="str">
        <f>IF(H2467="","",IF($C$29="상세법",FPV(H2467,K2467),IF(H2467="EI",4,IF(H2467="EO",5.2,IF(H2467="EQ",3.9,IF(H2467="ILF",7.5,IF(H2467="EIF",5.4)))))))</f>
        <v/>
      </c>
      <c r="M2467" s="112" t="str">
        <f t="shared" si="41"/>
        <v/>
      </c>
      <c r="N2467" s="113"/>
    </row>
    <row r="2468" spans="2:14">
      <c r="B2468" s="105"/>
      <c r="C2468" s="106"/>
      <c r="D2468" s="107"/>
      <c r="E2468" s="65"/>
      <c r="F2468" s="64"/>
      <c r="G2468" s="64"/>
      <c r="H2468" s="64"/>
      <c r="I2468" s="70"/>
      <c r="J2468" s="70"/>
      <c r="K2468" s="110" t="str">
        <f>IF(H2468="","",IF($C$29="간이법","",FPR(H2468,I2468,J2468)))</f>
        <v/>
      </c>
      <c r="L2468" s="111" t="str">
        <f>IF(H2468="","",IF($C$29="상세법",FPV(H2468,K2468),IF(H2468="EI",4,IF(H2468="EO",5.2,IF(H2468="EQ",3.9,IF(H2468="ILF",7.5,IF(H2468="EIF",5.4)))))))</f>
        <v/>
      </c>
      <c r="M2468" s="112" t="str">
        <f t="shared" si="41"/>
        <v/>
      </c>
      <c r="N2468" s="113"/>
    </row>
    <row r="2469" spans="2:14">
      <c r="B2469" s="105"/>
      <c r="C2469" s="106"/>
      <c r="D2469" s="107"/>
      <c r="E2469" s="65"/>
      <c r="F2469" s="64"/>
      <c r="G2469" s="64"/>
      <c r="H2469" s="64"/>
      <c r="I2469" s="70"/>
      <c r="J2469" s="70"/>
      <c r="K2469" s="110" t="str">
        <f>IF(H2469="","",IF($C$29="간이법","",FPR(H2469,I2469,J2469)))</f>
        <v/>
      </c>
      <c r="L2469" s="111" t="str">
        <f>IF(H2469="","",IF($C$29="상세법",FPV(H2469,K2469),IF(H2469="EI",4,IF(H2469="EO",5.2,IF(H2469="EQ",3.9,IF(H2469="ILF",7.5,IF(H2469="EIF",5.4)))))))</f>
        <v/>
      </c>
      <c r="M2469" s="112" t="str">
        <f t="shared" si="41"/>
        <v/>
      </c>
      <c r="N2469" s="113"/>
    </row>
    <row r="2470" spans="2:14">
      <c r="B2470" s="105"/>
      <c r="C2470" s="106"/>
      <c r="D2470" s="107"/>
      <c r="E2470" s="65"/>
      <c r="F2470" s="64"/>
      <c r="G2470" s="64"/>
      <c r="H2470" s="64"/>
      <c r="I2470" s="70"/>
      <c r="J2470" s="70"/>
      <c r="K2470" s="110" t="str">
        <f>IF(H2470="","",IF($C$29="간이법","",FPR(H2470,I2470,J2470)))</f>
        <v/>
      </c>
      <c r="L2470" s="111" t="str">
        <f>IF(H2470="","",IF($C$29="상세법",FPV(H2470,K2470),IF(H2470="EI",4,IF(H2470="EO",5.2,IF(H2470="EQ",3.9,IF(H2470="ILF",7.5,IF(H2470="EIF",5.4)))))))</f>
        <v/>
      </c>
      <c r="M2470" s="112" t="str">
        <f t="shared" si="41"/>
        <v/>
      </c>
      <c r="N2470" s="113"/>
    </row>
    <row r="2471" spans="2:14">
      <c r="B2471" s="105"/>
      <c r="C2471" s="106"/>
      <c r="D2471" s="107"/>
      <c r="E2471" s="65"/>
      <c r="F2471" s="64"/>
      <c r="G2471" s="64"/>
      <c r="H2471" s="64"/>
      <c r="I2471" s="70"/>
      <c r="J2471" s="70"/>
      <c r="K2471" s="110" t="str">
        <f>IF(H2471="","",IF($C$29="간이법","",FPR(H2471,I2471,J2471)))</f>
        <v/>
      </c>
      <c r="L2471" s="111" t="str">
        <f>IF(H2471="","",IF($C$29="상세법",FPV(H2471,K2471),IF(H2471="EI",4,IF(H2471="EO",5.2,IF(H2471="EQ",3.9,IF(H2471="ILF",7.5,IF(H2471="EIF",5.4)))))))</f>
        <v/>
      </c>
      <c r="M2471" s="112" t="str">
        <f t="shared" si="41"/>
        <v/>
      </c>
      <c r="N2471" s="113"/>
    </row>
    <row r="2472" spans="2:14">
      <c r="B2472" s="105"/>
      <c r="C2472" s="106"/>
      <c r="D2472" s="107"/>
      <c r="E2472" s="65"/>
      <c r="F2472" s="64"/>
      <c r="G2472" s="64"/>
      <c r="H2472" s="64"/>
      <c r="I2472" s="70"/>
      <c r="J2472" s="70"/>
      <c r="K2472" s="110" t="str">
        <f>IF(H2472="","",IF($C$29="간이법","",FPR(H2472,I2472,J2472)))</f>
        <v/>
      </c>
      <c r="L2472" s="111" t="str">
        <f>IF(H2472="","",IF($C$29="상세법",FPV(H2472,K2472),IF(H2472="EI",4,IF(H2472="EO",5.2,IF(H2472="EQ",3.9,IF(H2472="ILF",7.5,IF(H2472="EIF",5.4)))))))</f>
        <v/>
      </c>
      <c r="M2472" s="112" t="str">
        <f t="shared" si="41"/>
        <v/>
      </c>
      <c r="N2472" s="113"/>
    </row>
    <row r="2473" spans="2:14">
      <c r="B2473" s="105"/>
      <c r="C2473" s="106"/>
      <c r="D2473" s="107"/>
      <c r="E2473" s="65"/>
      <c r="F2473" s="64"/>
      <c r="G2473" s="64"/>
      <c r="H2473" s="64"/>
      <c r="I2473" s="70"/>
      <c r="J2473" s="70"/>
      <c r="K2473" s="110" t="str">
        <f>IF(H2473="","",IF($C$29="간이법","",FPR(H2473,I2473,J2473)))</f>
        <v/>
      </c>
      <c r="L2473" s="111" t="str">
        <f>IF(H2473="","",IF($C$29="상세법",FPV(H2473,K2473),IF(H2473="EI",4,IF(H2473="EO",5.2,IF(H2473="EQ",3.9,IF(H2473="ILF",7.5,IF(H2473="EIF",5.4)))))))</f>
        <v/>
      </c>
      <c r="M2473" s="112" t="str">
        <f t="shared" si="41"/>
        <v/>
      </c>
      <c r="N2473" s="113"/>
    </row>
    <row r="2474" spans="2:14">
      <c r="B2474" s="105"/>
      <c r="C2474" s="106"/>
      <c r="D2474" s="107"/>
      <c r="E2474" s="65"/>
      <c r="F2474" s="64"/>
      <c r="G2474" s="64"/>
      <c r="H2474" s="64"/>
      <c r="I2474" s="70"/>
      <c r="J2474" s="70"/>
      <c r="K2474" s="110" t="str">
        <f>IF(H2474="","",IF($C$29="간이법","",FPR(H2474,I2474,J2474)))</f>
        <v/>
      </c>
      <c r="L2474" s="111" t="str">
        <f>IF(H2474="","",IF($C$29="상세법",FPV(H2474,K2474),IF(H2474="EI",4,IF(H2474="EO",5.2,IF(H2474="EQ",3.9,IF(H2474="ILF",7.5,IF(H2474="EIF",5.4)))))))</f>
        <v/>
      </c>
      <c r="M2474" s="112" t="str">
        <f t="shared" si="41"/>
        <v/>
      </c>
      <c r="N2474" s="113"/>
    </row>
    <row r="2475" spans="2:14">
      <c r="B2475" s="105"/>
      <c r="C2475" s="106"/>
      <c r="D2475" s="107"/>
      <c r="E2475" s="65"/>
      <c r="F2475" s="64"/>
      <c r="G2475" s="64"/>
      <c r="H2475" s="64"/>
      <c r="I2475" s="70"/>
      <c r="J2475" s="70"/>
      <c r="K2475" s="110" t="str">
        <f>IF(H2475="","",IF($C$29="간이법","",FPR(H2475,I2475,J2475)))</f>
        <v/>
      </c>
      <c r="L2475" s="111" t="str">
        <f>IF(H2475="","",IF($C$29="상세법",FPV(H2475,K2475),IF(H2475="EI",4,IF(H2475="EO",5.2,IF(H2475="EQ",3.9,IF(H2475="ILF",7.5,IF(H2475="EIF",5.4)))))))</f>
        <v/>
      </c>
      <c r="M2475" s="112" t="str">
        <f t="shared" si="41"/>
        <v/>
      </c>
      <c r="N2475" s="113"/>
    </row>
    <row r="2476" spans="2:14">
      <c r="B2476" s="105"/>
      <c r="C2476" s="106"/>
      <c r="D2476" s="107"/>
      <c r="E2476" s="65"/>
      <c r="F2476" s="64"/>
      <c r="G2476" s="64"/>
      <c r="H2476" s="64"/>
      <c r="I2476" s="70"/>
      <c r="J2476" s="70"/>
      <c r="K2476" s="110" t="str">
        <f>IF(H2476="","",IF($C$29="간이법","",FPR(H2476,I2476,J2476)))</f>
        <v/>
      </c>
      <c r="L2476" s="111" t="str">
        <f>IF(H2476="","",IF($C$29="상세법",FPV(H2476,K2476),IF(H2476="EI",4,IF(H2476="EO",5.2,IF(H2476="EQ",3.9,IF(H2476="ILF",7.5,IF(H2476="EIF",5.4)))))))</f>
        <v/>
      </c>
      <c r="M2476" s="112" t="str">
        <f t="shared" si="41"/>
        <v/>
      </c>
      <c r="N2476" s="113"/>
    </row>
    <row r="2477" spans="2:14">
      <c r="B2477" s="105"/>
      <c r="C2477" s="106"/>
      <c r="D2477" s="107"/>
      <c r="E2477" s="65"/>
      <c r="F2477" s="64"/>
      <c r="G2477" s="64"/>
      <c r="H2477" s="64"/>
      <c r="I2477" s="70"/>
      <c r="J2477" s="70"/>
      <c r="K2477" s="110" t="str">
        <f>IF(H2477="","",IF($C$29="간이법","",FPR(H2477,I2477,J2477)))</f>
        <v/>
      </c>
      <c r="L2477" s="111" t="str">
        <f>IF(H2477="","",IF($C$29="상세법",FPV(H2477,K2477),IF(H2477="EI",4,IF(H2477="EO",5.2,IF(H2477="EQ",3.9,IF(H2477="ILF",7.5,IF(H2477="EIF",5.4)))))))</f>
        <v/>
      </c>
      <c r="M2477" s="112" t="str">
        <f t="shared" si="41"/>
        <v/>
      </c>
      <c r="N2477" s="113"/>
    </row>
    <row r="2478" spans="2:14">
      <c r="B2478" s="105"/>
      <c r="C2478" s="106"/>
      <c r="D2478" s="107"/>
      <c r="E2478" s="65"/>
      <c r="F2478" s="64"/>
      <c r="G2478" s="64"/>
      <c r="H2478" s="64"/>
      <c r="I2478" s="70"/>
      <c r="J2478" s="70"/>
      <c r="K2478" s="110" t="str">
        <f>IF(H2478="","",IF($C$29="간이법","",FPR(H2478,I2478,J2478)))</f>
        <v/>
      </c>
      <c r="L2478" s="111" t="str">
        <f>IF(H2478="","",IF($C$29="상세법",FPV(H2478,K2478),IF(H2478="EI",4,IF(H2478="EO",5.2,IF(H2478="EQ",3.9,IF(H2478="ILF",7.5,IF(H2478="EIF",5.4)))))))</f>
        <v/>
      </c>
      <c r="M2478" s="112" t="str">
        <f t="shared" si="41"/>
        <v/>
      </c>
      <c r="N2478" s="113"/>
    </row>
    <row r="2479" spans="2:14">
      <c r="B2479" s="105"/>
      <c r="C2479" s="106"/>
      <c r="D2479" s="107"/>
      <c r="E2479" s="65"/>
      <c r="F2479" s="64"/>
      <c r="G2479" s="64"/>
      <c r="H2479" s="64"/>
      <c r="I2479" s="70"/>
      <c r="J2479" s="70"/>
      <c r="K2479" s="110" t="str">
        <f>IF(H2479="","",IF($C$29="간이법","",FPR(H2479,I2479,J2479)))</f>
        <v/>
      </c>
      <c r="L2479" s="111" t="str">
        <f>IF(H2479="","",IF($C$29="상세법",FPV(H2479,K2479),IF(H2479="EI",4,IF(H2479="EO",5.2,IF(H2479="EQ",3.9,IF(H2479="ILF",7.5,IF(H2479="EIF",5.4)))))))</f>
        <v/>
      </c>
      <c r="M2479" s="112" t="str">
        <f t="shared" si="41"/>
        <v/>
      </c>
      <c r="N2479" s="113"/>
    </row>
    <row r="2480" spans="2:14">
      <c r="B2480" s="105"/>
      <c r="C2480" s="106"/>
      <c r="D2480" s="107"/>
      <c r="E2480" s="65"/>
      <c r="F2480" s="64"/>
      <c r="G2480" s="64"/>
      <c r="H2480" s="64"/>
      <c r="I2480" s="70"/>
      <c r="J2480" s="70"/>
      <c r="K2480" s="110" t="str">
        <f>IF(H2480="","",IF($C$29="간이법","",FPR(H2480,I2480,J2480)))</f>
        <v/>
      </c>
      <c r="L2480" s="111" t="str">
        <f>IF(H2480="","",IF($C$29="상세법",FPV(H2480,K2480),IF(H2480="EI",4,IF(H2480="EO",5.2,IF(H2480="EQ",3.9,IF(H2480="ILF",7.5,IF(H2480="EIF",5.4)))))))</f>
        <v/>
      </c>
      <c r="M2480" s="112" t="str">
        <f t="shared" si="41"/>
        <v/>
      </c>
      <c r="N2480" s="113"/>
    </row>
    <row r="2481" spans="2:14">
      <c r="B2481" s="105"/>
      <c r="C2481" s="106"/>
      <c r="D2481" s="107"/>
      <c r="E2481" s="65"/>
      <c r="F2481" s="64"/>
      <c r="G2481" s="64"/>
      <c r="H2481" s="64"/>
      <c r="I2481" s="70"/>
      <c r="J2481" s="70"/>
      <c r="K2481" s="110" t="str">
        <f>IF(H2481="","",IF($C$29="간이법","",FPR(H2481,I2481,J2481)))</f>
        <v/>
      </c>
      <c r="L2481" s="111" t="str">
        <f>IF(H2481="","",IF($C$29="상세법",FPV(H2481,K2481),IF(H2481="EI",4,IF(H2481="EO",5.2,IF(H2481="EQ",3.9,IF(H2481="ILF",7.5,IF(H2481="EIF",5.4)))))))</f>
        <v/>
      </c>
      <c r="M2481" s="112" t="str">
        <f t="shared" si="41"/>
        <v/>
      </c>
      <c r="N2481" s="113"/>
    </row>
    <row r="2482" spans="2:14">
      <c r="B2482" s="105"/>
      <c r="C2482" s="106"/>
      <c r="D2482" s="107"/>
      <c r="E2482" s="65"/>
      <c r="F2482" s="64"/>
      <c r="G2482" s="64"/>
      <c r="H2482" s="64"/>
      <c r="I2482" s="70"/>
      <c r="J2482" s="70"/>
      <c r="K2482" s="110" t="str">
        <f>IF(H2482="","",IF($C$29="간이법","",FPR(H2482,I2482,J2482)))</f>
        <v/>
      </c>
      <c r="L2482" s="111" t="str">
        <f>IF(H2482="","",IF($C$29="상세법",FPV(H2482,K2482),IF(H2482="EI",4,IF(H2482="EO",5.2,IF(H2482="EQ",3.9,IF(H2482="ILF",7.5,IF(H2482="EIF",5.4)))))))</f>
        <v/>
      </c>
      <c r="M2482" s="112" t="str">
        <f t="shared" si="41"/>
        <v/>
      </c>
      <c r="N2482" s="113"/>
    </row>
    <row r="2483" spans="2:14">
      <c r="B2483" s="105"/>
      <c r="C2483" s="106"/>
      <c r="D2483" s="107"/>
      <c r="E2483" s="65"/>
      <c r="F2483" s="64"/>
      <c r="G2483" s="64"/>
      <c r="H2483" s="64"/>
      <c r="I2483" s="70"/>
      <c r="J2483" s="70"/>
      <c r="K2483" s="110" t="str">
        <f>IF(H2483="","",IF($C$29="간이법","",FPR(H2483,I2483,J2483)))</f>
        <v/>
      </c>
      <c r="L2483" s="111" t="str">
        <f>IF(H2483="","",IF($C$29="상세법",FPV(H2483,K2483),IF(H2483="EI",4,IF(H2483="EO",5.2,IF(H2483="EQ",3.9,IF(H2483="ILF",7.5,IF(H2483="EIF",5.4)))))))</f>
        <v/>
      </c>
      <c r="M2483" s="112" t="str">
        <f t="shared" si="41"/>
        <v/>
      </c>
      <c r="N2483" s="113"/>
    </row>
    <row r="2484" spans="2:14">
      <c r="B2484" s="105"/>
      <c r="C2484" s="106"/>
      <c r="D2484" s="107"/>
      <c r="E2484" s="65"/>
      <c r="F2484" s="64"/>
      <c r="G2484" s="64"/>
      <c r="H2484" s="64"/>
      <c r="I2484" s="70"/>
      <c r="J2484" s="70"/>
      <c r="K2484" s="110" t="str">
        <f>IF(H2484="","",IF($C$29="간이법","",FPR(H2484,I2484,J2484)))</f>
        <v/>
      </c>
      <c r="L2484" s="111" t="str">
        <f>IF(H2484="","",IF($C$29="상세법",FPV(H2484,K2484),IF(H2484="EI",4,IF(H2484="EO",5.2,IF(H2484="EQ",3.9,IF(H2484="ILF",7.5,IF(H2484="EIF",5.4)))))))</f>
        <v/>
      </c>
      <c r="M2484" s="112" t="str">
        <f t="shared" si="41"/>
        <v/>
      </c>
      <c r="N2484" s="113"/>
    </row>
    <row r="2485" spans="2:14">
      <c r="B2485" s="105"/>
      <c r="C2485" s="106"/>
      <c r="D2485" s="107"/>
      <c r="E2485" s="65"/>
      <c r="F2485" s="64"/>
      <c r="G2485" s="64"/>
      <c r="H2485" s="64"/>
      <c r="I2485" s="70"/>
      <c r="J2485" s="70"/>
      <c r="K2485" s="110" t="str">
        <f>IF(H2485="","",IF($C$29="간이법","",FPR(H2485,I2485,J2485)))</f>
        <v/>
      </c>
      <c r="L2485" s="111" t="str">
        <f>IF(H2485="","",IF($C$29="상세법",FPV(H2485,K2485),IF(H2485="EI",4,IF(H2485="EO",5.2,IF(H2485="EQ",3.9,IF(H2485="ILF",7.5,IF(H2485="EIF",5.4)))))))</f>
        <v/>
      </c>
      <c r="M2485" s="112" t="str">
        <f t="shared" si="41"/>
        <v/>
      </c>
      <c r="N2485" s="113"/>
    </row>
    <row r="2486" spans="2:14">
      <c r="B2486" s="105"/>
      <c r="C2486" s="106"/>
      <c r="D2486" s="107"/>
      <c r="E2486" s="65"/>
      <c r="F2486" s="64"/>
      <c r="G2486" s="64"/>
      <c r="H2486" s="64"/>
      <c r="I2486" s="70"/>
      <c r="J2486" s="70"/>
      <c r="K2486" s="110" t="str">
        <f>IF(H2486="","",IF($C$29="간이법","",FPR(H2486,I2486,J2486)))</f>
        <v/>
      </c>
      <c r="L2486" s="111" t="str">
        <f>IF(H2486="","",IF($C$29="상세법",FPV(H2486,K2486),IF(H2486="EI",4,IF(H2486="EO",5.2,IF(H2486="EQ",3.9,IF(H2486="ILF",7.5,IF(H2486="EIF",5.4)))))))</f>
        <v/>
      </c>
      <c r="M2486" s="112" t="str">
        <f t="shared" si="41"/>
        <v/>
      </c>
      <c r="N2486" s="113"/>
    </row>
    <row r="2487" spans="2:14">
      <c r="B2487" s="105"/>
      <c r="C2487" s="106"/>
      <c r="D2487" s="107"/>
      <c r="E2487" s="65"/>
      <c r="F2487" s="64"/>
      <c r="G2487" s="64"/>
      <c r="H2487" s="64"/>
      <c r="I2487" s="70"/>
      <c r="J2487" s="70"/>
      <c r="K2487" s="110" t="str">
        <f>IF(H2487="","",IF($C$29="간이법","",FPR(H2487,I2487,J2487)))</f>
        <v/>
      </c>
      <c r="L2487" s="111" t="str">
        <f>IF(H2487="","",IF($C$29="상세법",FPV(H2487,K2487),IF(H2487="EI",4,IF(H2487="EO",5.2,IF(H2487="EQ",3.9,IF(H2487="ILF",7.5,IF(H2487="EIF",5.4)))))))</f>
        <v/>
      </c>
      <c r="M2487" s="112" t="str">
        <f t="shared" si="41"/>
        <v/>
      </c>
      <c r="N2487" s="113"/>
    </row>
    <row r="2488" spans="2:14">
      <c r="B2488" s="105"/>
      <c r="C2488" s="106"/>
      <c r="D2488" s="107"/>
      <c r="E2488" s="65"/>
      <c r="F2488" s="64"/>
      <c r="G2488" s="64"/>
      <c r="H2488" s="64"/>
      <c r="I2488" s="70"/>
      <c r="J2488" s="70"/>
      <c r="K2488" s="110" t="str">
        <f>IF(H2488="","",IF($C$29="간이법","",FPR(H2488,I2488,J2488)))</f>
        <v/>
      </c>
      <c r="L2488" s="111" t="str">
        <f>IF(H2488="","",IF($C$29="상세법",FPV(H2488,K2488),IF(H2488="EI",4,IF(H2488="EO",5.2,IF(H2488="EQ",3.9,IF(H2488="ILF",7.5,IF(H2488="EIF",5.4)))))))</f>
        <v/>
      </c>
      <c r="M2488" s="112" t="str">
        <f t="shared" si="41"/>
        <v/>
      </c>
      <c r="N2488" s="113"/>
    </row>
    <row r="2489" spans="2:14">
      <c r="B2489" s="105"/>
      <c r="C2489" s="106"/>
      <c r="D2489" s="107"/>
      <c r="E2489" s="65"/>
      <c r="F2489" s="64"/>
      <c r="G2489" s="64"/>
      <c r="H2489" s="64"/>
      <c r="I2489" s="70"/>
      <c r="J2489" s="70"/>
      <c r="K2489" s="110" t="str">
        <f>IF(H2489="","",IF($C$29="간이법","",FPR(H2489,I2489,J2489)))</f>
        <v/>
      </c>
      <c r="L2489" s="111" t="str">
        <f>IF(H2489="","",IF($C$29="상세법",FPV(H2489,K2489),IF(H2489="EI",4,IF(H2489="EO",5.2,IF(H2489="EQ",3.9,IF(H2489="ILF",7.5,IF(H2489="EIF",5.4)))))))</f>
        <v/>
      </c>
      <c r="M2489" s="112" t="str">
        <f t="shared" ref="M2489:M2552" si="42">IF(L2489="","",L2489*IF(G2489="상",0.7,IF(G2489="중",0.5,IF(G2489="하",0.2,1))))</f>
        <v/>
      </c>
      <c r="N2489" s="113"/>
    </row>
    <row r="2490" spans="2:14">
      <c r="B2490" s="105"/>
      <c r="C2490" s="106"/>
      <c r="D2490" s="107"/>
      <c r="E2490" s="65"/>
      <c r="F2490" s="64"/>
      <c r="G2490" s="64"/>
      <c r="H2490" s="64"/>
      <c r="I2490" s="70"/>
      <c r="J2490" s="70"/>
      <c r="K2490" s="110" t="str">
        <f>IF(H2490="","",IF($C$29="간이법","",FPR(H2490,I2490,J2490)))</f>
        <v/>
      </c>
      <c r="L2490" s="111" t="str">
        <f>IF(H2490="","",IF($C$29="상세법",FPV(H2490,K2490),IF(H2490="EI",4,IF(H2490="EO",5.2,IF(H2490="EQ",3.9,IF(H2490="ILF",7.5,IF(H2490="EIF",5.4)))))))</f>
        <v/>
      </c>
      <c r="M2490" s="112" t="str">
        <f t="shared" si="42"/>
        <v/>
      </c>
      <c r="N2490" s="113"/>
    </row>
    <row r="2491" spans="2:14">
      <c r="B2491" s="105"/>
      <c r="C2491" s="106"/>
      <c r="D2491" s="107"/>
      <c r="E2491" s="65"/>
      <c r="F2491" s="64"/>
      <c r="G2491" s="64"/>
      <c r="H2491" s="64"/>
      <c r="I2491" s="70"/>
      <c r="J2491" s="70"/>
      <c r="K2491" s="110" t="str">
        <f>IF(H2491="","",IF($C$29="간이법","",FPR(H2491,I2491,J2491)))</f>
        <v/>
      </c>
      <c r="L2491" s="111" t="str">
        <f>IF(H2491="","",IF($C$29="상세법",FPV(H2491,K2491),IF(H2491="EI",4,IF(H2491="EO",5.2,IF(H2491="EQ",3.9,IF(H2491="ILF",7.5,IF(H2491="EIF",5.4)))))))</f>
        <v/>
      </c>
      <c r="M2491" s="112" t="str">
        <f t="shared" si="42"/>
        <v/>
      </c>
      <c r="N2491" s="113"/>
    </row>
    <row r="2492" spans="2:14">
      <c r="B2492" s="105"/>
      <c r="C2492" s="106"/>
      <c r="D2492" s="107"/>
      <c r="E2492" s="65"/>
      <c r="F2492" s="64"/>
      <c r="G2492" s="64"/>
      <c r="H2492" s="64"/>
      <c r="I2492" s="70"/>
      <c r="J2492" s="70"/>
      <c r="K2492" s="110" t="str">
        <f>IF(H2492="","",IF($C$29="간이법","",FPR(H2492,I2492,J2492)))</f>
        <v/>
      </c>
      <c r="L2492" s="111" t="str">
        <f>IF(H2492="","",IF($C$29="상세법",FPV(H2492,K2492),IF(H2492="EI",4,IF(H2492="EO",5.2,IF(H2492="EQ",3.9,IF(H2492="ILF",7.5,IF(H2492="EIF",5.4)))))))</f>
        <v/>
      </c>
      <c r="M2492" s="112" t="str">
        <f t="shared" si="42"/>
        <v/>
      </c>
      <c r="N2492" s="113"/>
    </row>
    <row r="2493" spans="2:14">
      <c r="B2493" s="105"/>
      <c r="C2493" s="106"/>
      <c r="D2493" s="107"/>
      <c r="E2493" s="65"/>
      <c r="F2493" s="64"/>
      <c r="G2493" s="64"/>
      <c r="H2493" s="64"/>
      <c r="I2493" s="70"/>
      <c r="J2493" s="70"/>
      <c r="K2493" s="110" t="str">
        <f>IF(H2493="","",IF($C$29="간이법","",FPR(H2493,I2493,J2493)))</f>
        <v/>
      </c>
      <c r="L2493" s="111" t="str">
        <f>IF(H2493="","",IF($C$29="상세법",FPV(H2493,K2493),IF(H2493="EI",4,IF(H2493="EO",5.2,IF(H2493="EQ",3.9,IF(H2493="ILF",7.5,IF(H2493="EIF",5.4)))))))</f>
        <v/>
      </c>
      <c r="M2493" s="112" t="str">
        <f t="shared" si="42"/>
        <v/>
      </c>
      <c r="N2493" s="113"/>
    </row>
    <row r="2494" spans="2:14">
      <c r="B2494" s="105"/>
      <c r="C2494" s="106"/>
      <c r="D2494" s="107"/>
      <c r="E2494" s="65"/>
      <c r="F2494" s="64"/>
      <c r="G2494" s="64"/>
      <c r="H2494" s="64"/>
      <c r="I2494" s="70"/>
      <c r="J2494" s="70"/>
      <c r="K2494" s="110" t="str">
        <f>IF(H2494="","",IF($C$29="간이법","",FPR(H2494,I2494,J2494)))</f>
        <v/>
      </c>
      <c r="L2494" s="111" t="str">
        <f>IF(H2494="","",IF($C$29="상세법",FPV(H2494,K2494),IF(H2494="EI",4,IF(H2494="EO",5.2,IF(H2494="EQ",3.9,IF(H2494="ILF",7.5,IF(H2494="EIF",5.4)))))))</f>
        <v/>
      </c>
      <c r="M2494" s="112" t="str">
        <f t="shared" si="42"/>
        <v/>
      </c>
      <c r="N2494" s="113"/>
    </row>
    <row r="2495" spans="2:14">
      <c r="B2495" s="105"/>
      <c r="C2495" s="106"/>
      <c r="D2495" s="107"/>
      <c r="E2495" s="65"/>
      <c r="F2495" s="64"/>
      <c r="G2495" s="64"/>
      <c r="H2495" s="64"/>
      <c r="I2495" s="70"/>
      <c r="J2495" s="70"/>
      <c r="K2495" s="110" t="str">
        <f>IF(H2495="","",IF($C$29="간이법","",FPR(H2495,I2495,J2495)))</f>
        <v/>
      </c>
      <c r="L2495" s="111" t="str">
        <f>IF(H2495="","",IF($C$29="상세법",FPV(H2495,K2495),IF(H2495="EI",4,IF(H2495="EO",5.2,IF(H2495="EQ",3.9,IF(H2495="ILF",7.5,IF(H2495="EIF",5.4)))))))</f>
        <v/>
      </c>
      <c r="M2495" s="112" t="str">
        <f t="shared" si="42"/>
        <v/>
      </c>
      <c r="N2495" s="113"/>
    </row>
    <row r="2496" spans="2:14">
      <c r="B2496" s="105"/>
      <c r="C2496" s="106"/>
      <c r="D2496" s="107"/>
      <c r="E2496" s="65"/>
      <c r="F2496" s="64"/>
      <c r="G2496" s="64"/>
      <c r="H2496" s="64"/>
      <c r="I2496" s="70"/>
      <c r="J2496" s="70"/>
      <c r="K2496" s="110" t="str">
        <f>IF(H2496="","",IF($C$29="간이법","",FPR(H2496,I2496,J2496)))</f>
        <v/>
      </c>
      <c r="L2496" s="111" t="str">
        <f>IF(H2496="","",IF($C$29="상세법",FPV(H2496,K2496),IF(H2496="EI",4,IF(H2496="EO",5.2,IF(H2496="EQ",3.9,IF(H2496="ILF",7.5,IF(H2496="EIF",5.4)))))))</f>
        <v/>
      </c>
      <c r="M2496" s="112" t="str">
        <f t="shared" si="42"/>
        <v/>
      </c>
      <c r="N2496" s="113"/>
    </row>
    <row r="2497" spans="2:14">
      <c r="B2497" s="105"/>
      <c r="C2497" s="106"/>
      <c r="D2497" s="107"/>
      <c r="E2497" s="65"/>
      <c r="F2497" s="64"/>
      <c r="G2497" s="64"/>
      <c r="H2497" s="64"/>
      <c r="I2497" s="70"/>
      <c r="J2497" s="70"/>
      <c r="K2497" s="110" t="str">
        <f>IF(H2497="","",IF($C$29="간이법","",FPR(H2497,I2497,J2497)))</f>
        <v/>
      </c>
      <c r="L2497" s="111" t="str">
        <f>IF(H2497="","",IF($C$29="상세법",FPV(H2497,K2497),IF(H2497="EI",4,IF(H2497="EO",5.2,IF(H2497="EQ",3.9,IF(H2497="ILF",7.5,IF(H2497="EIF",5.4)))))))</f>
        <v/>
      </c>
      <c r="M2497" s="112" t="str">
        <f t="shared" si="42"/>
        <v/>
      </c>
      <c r="N2497" s="113"/>
    </row>
    <row r="2498" spans="2:14">
      <c r="B2498" s="105"/>
      <c r="C2498" s="106"/>
      <c r="D2498" s="107"/>
      <c r="E2498" s="65"/>
      <c r="F2498" s="64"/>
      <c r="G2498" s="64"/>
      <c r="H2498" s="64"/>
      <c r="I2498" s="70"/>
      <c r="J2498" s="70"/>
      <c r="K2498" s="110" t="str">
        <f>IF(H2498="","",IF($C$29="간이법","",FPR(H2498,I2498,J2498)))</f>
        <v/>
      </c>
      <c r="L2498" s="111" t="str">
        <f>IF(H2498="","",IF($C$29="상세법",FPV(H2498,K2498),IF(H2498="EI",4,IF(H2498="EO",5.2,IF(H2498="EQ",3.9,IF(H2498="ILF",7.5,IF(H2498="EIF",5.4)))))))</f>
        <v/>
      </c>
      <c r="M2498" s="112" t="str">
        <f t="shared" si="42"/>
        <v/>
      </c>
      <c r="N2498" s="113"/>
    </row>
    <row r="2499" spans="2:14">
      <c r="B2499" s="105"/>
      <c r="C2499" s="106"/>
      <c r="D2499" s="107"/>
      <c r="E2499" s="65"/>
      <c r="F2499" s="64"/>
      <c r="G2499" s="64"/>
      <c r="H2499" s="64"/>
      <c r="I2499" s="70"/>
      <c r="J2499" s="70"/>
      <c r="K2499" s="110" t="str">
        <f>IF(H2499="","",IF($C$29="간이법","",FPR(H2499,I2499,J2499)))</f>
        <v/>
      </c>
      <c r="L2499" s="111" t="str">
        <f>IF(H2499="","",IF($C$29="상세법",FPV(H2499,K2499),IF(H2499="EI",4,IF(H2499="EO",5.2,IF(H2499="EQ",3.9,IF(H2499="ILF",7.5,IF(H2499="EIF",5.4)))))))</f>
        <v/>
      </c>
      <c r="M2499" s="112" t="str">
        <f t="shared" si="42"/>
        <v/>
      </c>
      <c r="N2499" s="113"/>
    </row>
    <row r="2500" spans="2:14">
      <c r="B2500" s="105"/>
      <c r="C2500" s="106"/>
      <c r="D2500" s="107"/>
      <c r="E2500" s="65"/>
      <c r="F2500" s="64"/>
      <c r="G2500" s="64"/>
      <c r="H2500" s="64"/>
      <c r="I2500" s="70"/>
      <c r="J2500" s="70"/>
      <c r="K2500" s="110" t="str">
        <f>IF(H2500="","",IF($C$29="간이법","",FPR(H2500,I2500,J2500)))</f>
        <v/>
      </c>
      <c r="L2500" s="111" t="str">
        <f>IF(H2500="","",IF($C$29="상세법",FPV(H2500,K2500),IF(H2500="EI",4,IF(H2500="EO",5.2,IF(H2500="EQ",3.9,IF(H2500="ILF",7.5,IF(H2500="EIF",5.4)))))))</f>
        <v/>
      </c>
      <c r="M2500" s="112" t="str">
        <f t="shared" si="42"/>
        <v/>
      </c>
      <c r="N2500" s="113"/>
    </row>
    <row r="2501" spans="2:14">
      <c r="B2501" s="105"/>
      <c r="C2501" s="106"/>
      <c r="D2501" s="107"/>
      <c r="E2501" s="65"/>
      <c r="F2501" s="64"/>
      <c r="G2501" s="64"/>
      <c r="H2501" s="64"/>
      <c r="I2501" s="70"/>
      <c r="J2501" s="70"/>
      <c r="K2501" s="110" t="str">
        <f>IF(H2501="","",IF($C$29="간이법","",FPR(H2501,I2501,J2501)))</f>
        <v/>
      </c>
      <c r="L2501" s="111" t="str">
        <f>IF(H2501="","",IF($C$29="상세법",FPV(H2501,K2501),IF(H2501="EI",4,IF(H2501="EO",5.2,IF(H2501="EQ",3.9,IF(H2501="ILF",7.5,IF(H2501="EIF",5.4)))))))</f>
        <v/>
      </c>
      <c r="M2501" s="112" t="str">
        <f t="shared" si="42"/>
        <v/>
      </c>
      <c r="N2501" s="113"/>
    </row>
    <row r="2502" spans="2:14">
      <c r="B2502" s="105"/>
      <c r="C2502" s="106"/>
      <c r="D2502" s="107"/>
      <c r="E2502" s="65"/>
      <c r="F2502" s="64"/>
      <c r="G2502" s="64"/>
      <c r="H2502" s="64"/>
      <c r="I2502" s="70"/>
      <c r="J2502" s="70"/>
      <c r="K2502" s="110" t="str">
        <f>IF(H2502="","",IF($C$29="간이법","",FPR(H2502,I2502,J2502)))</f>
        <v/>
      </c>
      <c r="L2502" s="111" t="str">
        <f>IF(H2502="","",IF($C$29="상세법",FPV(H2502,K2502),IF(H2502="EI",4,IF(H2502="EO",5.2,IF(H2502="EQ",3.9,IF(H2502="ILF",7.5,IF(H2502="EIF",5.4)))))))</f>
        <v/>
      </c>
      <c r="M2502" s="112" t="str">
        <f t="shared" si="42"/>
        <v/>
      </c>
      <c r="N2502" s="113"/>
    </row>
    <row r="2503" spans="2:14">
      <c r="B2503" s="105"/>
      <c r="C2503" s="106"/>
      <c r="D2503" s="107"/>
      <c r="E2503" s="65"/>
      <c r="F2503" s="64"/>
      <c r="G2503" s="64"/>
      <c r="H2503" s="64"/>
      <c r="I2503" s="70"/>
      <c r="J2503" s="70"/>
      <c r="K2503" s="110" t="str">
        <f>IF(H2503="","",IF($C$29="간이법","",FPR(H2503,I2503,J2503)))</f>
        <v/>
      </c>
      <c r="L2503" s="111" t="str">
        <f>IF(H2503="","",IF($C$29="상세법",FPV(H2503,K2503),IF(H2503="EI",4,IF(H2503="EO",5.2,IF(H2503="EQ",3.9,IF(H2503="ILF",7.5,IF(H2503="EIF",5.4)))))))</f>
        <v/>
      </c>
      <c r="M2503" s="112" t="str">
        <f t="shared" si="42"/>
        <v/>
      </c>
      <c r="N2503" s="113"/>
    </row>
    <row r="2504" spans="2:14">
      <c r="B2504" s="105"/>
      <c r="C2504" s="106"/>
      <c r="D2504" s="107"/>
      <c r="E2504" s="65"/>
      <c r="F2504" s="64"/>
      <c r="G2504" s="64"/>
      <c r="H2504" s="64"/>
      <c r="I2504" s="70"/>
      <c r="J2504" s="70"/>
      <c r="K2504" s="110" t="str">
        <f>IF(H2504="","",IF($C$29="간이법","",FPR(H2504,I2504,J2504)))</f>
        <v/>
      </c>
      <c r="L2504" s="111" t="str">
        <f>IF(H2504="","",IF($C$29="상세법",FPV(H2504,K2504),IF(H2504="EI",4,IF(H2504="EO",5.2,IF(H2504="EQ",3.9,IF(H2504="ILF",7.5,IF(H2504="EIF",5.4)))))))</f>
        <v/>
      </c>
      <c r="M2504" s="112" t="str">
        <f t="shared" si="42"/>
        <v/>
      </c>
      <c r="N2504" s="113"/>
    </row>
    <row r="2505" spans="2:14">
      <c r="B2505" s="105"/>
      <c r="C2505" s="106"/>
      <c r="D2505" s="107"/>
      <c r="E2505" s="65"/>
      <c r="F2505" s="64"/>
      <c r="G2505" s="64"/>
      <c r="H2505" s="64"/>
      <c r="I2505" s="70"/>
      <c r="J2505" s="70"/>
      <c r="K2505" s="110" t="str">
        <f>IF(H2505="","",IF($C$29="간이법","",FPR(H2505,I2505,J2505)))</f>
        <v/>
      </c>
      <c r="L2505" s="111" t="str">
        <f>IF(H2505="","",IF($C$29="상세법",FPV(H2505,K2505),IF(H2505="EI",4,IF(H2505="EO",5.2,IF(H2505="EQ",3.9,IF(H2505="ILF",7.5,IF(H2505="EIF",5.4)))))))</f>
        <v/>
      </c>
      <c r="M2505" s="112" t="str">
        <f t="shared" si="42"/>
        <v/>
      </c>
      <c r="N2505" s="113"/>
    </row>
    <row r="2506" spans="2:14">
      <c r="B2506" s="105"/>
      <c r="C2506" s="106"/>
      <c r="D2506" s="107"/>
      <c r="E2506" s="65"/>
      <c r="F2506" s="64"/>
      <c r="G2506" s="64"/>
      <c r="H2506" s="64"/>
      <c r="I2506" s="70"/>
      <c r="J2506" s="70"/>
      <c r="K2506" s="110" t="str">
        <f>IF(H2506="","",IF($C$29="간이법","",FPR(H2506,I2506,J2506)))</f>
        <v/>
      </c>
      <c r="L2506" s="111" t="str">
        <f>IF(H2506="","",IF($C$29="상세법",FPV(H2506,K2506),IF(H2506="EI",4,IF(H2506="EO",5.2,IF(H2506="EQ",3.9,IF(H2506="ILF",7.5,IF(H2506="EIF",5.4)))))))</f>
        <v/>
      </c>
      <c r="M2506" s="112" t="str">
        <f t="shared" si="42"/>
        <v/>
      </c>
      <c r="N2506" s="113"/>
    </row>
    <row r="2507" spans="2:14">
      <c r="B2507" s="105"/>
      <c r="C2507" s="106"/>
      <c r="D2507" s="107"/>
      <c r="E2507" s="65"/>
      <c r="F2507" s="64"/>
      <c r="G2507" s="64"/>
      <c r="H2507" s="64"/>
      <c r="I2507" s="70"/>
      <c r="J2507" s="70"/>
      <c r="K2507" s="110" t="str">
        <f>IF(H2507="","",IF($C$29="간이법","",FPR(H2507,I2507,J2507)))</f>
        <v/>
      </c>
      <c r="L2507" s="111" t="str">
        <f>IF(H2507="","",IF($C$29="상세법",FPV(H2507,K2507),IF(H2507="EI",4,IF(H2507="EO",5.2,IF(H2507="EQ",3.9,IF(H2507="ILF",7.5,IF(H2507="EIF",5.4)))))))</f>
        <v/>
      </c>
      <c r="M2507" s="112" t="str">
        <f t="shared" si="42"/>
        <v/>
      </c>
      <c r="N2507" s="113"/>
    </row>
    <row r="2508" spans="2:14">
      <c r="B2508" s="105"/>
      <c r="C2508" s="106"/>
      <c r="D2508" s="107"/>
      <c r="E2508" s="65"/>
      <c r="F2508" s="64"/>
      <c r="G2508" s="64"/>
      <c r="H2508" s="64"/>
      <c r="I2508" s="70"/>
      <c r="J2508" s="70"/>
      <c r="K2508" s="110" t="str">
        <f>IF(H2508="","",IF($C$29="간이법","",FPR(H2508,I2508,J2508)))</f>
        <v/>
      </c>
      <c r="L2508" s="111" t="str">
        <f>IF(H2508="","",IF($C$29="상세법",FPV(H2508,K2508),IF(H2508="EI",4,IF(H2508="EO",5.2,IF(H2508="EQ",3.9,IF(H2508="ILF",7.5,IF(H2508="EIF",5.4)))))))</f>
        <v/>
      </c>
      <c r="M2508" s="112" t="str">
        <f t="shared" si="42"/>
        <v/>
      </c>
      <c r="N2508" s="113"/>
    </row>
    <row r="2509" spans="2:14">
      <c r="B2509" s="105"/>
      <c r="C2509" s="106"/>
      <c r="D2509" s="107"/>
      <c r="E2509" s="65"/>
      <c r="F2509" s="64"/>
      <c r="G2509" s="64"/>
      <c r="H2509" s="64"/>
      <c r="I2509" s="70"/>
      <c r="J2509" s="70"/>
      <c r="K2509" s="110" t="str">
        <f>IF(H2509="","",IF($C$29="간이법","",FPR(H2509,I2509,J2509)))</f>
        <v/>
      </c>
      <c r="L2509" s="111" t="str">
        <f>IF(H2509="","",IF($C$29="상세법",FPV(H2509,K2509),IF(H2509="EI",4,IF(H2509="EO",5.2,IF(H2509="EQ",3.9,IF(H2509="ILF",7.5,IF(H2509="EIF",5.4)))))))</f>
        <v/>
      </c>
      <c r="M2509" s="112" t="str">
        <f t="shared" si="42"/>
        <v/>
      </c>
      <c r="N2509" s="113"/>
    </row>
    <row r="2510" spans="2:14">
      <c r="B2510" s="105"/>
      <c r="C2510" s="106"/>
      <c r="D2510" s="107"/>
      <c r="E2510" s="65"/>
      <c r="F2510" s="64"/>
      <c r="G2510" s="64"/>
      <c r="H2510" s="64"/>
      <c r="I2510" s="70"/>
      <c r="J2510" s="70"/>
      <c r="K2510" s="110" t="str">
        <f>IF(H2510="","",IF($C$29="간이법","",FPR(H2510,I2510,J2510)))</f>
        <v/>
      </c>
      <c r="L2510" s="111" t="str">
        <f>IF(H2510="","",IF($C$29="상세법",FPV(H2510,K2510),IF(H2510="EI",4,IF(H2510="EO",5.2,IF(H2510="EQ",3.9,IF(H2510="ILF",7.5,IF(H2510="EIF",5.4)))))))</f>
        <v/>
      </c>
      <c r="M2510" s="112" t="str">
        <f t="shared" si="42"/>
        <v/>
      </c>
      <c r="N2510" s="113"/>
    </row>
    <row r="2511" spans="2:14">
      <c r="B2511" s="105"/>
      <c r="C2511" s="106"/>
      <c r="D2511" s="107"/>
      <c r="E2511" s="65"/>
      <c r="F2511" s="64"/>
      <c r="G2511" s="64"/>
      <c r="H2511" s="64"/>
      <c r="I2511" s="70"/>
      <c r="J2511" s="70"/>
      <c r="K2511" s="110" t="str">
        <f>IF(H2511="","",IF($C$29="간이법","",FPR(H2511,I2511,J2511)))</f>
        <v/>
      </c>
      <c r="L2511" s="111" t="str">
        <f>IF(H2511="","",IF($C$29="상세법",FPV(H2511,K2511),IF(H2511="EI",4,IF(H2511="EO",5.2,IF(H2511="EQ",3.9,IF(H2511="ILF",7.5,IF(H2511="EIF",5.4)))))))</f>
        <v/>
      </c>
      <c r="M2511" s="112" t="str">
        <f t="shared" si="42"/>
        <v/>
      </c>
      <c r="N2511" s="113"/>
    </row>
    <row r="2512" spans="2:14">
      <c r="B2512" s="105"/>
      <c r="C2512" s="106"/>
      <c r="D2512" s="107"/>
      <c r="E2512" s="65"/>
      <c r="F2512" s="64"/>
      <c r="G2512" s="64"/>
      <c r="H2512" s="64"/>
      <c r="I2512" s="70"/>
      <c r="J2512" s="70"/>
      <c r="K2512" s="110" t="str">
        <f>IF(H2512="","",IF($C$29="간이법","",FPR(H2512,I2512,J2512)))</f>
        <v/>
      </c>
      <c r="L2512" s="111" t="str">
        <f>IF(H2512="","",IF($C$29="상세법",FPV(H2512,K2512),IF(H2512="EI",4,IF(H2512="EO",5.2,IF(H2512="EQ",3.9,IF(H2512="ILF",7.5,IF(H2512="EIF",5.4)))))))</f>
        <v/>
      </c>
      <c r="M2512" s="112" t="str">
        <f t="shared" si="42"/>
        <v/>
      </c>
      <c r="N2512" s="113"/>
    </row>
    <row r="2513" spans="2:14">
      <c r="B2513" s="105"/>
      <c r="C2513" s="106"/>
      <c r="D2513" s="107"/>
      <c r="E2513" s="65"/>
      <c r="F2513" s="64"/>
      <c r="G2513" s="64"/>
      <c r="H2513" s="64"/>
      <c r="I2513" s="70"/>
      <c r="J2513" s="70"/>
      <c r="K2513" s="110" t="str">
        <f>IF(H2513="","",IF($C$29="간이법","",FPR(H2513,I2513,J2513)))</f>
        <v/>
      </c>
      <c r="L2513" s="111" t="str">
        <f>IF(H2513="","",IF($C$29="상세법",FPV(H2513,K2513),IF(H2513="EI",4,IF(H2513="EO",5.2,IF(H2513="EQ",3.9,IF(H2513="ILF",7.5,IF(H2513="EIF",5.4)))))))</f>
        <v/>
      </c>
      <c r="M2513" s="112" t="str">
        <f t="shared" si="42"/>
        <v/>
      </c>
      <c r="N2513" s="113"/>
    </row>
    <row r="2514" spans="2:14">
      <c r="B2514" s="105"/>
      <c r="C2514" s="106"/>
      <c r="D2514" s="107"/>
      <c r="E2514" s="65"/>
      <c r="F2514" s="64"/>
      <c r="G2514" s="64"/>
      <c r="H2514" s="64"/>
      <c r="I2514" s="70"/>
      <c r="J2514" s="70"/>
      <c r="K2514" s="110" t="str">
        <f>IF(H2514="","",IF($C$29="간이법","",FPR(H2514,I2514,J2514)))</f>
        <v/>
      </c>
      <c r="L2514" s="111" t="str">
        <f>IF(H2514="","",IF($C$29="상세법",FPV(H2514,K2514),IF(H2514="EI",4,IF(H2514="EO",5.2,IF(H2514="EQ",3.9,IF(H2514="ILF",7.5,IF(H2514="EIF",5.4)))))))</f>
        <v/>
      </c>
      <c r="M2514" s="112" t="str">
        <f t="shared" si="42"/>
        <v/>
      </c>
      <c r="N2514" s="113"/>
    </row>
    <row r="2515" spans="2:14">
      <c r="B2515" s="105"/>
      <c r="C2515" s="106"/>
      <c r="D2515" s="107"/>
      <c r="E2515" s="65"/>
      <c r="F2515" s="64"/>
      <c r="G2515" s="64"/>
      <c r="H2515" s="64"/>
      <c r="I2515" s="70"/>
      <c r="J2515" s="70"/>
      <c r="K2515" s="110" t="str">
        <f>IF(H2515="","",IF($C$29="간이법","",FPR(H2515,I2515,J2515)))</f>
        <v/>
      </c>
      <c r="L2515" s="111" t="str">
        <f>IF(H2515="","",IF($C$29="상세법",FPV(H2515,K2515),IF(H2515="EI",4,IF(H2515="EO",5.2,IF(H2515="EQ",3.9,IF(H2515="ILF",7.5,IF(H2515="EIF",5.4)))))))</f>
        <v/>
      </c>
      <c r="M2515" s="112" t="str">
        <f t="shared" si="42"/>
        <v/>
      </c>
      <c r="N2515" s="113"/>
    </row>
    <row r="2516" spans="2:14">
      <c r="B2516" s="105"/>
      <c r="C2516" s="106"/>
      <c r="D2516" s="107"/>
      <c r="E2516" s="65"/>
      <c r="F2516" s="64"/>
      <c r="G2516" s="64"/>
      <c r="H2516" s="64"/>
      <c r="I2516" s="70"/>
      <c r="J2516" s="70"/>
      <c r="K2516" s="110" t="str">
        <f>IF(H2516="","",IF($C$29="간이법","",FPR(H2516,I2516,J2516)))</f>
        <v/>
      </c>
      <c r="L2516" s="111" t="str">
        <f>IF(H2516="","",IF($C$29="상세법",FPV(H2516,K2516),IF(H2516="EI",4,IF(H2516="EO",5.2,IF(H2516="EQ",3.9,IF(H2516="ILF",7.5,IF(H2516="EIF",5.4)))))))</f>
        <v/>
      </c>
      <c r="M2516" s="112" t="str">
        <f t="shared" si="42"/>
        <v/>
      </c>
      <c r="N2516" s="113"/>
    </row>
    <row r="2517" spans="2:14">
      <c r="B2517" s="105"/>
      <c r="C2517" s="106"/>
      <c r="D2517" s="107"/>
      <c r="E2517" s="65"/>
      <c r="F2517" s="64"/>
      <c r="G2517" s="64"/>
      <c r="H2517" s="64"/>
      <c r="I2517" s="70"/>
      <c r="J2517" s="70"/>
      <c r="K2517" s="110" t="str">
        <f>IF(H2517="","",IF($C$29="간이법","",FPR(H2517,I2517,J2517)))</f>
        <v/>
      </c>
      <c r="L2517" s="111" t="str">
        <f>IF(H2517="","",IF($C$29="상세법",FPV(H2517,K2517),IF(H2517="EI",4,IF(H2517="EO",5.2,IF(H2517="EQ",3.9,IF(H2517="ILF",7.5,IF(H2517="EIF",5.4)))))))</f>
        <v/>
      </c>
      <c r="M2517" s="112" t="str">
        <f t="shared" si="42"/>
        <v/>
      </c>
      <c r="N2517" s="113"/>
    </row>
    <row r="2518" spans="2:14">
      <c r="B2518" s="105"/>
      <c r="C2518" s="106"/>
      <c r="D2518" s="107"/>
      <c r="E2518" s="65"/>
      <c r="F2518" s="64"/>
      <c r="G2518" s="64"/>
      <c r="H2518" s="64"/>
      <c r="I2518" s="70"/>
      <c r="J2518" s="70"/>
      <c r="K2518" s="110" t="str">
        <f>IF(H2518="","",IF($C$29="간이법","",FPR(H2518,I2518,J2518)))</f>
        <v/>
      </c>
      <c r="L2518" s="111" t="str">
        <f>IF(H2518="","",IF($C$29="상세법",FPV(H2518,K2518),IF(H2518="EI",4,IF(H2518="EO",5.2,IF(H2518="EQ",3.9,IF(H2518="ILF",7.5,IF(H2518="EIF",5.4)))))))</f>
        <v/>
      </c>
      <c r="M2518" s="112" t="str">
        <f t="shared" si="42"/>
        <v/>
      </c>
      <c r="N2518" s="113"/>
    </row>
    <row r="2519" spans="2:14">
      <c r="B2519" s="105"/>
      <c r="C2519" s="106"/>
      <c r="D2519" s="107"/>
      <c r="E2519" s="65"/>
      <c r="F2519" s="64"/>
      <c r="G2519" s="64"/>
      <c r="H2519" s="64"/>
      <c r="I2519" s="70"/>
      <c r="J2519" s="70"/>
      <c r="K2519" s="110" t="str">
        <f>IF(H2519="","",IF($C$29="간이법","",FPR(H2519,I2519,J2519)))</f>
        <v/>
      </c>
      <c r="L2519" s="111" t="str">
        <f>IF(H2519="","",IF($C$29="상세법",FPV(H2519,K2519),IF(H2519="EI",4,IF(H2519="EO",5.2,IF(H2519="EQ",3.9,IF(H2519="ILF",7.5,IF(H2519="EIF",5.4)))))))</f>
        <v/>
      </c>
      <c r="M2519" s="112" t="str">
        <f t="shared" si="42"/>
        <v/>
      </c>
      <c r="N2519" s="113"/>
    </row>
    <row r="2520" spans="2:14">
      <c r="B2520" s="105"/>
      <c r="C2520" s="106"/>
      <c r="D2520" s="107"/>
      <c r="E2520" s="65"/>
      <c r="F2520" s="64"/>
      <c r="G2520" s="64"/>
      <c r="H2520" s="64"/>
      <c r="I2520" s="70"/>
      <c r="J2520" s="70"/>
      <c r="K2520" s="110" t="str">
        <f>IF(H2520="","",IF($C$29="간이법","",FPR(H2520,I2520,J2520)))</f>
        <v/>
      </c>
      <c r="L2520" s="111" t="str">
        <f>IF(H2520="","",IF($C$29="상세법",FPV(H2520,K2520),IF(H2520="EI",4,IF(H2520="EO",5.2,IF(H2520="EQ",3.9,IF(H2520="ILF",7.5,IF(H2520="EIF",5.4)))))))</f>
        <v/>
      </c>
      <c r="M2520" s="112" t="str">
        <f t="shared" si="42"/>
        <v/>
      </c>
      <c r="N2520" s="113"/>
    </row>
    <row r="2521" spans="2:14">
      <c r="B2521" s="105"/>
      <c r="C2521" s="106"/>
      <c r="D2521" s="107"/>
      <c r="E2521" s="65"/>
      <c r="F2521" s="64"/>
      <c r="G2521" s="64"/>
      <c r="H2521" s="64"/>
      <c r="I2521" s="70"/>
      <c r="J2521" s="70"/>
      <c r="K2521" s="110" t="str">
        <f>IF(H2521="","",IF($C$29="간이법","",FPR(H2521,I2521,J2521)))</f>
        <v/>
      </c>
      <c r="L2521" s="111" t="str">
        <f>IF(H2521="","",IF($C$29="상세법",FPV(H2521,K2521),IF(H2521="EI",4,IF(H2521="EO",5.2,IF(H2521="EQ",3.9,IF(H2521="ILF",7.5,IF(H2521="EIF",5.4)))))))</f>
        <v/>
      </c>
      <c r="M2521" s="112" t="str">
        <f t="shared" si="42"/>
        <v/>
      </c>
      <c r="N2521" s="113"/>
    </row>
    <row r="2522" spans="2:14">
      <c r="B2522" s="105"/>
      <c r="C2522" s="106"/>
      <c r="D2522" s="107"/>
      <c r="E2522" s="65"/>
      <c r="F2522" s="64"/>
      <c r="G2522" s="64"/>
      <c r="H2522" s="64"/>
      <c r="I2522" s="70"/>
      <c r="J2522" s="70"/>
      <c r="K2522" s="110" t="str">
        <f>IF(H2522="","",IF($C$29="간이법","",FPR(H2522,I2522,J2522)))</f>
        <v/>
      </c>
      <c r="L2522" s="111" t="str">
        <f>IF(H2522="","",IF($C$29="상세법",FPV(H2522,K2522),IF(H2522="EI",4,IF(H2522="EO",5.2,IF(H2522="EQ",3.9,IF(H2522="ILF",7.5,IF(H2522="EIF",5.4)))))))</f>
        <v/>
      </c>
      <c r="M2522" s="112" t="str">
        <f t="shared" si="42"/>
        <v/>
      </c>
      <c r="N2522" s="113"/>
    </row>
    <row r="2523" spans="2:14">
      <c r="B2523" s="105"/>
      <c r="C2523" s="106"/>
      <c r="D2523" s="107"/>
      <c r="E2523" s="65"/>
      <c r="F2523" s="64"/>
      <c r="G2523" s="64"/>
      <c r="H2523" s="64"/>
      <c r="I2523" s="70"/>
      <c r="J2523" s="70"/>
      <c r="K2523" s="110" t="str">
        <f>IF(H2523="","",IF($C$29="간이법","",FPR(H2523,I2523,J2523)))</f>
        <v/>
      </c>
      <c r="L2523" s="111" t="str">
        <f>IF(H2523="","",IF($C$29="상세법",FPV(H2523,K2523),IF(H2523="EI",4,IF(H2523="EO",5.2,IF(H2523="EQ",3.9,IF(H2523="ILF",7.5,IF(H2523="EIF",5.4)))))))</f>
        <v/>
      </c>
      <c r="M2523" s="112" t="str">
        <f t="shared" si="42"/>
        <v/>
      </c>
      <c r="N2523" s="113"/>
    </row>
    <row r="2524" spans="2:14">
      <c r="B2524" s="105"/>
      <c r="C2524" s="106"/>
      <c r="D2524" s="107"/>
      <c r="E2524" s="65"/>
      <c r="F2524" s="64"/>
      <c r="G2524" s="64"/>
      <c r="H2524" s="64"/>
      <c r="I2524" s="70"/>
      <c r="J2524" s="70"/>
      <c r="K2524" s="110" t="str">
        <f>IF(H2524="","",IF($C$29="간이법","",FPR(H2524,I2524,J2524)))</f>
        <v/>
      </c>
      <c r="L2524" s="111" t="str">
        <f>IF(H2524="","",IF($C$29="상세법",FPV(H2524,K2524),IF(H2524="EI",4,IF(H2524="EO",5.2,IF(H2524="EQ",3.9,IF(H2524="ILF",7.5,IF(H2524="EIF",5.4)))))))</f>
        <v/>
      </c>
      <c r="M2524" s="112" t="str">
        <f t="shared" si="42"/>
        <v/>
      </c>
      <c r="N2524" s="113"/>
    </row>
    <row r="2525" spans="2:14">
      <c r="B2525" s="105"/>
      <c r="C2525" s="106"/>
      <c r="D2525" s="107"/>
      <c r="E2525" s="65"/>
      <c r="F2525" s="64"/>
      <c r="G2525" s="64"/>
      <c r="H2525" s="64"/>
      <c r="I2525" s="70"/>
      <c r="J2525" s="70"/>
      <c r="K2525" s="110" t="str">
        <f>IF(H2525="","",IF($C$29="간이법","",FPR(H2525,I2525,J2525)))</f>
        <v/>
      </c>
      <c r="L2525" s="111" t="str">
        <f>IF(H2525="","",IF($C$29="상세법",FPV(H2525,K2525),IF(H2525="EI",4,IF(H2525="EO",5.2,IF(H2525="EQ",3.9,IF(H2525="ILF",7.5,IF(H2525="EIF",5.4)))))))</f>
        <v/>
      </c>
      <c r="M2525" s="112" t="str">
        <f t="shared" si="42"/>
        <v/>
      </c>
      <c r="N2525" s="113"/>
    </row>
    <row r="2526" spans="2:14">
      <c r="B2526" s="105"/>
      <c r="C2526" s="106"/>
      <c r="D2526" s="107"/>
      <c r="E2526" s="65"/>
      <c r="F2526" s="64"/>
      <c r="G2526" s="64"/>
      <c r="H2526" s="64"/>
      <c r="I2526" s="70"/>
      <c r="J2526" s="70"/>
      <c r="K2526" s="110" t="str">
        <f>IF(H2526="","",IF($C$29="간이법","",FPR(H2526,I2526,J2526)))</f>
        <v/>
      </c>
      <c r="L2526" s="111" t="str">
        <f>IF(H2526="","",IF($C$29="상세법",FPV(H2526,K2526),IF(H2526="EI",4,IF(H2526="EO",5.2,IF(H2526="EQ",3.9,IF(H2526="ILF",7.5,IF(H2526="EIF",5.4)))))))</f>
        <v/>
      </c>
      <c r="M2526" s="112" t="str">
        <f t="shared" si="42"/>
        <v/>
      </c>
      <c r="N2526" s="113"/>
    </row>
    <row r="2527" spans="2:14">
      <c r="B2527" s="105"/>
      <c r="C2527" s="106"/>
      <c r="D2527" s="107"/>
      <c r="E2527" s="65"/>
      <c r="F2527" s="64"/>
      <c r="G2527" s="64"/>
      <c r="H2527" s="64"/>
      <c r="I2527" s="70"/>
      <c r="J2527" s="70"/>
      <c r="K2527" s="110" t="str">
        <f>IF(H2527="","",IF($C$29="간이법","",FPR(H2527,I2527,J2527)))</f>
        <v/>
      </c>
      <c r="L2527" s="111" t="str">
        <f>IF(H2527="","",IF($C$29="상세법",FPV(H2527,K2527),IF(H2527="EI",4,IF(H2527="EO",5.2,IF(H2527="EQ",3.9,IF(H2527="ILF",7.5,IF(H2527="EIF",5.4)))))))</f>
        <v/>
      </c>
      <c r="M2527" s="112" t="str">
        <f t="shared" si="42"/>
        <v/>
      </c>
      <c r="N2527" s="113"/>
    </row>
    <row r="2528" spans="2:14">
      <c r="B2528" s="105"/>
      <c r="C2528" s="106"/>
      <c r="D2528" s="107"/>
      <c r="E2528" s="65"/>
      <c r="F2528" s="64"/>
      <c r="G2528" s="64"/>
      <c r="H2528" s="64"/>
      <c r="I2528" s="70"/>
      <c r="J2528" s="70"/>
      <c r="K2528" s="110" t="str">
        <f>IF(H2528="","",IF($C$29="간이법","",FPR(H2528,I2528,J2528)))</f>
        <v/>
      </c>
      <c r="L2528" s="111" t="str">
        <f>IF(H2528="","",IF($C$29="상세법",FPV(H2528,K2528),IF(H2528="EI",4,IF(H2528="EO",5.2,IF(H2528="EQ",3.9,IF(H2528="ILF",7.5,IF(H2528="EIF",5.4)))))))</f>
        <v/>
      </c>
      <c r="M2528" s="112" t="str">
        <f t="shared" si="42"/>
        <v/>
      </c>
      <c r="N2528" s="113"/>
    </row>
    <row r="2529" spans="2:14">
      <c r="B2529" s="105"/>
      <c r="C2529" s="106"/>
      <c r="D2529" s="107"/>
      <c r="E2529" s="65"/>
      <c r="F2529" s="64"/>
      <c r="G2529" s="64"/>
      <c r="H2529" s="64"/>
      <c r="I2529" s="70"/>
      <c r="J2529" s="70"/>
      <c r="K2529" s="110" t="str">
        <f>IF(H2529="","",IF($C$29="간이법","",FPR(H2529,I2529,J2529)))</f>
        <v/>
      </c>
      <c r="L2529" s="111" t="str">
        <f>IF(H2529="","",IF($C$29="상세법",FPV(H2529,K2529),IF(H2529="EI",4,IF(H2529="EO",5.2,IF(H2529="EQ",3.9,IF(H2529="ILF",7.5,IF(H2529="EIF",5.4)))))))</f>
        <v/>
      </c>
      <c r="M2529" s="112" t="str">
        <f t="shared" si="42"/>
        <v/>
      </c>
      <c r="N2529" s="113"/>
    </row>
    <row r="2530" spans="2:14">
      <c r="B2530" s="105"/>
      <c r="C2530" s="106"/>
      <c r="D2530" s="107"/>
      <c r="E2530" s="65"/>
      <c r="F2530" s="64"/>
      <c r="G2530" s="64"/>
      <c r="H2530" s="64"/>
      <c r="I2530" s="70"/>
      <c r="J2530" s="70"/>
      <c r="K2530" s="110" t="str">
        <f>IF(H2530="","",IF($C$29="간이법","",FPR(H2530,I2530,J2530)))</f>
        <v/>
      </c>
      <c r="L2530" s="111" t="str">
        <f>IF(H2530="","",IF($C$29="상세법",FPV(H2530,K2530),IF(H2530="EI",4,IF(H2530="EO",5.2,IF(H2530="EQ",3.9,IF(H2530="ILF",7.5,IF(H2530="EIF",5.4)))))))</f>
        <v/>
      </c>
      <c r="M2530" s="112" t="str">
        <f t="shared" si="42"/>
        <v/>
      </c>
      <c r="N2530" s="113"/>
    </row>
    <row r="2531" spans="2:14">
      <c r="B2531" s="105"/>
      <c r="C2531" s="106"/>
      <c r="D2531" s="107"/>
      <c r="E2531" s="65"/>
      <c r="F2531" s="64"/>
      <c r="G2531" s="64"/>
      <c r="H2531" s="64"/>
      <c r="I2531" s="70"/>
      <c r="J2531" s="70"/>
      <c r="K2531" s="110" t="str">
        <f>IF(H2531="","",IF($C$29="간이법","",FPR(H2531,I2531,J2531)))</f>
        <v/>
      </c>
      <c r="L2531" s="111" t="str">
        <f>IF(H2531="","",IF($C$29="상세법",FPV(H2531,K2531),IF(H2531="EI",4,IF(H2531="EO",5.2,IF(H2531="EQ",3.9,IF(H2531="ILF",7.5,IF(H2531="EIF",5.4)))))))</f>
        <v/>
      </c>
      <c r="M2531" s="112" t="str">
        <f t="shared" si="42"/>
        <v/>
      </c>
      <c r="N2531" s="113"/>
    </row>
    <row r="2532" spans="2:14">
      <c r="B2532" s="105"/>
      <c r="C2532" s="106"/>
      <c r="D2532" s="107"/>
      <c r="E2532" s="65"/>
      <c r="F2532" s="64"/>
      <c r="G2532" s="64"/>
      <c r="H2532" s="64"/>
      <c r="I2532" s="70"/>
      <c r="J2532" s="70"/>
      <c r="K2532" s="110" t="str">
        <f>IF(H2532="","",IF($C$29="간이법","",FPR(H2532,I2532,J2532)))</f>
        <v/>
      </c>
      <c r="L2532" s="111" t="str">
        <f>IF(H2532="","",IF($C$29="상세법",FPV(H2532,K2532),IF(H2532="EI",4,IF(H2532="EO",5.2,IF(H2532="EQ",3.9,IF(H2532="ILF",7.5,IF(H2532="EIF",5.4)))))))</f>
        <v/>
      </c>
      <c r="M2532" s="112" t="str">
        <f t="shared" si="42"/>
        <v/>
      </c>
      <c r="N2532" s="113"/>
    </row>
    <row r="2533" spans="2:14">
      <c r="B2533" s="105"/>
      <c r="C2533" s="106"/>
      <c r="D2533" s="107"/>
      <c r="E2533" s="65"/>
      <c r="F2533" s="64"/>
      <c r="G2533" s="64"/>
      <c r="H2533" s="64"/>
      <c r="I2533" s="70"/>
      <c r="J2533" s="70"/>
      <c r="K2533" s="110" t="str">
        <f>IF(H2533="","",IF($C$29="간이법","",FPR(H2533,I2533,J2533)))</f>
        <v/>
      </c>
      <c r="L2533" s="111" t="str">
        <f>IF(H2533="","",IF($C$29="상세법",FPV(H2533,K2533),IF(H2533="EI",4,IF(H2533="EO",5.2,IF(H2533="EQ",3.9,IF(H2533="ILF",7.5,IF(H2533="EIF",5.4)))))))</f>
        <v/>
      </c>
      <c r="M2533" s="112" t="str">
        <f t="shared" si="42"/>
        <v/>
      </c>
      <c r="N2533" s="113"/>
    </row>
    <row r="2534" spans="2:14">
      <c r="B2534" s="105"/>
      <c r="C2534" s="106"/>
      <c r="D2534" s="107"/>
      <c r="E2534" s="65"/>
      <c r="F2534" s="64"/>
      <c r="G2534" s="64"/>
      <c r="H2534" s="64"/>
      <c r="I2534" s="70"/>
      <c r="J2534" s="70"/>
      <c r="K2534" s="110" t="str">
        <f>IF(H2534="","",IF($C$29="간이법","",FPR(H2534,I2534,J2534)))</f>
        <v/>
      </c>
      <c r="L2534" s="111" t="str">
        <f>IF(H2534="","",IF($C$29="상세법",FPV(H2534,K2534),IF(H2534="EI",4,IF(H2534="EO",5.2,IF(H2534="EQ",3.9,IF(H2534="ILF",7.5,IF(H2534="EIF",5.4)))))))</f>
        <v/>
      </c>
      <c r="M2534" s="112" t="str">
        <f t="shared" si="42"/>
        <v/>
      </c>
      <c r="N2534" s="113"/>
    </row>
    <row r="2535" spans="2:14">
      <c r="B2535" s="105"/>
      <c r="C2535" s="106"/>
      <c r="D2535" s="107"/>
      <c r="E2535" s="65"/>
      <c r="F2535" s="64"/>
      <c r="G2535" s="64"/>
      <c r="H2535" s="64"/>
      <c r="I2535" s="70"/>
      <c r="J2535" s="70"/>
      <c r="K2535" s="110" t="str">
        <f>IF(H2535="","",IF($C$29="간이법","",FPR(H2535,I2535,J2535)))</f>
        <v/>
      </c>
      <c r="L2535" s="111" t="str">
        <f>IF(H2535="","",IF($C$29="상세법",FPV(H2535,K2535),IF(H2535="EI",4,IF(H2535="EO",5.2,IF(H2535="EQ",3.9,IF(H2535="ILF",7.5,IF(H2535="EIF",5.4)))))))</f>
        <v/>
      </c>
      <c r="M2535" s="112" t="str">
        <f t="shared" si="42"/>
        <v/>
      </c>
      <c r="N2535" s="113"/>
    </row>
    <row r="2536" spans="2:14">
      <c r="B2536" s="105"/>
      <c r="C2536" s="106"/>
      <c r="D2536" s="107"/>
      <c r="E2536" s="65"/>
      <c r="F2536" s="64"/>
      <c r="G2536" s="64"/>
      <c r="H2536" s="64"/>
      <c r="I2536" s="70"/>
      <c r="J2536" s="70"/>
      <c r="K2536" s="110" t="str">
        <f>IF(H2536="","",IF($C$29="간이법","",FPR(H2536,I2536,J2536)))</f>
        <v/>
      </c>
      <c r="L2536" s="111" t="str">
        <f>IF(H2536="","",IF($C$29="상세법",FPV(H2536,K2536),IF(H2536="EI",4,IF(H2536="EO",5.2,IF(H2536="EQ",3.9,IF(H2536="ILF",7.5,IF(H2536="EIF",5.4)))))))</f>
        <v/>
      </c>
      <c r="M2536" s="112" t="str">
        <f t="shared" si="42"/>
        <v/>
      </c>
      <c r="N2536" s="113"/>
    </row>
    <row r="2537" spans="2:14">
      <c r="B2537" s="105"/>
      <c r="C2537" s="106"/>
      <c r="D2537" s="107"/>
      <c r="E2537" s="65"/>
      <c r="F2537" s="64"/>
      <c r="G2537" s="64"/>
      <c r="H2537" s="64"/>
      <c r="I2537" s="70"/>
      <c r="J2537" s="70"/>
      <c r="K2537" s="110" t="str">
        <f>IF(H2537="","",IF($C$29="간이법","",FPR(H2537,I2537,J2537)))</f>
        <v/>
      </c>
      <c r="L2537" s="111" t="str">
        <f>IF(H2537="","",IF($C$29="상세법",FPV(H2537,K2537),IF(H2537="EI",4,IF(H2537="EO",5.2,IF(H2537="EQ",3.9,IF(H2537="ILF",7.5,IF(H2537="EIF",5.4)))))))</f>
        <v/>
      </c>
      <c r="M2537" s="112" t="str">
        <f t="shared" si="42"/>
        <v/>
      </c>
      <c r="N2537" s="113"/>
    </row>
    <row r="2538" spans="2:14">
      <c r="B2538" s="105"/>
      <c r="C2538" s="106"/>
      <c r="D2538" s="107"/>
      <c r="E2538" s="65"/>
      <c r="F2538" s="64"/>
      <c r="G2538" s="64"/>
      <c r="H2538" s="64"/>
      <c r="I2538" s="70"/>
      <c r="J2538" s="70"/>
      <c r="K2538" s="110" t="str">
        <f>IF(H2538="","",IF($C$29="간이법","",FPR(H2538,I2538,J2538)))</f>
        <v/>
      </c>
      <c r="L2538" s="111" t="str">
        <f>IF(H2538="","",IF($C$29="상세법",FPV(H2538,K2538),IF(H2538="EI",4,IF(H2538="EO",5.2,IF(H2538="EQ",3.9,IF(H2538="ILF",7.5,IF(H2538="EIF",5.4)))))))</f>
        <v/>
      </c>
      <c r="M2538" s="112" t="str">
        <f t="shared" si="42"/>
        <v/>
      </c>
      <c r="N2538" s="113"/>
    </row>
    <row r="2539" spans="2:14">
      <c r="B2539" s="105"/>
      <c r="C2539" s="106"/>
      <c r="D2539" s="107"/>
      <c r="E2539" s="65"/>
      <c r="F2539" s="64"/>
      <c r="G2539" s="64"/>
      <c r="H2539" s="64"/>
      <c r="I2539" s="70"/>
      <c r="J2539" s="70"/>
      <c r="K2539" s="110" t="str">
        <f>IF(H2539="","",IF($C$29="간이법","",FPR(H2539,I2539,J2539)))</f>
        <v/>
      </c>
      <c r="L2539" s="111" t="str">
        <f>IF(H2539="","",IF($C$29="상세법",FPV(H2539,K2539),IF(H2539="EI",4,IF(H2539="EO",5.2,IF(H2539="EQ",3.9,IF(H2539="ILF",7.5,IF(H2539="EIF",5.4)))))))</f>
        <v/>
      </c>
      <c r="M2539" s="112" t="str">
        <f t="shared" si="42"/>
        <v/>
      </c>
      <c r="N2539" s="113"/>
    </row>
    <row r="2540" spans="2:14">
      <c r="B2540" s="105"/>
      <c r="C2540" s="106"/>
      <c r="D2540" s="107"/>
      <c r="E2540" s="65"/>
      <c r="F2540" s="64"/>
      <c r="G2540" s="64"/>
      <c r="H2540" s="64"/>
      <c r="I2540" s="70"/>
      <c r="J2540" s="70"/>
      <c r="K2540" s="110" t="str">
        <f>IF(H2540="","",IF($C$29="간이법","",FPR(H2540,I2540,J2540)))</f>
        <v/>
      </c>
      <c r="L2540" s="111" t="str">
        <f>IF(H2540="","",IF($C$29="상세법",FPV(H2540,K2540),IF(H2540="EI",4,IF(H2540="EO",5.2,IF(H2540="EQ",3.9,IF(H2540="ILF",7.5,IF(H2540="EIF",5.4)))))))</f>
        <v/>
      </c>
      <c r="M2540" s="112" t="str">
        <f t="shared" si="42"/>
        <v/>
      </c>
      <c r="N2540" s="113"/>
    </row>
    <row r="2541" spans="2:14">
      <c r="B2541" s="105"/>
      <c r="C2541" s="106"/>
      <c r="D2541" s="107"/>
      <c r="E2541" s="65"/>
      <c r="F2541" s="64"/>
      <c r="G2541" s="64"/>
      <c r="H2541" s="64"/>
      <c r="I2541" s="70"/>
      <c r="J2541" s="70"/>
      <c r="K2541" s="110" t="str">
        <f>IF(H2541="","",IF($C$29="간이법","",FPR(H2541,I2541,J2541)))</f>
        <v/>
      </c>
      <c r="L2541" s="111" t="str">
        <f>IF(H2541="","",IF($C$29="상세법",FPV(H2541,K2541),IF(H2541="EI",4,IF(H2541="EO",5.2,IF(H2541="EQ",3.9,IF(H2541="ILF",7.5,IF(H2541="EIF",5.4)))))))</f>
        <v/>
      </c>
      <c r="M2541" s="112" t="str">
        <f t="shared" si="42"/>
        <v/>
      </c>
      <c r="N2541" s="113"/>
    </row>
    <row r="2542" spans="2:14">
      <c r="B2542" s="105"/>
      <c r="C2542" s="106"/>
      <c r="D2542" s="107"/>
      <c r="E2542" s="65"/>
      <c r="F2542" s="64"/>
      <c r="G2542" s="64"/>
      <c r="H2542" s="64"/>
      <c r="I2542" s="70"/>
      <c r="J2542" s="70"/>
      <c r="K2542" s="110" t="str">
        <f>IF(H2542="","",IF($C$29="간이법","",FPR(H2542,I2542,J2542)))</f>
        <v/>
      </c>
      <c r="L2542" s="111" t="str">
        <f>IF(H2542="","",IF($C$29="상세법",FPV(H2542,K2542),IF(H2542="EI",4,IF(H2542="EO",5.2,IF(H2542="EQ",3.9,IF(H2542="ILF",7.5,IF(H2542="EIF",5.4)))))))</f>
        <v/>
      </c>
      <c r="M2542" s="112" t="str">
        <f t="shared" si="42"/>
        <v/>
      </c>
      <c r="N2542" s="113"/>
    </row>
    <row r="2543" spans="2:14">
      <c r="B2543" s="105"/>
      <c r="C2543" s="106"/>
      <c r="D2543" s="107"/>
      <c r="E2543" s="65"/>
      <c r="F2543" s="64"/>
      <c r="G2543" s="64"/>
      <c r="H2543" s="64"/>
      <c r="I2543" s="70"/>
      <c r="J2543" s="70"/>
      <c r="K2543" s="110" t="str">
        <f>IF(H2543="","",IF($C$29="간이법","",FPR(H2543,I2543,J2543)))</f>
        <v/>
      </c>
      <c r="L2543" s="111" t="str">
        <f>IF(H2543="","",IF($C$29="상세법",FPV(H2543,K2543),IF(H2543="EI",4,IF(H2543="EO",5.2,IF(H2543="EQ",3.9,IF(H2543="ILF",7.5,IF(H2543="EIF",5.4)))))))</f>
        <v/>
      </c>
      <c r="M2543" s="112" t="str">
        <f t="shared" si="42"/>
        <v/>
      </c>
      <c r="N2543" s="113"/>
    </row>
    <row r="2544" spans="2:14">
      <c r="B2544" s="105"/>
      <c r="C2544" s="106"/>
      <c r="D2544" s="107"/>
      <c r="E2544" s="65"/>
      <c r="F2544" s="64"/>
      <c r="G2544" s="64"/>
      <c r="H2544" s="64"/>
      <c r="I2544" s="70"/>
      <c r="J2544" s="70"/>
      <c r="K2544" s="110" t="str">
        <f>IF(H2544="","",IF($C$29="간이법","",FPR(H2544,I2544,J2544)))</f>
        <v/>
      </c>
      <c r="L2544" s="111" t="str">
        <f>IF(H2544="","",IF($C$29="상세법",FPV(H2544,K2544),IF(H2544="EI",4,IF(H2544="EO",5.2,IF(H2544="EQ",3.9,IF(H2544="ILF",7.5,IF(H2544="EIF",5.4)))))))</f>
        <v/>
      </c>
      <c r="M2544" s="112" t="str">
        <f t="shared" si="42"/>
        <v/>
      </c>
      <c r="N2544" s="113"/>
    </row>
    <row r="2545" spans="2:14">
      <c r="B2545" s="105"/>
      <c r="C2545" s="106"/>
      <c r="D2545" s="107"/>
      <c r="E2545" s="65"/>
      <c r="F2545" s="64"/>
      <c r="G2545" s="64"/>
      <c r="H2545" s="64"/>
      <c r="I2545" s="70"/>
      <c r="J2545" s="70"/>
      <c r="K2545" s="110" t="str">
        <f>IF(H2545="","",IF($C$29="간이법","",FPR(H2545,I2545,J2545)))</f>
        <v/>
      </c>
      <c r="L2545" s="111" t="str">
        <f>IF(H2545="","",IF($C$29="상세법",FPV(H2545,K2545),IF(H2545="EI",4,IF(H2545="EO",5.2,IF(H2545="EQ",3.9,IF(H2545="ILF",7.5,IF(H2545="EIF",5.4)))))))</f>
        <v/>
      </c>
      <c r="M2545" s="112" t="str">
        <f t="shared" si="42"/>
        <v/>
      </c>
      <c r="N2545" s="113"/>
    </row>
    <row r="2546" spans="2:14">
      <c r="B2546" s="105"/>
      <c r="C2546" s="106"/>
      <c r="D2546" s="107"/>
      <c r="E2546" s="65"/>
      <c r="F2546" s="64"/>
      <c r="G2546" s="64"/>
      <c r="H2546" s="64"/>
      <c r="I2546" s="70"/>
      <c r="J2546" s="70"/>
      <c r="K2546" s="110" t="str">
        <f>IF(H2546="","",IF($C$29="간이법","",FPR(H2546,I2546,J2546)))</f>
        <v/>
      </c>
      <c r="L2546" s="111" t="str">
        <f>IF(H2546="","",IF($C$29="상세법",FPV(H2546,K2546),IF(H2546="EI",4,IF(H2546="EO",5.2,IF(H2546="EQ",3.9,IF(H2546="ILF",7.5,IF(H2546="EIF",5.4)))))))</f>
        <v/>
      </c>
      <c r="M2546" s="112" t="str">
        <f t="shared" si="42"/>
        <v/>
      </c>
      <c r="N2546" s="113"/>
    </row>
    <row r="2547" spans="2:14">
      <c r="B2547" s="105"/>
      <c r="C2547" s="106"/>
      <c r="D2547" s="107"/>
      <c r="E2547" s="65"/>
      <c r="F2547" s="64"/>
      <c r="G2547" s="64"/>
      <c r="H2547" s="64"/>
      <c r="I2547" s="70"/>
      <c r="J2547" s="70"/>
      <c r="K2547" s="110" t="str">
        <f>IF(H2547="","",IF($C$29="간이법","",FPR(H2547,I2547,J2547)))</f>
        <v/>
      </c>
      <c r="L2547" s="111" t="str">
        <f>IF(H2547="","",IF($C$29="상세법",FPV(H2547,K2547),IF(H2547="EI",4,IF(H2547="EO",5.2,IF(H2547="EQ",3.9,IF(H2547="ILF",7.5,IF(H2547="EIF",5.4)))))))</f>
        <v/>
      </c>
      <c r="M2547" s="112" t="str">
        <f t="shared" si="42"/>
        <v/>
      </c>
      <c r="N2547" s="113"/>
    </row>
    <row r="2548" spans="2:14">
      <c r="B2548" s="105"/>
      <c r="C2548" s="106"/>
      <c r="D2548" s="107"/>
      <c r="E2548" s="65"/>
      <c r="F2548" s="64"/>
      <c r="G2548" s="64"/>
      <c r="H2548" s="64"/>
      <c r="I2548" s="70"/>
      <c r="J2548" s="70"/>
      <c r="K2548" s="110" t="str">
        <f>IF(H2548="","",IF($C$29="간이법","",FPR(H2548,I2548,J2548)))</f>
        <v/>
      </c>
      <c r="L2548" s="111" t="str">
        <f>IF(H2548="","",IF($C$29="상세법",FPV(H2548,K2548),IF(H2548="EI",4,IF(H2548="EO",5.2,IF(H2548="EQ",3.9,IF(H2548="ILF",7.5,IF(H2548="EIF",5.4)))))))</f>
        <v/>
      </c>
      <c r="M2548" s="112" t="str">
        <f t="shared" si="42"/>
        <v/>
      </c>
      <c r="N2548" s="113"/>
    </row>
    <row r="2549" spans="2:14">
      <c r="B2549" s="105"/>
      <c r="C2549" s="106"/>
      <c r="D2549" s="107"/>
      <c r="E2549" s="65"/>
      <c r="F2549" s="64"/>
      <c r="G2549" s="64"/>
      <c r="H2549" s="64"/>
      <c r="I2549" s="70"/>
      <c r="J2549" s="70"/>
      <c r="K2549" s="110" t="str">
        <f>IF(H2549="","",IF($C$29="간이법","",FPR(H2549,I2549,J2549)))</f>
        <v/>
      </c>
      <c r="L2549" s="111" t="str">
        <f>IF(H2549="","",IF($C$29="상세법",FPV(H2549,K2549),IF(H2549="EI",4,IF(H2549="EO",5.2,IF(H2549="EQ",3.9,IF(H2549="ILF",7.5,IF(H2549="EIF",5.4)))))))</f>
        <v/>
      </c>
      <c r="M2549" s="112" t="str">
        <f t="shared" si="42"/>
        <v/>
      </c>
      <c r="N2549" s="113"/>
    </row>
    <row r="2550" spans="2:14">
      <c r="B2550" s="105"/>
      <c r="C2550" s="106"/>
      <c r="D2550" s="107"/>
      <c r="E2550" s="65"/>
      <c r="F2550" s="64"/>
      <c r="G2550" s="64"/>
      <c r="H2550" s="64"/>
      <c r="I2550" s="70"/>
      <c r="J2550" s="70"/>
      <c r="K2550" s="110" t="str">
        <f>IF(H2550="","",IF($C$29="간이법","",FPR(H2550,I2550,J2550)))</f>
        <v/>
      </c>
      <c r="L2550" s="111" t="str">
        <f>IF(H2550="","",IF($C$29="상세법",FPV(H2550,K2550),IF(H2550="EI",4,IF(H2550="EO",5.2,IF(H2550="EQ",3.9,IF(H2550="ILF",7.5,IF(H2550="EIF",5.4)))))))</f>
        <v/>
      </c>
      <c r="M2550" s="112" t="str">
        <f t="shared" si="42"/>
        <v/>
      </c>
      <c r="N2550" s="113"/>
    </row>
    <row r="2551" spans="2:14">
      <c r="B2551" s="105"/>
      <c r="C2551" s="106"/>
      <c r="D2551" s="107"/>
      <c r="E2551" s="65"/>
      <c r="F2551" s="64"/>
      <c r="G2551" s="64"/>
      <c r="H2551" s="64"/>
      <c r="I2551" s="70"/>
      <c r="J2551" s="70"/>
      <c r="K2551" s="110" t="str">
        <f>IF(H2551="","",IF($C$29="간이법","",FPR(H2551,I2551,J2551)))</f>
        <v/>
      </c>
      <c r="L2551" s="111" t="str">
        <f>IF(H2551="","",IF($C$29="상세법",FPV(H2551,K2551),IF(H2551="EI",4,IF(H2551="EO",5.2,IF(H2551="EQ",3.9,IF(H2551="ILF",7.5,IF(H2551="EIF",5.4)))))))</f>
        <v/>
      </c>
      <c r="M2551" s="112" t="str">
        <f t="shared" si="42"/>
        <v/>
      </c>
      <c r="N2551" s="113"/>
    </row>
    <row r="2552" spans="2:14">
      <c r="B2552" s="105"/>
      <c r="C2552" s="106"/>
      <c r="D2552" s="107"/>
      <c r="E2552" s="65"/>
      <c r="F2552" s="64"/>
      <c r="G2552" s="64"/>
      <c r="H2552" s="64"/>
      <c r="I2552" s="70"/>
      <c r="J2552" s="70"/>
      <c r="K2552" s="110" t="str">
        <f>IF(H2552="","",IF($C$29="간이법","",FPR(H2552,I2552,J2552)))</f>
        <v/>
      </c>
      <c r="L2552" s="111" t="str">
        <f>IF(H2552="","",IF($C$29="상세법",FPV(H2552,K2552),IF(H2552="EI",4,IF(H2552="EO",5.2,IF(H2552="EQ",3.9,IF(H2552="ILF",7.5,IF(H2552="EIF",5.4)))))))</f>
        <v/>
      </c>
      <c r="M2552" s="112" t="str">
        <f t="shared" si="42"/>
        <v/>
      </c>
      <c r="N2552" s="113"/>
    </row>
    <row r="2553" spans="2:14">
      <c r="B2553" s="105"/>
      <c r="C2553" s="106"/>
      <c r="D2553" s="107"/>
      <c r="E2553" s="65"/>
      <c r="F2553" s="64"/>
      <c r="G2553" s="64"/>
      <c r="H2553" s="64"/>
      <c r="I2553" s="70"/>
      <c r="J2553" s="70"/>
      <c r="K2553" s="110" t="str">
        <f>IF(H2553="","",IF($C$29="간이법","",FPR(H2553,I2553,J2553)))</f>
        <v/>
      </c>
      <c r="L2553" s="111" t="str">
        <f>IF(H2553="","",IF($C$29="상세법",FPV(H2553,K2553),IF(H2553="EI",4,IF(H2553="EO",5.2,IF(H2553="EQ",3.9,IF(H2553="ILF",7.5,IF(H2553="EIF",5.4)))))))</f>
        <v/>
      </c>
      <c r="M2553" s="112" t="str">
        <f t="shared" ref="M2553:M2616" si="43">IF(L2553="","",L2553*IF(G2553="상",0.7,IF(G2553="중",0.5,IF(G2553="하",0.2,1))))</f>
        <v/>
      </c>
      <c r="N2553" s="113"/>
    </row>
    <row r="2554" spans="2:14">
      <c r="B2554" s="105"/>
      <c r="C2554" s="106"/>
      <c r="D2554" s="107"/>
      <c r="E2554" s="65"/>
      <c r="F2554" s="64"/>
      <c r="G2554" s="64"/>
      <c r="H2554" s="64"/>
      <c r="I2554" s="70"/>
      <c r="J2554" s="70"/>
      <c r="K2554" s="110" t="str">
        <f>IF(H2554="","",IF($C$29="간이법","",FPR(H2554,I2554,J2554)))</f>
        <v/>
      </c>
      <c r="L2554" s="111" t="str">
        <f>IF(H2554="","",IF($C$29="상세법",FPV(H2554,K2554),IF(H2554="EI",4,IF(H2554="EO",5.2,IF(H2554="EQ",3.9,IF(H2554="ILF",7.5,IF(H2554="EIF",5.4)))))))</f>
        <v/>
      </c>
      <c r="M2554" s="112" t="str">
        <f t="shared" si="43"/>
        <v/>
      </c>
      <c r="N2554" s="113"/>
    </row>
    <row r="2555" spans="2:14">
      <c r="B2555" s="105"/>
      <c r="C2555" s="106"/>
      <c r="D2555" s="107"/>
      <c r="E2555" s="65"/>
      <c r="F2555" s="64"/>
      <c r="G2555" s="64"/>
      <c r="H2555" s="64"/>
      <c r="I2555" s="70"/>
      <c r="J2555" s="70"/>
      <c r="K2555" s="110" t="str">
        <f>IF(H2555="","",IF($C$29="간이법","",FPR(H2555,I2555,J2555)))</f>
        <v/>
      </c>
      <c r="L2555" s="111" t="str">
        <f>IF(H2555="","",IF($C$29="상세법",FPV(H2555,K2555),IF(H2555="EI",4,IF(H2555="EO",5.2,IF(H2555="EQ",3.9,IF(H2555="ILF",7.5,IF(H2555="EIF",5.4)))))))</f>
        <v/>
      </c>
      <c r="M2555" s="112" t="str">
        <f t="shared" si="43"/>
        <v/>
      </c>
      <c r="N2555" s="113"/>
    </row>
    <row r="2556" spans="2:14">
      <c r="B2556" s="105"/>
      <c r="C2556" s="106"/>
      <c r="D2556" s="107"/>
      <c r="E2556" s="65"/>
      <c r="F2556" s="64"/>
      <c r="G2556" s="64"/>
      <c r="H2556" s="64"/>
      <c r="I2556" s="70"/>
      <c r="J2556" s="70"/>
      <c r="K2556" s="110" t="str">
        <f>IF(H2556="","",IF($C$29="간이법","",FPR(H2556,I2556,J2556)))</f>
        <v/>
      </c>
      <c r="L2556" s="111" t="str">
        <f>IF(H2556="","",IF($C$29="상세법",FPV(H2556,K2556),IF(H2556="EI",4,IF(H2556="EO",5.2,IF(H2556="EQ",3.9,IF(H2556="ILF",7.5,IF(H2556="EIF",5.4)))))))</f>
        <v/>
      </c>
      <c r="M2556" s="112" t="str">
        <f t="shared" si="43"/>
        <v/>
      </c>
      <c r="N2556" s="113"/>
    </row>
    <row r="2557" spans="2:14">
      <c r="B2557" s="105"/>
      <c r="C2557" s="106"/>
      <c r="D2557" s="107"/>
      <c r="E2557" s="65"/>
      <c r="F2557" s="64"/>
      <c r="G2557" s="64"/>
      <c r="H2557" s="64"/>
      <c r="I2557" s="70"/>
      <c r="J2557" s="70"/>
      <c r="K2557" s="110" t="str">
        <f>IF(H2557="","",IF($C$29="간이법","",FPR(H2557,I2557,J2557)))</f>
        <v/>
      </c>
      <c r="L2557" s="111" t="str">
        <f>IF(H2557="","",IF($C$29="상세법",FPV(H2557,K2557),IF(H2557="EI",4,IF(H2557="EO",5.2,IF(H2557="EQ",3.9,IF(H2557="ILF",7.5,IF(H2557="EIF",5.4)))))))</f>
        <v/>
      </c>
      <c r="M2557" s="112" t="str">
        <f t="shared" si="43"/>
        <v/>
      </c>
      <c r="N2557" s="113"/>
    </row>
    <row r="2558" spans="2:14">
      <c r="B2558" s="105"/>
      <c r="C2558" s="106"/>
      <c r="D2558" s="107"/>
      <c r="E2558" s="65"/>
      <c r="F2558" s="64"/>
      <c r="G2558" s="64"/>
      <c r="H2558" s="64"/>
      <c r="I2558" s="70"/>
      <c r="J2558" s="70"/>
      <c r="K2558" s="110" t="str">
        <f>IF(H2558="","",IF($C$29="간이법","",FPR(H2558,I2558,J2558)))</f>
        <v/>
      </c>
      <c r="L2558" s="111" t="str">
        <f>IF(H2558="","",IF($C$29="상세법",FPV(H2558,K2558),IF(H2558="EI",4,IF(H2558="EO",5.2,IF(H2558="EQ",3.9,IF(H2558="ILF",7.5,IF(H2558="EIF",5.4)))))))</f>
        <v/>
      </c>
      <c r="M2558" s="112" t="str">
        <f t="shared" si="43"/>
        <v/>
      </c>
      <c r="N2558" s="113"/>
    </row>
    <row r="2559" spans="2:14">
      <c r="B2559" s="105"/>
      <c r="C2559" s="106"/>
      <c r="D2559" s="107"/>
      <c r="E2559" s="65"/>
      <c r="F2559" s="64"/>
      <c r="G2559" s="64"/>
      <c r="H2559" s="64"/>
      <c r="I2559" s="70"/>
      <c r="J2559" s="70"/>
      <c r="K2559" s="110" t="str">
        <f>IF(H2559="","",IF($C$29="간이법","",FPR(H2559,I2559,J2559)))</f>
        <v/>
      </c>
      <c r="L2559" s="111" t="str">
        <f>IF(H2559="","",IF($C$29="상세법",FPV(H2559,K2559),IF(H2559="EI",4,IF(H2559="EO",5.2,IF(H2559="EQ",3.9,IF(H2559="ILF",7.5,IF(H2559="EIF",5.4)))))))</f>
        <v/>
      </c>
      <c r="M2559" s="112" t="str">
        <f t="shared" si="43"/>
        <v/>
      </c>
      <c r="N2559" s="113"/>
    </row>
    <row r="2560" spans="2:14">
      <c r="B2560" s="105"/>
      <c r="C2560" s="106"/>
      <c r="D2560" s="107"/>
      <c r="E2560" s="65"/>
      <c r="F2560" s="64"/>
      <c r="G2560" s="64"/>
      <c r="H2560" s="64"/>
      <c r="I2560" s="70"/>
      <c r="J2560" s="70"/>
      <c r="K2560" s="110" t="str">
        <f>IF(H2560="","",IF($C$29="간이법","",FPR(H2560,I2560,J2560)))</f>
        <v/>
      </c>
      <c r="L2560" s="111" t="str">
        <f>IF(H2560="","",IF($C$29="상세법",FPV(H2560,K2560),IF(H2560="EI",4,IF(H2560="EO",5.2,IF(H2560="EQ",3.9,IF(H2560="ILF",7.5,IF(H2560="EIF",5.4)))))))</f>
        <v/>
      </c>
      <c r="M2560" s="112" t="str">
        <f t="shared" si="43"/>
        <v/>
      </c>
      <c r="N2560" s="113"/>
    </row>
    <row r="2561" spans="2:14">
      <c r="B2561" s="105"/>
      <c r="C2561" s="106"/>
      <c r="D2561" s="107"/>
      <c r="E2561" s="65"/>
      <c r="F2561" s="64"/>
      <c r="G2561" s="64"/>
      <c r="H2561" s="64"/>
      <c r="I2561" s="70"/>
      <c r="J2561" s="70"/>
      <c r="K2561" s="110" t="str">
        <f>IF(H2561="","",IF($C$29="간이법","",FPR(H2561,I2561,J2561)))</f>
        <v/>
      </c>
      <c r="L2561" s="111" t="str">
        <f>IF(H2561="","",IF($C$29="상세법",FPV(H2561,K2561),IF(H2561="EI",4,IF(H2561="EO",5.2,IF(H2561="EQ",3.9,IF(H2561="ILF",7.5,IF(H2561="EIF",5.4)))))))</f>
        <v/>
      </c>
      <c r="M2561" s="112" t="str">
        <f t="shared" si="43"/>
        <v/>
      </c>
      <c r="N2561" s="113"/>
    </row>
    <row r="2562" spans="2:14">
      <c r="B2562" s="105"/>
      <c r="C2562" s="106"/>
      <c r="D2562" s="107"/>
      <c r="E2562" s="65"/>
      <c r="F2562" s="64"/>
      <c r="G2562" s="64"/>
      <c r="H2562" s="64"/>
      <c r="I2562" s="70"/>
      <c r="J2562" s="70"/>
      <c r="K2562" s="110" t="str">
        <f>IF(H2562="","",IF($C$29="간이법","",FPR(H2562,I2562,J2562)))</f>
        <v/>
      </c>
      <c r="L2562" s="111" t="str">
        <f>IF(H2562="","",IF($C$29="상세법",FPV(H2562,K2562),IF(H2562="EI",4,IF(H2562="EO",5.2,IF(H2562="EQ",3.9,IF(H2562="ILF",7.5,IF(H2562="EIF",5.4)))))))</f>
        <v/>
      </c>
      <c r="M2562" s="112" t="str">
        <f t="shared" si="43"/>
        <v/>
      </c>
      <c r="N2562" s="113"/>
    </row>
    <row r="2563" spans="2:14">
      <c r="B2563" s="105"/>
      <c r="C2563" s="106"/>
      <c r="D2563" s="107"/>
      <c r="E2563" s="65"/>
      <c r="F2563" s="64"/>
      <c r="G2563" s="64"/>
      <c r="H2563" s="64"/>
      <c r="I2563" s="70"/>
      <c r="J2563" s="70"/>
      <c r="K2563" s="110" t="str">
        <f>IF(H2563="","",IF($C$29="간이법","",FPR(H2563,I2563,J2563)))</f>
        <v/>
      </c>
      <c r="L2563" s="111" t="str">
        <f>IF(H2563="","",IF($C$29="상세법",FPV(H2563,K2563),IF(H2563="EI",4,IF(H2563="EO",5.2,IF(H2563="EQ",3.9,IF(H2563="ILF",7.5,IF(H2563="EIF",5.4)))))))</f>
        <v/>
      </c>
      <c r="M2563" s="112" t="str">
        <f t="shared" si="43"/>
        <v/>
      </c>
      <c r="N2563" s="113"/>
    </row>
    <row r="2564" spans="2:14">
      <c r="B2564" s="105"/>
      <c r="C2564" s="106"/>
      <c r="D2564" s="107"/>
      <c r="E2564" s="65"/>
      <c r="F2564" s="64"/>
      <c r="G2564" s="64"/>
      <c r="H2564" s="64"/>
      <c r="I2564" s="70"/>
      <c r="J2564" s="70"/>
      <c r="K2564" s="110" t="str">
        <f>IF(H2564="","",IF($C$29="간이법","",FPR(H2564,I2564,J2564)))</f>
        <v/>
      </c>
      <c r="L2564" s="111" t="str">
        <f>IF(H2564="","",IF($C$29="상세법",FPV(H2564,K2564),IF(H2564="EI",4,IF(H2564="EO",5.2,IF(H2564="EQ",3.9,IF(H2564="ILF",7.5,IF(H2564="EIF",5.4)))))))</f>
        <v/>
      </c>
      <c r="M2564" s="112" t="str">
        <f t="shared" si="43"/>
        <v/>
      </c>
      <c r="N2564" s="113"/>
    </row>
    <row r="2565" spans="2:14">
      <c r="B2565" s="105"/>
      <c r="C2565" s="106"/>
      <c r="D2565" s="107"/>
      <c r="E2565" s="65"/>
      <c r="F2565" s="64"/>
      <c r="G2565" s="64"/>
      <c r="H2565" s="64"/>
      <c r="I2565" s="70"/>
      <c r="J2565" s="70"/>
      <c r="K2565" s="110" t="str">
        <f>IF(H2565="","",IF($C$29="간이법","",FPR(H2565,I2565,J2565)))</f>
        <v/>
      </c>
      <c r="L2565" s="111" t="str">
        <f>IF(H2565="","",IF($C$29="상세법",FPV(H2565,K2565),IF(H2565="EI",4,IF(H2565="EO",5.2,IF(H2565="EQ",3.9,IF(H2565="ILF",7.5,IF(H2565="EIF",5.4)))))))</f>
        <v/>
      </c>
      <c r="M2565" s="112" t="str">
        <f t="shared" si="43"/>
        <v/>
      </c>
      <c r="N2565" s="113"/>
    </row>
    <row r="2566" spans="2:14">
      <c r="B2566" s="105"/>
      <c r="C2566" s="106"/>
      <c r="D2566" s="107"/>
      <c r="E2566" s="65"/>
      <c r="F2566" s="64"/>
      <c r="G2566" s="64"/>
      <c r="H2566" s="64"/>
      <c r="I2566" s="70"/>
      <c r="J2566" s="70"/>
      <c r="K2566" s="110" t="str">
        <f>IF(H2566="","",IF($C$29="간이법","",FPR(H2566,I2566,J2566)))</f>
        <v/>
      </c>
      <c r="L2566" s="111" t="str">
        <f>IF(H2566="","",IF($C$29="상세법",FPV(H2566,K2566),IF(H2566="EI",4,IF(H2566="EO",5.2,IF(H2566="EQ",3.9,IF(H2566="ILF",7.5,IF(H2566="EIF",5.4)))))))</f>
        <v/>
      </c>
      <c r="M2566" s="112" t="str">
        <f t="shared" si="43"/>
        <v/>
      </c>
      <c r="N2566" s="113"/>
    </row>
    <row r="2567" spans="2:14">
      <c r="B2567" s="105"/>
      <c r="C2567" s="106"/>
      <c r="D2567" s="107"/>
      <c r="E2567" s="65"/>
      <c r="F2567" s="64"/>
      <c r="G2567" s="64"/>
      <c r="H2567" s="64"/>
      <c r="I2567" s="70"/>
      <c r="J2567" s="70"/>
      <c r="K2567" s="110" t="str">
        <f>IF(H2567="","",IF($C$29="간이법","",FPR(H2567,I2567,J2567)))</f>
        <v/>
      </c>
      <c r="L2567" s="111" t="str">
        <f>IF(H2567="","",IF($C$29="상세법",FPV(H2567,K2567),IF(H2567="EI",4,IF(H2567="EO",5.2,IF(H2567="EQ",3.9,IF(H2567="ILF",7.5,IF(H2567="EIF",5.4)))))))</f>
        <v/>
      </c>
      <c r="M2567" s="112" t="str">
        <f t="shared" si="43"/>
        <v/>
      </c>
      <c r="N2567" s="113"/>
    </row>
    <row r="2568" spans="2:14">
      <c r="B2568" s="105"/>
      <c r="C2568" s="106"/>
      <c r="D2568" s="107"/>
      <c r="E2568" s="65"/>
      <c r="F2568" s="64"/>
      <c r="G2568" s="64"/>
      <c r="H2568" s="64"/>
      <c r="I2568" s="70"/>
      <c r="J2568" s="70"/>
      <c r="K2568" s="110" t="str">
        <f>IF(H2568="","",IF($C$29="간이법","",FPR(H2568,I2568,J2568)))</f>
        <v/>
      </c>
      <c r="L2568" s="111" t="str">
        <f>IF(H2568="","",IF($C$29="상세법",FPV(H2568,K2568),IF(H2568="EI",4,IF(H2568="EO",5.2,IF(H2568="EQ",3.9,IF(H2568="ILF",7.5,IF(H2568="EIF",5.4)))))))</f>
        <v/>
      </c>
      <c r="M2568" s="112" t="str">
        <f t="shared" si="43"/>
        <v/>
      </c>
      <c r="N2568" s="113"/>
    </row>
    <row r="2569" spans="2:14">
      <c r="B2569" s="105"/>
      <c r="C2569" s="106"/>
      <c r="D2569" s="107"/>
      <c r="E2569" s="65"/>
      <c r="F2569" s="64"/>
      <c r="G2569" s="64"/>
      <c r="H2569" s="64"/>
      <c r="I2569" s="70"/>
      <c r="J2569" s="70"/>
      <c r="K2569" s="110" t="str">
        <f>IF(H2569="","",IF($C$29="간이법","",FPR(H2569,I2569,J2569)))</f>
        <v/>
      </c>
      <c r="L2569" s="111" t="str">
        <f>IF(H2569="","",IF($C$29="상세법",FPV(H2569,K2569),IF(H2569="EI",4,IF(H2569="EO",5.2,IF(H2569="EQ",3.9,IF(H2569="ILF",7.5,IF(H2569="EIF",5.4)))))))</f>
        <v/>
      </c>
      <c r="M2569" s="112" t="str">
        <f t="shared" si="43"/>
        <v/>
      </c>
      <c r="N2569" s="113"/>
    </row>
    <row r="2570" spans="2:14">
      <c r="B2570" s="105"/>
      <c r="C2570" s="106"/>
      <c r="D2570" s="107"/>
      <c r="E2570" s="65"/>
      <c r="F2570" s="64"/>
      <c r="G2570" s="64"/>
      <c r="H2570" s="64"/>
      <c r="I2570" s="70"/>
      <c r="J2570" s="70"/>
      <c r="K2570" s="110" t="str">
        <f>IF(H2570="","",IF($C$29="간이법","",FPR(H2570,I2570,J2570)))</f>
        <v/>
      </c>
      <c r="L2570" s="111" t="str">
        <f>IF(H2570="","",IF($C$29="상세법",FPV(H2570,K2570),IF(H2570="EI",4,IF(H2570="EO",5.2,IF(H2570="EQ",3.9,IF(H2570="ILF",7.5,IF(H2570="EIF",5.4)))))))</f>
        <v/>
      </c>
      <c r="M2570" s="112" t="str">
        <f t="shared" si="43"/>
        <v/>
      </c>
      <c r="N2570" s="113"/>
    </row>
    <row r="2571" spans="2:14">
      <c r="B2571" s="105"/>
      <c r="C2571" s="106"/>
      <c r="D2571" s="107"/>
      <c r="E2571" s="65"/>
      <c r="F2571" s="64"/>
      <c r="G2571" s="64"/>
      <c r="H2571" s="64"/>
      <c r="I2571" s="70"/>
      <c r="J2571" s="70"/>
      <c r="K2571" s="110" t="str">
        <f>IF(H2571="","",IF($C$29="간이법","",FPR(H2571,I2571,J2571)))</f>
        <v/>
      </c>
      <c r="L2571" s="111" t="str">
        <f>IF(H2571="","",IF($C$29="상세법",FPV(H2571,K2571),IF(H2571="EI",4,IF(H2571="EO",5.2,IF(H2571="EQ",3.9,IF(H2571="ILF",7.5,IF(H2571="EIF",5.4)))))))</f>
        <v/>
      </c>
      <c r="M2571" s="112" t="str">
        <f t="shared" si="43"/>
        <v/>
      </c>
      <c r="N2571" s="113"/>
    </row>
    <row r="2572" spans="2:14">
      <c r="B2572" s="105"/>
      <c r="C2572" s="106"/>
      <c r="D2572" s="107"/>
      <c r="E2572" s="65"/>
      <c r="F2572" s="64"/>
      <c r="G2572" s="64"/>
      <c r="H2572" s="64"/>
      <c r="I2572" s="70"/>
      <c r="J2572" s="70"/>
      <c r="K2572" s="110" t="str">
        <f>IF(H2572="","",IF($C$29="간이법","",FPR(H2572,I2572,J2572)))</f>
        <v/>
      </c>
      <c r="L2572" s="111" t="str">
        <f>IF(H2572="","",IF($C$29="상세법",FPV(H2572,K2572),IF(H2572="EI",4,IF(H2572="EO",5.2,IF(H2572="EQ",3.9,IF(H2572="ILF",7.5,IF(H2572="EIF",5.4)))))))</f>
        <v/>
      </c>
      <c r="M2572" s="112" t="str">
        <f t="shared" si="43"/>
        <v/>
      </c>
      <c r="N2572" s="113"/>
    </row>
    <row r="2573" spans="2:14">
      <c r="B2573" s="105"/>
      <c r="C2573" s="106"/>
      <c r="D2573" s="107"/>
      <c r="E2573" s="65"/>
      <c r="F2573" s="64"/>
      <c r="G2573" s="64"/>
      <c r="H2573" s="64"/>
      <c r="I2573" s="70"/>
      <c r="J2573" s="70"/>
      <c r="K2573" s="110" t="str">
        <f>IF(H2573="","",IF($C$29="간이법","",FPR(H2573,I2573,J2573)))</f>
        <v/>
      </c>
      <c r="L2573" s="111" t="str">
        <f>IF(H2573="","",IF($C$29="상세법",FPV(H2573,K2573),IF(H2573="EI",4,IF(H2573="EO",5.2,IF(H2573="EQ",3.9,IF(H2573="ILF",7.5,IF(H2573="EIF",5.4)))))))</f>
        <v/>
      </c>
      <c r="M2573" s="112" t="str">
        <f t="shared" si="43"/>
        <v/>
      </c>
      <c r="N2573" s="113"/>
    </row>
    <row r="2574" spans="2:14">
      <c r="B2574" s="105"/>
      <c r="C2574" s="106"/>
      <c r="D2574" s="107"/>
      <c r="E2574" s="65"/>
      <c r="F2574" s="64"/>
      <c r="G2574" s="64"/>
      <c r="H2574" s="64"/>
      <c r="I2574" s="70"/>
      <c r="J2574" s="70"/>
      <c r="K2574" s="110" t="str">
        <f>IF(H2574="","",IF($C$29="간이법","",FPR(H2574,I2574,J2574)))</f>
        <v/>
      </c>
      <c r="L2574" s="111" t="str">
        <f>IF(H2574="","",IF($C$29="상세법",FPV(H2574,K2574),IF(H2574="EI",4,IF(H2574="EO",5.2,IF(H2574="EQ",3.9,IF(H2574="ILF",7.5,IF(H2574="EIF",5.4)))))))</f>
        <v/>
      </c>
      <c r="M2574" s="112" t="str">
        <f t="shared" si="43"/>
        <v/>
      </c>
      <c r="N2574" s="113"/>
    </row>
    <row r="2575" spans="2:14">
      <c r="B2575" s="105"/>
      <c r="C2575" s="106"/>
      <c r="D2575" s="107"/>
      <c r="E2575" s="65"/>
      <c r="F2575" s="64"/>
      <c r="G2575" s="64"/>
      <c r="H2575" s="64"/>
      <c r="I2575" s="70"/>
      <c r="J2575" s="70"/>
      <c r="K2575" s="110" t="str">
        <f>IF(H2575="","",IF($C$29="간이법","",FPR(H2575,I2575,J2575)))</f>
        <v/>
      </c>
      <c r="L2575" s="111" t="str">
        <f>IF(H2575="","",IF($C$29="상세법",FPV(H2575,K2575),IF(H2575="EI",4,IF(H2575="EO",5.2,IF(H2575="EQ",3.9,IF(H2575="ILF",7.5,IF(H2575="EIF",5.4)))))))</f>
        <v/>
      </c>
      <c r="M2575" s="112" t="str">
        <f t="shared" si="43"/>
        <v/>
      </c>
      <c r="N2575" s="113"/>
    </row>
    <row r="2576" spans="2:14">
      <c r="B2576" s="105"/>
      <c r="C2576" s="106"/>
      <c r="D2576" s="107"/>
      <c r="E2576" s="65"/>
      <c r="F2576" s="64"/>
      <c r="G2576" s="64"/>
      <c r="H2576" s="64"/>
      <c r="I2576" s="70"/>
      <c r="J2576" s="70"/>
      <c r="K2576" s="110" t="str">
        <f>IF(H2576="","",IF($C$29="간이법","",FPR(H2576,I2576,J2576)))</f>
        <v/>
      </c>
      <c r="L2576" s="111" t="str">
        <f>IF(H2576="","",IF($C$29="상세법",FPV(H2576,K2576),IF(H2576="EI",4,IF(H2576="EO",5.2,IF(H2576="EQ",3.9,IF(H2576="ILF",7.5,IF(H2576="EIF",5.4)))))))</f>
        <v/>
      </c>
      <c r="M2576" s="112" t="str">
        <f t="shared" si="43"/>
        <v/>
      </c>
      <c r="N2576" s="113"/>
    </row>
    <row r="2577" spans="2:14">
      <c r="B2577" s="105"/>
      <c r="C2577" s="106"/>
      <c r="D2577" s="107"/>
      <c r="E2577" s="65"/>
      <c r="F2577" s="64"/>
      <c r="G2577" s="64"/>
      <c r="H2577" s="64"/>
      <c r="I2577" s="70"/>
      <c r="J2577" s="70"/>
      <c r="K2577" s="110" t="str">
        <f>IF(H2577="","",IF($C$29="간이법","",FPR(H2577,I2577,J2577)))</f>
        <v/>
      </c>
      <c r="L2577" s="111" t="str">
        <f>IF(H2577="","",IF($C$29="상세법",FPV(H2577,K2577),IF(H2577="EI",4,IF(H2577="EO",5.2,IF(H2577="EQ",3.9,IF(H2577="ILF",7.5,IF(H2577="EIF",5.4)))))))</f>
        <v/>
      </c>
      <c r="M2577" s="112" t="str">
        <f t="shared" si="43"/>
        <v/>
      </c>
      <c r="N2577" s="113"/>
    </row>
    <row r="2578" spans="2:14">
      <c r="B2578" s="105"/>
      <c r="C2578" s="106"/>
      <c r="D2578" s="107"/>
      <c r="E2578" s="65"/>
      <c r="F2578" s="64"/>
      <c r="G2578" s="64"/>
      <c r="H2578" s="64"/>
      <c r="I2578" s="70"/>
      <c r="J2578" s="70"/>
      <c r="K2578" s="110" t="str">
        <f>IF(H2578="","",IF($C$29="간이법","",FPR(H2578,I2578,J2578)))</f>
        <v/>
      </c>
      <c r="L2578" s="111" t="str">
        <f>IF(H2578="","",IF($C$29="상세법",FPV(H2578,K2578),IF(H2578="EI",4,IF(H2578="EO",5.2,IF(H2578="EQ",3.9,IF(H2578="ILF",7.5,IF(H2578="EIF",5.4)))))))</f>
        <v/>
      </c>
      <c r="M2578" s="112" t="str">
        <f t="shared" si="43"/>
        <v/>
      </c>
      <c r="N2578" s="113"/>
    </row>
    <row r="2579" spans="2:14">
      <c r="B2579" s="105"/>
      <c r="C2579" s="106"/>
      <c r="D2579" s="107"/>
      <c r="E2579" s="65"/>
      <c r="F2579" s="64"/>
      <c r="G2579" s="64"/>
      <c r="H2579" s="64"/>
      <c r="I2579" s="70"/>
      <c r="J2579" s="70"/>
      <c r="K2579" s="110" t="str">
        <f>IF(H2579="","",IF($C$29="간이법","",FPR(H2579,I2579,J2579)))</f>
        <v/>
      </c>
      <c r="L2579" s="111" t="str">
        <f>IF(H2579="","",IF($C$29="상세법",FPV(H2579,K2579),IF(H2579="EI",4,IF(H2579="EO",5.2,IF(H2579="EQ",3.9,IF(H2579="ILF",7.5,IF(H2579="EIF",5.4)))))))</f>
        <v/>
      </c>
      <c r="M2579" s="112" t="str">
        <f t="shared" si="43"/>
        <v/>
      </c>
      <c r="N2579" s="113"/>
    </row>
    <row r="2580" spans="2:14">
      <c r="B2580" s="105"/>
      <c r="C2580" s="106"/>
      <c r="D2580" s="107"/>
      <c r="E2580" s="65"/>
      <c r="F2580" s="64"/>
      <c r="G2580" s="64"/>
      <c r="H2580" s="64"/>
      <c r="I2580" s="70"/>
      <c r="J2580" s="70"/>
      <c r="K2580" s="110" t="str">
        <f>IF(H2580="","",IF($C$29="간이법","",FPR(H2580,I2580,J2580)))</f>
        <v/>
      </c>
      <c r="L2580" s="111" t="str">
        <f>IF(H2580="","",IF($C$29="상세법",FPV(H2580,K2580),IF(H2580="EI",4,IF(H2580="EO",5.2,IF(H2580="EQ",3.9,IF(H2580="ILF",7.5,IF(H2580="EIF",5.4)))))))</f>
        <v/>
      </c>
      <c r="M2580" s="112" t="str">
        <f t="shared" si="43"/>
        <v/>
      </c>
      <c r="N2580" s="113"/>
    </row>
    <row r="2581" spans="2:14">
      <c r="B2581" s="105"/>
      <c r="C2581" s="106"/>
      <c r="D2581" s="107"/>
      <c r="E2581" s="65"/>
      <c r="F2581" s="64"/>
      <c r="G2581" s="64"/>
      <c r="H2581" s="64"/>
      <c r="I2581" s="70"/>
      <c r="J2581" s="70"/>
      <c r="K2581" s="110" t="str">
        <f>IF(H2581="","",IF($C$29="간이법","",FPR(H2581,I2581,J2581)))</f>
        <v/>
      </c>
      <c r="L2581" s="111" t="str">
        <f>IF(H2581="","",IF($C$29="상세법",FPV(H2581,K2581),IF(H2581="EI",4,IF(H2581="EO",5.2,IF(H2581="EQ",3.9,IF(H2581="ILF",7.5,IF(H2581="EIF",5.4)))))))</f>
        <v/>
      </c>
      <c r="M2581" s="112" t="str">
        <f t="shared" si="43"/>
        <v/>
      </c>
      <c r="N2581" s="113"/>
    </row>
    <row r="2582" spans="2:14">
      <c r="B2582" s="105"/>
      <c r="C2582" s="106"/>
      <c r="D2582" s="107"/>
      <c r="E2582" s="65"/>
      <c r="F2582" s="64"/>
      <c r="G2582" s="64"/>
      <c r="H2582" s="64"/>
      <c r="I2582" s="70"/>
      <c r="J2582" s="70"/>
      <c r="K2582" s="110" t="str">
        <f>IF(H2582="","",IF($C$29="간이법","",FPR(H2582,I2582,J2582)))</f>
        <v/>
      </c>
      <c r="L2582" s="111" t="str">
        <f>IF(H2582="","",IF($C$29="상세법",FPV(H2582,K2582),IF(H2582="EI",4,IF(H2582="EO",5.2,IF(H2582="EQ",3.9,IF(H2582="ILF",7.5,IF(H2582="EIF",5.4)))))))</f>
        <v/>
      </c>
      <c r="M2582" s="112" t="str">
        <f t="shared" si="43"/>
        <v/>
      </c>
      <c r="N2582" s="113"/>
    </row>
    <row r="2583" spans="2:14">
      <c r="B2583" s="105"/>
      <c r="C2583" s="106"/>
      <c r="D2583" s="107"/>
      <c r="E2583" s="65"/>
      <c r="F2583" s="64"/>
      <c r="G2583" s="64"/>
      <c r="H2583" s="64"/>
      <c r="I2583" s="70"/>
      <c r="J2583" s="70"/>
      <c r="K2583" s="110" t="str">
        <f>IF(H2583="","",IF($C$29="간이법","",FPR(H2583,I2583,J2583)))</f>
        <v/>
      </c>
      <c r="L2583" s="111" t="str">
        <f>IF(H2583="","",IF($C$29="상세법",FPV(H2583,K2583),IF(H2583="EI",4,IF(H2583="EO",5.2,IF(H2583="EQ",3.9,IF(H2583="ILF",7.5,IF(H2583="EIF",5.4)))))))</f>
        <v/>
      </c>
      <c r="M2583" s="112" t="str">
        <f t="shared" si="43"/>
        <v/>
      </c>
      <c r="N2583" s="113"/>
    </row>
    <row r="2584" spans="2:14">
      <c r="B2584" s="105"/>
      <c r="C2584" s="106"/>
      <c r="D2584" s="107"/>
      <c r="E2584" s="65"/>
      <c r="F2584" s="64"/>
      <c r="G2584" s="64"/>
      <c r="H2584" s="64"/>
      <c r="I2584" s="70"/>
      <c r="J2584" s="70"/>
      <c r="K2584" s="110" t="str">
        <f>IF(H2584="","",IF($C$29="간이법","",FPR(H2584,I2584,J2584)))</f>
        <v/>
      </c>
      <c r="L2584" s="111" t="str">
        <f>IF(H2584="","",IF($C$29="상세법",FPV(H2584,K2584),IF(H2584="EI",4,IF(H2584="EO",5.2,IF(H2584="EQ",3.9,IF(H2584="ILF",7.5,IF(H2584="EIF",5.4)))))))</f>
        <v/>
      </c>
      <c r="M2584" s="112" t="str">
        <f t="shared" si="43"/>
        <v/>
      </c>
      <c r="N2584" s="113"/>
    </row>
    <row r="2585" spans="2:14">
      <c r="B2585" s="105"/>
      <c r="C2585" s="106"/>
      <c r="D2585" s="107"/>
      <c r="E2585" s="65"/>
      <c r="F2585" s="64"/>
      <c r="G2585" s="64"/>
      <c r="H2585" s="64"/>
      <c r="I2585" s="70"/>
      <c r="J2585" s="70"/>
      <c r="K2585" s="110" t="str">
        <f>IF(H2585="","",IF($C$29="간이법","",FPR(H2585,I2585,J2585)))</f>
        <v/>
      </c>
      <c r="L2585" s="111" t="str">
        <f>IF(H2585="","",IF($C$29="상세법",FPV(H2585,K2585),IF(H2585="EI",4,IF(H2585="EO",5.2,IF(H2585="EQ",3.9,IF(H2585="ILF",7.5,IF(H2585="EIF",5.4)))))))</f>
        <v/>
      </c>
      <c r="M2585" s="112" t="str">
        <f t="shared" si="43"/>
        <v/>
      </c>
      <c r="N2585" s="113"/>
    </row>
    <row r="2586" spans="2:14">
      <c r="B2586" s="105"/>
      <c r="C2586" s="106"/>
      <c r="D2586" s="107"/>
      <c r="E2586" s="65"/>
      <c r="F2586" s="64"/>
      <c r="G2586" s="64"/>
      <c r="H2586" s="64"/>
      <c r="I2586" s="70"/>
      <c r="J2586" s="70"/>
      <c r="K2586" s="110" t="str">
        <f>IF(H2586="","",IF($C$29="간이법","",FPR(H2586,I2586,J2586)))</f>
        <v/>
      </c>
      <c r="L2586" s="111" t="str">
        <f>IF(H2586="","",IF($C$29="상세법",FPV(H2586,K2586),IF(H2586="EI",4,IF(H2586="EO",5.2,IF(H2586="EQ",3.9,IF(H2586="ILF",7.5,IF(H2586="EIF",5.4)))))))</f>
        <v/>
      </c>
      <c r="M2586" s="112" t="str">
        <f t="shared" si="43"/>
        <v/>
      </c>
      <c r="N2586" s="113"/>
    </row>
    <row r="2587" spans="2:14">
      <c r="B2587" s="105"/>
      <c r="C2587" s="106"/>
      <c r="D2587" s="107"/>
      <c r="E2587" s="65"/>
      <c r="F2587" s="64"/>
      <c r="G2587" s="64"/>
      <c r="H2587" s="64"/>
      <c r="I2587" s="70"/>
      <c r="J2587" s="70"/>
      <c r="K2587" s="110" t="str">
        <f>IF(H2587="","",IF($C$29="간이법","",FPR(H2587,I2587,J2587)))</f>
        <v/>
      </c>
      <c r="L2587" s="111" t="str">
        <f>IF(H2587="","",IF($C$29="상세법",FPV(H2587,K2587),IF(H2587="EI",4,IF(H2587="EO",5.2,IF(H2587="EQ",3.9,IF(H2587="ILF",7.5,IF(H2587="EIF",5.4)))))))</f>
        <v/>
      </c>
      <c r="M2587" s="112" t="str">
        <f t="shared" si="43"/>
        <v/>
      </c>
      <c r="N2587" s="113"/>
    </row>
    <row r="2588" spans="2:14">
      <c r="B2588" s="105"/>
      <c r="C2588" s="106"/>
      <c r="D2588" s="107"/>
      <c r="E2588" s="65"/>
      <c r="F2588" s="64"/>
      <c r="G2588" s="64"/>
      <c r="H2588" s="64"/>
      <c r="I2588" s="70"/>
      <c r="J2588" s="70"/>
      <c r="K2588" s="110" t="str">
        <f>IF(H2588="","",IF($C$29="간이법","",FPR(H2588,I2588,J2588)))</f>
        <v/>
      </c>
      <c r="L2588" s="111" t="str">
        <f>IF(H2588="","",IF($C$29="상세법",FPV(H2588,K2588),IF(H2588="EI",4,IF(H2588="EO",5.2,IF(H2588="EQ",3.9,IF(H2588="ILF",7.5,IF(H2588="EIF",5.4)))))))</f>
        <v/>
      </c>
      <c r="M2588" s="112" t="str">
        <f t="shared" si="43"/>
        <v/>
      </c>
      <c r="N2588" s="113"/>
    </row>
    <row r="2589" spans="2:14">
      <c r="B2589" s="105"/>
      <c r="C2589" s="106"/>
      <c r="D2589" s="107"/>
      <c r="E2589" s="65"/>
      <c r="F2589" s="64"/>
      <c r="G2589" s="64"/>
      <c r="H2589" s="64"/>
      <c r="I2589" s="70"/>
      <c r="J2589" s="70"/>
      <c r="K2589" s="110" t="str">
        <f>IF(H2589="","",IF($C$29="간이법","",FPR(H2589,I2589,J2589)))</f>
        <v/>
      </c>
      <c r="L2589" s="111" t="str">
        <f>IF(H2589="","",IF($C$29="상세법",FPV(H2589,K2589),IF(H2589="EI",4,IF(H2589="EO",5.2,IF(H2589="EQ",3.9,IF(H2589="ILF",7.5,IF(H2589="EIF",5.4)))))))</f>
        <v/>
      </c>
      <c r="M2589" s="112" t="str">
        <f t="shared" si="43"/>
        <v/>
      </c>
      <c r="N2589" s="113"/>
    </row>
    <row r="2590" spans="2:14">
      <c r="B2590" s="105"/>
      <c r="C2590" s="106"/>
      <c r="D2590" s="107"/>
      <c r="E2590" s="65"/>
      <c r="F2590" s="64"/>
      <c r="G2590" s="64"/>
      <c r="H2590" s="64"/>
      <c r="I2590" s="70"/>
      <c r="J2590" s="70"/>
      <c r="K2590" s="110" t="str">
        <f>IF(H2590="","",IF($C$29="간이법","",FPR(H2590,I2590,J2590)))</f>
        <v/>
      </c>
      <c r="L2590" s="111" t="str">
        <f>IF(H2590="","",IF($C$29="상세법",FPV(H2590,K2590),IF(H2590="EI",4,IF(H2590="EO",5.2,IF(H2590="EQ",3.9,IF(H2590="ILF",7.5,IF(H2590="EIF",5.4)))))))</f>
        <v/>
      </c>
      <c r="M2590" s="112" t="str">
        <f t="shared" si="43"/>
        <v/>
      </c>
      <c r="N2590" s="113"/>
    </row>
    <row r="2591" spans="2:14">
      <c r="B2591" s="105"/>
      <c r="C2591" s="106"/>
      <c r="D2591" s="107"/>
      <c r="E2591" s="65"/>
      <c r="F2591" s="64"/>
      <c r="G2591" s="64"/>
      <c r="H2591" s="64"/>
      <c r="I2591" s="70"/>
      <c r="J2591" s="70"/>
      <c r="K2591" s="110" t="str">
        <f>IF(H2591="","",IF($C$29="간이법","",FPR(H2591,I2591,J2591)))</f>
        <v/>
      </c>
      <c r="L2591" s="111" t="str">
        <f>IF(H2591="","",IF($C$29="상세법",FPV(H2591,K2591),IF(H2591="EI",4,IF(H2591="EO",5.2,IF(H2591="EQ",3.9,IF(H2591="ILF",7.5,IF(H2591="EIF",5.4)))))))</f>
        <v/>
      </c>
      <c r="M2591" s="112" t="str">
        <f t="shared" si="43"/>
        <v/>
      </c>
      <c r="N2591" s="113"/>
    </row>
    <row r="2592" spans="2:14">
      <c r="B2592" s="105"/>
      <c r="C2592" s="106"/>
      <c r="D2592" s="107"/>
      <c r="E2592" s="65"/>
      <c r="F2592" s="64"/>
      <c r="G2592" s="64"/>
      <c r="H2592" s="64"/>
      <c r="I2592" s="70"/>
      <c r="J2592" s="70"/>
      <c r="K2592" s="110" t="str">
        <f>IF(H2592="","",IF($C$29="간이법","",FPR(H2592,I2592,J2592)))</f>
        <v/>
      </c>
      <c r="L2592" s="111" t="str">
        <f>IF(H2592="","",IF($C$29="상세법",FPV(H2592,K2592),IF(H2592="EI",4,IF(H2592="EO",5.2,IF(H2592="EQ",3.9,IF(H2592="ILF",7.5,IF(H2592="EIF",5.4)))))))</f>
        <v/>
      </c>
      <c r="M2592" s="112" t="str">
        <f t="shared" si="43"/>
        <v/>
      </c>
      <c r="N2592" s="113"/>
    </row>
    <row r="2593" spans="2:14">
      <c r="B2593" s="105"/>
      <c r="C2593" s="106"/>
      <c r="D2593" s="107"/>
      <c r="E2593" s="65"/>
      <c r="F2593" s="64"/>
      <c r="G2593" s="64"/>
      <c r="H2593" s="64"/>
      <c r="I2593" s="70"/>
      <c r="J2593" s="70"/>
      <c r="K2593" s="110" t="str">
        <f>IF(H2593="","",IF($C$29="간이법","",FPR(H2593,I2593,J2593)))</f>
        <v/>
      </c>
      <c r="L2593" s="111" t="str">
        <f>IF(H2593="","",IF($C$29="상세법",FPV(H2593,K2593),IF(H2593="EI",4,IF(H2593="EO",5.2,IF(H2593="EQ",3.9,IF(H2593="ILF",7.5,IF(H2593="EIF",5.4)))))))</f>
        <v/>
      </c>
      <c r="M2593" s="112" t="str">
        <f t="shared" si="43"/>
        <v/>
      </c>
      <c r="N2593" s="113"/>
    </row>
    <row r="2594" spans="2:14">
      <c r="B2594" s="105"/>
      <c r="C2594" s="106"/>
      <c r="D2594" s="107"/>
      <c r="E2594" s="65"/>
      <c r="F2594" s="64"/>
      <c r="G2594" s="64"/>
      <c r="H2594" s="64"/>
      <c r="I2594" s="70"/>
      <c r="J2594" s="70"/>
      <c r="K2594" s="110" t="str">
        <f>IF(H2594="","",IF($C$29="간이법","",FPR(H2594,I2594,J2594)))</f>
        <v/>
      </c>
      <c r="L2594" s="111" t="str">
        <f>IF(H2594="","",IF($C$29="상세법",FPV(H2594,K2594),IF(H2594="EI",4,IF(H2594="EO",5.2,IF(H2594="EQ",3.9,IF(H2594="ILF",7.5,IF(H2594="EIF",5.4)))))))</f>
        <v/>
      </c>
      <c r="M2594" s="112" t="str">
        <f t="shared" si="43"/>
        <v/>
      </c>
      <c r="N2594" s="113"/>
    </row>
    <row r="2595" spans="2:14">
      <c r="B2595" s="105"/>
      <c r="C2595" s="106"/>
      <c r="D2595" s="107"/>
      <c r="E2595" s="65"/>
      <c r="F2595" s="64"/>
      <c r="G2595" s="64"/>
      <c r="H2595" s="64"/>
      <c r="I2595" s="70"/>
      <c r="J2595" s="70"/>
      <c r="K2595" s="110" t="str">
        <f>IF(H2595="","",IF($C$29="간이법","",FPR(H2595,I2595,J2595)))</f>
        <v/>
      </c>
      <c r="L2595" s="111" t="str">
        <f>IF(H2595="","",IF($C$29="상세법",FPV(H2595,K2595),IF(H2595="EI",4,IF(H2595="EO",5.2,IF(H2595="EQ",3.9,IF(H2595="ILF",7.5,IF(H2595="EIF",5.4)))))))</f>
        <v/>
      </c>
      <c r="M2595" s="112" t="str">
        <f t="shared" si="43"/>
        <v/>
      </c>
      <c r="N2595" s="113"/>
    </row>
    <row r="2596" spans="2:14">
      <c r="B2596" s="105"/>
      <c r="C2596" s="106"/>
      <c r="D2596" s="107"/>
      <c r="E2596" s="65"/>
      <c r="F2596" s="64"/>
      <c r="G2596" s="64"/>
      <c r="H2596" s="64"/>
      <c r="I2596" s="70"/>
      <c r="J2596" s="70"/>
      <c r="K2596" s="110" t="str">
        <f>IF(H2596="","",IF($C$29="간이법","",FPR(H2596,I2596,J2596)))</f>
        <v/>
      </c>
      <c r="L2596" s="111" t="str">
        <f>IF(H2596="","",IF($C$29="상세법",FPV(H2596,K2596),IF(H2596="EI",4,IF(H2596="EO",5.2,IF(H2596="EQ",3.9,IF(H2596="ILF",7.5,IF(H2596="EIF",5.4)))))))</f>
        <v/>
      </c>
      <c r="M2596" s="112" t="str">
        <f t="shared" si="43"/>
        <v/>
      </c>
      <c r="N2596" s="113"/>
    </row>
    <row r="2597" spans="2:14">
      <c r="B2597" s="105"/>
      <c r="C2597" s="106"/>
      <c r="D2597" s="107"/>
      <c r="E2597" s="65"/>
      <c r="F2597" s="64"/>
      <c r="G2597" s="64"/>
      <c r="H2597" s="64"/>
      <c r="I2597" s="70"/>
      <c r="J2597" s="70"/>
      <c r="K2597" s="110" t="str">
        <f>IF(H2597="","",IF($C$29="간이법","",FPR(H2597,I2597,J2597)))</f>
        <v/>
      </c>
      <c r="L2597" s="111" t="str">
        <f>IF(H2597="","",IF($C$29="상세법",FPV(H2597,K2597),IF(H2597="EI",4,IF(H2597="EO",5.2,IF(H2597="EQ",3.9,IF(H2597="ILF",7.5,IF(H2597="EIF",5.4)))))))</f>
        <v/>
      </c>
      <c r="M2597" s="112" t="str">
        <f t="shared" si="43"/>
        <v/>
      </c>
      <c r="N2597" s="113"/>
    </row>
    <row r="2598" spans="2:14">
      <c r="B2598" s="105"/>
      <c r="C2598" s="106"/>
      <c r="D2598" s="107"/>
      <c r="E2598" s="65"/>
      <c r="F2598" s="64"/>
      <c r="G2598" s="64"/>
      <c r="H2598" s="64"/>
      <c r="I2598" s="70"/>
      <c r="J2598" s="70"/>
      <c r="K2598" s="110" t="str">
        <f>IF(H2598="","",IF($C$29="간이법","",FPR(H2598,I2598,J2598)))</f>
        <v/>
      </c>
      <c r="L2598" s="111" t="str">
        <f>IF(H2598="","",IF($C$29="상세법",FPV(H2598,K2598),IF(H2598="EI",4,IF(H2598="EO",5.2,IF(H2598="EQ",3.9,IF(H2598="ILF",7.5,IF(H2598="EIF",5.4)))))))</f>
        <v/>
      </c>
      <c r="M2598" s="112" t="str">
        <f t="shared" si="43"/>
        <v/>
      </c>
      <c r="N2598" s="113"/>
    </row>
    <row r="2599" spans="2:14">
      <c r="B2599" s="105"/>
      <c r="C2599" s="106"/>
      <c r="D2599" s="107"/>
      <c r="E2599" s="65"/>
      <c r="F2599" s="64"/>
      <c r="G2599" s="64"/>
      <c r="H2599" s="64"/>
      <c r="I2599" s="70"/>
      <c r="J2599" s="70"/>
      <c r="K2599" s="110" t="str">
        <f>IF(H2599="","",IF($C$29="간이법","",FPR(H2599,I2599,J2599)))</f>
        <v/>
      </c>
      <c r="L2599" s="111" t="str">
        <f>IF(H2599="","",IF($C$29="상세법",FPV(H2599,K2599),IF(H2599="EI",4,IF(H2599="EO",5.2,IF(H2599="EQ",3.9,IF(H2599="ILF",7.5,IF(H2599="EIF",5.4)))))))</f>
        <v/>
      </c>
      <c r="M2599" s="112" t="str">
        <f t="shared" si="43"/>
        <v/>
      </c>
      <c r="N2599" s="113"/>
    </row>
    <row r="2600" spans="2:14">
      <c r="B2600" s="105"/>
      <c r="C2600" s="106"/>
      <c r="D2600" s="107"/>
      <c r="E2600" s="65"/>
      <c r="F2600" s="64"/>
      <c r="G2600" s="64"/>
      <c r="H2600" s="64"/>
      <c r="I2600" s="70"/>
      <c r="J2600" s="70"/>
      <c r="K2600" s="110" t="str">
        <f>IF(H2600="","",IF($C$29="간이법","",FPR(H2600,I2600,J2600)))</f>
        <v/>
      </c>
      <c r="L2600" s="111" t="str">
        <f>IF(H2600="","",IF($C$29="상세법",FPV(H2600,K2600),IF(H2600="EI",4,IF(H2600="EO",5.2,IF(H2600="EQ",3.9,IF(H2600="ILF",7.5,IF(H2600="EIF",5.4)))))))</f>
        <v/>
      </c>
      <c r="M2600" s="112" t="str">
        <f t="shared" si="43"/>
        <v/>
      </c>
      <c r="N2600" s="113"/>
    </row>
    <row r="2601" spans="2:14">
      <c r="B2601" s="105"/>
      <c r="C2601" s="106"/>
      <c r="D2601" s="107"/>
      <c r="E2601" s="65"/>
      <c r="F2601" s="64"/>
      <c r="G2601" s="64"/>
      <c r="H2601" s="64"/>
      <c r="I2601" s="70"/>
      <c r="J2601" s="70"/>
      <c r="K2601" s="110" t="str">
        <f>IF(H2601="","",IF($C$29="간이법","",FPR(H2601,I2601,J2601)))</f>
        <v/>
      </c>
      <c r="L2601" s="111" t="str">
        <f>IF(H2601="","",IF($C$29="상세법",FPV(H2601,K2601),IF(H2601="EI",4,IF(H2601="EO",5.2,IF(H2601="EQ",3.9,IF(H2601="ILF",7.5,IF(H2601="EIF",5.4)))))))</f>
        <v/>
      </c>
      <c r="M2601" s="112" t="str">
        <f t="shared" si="43"/>
        <v/>
      </c>
      <c r="N2601" s="113"/>
    </row>
    <row r="2602" spans="2:14">
      <c r="B2602" s="105"/>
      <c r="C2602" s="106"/>
      <c r="D2602" s="107"/>
      <c r="E2602" s="65"/>
      <c r="F2602" s="64"/>
      <c r="G2602" s="64"/>
      <c r="H2602" s="64"/>
      <c r="I2602" s="70"/>
      <c r="J2602" s="70"/>
      <c r="K2602" s="110" t="str">
        <f>IF(H2602="","",IF($C$29="간이법","",FPR(H2602,I2602,J2602)))</f>
        <v/>
      </c>
      <c r="L2602" s="111" t="str">
        <f>IF(H2602="","",IF($C$29="상세법",FPV(H2602,K2602),IF(H2602="EI",4,IF(H2602="EO",5.2,IF(H2602="EQ",3.9,IF(H2602="ILF",7.5,IF(H2602="EIF",5.4)))))))</f>
        <v/>
      </c>
      <c r="M2602" s="112" t="str">
        <f t="shared" si="43"/>
        <v/>
      </c>
      <c r="N2602" s="113"/>
    </row>
    <row r="2603" spans="2:14">
      <c r="B2603" s="105"/>
      <c r="C2603" s="106"/>
      <c r="D2603" s="107"/>
      <c r="E2603" s="65"/>
      <c r="F2603" s="64"/>
      <c r="G2603" s="64"/>
      <c r="H2603" s="64"/>
      <c r="I2603" s="70"/>
      <c r="J2603" s="70"/>
      <c r="K2603" s="110" t="str">
        <f>IF(H2603="","",IF($C$29="간이법","",FPR(H2603,I2603,J2603)))</f>
        <v/>
      </c>
      <c r="L2603" s="111" t="str">
        <f>IF(H2603="","",IF($C$29="상세법",FPV(H2603,K2603),IF(H2603="EI",4,IF(H2603="EO",5.2,IF(H2603="EQ",3.9,IF(H2603="ILF",7.5,IF(H2603="EIF",5.4)))))))</f>
        <v/>
      </c>
      <c r="M2603" s="112" t="str">
        <f t="shared" si="43"/>
        <v/>
      </c>
      <c r="N2603" s="113"/>
    </row>
    <row r="2604" spans="2:14">
      <c r="B2604" s="105"/>
      <c r="C2604" s="106"/>
      <c r="D2604" s="107"/>
      <c r="E2604" s="65"/>
      <c r="F2604" s="64"/>
      <c r="G2604" s="64"/>
      <c r="H2604" s="64"/>
      <c r="I2604" s="70"/>
      <c r="J2604" s="70"/>
      <c r="K2604" s="110" t="str">
        <f>IF(H2604="","",IF($C$29="간이법","",FPR(H2604,I2604,J2604)))</f>
        <v/>
      </c>
      <c r="L2604" s="111" t="str">
        <f>IF(H2604="","",IF($C$29="상세법",FPV(H2604,K2604),IF(H2604="EI",4,IF(H2604="EO",5.2,IF(H2604="EQ",3.9,IF(H2604="ILF",7.5,IF(H2604="EIF",5.4)))))))</f>
        <v/>
      </c>
      <c r="M2604" s="112" t="str">
        <f t="shared" si="43"/>
        <v/>
      </c>
      <c r="N2604" s="113"/>
    </row>
    <row r="2605" spans="2:14">
      <c r="B2605" s="105"/>
      <c r="C2605" s="106"/>
      <c r="D2605" s="107"/>
      <c r="E2605" s="65"/>
      <c r="F2605" s="64"/>
      <c r="G2605" s="64"/>
      <c r="H2605" s="64"/>
      <c r="I2605" s="70"/>
      <c r="J2605" s="70"/>
      <c r="K2605" s="110" t="str">
        <f>IF(H2605="","",IF($C$29="간이법","",FPR(H2605,I2605,J2605)))</f>
        <v/>
      </c>
      <c r="L2605" s="111" t="str">
        <f>IF(H2605="","",IF($C$29="상세법",FPV(H2605,K2605),IF(H2605="EI",4,IF(H2605="EO",5.2,IF(H2605="EQ",3.9,IF(H2605="ILF",7.5,IF(H2605="EIF",5.4)))))))</f>
        <v/>
      </c>
      <c r="M2605" s="112" t="str">
        <f t="shared" si="43"/>
        <v/>
      </c>
      <c r="N2605" s="113"/>
    </row>
    <row r="2606" spans="2:14">
      <c r="B2606" s="105"/>
      <c r="C2606" s="106"/>
      <c r="D2606" s="107"/>
      <c r="E2606" s="65"/>
      <c r="F2606" s="64"/>
      <c r="G2606" s="64"/>
      <c r="H2606" s="64"/>
      <c r="I2606" s="70"/>
      <c r="J2606" s="70"/>
      <c r="K2606" s="110" t="str">
        <f>IF(H2606="","",IF($C$29="간이법","",FPR(H2606,I2606,J2606)))</f>
        <v/>
      </c>
      <c r="L2606" s="111" t="str">
        <f>IF(H2606="","",IF($C$29="상세법",FPV(H2606,K2606),IF(H2606="EI",4,IF(H2606="EO",5.2,IF(H2606="EQ",3.9,IF(H2606="ILF",7.5,IF(H2606="EIF",5.4)))))))</f>
        <v/>
      </c>
      <c r="M2606" s="112" t="str">
        <f t="shared" si="43"/>
        <v/>
      </c>
      <c r="N2606" s="113"/>
    </row>
    <row r="2607" spans="2:14">
      <c r="B2607" s="105"/>
      <c r="C2607" s="106"/>
      <c r="D2607" s="107"/>
      <c r="E2607" s="65"/>
      <c r="F2607" s="64"/>
      <c r="G2607" s="64"/>
      <c r="H2607" s="64"/>
      <c r="I2607" s="70"/>
      <c r="J2607" s="70"/>
      <c r="K2607" s="110" t="str">
        <f>IF(H2607="","",IF($C$29="간이법","",FPR(H2607,I2607,J2607)))</f>
        <v/>
      </c>
      <c r="L2607" s="111" t="str">
        <f>IF(H2607="","",IF($C$29="상세법",FPV(H2607,K2607),IF(H2607="EI",4,IF(H2607="EO",5.2,IF(H2607="EQ",3.9,IF(H2607="ILF",7.5,IF(H2607="EIF",5.4)))))))</f>
        <v/>
      </c>
      <c r="M2607" s="112" t="str">
        <f t="shared" si="43"/>
        <v/>
      </c>
      <c r="N2607" s="113"/>
    </row>
    <row r="2608" spans="2:14">
      <c r="B2608" s="105"/>
      <c r="C2608" s="106"/>
      <c r="D2608" s="107"/>
      <c r="E2608" s="65"/>
      <c r="F2608" s="64"/>
      <c r="G2608" s="64"/>
      <c r="H2608" s="64"/>
      <c r="I2608" s="70"/>
      <c r="J2608" s="70"/>
      <c r="K2608" s="110" t="str">
        <f>IF(H2608="","",IF($C$29="간이법","",FPR(H2608,I2608,J2608)))</f>
        <v/>
      </c>
      <c r="L2608" s="111" t="str">
        <f>IF(H2608="","",IF($C$29="상세법",FPV(H2608,K2608),IF(H2608="EI",4,IF(H2608="EO",5.2,IF(H2608="EQ",3.9,IF(H2608="ILF",7.5,IF(H2608="EIF",5.4)))))))</f>
        <v/>
      </c>
      <c r="M2608" s="112" t="str">
        <f t="shared" si="43"/>
        <v/>
      </c>
      <c r="N2608" s="113"/>
    </row>
    <row r="2609" spans="2:14">
      <c r="B2609" s="105"/>
      <c r="C2609" s="106"/>
      <c r="D2609" s="107"/>
      <c r="E2609" s="65"/>
      <c r="F2609" s="64"/>
      <c r="G2609" s="64"/>
      <c r="H2609" s="64"/>
      <c r="I2609" s="70"/>
      <c r="J2609" s="70"/>
      <c r="K2609" s="110" t="str">
        <f>IF(H2609="","",IF($C$29="간이법","",FPR(H2609,I2609,J2609)))</f>
        <v/>
      </c>
      <c r="L2609" s="111" t="str">
        <f>IF(H2609="","",IF($C$29="상세법",FPV(H2609,K2609),IF(H2609="EI",4,IF(H2609="EO",5.2,IF(H2609="EQ",3.9,IF(H2609="ILF",7.5,IF(H2609="EIF",5.4)))))))</f>
        <v/>
      </c>
      <c r="M2609" s="112" t="str">
        <f t="shared" si="43"/>
        <v/>
      </c>
      <c r="N2609" s="113"/>
    </row>
    <row r="2610" spans="2:14">
      <c r="B2610" s="105"/>
      <c r="C2610" s="106"/>
      <c r="D2610" s="107"/>
      <c r="E2610" s="65"/>
      <c r="F2610" s="64"/>
      <c r="G2610" s="64"/>
      <c r="H2610" s="64"/>
      <c r="I2610" s="70"/>
      <c r="J2610" s="70"/>
      <c r="K2610" s="110" t="str">
        <f>IF(H2610="","",IF($C$29="간이법","",FPR(H2610,I2610,J2610)))</f>
        <v/>
      </c>
      <c r="L2610" s="111" t="str">
        <f>IF(H2610="","",IF($C$29="상세법",FPV(H2610,K2610),IF(H2610="EI",4,IF(H2610="EO",5.2,IF(H2610="EQ",3.9,IF(H2610="ILF",7.5,IF(H2610="EIF",5.4)))))))</f>
        <v/>
      </c>
      <c r="M2610" s="112" t="str">
        <f t="shared" si="43"/>
        <v/>
      </c>
      <c r="N2610" s="113"/>
    </row>
    <row r="2611" spans="2:14">
      <c r="B2611" s="105"/>
      <c r="C2611" s="106"/>
      <c r="D2611" s="107"/>
      <c r="E2611" s="65"/>
      <c r="F2611" s="64"/>
      <c r="G2611" s="64"/>
      <c r="H2611" s="64"/>
      <c r="I2611" s="70"/>
      <c r="J2611" s="70"/>
      <c r="K2611" s="110" t="str">
        <f>IF(H2611="","",IF($C$29="간이법","",FPR(H2611,I2611,J2611)))</f>
        <v/>
      </c>
      <c r="L2611" s="111" t="str">
        <f>IF(H2611="","",IF($C$29="상세법",FPV(H2611,K2611),IF(H2611="EI",4,IF(H2611="EO",5.2,IF(H2611="EQ",3.9,IF(H2611="ILF",7.5,IF(H2611="EIF",5.4)))))))</f>
        <v/>
      </c>
      <c r="M2611" s="112" t="str">
        <f t="shared" si="43"/>
        <v/>
      </c>
      <c r="N2611" s="113"/>
    </row>
    <row r="2612" spans="2:14">
      <c r="B2612" s="105"/>
      <c r="C2612" s="106"/>
      <c r="D2612" s="107"/>
      <c r="E2612" s="65"/>
      <c r="F2612" s="64"/>
      <c r="G2612" s="64"/>
      <c r="H2612" s="64"/>
      <c r="I2612" s="70"/>
      <c r="J2612" s="70"/>
      <c r="K2612" s="110" t="str">
        <f>IF(H2612="","",IF($C$29="간이법","",FPR(H2612,I2612,J2612)))</f>
        <v/>
      </c>
      <c r="L2612" s="111" t="str">
        <f>IF(H2612="","",IF($C$29="상세법",FPV(H2612,K2612),IF(H2612="EI",4,IF(H2612="EO",5.2,IF(H2612="EQ",3.9,IF(H2612="ILF",7.5,IF(H2612="EIF",5.4)))))))</f>
        <v/>
      </c>
      <c r="M2612" s="112" t="str">
        <f t="shared" si="43"/>
        <v/>
      </c>
      <c r="N2612" s="113"/>
    </row>
    <row r="2613" spans="2:14">
      <c r="B2613" s="105"/>
      <c r="C2613" s="106"/>
      <c r="D2613" s="107"/>
      <c r="E2613" s="65"/>
      <c r="F2613" s="64"/>
      <c r="G2613" s="64"/>
      <c r="H2613" s="64"/>
      <c r="I2613" s="70"/>
      <c r="J2613" s="70"/>
      <c r="K2613" s="110" t="str">
        <f>IF(H2613="","",IF($C$29="간이법","",FPR(H2613,I2613,J2613)))</f>
        <v/>
      </c>
      <c r="L2613" s="111" t="str">
        <f>IF(H2613="","",IF($C$29="상세법",FPV(H2613,K2613),IF(H2613="EI",4,IF(H2613="EO",5.2,IF(H2613="EQ",3.9,IF(H2613="ILF",7.5,IF(H2613="EIF",5.4)))))))</f>
        <v/>
      </c>
      <c r="M2613" s="112" t="str">
        <f t="shared" si="43"/>
        <v/>
      </c>
      <c r="N2613" s="113"/>
    </row>
    <row r="2614" spans="2:14">
      <c r="B2614" s="105"/>
      <c r="C2614" s="106"/>
      <c r="D2614" s="107"/>
      <c r="E2614" s="65"/>
      <c r="F2614" s="64"/>
      <c r="G2614" s="64"/>
      <c r="H2614" s="64"/>
      <c r="I2614" s="70"/>
      <c r="J2614" s="70"/>
      <c r="K2614" s="110" t="str">
        <f>IF(H2614="","",IF($C$29="간이법","",FPR(H2614,I2614,J2614)))</f>
        <v/>
      </c>
      <c r="L2614" s="111" t="str">
        <f>IF(H2614="","",IF($C$29="상세법",FPV(H2614,K2614),IF(H2614="EI",4,IF(H2614="EO",5.2,IF(H2614="EQ",3.9,IF(H2614="ILF",7.5,IF(H2614="EIF",5.4)))))))</f>
        <v/>
      </c>
      <c r="M2614" s="112" t="str">
        <f t="shared" si="43"/>
        <v/>
      </c>
      <c r="N2614" s="113"/>
    </row>
    <row r="2615" spans="2:14">
      <c r="B2615" s="105"/>
      <c r="C2615" s="106"/>
      <c r="D2615" s="107"/>
      <c r="E2615" s="65"/>
      <c r="F2615" s="64"/>
      <c r="G2615" s="64"/>
      <c r="H2615" s="64"/>
      <c r="I2615" s="70"/>
      <c r="J2615" s="70"/>
      <c r="K2615" s="110" t="str">
        <f>IF(H2615="","",IF($C$29="간이법","",FPR(H2615,I2615,J2615)))</f>
        <v/>
      </c>
      <c r="L2615" s="111" t="str">
        <f>IF(H2615="","",IF($C$29="상세법",FPV(H2615,K2615),IF(H2615="EI",4,IF(H2615="EO",5.2,IF(H2615="EQ",3.9,IF(H2615="ILF",7.5,IF(H2615="EIF",5.4)))))))</f>
        <v/>
      </c>
      <c r="M2615" s="112" t="str">
        <f t="shared" si="43"/>
        <v/>
      </c>
      <c r="N2615" s="113"/>
    </row>
    <row r="2616" spans="2:14">
      <c r="B2616" s="105"/>
      <c r="C2616" s="106"/>
      <c r="D2616" s="107"/>
      <c r="E2616" s="65"/>
      <c r="F2616" s="64"/>
      <c r="G2616" s="64"/>
      <c r="H2616" s="64"/>
      <c r="I2616" s="70"/>
      <c r="J2616" s="70"/>
      <c r="K2616" s="110" t="str">
        <f>IF(H2616="","",IF($C$29="간이법","",FPR(H2616,I2616,J2616)))</f>
        <v/>
      </c>
      <c r="L2616" s="111" t="str">
        <f>IF(H2616="","",IF($C$29="상세법",FPV(H2616,K2616),IF(H2616="EI",4,IF(H2616="EO",5.2,IF(H2616="EQ",3.9,IF(H2616="ILF",7.5,IF(H2616="EIF",5.4)))))))</f>
        <v/>
      </c>
      <c r="M2616" s="112" t="str">
        <f t="shared" si="43"/>
        <v/>
      </c>
      <c r="N2616" s="113"/>
    </row>
    <row r="2617" spans="2:14">
      <c r="B2617" s="105"/>
      <c r="C2617" s="106"/>
      <c r="D2617" s="107"/>
      <c r="E2617" s="65"/>
      <c r="F2617" s="64"/>
      <c r="G2617" s="64"/>
      <c r="H2617" s="64"/>
      <c r="I2617" s="70"/>
      <c r="J2617" s="70"/>
      <c r="K2617" s="110" t="str">
        <f>IF(H2617="","",IF($C$29="간이법","",FPR(H2617,I2617,J2617)))</f>
        <v/>
      </c>
      <c r="L2617" s="111" t="str">
        <f>IF(H2617="","",IF($C$29="상세법",FPV(H2617,K2617),IF(H2617="EI",4,IF(H2617="EO",5.2,IF(H2617="EQ",3.9,IF(H2617="ILF",7.5,IF(H2617="EIF",5.4)))))))</f>
        <v/>
      </c>
      <c r="M2617" s="112" t="str">
        <f t="shared" ref="M2617:M2680" si="44">IF(L2617="","",L2617*IF(G2617="상",0.7,IF(G2617="중",0.5,IF(G2617="하",0.2,1))))</f>
        <v/>
      </c>
      <c r="N2617" s="113"/>
    </row>
    <row r="2618" spans="2:14">
      <c r="B2618" s="105"/>
      <c r="C2618" s="106"/>
      <c r="D2618" s="107"/>
      <c r="E2618" s="65"/>
      <c r="F2618" s="64"/>
      <c r="G2618" s="64"/>
      <c r="H2618" s="64"/>
      <c r="I2618" s="70"/>
      <c r="J2618" s="70"/>
      <c r="K2618" s="110" t="str">
        <f>IF(H2618="","",IF($C$29="간이법","",FPR(H2618,I2618,J2618)))</f>
        <v/>
      </c>
      <c r="L2618" s="111" t="str">
        <f>IF(H2618="","",IF($C$29="상세법",FPV(H2618,K2618),IF(H2618="EI",4,IF(H2618="EO",5.2,IF(H2618="EQ",3.9,IF(H2618="ILF",7.5,IF(H2618="EIF",5.4)))))))</f>
        <v/>
      </c>
      <c r="M2618" s="112" t="str">
        <f t="shared" si="44"/>
        <v/>
      </c>
      <c r="N2618" s="113"/>
    </row>
    <row r="2619" spans="2:14">
      <c r="B2619" s="105"/>
      <c r="C2619" s="106"/>
      <c r="D2619" s="107"/>
      <c r="E2619" s="65"/>
      <c r="F2619" s="64"/>
      <c r="G2619" s="64"/>
      <c r="H2619" s="64"/>
      <c r="I2619" s="70"/>
      <c r="J2619" s="70"/>
      <c r="K2619" s="110" t="str">
        <f>IF(H2619="","",IF($C$29="간이법","",FPR(H2619,I2619,J2619)))</f>
        <v/>
      </c>
      <c r="L2619" s="111" t="str">
        <f>IF(H2619="","",IF($C$29="상세법",FPV(H2619,K2619),IF(H2619="EI",4,IF(H2619="EO",5.2,IF(H2619="EQ",3.9,IF(H2619="ILF",7.5,IF(H2619="EIF",5.4)))))))</f>
        <v/>
      </c>
      <c r="M2619" s="112" t="str">
        <f t="shared" si="44"/>
        <v/>
      </c>
      <c r="N2619" s="113"/>
    </row>
    <row r="2620" spans="2:14">
      <c r="B2620" s="105"/>
      <c r="C2620" s="106"/>
      <c r="D2620" s="107"/>
      <c r="E2620" s="65"/>
      <c r="F2620" s="64"/>
      <c r="G2620" s="64"/>
      <c r="H2620" s="64"/>
      <c r="I2620" s="70"/>
      <c r="J2620" s="70"/>
      <c r="K2620" s="110" t="str">
        <f>IF(H2620="","",IF($C$29="간이법","",FPR(H2620,I2620,J2620)))</f>
        <v/>
      </c>
      <c r="L2620" s="111" t="str">
        <f>IF(H2620="","",IF($C$29="상세법",FPV(H2620,K2620),IF(H2620="EI",4,IF(H2620="EO",5.2,IF(H2620="EQ",3.9,IF(H2620="ILF",7.5,IF(H2620="EIF",5.4)))))))</f>
        <v/>
      </c>
      <c r="M2620" s="112" t="str">
        <f t="shared" si="44"/>
        <v/>
      </c>
      <c r="N2620" s="113"/>
    </row>
    <row r="2621" spans="2:14">
      <c r="B2621" s="105"/>
      <c r="C2621" s="106"/>
      <c r="D2621" s="107"/>
      <c r="E2621" s="65"/>
      <c r="F2621" s="64"/>
      <c r="G2621" s="64"/>
      <c r="H2621" s="64"/>
      <c r="I2621" s="70"/>
      <c r="J2621" s="70"/>
      <c r="K2621" s="110" t="str">
        <f>IF(H2621="","",IF($C$29="간이법","",FPR(H2621,I2621,J2621)))</f>
        <v/>
      </c>
      <c r="L2621" s="111" t="str">
        <f>IF(H2621="","",IF($C$29="상세법",FPV(H2621,K2621),IF(H2621="EI",4,IF(H2621="EO",5.2,IF(H2621="EQ",3.9,IF(H2621="ILF",7.5,IF(H2621="EIF",5.4)))))))</f>
        <v/>
      </c>
      <c r="M2621" s="112" t="str">
        <f t="shared" si="44"/>
        <v/>
      </c>
      <c r="N2621" s="113"/>
    </row>
    <row r="2622" spans="2:14">
      <c r="B2622" s="105"/>
      <c r="C2622" s="106"/>
      <c r="D2622" s="107"/>
      <c r="E2622" s="65"/>
      <c r="F2622" s="64"/>
      <c r="G2622" s="64"/>
      <c r="H2622" s="64"/>
      <c r="I2622" s="70"/>
      <c r="J2622" s="70"/>
      <c r="K2622" s="110" t="str">
        <f>IF(H2622="","",IF($C$29="간이법","",FPR(H2622,I2622,J2622)))</f>
        <v/>
      </c>
      <c r="L2622" s="111" t="str">
        <f>IF(H2622="","",IF($C$29="상세법",FPV(H2622,K2622),IF(H2622="EI",4,IF(H2622="EO",5.2,IF(H2622="EQ",3.9,IF(H2622="ILF",7.5,IF(H2622="EIF",5.4)))))))</f>
        <v/>
      </c>
      <c r="M2622" s="112" t="str">
        <f t="shared" si="44"/>
        <v/>
      </c>
      <c r="N2622" s="113"/>
    </row>
    <row r="2623" spans="2:14">
      <c r="B2623" s="105"/>
      <c r="C2623" s="106"/>
      <c r="D2623" s="107"/>
      <c r="E2623" s="65"/>
      <c r="F2623" s="64"/>
      <c r="G2623" s="64"/>
      <c r="H2623" s="64"/>
      <c r="I2623" s="70"/>
      <c r="J2623" s="70"/>
      <c r="K2623" s="110" t="str">
        <f>IF(H2623="","",IF($C$29="간이법","",FPR(H2623,I2623,J2623)))</f>
        <v/>
      </c>
      <c r="L2623" s="111" t="str">
        <f>IF(H2623="","",IF($C$29="상세법",FPV(H2623,K2623),IF(H2623="EI",4,IF(H2623="EO",5.2,IF(H2623="EQ",3.9,IF(H2623="ILF",7.5,IF(H2623="EIF",5.4)))))))</f>
        <v/>
      </c>
      <c r="M2623" s="112" t="str">
        <f t="shared" si="44"/>
        <v/>
      </c>
      <c r="N2623" s="113"/>
    </row>
    <row r="2624" spans="2:14">
      <c r="B2624" s="105"/>
      <c r="C2624" s="106"/>
      <c r="D2624" s="107"/>
      <c r="E2624" s="65"/>
      <c r="F2624" s="64"/>
      <c r="G2624" s="64"/>
      <c r="H2624" s="64"/>
      <c r="I2624" s="70"/>
      <c r="J2624" s="70"/>
      <c r="K2624" s="110" t="str">
        <f>IF(H2624="","",IF($C$29="간이법","",FPR(H2624,I2624,J2624)))</f>
        <v/>
      </c>
      <c r="L2624" s="111" t="str">
        <f>IF(H2624="","",IF($C$29="상세법",FPV(H2624,K2624),IF(H2624="EI",4,IF(H2624="EO",5.2,IF(H2624="EQ",3.9,IF(H2624="ILF",7.5,IF(H2624="EIF",5.4)))))))</f>
        <v/>
      </c>
      <c r="M2624" s="112" t="str">
        <f t="shared" si="44"/>
        <v/>
      </c>
      <c r="N2624" s="113"/>
    </row>
    <row r="2625" spans="2:14">
      <c r="B2625" s="105"/>
      <c r="C2625" s="106"/>
      <c r="D2625" s="107"/>
      <c r="E2625" s="65"/>
      <c r="F2625" s="64"/>
      <c r="G2625" s="64"/>
      <c r="H2625" s="64"/>
      <c r="I2625" s="70"/>
      <c r="J2625" s="70"/>
      <c r="K2625" s="110" t="str">
        <f>IF(H2625="","",IF($C$29="간이법","",FPR(H2625,I2625,J2625)))</f>
        <v/>
      </c>
      <c r="L2625" s="111" t="str">
        <f>IF(H2625="","",IF($C$29="상세법",FPV(H2625,K2625),IF(H2625="EI",4,IF(H2625="EO",5.2,IF(H2625="EQ",3.9,IF(H2625="ILF",7.5,IF(H2625="EIF",5.4)))))))</f>
        <v/>
      </c>
      <c r="M2625" s="112" t="str">
        <f t="shared" si="44"/>
        <v/>
      </c>
      <c r="N2625" s="113"/>
    </row>
    <row r="2626" spans="2:14">
      <c r="B2626" s="105"/>
      <c r="C2626" s="106"/>
      <c r="D2626" s="107"/>
      <c r="E2626" s="65"/>
      <c r="F2626" s="64"/>
      <c r="G2626" s="64"/>
      <c r="H2626" s="64"/>
      <c r="I2626" s="70"/>
      <c r="J2626" s="70"/>
      <c r="K2626" s="110" t="str">
        <f>IF(H2626="","",IF($C$29="간이법","",FPR(H2626,I2626,J2626)))</f>
        <v/>
      </c>
      <c r="L2626" s="111" t="str">
        <f>IF(H2626="","",IF($C$29="상세법",FPV(H2626,K2626),IF(H2626="EI",4,IF(H2626="EO",5.2,IF(H2626="EQ",3.9,IF(H2626="ILF",7.5,IF(H2626="EIF",5.4)))))))</f>
        <v/>
      </c>
      <c r="M2626" s="112" t="str">
        <f t="shared" si="44"/>
        <v/>
      </c>
      <c r="N2626" s="113"/>
    </row>
    <row r="2627" spans="2:14">
      <c r="B2627" s="105"/>
      <c r="C2627" s="106"/>
      <c r="D2627" s="107"/>
      <c r="E2627" s="65"/>
      <c r="F2627" s="64"/>
      <c r="G2627" s="64"/>
      <c r="H2627" s="64"/>
      <c r="I2627" s="70"/>
      <c r="J2627" s="70"/>
      <c r="K2627" s="110" t="str">
        <f>IF(H2627="","",IF($C$29="간이법","",FPR(H2627,I2627,J2627)))</f>
        <v/>
      </c>
      <c r="L2627" s="111" t="str">
        <f>IF(H2627="","",IF($C$29="상세법",FPV(H2627,K2627),IF(H2627="EI",4,IF(H2627="EO",5.2,IF(H2627="EQ",3.9,IF(H2627="ILF",7.5,IF(H2627="EIF",5.4)))))))</f>
        <v/>
      </c>
      <c r="M2627" s="112" t="str">
        <f t="shared" si="44"/>
        <v/>
      </c>
      <c r="N2627" s="113"/>
    </row>
    <row r="2628" spans="2:14">
      <c r="B2628" s="105"/>
      <c r="C2628" s="106"/>
      <c r="D2628" s="107"/>
      <c r="E2628" s="65"/>
      <c r="F2628" s="64"/>
      <c r="G2628" s="64"/>
      <c r="H2628" s="64"/>
      <c r="I2628" s="70"/>
      <c r="J2628" s="70"/>
      <c r="K2628" s="110" t="str">
        <f>IF(H2628="","",IF($C$29="간이법","",FPR(H2628,I2628,J2628)))</f>
        <v/>
      </c>
      <c r="L2628" s="111" t="str">
        <f>IF(H2628="","",IF($C$29="상세법",FPV(H2628,K2628),IF(H2628="EI",4,IF(H2628="EO",5.2,IF(H2628="EQ",3.9,IF(H2628="ILF",7.5,IF(H2628="EIF",5.4)))))))</f>
        <v/>
      </c>
      <c r="M2628" s="112" t="str">
        <f t="shared" si="44"/>
        <v/>
      </c>
      <c r="N2628" s="113"/>
    </row>
    <row r="2629" spans="2:14">
      <c r="B2629" s="105"/>
      <c r="C2629" s="106"/>
      <c r="D2629" s="107"/>
      <c r="E2629" s="65"/>
      <c r="F2629" s="64"/>
      <c r="G2629" s="64"/>
      <c r="H2629" s="64"/>
      <c r="I2629" s="70"/>
      <c r="J2629" s="70"/>
      <c r="K2629" s="110" t="str">
        <f>IF(H2629="","",IF($C$29="간이법","",FPR(H2629,I2629,J2629)))</f>
        <v/>
      </c>
      <c r="L2629" s="111" t="str">
        <f>IF(H2629="","",IF($C$29="상세법",FPV(H2629,K2629),IF(H2629="EI",4,IF(H2629="EO",5.2,IF(H2629="EQ",3.9,IF(H2629="ILF",7.5,IF(H2629="EIF",5.4)))))))</f>
        <v/>
      </c>
      <c r="M2629" s="112" t="str">
        <f t="shared" si="44"/>
        <v/>
      </c>
      <c r="N2629" s="113"/>
    </row>
    <row r="2630" spans="2:14">
      <c r="B2630" s="105"/>
      <c r="C2630" s="106"/>
      <c r="D2630" s="107"/>
      <c r="E2630" s="65"/>
      <c r="F2630" s="64"/>
      <c r="G2630" s="64"/>
      <c r="H2630" s="64"/>
      <c r="I2630" s="70"/>
      <c r="J2630" s="70"/>
      <c r="K2630" s="110" t="str">
        <f>IF(H2630="","",IF($C$29="간이법","",FPR(H2630,I2630,J2630)))</f>
        <v/>
      </c>
      <c r="L2630" s="111" t="str">
        <f>IF(H2630="","",IF($C$29="상세법",FPV(H2630,K2630),IF(H2630="EI",4,IF(H2630="EO",5.2,IF(H2630="EQ",3.9,IF(H2630="ILF",7.5,IF(H2630="EIF",5.4)))))))</f>
        <v/>
      </c>
      <c r="M2630" s="112" t="str">
        <f t="shared" si="44"/>
        <v/>
      </c>
      <c r="N2630" s="113"/>
    </row>
    <row r="2631" spans="2:14">
      <c r="B2631" s="105"/>
      <c r="C2631" s="106"/>
      <c r="D2631" s="107"/>
      <c r="E2631" s="65"/>
      <c r="F2631" s="64"/>
      <c r="G2631" s="64"/>
      <c r="H2631" s="64"/>
      <c r="I2631" s="70"/>
      <c r="J2631" s="70"/>
      <c r="K2631" s="110" t="str">
        <f>IF(H2631="","",IF($C$29="간이법","",FPR(H2631,I2631,J2631)))</f>
        <v/>
      </c>
      <c r="L2631" s="111" t="str">
        <f>IF(H2631="","",IF($C$29="상세법",FPV(H2631,K2631),IF(H2631="EI",4,IF(H2631="EO",5.2,IF(H2631="EQ",3.9,IF(H2631="ILF",7.5,IF(H2631="EIF",5.4)))))))</f>
        <v/>
      </c>
      <c r="M2631" s="112" t="str">
        <f t="shared" si="44"/>
        <v/>
      </c>
      <c r="N2631" s="113"/>
    </row>
    <row r="2632" spans="2:14">
      <c r="B2632" s="105"/>
      <c r="C2632" s="106"/>
      <c r="D2632" s="107"/>
      <c r="E2632" s="65"/>
      <c r="F2632" s="64"/>
      <c r="G2632" s="64"/>
      <c r="H2632" s="64"/>
      <c r="I2632" s="70"/>
      <c r="J2632" s="70"/>
      <c r="K2632" s="110" t="str">
        <f>IF(H2632="","",IF($C$29="간이법","",FPR(H2632,I2632,J2632)))</f>
        <v/>
      </c>
      <c r="L2632" s="111" t="str">
        <f>IF(H2632="","",IF($C$29="상세법",FPV(H2632,K2632),IF(H2632="EI",4,IF(H2632="EO",5.2,IF(H2632="EQ",3.9,IF(H2632="ILF",7.5,IF(H2632="EIF",5.4)))))))</f>
        <v/>
      </c>
      <c r="M2632" s="112" t="str">
        <f t="shared" si="44"/>
        <v/>
      </c>
      <c r="N2632" s="113"/>
    </row>
    <row r="2633" spans="2:14">
      <c r="B2633" s="105"/>
      <c r="C2633" s="106"/>
      <c r="D2633" s="107"/>
      <c r="E2633" s="65"/>
      <c r="F2633" s="64"/>
      <c r="G2633" s="64"/>
      <c r="H2633" s="64"/>
      <c r="I2633" s="70"/>
      <c r="J2633" s="70"/>
      <c r="K2633" s="110" t="str">
        <f>IF(H2633="","",IF($C$29="간이법","",FPR(H2633,I2633,J2633)))</f>
        <v/>
      </c>
      <c r="L2633" s="111" t="str">
        <f>IF(H2633="","",IF($C$29="상세법",FPV(H2633,K2633),IF(H2633="EI",4,IF(H2633="EO",5.2,IF(H2633="EQ",3.9,IF(H2633="ILF",7.5,IF(H2633="EIF",5.4)))))))</f>
        <v/>
      </c>
      <c r="M2633" s="112" t="str">
        <f t="shared" si="44"/>
        <v/>
      </c>
      <c r="N2633" s="113"/>
    </row>
    <row r="2634" spans="2:14">
      <c r="B2634" s="105"/>
      <c r="C2634" s="106"/>
      <c r="D2634" s="107"/>
      <c r="E2634" s="65"/>
      <c r="F2634" s="64"/>
      <c r="G2634" s="64"/>
      <c r="H2634" s="64"/>
      <c r="I2634" s="70"/>
      <c r="J2634" s="70"/>
      <c r="K2634" s="110" t="str">
        <f>IF(H2634="","",IF($C$29="간이법","",FPR(H2634,I2634,J2634)))</f>
        <v/>
      </c>
      <c r="L2634" s="111" t="str">
        <f>IF(H2634="","",IF($C$29="상세법",FPV(H2634,K2634),IF(H2634="EI",4,IF(H2634="EO",5.2,IF(H2634="EQ",3.9,IF(H2634="ILF",7.5,IF(H2634="EIF",5.4)))))))</f>
        <v/>
      </c>
      <c r="M2634" s="112" t="str">
        <f t="shared" si="44"/>
        <v/>
      </c>
      <c r="N2634" s="113"/>
    </row>
    <row r="2635" spans="2:14">
      <c r="B2635" s="105"/>
      <c r="C2635" s="106"/>
      <c r="D2635" s="107"/>
      <c r="E2635" s="65"/>
      <c r="F2635" s="64"/>
      <c r="G2635" s="64"/>
      <c r="H2635" s="64"/>
      <c r="I2635" s="70"/>
      <c r="J2635" s="70"/>
      <c r="K2635" s="110" t="str">
        <f>IF(H2635="","",IF($C$29="간이법","",FPR(H2635,I2635,J2635)))</f>
        <v/>
      </c>
      <c r="L2635" s="111" t="str">
        <f>IF(H2635="","",IF($C$29="상세법",FPV(H2635,K2635),IF(H2635="EI",4,IF(H2635="EO",5.2,IF(H2635="EQ",3.9,IF(H2635="ILF",7.5,IF(H2635="EIF",5.4)))))))</f>
        <v/>
      </c>
      <c r="M2635" s="112" t="str">
        <f t="shared" si="44"/>
        <v/>
      </c>
      <c r="N2635" s="113"/>
    </row>
    <row r="2636" spans="2:14">
      <c r="B2636" s="105"/>
      <c r="C2636" s="106"/>
      <c r="D2636" s="107"/>
      <c r="E2636" s="65"/>
      <c r="F2636" s="64"/>
      <c r="G2636" s="64"/>
      <c r="H2636" s="64"/>
      <c r="I2636" s="70"/>
      <c r="J2636" s="70"/>
      <c r="K2636" s="110" t="str">
        <f>IF(H2636="","",IF($C$29="간이법","",FPR(H2636,I2636,J2636)))</f>
        <v/>
      </c>
      <c r="L2636" s="111" t="str">
        <f>IF(H2636="","",IF($C$29="상세법",FPV(H2636,K2636),IF(H2636="EI",4,IF(H2636="EO",5.2,IF(H2636="EQ",3.9,IF(H2636="ILF",7.5,IF(H2636="EIF",5.4)))))))</f>
        <v/>
      </c>
      <c r="M2636" s="112" t="str">
        <f t="shared" si="44"/>
        <v/>
      </c>
      <c r="N2636" s="113"/>
    </row>
    <row r="2637" spans="2:14">
      <c r="B2637" s="105"/>
      <c r="C2637" s="106"/>
      <c r="D2637" s="107"/>
      <c r="E2637" s="65"/>
      <c r="F2637" s="64"/>
      <c r="G2637" s="64"/>
      <c r="H2637" s="64"/>
      <c r="I2637" s="70"/>
      <c r="J2637" s="70"/>
      <c r="K2637" s="110" t="str">
        <f>IF(H2637="","",IF($C$29="간이법","",FPR(H2637,I2637,J2637)))</f>
        <v/>
      </c>
      <c r="L2637" s="111" t="str">
        <f>IF(H2637="","",IF($C$29="상세법",FPV(H2637,K2637),IF(H2637="EI",4,IF(H2637="EO",5.2,IF(H2637="EQ",3.9,IF(H2637="ILF",7.5,IF(H2637="EIF",5.4)))))))</f>
        <v/>
      </c>
      <c r="M2637" s="112" t="str">
        <f t="shared" si="44"/>
        <v/>
      </c>
      <c r="N2637" s="113"/>
    </row>
    <row r="2638" spans="2:14">
      <c r="B2638" s="105"/>
      <c r="C2638" s="106"/>
      <c r="D2638" s="107"/>
      <c r="E2638" s="65"/>
      <c r="F2638" s="64"/>
      <c r="G2638" s="64"/>
      <c r="H2638" s="64"/>
      <c r="I2638" s="70"/>
      <c r="J2638" s="70"/>
      <c r="K2638" s="110" t="str">
        <f>IF(H2638="","",IF($C$29="간이법","",FPR(H2638,I2638,J2638)))</f>
        <v/>
      </c>
      <c r="L2638" s="111" t="str">
        <f>IF(H2638="","",IF($C$29="상세법",FPV(H2638,K2638),IF(H2638="EI",4,IF(H2638="EO",5.2,IF(H2638="EQ",3.9,IF(H2638="ILF",7.5,IF(H2638="EIF",5.4)))))))</f>
        <v/>
      </c>
      <c r="M2638" s="112" t="str">
        <f t="shared" si="44"/>
        <v/>
      </c>
      <c r="N2638" s="113"/>
    </row>
    <row r="2639" spans="2:14">
      <c r="B2639" s="105"/>
      <c r="C2639" s="106"/>
      <c r="D2639" s="107"/>
      <c r="E2639" s="65"/>
      <c r="F2639" s="64"/>
      <c r="G2639" s="64"/>
      <c r="H2639" s="64"/>
      <c r="I2639" s="70"/>
      <c r="J2639" s="70"/>
      <c r="K2639" s="110" t="str">
        <f>IF(H2639="","",IF($C$29="간이법","",FPR(H2639,I2639,J2639)))</f>
        <v/>
      </c>
      <c r="L2639" s="111" t="str">
        <f>IF(H2639="","",IF($C$29="상세법",FPV(H2639,K2639),IF(H2639="EI",4,IF(H2639="EO",5.2,IF(H2639="EQ",3.9,IF(H2639="ILF",7.5,IF(H2639="EIF",5.4)))))))</f>
        <v/>
      </c>
      <c r="M2639" s="112" t="str">
        <f t="shared" si="44"/>
        <v/>
      </c>
      <c r="N2639" s="113"/>
    </row>
    <row r="2640" spans="2:14">
      <c r="B2640" s="105"/>
      <c r="C2640" s="106"/>
      <c r="D2640" s="107"/>
      <c r="E2640" s="65"/>
      <c r="F2640" s="64"/>
      <c r="G2640" s="64"/>
      <c r="H2640" s="64"/>
      <c r="I2640" s="70"/>
      <c r="J2640" s="70"/>
      <c r="K2640" s="110" t="str">
        <f>IF(H2640="","",IF($C$29="간이법","",FPR(H2640,I2640,J2640)))</f>
        <v/>
      </c>
      <c r="L2640" s="111" t="str">
        <f>IF(H2640="","",IF($C$29="상세법",FPV(H2640,K2640),IF(H2640="EI",4,IF(H2640="EO",5.2,IF(H2640="EQ",3.9,IF(H2640="ILF",7.5,IF(H2640="EIF",5.4)))))))</f>
        <v/>
      </c>
      <c r="M2640" s="112" t="str">
        <f t="shared" si="44"/>
        <v/>
      </c>
      <c r="N2640" s="113"/>
    </row>
    <row r="2641" spans="2:14">
      <c r="B2641" s="105"/>
      <c r="C2641" s="106"/>
      <c r="D2641" s="107"/>
      <c r="E2641" s="65"/>
      <c r="F2641" s="64"/>
      <c r="G2641" s="64"/>
      <c r="H2641" s="64"/>
      <c r="I2641" s="70"/>
      <c r="J2641" s="70"/>
      <c r="K2641" s="110" t="str">
        <f>IF(H2641="","",IF($C$29="간이법","",FPR(H2641,I2641,J2641)))</f>
        <v/>
      </c>
      <c r="L2641" s="111" t="str">
        <f>IF(H2641="","",IF($C$29="상세법",FPV(H2641,K2641),IF(H2641="EI",4,IF(H2641="EO",5.2,IF(H2641="EQ",3.9,IF(H2641="ILF",7.5,IF(H2641="EIF",5.4)))))))</f>
        <v/>
      </c>
      <c r="M2641" s="112" t="str">
        <f t="shared" si="44"/>
        <v/>
      </c>
      <c r="N2641" s="113"/>
    </row>
    <row r="2642" spans="2:14">
      <c r="B2642" s="105"/>
      <c r="C2642" s="106"/>
      <c r="D2642" s="107"/>
      <c r="E2642" s="65"/>
      <c r="F2642" s="64"/>
      <c r="G2642" s="64"/>
      <c r="H2642" s="64"/>
      <c r="I2642" s="70"/>
      <c r="J2642" s="70"/>
      <c r="K2642" s="110" t="str">
        <f>IF(H2642="","",IF($C$29="간이법","",FPR(H2642,I2642,J2642)))</f>
        <v/>
      </c>
      <c r="L2642" s="111" t="str">
        <f>IF(H2642="","",IF($C$29="상세법",FPV(H2642,K2642),IF(H2642="EI",4,IF(H2642="EO",5.2,IF(H2642="EQ",3.9,IF(H2642="ILF",7.5,IF(H2642="EIF",5.4)))))))</f>
        <v/>
      </c>
      <c r="M2642" s="112" t="str">
        <f t="shared" si="44"/>
        <v/>
      </c>
      <c r="N2642" s="113"/>
    </row>
    <row r="2643" spans="2:14">
      <c r="B2643" s="105"/>
      <c r="C2643" s="106"/>
      <c r="D2643" s="107"/>
      <c r="E2643" s="65"/>
      <c r="F2643" s="64"/>
      <c r="G2643" s="64"/>
      <c r="H2643" s="64"/>
      <c r="I2643" s="70"/>
      <c r="J2643" s="70"/>
      <c r="K2643" s="110" t="str">
        <f>IF(H2643="","",IF($C$29="간이법","",FPR(H2643,I2643,J2643)))</f>
        <v/>
      </c>
      <c r="L2643" s="111" t="str">
        <f>IF(H2643="","",IF($C$29="상세법",FPV(H2643,K2643),IF(H2643="EI",4,IF(H2643="EO",5.2,IF(H2643="EQ",3.9,IF(H2643="ILF",7.5,IF(H2643="EIF",5.4)))))))</f>
        <v/>
      </c>
      <c r="M2643" s="112" t="str">
        <f t="shared" si="44"/>
        <v/>
      </c>
      <c r="N2643" s="113"/>
    </row>
    <row r="2644" spans="2:14">
      <c r="B2644" s="105"/>
      <c r="C2644" s="106"/>
      <c r="D2644" s="107"/>
      <c r="E2644" s="65"/>
      <c r="F2644" s="64"/>
      <c r="G2644" s="64"/>
      <c r="H2644" s="64"/>
      <c r="I2644" s="70"/>
      <c r="J2644" s="70"/>
      <c r="K2644" s="110" t="str">
        <f>IF(H2644="","",IF($C$29="간이법","",FPR(H2644,I2644,J2644)))</f>
        <v/>
      </c>
      <c r="L2644" s="111" t="str">
        <f>IF(H2644="","",IF($C$29="상세법",FPV(H2644,K2644),IF(H2644="EI",4,IF(H2644="EO",5.2,IF(H2644="EQ",3.9,IF(H2644="ILF",7.5,IF(H2644="EIF",5.4)))))))</f>
        <v/>
      </c>
      <c r="M2644" s="112" t="str">
        <f t="shared" si="44"/>
        <v/>
      </c>
      <c r="N2644" s="113"/>
    </row>
    <row r="2645" spans="2:14">
      <c r="B2645" s="105"/>
      <c r="C2645" s="106"/>
      <c r="D2645" s="107"/>
      <c r="E2645" s="65"/>
      <c r="F2645" s="64"/>
      <c r="G2645" s="64"/>
      <c r="H2645" s="64"/>
      <c r="I2645" s="70"/>
      <c r="J2645" s="70"/>
      <c r="K2645" s="110" t="str">
        <f>IF(H2645="","",IF($C$29="간이법","",FPR(H2645,I2645,J2645)))</f>
        <v/>
      </c>
      <c r="L2645" s="111" t="str">
        <f>IF(H2645="","",IF($C$29="상세법",FPV(H2645,K2645),IF(H2645="EI",4,IF(H2645="EO",5.2,IF(H2645="EQ",3.9,IF(H2645="ILF",7.5,IF(H2645="EIF",5.4)))))))</f>
        <v/>
      </c>
      <c r="M2645" s="112" t="str">
        <f t="shared" si="44"/>
        <v/>
      </c>
      <c r="N2645" s="113"/>
    </row>
    <row r="2646" spans="2:14">
      <c r="B2646" s="105"/>
      <c r="C2646" s="106"/>
      <c r="D2646" s="107"/>
      <c r="E2646" s="65"/>
      <c r="F2646" s="64"/>
      <c r="G2646" s="64"/>
      <c r="H2646" s="64"/>
      <c r="I2646" s="70"/>
      <c r="J2646" s="70"/>
      <c r="K2646" s="110" t="str">
        <f>IF(H2646="","",IF($C$29="간이법","",FPR(H2646,I2646,J2646)))</f>
        <v/>
      </c>
      <c r="L2646" s="111" t="str">
        <f>IF(H2646="","",IF($C$29="상세법",FPV(H2646,K2646),IF(H2646="EI",4,IF(H2646="EO",5.2,IF(H2646="EQ",3.9,IF(H2646="ILF",7.5,IF(H2646="EIF",5.4)))))))</f>
        <v/>
      </c>
      <c r="M2646" s="112" t="str">
        <f t="shared" si="44"/>
        <v/>
      </c>
      <c r="N2646" s="113"/>
    </row>
    <row r="2647" spans="2:14">
      <c r="B2647" s="105"/>
      <c r="C2647" s="106"/>
      <c r="D2647" s="107"/>
      <c r="E2647" s="65"/>
      <c r="F2647" s="64"/>
      <c r="G2647" s="64"/>
      <c r="H2647" s="64"/>
      <c r="I2647" s="70"/>
      <c r="J2647" s="70"/>
      <c r="K2647" s="110" t="str">
        <f>IF(H2647="","",IF($C$29="간이법","",FPR(H2647,I2647,J2647)))</f>
        <v/>
      </c>
      <c r="L2647" s="111" t="str">
        <f>IF(H2647="","",IF($C$29="상세법",FPV(H2647,K2647),IF(H2647="EI",4,IF(H2647="EO",5.2,IF(H2647="EQ",3.9,IF(H2647="ILF",7.5,IF(H2647="EIF",5.4)))))))</f>
        <v/>
      </c>
      <c r="M2647" s="112" t="str">
        <f t="shared" si="44"/>
        <v/>
      </c>
      <c r="N2647" s="113"/>
    </row>
    <row r="2648" spans="2:14">
      <c r="B2648" s="105"/>
      <c r="C2648" s="106"/>
      <c r="D2648" s="107"/>
      <c r="E2648" s="65"/>
      <c r="F2648" s="64"/>
      <c r="G2648" s="64"/>
      <c r="H2648" s="64"/>
      <c r="I2648" s="70"/>
      <c r="J2648" s="70"/>
      <c r="K2648" s="110" t="str">
        <f>IF(H2648="","",IF($C$29="간이법","",FPR(H2648,I2648,J2648)))</f>
        <v/>
      </c>
      <c r="L2648" s="111" t="str">
        <f>IF(H2648="","",IF($C$29="상세법",FPV(H2648,K2648),IF(H2648="EI",4,IF(H2648="EO",5.2,IF(H2648="EQ",3.9,IF(H2648="ILF",7.5,IF(H2648="EIF",5.4)))))))</f>
        <v/>
      </c>
      <c r="M2648" s="112" t="str">
        <f t="shared" si="44"/>
        <v/>
      </c>
      <c r="N2648" s="113"/>
    </row>
    <row r="2649" spans="2:14">
      <c r="B2649" s="105"/>
      <c r="C2649" s="106"/>
      <c r="D2649" s="107"/>
      <c r="E2649" s="65"/>
      <c r="F2649" s="64"/>
      <c r="G2649" s="64"/>
      <c r="H2649" s="64"/>
      <c r="I2649" s="70"/>
      <c r="J2649" s="70"/>
      <c r="K2649" s="110" t="str">
        <f>IF(H2649="","",IF($C$29="간이법","",FPR(H2649,I2649,J2649)))</f>
        <v/>
      </c>
      <c r="L2649" s="111" t="str">
        <f>IF(H2649="","",IF($C$29="상세법",FPV(H2649,K2649),IF(H2649="EI",4,IF(H2649="EO",5.2,IF(H2649="EQ",3.9,IF(H2649="ILF",7.5,IF(H2649="EIF",5.4)))))))</f>
        <v/>
      </c>
      <c r="M2649" s="112" t="str">
        <f t="shared" si="44"/>
        <v/>
      </c>
      <c r="N2649" s="113"/>
    </row>
    <row r="2650" spans="2:14">
      <c r="B2650" s="105"/>
      <c r="C2650" s="106"/>
      <c r="D2650" s="107"/>
      <c r="E2650" s="65"/>
      <c r="F2650" s="64"/>
      <c r="G2650" s="64"/>
      <c r="H2650" s="64"/>
      <c r="I2650" s="70"/>
      <c r="J2650" s="70"/>
      <c r="K2650" s="110" t="str">
        <f>IF(H2650="","",IF($C$29="간이법","",FPR(H2650,I2650,J2650)))</f>
        <v/>
      </c>
      <c r="L2650" s="111" t="str">
        <f>IF(H2650="","",IF($C$29="상세법",FPV(H2650,K2650),IF(H2650="EI",4,IF(H2650="EO",5.2,IF(H2650="EQ",3.9,IF(H2650="ILF",7.5,IF(H2650="EIF",5.4)))))))</f>
        <v/>
      </c>
      <c r="M2650" s="112" t="str">
        <f t="shared" si="44"/>
        <v/>
      </c>
      <c r="N2650" s="113"/>
    </row>
    <row r="2651" spans="2:14">
      <c r="B2651" s="105"/>
      <c r="C2651" s="106"/>
      <c r="D2651" s="107"/>
      <c r="E2651" s="65"/>
      <c r="F2651" s="64"/>
      <c r="G2651" s="64"/>
      <c r="H2651" s="64"/>
      <c r="I2651" s="70"/>
      <c r="J2651" s="70"/>
      <c r="K2651" s="110" t="str">
        <f>IF(H2651="","",IF($C$29="간이법","",FPR(H2651,I2651,J2651)))</f>
        <v/>
      </c>
      <c r="L2651" s="111" t="str">
        <f>IF(H2651="","",IF($C$29="상세법",FPV(H2651,K2651),IF(H2651="EI",4,IF(H2651="EO",5.2,IF(H2651="EQ",3.9,IF(H2651="ILF",7.5,IF(H2651="EIF",5.4)))))))</f>
        <v/>
      </c>
      <c r="M2651" s="112" t="str">
        <f t="shared" si="44"/>
        <v/>
      </c>
      <c r="N2651" s="113"/>
    </row>
    <row r="2652" spans="2:14">
      <c r="B2652" s="105"/>
      <c r="C2652" s="106"/>
      <c r="D2652" s="107"/>
      <c r="E2652" s="65"/>
      <c r="F2652" s="64"/>
      <c r="G2652" s="64"/>
      <c r="H2652" s="64"/>
      <c r="I2652" s="70"/>
      <c r="J2652" s="70"/>
      <c r="K2652" s="110" t="str">
        <f>IF(H2652="","",IF($C$29="간이법","",FPR(H2652,I2652,J2652)))</f>
        <v/>
      </c>
      <c r="L2652" s="111" t="str">
        <f>IF(H2652="","",IF($C$29="상세법",FPV(H2652,K2652),IF(H2652="EI",4,IF(H2652="EO",5.2,IF(H2652="EQ",3.9,IF(H2652="ILF",7.5,IF(H2652="EIF",5.4)))))))</f>
        <v/>
      </c>
      <c r="M2652" s="112" t="str">
        <f t="shared" si="44"/>
        <v/>
      </c>
      <c r="N2652" s="113"/>
    </row>
    <row r="2653" spans="2:14">
      <c r="B2653" s="105"/>
      <c r="C2653" s="106"/>
      <c r="D2653" s="107"/>
      <c r="E2653" s="65"/>
      <c r="F2653" s="64"/>
      <c r="G2653" s="64"/>
      <c r="H2653" s="64"/>
      <c r="I2653" s="70"/>
      <c r="J2653" s="70"/>
      <c r="K2653" s="110" t="str">
        <f>IF(H2653="","",IF($C$29="간이법","",FPR(H2653,I2653,J2653)))</f>
        <v/>
      </c>
      <c r="L2653" s="111" t="str">
        <f>IF(H2653="","",IF($C$29="상세법",FPV(H2653,K2653),IF(H2653="EI",4,IF(H2653="EO",5.2,IF(H2653="EQ",3.9,IF(H2653="ILF",7.5,IF(H2653="EIF",5.4)))))))</f>
        <v/>
      </c>
      <c r="M2653" s="112" t="str">
        <f t="shared" si="44"/>
        <v/>
      </c>
      <c r="N2653" s="113"/>
    </row>
    <row r="2654" spans="2:14">
      <c r="B2654" s="105"/>
      <c r="C2654" s="106"/>
      <c r="D2654" s="107"/>
      <c r="E2654" s="65"/>
      <c r="F2654" s="64"/>
      <c r="G2654" s="64"/>
      <c r="H2654" s="64"/>
      <c r="I2654" s="70"/>
      <c r="J2654" s="70"/>
      <c r="K2654" s="110" t="str">
        <f>IF(H2654="","",IF($C$29="간이법","",FPR(H2654,I2654,J2654)))</f>
        <v/>
      </c>
      <c r="L2654" s="111" t="str">
        <f>IF(H2654="","",IF($C$29="상세법",FPV(H2654,K2654),IF(H2654="EI",4,IF(H2654="EO",5.2,IF(H2654="EQ",3.9,IF(H2654="ILF",7.5,IF(H2654="EIF",5.4)))))))</f>
        <v/>
      </c>
      <c r="M2654" s="112" t="str">
        <f t="shared" si="44"/>
        <v/>
      </c>
      <c r="N2654" s="113"/>
    </row>
    <row r="2655" spans="2:14">
      <c r="B2655" s="105"/>
      <c r="C2655" s="106"/>
      <c r="D2655" s="107"/>
      <c r="E2655" s="65"/>
      <c r="F2655" s="64"/>
      <c r="G2655" s="64"/>
      <c r="H2655" s="64"/>
      <c r="I2655" s="70"/>
      <c r="J2655" s="70"/>
      <c r="K2655" s="110" t="str">
        <f>IF(H2655="","",IF($C$29="간이법","",FPR(H2655,I2655,J2655)))</f>
        <v/>
      </c>
      <c r="L2655" s="111" t="str">
        <f>IF(H2655="","",IF($C$29="상세법",FPV(H2655,K2655),IF(H2655="EI",4,IF(H2655="EO",5.2,IF(H2655="EQ",3.9,IF(H2655="ILF",7.5,IF(H2655="EIF",5.4)))))))</f>
        <v/>
      </c>
      <c r="M2655" s="112" t="str">
        <f t="shared" si="44"/>
        <v/>
      </c>
      <c r="N2655" s="113"/>
    </row>
    <row r="2656" spans="2:14">
      <c r="B2656" s="105"/>
      <c r="C2656" s="106"/>
      <c r="D2656" s="107"/>
      <c r="E2656" s="65"/>
      <c r="F2656" s="64"/>
      <c r="G2656" s="64"/>
      <c r="H2656" s="64"/>
      <c r="I2656" s="70"/>
      <c r="J2656" s="70"/>
      <c r="K2656" s="110" t="str">
        <f>IF(H2656="","",IF($C$29="간이법","",FPR(H2656,I2656,J2656)))</f>
        <v/>
      </c>
      <c r="L2656" s="111" t="str">
        <f>IF(H2656="","",IF($C$29="상세법",FPV(H2656,K2656),IF(H2656="EI",4,IF(H2656="EO",5.2,IF(H2656="EQ",3.9,IF(H2656="ILF",7.5,IF(H2656="EIF",5.4)))))))</f>
        <v/>
      </c>
      <c r="M2656" s="112" t="str">
        <f t="shared" si="44"/>
        <v/>
      </c>
      <c r="N2656" s="113"/>
    </row>
    <row r="2657" spans="2:14">
      <c r="B2657" s="105"/>
      <c r="C2657" s="106"/>
      <c r="D2657" s="107"/>
      <c r="E2657" s="65"/>
      <c r="F2657" s="64"/>
      <c r="G2657" s="64"/>
      <c r="H2657" s="64"/>
      <c r="I2657" s="70"/>
      <c r="J2657" s="70"/>
      <c r="K2657" s="110" t="str">
        <f>IF(H2657="","",IF($C$29="간이법","",FPR(H2657,I2657,J2657)))</f>
        <v/>
      </c>
      <c r="L2657" s="111" t="str">
        <f>IF(H2657="","",IF($C$29="상세법",FPV(H2657,K2657),IF(H2657="EI",4,IF(H2657="EO",5.2,IF(H2657="EQ",3.9,IF(H2657="ILF",7.5,IF(H2657="EIF",5.4)))))))</f>
        <v/>
      </c>
      <c r="M2657" s="112" t="str">
        <f t="shared" si="44"/>
        <v/>
      </c>
      <c r="N2657" s="113"/>
    </row>
    <row r="2658" spans="2:14">
      <c r="B2658" s="105"/>
      <c r="C2658" s="106"/>
      <c r="D2658" s="107"/>
      <c r="E2658" s="65"/>
      <c r="F2658" s="64"/>
      <c r="G2658" s="64"/>
      <c r="H2658" s="64"/>
      <c r="I2658" s="70"/>
      <c r="J2658" s="70"/>
      <c r="K2658" s="110" t="str">
        <f>IF(H2658="","",IF($C$29="간이법","",FPR(H2658,I2658,J2658)))</f>
        <v/>
      </c>
      <c r="L2658" s="111" t="str">
        <f>IF(H2658="","",IF($C$29="상세법",FPV(H2658,K2658),IF(H2658="EI",4,IF(H2658="EO",5.2,IF(H2658="EQ",3.9,IF(H2658="ILF",7.5,IF(H2658="EIF",5.4)))))))</f>
        <v/>
      </c>
      <c r="M2658" s="112" t="str">
        <f t="shared" si="44"/>
        <v/>
      </c>
      <c r="N2658" s="113"/>
    </row>
    <row r="2659" spans="2:14">
      <c r="B2659" s="105"/>
      <c r="C2659" s="106"/>
      <c r="D2659" s="107"/>
      <c r="E2659" s="65"/>
      <c r="F2659" s="64"/>
      <c r="G2659" s="64"/>
      <c r="H2659" s="64"/>
      <c r="I2659" s="70"/>
      <c r="J2659" s="70"/>
      <c r="K2659" s="110" t="str">
        <f>IF(H2659="","",IF($C$29="간이법","",FPR(H2659,I2659,J2659)))</f>
        <v/>
      </c>
      <c r="L2659" s="111" t="str">
        <f>IF(H2659="","",IF($C$29="상세법",FPV(H2659,K2659),IF(H2659="EI",4,IF(H2659="EO",5.2,IF(H2659="EQ",3.9,IF(H2659="ILF",7.5,IF(H2659="EIF",5.4)))))))</f>
        <v/>
      </c>
      <c r="M2659" s="112" t="str">
        <f t="shared" si="44"/>
        <v/>
      </c>
      <c r="N2659" s="113"/>
    </row>
    <row r="2660" spans="2:14">
      <c r="B2660" s="105"/>
      <c r="C2660" s="106"/>
      <c r="D2660" s="107"/>
      <c r="E2660" s="65"/>
      <c r="F2660" s="64"/>
      <c r="G2660" s="64"/>
      <c r="H2660" s="64"/>
      <c r="I2660" s="70"/>
      <c r="J2660" s="70"/>
      <c r="K2660" s="110" t="str">
        <f>IF(H2660="","",IF($C$29="간이법","",FPR(H2660,I2660,J2660)))</f>
        <v/>
      </c>
      <c r="L2660" s="111" t="str">
        <f>IF(H2660="","",IF($C$29="상세법",FPV(H2660,K2660),IF(H2660="EI",4,IF(H2660="EO",5.2,IF(H2660="EQ",3.9,IF(H2660="ILF",7.5,IF(H2660="EIF",5.4)))))))</f>
        <v/>
      </c>
      <c r="M2660" s="112" t="str">
        <f t="shared" si="44"/>
        <v/>
      </c>
      <c r="N2660" s="113"/>
    </row>
    <row r="2661" spans="2:14">
      <c r="B2661" s="105"/>
      <c r="C2661" s="106"/>
      <c r="D2661" s="107"/>
      <c r="E2661" s="65"/>
      <c r="F2661" s="64"/>
      <c r="G2661" s="64"/>
      <c r="H2661" s="64"/>
      <c r="I2661" s="70"/>
      <c r="J2661" s="70"/>
      <c r="K2661" s="110" t="str">
        <f>IF(H2661="","",IF($C$29="간이법","",FPR(H2661,I2661,J2661)))</f>
        <v/>
      </c>
      <c r="L2661" s="111" t="str">
        <f>IF(H2661="","",IF($C$29="상세법",FPV(H2661,K2661),IF(H2661="EI",4,IF(H2661="EO",5.2,IF(H2661="EQ",3.9,IF(H2661="ILF",7.5,IF(H2661="EIF",5.4)))))))</f>
        <v/>
      </c>
      <c r="M2661" s="112" t="str">
        <f t="shared" si="44"/>
        <v/>
      </c>
      <c r="N2661" s="113"/>
    </row>
    <row r="2662" spans="2:14">
      <c r="B2662" s="105"/>
      <c r="C2662" s="106"/>
      <c r="D2662" s="107"/>
      <c r="E2662" s="65"/>
      <c r="F2662" s="64"/>
      <c r="G2662" s="64"/>
      <c r="H2662" s="64"/>
      <c r="I2662" s="70"/>
      <c r="J2662" s="70"/>
      <c r="K2662" s="110" t="str">
        <f>IF(H2662="","",IF($C$29="간이법","",FPR(H2662,I2662,J2662)))</f>
        <v/>
      </c>
      <c r="L2662" s="111" t="str">
        <f>IF(H2662="","",IF($C$29="상세법",FPV(H2662,K2662),IF(H2662="EI",4,IF(H2662="EO",5.2,IF(H2662="EQ",3.9,IF(H2662="ILF",7.5,IF(H2662="EIF",5.4)))))))</f>
        <v/>
      </c>
      <c r="M2662" s="112" t="str">
        <f t="shared" si="44"/>
        <v/>
      </c>
      <c r="N2662" s="113"/>
    </row>
    <row r="2663" spans="2:14">
      <c r="B2663" s="105"/>
      <c r="C2663" s="106"/>
      <c r="D2663" s="107"/>
      <c r="E2663" s="65"/>
      <c r="F2663" s="64"/>
      <c r="G2663" s="64"/>
      <c r="H2663" s="64"/>
      <c r="I2663" s="70"/>
      <c r="J2663" s="70"/>
      <c r="K2663" s="110" t="str">
        <f>IF(H2663="","",IF($C$29="간이법","",FPR(H2663,I2663,J2663)))</f>
        <v/>
      </c>
      <c r="L2663" s="111" t="str">
        <f>IF(H2663="","",IF($C$29="상세법",FPV(H2663,K2663),IF(H2663="EI",4,IF(H2663="EO",5.2,IF(H2663="EQ",3.9,IF(H2663="ILF",7.5,IF(H2663="EIF",5.4)))))))</f>
        <v/>
      </c>
      <c r="M2663" s="112" t="str">
        <f t="shared" si="44"/>
        <v/>
      </c>
      <c r="N2663" s="113"/>
    </row>
    <row r="2664" spans="2:14">
      <c r="B2664" s="105"/>
      <c r="C2664" s="106"/>
      <c r="D2664" s="107"/>
      <c r="E2664" s="65"/>
      <c r="F2664" s="64"/>
      <c r="G2664" s="64"/>
      <c r="H2664" s="64"/>
      <c r="I2664" s="70"/>
      <c r="J2664" s="70"/>
      <c r="K2664" s="110" t="str">
        <f>IF(H2664="","",IF($C$29="간이법","",FPR(H2664,I2664,J2664)))</f>
        <v/>
      </c>
      <c r="L2664" s="111" t="str">
        <f>IF(H2664="","",IF($C$29="상세법",FPV(H2664,K2664),IF(H2664="EI",4,IF(H2664="EO",5.2,IF(H2664="EQ",3.9,IF(H2664="ILF",7.5,IF(H2664="EIF",5.4)))))))</f>
        <v/>
      </c>
      <c r="M2664" s="112" t="str">
        <f t="shared" si="44"/>
        <v/>
      </c>
      <c r="N2664" s="113"/>
    </row>
    <row r="2665" spans="2:14">
      <c r="B2665" s="105"/>
      <c r="C2665" s="106"/>
      <c r="D2665" s="107"/>
      <c r="E2665" s="65"/>
      <c r="F2665" s="64"/>
      <c r="G2665" s="64"/>
      <c r="H2665" s="64"/>
      <c r="I2665" s="70"/>
      <c r="J2665" s="70"/>
      <c r="K2665" s="110" t="str">
        <f>IF(H2665="","",IF($C$29="간이법","",FPR(H2665,I2665,J2665)))</f>
        <v/>
      </c>
      <c r="L2665" s="111" t="str">
        <f>IF(H2665="","",IF($C$29="상세법",FPV(H2665,K2665),IF(H2665="EI",4,IF(H2665="EO",5.2,IF(H2665="EQ",3.9,IF(H2665="ILF",7.5,IF(H2665="EIF",5.4)))))))</f>
        <v/>
      </c>
      <c r="M2665" s="112" t="str">
        <f t="shared" si="44"/>
        <v/>
      </c>
      <c r="N2665" s="113"/>
    </row>
    <row r="2666" spans="2:14">
      <c r="B2666" s="105"/>
      <c r="C2666" s="106"/>
      <c r="D2666" s="107"/>
      <c r="E2666" s="65"/>
      <c r="F2666" s="64"/>
      <c r="G2666" s="64"/>
      <c r="H2666" s="64"/>
      <c r="I2666" s="70"/>
      <c r="J2666" s="70"/>
      <c r="K2666" s="110" t="str">
        <f>IF(H2666="","",IF($C$29="간이법","",FPR(H2666,I2666,J2666)))</f>
        <v/>
      </c>
      <c r="L2666" s="111" t="str">
        <f>IF(H2666="","",IF($C$29="상세법",FPV(H2666,K2666),IF(H2666="EI",4,IF(H2666="EO",5.2,IF(H2666="EQ",3.9,IF(H2666="ILF",7.5,IF(H2666="EIF",5.4)))))))</f>
        <v/>
      </c>
      <c r="M2666" s="112" t="str">
        <f t="shared" si="44"/>
        <v/>
      </c>
      <c r="N2666" s="113"/>
    </row>
    <row r="2667" spans="2:14">
      <c r="B2667" s="105"/>
      <c r="C2667" s="106"/>
      <c r="D2667" s="107"/>
      <c r="E2667" s="65"/>
      <c r="F2667" s="64"/>
      <c r="G2667" s="64"/>
      <c r="H2667" s="64"/>
      <c r="I2667" s="70"/>
      <c r="J2667" s="70"/>
      <c r="K2667" s="110" t="str">
        <f>IF(H2667="","",IF($C$29="간이법","",FPR(H2667,I2667,J2667)))</f>
        <v/>
      </c>
      <c r="L2667" s="111" t="str">
        <f>IF(H2667="","",IF($C$29="상세법",FPV(H2667,K2667),IF(H2667="EI",4,IF(H2667="EO",5.2,IF(H2667="EQ",3.9,IF(H2667="ILF",7.5,IF(H2667="EIF",5.4)))))))</f>
        <v/>
      </c>
      <c r="M2667" s="112" t="str">
        <f t="shared" si="44"/>
        <v/>
      </c>
      <c r="N2667" s="113"/>
    </row>
    <row r="2668" spans="2:14">
      <c r="B2668" s="105"/>
      <c r="C2668" s="106"/>
      <c r="D2668" s="107"/>
      <c r="E2668" s="65"/>
      <c r="F2668" s="64"/>
      <c r="G2668" s="64"/>
      <c r="H2668" s="64"/>
      <c r="I2668" s="70"/>
      <c r="J2668" s="70"/>
      <c r="K2668" s="110" t="str">
        <f>IF(H2668="","",IF($C$29="간이법","",FPR(H2668,I2668,J2668)))</f>
        <v/>
      </c>
      <c r="L2668" s="111" t="str">
        <f>IF(H2668="","",IF($C$29="상세법",FPV(H2668,K2668),IF(H2668="EI",4,IF(H2668="EO",5.2,IF(H2668="EQ",3.9,IF(H2668="ILF",7.5,IF(H2668="EIF",5.4)))))))</f>
        <v/>
      </c>
      <c r="M2668" s="112" t="str">
        <f t="shared" si="44"/>
        <v/>
      </c>
      <c r="N2668" s="113"/>
    </row>
    <row r="2669" spans="2:14">
      <c r="B2669" s="105"/>
      <c r="C2669" s="106"/>
      <c r="D2669" s="107"/>
      <c r="E2669" s="65"/>
      <c r="F2669" s="64"/>
      <c r="G2669" s="64"/>
      <c r="H2669" s="64"/>
      <c r="I2669" s="70"/>
      <c r="J2669" s="70"/>
      <c r="K2669" s="110" t="str">
        <f>IF(H2669="","",IF($C$29="간이법","",FPR(H2669,I2669,J2669)))</f>
        <v/>
      </c>
      <c r="L2669" s="111" t="str">
        <f>IF(H2669="","",IF($C$29="상세법",FPV(H2669,K2669),IF(H2669="EI",4,IF(H2669="EO",5.2,IF(H2669="EQ",3.9,IF(H2669="ILF",7.5,IF(H2669="EIF",5.4)))))))</f>
        <v/>
      </c>
      <c r="M2669" s="112" t="str">
        <f t="shared" si="44"/>
        <v/>
      </c>
      <c r="N2669" s="113"/>
    </row>
    <row r="2670" spans="2:14">
      <c r="B2670" s="105"/>
      <c r="C2670" s="106"/>
      <c r="D2670" s="107"/>
      <c r="E2670" s="65"/>
      <c r="F2670" s="64"/>
      <c r="G2670" s="64"/>
      <c r="H2670" s="64"/>
      <c r="I2670" s="70"/>
      <c r="J2670" s="70"/>
      <c r="K2670" s="110" t="str">
        <f>IF(H2670="","",IF($C$29="간이법","",FPR(H2670,I2670,J2670)))</f>
        <v/>
      </c>
      <c r="L2670" s="111" t="str">
        <f>IF(H2670="","",IF($C$29="상세법",FPV(H2670,K2670),IF(H2670="EI",4,IF(H2670="EO",5.2,IF(H2670="EQ",3.9,IF(H2670="ILF",7.5,IF(H2670="EIF",5.4)))))))</f>
        <v/>
      </c>
      <c r="M2670" s="112" t="str">
        <f t="shared" si="44"/>
        <v/>
      </c>
      <c r="N2670" s="113"/>
    </row>
    <row r="2671" spans="2:14">
      <c r="B2671" s="105"/>
      <c r="C2671" s="106"/>
      <c r="D2671" s="107"/>
      <c r="E2671" s="65"/>
      <c r="F2671" s="64"/>
      <c r="G2671" s="64"/>
      <c r="H2671" s="64"/>
      <c r="I2671" s="70"/>
      <c r="J2671" s="70"/>
      <c r="K2671" s="110" t="str">
        <f>IF(H2671="","",IF($C$29="간이법","",FPR(H2671,I2671,J2671)))</f>
        <v/>
      </c>
      <c r="L2671" s="111" t="str">
        <f>IF(H2671="","",IF($C$29="상세법",FPV(H2671,K2671),IF(H2671="EI",4,IF(H2671="EO",5.2,IF(H2671="EQ",3.9,IF(H2671="ILF",7.5,IF(H2671="EIF",5.4)))))))</f>
        <v/>
      </c>
      <c r="M2671" s="112" t="str">
        <f t="shared" si="44"/>
        <v/>
      </c>
      <c r="N2671" s="113"/>
    </row>
    <row r="2672" spans="2:14">
      <c r="B2672" s="105"/>
      <c r="C2672" s="106"/>
      <c r="D2672" s="107"/>
      <c r="E2672" s="65"/>
      <c r="F2672" s="64"/>
      <c r="G2672" s="64"/>
      <c r="H2672" s="64"/>
      <c r="I2672" s="70"/>
      <c r="J2672" s="70"/>
      <c r="K2672" s="110" t="str">
        <f>IF(H2672="","",IF($C$29="간이법","",FPR(H2672,I2672,J2672)))</f>
        <v/>
      </c>
      <c r="L2672" s="111" t="str">
        <f>IF(H2672="","",IF($C$29="상세법",FPV(H2672,K2672),IF(H2672="EI",4,IF(H2672="EO",5.2,IF(H2672="EQ",3.9,IF(H2672="ILF",7.5,IF(H2672="EIF",5.4)))))))</f>
        <v/>
      </c>
      <c r="M2672" s="112" t="str">
        <f t="shared" si="44"/>
        <v/>
      </c>
      <c r="N2672" s="113"/>
    </row>
    <row r="2673" spans="2:14">
      <c r="B2673" s="105"/>
      <c r="C2673" s="106"/>
      <c r="D2673" s="107"/>
      <c r="E2673" s="65"/>
      <c r="F2673" s="64"/>
      <c r="G2673" s="64"/>
      <c r="H2673" s="64"/>
      <c r="I2673" s="70"/>
      <c r="J2673" s="70"/>
      <c r="K2673" s="110" t="str">
        <f>IF(H2673="","",IF($C$29="간이법","",FPR(H2673,I2673,J2673)))</f>
        <v/>
      </c>
      <c r="L2673" s="111" t="str">
        <f>IF(H2673="","",IF($C$29="상세법",FPV(H2673,K2673),IF(H2673="EI",4,IF(H2673="EO",5.2,IF(H2673="EQ",3.9,IF(H2673="ILF",7.5,IF(H2673="EIF",5.4)))))))</f>
        <v/>
      </c>
      <c r="M2673" s="112" t="str">
        <f t="shared" si="44"/>
        <v/>
      </c>
      <c r="N2673" s="113"/>
    </row>
    <row r="2674" spans="2:14">
      <c r="B2674" s="105"/>
      <c r="C2674" s="106"/>
      <c r="D2674" s="107"/>
      <c r="E2674" s="65"/>
      <c r="F2674" s="64"/>
      <c r="G2674" s="64"/>
      <c r="H2674" s="64"/>
      <c r="I2674" s="70"/>
      <c r="J2674" s="70"/>
      <c r="K2674" s="110" t="str">
        <f>IF(H2674="","",IF($C$29="간이법","",FPR(H2674,I2674,J2674)))</f>
        <v/>
      </c>
      <c r="L2674" s="111" t="str">
        <f>IF(H2674="","",IF($C$29="상세법",FPV(H2674,K2674),IF(H2674="EI",4,IF(H2674="EO",5.2,IF(H2674="EQ",3.9,IF(H2674="ILF",7.5,IF(H2674="EIF",5.4)))))))</f>
        <v/>
      </c>
      <c r="M2674" s="112" t="str">
        <f t="shared" si="44"/>
        <v/>
      </c>
      <c r="N2674" s="113"/>
    </row>
    <row r="2675" spans="2:14">
      <c r="B2675" s="105"/>
      <c r="C2675" s="106"/>
      <c r="D2675" s="107"/>
      <c r="E2675" s="65"/>
      <c r="F2675" s="64"/>
      <c r="G2675" s="64"/>
      <c r="H2675" s="64"/>
      <c r="I2675" s="70"/>
      <c r="J2675" s="70"/>
      <c r="K2675" s="110" t="str">
        <f>IF(H2675="","",IF($C$29="간이법","",FPR(H2675,I2675,J2675)))</f>
        <v/>
      </c>
      <c r="L2675" s="111" t="str">
        <f>IF(H2675="","",IF($C$29="상세법",FPV(H2675,K2675),IF(H2675="EI",4,IF(H2675="EO",5.2,IF(H2675="EQ",3.9,IF(H2675="ILF",7.5,IF(H2675="EIF",5.4)))))))</f>
        <v/>
      </c>
      <c r="M2675" s="112" t="str">
        <f t="shared" si="44"/>
        <v/>
      </c>
      <c r="N2675" s="113"/>
    </row>
    <row r="2676" spans="2:14">
      <c r="B2676" s="105"/>
      <c r="C2676" s="106"/>
      <c r="D2676" s="107"/>
      <c r="E2676" s="65"/>
      <c r="F2676" s="64"/>
      <c r="G2676" s="64"/>
      <c r="H2676" s="64"/>
      <c r="I2676" s="70"/>
      <c r="J2676" s="70"/>
      <c r="K2676" s="110" t="str">
        <f>IF(H2676="","",IF($C$29="간이법","",FPR(H2676,I2676,J2676)))</f>
        <v/>
      </c>
      <c r="L2676" s="111" t="str">
        <f>IF(H2676="","",IF($C$29="상세법",FPV(H2676,K2676),IF(H2676="EI",4,IF(H2676="EO",5.2,IF(H2676="EQ",3.9,IF(H2676="ILF",7.5,IF(H2676="EIF",5.4)))))))</f>
        <v/>
      </c>
      <c r="M2676" s="112" t="str">
        <f t="shared" si="44"/>
        <v/>
      </c>
      <c r="N2676" s="113"/>
    </row>
    <row r="2677" spans="2:14">
      <c r="B2677" s="105"/>
      <c r="C2677" s="106"/>
      <c r="D2677" s="107"/>
      <c r="E2677" s="65"/>
      <c r="F2677" s="64"/>
      <c r="G2677" s="64"/>
      <c r="H2677" s="64"/>
      <c r="I2677" s="70"/>
      <c r="J2677" s="70"/>
      <c r="K2677" s="110" t="str">
        <f>IF(H2677="","",IF($C$29="간이법","",FPR(H2677,I2677,J2677)))</f>
        <v/>
      </c>
      <c r="L2677" s="111" t="str">
        <f>IF(H2677="","",IF($C$29="상세법",FPV(H2677,K2677),IF(H2677="EI",4,IF(H2677="EO",5.2,IF(H2677="EQ",3.9,IF(H2677="ILF",7.5,IF(H2677="EIF",5.4)))))))</f>
        <v/>
      </c>
      <c r="M2677" s="112" t="str">
        <f t="shared" si="44"/>
        <v/>
      </c>
      <c r="N2677" s="113"/>
    </row>
    <row r="2678" spans="2:14">
      <c r="B2678" s="105"/>
      <c r="C2678" s="106"/>
      <c r="D2678" s="107"/>
      <c r="E2678" s="65"/>
      <c r="F2678" s="64"/>
      <c r="G2678" s="64"/>
      <c r="H2678" s="64"/>
      <c r="I2678" s="70"/>
      <c r="J2678" s="70"/>
      <c r="K2678" s="110" t="str">
        <f>IF(H2678="","",IF($C$29="간이법","",FPR(H2678,I2678,J2678)))</f>
        <v/>
      </c>
      <c r="L2678" s="111" t="str">
        <f>IF(H2678="","",IF($C$29="상세법",FPV(H2678,K2678),IF(H2678="EI",4,IF(H2678="EO",5.2,IF(H2678="EQ",3.9,IF(H2678="ILF",7.5,IF(H2678="EIF",5.4)))))))</f>
        <v/>
      </c>
      <c r="M2678" s="112" t="str">
        <f t="shared" si="44"/>
        <v/>
      </c>
      <c r="N2678" s="113"/>
    </row>
    <row r="2679" spans="2:14">
      <c r="B2679" s="105"/>
      <c r="C2679" s="106"/>
      <c r="D2679" s="107"/>
      <c r="E2679" s="65"/>
      <c r="F2679" s="64"/>
      <c r="G2679" s="64"/>
      <c r="H2679" s="64"/>
      <c r="I2679" s="70"/>
      <c r="J2679" s="70"/>
      <c r="K2679" s="110" t="str">
        <f>IF(H2679="","",IF($C$29="간이법","",FPR(H2679,I2679,J2679)))</f>
        <v/>
      </c>
      <c r="L2679" s="111" t="str">
        <f>IF(H2679="","",IF($C$29="상세법",FPV(H2679,K2679),IF(H2679="EI",4,IF(H2679="EO",5.2,IF(H2679="EQ",3.9,IF(H2679="ILF",7.5,IF(H2679="EIF",5.4)))))))</f>
        <v/>
      </c>
      <c r="M2679" s="112" t="str">
        <f t="shared" si="44"/>
        <v/>
      </c>
      <c r="N2679" s="113"/>
    </row>
    <row r="2680" spans="2:14">
      <c r="B2680" s="105"/>
      <c r="C2680" s="106"/>
      <c r="D2680" s="107"/>
      <c r="E2680" s="65"/>
      <c r="F2680" s="64"/>
      <c r="G2680" s="64"/>
      <c r="H2680" s="64"/>
      <c r="I2680" s="70"/>
      <c r="J2680" s="70"/>
      <c r="K2680" s="110" t="str">
        <f>IF(H2680="","",IF($C$29="간이법","",FPR(H2680,I2680,J2680)))</f>
        <v/>
      </c>
      <c r="L2680" s="111" t="str">
        <f>IF(H2680="","",IF($C$29="상세법",FPV(H2680,K2680),IF(H2680="EI",4,IF(H2680="EO",5.2,IF(H2680="EQ",3.9,IF(H2680="ILF",7.5,IF(H2680="EIF",5.4)))))))</f>
        <v/>
      </c>
      <c r="M2680" s="112" t="str">
        <f t="shared" si="44"/>
        <v/>
      </c>
      <c r="N2680" s="113"/>
    </row>
    <row r="2681" spans="2:14">
      <c r="B2681" s="105"/>
      <c r="C2681" s="106"/>
      <c r="D2681" s="107"/>
      <c r="E2681" s="65"/>
      <c r="F2681" s="64"/>
      <c r="G2681" s="64"/>
      <c r="H2681" s="64"/>
      <c r="I2681" s="70"/>
      <c r="J2681" s="70"/>
      <c r="K2681" s="110" t="str">
        <f>IF(H2681="","",IF($C$29="간이법","",FPR(H2681,I2681,J2681)))</f>
        <v/>
      </c>
      <c r="L2681" s="111" t="str">
        <f>IF(H2681="","",IF($C$29="상세법",FPV(H2681,K2681),IF(H2681="EI",4,IF(H2681="EO",5.2,IF(H2681="EQ",3.9,IF(H2681="ILF",7.5,IF(H2681="EIF",5.4)))))))</f>
        <v/>
      </c>
      <c r="M2681" s="112" t="str">
        <f t="shared" ref="M2681:M2744" si="45">IF(L2681="","",L2681*IF(G2681="상",0.7,IF(G2681="중",0.5,IF(G2681="하",0.2,1))))</f>
        <v/>
      </c>
      <c r="N2681" s="113"/>
    </row>
    <row r="2682" spans="2:14">
      <c r="B2682" s="105"/>
      <c r="C2682" s="106"/>
      <c r="D2682" s="107"/>
      <c r="E2682" s="65"/>
      <c r="F2682" s="64"/>
      <c r="G2682" s="64"/>
      <c r="H2682" s="64"/>
      <c r="I2682" s="70"/>
      <c r="J2682" s="70"/>
      <c r="K2682" s="110" t="str">
        <f>IF(H2682="","",IF($C$29="간이법","",FPR(H2682,I2682,J2682)))</f>
        <v/>
      </c>
      <c r="L2682" s="111" t="str">
        <f>IF(H2682="","",IF($C$29="상세법",FPV(H2682,K2682),IF(H2682="EI",4,IF(H2682="EO",5.2,IF(H2682="EQ",3.9,IF(H2682="ILF",7.5,IF(H2682="EIF",5.4)))))))</f>
        <v/>
      </c>
      <c r="M2682" s="112" t="str">
        <f t="shared" si="45"/>
        <v/>
      </c>
      <c r="N2682" s="113"/>
    </row>
    <row r="2683" spans="2:14">
      <c r="B2683" s="105"/>
      <c r="C2683" s="106"/>
      <c r="D2683" s="107"/>
      <c r="E2683" s="65"/>
      <c r="F2683" s="64"/>
      <c r="G2683" s="64"/>
      <c r="H2683" s="64"/>
      <c r="I2683" s="70"/>
      <c r="J2683" s="70"/>
      <c r="K2683" s="110" t="str">
        <f>IF(H2683="","",IF($C$29="간이법","",FPR(H2683,I2683,J2683)))</f>
        <v/>
      </c>
      <c r="L2683" s="111" t="str">
        <f>IF(H2683="","",IF($C$29="상세법",FPV(H2683,K2683),IF(H2683="EI",4,IF(H2683="EO",5.2,IF(H2683="EQ",3.9,IF(H2683="ILF",7.5,IF(H2683="EIF",5.4)))))))</f>
        <v/>
      </c>
      <c r="M2683" s="112" t="str">
        <f t="shared" si="45"/>
        <v/>
      </c>
      <c r="N2683" s="113"/>
    </row>
    <row r="2684" spans="2:14">
      <c r="B2684" s="105"/>
      <c r="C2684" s="106"/>
      <c r="D2684" s="107"/>
      <c r="E2684" s="65"/>
      <c r="F2684" s="64"/>
      <c r="G2684" s="64"/>
      <c r="H2684" s="64"/>
      <c r="I2684" s="70"/>
      <c r="J2684" s="70"/>
      <c r="K2684" s="110" t="str">
        <f>IF(H2684="","",IF($C$29="간이법","",FPR(H2684,I2684,J2684)))</f>
        <v/>
      </c>
      <c r="L2684" s="111" t="str">
        <f>IF(H2684="","",IF($C$29="상세법",FPV(H2684,K2684),IF(H2684="EI",4,IF(H2684="EO",5.2,IF(H2684="EQ",3.9,IF(H2684="ILF",7.5,IF(H2684="EIF",5.4)))))))</f>
        <v/>
      </c>
      <c r="M2684" s="112" t="str">
        <f t="shared" si="45"/>
        <v/>
      </c>
      <c r="N2684" s="113"/>
    </row>
    <row r="2685" spans="2:14">
      <c r="B2685" s="105"/>
      <c r="C2685" s="106"/>
      <c r="D2685" s="107"/>
      <c r="E2685" s="65"/>
      <c r="F2685" s="64"/>
      <c r="G2685" s="64"/>
      <c r="H2685" s="64"/>
      <c r="I2685" s="70"/>
      <c r="J2685" s="70"/>
      <c r="K2685" s="110" t="str">
        <f>IF(H2685="","",IF($C$29="간이법","",FPR(H2685,I2685,J2685)))</f>
        <v/>
      </c>
      <c r="L2685" s="111" t="str">
        <f>IF(H2685="","",IF($C$29="상세법",FPV(H2685,K2685),IF(H2685="EI",4,IF(H2685="EO",5.2,IF(H2685="EQ",3.9,IF(H2685="ILF",7.5,IF(H2685="EIF",5.4)))))))</f>
        <v/>
      </c>
      <c r="M2685" s="112" t="str">
        <f t="shared" si="45"/>
        <v/>
      </c>
      <c r="N2685" s="113"/>
    </row>
    <row r="2686" spans="2:14">
      <c r="B2686" s="105"/>
      <c r="C2686" s="106"/>
      <c r="D2686" s="107"/>
      <c r="E2686" s="65"/>
      <c r="F2686" s="64"/>
      <c r="G2686" s="64"/>
      <c r="H2686" s="64"/>
      <c r="I2686" s="70"/>
      <c r="J2686" s="70"/>
      <c r="K2686" s="110" t="str">
        <f>IF(H2686="","",IF($C$29="간이법","",FPR(H2686,I2686,J2686)))</f>
        <v/>
      </c>
      <c r="L2686" s="111" t="str">
        <f>IF(H2686="","",IF($C$29="상세법",FPV(H2686,K2686),IF(H2686="EI",4,IF(H2686="EO",5.2,IF(H2686="EQ",3.9,IF(H2686="ILF",7.5,IF(H2686="EIF",5.4)))))))</f>
        <v/>
      </c>
      <c r="M2686" s="112" t="str">
        <f t="shared" si="45"/>
        <v/>
      </c>
      <c r="N2686" s="113"/>
    </row>
    <row r="2687" spans="2:14">
      <c r="B2687" s="105"/>
      <c r="C2687" s="106"/>
      <c r="D2687" s="107"/>
      <c r="E2687" s="65"/>
      <c r="F2687" s="64"/>
      <c r="G2687" s="64"/>
      <c r="H2687" s="64"/>
      <c r="I2687" s="70"/>
      <c r="J2687" s="70"/>
      <c r="K2687" s="110" t="str">
        <f>IF(H2687="","",IF($C$29="간이법","",FPR(H2687,I2687,J2687)))</f>
        <v/>
      </c>
      <c r="L2687" s="111" t="str">
        <f>IF(H2687="","",IF($C$29="상세법",FPV(H2687,K2687),IF(H2687="EI",4,IF(H2687="EO",5.2,IF(H2687="EQ",3.9,IF(H2687="ILF",7.5,IF(H2687="EIF",5.4)))))))</f>
        <v/>
      </c>
      <c r="M2687" s="112" t="str">
        <f t="shared" si="45"/>
        <v/>
      </c>
      <c r="N2687" s="113"/>
    </row>
    <row r="2688" spans="2:14">
      <c r="B2688" s="105"/>
      <c r="C2688" s="106"/>
      <c r="D2688" s="107"/>
      <c r="E2688" s="65"/>
      <c r="F2688" s="64"/>
      <c r="G2688" s="64"/>
      <c r="H2688" s="64"/>
      <c r="I2688" s="70"/>
      <c r="J2688" s="70"/>
      <c r="K2688" s="110" t="str">
        <f>IF(H2688="","",IF($C$29="간이법","",FPR(H2688,I2688,J2688)))</f>
        <v/>
      </c>
      <c r="L2688" s="111" t="str">
        <f>IF(H2688="","",IF($C$29="상세법",FPV(H2688,K2688),IF(H2688="EI",4,IF(H2688="EO",5.2,IF(H2688="EQ",3.9,IF(H2688="ILF",7.5,IF(H2688="EIF",5.4)))))))</f>
        <v/>
      </c>
      <c r="M2688" s="112" t="str">
        <f t="shared" si="45"/>
        <v/>
      </c>
      <c r="N2688" s="113"/>
    </row>
    <row r="2689" spans="2:14">
      <c r="B2689" s="105"/>
      <c r="C2689" s="106"/>
      <c r="D2689" s="107"/>
      <c r="E2689" s="65"/>
      <c r="F2689" s="64"/>
      <c r="G2689" s="64"/>
      <c r="H2689" s="64"/>
      <c r="I2689" s="70"/>
      <c r="J2689" s="70"/>
      <c r="K2689" s="110" t="str">
        <f>IF(H2689="","",IF($C$29="간이법","",FPR(H2689,I2689,J2689)))</f>
        <v/>
      </c>
      <c r="L2689" s="111" t="str">
        <f>IF(H2689="","",IF($C$29="상세법",FPV(H2689,K2689),IF(H2689="EI",4,IF(H2689="EO",5.2,IF(H2689="EQ",3.9,IF(H2689="ILF",7.5,IF(H2689="EIF",5.4)))))))</f>
        <v/>
      </c>
      <c r="M2689" s="112" t="str">
        <f t="shared" si="45"/>
        <v/>
      </c>
      <c r="N2689" s="113"/>
    </row>
    <row r="2690" spans="2:14">
      <c r="B2690" s="105"/>
      <c r="C2690" s="106"/>
      <c r="D2690" s="107"/>
      <c r="E2690" s="65"/>
      <c r="F2690" s="64"/>
      <c r="G2690" s="64"/>
      <c r="H2690" s="64"/>
      <c r="I2690" s="70"/>
      <c r="J2690" s="70"/>
      <c r="K2690" s="110" t="str">
        <f>IF(H2690="","",IF($C$29="간이법","",FPR(H2690,I2690,J2690)))</f>
        <v/>
      </c>
      <c r="L2690" s="111" t="str">
        <f>IF(H2690="","",IF($C$29="상세법",FPV(H2690,K2690),IF(H2690="EI",4,IF(H2690="EO",5.2,IF(H2690="EQ",3.9,IF(H2690="ILF",7.5,IF(H2690="EIF",5.4)))))))</f>
        <v/>
      </c>
      <c r="M2690" s="112" t="str">
        <f t="shared" si="45"/>
        <v/>
      </c>
      <c r="N2690" s="113"/>
    </row>
    <row r="2691" spans="2:14">
      <c r="B2691" s="105"/>
      <c r="C2691" s="106"/>
      <c r="D2691" s="107"/>
      <c r="E2691" s="65"/>
      <c r="F2691" s="64"/>
      <c r="G2691" s="64"/>
      <c r="H2691" s="64"/>
      <c r="I2691" s="70"/>
      <c r="J2691" s="70"/>
      <c r="K2691" s="110" t="str">
        <f>IF(H2691="","",IF($C$29="간이법","",FPR(H2691,I2691,J2691)))</f>
        <v/>
      </c>
      <c r="L2691" s="111" t="str">
        <f>IF(H2691="","",IF($C$29="상세법",FPV(H2691,K2691),IF(H2691="EI",4,IF(H2691="EO",5.2,IF(H2691="EQ",3.9,IF(H2691="ILF",7.5,IF(H2691="EIF",5.4)))))))</f>
        <v/>
      </c>
      <c r="M2691" s="112" t="str">
        <f t="shared" si="45"/>
        <v/>
      </c>
      <c r="N2691" s="113"/>
    </row>
    <row r="2692" spans="2:14">
      <c r="B2692" s="105"/>
      <c r="C2692" s="106"/>
      <c r="D2692" s="107"/>
      <c r="E2692" s="65"/>
      <c r="F2692" s="64"/>
      <c r="G2692" s="64"/>
      <c r="H2692" s="64"/>
      <c r="I2692" s="70"/>
      <c r="J2692" s="70"/>
      <c r="K2692" s="110" t="str">
        <f>IF(H2692="","",IF($C$29="간이법","",FPR(H2692,I2692,J2692)))</f>
        <v/>
      </c>
      <c r="L2692" s="111" t="str">
        <f>IF(H2692="","",IF($C$29="상세법",FPV(H2692,K2692),IF(H2692="EI",4,IF(H2692="EO",5.2,IF(H2692="EQ",3.9,IF(H2692="ILF",7.5,IF(H2692="EIF",5.4)))))))</f>
        <v/>
      </c>
      <c r="M2692" s="112" t="str">
        <f t="shared" si="45"/>
        <v/>
      </c>
      <c r="N2692" s="113"/>
    </row>
    <row r="2693" spans="2:14">
      <c r="B2693" s="105"/>
      <c r="C2693" s="106"/>
      <c r="D2693" s="107"/>
      <c r="E2693" s="65"/>
      <c r="F2693" s="64"/>
      <c r="G2693" s="64"/>
      <c r="H2693" s="64"/>
      <c r="I2693" s="70"/>
      <c r="J2693" s="70"/>
      <c r="K2693" s="110" t="str">
        <f>IF(H2693="","",IF($C$29="간이법","",FPR(H2693,I2693,J2693)))</f>
        <v/>
      </c>
      <c r="L2693" s="111" t="str">
        <f>IF(H2693="","",IF($C$29="상세법",FPV(H2693,K2693),IF(H2693="EI",4,IF(H2693="EO",5.2,IF(H2693="EQ",3.9,IF(H2693="ILF",7.5,IF(H2693="EIF",5.4)))))))</f>
        <v/>
      </c>
      <c r="M2693" s="112" t="str">
        <f t="shared" si="45"/>
        <v/>
      </c>
      <c r="N2693" s="113"/>
    </row>
    <row r="2694" spans="2:14">
      <c r="B2694" s="105"/>
      <c r="C2694" s="106"/>
      <c r="D2694" s="107"/>
      <c r="E2694" s="65"/>
      <c r="F2694" s="64"/>
      <c r="G2694" s="64"/>
      <c r="H2694" s="64"/>
      <c r="I2694" s="70"/>
      <c r="J2694" s="70"/>
      <c r="K2694" s="110" t="str">
        <f>IF(H2694="","",IF($C$29="간이법","",FPR(H2694,I2694,J2694)))</f>
        <v/>
      </c>
      <c r="L2694" s="111" t="str">
        <f>IF(H2694="","",IF($C$29="상세법",FPV(H2694,K2694),IF(H2694="EI",4,IF(H2694="EO",5.2,IF(H2694="EQ",3.9,IF(H2694="ILF",7.5,IF(H2694="EIF",5.4)))))))</f>
        <v/>
      </c>
      <c r="M2694" s="112" t="str">
        <f t="shared" si="45"/>
        <v/>
      </c>
      <c r="N2694" s="113"/>
    </row>
    <row r="2695" spans="2:14">
      <c r="B2695" s="105"/>
      <c r="C2695" s="106"/>
      <c r="D2695" s="107"/>
      <c r="E2695" s="65"/>
      <c r="F2695" s="64"/>
      <c r="G2695" s="64"/>
      <c r="H2695" s="64"/>
      <c r="I2695" s="70"/>
      <c r="J2695" s="70"/>
      <c r="K2695" s="110" t="str">
        <f>IF(H2695="","",IF($C$29="간이법","",FPR(H2695,I2695,J2695)))</f>
        <v/>
      </c>
      <c r="L2695" s="111" t="str">
        <f>IF(H2695="","",IF($C$29="상세법",FPV(H2695,K2695),IF(H2695="EI",4,IF(H2695="EO",5.2,IF(H2695="EQ",3.9,IF(H2695="ILF",7.5,IF(H2695="EIF",5.4)))))))</f>
        <v/>
      </c>
      <c r="M2695" s="112" t="str">
        <f t="shared" si="45"/>
        <v/>
      </c>
      <c r="N2695" s="113"/>
    </row>
    <row r="2696" spans="2:14">
      <c r="B2696" s="105"/>
      <c r="C2696" s="106"/>
      <c r="D2696" s="107"/>
      <c r="E2696" s="65"/>
      <c r="F2696" s="64"/>
      <c r="G2696" s="64"/>
      <c r="H2696" s="64"/>
      <c r="I2696" s="70"/>
      <c r="J2696" s="70"/>
      <c r="K2696" s="110" t="str">
        <f>IF(H2696="","",IF($C$29="간이법","",FPR(H2696,I2696,J2696)))</f>
        <v/>
      </c>
      <c r="L2696" s="111" t="str">
        <f>IF(H2696="","",IF($C$29="상세법",FPV(H2696,K2696),IF(H2696="EI",4,IF(H2696="EO",5.2,IF(H2696="EQ",3.9,IF(H2696="ILF",7.5,IF(H2696="EIF",5.4)))))))</f>
        <v/>
      </c>
      <c r="M2696" s="112" t="str">
        <f t="shared" si="45"/>
        <v/>
      </c>
      <c r="N2696" s="113"/>
    </row>
    <row r="2697" spans="2:14">
      <c r="B2697" s="105"/>
      <c r="C2697" s="106"/>
      <c r="D2697" s="107"/>
      <c r="E2697" s="65"/>
      <c r="F2697" s="64"/>
      <c r="G2697" s="64"/>
      <c r="H2697" s="64"/>
      <c r="I2697" s="70"/>
      <c r="J2697" s="70"/>
      <c r="K2697" s="110" t="str">
        <f>IF(H2697="","",IF($C$29="간이법","",FPR(H2697,I2697,J2697)))</f>
        <v/>
      </c>
      <c r="L2697" s="111" t="str">
        <f>IF(H2697="","",IF($C$29="상세법",FPV(H2697,K2697),IF(H2697="EI",4,IF(H2697="EO",5.2,IF(H2697="EQ",3.9,IF(H2697="ILF",7.5,IF(H2697="EIF",5.4)))))))</f>
        <v/>
      </c>
      <c r="M2697" s="112" t="str">
        <f t="shared" si="45"/>
        <v/>
      </c>
      <c r="N2697" s="113"/>
    </row>
    <row r="2698" spans="2:14">
      <c r="B2698" s="105"/>
      <c r="C2698" s="106"/>
      <c r="D2698" s="107"/>
      <c r="E2698" s="65"/>
      <c r="F2698" s="64"/>
      <c r="G2698" s="64"/>
      <c r="H2698" s="64"/>
      <c r="I2698" s="70"/>
      <c r="J2698" s="70"/>
      <c r="K2698" s="110" t="str">
        <f>IF(H2698="","",IF($C$29="간이법","",FPR(H2698,I2698,J2698)))</f>
        <v/>
      </c>
      <c r="L2698" s="111" t="str">
        <f>IF(H2698="","",IF($C$29="상세법",FPV(H2698,K2698),IF(H2698="EI",4,IF(H2698="EO",5.2,IF(H2698="EQ",3.9,IF(H2698="ILF",7.5,IF(H2698="EIF",5.4)))))))</f>
        <v/>
      </c>
      <c r="M2698" s="112" t="str">
        <f t="shared" si="45"/>
        <v/>
      </c>
      <c r="N2698" s="113"/>
    </row>
    <row r="2699" spans="2:14">
      <c r="B2699" s="105"/>
      <c r="C2699" s="106"/>
      <c r="D2699" s="107"/>
      <c r="E2699" s="65"/>
      <c r="F2699" s="64"/>
      <c r="G2699" s="64"/>
      <c r="H2699" s="64"/>
      <c r="I2699" s="70"/>
      <c r="J2699" s="70"/>
      <c r="K2699" s="110" t="str">
        <f>IF(H2699="","",IF($C$29="간이법","",FPR(H2699,I2699,J2699)))</f>
        <v/>
      </c>
      <c r="L2699" s="111" t="str">
        <f>IF(H2699="","",IF($C$29="상세법",FPV(H2699,K2699),IF(H2699="EI",4,IF(H2699="EO",5.2,IF(H2699="EQ",3.9,IF(H2699="ILF",7.5,IF(H2699="EIF",5.4)))))))</f>
        <v/>
      </c>
      <c r="M2699" s="112" t="str">
        <f t="shared" si="45"/>
        <v/>
      </c>
      <c r="N2699" s="113"/>
    </row>
    <row r="2700" spans="2:14">
      <c r="B2700" s="105"/>
      <c r="C2700" s="106"/>
      <c r="D2700" s="107"/>
      <c r="E2700" s="65"/>
      <c r="F2700" s="64"/>
      <c r="G2700" s="64"/>
      <c r="H2700" s="64"/>
      <c r="I2700" s="70"/>
      <c r="J2700" s="70"/>
      <c r="K2700" s="110" t="str">
        <f>IF(H2700="","",IF($C$29="간이법","",FPR(H2700,I2700,J2700)))</f>
        <v/>
      </c>
      <c r="L2700" s="111" t="str">
        <f>IF(H2700="","",IF($C$29="상세법",FPV(H2700,K2700),IF(H2700="EI",4,IF(H2700="EO",5.2,IF(H2700="EQ",3.9,IF(H2700="ILF",7.5,IF(H2700="EIF",5.4)))))))</f>
        <v/>
      </c>
      <c r="M2700" s="112" t="str">
        <f t="shared" si="45"/>
        <v/>
      </c>
      <c r="N2700" s="113"/>
    </row>
    <row r="2701" spans="2:14">
      <c r="B2701" s="105"/>
      <c r="C2701" s="106"/>
      <c r="D2701" s="107"/>
      <c r="E2701" s="65"/>
      <c r="F2701" s="64"/>
      <c r="G2701" s="64"/>
      <c r="H2701" s="64"/>
      <c r="I2701" s="70"/>
      <c r="J2701" s="70"/>
      <c r="K2701" s="110" t="str">
        <f>IF(H2701="","",IF($C$29="간이법","",FPR(H2701,I2701,J2701)))</f>
        <v/>
      </c>
      <c r="L2701" s="111" t="str">
        <f>IF(H2701="","",IF($C$29="상세법",FPV(H2701,K2701),IF(H2701="EI",4,IF(H2701="EO",5.2,IF(H2701="EQ",3.9,IF(H2701="ILF",7.5,IF(H2701="EIF",5.4)))))))</f>
        <v/>
      </c>
      <c r="M2701" s="112" t="str">
        <f t="shared" si="45"/>
        <v/>
      </c>
      <c r="N2701" s="113"/>
    </row>
    <row r="2702" spans="2:14">
      <c r="B2702" s="105"/>
      <c r="C2702" s="106"/>
      <c r="D2702" s="107"/>
      <c r="E2702" s="65"/>
      <c r="F2702" s="64"/>
      <c r="G2702" s="64"/>
      <c r="H2702" s="64"/>
      <c r="I2702" s="70"/>
      <c r="J2702" s="70"/>
      <c r="K2702" s="110" t="str">
        <f>IF(H2702="","",IF($C$29="간이법","",FPR(H2702,I2702,J2702)))</f>
        <v/>
      </c>
      <c r="L2702" s="111" t="str">
        <f>IF(H2702="","",IF($C$29="상세법",FPV(H2702,K2702),IF(H2702="EI",4,IF(H2702="EO",5.2,IF(H2702="EQ",3.9,IF(H2702="ILF",7.5,IF(H2702="EIF",5.4)))))))</f>
        <v/>
      </c>
      <c r="M2702" s="112" t="str">
        <f t="shared" si="45"/>
        <v/>
      </c>
      <c r="N2702" s="113"/>
    </row>
    <row r="2703" spans="2:14">
      <c r="B2703" s="105"/>
      <c r="C2703" s="106"/>
      <c r="D2703" s="107"/>
      <c r="E2703" s="65"/>
      <c r="F2703" s="64"/>
      <c r="G2703" s="64"/>
      <c r="H2703" s="64"/>
      <c r="I2703" s="70"/>
      <c r="J2703" s="70"/>
      <c r="K2703" s="110" t="str">
        <f>IF(H2703="","",IF($C$29="간이법","",FPR(H2703,I2703,J2703)))</f>
        <v/>
      </c>
      <c r="L2703" s="111" t="str">
        <f>IF(H2703="","",IF($C$29="상세법",FPV(H2703,K2703),IF(H2703="EI",4,IF(H2703="EO",5.2,IF(H2703="EQ",3.9,IF(H2703="ILF",7.5,IF(H2703="EIF",5.4)))))))</f>
        <v/>
      </c>
      <c r="M2703" s="112" t="str">
        <f t="shared" si="45"/>
        <v/>
      </c>
      <c r="N2703" s="113"/>
    </row>
    <row r="2704" spans="2:14">
      <c r="B2704" s="105"/>
      <c r="C2704" s="106"/>
      <c r="D2704" s="107"/>
      <c r="E2704" s="65"/>
      <c r="F2704" s="64"/>
      <c r="G2704" s="64"/>
      <c r="H2704" s="64"/>
      <c r="I2704" s="70"/>
      <c r="J2704" s="70"/>
      <c r="K2704" s="110" t="str">
        <f>IF(H2704="","",IF($C$29="간이법","",FPR(H2704,I2704,J2704)))</f>
        <v/>
      </c>
      <c r="L2704" s="111" t="str">
        <f>IF(H2704="","",IF($C$29="상세법",FPV(H2704,K2704),IF(H2704="EI",4,IF(H2704="EO",5.2,IF(H2704="EQ",3.9,IF(H2704="ILF",7.5,IF(H2704="EIF",5.4)))))))</f>
        <v/>
      </c>
      <c r="M2704" s="112" t="str">
        <f t="shared" si="45"/>
        <v/>
      </c>
      <c r="N2704" s="113"/>
    </row>
    <row r="2705" spans="2:14">
      <c r="B2705" s="105"/>
      <c r="C2705" s="106"/>
      <c r="D2705" s="107"/>
      <c r="E2705" s="65"/>
      <c r="F2705" s="64"/>
      <c r="G2705" s="64"/>
      <c r="H2705" s="64"/>
      <c r="I2705" s="70"/>
      <c r="J2705" s="70"/>
      <c r="K2705" s="110" t="str">
        <f>IF(H2705="","",IF($C$29="간이법","",FPR(H2705,I2705,J2705)))</f>
        <v/>
      </c>
      <c r="L2705" s="111" t="str">
        <f>IF(H2705="","",IF($C$29="상세법",FPV(H2705,K2705),IF(H2705="EI",4,IF(H2705="EO",5.2,IF(H2705="EQ",3.9,IF(H2705="ILF",7.5,IF(H2705="EIF",5.4)))))))</f>
        <v/>
      </c>
      <c r="M2705" s="112" t="str">
        <f t="shared" si="45"/>
        <v/>
      </c>
      <c r="N2705" s="113"/>
    </row>
    <row r="2706" spans="2:14">
      <c r="B2706" s="105"/>
      <c r="C2706" s="106"/>
      <c r="D2706" s="107"/>
      <c r="E2706" s="65"/>
      <c r="F2706" s="64"/>
      <c r="G2706" s="64"/>
      <c r="H2706" s="64"/>
      <c r="I2706" s="70"/>
      <c r="J2706" s="70"/>
      <c r="K2706" s="110" t="str">
        <f>IF(H2706="","",IF($C$29="간이법","",FPR(H2706,I2706,J2706)))</f>
        <v/>
      </c>
      <c r="L2706" s="111" t="str">
        <f>IF(H2706="","",IF($C$29="상세법",FPV(H2706,K2706),IF(H2706="EI",4,IF(H2706="EO",5.2,IF(H2706="EQ",3.9,IF(H2706="ILF",7.5,IF(H2706="EIF",5.4)))))))</f>
        <v/>
      </c>
      <c r="M2706" s="112" t="str">
        <f t="shared" si="45"/>
        <v/>
      </c>
      <c r="N2706" s="113"/>
    </row>
    <row r="2707" spans="2:14">
      <c r="B2707" s="105"/>
      <c r="C2707" s="106"/>
      <c r="D2707" s="107"/>
      <c r="E2707" s="65"/>
      <c r="F2707" s="64"/>
      <c r="G2707" s="64"/>
      <c r="H2707" s="64"/>
      <c r="I2707" s="70"/>
      <c r="J2707" s="70"/>
      <c r="K2707" s="110" t="str">
        <f>IF(H2707="","",IF($C$29="간이법","",FPR(H2707,I2707,J2707)))</f>
        <v/>
      </c>
      <c r="L2707" s="111" t="str">
        <f>IF(H2707="","",IF($C$29="상세법",FPV(H2707,K2707),IF(H2707="EI",4,IF(H2707="EO",5.2,IF(H2707="EQ",3.9,IF(H2707="ILF",7.5,IF(H2707="EIF",5.4)))))))</f>
        <v/>
      </c>
      <c r="M2707" s="112" t="str">
        <f t="shared" si="45"/>
        <v/>
      </c>
      <c r="N2707" s="113"/>
    </row>
    <row r="2708" spans="2:14">
      <c r="B2708" s="105"/>
      <c r="C2708" s="106"/>
      <c r="D2708" s="107"/>
      <c r="E2708" s="65"/>
      <c r="F2708" s="64"/>
      <c r="G2708" s="64"/>
      <c r="H2708" s="64"/>
      <c r="I2708" s="70"/>
      <c r="J2708" s="70"/>
      <c r="K2708" s="110" t="str">
        <f>IF(H2708="","",IF($C$29="간이법","",FPR(H2708,I2708,J2708)))</f>
        <v/>
      </c>
      <c r="L2708" s="111" t="str">
        <f>IF(H2708="","",IF($C$29="상세법",FPV(H2708,K2708),IF(H2708="EI",4,IF(H2708="EO",5.2,IF(H2708="EQ",3.9,IF(H2708="ILF",7.5,IF(H2708="EIF",5.4)))))))</f>
        <v/>
      </c>
      <c r="M2708" s="112" t="str">
        <f t="shared" si="45"/>
        <v/>
      </c>
      <c r="N2708" s="113"/>
    </row>
    <row r="2709" spans="2:14">
      <c r="B2709" s="105"/>
      <c r="C2709" s="106"/>
      <c r="D2709" s="107"/>
      <c r="E2709" s="65"/>
      <c r="F2709" s="64"/>
      <c r="G2709" s="64"/>
      <c r="H2709" s="64"/>
      <c r="I2709" s="70"/>
      <c r="J2709" s="70"/>
      <c r="K2709" s="110" t="str">
        <f>IF(H2709="","",IF($C$29="간이법","",FPR(H2709,I2709,J2709)))</f>
        <v/>
      </c>
      <c r="L2709" s="111" t="str">
        <f>IF(H2709="","",IF($C$29="상세법",FPV(H2709,K2709),IF(H2709="EI",4,IF(H2709="EO",5.2,IF(H2709="EQ",3.9,IF(H2709="ILF",7.5,IF(H2709="EIF",5.4)))))))</f>
        <v/>
      </c>
      <c r="M2709" s="112" t="str">
        <f t="shared" si="45"/>
        <v/>
      </c>
      <c r="N2709" s="113"/>
    </row>
    <row r="2710" spans="2:14">
      <c r="B2710" s="105"/>
      <c r="C2710" s="106"/>
      <c r="D2710" s="107"/>
      <c r="E2710" s="65"/>
      <c r="F2710" s="64"/>
      <c r="G2710" s="64"/>
      <c r="H2710" s="64"/>
      <c r="I2710" s="70"/>
      <c r="J2710" s="70"/>
      <c r="K2710" s="110" t="str">
        <f>IF(H2710="","",IF($C$29="간이법","",FPR(H2710,I2710,J2710)))</f>
        <v/>
      </c>
      <c r="L2710" s="111" t="str">
        <f>IF(H2710="","",IF($C$29="상세법",FPV(H2710,K2710),IF(H2710="EI",4,IF(H2710="EO",5.2,IF(H2710="EQ",3.9,IF(H2710="ILF",7.5,IF(H2710="EIF",5.4)))))))</f>
        <v/>
      </c>
      <c r="M2710" s="112" t="str">
        <f t="shared" si="45"/>
        <v/>
      </c>
      <c r="N2710" s="113"/>
    </row>
    <row r="2711" spans="2:14">
      <c r="B2711" s="105"/>
      <c r="C2711" s="106"/>
      <c r="D2711" s="107"/>
      <c r="E2711" s="65"/>
      <c r="F2711" s="64"/>
      <c r="G2711" s="64"/>
      <c r="H2711" s="64"/>
      <c r="I2711" s="70"/>
      <c r="J2711" s="70"/>
      <c r="K2711" s="110" t="str">
        <f>IF(H2711="","",IF($C$29="간이법","",FPR(H2711,I2711,J2711)))</f>
        <v/>
      </c>
      <c r="L2711" s="111" t="str">
        <f>IF(H2711="","",IF($C$29="상세법",FPV(H2711,K2711),IF(H2711="EI",4,IF(H2711="EO",5.2,IF(H2711="EQ",3.9,IF(H2711="ILF",7.5,IF(H2711="EIF",5.4)))))))</f>
        <v/>
      </c>
      <c r="M2711" s="112" t="str">
        <f t="shared" si="45"/>
        <v/>
      </c>
      <c r="N2711" s="113"/>
    </row>
    <row r="2712" spans="2:14">
      <c r="B2712" s="105"/>
      <c r="C2712" s="106"/>
      <c r="D2712" s="107"/>
      <c r="E2712" s="65"/>
      <c r="F2712" s="64"/>
      <c r="G2712" s="64"/>
      <c r="H2712" s="64"/>
      <c r="I2712" s="70"/>
      <c r="J2712" s="70"/>
      <c r="K2712" s="110" t="str">
        <f>IF(H2712="","",IF($C$29="간이법","",FPR(H2712,I2712,J2712)))</f>
        <v/>
      </c>
      <c r="L2712" s="111" t="str">
        <f>IF(H2712="","",IF($C$29="상세법",FPV(H2712,K2712),IF(H2712="EI",4,IF(H2712="EO",5.2,IF(H2712="EQ",3.9,IF(H2712="ILF",7.5,IF(H2712="EIF",5.4)))))))</f>
        <v/>
      </c>
      <c r="M2712" s="112" t="str">
        <f t="shared" si="45"/>
        <v/>
      </c>
      <c r="N2712" s="113"/>
    </row>
    <row r="2713" spans="2:14">
      <c r="B2713" s="105"/>
      <c r="C2713" s="106"/>
      <c r="D2713" s="107"/>
      <c r="E2713" s="65"/>
      <c r="F2713" s="64"/>
      <c r="G2713" s="64"/>
      <c r="H2713" s="64"/>
      <c r="I2713" s="70"/>
      <c r="J2713" s="70"/>
      <c r="K2713" s="110" t="str">
        <f>IF(H2713="","",IF($C$29="간이법","",FPR(H2713,I2713,J2713)))</f>
        <v/>
      </c>
      <c r="L2713" s="111" t="str">
        <f>IF(H2713="","",IF($C$29="상세법",FPV(H2713,K2713),IF(H2713="EI",4,IF(H2713="EO",5.2,IF(H2713="EQ",3.9,IF(H2713="ILF",7.5,IF(H2713="EIF",5.4)))))))</f>
        <v/>
      </c>
      <c r="M2713" s="112" t="str">
        <f t="shared" si="45"/>
        <v/>
      </c>
      <c r="N2713" s="113"/>
    </row>
    <row r="2714" spans="2:14">
      <c r="B2714" s="105"/>
      <c r="C2714" s="106"/>
      <c r="D2714" s="107"/>
      <c r="E2714" s="65"/>
      <c r="F2714" s="64"/>
      <c r="G2714" s="64"/>
      <c r="H2714" s="64"/>
      <c r="I2714" s="70"/>
      <c r="J2714" s="70"/>
      <c r="K2714" s="110" t="str">
        <f>IF(H2714="","",IF($C$29="간이법","",FPR(H2714,I2714,J2714)))</f>
        <v/>
      </c>
      <c r="L2714" s="111" t="str">
        <f>IF(H2714="","",IF($C$29="상세법",FPV(H2714,K2714),IF(H2714="EI",4,IF(H2714="EO",5.2,IF(H2714="EQ",3.9,IF(H2714="ILF",7.5,IF(H2714="EIF",5.4)))))))</f>
        <v/>
      </c>
      <c r="M2714" s="112" t="str">
        <f t="shared" si="45"/>
        <v/>
      </c>
      <c r="N2714" s="113"/>
    </row>
    <row r="2715" spans="2:14">
      <c r="B2715" s="105"/>
      <c r="C2715" s="106"/>
      <c r="D2715" s="107"/>
      <c r="E2715" s="65"/>
      <c r="F2715" s="64"/>
      <c r="G2715" s="64"/>
      <c r="H2715" s="64"/>
      <c r="I2715" s="70"/>
      <c r="J2715" s="70"/>
      <c r="K2715" s="110" t="str">
        <f>IF(H2715="","",IF($C$29="간이법","",FPR(H2715,I2715,J2715)))</f>
        <v/>
      </c>
      <c r="L2715" s="111" t="str">
        <f>IF(H2715="","",IF($C$29="상세법",FPV(H2715,K2715),IF(H2715="EI",4,IF(H2715="EO",5.2,IF(H2715="EQ",3.9,IF(H2715="ILF",7.5,IF(H2715="EIF",5.4)))))))</f>
        <v/>
      </c>
      <c r="M2715" s="112" t="str">
        <f t="shared" si="45"/>
        <v/>
      </c>
      <c r="N2715" s="113"/>
    </row>
    <row r="2716" spans="2:14">
      <c r="B2716" s="105"/>
      <c r="C2716" s="106"/>
      <c r="D2716" s="107"/>
      <c r="E2716" s="65"/>
      <c r="F2716" s="64"/>
      <c r="G2716" s="64"/>
      <c r="H2716" s="64"/>
      <c r="I2716" s="70"/>
      <c r="J2716" s="70"/>
      <c r="K2716" s="110" t="str">
        <f>IF(H2716="","",IF($C$29="간이법","",FPR(H2716,I2716,J2716)))</f>
        <v/>
      </c>
      <c r="L2716" s="111" t="str">
        <f>IF(H2716="","",IF($C$29="상세법",FPV(H2716,K2716),IF(H2716="EI",4,IF(H2716="EO",5.2,IF(H2716="EQ",3.9,IF(H2716="ILF",7.5,IF(H2716="EIF",5.4)))))))</f>
        <v/>
      </c>
      <c r="M2716" s="112" t="str">
        <f t="shared" si="45"/>
        <v/>
      </c>
      <c r="N2716" s="113"/>
    </row>
    <row r="2717" spans="2:14">
      <c r="B2717" s="105"/>
      <c r="C2717" s="106"/>
      <c r="D2717" s="107"/>
      <c r="E2717" s="65"/>
      <c r="F2717" s="64"/>
      <c r="G2717" s="64"/>
      <c r="H2717" s="64"/>
      <c r="I2717" s="70"/>
      <c r="J2717" s="70"/>
      <c r="K2717" s="110" t="str">
        <f>IF(H2717="","",IF($C$29="간이법","",FPR(H2717,I2717,J2717)))</f>
        <v/>
      </c>
      <c r="L2717" s="111" t="str">
        <f>IF(H2717="","",IF($C$29="상세법",FPV(H2717,K2717),IF(H2717="EI",4,IF(H2717="EO",5.2,IF(H2717="EQ",3.9,IF(H2717="ILF",7.5,IF(H2717="EIF",5.4)))))))</f>
        <v/>
      </c>
      <c r="M2717" s="112" t="str">
        <f t="shared" si="45"/>
        <v/>
      </c>
      <c r="N2717" s="113"/>
    </row>
    <row r="2718" spans="2:14">
      <c r="B2718" s="105"/>
      <c r="C2718" s="106"/>
      <c r="D2718" s="107"/>
      <c r="E2718" s="65"/>
      <c r="F2718" s="64"/>
      <c r="G2718" s="64"/>
      <c r="H2718" s="64"/>
      <c r="I2718" s="70"/>
      <c r="J2718" s="70"/>
      <c r="K2718" s="110" t="str">
        <f>IF(H2718="","",IF($C$29="간이법","",FPR(H2718,I2718,J2718)))</f>
        <v/>
      </c>
      <c r="L2718" s="111" t="str">
        <f>IF(H2718="","",IF($C$29="상세법",FPV(H2718,K2718),IF(H2718="EI",4,IF(H2718="EO",5.2,IF(H2718="EQ",3.9,IF(H2718="ILF",7.5,IF(H2718="EIF",5.4)))))))</f>
        <v/>
      </c>
      <c r="M2718" s="112" t="str">
        <f t="shared" si="45"/>
        <v/>
      </c>
      <c r="N2718" s="113"/>
    </row>
    <row r="2719" spans="2:14">
      <c r="B2719" s="105"/>
      <c r="C2719" s="106"/>
      <c r="D2719" s="107"/>
      <c r="E2719" s="65"/>
      <c r="F2719" s="64"/>
      <c r="G2719" s="64"/>
      <c r="H2719" s="64"/>
      <c r="I2719" s="70"/>
      <c r="J2719" s="70"/>
      <c r="K2719" s="110" t="str">
        <f>IF(H2719="","",IF($C$29="간이법","",FPR(H2719,I2719,J2719)))</f>
        <v/>
      </c>
      <c r="L2719" s="111" t="str">
        <f>IF(H2719="","",IF($C$29="상세법",FPV(H2719,K2719),IF(H2719="EI",4,IF(H2719="EO",5.2,IF(H2719="EQ",3.9,IF(H2719="ILF",7.5,IF(H2719="EIF",5.4)))))))</f>
        <v/>
      </c>
      <c r="M2719" s="112" t="str">
        <f t="shared" si="45"/>
        <v/>
      </c>
      <c r="N2719" s="113"/>
    </row>
    <row r="2720" spans="2:14">
      <c r="B2720" s="105"/>
      <c r="C2720" s="106"/>
      <c r="D2720" s="107"/>
      <c r="E2720" s="65"/>
      <c r="F2720" s="64"/>
      <c r="G2720" s="64"/>
      <c r="H2720" s="64"/>
      <c r="I2720" s="70"/>
      <c r="J2720" s="70"/>
      <c r="K2720" s="110" t="str">
        <f>IF(H2720="","",IF($C$29="간이법","",FPR(H2720,I2720,J2720)))</f>
        <v/>
      </c>
      <c r="L2720" s="111" t="str">
        <f>IF(H2720="","",IF($C$29="상세법",FPV(H2720,K2720),IF(H2720="EI",4,IF(H2720="EO",5.2,IF(H2720="EQ",3.9,IF(H2720="ILF",7.5,IF(H2720="EIF",5.4)))))))</f>
        <v/>
      </c>
      <c r="M2720" s="112" t="str">
        <f t="shared" si="45"/>
        <v/>
      </c>
      <c r="N2720" s="113"/>
    </row>
    <row r="2721" spans="2:14">
      <c r="B2721" s="105"/>
      <c r="C2721" s="106"/>
      <c r="D2721" s="107"/>
      <c r="E2721" s="65"/>
      <c r="F2721" s="64"/>
      <c r="G2721" s="64"/>
      <c r="H2721" s="64"/>
      <c r="I2721" s="70"/>
      <c r="J2721" s="70"/>
      <c r="K2721" s="110" t="str">
        <f>IF(H2721="","",IF($C$29="간이법","",FPR(H2721,I2721,J2721)))</f>
        <v/>
      </c>
      <c r="L2721" s="111" t="str">
        <f>IF(H2721="","",IF($C$29="상세법",FPV(H2721,K2721),IF(H2721="EI",4,IF(H2721="EO",5.2,IF(H2721="EQ",3.9,IF(H2721="ILF",7.5,IF(H2721="EIF",5.4)))))))</f>
        <v/>
      </c>
      <c r="M2721" s="112" t="str">
        <f t="shared" si="45"/>
        <v/>
      </c>
      <c r="N2721" s="113"/>
    </row>
    <row r="2722" spans="2:14">
      <c r="B2722" s="105"/>
      <c r="C2722" s="106"/>
      <c r="D2722" s="107"/>
      <c r="E2722" s="65"/>
      <c r="F2722" s="64"/>
      <c r="G2722" s="64"/>
      <c r="H2722" s="64"/>
      <c r="I2722" s="70"/>
      <c r="J2722" s="70"/>
      <c r="K2722" s="110" t="str">
        <f>IF(H2722="","",IF($C$29="간이법","",FPR(H2722,I2722,J2722)))</f>
        <v/>
      </c>
      <c r="L2722" s="111" t="str">
        <f>IF(H2722="","",IF($C$29="상세법",FPV(H2722,K2722),IF(H2722="EI",4,IF(H2722="EO",5.2,IF(H2722="EQ",3.9,IF(H2722="ILF",7.5,IF(H2722="EIF",5.4)))))))</f>
        <v/>
      </c>
      <c r="M2722" s="112" t="str">
        <f t="shared" si="45"/>
        <v/>
      </c>
      <c r="N2722" s="113"/>
    </row>
    <row r="2723" spans="2:14">
      <c r="B2723" s="105"/>
      <c r="C2723" s="106"/>
      <c r="D2723" s="107"/>
      <c r="E2723" s="65"/>
      <c r="F2723" s="64"/>
      <c r="G2723" s="64"/>
      <c r="H2723" s="64"/>
      <c r="I2723" s="70"/>
      <c r="J2723" s="70"/>
      <c r="K2723" s="110" t="str">
        <f>IF(H2723="","",IF($C$29="간이법","",FPR(H2723,I2723,J2723)))</f>
        <v/>
      </c>
      <c r="L2723" s="111" t="str">
        <f>IF(H2723="","",IF($C$29="상세법",FPV(H2723,K2723),IF(H2723="EI",4,IF(H2723="EO",5.2,IF(H2723="EQ",3.9,IF(H2723="ILF",7.5,IF(H2723="EIF",5.4)))))))</f>
        <v/>
      </c>
      <c r="M2723" s="112" t="str">
        <f t="shared" si="45"/>
        <v/>
      </c>
      <c r="N2723" s="113"/>
    </row>
    <row r="2724" spans="2:14">
      <c r="B2724" s="105"/>
      <c r="C2724" s="106"/>
      <c r="D2724" s="107"/>
      <c r="E2724" s="65"/>
      <c r="F2724" s="64"/>
      <c r="G2724" s="64"/>
      <c r="H2724" s="64"/>
      <c r="I2724" s="70"/>
      <c r="J2724" s="70"/>
      <c r="K2724" s="110" t="str">
        <f>IF(H2724="","",IF($C$29="간이법","",FPR(H2724,I2724,J2724)))</f>
        <v/>
      </c>
      <c r="L2724" s="111" t="str">
        <f>IF(H2724="","",IF($C$29="상세법",FPV(H2724,K2724),IF(H2724="EI",4,IF(H2724="EO",5.2,IF(H2724="EQ",3.9,IF(H2724="ILF",7.5,IF(H2724="EIF",5.4)))))))</f>
        <v/>
      </c>
      <c r="M2724" s="112" t="str">
        <f t="shared" si="45"/>
        <v/>
      </c>
      <c r="N2724" s="113"/>
    </row>
    <row r="2725" spans="2:14">
      <c r="B2725" s="105"/>
      <c r="C2725" s="106"/>
      <c r="D2725" s="107"/>
      <c r="E2725" s="65"/>
      <c r="F2725" s="64"/>
      <c r="G2725" s="64"/>
      <c r="H2725" s="64"/>
      <c r="I2725" s="70"/>
      <c r="J2725" s="70"/>
      <c r="K2725" s="110" t="str">
        <f>IF(H2725="","",IF($C$29="간이법","",FPR(H2725,I2725,J2725)))</f>
        <v/>
      </c>
      <c r="L2725" s="111" t="str">
        <f>IF(H2725="","",IF($C$29="상세법",FPV(H2725,K2725),IF(H2725="EI",4,IF(H2725="EO",5.2,IF(H2725="EQ",3.9,IF(H2725="ILF",7.5,IF(H2725="EIF",5.4)))))))</f>
        <v/>
      </c>
      <c r="M2725" s="112" t="str">
        <f t="shared" si="45"/>
        <v/>
      </c>
      <c r="N2725" s="113"/>
    </row>
    <row r="2726" spans="2:14">
      <c r="B2726" s="105"/>
      <c r="C2726" s="106"/>
      <c r="D2726" s="107"/>
      <c r="E2726" s="65"/>
      <c r="F2726" s="64"/>
      <c r="G2726" s="64"/>
      <c r="H2726" s="64"/>
      <c r="I2726" s="70"/>
      <c r="J2726" s="70"/>
      <c r="K2726" s="110" t="str">
        <f>IF(H2726="","",IF($C$29="간이법","",FPR(H2726,I2726,J2726)))</f>
        <v/>
      </c>
      <c r="L2726" s="111" t="str">
        <f>IF(H2726="","",IF($C$29="상세법",FPV(H2726,K2726),IF(H2726="EI",4,IF(H2726="EO",5.2,IF(H2726="EQ",3.9,IF(H2726="ILF",7.5,IF(H2726="EIF",5.4)))))))</f>
        <v/>
      </c>
      <c r="M2726" s="112" t="str">
        <f t="shared" si="45"/>
        <v/>
      </c>
      <c r="N2726" s="113"/>
    </row>
    <row r="2727" spans="2:14">
      <c r="B2727" s="105"/>
      <c r="C2727" s="106"/>
      <c r="D2727" s="107"/>
      <c r="E2727" s="65"/>
      <c r="F2727" s="64"/>
      <c r="G2727" s="64"/>
      <c r="H2727" s="64"/>
      <c r="I2727" s="70"/>
      <c r="J2727" s="70"/>
      <c r="K2727" s="110" t="str">
        <f>IF(H2727="","",IF($C$29="간이법","",FPR(H2727,I2727,J2727)))</f>
        <v/>
      </c>
      <c r="L2727" s="111" t="str">
        <f>IF(H2727="","",IF($C$29="상세법",FPV(H2727,K2727),IF(H2727="EI",4,IF(H2727="EO",5.2,IF(H2727="EQ",3.9,IF(H2727="ILF",7.5,IF(H2727="EIF",5.4)))))))</f>
        <v/>
      </c>
      <c r="M2727" s="112" t="str">
        <f t="shared" si="45"/>
        <v/>
      </c>
      <c r="N2727" s="113"/>
    </row>
    <row r="2728" spans="2:14">
      <c r="B2728" s="105"/>
      <c r="C2728" s="106"/>
      <c r="D2728" s="107"/>
      <c r="E2728" s="65"/>
      <c r="F2728" s="64"/>
      <c r="G2728" s="64"/>
      <c r="H2728" s="64"/>
      <c r="I2728" s="70"/>
      <c r="J2728" s="70"/>
      <c r="K2728" s="110" t="str">
        <f>IF(H2728="","",IF($C$29="간이법","",FPR(H2728,I2728,J2728)))</f>
        <v/>
      </c>
      <c r="L2728" s="111" t="str">
        <f>IF(H2728="","",IF($C$29="상세법",FPV(H2728,K2728),IF(H2728="EI",4,IF(H2728="EO",5.2,IF(H2728="EQ",3.9,IF(H2728="ILF",7.5,IF(H2728="EIF",5.4)))))))</f>
        <v/>
      </c>
      <c r="M2728" s="112" t="str">
        <f t="shared" si="45"/>
        <v/>
      </c>
      <c r="N2728" s="113"/>
    </row>
    <row r="2729" spans="2:14">
      <c r="B2729" s="105"/>
      <c r="C2729" s="106"/>
      <c r="D2729" s="107"/>
      <c r="E2729" s="65"/>
      <c r="F2729" s="64"/>
      <c r="G2729" s="64"/>
      <c r="H2729" s="64"/>
      <c r="I2729" s="70"/>
      <c r="J2729" s="70"/>
      <c r="K2729" s="110" t="str">
        <f>IF(H2729="","",IF($C$29="간이법","",FPR(H2729,I2729,J2729)))</f>
        <v/>
      </c>
      <c r="L2729" s="111" t="str">
        <f>IF(H2729="","",IF($C$29="상세법",FPV(H2729,K2729),IF(H2729="EI",4,IF(H2729="EO",5.2,IF(H2729="EQ",3.9,IF(H2729="ILF",7.5,IF(H2729="EIF",5.4)))))))</f>
        <v/>
      </c>
      <c r="M2729" s="112" t="str">
        <f t="shared" si="45"/>
        <v/>
      </c>
      <c r="N2729" s="113"/>
    </row>
    <row r="2730" spans="2:14">
      <c r="B2730" s="105"/>
      <c r="C2730" s="106"/>
      <c r="D2730" s="107"/>
      <c r="E2730" s="65"/>
      <c r="F2730" s="64"/>
      <c r="G2730" s="64"/>
      <c r="H2730" s="64"/>
      <c r="I2730" s="70"/>
      <c r="J2730" s="70"/>
      <c r="K2730" s="110" t="str">
        <f>IF(H2730="","",IF($C$29="간이법","",FPR(H2730,I2730,J2730)))</f>
        <v/>
      </c>
      <c r="L2730" s="111" t="str">
        <f>IF(H2730="","",IF($C$29="상세법",FPV(H2730,K2730),IF(H2730="EI",4,IF(H2730="EO",5.2,IF(H2730="EQ",3.9,IF(H2730="ILF",7.5,IF(H2730="EIF",5.4)))))))</f>
        <v/>
      </c>
      <c r="M2730" s="112" t="str">
        <f t="shared" si="45"/>
        <v/>
      </c>
      <c r="N2730" s="113"/>
    </row>
    <row r="2731" spans="2:14">
      <c r="B2731" s="105"/>
      <c r="C2731" s="106"/>
      <c r="D2731" s="107"/>
      <c r="E2731" s="65"/>
      <c r="F2731" s="64"/>
      <c r="G2731" s="64"/>
      <c r="H2731" s="64"/>
      <c r="I2731" s="70"/>
      <c r="J2731" s="70"/>
      <c r="K2731" s="110" t="str">
        <f>IF(H2731="","",IF($C$29="간이법","",FPR(H2731,I2731,J2731)))</f>
        <v/>
      </c>
      <c r="L2731" s="111" t="str">
        <f>IF(H2731="","",IF($C$29="상세법",FPV(H2731,K2731),IF(H2731="EI",4,IF(H2731="EO",5.2,IF(H2731="EQ",3.9,IF(H2731="ILF",7.5,IF(H2731="EIF",5.4)))))))</f>
        <v/>
      </c>
      <c r="M2731" s="112" t="str">
        <f t="shared" si="45"/>
        <v/>
      </c>
      <c r="N2731" s="113"/>
    </row>
    <row r="2732" spans="2:14">
      <c r="B2732" s="105"/>
      <c r="C2732" s="106"/>
      <c r="D2732" s="107"/>
      <c r="E2732" s="65"/>
      <c r="F2732" s="64"/>
      <c r="G2732" s="64"/>
      <c r="H2732" s="64"/>
      <c r="I2732" s="70"/>
      <c r="J2732" s="70"/>
      <c r="K2732" s="110" t="str">
        <f>IF(H2732="","",IF($C$29="간이법","",FPR(H2732,I2732,J2732)))</f>
        <v/>
      </c>
      <c r="L2732" s="111" t="str">
        <f>IF(H2732="","",IF($C$29="상세법",FPV(H2732,K2732),IF(H2732="EI",4,IF(H2732="EO",5.2,IF(H2732="EQ",3.9,IF(H2732="ILF",7.5,IF(H2732="EIF",5.4)))))))</f>
        <v/>
      </c>
      <c r="M2732" s="112" t="str">
        <f t="shared" si="45"/>
        <v/>
      </c>
      <c r="N2732" s="113"/>
    </row>
    <row r="2733" spans="2:14">
      <c r="B2733" s="105"/>
      <c r="C2733" s="106"/>
      <c r="D2733" s="107"/>
      <c r="E2733" s="65"/>
      <c r="F2733" s="64"/>
      <c r="G2733" s="64"/>
      <c r="H2733" s="64"/>
      <c r="I2733" s="70"/>
      <c r="J2733" s="70"/>
      <c r="K2733" s="110" t="str">
        <f>IF(H2733="","",IF($C$29="간이법","",FPR(H2733,I2733,J2733)))</f>
        <v/>
      </c>
      <c r="L2733" s="111" t="str">
        <f>IF(H2733="","",IF($C$29="상세법",FPV(H2733,K2733),IF(H2733="EI",4,IF(H2733="EO",5.2,IF(H2733="EQ",3.9,IF(H2733="ILF",7.5,IF(H2733="EIF",5.4)))))))</f>
        <v/>
      </c>
      <c r="M2733" s="112" t="str">
        <f t="shared" si="45"/>
        <v/>
      </c>
      <c r="N2733" s="113"/>
    </row>
    <row r="2734" spans="2:14">
      <c r="B2734" s="105"/>
      <c r="C2734" s="106"/>
      <c r="D2734" s="107"/>
      <c r="E2734" s="65"/>
      <c r="F2734" s="64"/>
      <c r="G2734" s="64"/>
      <c r="H2734" s="64"/>
      <c r="I2734" s="70"/>
      <c r="J2734" s="70"/>
      <c r="K2734" s="110" t="str">
        <f>IF(H2734="","",IF($C$29="간이법","",FPR(H2734,I2734,J2734)))</f>
        <v/>
      </c>
      <c r="L2734" s="111" t="str">
        <f>IF(H2734="","",IF($C$29="상세법",FPV(H2734,K2734),IF(H2734="EI",4,IF(H2734="EO",5.2,IF(H2734="EQ",3.9,IF(H2734="ILF",7.5,IF(H2734="EIF",5.4)))))))</f>
        <v/>
      </c>
      <c r="M2734" s="112" t="str">
        <f t="shared" si="45"/>
        <v/>
      </c>
      <c r="N2734" s="113"/>
    </row>
    <row r="2735" spans="2:14">
      <c r="B2735" s="105"/>
      <c r="C2735" s="106"/>
      <c r="D2735" s="107"/>
      <c r="E2735" s="65"/>
      <c r="F2735" s="64"/>
      <c r="G2735" s="64"/>
      <c r="H2735" s="64"/>
      <c r="I2735" s="70"/>
      <c r="J2735" s="70"/>
      <c r="K2735" s="110" t="str">
        <f>IF(H2735="","",IF($C$29="간이법","",FPR(H2735,I2735,J2735)))</f>
        <v/>
      </c>
      <c r="L2735" s="111" t="str">
        <f>IF(H2735="","",IF($C$29="상세법",FPV(H2735,K2735),IF(H2735="EI",4,IF(H2735="EO",5.2,IF(H2735="EQ",3.9,IF(H2735="ILF",7.5,IF(H2735="EIF",5.4)))))))</f>
        <v/>
      </c>
      <c r="M2735" s="112" t="str">
        <f t="shared" si="45"/>
        <v/>
      </c>
      <c r="N2735" s="113"/>
    </row>
    <row r="2736" spans="2:14">
      <c r="B2736" s="105"/>
      <c r="C2736" s="106"/>
      <c r="D2736" s="107"/>
      <c r="E2736" s="65"/>
      <c r="F2736" s="64"/>
      <c r="G2736" s="64"/>
      <c r="H2736" s="64"/>
      <c r="I2736" s="70"/>
      <c r="J2736" s="70"/>
      <c r="K2736" s="110" t="str">
        <f>IF(H2736="","",IF($C$29="간이법","",FPR(H2736,I2736,J2736)))</f>
        <v/>
      </c>
      <c r="L2736" s="111" t="str">
        <f>IF(H2736="","",IF($C$29="상세법",FPV(H2736,K2736),IF(H2736="EI",4,IF(H2736="EO",5.2,IF(H2736="EQ",3.9,IF(H2736="ILF",7.5,IF(H2736="EIF",5.4)))))))</f>
        <v/>
      </c>
      <c r="M2736" s="112" t="str">
        <f t="shared" si="45"/>
        <v/>
      </c>
      <c r="N2736" s="113"/>
    </row>
    <row r="2737" spans="2:14">
      <c r="B2737" s="105"/>
      <c r="C2737" s="106"/>
      <c r="D2737" s="107"/>
      <c r="E2737" s="65"/>
      <c r="F2737" s="64"/>
      <c r="G2737" s="64"/>
      <c r="H2737" s="64"/>
      <c r="I2737" s="70"/>
      <c r="J2737" s="70"/>
      <c r="K2737" s="110" t="str">
        <f>IF(H2737="","",IF($C$29="간이법","",FPR(H2737,I2737,J2737)))</f>
        <v/>
      </c>
      <c r="L2737" s="111" t="str">
        <f>IF(H2737="","",IF($C$29="상세법",FPV(H2737,K2737),IF(H2737="EI",4,IF(H2737="EO",5.2,IF(H2737="EQ",3.9,IF(H2737="ILF",7.5,IF(H2737="EIF",5.4)))))))</f>
        <v/>
      </c>
      <c r="M2737" s="112" t="str">
        <f t="shared" si="45"/>
        <v/>
      </c>
      <c r="N2737" s="113"/>
    </row>
    <row r="2738" spans="2:14">
      <c r="B2738" s="105"/>
      <c r="C2738" s="106"/>
      <c r="D2738" s="107"/>
      <c r="E2738" s="65"/>
      <c r="F2738" s="64"/>
      <c r="G2738" s="64"/>
      <c r="H2738" s="64"/>
      <c r="I2738" s="70"/>
      <c r="J2738" s="70"/>
      <c r="K2738" s="110" t="str">
        <f>IF(H2738="","",IF($C$29="간이법","",FPR(H2738,I2738,J2738)))</f>
        <v/>
      </c>
      <c r="L2738" s="111" t="str">
        <f>IF(H2738="","",IF($C$29="상세법",FPV(H2738,K2738),IF(H2738="EI",4,IF(H2738="EO",5.2,IF(H2738="EQ",3.9,IF(H2738="ILF",7.5,IF(H2738="EIF",5.4)))))))</f>
        <v/>
      </c>
      <c r="M2738" s="112" t="str">
        <f t="shared" si="45"/>
        <v/>
      </c>
      <c r="N2738" s="113"/>
    </row>
    <row r="2739" spans="2:14">
      <c r="B2739" s="105"/>
      <c r="C2739" s="106"/>
      <c r="D2739" s="107"/>
      <c r="E2739" s="65"/>
      <c r="F2739" s="64"/>
      <c r="G2739" s="64"/>
      <c r="H2739" s="64"/>
      <c r="I2739" s="70"/>
      <c r="J2739" s="70"/>
      <c r="K2739" s="110" t="str">
        <f>IF(H2739="","",IF($C$29="간이법","",FPR(H2739,I2739,J2739)))</f>
        <v/>
      </c>
      <c r="L2739" s="111" t="str">
        <f>IF(H2739="","",IF($C$29="상세법",FPV(H2739,K2739),IF(H2739="EI",4,IF(H2739="EO",5.2,IF(H2739="EQ",3.9,IF(H2739="ILF",7.5,IF(H2739="EIF",5.4)))))))</f>
        <v/>
      </c>
      <c r="M2739" s="112" t="str">
        <f t="shared" si="45"/>
        <v/>
      </c>
      <c r="N2739" s="113"/>
    </row>
    <row r="2740" spans="2:14">
      <c r="B2740" s="105"/>
      <c r="C2740" s="106"/>
      <c r="D2740" s="107"/>
      <c r="E2740" s="65"/>
      <c r="F2740" s="64"/>
      <c r="G2740" s="64"/>
      <c r="H2740" s="64"/>
      <c r="I2740" s="70"/>
      <c r="J2740" s="70"/>
      <c r="K2740" s="110" t="str">
        <f>IF(H2740="","",IF($C$29="간이법","",FPR(H2740,I2740,J2740)))</f>
        <v/>
      </c>
      <c r="L2740" s="111" t="str">
        <f>IF(H2740="","",IF($C$29="상세법",FPV(H2740,K2740),IF(H2740="EI",4,IF(H2740="EO",5.2,IF(H2740="EQ",3.9,IF(H2740="ILF",7.5,IF(H2740="EIF",5.4)))))))</f>
        <v/>
      </c>
      <c r="M2740" s="112" t="str">
        <f t="shared" si="45"/>
        <v/>
      </c>
      <c r="N2740" s="113"/>
    </row>
    <row r="2741" spans="2:14">
      <c r="B2741" s="105"/>
      <c r="C2741" s="106"/>
      <c r="D2741" s="107"/>
      <c r="E2741" s="65"/>
      <c r="F2741" s="64"/>
      <c r="G2741" s="64"/>
      <c r="H2741" s="64"/>
      <c r="I2741" s="70"/>
      <c r="J2741" s="70"/>
      <c r="K2741" s="110" t="str">
        <f>IF(H2741="","",IF($C$29="간이법","",FPR(H2741,I2741,J2741)))</f>
        <v/>
      </c>
      <c r="L2741" s="111" t="str">
        <f>IF(H2741="","",IF($C$29="상세법",FPV(H2741,K2741),IF(H2741="EI",4,IF(H2741="EO",5.2,IF(H2741="EQ",3.9,IF(H2741="ILF",7.5,IF(H2741="EIF",5.4)))))))</f>
        <v/>
      </c>
      <c r="M2741" s="112" t="str">
        <f t="shared" si="45"/>
        <v/>
      </c>
      <c r="N2741" s="113"/>
    </row>
    <row r="2742" spans="2:14">
      <c r="B2742" s="105"/>
      <c r="C2742" s="106"/>
      <c r="D2742" s="107"/>
      <c r="E2742" s="65"/>
      <c r="F2742" s="64"/>
      <c r="G2742" s="64"/>
      <c r="H2742" s="64"/>
      <c r="I2742" s="70"/>
      <c r="J2742" s="70"/>
      <c r="K2742" s="110" t="str">
        <f>IF(H2742="","",IF($C$29="간이법","",FPR(H2742,I2742,J2742)))</f>
        <v/>
      </c>
      <c r="L2742" s="111" t="str">
        <f>IF(H2742="","",IF($C$29="상세법",FPV(H2742,K2742),IF(H2742="EI",4,IF(H2742="EO",5.2,IF(H2742="EQ",3.9,IF(H2742="ILF",7.5,IF(H2742="EIF",5.4)))))))</f>
        <v/>
      </c>
      <c r="M2742" s="112" t="str">
        <f t="shared" si="45"/>
        <v/>
      </c>
      <c r="N2742" s="113"/>
    </row>
    <row r="2743" spans="2:14">
      <c r="B2743" s="105"/>
      <c r="C2743" s="106"/>
      <c r="D2743" s="107"/>
      <c r="E2743" s="65"/>
      <c r="F2743" s="64"/>
      <c r="G2743" s="64"/>
      <c r="H2743" s="64"/>
      <c r="I2743" s="70"/>
      <c r="J2743" s="70"/>
      <c r="K2743" s="110" t="str">
        <f>IF(H2743="","",IF($C$29="간이법","",FPR(H2743,I2743,J2743)))</f>
        <v/>
      </c>
      <c r="L2743" s="111" t="str">
        <f>IF(H2743="","",IF($C$29="상세법",FPV(H2743,K2743),IF(H2743="EI",4,IF(H2743="EO",5.2,IF(H2743="EQ",3.9,IF(H2743="ILF",7.5,IF(H2743="EIF",5.4)))))))</f>
        <v/>
      </c>
      <c r="M2743" s="112" t="str">
        <f t="shared" si="45"/>
        <v/>
      </c>
      <c r="N2743" s="113"/>
    </row>
    <row r="2744" spans="2:14">
      <c r="B2744" s="105"/>
      <c r="C2744" s="106"/>
      <c r="D2744" s="107"/>
      <c r="E2744" s="65"/>
      <c r="F2744" s="64"/>
      <c r="G2744" s="64"/>
      <c r="H2744" s="64"/>
      <c r="I2744" s="70"/>
      <c r="J2744" s="70"/>
      <c r="K2744" s="110" t="str">
        <f>IF(H2744="","",IF($C$29="간이법","",FPR(H2744,I2744,J2744)))</f>
        <v/>
      </c>
      <c r="L2744" s="111" t="str">
        <f>IF(H2744="","",IF($C$29="상세법",FPV(H2744,K2744),IF(H2744="EI",4,IF(H2744="EO",5.2,IF(H2744="EQ",3.9,IF(H2744="ILF",7.5,IF(H2744="EIF",5.4)))))))</f>
        <v/>
      </c>
      <c r="M2744" s="112" t="str">
        <f t="shared" si="45"/>
        <v/>
      </c>
      <c r="N2744" s="113"/>
    </row>
    <row r="2745" spans="2:14">
      <c r="B2745" s="105"/>
      <c r="C2745" s="106"/>
      <c r="D2745" s="107"/>
      <c r="E2745" s="65"/>
      <c r="F2745" s="64"/>
      <c r="G2745" s="64"/>
      <c r="H2745" s="64"/>
      <c r="I2745" s="70"/>
      <c r="J2745" s="70"/>
      <c r="K2745" s="110" t="str">
        <f>IF(H2745="","",IF($C$29="간이법","",FPR(H2745,I2745,J2745)))</f>
        <v/>
      </c>
      <c r="L2745" s="111" t="str">
        <f>IF(H2745="","",IF($C$29="상세법",FPV(H2745,K2745),IF(H2745="EI",4,IF(H2745="EO",5.2,IF(H2745="EQ",3.9,IF(H2745="ILF",7.5,IF(H2745="EIF",5.4)))))))</f>
        <v/>
      </c>
      <c r="M2745" s="112" t="str">
        <f t="shared" ref="M2745:M2808" si="46">IF(L2745="","",L2745*IF(G2745="상",0.7,IF(G2745="중",0.5,IF(G2745="하",0.2,1))))</f>
        <v/>
      </c>
      <c r="N2745" s="113"/>
    </row>
    <row r="2746" spans="2:14">
      <c r="B2746" s="105"/>
      <c r="C2746" s="106"/>
      <c r="D2746" s="107"/>
      <c r="E2746" s="65"/>
      <c r="F2746" s="64"/>
      <c r="G2746" s="64"/>
      <c r="H2746" s="64"/>
      <c r="I2746" s="70"/>
      <c r="J2746" s="70"/>
      <c r="K2746" s="110" t="str">
        <f>IF(H2746="","",IF($C$29="간이법","",FPR(H2746,I2746,J2746)))</f>
        <v/>
      </c>
      <c r="L2746" s="111" t="str">
        <f>IF(H2746="","",IF($C$29="상세법",FPV(H2746,K2746),IF(H2746="EI",4,IF(H2746="EO",5.2,IF(H2746="EQ",3.9,IF(H2746="ILF",7.5,IF(H2746="EIF",5.4)))))))</f>
        <v/>
      </c>
      <c r="M2746" s="112" t="str">
        <f t="shared" si="46"/>
        <v/>
      </c>
      <c r="N2746" s="113"/>
    </row>
    <row r="2747" spans="2:14">
      <c r="B2747" s="105"/>
      <c r="C2747" s="106"/>
      <c r="D2747" s="107"/>
      <c r="E2747" s="65"/>
      <c r="F2747" s="64"/>
      <c r="G2747" s="64"/>
      <c r="H2747" s="64"/>
      <c r="I2747" s="70"/>
      <c r="J2747" s="70"/>
      <c r="K2747" s="110" t="str">
        <f>IF(H2747="","",IF($C$29="간이법","",FPR(H2747,I2747,J2747)))</f>
        <v/>
      </c>
      <c r="L2747" s="111" t="str">
        <f>IF(H2747="","",IF($C$29="상세법",FPV(H2747,K2747),IF(H2747="EI",4,IF(H2747="EO",5.2,IF(H2747="EQ",3.9,IF(H2747="ILF",7.5,IF(H2747="EIF",5.4)))))))</f>
        <v/>
      </c>
      <c r="M2747" s="112" t="str">
        <f t="shared" si="46"/>
        <v/>
      </c>
      <c r="N2747" s="113"/>
    </row>
    <row r="2748" spans="2:14">
      <c r="B2748" s="105"/>
      <c r="C2748" s="106"/>
      <c r="D2748" s="107"/>
      <c r="E2748" s="65"/>
      <c r="F2748" s="64"/>
      <c r="G2748" s="64"/>
      <c r="H2748" s="64"/>
      <c r="I2748" s="70"/>
      <c r="J2748" s="70"/>
      <c r="K2748" s="110" t="str">
        <f>IF(H2748="","",IF($C$29="간이법","",FPR(H2748,I2748,J2748)))</f>
        <v/>
      </c>
      <c r="L2748" s="111" t="str">
        <f>IF(H2748="","",IF($C$29="상세법",FPV(H2748,K2748),IF(H2748="EI",4,IF(H2748="EO",5.2,IF(H2748="EQ",3.9,IF(H2748="ILF",7.5,IF(H2748="EIF",5.4)))))))</f>
        <v/>
      </c>
      <c r="M2748" s="112" t="str">
        <f t="shared" si="46"/>
        <v/>
      </c>
      <c r="N2748" s="113"/>
    </row>
    <row r="2749" spans="2:14">
      <c r="B2749" s="105"/>
      <c r="C2749" s="106"/>
      <c r="D2749" s="107"/>
      <c r="E2749" s="65"/>
      <c r="F2749" s="64"/>
      <c r="G2749" s="64"/>
      <c r="H2749" s="64"/>
      <c r="I2749" s="70"/>
      <c r="J2749" s="70"/>
      <c r="K2749" s="110" t="str">
        <f>IF(H2749="","",IF($C$29="간이법","",FPR(H2749,I2749,J2749)))</f>
        <v/>
      </c>
      <c r="L2749" s="111" t="str">
        <f>IF(H2749="","",IF($C$29="상세법",FPV(H2749,K2749),IF(H2749="EI",4,IF(H2749="EO",5.2,IF(H2749="EQ",3.9,IF(H2749="ILF",7.5,IF(H2749="EIF",5.4)))))))</f>
        <v/>
      </c>
      <c r="M2749" s="112" t="str">
        <f t="shared" si="46"/>
        <v/>
      </c>
      <c r="N2749" s="113"/>
    </row>
    <row r="2750" spans="2:14">
      <c r="B2750" s="105"/>
      <c r="C2750" s="106"/>
      <c r="D2750" s="107"/>
      <c r="E2750" s="65"/>
      <c r="F2750" s="64"/>
      <c r="G2750" s="64"/>
      <c r="H2750" s="64"/>
      <c r="I2750" s="70"/>
      <c r="J2750" s="70"/>
      <c r="K2750" s="110" t="str">
        <f>IF(H2750="","",IF($C$29="간이법","",FPR(H2750,I2750,J2750)))</f>
        <v/>
      </c>
      <c r="L2750" s="111" t="str">
        <f>IF(H2750="","",IF($C$29="상세법",FPV(H2750,K2750),IF(H2750="EI",4,IF(H2750="EO",5.2,IF(H2750="EQ",3.9,IF(H2750="ILF",7.5,IF(H2750="EIF",5.4)))))))</f>
        <v/>
      </c>
      <c r="M2750" s="112" t="str">
        <f t="shared" si="46"/>
        <v/>
      </c>
      <c r="N2750" s="113"/>
    </row>
    <row r="2751" spans="2:14">
      <c r="B2751" s="105"/>
      <c r="C2751" s="106"/>
      <c r="D2751" s="107"/>
      <c r="E2751" s="65"/>
      <c r="F2751" s="64"/>
      <c r="G2751" s="64"/>
      <c r="H2751" s="64"/>
      <c r="I2751" s="70"/>
      <c r="J2751" s="70"/>
      <c r="K2751" s="110" t="str">
        <f>IF(H2751="","",IF($C$29="간이법","",FPR(H2751,I2751,J2751)))</f>
        <v/>
      </c>
      <c r="L2751" s="111" t="str">
        <f>IF(H2751="","",IF($C$29="상세법",FPV(H2751,K2751),IF(H2751="EI",4,IF(H2751="EO",5.2,IF(H2751="EQ",3.9,IF(H2751="ILF",7.5,IF(H2751="EIF",5.4)))))))</f>
        <v/>
      </c>
      <c r="M2751" s="112" t="str">
        <f t="shared" si="46"/>
        <v/>
      </c>
      <c r="N2751" s="113"/>
    </row>
    <row r="2752" spans="2:14">
      <c r="B2752" s="105"/>
      <c r="C2752" s="106"/>
      <c r="D2752" s="107"/>
      <c r="E2752" s="65"/>
      <c r="F2752" s="64"/>
      <c r="G2752" s="64"/>
      <c r="H2752" s="64"/>
      <c r="I2752" s="70"/>
      <c r="J2752" s="70"/>
      <c r="K2752" s="110" t="str">
        <f>IF(H2752="","",IF($C$29="간이법","",FPR(H2752,I2752,J2752)))</f>
        <v/>
      </c>
      <c r="L2752" s="111" t="str">
        <f>IF(H2752="","",IF($C$29="상세법",FPV(H2752,K2752),IF(H2752="EI",4,IF(H2752="EO",5.2,IF(H2752="EQ",3.9,IF(H2752="ILF",7.5,IF(H2752="EIF",5.4)))))))</f>
        <v/>
      </c>
      <c r="M2752" s="112" t="str">
        <f t="shared" si="46"/>
        <v/>
      </c>
      <c r="N2752" s="113"/>
    </row>
    <row r="2753" spans="2:14">
      <c r="B2753" s="105"/>
      <c r="C2753" s="106"/>
      <c r="D2753" s="107"/>
      <c r="E2753" s="65"/>
      <c r="F2753" s="64"/>
      <c r="G2753" s="64"/>
      <c r="H2753" s="64"/>
      <c r="I2753" s="70"/>
      <c r="J2753" s="70"/>
      <c r="K2753" s="110" t="str">
        <f>IF(H2753="","",IF($C$29="간이법","",FPR(H2753,I2753,J2753)))</f>
        <v/>
      </c>
      <c r="L2753" s="111" t="str">
        <f>IF(H2753="","",IF($C$29="상세법",FPV(H2753,K2753),IF(H2753="EI",4,IF(H2753="EO",5.2,IF(H2753="EQ",3.9,IF(H2753="ILF",7.5,IF(H2753="EIF",5.4)))))))</f>
        <v/>
      </c>
      <c r="M2753" s="112" t="str">
        <f t="shared" si="46"/>
        <v/>
      </c>
      <c r="N2753" s="113"/>
    </row>
    <row r="2754" spans="2:14">
      <c r="B2754" s="105"/>
      <c r="C2754" s="106"/>
      <c r="D2754" s="107"/>
      <c r="E2754" s="65"/>
      <c r="F2754" s="64"/>
      <c r="G2754" s="64"/>
      <c r="H2754" s="64"/>
      <c r="I2754" s="70"/>
      <c r="J2754" s="70"/>
      <c r="K2754" s="110" t="str">
        <f>IF(H2754="","",IF($C$29="간이법","",FPR(H2754,I2754,J2754)))</f>
        <v/>
      </c>
      <c r="L2754" s="111" t="str">
        <f>IF(H2754="","",IF($C$29="상세법",FPV(H2754,K2754),IF(H2754="EI",4,IF(H2754="EO",5.2,IF(H2754="EQ",3.9,IF(H2754="ILF",7.5,IF(H2754="EIF",5.4)))))))</f>
        <v/>
      </c>
      <c r="M2754" s="112" t="str">
        <f t="shared" si="46"/>
        <v/>
      </c>
      <c r="N2754" s="113"/>
    </row>
    <row r="2755" spans="2:14">
      <c r="B2755" s="105"/>
      <c r="C2755" s="106"/>
      <c r="D2755" s="107"/>
      <c r="E2755" s="65"/>
      <c r="F2755" s="64"/>
      <c r="G2755" s="64"/>
      <c r="H2755" s="64"/>
      <c r="I2755" s="70"/>
      <c r="J2755" s="70"/>
      <c r="K2755" s="110" t="str">
        <f>IF(H2755="","",IF($C$29="간이법","",FPR(H2755,I2755,J2755)))</f>
        <v/>
      </c>
      <c r="L2755" s="111" t="str">
        <f>IF(H2755="","",IF($C$29="상세법",FPV(H2755,K2755),IF(H2755="EI",4,IF(H2755="EO",5.2,IF(H2755="EQ",3.9,IF(H2755="ILF",7.5,IF(H2755="EIF",5.4)))))))</f>
        <v/>
      </c>
      <c r="M2755" s="112" t="str">
        <f t="shared" si="46"/>
        <v/>
      </c>
      <c r="N2755" s="113"/>
    </row>
    <row r="2756" spans="2:14">
      <c r="B2756" s="105"/>
      <c r="C2756" s="106"/>
      <c r="D2756" s="107"/>
      <c r="E2756" s="65"/>
      <c r="F2756" s="64"/>
      <c r="G2756" s="64"/>
      <c r="H2756" s="64"/>
      <c r="I2756" s="70"/>
      <c r="J2756" s="70"/>
      <c r="K2756" s="110" t="str">
        <f>IF(H2756="","",IF($C$29="간이법","",FPR(H2756,I2756,J2756)))</f>
        <v/>
      </c>
      <c r="L2756" s="111" t="str">
        <f>IF(H2756="","",IF($C$29="상세법",FPV(H2756,K2756),IF(H2756="EI",4,IF(H2756="EO",5.2,IF(H2756="EQ",3.9,IF(H2756="ILF",7.5,IF(H2756="EIF",5.4)))))))</f>
        <v/>
      </c>
      <c r="M2756" s="112" t="str">
        <f t="shared" si="46"/>
        <v/>
      </c>
      <c r="N2756" s="113"/>
    </row>
    <row r="2757" spans="2:14">
      <c r="B2757" s="105"/>
      <c r="C2757" s="106"/>
      <c r="D2757" s="107"/>
      <c r="E2757" s="65"/>
      <c r="F2757" s="64"/>
      <c r="G2757" s="64"/>
      <c r="H2757" s="64"/>
      <c r="I2757" s="70"/>
      <c r="J2757" s="70"/>
      <c r="K2757" s="110" t="str">
        <f>IF(H2757="","",IF($C$29="간이법","",FPR(H2757,I2757,J2757)))</f>
        <v/>
      </c>
      <c r="L2757" s="111" t="str">
        <f>IF(H2757="","",IF($C$29="상세법",FPV(H2757,K2757),IF(H2757="EI",4,IF(H2757="EO",5.2,IF(H2757="EQ",3.9,IF(H2757="ILF",7.5,IF(H2757="EIF",5.4)))))))</f>
        <v/>
      </c>
      <c r="M2757" s="112" t="str">
        <f t="shared" si="46"/>
        <v/>
      </c>
      <c r="N2757" s="113"/>
    </row>
    <row r="2758" spans="2:14">
      <c r="B2758" s="105"/>
      <c r="C2758" s="106"/>
      <c r="D2758" s="107"/>
      <c r="E2758" s="65"/>
      <c r="F2758" s="64"/>
      <c r="G2758" s="64"/>
      <c r="H2758" s="64"/>
      <c r="I2758" s="70"/>
      <c r="J2758" s="70"/>
      <c r="K2758" s="110" t="str">
        <f>IF(H2758="","",IF($C$29="간이법","",FPR(H2758,I2758,J2758)))</f>
        <v/>
      </c>
      <c r="L2758" s="111" t="str">
        <f>IF(H2758="","",IF($C$29="상세법",FPV(H2758,K2758),IF(H2758="EI",4,IF(H2758="EO",5.2,IF(H2758="EQ",3.9,IF(H2758="ILF",7.5,IF(H2758="EIF",5.4)))))))</f>
        <v/>
      </c>
      <c r="M2758" s="112" t="str">
        <f t="shared" si="46"/>
        <v/>
      </c>
      <c r="N2758" s="113"/>
    </row>
    <row r="2759" spans="2:14">
      <c r="B2759" s="105"/>
      <c r="C2759" s="106"/>
      <c r="D2759" s="107"/>
      <c r="E2759" s="65"/>
      <c r="F2759" s="64"/>
      <c r="G2759" s="64"/>
      <c r="H2759" s="64"/>
      <c r="I2759" s="70"/>
      <c r="J2759" s="70"/>
      <c r="K2759" s="110" t="str">
        <f>IF(H2759="","",IF($C$29="간이법","",FPR(H2759,I2759,J2759)))</f>
        <v/>
      </c>
      <c r="L2759" s="111" t="str">
        <f>IF(H2759="","",IF($C$29="상세법",FPV(H2759,K2759),IF(H2759="EI",4,IF(H2759="EO",5.2,IF(H2759="EQ",3.9,IF(H2759="ILF",7.5,IF(H2759="EIF",5.4)))))))</f>
        <v/>
      </c>
      <c r="M2759" s="112" t="str">
        <f t="shared" si="46"/>
        <v/>
      </c>
      <c r="N2759" s="113"/>
    </row>
    <row r="2760" spans="2:14">
      <c r="B2760" s="105"/>
      <c r="C2760" s="106"/>
      <c r="D2760" s="107"/>
      <c r="E2760" s="65"/>
      <c r="F2760" s="64"/>
      <c r="G2760" s="64"/>
      <c r="H2760" s="64"/>
      <c r="I2760" s="70"/>
      <c r="J2760" s="70"/>
      <c r="K2760" s="110" t="str">
        <f>IF(H2760="","",IF($C$29="간이법","",FPR(H2760,I2760,J2760)))</f>
        <v/>
      </c>
      <c r="L2760" s="111" t="str">
        <f>IF(H2760="","",IF($C$29="상세법",FPV(H2760,K2760),IF(H2760="EI",4,IF(H2760="EO",5.2,IF(H2760="EQ",3.9,IF(H2760="ILF",7.5,IF(H2760="EIF",5.4)))))))</f>
        <v/>
      </c>
      <c r="M2760" s="112" t="str">
        <f t="shared" si="46"/>
        <v/>
      </c>
      <c r="N2760" s="113"/>
    </row>
    <row r="2761" spans="2:14">
      <c r="B2761" s="105"/>
      <c r="C2761" s="106"/>
      <c r="D2761" s="107"/>
      <c r="E2761" s="65"/>
      <c r="F2761" s="64"/>
      <c r="G2761" s="64"/>
      <c r="H2761" s="64"/>
      <c r="I2761" s="70"/>
      <c r="J2761" s="70"/>
      <c r="K2761" s="110" t="str">
        <f>IF(H2761="","",IF($C$29="간이법","",FPR(H2761,I2761,J2761)))</f>
        <v/>
      </c>
      <c r="L2761" s="111" t="str">
        <f>IF(H2761="","",IF($C$29="상세법",FPV(H2761,K2761),IF(H2761="EI",4,IF(H2761="EO",5.2,IF(H2761="EQ",3.9,IF(H2761="ILF",7.5,IF(H2761="EIF",5.4)))))))</f>
        <v/>
      </c>
      <c r="M2761" s="112" t="str">
        <f t="shared" si="46"/>
        <v/>
      </c>
      <c r="N2761" s="113"/>
    </row>
    <row r="2762" spans="2:14">
      <c r="B2762" s="105"/>
      <c r="C2762" s="106"/>
      <c r="D2762" s="107"/>
      <c r="E2762" s="65"/>
      <c r="F2762" s="64"/>
      <c r="G2762" s="64"/>
      <c r="H2762" s="64"/>
      <c r="I2762" s="70"/>
      <c r="J2762" s="70"/>
      <c r="K2762" s="110" t="str">
        <f>IF(H2762="","",IF($C$29="간이법","",FPR(H2762,I2762,J2762)))</f>
        <v/>
      </c>
      <c r="L2762" s="111" t="str">
        <f>IF(H2762="","",IF($C$29="상세법",FPV(H2762,K2762),IF(H2762="EI",4,IF(H2762="EO",5.2,IF(H2762="EQ",3.9,IF(H2762="ILF",7.5,IF(H2762="EIF",5.4)))))))</f>
        <v/>
      </c>
      <c r="M2762" s="112" t="str">
        <f t="shared" si="46"/>
        <v/>
      </c>
      <c r="N2762" s="113"/>
    </row>
    <row r="2763" spans="2:14">
      <c r="B2763" s="105"/>
      <c r="C2763" s="106"/>
      <c r="D2763" s="107"/>
      <c r="E2763" s="65"/>
      <c r="F2763" s="64"/>
      <c r="G2763" s="64"/>
      <c r="H2763" s="64"/>
      <c r="I2763" s="70"/>
      <c r="J2763" s="70"/>
      <c r="K2763" s="110" t="str">
        <f>IF(H2763="","",IF($C$29="간이법","",FPR(H2763,I2763,J2763)))</f>
        <v/>
      </c>
      <c r="L2763" s="111" t="str">
        <f>IF(H2763="","",IF($C$29="상세법",FPV(H2763,K2763),IF(H2763="EI",4,IF(H2763="EO",5.2,IF(H2763="EQ",3.9,IF(H2763="ILF",7.5,IF(H2763="EIF",5.4)))))))</f>
        <v/>
      </c>
      <c r="M2763" s="112" t="str">
        <f t="shared" si="46"/>
        <v/>
      </c>
      <c r="N2763" s="113"/>
    </row>
    <row r="2764" spans="2:14">
      <c r="B2764" s="105"/>
      <c r="C2764" s="106"/>
      <c r="D2764" s="107"/>
      <c r="E2764" s="65"/>
      <c r="F2764" s="64"/>
      <c r="G2764" s="64"/>
      <c r="H2764" s="64"/>
      <c r="I2764" s="70"/>
      <c r="J2764" s="70"/>
      <c r="K2764" s="110" t="str">
        <f>IF(H2764="","",IF($C$29="간이법","",FPR(H2764,I2764,J2764)))</f>
        <v/>
      </c>
      <c r="L2764" s="111" t="str">
        <f>IF(H2764="","",IF($C$29="상세법",FPV(H2764,K2764),IF(H2764="EI",4,IF(H2764="EO",5.2,IF(H2764="EQ",3.9,IF(H2764="ILF",7.5,IF(H2764="EIF",5.4)))))))</f>
        <v/>
      </c>
      <c r="M2764" s="112" t="str">
        <f t="shared" si="46"/>
        <v/>
      </c>
      <c r="N2764" s="113"/>
    </row>
    <row r="2765" spans="2:14">
      <c r="B2765" s="105"/>
      <c r="C2765" s="106"/>
      <c r="D2765" s="107"/>
      <c r="E2765" s="65"/>
      <c r="F2765" s="64"/>
      <c r="G2765" s="64"/>
      <c r="H2765" s="64"/>
      <c r="I2765" s="70"/>
      <c r="J2765" s="70"/>
      <c r="K2765" s="110" t="str">
        <f>IF(H2765="","",IF($C$29="간이법","",FPR(H2765,I2765,J2765)))</f>
        <v/>
      </c>
      <c r="L2765" s="111" t="str">
        <f>IF(H2765="","",IF($C$29="상세법",FPV(H2765,K2765),IF(H2765="EI",4,IF(H2765="EO",5.2,IF(H2765="EQ",3.9,IF(H2765="ILF",7.5,IF(H2765="EIF",5.4)))))))</f>
        <v/>
      </c>
      <c r="M2765" s="112" t="str">
        <f t="shared" si="46"/>
        <v/>
      </c>
      <c r="N2765" s="113"/>
    </row>
    <row r="2766" spans="2:14">
      <c r="B2766" s="105"/>
      <c r="C2766" s="106"/>
      <c r="D2766" s="107"/>
      <c r="E2766" s="65"/>
      <c r="F2766" s="64"/>
      <c r="G2766" s="64"/>
      <c r="H2766" s="64"/>
      <c r="I2766" s="70"/>
      <c r="J2766" s="70"/>
      <c r="K2766" s="110" t="str">
        <f>IF(H2766="","",IF($C$29="간이법","",FPR(H2766,I2766,J2766)))</f>
        <v/>
      </c>
      <c r="L2766" s="111" t="str">
        <f>IF(H2766="","",IF($C$29="상세법",FPV(H2766,K2766),IF(H2766="EI",4,IF(H2766="EO",5.2,IF(H2766="EQ",3.9,IF(H2766="ILF",7.5,IF(H2766="EIF",5.4)))))))</f>
        <v/>
      </c>
      <c r="M2766" s="112" t="str">
        <f t="shared" si="46"/>
        <v/>
      </c>
      <c r="N2766" s="113"/>
    </row>
    <row r="2767" spans="2:14">
      <c r="B2767" s="105"/>
      <c r="C2767" s="106"/>
      <c r="D2767" s="107"/>
      <c r="E2767" s="65"/>
      <c r="F2767" s="64"/>
      <c r="G2767" s="64"/>
      <c r="H2767" s="64"/>
      <c r="I2767" s="70"/>
      <c r="J2767" s="70"/>
      <c r="K2767" s="110" t="str">
        <f>IF(H2767="","",IF($C$29="간이법","",FPR(H2767,I2767,J2767)))</f>
        <v/>
      </c>
      <c r="L2767" s="111" t="str">
        <f>IF(H2767="","",IF($C$29="상세법",FPV(H2767,K2767),IF(H2767="EI",4,IF(H2767="EO",5.2,IF(H2767="EQ",3.9,IF(H2767="ILF",7.5,IF(H2767="EIF",5.4)))))))</f>
        <v/>
      </c>
      <c r="M2767" s="112" t="str">
        <f t="shared" si="46"/>
        <v/>
      </c>
      <c r="N2767" s="113"/>
    </row>
    <row r="2768" spans="2:14">
      <c r="B2768" s="105"/>
      <c r="C2768" s="106"/>
      <c r="D2768" s="107"/>
      <c r="E2768" s="65"/>
      <c r="F2768" s="64"/>
      <c r="G2768" s="64"/>
      <c r="H2768" s="64"/>
      <c r="I2768" s="70"/>
      <c r="J2768" s="70"/>
      <c r="K2768" s="110" t="str">
        <f>IF(H2768="","",IF($C$29="간이법","",FPR(H2768,I2768,J2768)))</f>
        <v/>
      </c>
      <c r="L2768" s="111" t="str">
        <f>IF(H2768="","",IF($C$29="상세법",FPV(H2768,K2768),IF(H2768="EI",4,IF(H2768="EO",5.2,IF(H2768="EQ",3.9,IF(H2768="ILF",7.5,IF(H2768="EIF",5.4)))))))</f>
        <v/>
      </c>
      <c r="M2768" s="112" t="str">
        <f t="shared" si="46"/>
        <v/>
      </c>
      <c r="N2768" s="113"/>
    </row>
    <row r="2769" spans="2:14">
      <c r="B2769" s="105"/>
      <c r="C2769" s="106"/>
      <c r="D2769" s="107"/>
      <c r="E2769" s="65"/>
      <c r="F2769" s="64"/>
      <c r="G2769" s="64"/>
      <c r="H2769" s="64"/>
      <c r="I2769" s="70"/>
      <c r="J2769" s="70"/>
      <c r="K2769" s="110" t="str">
        <f>IF(H2769="","",IF($C$29="간이법","",FPR(H2769,I2769,J2769)))</f>
        <v/>
      </c>
      <c r="L2769" s="111" t="str">
        <f>IF(H2769="","",IF($C$29="상세법",FPV(H2769,K2769),IF(H2769="EI",4,IF(H2769="EO",5.2,IF(H2769="EQ",3.9,IF(H2769="ILF",7.5,IF(H2769="EIF",5.4)))))))</f>
        <v/>
      </c>
      <c r="M2769" s="112" t="str">
        <f t="shared" si="46"/>
        <v/>
      </c>
      <c r="N2769" s="113"/>
    </row>
    <row r="2770" spans="2:14">
      <c r="B2770" s="105"/>
      <c r="C2770" s="106"/>
      <c r="D2770" s="107"/>
      <c r="E2770" s="65"/>
      <c r="F2770" s="64"/>
      <c r="G2770" s="64"/>
      <c r="H2770" s="64"/>
      <c r="I2770" s="70"/>
      <c r="J2770" s="70"/>
      <c r="K2770" s="110" t="str">
        <f>IF(H2770="","",IF($C$29="간이법","",FPR(H2770,I2770,J2770)))</f>
        <v/>
      </c>
      <c r="L2770" s="111" t="str">
        <f>IF(H2770="","",IF($C$29="상세법",FPV(H2770,K2770),IF(H2770="EI",4,IF(H2770="EO",5.2,IF(H2770="EQ",3.9,IF(H2770="ILF",7.5,IF(H2770="EIF",5.4)))))))</f>
        <v/>
      </c>
      <c r="M2770" s="112" t="str">
        <f t="shared" si="46"/>
        <v/>
      </c>
      <c r="N2770" s="113"/>
    </row>
    <row r="2771" spans="2:14">
      <c r="B2771" s="105"/>
      <c r="C2771" s="106"/>
      <c r="D2771" s="107"/>
      <c r="E2771" s="65"/>
      <c r="F2771" s="64"/>
      <c r="G2771" s="64"/>
      <c r="H2771" s="64"/>
      <c r="I2771" s="70"/>
      <c r="J2771" s="70"/>
      <c r="K2771" s="110" t="str">
        <f>IF(H2771="","",IF($C$29="간이법","",FPR(H2771,I2771,J2771)))</f>
        <v/>
      </c>
      <c r="L2771" s="111" t="str">
        <f>IF(H2771="","",IF($C$29="상세법",FPV(H2771,K2771),IF(H2771="EI",4,IF(H2771="EO",5.2,IF(H2771="EQ",3.9,IF(H2771="ILF",7.5,IF(H2771="EIF",5.4)))))))</f>
        <v/>
      </c>
      <c r="M2771" s="112" t="str">
        <f t="shared" si="46"/>
        <v/>
      </c>
      <c r="N2771" s="113"/>
    </row>
    <row r="2772" spans="2:14">
      <c r="B2772" s="105"/>
      <c r="C2772" s="106"/>
      <c r="D2772" s="107"/>
      <c r="E2772" s="65"/>
      <c r="F2772" s="64"/>
      <c r="G2772" s="64"/>
      <c r="H2772" s="64"/>
      <c r="I2772" s="70"/>
      <c r="J2772" s="70"/>
      <c r="K2772" s="110" t="str">
        <f>IF(H2772="","",IF($C$29="간이법","",FPR(H2772,I2772,J2772)))</f>
        <v/>
      </c>
      <c r="L2772" s="111" t="str">
        <f>IF(H2772="","",IF($C$29="상세법",FPV(H2772,K2772),IF(H2772="EI",4,IF(H2772="EO",5.2,IF(H2772="EQ",3.9,IF(H2772="ILF",7.5,IF(H2772="EIF",5.4)))))))</f>
        <v/>
      </c>
      <c r="M2772" s="112" t="str">
        <f t="shared" si="46"/>
        <v/>
      </c>
      <c r="N2772" s="113"/>
    </row>
    <row r="2773" spans="2:14">
      <c r="B2773" s="105"/>
      <c r="C2773" s="106"/>
      <c r="D2773" s="107"/>
      <c r="E2773" s="65"/>
      <c r="F2773" s="64"/>
      <c r="G2773" s="64"/>
      <c r="H2773" s="64"/>
      <c r="I2773" s="70"/>
      <c r="J2773" s="70"/>
      <c r="K2773" s="110" t="str">
        <f>IF(H2773="","",IF($C$29="간이법","",FPR(H2773,I2773,J2773)))</f>
        <v/>
      </c>
      <c r="L2773" s="111" t="str">
        <f>IF(H2773="","",IF($C$29="상세법",FPV(H2773,K2773),IF(H2773="EI",4,IF(H2773="EO",5.2,IF(H2773="EQ",3.9,IF(H2773="ILF",7.5,IF(H2773="EIF",5.4)))))))</f>
        <v/>
      </c>
      <c r="M2773" s="112" t="str">
        <f t="shared" si="46"/>
        <v/>
      </c>
      <c r="N2773" s="113"/>
    </row>
    <row r="2774" spans="2:14">
      <c r="B2774" s="105"/>
      <c r="C2774" s="106"/>
      <c r="D2774" s="107"/>
      <c r="E2774" s="65"/>
      <c r="F2774" s="64"/>
      <c r="G2774" s="64"/>
      <c r="H2774" s="64"/>
      <c r="I2774" s="70"/>
      <c r="J2774" s="70"/>
      <c r="K2774" s="110" t="str">
        <f>IF(H2774="","",IF($C$29="간이법","",FPR(H2774,I2774,J2774)))</f>
        <v/>
      </c>
      <c r="L2774" s="111" t="str">
        <f>IF(H2774="","",IF($C$29="상세법",FPV(H2774,K2774),IF(H2774="EI",4,IF(H2774="EO",5.2,IF(H2774="EQ",3.9,IF(H2774="ILF",7.5,IF(H2774="EIF",5.4)))))))</f>
        <v/>
      </c>
      <c r="M2774" s="112" t="str">
        <f t="shared" si="46"/>
        <v/>
      </c>
      <c r="N2774" s="113"/>
    </row>
    <row r="2775" spans="2:14">
      <c r="B2775" s="105"/>
      <c r="C2775" s="106"/>
      <c r="D2775" s="107"/>
      <c r="E2775" s="65"/>
      <c r="F2775" s="64"/>
      <c r="G2775" s="64"/>
      <c r="H2775" s="64"/>
      <c r="I2775" s="70"/>
      <c r="J2775" s="70"/>
      <c r="K2775" s="110" t="str">
        <f>IF(H2775="","",IF($C$29="간이법","",FPR(H2775,I2775,J2775)))</f>
        <v/>
      </c>
      <c r="L2775" s="111" t="str">
        <f>IF(H2775="","",IF($C$29="상세법",FPV(H2775,K2775),IF(H2775="EI",4,IF(H2775="EO",5.2,IF(H2775="EQ",3.9,IF(H2775="ILF",7.5,IF(H2775="EIF",5.4)))))))</f>
        <v/>
      </c>
      <c r="M2775" s="112" t="str">
        <f t="shared" si="46"/>
        <v/>
      </c>
      <c r="N2775" s="113"/>
    </row>
    <row r="2776" spans="2:14">
      <c r="B2776" s="105"/>
      <c r="C2776" s="106"/>
      <c r="D2776" s="107"/>
      <c r="E2776" s="65"/>
      <c r="F2776" s="64"/>
      <c r="G2776" s="64"/>
      <c r="H2776" s="64"/>
      <c r="I2776" s="70"/>
      <c r="J2776" s="70"/>
      <c r="K2776" s="110" t="str">
        <f>IF(H2776="","",IF($C$29="간이법","",FPR(H2776,I2776,J2776)))</f>
        <v/>
      </c>
      <c r="L2776" s="111" t="str">
        <f>IF(H2776="","",IF($C$29="상세법",FPV(H2776,K2776),IF(H2776="EI",4,IF(H2776="EO",5.2,IF(H2776="EQ",3.9,IF(H2776="ILF",7.5,IF(H2776="EIF",5.4)))))))</f>
        <v/>
      </c>
      <c r="M2776" s="112" t="str">
        <f t="shared" si="46"/>
        <v/>
      </c>
      <c r="N2776" s="113"/>
    </row>
    <row r="2777" spans="2:14">
      <c r="B2777" s="105"/>
      <c r="C2777" s="106"/>
      <c r="D2777" s="107"/>
      <c r="E2777" s="65"/>
      <c r="F2777" s="64"/>
      <c r="G2777" s="64"/>
      <c r="H2777" s="64"/>
      <c r="I2777" s="70"/>
      <c r="J2777" s="70"/>
      <c r="K2777" s="110" t="str">
        <f>IF(H2777="","",IF($C$29="간이법","",FPR(H2777,I2777,J2777)))</f>
        <v/>
      </c>
      <c r="L2777" s="111" t="str">
        <f>IF(H2777="","",IF($C$29="상세법",FPV(H2777,K2777),IF(H2777="EI",4,IF(H2777="EO",5.2,IF(H2777="EQ",3.9,IF(H2777="ILF",7.5,IF(H2777="EIF",5.4)))))))</f>
        <v/>
      </c>
      <c r="M2777" s="112" t="str">
        <f t="shared" si="46"/>
        <v/>
      </c>
      <c r="N2777" s="113"/>
    </row>
    <row r="2778" spans="2:14">
      <c r="B2778" s="105"/>
      <c r="C2778" s="106"/>
      <c r="D2778" s="107"/>
      <c r="E2778" s="65"/>
      <c r="F2778" s="64"/>
      <c r="G2778" s="64"/>
      <c r="H2778" s="64"/>
      <c r="I2778" s="70"/>
      <c r="J2778" s="70"/>
      <c r="K2778" s="110" t="str">
        <f>IF(H2778="","",IF($C$29="간이법","",FPR(H2778,I2778,J2778)))</f>
        <v/>
      </c>
      <c r="L2778" s="111" t="str">
        <f>IF(H2778="","",IF($C$29="상세법",FPV(H2778,K2778),IF(H2778="EI",4,IF(H2778="EO",5.2,IF(H2778="EQ",3.9,IF(H2778="ILF",7.5,IF(H2778="EIF",5.4)))))))</f>
        <v/>
      </c>
      <c r="M2778" s="112" t="str">
        <f t="shared" si="46"/>
        <v/>
      </c>
      <c r="N2778" s="113"/>
    </row>
    <row r="2779" spans="2:14">
      <c r="B2779" s="105"/>
      <c r="C2779" s="106"/>
      <c r="D2779" s="107"/>
      <c r="E2779" s="65"/>
      <c r="F2779" s="64"/>
      <c r="G2779" s="64"/>
      <c r="H2779" s="64"/>
      <c r="I2779" s="70"/>
      <c r="J2779" s="70"/>
      <c r="K2779" s="110" t="str">
        <f>IF(H2779="","",IF($C$29="간이법","",FPR(H2779,I2779,J2779)))</f>
        <v/>
      </c>
      <c r="L2779" s="111" t="str">
        <f>IF(H2779="","",IF($C$29="상세법",FPV(H2779,K2779),IF(H2779="EI",4,IF(H2779="EO",5.2,IF(H2779="EQ",3.9,IF(H2779="ILF",7.5,IF(H2779="EIF",5.4)))))))</f>
        <v/>
      </c>
      <c r="M2779" s="112" t="str">
        <f t="shared" si="46"/>
        <v/>
      </c>
      <c r="N2779" s="113"/>
    </row>
    <row r="2780" spans="2:14">
      <c r="B2780" s="105"/>
      <c r="C2780" s="106"/>
      <c r="D2780" s="107"/>
      <c r="E2780" s="65"/>
      <c r="F2780" s="64"/>
      <c r="G2780" s="64"/>
      <c r="H2780" s="64"/>
      <c r="I2780" s="70"/>
      <c r="J2780" s="70"/>
      <c r="K2780" s="110" t="str">
        <f>IF(H2780="","",IF($C$29="간이법","",FPR(H2780,I2780,J2780)))</f>
        <v/>
      </c>
      <c r="L2780" s="111" t="str">
        <f>IF(H2780="","",IF($C$29="상세법",FPV(H2780,K2780),IF(H2780="EI",4,IF(H2780="EO",5.2,IF(H2780="EQ",3.9,IF(H2780="ILF",7.5,IF(H2780="EIF",5.4)))))))</f>
        <v/>
      </c>
      <c r="M2780" s="112" t="str">
        <f t="shared" si="46"/>
        <v/>
      </c>
      <c r="N2780" s="113"/>
    </row>
    <row r="2781" spans="2:14">
      <c r="B2781" s="105"/>
      <c r="C2781" s="106"/>
      <c r="D2781" s="107"/>
      <c r="E2781" s="65"/>
      <c r="F2781" s="64"/>
      <c r="G2781" s="64"/>
      <c r="H2781" s="64"/>
      <c r="I2781" s="70"/>
      <c r="J2781" s="70"/>
      <c r="K2781" s="110" t="str">
        <f>IF(H2781="","",IF($C$29="간이법","",FPR(H2781,I2781,J2781)))</f>
        <v/>
      </c>
      <c r="L2781" s="111" t="str">
        <f>IF(H2781="","",IF($C$29="상세법",FPV(H2781,K2781),IF(H2781="EI",4,IF(H2781="EO",5.2,IF(H2781="EQ",3.9,IF(H2781="ILF",7.5,IF(H2781="EIF",5.4)))))))</f>
        <v/>
      </c>
      <c r="M2781" s="112" t="str">
        <f t="shared" si="46"/>
        <v/>
      </c>
      <c r="N2781" s="113"/>
    </row>
    <row r="2782" spans="2:14">
      <c r="B2782" s="105"/>
      <c r="C2782" s="106"/>
      <c r="D2782" s="107"/>
      <c r="E2782" s="65"/>
      <c r="F2782" s="64"/>
      <c r="G2782" s="64"/>
      <c r="H2782" s="64"/>
      <c r="I2782" s="70"/>
      <c r="J2782" s="70"/>
      <c r="K2782" s="110" t="str">
        <f>IF(H2782="","",IF($C$29="간이법","",FPR(H2782,I2782,J2782)))</f>
        <v/>
      </c>
      <c r="L2782" s="111" t="str">
        <f>IF(H2782="","",IF($C$29="상세법",FPV(H2782,K2782),IF(H2782="EI",4,IF(H2782="EO",5.2,IF(H2782="EQ",3.9,IF(H2782="ILF",7.5,IF(H2782="EIF",5.4)))))))</f>
        <v/>
      </c>
      <c r="M2782" s="112" t="str">
        <f t="shared" si="46"/>
        <v/>
      </c>
      <c r="N2782" s="113"/>
    </row>
    <row r="2783" spans="2:14">
      <c r="B2783" s="105"/>
      <c r="C2783" s="106"/>
      <c r="D2783" s="107"/>
      <c r="E2783" s="65"/>
      <c r="F2783" s="64"/>
      <c r="G2783" s="64"/>
      <c r="H2783" s="64"/>
      <c r="I2783" s="70"/>
      <c r="J2783" s="70"/>
      <c r="K2783" s="110" t="str">
        <f>IF(H2783="","",IF($C$29="간이법","",FPR(H2783,I2783,J2783)))</f>
        <v/>
      </c>
      <c r="L2783" s="111" t="str">
        <f>IF(H2783="","",IF($C$29="상세법",FPV(H2783,K2783),IF(H2783="EI",4,IF(H2783="EO",5.2,IF(H2783="EQ",3.9,IF(H2783="ILF",7.5,IF(H2783="EIF",5.4)))))))</f>
        <v/>
      </c>
      <c r="M2783" s="112" t="str">
        <f t="shared" si="46"/>
        <v/>
      </c>
      <c r="N2783" s="113"/>
    </row>
    <row r="2784" spans="2:14">
      <c r="B2784" s="105"/>
      <c r="C2784" s="106"/>
      <c r="D2784" s="107"/>
      <c r="E2784" s="65"/>
      <c r="F2784" s="64"/>
      <c r="G2784" s="64"/>
      <c r="H2784" s="64"/>
      <c r="I2784" s="70"/>
      <c r="J2784" s="70"/>
      <c r="K2784" s="110" t="str">
        <f>IF(H2784="","",IF($C$29="간이법","",FPR(H2784,I2784,J2784)))</f>
        <v/>
      </c>
      <c r="L2784" s="111" t="str">
        <f>IF(H2784="","",IF($C$29="상세법",FPV(H2784,K2784),IF(H2784="EI",4,IF(H2784="EO",5.2,IF(H2784="EQ",3.9,IF(H2784="ILF",7.5,IF(H2784="EIF",5.4)))))))</f>
        <v/>
      </c>
      <c r="M2784" s="112" t="str">
        <f t="shared" si="46"/>
        <v/>
      </c>
      <c r="N2784" s="113"/>
    </row>
    <row r="2785" spans="2:14">
      <c r="B2785" s="105"/>
      <c r="C2785" s="106"/>
      <c r="D2785" s="107"/>
      <c r="E2785" s="65"/>
      <c r="F2785" s="64"/>
      <c r="G2785" s="64"/>
      <c r="H2785" s="64"/>
      <c r="I2785" s="70"/>
      <c r="J2785" s="70"/>
      <c r="K2785" s="110" t="str">
        <f>IF(H2785="","",IF($C$29="간이법","",FPR(H2785,I2785,J2785)))</f>
        <v/>
      </c>
      <c r="L2785" s="111" t="str">
        <f>IF(H2785="","",IF($C$29="상세법",FPV(H2785,K2785),IF(H2785="EI",4,IF(H2785="EO",5.2,IF(H2785="EQ",3.9,IF(H2785="ILF",7.5,IF(H2785="EIF",5.4)))))))</f>
        <v/>
      </c>
      <c r="M2785" s="112" t="str">
        <f t="shared" si="46"/>
        <v/>
      </c>
      <c r="N2785" s="113"/>
    </row>
    <row r="2786" spans="2:14">
      <c r="B2786" s="105"/>
      <c r="C2786" s="106"/>
      <c r="D2786" s="107"/>
      <c r="E2786" s="65"/>
      <c r="F2786" s="64"/>
      <c r="G2786" s="64"/>
      <c r="H2786" s="64"/>
      <c r="I2786" s="70"/>
      <c r="J2786" s="70"/>
      <c r="K2786" s="110" t="str">
        <f>IF(H2786="","",IF($C$29="간이법","",FPR(H2786,I2786,J2786)))</f>
        <v/>
      </c>
      <c r="L2786" s="111" t="str">
        <f>IF(H2786="","",IF($C$29="상세법",FPV(H2786,K2786),IF(H2786="EI",4,IF(H2786="EO",5.2,IF(H2786="EQ",3.9,IF(H2786="ILF",7.5,IF(H2786="EIF",5.4)))))))</f>
        <v/>
      </c>
      <c r="M2786" s="112" t="str">
        <f t="shared" si="46"/>
        <v/>
      </c>
      <c r="N2786" s="113"/>
    </row>
    <row r="2787" spans="2:14">
      <c r="B2787" s="105"/>
      <c r="C2787" s="106"/>
      <c r="D2787" s="107"/>
      <c r="E2787" s="65"/>
      <c r="F2787" s="64"/>
      <c r="G2787" s="64"/>
      <c r="H2787" s="64"/>
      <c r="I2787" s="70"/>
      <c r="J2787" s="70"/>
      <c r="K2787" s="110" t="str">
        <f>IF(H2787="","",IF($C$29="간이법","",FPR(H2787,I2787,J2787)))</f>
        <v/>
      </c>
      <c r="L2787" s="111" t="str">
        <f>IF(H2787="","",IF($C$29="상세법",FPV(H2787,K2787),IF(H2787="EI",4,IF(H2787="EO",5.2,IF(H2787="EQ",3.9,IF(H2787="ILF",7.5,IF(H2787="EIF",5.4)))))))</f>
        <v/>
      </c>
      <c r="M2787" s="112" t="str">
        <f t="shared" si="46"/>
        <v/>
      </c>
      <c r="N2787" s="113"/>
    </row>
    <row r="2788" spans="2:14">
      <c r="B2788" s="105"/>
      <c r="C2788" s="106"/>
      <c r="D2788" s="107"/>
      <c r="E2788" s="65"/>
      <c r="F2788" s="64"/>
      <c r="G2788" s="64"/>
      <c r="H2788" s="64"/>
      <c r="I2788" s="70"/>
      <c r="J2788" s="70"/>
      <c r="K2788" s="110" t="str">
        <f>IF(H2788="","",IF($C$29="간이법","",FPR(H2788,I2788,J2788)))</f>
        <v/>
      </c>
      <c r="L2788" s="111" t="str">
        <f>IF(H2788="","",IF($C$29="상세법",FPV(H2788,K2788),IF(H2788="EI",4,IF(H2788="EO",5.2,IF(H2788="EQ",3.9,IF(H2788="ILF",7.5,IF(H2788="EIF",5.4)))))))</f>
        <v/>
      </c>
      <c r="M2788" s="112" t="str">
        <f t="shared" si="46"/>
        <v/>
      </c>
      <c r="N2788" s="113"/>
    </row>
    <row r="2789" spans="2:14">
      <c r="B2789" s="105"/>
      <c r="C2789" s="106"/>
      <c r="D2789" s="107"/>
      <c r="E2789" s="65"/>
      <c r="F2789" s="64"/>
      <c r="G2789" s="64"/>
      <c r="H2789" s="64"/>
      <c r="I2789" s="70"/>
      <c r="J2789" s="70"/>
      <c r="K2789" s="110" t="str">
        <f>IF(H2789="","",IF($C$29="간이법","",FPR(H2789,I2789,J2789)))</f>
        <v/>
      </c>
      <c r="L2789" s="111" t="str">
        <f>IF(H2789="","",IF($C$29="상세법",FPV(H2789,K2789),IF(H2789="EI",4,IF(H2789="EO",5.2,IF(H2789="EQ",3.9,IF(H2789="ILF",7.5,IF(H2789="EIF",5.4)))))))</f>
        <v/>
      </c>
      <c r="M2789" s="112" t="str">
        <f t="shared" si="46"/>
        <v/>
      </c>
      <c r="N2789" s="113"/>
    </row>
    <row r="2790" spans="2:14">
      <c r="B2790" s="105"/>
      <c r="C2790" s="106"/>
      <c r="D2790" s="107"/>
      <c r="E2790" s="65"/>
      <c r="F2790" s="64"/>
      <c r="G2790" s="64"/>
      <c r="H2790" s="64"/>
      <c r="I2790" s="70"/>
      <c r="J2790" s="70"/>
      <c r="K2790" s="110" t="str">
        <f>IF(H2790="","",IF($C$29="간이법","",FPR(H2790,I2790,J2790)))</f>
        <v/>
      </c>
      <c r="L2790" s="111" t="str">
        <f>IF(H2790="","",IF($C$29="상세법",FPV(H2790,K2790),IF(H2790="EI",4,IF(H2790="EO",5.2,IF(H2790="EQ",3.9,IF(H2790="ILF",7.5,IF(H2790="EIF",5.4)))))))</f>
        <v/>
      </c>
      <c r="M2790" s="112" t="str">
        <f t="shared" si="46"/>
        <v/>
      </c>
      <c r="N2790" s="113"/>
    </row>
    <row r="2791" spans="2:14">
      <c r="B2791" s="105"/>
      <c r="C2791" s="106"/>
      <c r="D2791" s="107"/>
      <c r="E2791" s="65"/>
      <c r="F2791" s="64"/>
      <c r="G2791" s="64"/>
      <c r="H2791" s="64"/>
      <c r="I2791" s="70"/>
      <c r="J2791" s="70"/>
      <c r="K2791" s="110" t="str">
        <f>IF(H2791="","",IF($C$29="간이법","",FPR(H2791,I2791,J2791)))</f>
        <v/>
      </c>
      <c r="L2791" s="111" t="str">
        <f>IF(H2791="","",IF($C$29="상세법",FPV(H2791,K2791),IF(H2791="EI",4,IF(H2791="EO",5.2,IF(H2791="EQ",3.9,IF(H2791="ILF",7.5,IF(H2791="EIF",5.4)))))))</f>
        <v/>
      </c>
      <c r="M2791" s="112" t="str">
        <f t="shared" si="46"/>
        <v/>
      </c>
      <c r="N2791" s="113"/>
    </row>
    <row r="2792" spans="2:14">
      <c r="B2792" s="105"/>
      <c r="C2792" s="106"/>
      <c r="D2792" s="107"/>
      <c r="E2792" s="65"/>
      <c r="F2792" s="64"/>
      <c r="G2792" s="64"/>
      <c r="H2792" s="64"/>
      <c r="I2792" s="70"/>
      <c r="J2792" s="70"/>
      <c r="K2792" s="110" t="str">
        <f>IF(H2792="","",IF($C$29="간이법","",FPR(H2792,I2792,J2792)))</f>
        <v/>
      </c>
      <c r="L2792" s="111" t="str">
        <f>IF(H2792="","",IF($C$29="상세법",FPV(H2792,K2792),IF(H2792="EI",4,IF(H2792="EO",5.2,IF(H2792="EQ",3.9,IF(H2792="ILF",7.5,IF(H2792="EIF",5.4)))))))</f>
        <v/>
      </c>
      <c r="M2792" s="112" t="str">
        <f t="shared" si="46"/>
        <v/>
      </c>
      <c r="N2792" s="113"/>
    </row>
    <row r="2793" spans="2:14">
      <c r="B2793" s="105"/>
      <c r="C2793" s="106"/>
      <c r="D2793" s="107"/>
      <c r="E2793" s="65"/>
      <c r="F2793" s="64"/>
      <c r="G2793" s="64"/>
      <c r="H2793" s="64"/>
      <c r="I2793" s="70"/>
      <c r="J2793" s="70"/>
      <c r="K2793" s="110" t="str">
        <f>IF(H2793="","",IF($C$29="간이법","",FPR(H2793,I2793,J2793)))</f>
        <v/>
      </c>
      <c r="L2793" s="111" t="str">
        <f>IF(H2793="","",IF($C$29="상세법",FPV(H2793,K2793),IF(H2793="EI",4,IF(H2793="EO",5.2,IF(H2793="EQ",3.9,IF(H2793="ILF",7.5,IF(H2793="EIF",5.4)))))))</f>
        <v/>
      </c>
      <c r="M2793" s="112" t="str">
        <f t="shared" si="46"/>
        <v/>
      </c>
      <c r="N2793" s="113"/>
    </row>
    <row r="2794" spans="2:14">
      <c r="B2794" s="105"/>
      <c r="C2794" s="106"/>
      <c r="D2794" s="107"/>
      <c r="E2794" s="65"/>
      <c r="F2794" s="64"/>
      <c r="G2794" s="64"/>
      <c r="H2794" s="64"/>
      <c r="I2794" s="70"/>
      <c r="J2794" s="70"/>
      <c r="K2794" s="110" t="str">
        <f>IF(H2794="","",IF($C$29="간이법","",FPR(H2794,I2794,J2794)))</f>
        <v/>
      </c>
      <c r="L2794" s="111" t="str">
        <f>IF(H2794="","",IF($C$29="상세법",FPV(H2794,K2794),IF(H2794="EI",4,IF(H2794="EO",5.2,IF(H2794="EQ",3.9,IF(H2794="ILF",7.5,IF(H2794="EIF",5.4)))))))</f>
        <v/>
      </c>
      <c r="M2794" s="112" t="str">
        <f t="shared" si="46"/>
        <v/>
      </c>
      <c r="N2794" s="113"/>
    </row>
    <row r="2795" spans="2:14">
      <c r="B2795" s="105"/>
      <c r="C2795" s="106"/>
      <c r="D2795" s="107"/>
      <c r="E2795" s="65"/>
      <c r="F2795" s="64"/>
      <c r="G2795" s="64"/>
      <c r="H2795" s="64"/>
      <c r="I2795" s="70"/>
      <c r="J2795" s="70"/>
      <c r="K2795" s="110" t="str">
        <f>IF(H2795="","",IF($C$29="간이법","",FPR(H2795,I2795,J2795)))</f>
        <v/>
      </c>
      <c r="L2795" s="111" t="str">
        <f>IF(H2795="","",IF($C$29="상세법",FPV(H2795,K2795),IF(H2795="EI",4,IF(H2795="EO",5.2,IF(H2795="EQ",3.9,IF(H2795="ILF",7.5,IF(H2795="EIF",5.4)))))))</f>
        <v/>
      </c>
      <c r="M2795" s="112" t="str">
        <f t="shared" si="46"/>
        <v/>
      </c>
      <c r="N2795" s="113"/>
    </row>
    <row r="2796" spans="2:14">
      <c r="B2796" s="105"/>
      <c r="C2796" s="106"/>
      <c r="D2796" s="107"/>
      <c r="E2796" s="65"/>
      <c r="F2796" s="64"/>
      <c r="G2796" s="64"/>
      <c r="H2796" s="64"/>
      <c r="I2796" s="70"/>
      <c r="J2796" s="70"/>
      <c r="K2796" s="110" t="str">
        <f>IF(H2796="","",IF($C$29="간이법","",FPR(H2796,I2796,J2796)))</f>
        <v/>
      </c>
      <c r="L2796" s="111" t="str">
        <f>IF(H2796="","",IF($C$29="상세법",FPV(H2796,K2796),IF(H2796="EI",4,IF(H2796="EO",5.2,IF(H2796="EQ",3.9,IF(H2796="ILF",7.5,IF(H2796="EIF",5.4)))))))</f>
        <v/>
      </c>
      <c r="M2796" s="112" t="str">
        <f t="shared" si="46"/>
        <v/>
      </c>
      <c r="N2796" s="113"/>
    </row>
    <row r="2797" spans="2:14">
      <c r="B2797" s="105"/>
      <c r="C2797" s="106"/>
      <c r="D2797" s="107"/>
      <c r="E2797" s="65"/>
      <c r="F2797" s="64"/>
      <c r="G2797" s="64"/>
      <c r="H2797" s="64"/>
      <c r="I2797" s="70"/>
      <c r="J2797" s="70"/>
      <c r="K2797" s="110" t="str">
        <f>IF(H2797="","",IF($C$29="간이법","",FPR(H2797,I2797,J2797)))</f>
        <v/>
      </c>
      <c r="L2797" s="111" t="str">
        <f>IF(H2797="","",IF($C$29="상세법",FPV(H2797,K2797),IF(H2797="EI",4,IF(H2797="EO",5.2,IF(H2797="EQ",3.9,IF(H2797="ILF",7.5,IF(H2797="EIF",5.4)))))))</f>
        <v/>
      </c>
      <c r="M2797" s="112" t="str">
        <f t="shared" si="46"/>
        <v/>
      </c>
      <c r="N2797" s="113"/>
    </row>
    <row r="2798" spans="2:14">
      <c r="B2798" s="105"/>
      <c r="C2798" s="106"/>
      <c r="D2798" s="107"/>
      <c r="E2798" s="65"/>
      <c r="F2798" s="64"/>
      <c r="G2798" s="64"/>
      <c r="H2798" s="64"/>
      <c r="I2798" s="70"/>
      <c r="J2798" s="70"/>
      <c r="K2798" s="110" t="str">
        <f>IF(H2798="","",IF($C$29="간이법","",FPR(H2798,I2798,J2798)))</f>
        <v/>
      </c>
      <c r="L2798" s="111" t="str">
        <f>IF(H2798="","",IF($C$29="상세법",FPV(H2798,K2798),IF(H2798="EI",4,IF(H2798="EO",5.2,IF(H2798="EQ",3.9,IF(H2798="ILF",7.5,IF(H2798="EIF",5.4)))))))</f>
        <v/>
      </c>
      <c r="M2798" s="112" t="str">
        <f t="shared" si="46"/>
        <v/>
      </c>
      <c r="N2798" s="113"/>
    </row>
    <row r="2799" spans="2:14">
      <c r="B2799" s="105"/>
      <c r="C2799" s="106"/>
      <c r="D2799" s="107"/>
      <c r="E2799" s="65"/>
      <c r="F2799" s="64"/>
      <c r="G2799" s="64"/>
      <c r="H2799" s="64"/>
      <c r="I2799" s="70"/>
      <c r="J2799" s="70"/>
      <c r="K2799" s="110" t="str">
        <f>IF(H2799="","",IF($C$29="간이법","",FPR(H2799,I2799,J2799)))</f>
        <v/>
      </c>
      <c r="L2799" s="111" t="str">
        <f>IF(H2799="","",IF($C$29="상세법",FPV(H2799,K2799),IF(H2799="EI",4,IF(H2799="EO",5.2,IF(H2799="EQ",3.9,IF(H2799="ILF",7.5,IF(H2799="EIF",5.4)))))))</f>
        <v/>
      </c>
      <c r="M2799" s="112" t="str">
        <f t="shared" si="46"/>
        <v/>
      </c>
      <c r="N2799" s="113"/>
    </row>
    <row r="2800" spans="2:14">
      <c r="B2800" s="105"/>
      <c r="C2800" s="106"/>
      <c r="D2800" s="107"/>
      <c r="E2800" s="65"/>
      <c r="F2800" s="64"/>
      <c r="G2800" s="64"/>
      <c r="H2800" s="64"/>
      <c r="I2800" s="70"/>
      <c r="J2800" s="70"/>
      <c r="K2800" s="110" t="str">
        <f>IF(H2800="","",IF($C$29="간이법","",FPR(H2800,I2800,J2800)))</f>
        <v/>
      </c>
      <c r="L2800" s="111" t="str">
        <f>IF(H2800="","",IF($C$29="상세법",FPV(H2800,K2800),IF(H2800="EI",4,IF(H2800="EO",5.2,IF(H2800="EQ",3.9,IF(H2800="ILF",7.5,IF(H2800="EIF",5.4)))))))</f>
        <v/>
      </c>
      <c r="M2800" s="112" t="str">
        <f t="shared" si="46"/>
        <v/>
      </c>
      <c r="N2800" s="113"/>
    </row>
    <row r="2801" spans="2:14">
      <c r="B2801" s="105"/>
      <c r="C2801" s="106"/>
      <c r="D2801" s="107"/>
      <c r="E2801" s="65"/>
      <c r="F2801" s="64"/>
      <c r="G2801" s="64"/>
      <c r="H2801" s="64"/>
      <c r="I2801" s="70"/>
      <c r="J2801" s="70"/>
      <c r="K2801" s="110" t="str">
        <f>IF(H2801="","",IF($C$29="간이법","",FPR(H2801,I2801,J2801)))</f>
        <v/>
      </c>
      <c r="L2801" s="111" t="str">
        <f>IF(H2801="","",IF($C$29="상세법",FPV(H2801,K2801),IF(H2801="EI",4,IF(H2801="EO",5.2,IF(H2801="EQ",3.9,IF(H2801="ILF",7.5,IF(H2801="EIF",5.4)))))))</f>
        <v/>
      </c>
      <c r="M2801" s="112" t="str">
        <f t="shared" si="46"/>
        <v/>
      </c>
      <c r="N2801" s="113"/>
    </row>
    <row r="2802" spans="2:14">
      <c r="B2802" s="105"/>
      <c r="C2802" s="106"/>
      <c r="D2802" s="107"/>
      <c r="E2802" s="65"/>
      <c r="F2802" s="64"/>
      <c r="G2802" s="64"/>
      <c r="H2802" s="64"/>
      <c r="I2802" s="70"/>
      <c r="J2802" s="70"/>
      <c r="K2802" s="110" t="str">
        <f>IF(H2802="","",IF($C$29="간이법","",FPR(H2802,I2802,J2802)))</f>
        <v/>
      </c>
      <c r="L2802" s="111" t="str">
        <f>IF(H2802="","",IF($C$29="상세법",FPV(H2802,K2802),IF(H2802="EI",4,IF(H2802="EO",5.2,IF(H2802="EQ",3.9,IF(H2802="ILF",7.5,IF(H2802="EIF",5.4)))))))</f>
        <v/>
      </c>
      <c r="M2802" s="112" t="str">
        <f t="shared" si="46"/>
        <v/>
      </c>
      <c r="N2802" s="113"/>
    </row>
    <row r="2803" spans="2:14">
      <c r="B2803" s="105"/>
      <c r="C2803" s="106"/>
      <c r="D2803" s="107"/>
      <c r="E2803" s="65"/>
      <c r="F2803" s="64"/>
      <c r="G2803" s="64"/>
      <c r="H2803" s="64"/>
      <c r="I2803" s="70"/>
      <c r="J2803" s="70"/>
      <c r="K2803" s="110" t="str">
        <f>IF(H2803="","",IF($C$29="간이법","",FPR(H2803,I2803,J2803)))</f>
        <v/>
      </c>
      <c r="L2803" s="111" t="str">
        <f>IF(H2803="","",IF($C$29="상세법",FPV(H2803,K2803),IF(H2803="EI",4,IF(H2803="EO",5.2,IF(H2803="EQ",3.9,IF(H2803="ILF",7.5,IF(H2803="EIF",5.4)))))))</f>
        <v/>
      </c>
      <c r="M2803" s="112" t="str">
        <f t="shared" si="46"/>
        <v/>
      </c>
      <c r="N2803" s="113"/>
    </row>
    <row r="2804" spans="2:14">
      <c r="B2804" s="105"/>
      <c r="C2804" s="106"/>
      <c r="D2804" s="107"/>
      <c r="E2804" s="65"/>
      <c r="F2804" s="64"/>
      <c r="G2804" s="64"/>
      <c r="H2804" s="64"/>
      <c r="I2804" s="70"/>
      <c r="J2804" s="70"/>
      <c r="K2804" s="110" t="str">
        <f>IF(H2804="","",IF($C$29="간이법","",FPR(H2804,I2804,J2804)))</f>
        <v/>
      </c>
      <c r="L2804" s="111" t="str">
        <f>IF(H2804="","",IF($C$29="상세법",FPV(H2804,K2804),IF(H2804="EI",4,IF(H2804="EO",5.2,IF(H2804="EQ",3.9,IF(H2804="ILF",7.5,IF(H2804="EIF",5.4)))))))</f>
        <v/>
      </c>
      <c r="M2804" s="112" t="str">
        <f t="shared" si="46"/>
        <v/>
      </c>
      <c r="N2804" s="113"/>
    </row>
    <row r="2805" spans="2:14">
      <c r="B2805" s="105"/>
      <c r="C2805" s="106"/>
      <c r="D2805" s="107"/>
      <c r="E2805" s="65"/>
      <c r="F2805" s="64"/>
      <c r="G2805" s="64"/>
      <c r="H2805" s="64"/>
      <c r="I2805" s="70"/>
      <c r="J2805" s="70"/>
      <c r="K2805" s="110" t="str">
        <f>IF(H2805="","",IF($C$29="간이법","",FPR(H2805,I2805,J2805)))</f>
        <v/>
      </c>
      <c r="L2805" s="111" t="str">
        <f>IF(H2805="","",IF($C$29="상세법",FPV(H2805,K2805),IF(H2805="EI",4,IF(H2805="EO",5.2,IF(H2805="EQ",3.9,IF(H2805="ILF",7.5,IF(H2805="EIF",5.4)))))))</f>
        <v/>
      </c>
      <c r="M2805" s="112" t="str">
        <f t="shared" si="46"/>
        <v/>
      </c>
      <c r="N2805" s="113"/>
    </row>
    <row r="2806" spans="2:14">
      <c r="B2806" s="105"/>
      <c r="C2806" s="106"/>
      <c r="D2806" s="107"/>
      <c r="E2806" s="65"/>
      <c r="F2806" s="64"/>
      <c r="G2806" s="64"/>
      <c r="H2806" s="64"/>
      <c r="I2806" s="70"/>
      <c r="J2806" s="70"/>
      <c r="K2806" s="110" t="str">
        <f>IF(H2806="","",IF($C$29="간이법","",FPR(H2806,I2806,J2806)))</f>
        <v/>
      </c>
      <c r="L2806" s="111" t="str">
        <f>IF(H2806="","",IF($C$29="상세법",FPV(H2806,K2806),IF(H2806="EI",4,IF(H2806="EO",5.2,IF(H2806="EQ",3.9,IF(H2806="ILF",7.5,IF(H2806="EIF",5.4)))))))</f>
        <v/>
      </c>
      <c r="M2806" s="112" t="str">
        <f t="shared" si="46"/>
        <v/>
      </c>
      <c r="N2806" s="113"/>
    </row>
    <row r="2807" spans="2:14">
      <c r="B2807" s="105"/>
      <c r="C2807" s="106"/>
      <c r="D2807" s="107"/>
      <c r="E2807" s="65"/>
      <c r="F2807" s="64"/>
      <c r="G2807" s="64"/>
      <c r="H2807" s="64"/>
      <c r="I2807" s="70"/>
      <c r="J2807" s="70"/>
      <c r="K2807" s="110" t="str">
        <f>IF(H2807="","",IF($C$29="간이법","",FPR(H2807,I2807,J2807)))</f>
        <v/>
      </c>
      <c r="L2807" s="111" t="str">
        <f>IF(H2807="","",IF($C$29="상세법",FPV(H2807,K2807),IF(H2807="EI",4,IF(H2807="EO",5.2,IF(H2807="EQ",3.9,IF(H2807="ILF",7.5,IF(H2807="EIF",5.4)))))))</f>
        <v/>
      </c>
      <c r="M2807" s="112" t="str">
        <f t="shared" si="46"/>
        <v/>
      </c>
      <c r="N2807" s="113"/>
    </row>
    <row r="2808" spans="2:14">
      <c r="B2808" s="105"/>
      <c r="C2808" s="106"/>
      <c r="D2808" s="107"/>
      <c r="E2808" s="65"/>
      <c r="F2808" s="64"/>
      <c r="G2808" s="64"/>
      <c r="H2808" s="64"/>
      <c r="I2808" s="70"/>
      <c r="J2808" s="70"/>
      <c r="K2808" s="110" t="str">
        <f>IF(H2808="","",IF($C$29="간이법","",FPR(H2808,I2808,J2808)))</f>
        <v/>
      </c>
      <c r="L2808" s="111" t="str">
        <f>IF(H2808="","",IF($C$29="상세법",FPV(H2808,K2808),IF(H2808="EI",4,IF(H2808="EO",5.2,IF(H2808="EQ",3.9,IF(H2808="ILF",7.5,IF(H2808="EIF",5.4)))))))</f>
        <v/>
      </c>
      <c r="M2808" s="112" t="str">
        <f t="shared" si="46"/>
        <v/>
      </c>
      <c r="N2808" s="113"/>
    </row>
    <row r="2809" spans="2:14">
      <c r="B2809" s="105"/>
      <c r="C2809" s="106"/>
      <c r="D2809" s="107"/>
      <c r="E2809" s="65"/>
      <c r="F2809" s="64"/>
      <c r="G2809" s="64"/>
      <c r="H2809" s="64"/>
      <c r="I2809" s="70"/>
      <c r="J2809" s="70"/>
      <c r="K2809" s="110" t="str">
        <f>IF(H2809="","",IF($C$29="간이법","",FPR(H2809,I2809,J2809)))</f>
        <v/>
      </c>
      <c r="L2809" s="111" t="str">
        <f>IF(H2809="","",IF($C$29="상세법",FPV(H2809,K2809),IF(H2809="EI",4,IF(H2809="EO",5.2,IF(H2809="EQ",3.9,IF(H2809="ILF",7.5,IF(H2809="EIF",5.4)))))))</f>
        <v/>
      </c>
      <c r="M2809" s="112" t="str">
        <f t="shared" ref="M2809:M2872" si="47">IF(L2809="","",L2809*IF(G2809="상",0.7,IF(G2809="중",0.5,IF(G2809="하",0.2,1))))</f>
        <v/>
      </c>
      <c r="N2809" s="113"/>
    </row>
    <row r="2810" spans="2:14">
      <c r="B2810" s="105"/>
      <c r="C2810" s="106"/>
      <c r="D2810" s="107"/>
      <c r="E2810" s="65"/>
      <c r="F2810" s="64"/>
      <c r="G2810" s="64"/>
      <c r="H2810" s="64"/>
      <c r="I2810" s="70"/>
      <c r="J2810" s="70"/>
      <c r="K2810" s="110" t="str">
        <f>IF(H2810="","",IF($C$29="간이법","",FPR(H2810,I2810,J2810)))</f>
        <v/>
      </c>
      <c r="L2810" s="111" t="str">
        <f>IF(H2810="","",IF($C$29="상세법",FPV(H2810,K2810),IF(H2810="EI",4,IF(H2810="EO",5.2,IF(H2810="EQ",3.9,IF(H2810="ILF",7.5,IF(H2810="EIF",5.4)))))))</f>
        <v/>
      </c>
      <c r="M2810" s="112" t="str">
        <f t="shared" si="47"/>
        <v/>
      </c>
      <c r="N2810" s="113"/>
    </row>
    <row r="2811" spans="2:14">
      <c r="B2811" s="105"/>
      <c r="C2811" s="106"/>
      <c r="D2811" s="107"/>
      <c r="E2811" s="65"/>
      <c r="F2811" s="64"/>
      <c r="G2811" s="64"/>
      <c r="H2811" s="64"/>
      <c r="I2811" s="70"/>
      <c r="J2811" s="70"/>
      <c r="K2811" s="110" t="str">
        <f>IF(H2811="","",IF($C$29="간이법","",FPR(H2811,I2811,J2811)))</f>
        <v/>
      </c>
      <c r="L2811" s="111" t="str">
        <f>IF(H2811="","",IF($C$29="상세법",FPV(H2811,K2811),IF(H2811="EI",4,IF(H2811="EO",5.2,IF(H2811="EQ",3.9,IF(H2811="ILF",7.5,IF(H2811="EIF",5.4)))))))</f>
        <v/>
      </c>
      <c r="M2811" s="112" t="str">
        <f t="shared" si="47"/>
        <v/>
      </c>
      <c r="N2811" s="113"/>
    </row>
    <row r="2812" spans="2:14">
      <c r="B2812" s="105"/>
      <c r="C2812" s="106"/>
      <c r="D2812" s="107"/>
      <c r="E2812" s="65"/>
      <c r="F2812" s="64"/>
      <c r="G2812" s="64"/>
      <c r="H2812" s="64"/>
      <c r="I2812" s="70"/>
      <c r="J2812" s="70"/>
      <c r="K2812" s="110" t="str">
        <f>IF(H2812="","",IF($C$29="간이법","",FPR(H2812,I2812,J2812)))</f>
        <v/>
      </c>
      <c r="L2812" s="111" t="str">
        <f>IF(H2812="","",IF($C$29="상세법",FPV(H2812,K2812),IF(H2812="EI",4,IF(H2812="EO",5.2,IF(H2812="EQ",3.9,IF(H2812="ILF",7.5,IF(H2812="EIF",5.4)))))))</f>
        <v/>
      </c>
      <c r="M2812" s="112" t="str">
        <f t="shared" si="47"/>
        <v/>
      </c>
      <c r="N2812" s="113"/>
    </row>
    <row r="2813" spans="2:14">
      <c r="B2813" s="105"/>
      <c r="C2813" s="106"/>
      <c r="D2813" s="107"/>
      <c r="E2813" s="65"/>
      <c r="F2813" s="64"/>
      <c r="G2813" s="64"/>
      <c r="H2813" s="64"/>
      <c r="I2813" s="70"/>
      <c r="J2813" s="70"/>
      <c r="K2813" s="110" t="str">
        <f>IF(H2813="","",IF($C$29="간이법","",FPR(H2813,I2813,J2813)))</f>
        <v/>
      </c>
      <c r="L2813" s="111" t="str">
        <f>IF(H2813="","",IF($C$29="상세법",FPV(H2813,K2813),IF(H2813="EI",4,IF(H2813="EO",5.2,IF(H2813="EQ",3.9,IF(H2813="ILF",7.5,IF(H2813="EIF",5.4)))))))</f>
        <v/>
      </c>
      <c r="M2813" s="112" t="str">
        <f t="shared" si="47"/>
        <v/>
      </c>
      <c r="N2813" s="113"/>
    </row>
    <row r="2814" spans="2:14">
      <c r="B2814" s="105"/>
      <c r="C2814" s="106"/>
      <c r="D2814" s="107"/>
      <c r="E2814" s="65"/>
      <c r="F2814" s="64"/>
      <c r="G2814" s="64"/>
      <c r="H2814" s="64"/>
      <c r="I2814" s="70"/>
      <c r="J2814" s="70"/>
      <c r="K2814" s="110" t="str">
        <f>IF(H2814="","",IF($C$29="간이법","",FPR(H2814,I2814,J2814)))</f>
        <v/>
      </c>
      <c r="L2814" s="111" t="str">
        <f>IF(H2814="","",IF($C$29="상세법",FPV(H2814,K2814),IF(H2814="EI",4,IF(H2814="EO",5.2,IF(H2814="EQ",3.9,IF(H2814="ILF",7.5,IF(H2814="EIF",5.4)))))))</f>
        <v/>
      </c>
      <c r="M2814" s="112" t="str">
        <f t="shared" si="47"/>
        <v/>
      </c>
      <c r="N2814" s="113"/>
    </row>
    <row r="2815" spans="2:14">
      <c r="B2815" s="105"/>
      <c r="C2815" s="106"/>
      <c r="D2815" s="107"/>
      <c r="E2815" s="65"/>
      <c r="F2815" s="64"/>
      <c r="G2815" s="64"/>
      <c r="H2815" s="64"/>
      <c r="I2815" s="70"/>
      <c r="J2815" s="70"/>
      <c r="K2815" s="110" t="str">
        <f>IF(H2815="","",IF($C$29="간이법","",FPR(H2815,I2815,J2815)))</f>
        <v/>
      </c>
      <c r="L2815" s="111" t="str">
        <f>IF(H2815="","",IF($C$29="상세법",FPV(H2815,K2815),IF(H2815="EI",4,IF(H2815="EO",5.2,IF(H2815="EQ",3.9,IF(H2815="ILF",7.5,IF(H2815="EIF",5.4)))))))</f>
        <v/>
      </c>
      <c r="M2815" s="112" t="str">
        <f t="shared" si="47"/>
        <v/>
      </c>
      <c r="N2815" s="113"/>
    </row>
    <row r="2816" spans="2:14">
      <c r="B2816" s="105"/>
      <c r="C2816" s="106"/>
      <c r="D2816" s="107"/>
      <c r="E2816" s="65"/>
      <c r="F2816" s="64"/>
      <c r="G2816" s="64"/>
      <c r="H2816" s="64"/>
      <c r="I2816" s="70"/>
      <c r="J2816" s="70"/>
      <c r="K2816" s="110" t="str">
        <f>IF(H2816="","",IF($C$29="간이법","",FPR(H2816,I2816,J2816)))</f>
        <v/>
      </c>
      <c r="L2816" s="111" t="str">
        <f>IF(H2816="","",IF($C$29="상세법",FPV(H2816,K2816),IF(H2816="EI",4,IF(H2816="EO",5.2,IF(H2816="EQ",3.9,IF(H2816="ILF",7.5,IF(H2816="EIF",5.4)))))))</f>
        <v/>
      </c>
      <c r="M2816" s="112" t="str">
        <f t="shared" si="47"/>
        <v/>
      </c>
      <c r="N2816" s="113"/>
    </row>
    <row r="2817" spans="2:14">
      <c r="B2817" s="105"/>
      <c r="C2817" s="106"/>
      <c r="D2817" s="107"/>
      <c r="E2817" s="65"/>
      <c r="F2817" s="64"/>
      <c r="G2817" s="64"/>
      <c r="H2817" s="64"/>
      <c r="I2817" s="70"/>
      <c r="J2817" s="70"/>
      <c r="K2817" s="110" t="str">
        <f>IF(H2817="","",IF($C$29="간이법","",FPR(H2817,I2817,J2817)))</f>
        <v/>
      </c>
      <c r="L2817" s="111" t="str">
        <f>IF(H2817="","",IF($C$29="상세법",FPV(H2817,K2817),IF(H2817="EI",4,IF(H2817="EO",5.2,IF(H2817="EQ",3.9,IF(H2817="ILF",7.5,IF(H2817="EIF",5.4)))))))</f>
        <v/>
      </c>
      <c r="M2817" s="112" t="str">
        <f t="shared" si="47"/>
        <v/>
      </c>
      <c r="N2817" s="113"/>
    </row>
    <row r="2818" spans="2:14">
      <c r="B2818" s="105"/>
      <c r="C2818" s="106"/>
      <c r="D2818" s="107"/>
      <c r="E2818" s="65"/>
      <c r="F2818" s="64"/>
      <c r="G2818" s="64"/>
      <c r="H2818" s="64"/>
      <c r="I2818" s="70"/>
      <c r="J2818" s="70"/>
      <c r="K2818" s="110" t="str">
        <f>IF(H2818="","",IF($C$29="간이법","",FPR(H2818,I2818,J2818)))</f>
        <v/>
      </c>
      <c r="L2818" s="111" t="str">
        <f>IF(H2818="","",IF($C$29="상세법",FPV(H2818,K2818),IF(H2818="EI",4,IF(H2818="EO",5.2,IF(H2818="EQ",3.9,IF(H2818="ILF",7.5,IF(H2818="EIF",5.4)))))))</f>
        <v/>
      </c>
      <c r="M2818" s="112" t="str">
        <f t="shared" si="47"/>
        <v/>
      </c>
      <c r="N2818" s="113"/>
    </row>
    <row r="2819" spans="2:14">
      <c r="B2819" s="105"/>
      <c r="C2819" s="106"/>
      <c r="D2819" s="107"/>
      <c r="E2819" s="65"/>
      <c r="F2819" s="64"/>
      <c r="G2819" s="64"/>
      <c r="H2819" s="64"/>
      <c r="I2819" s="70"/>
      <c r="J2819" s="70"/>
      <c r="K2819" s="110" t="str">
        <f>IF(H2819="","",IF($C$29="간이법","",FPR(H2819,I2819,J2819)))</f>
        <v/>
      </c>
      <c r="L2819" s="111" t="str">
        <f>IF(H2819="","",IF($C$29="상세법",FPV(H2819,K2819),IF(H2819="EI",4,IF(H2819="EO",5.2,IF(H2819="EQ",3.9,IF(H2819="ILF",7.5,IF(H2819="EIF",5.4)))))))</f>
        <v/>
      </c>
      <c r="M2819" s="112" t="str">
        <f t="shared" si="47"/>
        <v/>
      </c>
      <c r="N2819" s="113"/>
    </row>
    <row r="2820" spans="2:14">
      <c r="B2820" s="105"/>
      <c r="C2820" s="106"/>
      <c r="D2820" s="107"/>
      <c r="E2820" s="65"/>
      <c r="F2820" s="64"/>
      <c r="G2820" s="64"/>
      <c r="H2820" s="64"/>
      <c r="I2820" s="70"/>
      <c r="J2820" s="70"/>
      <c r="K2820" s="110" t="str">
        <f>IF(H2820="","",IF($C$29="간이법","",FPR(H2820,I2820,J2820)))</f>
        <v/>
      </c>
      <c r="L2820" s="111" t="str">
        <f>IF(H2820="","",IF($C$29="상세법",FPV(H2820,K2820),IF(H2820="EI",4,IF(H2820="EO",5.2,IF(H2820="EQ",3.9,IF(H2820="ILF",7.5,IF(H2820="EIF",5.4)))))))</f>
        <v/>
      </c>
      <c r="M2820" s="112" t="str">
        <f t="shared" si="47"/>
        <v/>
      </c>
      <c r="N2820" s="113"/>
    </row>
    <row r="2821" spans="2:14">
      <c r="B2821" s="105"/>
      <c r="C2821" s="106"/>
      <c r="D2821" s="107"/>
      <c r="E2821" s="65"/>
      <c r="F2821" s="64"/>
      <c r="G2821" s="64"/>
      <c r="H2821" s="64"/>
      <c r="I2821" s="70"/>
      <c r="J2821" s="70"/>
      <c r="K2821" s="110" t="str">
        <f>IF(H2821="","",IF($C$29="간이법","",FPR(H2821,I2821,J2821)))</f>
        <v/>
      </c>
      <c r="L2821" s="111" t="str">
        <f>IF(H2821="","",IF($C$29="상세법",FPV(H2821,K2821),IF(H2821="EI",4,IF(H2821="EO",5.2,IF(H2821="EQ",3.9,IF(H2821="ILF",7.5,IF(H2821="EIF",5.4)))))))</f>
        <v/>
      </c>
      <c r="M2821" s="112" t="str">
        <f t="shared" si="47"/>
        <v/>
      </c>
      <c r="N2821" s="113"/>
    </row>
    <row r="2822" spans="2:14">
      <c r="B2822" s="105"/>
      <c r="C2822" s="106"/>
      <c r="D2822" s="107"/>
      <c r="E2822" s="65"/>
      <c r="F2822" s="64"/>
      <c r="G2822" s="64"/>
      <c r="H2822" s="64"/>
      <c r="I2822" s="70"/>
      <c r="J2822" s="70"/>
      <c r="K2822" s="110" t="str">
        <f>IF(H2822="","",IF($C$29="간이법","",FPR(H2822,I2822,J2822)))</f>
        <v/>
      </c>
      <c r="L2822" s="111" t="str">
        <f>IF(H2822="","",IF($C$29="상세법",FPV(H2822,K2822),IF(H2822="EI",4,IF(H2822="EO",5.2,IF(H2822="EQ",3.9,IF(H2822="ILF",7.5,IF(H2822="EIF",5.4)))))))</f>
        <v/>
      </c>
      <c r="M2822" s="112" t="str">
        <f t="shared" si="47"/>
        <v/>
      </c>
      <c r="N2822" s="113"/>
    </row>
    <row r="2823" spans="2:14">
      <c r="B2823" s="105"/>
      <c r="C2823" s="106"/>
      <c r="D2823" s="107"/>
      <c r="E2823" s="65"/>
      <c r="F2823" s="64"/>
      <c r="G2823" s="64"/>
      <c r="H2823" s="64"/>
      <c r="I2823" s="70"/>
      <c r="J2823" s="70"/>
      <c r="K2823" s="110" t="str">
        <f>IF(H2823="","",IF($C$29="간이법","",FPR(H2823,I2823,J2823)))</f>
        <v/>
      </c>
      <c r="L2823" s="111" t="str">
        <f>IF(H2823="","",IF($C$29="상세법",FPV(H2823,K2823),IF(H2823="EI",4,IF(H2823="EO",5.2,IF(H2823="EQ",3.9,IF(H2823="ILF",7.5,IF(H2823="EIF",5.4)))))))</f>
        <v/>
      </c>
      <c r="M2823" s="112" t="str">
        <f t="shared" si="47"/>
        <v/>
      </c>
      <c r="N2823" s="113"/>
    </row>
    <row r="2824" spans="2:14">
      <c r="B2824" s="105"/>
      <c r="C2824" s="106"/>
      <c r="D2824" s="107"/>
      <c r="E2824" s="65"/>
      <c r="F2824" s="64"/>
      <c r="G2824" s="64"/>
      <c r="H2824" s="64"/>
      <c r="I2824" s="70"/>
      <c r="J2824" s="70"/>
      <c r="K2824" s="110" t="str">
        <f>IF(H2824="","",IF($C$29="간이법","",FPR(H2824,I2824,J2824)))</f>
        <v/>
      </c>
      <c r="L2824" s="111" t="str">
        <f>IF(H2824="","",IF($C$29="상세법",FPV(H2824,K2824),IF(H2824="EI",4,IF(H2824="EO",5.2,IF(H2824="EQ",3.9,IF(H2824="ILF",7.5,IF(H2824="EIF",5.4)))))))</f>
        <v/>
      </c>
      <c r="M2824" s="112" t="str">
        <f t="shared" si="47"/>
        <v/>
      </c>
      <c r="N2824" s="113"/>
    </row>
    <row r="2825" spans="2:14">
      <c r="B2825" s="105"/>
      <c r="C2825" s="106"/>
      <c r="D2825" s="107"/>
      <c r="E2825" s="65"/>
      <c r="F2825" s="64"/>
      <c r="G2825" s="64"/>
      <c r="H2825" s="64"/>
      <c r="I2825" s="70"/>
      <c r="J2825" s="70"/>
      <c r="K2825" s="110" t="str">
        <f>IF(H2825="","",IF($C$29="간이법","",FPR(H2825,I2825,J2825)))</f>
        <v/>
      </c>
      <c r="L2825" s="111" t="str">
        <f>IF(H2825="","",IF($C$29="상세법",FPV(H2825,K2825),IF(H2825="EI",4,IF(H2825="EO",5.2,IF(H2825="EQ",3.9,IF(H2825="ILF",7.5,IF(H2825="EIF",5.4)))))))</f>
        <v/>
      </c>
      <c r="M2825" s="112" t="str">
        <f t="shared" si="47"/>
        <v/>
      </c>
      <c r="N2825" s="113"/>
    </row>
    <row r="2826" spans="2:14">
      <c r="B2826" s="105"/>
      <c r="C2826" s="106"/>
      <c r="D2826" s="107"/>
      <c r="E2826" s="65"/>
      <c r="F2826" s="64"/>
      <c r="G2826" s="64"/>
      <c r="H2826" s="64"/>
      <c r="I2826" s="70"/>
      <c r="J2826" s="70"/>
      <c r="K2826" s="110" t="str">
        <f>IF(H2826="","",IF($C$29="간이법","",FPR(H2826,I2826,J2826)))</f>
        <v/>
      </c>
      <c r="L2826" s="111" t="str">
        <f>IF(H2826="","",IF($C$29="상세법",FPV(H2826,K2826),IF(H2826="EI",4,IF(H2826="EO",5.2,IF(H2826="EQ",3.9,IF(H2826="ILF",7.5,IF(H2826="EIF",5.4)))))))</f>
        <v/>
      </c>
      <c r="M2826" s="112" t="str">
        <f t="shared" si="47"/>
        <v/>
      </c>
      <c r="N2826" s="113"/>
    </row>
    <row r="2827" spans="2:14">
      <c r="B2827" s="105"/>
      <c r="C2827" s="106"/>
      <c r="D2827" s="107"/>
      <c r="E2827" s="65"/>
      <c r="F2827" s="64"/>
      <c r="G2827" s="64"/>
      <c r="H2827" s="64"/>
      <c r="I2827" s="70"/>
      <c r="J2827" s="70"/>
      <c r="K2827" s="110" t="str">
        <f>IF(H2827="","",IF($C$29="간이법","",FPR(H2827,I2827,J2827)))</f>
        <v/>
      </c>
      <c r="L2827" s="111" t="str">
        <f>IF(H2827="","",IF($C$29="상세법",FPV(H2827,K2827),IF(H2827="EI",4,IF(H2827="EO",5.2,IF(H2827="EQ",3.9,IF(H2827="ILF",7.5,IF(H2827="EIF",5.4)))))))</f>
        <v/>
      </c>
      <c r="M2827" s="112" t="str">
        <f t="shared" si="47"/>
        <v/>
      </c>
      <c r="N2827" s="113"/>
    </row>
    <row r="2828" spans="2:14">
      <c r="B2828" s="105"/>
      <c r="C2828" s="106"/>
      <c r="D2828" s="107"/>
      <c r="E2828" s="65"/>
      <c r="F2828" s="64"/>
      <c r="G2828" s="64"/>
      <c r="H2828" s="64"/>
      <c r="I2828" s="70"/>
      <c r="J2828" s="70"/>
      <c r="K2828" s="110" t="str">
        <f>IF(H2828="","",IF($C$29="간이법","",FPR(H2828,I2828,J2828)))</f>
        <v/>
      </c>
      <c r="L2828" s="111" t="str">
        <f>IF(H2828="","",IF($C$29="상세법",FPV(H2828,K2828),IF(H2828="EI",4,IF(H2828="EO",5.2,IF(H2828="EQ",3.9,IF(H2828="ILF",7.5,IF(H2828="EIF",5.4)))))))</f>
        <v/>
      </c>
      <c r="M2828" s="112" t="str">
        <f t="shared" si="47"/>
        <v/>
      </c>
      <c r="N2828" s="113"/>
    </row>
    <row r="2829" spans="2:14">
      <c r="B2829" s="105"/>
      <c r="C2829" s="106"/>
      <c r="D2829" s="107"/>
      <c r="E2829" s="65"/>
      <c r="F2829" s="64"/>
      <c r="G2829" s="64"/>
      <c r="H2829" s="64"/>
      <c r="I2829" s="70"/>
      <c r="J2829" s="70"/>
      <c r="K2829" s="110" t="str">
        <f>IF(H2829="","",IF($C$29="간이법","",FPR(H2829,I2829,J2829)))</f>
        <v/>
      </c>
      <c r="L2829" s="111" t="str">
        <f>IF(H2829="","",IF($C$29="상세법",FPV(H2829,K2829),IF(H2829="EI",4,IF(H2829="EO",5.2,IF(H2829="EQ",3.9,IF(H2829="ILF",7.5,IF(H2829="EIF",5.4)))))))</f>
        <v/>
      </c>
      <c r="M2829" s="112" t="str">
        <f t="shared" si="47"/>
        <v/>
      </c>
      <c r="N2829" s="113"/>
    </row>
    <row r="2830" spans="2:14">
      <c r="B2830" s="105"/>
      <c r="C2830" s="106"/>
      <c r="D2830" s="107"/>
      <c r="E2830" s="65"/>
      <c r="F2830" s="64"/>
      <c r="G2830" s="64"/>
      <c r="H2830" s="64"/>
      <c r="I2830" s="70"/>
      <c r="J2830" s="70"/>
      <c r="K2830" s="110" t="str">
        <f>IF(H2830="","",IF($C$29="간이법","",FPR(H2830,I2830,J2830)))</f>
        <v/>
      </c>
      <c r="L2830" s="111" t="str">
        <f>IF(H2830="","",IF($C$29="상세법",FPV(H2830,K2830),IF(H2830="EI",4,IF(H2830="EO",5.2,IF(H2830="EQ",3.9,IF(H2830="ILF",7.5,IF(H2830="EIF",5.4)))))))</f>
        <v/>
      </c>
      <c r="M2830" s="112" t="str">
        <f t="shared" si="47"/>
        <v/>
      </c>
      <c r="N2830" s="113"/>
    </row>
    <row r="2831" spans="2:14">
      <c r="B2831" s="105"/>
      <c r="C2831" s="106"/>
      <c r="D2831" s="107"/>
      <c r="E2831" s="65"/>
      <c r="F2831" s="64"/>
      <c r="G2831" s="64"/>
      <c r="H2831" s="64"/>
      <c r="I2831" s="70"/>
      <c r="J2831" s="70"/>
      <c r="K2831" s="110" t="str">
        <f>IF(H2831="","",IF($C$29="간이법","",FPR(H2831,I2831,J2831)))</f>
        <v/>
      </c>
      <c r="L2831" s="111" t="str">
        <f>IF(H2831="","",IF($C$29="상세법",FPV(H2831,K2831),IF(H2831="EI",4,IF(H2831="EO",5.2,IF(H2831="EQ",3.9,IF(H2831="ILF",7.5,IF(H2831="EIF",5.4)))))))</f>
        <v/>
      </c>
      <c r="M2831" s="112" t="str">
        <f t="shared" si="47"/>
        <v/>
      </c>
      <c r="N2831" s="113"/>
    </row>
    <row r="2832" spans="2:14">
      <c r="B2832" s="105"/>
      <c r="C2832" s="106"/>
      <c r="D2832" s="107"/>
      <c r="E2832" s="65"/>
      <c r="F2832" s="64"/>
      <c r="G2832" s="64"/>
      <c r="H2832" s="64"/>
      <c r="I2832" s="70"/>
      <c r="J2832" s="70"/>
      <c r="K2832" s="110" t="str">
        <f>IF(H2832="","",IF($C$29="간이법","",FPR(H2832,I2832,J2832)))</f>
        <v/>
      </c>
      <c r="L2832" s="111" t="str">
        <f>IF(H2832="","",IF($C$29="상세법",FPV(H2832,K2832),IF(H2832="EI",4,IF(H2832="EO",5.2,IF(H2832="EQ",3.9,IF(H2832="ILF",7.5,IF(H2832="EIF",5.4)))))))</f>
        <v/>
      </c>
      <c r="M2832" s="112" t="str">
        <f t="shared" si="47"/>
        <v/>
      </c>
      <c r="N2832" s="113"/>
    </row>
    <row r="2833" spans="2:14">
      <c r="B2833" s="105"/>
      <c r="C2833" s="106"/>
      <c r="D2833" s="107"/>
      <c r="E2833" s="65"/>
      <c r="F2833" s="64"/>
      <c r="G2833" s="64"/>
      <c r="H2833" s="64"/>
      <c r="I2833" s="70"/>
      <c r="J2833" s="70"/>
      <c r="K2833" s="110" t="str">
        <f>IF(H2833="","",IF($C$29="간이법","",FPR(H2833,I2833,J2833)))</f>
        <v/>
      </c>
      <c r="L2833" s="111" t="str">
        <f>IF(H2833="","",IF($C$29="상세법",FPV(H2833,K2833),IF(H2833="EI",4,IF(H2833="EO",5.2,IF(H2833="EQ",3.9,IF(H2833="ILF",7.5,IF(H2833="EIF",5.4)))))))</f>
        <v/>
      </c>
      <c r="M2833" s="112" t="str">
        <f t="shared" si="47"/>
        <v/>
      </c>
      <c r="N2833" s="113"/>
    </row>
    <row r="2834" spans="2:14">
      <c r="B2834" s="105"/>
      <c r="C2834" s="106"/>
      <c r="D2834" s="107"/>
      <c r="E2834" s="65"/>
      <c r="F2834" s="64"/>
      <c r="G2834" s="64"/>
      <c r="H2834" s="64"/>
      <c r="I2834" s="70"/>
      <c r="J2834" s="70"/>
      <c r="K2834" s="110" t="str">
        <f>IF(H2834="","",IF($C$29="간이법","",FPR(H2834,I2834,J2834)))</f>
        <v/>
      </c>
      <c r="L2834" s="111" t="str">
        <f>IF(H2834="","",IF($C$29="상세법",FPV(H2834,K2834),IF(H2834="EI",4,IF(H2834="EO",5.2,IF(H2834="EQ",3.9,IF(H2834="ILF",7.5,IF(H2834="EIF",5.4)))))))</f>
        <v/>
      </c>
      <c r="M2834" s="112" t="str">
        <f t="shared" si="47"/>
        <v/>
      </c>
      <c r="N2834" s="113"/>
    </row>
    <row r="2835" spans="2:14">
      <c r="B2835" s="105"/>
      <c r="C2835" s="106"/>
      <c r="D2835" s="107"/>
      <c r="E2835" s="65"/>
      <c r="F2835" s="64"/>
      <c r="G2835" s="64"/>
      <c r="H2835" s="64"/>
      <c r="I2835" s="70"/>
      <c r="J2835" s="70"/>
      <c r="K2835" s="110" t="str">
        <f>IF(H2835="","",IF($C$29="간이법","",FPR(H2835,I2835,J2835)))</f>
        <v/>
      </c>
      <c r="L2835" s="111" t="str">
        <f>IF(H2835="","",IF($C$29="상세법",FPV(H2835,K2835),IF(H2835="EI",4,IF(H2835="EO",5.2,IF(H2835="EQ",3.9,IF(H2835="ILF",7.5,IF(H2835="EIF",5.4)))))))</f>
        <v/>
      </c>
      <c r="M2835" s="112" t="str">
        <f t="shared" si="47"/>
        <v/>
      </c>
      <c r="N2835" s="113"/>
    </row>
    <row r="2836" spans="2:14">
      <c r="B2836" s="105"/>
      <c r="C2836" s="106"/>
      <c r="D2836" s="107"/>
      <c r="E2836" s="65"/>
      <c r="F2836" s="64"/>
      <c r="G2836" s="64"/>
      <c r="H2836" s="64"/>
      <c r="I2836" s="70"/>
      <c r="J2836" s="70"/>
      <c r="K2836" s="110" t="str">
        <f>IF(H2836="","",IF($C$29="간이법","",FPR(H2836,I2836,J2836)))</f>
        <v/>
      </c>
      <c r="L2836" s="111" t="str">
        <f>IF(H2836="","",IF($C$29="상세법",FPV(H2836,K2836),IF(H2836="EI",4,IF(H2836="EO",5.2,IF(H2836="EQ",3.9,IF(H2836="ILF",7.5,IF(H2836="EIF",5.4)))))))</f>
        <v/>
      </c>
      <c r="M2836" s="112" t="str">
        <f t="shared" si="47"/>
        <v/>
      </c>
      <c r="N2836" s="113"/>
    </row>
    <row r="2837" spans="2:14">
      <c r="B2837" s="105"/>
      <c r="C2837" s="106"/>
      <c r="D2837" s="107"/>
      <c r="E2837" s="65"/>
      <c r="F2837" s="64"/>
      <c r="G2837" s="64"/>
      <c r="H2837" s="64"/>
      <c r="I2837" s="70"/>
      <c r="J2837" s="70"/>
      <c r="K2837" s="110" t="str">
        <f>IF(H2837="","",IF($C$29="간이법","",FPR(H2837,I2837,J2837)))</f>
        <v/>
      </c>
      <c r="L2837" s="111" t="str">
        <f>IF(H2837="","",IF($C$29="상세법",FPV(H2837,K2837),IF(H2837="EI",4,IF(H2837="EO",5.2,IF(H2837="EQ",3.9,IF(H2837="ILF",7.5,IF(H2837="EIF",5.4)))))))</f>
        <v/>
      </c>
      <c r="M2837" s="112" t="str">
        <f t="shared" si="47"/>
        <v/>
      </c>
      <c r="N2837" s="113"/>
    </row>
    <row r="2838" spans="2:14">
      <c r="B2838" s="105"/>
      <c r="C2838" s="106"/>
      <c r="D2838" s="107"/>
      <c r="E2838" s="65"/>
      <c r="F2838" s="64"/>
      <c r="G2838" s="64"/>
      <c r="H2838" s="64"/>
      <c r="I2838" s="70"/>
      <c r="J2838" s="70"/>
      <c r="K2838" s="110" t="str">
        <f>IF(H2838="","",IF($C$29="간이법","",FPR(H2838,I2838,J2838)))</f>
        <v/>
      </c>
      <c r="L2838" s="111" t="str">
        <f>IF(H2838="","",IF($C$29="상세법",FPV(H2838,K2838),IF(H2838="EI",4,IF(H2838="EO",5.2,IF(H2838="EQ",3.9,IF(H2838="ILF",7.5,IF(H2838="EIF",5.4)))))))</f>
        <v/>
      </c>
      <c r="M2838" s="112" t="str">
        <f t="shared" si="47"/>
        <v/>
      </c>
      <c r="N2838" s="113"/>
    </row>
    <row r="2839" spans="2:14">
      <c r="B2839" s="105"/>
      <c r="C2839" s="106"/>
      <c r="D2839" s="107"/>
      <c r="E2839" s="65"/>
      <c r="F2839" s="64"/>
      <c r="G2839" s="64"/>
      <c r="H2839" s="64"/>
      <c r="I2839" s="70"/>
      <c r="J2839" s="70"/>
      <c r="K2839" s="110" t="str">
        <f>IF(H2839="","",IF($C$29="간이법","",FPR(H2839,I2839,J2839)))</f>
        <v/>
      </c>
      <c r="L2839" s="111" t="str">
        <f>IF(H2839="","",IF($C$29="상세법",FPV(H2839,K2839),IF(H2839="EI",4,IF(H2839="EO",5.2,IF(H2839="EQ",3.9,IF(H2839="ILF",7.5,IF(H2839="EIF",5.4)))))))</f>
        <v/>
      </c>
      <c r="M2839" s="112" t="str">
        <f t="shared" si="47"/>
        <v/>
      </c>
      <c r="N2839" s="113"/>
    </row>
    <row r="2840" spans="2:14">
      <c r="B2840" s="105"/>
      <c r="C2840" s="106"/>
      <c r="D2840" s="107"/>
      <c r="E2840" s="65"/>
      <c r="F2840" s="64"/>
      <c r="G2840" s="64"/>
      <c r="H2840" s="64"/>
      <c r="I2840" s="70"/>
      <c r="J2840" s="70"/>
      <c r="K2840" s="110" t="str">
        <f>IF(H2840="","",IF($C$29="간이법","",FPR(H2840,I2840,J2840)))</f>
        <v/>
      </c>
      <c r="L2840" s="111" t="str">
        <f>IF(H2840="","",IF($C$29="상세법",FPV(H2840,K2840),IF(H2840="EI",4,IF(H2840="EO",5.2,IF(H2840="EQ",3.9,IF(H2840="ILF",7.5,IF(H2840="EIF",5.4)))))))</f>
        <v/>
      </c>
      <c r="M2840" s="112" t="str">
        <f t="shared" si="47"/>
        <v/>
      </c>
      <c r="N2840" s="113"/>
    </row>
    <row r="2841" spans="2:14">
      <c r="B2841" s="105"/>
      <c r="C2841" s="106"/>
      <c r="D2841" s="107"/>
      <c r="E2841" s="65"/>
      <c r="F2841" s="64"/>
      <c r="G2841" s="64"/>
      <c r="H2841" s="64"/>
      <c r="I2841" s="70"/>
      <c r="J2841" s="70"/>
      <c r="K2841" s="110" t="str">
        <f>IF(H2841="","",IF($C$29="간이법","",FPR(H2841,I2841,J2841)))</f>
        <v/>
      </c>
      <c r="L2841" s="111" t="str">
        <f>IF(H2841="","",IF($C$29="상세법",FPV(H2841,K2841),IF(H2841="EI",4,IF(H2841="EO",5.2,IF(H2841="EQ",3.9,IF(H2841="ILF",7.5,IF(H2841="EIF",5.4)))))))</f>
        <v/>
      </c>
      <c r="M2841" s="112" t="str">
        <f t="shared" si="47"/>
        <v/>
      </c>
      <c r="N2841" s="113"/>
    </row>
    <row r="2842" spans="2:14">
      <c r="B2842" s="105"/>
      <c r="C2842" s="106"/>
      <c r="D2842" s="107"/>
      <c r="E2842" s="65"/>
      <c r="F2842" s="64"/>
      <c r="G2842" s="64"/>
      <c r="H2842" s="64"/>
      <c r="I2842" s="70"/>
      <c r="J2842" s="70"/>
      <c r="K2842" s="110" t="str">
        <f>IF(H2842="","",IF($C$29="간이법","",FPR(H2842,I2842,J2842)))</f>
        <v/>
      </c>
      <c r="L2842" s="111" t="str">
        <f>IF(H2842="","",IF($C$29="상세법",FPV(H2842,K2842),IF(H2842="EI",4,IF(H2842="EO",5.2,IF(H2842="EQ",3.9,IF(H2842="ILF",7.5,IF(H2842="EIF",5.4)))))))</f>
        <v/>
      </c>
      <c r="M2842" s="112" t="str">
        <f t="shared" si="47"/>
        <v/>
      </c>
      <c r="N2842" s="113"/>
    </row>
    <row r="2843" spans="2:14">
      <c r="B2843" s="105"/>
      <c r="C2843" s="106"/>
      <c r="D2843" s="107"/>
      <c r="E2843" s="65"/>
      <c r="F2843" s="64"/>
      <c r="G2843" s="64"/>
      <c r="H2843" s="64"/>
      <c r="I2843" s="70"/>
      <c r="J2843" s="70"/>
      <c r="K2843" s="110" t="str">
        <f>IF(H2843="","",IF($C$29="간이법","",FPR(H2843,I2843,J2843)))</f>
        <v/>
      </c>
      <c r="L2843" s="111" t="str">
        <f>IF(H2843="","",IF($C$29="상세법",FPV(H2843,K2843),IF(H2843="EI",4,IF(H2843="EO",5.2,IF(H2843="EQ",3.9,IF(H2843="ILF",7.5,IF(H2843="EIF",5.4)))))))</f>
        <v/>
      </c>
      <c r="M2843" s="112" t="str">
        <f t="shared" si="47"/>
        <v/>
      </c>
      <c r="N2843" s="113"/>
    </row>
    <row r="2844" spans="2:14">
      <c r="B2844" s="105"/>
      <c r="C2844" s="106"/>
      <c r="D2844" s="107"/>
      <c r="E2844" s="65"/>
      <c r="F2844" s="64"/>
      <c r="G2844" s="64"/>
      <c r="H2844" s="64"/>
      <c r="I2844" s="70"/>
      <c r="J2844" s="70"/>
      <c r="K2844" s="110" t="str">
        <f>IF(H2844="","",IF($C$29="간이법","",FPR(H2844,I2844,J2844)))</f>
        <v/>
      </c>
      <c r="L2844" s="111" t="str">
        <f>IF(H2844="","",IF($C$29="상세법",FPV(H2844,K2844),IF(H2844="EI",4,IF(H2844="EO",5.2,IF(H2844="EQ",3.9,IF(H2844="ILF",7.5,IF(H2844="EIF",5.4)))))))</f>
        <v/>
      </c>
      <c r="M2844" s="112" t="str">
        <f t="shared" si="47"/>
        <v/>
      </c>
      <c r="N2844" s="113"/>
    </row>
    <row r="2845" spans="2:14">
      <c r="B2845" s="105"/>
      <c r="C2845" s="106"/>
      <c r="D2845" s="107"/>
      <c r="E2845" s="65"/>
      <c r="F2845" s="64"/>
      <c r="G2845" s="64"/>
      <c r="H2845" s="64"/>
      <c r="I2845" s="70"/>
      <c r="J2845" s="70"/>
      <c r="K2845" s="110" t="str">
        <f>IF(H2845="","",IF($C$29="간이법","",FPR(H2845,I2845,J2845)))</f>
        <v/>
      </c>
      <c r="L2845" s="111" t="str">
        <f>IF(H2845="","",IF($C$29="상세법",FPV(H2845,K2845),IF(H2845="EI",4,IF(H2845="EO",5.2,IF(H2845="EQ",3.9,IF(H2845="ILF",7.5,IF(H2845="EIF",5.4)))))))</f>
        <v/>
      </c>
      <c r="M2845" s="112" t="str">
        <f t="shared" si="47"/>
        <v/>
      </c>
      <c r="N2845" s="113"/>
    </row>
    <row r="2846" spans="2:14">
      <c r="B2846" s="105"/>
      <c r="C2846" s="106"/>
      <c r="D2846" s="107"/>
      <c r="E2846" s="65"/>
      <c r="F2846" s="64"/>
      <c r="G2846" s="64"/>
      <c r="H2846" s="64"/>
      <c r="I2846" s="70"/>
      <c r="J2846" s="70"/>
      <c r="K2846" s="110" t="str">
        <f>IF(H2846="","",IF($C$29="간이법","",FPR(H2846,I2846,J2846)))</f>
        <v/>
      </c>
      <c r="L2846" s="111" t="str">
        <f>IF(H2846="","",IF($C$29="상세법",FPV(H2846,K2846),IF(H2846="EI",4,IF(H2846="EO",5.2,IF(H2846="EQ",3.9,IF(H2846="ILF",7.5,IF(H2846="EIF",5.4)))))))</f>
        <v/>
      </c>
      <c r="M2846" s="112" t="str">
        <f t="shared" si="47"/>
        <v/>
      </c>
      <c r="N2846" s="113"/>
    </row>
    <row r="2847" spans="2:14">
      <c r="B2847" s="105"/>
      <c r="C2847" s="106"/>
      <c r="D2847" s="107"/>
      <c r="E2847" s="65"/>
      <c r="F2847" s="64"/>
      <c r="G2847" s="64"/>
      <c r="H2847" s="64"/>
      <c r="I2847" s="70"/>
      <c r="J2847" s="70"/>
      <c r="K2847" s="110" t="str">
        <f>IF(H2847="","",IF($C$29="간이법","",FPR(H2847,I2847,J2847)))</f>
        <v/>
      </c>
      <c r="L2847" s="111" t="str">
        <f>IF(H2847="","",IF($C$29="상세법",FPV(H2847,K2847),IF(H2847="EI",4,IF(H2847="EO",5.2,IF(H2847="EQ",3.9,IF(H2847="ILF",7.5,IF(H2847="EIF",5.4)))))))</f>
        <v/>
      </c>
      <c r="M2847" s="112" t="str">
        <f t="shared" si="47"/>
        <v/>
      </c>
      <c r="N2847" s="113"/>
    </row>
    <row r="2848" spans="2:14">
      <c r="B2848" s="105"/>
      <c r="C2848" s="106"/>
      <c r="D2848" s="107"/>
      <c r="E2848" s="65"/>
      <c r="F2848" s="64"/>
      <c r="G2848" s="64"/>
      <c r="H2848" s="64"/>
      <c r="I2848" s="70"/>
      <c r="J2848" s="70"/>
      <c r="K2848" s="110" t="str">
        <f>IF(H2848="","",IF($C$29="간이법","",FPR(H2848,I2848,J2848)))</f>
        <v/>
      </c>
      <c r="L2848" s="111" t="str">
        <f>IF(H2848="","",IF($C$29="상세법",FPV(H2848,K2848),IF(H2848="EI",4,IF(H2848="EO",5.2,IF(H2848="EQ",3.9,IF(H2848="ILF",7.5,IF(H2848="EIF",5.4)))))))</f>
        <v/>
      </c>
      <c r="M2848" s="112" t="str">
        <f t="shared" si="47"/>
        <v/>
      </c>
      <c r="N2848" s="113"/>
    </row>
    <row r="2849" spans="2:14">
      <c r="B2849" s="105"/>
      <c r="C2849" s="106"/>
      <c r="D2849" s="107"/>
      <c r="E2849" s="65"/>
      <c r="F2849" s="64"/>
      <c r="G2849" s="64"/>
      <c r="H2849" s="64"/>
      <c r="I2849" s="70"/>
      <c r="J2849" s="70"/>
      <c r="K2849" s="110" t="str">
        <f>IF(H2849="","",IF($C$29="간이법","",FPR(H2849,I2849,J2849)))</f>
        <v/>
      </c>
      <c r="L2849" s="111" t="str">
        <f>IF(H2849="","",IF($C$29="상세법",FPV(H2849,K2849),IF(H2849="EI",4,IF(H2849="EO",5.2,IF(H2849="EQ",3.9,IF(H2849="ILF",7.5,IF(H2849="EIF",5.4)))))))</f>
        <v/>
      </c>
      <c r="M2849" s="112" t="str">
        <f t="shared" si="47"/>
        <v/>
      </c>
      <c r="N2849" s="113"/>
    </row>
    <row r="2850" spans="2:14">
      <c r="B2850" s="105"/>
      <c r="C2850" s="106"/>
      <c r="D2850" s="107"/>
      <c r="E2850" s="65"/>
      <c r="F2850" s="64"/>
      <c r="G2850" s="64"/>
      <c r="H2850" s="64"/>
      <c r="I2850" s="70"/>
      <c r="J2850" s="70"/>
      <c r="K2850" s="110" t="str">
        <f>IF(H2850="","",IF($C$29="간이법","",FPR(H2850,I2850,J2850)))</f>
        <v/>
      </c>
      <c r="L2850" s="111" t="str">
        <f>IF(H2850="","",IF($C$29="상세법",FPV(H2850,K2850),IF(H2850="EI",4,IF(H2850="EO",5.2,IF(H2850="EQ",3.9,IF(H2850="ILF",7.5,IF(H2850="EIF",5.4)))))))</f>
        <v/>
      </c>
      <c r="M2850" s="112" t="str">
        <f t="shared" si="47"/>
        <v/>
      </c>
      <c r="N2850" s="113"/>
    </row>
    <row r="2851" spans="2:14">
      <c r="B2851" s="105"/>
      <c r="C2851" s="106"/>
      <c r="D2851" s="107"/>
      <c r="E2851" s="65"/>
      <c r="F2851" s="64"/>
      <c r="G2851" s="64"/>
      <c r="H2851" s="64"/>
      <c r="I2851" s="70"/>
      <c r="J2851" s="70"/>
      <c r="K2851" s="110" t="str">
        <f>IF(H2851="","",IF($C$29="간이법","",FPR(H2851,I2851,J2851)))</f>
        <v/>
      </c>
      <c r="L2851" s="111" t="str">
        <f>IF(H2851="","",IF($C$29="상세법",FPV(H2851,K2851),IF(H2851="EI",4,IF(H2851="EO",5.2,IF(H2851="EQ",3.9,IF(H2851="ILF",7.5,IF(H2851="EIF",5.4)))))))</f>
        <v/>
      </c>
      <c r="M2851" s="112" t="str">
        <f t="shared" si="47"/>
        <v/>
      </c>
      <c r="N2851" s="113"/>
    </row>
    <row r="2852" spans="2:14">
      <c r="B2852" s="105"/>
      <c r="C2852" s="106"/>
      <c r="D2852" s="107"/>
      <c r="E2852" s="65"/>
      <c r="F2852" s="64"/>
      <c r="G2852" s="64"/>
      <c r="H2852" s="64"/>
      <c r="I2852" s="70"/>
      <c r="J2852" s="70"/>
      <c r="K2852" s="110" t="str">
        <f>IF(H2852="","",IF($C$29="간이법","",FPR(H2852,I2852,J2852)))</f>
        <v/>
      </c>
      <c r="L2852" s="111" t="str">
        <f>IF(H2852="","",IF($C$29="상세법",FPV(H2852,K2852),IF(H2852="EI",4,IF(H2852="EO",5.2,IF(H2852="EQ",3.9,IF(H2852="ILF",7.5,IF(H2852="EIF",5.4)))))))</f>
        <v/>
      </c>
      <c r="M2852" s="112" t="str">
        <f t="shared" si="47"/>
        <v/>
      </c>
      <c r="N2852" s="113"/>
    </row>
    <row r="2853" spans="2:14">
      <c r="B2853" s="105"/>
      <c r="C2853" s="106"/>
      <c r="D2853" s="107"/>
      <c r="E2853" s="65"/>
      <c r="F2853" s="64"/>
      <c r="G2853" s="64"/>
      <c r="H2853" s="64"/>
      <c r="I2853" s="70"/>
      <c r="J2853" s="70"/>
      <c r="K2853" s="110" t="str">
        <f>IF(H2853="","",IF($C$29="간이법","",FPR(H2853,I2853,J2853)))</f>
        <v/>
      </c>
      <c r="L2853" s="111" t="str">
        <f>IF(H2853="","",IF($C$29="상세법",FPV(H2853,K2853),IF(H2853="EI",4,IF(H2853="EO",5.2,IF(H2853="EQ",3.9,IF(H2853="ILF",7.5,IF(H2853="EIF",5.4)))))))</f>
        <v/>
      </c>
      <c r="M2853" s="112" t="str">
        <f t="shared" si="47"/>
        <v/>
      </c>
      <c r="N2853" s="113"/>
    </row>
    <row r="2854" spans="2:14">
      <c r="B2854" s="105"/>
      <c r="C2854" s="106"/>
      <c r="D2854" s="107"/>
      <c r="E2854" s="65"/>
      <c r="F2854" s="64"/>
      <c r="G2854" s="64"/>
      <c r="H2854" s="64"/>
      <c r="I2854" s="70"/>
      <c r="J2854" s="70"/>
      <c r="K2854" s="110" t="str">
        <f>IF(H2854="","",IF($C$29="간이법","",FPR(H2854,I2854,J2854)))</f>
        <v/>
      </c>
      <c r="L2854" s="111" t="str">
        <f>IF(H2854="","",IF($C$29="상세법",FPV(H2854,K2854),IF(H2854="EI",4,IF(H2854="EO",5.2,IF(H2854="EQ",3.9,IF(H2854="ILF",7.5,IF(H2854="EIF",5.4)))))))</f>
        <v/>
      </c>
      <c r="M2854" s="112" t="str">
        <f t="shared" si="47"/>
        <v/>
      </c>
      <c r="N2854" s="113"/>
    </row>
    <row r="2855" spans="2:14">
      <c r="B2855" s="105"/>
      <c r="C2855" s="106"/>
      <c r="D2855" s="107"/>
      <c r="E2855" s="65"/>
      <c r="F2855" s="64"/>
      <c r="G2855" s="64"/>
      <c r="H2855" s="64"/>
      <c r="I2855" s="70"/>
      <c r="J2855" s="70"/>
      <c r="K2855" s="110" t="str">
        <f>IF(H2855="","",IF($C$29="간이법","",FPR(H2855,I2855,J2855)))</f>
        <v/>
      </c>
      <c r="L2855" s="111" t="str">
        <f>IF(H2855="","",IF($C$29="상세법",FPV(H2855,K2855),IF(H2855="EI",4,IF(H2855="EO",5.2,IF(H2855="EQ",3.9,IF(H2855="ILF",7.5,IF(H2855="EIF",5.4)))))))</f>
        <v/>
      </c>
      <c r="M2855" s="112" t="str">
        <f t="shared" si="47"/>
        <v/>
      </c>
      <c r="N2855" s="113"/>
    </row>
    <row r="2856" spans="2:14">
      <c r="B2856" s="105"/>
      <c r="C2856" s="106"/>
      <c r="D2856" s="107"/>
      <c r="E2856" s="65"/>
      <c r="F2856" s="64"/>
      <c r="G2856" s="64"/>
      <c r="H2856" s="64"/>
      <c r="I2856" s="70"/>
      <c r="J2856" s="70"/>
      <c r="K2856" s="110" t="str">
        <f>IF(H2856="","",IF($C$29="간이법","",FPR(H2856,I2856,J2856)))</f>
        <v/>
      </c>
      <c r="L2856" s="111" t="str">
        <f>IF(H2856="","",IF($C$29="상세법",FPV(H2856,K2856),IF(H2856="EI",4,IF(H2856="EO",5.2,IF(H2856="EQ",3.9,IF(H2856="ILF",7.5,IF(H2856="EIF",5.4)))))))</f>
        <v/>
      </c>
      <c r="M2856" s="112" t="str">
        <f t="shared" si="47"/>
        <v/>
      </c>
      <c r="N2856" s="113"/>
    </row>
    <row r="2857" spans="2:14">
      <c r="B2857" s="105"/>
      <c r="C2857" s="106"/>
      <c r="D2857" s="107"/>
      <c r="E2857" s="65"/>
      <c r="F2857" s="64"/>
      <c r="G2857" s="64"/>
      <c r="H2857" s="64"/>
      <c r="I2857" s="70"/>
      <c r="J2857" s="70"/>
      <c r="K2857" s="110" t="str">
        <f>IF(H2857="","",IF($C$29="간이법","",FPR(H2857,I2857,J2857)))</f>
        <v/>
      </c>
      <c r="L2857" s="111" t="str">
        <f>IF(H2857="","",IF($C$29="상세법",FPV(H2857,K2857),IF(H2857="EI",4,IF(H2857="EO",5.2,IF(H2857="EQ",3.9,IF(H2857="ILF",7.5,IF(H2857="EIF",5.4)))))))</f>
        <v/>
      </c>
      <c r="M2857" s="112" t="str">
        <f t="shared" si="47"/>
        <v/>
      </c>
      <c r="N2857" s="113"/>
    </row>
    <row r="2858" spans="2:14">
      <c r="B2858" s="105"/>
      <c r="C2858" s="106"/>
      <c r="D2858" s="107"/>
      <c r="E2858" s="65"/>
      <c r="F2858" s="64"/>
      <c r="G2858" s="64"/>
      <c r="H2858" s="64"/>
      <c r="I2858" s="70"/>
      <c r="J2858" s="70"/>
      <c r="K2858" s="110" t="str">
        <f>IF(H2858="","",IF($C$29="간이법","",FPR(H2858,I2858,J2858)))</f>
        <v/>
      </c>
      <c r="L2858" s="111" t="str">
        <f>IF(H2858="","",IF($C$29="상세법",FPV(H2858,K2858),IF(H2858="EI",4,IF(H2858="EO",5.2,IF(H2858="EQ",3.9,IF(H2858="ILF",7.5,IF(H2858="EIF",5.4)))))))</f>
        <v/>
      </c>
      <c r="M2858" s="112" t="str">
        <f t="shared" si="47"/>
        <v/>
      </c>
      <c r="N2858" s="113"/>
    </row>
    <row r="2859" spans="2:14">
      <c r="B2859" s="105"/>
      <c r="C2859" s="106"/>
      <c r="D2859" s="107"/>
      <c r="E2859" s="65"/>
      <c r="F2859" s="64"/>
      <c r="G2859" s="64"/>
      <c r="H2859" s="64"/>
      <c r="I2859" s="70"/>
      <c r="J2859" s="70"/>
      <c r="K2859" s="110" t="str">
        <f>IF(H2859="","",IF($C$29="간이법","",FPR(H2859,I2859,J2859)))</f>
        <v/>
      </c>
      <c r="L2859" s="111" t="str">
        <f>IF(H2859="","",IF($C$29="상세법",FPV(H2859,K2859),IF(H2859="EI",4,IF(H2859="EO",5.2,IF(H2859="EQ",3.9,IF(H2859="ILF",7.5,IF(H2859="EIF",5.4)))))))</f>
        <v/>
      </c>
      <c r="M2859" s="112" t="str">
        <f t="shared" si="47"/>
        <v/>
      </c>
      <c r="N2859" s="113"/>
    </row>
    <row r="2860" spans="2:14">
      <c r="B2860" s="105"/>
      <c r="C2860" s="106"/>
      <c r="D2860" s="107"/>
      <c r="E2860" s="65"/>
      <c r="F2860" s="64"/>
      <c r="G2860" s="64"/>
      <c r="H2860" s="64"/>
      <c r="I2860" s="70"/>
      <c r="J2860" s="70"/>
      <c r="K2860" s="110" t="str">
        <f>IF(H2860="","",IF($C$29="간이법","",FPR(H2860,I2860,J2860)))</f>
        <v/>
      </c>
      <c r="L2860" s="111" t="str">
        <f>IF(H2860="","",IF($C$29="상세법",FPV(H2860,K2860),IF(H2860="EI",4,IF(H2860="EO",5.2,IF(H2860="EQ",3.9,IF(H2860="ILF",7.5,IF(H2860="EIF",5.4)))))))</f>
        <v/>
      </c>
      <c r="M2860" s="112" t="str">
        <f t="shared" si="47"/>
        <v/>
      </c>
      <c r="N2860" s="113"/>
    </row>
    <row r="2861" spans="2:14">
      <c r="B2861" s="105"/>
      <c r="C2861" s="106"/>
      <c r="D2861" s="107"/>
      <c r="E2861" s="65"/>
      <c r="F2861" s="64"/>
      <c r="G2861" s="64"/>
      <c r="H2861" s="64"/>
      <c r="I2861" s="70"/>
      <c r="J2861" s="70"/>
      <c r="K2861" s="110" t="str">
        <f>IF(H2861="","",IF($C$29="간이법","",FPR(H2861,I2861,J2861)))</f>
        <v/>
      </c>
      <c r="L2861" s="111" t="str">
        <f>IF(H2861="","",IF($C$29="상세법",FPV(H2861,K2861),IF(H2861="EI",4,IF(H2861="EO",5.2,IF(H2861="EQ",3.9,IF(H2861="ILF",7.5,IF(H2861="EIF",5.4)))))))</f>
        <v/>
      </c>
      <c r="M2861" s="112" t="str">
        <f t="shared" si="47"/>
        <v/>
      </c>
      <c r="N2861" s="113"/>
    </row>
    <row r="2862" spans="2:14">
      <c r="B2862" s="105"/>
      <c r="C2862" s="106"/>
      <c r="D2862" s="107"/>
      <c r="E2862" s="65"/>
      <c r="F2862" s="64"/>
      <c r="G2862" s="64"/>
      <c r="H2862" s="64"/>
      <c r="I2862" s="70"/>
      <c r="J2862" s="70"/>
      <c r="K2862" s="110" t="str">
        <f>IF(H2862="","",IF($C$29="간이법","",FPR(H2862,I2862,J2862)))</f>
        <v/>
      </c>
      <c r="L2862" s="111" t="str">
        <f>IF(H2862="","",IF($C$29="상세법",FPV(H2862,K2862),IF(H2862="EI",4,IF(H2862="EO",5.2,IF(H2862="EQ",3.9,IF(H2862="ILF",7.5,IF(H2862="EIF",5.4)))))))</f>
        <v/>
      </c>
      <c r="M2862" s="112" t="str">
        <f t="shared" si="47"/>
        <v/>
      </c>
      <c r="N2862" s="113"/>
    </row>
    <row r="2863" spans="2:14">
      <c r="B2863" s="105"/>
      <c r="C2863" s="106"/>
      <c r="D2863" s="107"/>
      <c r="E2863" s="65"/>
      <c r="F2863" s="64"/>
      <c r="G2863" s="64"/>
      <c r="H2863" s="64"/>
      <c r="I2863" s="70"/>
      <c r="J2863" s="70"/>
      <c r="K2863" s="110" t="str">
        <f>IF(H2863="","",IF($C$29="간이법","",FPR(H2863,I2863,J2863)))</f>
        <v/>
      </c>
      <c r="L2863" s="111" t="str">
        <f>IF(H2863="","",IF($C$29="상세법",FPV(H2863,K2863),IF(H2863="EI",4,IF(H2863="EO",5.2,IF(H2863="EQ",3.9,IF(H2863="ILF",7.5,IF(H2863="EIF",5.4)))))))</f>
        <v/>
      </c>
      <c r="M2863" s="112" t="str">
        <f t="shared" si="47"/>
        <v/>
      </c>
      <c r="N2863" s="113"/>
    </row>
    <row r="2864" spans="2:14">
      <c r="B2864" s="105"/>
      <c r="C2864" s="106"/>
      <c r="D2864" s="107"/>
      <c r="E2864" s="65"/>
      <c r="F2864" s="64"/>
      <c r="G2864" s="64"/>
      <c r="H2864" s="64"/>
      <c r="I2864" s="70"/>
      <c r="J2864" s="70"/>
      <c r="K2864" s="110" t="str">
        <f>IF(H2864="","",IF($C$29="간이법","",FPR(H2864,I2864,J2864)))</f>
        <v/>
      </c>
      <c r="L2864" s="111" t="str">
        <f>IF(H2864="","",IF($C$29="상세법",FPV(H2864,K2864),IF(H2864="EI",4,IF(H2864="EO",5.2,IF(H2864="EQ",3.9,IF(H2864="ILF",7.5,IF(H2864="EIF",5.4)))))))</f>
        <v/>
      </c>
      <c r="M2864" s="112" t="str">
        <f t="shared" si="47"/>
        <v/>
      </c>
      <c r="N2864" s="113"/>
    </row>
    <row r="2865" spans="2:14">
      <c r="B2865" s="105"/>
      <c r="C2865" s="106"/>
      <c r="D2865" s="107"/>
      <c r="E2865" s="65"/>
      <c r="F2865" s="64"/>
      <c r="G2865" s="64"/>
      <c r="H2865" s="64"/>
      <c r="I2865" s="70"/>
      <c r="J2865" s="70"/>
      <c r="K2865" s="110" t="str">
        <f>IF(H2865="","",IF($C$29="간이법","",FPR(H2865,I2865,J2865)))</f>
        <v/>
      </c>
      <c r="L2865" s="111" t="str">
        <f>IF(H2865="","",IF($C$29="상세법",FPV(H2865,K2865),IF(H2865="EI",4,IF(H2865="EO",5.2,IF(H2865="EQ",3.9,IF(H2865="ILF",7.5,IF(H2865="EIF",5.4)))))))</f>
        <v/>
      </c>
      <c r="M2865" s="112" t="str">
        <f t="shared" si="47"/>
        <v/>
      </c>
      <c r="N2865" s="113"/>
    </row>
    <row r="2866" spans="2:14">
      <c r="B2866" s="105"/>
      <c r="C2866" s="106"/>
      <c r="D2866" s="107"/>
      <c r="E2866" s="65"/>
      <c r="F2866" s="64"/>
      <c r="G2866" s="64"/>
      <c r="H2866" s="64"/>
      <c r="I2866" s="70"/>
      <c r="J2866" s="70"/>
      <c r="K2866" s="110" t="str">
        <f>IF(H2866="","",IF($C$29="간이법","",FPR(H2866,I2866,J2866)))</f>
        <v/>
      </c>
      <c r="L2866" s="111" t="str">
        <f>IF(H2866="","",IF($C$29="상세법",FPV(H2866,K2866),IF(H2866="EI",4,IF(H2866="EO",5.2,IF(H2866="EQ",3.9,IF(H2866="ILF",7.5,IF(H2866="EIF",5.4)))))))</f>
        <v/>
      </c>
      <c r="M2866" s="112" t="str">
        <f t="shared" si="47"/>
        <v/>
      </c>
      <c r="N2866" s="113"/>
    </row>
    <row r="2867" spans="2:14">
      <c r="B2867" s="105"/>
      <c r="C2867" s="106"/>
      <c r="D2867" s="107"/>
      <c r="E2867" s="65"/>
      <c r="F2867" s="64"/>
      <c r="G2867" s="64"/>
      <c r="H2867" s="64"/>
      <c r="I2867" s="70"/>
      <c r="J2867" s="70"/>
      <c r="K2867" s="110" t="str">
        <f>IF(H2867="","",IF($C$29="간이법","",FPR(H2867,I2867,J2867)))</f>
        <v/>
      </c>
      <c r="L2867" s="111" t="str">
        <f>IF(H2867="","",IF($C$29="상세법",FPV(H2867,K2867),IF(H2867="EI",4,IF(H2867="EO",5.2,IF(H2867="EQ",3.9,IF(H2867="ILF",7.5,IF(H2867="EIF",5.4)))))))</f>
        <v/>
      </c>
      <c r="M2867" s="112" t="str">
        <f t="shared" si="47"/>
        <v/>
      </c>
      <c r="N2867" s="113"/>
    </row>
    <row r="2868" spans="2:14">
      <c r="B2868" s="105"/>
      <c r="C2868" s="106"/>
      <c r="D2868" s="107"/>
      <c r="E2868" s="65"/>
      <c r="F2868" s="64"/>
      <c r="G2868" s="64"/>
      <c r="H2868" s="64"/>
      <c r="I2868" s="70"/>
      <c r="J2868" s="70"/>
      <c r="K2868" s="110" t="str">
        <f>IF(H2868="","",IF($C$29="간이법","",FPR(H2868,I2868,J2868)))</f>
        <v/>
      </c>
      <c r="L2868" s="111" t="str">
        <f>IF(H2868="","",IF($C$29="상세법",FPV(H2868,K2868),IF(H2868="EI",4,IF(H2868="EO",5.2,IF(H2868="EQ",3.9,IF(H2868="ILF",7.5,IF(H2868="EIF",5.4)))))))</f>
        <v/>
      </c>
      <c r="M2868" s="112" t="str">
        <f t="shared" si="47"/>
        <v/>
      </c>
      <c r="N2868" s="113"/>
    </row>
    <row r="2869" spans="2:14">
      <c r="B2869" s="105"/>
      <c r="C2869" s="106"/>
      <c r="D2869" s="107"/>
      <c r="E2869" s="65"/>
      <c r="F2869" s="64"/>
      <c r="G2869" s="64"/>
      <c r="H2869" s="64"/>
      <c r="I2869" s="70"/>
      <c r="J2869" s="70"/>
      <c r="K2869" s="110" t="str">
        <f>IF(H2869="","",IF($C$29="간이법","",FPR(H2869,I2869,J2869)))</f>
        <v/>
      </c>
      <c r="L2869" s="111" t="str">
        <f>IF(H2869="","",IF($C$29="상세법",FPV(H2869,K2869),IF(H2869="EI",4,IF(H2869="EO",5.2,IF(H2869="EQ",3.9,IF(H2869="ILF",7.5,IF(H2869="EIF",5.4)))))))</f>
        <v/>
      </c>
      <c r="M2869" s="112" t="str">
        <f t="shared" si="47"/>
        <v/>
      </c>
      <c r="N2869" s="113"/>
    </row>
    <row r="2870" spans="2:14">
      <c r="B2870" s="105"/>
      <c r="C2870" s="106"/>
      <c r="D2870" s="107"/>
      <c r="E2870" s="65"/>
      <c r="F2870" s="64"/>
      <c r="G2870" s="64"/>
      <c r="H2870" s="64"/>
      <c r="I2870" s="70"/>
      <c r="J2870" s="70"/>
      <c r="K2870" s="110" t="str">
        <f>IF(H2870="","",IF($C$29="간이법","",FPR(H2870,I2870,J2870)))</f>
        <v/>
      </c>
      <c r="L2870" s="111" t="str">
        <f>IF(H2870="","",IF($C$29="상세법",FPV(H2870,K2870),IF(H2870="EI",4,IF(H2870="EO",5.2,IF(H2870="EQ",3.9,IF(H2870="ILF",7.5,IF(H2870="EIF",5.4)))))))</f>
        <v/>
      </c>
      <c r="M2870" s="112" t="str">
        <f t="shared" si="47"/>
        <v/>
      </c>
      <c r="N2870" s="113"/>
    </row>
    <row r="2871" spans="2:14">
      <c r="B2871" s="105"/>
      <c r="C2871" s="106"/>
      <c r="D2871" s="107"/>
      <c r="E2871" s="65"/>
      <c r="F2871" s="64"/>
      <c r="G2871" s="64"/>
      <c r="H2871" s="64"/>
      <c r="I2871" s="70"/>
      <c r="J2871" s="70"/>
      <c r="K2871" s="110" t="str">
        <f>IF(H2871="","",IF($C$29="간이법","",FPR(H2871,I2871,J2871)))</f>
        <v/>
      </c>
      <c r="L2871" s="111" t="str">
        <f>IF(H2871="","",IF($C$29="상세법",FPV(H2871,K2871),IF(H2871="EI",4,IF(H2871="EO",5.2,IF(H2871="EQ",3.9,IF(H2871="ILF",7.5,IF(H2871="EIF",5.4)))))))</f>
        <v/>
      </c>
      <c r="M2871" s="112" t="str">
        <f t="shared" si="47"/>
        <v/>
      </c>
      <c r="N2871" s="113"/>
    </row>
    <row r="2872" spans="2:14">
      <c r="B2872" s="105"/>
      <c r="C2872" s="106"/>
      <c r="D2872" s="107"/>
      <c r="E2872" s="65"/>
      <c r="F2872" s="64"/>
      <c r="G2872" s="64"/>
      <c r="H2872" s="64"/>
      <c r="I2872" s="70"/>
      <c r="J2872" s="70"/>
      <c r="K2872" s="110" t="str">
        <f>IF(H2872="","",IF($C$29="간이법","",FPR(H2872,I2872,J2872)))</f>
        <v/>
      </c>
      <c r="L2872" s="111" t="str">
        <f>IF(H2872="","",IF($C$29="상세법",FPV(H2872,K2872),IF(H2872="EI",4,IF(H2872="EO",5.2,IF(H2872="EQ",3.9,IF(H2872="ILF",7.5,IF(H2872="EIF",5.4)))))))</f>
        <v/>
      </c>
      <c r="M2872" s="112" t="str">
        <f t="shared" si="47"/>
        <v/>
      </c>
      <c r="N2872" s="113"/>
    </row>
    <row r="2873" spans="2:14">
      <c r="B2873" s="105"/>
      <c r="C2873" s="106"/>
      <c r="D2873" s="107"/>
      <c r="E2873" s="65"/>
      <c r="F2873" s="64"/>
      <c r="G2873" s="64"/>
      <c r="H2873" s="64"/>
      <c r="I2873" s="70"/>
      <c r="J2873" s="70"/>
      <c r="K2873" s="110" t="str">
        <f>IF(H2873="","",IF($C$29="간이법","",FPR(H2873,I2873,J2873)))</f>
        <v/>
      </c>
      <c r="L2873" s="111" t="str">
        <f>IF(H2873="","",IF($C$29="상세법",FPV(H2873,K2873),IF(H2873="EI",4,IF(H2873="EO",5.2,IF(H2873="EQ",3.9,IF(H2873="ILF",7.5,IF(H2873="EIF",5.4)))))))</f>
        <v/>
      </c>
      <c r="M2873" s="112" t="str">
        <f t="shared" ref="M2873:M2936" si="48">IF(L2873="","",L2873*IF(G2873="상",0.7,IF(G2873="중",0.5,IF(G2873="하",0.2,1))))</f>
        <v/>
      </c>
      <c r="N2873" s="113"/>
    </row>
    <row r="2874" spans="2:14">
      <c r="B2874" s="105"/>
      <c r="C2874" s="106"/>
      <c r="D2874" s="107"/>
      <c r="E2874" s="65"/>
      <c r="F2874" s="64"/>
      <c r="G2874" s="64"/>
      <c r="H2874" s="64"/>
      <c r="I2874" s="70"/>
      <c r="J2874" s="70"/>
      <c r="K2874" s="110" t="str">
        <f>IF(H2874="","",IF($C$29="간이법","",FPR(H2874,I2874,J2874)))</f>
        <v/>
      </c>
      <c r="L2874" s="111" t="str">
        <f>IF(H2874="","",IF($C$29="상세법",FPV(H2874,K2874),IF(H2874="EI",4,IF(H2874="EO",5.2,IF(H2874="EQ",3.9,IF(H2874="ILF",7.5,IF(H2874="EIF",5.4)))))))</f>
        <v/>
      </c>
      <c r="M2874" s="112" t="str">
        <f t="shared" si="48"/>
        <v/>
      </c>
      <c r="N2874" s="113"/>
    </row>
    <row r="2875" spans="2:14">
      <c r="B2875" s="105"/>
      <c r="C2875" s="106"/>
      <c r="D2875" s="107"/>
      <c r="E2875" s="65"/>
      <c r="F2875" s="64"/>
      <c r="G2875" s="64"/>
      <c r="H2875" s="64"/>
      <c r="I2875" s="70"/>
      <c r="J2875" s="70"/>
      <c r="K2875" s="110" t="str">
        <f>IF(H2875="","",IF($C$29="간이법","",FPR(H2875,I2875,J2875)))</f>
        <v/>
      </c>
      <c r="L2875" s="111" t="str">
        <f>IF(H2875="","",IF($C$29="상세법",FPV(H2875,K2875),IF(H2875="EI",4,IF(H2875="EO",5.2,IF(H2875="EQ",3.9,IF(H2875="ILF",7.5,IF(H2875="EIF",5.4)))))))</f>
        <v/>
      </c>
      <c r="M2875" s="112" t="str">
        <f t="shared" si="48"/>
        <v/>
      </c>
      <c r="N2875" s="113"/>
    </row>
    <row r="2876" spans="2:14">
      <c r="B2876" s="105"/>
      <c r="C2876" s="106"/>
      <c r="D2876" s="107"/>
      <c r="E2876" s="65"/>
      <c r="F2876" s="64"/>
      <c r="G2876" s="64"/>
      <c r="H2876" s="64"/>
      <c r="I2876" s="70"/>
      <c r="J2876" s="70"/>
      <c r="K2876" s="110" t="str">
        <f>IF(H2876="","",IF($C$29="간이법","",FPR(H2876,I2876,J2876)))</f>
        <v/>
      </c>
      <c r="L2876" s="111" t="str">
        <f>IF(H2876="","",IF($C$29="상세법",FPV(H2876,K2876),IF(H2876="EI",4,IF(H2876="EO",5.2,IF(H2876="EQ",3.9,IF(H2876="ILF",7.5,IF(H2876="EIF",5.4)))))))</f>
        <v/>
      </c>
      <c r="M2876" s="112" t="str">
        <f t="shared" si="48"/>
        <v/>
      </c>
      <c r="N2876" s="113"/>
    </row>
    <row r="2877" spans="2:14">
      <c r="B2877" s="105"/>
      <c r="C2877" s="106"/>
      <c r="D2877" s="107"/>
      <c r="E2877" s="65"/>
      <c r="F2877" s="64"/>
      <c r="G2877" s="64"/>
      <c r="H2877" s="64"/>
      <c r="I2877" s="70"/>
      <c r="J2877" s="70"/>
      <c r="K2877" s="110" t="str">
        <f>IF(H2877="","",IF($C$29="간이법","",FPR(H2877,I2877,J2877)))</f>
        <v/>
      </c>
      <c r="L2877" s="111" t="str">
        <f>IF(H2877="","",IF($C$29="상세법",FPV(H2877,K2877),IF(H2877="EI",4,IF(H2877="EO",5.2,IF(H2877="EQ",3.9,IF(H2877="ILF",7.5,IF(H2877="EIF",5.4)))))))</f>
        <v/>
      </c>
      <c r="M2877" s="112" t="str">
        <f t="shared" si="48"/>
        <v/>
      </c>
      <c r="N2877" s="113"/>
    </row>
    <row r="2878" spans="2:14">
      <c r="B2878" s="105"/>
      <c r="C2878" s="106"/>
      <c r="D2878" s="107"/>
      <c r="E2878" s="65"/>
      <c r="F2878" s="64"/>
      <c r="G2878" s="64"/>
      <c r="H2878" s="64"/>
      <c r="I2878" s="70"/>
      <c r="J2878" s="70"/>
      <c r="K2878" s="110" t="str">
        <f>IF(H2878="","",IF($C$29="간이법","",FPR(H2878,I2878,J2878)))</f>
        <v/>
      </c>
      <c r="L2878" s="111" t="str">
        <f>IF(H2878="","",IF($C$29="상세법",FPV(H2878,K2878),IF(H2878="EI",4,IF(H2878="EO",5.2,IF(H2878="EQ",3.9,IF(H2878="ILF",7.5,IF(H2878="EIF",5.4)))))))</f>
        <v/>
      </c>
      <c r="M2878" s="112" t="str">
        <f t="shared" si="48"/>
        <v/>
      </c>
      <c r="N2878" s="113"/>
    </row>
    <row r="2879" spans="2:14">
      <c r="B2879" s="105"/>
      <c r="C2879" s="106"/>
      <c r="D2879" s="107"/>
      <c r="E2879" s="65"/>
      <c r="F2879" s="64"/>
      <c r="G2879" s="64"/>
      <c r="H2879" s="64"/>
      <c r="I2879" s="70"/>
      <c r="J2879" s="70"/>
      <c r="K2879" s="110" t="str">
        <f>IF(H2879="","",IF($C$29="간이법","",FPR(H2879,I2879,J2879)))</f>
        <v/>
      </c>
      <c r="L2879" s="111" t="str">
        <f>IF(H2879="","",IF($C$29="상세법",FPV(H2879,K2879),IF(H2879="EI",4,IF(H2879="EO",5.2,IF(H2879="EQ",3.9,IF(H2879="ILF",7.5,IF(H2879="EIF",5.4)))))))</f>
        <v/>
      </c>
      <c r="M2879" s="112" t="str">
        <f t="shared" si="48"/>
        <v/>
      </c>
      <c r="N2879" s="113"/>
    </row>
    <row r="2880" spans="2:14">
      <c r="B2880" s="105"/>
      <c r="C2880" s="106"/>
      <c r="D2880" s="107"/>
      <c r="E2880" s="65"/>
      <c r="F2880" s="64"/>
      <c r="G2880" s="64"/>
      <c r="H2880" s="64"/>
      <c r="I2880" s="70"/>
      <c r="J2880" s="70"/>
      <c r="K2880" s="110" t="str">
        <f>IF(H2880="","",IF($C$29="간이법","",FPR(H2880,I2880,J2880)))</f>
        <v/>
      </c>
      <c r="L2880" s="111" t="str">
        <f>IF(H2880="","",IF($C$29="상세법",FPV(H2880,K2880),IF(H2880="EI",4,IF(H2880="EO",5.2,IF(H2880="EQ",3.9,IF(H2880="ILF",7.5,IF(H2880="EIF",5.4)))))))</f>
        <v/>
      </c>
      <c r="M2880" s="112" t="str">
        <f t="shared" si="48"/>
        <v/>
      </c>
      <c r="N2880" s="113"/>
    </row>
    <row r="2881" spans="2:14">
      <c r="B2881" s="105"/>
      <c r="C2881" s="106"/>
      <c r="D2881" s="107"/>
      <c r="E2881" s="65"/>
      <c r="F2881" s="64"/>
      <c r="G2881" s="64"/>
      <c r="H2881" s="64"/>
      <c r="I2881" s="70"/>
      <c r="J2881" s="70"/>
      <c r="K2881" s="110" t="str">
        <f>IF(H2881="","",IF($C$29="간이법","",FPR(H2881,I2881,J2881)))</f>
        <v/>
      </c>
      <c r="L2881" s="111" t="str">
        <f>IF(H2881="","",IF($C$29="상세법",FPV(H2881,K2881),IF(H2881="EI",4,IF(H2881="EO",5.2,IF(H2881="EQ",3.9,IF(H2881="ILF",7.5,IF(H2881="EIF",5.4)))))))</f>
        <v/>
      </c>
      <c r="M2881" s="112" t="str">
        <f t="shared" si="48"/>
        <v/>
      </c>
      <c r="N2881" s="113"/>
    </row>
    <row r="2882" spans="2:14">
      <c r="B2882" s="105"/>
      <c r="C2882" s="106"/>
      <c r="D2882" s="107"/>
      <c r="E2882" s="65"/>
      <c r="F2882" s="64"/>
      <c r="G2882" s="64"/>
      <c r="H2882" s="64"/>
      <c r="I2882" s="70"/>
      <c r="J2882" s="70"/>
      <c r="K2882" s="110" t="str">
        <f>IF(H2882="","",IF($C$29="간이법","",FPR(H2882,I2882,J2882)))</f>
        <v/>
      </c>
      <c r="L2882" s="111" t="str">
        <f>IF(H2882="","",IF($C$29="상세법",FPV(H2882,K2882),IF(H2882="EI",4,IF(H2882="EO",5.2,IF(H2882="EQ",3.9,IF(H2882="ILF",7.5,IF(H2882="EIF",5.4)))))))</f>
        <v/>
      </c>
      <c r="M2882" s="112" t="str">
        <f t="shared" si="48"/>
        <v/>
      </c>
      <c r="N2882" s="113"/>
    </row>
    <row r="2883" spans="2:14">
      <c r="B2883" s="105"/>
      <c r="C2883" s="106"/>
      <c r="D2883" s="107"/>
      <c r="E2883" s="65"/>
      <c r="F2883" s="64"/>
      <c r="G2883" s="64"/>
      <c r="H2883" s="64"/>
      <c r="I2883" s="70"/>
      <c r="J2883" s="70"/>
      <c r="K2883" s="110" t="str">
        <f>IF(H2883="","",IF($C$29="간이법","",FPR(H2883,I2883,J2883)))</f>
        <v/>
      </c>
      <c r="L2883" s="111" t="str">
        <f>IF(H2883="","",IF($C$29="상세법",FPV(H2883,K2883),IF(H2883="EI",4,IF(H2883="EO",5.2,IF(H2883="EQ",3.9,IF(H2883="ILF",7.5,IF(H2883="EIF",5.4)))))))</f>
        <v/>
      </c>
      <c r="M2883" s="112" t="str">
        <f t="shared" si="48"/>
        <v/>
      </c>
      <c r="N2883" s="113"/>
    </row>
    <row r="2884" spans="2:14">
      <c r="B2884" s="105"/>
      <c r="C2884" s="106"/>
      <c r="D2884" s="107"/>
      <c r="E2884" s="65"/>
      <c r="F2884" s="64"/>
      <c r="G2884" s="64"/>
      <c r="H2884" s="64"/>
      <c r="I2884" s="70"/>
      <c r="J2884" s="70"/>
      <c r="K2884" s="110" t="str">
        <f>IF(H2884="","",IF($C$29="간이법","",FPR(H2884,I2884,J2884)))</f>
        <v/>
      </c>
      <c r="L2884" s="111" t="str">
        <f>IF(H2884="","",IF($C$29="상세법",FPV(H2884,K2884),IF(H2884="EI",4,IF(H2884="EO",5.2,IF(H2884="EQ",3.9,IF(H2884="ILF",7.5,IF(H2884="EIF",5.4)))))))</f>
        <v/>
      </c>
      <c r="M2884" s="112" t="str">
        <f t="shared" si="48"/>
        <v/>
      </c>
      <c r="N2884" s="113"/>
    </row>
    <row r="2885" spans="2:14">
      <c r="B2885" s="105"/>
      <c r="C2885" s="106"/>
      <c r="D2885" s="107"/>
      <c r="E2885" s="65"/>
      <c r="F2885" s="64"/>
      <c r="G2885" s="64"/>
      <c r="H2885" s="64"/>
      <c r="I2885" s="70"/>
      <c r="J2885" s="70"/>
      <c r="K2885" s="110" t="str">
        <f>IF(H2885="","",IF($C$29="간이법","",FPR(H2885,I2885,J2885)))</f>
        <v/>
      </c>
      <c r="L2885" s="111" t="str">
        <f>IF(H2885="","",IF($C$29="상세법",FPV(H2885,K2885),IF(H2885="EI",4,IF(H2885="EO",5.2,IF(H2885="EQ",3.9,IF(H2885="ILF",7.5,IF(H2885="EIF",5.4)))))))</f>
        <v/>
      </c>
      <c r="M2885" s="112" t="str">
        <f t="shared" si="48"/>
        <v/>
      </c>
      <c r="N2885" s="113"/>
    </row>
    <row r="2886" spans="2:14">
      <c r="B2886" s="105"/>
      <c r="C2886" s="106"/>
      <c r="D2886" s="107"/>
      <c r="E2886" s="65"/>
      <c r="F2886" s="64"/>
      <c r="G2886" s="64"/>
      <c r="H2886" s="64"/>
      <c r="I2886" s="70"/>
      <c r="J2886" s="70"/>
      <c r="K2886" s="110" t="str">
        <f>IF(H2886="","",IF($C$29="간이법","",FPR(H2886,I2886,J2886)))</f>
        <v/>
      </c>
      <c r="L2886" s="111" t="str">
        <f>IF(H2886="","",IF($C$29="상세법",FPV(H2886,K2886),IF(H2886="EI",4,IF(H2886="EO",5.2,IF(H2886="EQ",3.9,IF(H2886="ILF",7.5,IF(H2886="EIF",5.4)))))))</f>
        <v/>
      </c>
      <c r="M2886" s="112" t="str">
        <f t="shared" si="48"/>
        <v/>
      </c>
      <c r="N2886" s="113"/>
    </row>
    <row r="2887" spans="2:14">
      <c r="B2887" s="105"/>
      <c r="C2887" s="106"/>
      <c r="D2887" s="107"/>
      <c r="E2887" s="65"/>
      <c r="F2887" s="64"/>
      <c r="G2887" s="64"/>
      <c r="H2887" s="64"/>
      <c r="I2887" s="70"/>
      <c r="J2887" s="70"/>
      <c r="K2887" s="110" t="str">
        <f>IF(H2887="","",IF($C$29="간이법","",FPR(H2887,I2887,J2887)))</f>
        <v/>
      </c>
      <c r="L2887" s="111" t="str">
        <f>IF(H2887="","",IF($C$29="상세법",FPV(H2887,K2887),IF(H2887="EI",4,IF(H2887="EO",5.2,IF(H2887="EQ",3.9,IF(H2887="ILF",7.5,IF(H2887="EIF",5.4)))))))</f>
        <v/>
      </c>
      <c r="M2887" s="112" t="str">
        <f t="shared" si="48"/>
        <v/>
      </c>
      <c r="N2887" s="113"/>
    </row>
    <row r="2888" spans="2:14">
      <c r="B2888" s="105"/>
      <c r="C2888" s="106"/>
      <c r="D2888" s="107"/>
      <c r="E2888" s="65"/>
      <c r="F2888" s="64"/>
      <c r="G2888" s="64"/>
      <c r="H2888" s="64"/>
      <c r="I2888" s="70"/>
      <c r="J2888" s="70"/>
      <c r="K2888" s="110" t="str">
        <f>IF(H2888="","",IF($C$29="간이법","",FPR(H2888,I2888,J2888)))</f>
        <v/>
      </c>
      <c r="L2888" s="111" t="str">
        <f>IF(H2888="","",IF($C$29="상세법",FPV(H2888,K2888),IF(H2888="EI",4,IF(H2888="EO",5.2,IF(H2888="EQ",3.9,IF(H2888="ILF",7.5,IF(H2888="EIF",5.4)))))))</f>
        <v/>
      </c>
      <c r="M2888" s="112" t="str">
        <f t="shared" si="48"/>
        <v/>
      </c>
      <c r="N2888" s="113"/>
    </row>
    <row r="2889" spans="2:14">
      <c r="B2889" s="105"/>
      <c r="C2889" s="106"/>
      <c r="D2889" s="107"/>
      <c r="E2889" s="65"/>
      <c r="F2889" s="64"/>
      <c r="G2889" s="64"/>
      <c r="H2889" s="64"/>
      <c r="I2889" s="70"/>
      <c r="J2889" s="70"/>
      <c r="K2889" s="110" t="str">
        <f>IF(H2889="","",IF($C$29="간이법","",FPR(H2889,I2889,J2889)))</f>
        <v/>
      </c>
      <c r="L2889" s="111" t="str">
        <f>IF(H2889="","",IF($C$29="상세법",FPV(H2889,K2889),IF(H2889="EI",4,IF(H2889="EO",5.2,IF(H2889="EQ",3.9,IF(H2889="ILF",7.5,IF(H2889="EIF",5.4)))))))</f>
        <v/>
      </c>
      <c r="M2889" s="112" t="str">
        <f t="shared" si="48"/>
        <v/>
      </c>
      <c r="N2889" s="113"/>
    </row>
    <row r="2890" spans="2:14">
      <c r="B2890" s="105"/>
      <c r="C2890" s="106"/>
      <c r="D2890" s="107"/>
      <c r="E2890" s="65"/>
      <c r="F2890" s="64"/>
      <c r="G2890" s="64"/>
      <c r="H2890" s="64"/>
      <c r="I2890" s="70"/>
      <c r="J2890" s="70"/>
      <c r="K2890" s="110" t="str">
        <f>IF(H2890="","",IF($C$29="간이법","",FPR(H2890,I2890,J2890)))</f>
        <v/>
      </c>
      <c r="L2890" s="111" t="str">
        <f>IF(H2890="","",IF($C$29="상세법",FPV(H2890,K2890),IF(H2890="EI",4,IF(H2890="EO",5.2,IF(H2890="EQ",3.9,IF(H2890="ILF",7.5,IF(H2890="EIF",5.4)))))))</f>
        <v/>
      </c>
      <c r="M2890" s="112" t="str">
        <f t="shared" si="48"/>
        <v/>
      </c>
      <c r="N2890" s="113"/>
    </row>
    <row r="2891" spans="2:14">
      <c r="B2891" s="105"/>
      <c r="C2891" s="106"/>
      <c r="D2891" s="107"/>
      <c r="E2891" s="65"/>
      <c r="F2891" s="64"/>
      <c r="G2891" s="64"/>
      <c r="H2891" s="64"/>
      <c r="I2891" s="70"/>
      <c r="J2891" s="70"/>
      <c r="K2891" s="110" t="str">
        <f>IF(H2891="","",IF($C$29="간이법","",FPR(H2891,I2891,J2891)))</f>
        <v/>
      </c>
      <c r="L2891" s="111" t="str">
        <f>IF(H2891="","",IF($C$29="상세법",FPV(H2891,K2891),IF(H2891="EI",4,IF(H2891="EO",5.2,IF(H2891="EQ",3.9,IF(H2891="ILF",7.5,IF(H2891="EIF",5.4)))))))</f>
        <v/>
      </c>
      <c r="M2891" s="112" t="str">
        <f t="shared" si="48"/>
        <v/>
      </c>
      <c r="N2891" s="113"/>
    </row>
    <row r="2892" spans="2:14">
      <c r="B2892" s="105"/>
      <c r="C2892" s="106"/>
      <c r="D2892" s="107"/>
      <c r="E2892" s="65"/>
      <c r="F2892" s="64"/>
      <c r="G2892" s="64"/>
      <c r="H2892" s="64"/>
      <c r="I2892" s="70"/>
      <c r="J2892" s="70"/>
      <c r="K2892" s="110" t="str">
        <f>IF(H2892="","",IF($C$29="간이법","",FPR(H2892,I2892,J2892)))</f>
        <v/>
      </c>
      <c r="L2892" s="111" t="str">
        <f>IF(H2892="","",IF($C$29="상세법",FPV(H2892,K2892),IF(H2892="EI",4,IF(H2892="EO",5.2,IF(H2892="EQ",3.9,IF(H2892="ILF",7.5,IF(H2892="EIF",5.4)))))))</f>
        <v/>
      </c>
      <c r="M2892" s="112" t="str">
        <f t="shared" si="48"/>
        <v/>
      </c>
      <c r="N2892" s="113"/>
    </row>
    <row r="2893" spans="2:14">
      <c r="B2893" s="105"/>
      <c r="C2893" s="106"/>
      <c r="D2893" s="107"/>
      <c r="E2893" s="65"/>
      <c r="F2893" s="64"/>
      <c r="G2893" s="64"/>
      <c r="H2893" s="64"/>
      <c r="I2893" s="70"/>
      <c r="J2893" s="70"/>
      <c r="K2893" s="110" t="str">
        <f>IF(H2893="","",IF($C$29="간이법","",FPR(H2893,I2893,J2893)))</f>
        <v/>
      </c>
      <c r="L2893" s="111" t="str">
        <f>IF(H2893="","",IF($C$29="상세법",FPV(H2893,K2893),IF(H2893="EI",4,IF(H2893="EO",5.2,IF(H2893="EQ",3.9,IF(H2893="ILF",7.5,IF(H2893="EIF",5.4)))))))</f>
        <v/>
      </c>
      <c r="M2893" s="112" t="str">
        <f t="shared" si="48"/>
        <v/>
      </c>
      <c r="N2893" s="113"/>
    </row>
    <row r="2894" spans="2:14">
      <c r="B2894" s="105"/>
      <c r="C2894" s="106"/>
      <c r="D2894" s="107"/>
      <c r="E2894" s="65"/>
      <c r="F2894" s="64"/>
      <c r="G2894" s="64"/>
      <c r="H2894" s="64"/>
      <c r="I2894" s="70"/>
      <c r="J2894" s="70"/>
      <c r="K2894" s="110" t="str">
        <f>IF(H2894="","",IF($C$29="간이법","",FPR(H2894,I2894,J2894)))</f>
        <v/>
      </c>
      <c r="L2894" s="111" t="str">
        <f>IF(H2894="","",IF($C$29="상세법",FPV(H2894,K2894),IF(H2894="EI",4,IF(H2894="EO",5.2,IF(H2894="EQ",3.9,IF(H2894="ILF",7.5,IF(H2894="EIF",5.4)))))))</f>
        <v/>
      </c>
      <c r="M2894" s="112" t="str">
        <f t="shared" si="48"/>
        <v/>
      </c>
      <c r="N2894" s="113"/>
    </row>
    <row r="2895" spans="2:14">
      <c r="B2895" s="105"/>
      <c r="C2895" s="106"/>
      <c r="D2895" s="107"/>
      <c r="E2895" s="65"/>
      <c r="F2895" s="64"/>
      <c r="G2895" s="64"/>
      <c r="H2895" s="64"/>
      <c r="I2895" s="70"/>
      <c r="J2895" s="70"/>
      <c r="K2895" s="110" t="str">
        <f>IF(H2895="","",IF($C$29="간이법","",FPR(H2895,I2895,J2895)))</f>
        <v/>
      </c>
      <c r="L2895" s="111" t="str">
        <f>IF(H2895="","",IF($C$29="상세법",FPV(H2895,K2895),IF(H2895="EI",4,IF(H2895="EO",5.2,IF(H2895="EQ",3.9,IF(H2895="ILF",7.5,IF(H2895="EIF",5.4)))))))</f>
        <v/>
      </c>
      <c r="M2895" s="112" t="str">
        <f t="shared" si="48"/>
        <v/>
      </c>
      <c r="N2895" s="113"/>
    </row>
    <row r="2896" spans="2:14">
      <c r="B2896" s="105"/>
      <c r="C2896" s="106"/>
      <c r="D2896" s="107"/>
      <c r="E2896" s="65"/>
      <c r="F2896" s="64"/>
      <c r="G2896" s="64"/>
      <c r="H2896" s="64"/>
      <c r="I2896" s="70"/>
      <c r="J2896" s="70"/>
      <c r="K2896" s="110" t="str">
        <f>IF(H2896="","",IF($C$29="간이법","",FPR(H2896,I2896,J2896)))</f>
        <v/>
      </c>
      <c r="L2896" s="111" t="str">
        <f>IF(H2896="","",IF($C$29="상세법",FPV(H2896,K2896),IF(H2896="EI",4,IF(H2896="EO",5.2,IF(H2896="EQ",3.9,IF(H2896="ILF",7.5,IF(H2896="EIF",5.4)))))))</f>
        <v/>
      </c>
      <c r="M2896" s="112" t="str">
        <f t="shared" si="48"/>
        <v/>
      </c>
      <c r="N2896" s="113"/>
    </row>
    <row r="2897" spans="2:14">
      <c r="B2897" s="105"/>
      <c r="C2897" s="106"/>
      <c r="D2897" s="107"/>
      <c r="E2897" s="65"/>
      <c r="F2897" s="64"/>
      <c r="G2897" s="64"/>
      <c r="H2897" s="64"/>
      <c r="I2897" s="70"/>
      <c r="J2897" s="70"/>
      <c r="K2897" s="110" t="str">
        <f>IF(H2897="","",IF($C$29="간이법","",FPR(H2897,I2897,J2897)))</f>
        <v/>
      </c>
      <c r="L2897" s="111" t="str">
        <f>IF(H2897="","",IF($C$29="상세법",FPV(H2897,K2897),IF(H2897="EI",4,IF(H2897="EO",5.2,IF(H2897="EQ",3.9,IF(H2897="ILF",7.5,IF(H2897="EIF",5.4)))))))</f>
        <v/>
      </c>
      <c r="M2897" s="112" t="str">
        <f t="shared" si="48"/>
        <v/>
      </c>
      <c r="N2897" s="113"/>
    </row>
    <row r="2898" spans="2:14">
      <c r="B2898" s="105"/>
      <c r="C2898" s="106"/>
      <c r="D2898" s="107"/>
      <c r="E2898" s="65"/>
      <c r="F2898" s="64"/>
      <c r="G2898" s="64"/>
      <c r="H2898" s="64"/>
      <c r="I2898" s="70"/>
      <c r="J2898" s="70"/>
      <c r="K2898" s="110" t="str">
        <f>IF(H2898="","",IF($C$29="간이법","",FPR(H2898,I2898,J2898)))</f>
        <v/>
      </c>
      <c r="L2898" s="111" t="str">
        <f>IF(H2898="","",IF($C$29="상세법",FPV(H2898,K2898),IF(H2898="EI",4,IF(H2898="EO",5.2,IF(H2898="EQ",3.9,IF(H2898="ILF",7.5,IF(H2898="EIF",5.4)))))))</f>
        <v/>
      </c>
      <c r="M2898" s="112" t="str">
        <f t="shared" si="48"/>
        <v/>
      </c>
      <c r="N2898" s="113"/>
    </row>
    <row r="2899" spans="2:14">
      <c r="B2899" s="105"/>
      <c r="C2899" s="106"/>
      <c r="D2899" s="107"/>
      <c r="E2899" s="65"/>
      <c r="F2899" s="64"/>
      <c r="G2899" s="64"/>
      <c r="H2899" s="64"/>
      <c r="I2899" s="70"/>
      <c r="J2899" s="70"/>
      <c r="K2899" s="110" t="str">
        <f>IF(H2899="","",IF($C$29="간이법","",FPR(H2899,I2899,J2899)))</f>
        <v/>
      </c>
      <c r="L2899" s="111" t="str">
        <f>IF(H2899="","",IF($C$29="상세법",FPV(H2899,K2899),IF(H2899="EI",4,IF(H2899="EO",5.2,IF(H2899="EQ",3.9,IF(H2899="ILF",7.5,IF(H2899="EIF",5.4)))))))</f>
        <v/>
      </c>
      <c r="M2899" s="112" t="str">
        <f t="shared" si="48"/>
        <v/>
      </c>
      <c r="N2899" s="113"/>
    </row>
    <row r="2900" spans="2:14">
      <c r="B2900" s="105"/>
      <c r="C2900" s="106"/>
      <c r="D2900" s="107"/>
      <c r="E2900" s="65"/>
      <c r="F2900" s="64"/>
      <c r="G2900" s="64"/>
      <c r="H2900" s="64"/>
      <c r="I2900" s="70"/>
      <c r="J2900" s="70"/>
      <c r="K2900" s="110" t="str">
        <f>IF(H2900="","",IF($C$29="간이법","",FPR(H2900,I2900,J2900)))</f>
        <v/>
      </c>
      <c r="L2900" s="111" t="str">
        <f>IF(H2900="","",IF($C$29="상세법",FPV(H2900,K2900),IF(H2900="EI",4,IF(H2900="EO",5.2,IF(H2900="EQ",3.9,IF(H2900="ILF",7.5,IF(H2900="EIF",5.4)))))))</f>
        <v/>
      </c>
      <c r="M2900" s="112" t="str">
        <f t="shared" si="48"/>
        <v/>
      </c>
      <c r="N2900" s="113"/>
    </row>
    <row r="2901" spans="2:14">
      <c r="B2901" s="105"/>
      <c r="C2901" s="106"/>
      <c r="D2901" s="107"/>
      <c r="E2901" s="65"/>
      <c r="F2901" s="64"/>
      <c r="G2901" s="64"/>
      <c r="H2901" s="64"/>
      <c r="I2901" s="70"/>
      <c r="J2901" s="70"/>
      <c r="K2901" s="110" t="str">
        <f>IF(H2901="","",IF($C$29="간이법","",FPR(H2901,I2901,J2901)))</f>
        <v/>
      </c>
      <c r="L2901" s="111" t="str">
        <f>IF(H2901="","",IF($C$29="상세법",FPV(H2901,K2901),IF(H2901="EI",4,IF(H2901="EO",5.2,IF(H2901="EQ",3.9,IF(H2901="ILF",7.5,IF(H2901="EIF",5.4)))))))</f>
        <v/>
      </c>
      <c r="M2901" s="112" t="str">
        <f t="shared" si="48"/>
        <v/>
      </c>
      <c r="N2901" s="113"/>
    </row>
    <row r="2902" spans="2:14">
      <c r="B2902" s="105"/>
      <c r="C2902" s="106"/>
      <c r="D2902" s="107"/>
      <c r="E2902" s="65"/>
      <c r="F2902" s="64"/>
      <c r="G2902" s="64"/>
      <c r="H2902" s="64"/>
      <c r="I2902" s="70"/>
      <c r="J2902" s="70"/>
      <c r="K2902" s="110" t="str">
        <f>IF(H2902="","",IF($C$29="간이법","",FPR(H2902,I2902,J2902)))</f>
        <v/>
      </c>
      <c r="L2902" s="111" t="str">
        <f>IF(H2902="","",IF($C$29="상세법",FPV(H2902,K2902),IF(H2902="EI",4,IF(H2902="EO",5.2,IF(H2902="EQ",3.9,IF(H2902="ILF",7.5,IF(H2902="EIF",5.4)))))))</f>
        <v/>
      </c>
      <c r="M2902" s="112" t="str">
        <f t="shared" si="48"/>
        <v/>
      </c>
      <c r="N2902" s="113"/>
    </row>
    <row r="2903" spans="2:14">
      <c r="B2903" s="105"/>
      <c r="C2903" s="106"/>
      <c r="D2903" s="107"/>
      <c r="E2903" s="65"/>
      <c r="F2903" s="64"/>
      <c r="G2903" s="64"/>
      <c r="H2903" s="64"/>
      <c r="I2903" s="70"/>
      <c r="J2903" s="70"/>
      <c r="K2903" s="110" t="str">
        <f>IF(H2903="","",IF($C$29="간이법","",FPR(H2903,I2903,J2903)))</f>
        <v/>
      </c>
      <c r="L2903" s="111" t="str">
        <f>IF(H2903="","",IF($C$29="상세법",FPV(H2903,K2903),IF(H2903="EI",4,IF(H2903="EO",5.2,IF(H2903="EQ",3.9,IF(H2903="ILF",7.5,IF(H2903="EIF",5.4)))))))</f>
        <v/>
      </c>
      <c r="M2903" s="112" t="str">
        <f t="shared" si="48"/>
        <v/>
      </c>
      <c r="N2903" s="113"/>
    </row>
    <row r="2904" spans="2:14">
      <c r="B2904" s="105"/>
      <c r="C2904" s="106"/>
      <c r="D2904" s="107"/>
      <c r="E2904" s="65"/>
      <c r="F2904" s="64"/>
      <c r="G2904" s="64"/>
      <c r="H2904" s="64"/>
      <c r="I2904" s="70"/>
      <c r="J2904" s="70"/>
      <c r="K2904" s="110" t="str">
        <f>IF(H2904="","",IF($C$29="간이법","",FPR(H2904,I2904,J2904)))</f>
        <v/>
      </c>
      <c r="L2904" s="111" t="str">
        <f>IF(H2904="","",IF($C$29="상세법",FPV(H2904,K2904),IF(H2904="EI",4,IF(H2904="EO",5.2,IF(H2904="EQ",3.9,IF(H2904="ILF",7.5,IF(H2904="EIF",5.4)))))))</f>
        <v/>
      </c>
      <c r="M2904" s="112" t="str">
        <f t="shared" si="48"/>
        <v/>
      </c>
      <c r="N2904" s="113"/>
    </row>
    <row r="2905" spans="2:14">
      <c r="B2905" s="105"/>
      <c r="C2905" s="106"/>
      <c r="D2905" s="107"/>
      <c r="E2905" s="65"/>
      <c r="F2905" s="64"/>
      <c r="G2905" s="64"/>
      <c r="H2905" s="64"/>
      <c r="I2905" s="70"/>
      <c r="J2905" s="70"/>
      <c r="K2905" s="110" t="str">
        <f>IF(H2905="","",IF($C$29="간이법","",FPR(H2905,I2905,J2905)))</f>
        <v/>
      </c>
      <c r="L2905" s="111" t="str">
        <f>IF(H2905="","",IF($C$29="상세법",FPV(H2905,K2905),IF(H2905="EI",4,IF(H2905="EO",5.2,IF(H2905="EQ",3.9,IF(H2905="ILF",7.5,IF(H2905="EIF",5.4)))))))</f>
        <v/>
      </c>
      <c r="M2905" s="112" t="str">
        <f t="shared" si="48"/>
        <v/>
      </c>
      <c r="N2905" s="113"/>
    </row>
    <row r="2906" spans="2:14">
      <c r="B2906" s="105"/>
      <c r="C2906" s="106"/>
      <c r="D2906" s="107"/>
      <c r="E2906" s="65"/>
      <c r="F2906" s="64"/>
      <c r="G2906" s="64"/>
      <c r="H2906" s="64"/>
      <c r="I2906" s="70"/>
      <c r="J2906" s="70"/>
      <c r="K2906" s="110" t="str">
        <f>IF(H2906="","",IF($C$29="간이법","",FPR(H2906,I2906,J2906)))</f>
        <v/>
      </c>
      <c r="L2906" s="111" t="str">
        <f>IF(H2906="","",IF($C$29="상세법",FPV(H2906,K2906),IF(H2906="EI",4,IF(H2906="EO",5.2,IF(H2906="EQ",3.9,IF(H2906="ILF",7.5,IF(H2906="EIF",5.4)))))))</f>
        <v/>
      </c>
      <c r="M2906" s="112" t="str">
        <f t="shared" si="48"/>
        <v/>
      </c>
      <c r="N2906" s="113"/>
    </row>
    <row r="2907" spans="2:14">
      <c r="B2907" s="105"/>
      <c r="C2907" s="106"/>
      <c r="D2907" s="107"/>
      <c r="E2907" s="65"/>
      <c r="F2907" s="64"/>
      <c r="G2907" s="64"/>
      <c r="H2907" s="64"/>
      <c r="I2907" s="70"/>
      <c r="J2907" s="70"/>
      <c r="K2907" s="110" t="str">
        <f>IF(H2907="","",IF($C$29="간이법","",FPR(H2907,I2907,J2907)))</f>
        <v/>
      </c>
      <c r="L2907" s="111" t="str">
        <f>IF(H2907="","",IF($C$29="상세법",FPV(H2907,K2907),IF(H2907="EI",4,IF(H2907="EO",5.2,IF(H2907="EQ",3.9,IF(H2907="ILF",7.5,IF(H2907="EIF",5.4)))))))</f>
        <v/>
      </c>
      <c r="M2907" s="112" t="str">
        <f t="shared" si="48"/>
        <v/>
      </c>
      <c r="N2907" s="113"/>
    </row>
    <row r="2908" spans="2:14">
      <c r="B2908" s="105"/>
      <c r="C2908" s="106"/>
      <c r="D2908" s="107"/>
      <c r="E2908" s="65"/>
      <c r="F2908" s="64"/>
      <c r="G2908" s="64"/>
      <c r="H2908" s="64"/>
      <c r="I2908" s="70"/>
      <c r="J2908" s="70"/>
      <c r="K2908" s="110" t="str">
        <f>IF(H2908="","",IF($C$29="간이법","",FPR(H2908,I2908,J2908)))</f>
        <v/>
      </c>
      <c r="L2908" s="111" t="str">
        <f>IF(H2908="","",IF($C$29="상세법",FPV(H2908,K2908),IF(H2908="EI",4,IF(H2908="EO",5.2,IF(H2908="EQ",3.9,IF(H2908="ILF",7.5,IF(H2908="EIF",5.4)))))))</f>
        <v/>
      </c>
      <c r="M2908" s="112" t="str">
        <f t="shared" si="48"/>
        <v/>
      </c>
      <c r="N2908" s="113"/>
    </row>
    <row r="2909" spans="2:14">
      <c r="B2909" s="105"/>
      <c r="C2909" s="106"/>
      <c r="D2909" s="107"/>
      <c r="E2909" s="65"/>
      <c r="F2909" s="64"/>
      <c r="G2909" s="64"/>
      <c r="H2909" s="64"/>
      <c r="I2909" s="70"/>
      <c r="J2909" s="70"/>
      <c r="K2909" s="110" t="str">
        <f>IF(H2909="","",IF($C$29="간이법","",FPR(H2909,I2909,J2909)))</f>
        <v/>
      </c>
      <c r="L2909" s="111" t="str">
        <f>IF(H2909="","",IF($C$29="상세법",FPV(H2909,K2909),IF(H2909="EI",4,IF(H2909="EO",5.2,IF(H2909="EQ",3.9,IF(H2909="ILF",7.5,IF(H2909="EIF",5.4)))))))</f>
        <v/>
      </c>
      <c r="M2909" s="112" t="str">
        <f t="shared" si="48"/>
        <v/>
      </c>
      <c r="N2909" s="113"/>
    </row>
    <row r="2910" spans="2:14">
      <c r="B2910" s="105"/>
      <c r="C2910" s="106"/>
      <c r="D2910" s="107"/>
      <c r="E2910" s="65"/>
      <c r="F2910" s="64"/>
      <c r="G2910" s="64"/>
      <c r="H2910" s="64"/>
      <c r="I2910" s="70"/>
      <c r="J2910" s="70"/>
      <c r="K2910" s="110" t="str">
        <f>IF(H2910="","",IF($C$29="간이법","",FPR(H2910,I2910,J2910)))</f>
        <v/>
      </c>
      <c r="L2910" s="111" t="str">
        <f>IF(H2910="","",IF($C$29="상세법",FPV(H2910,K2910),IF(H2910="EI",4,IF(H2910="EO",5.2,IF(H2910="EQ",3.9,IF(H2910="ILF",7.5,IF(H2910="EIF",5.4)))))))</f>
        <v/>
      </c>
      <c r="M2910" s="112" t="str">
        <f t="shared" si="48"/>
        <v/>
      </c>
      <c r="N2910" s="113"/>
    </row>
    <row r="2911" spans="2:14">
      <c r="B2911" s="105"/>
      <c r="C2911" s="106"/>
      <c r="D2911" s="107"/>
      <c r="E2911" s="65"/>
      <c r="F2911" s="64"/>
      <c r="G2911" s="64"/>
      <c r="H2911" s="64"/>
      <c r="I2911" s="70"/>
      <c r="J2911" s="70"/>
      <c r="K2911" s="110" t="str">
        <f>IF(H2911="","",IF($C$29="간이법","",FPR(H2911,I2911,J2911)))</f>
        <v/>
      </c>
      <c r="L2911" s="111" t="str">
        <f>IF(H2911="","",IF($C$29="상세법",FPV(H2911,K2911),IF(H2911="EI",4,IF(H2911="EO",5.2,IF(H2911="EQ",3.9,IF(H2911="ILF",7.5,IF(H2911="EIF",5.4)))))))</f>
        <v/>
      </c>
      <c r="M2911" s="112" t="str">
        <f t="shared" si="48"/>
        <v/>
      </c>
      <c r="N2911" s="113"/>
    </row>
    <row r="2912" spans="2:14">
      <c r="B2912" s="105"/>
      <c r="C2912" s="106"/>
      <c r="D2912" s="107"/>
      <c r="E2912" s="65"/>
      <c r="F2912" s="64"/>
      <c r="G2912" s="64"/>
      <c r="H2912" s="64"/>
      <c r="I2912" s="70"/>
      <c r="J2912" s="70"/>
      <c r="K2912" s="110" t="str">
        <f>IF(H2912="","",IF($C$29="간이법","",FPR(H2912,I2912,J2912)))</f>
        <v/>
      </c>
      <c r="L2912" s="111" t="str">
        <f>IF(H2912="","",IF($C$29="상세법",FPV(H2912,K2912),IF(H2912="EI",4,IF(H2912="EO",5.2,IF(H2912="EQ",3.9,IF(H2912="ILF",7.5,IF(H2912="EIF",5.4)))))))</f>
        <v/>
      </c>
      <c r="M2912" s="112" t="str">
        <f t="shared" si="48"/>
        <v/>
      </c>
      <c r="N2912" s="113"/>
    </row>
    <row r="2913" spans="2:14">
      <c r="B2913" s="105"/>
      <c r="C2913" s="106"/>
      <c r="D2913" s="107"/>
      <c r="E2913" s="65"/>
      <c r="F2913" s="64"/>
      <c r="G2913" s="64"/>
      <c r="H2913" s="64"/>
      <c r="I2913" s="70"/>
      <c r="J2913" s="70"/>
      <c r="K2913" s="110" t="str">
        <f>IF(H2913="","",IF($C$29="간이법","",FPR(H2913,I2913,J2913)))</f>
        <v/>
      </c>
      <c r="L2913" s="111" t="str">
        <f>IF(H2913="","",IF($C$29="상세법",FPV(H2913,K2913),IF(H2913="EI",4,IF(H2913="EO",5.2,IF(H2913="EQ",3.9,IF(H2913="ILF",7.5,IF(H2913="EIF",5.4)))))))</f>
        <v/>
      </c>
      <c r="M2913" s="112" t="str">
        <f t="shared" si="48"/>
        <v/>
      </c>
      <c r="N2913" s="113"/>
    </row>
    <row r="2914" spans="2:14">
      <c r="B2914" s="105"/>
      <c r="C2914" s="106"/>
      <c r="D2914" s="107"/>
      <c r="E2914" s="65"/>
      <c r="F2914" s="64"/>
      <c r="G2914" s="64"/>
      <c r="H2914" s="64"/>
      <c r="I2914" s="70"/>
      <c r="J2914" s="70"/>
      <c r="K2914" s="110" t="str">
        <f>IF(H2914="","",IF($C$29="간이법","",FPR(H2914,I2914,J2914)))</f>
        <v/>
      </c>
      <c r="L2914" s="111" t="str">
        <f>IF(H2914="","",IF($C$29="상세법",FPV(H2914,K2914),IF(H2914="EI",4,IF(H2914="EO",5.2,IF(H2914="EQ",3.9,IF(H2914="ILF",7.5,IF(H2914="EIF",5.4)))))))</f>
        <v/>
      </c>
      <c r="M2914" s="112" t="str">
        <f t="shared" si="48"/>
        <v/>
      </c>
      <c r="N2914" s="113"/>
    </row>
    <row r="2915" spans="2:14">
      <c r="B2915" s="105"/>
      <c r="C2915" s="106"/>
      <c r="D2915" s="107"/>
      <c r="E2915" s="65"/>
      <c r="F2915" s="64"/>
      <c r="G2915" s="64"/>
      <c r="H2915" s="64"/>
      <c r="I2915" s="70"/>
      <c r="J2915" s="70"/>
      <c r="K2915" s="110" t="str">
        <f>IF(H2915="","",IF($C$29="간이법","",FPR(H2915,I2915,J2915)))</f>
        <v/>
      </c>
      <c r="L2915" s="111" t="str">
        <f>IF(H2915="","",IF($C$29="상세법",FPV(H2915,K2915),IF(H2915="EI",4,IF(H2915="EO",5.2,IF(H2915="EQ",3.9,IF(H2915="ILF",7.5,IF(H2915="EIF",5.4)))))))</f>
        <v/>
      </c>
      <c r="M2915" s="112" t="str">
        <f t="shared" si="48"/>
        <v/>
      </c>
      <c r="N2915" s="113"/>
    </row>
    <row r="2916" spans="2:14">
      <c r="B2916" s="105"/>
      <c r="C2916" s="106"/>
      <c r="D2916" s="107"/>
      <c r="E2916" s="65"/>
      <c r="F2916" s="64"/>
      <c r="G2916" s="64"/>
      <c r="H2916" s="64"/>
      <c r="I2916" s="70"/>
      <c r="J2916" s="70"/>
      <c r="K2916" s="110" t="str">
        <f>IF(H2916="","",IF($C$29="간이법","",FPR(H2916,I2916,J2916)))</f>
        <v/>
      </c>
      <c r="L2916" s="111" t="str">
        <f>IF(H2916="","",IF($C$29="상세법",FPV(H2916,K2916),IF(H2916="EI",4,IF(H2916="EO",5.2,IF(H2916="EQ",3.9,IF(H2916="ILF",7.5,IF(H2916="EIF",5.4)))))))</f>
        <v/>
      </c>
      <c r="M2916" s="112" t="str">
        <f t="shared" si="48"/>
        <v/>
      </c>
      <c r="N2916" s="113"/>
    </row>
    <row r="2917" spans="2:14">
      <c r="B2917" s="105"/>
      <c r="C2917" s="106"/>
      <c r="D2917" s="107"/>
      <c r="E2917" s="65"/>
      <c r="F2917" s="64"/>
      <c r="G2917" s="64"/>
      <c r="H2917" s="64"/>
      <c r="I2917" s="70"/>
      <c r="J2917" s="70"/>
      <c r="K2917" s="110" t="str">
        <f>IF(H2917="","",IF($C$29="간이법","",FPR(H2917,I2917,J2917)))</f>
        <v/>
      </c>
      <c r="L2917" s="111" t="str">
        <f>IF(H2917="","",IF($C$29="상세법",FPV(H2917,K2917),IF(H2917="EI",4,IF(H2917="EO",5.2,IF(H2917="EQ",3.9,IF(H2917="ILF",7.5,IF(H2917="EIF",5.4)))))))</f>
        <v/>
      </c>
      <c r="M2917" s="112" t="str">
        <f t="shared" si="48"/>
        <v/>
      </c>
      <c r="N2917" s="113"/>
    </row>
    <row r="2918" spans="2:14">
      <c r="B2918" s="105"/>
      <c r="C2918" s="106"/>
      <c r="D2918" s="107"/>
      <c r="E2918" s="65"/>
      <c r="F2918" s="64"/>
      <c r="G2918" s="64"/>
      <c r="H2918" s="64"/>
      <c r="I2918" s="70"/>
      <c r="J2918" s="70"/>
      <c r="K2918" s="110" t="str">
        <f>IF(H2918="","",IF($C$29="간이법","",FPR(H2918,I2918,J2918)))</f>
        <v/>
      </c>
      <c r="L2918" s="111" t="str">
        <f>IF(H2918="","",IF($C$29="상세법",FPV(H2918,K2918),IF(H2918="EI",4,IF(H2918="EO",5.2,IF(H2918="EQ",3.9,IF(H2918="ILF",7.5,IF(H2918="EIF",5.4)))))))</f>
        <v/>
      </c>
      <c r="M2918" s="112" t="str">
        <f t="shared" si="48"/>
        <v/>
      </c>
      <c r="N2918" s="113"/>
    </row>
    <row r="2919" spans="2:14">
      <c r="B2919" s="105"/>
      <c r="C2919" s="106"/>
      <c r="D2919" s="107"/>
      <c r="E2919" s="65"/>
      <c r="F2919" s="64"/>
      <c r="G2919" s="64"/>
      <c r="H2919" s="64"/>
      <c r="I2919" s="70"/>
      <c r="J2919" s="70"/>
      <c r="K2919" s="110" t="str">
        <f>IF(H2919="","",IF($C$29="간이법","",FPR(H2919,I2919,J2919)))</f>
        <v/>
      </c>
      <c r="L2919" s="111" t="str">
        <f>IF(H2919="","",IF($C$29="상세법",FPV(H2919,K2919),IF(H2919="EI",4,IF(H2919="EO",5.2,IF(H2919="EQ",3.9,IF(H2919="ILF",7.5,IF(H2919="EIF",5.4)))))))</f>
        <v/>
      </c>
      <c r="M2919" s="112" t="str">
        <f t="shared" si="48"/>
        <v/>
      </c>
      <c r="N2919" s="113"/>
    </row>
    <row r="2920" spans="2:14">
      <c r="B2920" s="105"/>
      <c r="C2920" s="106"/>
      <c r="D2920" s="107"/>
      <c r="E2920" s="65"/>
      <c r="F2920" s="64"/>
      <c r="G2920" s="64"/>
      <c r="H2920" s="64"/>
      <c r="I2920" s="70"/>
      <c r="J2920" s="70"/>
      <c r="K2920" s="110" t="str">
        <f>IF(H2920="","",IF($C$29="간이법","",FPR(H2920,I2920,J2920)))</f>
        <v/>
      </c>
      <c r="L2920" s="111" t="str">
        <f>IF(H2920="","",IF($C$29="상세법",FPV(H2920,K2920),IF(H2920="EI",4,IF(H2920="EO",5.2,IF(H2920="EQ",3.9,IF(H2920="ILF",7.5,IF(H2920="EIF",5.4)))))))</f>
        <v/>
      </c>
      <c r="M2920" s="112" t="str">
        <f t="shared" si="48"/>
        <v/>
      </c>
      <c r="N2920" s="113"/>
    </row>
    <row r="2921" spans="2:14">
      <c r="B2921" s="105"/>
      <c r="C2921" s="106"/>
      <c r="D2921" s="107"/>
      <c r="E2921" s="65"/>
      <c r="F2921" s="64"/>
      <c r="G2921" s="64"/>
      <c r="H2921" s="64"/>
      <c r="I2921" s="70"/>
      <c r="J2921" s="70"/>
      <c r="K2921" s="110" t="str">
        <f>IF(H2921="","",IF($C$29="간이법","",FPR(H2921,I2921,J2921)))</f>
        <v/>
      </c>
      <c r="L2921" s="111" t="str">
        <f>IF(H2921="","",IF($C$29="상세법",FPV(H2921,K2921),IF(H2921="EI",4,IF(H2921="EO",5.2,IF(H2921="EQ",3.9,IF(H2921="ILF",7.5,IF(H2921="EIF",5.4)))))))</f>
        <v/>
      </c>
      <c r="M2921" s="112" t="str">
        <f t="shared" si="48"/>
        <v/>
      </c>
      <c r="N2921" s="113"/>
    </row>
    <row r="2922" spans="2:14">
      <c r="B2922" s="105"/>
      <c r="C2922" s="106"/>
      <c r="D2922" s="107"/>
      <c r="E2922" s="65"/>
      <c r="F2922" s="64"/>
      <c r="G2922" s="64"/>
      <c r="H2922" s="64"/>
      <c r="I2922" s="70"/>
      <c r="J2922" s="70"/>
      <c r="K2922" s="110" t="str">
        <f>IF(H2922="","",IF($C$29="간이법","",FPR(H2922,I2922,J2922)))</f>
        <v/>
      </c>
      <c r="L2922" s="111" t="str">
        <f>IF(H2922="","",IF($C$29="상세법",FPV(H2922,K2922),IF(H2922="EI",4,IF(H2922="EO",5.2,IF(H2922="EQ",3.9,IF(H2922="ILF",7.5,IF(H2922="EIF",5.4)))))))</f>
        <v/>
      </c>
      <c r="M2922" s="112" t="str">
        <f t="shared" si="48"/>
        <v/>
      </c>
      <c r="N2922" s="113"/>
    </row>
    <row r="2923" spans="2:14">
      <c r="B2923" s="105"/>
      <c r="C2923" s="106"/>
      <c r="D2923" s="107"/>
      <c r="E2923" s="65"/>
      <c r="F2923" s="64"/>
      <c r="G2923" s="64"/>
      <c r="H2923" s="64"/>
      <c r="I2923" s="70"/>
      <c r="J2923" s="70"/>
      <c r="K2923" s="110" t="str">
        <f>IF(H2923="","",IF($C$29="간이법","",FPR(H2923,I2923,J2923)))</f>
        <v/>
      </c>
      <c r="L2923" s="111" t="str">
        <f>IF(H2923="","",IF($C$29="상세법",FPV(H2923,K2923),IF(H2923="EI",4,IF(H2923="EO",5.2,IF(H2923="EQ",3.9,IF(H2923="ILF",7.5,IF(H2923="EIF",5.4)))))))</f>
        <v/>
      </c>
      <c r="M2923" s="112" t="str">
        <f t="shared" si="48"/>
        <v/>
      </c>
      <c r="N2923" s="113"/>
    </row>
    <row r="2924" spans="2:14">
      <c r="B2924" s="105"/>
      <c r="C2924" s="106"/>
      <c r="D2924" s="107"/>
      <c r="E2924" s="65"/>
      <c r="F2924" s="64"/>
      <c r="G2924" s="64"/>
      <c r="H2924" s="64"/>
      <c r="I2924" s="70"/>
      <c r="J2924" s="70"/>
      <c r="K2924" s="110" t="str">
        <f>IF(H2924="","",IF($C$29="간이법","",FPR(H2924,I2924,J2924)))</f>
        <v/>
      </c>
      <c r="L2924" s="111" t="str">
        <f>IF(H2924="","",IF($C$29="상세법",FPV(H2924,K2924),IF(H2924="EI",4,IF(H2924="EO",5.2,IF(H2924="EQ",3.9,IF(H2924="ILF",7.5,IF(H2924="EIF",5.4)))))))</f>
        <v/>
      </c>
      <c r="M2924" s="112" t="str">
        <f t="shared" si="48"/>
        <v/>
      </c>
      <c r="N2924" s="113"/>
    </row>
    <row r="2925" spans="2:14">
      <c r="B2925" s="105"/>
      <c r="C2925" s="106"/>
      <c r="D2925" s="107"/>
      <c r="E2925" s="65"/>
      <c r="F2925" s="64"/>
      <c r="G2925" s="64"/>
      <c r="H2925" s="64"/>
      <c r="I2925" s="70"/>
      <c r="J2925" s="70"/>
      <c r="K2925" s="110" t="str">
        <f>IF(H2925="","",IF($C$29="간이법","",FPR(H2925,I2925,J2925)))</f>
        <v/>
      </c>
      <c r="L2925" s="111" t="str">
        <f>IF(H2925="","",IF($C$29="상세법",FPV(H2925,K2925),IF(H2925="EI",4,IF(H2925="EO",5.2,IF(H2925="EQ",3.9,IF(H2925="ILF",7.5,IF(H2925="EIF",5.4)))))))</f>
        <v/>
      </c>
      <c r="M2925" s="112" t="str">
        <f t="shared" si="48"/>
        <v/>
      </c>
      <c r="N2925" s="113"/>
    </row>
    <row r="2926" spans="2:14">
      <c r="B2926" s="105"/>
      <c r="C2926" s="106"/>
      <c r="D2926" s="107"/>
      <c r="E2926" s="65"/>
      <c r="F2926" s="64"/>
      <c r="G2926" s="64"/>
      <c r="H2926" s="64"/>
      <c r="I2926" s="70"/>
      <c r="J2926" s="70"/>
      <c r="K2926" s="110" t="str">
        <f>IF(H2926="","",IF($C$29="간이법","",FPR(H2926,I2926,J2926)))</f>
        <v/>
      </c>
      <c r="L2926" s="111" t="str">
        <f>IF(H2926="","",IF($C$29="상세법",FPV(H2926,K2926),IF(H2926="EI",4,IF(H2926="EO",5.2,IF(H2926="EQ",3.9,IF(H2926="ILF",7.5,IF(H2926="EIF",5.4)))))))</f>
        <v/>
      </c>
      <c r="M2926" s="112" t="str">
        <f t="shared" si="48"/>
        <v/>
      </c>
      <c r="N2926" s="113"/>
    </row>
    <row r="2927" spans="2:14">
      <c r="B2927" s="105"/>
      <c r="C2927" s="106"/>
      <c r="D2927" s="107"/>
      <c r="E2927" s="65"/>
      <c r="F2927" s="64"/>
      <c r="G2927" s="64"/>
      <c r="H2927" s="64"/>
      <c r="I2927" s="70"/>
      <c r="J2927" s="70"/>
      <c r="K2927" s="110" t="str">
        <f>IF(H2927="","",IF($C$29="간이법","",FPR(H2927,I2927,J2927)))</f>
        <v/>
      </c>
      <c r="L2927" s="111" t="str">
        <f>IF(H2927="","",IF($C$29="상세법",FPV(H2927,K2927),IF(H2927="EI",4,IF(H2927="EO",5.2,IF(H2927="EQ",3.9,IF(H2927="ILF",7.5,IF(H2927="EIF",5.4)))))))</f>
        <v/>
      </c>
      <c r="M2927" s="112" t="str">
        <f t="shared" si="48"/>
        <v/>
      </c>
      <c r="N2927" s="113"/>
    </row>
    <row r="2928" spans="2:14">
      <c r="B2928" s="105"/>
      <c r="C2928" s="106"/>
      <c r="D2928" s="107"/>
      <c r="E2928" s="65"/>
      <c r="F2928" s="64"/>
      <c r="G2928" s="64"/>
      <c r="H2928" s="64"/>
      <c r="I2928" s="70"/>
      <c r="J2928" s="70"/>
      <c r="K2928" s="110" t="str">
        <f>IF(H2928="","",IF($C$29="간이법","",FPR(H2928,I2928,J2928)))</f>
        <v/>
      </c>
      <c r="L2928" s="111" t="str">
        <f>IF(H2928="","",IF($C$29="상세법",FPV(H2928,K2928),IF(H2928="EI",4,IF(H2928="EO",5.2,IF(H2928="EQ",3.9,IF(H2928="ILF",7.5,IF(H2928="EIF",5.4)))))))</f>
        <v/>
      </c>
      <c r="M2928" s="112" t="str">
        <f t="shared" si="48"/>
        <v/>
      </c>
      <c r="N2928" s="113"/>
    </row>
    <row r="2929" spans="2:14">
      <c r="B2929" s="105"/>
      <c r="C2929" s="106"/>
      <c r="D2929" s="107"/>
      <c r="E2929" s="65"/>
      <c r="F2929" s="64"/>
      <c r="G2929" s="64"/>
      <c r="H2929" s="64"/>
      <c r="I2929" s="70"/>
      <c r="J2929" s="70"/>
      <c r="K2929" s="110" t="str">
        <f>IF(H2929="","",IF($C$29="간이법","",FPR(H2929,I2929,J2929)))</f>
        <v/>
      </c>
      <c r="L2929" s="111" t="str">
        <f>IF(H2929="","",IF($C$29="상세법",FPV(H2929,K2929),IF(H2929="EI",4,IF(H2929="EO",5.2,IF(H2929="EQ",3.9,IF(H2929="ILF",7.5,IF(H2929="EIF",5.4)))))))</f>
        <v/>
      </c>
      <c r="M2929" s="112" t="str">
        <f t="shared" si="48"/>
        <v/>
      </c>
      <c r="N2929" s="113"/>
    </row>
    <row r="2930" spans="2:14">
      <c r="B2930" s="105"/>
      <c r="C2930" s="106"/>
      <c r="D2930" s="107"/>
      <c r="E2930" s="65"/>
      <c r="F2930" s="64"/>
      <c r="G2930" s="64"/>
      <c r="H2930" s="64"/>
      <c r="I2930" s="70"/>
      <c r="J2930" s="70"/>
      <c r="K2930" s="110" t="str">
        <f>IF(H2930="","",IF($C$29="간이법","",FPR(H2930,I2930,J2930)))</f>
        <v/>
      </c>
      <c r="L2930" s="111" t="str">
        <f>IF(H2930="","",IF($C$29="상세법",FPV(H2930,K2930),IF(H2930="EI",4,IF(H2930="EO",5.2,IF(H2930="EQ",3.9,IF(H2930="ILF",7.5,IF(H2930="EIF",5.4)))))))</f>
        <v/>
      </c>
      <c r="M2930" s="112" t="str">
        <f t="shared" si="48"/>
        <v/>
      </c>
      <c r="N2930" s="113"/>
    </row>
    <row r="2931" spans="2:14">
      <c r="B2931" s="105"/>
      <c r="C2931" s="106"/>
      <c r="D2931" s="107"/>
      <c r="E2931" s="65"/>
      <c r="F2931" s="64"/>
      <c r="G2931" s="64"/>
      <c r="H2931" s="64"/>
      <c r="I2931" s="70"/>
      <c r="J2931" s="70"/>
      <c r="K2931" s="110" t="str">
        <f>IF(H2931="","",IF($C$29="간이법","",FPR(H2931,I2931,J2931)))</f>
        <v/>
      </c>
      <c r="L2931" s="111" t="str">
        <f>IF(H2931="","",IF($C$29="상세법",FPV(H2931,K2931),IF(H2931="EI",4,IF(H2931="EO",5.2,IF(H2931="EQ",3.9,IF(H2931="ILF",7.5,IF(H2931="EIF",5.4)))))))</f>
        <v/>
      </c>
      <c r="M2931" s="112" t="str">
        <f t="shared" si="48"/>
        <v/>
      </c>
      <c r="N2931" s="113"/>
    </row>
    <row r="2932" spans="2:14">
      <c r="B2932" s="105"/>
      <c r="C2932" s="106"/>
      <c r="D2932" s="107"/>
      <c r="E2932" s="65"/>
      <c r="F2932" s="64"/>
      <c r="G2932" s="64"/>
      <c r="H2932" s="64"/>
      <c r="I2932" s="70"/>
      <c r="J2932" s="70"/>
      <c r="K2932" s="110" t="str">
        <f>IF(H2932="","",IF($C$29="간이법","",FPR(H2932,I2932,J2932)))</f>
        <v/>
      </c>
      <c r="L2932" s="111" t="str">
        <f>IF(H2932="","",IF($C$29="상세법",FPV(H2932,K2932),IF(H2932="EI",4,IF(H2932="EO",5.2,IF(H2932="EQ",3.9,IF(H2932="ILF",7.5,IF(H2932="EIF",5.4)))))))</f>
        <v/>
      </c>
      <c r="M2932" s="112" t="str">
        <f t="shared" si="48"/>
        <v/>
      </c>
      <c r="N2932" s="113"/>
    </row>
    <row r="2933" spans="2:14">
      <c r="B2933" s="105"/>
      <c r="C2933" s="106"/>
      <c r="D2933" s="107"/>
      <c r="E2933" s="65"/>
      <c r="F2933" s="64"/>
      <c r="G2933" s="64"/>
      <c r="H2933" s="64"/>
      <c r="I2933" s="70"/>
      <c r="J2933" s="70"/>
      <c r="K2933" s="110" t="str">
        <f>IF(H2933="","",IF($C$29="간이법","",FPR(H2933,I2933,J2933)))</f>
        <v/>
      </c>
      <c r="L2933" s="111" t="str">
        <f>IF(H2933="","",IF($C$29="상세법",FPV(H2933,K2933),IF(H2933="EI",4,IF(H2933="EO",5.2,IF(H2933="EQ",3.9,IF(H2933="ILF",7.5,IF(H2933="EIF",5.4)))))))</f>
        <v/>
      </c>
      <c r="M2933" s="112" t="str">
        <f t="shared" si="48"/>
        <v/>
      </c>
      <c r="N2933" s="113"/>
    </row>
    <row r="2934" spans="2:14">
      <c r="B2934" s="105"/>
      <c r="C2934" s="106"/>
      <c r="D2934" s="107"/>
      <c r="E2934" s="65"/>
      <c r="F2934" s="64"/>
      <c r="G2934" s="64"/>
      <c r="H2934" s="64"/>
      <c r="I2934" s="70"/>
      <c r="J2934" s="70"/>
      <c r="K2934" s="110" t="str">
        <f>IF(H2934="","",IF($C$29="간이법","",FPR(H2934,I2934,J2934)))</f>
        <v/>
      </c>
      <c r="L2934" s="111" t="str">
        <f>IF(H2934="","",IF($C$29="상세법",FPV(H2934,K2934),IF(H2934="EI",4,IF(H2934="EO",5.2,IF(H2934="EQ",3.9,IF(H2934="ILF",7.5,IF(H2934="EIF",5.4)))))))</f>
        <v/>
      </c>
      <c r="M2934" s="112" t="str">
        <f t="shared" si="48"/>
        <v/>
      </c>
      <c r="N2934" s="113"/>
    </row>
    <row r="2935" spans="2:14">
      <c r="B2935" s="105"/>
      <c r="C2935" s="106"/>
      <c r="D2935" s="107"/>
      <c r="E2935" s="65"/>
      <c r="F2935" s="64"/>
      <c r="G2935" s="64"/>
      <c r="H2935" s="64"/>
      <c r="I2935" s="70"/>
      <c r="J2935" s="70"/>
      <c r="K2935" s="110" t="str">
        <f>IF(H2935="","",IF($C$29="간이법","",FPR(H2935,I2935,J2935)))</f>
        <v/>
      </c>
      <c r="L2935" s="111" t="str">
        <f>IF(H2935="","",IF($C$29="상세법",FPV(H2935,K2935),IF(H2935="EI",4,IF(H2935="EO",5.2,IF(H2935="EQ",3.9,IF(H2935="ILF",7.5,IF(H2935="EIF",5.4)))))))</f>
        <v/>
      </c>
      <c r="M2935" s="112" t="str">
        <f t="shared" si="48"/>
        <v/>
      </c>
      <c r="N2935" s="113"/>
    </row>
    <row r="2936" spans="2:14">
      <c r="B2936" s="105"/>
      <c r="C2936" s="106"/>
      <c r="D2936" s="107"/>
      <c r="E2936" s="65"/>
      <c r="F2936" s="64"/>
      <c r="G2936" s="64"/>
      <c r="H2936" s="64"/>
      <c r="I2936" s="70"/>
      <c r="J2936" s="70"/>
      <c r="K2936" s="110" t="str">
        <f>IF(H2936="","",IF($C$29="간이법","",FPR(H2936,I2936,J2936)))</f>
        <v/>
      </c>
      <c r="L2936" s="111" t="str">
        <f>IF(H2936="","",IF($C$29="상세법",FPV(H2936,K2936),IF(H2936="EI",4,IF(H2936="EO",5.2,IF(H2936="EQ",3.9,IF(H2936="ILF",7.5,IF(H2936="EIF",5.4)))))))</f>
        <v/>
      </c>
      <c r="M2936" s="112" t="str">
        <f t="shared" si="48"/>
        <v/>
      </c>
      <c r="N2936" s="113"/>
    </row>
    <row r="2937" spans="2:14">
      <c r="B2937" s="105"/>
      <c r="C2937" s="106"/>
      <c r="D2937" s="107"/>
      <c r="E2937" s="65"/>
      <c r="F2937" s="64"/>
      <c r="G2937" s="64"/>
      <c r="H2937" s="64"/>
      <c r="I2937" s="70"/>
      <c r="J2937" s="70"/>
      <c r="K2937" s="110" t="str">
        <f>IF(H2937="","",IF($C$29="간이법","",FPR(H2937,I2937,J2937)))</f>
        <v/>
      </c>
      <c r="L2937" s="111" t="str">
        <f>IF(H2937="","",IF($C$29="상세법",FPV(H2937,K2937),IF(H2937="EI",4,IF(H2937="EO",5.2,IF(H2937="EQ",3.9,IF(H2937="ILF",7.5,IF(H2937="EIF",5.4)))))))</f>
        <v/>
      </c>
      <c r="M2937" s="112" t="str">
        <f t="shared" ref="M2937:M3000" si="49">IF(L2937="","",L2937*IF(G2937="상",0.7,IF(G2937="중",0.5,IF(G2937="하",0.2,1))))</f>
        <v/>
      </c>
      <c r="N2937" s="113"/>
    </row>
    <row r="2938" spans="2:14">
      <c r="B2938" s="105"/>
      <c r="C2938" s="106"/>
      <c r="D2938" s="107"/>
      <c r="E2938" s="65"/>
      <c r="F2938" s="64"/>
      <c r="G2938" s="64"/>
      <c r="H2938" s="64"/>
      <c r="I2938" s="70"/>
      <c r="J2938" s="70"/>
      <c r="K2938" s="110" t="str">
        <f>IF(H2938="","",IF($C$29="간이법","",FPR(H2938,I2938,J2938)))</f>
        <v/>
      </c>
      <c r="L2938" s="111" t="str">
        <f>IF(H2938="","",IF($C$29="상세법",FPV(H2938,K2938),IF(H2938="EI",4,IF(H2938="EO",5.2,IF(H2938="EQ",3.9,IF(H2938="ILF",7.5,IF(H2938="EIF",5.4)))))))</f>
        <v/>
      </c>
      <c r="M2938" s="112" t="str">
        <f t="shared" si="49"/>
        <v/>
      </c>
      <c r="N2938" s="113"/>
    </row>
    <row r="2939" spans="2:14">
      <c r="B2939" s="105"/>
      <c r="C2939" s="106"/>
      <c r="D2939" s="107"/>
      <c r="E2939" s="65"/>
      <c r="F2939" s="64"/>
      <c r="G2939" s="64"/>
      <c r="H2939" s="64"/>
      <c r="I2939" s="70"/>
      <c r="J2939" s="70"/>
      <c r="K2939" s="110" t="str">
        <f>IF(H2939="","",IF($C$29="간이법","",FPR(H2939,I2939,J2939)))</f>
        <v/>
      </c>
      <c r="L2939" s="111" t="str">
        <f>IF(H2939="","",IF($C$29="상세법",FPV(H2939,K2939),IF(H2939="EI",4,IF(H2939="EO",5.2,IF(H2939="EQ",3.9,IF(H2939="ILF",7.5,IF(H2939="EIF",5.4)))))))</f>
        <v/>
      </c>
      <c r="M2939" s="112" t="str">
        <f t="shared" si="49"/>
        <v/>
      </c>
      <c r="N2939" s="113"/>
    </row>
    <row r="2940" spans="2:14">
      <c r="B2940" s="105"/>
      <c r="C2940" s="106"/>
      <c r="D2940" s="107"/>
      <c r="E2940" s="65"/>
      <c r="F2940" s="64"/>
      <c r="G2940" s="64"/>
      <c r="H2940" s="64"/>
      <c r="I2940" s="70"/>
      <c r="J2940" s="70"/>
      <c r="K2940" s="110" t="str">
        <f>IF(H2940="","",IF($C$29="간이법","",FPR(H2940,I2940,J2940)))</f>
        <v/>
      </c>
      <c r="L2940" s="111" t="str">
        <f>IF(H2940="","",IF($C$29="상세법",FPV(H2940,K2940),IF(H2940="EI",4,IF(H2940="EO",5.2,IF(H2940="EQ",3.9,IF(H2940="ILF",7.5,IF(H2940="EIF",5.4)))))))</f>
        <v/>
      </c>
      <c r="M2940" s="112" t="str">
        <f t="shared" si="49"/>
        <v/>
      </c>
      <c r="N2940" s="113"/>
    </row>
    <row r="2941" spans="2:14">
      <c r="B2941" s="105"/>
      <c r="C2941" s="106"/>
      <c r="D2941" s="107"/>
      <c r="E2941" s="65"/>
      <c r="F2941" s="64"/>
      <c r="G2941" s="64"/>
      <c r="H2941" s="64"/>
      <c r="I2941" s="70"/>
      <c r="J2941" s="70"/>
      <c r="K2941" s="110" t="str">
        <f>IF(H2941="","",IF($C$29="간이법","",FPR(H2941,I2941,J2941)))</f>
        <v/>
      </c>
      <c r="L2941" s="111" t="str">
        <f>IF(H2941="","",IF($C$29="상세법",FPV(H2941,K2941),IF(H2941="EI",4,IF(H2941="EO",5.2,IF(H2941="EQ",3.9,IF(H2941="ILF",7.5,IF(H2941="EIF",5.4)))))))</f>
        <v/>
      </c>
      <c r="M2941" s="112" t="str">
        <f t="shared" si="49"/>
        <v/>
      </c>
      <c r="N2941" s="113"/>
    </row>
    <row r="2942" spans="2:14">
      <c r="B2942" s="105"/>
      <c r="C2942" s="106"/>
      <c r="D2942" s="107"/>
      <c r="E2942" s="65"/>
      <c r="F2942" s="64"/>
      <c r="G2942" s="64"/>
      <c r="H2942" s="64"/>
      <c r="I2942" s="70"/>
      <c r="J2942" s="70"/>
      <c r="K2942" s="110" t="str">
        <f>IF(H2942="","",IF($C$29="간이법","",FPR(H2942,I2942,J2942)))</f>
        <v/>
      </c>
      <c r="L2942" s="111" t="str">
        <f>IF(H2942="","",IF($C$29="상세법",FPV(H2942,K2942),IF(H2942="EI",4,IF(H2942="EO",5.2,IF(H2942="EQ",3.9,IF(H2942="ILF",7.5,IF(H2942="EIF",5.4)))))))</f>
        <v/>
      </c>
      <c r="M2942" s="112" t="str">
        <f t="shared" si="49"/>
        <v/>
      </c>
      <c r="N2942" s="113"/>
    </row>
    <row r="2943" spans="2:14">
      <c r="B2943" s="105"/>
      <c r="C2943" s="106"/>
      <c r="D2943" s="107"/>
      <c r="E2943" s="65"/>
      <c r="F2943" s="64"/>
      <c r="G2943" s="64"/>
      <c r="H2943" s="64"/>
      <c r="I2943" s="70"/>
      <c r="J2943" s="70"/>
      <c r="K2943" s="110" t="str">
        <f>IF(H2943="","",IF($C$29="간이법","",FPR(H2943,I2943,J2943)))</f>
        <v/>
      </c>
      <c r="L2943" s="111" t="str">
        <f>IF(H2943="","",IF($C$29="상세법",FPV(H2943,K2943),IF(H2943="EI",4,IF(H2943="EO",5.2,IF(H2943="EQ",3.9,IF(H2943="ILF",7.5,IF(H2943="EIF",5.4)))))))</f>
        <v/>
      </c>
      <c r="M2943" s="112" t="str">
        <f t="shared" si="49"/>
        <v/>
      </c>
      <c r="N2943" s="113"/>
    </row>
    <row r="2944" spans="2:14">
      <c r="B2944" s="105"/>
      <c r="C2944" s="106"/>
      <c r="D2944" s="107"/>
      <c r="E2944" s="65"/>
      <c r="F2944" s="64"/>
      <c r="G2944" s="64"/>
      <c r="H2944" s="64"/>
      <c r="I2944" s="70"/>
      <c r="J2944" s="70"/>
      <c r="K2944" s="110" t="str">
        <f>IF(H2944="","",IF($C$29="간이법","",FPR(H2944,I2944,J2944)))</f>
        <v/>
      </c>
      <c r="L2944" s="111" t="str">
        <f>IF(H2944="","",IF($C$29="상세법",FPV(H2944,K2944),IF(H2944="EI",4,IF(H2944="EO",5.2,IF(H2944="EQ",3.9,IF(H2944="ILF",7.5,IF(H2944="EIF",5.4)))))))</f>
        <v/>
      </c>
      <c r="M2944" s="112" t="str">
        <f t="shared" si="49"/>
        <v/>
      </c>
      <c r="N2944" s="113"/>
    </row>
    <row r="2945" spans="2:14">
      <c r="B2945" s="105"/>
      <c r="C2945" s="106"/>
      <c r="D2945" s="107"/>
      <c r="E2945" s="65"/>
      <c r="F2945" s="64"/>
      <c r="G2945" s="64"/>
      <c r="H2945" s="64"/>
      <c r="I2945" s="70"/>
      <c r="J2945" s="70"/>
      <c r="K2945" s="110" t="str">
        <f>IF(H2945="","",IF($C$29="간이법","",FPR(H2945,I2945,J2945)))</f>
        <v/>
      </c>
      <c r="L2945" s="111" t="str">
        <f>IF(H2945="","",IF($C$29="상세법",FPV(H2945,K2945),IF(H2945="EI",4,IF(H2945="EO",5.2,IF(H2945="EQ",3.9,IF(H2945="ILF",7.5,IF(H2945="EIF",5.4)))))))</f>
        <v/>
      </c>
      <c r="M2945" s="112" t="str">
        <f t="shared" si="49"/>
        <v/>
      </c>
      <c r="N2945" s="113"/>
    </row>
    <row r="2946" spans="2:14">
      <c r="B2946" s="105"/>
      <c r="C2946" s="106"/>
      <c r="D2946" s="107"/>
      <c r="E2946" s="65"/>
      <c r="F2946" s="64"/>
      <c r="G2946" s="64"/>
      <c r="H2946" s="64"/>
      <c r="I2946" s="70"/>
      <c r="J2946" s="70"/>
      <c r="K2946" s="110" t="str">
        <f>IF(H2946="","",IF($C$29="간이법","",FPR(H2946,I2946,J2946)))</f>
        <v/>
      </c>
      <c r="L2946" s="111" t="str">
        <f>IF(H2946="","",IF($C$29="상세법",FPV(H2946,K2946),IF(H2946="EI",4,IF(H2946="EO",5.2,IF(H2946="EQ",3.9,IF(H2946="ILF",7.5,IF(H2946="EIF",5.4)))))))</f>
        <v/>
      </c>
      <c r="M2946" s="112" t="str">
        <f t="shared" si="49"/>
        <v/>
      </c>
      <c r="N2946" s="113"/>
    </row>
    <row r="2947" spans="2:14">
      <c r="B2947" s="105"/>
      <c r="C2947" s="106"/>
      <c r="D2947" s="107"/>
      <c r="E2947" s="65"/>
      <c r="F2947" s="64"/>
      <c r="G2947" s="64"/>
      <c r="H2947" s="64"/>
      <c r="I2947" s="70"/>
      <c r="J2947" s="70"/>
      <c r="K2947" s="110" t="str">
        <f>IF(H2947="","",IF($C$29="간이법","",FPR(H2947,I2947,J2947)))</f>
        <v/>
      </c>
      <c r="L2947" s="111" t="str">
        <f>IF(H2947="","",IF($C$29="상세법",FPV(H2947,K2947),IF(H2947="EI",4,IF(H2947="EO",5.2,IF(H2947="EQ",3.9,IF(H2947="ILF",7.5,IF(H2947="EIF",5.4)))))))</f>
        <v/>
      </c>
      <c r="M2947" s="112" t="str">
        <f t="shared" si="49"/>
        <v/>
      </c>
      <c r="N2947" s="113"/>
    </row>
    <row r="2948" spans="2:14">
      <c r="B2948" s="105"/>
      <c r="C2948" s="106"/>
      <c r="D2948" s="107"/>
      <c r="E2948" s="65"/>
      <c r="F2948" s="64"/>
      <c r="G2948" s="64"/>
      <c r="H2948" s="64"/>
      <c r="I2948" s="70"/>
      <c r="J2948" s="70"/>
      <c r="K2948" s="110" t="str">
        <f>IF(H2948="","",IF($C$29="간이법","",FPR(H2948,I2948,J2948)))</f>
        <v/>
      </c>
      <c r="L2948" s="111" t="str">
        <f>IF(H2948="","",IF($C$29="상세법",FPV(H2948,K2948),IF(H2948="EI",4,IF(H2948="EO",5.2,IF(H2948="EQ",3.9,IF(H2948="ILF",7.5,IF(H2948="EIF",5.4)))))))</f>
        <v/>
      </c>
      <c r="M2948" s="112" t="str">
        <f t="shared" si="49"/>
        <v/>
      </c>
      <c r="N2948" s="113"/>
    </row>
    <row r="2949" spans="2:14">
      <c r="B2949" s="105"/>
      <c r="C2949" s="106"/>
      <c r="D2949" s="107"/>
      <c r="E2949" s="65"/>
      <c r="F2949" s="64"/>
      <c r="G2949" s="64"/>
      <c r="H2949" s="64"/>
      <c r="I2949" s="70"/>
      <c r="J2949" s="70"/>
      <c r="K2949" s="110" t="str">
        <f>IF(H2949="","",IF($C$29="간이법","",FPR(H2949,I2949,J2949)))</f>
        <v/>
      </c>
      <c r="L2949" s="111" t="str">
        <f>IF(H2949="","",IF($C$29="상세법",FPV(H2949,K2949),IF(H2949="EI",4,IF(H2949="EO",5.2,IF(H2949="EQ",3.9,IF(H2949="ILF",7.5,IF(H2949="EIF",5.4)))))))</f>
        <v/>
      </c>
      <c r="M2949" s="112" t="str">
        <f t="shared" si="49"/>
        <v/>
      </c>
      <c r="N2949" s="113"/>
    </row>
    <row r="2950" spans="2:14">
      <c r="B2950" s="105"/>
      <c r="C2950" s="106"/>
      <c r="D2950" s="107"/>
      <c r="E2950" s="65"/>
      <c r="F2950" s="64"/>
      <c r="G2950" s="64"/>
      <c r="H2950" s="64"/>
      <c r="I2950" s="70"/>
      <c r="J2950" s="70"/>
      <c r="K2950" s="110" t="str">
        <f>IF(H2950="","",IF($C$29="간이법","",FPR(H2950,I2950,J2950)))</f>
        <v/>
      </c>
      <c r="L2950" s="111" t="str">
        <f>IF(H2950="","",IF($C$29="상세법",FPV(H2950,K2950),IF(H2950="EI",4,IF(H2950="EO",5.2,IF(H2950="EQ",3.9,IF(H2950="ILF",7.5,IF(H2950="EIF",5.4)))))))</f>
        <v/>
      </c>
      <c r="M2950" s="112" t="str">
        <f t="shared" si="49"/>
        <v/>
      </c>
      <c r="N2950" s="113"/>
    </row>
    <row r="2951" spans="2:14">
      <c r="B2951" s="105"/>
      <c r="C2951" s="106"/>
      <c r="D2951" s="107"/>
      <c r="E2951" s="65"/>
      <c r="F2951" s="64"/>
      <c r="G2951" s="64"/>
      <c r="H2951" s="64"/>
      <c r="I2951" s="70"/>
      <c r="J2951" s="70"/>
      <c r="K2951" s="110" t="str">
        <f>IF(H2951="","",IF($C$29="간이법","",FPR(H2951,I2951,J2951)))</f>
        <v/>
      </c>
      <c r="L2951" s="111" t="str">
        <f>IF(H2951="","",IF($C$29="상세법",FPV(H2951,K2951),IF(H2951="EI",4,IF(H2951="EO",5.2,IF(H2951="EQ",3.9,IF(H2951="ILF",7.5,IF(H2951="EIF",5.4)))))))</f>
        <v/>
      </c>
      <c r="M2951" s="112" t="str">
        <f t="shared" si="49"/>
        <v/>
      </c>
      <c r="N2951" s="113"/>
    </row>
    <row r="2952" spans="2:14">
      <c r="B2952" s="105"/>
      <c r="C2952" s="106"/>
      <c r="D2952" s="107"/>
      <c r="E2952" s="65"/>
      <c r="F2952" s="64"/>
      <c r="G2952" s="64"/>
      <c r="H2952" s="64"/>
      <c r="I2952" s="70"/>
      <c r="J2952" s="70"/>
      <c r="K2952" s="110" t="str">
        <f>IF(H2952="","",IF($C$29="간이법","",FPR(H2952,I2952,J2952)))</f>
        <v/>
      </c>
      <c r="L2952" s="111" t="str">
        <f>IF(H2952="","",IF($C$29="상세법",FPV(H2952,K2952),IF(H2952="EI",4,IF(H2952="EO",5.2,IF(H2952="EQ",3.9,IF(H2952="ILF",7.5,IF(H2952="EIF",5.4)))))))</f>
        <v/>
      </c>
      <c r="M2952" s="112" t="str">
        <f t="shared" si="49"/>
        <v/>
      </c>
      <c r="N2952" s="113"/>
    </row>
    <row r="2953" spans="2:14">
      <c r="B2953" s="105"/>
      <c r="C2953" s="106"/>
      <c r="D2953" s="107"/>
      <c r="E2953" s="65"/>
      <c r="F2953" s="64"/>
      <c r="G2953" s="64"/>
      <c r="H2953" s="64"/>
      <c r="I2953" s="70"/>
      <c r="J2953" s="70"/>
      <c r="K2953" s="110" t="str">
        <f>IF(H2953="","",IF($C$29="간이법","",FPR(H2953,I2953,J2953)))</f>
        <v/>
      </c>
      <c r="L2953" s="111" t="str">
        <f>IF(H2953="","",IF($C$29="상세법",FPV(H2953,K2953),IF(H2953="EI",4,IF(H2953="EO",5.2,IF(H2953="EQ",3.9,IF(H2953="ILF",7.5,IF(H2953="EIF",5.4)))))))</f>
        <v/>
      </c>
      <c r="M2953" s="112" t="str">
        <f t="shared" si="49"/>
        <v/>
      </c>
      <c r="N2953" s="113"/>
    </row>
    <row r="2954" spans="2:14">
      <c r="B2954" s="105"/>
      <c r="C2954" s="106"/>
      <c r="D2954" s="107"/>
      <c r="E2954" s="65"/>
      <c r="F2954" s="64"/>
      <c r="G2954" s="64"/>
      <c r="H2954" s="64"/>
      <c r="I2954" s="70"/>
      <c r="J2954" s="70"/>
      <c r="K2954" s="110" t="str">
        <f>IF(H2954="","",IF($C$29="간이법","",FPR(H2954,I2954,J2954)))</f>
        <v/>
      </c>
      <c r="L2954" s="111" t="str">
        <f>IF(H2954="","",IF($C$29="상세법",FPV(H2954,K2954),IF(H2954="EI",4,IF(H2954="EO",5.2,IF(H2954="EQ",3.9,IF(H2954="ILF",7.5,IF(H2954="EIF",5.4)))))))</f>
        <v/>
      </c>
      <c r="M2954" s="112" t="str">
        <f t="shared" si="49"/>
        <v/>
      </c>
      <c r="N2954" s="113"/>
    </row>
    <row r="2955" spans="2:14">
      <c r="B2955" s="105"/>
      <c r="C2955" s="106"/>
      <c r="D2955" s="107"/>
      <c r="E2955" s="65"/>
      <c r="F2955" s="64"/>
      <c r="G2955" s="64"/>
      <c r="H2955" s="64"/>
      <c r="I2955" s="70"/>
      <c r="J2955" s="70"/>
      <c r="K2955" s="110" t="str">
        <f>IF(H2955="","",IF($C$29="간이법","",FPR(H2955,I2955,J2955)))</f>
        <v/>
      </c>
      <c r="L2955" s="111" t="str">
        <f>IF(H2955="","",IF($C$29="상세법",FPV(H2955,K2955),IF(H2955="EI",4,IF(H2955="EO",5.2,IF(H2955="EQ",3.9,IF(H2955="ILF",7.5,IF(H2955="EIF",5.4)))))))</f>
        <v/>
      </c>
      <c r="M2955" s="112" t="str">
        <f t="shared" si="49"/>
        <v/>
      </c>
      <c r="N2955" s="113"/>
    </row>
    <row r="2956" spans="2:14">
      <c r="B2956" s="105"/>
      <c r="C2956" s="106"/>
      <c r="D2956" s="107"/>
      <c r="E2956" s="65"/>
      <c r="F2956" s="64"/>
      <c r="G2956" s="64"/>
      <c r="H2956" s="64"/>
      <c r="I2956" s="70"/>
      <c r="J2956" s="70"/>
      <c r="K2956" s="110" t="str">
        <f>IF(H2956="","",IF($C$29="간이법","",FPR(H2956,I2956,J2956)))</f>
        <v/>
      </c>
      <c r="L2956" s="111" t="str">
        <f>IF(H2956="","",IF($C$29="상세법",FPV(H2956,K2956),IF(H2956="EI",4,IF(H2956="EO",5.2,IF(H2956="EQ",3.9,IF(H2956="ILF",7.5,IF(H2956="EIF",5.4)))))))</f>
        <v/>
      </c>
      <c r="M2956" s="112" t="str">
        <f t="shared" si="49"/>
        <v/>
      </c>
      <c r="N2956" s="113"/>
    </row>
    <row r="2957" spans="2:14">
      <c r="B2957" s="105"/>
      <c r="C2957" s="106"/>
      <c r="D2957" s="107"/>
      <c r="E2957" s="65"/>
      <c r="F2957" s="64"/>
      <c r="G2957" s="64"/>
      <c r="H2957" s="64"/>
      <c r="I2957" s="70"/>
      <c r="J2957" s="70"/>
      <c r="K2957" s="110" t="str">
        <f>IF(H2957="","",IF($C$29="간이법","",FPR(H2957,I2957,J2957)))</f>
        <v/>
      </c>
      <c r="L2957" s="111" t="str">
        <f>IF(H2957="","",IF($C$29="상세법",FPV(H2957,K2957),IF(H2957="EI",4,IF(H2957="EO",5.2,IF(H2957="EQ",3.9,IF(H2957="ILF",7.5,IF(H2957="EIF",5.4)))))))</f>
        <v/>
      </c>
      <c r="M2957" s="112" t="str">
        <f t="shared" si="49"/>
        <v/>
      </c>
      <c r="N2957" s="113"/>
    </row>
    <row r="2958" spans="2:14">
      <c r="B2958" s="105"/>
      <c r="C2958" s="106"/>
      <c r="D2958" s="107"/>
      <c r="E2958" s="65"/>
      <c r="F2958" s="64"/>
      <c r="G2958" s="64"/>
      <c r="H2958" s="64"/>
      <c r="I2958" s="70"/>
      <c r="J2958" s="70"/>
      <c r="K2958" s="110" t="str">
        <f>IF(H2958="","",IF($C$29="간이법","",FPR(H2958,I2958,J2958)))</f>
        <v/>
      </c>
      <c r="L2958" s="111" t="str">
        <f>IF(H2958="","",IF($C$29="상세법",FPV(H2958,K2958),IF(H2958="EI",4,IF(H2958="EO",5.2,IF(H2958="EQ",3.9,IF(H2958="ILF",7.5,IF(H2958="EIF",5.4)))))))</f>
        <v/>
      </c>
      <c r="M2958" s="112" t="str">
        <f t="shared" si="49"/>
        <v/>
      </c>
      <c r="N2958" s="113"/>
    </row>
    <row r="2959" spans="2:14">
      <c r="B2959" s="105"/>
      <c r="C2959" s="106"/>
      <c r="D2959" s="107"/>
      <c r="E2959" s="65"/>
      <c r="F2959" s="64"/>
      <c r="G2959" s="64"/>
      <c r="H2959" s="64"/>
      <c r="I2959" s="70"/>
      <c r="J2959" s="70"/>
      <c r="K2959" s="110" t="str">
        <f>IF(H2959="","",IF($C$29="간이법","",FPR(H2959,I2959,J2959)))</f>
        <v/>
      </c>
      <c r="L2959" s="111" t="str">
        <f>IF(H2959="","",IF($C$29="상세법",FPV(H2959,K2959),IF(H2959="EI",4,IF(H2959="EO",5.2,IF(H2959="EQ",3.9,IF(H2959="ILF",7.5,IF(H2959="EIF",5.4)))))))</f>
        <v/>
      </c>
      <c r="M2959" s="112" t="str">
        <f t="shared" si="49"/>
        <v/>
      </c>
      <c r="N2959" s="113"/>
    </row>
    <row r="2960" spans="2:14">
      <c r="B2960" s="105"/>
      <c r="C2960" s="106"/>
      <c r="D2960" s="107"/>
      <c r="E2960" s="65"/>
      <c r="F2960" s="64"/>
      <c r="G2960" s="64"/>
      <c r="H2960" s="64"/>
      <c r="I2960" s="70"/>
      <c r="J2960" s="70"/>
      <c r="K2960" s="110" t="str">
        <f>IF(H2960="","",IF($C$29="간이법","",FPR(H2960,I2960,J2960)))</f>
        <v/>
      </c>
      <c r="L2960" s="111" t="str">
        <f>IF(H2960="","",IF($C$29="상세법",FPV(H2960,K2960),IF(H2960="EI",4,IF(H2960="EO",5.2,IF(H2960="EQ",3.9,IF(H2960="ILF",7.5,IF(H2960="EIF",5.4)))))))</f>
        <v/>
      </c>
      <c r="M2960" s="112" t="str">
        <f t="shared" si="49"/>
        <v/>
      </c>
      <c r="N2960" s="113"/>
    </row>
    <row r="2961" spans="2:14">
      <c r="B2961" s="105"/>
      <c r="C2961" s="106"/>
      <c r="D2961" s="107"/>
      <c r="E2961" s="65"/>
      <c r="F2961" s="64"/>
      <c r="G2961" s="64"/>
      <c r="H2961" s="64"/>
      <c r="I2961" s="70"/>
      <c r="J2961" s="70"/>
      <c r="K2961" s="110" t="str">
        <f>IF(H2961="","",IF($C$29="간이법","",FPR(H2961,I2961,J2961)))</f>
        <v/>
      </c>
      <c r="L2961" s="111" t="str">
        <f>IF(H2961="","",IF($C$29="상세법",FPV(H2961,K2961),IF(H2961="EI",4,IF(H2961="EO",5.2,IF(H2961="EQ",3.9,IF(H2961="ILF",7.5,IF(H2961="EIF",5.4)))))))</f>
        <v/>
      </c>
      <c r="M2961" s="112" t="str">
        <f t="shared" si="49"/>
        <v/>
      </c>
      <c r="N2961" s="113"/>
    </row>
    <row r="2962" spans="2:14">
      <c r="B2962" s="105"/>
      <c r="C2962" s="106"/>
      <c r="D2962" s="107"/>
      <c r="E2962" s="65"/>
      <c r="F2962" s="64"/>
      <c r="G2962" s="64"/>
      <c r="H2962" s="64"/>
      <c r="I2962" s="70"/>
      <c r="J2962" s="70"/>
      <c r="K2962" s="110" t="str">
        <f>IF(H2962="","",IF($C$29="간이법","",FPR(H2962,I2962,J2962)))</f>
        <v/>
      </c>
      <c r="L2962" s="111" t="str">
        <f>IF(H2962="","",IF($C$29="상세법",FPV(H2962,K2962),IF(H2962="EI",4,IF(H2962="EO",5.2,IF(H2962="EQ",3.9,IF(H2962="ILF",7.5,IF(H2962="EIF",5.4)))))))</f>
        <v/>
      </c>
      <c r="M2962" s="112" t="str">
        <f t="shared" si="49"/>
        <v/>
      </c>
      <c r="N2962" s="113"/>
    </row>
    <row r="2963" spans="2:14">
      <c r="B2963" s="105"/>
      <c r="C2963" s="106"/>
      <c r="D2963" s="107"/>
      <c r="E2963" s="65"/>
      <c r="F2963" s="64"/>
      <c r="G2963" s="64"/>
      <c r="H2963" s="64"/>
      <c r="I2963" s="70"/>
      <c r="J2963" s="70"/>
      <c r="K2963" s="110" t="str">
        <f>IF(H2963="","",IF($C$29="간이법","",FPR(H2963,I2963,J2963)))</f>
        <v/>
      </c>
      <c r="L2963" s="111" t="str">
        <f>IF(H2963="","",IF($C$29="상세법",FPV(H2963,K2963),IF(H2963="EI",4,IF(H2963="EO",5.2,IF(H2963="EQ",3.9,IF(H2963="ILF",7.5,IF(H2963="EIF",5.4)))))))</f>
        <v/>
      </c>
      <c r="M2963" s="112" t="str">
        <f t="shared" si="49"/>
        <v/>
      </c>
      <c r="N2963" s="113"/>
    </row>
    <row r="2964" spans="2:14">
      <c r="B2964" s="105"/>
      <c r="C2964" s="106"/>
      <c r="D2964" s="107"/>
      <c r="E2964" s="65"/>
      <c r="F2964" s="64"/>
      <c r="G2964" s="64"/>
      <c r="H2964" s="64"/>
      <c r="I2964" s="70"/>
      <c r="J2964" s="70"/>
      <c r="K2964" s="110" t="str">
        <f>IF(H2964="","",IF($C$29="간이법","",FPR(H2964,I2964,J2964)))</f>
        <v/>
      </c>
      <c r="L2964" s="111" t="str">
        <f>IF(H2964="","",IF($C$29="상세법",FPV(H2964,K2964),IF(H2964="EI",4,IF(H2964="EO",5.2,IF(H2964="EQ",3.9,IF(H2964="ILF",7.5,IF(H2964="EIF",5.4)))))))</f>
        <v/>
      </c>
      <c r="M2964" s="112" t="str">
        <f t="shared" si="49"/>
        <v/>
      </c>
      <c r="N2964" s="113"/>
    </row>
    <row r="2965" spans="2:14">
      <c r="B2965" s="105"/>
      <c r="C2965" s="106"/>
      <c r="D2965" s="107"/>
      <c r="E2965" s="65"/>
      <c r="F2965" s="64"/>
      <c r="G2965" s="64"/>
      <c r="H2965" s="64"/>
      <c r="I2965" s="70"/>
      <c r="J2965" s="70"/>
      <c r="K2965" s="110" t="str">
        <f>IF(H2965="","",IF($C$29="간이법","",FPR(H2965,I2965,J2965)))</f>
        <v/>
      </c>
      <c r="L2965" s="111" t="str">
        <f>IF(H2965="","",IF($C$29="상세법",FPV(H2965,K2965),IF(H2965="EI",4,IF(H2965="EO",5.2,IF(H2965="EQ",3.9,IF(H2965="ILF",7.5,IF(H2965="EIF",5.4)))))))</f>
        <v/>
      </c>
      <c r="M2965" s="112" t="str">
        <f t="shared" si="49"/>
        <v/>
      </c>
      <c r="N2965" s="113"/>
    </row>
    <row r="2966" spans="2:14">
      <c r="B2966" s="105"/>
      <c r="C2966" s="106"/>
      <c r="D2966" s="107"/>
      <c r="E2966" s="65"/>
      <c r="F2966" s="64"/>
      <c r="G2966" s="64"/>
      <c r="H2966" s="64"/>
      <c r="I2966" s="70"/>
      <c r="J2966" s="70"/>
      <c r="K2966" s="110" t="str">
        <f>IF(H2966="","",IF($C$29="간이법","",FPR(H2966,I2966,J2966)))</f>
        <v/>
      </c>
      <c r="L2966" s="111" t="str">
        <f>IF(H2966="","",IF($C$29="상세법",FPV(H2966,K2966),IF(H2966="EI",4,IF(H2966="EO",5.2,IF(H2966="EQ",3.9,IF(H2966="ILF",7.5,IF(H2966="EIF",5.4)))))))</f>
        <v/>
      </c>
      <c r="M2966" s="112" t="str">
        <f t="shared" si="49"/>
        <v/>
      </c>
      <c r="N2966" s="113"/>
    </row>
    <row r="2967" spans="2:14">
      <c r="B2967" s="105"/>
      <c r="C2967" s="106"/>
      <c r="D2967" s="107"/>
      <c r="E2967" s="65"/>
      <c r="F2967" s="64"/>
      <c r="G2967" s="64"/>
      <c r="H2967" s="64"/>
      <c r="I2967" s="70"/>
      <c r="J2967" s="70"/>
      <c r="K2967" s="110" t="str">
        <f>IF(H2967="","",IF($C$29="간이법","",FPR(H2967,I2967,J2967)))</f>
        <v/>
      </c>
      <c r="L2967" s="111" t="str">
        <f>IF(H2967="","",IF($C$29="상세법",FPV(H2967,K2967),IF(H2967="EI",4,IF(H2967="EO",5.2,IF(H2967="EQ",3.9,IF(H2967="ILF",7.5,IF(H2967="EIF",5.4)))))))</f>
        <v/>
      </c>
      <c r="M2967" s="112" t="str">
        <f t="shared" si="49"/>
        <v/>
      </c>
      <c r="N2967" s="113"/>
    </row>
    <row r="2968" spans="2:14">
      <c r="B2968" s="105"/>
      <c r="C2968" s="106"/>
      <c r="D2968" s="107"/>
      <c r="E2968" s="65"/>
      <c r="F2968" s="64"/>
      <c r="G2968" s="64"/>
      <c r="H2968" s="64"/>
      <c r="I2968" s="70"/>
      <c r="J2968" s="70"/>
      <c r="K2968" s="110" t="str">
        <f>IF(H2968="","",IF($C$29="간이법","",FPR(H2968,I2968,J2968)))</f>
        <v/>
      </c>
      <c r="L2968" s="111" t="str">
        <f>IF(H2968="","",IF($C$29="상세법",FPV(H2968,K2968),IF(H2968="EI",4,IF(H2968="EO",5.2,IF(H2968="EQ",3.9,IF(H2968="ILF",7.5,IF(H2968="EIF",5.4)))))))</f>
        <v/>
      </c>
      <c r="M2968" s="112" t="str">
        <f t="shared" si="49"/>
        <v/>
      </c>
      <c r="N2968" s="113"/>
    </row>
    <row r="2969" spans="2:14">
      <c r="B2969" s="105"/>
      <c r="C2969" s="106"/>
      <c r="D2969" s="107"/>
      <c r="E2969" s="65"/>
      <c r="F2969" s="64"/>
      <c r="G2969" s="64"/>
      <c r="H2969" s="64"/>
      <c r="I2969" s="70"/>
      <c r="J2969" s="70"/>
      <c r="K2969" s="110" t="str">
        <f>IF(H2969="","",IF($C$29="간이법","",FPR(H2969,I2969,J2969)))</f>
        <v/>
      </c>
      <c r="L2969" s="111" t="str">
        <f>IF(H2969="","",IF($C$29="상세법",FPV(H2969,K2969),IF(H2969="EI",4,IF(H2969="EO",5.2,IF(H2969="EQ",3.9,IF(H2969="ILF",7.5,IF(H2969="EIF",5.4)))))))</f>
        <v/>
      </c>
      <c r="M2969" s="112" t="str">
        <f t="shared" si="49"/>
        <v/>
      </c>
      <c r="N2969" s="113"/>
    </row>
    <row r="2970" spans="2:14">
      <c r="B2970" s="105"/>
      <c r="C2970" s="106"/>
      <c r="D2970" s="107"/>
      <c r="E2970" s="65"/>
      <c r="F2970" s="64"/>
      <c r="G2970" s="64"/>
      <c r="H2970" s="64"/>
      <c r="I2970" s="70"/>
      <c r="J2970" s="70"/>
      <c r="K2970" s="110" t="str">
        <f>IF(H2970="","",IF($C$29="간이법","",FPR(H2970,I2970,J2970)))</f>
        <v/>
      </c>
      <c r="L2970" s="111" t="str">
        <f>IF(H2970="","",IF($C$29="상세법",FPV(H2970,K2970),IF(H2970="EI",4,IF(H2970="EO",5.2,IF(H2970="EQ",3.9,IF(H2970="ILF",7.5,IF(H2970="EIF",5.4)))))))</f>
        <v/>
      </c>
      <c r="M2970" s="112" t="str">
        <f t="shared" si="49"/>
        <v/>
      </c>
      <c r="N2970" s="113"/>
    </row>
    <row r="2971" spans="2:14">
      <c r="B2971" s="105"/>
      <c r="C2971" s="106"/>
      <c r="D2971" s="107"/>
      <c r="E2971" s="65"/>
      <c r="F2971" s="64"/>
      <c r="G2971" s="64"/>
      <c r="H2971" s="64"/>
      <c r="I2971" s="70"/>
      <c r="J2971" s="70"/>
      <c r="K2971" s="110" t="str">
        <f>IF(H2971="","",IF($C$29="간이법","",FPR(H2971,I2971,J2971)))</f>
        <v/>
      </c>
      <c r="L2971" s="111" t="str">
        <f>IF(H2971="","",IF($C$29="상세법",FPV(H2971,K2971),IF(H2971="EI",4,IF(H2971="EO",5.2,IF(H2971="EQ",3.9,IF(H2971="ILF",7.5,IF(H2971="EIF",5.4)))))))</f>
        <v/>
      </c>
      <c r="M2971" s="112" t="str">
        <f t="shared" si="49"/>
        <v/>
      </c>
      <c r="N2971" s="113"/>
    </row>
    <row r="2972" spans="2:14">
      <c r="B2972" s="105"/>
      <c r="C2972" s="106"/>
      <c r="D2972" s="107"/>
      <c r="E2972" s="65"/>
      <c r="F2972" s="64"/>
      <c r="G2972" s="64"/>
      <c r="H2972" s="64"/>
      <c r="I2972" s="70"/>
      <c r="J2972" s="70"/>
      <c r="K2972" s="110" t="str">
        <f>IF(H2972="","",IF($C$29="간이법","",FPR(H2972,I2972,J2972)))</f>
        <v/>
      </c>
      <c r="L2972" s="111" t="str">
        <f>IF(H2972="","",IF($C$29="상세법",FPV(H2972,K2972),IF(H2972="EI",4,IF(H2972="EO",5.2,IF(H2972="EQ",3.9,IF(H2972="ILF",7.5,IF(H2972="EIF",5.4)))))))</f>
        <v/>
      </c>
      <c r="M2972" s="112" t="str">
        <f t="shared" si="49"/>
        <v/>
      </c>
      <c r="N2972" s="113"/>
    </row>
    <row r="2973" spans="2:14">
      <c r="B2973" s="105"/>
      <c r="C2973" s="106"/>
      <c r="D2973" s="107"/>
      <c r="E2973" s="65"/>
      <c r="F2973" s="64"/>
      <c r="G2973" s="64"/>
      <c r="H2973" s="64"/>
      <c r="I2973" s="70"/>
      <c r="J2973" s="70"/>
      <c r="K2973" s="110" t="str">
        <f>IF(H2973="","",IF($C$29="간이법","",FPR(H2973,I2973,J2973)))</f>
        <v/>
      </c>
      <c r="L2973" s="111" t="str">
        <f>IF(H2973="","",IF($C$29="상세법",FPV(H2973,K2973),IF(H2973="EI",4,IF(H2973="EO",5.2,IF(H2973="EQ",3.9,IF(H2973="ILF",7.5,IF(H2973="EIF",5.4)))))))</f>
        <v/>
      </c>
      <c r="M2973" s="112" t="str">
        <f t="shared" si="49"/>
        <v/>
      </c>
      <c r="N2973" s="113"/>
    </row>
    <row r="2974" spans="2:14">
      <c r="B2974" s="105"/>
      <c r="C2974" s="106"/>
      <c r="D2974" s="107"/>
      <c r="E2974" s="65"/>
      <c r="F2974" s="64"/>
      <c r="G2974" s="64"/>
      <c r="H2974" s="64"/>
      <c r="I2974" s="70"/>
      <c r="J2974" s="70"/>
      <c r="K2974" s="110" t="str">
        <f>IF(H2974="","",IF($C$29="간이법","",FPR(H2974,I2974,J2974)))</f>
        <v/>
      </c>
      <c r="L2974" s="111" t="str">
        <f>IF(H2974="","",IF($C$29="상세법",FPV(H2974,K2974),IF(H2974="EI",4,IF(H2974="EO",5.2,IF(H2974="EQ",3.9,IF(H2974="ILF",7.5,IF(H2974="EIF",5.4)))))))</f>
        <v/>
      </c>
      <c r="M2974" s="112" t="str">
        <f t="shared" si="49"/>
        <v/>
      </c>
      <c r="N2974" s="113"/>
    </row>
    <row r="2975" spans="2:14">
      <c r="B2975" s="105"/>
      <c r="C2975" s="106"/>
      <c r="D2975" s="107"/>
      <c r="E2975" s="65"/>
      <c r="F2975" s="64"/>
      <c r="G2975" s="64"/>
      <c r="H2975" s="64"/>
      <c r="I2975" s="70"/>
      <c r="J2975" s="70"/>
      <c r="K2975" s="110" t="str">
        <f>IF(H2975="","",IF($C$29="간이법","",FPR(H2975,I2975,J2975)))</f>
        <v/>
      </c>
      <c r="L2975" s="111" t="str">
        <f>IF(H2975="","",IF($C$29="상세법",FPV(H2975,K2975),IF(H2975="EI",4,IF(H2975="EO",5.2,IF(H2975="EQ",3.9,IF(H2975="ILF",7.5,IF(H2975="EIF",5.4)))))))</f>
        <v/>
      </c>
      <c r="M2975" s="112" t="str">
        <f t="shared" si="49"/>
        <v/>
      </c>
      <c r="N2975" s="113"/>
    </row>
    <row r="2976" spans="2:14">
      <c r="B2976" s="105"/>
      <c r="C2976" s="106"/>
      <c r="D2976" s="107"/>
      <c r="E2976" s="65"/>
      <c r="F2976" s="64"/>
      <c r="G2976" s="64"/>
      <c r="H2976" s="64"/>
      <c r="I2976" s="70"/>
      <c r="J2976" s="70"/>
      <c r="K2976" s="110" t="str">
        <f>IF(H2976="","",IF($C$29="간이법","",FPR(H2976,I2976,J2976)))</f>
        <v/>
      </c>
      <c r="L2976" s="111" t="str">
        <f>IF(H2976="","",IF($C$29="상세법",FPV(H2976,K2976),IF(H2976="EI",4,IF(H2976="EO",5.2,IF(H2976="EQ",3.9,IF(H2976="ILF",7.5,IF(H2976="EIF",5.4)))))))</f>
        <v/>
      </c>
      <c r="M2976" s="112" t="str">
        <f t="shared" si="49"/>
        <v/>
      </c>
      <c r="N2976" s="113"/>
    </row>
    <row r="2977" spans="2:14">
      <c r="B2977" s="105"/>
      <c r="C2977" s="106"/>
      <c r="D2977" s="107"/>
      <c r="E2977" s="65"/>
      <c r="F2977" s="64"/>
      <c r="G2977" s="64"/>
      <c r="H2977" s="64"/>
      <c r="I2977" s="70"/>
      <c r="J2977" s="70"/>
      <c r="K2977" s="110" t="str">
        <f>IF(H2977="","",IF($C$29="간이법","",FPR(H2977,I2977,J2977)))</f>
        <v/>
      </c>
      <c r="L2977" s="111" t="str">
        <f>IF(H2977="","",IF($C$29="상세법",FPV(H2977,K2977),IF(H2977="EI",4,IF(H2977="EO",5.2,IF(H2977="EQ",3.9,IF(H2977="ILF",7.5,IF(H2977="EIF",5.4)))))))</f>
        <v/>
      </c>
      <c r="M2977" s="112" t="str">
        <f t="shared" si="49"/>
        <v/>
      </c>
      <c r="N2977" s="113"/>
    </row>
    <row r="2978" spans="2:14">
      <c r="B2978" s="105"/>
      <c r="C2978" s="106"/>
      <c r="D2978" s="107"/>
      <c r="E2978" s="65"/>
      <c r="F2978" s="64"/>
      <c r="G2978" s="64"/>
      <c r="H2978" s="64"/>
      <c r="I2978" s="70"/>
      <c r="J2978" s="70"/>
      <c r="K2978" s="110" t="str">
        <f>IF(H2978="","",IF($C$29="간이법","",FPR(H2978,I2978,J2978)))</f>
        <v/>
      </c>
      <c r="L2978" s="111" t="str">
        <f>IF(H2978="","",IF($C$29="상세법",FPV(H2978,K2978),IF(H2978="EI",4,IF(H2978="EO",5.2,IF(H2978="EQ",3.9,IF(H2978="ILF",7.5,IF(H2978="EIF",5.4)))))))</f>
        <v/>
      </c>
      <c r="M2978" s="112" t="str">
        <f t="shared" si="49"/>
        <v/>
      </c>
      <c r="N2978" s="113"/>
    </row>
    <row r="2979" spans="2:14">
      <c r="B2979" s="105"/>
      <c r="C2979" s="106"/>
      <c r="D2979" s="107"/>
      <c r="E2979" s="65"/>
      <c r="F2979" s="64"/>
      <c r="G2979" s="64"/>
      <c r="H2979" s="64"/>
      <c r="I2979" s="70"/>
      <c r="J2979" s="70"/>
      <c r="K2979" s="110" t="str">
        <f>IF(H2979="","",IF($C$29="간이법","",FPR(H2979,I2979,J2979)))</f>
        <v/>
      </c>
      <c r="L2979" s="111" t="str">
        <f>IF(H2979="","",IF($C$29="상세법",FPV(H2979,K2979),IF(H2979="EI",4,IF(H2979="EO",5.2,IF(H2979="EQ",3.9,IF(H2979="ILF",7.5,IF(H2979="EIF",5.4)))))))</f>
        <v/>
      </c>
      <c r="M2979" s="112" t="str">
        <f t="shared" si="49"/>
        <v/>
      </c>
      <c r="N2979" s="113"/>
    </row>
    <row r="2980" spans="2:14">
      <c r="B2980" s="105"/>
      <c r="C2980" s="106"/>
      <c r="D2980" s="107"/>
      <c r="E2980" s="65"/>
      <c r="F2980" s="64"/>
      <c r="G2980" s="64"/>
      <c r="H2980" s="64"/>
      <c r="I2980" s="70"/>
      <c r="J2980" s="70"/>
      <c r="K2980" s="110" t="str">
        <f>IF(H2980="","",IF($C$29="간이법","",FPR(H2980,I2980,J2980)))</f>
        <v/>
      </c>
      <c r="L2980" s="111" t="str">
        <f>IF(H2980="","",IF($C$29="상세법",FPV(H2980,K2980),IF(H2980="EI",4,IF(H2980="EO",5.2,IF(H2980="EQ",3.9,IF(H2980="ILF",7.5,IF(H2980="EIF",5.4)))))))</f>
        <v/>
      </c>
      <c r="M2980" s="112" t="str">
        <f t="shared" si="49"/>
        <v/>
      </c>
      <c r="N2980" s="113"/>
    </row>
    <row r="2981" spans="2:14">
      <c r="B2981" s="105"/>
      <c r="C2981" s="106"/>
      <c r="D2981" s="107"/>
      <c r="E2981" s="65"/>
      <c r="F2981" s="64"/>
      <c r="G2981" s="64"/>
      <c r="H2981" s="64"/>
      <c r="I2981" s="70"/>
      <c r="J2981" s="70"/>
      <c r="K2981" s="110" t="str">
        <f>IF(H2981="","",IF($C$29="간이법","",FPR(H2981,I2981,J2981)))</f>
        <v/>
      </c>
      <c r="L2981" s="111" t="str">
        <f>IF(H2981="","",IF($C$29="상세법",FPV(H2981,K2981),IF(H2981="EI",4,IF(H2981="EO",5.2,IF(H2981="EQ",3.9,IF(H2981="ILF",7.5,IF(H2981="EIF",5.4)))))))</f>
        <v/>
      </c>
      <c r="M2981" s="112" t="str">
        <f t="shared" si="49"/>
        <v/>
      </c>
      <c r="N2981" s="113"/>
    </row>
    <row r="2982" spans="2:14">
      <c r="B2982" s="105"/>
      <c r="C2982" s="106"/>
      <c r="D2982" s="107"/>
      <c r="E2982" s="65"/>
      <c r="F2982" s="64"/>
      <c r="G2982" s="64"/>
      <c r="H2982" s="64"/>
      <c r="I2982" s="70"/>
      <c r="J2982" s="70"/>
      <c r="K2982" s="110" t="str">
        <f>IF(H2982="","",IF($C$29="간이법","",FPR(H2982,I2982,J2982)))</f>
        <v/>
      </c>
      <c r="L2982" s="111" t="str">
        <f>IF(H2982="","",IF($C$29="상세법",FPV(H2982,K2982),IF(H2982="EI",4,IF(H2982="EO",5.2,IF(H2982="EQ",3.9,IF(H2982="ILF",7.5,IF(H2982="EIF",5.4)))))))</f>
        <v/>
      </c>
      <c r="M2982" s="112" t="str">
        <f t="shared" si="49"/>
        <v/>
      </c>
      <c r="N2982" s="113"/>
    </row>
    <row r="2983" spans="2:14">
      <c r="B2983" s="105"/>
      <c r="C2983" s="106"/>
      <c r="D2983" s="107"/>
      <c r="E2983" s="65"/>
      <c r="F2983" s="64"/>
      <c r="G2983" s="64"/>
      <c r="H2983" s="64"/>
      <c r="I2983" s="70"/>
      <c r="J2983" s="70"/>
      <c r="K2983" s="110" t="str">
        <f>IF(H2983="","",IF($C$29="간이법","",FPR(H2983,I2983,J2983)))</f>
        <v/>
      </c>
      <c r="L2983" s="111" t="str">
        <f>IF(H2983="","",IF($C$29="상세법",FPV(H2983,K2983),IF(H2983="EI",4,IF(H2983="EO",5.2,IF(H2983="EQ",3.9,IF(H2983="ILF",7.5,IF(H2983="EIF",5.4)))))))</f>
        <v/>
      </c>
      <c r="M2983" s="112" t="str">
        <f t="shared" si="49"/>
        <v/>
      </c>
      <c r="N2983" s="113"/>
    </row>
    <row r="2984" spans="2:14">
      <c r="B2984" s="105"/>
      <c r="C2984" s="106"/>
      <c r="D2984" s="107"/>
      <c r="E2984" s="65"/>
      <c r="F2984" s="64"/>
      <c r="G2984" s="64"/>
      <c r="H2984" s="64"/>
      <c r="I2984" s="70"/>
      <c r="J2984" s="70"/>
      <c r="K2984" s="110" t="str">
        <f>IF(H2984="","",IF($C$29="간이법","",FPR(H2984,I2984,J2984)))</f>
        <v/>
      </c>
      <c r="L2984" s="111" t="str">
        <f>IF(H2984="","",IF($C$29="상세법",FPV(H2984,K2984),IF(H2984="EI",4,IF(H2984="EO",5.2,IF(H2984="EQ",3.9,IF(H2984="ILF",7.5,IF(H2984="EIF",5.4)))))))</f>
        <v/>
      </c>
      <c r="M2984" s="112" t="str">
        <f t="shared" si="49"/>
        <v/>
      </c>
      <c r="N2984" s="113"/>
    </row>
    <row r="2985" spans="2:14">
      <c r="B2985" s="105"/>
      <c r="C2985" s="106"/>
      <c r="D2985" s="107"/>
      <c r="E2985" s="65"/>
      <c r="F2985" s="64"/>
      <c r="G2985" s="64"/>
      <c r="H2985" s="64"/>
      <c r="I2985" s="70"/>
      <c r="J2985" s="70"/>
      <c r="K2985" s="110" t="str">
        <f>IF(H2985="","",IF($C$29="간이법","",FPR(H2985,I2985,J2985)))</f>
        <v/>
      </c>
      <c r="L2985" s="111" t="str">
        <f>IF(H2985="","",IF($C$29="상세법",FPV(H2985,K2985),IF(H2985="EI",4,IF(H2985="EO",5.2,IF(H2985="EQ",3.9,IF(H2985="ILF",7.5,IF(H2985="EIF",5.4)))))))</f>
        <v/>
      </c>
      <c r="M2985" s="112" t="str">
        <f t="shared" si="49"/>
        <v/>
      </c>
      <c r="N2985" s="113"/>
    </row>
    <row r="2986" spans="2:14">
      <c r="B2986" s="105"/>
      <c r="C2986" s="106"/>
      <c r="D2986" s="107"/>
      <c r="E2986" s="65"/>
      <c r="F2986" s="64"/>
      <c r="G2986" s="64"/>
      <c r="H2986" s="64"/>
      <c r="I2986" s="70"/>
      <c r="J2986" s="70"/>
      <c r="K2986" s="110" t="str">
        <f>IF(H2986="","",IF($C$29="간이법","",FPR(H2986,I2986,J2986)))</f>
        <v/>
      </c>
      <c r="L2986" s="111" t="str">
        <f>IF(H2986="","",IF($C$29="상세법",FPV(H2986,K2986),IF(H2986="EI",4,IF(H2986="EO",5.2,IF(H2986="EQ",3.9,IF(H2986="ILF",7.5,IF(H2986="EIF",5.4)))))))</f>
        <v/>
      </c>
      <c r="M2986" s="112" t="str">
        <f t="shared" si="49"/>
        <v/>
      </c>
      <c r="N2986" s="113"/>
    </row>
    <row r="2987" spans="2:14">
      <c r="B2987" s="105"/>
      <c r="C2987" s="106"/>
      <c r="D2987" s="107"/>
      <c r="E2987" s="65"/>
      <c r="F2987" s="64"/>
      <c r="G2987" s="64"/>
      <c r="H2987" s="64"/>
      <c r="I2987" s="70"/>
      <c r="J2987" s="70"/>
      <c r="K2987" s="110" t="str">
        <f>IF(H2987="","",IF($C$29="간이법","",FPR(H2987,I2987,J2987)))</f>
        <v/>
      </c>
      <c r="L2987" s="111" t="str">
        <f>IF(H2987="","",IF($C$29="상세법",FPV(H2987,K2987),IF(H2987="EI",4,IF(H2987="EO",5.2,IF(H2987="EQ",3.9,IF(H2987="ILF",7.5,IF(H2987="EIF",5.4)))))))</f>
        <v/>
      </c>
      <c r="M2987" s="112" t="str">
        <f t="shared" si="49"/>
        <v/>
      </c>
      <c r="N2987" s="113"/>
    </row>
    <row r="2988" spans="2:14">
      <c r="B2988" s="105"/>
      <c r="C2988" s="106"/>
      <c r="D2988" s="107"/>
      <c r="E2988" s="65"/>
      <c r="F2988" s="64"/>
      <c r="G2988" s="64"/>
      <c r="H2988" s="64"/>
      <c r="I2988" s="70"/>
      <c r="J2988" s="70"/>
      <c r="K2988" s="110" t="str">
        <f>IF(H2988="","",IF($C$29="간이법","",FPR(H2988,I2988,J2988)))</f>
        <v/>
      </c>
      <c r="L2988" s="111" t="str">
        <f>IF(H2988="","",IF($C$29="상세법",FPV(H2988,K2988),IF(H2988="EI",4,IF(H2988="EO",5.2,IF(H2988="EQ",3.9,IF(H2988="ILF",7.5,IF(H2988="EIF",5.4)))))))</f>
        <v/>
      </c>
      <c r="M2988" s="112" t="str">
        <f t="shared" si="49"/>
        <v/>
      </c>
      <c r="N2988" s="113"/>
    </row>
    <row r="2989" spans="2:14">
      <c r="B2989" s="105"/>
      <c r="C2989" s="106"/>
      <c r="D2989" s="107"/>
      <c r="E2989" s="65"/>
      <c r="F2989" s="64"/>
      <c r="G2989" s="64"/>
      <c r="H2989" s="64"/>
      <c r="I2989" s="70"/>
      <c r="J2989" s="70"/>
      <c r="K2989" s="110" t="str">
        <f>IF(H2989="","",IF($C$29="간이법","",FPR(H2989,I2989,J2989)))</f>
        <v/>
      </c>
      <c r="L2989" s="111" t="str">
        <f>IF(H2989="","",IF($C$29="상세법",FPV(H2989,K2989),IF(H2989="EI",4,IF(H2989="EO",5.2,IF(H2989="EQ",3.9,IF(H2989="ILF",7.5,IF(H2989="EIF",5.4)))))))</f>
        <v/>
      </c>
      <c r="M2989" s="112" t="str">
        <f t="shared" si="49"/>
        <v/>
      </c>
      <c r="N2989" s="113"/>
    </row>
    <row r="2990" spans="2:14">
      <c r="B2990" s="105"/>
      <c r="C2990" s="106"/>
      <c r="D2990" s="107"/>
      <c r="E2990" s="65"/>
      <c r="F2990" s="64"/>
      <c r="G2990" s="64"/>
      <c r="H2990" s="64"/>
      <c r="I2990" s="70"/>
      <c r="J2990" s="70"/>
      <c r="K2990" s="110" t="str">
        <f>IF(H2990="","",IF($C$29="간이법","",FPR(H2990,I2990,J2990)))</f>
        <v/>
      </c>
      <c r="L2990" s="111" t="str">
        <f>IF(H2990="","",IF($C$29="상세법",FPV(H2990,K2990),IF(H2990="EI",4,IF(H2990="EO",5.2,IF(H2990="EQ",3.9,IF(H2990="ILF",7.5,IF(H2990="EIF",5.4)))))))</f>
        <v/>
      </c>
      <c r="M2990" s="112" t="str">
        <f t="shared" si="49"/>
        <v/>
      </c>
      <c r="N2990" s="113"/>
    </row>
    <row r="2991" spans="2:14">
      <c r="B2991" s="105"/>
      <c r="C2991" s="106"/>
      <c r="D2991" s="107"/>
      <c r="E2991" s="65"/>
      <c r="F2991" s="64"/>
      <c r="G2991" s="64"/>
      <c r="H2991" s="64"/>
      <c r="I2991" s="70"/>
      <c r="J2991" s="70"/>
      <c r="K2991" s="110" t="str">
        <f>IF(H2991="","",IF($C$29="간이법","",FPR(H2991,I2991,J2991)))</f>
        <v/>
      </c>
      <c r="L2991" s="111" t="str">
        <f>IF(H2991="","",IF($C$29="상세법",FPV(H2991,K2991),IF(H2991="EI",4,IF(H2991="EO",5.2,IF(H2991="EQ",3.9,IF(H2991="ILF",7.5,IF(H2991="EIF",5.4)))))))</f>
        <v/>
      </c>
      <c r="M2991" s="112" t="str">
        <f t="shared" si="49"/>
        <v/>
      </c>
      <c r="N2991" s="113"/>
    </row>
    <row r="2992" spans="2:14">
      <c r="B2992" s="105"/>
      <c r="C2992" s="106"/>
      <c r="D2992" s="107"/>
      <c r="E2992" s="65"/>
      <c r="F2992" s="64"/>
      <c r="G2992" s="64"/>
      <c r="H2992" s="64"/>
      <c r="I2992" s="70"/>
      <c r="J2992" s="70"/>
      <c r="K2992" s="110" t="str">
        <f>IF(H2992="","",IF($C$29="간이법","",FPR(H2992,I2992,J2992)))</f>
        <v/>
      </c>
      <c r="L2992" s="111" t="str">
        <f>IF(H2992="","",IF($C$29="상세법",FPV(H2992,K2992),IF(H2992="EI",4,IF(H2992="EO",5.2,IF(H2992="EQ",3.9,IF(H2992="ILF",7.5,IF(H2992="EIF",5.4)))))))</f>
        <v/>
      </c>
      <c r="M2992" s="112" t="str">
        <f t="shared" si="49"/>
        <v/>
      </c>
      <c r="N2992" s="113"/>
    </row>
    <row r="2993" spans="2:14">
      <c r="B2993" s="105"/>
      <c r="C2993" s="106"/>
      <c r="D2993" s="107"/>
      <c r="E2993" s="65"/>
      <c r="F2993" s="64"/>
      <c r="G2993" s="64"/>
      <c r="H2993" s="64"/>
      <c r="I2993" s="70"/>
      <c r="J2993" s="70"/>
      <c r="K2993" s="110" t="str">
        <f>IF(H2993="","",IF($C$29="간이법","",FPR(H2993,I2993,J2993)))</f>
        <v/>
      </c>
      <c r="L2993" s="111" t="str">
        <f>IF(H2993="","",IF($C$29="상세법",FPV(H2993,K2993),IF(H2993="EI",4,IF(H2993="EO",5.2,IF(H2993="EQ",3.9,IF(H2993="ILF",7.5,IF(H2993="EIF",5.4)))))))</f>
        <v/>
      </c>
      <c r="M2993" s="112" t="str">
        <f t="shared" si="49"/>
        <v/>
      </c>
      <c r="N2993" s="113"/>
    </row>
    <row r="2994" spans="2:14">
      <c r="B2994" s="105"/>
      <c r="C2994" s="106"/>
      <c r="D2994" s="107"/>
      <c r="E2994" s="65"/>
      <c r="F2994" s="64"/>
      <c r="G2994" s="64"/>
      <c r="H2994" s="64"/>
      <c r="I2994" s="70"/>
      <c r="J2994" s="70"/>
      <c r="K2994" s="110" t="str">
        <f>IF(H2994="","",IF($C$29="간이법","",FPR(H2994,I2994,J2994)))</f>
        <v/>
      </c>
      <c r="L2994" s="111" t="str">
        <f>IF(H2994="","",IF($C$29="상세법",FPV(H2994,K2994),IF(H2994="EI",4,IF(H2994="EO",5.2,IF(H2994="EQ",3.9,IF(H2994="ILF",7.5,IF(H2994="EIF",5.4)))))))</f>
        <v/>
      </c>
      <c r="M2994" s="112" t="str">
        <f t="shared" si="49"/>
        <v/>
      </c>
      <c r="N2994" s="113"/>
    </row>
    <row r="2995" spans="2:14">
      <c r="B2995" s="105"/>
      <c r="C2995" s="106"/>
      <c r="D2995" s="107"/>
      <c r="E2995" s="65"/>
      <c r="F2995" s="64"/>
      <c r="G2995" s="64"/>
      <c r="H2995" s="64"/>
      <c r="I2995" s="70"/>
      <c r="J2995" s="70"/>
      <c r="K2995" s="110" t="str">
        <f>IF(H2995="","",IF($C$29="간이법","",FPR(H2995,I2995,J2995)))</f>
        <v/>
      </c>
      <c r="L2995" s="111" t="str">
        <f>IF(H2995="","",IF($C$29="상세법",FPV(H2995,K2995),IF(H2995="EI",4,IF(H2995="EO",5.2,IF(H2995="EQ",3.9,IF(H2995="ILF",7.5,IF(H2995="EIF",5.4)))))))</f>
        <v/>
      </c>
      <c r="M2995" s="112" t="str">
        <f t="shared" si="49"/>
        <v/>
      </c>
      <c r="N2995" s="113"/>
    </row>
    <row r="2996" spans="2:14">
      <c r="B2996" s="105"/>
      <c r="C2996" s="106"/>
      <c r="D2996" s="107"/>
      <c r="E2996" s="65"/>
      <c r="F2996" s="64"/>
      <c r="G2996" s="64"/>
      <c r="H2996" s="64"/>
      <c r="I2996" s="70"/>
      <c r="J2996" s="70"/>
      <c r="K2996" s="110" t="str">
        <f>IF(H2996="","",IF($C$29="간이법","",FPR(H2996,I2996,J2996)))</f>
        <v/>
      </c>
      <c r="L2996" s="111" t="str">
        <f>IF(H2996="","",IF($C$29="상세법",FPV(H2996,K2996),IF(H2996="EI",4,IF(H2996="EO",5.2,IF(H2996="EQ",3.9,IF(H2996="ILF",7.5,IF(H2996="EIF",5.4)))))))</f>
        <v/>
      </c>
      <c r="M2996" s="112" t="str">
        <f t="shared" si="49"/>
        <v/>
      </c>
      <c r="N2996" s="113"/>
    </row>
    <row r="2997" spans="2:14">
      <c r="B2997" s="105"/>
      <c r="C2997" s="106"/>
      <c r="D2997" s="107"/>
      <c r="E2997" s="65"/>
      <c r="F2997" s="64"/>
      <c r="G2997" s="64"/>
      <c r="H2997" s="64"/>
      <c r="I2997" s="70"/>
      <c r="J2997" s="70"/>
      <c r="K2997" s="110" t="str">
        <f>IF(H2997="","",IF($C$29="간이법","",FPR(H2997,I2997,J2997)))</f>
        <v/>
      </c>
      <c r="L2997" s="111" t="str">
        <f>IF(H2997="","",IF($C$29="상세법",FPV(H2997,K2997),IF(H2997="EI",4,IF(H2997="EO",5.2,IF(H2997="EQ",3.9,IF(H2997="ILF",7.5,IF(H2997="EIF",5.4)))))))</f>
        <v/>
      </c>
      <c r="M2997" s="112" t="str">
        <f t="shared" si="49"/>
        <v/>
      </c>
      <c r="N2997" s="113"/>
    </row>
    <row r="2998" spans="2:14">
      <c r="B2998" s="105"/>
      <c r="C2998" s="106"/>
      <c r="D2998" s="107"/>
      <c r="E2998" s="65"/>
      <c r="F2998" s="64"/>
      <c r="G2998" s="64"/>
      <c r="H2998" s="64"/>
      <c r="I2998" s="70"/>
      <c r="J2998" s="70"/>
      <c r="K2998" s="110" t="str">
        <f>IF(H2998="","",IF($C$29="간이법","",FPR(H2998,I2998,J2998)))</f>
        <v/>
      </c>
      <c r="L2998" s="111" t="str">
        <f>IF(H2998="","",IF($C$29="상세법",FPV(H2998,K2998),IF(H2998="EI",4,IF(H2998="EO",5.2,IF(H2998="EQ",3.9,IF(H2998="ILF",7.5,IF(H2998="EIF",5.4)))))))</f>
        <v/>
      </c>
      <c r="M2998" s="112" t="str">
        <f t="shared" si="49"/>
        <v/>
      </c>
      <c r="N2998" s="113"/>
    </row>
    <row r="2999" spans="2:14">
      <c r="B2999" s="105"/>
      <c r="C2999" s="106"/>
      <c r="D2999" s="107"/>
      <c r="E2999" s="65"/>
      <c r="F2999" s="64"/>
      <c r="G2999" s="64"/>
      <c r="H2999" s="64"/>
      <c r="I2999" s="70"/>
      <c r="J2999" s="70"/>
      <c r="K2999" s="110" t="str">
        <f>IF(H2999="","",IF($C$29="간이법","",FPR(H2999,I2999,J2999)))</f>
        <v/>
      </c>
      <c r="L2999" s="111" t="str">
        <f>IF(H2999="","",IF($C$29="상세법",FPV(H2999,K2999),IF(H2999="EI",4,IF(H2999="EO",5.2,IF(H2999="EQ",3.9,IF(H2999="ILF",7.5,IF(H2999="EIF",5.4)))))))</f>
        <v/>
      </c>
      <c r="M2999" s="112" t="str">
        <f t="shared" si="49"/>
        <v/>
      </c>
      <c r="N2999" s="113"/>
    </row>
    <row r="3000" spans="2:14">
      <c r="B3000" s="105"/>
      <c r="C3000" s="106"/>
      <c r="D3000" s="107"/>
      <c r="E3000" s="65"/>
      <c r="F3000" s="64"/>
      <c r="G3000" s="64"/>
      <c r="H3000" s="64"/>
      <c r="I3000" s="70"/>
      <c r="J3000" s="70"/>
      <c r="K3000" s="110" t="str">
        <f>IF(H3000="","",IF($C$29="간이법","",FPR(H3000,I3000,J3000)))</f>
        <v/>
      </c>
      <c r="L3000" s="111" t="str">
        <f>IF(H3000="","",IF($C$29="상세법",FPV(H3000,K3000),IF(H3000="EI",4,IF(H3000="EO",5.2,IF(H3000="EQ",3.9,IF(H3000="ILF",7.5,IF(H3000="EIF",5.4)))))))</f>
        <v/>
      </c>
      <c r="M3000" s="112" t="str">
        <f t="shared" si="49"/>
        <v/>
      </c>
      <c r="N3000" s="113"/>
    </row>
    <row r="3001" spans="2:14">
      <c r="B3001" s="105"/>
      <c r="C3001" s="106"/>
      <c r="D3001" s="107"/>
      <c r="E3001" s="65"/>
      <c r="F3001" s="64"/>
      <c r="G3001" s="64"/>
      <c r="H3001" s="64"/>
      <c r="I3001" s="70"/>
      <c r="J3001" s="70"/>
      <c r="K3001" s="110" t="str">
        <f>IF(H3001="","",IF($C$29="간이법","",FPR(H3001,I3001,J3001)))</f>
        <v/>
      </c>
      <c r="L3001" s="111" t="str">
        <f>IF(H3001="","",IF($C$29="상세법",FPV(H3001,K3001),IF(H3001="EI",4,IF(H3001="EO",5.2,IF(H3001="EQ",3.9,IF(H3001="ILF",7.5,IF(H3001="EIF",5.4)))))))</f>
        <v/>
      </c>
      <c r="M3001" s="112" t="str">
        <f t="shared" ref="M3001:M3064" si="50">IF(L3001="","",L3001*IF(G3001="상",0.7,IF(G3001="중",0.5,IF(G3001="하",0.2,1))))</f>
        <v/>
      </c>
      <c r="N3001" s="113"/>
    </row>
    <row r="3002" spans="2:14">
      <c r="B3002" s="105"/>
      <c r="C3002" s="106"/>
      <c r="D3002" s="107"/>
      <c r="E3002" s="65"/>
      <c r="F3002" s="64"/>
      <c r="G3002" s="64"/>
      <c r="H3002" s="64"/>
      <c r="I3002" s="70"/>
      <c r="J3002" s="70"/>
      <c r="K3002" s="110" t="str">
        <f>IF(H3002="","",IF($C$29="간이법","",FPR(H3002,I3002,J3002)))</f>
        <v/>
      </c>
      <c r="L3002" s="111" t="str">
        <f>IF(H3002="","",IF($C$29="상세법",FPV(H3002,K3002),IF(H3002="EI",4,IF(H3002="EO",5.2,IF(H3002="EQ",3.9,IF(H3002="ILF",7.5,IF(H3002="EIF",5.4)))))))</f>
        <v/>
      </c>
      <c r="M3002" s="112" t="str">
        <f t="shared" si="50"/>
        <v/>
      </c>
      <c r="N3002" s="113"/>
    </row>
    <row r="3003" spans="2:14">
      <c r="B3003" s="105"/>
      <c r="C3003" s="106"/>
      <c r="D3003" s="107"/>
      <c r="E3003" s="65"/>
      <c r="F3003" s="64"/>
      <c r="G3003" s="64"/>
      <c r="H3003" s="64"/>
      <c r="I3003" s="70"/>
      <c r="J3003" s="70"/>
      <c r="K3003" s="110" t="str">
        <f>IF(H3003="","",IF($C$29="간이법","",FPR(H3003,I3003,J3003)))</f>
        <v/>
      </c>
      <c r="L3003" s="111" t="str">
        <f>IF(H3003="","",IF($C$29="상세법",FPV(H3003,K3003),IF(H3003="EI",4,IF(H3003="EO",5.2,IF(H3003="EQ",3.9,IF(H3003="ILF",7.5,IF(H3003="EIF",5.4)))))))</f>
        <v/>
      </c>
      <c r="M3003" s="112" t="str">
        <f t="shared" si="50"/>
        <v/>
      </c>
      <c r="N3003" s="113"/>
    </row>
    <row r="3004" spans="2:14">
      <c r="B3004" s="105"/>
      <c r="C3004" s="106"/>
      <c r="D3004" s="107"/>
      <c r="E3004" s="65"/>
      <c r="F3004" s="64"/>
      <c r="G3004" s="64"/>
      <c r="H3004" s="64"/>
      <c r="I3004" s="70"/>
      <c r="J3004" s="70"/>
      <c r="K3004" s="110" t="str">
        <f>IF(H3004="","",IF($C$29="간이법","",FPR(H3004,I3004,J3004)))</f>
        <v/>
      </c>
      <c r="L3004" s="111" t="str">
        <f>IF(H3004="","",IF($C$29="상세법",FPV(H3004,K3004),IF(H3004="EI",4,IF(H3004="EO",5.2,IF(H3004="EQ",3.9,IF(H3004="ILF",7.5,IF(H3004="EIF",5.4)))))))</f>
        <v/>
      </c>
      <c r="M3004" s="112" t="str">
        <f t="shared" si="50"/>
        <v/>
      </c>
      <c r="N3004" s="113"/>
    </row>
    <row r="3005" spans="2:14">
      <c r="B3005" s="105"/>
      <c r="C3005" s="106"/>
      <c r="D3005" s="107"/>
      <c r="E3005" s="65"/>
      <c r="F3005" s="64"/>
      <c r="G3005" s="64"/>
      <c r="H3005" s="64"/>
      <c r="I3005" s="70"/>
      <c r="J3005" s="70"/>
      <c r="K3005" s="110" t="str">
        <f>IF(H3005="","",IF($C$29="간이법","",FPR(H3005,I3005,J3005)))</f>
        <v/>
      </c>
      <c r="L3005" s="111" t="str">
        <f>IF(H3005="","",IF($C$29="상세법",FPV(H3005,K3005),IF(H3005="EI",4,IF(H3005="EO",5.2,IF(H3005="EQ",3.9,IF(H3005="ILF",7.5,IF(H3005="EIF",5.4)))))))</f>
        <v/>
      </c>
      <c r="M3005" s="112" t="str">
        <f t="shared" si="50"/>
        <v/>
      </c>
      <c r="N3005" s="113"/>
    </row>
    <row r="3006" spans="2:14">
      <c r="B3006" s="105"/>
      <c r="C3006" s="106"/>
      <c r="D3006" s="107"/>
      <c r="E3006" s="65"/>
      <c r="F3006" s="64"/>
      <c r="G3006" s="64"/>
      <c r="H3006" s="64"/>
      <c r="I3006" s="70"/>
      <c r="J3006" s="70"/>
      <c r="K3006" s="110" t="str">
        <f>IF(H3006="","",IF($C$29="간이법","",FPR(H3006,I3006,J3006)))</f>
        <v/>
      </c>
      <c r="L3006" s="111" t="str">
        <f>IF(H3006="","",IF($C$29="상세법",FPV(H3006,K3006),IF(H3006="EI",4,IF(H3006="EO",5.2,IF(H3006="EQ",3.9,IF(H3006="ILF",7.5,IF(H3006="EIF",5.4)))))))</f>
        <v/>
      </c>
      <c r="M3006" s="112" t="str">
        <f t="shared" si="50"/>
        <v/>
      </c>
      <c r="N3006" s="113"/>
    </row>
    <row r="3007" spans="2:14">
      <c r="B3007" s="105"/>
      <c r="C3007" s="106"/>
      <c r="D3007" s="107"/>
      <c r="E3007" s="65"/>
      <c r="F3007" s="64"/>
      <c r="G3007" s="64"/>
      <c r="H3007" s="64"/>
      <c r="I3007" s="70"/>
      <c r="J3007" s="70"/>
      <c r="K3007" s="110" t="str">
        <f>IF(H3007="","",IF($C$29="간이법","",FPR(H3007,I3007,J3007)))</f>
        <v/>
      </c>
      <c r="L3007" s="111" t="str">
        <f>IF(H3007="","",IF($C$29="상세법",FPV(H3007,K3007),IF(H3007="EI",4,IF(H3007="EO",5.2,IF(H3007="EQ",3.9,IF(H3007="ILF",7.5,IF(H3007="EIF",5.4)))))))</f>
        <v/>
      </c>
      <c r="M3007" s="112" t="str">
        <f t="shared" si="50"/>
        <v/>
      </c>
      <c r="N3007" s="113"/>
    </row>
    <row r="3008" spans="2:14">
      <c r="B3008" s="105"/>
      <c r="C3008" s="106"/>
      <c r="D3008" s="107"/>
      <c r="E3008" s="65"/>
      <c r="F3008" s="64"/>
      <c r="G3008" s="64"/>
      <c r="H3008" s="64"/>
      <c r="I3008" s="70"/>
      <c r="J3008" s="70"/>
      <c r="K3008" s="110" t="str">
        <f>IF(H3008="","",IF($C$29="간이법","",FPR(H3008,I3008,J3008)))</f>
        <v/>
      </c>
      <c r="L3008" s="111" t="str">
        <f>IF(H3008="","",IF($C$29="상세법",FPV(H3008,K3008),IF(H3008="EI",4,IF(H3008="EO",5.2,IF(H3008="EQ",3.9,IF(H3008="ILF",7.5,IF(H3008="EIF",5.4)))))))</f>
        <v/>
      </c>
      <c r="M3008" s="112" t="str">
        <f t="shared" si="50"/>
        <v/>
      </c>
      <c r="N3008" s="113"/>
    </row>
    <row r="3009" spans="2:14">
      <c r="B3009" s="105"/>
      <c r="C3009" s="106"/>
      <c r="D3009" s="107"/>
      <c r="E3009" s="65"/>
      <c r="F3009" s="64"/>
      <c r="G3009" s="64"/>
      <c r="H3009" s="64"/>
      <c r="I3009" s="70"/>
      <c r="J3009" s="70"/>
      <c r="K3009" s="110" t="str">
        <f>IF(H3009="","",IF($C$29="간이법","",FPR(H3009,I3009,J3009)))</f>
        <v/>
      </c>
      <c r="L3009" s="111" t="str">
        <f>IF(H3009="","",IF($C$29="상세법",FPV(H3009,K3009),IF(H3009="EI",4,IF(H3009="EO",5.2,IF(H3009="EQ",3.9,IF(H3009="ILF",7.5,IF(H3009="EIF",5.4)))))))</f>
        <v/>
      </c>
      <c r="M3009" s="112" t="str">
        <f t="shared" si="50"/>
        <v/>
      </c>
      <c r="N3009" s="113"/>
    </row>
    <row r="3010" spans="2:14">
      <c r="B3010" s="105"/>
      <c r="C3010" s="106"/>
      <c r="D3010" s="107"/>
      <c r="E3010" s="65"/>
      <c r="F3010" s="64"/>
      <c r="G3010" s="64"/>
      <c r="H3010" s="64"/>
      <c r="I3010" s="70"/>
      <c r="J3010" s="70"/>
      <c r="K3010" s="110" t="str">
        <f>IF(H3010="","",IF($C$29="간이법","",FPR(H3010,I3010,J3010)))</f>
        <v/>
      </c>
      <c r="L3010" s="111" t="str">
        <f>IF(H3010="","",IF($C$29="상세법",FPV(H3010,K3010),IF(H3010="EI",4,IF(H3010="EO",5.2,IF(H3010="EQ",3.9,IF(H3010="ILF",7.5,IF(H3010="EIF",5.4)))))))</f>
        <v/>
      </c>
      <c r="M3010" s="112" t="str">
        <f t="shared" si="50"/>
        <v/>
      </c>
      <c r="N3010" s="113"/>
    </row>
    <row r="3011" spans="2:14">
      <c r="B3011" s="105"/>
      <c r="C3011" s="106"/>
      <c r="D3011" s="107"/>
      <c r="E3011" s="65"/>
      <c r="F3011" s="64"/>
      <c r="G3011" s="64"/>
      <c r="H3011" s="64"/>
      <c r="I3011" s="70"/>
      <c r="J3011" s="70"/>
      <c r="K3011" s="110" t="str">
        <f>IF(H3011="","",IF($C$29="간이법","",FPR(H3011,I3011,J3011)))</f>
        <v/>
      </c>
      <c r="L3011" s="111" t="str">
        <f>IF(H3011="","",IF($C$29="상세법",FPV(H3011,K3011),IF(H3011="EI",4,IF(H3011="EO",5.2,IF(H3011="EQ",3.9,IF(H3011="ILF",7.5,IF(H3011="EIF",5.4)))))))</f>
        <v/>
      </c>
      <c r="M3011" s="112" t="str">
        <f t="shared" si="50"/>
        <v/>
      </c>
      <c r="N3011" s="113"/>
    </row>
    <row r="3012" spans="2:14">
      <c r="B3012" s="105"/>
      <c r="C3012" s="106"/>
      <c r="D3012" s="107"/>
      <c r="E3012" s="65"/>
      <c r="F3012" s="64"/>
      <c r="G3012" s="64"/>
      <c r="H3012" s="64"/>
      <c r="I3012" s="70"/>
      <c r="J3012" s="70"/>
      <c r="K3012" s="110" t="str">
        <f>IF(H3012="","",IF($C$29="간이법","",FPR(H3012,I3012,J3012)))</f>
        <v/>
      </c>
      <c r="L3012" s="111" t="str">
        <f>IF(H3012="","",IF($C$29="상세법",FPV(H3012,K3012),IF(H3012="EI",4,IF(H3012="EO",5.2,IF(H3012="EQ",3.9,IF(H3012="ILF",7.5,IF(H3012="EIF",5.4)))))))</f>
        <v/>
      </c>
      <c r="M3012" s="112" t="str">
        <f t="shared" si="50"/>
        <v/>
      </c>
      <c r="N3012" s="113"/>
    </row>
    <row r="3013" spans="2:14">
      <c r="B3013" s="105"/>
      <c r="C3013" s="106"/>
      <c r="D3013" s="107"/>
      <c r="E3013" s="65"/>
      <c r="F3013" s="64"/>
      <c r="G3013" s="64"/>
      <c r="H3013" s="64"/>
      <c r="I3013" s="70"/>
      <c r="J3013" s="70"/>
      <c r="K3013" s="110" t="str">
        <f>IF(H3013="","",IF($C$29="간이법","",FPR(H3013,I3013,J3013)))</f>
        <v/>
      </c>
      <c r="L3013" s="111" t="str">
        <f>IF(H3013="","",IF($C$29="상세법",FPV(H3013,K3013),IF(H3013="EI",4,IF(H3013="EO",5.2,IF(H3013="EQ",3.9,IF(H3013="ILF",7.5,IF(H3013="EIF",5.4)))))))</f>
        <v/>
      </c>
      <c r="M3013" s="112" t="str">
        <f t="shared" si="50"/>
        <v/>
      </c>
      <c r="N3013" s="113"/>
    </row>
    <row r="3014" spans="2:14">
      <c r="B3014" s="105"/>
      <c r="C3014" s="106"/>
      <c r="D3014" s="107"/>
      <c r="E3014" s="65"/>
      <c r="F3014" s="64"/>
      <c r="G3014" s="64"/>
      <c r="H3014" s="64"/>
      <c r="I3014" s="70"/>
      <c r="J3014" s="70"/>
      <c r="K3014" s="110" t="str">
        <f>IF(H3014="","",IF($C$29="간이법","",FPR(H3014,I3014,J3014)))</f>
        <v/>
      </c>
      <c r="L3014" s="111" t="str">
        <f>IF(H3014="","",IF($C$29="상세법",FPV(H3014,K3014),IF(H3014="EI",4,IF(H3014="EO",5.2,IF(H3014="EQ",3.9,IF(H3014="ILF",7.5,IF(H3014="EIF",5.4)))))))</f>
        <v/>
      </c>
      <c r="M3014" s="112" t="str">
        <f t="shared" si="50"/>
        <v/>
      </c>
      <c r="N3014" s="113"/>
    </row>
    <row r="3015" spans="2:14">
      <c r="B3015" s="105"/>
      <c r="C3015" s="106"/>
      <c r="D3015" s="107"/>
      <c r="E3015" s="65"/>
      <c r="F3015" s="64"/>
      <c r="G3015" s="64"/>
      <c r="H3015" s="64"/>
      <c r="I3015" s="70"/>
      <c r="J3015" s="70"/>
      <c r="K3015" s="110" t="str">
        <f>IF(H3015="","",IF($C$29="간이법","",FPR(H3015,I3015,J3015)))</f>
        <v/>
      </c>
      <c r="L3015" s="111" t="str">
        <f>IF(H3015="","",IF($C$29="상세법",FPV(H3015,K3015),IF(H3015="EI",4,IF(H3015="EO",5.2,IF(H3015="EQ",3.9,IF(H3015="ILF",7.5,IF(H3015="EIF",5.4)))))))</f>
        <v/>
      </c>
      <c r="M3015" s="112" t="str">
        <f t="shared" si="50"/>
        <v/>
      </c>
      <c r="N3015" s="113"/>
    </row>
    <row r="3016" spans="2:14">
      <c r="B3016" s="105"/>
      <c r="C3016" s="106"/>
      <c r="D3016" s="107"/>
      <c r="E3016" s="65"/>
      <c r="F3016" s="64"/>
      <c r="G3016" s="64"/>
      <c r="H3016" s="64"/>
      <c r="I3016" s="70"/>
      <c r="J3016" s="70"/>
      <c r="K3016" s="110" t="str">
        <f>IF(H3016="","",IF($C$29="간이법","",FPR(H3016,I3016,J3016)))</f>
        <v/>
      </c>
      <c r="L3016" s="111" t="str">
        <f>IF(H3016="","",IF($C$29="상세법",FPV(H3016,K3016),IF(H3016="EI",4,IF(H3016="EO",5.2,IF(H3016="EQ",3.9,IF(H3016="ILF",7.5,IF(H3016="EIF",5.4)))))))</f>
        <v/>
      </c>
      <c r="M3016" s="112" t="str">
        <f t="shared" si="50"/>
        <v/>
      </c>
      <c r="N3016" s="113"/>
    </row>
    <row r="3017" spans="2:14">
      <c r="B3017" s="105"/>
      <c r="C3017" s="106"/>
      <c r="D3017" s="107"/>
      <c r="E3017" s="65"/>
      <c r="F3017" s="64"/>
      <c r="G3017" s="64"/>
      <c r="H3017" s="64"/>
      <c r="I3017" s="70"/>
      <c r="J3017" s="70"/>
      <c r="K3017" s="110" t="str">
        <f>IF(H3017="","",IF($C$29="간이법","",FPR(H3017,I3017,J3017)))</f>
        <v/>
      </c>
      <c r="L3017" s="111" t="str">
        <f>IF(H3017="","",IF($C$29="상세법",FPV(H3017,K3017),IF(H3017="EI",4,IF(H3017="EO",5.2,IF(H3017="EQ",3.9,IF(H3017="ILF",7.5,IF(H3017="EIF",5.4)))))))</f>
        <v/>
      </c>
      <c r="M3017" s="112" t="str">
        <f t="shared" si="50"/>
        <v/>
      </c>
      <c r="N3017" s="113"/>
    </row>
    <row r="3018" spans="2:14">
      <c r="B3018" s="105"/>
      <c r="C3018" s="106"/>
      <c r="D3018" s="107"/>
      <c r="E3018" s="65"/>
      <c r="F3018" s="64"/>
      <c r="G3018" s="64"/>
      <c r="H3018" s="64"/>
      <c r="I3018" s="70"/>
      <c r="J3018" s="70"/>
      <c r="K3018" s="110" t="str">
        <f>IF(H3018="","",IF($C$29="간이법","",FPR(H3018,I3018,J3018)))</f>
        <v/>
      </c>
      <c r="L3018" s="111" t="str">
        <f>IF(H3018="","",IF($C$29="상세법",FPV(H3018,K3018),IF(H3018="EI",4,IF(H3018="EO",5.2,IF(H3018="EQ",3.9,IF(H3018="ILF",7.5,IF(H3018="EIF",5.4)))))))</f>
        <v/>
      </c>
      <c r="M3018" s="112" t="str">
        <f t="shared" si="50"/>
        <v/>
      </c>
      <c r="N3018" s="113"/>
    </row>
    <row r="3019" spans="2:14">
      <c r="B3019" s="105"/>
      <c r="C3019" s="106"/>
      <c r="D3019" s="107"/>
      <c r="E3019" s="65"/>
      <c r="F3019" s="64"/>
      <c r="G3019" s="64"/>
      <c r="H3019" s="64"/>
      <c r="I3019" s="70"/>
      <c r="J3019" s="70"/>
      <c r="K3019" s="110" t="str">
        <f>IF(H3019="","",IF($C$29="간이법","",FPR(H3019,I3019,J3019)))</f>
        <v/>
      </c>
      <c r="L3019" s="111" t="str">
        <f>IF(H3019="","",IF($C$29="상세법",FPV(H3019,K3019),IF(H3019="EI",4,IF(H3019="EO",5.2,IF(H3019="EQ",3.9,IF(H3019="ILF",7.5,IF(H3019="EIF",5.4)))))))</f>
        <v/>
      </c>
      <c r="M3019" s="112" t="str">
        <f t="shared" si="50"/>
        <v/>
      </c>
      <c r="N3019" s="113"/>
    </row>
    <row r="3020" spans="2:14">
      <c r="B3020" s="105"/>
      <c r="C3020" s="106"/>
      <c r="D3020" s="107"/>
      <c r="E3020" s="65"/>
      <c r="F3020" s="64"/>
      <c r="G3020" s="64"/>
      <c r="H3020" s="64"/>
      <c r="I3020" s="70"/>
      <c r="J3020" s="70"/>
      <c r="K3020" s="110" t="str">
        <f>IF(H3020="","",IF($C$29="간이법","",FPR(H3020,I3020,J3020)))</f>
        <v/>
      </c>
      <c r="L3020" s="111" t="str">
        <f>IF(H3020="","",IF($C$29="상세법",FPV(H3020,K3020),IF(H3020="EI",4,IF(H3020="EO",5.2,IF(H3020="EQ",3.9,IF(H3020="ILF",7.5,IF(H3020="EIF",5.4)))))))</f>
        <v/>
      </c>
      <c r="M3020" s="112" t="str">
        <f t="shared" si="50"/>
        <v/>
      </c>
      <c r="N3020" s="113"/>
    </row>
    <row r="3021" spans="2:14">
      <c r="B3021" s="105"/>
      <c r="C3021" s="106"/>
      <c r="D3021" s="107"/>
      <c r="E3021" s="65"/>
      <c r="F3021" s="64"/>
      <c r="G3021" s="64"/>
      <c r="H3021" s="64"/>
      <c r="I3021" s="70"/>
      <c r="J3021" s="70"/>
      <c r="K3021" s="110" t="str">
        <f>IF(H3021="","",IF($C$29="간이법","",FPR(H3021,I3021,J3021)))</f>
        <v/>
      </c>
      <c r="L3021" s="111" t="str">
        <f>IF(H3021="","",IF($C$29="상세법",FPV(H3021,K3021),IF(H3021="EI",4,IF(H3021="EO",5.2,IF(H3021="EQ",3.9,IF(H3021="ILF",7.5,IF(H3021="EIF",5.4)))))))</f>
        <v/>
      </c>
      <c r="M3021" s="112" t="str">
        <f t="shared" si="50"/>
        <v/>
      </c>
      <c r="N3021" s="113"/>
    </row>
    <row r="3022" spans="2:14">
      <c r="B3022" s="105"/>
      <c r="C3022" s="106"/>
      <c r="D3022" s="107"/>
      <c r="E3022" s="65"/>
      <c r="F3022" s="64"/>
      <c r="G3022" s="64"/>
      <c r="H3022" s="64"/>
      <c r="I3022" s="70"/>
      <c r="J3022" s="70"/>
      <c r="K3022" s="110" t="str">
        <f>IF(H3022="","",IF($C$29="간이법","",FPR(H3022,I3022,J3022)))</f>
        <v/>
      </c>
      <c r="L3022" s="111" t="str">
        <f>IF(H3022="","",IF($C$29="상세법",FPV(H3022,K3022),IF(H3022="EI",4,IF(H3022="EO",5.2,IF(H3022="EQ",3.9,IF(H3022="ILF",7.5,IF(H3022="EIF",5.4)))))))</f>
        <v/>
      </c>
      <c r="M3022" s="112" t="str">
        <f t="shared" si="50"/>
        <v/>
      </c>
      <c r="N3022" s="113"/>
    </row>
    <row r="3023" spans="2:14">
      <c r="B3023" s="105"/>
      <c r="C3023" s="106"/>
      <c r="D3023" s="107"/>
      <c r="E3023" s="65"/>
      <c r="F3023" s="64"/>
      <c r="G3023" s="64"/>
      <c r="H3023" s="64"/>
      <c r="I3023" s="70"/>
      <c r="J3023" s="70"/>
      <c r="K3023" s="110" t="str">
        <f>IF(H3023="","",IF($C$29="간이법","",FPR(H3023,I3023,J3023)))</f>
        <v/>
      </c>
      <c r="L3023" s="111" t="str">
        <f>IF(H3023="","",IF($C$29="상세법",FPV(H3023,K3023),IF(H3023="EI",4,IF(H3023="EO",5.2,IF(H3023="EQ",3.9,IF(H3023="ILF",7.5,IF(H3023="EIF",5.4)))))))</f>
        <v/>
      </c>
      <c r="M3023" s="112" t="str">
        <f t="shared" si="50"/>
        <v/>
      </c>
      <c r="N3023" s="113"/>
    </row>
    <row r="3024" spans="2:14">
      <c r="B3024" s="105"/>
      <c r="C3024" s="106"/>
      <c r="D3024" s="107"/>
      <c r="E3024" s="65"/>
      <c r="F3024" s="64"/>
      <c r="G3024" s="64"/>
      <c r="H3024" s="64"/>
      <c r="I3024" s="70"/>
      <c r="J3024" s="70"/>
      <c r="K3024" s="110" t="str">
        <f>IF(H3024="","",IF($C$29="간이법","",FPR(H3024,I3024,J3024)))</f>
        <v/>
      </c>
      <c r="L3024" s="111" t="str">
        <f>IF(H3024="","",IF($C$29="상세법",FPV(H3024,K3024),IF(H3024="EI",4,IF(H3024="EO",5.2,IF(H3024="EQ",3.9,IF(H3024="ILF",7.5,IF(H3024="EIF",5.4)))))))</f>
        <v/>
      </c>
      <c r="M3024" s="112" t="str">
        <f t="shared" si="50"/>
        <v/>
      </c>
      <c r="N3024" s="113"/>
    </row>
    <row r="3025" spans="2:14">
      <c r="B3025" s="105"/>
      <c r="C3025" s="106"/>
      <c r="D3025" s="107"/>
      <c r="E3025" s="65"/>
      <c r="F3025" s="64"/>
      <c r="G3025" s="64"/>
      <c r="H3025" s="64"/>
      <c r="I3025" s="70"/>
      <c r="J3025" s="70"/>
      <c r="K3025" s="110" t="str">
        <f>IF(H3025="","",IF($C$29="간이법","",FPR(H3025,I3025,J3025)))</f>
        <v/>
      </c>
      <c r="L3025" s="111" t="str">
        <f>IF(H3025="","",IF($C$29="상세법",FPV(H3025,K3025),IF(H3025="EI",4,IF(H3025="EO",5.2,IF(H3025="EQ",3.9,IF(H3025="ILF",7.5,IF(H3025="EIF",5.4)))))))</f>
        <v/>
      </c>
      <c r="M3025" s="112" t="str">
        <f t="shared" si="50"/>
        <v/>
      </c>
      <c r="N3025" s="113"/>
    </row>
    <row r="3026" spans="2:14">
      <c r="B3026" s="105"/>
      <c r="C3026" s="106"/>
      <c r="D3026" s="107"/>
      <c r="E3026" s="65"/>
      <c r="F3026" s="64"/>
      <c r="G3026" s="64"/>
      <c r="H3026" s="64"/>
      <c r="I3026" s="70"/>
      <c r="J3026" s="70"/>
      <c r="K3026" s="110" t="str">
        <f>IF(H3026="","",IF($C$29="간이법","",FPR(H3026,I3026,J3026)))</f>
        <v/>
      </c>
      <c r="L3026" s="111" t="str">
        <f>IF(H3026="","",IF($C$29="상세법",FPV(H3026,K3026),IF(H3026="EI",4,IF(H3026="EO",5.2,IF(H3026="EQ",3.9,IF(H3026="ILF",7.5,IF(H3026="EIF",5.4)))))))</f>
        <v/>
      </c>
      <c r="M3026" s="112" t="str">
        <f t="shared" si="50"/>
        <v/>
      </c>
      <c r="N3026" s="113"/>
    </row>
    <row r="3027" spans="2:14">
      <c r="B3027" s="105"/>
      <c r="C3027" s="106"/>
      <c r="D3027" s="107"/>
      <c r="E3027" s="65"/>
      <c r="F3027" s="64"/>
      <c r="G3027" s="64"/>
      <c r="H3027" s="64"/>
      <c r="I3027" s="70"/>
      <c r="J3027" s="70"/>
      <c r="K3027" s="110" t="str">
        <f>IF(H3027="","",IF($C$29="간이법","",FPR(H3027,I3027,J3027)))</f>
        <v/>
      </c>
      <c r="L3027" s="111" t="str">
        <f>IF(H3027="","",IF($C$29="상세법",FPV(H3027,K3027),IF(H3027="EI",4,IF(H3027="EO",5.2,IF(H3027="EQ",3.9,IF(H3027="ILF",7.5,IF(H3027="EIF",5.4)))))))</f>
        <v/>
      </c>
      <c r="M3027" s="112" t="str">
        <f t="shared" si="50"/>
        <v/>
      </c>
      <c r="N3027" s="113"/>
    </row>
    <row r="3028" spans="2:14">
      <c r="B3028" s="105"/>
      <c r="C3028" s="106"/>
      <c r="D3028" s="107"/>
      <c r="E3028" s="65"/>
      <c r="F3028" s="64"/>
      <c r="G3028" s="64"/>
      <c r="H3028" s="64"/>
      <c r="I3028" s="70"/>
      <c r="J3028" s="70"/>
      <c r="K3028" s="110" t="str">
        <f>IF(H3028="","",IF($C$29="간이법","",FPR(H3028,I3028,J3028)))</f>
        <v/>
      </c>
      <c r="L3028" s="111" t="str">
        <f>IF(H3028="","",IF($C$29="상세법",FPV(H3028,K3028),IF(H3028="EI",4,IF(H3028="EO",5.2,IF(H3028="EQ",3.9,IF(H3028="ILF",7.5,IF(H3028="EIF",5.4)))))))</f>
        <v/>
      </c>
      <c r="M3028" s="112" t="str">
        <f t="shared" si="50"/>
        <v/>
      </c>
      <c r="N3028" s="113"/>
    </row>
    <row r="3029" spans="2:14">
      <c r="B3029" s="105"/>
      <c r="C3029" s="106"/>
      <c r="D3029" s="107"/>
      <c r="E3029" s="65"/>
      <c r="F3029" s="64"/>
      <c r="G3029" s="64"/>
      <c r="H3029" s="64"/>
      <c r="I3029" s="70"/>
      <c r="J3029" s="70"/>
      <c r="K3029" s="110" t="str">
        <f>IF(H3029="","",IF($C$29="간이법","",FPR(H3029,I3029,J3029)))</f>
        <v/>
      </c>
      <c r="L3029" s="111" t="str">
        <f>IF(H3029="","",IF($C$29="상세법",FPV(H3029,K3029),IF(H3029="EI",4,IF(H3029="EO",5.2,IF(H3029="EQ",3.9,IF(H3029="ILF",7.5,IF(H3029="EIF",5.4)))))))</f>
        <v/>
      </c>
      <c r="M3029" s="112" t="str">
        <f t="shared" si="50"/>
        <v/>
      </c>
      <c r="N3029" s="113"/>
    </row>
    <row r="3030" spans="2:14">
      <c r="B3030" s="105"/>
      <c r="C3030" s="106"/>
      <c r="D3030" s="107"/>
      <c r="E3030" s="65"/>
      <c r="F3030" s="64"/>
      <c r="G3030" s="64"/>
      <c r="H3030" s="64"/>
      <c r="I3030" s="70"/>
      <c r="J3030" s="70"/>
      <c r="K3030" s="110" t="str">
        <f>IF(H3030="","",IF($C$29="간이법","",FPR(H3030,I3030,J3030)))</f>
        <v/>
      </c>
      <c r="L3030" s="111" t="str">
        <f>IF(H3030="","",IF($C$29="상세법",FPV(H3030,K3030),IF(H3030="EI",4,IF(H3030="EO",5.2,IF(H3030="EQ",3.9,IF(H3030="ILF",7.5,IF(H3030="EIF",5.4)))))))</f>
        <v/>
      </c>
      <c r="M3030" s="112" t="str">
        <f t="shared" si="50"/>
        <v/>
      </c>
      <c r="N3030" s="113"/>
    </row>
    <row r="3031" spans="2:14">
      <c r="B3031" s="105"/>
      <c r="C3031" s="106"/>
      <c r="D3031" s="107"/>
      <c r="E3031" s="65"/>
      <c r="F3031" s="64"/>
      <c r="G3031" s="64"/>
      <c r="H3031" s="64"/>
      <c r="I3031" s="70"/>
      <c r="J3031" s="70"/>
      <c r="K3031" s="110" t="str">
        <f>IF(H3031="","",IF($C$29="간이법","",FPR(H3031,I3031,J3031)))</f>
        <v/>
      </c>
      <c r="L3031" s="111" t="str">
        <f>IF(H3031="","",IF($C$29="상세법",FPV(H3031,K3031),IF(H3031="EI",4,IF(H3031="EO",5.2,IF(H3031="EQ",3.9,IF(H3031="ILF",7.5,IF(H3031="EIF",5.4)))))))</f>
        <v/>
      </c>
      <c r="M3031" s="112" t="str">
        <f t="shared" si="50"/>
        <v/>
      </c>
      <c r="N3031" s="113"/>
    </row>
    <row r="3032" spans="2:14">
      <c r="B3032" s="105"/>
      <c r="C3032" s="106"/>
      <c r="D3032" s="107"/>
      <c r="E3032" s="65"/>
      <c r="F3032" s="64"/>
      <c r="G3032" s="64"/>
      <c r="H3032" s="64"/>
      <c r="I3032" s="70"/>
      <c r="J3032" s="70"/>
      <c r="K3032" s="110" t="str">
        <f>IF(H3032="","",IF($C$29="간이법","",FPR(H3032,I3032,J3032)))</f>
        <v/>
      </c>
      <c r="L3032" s="111" t="str">
        <f>IF(H3032="","",IF($C$29="상세법",FPV(H3032,K3032),IF(H3032="EI",4,IF(H3032="EO",5.2,IF(H3032="EQ",3.9,IF(H3032="ILF",7.5,IF(H3032="EIF",5.4)))))))</f>
        <v/>
      </c>
      <c r="M3032" s="112" t="str">
        <f t="shared" si="50"/>
        <v/>
      </c>
      <c r="N3032" s="113"/>
    </row>
    <row r="3033" spans="2:14">
      <c r="B3033" s="105"/>
      <c r="C3033" s="106"/>
      <c r="D3033" s="107"/>
      <c r="E3033" s="65"/>
      <c r="F3033" s="64"/>
      <c r="G3033" s="64"/>
      <c r="H3033" s="64"/>
      <c r="I3033" s="70"/>
      <c r="J3033" s="70"/>
      <c r="K3033" s="110" t="str">
        <f>IF(H3033="","",IF($C$29="간이법","",FPR(H3033,I3033,J3033)))</f>
        <v/>
      </c>
      <c r="L3033" s="111" t="str">
        <f>IF(H3033="","",IF($C$29="상세법",FPV(H3033,K3033),IF(H3033="EI",4,IF(H3033="EO",5.2,IF(H3033="EQ",3.9,IF(H3033="ILF",7.5,IF(H3033="EIF",5.4)))))))</f>
        <v/>
      </c>
      <c r="M3033" s="112" t="str">
        <f t="shared" si="50"/>
        <v/>
      </c>
      <c r="N3033" s="113"/>
    </row>
    <row r="3034" spans="2:14">
      <c r="B3034" s="105"/>
      <c r="C3034" s="106"/>
      <c r="D3034" s="107"/>
      <c r="E3034" s="65"/>
      <c r="F3034" s="64"/>
      <c r="G3034" s="64"/>
      <c r="H3034" s="64"/>
      <c r="I3034" s="70"/>
      <c r="J3034" s="70"/>
      <c r="K3034" s="110" t="str">
        <f>IF(H3034="","",IF($C$29="간이법","",FPR(H3034,I3034,J3034)))</f>
        <v/>
      </c>
      <c r="L3034" s="111" t="str">
        <f>IF(H3034="","",IF($C$29="상세법",FPV(H3034,K3034),IF(H3034="EI",4,IF(H3034="EO",5.2,IF(H3034="EQ",3.9,IF(H3034="ILF",7.5,IF(H3034="EIF",5.4)))))))</f>
        <v/>
      </c>
      <c r="M3034" s="112" t="str">
        <f t="shared" si="50"/>
        <v/>
      </c>
      <c r="N3034" s="113"/>
    </row>
    <row r="3035" spans="2:14">
      <c r="B3035" s="105"/>
      <c r="C3035" s="106"/>
      <c r="D3035" s="107"/>
      <c r="E3035" s="65"/>
      <c r="F3035" s="64"/>
      <c r="G3035" s="64"/>
      <c r="H3035" s="64"/>
      <c r="I3035" s="70"/>
      <c r="J3035" s="70"/>
      <c r="K3035" s="110" t="str">
        <f>IF(H3035="","",IF($C$29="간이법","",FPR(H3035,I3035,J3035)))</f>
        <v/>
      </c>
      <c r="L3035" s="111" t="str">
        <f>IF(H3035="","",IF($C$29="상세법",FPV(H3035,K3035),IF(H3035="EI",4,IF(H3035="EO",5.2,IF(H3035="EQ",3.9,IF(H3035="ILF",7.5,IF(H3035="EIF",5.4)))))))</f>
        <v/>
      </c>
      <c r="M3035" s="112" t="str">
        <f t="shared" si="50"/>
        <v/>
      </c>
      <c r="N3035" s="113"/>
    </row>
    <row r="3036" spans="2:14">
      <c r="B3036" s="105"/>
      <c r="C3036" s="106"/>
      <c r="D3036" s="107"/>
      <c r="E3036" s="65"/>
      <c r="F3036" s="64"/>
      <c r="G3036" s="64"/>
      <c r="H3036" s="64"/>
      <c r="I3036" s="70"/>
      <c r="J3036" s="70"/>
      <c r="K3036" s="110" t="str">
        <f>IF(H3036="","",IF($C$29="간이법","",FPR(H3036,I3036,J3036)))</f>
        <v/>
      </c>
      <c r="L3036" s="111" t="str">
        <f>IF(H3036="","",IF($C$29="상세법",FPV(H3036,K3036),IF(H3036="EI",4,IF(H3036="EO",5.2,IF(H3036="EQ",3.9,IF(H3036="ILF",7.5,IF(H3036="EIF",5.4)))))))</f>
        <v/>
      </c>
      <c r="M3036" s="112" t="str">
        <f t="shared" si="50"/>
        <v/>
      </c>
      <c r="N3036" s="113"/>
    </row>
    <row r="3037" spans="2:14">
      <c r="B3037" s="105"/>
      <c r="C3037" s="106"/>
      <c r="D3037" s="107"/>
      <c r="E3037" s="65"/>
      <c r="F3037" s="64"/>
      <c r="G3037" s="64"/>
      <c r="H3037" s="64"/>
      <c r="I3037" s="70"/>
      <c r="J3037" s="70"/>
      <c r="K3037" s="110" t="str">
        <f>IF(H3037="","",IF($C$29="간이법","",FPR(H3037,I3037,J3037)))</f>
        <v/>
      </c>
      <c r="L3037" s="111" t="str">
        <f>IF(H3037="","",IF($C$29="상세법",FPV(H3037,K3037),IF(H3037="EI",4,IF(H3037="EO",5.2,IF(H3037="EQ",3.9,IF(H3037="ILF",7.5,IF(H3037="EIF",5.4)))))))</f>
        <v/>
      </c>
      <c r="M3037" s="112" t="str">
        <f t="shared" si="50"/>
        <v/>
      </c>
      <c r="N3037" s="113"/>
    </row>
    <row r="3038" spans="2:14">
      <c r="B3038" s="105"/>
      <c r="C3038" s="106"/>
      <c r="D3038" s="107"/>
      <c r="E3038" s="65"/>
      <c r="F3038" s="64"/>
      <c r="G3038" s="64"/>
      <c r="H3038" s="64"/>
      <c r="I3038" s="70"/>
      <c r="J3038" s="70"/>
      <c r="K3038" s="110" t="str">
        <f>IF(H3038="","",IF($C$29="간이법","",FPR(H3038,I3038,J3038)))</f>
        <v/>
      </c>
      <c r="L3038" s="111" t="str">
        <f>IF(H3038="","",IF($C$29="상세법",FPV(H3038,K3038),IF(H3038="EI",4,IF(H3038="EO",5.2,IF(H3038="EQ",3.9,IF(H3038="ILF",7.5,IF(H3038="EIF",5.4)))))))</f>
        <v/>
      </c>
      <c r="M3038" s="112" t="str">
        <f t="shared" si="50"/>
        <v/>
      </c>
      <c r="N3038" s="113"/>
    </row>
    <row r="3039" spans="2:14">
      <c r="B3039" s="105"/>
      <c r="C3039" s="106"/>
      <c r="D3039" s="107"/>
      <c r="E3039" s="65"/>
      <c r="F3039" s="64"/>
      <c r="G3039" s="64"/>
      <c r="H3039" s="64"/>
      <c r="I3039" s="70"/>
      <c r="J3039" s="70"/>
      <c r="K3039" s="110" t="str">
        <f>IF(H3039="","",IF($C$29="간이법","",FPR(H3039,I3039,J3039)))</f>
        <v/>
      </c>
      <c r="L3039" s="111" t="str">
        <f>IF(H3039="","",IF($C$29="상세법",FPV(H3039,K3039),IF(H3039="EI",4,IF(H3039="EO",5.2,IF(H3039="EQ",3.9,IF(H3039="ILF",7.5,IF(H3039="EIF",5.4)))))))</f>
        <v/>
      </c>
      <c r="M3039" s="112" t="str">
        <f t="shared" si="50"/>
        <v/>
      </c>
      <c r="N3039" s="113"/>
    </row>
    <row r="3040" spans="2:14">
      <c r="B3040" s="105"/>
      <c r="C3040" s="106"/>
      <c r="D3040" s="107"/>
      <c r="E3040" s="65"/>
      <c r="F3040" s="64"/>
      <c r="G3040" s="64"/>
      <c r="H3040" s="64"/>
      <c r="I3040" s="70"/>
      <c r="J3040" s="70"/>
      <c r="K3040" s="110" t="str">
        <f>IF(H3040="","",IF($C$29="간이법","",FPR(H3040,I3040,J3040)))</f>
        <v/>
      </c>
      <c r="L3040" s="111" t="str">
        <f>IF(H3040="","",IF($C$29="상세법",FPV(H3040,K3040),IF(H3040="EI",4,IF(H3040="EO",5.2,IF(H3040="EQ",3.9,IF(H3040="ILF",7.5,IF(H3040="EIF",5.4)))))))</f>
        <v/>
      </c>
      <c r="M3040" s="112" t="str">
        <f t="shared" si="50"/>
        <v/>
      </c>
      <c r="N3040" s="113"/>
    </row>
    <row r="3041" spans="2:14">
      <c r="B3041" s="105"/>
      <c r="C3041" s="106"/>
      <c r="D3041" s="107"/>
      <c r="E3041" s="65"/>
      <c r="F3041" s="64"/>
      <c r="G3041" s="64"/>
      <c r="H3041" s="64"/>
      <c r="I3041" s="70"/>
      <c r="J3041" s="70"/>
      <c r="K3041" s="110" t="str">
        <f>IF(H3041="","",IF($C$29="간이법","",FPR(H3041,I3041,J3041)))</f>
        <v/>
      </c>
      <c r="L3041" s="111" t="str">
        <f>IF(H3041="","",IF($C$29="상세법",FPV(H3041,K3041),IF(H3041="EI",4,IF(H3041="EO",5.2,IF(H3041="EQ",3.9,IF(H3041="ILF",7.5,IF(H3041="EIF",5.4)))))))</f>
        <v/>
      </c>
      <c r="M3041" s="112" t="str">
        <f t="shared" si="50"/>
        <v/>
      </c>
      <c r="N3041" s="113"/>
    </row>
    <row r="3042" spans="2:14">
      <c r="B3042" s="105"/>
      <c r="C3042" s="106"/>
      <c r="D3042" s="107"/>
      <c r="E3042" s="65"/>
      <c r="F3042" s="64"/>
      <c r="G3042" s="64"/>
      <c r="H3042" s="64"/>
      <c r="I3042" s="70"/>
      <c r="J3042" s="70"/>
      <c r="K3042" s="110" t="str">
        <f>IF(H3042="","",IF($C$29="간이법","",FPR(H3042,I3042,J3042)))</f>
        <v/>
      </c>
      <c r="L3042" s="111" t="str">
        <f>IF(H3042="","",IF($C$29="상세법",FPV(H3042,K3042),IF(H3042="EI",4,IF(H3042="EO",5.2,IF(H3042="EQ",3.9,IF(H3042="ILF",7.5,IF(H3042="EIF",5.4)))))))</f>
        <v/>
      </c>
      <c r="M3042" s="112" t="str">
        <f t="shared" si="50"/>
        <v/>
      </c>
      <c r="N3042" s="113"/>
    </row>
    <row r="3043" spans="2:14">
      <c r="B3043" s="105"/>
      <c r="C3043" s="106"/>
      <c r="D3043" s="107"/>
      <c r="E3043" s="65"/>
      <c r="F3043" s="64"/>
      <c r="G3043" s="64"/>
      <c r="H3043" s="64"/>
      <c r="I3043" s="70"/>
      <c r="J3043" s="70"/>
      <c r="K3043" s="110" t="str">
        <f>IF(H3043="","",IF($C$29="간이법","",FPR(H3043,I3043,J3043)))</f>
        <v/>
      </c>
      <c r="L3043" s="111" t="str">
        <f>IF(H3043="","",IF($C$29="상세법",FPV(H3043,K3043),IF(H3043="EI",4,IF(H3043="EO",5.2,IF(H3043="EQ",3.9,IF(H3043="ILF",7.5,IF(H3043="EIF",5.4)))))))</f>
        <v/>
      </c>
      <c r="M3043" s="112" t="str">
        <f t="shared" si="50"/>
        <v/>
      </c>
      <c r="N3043" s="113"/>
    </row>
    <row r="3044" spans="2:14">
      <c r="B3044" s="105"/>
      <c r="C3044" s="106"/>
      <c r="D3044" s="107"/>
      <c r="E3044" s="65"/>
      <c r="F3044" s="64"/>
      <c r="G3044" s="64"/>
      <c r="H3044" s="64"/>
      <c r="I3044" s="70"/>
      <c r="J3044" s="70"/>
      <c r="K3044" s="110" t="str">
        <f>IF(H3044="","",IF($C$29="간이법","",FPR(H3044,I3044,J3044)))</f>
        <v/>
      </c>
      <c r="L3044" s="111" t="str">
        <f>IF(H3044="","",IF($C$29="상세법",FPV(H3044,K3044),IF(H3044="EI",4,IF(H3044="EO",5.2,IF(H3044="EQ",3.9,IF(H3044="ILF",7.5,IF(H3044="EIF",5.4)))))))</f>
        <v/>
      </c>
      <c r="M3044" s="112" t="str">
        <f t="shared" si="50"/>
        <v/>
      </c>
      <c r="N3044" s="113"/>
    </row>
    <row r="3045" spans="2:14">
      <c r="B3045" s="105"/>
      <c r="C3045" s="106"/>
      <c r="D3045" s="107"/>
      <c r="E3045" s="65"/>
      <c r="F3045" s="64"/>
      <c r="G3045" s="64"/>
      <c r="H3045" s="64"/>
      <c r="I3045" s="70"/>
      <c r="J3045" s="70"/>
      <c r="K3045" s="110" t="str">
        <f>IF(H3045="","",IF($C$29="간이법","",FPR(H3045,I3045,J3045)))</f>
        <v/>
      </c>
      <c r="L3045" s="111" t="str">
        <f>IF(H3045="","",IF($C$29="상세법",FPV(H3045,K3045),IF(H3045="EI",4,IF(H3045="EO",5.2,IF(H3045="EQ",3.9,IF(H3045="ILF",7.5,IF(H3045="EIF",5.4)))))))</f>
        <v/>
      </c>
      <c r="M3045" s="112" t="str">
        <f t="shared" si="50"/>
        <v/>
      </c>
      <c r="N3045" s="113"/>
    </row>
    <row r="3046" spans="2:14">
      <c r="B3046" s="105"/>
      <c r="C3046" s="106"/>
      <c r="D3046" s="107"/>
      <c r="E3046" s="65"/>
      <c r="F3046" s="64"/>
      <c r="G3046" s="64"/>
      <c r="H3046" s="64"/>
      <c r="I3046" s="70"/>
      <c r="J3046" s="70"/>
      <c r="K3046" s="110" t="str">
        <f>IF(H3046="","",IF($C$29="간이법","",FPR(H3046,I3046,J3046)))</f>
        <v/>
      </c>
      <c r="L3046" s="111" t="str">
        <f>IF(H3046="","",IF($C$29="상세법",FPV(H3046,K3046),IF(H3046="EI",4,IF(H3046="EO",5.2,IF(H3046="EQ",3.9,IF(H3046="ILF",7.5,IF(H3046="EIF",5.4)))))))</f>
        <v/>
      </c>
      <c r="M3046" s="112" t="str">
        <f t="shared" si="50"/>
        <v/>
      </c>
      <c r="N3046" s="113"/>
    </row>
    <row r="3047" spans="2:14">
      <c r="B3047" s="105"/>
      <c r="C3047" s="106"/>
      <c r="D3047" s="107"/>
      <c r="E3047" s="65"/>
      <c r="F3047" s="64"/>
      <c r="G3047" s="64"/>
      <c r="H3047" s="64"/>
      <c r="I3047" s="70"/>
      <c r="J3047" s="70"/>
      <c r="K3047" s="110" t="str">
        <f>IF(H3047="","",IF($C$29="간이법","",FPR(H3047,I3047,J3047)))</f>
        <v/>
      </c>
      <c r="L3047" s="111" t="str">
        <f>IF(H3047="","",IF($C$29="상세법",FPV(H3047,K3047),IF(H3047="EI",4,IF(H3047="EO",5.2,IF(H3047="EQ",3.9,IF(H3047="ILF",7.5,IF(H3047="EIF",5.4)))))))</f>
        <v/>
      </c>
      <c r="M3047" s="112" t="str">
        <f t="shared" si="50"/>
        <v/>
      </c>
      <c r="N3047" s="113"/>
    </row>
    <row r="3048" spans="2:14">
      <c r="B3048" s="105"/>
      <c r="C3048" s="106"/>
      <c r="D3048" s="107"/>
      <c r="E3048" s="65"/>
      <c r="F3048" s="64"/>
      <c r="G3048" s="64"/>
      <c r="H3048" s="64"/>
      <c r="I3048" s="70"/>
      <c r="J3048" s="70"/>
      <c r="K3048" s="110" t="str">
        <f>IF(H3048="","",IF($C$29="간이법","",FPR(H3048,I3048,J3048)))</f>
        <v/>
      </c>
      <c r="L3048" s="111" t="str">
        <f>IF(H3048="","",IF($C$29="상세법",FPV(H3048,K3048),IF(H3048="EI",4,IF(H3048="EO",5.2,IF(H3048="EQ",3.9,IF(H3048="ILF",7.5,IF(H3048="EIF",5.4)))))))</f>
        <v/>
      </c>
      <c r="M3048" s="112" t="str">
        <f t="shared" si="50"/>
        <v/>
      </c>
      <c r="N3048" s="113"/>
    </row>
    <row r="3049" spans="2:14">
      <c r="B3049" s="105"/>
      <c r="C3049" s="106"/>
      <c r="D3049" s="107"/>
      <c r="E3049" s="65"/>
      <c r="F3049" s="64"/>
      <c r="G3049" s="64"/>
      <c r="H3049" s="64"/>
      <c r="I3049" s="70"/>
      <c r="J3049" s="70"/>
      <c r="K3049" s="110" t="str">
        <f>IF(H3049="","",IF($C$29="간이법","",FPR(H3049,I3049,J3049)))</f>
        <v/>
      </c>
      <c r="L3049" s="111" t="str">
        <f>IF(H3049="","",IF($C$29="상세법",FPV(H3049,K3049),IF(H3049="EI",4,IF(H3049="EO",5.2,IF(H3049="EQ",3.9,IF(H3049="ILF",7.5,IF(H3049="EIF",5.4)))))))</f>
        <v/>
      </c>
      <c r="M3049" s="112" t="str">
        <f t="shared" si="50"/>
        <v/>
      </c>
      <c r="N3049" s="113"/>
    </row>
    <row r="3050" spans="2:14">
      <c r="B3050" s="105"/>
      <c r="C3050" s="106"/>
      <c r="D3050" s="107"/>
      <c r="E3050" s="65"/>
      <c r="F3050" s="64"/>
      <c r="G3050" s="64"/>
      <c r="H3050" s="64"/>
      <c r="I3050" s="70"/>
      <c r="J3050" s="70"/>
      <c r="K3050" s="110" t="str">
        <f>IF(H3050="","",IF($C$29="간이법","",FPR(H3050,I3050,J3050)))</f>
        <v/>
      </c>
      <c r="L3050" s="111" t="str">
        <f>IF(H3050="","",IF($C$29="상세법",FPV(H3050,K3050),IF(H3050="EI",4,IF(H3050="EO",5.2,IF(H3050="EQ",3.9,IF(H3050="ILF",7.5,IF(H3050="EIF",5.4)))))))</f>
        <v/>
      </c>
      <c r="M3050" s="112" t="str">
        <f t="shared" si="50"/>
        <v/>
      </c>
      <c r="N3050" s="113"/>
    </row>
    <row r="3051" spans="2:14">
      <c r="B3051" s="105"/>
      <c r="C3051" s="106"/>
      <c r="D3051" s="107"/>
      <c r="E3051" s="65"/>
      <c r="F3051" s="64"/>
      <c r="G3051" s="64"/>
      <c r="H3051" s="64"/>
      <c r="I3051" s="70"/>
      <c r="J3051" s="70"/>
      <c r="K3051" s="110" t="str">
        <f>IF(H3051="","",IF($C$29="간이법","",FPR(H3051,I3051,J3051)))</f>
        <v/>
      </c>
      <c r="L3051" s="111" t="str">
        <f>IF(H3051="","",IF($C$29="상세법",FPV(H3051,K3051),IF(H3051="EI",4,IF(H3051="EO",5.2,IF(H3051="EQ",3.9,IF(H3051="ILF",7.5,IF(H3051="EIF",5.4)))))))</f>
        <v/>
      </c>
      <c r="M3051" s="112" t="str">
        <f t="shared" si="50"/>
        <v/>
      </c>
      <c r="N3051" s="113"/>
    </row>
    <row r="3052" spans="2:14">
      <c r="B3052" s="105"/>
      <c r="C3052" s="106"/>
      <c r="D3052" s="107"/>
      <c r="E3052" s="65"/>
      <c r="F3052" s="64"/>
      <c r="G3052" s="64"/>
      <c r="H3052" s="64"/>
      <c r="I3052" s="70"/>
      <c r="J3052" s="70"/>
      <c r="K3052" s="110" t="str">
        <f>IF(H3052="","",IF($C$29="간이법","",FPR(H3052,I3052,J3052)))</f>
        <v/>
      </c>
      <c r="L3052" s="111" t="str">
        <f>IF(H3052="","",IF($C$29="상세법",FPV(H3052,K3052),IF(H3052="EI",4,IF(H3052="EO",5.2,IF(H3052="EQ",3.9,IF(H3052="ILF",7.5,IF(H3052="EIF",5.4)))))))</f>
        <v/>
      </c>
      <c r="M3052" s="112" t="str">
        <f t="shared" si="50"/>
        <v/>
      </c>
      <c r="N3052" s="113"/>
    </row>
    <row r="3053" spans="2:14">
      <c r="B3053" s="105"/>
      <c r="C3053" s="106"/>
      <c r="D3053" s="107"/>
      <c r="E3053" s="65"/>
      <c r="F3053" s="64"/>
      <c r="G3053" s="64"/>
      <c r="H3053" s="64"/>
      <c r="I3053" s="70"/>
      <c r="J3053" s="70"/>
      <c r="K3053" s="110" t="str">
        <f>IF(H3053="","",IF($C$29="간이법","",FPR(H3053,I3053,J3053)))</f>
        <v/>
      </c>
      <c r="L3053" s="111" t="str">
        <f>IF(H3053="","",IF($C$29="상세법",FPV(H3053,K3053),IF(H3053="EI",4,IF(H3053="EO",5.2,IF(H3053="EQ",3.9,IF(H3053="ILF",7.5,IF(H3053="EIF",5.4)))))))</f>
        <v/>
      </c>
      <c r="M3053" s="112" t="str">
        <f t="shared" si="50"/>
        <v/>
      </c>
      <c r="N3053" s="113"/>
    </row>
    <row r="3054" spans="2:14">
      <c r="B3054" s="105"/>
      <c r="C3054" s="106"/>
      <c r="D3054" s="107"/>
      <c r="E3054" s="65"/>
      <c r="F3054" s="64"/>
      <c r="G3054" s="64"/>
      <c r="H3054" s="64"/>
      <c r="I3054" s="70"/>
      <c r="J3054" s="70"/>
      <c r="K3054" s="110" t="str">
        <f>IF(H3054="","",IF($C$29="간이법","",FPR(H3054,I3054,J3054)))</f>
        <v/>
      </c>
      <c r="L3054" s="111" t="str">
        <f>IF(H3054="","",IF($C$29="상세법",FPV(H3054,K3054),IF(H3054="EI",4,IF(H3054="EO",5.2,IF(H3054="EQ",3.9,IF(H3054="ILF",7.5,IF(H3054="EIF",5.4)))))))</f>
        <v/>
      </c>
      <c r="M3054" s="112" t="str">
        <f t="shared" si="50"/>
        <v/>
      </c>
      <c r="N3054" s="113"/>
    </row>
    <row r="3055" spans="2:14">
      <c r="B3055" s="105"/>
      <c r="C3055" s="106"/>
      <c r="D3055" s="107"/>
      <c r="E3055" s="65"/>
      <c r="F3055" s="64"/>
      <c r="G3055" s="64"/>
      <c r="H3055" s="64"/>
      <c r="I3055" s="70"/>
      <c r="J3055" s="70"/>
      <c r="K3055" s="110" t="str">
        <f>IF(H3055="","",IF($C$29="간이법","",FPR(H3055,I3055,J3055)))</f>
        <v/>
      </c>
      <c r="L3055" s="111" t="str">
        <f>IF(H3055="","",IF($C$29="상세법",FPV(H3055,K3055),IF(H3055="EI",4,IF(H3055="EO",5.2,IF(H3055="EQ",3.9,IF(H3055="ILF",7.5,IF(H3055="EIF",5.4)))))))</f>
        <v/>
      </c>
      <c r="M3055" s="112" t="str">
        <f t="shared" si="50"/>
        <v/>
      </c>
      <c r="N3055" s="113"/>
    </row>
    <row r="3056" spans="2:14">
      <c r="B3056" s="105"/>
      <c r="C3056" s="106"/>
      <c r="D3056" s="107"/>
      <c r="E3056" s="65"/>
      <c r="F3056" s="64"/>
      <c r="G3056" s="64"/>
      <c r="H3056" s="64"/>
      <c r="I3056" s="70"/>
      <c r="J3056" s="70"/>
      <c r="K3056" s="110" t="str">
        <f>IF(H3056="","",IF($C$29="간이법","",FPR(H3056,I3056,J3056)))</f>
        <v/>
      </c>
      <c r="L3056" s="111" t="str">
        <f>IF(H3056="","",IF($C$29="상세법",FPV(H3056,K3056),IF(H3056="EI",4,IF(H3056="EO",5.2,IF(H3056="EQ",3.9,IF(H3056="ILF",7.5,IF(H3056="EIF",5.4)))))))</f>
        <v/>
      </c>
      <c r="M3056" s="112" t="str">
        <f t="shared" si="50"/>
        <v/>
      </c>
      <c r="N3056" s="113"/>
    </row>
    <row r="3057" spans="2:14">
      <c r="B3057" s="105"/>
      <c r="C3057" s="106"/>
      <c r="D3057" s="107"/>
      <c r="E3057" s="65"/>
      <c r="F3057" s="64"/>
      <c r="G3057" s="64"/>
      <c r="H3057" s="64"/>
      <c r="I3057" s="70"/>
      <c r="J3057" s="70"/>
      <c r="K3057" s="110" t="str">
        <f>IF(H3057="","",IF($C$29="간이법","",FPR(H3057,I3057,J3057)))</f>
        <v/>
      </c>
      <c r="L3057" s="111" t="str">
        <f>IF(H3057="","",IF($C$29="상세법",FPV(H3057,K3057),IF(H3057="EI",4,IF(H3057="EO",5.2,IF(H3057="EQ",3.9,IF(H3057="ILF",7.5,IF(H3057="EIF",5.4)))))))</f>
        <v/>
      </c>
      <c r="M3057" s="112" t="str">
        <f t="shared" si="50"/>
        <v/>
      </c>
      <c r="N3057" s="113"/>
    </row>
    <row r="3058" spans="2:14">
      <c r="B3058" s="105"/>
      <c r="C3058" s="106"/>
      <c r="D3058" s="107"/>
      <c r="E3058" s="65"/>
      <c r="F3058" s="64"/>
      <c r="G3058" s="64"/>
      <c r="H3058" s="64"/>
      <c r="I3058" s="70"/>
      <c r="J3058" s="70"/>
      <c r="K3058" s="110" t="str">
        <f>IF(H3058="","",IF($C$29="간이법","",FPR(H3058,I3058,J3058)))</f>
        <v/>
      </c>
      <c r="L3058" s="111" t="str">
        <f>IF(H3058="","",IF($C$29="상세법",FPV(H3058,K3058),IF(H3058="EI",4,IF(H3058="EO",5.2,IF(H3058="EQ",3.9,IF(H3058="ILF",7.5,IF(H3058="EIF",5.4)))))))</f>
        <v/>
      </c>
      <c r="M3058" s="112" t="str">
        <f t="shared" si="50"/>
        <v/>
      </c>
      <c r="N3058" s="113"/>
    </row>
    <row r="3059" spans="2:14">
      <c r="B3059" s="105"/>
      <c r="C3059" s="106"/>
      <c r="D3059" s="107"/>
      <c r="E3059" s="65"/>
      <c r="F3059" s="64"/>
      <c r="G3059" s="64"/>
      <c r="H3059" s="64"/>
      <c r="I3059" s="70"/>
      <c r="J3059" s="70"/>
      <c r="K3059" s="110" t="str">
        <f>IF(H3059="","",IF($C$29="간이법","",FPR(H3059,I3059,J3059)))</f>
        <v/>
      </c>
      <c r="L3059" s="111" t="str">
        <f>IF(H3059="","",IF($C$29="상세법",FPV(H3059,K3059),IF(H3059="EI",4,IF(H3059="EO",5.2,IF(H3059="EQ",3.9,IF(H3059="ILF",7.5,IF(H3059="EIF",5.4)))))))</f>
        <v/>
      </c>
      <c r="M3059" s="112" t="str">
        <f t="shared" si="50"/>
        <v/>
      </c>
      <c r="N3059" s="113"/>
    </row>
    <row r="3060" spans="2:14">
      <c r="B3060" s="105"/>
      <c r="C3060" s="106"/>
      <c r="D3060" s="107"/>
      <c r="E3060" s="65"/>
      <c r="F3060" s="64"/>
      <c r="G3060" s="64"/>
      <c r="H3060" s="64"/>
      <c r="I3060" s="70"/>
      <c r="J3060" s="70"/>
      <c r="K3060" s="110" t="str">
        <f>IF(H3060="","",IF($C$29="간이법","",FPR(H3060,I3060,J3060)))</f>
        <v/>
      </c>
      <c r="L3060" s="111" t="str">
        <f>IF(H3060="","",IF($C$29="상세법",FPV(H3060,K3060),IF(H3060="EI",4,IF(H3060="EO",5.2,IF(H3060="EQ",3.9,IF(H3060="ILF",7.5,IF(H3060="EIF",5.4)))))))</f>
        <v/>
      </c>
      <c r="M3060" s="112" t="str">
        <f t="shared" si="50"/>
        <v/>
      </c>
      <c r="N3060" s="113"/>
    </row>
    <row r="3061" spans="2:14">
      <c r="B3061" s="105"/>
      <c r="C3061" s="106"/>
      <c r="D3061" s="107"/>
      <c r="E3061" s="65"/>
      <c r="F3061" s="64"/>
      <c r="G3061" s="64"/>
      <c r="H3061" s="64"/>
      <c r="I3061" s="70"/>
      <c r="J3061" s="70"/>
      <c r="K3061" s="110" t="str">
        <f>IF(H3061="","",IF($C$29="간이법","",FPR(H3061,I3061,J3061)))</f>
        <v/>
      </c>
      <c r="L3061" s="111" t="str">
        <f>IF(H3061="","",IF($C$29="상세법",FPV(H3061,K3061),IF(H3061="EI",4,IF(H3061="EO",5.2,IF(H3061="EQ",3.9,IF(H3061="ILF",7.5,IF(H3061="EIF",5.4)))))))</f>
        <v/>
      </c>
      <c r="M3061" s="112" t="str">
        <f t="shared" si="50"/>
        <v/>
      </c>
      <c r="N3061" s="113"/>
    </row>
    <row r="3062" spans="2:14">
      <c r="B3062" s="105"/>
      <c r="C3062" s="106"/>
      <c r="D3062" s="107"/>
      <c r="E3062" s="65"/>
      <c r="F3062" s="64"/>
      <c r="G3062" s="64"/>
      <c r="H3062" s="64"/>
      <c r="I3062" s="70"/>
      <c r="J3062" s="70"/>
      <c r="K3062" s="110" t="str">
        <f>IF(H3062="","",IF($C$29="간이법","",FPR(H3062,I3062,J3062)))</f>
        <v/>
      </c>
      <c r="L3062" s="111" t="str">
        <f>IF(H3062="","",IF($C$29="상세법",FPV(H3062,K3062),IF(H3062="EI",4,IF(H3062="EO",5.2,IF(H3062="EQ",3.9,IF(H3062="ILF",7.5,IF(H3062="EIF",5.4)))))))</f>
        <v/>
      </c>
      <c r="M3062" s="112" t="str">
        <f t="shared" si="50"/>
        <v/>
      </c>
      <c r="N3062" s="113"/>
    </row>
    <row r="3063" spans="2:14">
      <c r="B3063" s="105"/>
      <c r="C3063" s="106"/>
      <c r="D3063" s="107"/>
      <c r="E3063" s="65"/>
      <c r="F3063" s="64"/>
      <c r="G3063" s="64"/>
      <c r="H3063" s="64"/>
      <c r="I3063" s="70"/>
      <c r="J3063" s="70"/>
      <c r="K3063" s="110" t="str">
        <f>IF(H3063="","",IF($C$29="간이법","",FPR(H3063,I3063,J3063)))</f>
        <v/>
      </c>
      <c r="L3063" s="111" t="str">
        <f>IF(H3063="","",IF($C$29="상세법",FPV(H3063,K3063),IF(H3063="EI",4,IF(H3063="EO",5.2,IF(H3063="EQ",3.9,IF(H3063="ILF",7.5,IF(H3063="EIF",5.4)))))))</f>
        <v/>
      </c>
      <c r="M3063" s="112" t="str">
        <f t="shared" si="50"/>
        <v/>
      </c>
      <c r="N3063" s="113"/>
    </row>
    <row r="3064" spans="2:14">
      <c r="B3064" s="105"/>
      <c r="C3064" s="106"/>
      <c r="D3064" s="107"/>
      <c r="E3064" s="65"/>
      <c r="F3064" s="64"/>
      <c r="G3064" s="64"/>
      <c r="H3064" s="64"/>
      <c r="I3064" s="70"/>
      <c r="J3064" s="70"/>
      <c r="K3064" s="110" t="str">
        <f>IF(H3064="","",IF($C$29="간이법","",FPR(H3064,I3064,J3064)))</f>
        <v/>
      </c>
      <c r="L3064" s="111" t="str">
        <f>IF(H3064="","",IF($C$29="상세법",FPV(H3064,K3064),IF(H3064="EI",4,IF(H3064="EO",5.2,IF(H3064="EQ",3.9,IF(H3064="ILF",7.5,IF(H3064="EIF",5.4)))))))</f>
        <v/>
      </c>
      <c r="M3064" s="112" t="str">
        <f t="shared" si="50"/>
        <v/>
      </c>
      <c r="N3064" s="113"/>
    </row>
    <row r="3065" spans="2:14">
      <c r="B3065" s="105"/>
      <c r="C3065" s="106"/>
      <c r="D3065" s="107"/>
      <c r="E3065" s="65"/>
      <c r="F3065" s="64"/>
      <c r="G3065" s="64"/>
      <c r="H3065" s="64"/>
      <c r="I3065" s="70"/>
      <c r="J3065" s="70"/>
      <c r="K3065" s="110" t="str">
        <f>IF(H3065="","",IF($C$29="간이법","",FPR(H3065,I3065,J3065)))</f>
        <v/>
      </c>
      <c r="L3065" s="111" t="str">
        <f>IF(H3065="","",IF($C$29="상세법",FPV(H3065,K3065),IF(H3065="EI",4,IF(H3065="EO",5.2,IF(H3065="EQ",3.9,IF(H3065="ILF",7.5,IF(H3065="EIF",5.4)))))))</f>
        <v/>
      </c>
      <c r="M3065" s="112" t="str">
        <f t="shared" ref="M3065:M3128" si="51">IF(L3065="","",L3065*IF(G3065="상",0.7,IF(G3065="중",0.5,IF(G3065="하",0.2,1))))</f>
        <v/>
      </c>
      <c r="N3065" s="113"/>
    </row>
    <row r="3066" spans="2:14">
      <c r="B3066" s="105"/>
      <c r="C3066" s="106"/>
      <c r="D3066" s="107"/>
      <c r="E3066" s="65"/>
      <c r="F3066" s="64"/>
      <c r="G3066" s="64"/>
      <c r="H3066" s="64"/>
      <c r="I3066" s="70"/>
      <c r="J3066" s="70"/>
      <c r="K3066" s="110" t="str">
        <f>IF(H3066="","",IF($C$29="간이법","",FPR(H3066,I3066,J3066)))</f>
        <v/>
      </c>
      <c r="L3066" s="111" t="str">
        <f>IF(H3066="","",IF($C$29="상세법",FPV(H3066,K3066),IF(H3066="EI",4,IF(H3066="EO",5.2,IF(H3066="EQ",3.9,IF(H3066="ILF",7.5,IF(H3066="EIF",5.4)))))))</f>
        <v/>
      </c>
      <c r="M3066" s="112" t="str">
        <f t="shared" si="51"/>
        <v/>
      </c>
      <c r="N3066" s="113"/>
    </row>
    <row r="3067" spans="2:14">
      <c r="B3067" s="105"/>
      <c r="C3067" s="106"/>
      <c r="D3067" s="107"/>
      <c r="E3067" s="65"/>
      <c r="F3067" s="64"/>
      <c r="G3067" s="64"/>
      <c r="H3067" s="64"/>
      <c r="I3067" s="70"/>
      <c r="J3067" s="70"/>
      <c r="K3067" s="110" t="str">
        <f>IF(H3067="","",IF($C$29="간이법","",FPR(H3067,I3067,J3067)))</f>
        <v/>
      </c>
      <c r="L3067" s="111" t="str">
        <f>IF(H3067="","",IF($C$29="상세법",FPV(H3067,K3067),IF(H3067="EI",4,IF(H3067="EO",5.2,IF(H3067="EQ",3.9,IF(H3067="ILF",7.5,IF(H3067="EIF",5.4)))))))</f>
        <v/>
      </c>
      <c r="M3067" s="112" t="str">
        <f t="shared" si="51"/>
        <v/>
      </c>
      <c r="N3067" s="113"/>
    </row>
    <row r="3068" spans="2:14">
      <c r="B3068" s="105"/>
      <c r="C3068" s="106"/>
      <c r="D3068" s="107"/>
      <c r="E3068" s="65"/>
      <c r="F3068" s="64"/>
      <c r="G3068" s="64"/>
      <c r="H3068" s="64"/>
      <c r="I3068" s="70"/>
      <c r="J3068" s="70"/>
      <c r="K3068" s="110" t="str">
        <f>IF(H3068="","",IF($C$29="간이법","",FPR(H3068,I3068,J3068)))</f>
        <v/>
      </c>
      <c r="L3068" s="111" t="str">
        <f>IF(H3068="","",IF($C$29="상세법",FPV(H3068,K3068),IF(H3068="EI",4,IF(H3068="EO",5.2,IF(H3068="EQ",3.9,IF(H3068="ILF",7.5,IF(H3068="EIF",5.4)))))))</f>
        <v/>
      </c>
      <c r="M3068" s="112" t="str">
        <f t="shared" si="51"/>
        <v/>
      </c>
      <c r="N3068" s="113"/>
    </row>
    <row r="3069" spans="2:14">
      <c r="B3069" s="105"/>
      <c r="C3069" s="106"/>
      <c r="D3069" s="107"/>
      <c r="E3069" s="65"/>
      <c r="F3069" s="64"/>
      <c r="G3069" s="64"/>
      <c r="H3069" s="64"/>
      <c r="I3069" s="70"/>
      <c r="J3069" s="70"/>
      <c r="K3069" s="110" t="str">
        <f>IF(H3069="","",IF($C$29="간이법","",FPR(H3069,I3069,J3069)))</f>
        <v/>
      </c>
      <c r="L3069" s="111" t="str">
        <f>IF(H3069="","",IF($C$29="상세법",FPV(H3069,K3069),IF(H3069="EI",4,IF(H3069="EO",5.2,IF(H3069="EQ",3.9,IF(H3069="ILF",7.5,IF(H3069="EIF",5.4)))))))</f>
        <v/>
      </c>
      <c r="M3069" s="112" t="str">
        <f t="shared" si="51"/>
        <v/>
      </c>
      <c r="N3069" s="113"/>
    </row>
    <row r="3070" spans="2:14">
      <c r="B3070" s="105"/>
      <c r="C3070" s="106"/>
      <c r="D3070" s="107"/>
      <c r="E3070" s="65"/>
      <c r="F3070" s="64"/>
      <c r="G3070" s="64"/>
      <c r="H3070" s="64"/>
      <c r="I3070" s="70"/>
      <c r="J3070" s="70"/>
      <c r="K3070" s="110" t="str">
        <f>IF(H3070="","",IF($C$29="간이법","",FPR(H3070,I3070,J3070)))</f>
        <v/>
      </c>
      <c r="L3070" s="111" t="str">
        <f>IF(H3070="","",IF($C$29="상세법",FPV(H3070,K3070),IF(H3070="EI",4,IF(H3070="EO",5.2,IF(H3070="EQ",3.9,IF(H3070="ILF",7.5,IF(H3070="EIF",5.4)))))))</f>
        <v/>
      </c>
      <c r="M3070" s="112" t="str">
        <f t="shared" si="51"/>
        <v/>
      </c>
      <c r="N3070" s="113"/>
    </row>
    <row r="3071" spans="2:14">
      <c r="B3071" s="105"/>
      <c r="C3071" s="106"/>
      <c r="D3071" s="107"/>
      <c r="E3071" s="65"/>
      <c r="F3071" s="64"/>
      <c r="G3071" s="64"/>
      <c r="H3071" s="64"/>
      <c r="I3071" s="70"/>
      <c r="J3071" s="70"/>
      <c r="K3071" s="110" t="str">
        <f>IF(H3071="","",IF($C$29="간이법","",FPR(H3071,I3071,J3071)))</f>
        <v/>
      </c>
      <c r="L3071" s="111" t="str">
        <f>IF(H3071="","",IF($C$29="상세법",FPV(H3071,K3071),IF(H3071="EI",4,IF(H3071="EO",5.2,IF(H3071="EQ",3.9,IF(H3071="ILF",7.5,IF(H3071="EIF",5.4)))))))</f>
        <v/>
      </c>
      <c r="M3071" s="112" t="str">
        <f t="shared" si="51"/>
        <v/>
      </c>
      <c r="N3071" s="113"/>
    </row>
    <row r="3072" spans="2:14">
      <c r="B3072" s="105"/>
      <c r="C3072" s="106"/>
      <c r="D3072" s="107"/>
      <c r="E3072" s="65"/>
      <c r="F3072" s="64"/>
      <c r="G3072" s="64"/>
      <c r="H3072" s="64"/>
      <c r="I3072" s="70"/>
      <c r="J3072" s="70"/>
      <c r="K3072" s="110" t="str">
        <f>IF(H3072="","",IF($C$29="간이법","",FPR(H3072,I3072,J3072)))</f>
        <v/>
      </c>
      <c r="L3072" s="111" t="str">
        <f>IF(H3072="","",IF($C$29="상세법",FPV(H3072,K3072),IF(H3072="EI",4,IF(H3072="EO",5.2,IF(H3072="EQ",3.9,IF(H3072="ILF",7.5,IF(H3072="EIF",5.4)))))))</f>
        <v/>
      </c>
      <c r="M3072" s="112" t="str">
        <f t="shared" si="51"/>
        <v/>
      </c>
      <c r="N3072" s="113"/>
    </row>
    <row r="3073" spans="2:14">
      <c r="B3073" s="105"/>
      <c r="C3073" s="106"/>
      <c r="D3073" s="107"/>
      <c r="E3073" s="65"/>
      <c r="F3073" s="64"/>
      <c r="G3073" s="64"/>
      <c r="H3073" s="64"/>
      <c r="I3073" s="70"/>
      <c r="J3073" s="70"/>
      <c r="K3073" s="110" t="str">
        <f>IF(H3073="","",IF($C$29="간이법","",FPR(H3073,I3073,J3073)))</f>
        <v/>
      </c>
      <c r="L3073" s="111" t="str">
        <f>IF(H3073="","",IF($C$29="상세법",FPV(H3073,K3073),IF(H3073="EI",4,IF(H3073="EO",5.2,IF(H3073="EQ",3.9,IF(H3073="ILF",7.5,IF(H3073="EIF",5.4)))))))</f>
        <v/>
      </c>
      <c r="M3073" s="112" t="str">
        <f t="shared" si="51"/>
        <v/>
      </c>
      <c r="N3073" s="113"/>
    </row>
    <row r="3074" spans="2:14">
      <c r="B3074" s="105"/>
      <c r="C3074" s="106"/>
      <c r="D3074" s="107"/>
      <c r="E3074" s="65"/>
      <c r="F3074" s="64"/>
      <c r="G3074" s="64"/>
      <c r="H3074" s="64"/>
      <c r="I3074" s="70"/>
      <c r="J3074" s="70"/>
      <c r="K3074" s="110" t="str">
        <f>IF(H3074="","",IF($C$29="간이법","",FPR(H3074,I3074,J3074)))</f>
        <v/>
      </c>
      <c r="L3074" s="111" t="str">
        <f>IF(H3074="","",IF($C$29="상세법",FPV(H3074,K3074),IF(H3074="EI",4,IF(H3074="EO",5.2,IF(H3074="EQ",3.9,IF(H3074="ILF",7.5,IF(H3074="EIF",5.4)))))))</f>
        <v/>
      </c>
      <c r="M3074" s="112" t="str">
        <f t="shared" si="51"/>
        <v/>
      </c>
      <c r="N3074" s="113"/>
    </row>
    <row r="3075" spans="2:14">
      <c r="B3075" s="105"/>
      <c r="C3075" s="106"/>
      <c r="D3075" s="107"/>
      <c r="E3075" s="65"/>
      <c r="F3075" s="64"/>
      <c r="G3075" s="64"/>
      <c r="H3075" s="64"/>
      <c r="I3075" s="70"/>
      <c r="J3075" s="70"/>
      <c r="K3075" s="110" t="str">
        <f>IF(H3075="","",IF($C$29="간이법","",FPR(H3075,I3075,J3075)))</f>
        <v/>
      </c>
      <c r="L3075" s="111" t="str">
        <f>IF(H3075="","",IF($C$29="상세법",FPV(H3075,K3075),IF(H3075="EI",4,IF(H3075="EO",5.2,IF(H3075="EQ",3.9,IF(H3075="ILF",7.5,IF(H3075="EIF",5.4)))))))</f>
        <v/>
      </c>
      <c r="M3075" s="112" t="str">
        <f t="shared" si="51"/>
        <v/>
      </c>
      <c r="N3075" s="113"/>
    </row>
    <row r="3076" spans="2:14">
      <c r="B3076" s="105"/>
      <c r="C3076" s="106"/>
      <c r="D3076" s="107"/>
      <c r="E3076" s="65"/>
      <c r="F3076" s="64"/>
      <c r="G3076" s="64"/>
      <c r="H3076" s="64"/>
      <c r="I3076" s="70"/>
      <c r="J3076" s="70"/>
      <c r="K3076" s="110" t="str">
        <f>IF(H3076="","",IF($C$29="간이법","",FPR(H3076,I3076,J3076)))</f>
        <v/>
      </c>
      <c r="L3076" s="111" t="str">
        <f>IF(H3076="","",IF($C$29="상세법",FPV(H3076,K3076),IF(H3076="EI",4,IF(H3076="EO",5.2,IF(H3076="EQ",3.9,IF(H3076="ILF",7.5,IF(H3076="EIF",5.4)))))))</f>
        <v/>
      </c>
      <c r="M3076" s="112" t="str">
        <f t="shared" si="51"/>
        <v/>
      </c>
      <c r="N3076" s="113"/>
    </row>
    <row r="3077" spans="2:14">
      <c r="B3077" s="105"/>
      <c r="C3077" s="106"/>
      <c r="D3077" s="107"/>
      <c r="E3077" s="65"/>
      <c r="F3077" s="64"/>
      <c r="G3077" s="64"/>
      <c r="H3077" s="64"/>
      <c r="I3077" s="70"/>
      <c r="J3077" s="70"/>
      <c r="K3077" s="110" t="str">
        <f>IF(H3077="","",IF($C$29="간이법","",FPR(H3077,I3077,J3077)))</f>
        <v/>
      </c>
      <c r="L3077" s="111" t="str">
        <f>IF(H3077="","",IF($C$29="상세법",FPV(H3077,K3077),IF(H3077="EI",4,IF(H3077="EO",5.2,IF(H3077="EQ",3.9,IF(H3077="ILF",7.5,IF(H3077="EIF",5.4)))))))</f>
        <v/>
      </c>
      <c r="M3077" s="112" t="str">
        <f t="shared" si="51"/>
        <v/>
      </c>
      <c r="N3077" s="113"/>
    </row>
    <row r="3078" spans="2:14">
      <c r="B3078" s="105"/>
      <c r="C3078" s="106"/>
      <c r="D3078" s="107"/>
      <c r="E3078" s="65"/>
      <c r="F3078" s="64"/>
      <c r="G3078" s="64"/>
      <c r="H3078" s="64"/>
      <c r="I3078" s="70"/>
      <c r="J3078" s="70"/>
      <c r="K3078" s="110" t="str">
        <f>IF(H3078="","",IF($C$29="간이법","",FPR(H3078,I3078,J3078)))</f>
        <v/>
      </c>
      <c r="L3078" s="111" t="str">
        <f>IF(H3078="","",IF($C$29="상세법",FPV(H3078,K3078),IF(H3078="EI",4,IF(H3078="EO",5.2,IF(H3078="EQ",3.9,IF(H3078="ILF",7.5,IF(H3078="EIF",5.4)))))))</f>
        <v/>
      </c>
      <c r="M3078" s="112" t="str">
        <f t="shared" si="51"/>
        <v/>
      </c>
      <c r="N3078" s="113"/>
    </row>
    <row r="3079" spans="2:14">
      <c r="B3079" s="105"/>
      <c r="C3079" s="106"/>
      <c r="D3079" s="107"/>
      <c r="E3079" s="65"/>
      <c r="F3079" s="64"/>
      <c r="G3079" s="64"/>
      <c r="H3079" s="64"/>
      <c r="I3079" s="70"/>
      <c r="J3079" s="70"/>
      <c r="K3079" s="110" t="str">
        <f>IF(H3079="","",IF($C$29="간이법","",FPR(H3079,I3079,J3079)))</f>
        <v/>
      </c>
      <c r="L3079" s="111" t="str">
        <f>IF(H3079="","",IF($C$29="상세법",FPV(H3079,K3079),IF(H3079="EI",4,IF(H3079="EO",5.2,IF(H3079="EQ",3.9,IF(H3079="ILF",7.5,IF(H3079="EIF",5.4)))))))</f>
        <v/>
      </c>
      <c r="M3079" s="112" t="str">
        <f t="shared" si="51"/>
        <v/>
      </c>
      <c r="N3079" s="113"/>
    </row>
    <row r="3080" spans="2:14">
      <c r="B3080" s="105"/>
      <c r="C3080" s="106"/>
      <c r="D3080" s="107"/>
      <c r="E3080" s="65"/>
      <c r="F3080" s="64"/>
      <c r="G3080" s="64"/>
      <c r="H3080" s="64"/>
      <c r="I3080" s="70"/>
      <c r="J3080" s="70"/>
      <c r="K3080" s="110" t="str">
        <f>IF(H3080="","",IF($C$29="간이법","",FPR(H3080,I3080,J3080)))</f>
        <v/>
      </c>
      <c r="L3080" s="111" t="str">
        <f>IF(H3080="","",IF($C$29="상세법",FPV(H3080,K3080),IF(H3080="EI",4,IF(H3080="EO",5.2,IF(H3080="EQ",3.9,IF(H3080="ILF",7.5,IF(H3080="EIF",5.4)))))))</f>
        <v/>
      </c>
      <c r="M3080" s="112" t="str">
        <f t="shared" si="51"/>
        <v/>
      </c>
      <c r="N3080" s="113"/>
    </row>
    <row r="3081" spans="2:14">
      <c r="B3081" s="105"/>
      <c r="C3081" s="106"/>
      <c r="D3081" s="107"/>
      <c r="E3081" s="65"/>
      <c r="F3081" s="64"/>
      <c r="G3081" s="64"/>
      <c r="H3081" s="64"/>
      <c r="I3081" s="70"/>
      <c r="J3081" s="70"/>
      <c r="K3081" s="110" t="str">
        <f>IF(H3081="","",IF($C$29="간이법","",FPR(H3081,I3081,J3081)))</f>
        <v/>
      </c>
      <c r="L3081" s="111" t="str">
        <f>IF(H3081="","",IF($C$29="상세법",FPV(H3081,K3081),IF(H3081="EI",4,IF(H3081="EO",5.2,IF(H3081="EQ",3.9,IF(H3081="ILF",7.5,IF(H3081="EIF",5.4)))))))</f>
        <v/>
      </c>
      <c r="M3081" s="112" t="str">
        <f t="shared" si="51"/>
        <v/>
      </c>
      <c r="N3081" s="113"/>
    </row>
    <row r="3082" spans="2:14">
      <c r="B3082" s="105"/>
      <c r="C3082" s="106"/>
      <c r="D3082" s="107"/>
      <c r="E3082" s="65"/>
      <c r="F3082" s="64"/>
      <c r="G3082" s="64"/>
      <c r="H3082" s="64"/>
      <c r="I3082" s="70"/>
      <c r="J3082" s="70"/>
      <c r="K3082" s="110" t="str">
        <f>IF(H3082="","",IF($C$29="간이법","",FPR(H3082,I3082,J3082)))</f>
        <v/>
      </c>
      <c r="L3082" s="111" t="str">
        <f>IF(H3082="","",IF($C$29="상세법",FPV(H3082,K3082),IF(H3082="EI",4,IF(H3082="EO",5.2,IF(H3082="EQ",3.9,IF(H3082="ILF",7.5,IF(H3082="EIF",5.4)))))))</f>
        <v/>
      </c>
      <c r="M3082" s="112" t="str">
        <f t="shared" si="51"/>
        <v/>
      </c>
      <c r="N3082" s="113"/>
    </row>
    <row r="3083" spans="2:14">
      <c r="B3083" s="105"/>
      <c r="C3083" s="106"/>
      <c r="D3083" s="107"/>
      <c r="E3083" s="65"/>
      <c r="F3083" s="64"/>
      <c r="G3083" s="64"/>
      <c r="H3083" s="64"/>
      <c r="I3083" s="70"/>
      <c r="J3083" s="70"/>
      <c r="K3083" s="110" t="str">
        <f>IF(H3083="","",IF($C$29="간이법","",FPR(H3083,I3083,J3083)))</f>
        <v/>
      </c>
      <c r="L3083" s="111" t="str">
        <f>IF(H3083="","",IF($C$29="상세법",FPV(H3083,K3083),IF(H3083="EI",4,IF(H3083="EO",5.2,IF(H3083="EQ",3.9,IF(H3083="ILF",7.5,IF(H3083="EIF",5.4)))))))</f>
        <v/>
      </c>
      <c r="M3083" s="112" t="str">
        <f t="shared" si="51"/>
        <v/>
      </c>
      <c r="N3083" s="113"/>
    </row>
    <row r="3084" spans="2:14">
      <c r="B3084" s="105"/>
      <c r="C3084" s="106"/>
      <c r="D3084" s="107"/>
      <c r="E3084" s="65"/>
      <c r="F3084" s="64"/>
      <c r="G3084" s="64"/>
      <c r="H3084" s="64"/>
      <c r="I3084" s="70"/>
      <c r="J3084" s="70"/>
      <c r="K3084" s="110" t="str">
        <f>IF(H3084="","",IF($C$29="간이법","",FPR(H3084,I3084,J3084)))</f>
        <v/>
      </c>
      <c r="L3084" s="111" t="str">
        <f>IF(H3084="","",IF($C$29="상세법",FPV(H3084,K3084),IF(H3084="EI",4,IF(H3084="EO",5.2,IF(H3084="EQ",3.9,IF(H3084="ILF",7.5,IF(H3084="EIF",5.4)))))))</f>
        <v/>
      </c>
      <c r="M3084" s="112" t="str">
        <f t="shared" si="51"/>
        <v/>
      </c>
      <c r="N3084" s="113"/>
    </row>
    <row r="3085" spans="2:14">
      <c r="B3085" s="105"/>
      <c r="C3085" s="106"/>
      <c r="D3085" s="107"/>
      <c r="E3085" s="65"/>
      <c r="F3085" s="64"/>
      <c r="G3085" s="64"/>
      <c r="H3085" s="64"/>
      <c r="I3085" s="70"/>
      <c r="J3085" s="70"/>
      <c r="K3085" s="110" t="str">
        <f>IF(H3085="","",IF($C$29="간이법","",FPR(H3085,I3085,J3085)))</f>
        <v/>
      </c>
      <c r="L3085" s="111" t="str">
        <f>IF(H3085="","",IF($C$29="상세법",FPV(H3085,K3085),IF(H3085="EI",4,IF(H3085="EO",5.2,IF(H3085="EQ",3.9,IF(H3085="ILF",7.5,IF(H3085="EIF",5.4)))))))</f>
        <v/>
      </c>
      <c r="M3085" s="112" t="str">
        <f t="shared" si="51"/>
        <v/>
      </c>
      <c r="N3085" s="113"/>
    </row>
    <row r="3086" spans="2:14">
      <c r="B3086" s="105"/>
      <c r="C3086" s="106"/>
      <c r="D3086" s="107"/>
      <c r="E3086" s="65"/>
      <c r="F3086" s="64"/>
      <c r="G3086" s="64"/>
      <c r="H3086" s="64"/>
      <c r="I3086" s="70"/>
      <c r="J3086" s="70"/>
      <c r="K3086" s="110" t="str">
        <f>IF(H3086="","",IF($C$29="간이법","",FPR(H3086,I3086,J3086)))</f>
        <v/>
      </c>
      <c r="L3086" s="111" t="str">
        <f>IF(H3086="","",IF($C$29="상세법",FPV(H3086,K3086),IF(H3086="EI",4,IF(H3086="EO",5.2,IF(H3086="EQ",3.9,IF(H3086="ILF",7.5,IF(H3086="EIF",5.4)))))))</f>
        <v/>
      </c>
      <c r="M3086" s="112" t="str">
        <f t="shared" si="51"/>
        <v/>
      </c>
      <c r="N3086" s="113"/>
    </row>
    <row r="3087" spans="2:14">
      <c r="B3087" s="105"/>
      <c r="C3087" s="106"/>
      <c r="D3087" s="107"/>
      <c r="E3087" s="65"/>
      <c r="F3087" s="64"/>
      <c r="G3087" s="64"/>
      <c r="H3087" s="64"/>
      <c r="I3087" s="70"/>
      <c r="J3087" s="70"/>
      <c r="K3087" s="110" t="str">
        <f>IF(H3087="","",IF($C$29="간이법","",FPR(H3087,I3087,J3087)))</f>
        <v/>
      </c>
      <c r="L3087" s="111" t="str">
        <f>IF(H3087="","",IF($C$29="상세법",FPV(H3087,K3087),IF(H3087="EI",4,IF(H3087="EO",5.2,IF(H3087="EQ",3.9,IF(H3087="ILF",7.5,IF(H3087="EIF",5.4)))))))</f>
        <v/>
      </c>
      <c r="M3087" s="112" t="str">
        <f t="shared" si="51"/>
        <v/>
      </c>
      <c r="N3087" s="113"/>
    </row>
    <row r="3088" spans="2:14">
      <c r="B3088" s="105"/>
      <c r="C3088" s="106"/>
      <c r="D3088" s="107"/>
      <c r="E3088" s="65"/>
      <c r="F3088" s="64"/>
      <c r="G3088" s="64"/>
      <c r="H3088" s="64"/>
      <c r="I3088" s="70"/>
      <c r="J3088" s="70"/>
      <c r="K3088" s="110" t="str">
        <f>IF(H3088="","",IF($C$29="간이법","",FPR(H3088,I3088,J3088)))</f>
        <v/>
      </c>
      <c r="L3088" s="111" t="str">
        <f>IF(H3088="","",IF($C$29="상세법",FPV(H3088,K3088),IF(H3088="EI",4,IF(H3088="EO",5.2,IF(H3088="EQ",3.9,IF(H3088="ILF",7.5,IF(H3088="EIF",5.4)))))))</f>
        <v/>
      </c>
      <c r="M3088" s="112" t="str">
        <f t="shared" si="51"/>
        <v/>
      </c>
      <c r="N3088" s="113"/>
    </row>
    <row r="3089" spans="2:14">
      <c r="B3089" s="105"/>
      <c r="C3089" s="106"/>
      <c r="D3089" s="107"/>
      <c r="E3089" s="65"/>
      <c r="F3089" s="64"/>
      <c r="G3089" s="64"/>
      <c r="H3089" s="64"/>
      <c r="I3089" s="70"/>
      <c r="J3089" s="70"/>
      <c r="K3089" s="110" t="str">
        <f>IF(H3089="","",IF($C$29="간이법","",FPR(H3089,I3089,J3089)))</f>
        <v/>
      </c>
      <c r="L3089" s="111" t="str">
        <f>IF(H3089="","",IF($C$29="상세법",FPV(H3089,K3089),IF(H3089="EI",4,IF(H3089="EO",5.2,IF(H3089="EQ",3.9,IF(H3089="ILF",7.5,IF(H3089="EIF",5.4)))))))</f>
        <v/>
      </c>
      <c r="M3089" s="112" t="str">
        <f t="shared" si="51"/>
        <v/>
      </c>
      <c r="N3089" s="113"/>
    </row>
    <row r="3090" spans="2:14">
      <c r="B3090" s="105"/>
      <c r="C3090" s="106"/>
      <c r="D3090" s="107"/>
      <c r="E3090" s="65"/>
      <c r="F3090" s="64"/>
      <c r="G3090" s="64"/>
      <c r="H3090" s="64"/>
      <c r="I3090" s="70"/>
      <c r="J3090" s="70"/>
      <c r="K3090" s="110" t="str">
        <f>IF(H3090="","",IF($C$29="간이법","",FPR(H3090,I3090,J3090)))</f>
        <v/>
      </c>
      <c r="L3090" s="111" t="str">
        <f>IF(H3090="","",IF($C$29="상세법",FPV(H3090,K3090),IF(H3090="EI",4,IF(H3090="EO",5.2,IF(H3090="EQ",3.9,IF(H3090="ILF",7.5,IF(H3090="EIF",5.4)))))))</f>
        <v/>
      </c>
      <c r="M3090" s="112" t="str">
        <f t="shared" si="51"/>
        <v/>
      </c>
      <c r="N3090" s="113"/>
    </row>
    <row r="3091" spans="2:14">
      <c r="B3091" s="105"/>
      <c r="C3091" s="106"/>
      <c r="D3091" s="107"/>
      <c r="E3091" s="65"/>
      <c r="F3091" s="64"/>
      <c r="G3091" s="64"/>
      <c r="H3091" s="64"/>
      <c r="I3091" s="70"/>
      <c r="J3091" s="70"/>
      <c r="K3091" s="110" t="str">
        <f>IF(H3091="","",IF($C$29="간이법","",FPR(H3091,I3091,J3091)))</f>
        <v/>
      </c>
      <c r="L3091" s="111" t="str">
        <f>IF(H3091="","",IF($C$29="상세법",FPV(H3091,K3091),IF(H3091="EI",4,IF(H3091="EO",5.2,IF(H3091="EQ",3.9,IF(H3091="ILF",7.5,IF(H3091="EIF",5.4)))))))</f>
        <v/>
      </c>
      <c r="M3091" s="112" t="str">
        <f t="shared" si="51"/>
        <v/>
      </c>
      <c r="N3091" s="113"/>
    </row>
    <row r="3092" spans="2:14">
      <c r="B3092" s="105"/>
      <c r="C3092" s="106"/>
      <c r="D3092" s="107"/>
      <c r="E3092" s="65"/>
      <c r="F3092" s="64"/>
      <c r="G3092" s="64"/>
      <c r="H3092" s="64"/>
      <c r="I3092" s="70"/>
      <c r="J3092" s="70"/>
      <c r="K3092" s="110" t="str">
        <f>IF(H3092="","",IF($C$29="간이법","",FPR(H3092,I3092,J3092)))</f>
        <v/>
      </c>
      <c r="L3092" s="111" t="str">
        <f>IF(H3092="","",IF($C$29="상세법",FPV(H3092,K3092),IF(H3092="EI",4,IF(H3092="EO",5.2,IF(H3092="EQ",3.9,IF(H3092="ILF",7.5,IF(H3092="EIF",5.4)))))))</f>
        <v/>
      </c>
      <c r="M3092" s="112" t="str">
        <f t="shared" si="51"/>
        <v/>
      </c>
      <c r="N3092" s="113"/>
    </row>
    <row r="3093" spans="2:14">
      <c r="B3093" s="105"/>
      <c r="C3093" s="106"/>
      <c r="D3093" s="107"/>
      <c r="E3093" s="65"/>
      <c r="F3093" s="64"/>
      <c r="G3093" s="64"/>
      <c r="H3093" s="64"/>
      <c r="I3093" s="70"/>
      <c r="J3093" s="70"/>
      <c r="K3093" s="110" t="str">
        <f>IF(H3093="","",IF($C$29="간이법","",FPR(H3093,I3093,J3093)))</f>
        <v/>
      </c>
      <c r="L3093" s="111" t="str">
        <f>IF(H3093="","",IF($C$29="상세법",FPV(H3093,K3093),IF(H3093="EI",4,IF(H3093="EO",5.2,IF(H3093="EQ",3.9,IF(H3093="ILF",7.5,IF(H3093="EIF",5.4)))))))</f>
        <v/>
      </c>
      <c r="M3093" s="112" t="str">
        <f t="shared" si="51"/>
        <v/>
      </c>
      <c r="N3093" s="113"/>
    </row>
    <row r="3094" spans="2:14">
      <c r="B3094" s="105"/>
      <c r="C3094" s="106"/>
      <c r="D3094" s="107"/>
      <c r="E3094" s="65"/>
      <c r="F3094" s="64"/>
      <c r="G3094" s="64"/>
      <c r="H3094" s="64"/>
      <c r="I3094" s="70"/>
      <c r="J3094" s="70"/>
      <c r="K3094" s="110" t="str">
        <f>IF(H3094="","",IF($C$29="간이법","",FPR(H3094,I3094,J3094)))</f>
        <v/>
      </c>
      <c r="L3094" s="111" t="str">
        <f>IF(H3094="","",IF($C$29="상세법",FPV(H3094,K3094),IF(H3094="EI",4,IF(H3094="EO",5.2,IF(H3094="EQ",3.9,IF(H3094="ILF",7.5,IF(H3094="EIF",5.4)))))))</f>
        <v/>
      </c>
      <c r="M3094" s="112" t="str">
        <f t="shared" si="51"/>
        <v/>
      </c>
      <c r="N3094" s="113"/>
    </row>
    <row r="3095" spans="2:14">
      <c r="B3095" s="105"/>
      <c r="C3095" s="106"/>
      <c r="D3095" s="107"/>
      <c r="E3095" s="65"/>
      <c r="F3095" s="64"/>
      <c r="G3095" s="64"/>
      <c r="H3095" s="64"/>
      <c r="I3095" s="70"/>
      <c r="J3095" s="70"/>
      <c r="K3095" s="110" t="str">
        <f>IF(H3095="","",IF($C$29="간이법","",FPR(H3095,I3095,J3095)))</f>
        <v/>
      </c>
      <c r="L3095" s="111" t="str">
        <f>IF(H3095="","",IF($C$29="상세법",FPV(H3095,K3095),IF(H3095="EI",4,IF(H3095="EO",5.2,IF(H3095="EQ",3.9,IF(H3095="ILF",7.5,IF(H3095="EIF",5.4)))))))</f>
        <v/>
      </c>
      <c r="M3095" s="112" t="str">
        <f t="shared" si="51"/>
        <v/>
      </c>
      <c r="N3095" s="113"/>
    </row>
    <row r="3096" spans="2:14">
      <c r="B3096" s="105"/>
      <c r="C3096" s="106"/>
      <c r="D3096" s="107"/>
      <c r="E3096" s="65"/>
      <c r="F3096" s="64"/>
      <c r="G3096" s="64"/>
      <c r="H3096" s="64"/>
      <c r="I3096" s="70"/>
      <c r="J3096" s="70"/>
      <c r="K3096" s="110" t="str">
        <f>IF(H3096="","",IF($C$29="간이법","",FPR(H3096,I3096,J3096)))</f>
        <v/>
      </c>
      <c r="L3096" s="111" t="str">
        <f>IF(H3096="","",IF($C$29="상세법",FPV(H3096,K3096),IF(H3096="EI",4,IF(H3096="EO",5.2,IF(H3096="EQ",3.9,IF(H3096="ILF",7.5,IF(H3096="EIF",5.4)))))))</f>
        <v/>
      </c>
      <c r="M3096" s="112" t="str">
        <f t="shared" si="51"/>
        <v/>
      </c>
      <c r="N3096" s="113"/>
    </row>
    <row r="3097" spans="2:14">
      <c r="B3097" s="105"/>
      <c r="C3097" s="106"/>
      <c r="D3097" s="107"/>
      <c r="E3097" s="65"/>
      <c r="F3097" s="64"/>
      <c r="G3097" s="64"/>
      <c r="H3097" s="64"/>
      <c r="I3097" s="70"/>
      <c r="J3097" s="70"/>
      <c r="K3097" s="110" t="str">
        <f>IF(H3097="","",IF($C$29="간이법","",FPR(H3097,I3097,J3097)))</f>
        <v/>
      </c>
      <c r="L3097" s="111" t="str">
        <f>IF(H3097="","",IF($C$29="상세법",FPV(H3097,K3097),IF(H3097="EI",4,IF(H3097="EO",5.2,IF(H3097="EQ",3.9,IF(H3097="ILF",7.5,IF(H3097="EIF",5.4)))))))</f>
        <v/>
      </c>
      <c r="M3097" s="112" t="str">
        <f t="shared" si="51"/>
        <v/>
      </c>
      <c r="N3097" s="113"/>
    </row>
    <row r="3098" spans="2:14">
      <c r="B3098" s="105"/>
      <c r="C3098" s="106"/>
      <c r="D3098" s="107"/>
      <c r="E3098" s="65"/>
      <c r="F3098" s="64"/>
      <c r="G3098" s="64"/>
      <c r="H3098" s="64"/>
      <c r="I3098" s="70"/>
      <c r="J3098" s="70"/>
      <c r="K3098" s="110" t="str">
        <f>IF(H3098="","",IF($C$29="간이법","",FPR(H3098,I3098,J3098)))</f>
        <v/>
      </c>
      <c r="L3098" s="111" t="str">
        <f>IF(H3098="","",IF($C$29="상세법",FPV(H3098,K3098),IF(H3098="EI",4,IF(H3098="EO",5.2,IF(H3098="EQ",3.9,IF(H3098="ILF",7.5,IF(H3098="EIF",5.4)))))))</f>
        <v/>
      </c>
      <c r="M3098" s="112" t="str">
        <f t="shared" si="51"/>
        <v/>
      </c>
      <c r="N3098" s="113"/>
    </row>
    <row r="3099" spans="2:14">
      <c r="B3099" s="105"/>
      <c r="C3099" s="106"/>
      <c r="D3099" s="107"/>
      <c r="E3099" s="65"/>
      <c r="F3099" s="64"/>
      <c r="G3099" s="64"/>
      <c r="H3099" s="64"/>
      <c r="I3099" s="70"/>
      <c r="J3099" s="70"/>
      <c r="K3099" s="110" t="str">
        <f>IF(H3099="","",IF($C$29="간이법","",FPR(H3099,I3099,J3099)))</f>
        <v/>
      </c>
      <c r="L3099" s="111" t="str">
        <f>IF(H3099="","",IF($C$29="상세법",FPV(H3099,K3099),IF(H3099="EI",4,IF(H3099="EO",5.2,IF(H3099="EQ",3.9,IF(H3099="ILF",7.5,IF(H3099="EIF",5.4)))))))</f>
        <v/>
      </c>
      <c r="M3099" s="112" t="str">
        <f t="shared" si="51"/>
        <v/>
      </c>
      <c r="N3099" s="113"/>
    </row>
    <row r="3100" spans="2:14">
      <c r="B3100" s="105"/>
      <c r="C3100" s="106"/>
      <c r="D3100" s="107"/>
      <c r="E3100" s="65"/>
      <c r="F3100" s="64"/>
      <c r="G3100" s="64"/>
      <c r="H3100" s="64"/>
      <c r="I3100" s="70"/>
      <c r="J3100" s="70"/>
      <c r="K3100" s="110" t="str">
        <f>IF(H3100="","",IF($C$29="간이법","",FPR(H3100,I3100,J3100)))</f>
        <v/>
      </c>
      <c r="L3100" s="111" t="str">
        <f>IF(H3100="","",IF($C$29="상세법",FPV(H3100,K3100),IF(H3100="EI",4,IF(H3100="EO",5.2,IF(H3100="EQ",3.9,IF(H3100="ILF",7.5,IF(H3100="EIF",5.4)))))))</f>
        <v/>
      </c>
      <c r="M3100" s="112" t="str">
        <f t="shared" si="51"/>
        <v/>
      </c>
      <c r="N3100" s="113"/>
    </row>
    <row r="3101" spans="2:14">
      <c r="B3101" s="105"/>
      <c r="C3101" s="106"/>
      <c r="D3101" s="107"/>
      <c r="E3101" s="65"/>
      <c r="F3101" s="64"/>
      <c r="G3101" s="64"/>
      <c r="H3101" s="64"/>
      <c r="I3101" s="70"/>
      <c r="J3101" s="70"/>
      <c r="K3101" s="110" t="str">
        <f>IF(H3101="","",IF($C$29="간이법","",FPR(H3101,I3101,J3101)))</f>
        <v/>
      </c>
      <c r="L3101" s="111" t="str">
        <f>IF(H3101="","",IF($C$29="상세법",FPV(H3101,K3101),IF(H3101="EI",4,IF(H3101="EO",5.2,IF(H3101="EQ",3.9,IF(H3101="ILF",7.5,IF(H3101="EIF",5.4)))))))</f>
        <v/>
      </c>
      <c r="M3101" s="112" t="str">
        <f t="shared" si="51"/>
        <v/>
      </c>
      <c r="N3101" s="113"/>
    </row>
    <row r="3102" spans="2:14">
      <c r="B3102" s="105"/>
      <c r="C3102" s="106"/>
      <c r="D3102" s="107"/>
      <c r="E3102" s="65"/>
      <c r="F3102" s="64"/>
      <c r="G3102" s="64"/>
      <c r="H3102" s="64"/>
      <c r="I3102" s="70"/>
      <c r="J3102" s="70"/>
      <c r="K3102" s="110" t="str">
        <f>IF(H3102="","",IF($C$29="간이법","",FPR(H3102,I3102,J3102)))</f>
        <v/>
      </c>
      <c r="L3102" s="111" t="str">
        <f>IF(H3102="","",IF($C$29="상세법",FPV(H3102,K3102),IF(H3102="EI",4,IF(H3102="EO",5.2,IF(H3102="EQ",3.9,IF(H3102="ILF",7.5,IF(H3102="EIF",5.4)))))))</f>
        <v/>
      </c>
      <c r="M3102" s="112" t="str">
        <f t="shared" si="51"/>
        <v/>
      </c>
      <c r="N3102" s="113"/>
    </row>
    <row r="3103" spans="2:14">
      <c r="B3103" s="105"/>
      <c r="C3103" s="106"/>
      <c r="D3103" s="107"/>
      <c r="E3103" s="65"/>
      <c r="F3103" s="64"/>
      <c r="G3103" s="64"/>
      <c r="H3103" s="64"/>
      <c r="I3103" s="70"/>
      <c r="J3103" s="70"/>
      <c r="K3103" s="110" t="str">
        <f>IF(H3103="","",IF($C$29="간이법","",FPR(H3103,I3103,J3103)))</f>
        <v/>
      </c>
      <c r="L3103" s="111" t="str">
        <f>IF(H3103="","",IF($C$29="상세법",FPV(H3103,K3103),IF(H3103="EI",4,IF(H3103="EO",5.2,IF(H3103="EQ",3.9,IF(H3103="ILF",7.5,IF(H3103="EIF",5.4)))))))</f>
        <v/>
      </c>
      <c r="M3103" s="112" t="str">
        <f t="shared" si="51"/>
        <v/>
      </c>
      <c r="N3103" s="113"/>
    </row>
    <row r="3104" spans="2:14">
      <c r="B3104" s="105"/>
      <c r="C3104" s="106"/>
      <c r="D3104" s="107"/>
      <c r="E3104" s="65"/>
      <c r="F3104" s="64"/>
      <c r="G3104" s="64"/>
      <c r="H3104" s="64"/>
      <c r="I3104" s="70"/>
      <c r="J3104" s="70"/>
      <c r="K3104" s="110" t="str">
        <f>IF(H3104="","",IF($C$29="간이법","",FPR(H3104,I3104,J3104)))</f>
        <v/>
      </c>
      <c r="L3104" s="111" t="str">
        <f>IF(H3104="","",IF($C$29="상세법",FPV(H3104,K3104),IF(H3104="EI",4,IF(H3104="EO",5.2,IF(H3104="EQ",3.9,IF(H3104="ILF",7.5,IF(H3104="EIF",5.4)))))))</f>
        <v/>
      </c>
      <c r="M3104" s="112" t="str">
        <f t="shared" si="51"/>
        <v/>
      </c>
      <c r="N3104" s="113"/>
    </row>
    <row r="3105" spans="2:14">
      <c r="B3105" s="105"/>
      <c r="C3105" s="106"/>
      <c r="D3105" s="107"/>
      <c r="E3105" s="65"/>
      <c r="F3105" s="64"/>
      <c r="G3105" s="64"/>
      <c r="H3105" s="64"/>
      <c r="I3105" s="70"/>
      <c r="J3105" s="70"/>
      <c r="K3105" s="110" t="str">
        <f>IF(H3105="","",IF($C$29="간이법","",FPR(H3105,I3105,J3105)))</f>
        <v/>
      </c>
      <c r="L3105" s="111" t="str">
        <f>IF(H3105="","",IF($C$29="상세법",FPV(H3105,K3105),IF(H3105="EI",4,IF(H3105="EO",5.2,IF(H3105="EQ",3.9,IF(H3105="ILF",7.5,IF(H3105="EIF",5.4)))))))</f>
        <v/>
      </c>
      <c r="M3105" s="112" t="str">
        <f t="shared" si="51"/>
        <v/>
      </c>
      <c r="N3105" s="113"/>
    </row>
    <row r="3106" spans="2:14">
      <c r="B3106" s="105"/>
      <c r="C3106" s="106"/>
      <c r="D3106" s="107"/>
      <c r="E3106" s="65"/>
      <c r="F3106" s="64"/>
      <c r="G3106" s="64"/>
      <c r="H3106" s="64"/>
      <c r="I3106" s="70"/>
      <c r="J3106" s="70"/>
      <c r="K3106" s="110" t="str">
        <f>IF(H3106="","",IF($C$29="간이법","",FPR(H3106,I3106,J3106)))</f>
        <v/>
      </c>
      <c r="L3106" s="111" t="str">
        <f>IF(H3106="","",IF($C$29="상세법",FPV(H3106,K3106),IF(H3106="EI",4,IF(H3106="EO",5.2,IF(H3106="EQ",3.9,IF(H3106="ILF",7.5,IF(H3106="EIF",5.4)))))))</f>
        <v/>
      </c>
      <c r="M3106" s="112" t="str">
        <f t="shared" si="51"/>
        <v/>
      </c>
      <c r="N3106" s="113"/>
    </row>
    <row r="3107" spans="2:14">
      <c r="B3107" s="105"/>
      <c r="C3107" s="106"/>
      <c r="D3107" s="107"/>
      <c r="E3107" s="65"/>
      <c r="F3107" s="64"/>
      <c r="G3107" s="64"/>
      <c r="H3107" s="64"/>
      <c r="I3107" s="70"/>
      <c r="J3107" s="70"/>
      <c r="K3107" s="110" t="str">
        <f>IF(H3107="","",IF($C$29="간이법","",FPR(H3107,I3107,J3107)))</f>
        <v/>
      </c>
      <c r="L3107" s="111" t="str">
        <f>IF(H3107="","",IF($C$29="상세법",FPV(H3107,K3107),IF(H3107="EI",4,IF(H3107="EO",5.2,IF(H3107="EQ",3.9,IF(H3107="ILF",7.5,IF(H3107="EIF",5.4)))))))</f>
        <v/>
      </c>
      <c r="M3107" s="112" t="str">
        <f t="shared" si="51"/>
        <v/>
      </c>
      <c r="N3107" s="113"/>
    </row>
    <row r="3108" spans="2:14">
      <c r="B3108" s="105"/>
      <c r="C3108" s="106"/>
      <c r="D3108" s="107"/>
      <c r="E3108" s="65"/>
      <c r="F3108" s="64"/>
      <c r="G3108" s="64"/>
      <c r="H3108" s="64"/>
      <c r="I3108" s="70"/>
      <c r="J3108" s="70"/>
      <c r="K3108" s="110" t="str">
        <f>IF(H3108="","",IF($C$29="간이법","",FPR(H3108,I3108,J3108)))</f>
        <v/>
      </c>
      <c r="L3108" s="111" t="str">
        <f>IF(H3108="","",IF($C$29="상세법",FPV(H3108,K3108),IF(H3108="EI",4,IF(H3108="EO",5.2,IF(H3108="EQ",3.9,IF(H3108="ILF",7.5,IF(H3108="EIF",5.4)))))))</f>
        <v/>
      </c>
      <c r="M3108" s="112" t="str">
        <f t="shared" si="51"/>
        <v/>
      </c>
      <c r="N3108" s="113"/>
    </row>
    <row r="3109" spans="2:14">
      <c r="B3109" s="105"/>
      <c r="C3109" s="106"/>
      <c r="D3109" s="107"/>
      <c r="E3109" s="65"/>
      <c r="F3109" s="64"/>
      <c r="G3109" s="64"/>
      <c r="H3109" s="64"/>
      <c r="I3109" s="70"/>
      <c r="J3109" s="70"/>
      <c r="K3109" s="110" t="str">
        <f>IF(H3109="","",IF($C$29="간이법","",FPR(H3109,I3109,J3109)))</f>
        <v/>
      </c>
      <c r="L3109" s="111" t="str">
        <f>IF(H3109="","",IF($C$29="상세법",FPV(H3109,K3109),IF(H3109="EI",4,IF(H3109="EO",5.2,IF(H3109="EQ",3.9,IF(H3109="ILF",7.5,IF(H3109="EIF",5.4)))))))</f>
        <v/>
      </c>
      <c r="M3109" s="112" t="str">
        <f t="shared" si="51"/>
        <v/>
      </c>
      <c r="N3109" s="113"/>
    </row>
    <row r="3110" spans="2:14">
      <c r="B3110" s="105"/>
      <c r="C3110" s="106"/>
      <c r="D3110" s="107"/>
      <c r="E3110" s="65"/>
      <c r="F3110" s="64"/>
      <c r="G3110" s="64"/>
      <c r="H3110" s="64"/>
      <c r="I3110" s="70"/>
      <c r="J3110" s="70"/>
      <c r="K3110" s="110" t="str">
        <f>IF(H3110="","",IF($C$29="간이법","",FPR(H3110,I3110,J3110)))</f>
        <v/>
      </c>
      <c r="L3110" s="111" t="str">
        <f>IF(H3110="","",IF($C$29="상세법",FPV(H3110,K3110),IF(H3110="EI",4,IF(H3110="EO",5.2,IF(H3110="EQ",3.9,IF(H3110="ILF",7.5,IF(H3110="EIF",5.4)))))))</f>
        <v/>
      </c>
      <c r="M3110" s="112" t="str">
        <f t="shared" si="51"/>
        <v/>
      </c>
      <c r="N3110" s="113"/>
    </row>
    <row r="3111" spans="2:14">
      <c r="B3111" s="105"/>
      <c r="C3111" s="106"/>
      <c r="D3111" s="107"/>
      <c r="E3111" s="65"/>
      <c r="F3111" s="64"/>
      <c r="G3111" s="64"/>
      <c r="H3111" s="64"/>
      <c r="I3111" s="70"/>
      <c r="J3111" s="70"/>
      <c r="K3111" s="110" t="str">
        <f>IF(H3111="","",IF($C$29="간이법","",FPR(H3111,I3111,J3111)))</f>
        <v/>
      </c>
      <c r="L3111" s="111" t="str">
        <f>IF(H3111="","",IF($C$29="상세법",FPV(H3111,K3111),IF(H3111="EI",4,IF(H3111="EO",5.2,IF(H3111="EQ",3.9,IF(H3111="ILF",7.5,IF(H3111="EIF",5.4)))))))</f>
        <v/>
      </c>
      <c r="M3111" s="112" t="str">
        <f t="shared" si="51"/>
        <v/>
      </c>
      <c r="N3111" s="113"/>
    </row>
    <row r="3112" spans="2:14">
      <c r="B3112" s="105"/>
      <c r="C3112" s="106"/>
      <c r="D3112" s="107"/>
      <c r="E3112" s="65"/>
      <c r="F3112" s="64"/>
      <c r="G3112" s="64"/>
      <c r="H3112" s="64"/>
      <c r="I3112" s="70"/>
      <c r="J3112" s="70"/>
      <c r="K3112" s="110" t="str">
        <f>IF(H3112="","",IF($C$29="간이법","",FPR(H3112,I3112,J3112)))</f>
        <v/>
      </c>
      <c r="L3112" s="111" t="str">
        <f>IF(H3112="","",IF($C$29="상세법",FPV(H3112,K3112),IF(H3112="EI",4,IF(H3112="EO",5.2,IF(H3112="EQ",3.9,IF(H3112="ILF",7.5,IF(H3112="EIF",5.4)))))))</f>
        <v/>
      </c>
      <c r="M3112" s="112" t="str">
        <f t="shared" si="51"/>
        <v/>
      </c>
      <c r="N3112" s="113"/>
    </row>
    <row r="3113" spans="2:14">
      <c r="B3113" s="105"/>
      <c r="C3113" s="106"/>
      <c r="D3113" s="107"/>
      <c r="E3113" s="65"/>
      <c r="F3113" s="64"/>
      <c r="G3113" s="64"/>
      <c r="H3113" s="64"/>
      <c r="I3113" s="70"/>
      <c r="J3113" s="70"/>
      <c r="K3113" s="110" t="str">
        <f>IF(H3113="","",IF($C$29="간이법","",FPR(H3113,I3113,J3113)))</f>
        <v/>
      </c>
      <c r="L3113" s="111" t="str">
        <f>IF(H3113="","",IF($C$29="상세법",FPV(H3113,K3113),IF(H3113="EI",4,IF(H3113="EO",5.2,IF(H3113="EQ",3.9,IF(H3113="ILF",7.5,IF(H3113="EIF",5.4)))))))</f>
        <v/>
      </c>
      <c r="M3113" s="112" t="str">
        <f t="shared" si="51"/>
        <v/>
      </c>
      <c r="N3113" s="113"/>
    </row>
    <row r="3114" spans="2:14">
      <c r="B3114" s="105"/>
      <c r="C3114" s="106"/>
      <c r="D3114" s="107"/>
      <c r="E3114" s="65"/>
      <c r="F3114" s="64"/>
      <c r="G3114" s="64"/>
      <c r="H3114" s="64"/>
      <c r="I3114" s="70"/>
      <c r="J3114" s="70"/>
      <c r="K3114" s="110" t="str">
        <f>IF(H3114="","",IF($C$29="간이법","",FPR(H3114,I3114,J3114)))</f>
        <v/>
      </c>
      <c r="L3114" s="111" t="str">
        <f>IF(H3114="","",IF($C$29="상세법",FPV(H3114,K3114),IF(H3114="EI",4,IF(H3114="EO",5.2,IF(H3114="EQ",3.9,IF(H3114="ILF",7.5,IF(H3114="EIF",5.4)))))))</f>
        <v/>
      </c>
      <c r="M3114" s="112" t="str">
        <f t="shared" si="51"/>
        <v/>
      </c>
      <c r="N3114" s="113"/>
    </row>
    <row r="3115" spans="2:14">
      <c r="B3115" s="105"/>
      <c r="C3115" s="106"/>
      <c r="D3115" s="107"/>
      <c r="E3115" s="65"/>
      <c r="F3115" s="64"/>
      <c r="G3115" s="64"/>
      <c r="H3115" s="64"/>
      <c r="I3115" s="70"/>
      <c r="J3115" s="70"/>
      <c r="K3115" s="110" t="str">
        <f>IF(H3115="","",IF($C$29="간이법","",FPR(H3115,I3115,J3115)))</f>
        <v/>
      </c>
      <c r="L3115" s="111" t="str">
        <f>IF(H3115="","",IF($C$29="상세법",FPV(H3115,K3115),IF(H3115="EI",4,IF(H3115="EO",5.2,IF(H3115="EQ",3.9,IF(H3115="ILF",7.5,IF(H3115="EIF",5.4)))))))</f>
        <v/>
      </c>
      <c r="M3115" s="112" t="str">
        <f t="shared" si="51"/>
        <v/>
      </c>
      <c r="N3115" s="113"/>
    </row>
    <row r="3116" spans="2:14">
      <c r="B3116" s="105"/>
      <c r="C3116" s="106"/>
      <c r="D3116" s="107"/>
      <c r="E3116" s="65"/>
      <c r="F3116" s="64"/>
      <c r="G3116" s="64"/>
      <c r="H3116" s="64"/>
      <c r="I3116" s="70"/>
      <c r="J3116" s="70"/>
      <c r="K3116" s="110" t="str">
        <f>IF(H3116="","",IF($C$29="간이법","",FPR(H3116,I3116,J3116)))</f>
        <v/>
      </c>
      <c r="L3116" s="111" t="str">
        <f>IF(H3116="","",IF($C$29="상세법",FPV(H3116,K3116),IF(H3116="EI",4,IF(H3116="EO",5.2,IF(H3116="EQ",3.9,IF(H3116="ILF",7.5,IF(H3116="EIF",5.4)))))))</f>
        <v/>
      </c>
      <c r="M3116" s="112" t="str">
        <f t="shared" si="51"/>
        <v/>
      </c>
      <c r="N3116" s="113"/>
    </row>
    <row r="3117" spans="2:14">
      <c r="B3117" s="105"/>
      <c r="C3117" s="106"/>
      <c r="D3117" s="107"/>
      <c r="E3117" s="65"/>
      <c r="F3117" s="64"/>
      <c r="G3117" s="64"/>
      <c r="H3117" s="64"/>
      <c r="I3117" s="70"/>
      <c r="J3117" s="70"/>
      <c r="K3117" s="110" t="str">
        <f>IF(H3117="","",IF($C$29="간이법","",FPR(H3117,I3117,J3117)))</f>
        <v/>
      </c>
      <c r="L3117" s="111" t="str">
        <f>IF(H3117="","",IF($C$29="상세법",FPV(H3117,K3117),IF(H3117="EI",4,IF(H3117="EO",5.2,IF(H3117="EQ",3.9,IF(H3117="ILF",7.5,IF(H3117="EIF",5.4)))))))</f>
        <v/>
      </c>
      <c r="M3117" s="112" t="str">
        <f t="shared" si="51"/>
        <v/>
      </c>
      <c r="N3117" s="113"/>
    </row>
    <row r="3118" spans="2:14">
      <c r="B3118" s="105"/>
      <c r="C3118" s="106"/>
      <c r="D3118" s="107"/>
      <c r="E3118" s="65"/>
      <c r="F3118" s="64"/>
      <c r="G3118" s="64"/>
      <c r="H3118" s="64"/>
      <c r="I3118" s="70"/>
      <c r="J3118" s="70"/>
      <c r="K3118" s="110" t="str">
        <f>IF(H3118="","",IF($C$29="간이법","",FPR(H3118,I3118,J3118)))</f>
        <v/>
      </c>
      <c r="L3118" s="111" t="str">
        <f>IF(H3118="","",IF($C$29="상세법",FPV(H3118,K3118),IF(H3118="EI",4,IF(H3118="EO",5.2,IF(H3118="EQ",3.9,IF(H3118="ILF",7.5,IF(H3118="EIF",5.4)))))))</f>
        <v/>
      </c>
      <c r="M3118" s="112" t="str">
        <f t="shared" si="51"/>
        <v/>
      </c>
      <c r="N3118" s="113"/>
    </row>
    <row r="3119" spans="2:14">
      <c r="B3119" s="105"/>
      <c r="C3119" s="106"/>
      <c r="D3119" s="107"/>
      <c r="E3119" s="65"/>
      <c r="F3119" s="64"/>
      <c r="G3119" s="64"/>
      <c r="H3119" s="64"/>
      <c r="I3119" s="70"/>
      <c r="J3119" s="70"/>
      <c r="K3119" s="110" t="str">
        <f>IF(H3119="","",IF($C$29="간이법","",FPR(H3119,I3119,J3119)))</f>
        <v/>
      </c>
      <c r="L3119" s="111" t="str">
        <f>IF(H3119="","",IF($C$29="상세법",FPV(H3119,K3119),IF(H3119="EI",4,IF(H3119="EO",5.2,IF(H3119="EQ",3.9,IF(H3119="ILF",7.5,IF(H3119="EIF",5.4)))))))</f>
        <v/>
      </c>
      <c r="M3119" s="112" t="str">
        <f t="shared" si="51"/>
        <v/>
      </c>
      <c r="N3119" s="113"/>
    </row>
    <row r="3120" spans="2:14">
      <c r="B3120" s="105"/>
      <c r="C3120" s="106"/>
      <c r="D3120" s="107"/>
      <c r="E3120" s="65"/>
      <c r="F3120" s="64"/>
      <c r="G3120" s="64"/>
      <c r="H3120" s="64"/>
      <c r="I3120" s="70"/>
      <c r="J3120" s="70"/>
      <c r="K3120" s="110" t="str">
        <f>IF(H3120="","",IF($C$29="간이법","",FPR(H3120,I3120,J3120)))</f>
        <v/>
      </c>
      <c r="L3120" s="111" t="str">
        <f>IF(H3120="","",IF($C$29="상세법",FPV(H3120,K3120),IF(H3120="EI",4,IF(H3120="EO",5.2,IF(H3120="EQ",3.9,IF(H3120="ILF",7.5,IF(H3120="EIF",5.4)))))))</f>
        <v/>
      </c>
      <c r="M3120" s="112" t="str">
        <f t="shared" si="51"/>
        <v/>
      </c>
      <c r="N3120" s="113"/>
    </row>
    <row r="3121" spans="2:14">
      <c r="B3121" s="105"/>
      <c r="C3121" s="106"/>
      <c r="D3121" s="107"/>
      <c r="E3121" s="65"/>
      <c r="F3121" s="64"/>
      <c r="G3121" s="64"/>
      <c r="H3121" s="64"/>
      <c r="I3121" s="70"/>
      <c r="J3121" s="70"/>
      <c r="K3121" s="110" t="str">
        <f>IF(H3121="","",IF($C$29="간이법","",FPR(H3121,I3121,J3121)))</f>
        <v/>
      </c>
      <c r="L3121" s="111" t="str">
        <f>IF(H3121="","",IF($C$29="상세법",FPV(H3121,K3121),IF(H3121="EI",4,IF(H3121="EO",5.2,IF(H3121="EQ",3.9,IF(H3121="ILF",7.5,IF(H3121="EIF",5.4)))))))</f>
        <v/>
      </c>
      <c r="M3121" s="112" t="str">
        <f t="shared" si="51"/>
        <v/>
      </c>
      <c r="N3121" s="113"/>
    </row>
    <row r="3122" spans="2:14">
      <c r="B3122" s="105"/>
      <c r="C3122" s="106"/>
      <c r="D3122" s="107"/>
      <c r="E3122" s="65"/>
      <c r="F3122" s="64"/>
      <c r="G3122" s="64"/>
      <c r="H3122" s="64"/>
      <c r="I3122" s="70"/>
      <c r="J3122" s="70"/>
      <c r="K3122" s="110" t="str">
        <f>IF(H3122="","",IF($C$29="간이법","",FPR(H3122,I3122,J3122)))</f>
        <v/>
      </c>
      <c r="L3122" s="111" t="str">
        <f>IF(H3122="","",IF($C$29="상세법",FPV(H3122,K3122),IF(H3122="EI",4,IF(H3122="EO",5.2,IF(H3122="EQ",3.9,IF(H3122="ILF",7.5,IF(H3122="EIF",5.4)))))))</f>
        <v/>
      </c>
      <c r="M3122" s="112" t="str">
        <f t="shared" si="51"/>
        <v/>
      </c>
      <c r="N3122" s="113"/>
    </row>
    <row r="3123" spans="2:14">
      <c r="B3123" s="105"/>
      <c r="C3123" s="106"/>
      <c r="D3123" s="107"/>
      <c r="E3123" s="65"/>
      <c r="F3123" s="64"/>
      <c r="G3123" s="64"/>
      <c r="H3123" s="64"/>
      <c r="I3123" s="70"/>
      <c r="J3123" s="70"/>
      <c r="K3123" s="110" t="str">
        <f>IF(H3123="","",IF($C$29="간이법","",FPR(H3123,I3123,J3123)))</f>
        <v/>
      </c>
      <c r="L3123" s="111" t="str">
        <f>IF(H3123="","",IF($C$29="상세법",FPV(H3123,K3123),IF(H3123="EI",4,IF(H3123="EO",5.2,IF(H3123="EQ",3.9,IF(H3123="ILF",7.5,IF(H3123="EIF",5.4)))))))</f>
        <v/>
      </c>
      <c r="M3123" s="112" t="str">
        <f t="shared" si="51"/>
        <v/>
      </c>
      <c r="N3123" s="113"/>
    </row>
    <row r="3124" spans="2:14">
      <c r="B3124" s="105"/>
      <c r="C3124" s="106"/>
      <c r="D3124" s="107"/>
      <c r="E3124" s="65"/>
      <c r="F3124" s="64"/>
      <c r="G3124" s="64"/>
      <c r="H3124" s="64"/>
      <c r="I3124" s="70"/>
      <c r="J3124" s="70"/>
      <c r="K3124" s="110" t="str">
        <f>IF(H3124="","",IF($C$29="간이법","",FPR(H3124,I3124,J3124)))</f>
        <v/>
      </c>
      <c r="L3124" s="111" t="str">
        <f>IF(H3124="","",IF($C$29="상세법",FPV(H3124,K3124),IF(H3124="EI",4,IF(H3124="EO",5.2,IF(H3124="EQ",3.9,IF(H3124="ILF",7.5,IF(H3124="EIF",5.4)))))))</f>
        <v/>
      </c>
      <c r="M3124" s="112" t="str">
        <f t="shared" si="51"/>
        <v/>
      </c>
      <c r="N3124" s="113"/>
    </row>
    <row r="3125" spans="2:14">
      <c r="B3125" s="105"/>
      <c r="C3125" s="106"/>
      <c r="D3125" s="107"/>
      <c r="E3125" s="65"/>
      <c r="F3125" s="64"/>
      <c r="G3125" s="64"/>
      <c r="H3125" s="64"/>
      <c r="I3125" s="70"/>
      <c r="J3125" s="70"/>
      <c r="K3125" s="110" t="str">
        <f>IF(H3125="","",IF($C$29="간이법","",FPR(H3125,I3125,J3125)))</f>
        <v/>
      </c>
      <c r="L3125" s="111" t="str">
        <f>IF(H3125="","",IF($C$29="상세법",FPV(H3125,K3125),IF(H3125="EI",4,IF(H3125="EO",5.2,IF(H3125="EQ",3.9,IF(H3125="ILF",7.5,IF(H3125="EIF",5.4)))))))</f>
        <v/>
      </c>
      <c r="M3125" s="112" t="str">
        <f t="shared" si="51"/>
        <v/>
      </c>
      <c r="N3125" s="113"/>
    </row>
    <row r="3126" spans="2:14">
      <c r="B3126" s="105"/>
      <c r="C3126" s="106"/>
      <c r="D3126" s="107"/>
      <c r="E3126" s="65"/>
      <c r="F3126" s="64"/>
      <c r="G3126" s="64"/>
      <c r="H3126" s="64"/>
      <c r="I3126" s="70"/>
      <c r="J3126" s="70"/>
      <c r="K3126" s="110" t="str">
        <f>IF(H3126="","",IF($C$29="간이법","",FPR(H3126,I3126,J3126)))</f>
        <v/>
      </c>
      <c r="L3126" s="111" t="str">
        <f>IF(H3126="","",IF($C$29="상세법",FPV(H3126,K3126),IF(H3126="EI",4,IF(H3126="EO",5.2,IF(H3126="EQ",3.9,IF(H3126="ILF",7.5,IF(H3126="EIF",5.4)))))))</f>
        <v/>
      </c>
      <c r="M3126" s="112" t="str">
        <f t="shared" si="51"/>
        <v/>
      </c>
      <c r="N3126" s="113"/>
    </row>
    <row r="3127" spans="2:14">
      <c r="B3127" s="105"/>
      <c r="C3127" s="106"/>
      <c r="D3127" s="107"/>
      <c r="E3127" s="65"/>
      <c r="F3127" s="64"/>
      <c r="G3127" s="64"/>
      <c r="H3127" s="64"/>
      <c r="I3127" s="70"/>
      <c r="J3127" s="70"/>
      <c r="K3127" s="110" t="str">
        <f>IF(H3127="","",IF($C$29="간이법","",FPR(H3127,I3127,J3127)))</f>
        <v/>
      </c>
      <c r="L3127" s="111" t="str">
        <f>IF(H3127="","",IF($C$29="상세법",FPV(H3127,K3127),IF(H3127="EI",4,IF(H3127="EO",5.2,IF(H3127="EQ",3.9,IF(H3127="ILF",7.5,IF(H3127="EIF",5.4)))))))</f>
        <v/>
      </c>
      <c r="M3127" s="112" t="str">
        <f t="shared" si="51"/>
        <v/>
      </c>
      <c r="N3127" s="113"/>
    </row>
    <row r="3128" spans="2:14">
      <c r="B3128" s="105"/>
      <c r="C3128" s="106"/>
      <c r="D3128" s="107"/>
      <c r="E3128" s="65"/>
      <c r="F3128" s="64"/>
      <c r="G3128" s="64"/>
      <c r="H3128" s="64"/>
      <c r="I3128" s="70"/>
      <c r="J3128" s="70"/>
      <c r="K3128" s="110" t="str">
        <f>IF(H3128="","",IF($C$29="간이법","",FPR(H3128,I3128,J3128)))</f>
        <v/>
      </c>
      <c r="L3128" s="111" t="str">
        <f>IF(H3128="","",IF($C$29="상세법",FPV(H3128,K3128),IF(H3128="EI",4,IF(H3128="EO",5.2,IF(H3128="EQ",3.9,IF(H3128="ILF",7.5,IF(H3128="EIF",5.4)))))))</f>
        <v/>
      </c>
      <c r="M3128" s="112" t="str">
        <f t="shared" si="51"/>
        <v/>
      </c>
      <c r="N3128" s="113"/>
    </row>
    <row r="3129" spans="2:14">
      <c r="B3129" s="105"/>
      <c r="C3129" s="106"/>
      <c r="D3129" s="107"/>
      <c r="E3129" s="65"/>
      <c r="F3129" s="64"/>
      <c r="G3129" s="64"/>
      <c r="H3129" s="64"/>
      <c r="I3129" s="70"/>
      <c r="J3129" s="70"/>
      <c r="K3129" s="110" t="str">
        <f>IF(H3129="","",IF($C$29="간이법","",FPR(H3129,I3129,J3129)))</f>
        <v/>
      </c>
      <c r="L3129" s="111" t="str">
        <f>IF(H3129="","",IF($C$29="상세법",FPV(H3129,K3129),IF(H3129="EI",4,IF(H3129="EO",5.2,IF(H3129="EQ",3.9,IF(H3129="ILF",7.5,IF(H3129="EIF",5.4)))))))</f>
        <v/>
      </c>
      <c r="M3129" s="112" t="str">
        <f t="shared" ref="M3129:M3192" si="52">IF(L3129="","",L3129*IF(G3129="상",0.7,IF(G3129="중",0.5,IF(G3129="하",0.2,1))))</f>
        <v/>
      </c>
      <c r="N3129" s="113"/>
    </row>
    <row r="3130" spans="2:14">
      <c r="B3130" s="105"/>
      <c r="C3130" s="106"/>
      <c r="D3130" s="107"/>
      <c r="E3130" s="65"/>
      <c r="F3130" s="64"/>
      <c r="G3130" s="64"/>
      <c r="H3130" s="64"/>
      <c r="I3130" s="70"/>
      <c r="J3130" s="70"/>
      <c r="K3130" s="110" t="str">
        <f>IF(H3130="","",IF($C$29="간이법","",FPR(H3130,I3130,J3130)))</f>
        <v/>
      </c>
      <c r="L3130" s="111" t="str">
        <f>IF(H3130="","",IF($C$29="상세법",FPV(H3130,K3130),IF(H3130="EI",4,IF(H3130="EO",5.2,IF(H3130="EQ",3.9,IF(H3130="ILF",7.5,IF(H3130="EIF",5.4)))))))</f>
        <v/>
      </c>
      <c r="M3130" s="112" t="str">
        <f t="shared" si="52"/>
        <v/>
      </c>
      <c r="N3130" s="113"/>
    </row>
    <row r="3131" spans="2:14">
      <c r="B3131" s="105"/>
      <c r="C3131" s="106"/>
      <c r="D3131" s="107"/>
      <c r="E3131" s="65"/>
      <c r="F3131" s="64"/>
      <c r="G3131" s="64"/>
      <c r="H3131" s="64"/>
      <c r="I3131" s="70"/>
      <c r="J3131" s="70"/>
      <c r="K3131" s="110" t="str">
        <f>IF(H3131="","",IF($C$29="간이법","",FPR(H3131,I3131,J3131)))</f>
        <v/>
      </c>
      <c r="L3131" s="111" t="str">
        <f>IF(H3131="","",IF($C$29="상세법",FPV(H3131,K3131),IF(H3131="EI",4,IF(H3131="EO",5.2,IF(H3131="EQ",3.9,IF(H3131="ILF",7.5,IF(H3131="EIF",5.4)))))))</f>
        <v/>
      </c>
      <c r="M3131" s="112" t="str">
        <f t="shared" si="52"/>
        <v/>
      </c>
      <c r="N3131" s="113"/>
    </row>
    <row r="3132" spans="2:14">
      <c r="B3132" s="105"/>
      <c r="C3132" s="106"/>
      <c r="D3132" s="107"/>
      <c r="E3132" s="65"/>
      <c r="F3132" s="64"/>
      <c r="G3132" s="64"/>
      <c r="H3132" s="64"/>
      <c r="I3132" s="70"/>
      <c r="J3132" s="70"/>
      <c r="K3132" s="110" t="str">
        <f>IF(H3132="","",IF($C$29="간이법","",FPR(H3132,I3132,J3132)))</f>
        <v/>
      </c>
      <c r="L3132" s="111" t="str">
        <f>IF(H3132="","",IF($C$29="상세법",FPV(H3132,K3132),IF(H3132="EI",4,IF(H3132="EO",5.2,IF(H3132="EQ",3.9,IF(H3132="ILF",7.5,IF(H3132="EIF",5.4)))))))</f>
        <v/>
      </c>
      <c r="M3132" s="112" t="str">
        <f t="shared" si="52"/>
        <v/>
      </c>
      <c r="N3132" s="113"/>
    </row>
    <row r="3133" spans="2:14">
      <c r="B3133" s="105"/>
      <c r="C3133" s="106"/>
      <c r="D3133" s="107"/>
      <c r="E3133" s="65"/>
      <c r="F3133" s="64"/>
      <c r="G3133" s="64"/>
      <c r="H3133" s="64"/>
      <c r="I3133" s="70"/>
      <c r="J3133" s="70"/>
      <c r="K3133" s="110" t="str">
        <f>IF(H3133="","",IF($C$29="간이법","",FPR(H3133,I3133,J3133)))</f>
        <v/>
      </c>
      <c r="L3133" s="111" t="str">
        <f>IF(H3133="","",IF($C$29="상세법",FPV(H3133,K3133),IF(H3133="EI",4,IF(H3133="EO",5.2,IF(H3133="EQ",3.9,IF(H3133="ILF",7.5,IF(H3133="EIF",5.4)))))))</f>
        <v/>
      </c>
      <c r="M3133" s="112" t="str">
        <f t="shared" si="52"/>
        <v/>
      </c>
      <c r="N3133" s="113"/>
    </row>
    <row r="3134" spans="2:14">
      <c r="B3134" s="105"/>
      <c r="C3134" s="106"/>
      <c r="D3134" s="107"/>
      <c r="E3134" s="65"/>
      <c r="F3134" s="64"/>
      <c r="G3134" s="64"/>
      <c r="H3134" s="64"/>
      <c r="I3134" s="70"/>
      <c r="J3134" s="70"/>
      <c r="K3134" s="110" t="str">
        <f>IF(H3134="","",IF($C$29="간이법","",FPR(H3134,I3134,J3134)))</f>
        <v/>
      </c>
      <c r="L3134" s="111" t="str">
        <f>IF(H3134="","",IF($C$29="상세법",FPV(H3134,K3134),IF(H3134="EI",4,IF(H3134="EO",5.2,IF(H3134="EQ",3.9,IF(H3134="ILF",7.5,IF(H3134="EIF",5.4)))))))</f>
        <v/>
      </c>
      <c r="M3134" s="112" t="str">
        <f t="shared" si="52"/>
        <v/>
      </c>
      <c r="N3134" s="113"/>
    </row>
    <row r="3135" spans="2:14">
      <c r="B3135" s="105"/>
      <c r="C3135" s="106"/>
      <c r="D3135" s="107"/>
      <c r="E3135" s="65"/>
      <c r="F3135" s="64"/>
      <c r="G3135" s="64"/>
      <c r="H3135" s="64"/>
      <c r="I3135" s="70"/>
      <c r="J3135" s="70"/>
      <c r="K3135" s="110" t="str">
        <f>IF(H3135="","",IF($C$29="간이법","",FPR(H3135,I3135,J3135)))</f>
        <v/>
      </c>
      <c r="L3135" s="111" t="str">
        <f>IF(H3135="","",IF($C$29="상세법",FPV(H3135,K3135),IF(H3135="EI",4,IF(H3135="EO",5.2,IF(H3135="EQ",3.9,IF(H3135="ILF",7.5,IF(H3135="EIF",5.4)))))))</f>
        <v/>
      </c>
      <c r="M3135" s="112" t="str">
        <f t="shared" si="52"/>
        <v/>
      </c>
      <c r="N3135" s="113"/>
    </row>
    <row r="3136" spans="2:14">
      <c r="B3136" s="105"/>
      <c r="C3136" s="106"/>
      <c r="D3136" s="107"/>
      <c r="E3136" s="65"/>
      <c r="F3136" s="64"/>
      <c r="G3136" s="64"/>
      <c r="H3136" s="64"/>
      <c r="I3136" s="70"/>
      <c r="J3136" s="70"/>
      <c r="K3136" s="110" t="str">
        <f>IF(H3136="","",IF($C$29="간이법","",FPR(H3136,I3136,J3136)))</f>
        <v/>
      </c>
      <c r="L3136" s="111" t="str">
        <f>IF(H3136="","",IF($C$29="상세법",FPV(H3136,K3136),IF(H3136="EI",4,IF(H3136="EO",5.2,IF(H3136="EQ",3.9,IF(H3136="ILF",7.5,IF(H3136="EIF",5.4)))))))</f>
        <v/>
      </c>
      <c r="M3136" s="112" t="str">
        <f t="shared" si="52"/>
        <v/>
      </c>
      <c r="N3136" s="113"/>
    </row>
    <row r="3137" spans="2:14">
      <c r="B3137" s="105"/>
      <c r="C3137" s="106"/>
      <c r="D3137" s="107"/>
      <c r="E3137" s="65"/>
      <c r="F3137" s="64"/>
      <c r="G3137" s="64"/>
      <c r="H3137" s="64"/>
      <c r="I3137" s="70"/>
      <c r="J3137" s="70"/>
      <c r="K3137" s="110" t="str">
        <f>IF(H3137="","",IF($C$29="간이법","",FPR(H3137,I3137,J3137)))</f>
        <v/>
      </c>
      <c r="L3137" s="111" t="str">
        <f>IF(H3137="","",IF($C$29="상세법",FPV(H3137,K3137),IF(H3137="EI",4,IF(H3137="EO",5.2,IF(H3137="EQ",3.9,IF(H3137="ILF",7.5,IF(H3137="EIF",5.4)))))))</f>
        <v/>
      </c>
      <c r="M3137" s="112" t="str">
        <f t="shared" si="52"/>
        <v/>
      </c>
      <c r="N3137" s="113"/>
    </row>
    <row r="3138" spans="2:14">
      <c r="B3138" s="105"/>
      <c r="C3138" s="106"/>
      <c r="D3138" s="107"/>
      <c r="E3138" s="65"/>
      <c r="F3138" s="64"/>
      <c r="G3138" s="64"/>
      <c r="H3138" s="64"/>
      <c r="I3138" s="70"/>
      <c r="J3138" s="70"/>
      <c r="K3138" s="110" t="str">
        <f>IF(H3138="","",IF($C$29="간이법","",FPR(H3138,I3138,J3138)))</f>
        <v/>
      </c>
      <c r="L3138" s="111" t="str">
        <f>IF(H3138="","",IF($C$29="상세법",FPV(H3138,K3138),IF(H3138="EI",4,IF(H3138="EO",5.2,IF(H3138="EQ",3.9,IF(H3138="ILF",7.5,IF(H3138="EIF",5.4)))))))</f>
        <v/>
      </c>
      <c r="M3138" s="112" t="str">
        <f t="shared" si="52"/>
        <v/>
      </c>
      <c r="N3138" s="113"/>
    </row>
    <row r="3139" spans="2:14">
      <c r="B3139" s="105"/>
      <c r="C3139" s="106"/>
      <c r="D3139" s="107"/>
      <c r="E3139" s="65"/>
      <c r="F3139" s="64"/>
      <c r="G3139" s="64"/>
      <c r="H3139" s="64"/>
      <c r="I3139" s="70"/>
      <c r="J3139" s="70"/>
      <c r="K3139" s="110" t="str">
        <f>IF(H3139="","",IF($C$29="간이법","",FPR(H3139,I3139,J3139)))</f>
        <v/>
      </c>
      <c r="L3139" s="111" t="str">
        <f>IF(H3139="","",IF($C$29="상세법",FPV(H3139,K3139),IF(H3139="EI",4,IF(H3139="EO",5.2,IF(H3139="EQ",3.9,IF(H3139="ILF",7.5,IF(H3139="EIF",5.4)))))))</f>
        <v/>
      </c>
      <c r="M3139" s="112" t="str">
        <f t="shared" si="52"/>
        <v/>
      </c>
      <c r="N3139" s="113"/>
    </row>
    <row r="3140" spans="2:14">
      <c r="B3140" s="105"/>
      <c r="C3140" s="106"/>
      <c r="D3140" s="107"/>
      <c r="E3140" s="65"/>
      <c r="F3140" s="64"/>
      <c r="G3140" s="64"/>
      <c r="H3140" s="64"/>
      <c r="I3140" s="70"/>
      <c r="J3140" s="70"/>
      <c r="K3140" s="110" t="str">
        <f>IF(H3140="","",IF($C$29="간이법","",FPR(H3140,I3140,J3140)))</f>
        <v/>
      </c>
      <c r="L3140" s="111" t="str">
        <f>IF(H3140="","",IF($C$29="상세법",FPV(H3140,K3140),IF(H3140="EI",4,IF(H3140="EO",5.2,IF(H3140="EQ",3.9,IF(H3140="ILF",7.5,IF(H3140="EIF",5.4)))))))</f>
        <v/>
      </c>
      <c r="M3140" s="112" t="str">
        <f t="shared" si="52"/>
        <v/>
      </c>
      <c r="N3140" s="113"/>
    </row>
    <row r="3141" spans="2:14">
      <c r="B3141" s="105"/>
      <c r="C3141" s="106"/>
      <c r="D3141" s="107"/>
      <c r="E3141" s="65"/>
      <c r="F3141" s="64"/>
      <c r="G3141" s="64"/>
      <c r="H3141" s="64"/>
      <c r="I3141" s="70"/>
      <c r="J3141" s="70"/>
      <c r="K3141" s="110" t="str">
        <f>IF(H3141="","",IF($C$29="간이법","",FPR(H3141,I3141,J3141)))</f>
        <v/>
      </c>
      <c r="L3141" s="111" t="str">
        <f>IF(H3141="","",IF($C$29="상세법",FPV(H3141,K3141),IF(H3141="EI",4,IF(H3141="EO",5.2,IF(H3141="EQ",3.9,IF(H3141="ILF",7.5,IF(H3141="EIF",5.4)))))))</f>
        <v/>
      </c>
      <c r="M3141" s="112" t="str">
        <f t="shared" si="52"/>
        <v/>
      </c>
      <c r="N3141" s="113"/>
    </row>
    <row r="3142" spans="2:14">
      <c r="B3142" s="105"/>
      <c r="C3142" s="106"/>
      <c r="D3142" s="107"/>
      <c r="E3142" s="65"/>
      <c r="F3142" s="64"/>
      <c r="G3142" s="64"/>
      <c r="H3142" s="64"/>
      <c r="I3142" s="70"/>
      <c r="J3142" s="70"/>
      <c r="K3142" s="110" t="str">
        <f>IF(H3142="","",IF($C$29="간이법","",FPR(H3142,I3142,J3142)))</f>
        <v/>
      </c>
      <c r="L3142" s="111" t="str">
        <f>IF(H3142="","",IF($C$29="상세법",FPV(H3142,K3142),IF(H3142="EI",4,IF(H3142="EO",5.2,IF(H3142="EQ",3.9,IF(H3142="ILF",7.5,IF(H3142="EIF",5.4)))))))</f>
        <v/>
      </c>
      <c r="M3142" s="112" t="str">
        <f t="shared" si="52"/>
        <v/>
      </c>
      <c r="N3142" s="113"/>
    </row>
    <row r="3143" spans="2:14">
      <c r="B3143" s="105"/>
      <c r="C3143" s="106"/>
      <c r="D3143" s="107"/>
      <c r="E3143" s="65"/>
      <c r="F3143" s="64"/>
      <c r="G3143" s="64"/>
      <c r="H3143" s="64"/>
      <c r="I3143" s="70"/>
      <c r="J3143" s="70"/>
      <c r="K3143" s="110" t="str">
        <f>IF(H3143="","",IF($C$29="간이법","",FPR(H3143,I3143,J3143)))</f>
        <v/>
      </c>
      <c r="L3143" s="111" t="str">
        <f>IF(H3143="","",IF($C$29="상세법",FPV(H3143,K3143),IF(H3143="EI",4,IF(H3143="EO",5.2,IF(H3143="EQ",3.9,IF(H3143="ILF",7.5,IF(H3143="EIF",5.4)))))))</f>
        <v/>
      </c>
      <c r="M3143" s="112" t="str">
        <f t="shared" si="52"/>
        <v/>
      </c>
      <c r="N3143" s="113"/>
    </row>
    <row r="3144" spans="2:14">
      <c r="B3144" s="105"/>
      <c r="C3144" s="106"/>
      <c r="D3144" s="107"/>
      <c r="E3144" s="65"/>
      <c r="F3144" s="64"/>
      <c r="G3144" s="64"/>
      <c r="H3144" s="64"/>
      <c r="I3144" s="70"/>
      <c r="J3144" s="70"/>
      <c r="K3144" s="110" t="str">
        <f>IF(H3144="","",IF($C$29="간이법","",FPR(H3144,I3144,J3144)))</f>
        <v/>
      </c>
      <c r="L3144" s="111" t="str">
        <f>IF(H3144="","",IF($C$29="상세법",FPV(H3144,K3144),IF(H3144="EI",4,IF(H3144="EO",5.2,IF(H3144="EQ",3.9,IF(H3144="ILF",7.5,IF(H3144="EIF",5.4)))))))</f>
        <v/>
      </c>
      <c r="M3144" s="112" t="str">
        <f t="shared" si="52"/>
        <v/>
      </c>
      <c r="N3144" s="113"/>
    </row>
    <row r="3145" spans="2:14">
      <c r="B3145" s="105"/>
      <c r="C3145" s="106"/>
      <c r="D3145" s="107"/>
      <c r="E3145" s="65"/>
      <c r="F3145" s="64"/>
      <c r="G3145" s="64"/>
      <c r="H3145" s="64"/>
      <c r="I3145" s="70"/>
      <c r="J3145" s="70"/>
      <c r="K3145" s="110" t="str">
        <f>IF(H3145="","",IF($C$29="간이법","",FPR(H3145,I3145,J3145)))</f>
        <v/>
      </c>
      <c r="L3145" s="111" t="str">
        <f>IF(H3145="","",IF($C$29="상세법",FPV(H3145,K3145),IF(H3145="EI",4,IF(H3145="EO",5.2,IF(H3145="EQ",3.9,IF(H3145="ILF",7.5,IF(H3145="EIF",5.4)))))))</f>
        <v/>
      </c>
      <c r="M3145" s="112" t="str">
        <f t="shared" si="52"/>
        <v/>
      </c>
      <c r="N3145" s="113"/>
    </row>
    <row r="3146" spans="2:14">
      <c r="B3146" s="105"/>
      <c r="C3146" s="106"/>
      <c r="D3146" s="107"/>
      <c r="E3146" s="65"/>
      <c r="F3146" s="64"/>
      <c r="G3146" s="64"/>
      <c r="H3146" s="64"/>
      <c r="I3146" s="70"/>
      <c r="J3146" s="70"/>
      <c r="K3146" s="110" t="str">
        <f>IF(H3146="","",IF($C$29="간이법","",FPR(H3146,I3146,J3146)))</f>
        <v/>
      </c>
      <c r="L3146" s="111" t="str">
        <f>IF(H3146="","",IF($C$29="상세법",FPV(H3146,K3146),IF(H3146="EI",4,IF(H3146="EO",5.2,IF(H3146="EQ",3.9,IF(H3146="ILF",7.5,IF(H3146="EIF",5.4)))))))</f>
        <v/>
      </c>
      <c r="M3146" s="112" t="str">
        <f t="shared" si="52"/>
        <v/>
      </c>
      <c r="N3146" s="113"/>
    </row>
    <row r="3147" spans="2:14">
      <c r="B3147" s="105"/>
      <c r="C3147" s="106"/>
      <c r="D3147" s="107"/>
      <c r="E3147" s="65"/>
      <c r="F3147" s="64"/>
      <c r="G3147" s="64"/>
      <c r="H3147" s="64"/>
      <c r="I3147" s="70"/>
      <c r="J3147" s="70"/>
      <c r="K3147" s="110" t="str">
        <f>IF(H3147="","",IF($C$29="간이법","",FPR(H3147,I3147,J3147)))</f>
        <v/>
      </c>
      <c r="L3147" s="111" t="str">
        <f>IF(H3147="","",IF($C$29="상세법",FPV(H3147,K3147),IF(H3147="EI",4,IF(H3147="EO",5.2,IF(H3147="EQ",3.9,IF(H3147="ILF",7.5,IF(H3147="EIF",5.4)))))))</f>
        <v/>
      </c>
      <c r="M3147" s="112" t="str">
        <f t="shared" si="52"/>
        <v/>
      </c>
      <c r="N3147" s="113"/>
    </row>
    <row r="3148" spans="2:14">
      <c r="B3148" s="105"/>
      <c r="C3148" s="106"/>
      <c r="D3148" s="107"/>
      <c r="E3148" s="65"/>
      <c r="F3148" s="64"/>
      <c r="G3148" s="64"/>
      <c r="H3148" s="64"/>
      <c r="I3148" s="70"/>
      <c r="J3148" s="70"/>
      <c r="K3148" s="110" t="str">
        <f>IF(H3148="","",IF($C$29="간이법","",FPR(H3148,I3148,J3148)))</f>
        <v/>
      </c>
      <c r="L3148" s="111" t="str">
        <f>IF(H3148="","",IF($C$29="상세법",FPV(H3148,K3148),IF(H3148="EI",4,IF(H3148="EO",5.2,IF(H3148="EQ",3.9,IF(H3148="ILF",7.5,IF(H3148="EIF",5.4)))))))</f>
        <v/>
      </c>
      <c r="M3148" s="112" t="str">
        <f t="shared" si="52"/>
        <v/>
      </c>
      <c r="N3148" s="113"/>
    </row>
    <row r="3149" spans="2:14">
      <c r="B3149" s="105"/>
      <c r="C3149" s="106"/>
      <c r="D3149" s="107"/>
      <c r="E3149" s="65"/>
      <c r="F3149" s="64"/>
      <c r="G3149" s="64"/>
      <c r="H3149" s="64"/>
      <c r="I3149" s="70"/>
      <c r="J3149" s="70"/>
      <c r="K3149" s="110" t="str">
        <f>IF(H3149="","",IF($C$29="간이법","",FPR(H3149,I3149,J3149)))</f>
        <v/>
      </c>
      <c r="L3149" s="111" t="str">
        <f>IF(H3149="","",IF($C$29="상세법",FPV(H3149,K3149),IF(H3149="EI",4,IF(H3149="EO",5.2,IF(H3149="EQ",3.9,IF(H3149="ILF",7.5,IF(H3149="EIF",5.4)))))))</f>
        <v/>
      </c>
      <c r="M3149" s="112" t="str">
        <f t="shared" si="52"/>
        <v/>
      </c>
      <c r="N3149" s="113"/>
    </row>
    <row r="3150" spans="2:14">
      <c r="B3150" s="105"/>
      <c r="C3150" s="106"/>
      <c r="D3150" s="107"/>
      <c r="E3150" s="65"/>
      <c r="F3150" s="64"/>
      <c r="G3150" s="64"/>
      <c r="H3150" s="64"/>
      <c r="I3150" s="70"/>
      <c r="J3150" s="70"/>
      <c r="K3150" s="110" t="str">
        <f>IF(H3150="","",IF($C$29="간이법","",FPR(H3150,I3150,J3150)))</f>
        <v/>
      </c>
      <c r="L3150" s="111" t="str">
        <f>IF(H3150="","",IF($C$29="상세법",FPV(H3150,K3150),IF(H3150="EI",4,IF(H3150="EO",5.2,IF(H3150="EQ",3.9,IF(H3150="ILF",7.5,IF(H3150="EIF",5.4)))))))</f>
        <v/>
      </c>
      <c r="M3150" s="112" t="str">
        <f t="shared" si="52"/>
        <v/>
      </c>
      <c r="N3150" s="113"/>
    </row>
    <row r="3151" spans="2:14">
      <c r="B3151" s="105"/>
      <c r="C3151" s="106"/>
      <c r="D3151" s="107"/>
      <c r="E3151" s="65"/>
      <c r="F3151" s="64"/>
      <c r="G3151" s="64"/>
      <c r="H3151" s="64"/>
      <c r="I3151" s="70"/>
      <c r="J3151" s="70"/>
      <c r="K3151" s="110" t="str">
        <f>IF(H3151="","",IF($C$29="간이법","",FPR(H3151,I3151,J3151)))</f>
        <v/>
      </c>
      <c r="L3151" s="111" t="str">
        <f>IF(H3151="","",IF($C$29="상세법",FPV(H3151,K3151),IF(H3151="EI",4,IF(H3151="EO",5.2,IF(H3151="EQ",3.9,IF(H3151="ILF",7.5,IF(H3151="EIF",5.4)))))))</f>
        <v/>
      </c>
      <c r="M3151" s="112" t="str">
        <f t="shared" si="52"/>
        <v/>
      </c>
      <c r="N3151" s="113"/>
    </row>
    <row r="3152" spans="2:14">
      <c r="B3152" s="105"/>
      <c r="C3152" s="106"/>
      <c r="D3152" s="107"/>
      <c r="E3152" s="65"/>
      <c r="F3152" s="64"/>
      <c r="G3152" s="64"/>
      <c r="H3152" s="64"/>
      <c r="I3152" s="70"/>
      <c r="J3152" s="70"/>
      <c r="K3152" s="110" t="str">
        <f>IF(H3152="","",IF($C$29="간이법","",FPR(H3152,I3152,J3152)))</f>
        <v/>
      </c>
      <c r="L3152" s="111" t="str">
        <f>IF(H3152="","",IF($C$29="상세법",FPV(H3152,K3152),IF(H3152="EI",4,IF(H3152="EO",5.2,IF(H3152="EQ",3.9,IF(H3152="ILF",7.5,IF(H3152="EIF",5.4)))))))</f>
        <v/>
      </c>
      <c r="M3152" s="112" t="str">
        <f t="shared" si="52"/>
        <v/>
      </c>
      <c r="N3152" s="113"/>
    </row>
    <row r="3153" spans="2:14">
      <c r="B3153" s="105"/>
      <c r="C3153" s="106"/>
      <c r="D3153" s="107"/>
      <c r="E3153" s="65"/>
      <c r="F3153" s="64"/>
      <c r="G3153" s="64"/>
      <c r="H3153" s="64"/>
      <c r="I3153" s="70"/>
      <c r="J3153" s="70"/>
      <c r="K3153" s="110" t="str">
        <f>IF(H3153="","",IF($C$29="간이법","",FPR(H3153,I3153,J3153)))</f>
        <v/>
      </c>
      <c r="L3153" s="111" t="str">
        <f>IF(H3153="","",IF($C$29="상세법",FPV(H3153,K3153),IF(H3153="EI",4,IF(H3153="EO",5.2,IF(H3153="EQ",3.9,IF(H3153="ILF",7.5,IF(H3153="EIF",5.4)))))))</f>
        <v/>
      </c>
      <c r="M3153" s="112" t="str">
        <f t="shared" si="52"/>
        <v/>
      </c>
      <c r="N3153" s="113"/>
    </row>
    <row r="3154" spans="2:14">
      <c r="B3154" s="105"/>
      <c r="C3154" s="106"/>
      <c r="D3154" s="107"/>
      <c r="E3154" s="65"/>
      <c r="F3154" s="64"/>
      <c r="G3154" s="64"/>
      <c r="H3154" s="64"/>
      <c r="I3154" s="70"/>
      <c r="J3154" s="70"/>
      <c r="K3154" s="110" t="str">
        <f>IF(H3154="","",IF($C$29="간이법","",FPR(H3154,I3154,J3154)))</f>
        <v/>
      </c>
      <c r="L3154" s="111" t="str">
        <f>IF(H3154="","",IF($C$29="상세법",FPV(H3154,K3154),IF(H3154="EI",4,IF(H3154="EO",5.2,IF(H3154="EQ",3.9,IF(H3154="ILF",7.5,IF(H3154="EIF",5.4)))))))</f>
        <v/>
      </c>
      <c r="M3154" s="112" t="str">
        <f t="shared" si="52"/>
        <v/>
      </c>
      <c r="N3154" s="113"/>
    </row>
    <row r="3155" spans="2:14">
      <c r="B3155" s="105"/>
      <c r="C3155" s="106"/>
      <c r="D3155" s="107"/>
      <c r="E3155" s="65"/>
      <c r="F3155" s="64"/>
      <c r="G3155" s="64"/>
      <c r="H3155" s="64"/>
      <c r="I3155" s="70"/>
      <c r="J3155" s="70"/>
      <c r="K3155" s="110" t="str">
        <f>IF(H3155="","",IF($C$29="간이법","",FPR(H3155,I3155,J3155)))</f>
        <v/>
      </c>
      <c r="L3155" s="111" t="str">
        <f>IF(H3155="","",IF($C$29="상세법",FPV(H3155,K3155),IF(H3155="EI",4,IF(H3155="EO",5.2,IF(H3155="EQ",3.9,IF(H3155="ILF",7.5,IF(H3155="EIF",5.4)))))))</f>
        <v/>
      </c>
      <c r="M3155" s="112" t="str">
        <f t="shared" si="52"/>
        <v/>
      </c>
      <c r="N3155" s="113"/>
    </row>
    <row r="3156" spans="2:14">
      <c r="B3156" s="105"/>
      <c r="C3156" s="106"/>
      <c r="D3156" s="107"/>
      <c r="E3156" s="65"/>
      <c r="F3156" s="64"/>
      <c r="G3156" s="64"/>
      <c r="H3156" s="64"/>
      <c r="I3156" s="70"/>
      <c r="J3156" s="70"/>
      <c r="K3156" s="110" t="str">
        <f>IF(H3156="","",IF($C$29="간이법","",FPR(H3156,I3156,J3156)))</f>
        <v/>
      </c>
      <c r="L3156" s="111" t="str">
        <f>IF(H3156="","",IF($C$29="상세법",FPV(H3156,K3156),IF(H3156="EI",4,IF(H3156="EO",5.2,IF(H3156="EQ",3.9,IF(H3156="ILF",7.5,IF(H3156="EIF",5.4)))))))</f>
        <v/>
      </c>
      <c r="M3156" s="112" t="str">
        <f t="shared" si="52"/>
        <v/>
      </c>
      <c r="N3156" s="113"/>
    </row>
    <row r="3157" spans="2:14">
      <c r="B3157" s="105"/>
      <c r="C3157" s="106"/>
      <c r="D3157" s="107"/>
      <c r="E3157" s="65"/>
      <c r="F3157" s="64"/>
      <c r="G3157" s="64"/>
      <c r="H3157" s="64"/>
      <c r="I3157" s="70"/>
      <c r="J3157" s="70"/>
      <c r="K3157" s="110" t="str">
        <f>IF(H3157="","",IF($C$29="간이법","",FPR(H3157,I3157,J3157)))</f>
        <v/>
      </c>
      <c r="L3157" s="111" t="str">
        <f>IF(H3157="","",IF($C$29="상세법",FPV(H3157,K3157),IF(H3157="EI",4,IF(H3157="EO",5.2,IF(H3157="EQ",3.9,IF(H3157="ILF",7.5,IF(H3157="EIF",5.4)))))))</f>
        <v/>
      </c>
      <c r="M3157" s="112" t="str">
        <f t="shared" si="52"/>
        <v/>
      </c>
      <c r="N3157" s="113"/>
    </row>
    <row r="3158" spans="2:14">
      <c r="B3158" s="105"/>
      <c r="C3158" s="106"/>
      <c r="D3158" s="107"/>
      <c r="E3158" s="65"/>
      <c r="F3158" s="64"/>
      <c r="G3158" s="64"/>
      <c r="H3158" s="64"/>
      <c r="I3158" s="70"/>
      <c r="J3158" s="70"/>
      <c r="K3158" s="110" t="str">
        <f>IF(H3158="","",IF($C$29="간이법","",FPR(H3158,I3158,J3158)))</f>
        <v/>
      </c>
      <c r="L3158" s="111" t="str">
        <f>IF(H3158="","",IF($C$29="상세법",FPV(H3158,K3158),IF(H3158="EI",4,IF(H3158="EO",5.2,IF(H3158="EQ",3.9,IF(H3158="ILF",7.5,IF(H3158="EIF",5.4)))))))</f>
        <v/>
      </c>
      <c r="M3158" s="112" t="str">
        <f t="shared" si="52"/>
        <v/>
      </c>
      <c r="N3158" s="113"/>
    </row>
    <row r="3159" spans="2:14">
      <c r="B3159" s="105"/>
      <c r="C3159" s="106"/>
      <c r="D3159" s="107"/>
      <c r="E3159" s="65"/>
      <c r="F3159" s="64"/>
      <c r="G3159" s="64"/>
      <c r="H3159" s="64"/>
      <c r="I3159" s="70"/>
      <c r="J3159" s="70"/>
      <c r="K3159" s="110" t="str">
        <f>IF(H3159="","",IF($C$29="간이법","",FPR(H3159,I3159,J3159)))</f>
        <v/>
      </c>
      <c r="L3159" s="111" t="str">
        <f>IF(H3159="","",IF($C$29="상세법",FPV(H3159,K3159),IF(H3159="EI",4,IF(H3159="EO",5.2,IF(H3159="EQ",3.9,IF(H3159="ILF",7.5,IF(H3159="EIF",5.4)))))))</f>
        <v/>
      </c>
      <c r="M3159" s="112" t="str">
        <f t="shared" si="52"/>
        <v/>
      </c>
      <c r="N3159" s="113"/>
    </row>
    <row r="3160" spans="2:14">
      <c r="B3160" s="105"/>
      <c r="C3160" s="106"/>
      <c r="D3160" s="107"/>
      <c r="E3160" s="65"/>
      <c r="F3160" s="64"/>
      <c r="G3160" s="64"/>
      <c r="H3160" s="64"/>
      <c r="I3160" s="70"/>
      <c r="J3160" s="70"/>
      <c r="K3160" s="110" t="str">
        <f>IF(H3160="","",IF($C$29="간이법","",FPR(H3160,I3160,J3160)))</f>
        <v/>
      </c>
      <c r="L3160" s="111" t="str">
        <f>IF(H3160="","",IF($C$29="상세법",FPV(H3160,K3160),IF(H3160="EI",4,IF(H3160="EO",5.2,IF(H3160="EQ",3.9,IF(H3160="ILF",7.5,IF(H3160="EIF",5.4)))))))</f>
        <v/>
      </c>
      <c r="M3160" s="112" t="str">
        <f t="shared" si="52"/>
        <v/>
      </c>
      <c r="N3160" s="113"/>
    </row>
    <row r="3161" spans="2:14">
      <c r="B3161" s="105"/>
      <c r="C3161" s="106"/>
      <c r="D3161" s="107"/>
      <c r="E3161" s="65"/>
      <c r="F3161" s="64"/>
      <c r="G3161" s="64"/>
      <c r="H3161" s="64"/>
      <c r="I3161" s="70"/>
      <c r="J3161" s="70"/>
      <c r="K3161" s="110" t="str">
        <f>IF(H3161="","",IF($C$29="간이법","",FPR(H3161,I3161,J3161)))</f>
        <v/>
      </c>
      <c r="L3161" s="111" t="str">
        <f>IF(H3161="","",IF($C$29="상세법",FPV(H3161,K3161),IF(H3161="EI",4,IF(H3161="EO",5.2,IF(H3161="EQ",3.9,IF(H3161="ILF",7.5,IF(H3161="EIF",5.4)))))))</f>
        <v/>
      </c>
      <c r="M3161" s="112" t="str">
        <f t="shared" si="52"/>
        <v/>
      </c>
      <c r="N3161" s="113"/>
    </row>
    <row r="3162" spans="2:14">
      <c r="B3162" s="105"/>
      <c r="C3162" s="106"/>
      <c r="D3162" s="107"/>
      <c r="E3162" s="65"/>
      <c r="F3162" s="64"/>
      <c r="G3162" s="64"/>
      <c r="H3162" s="64"/>
      <c r="I3162" s="70"/>
      <c r="J3162" s="70"/>
      <c r="K3162" s="110" t="str">
        <f>IF(H3162="","",IF($C$29="간이법","",FPR(H3162,I3162,J3162)))</f>
        <v/>
      </c>
      <c r="L3162" s="111" t="str">
        <f>IF(H3162="","",IF($C$29="상세법",FPV(H3162,K3162),IF(H3162="EI",4,IF(H3162="EO",5.2,IF(H3162="EQ",3.9,IF(H3162="ILF",7.5,IF(H3162="EIF",5.4)))))))</f>
        <v/>
      </c>
      <c r="M3162" s="112" t="str">
        <f t="shared" si="52"/>
        <v/>
      </c>
      <c r="N3162" s="113"/>
    </row>
    <row r="3163" spans="2:14">
      <c r="B3163" s="105"/>
      <c r="C3163" s="106"/>
      <c r="D3163" s="107"/>
      <c r="E3163" s="65"/>
      <c r="F3163" s="64"/>
      <c r="G3163" s="64"/>
      <c r="H3163" s="64"/>
      <c r="I3163" s="70"/>
      <c r="J3163" s="70"/>
      <c r="K3163" s="110" t="str">
        <f>IF(H3163="","",IF($C$29="간이법","",FPR(H3163,I3163,J3163)))</f>
        <v/>
      </c>
      <c r="L3163" s="111" t="str">
        <f>IF(H3163="","",IF($C$29="상세법",FPV(H3163,K3163),IF(H3163="EI",4,IF(H3163="EO",5.2,IF(H3163="EQ",3.9,IF(H3163="ILF",7.5,IF(H3163="EIF",5.4)))))))</f>
        <v/>
      </c>
      <c r="M3163" s="112" t="str">
        <f t="shared" si="52"/>
        <v/>
      </c>
      <c r="N3163" s="113"/>
    </row>
    <row r="3164" spans="2:14">
      <c r="B3164" s="105"/>
      <c r="C3164" s="106"/>
      <c r="D3164" s="107"/>
      <c r="E3164" s="65"/>
      <c r="F3164" s="64"/>
      <c r="G3164" s="64"/>
      <c r="H3164" s="64"/>
      <c r="I3164" s="70"/>
      <c r="J3164" s="70"/>
      <c r="K3164" s="110" t="str">
        <f>IF(H3164="","",IF($C$29="간이법","",FPR(H3164,I3164,J3164)))</f>
        <v/>
      </c>
      <c r="L3164" s="111" t="str">
        <f>IF(H3164="","",IF($C$29="상세법",FPV(H3164,K3164),IF(H3164="EI",4,IF(H3164="EO",5.2,IF(H3164="EQ",3.9,IF(H3164="ILF",7.5,IF(H3164="EIF",5.4)))))))</f>
        <v/>
      </c>
      <c r="M3164" s="112" t="str">
        <f t="shared" si="52"/>
        <v/>
      </c>
      <c r="N3164" s="113"/>
    </row>
    <row r="3165" spans="2:14">
      <c r="B3165" s="105"/>
      <c r="C3165" s="106"/>
      <c r="D3165" s="107"/>
      <c r="E3165" s="65"/>
      <c r="F3165" s="64"/>
      <c r="G3165" s="64"/>
      <c r="H3165" s="64"/>
      <c r="I3165" s="70"/>
      <c r="J3165" s="70"/>
      <c r="K3165" s="110" t="str">
        <f>IF(H3165="","",IF($C$29="간이법","",FPR(H3165,I3165,J3165)))</f>
        <v/>
      </c>
      <c r="L3165" s="111" t="str">
        <f>IF(H3165="","",IF($C$29="상세법",FPV(H3165,K3165),IF(H3165="EI",4,IF(H3165="EO",5.2,IF(H3165="EQ",3.9,IF(H3165="ILF",7.5,IF(H3165="EIF",5.4)))))))</f>
        <v/>
      </c>
      <c r="M3165" s="112" t="str">
        <f t="shared" si="52"/>
        <v/>
      </c>
      <c r="N3165" s="113"/>
    </row>
    <row r="3166" spans="2:14">
      <c r="B3166" s="105"/>
      <c r="C3166" s="106"/>
      <c r="D3166" s="107"/>
      <c r="E3166" s="65"/>
      <c r="F3166" s="64"/>
      <c r="G3166" s="64"/>
      <c r="H3166" s="64"/>
      <c r="I3166" s="70"/>
      <c r="J3166" s="70"/>
      <c r="K3166" s="110" t="str">
        <f>IF(H3166="","",IF($C$29="간이법","",FPR(H3166,I3166,J3166)))</f>
        <v/>
      </c>
      <c r="L3166" s="111" t="str">
        <f>IF(H3166="","",IF($C$29="상세법",FPV(H3166,K3166),IF(H3166="EI",4,IF(H3166="EO",5.2,IF(H3166="EQ",3.9,IF(H3166="ILF",7.5,IF(H3166="EIF",5.4)))))))</f>
        <v/>
      </c>
      <c r="M3166" s="112" t="str">
        <f t="shared" si="52"/>
        <v/>
      </c>
      <c r="N3166" s="113"/>
    </row>
    <row r="3167" spans="2:14">
      <c r="B3167" s="105"/>
      <c r="C3167" s="106"/>
      <c r="D3167" s="107"/>
      <c r="E3167" s="65"/>
      <c r="F3167" s="64"/>
      <c r="G3167" s="64"/>
      <c r="H3167" s="64"/>
      <c r="I3167" s="70"/>
      <c r="J3167" s="70"/>
      <c r="K3167" s="110" t="str">
        <f>IF(H3167="","",IF($C$29="간이법","",FPR(H3167,I3167,J3167)))</f>
        <v/>
      </c>
      <c r="L3167" s="111" t="str">
        <f>IF(H3167="","",IF($C$29="상세법",FPV(H3167,K3167),IF(H3167="EI",4,IF(H3167="EO",5.2,IF(H3167="EQ",3.9,IF(H3167="ILF",7.5,IF(H3167="EIF",5.4)))))))</f>
        <v/>
      </c>
      <c r="M3167" s="112" t="str">
        <f t="shared" si="52"/>
        <v/>
      </c>
      <c r="N3167" s="113"/>
    </row>
    <row r="3168" spans="2:14">
      <c r="B3168" s="105"/>
      <c r="C3168" s="106"/>
      <c r="D3168" s="107"/>
      <c r="E3168" s="65"/>
      <c r="F3168" s="64"/>
      <c r="G3168" s="64"/>
      <c r="H3168" s="64"/>
      <c r="I3168" s="70"/>
      <c r="J3168" s="70"/>
      <c r="K3168" s="110" t="str">
        <f>IF(H3168="","",IF($C$29="간이법","",FPR(H3168,I3168,J3168)))</f>
        <v/>
      </c>
      <c r="L3168" s="111" t="str">
        <f>IF(H3168="","",IF($C$29="상세법",FPV(H3168,K3168),IF(H3168="EI",4,IF(H3168="EO",5.2,IF(H3168="EQ",3.9,IF(H3168="ILF",7.5,IF(H3168="EIF",5.4)))))))</f>
        <v/>
      </c>
      <c r="M3168" s="112" t="str">
        <f t="shared" si="52"/>
        <v/>
      </c>
      <c r="N3168" s="113"/>
    </row>
    <row r="3169" spans="2:14">
      <c r="B3169" s="105"/>
      <c r="C3169" s="106"/>
      <c r="D3169" s="107"/>
      <c r="E3169" s="65"/>
      <c r="F3169" s="64"/>
      <c r="G3169" s="64"/>
      <c r="H3169" s="64"/>
      <c r="I3169" s="70"/>
      <c r="J3169" s="70"/>
      <c r="K3169" s="110" t="str">
        <f>IF(H3169="","",IF($C$29="간이법","",FPR(H3169,I3169,J3169)))</f>
        <v/>
      </c>
      <c r="L3169" s="111" t="str">
        <f>IF(H3169="","",IF($C$29="상세법",FPV(H3169,K3169),IF(H3169="EI",4,IF(H3169="EO",5.2,IF(H3169="EQ",3.9,IF(H3169="ILF",7.5,IF(H3169="EIF",5.4)))))))</f>
        <v/>
      </c>
      <c r="M3169" s="112" t="str">
        <f t="shared" si="52"/>
        <v/>
      </c>
      <c r="N3169" s="113"/>
    </row>
    <row r="3170" spans="2:14">
      <c r="B3170" s="105"/>
      <c r="C3170" s="106"/>
      <c r="D3170" s="107"/>
      <c r="E3170" s="65"/>
      <c r="F3170" s="64"/>
      <c r="G3170" s="64"/>
      <c r="H3170" s="64"/>
      <c r="I3170" s="70"/>
      <c r="J3170" s="70"/>
      <c r="K3170" s="110" t="str">
        <f>IF(H3170="","",IF($C$29="간이법","",FPR(H3170,I3170,J3170)))</f>
        <v/>
      </c>
      <c r="L3170" s="111" t="str">
        <f>IF(H3170="","",IF($C$29="상세법",FPV(H3170,K3170),IF(H3170="EI",4,IF(H3170="EO",5.2,IF(H3170="EQ",3.9,IF(H3170="ILF",7.5,IF(H3170="EIF",5.4)))))))</f>
        <v/>
      </c>
      <c r="M3170" s="112" t="str">
        <f t="shared" si="52"/>
        <v/>
      </c>
      <c r="N3170" s="113"/>
    </row>
    <row r="3171" spans="2:14">
      <c r="B3171" s="105"/>
      <c r="C3171" s="106"/>
      <c r="D3171" s="107"/>
      <c r="E3171" s="65"/>
      <c r="F3171" s="64"/>
      <c r="G3171" s="64"/>
      <c r="H3171" s="64"/>
      <c r="I3171" s="70"/>
      <c r="J3171" s="70"/>
      <c r="K3171" s="110" t="str">
        <f>IF(H3171="","",IF($C$29="간이법","",FPR(H3171,I3171,J3171)))</f>
        <v/>
      </c>
      <c r="L3171" s="111" t="str">
        <f>IF(H3171="","",IF($C$29="상세법",FPV(H3171,K3171),IF(H3171="EI",4,IF(H3171="EO",5.2,IF(H3171="EQ",3.9,IF(H3171="ILF",7.5,IF(H3171="EIF",5.4)))))))</f>
        <v/>
      </c>
      <c r="M3171" s="112" t="str">
        <f t="shared" si="52"/>
        <v/>
      </c>
      <c r="N3171" s="113"/>
    </row>
    <row r="3172" spans="2:14">
      <c r="B3172" s="105"/>
      <c r="C3172" s="106"/>
      <c r="D3172" s="107"/>
      <c r="E3172" s="65"/>
      <c r="F3172" s="64"/>
      <c r="G3172" s="64"/>
      <c r="H3172" s="64"/>
      <c r="I3172" s="70"/>
      <c r="J3172" s="70"/>
      <c r="K3172" s="110" t="str">
        <f>IF(H3172="","",IF($C$29="간이법","",FPR(H3172,I3172,J3172)))</f>
        <v/>
      </c>
      <c r="L3172" s="111" t="str">
        <f>IF(H3172="","",IF($C$29="상세법",FPV(H3172,K3172),IF(H3172="EI",4,IF(H3172="EO",5.2,IF(H3172="EQ",3.9,IF(H3172="ILF",7.5,IF(H3172="EIF",5.4)))))))</f>
        <v/>
      </c>
      <c r="M3172" s="112" t="str">
        <f t="shared" si="52"/>
        <v/>
      </c>
      <c r="N3172" s="113"/>
    </row>
    <row r="3173" spans="2:14">
      <c r="B3173" s="105"/>
      <c r="C3173" s="106"/>
      <c r="D3173" s="107"/>
      <c r="E3173" s="65"/>
      <c r="F3173" s="64"/>
      <c r="G3173" s="64"/>
      <c r="H3173" s="64"/>
      <c r="I3173" s="70"/>
      <c r="J3173" s="70"/>
      <c r="K3173" s="110" t="str">
        <f>IF(H3173="","",IF($C$29="간이법","",FPR(H3173,I3173,J3173)))</f>
        <v/>
      </c>
      <c r="L3173" s="111" t="str">
        <f>IF(H3173="","",IF($C$29="상세법",FPV(H3173,K3173),IF(H3173="EI",4,IF(H3173="EO",5.2,IF(H3173="EQ",3.9,IF(H3173="ILF",7.5,IF(H3173="EIF",5.4)))))))</f>
        <v/>
      </c>
      <c r="M3173" s="112" t="str">
        <f t="shared" si="52"/>
        <v/>
      </c>
      <c r="N3173" s="113"/>
    </row>
    <row r="3174" spans="2:14">
      <c r="B3174" s="105"/>
      <c r="C3174" s="106"/>
      <c r="D3174" s="107"/>
      <c r="E3174" s="65"/>
      <c r="F3174" s="64"/>
      <c r="G3174" s="64"/>
      <c r="H3174" s="64"/>
      <c r="I3174" s="70"/>
      <c r="J3174" s="70"/>
      <c r="K3174" s="110" t="str">
        <f>IF(H3174="","",IF($C$29="간이법","",FPR(H3174,I3174,J3174)))</f>
        <v/>
      </c>
      <c r="L3174" s="111" t="str">
        <f>IF(H3174="","",IF($C$29="상세법",FPV(H3174,K3174),IF(H3174="EI",4,IF(H3174="EO",5.2,IF(H3174="EQ",3.9,IF(H3174="ILF",7.5,IF(H3174="EIF",5.4)))))))</f>
        <v/>
      </c>
      <c r="M3174" s="112" t="str">
        <f t="shared" si="52"/>
        <v/>
      </c>
      <c r="N3174" s="113"/>
    </row>
    <row r="3175" spans="2:14">
      <c r="B3175" s="105"/>
      <c r="C3175" s="106"/>
      <c r="D3175" s="107"/>
      <c r="E3175" s="65"/>
      <c r="F3175" s="64"/>
      <c r="G3175" s="64"/>
      <c r="H3175" s="64"/>
      <c r="I3175" s="70"/>
      <c r="J3175" s="70"/>
      <c r="K3175" s="110" t="str">
        <f>IF(H3175="","",IF($C$29="간이법","",FPR(H3175,I3175,J3175)))</f>
        <v/>
      </c>
      <c r="L3175" s="111" t="str">
        <f>IF(H3175="","",IF($C$29="상세법",FPV(H3175,K3175),IF(H3175="EI",4,IF(H3175="EO",5.2,IF(H3175="EQ",3.9,IF(H3175="ILF",7.5,IF(H3175="EIF",5.4)))))))</f>
        <v/>
      </c>
      <c r="M3175" s="112" t="str">
        <f t="shared" si="52"/>
        <v/>
      </c>
      <c r="N3175" s="113"/>
    </row>
    <row r="3176" spans="2:14">
      <c r="B3176" s="105"/>
      <c r="C3176" s="106"/>
      <c r="D3176" s="107"/>
      <c r="E3176" s="65"/>
      <c r="F3176" s="64"/>
      <c r="G3176" s="64"/>
      <c r="H3176" s="64"/>
      <c r="I3176" s="70"/>
      <c r="J3176" s="70"/>
      <c r="K3176" s="110" t="str">
        <f>IF(H3176="","",IF($C$29="간이법","",FPR(H3176,I3176,J3176)))</f>
        <v/>
      </c>
      <c r="L3176" s="111" t="str">
        <f>IF(H3176="","",IF($C$29="상세법",FPV(H3176,K3176),IF(H3176="EI",4,IF(H3176="EO",5.2,IF(H3176="EQ",3.9,IF(H3176="ILF",7.5,IF(H3176="EIF",5.4)))))))</f>
        <v/>
      </c>
      <c r="M3176" s="112" t="str">
        <f t="shared" si="52"/>
        <v/>
      </c>
      <c r="N3176" s="113"/>
    </row>
    <row r="3177" spans="2:14">
      <c r="B3177" s="105"/>
      <c r="C3177" s="106"/>
      <c r="D3177" s="107"/>
      <c r="E3177" s="65"/>
      <c r="F3177" s="64"/>
      <c r="G3177" s="64"/>
      <c r="H3177" s="64"/>
      <c r="I3177" s="70"/>
      <c r="J3177" s="70"/>
      <c r="K3177" s="110" t="str">
        <f>IF(H3177="","",IF($C$29="간이법","",FPR(H3177,I3177,J3177)))</f>
        <v/>
      </c>
      <c r="L3177" s="111" t="str">
        <f>IF(H3177="","",IF($C$29="상세법",FPV(H3177,K3177),IF(H3177="EI",4,IF(H3177="EO",5.2,IF(H3177="EQ",3.9,IF(H3177="ILF",7.5,IF(H3177="EIF",5.4)))))))</f>
        <v/>
      </c>
      <c r="M3177" s="112" t="str">
        <f t="shared" si="52"/>
        <v/>
      </c>
      <c r="N3177" s="113"/>
    </row>
    <row r="3178" spans="2:14">
      <c r="B3178" s="105"/>
      <c r="C3178" s="106"/>
      <c r="D3178" s="107"/>
      <c r="E3178" s="65"/>
      <c r="F3178" s="64"/>
      <c r="G3178" s="64"/>
      <c r="H3178" s="64"/>
      <c r="I3178" s="70"/>
      <c r="J3178" s="70"/>
      <c r="K3178" s="110" t="str">
        <f>IF(H3178="","",IF($C$29="간이법","",FPR(H3178,I3178,J3178)))</f>
        <v/>
      </c>
      <c r="L3178" s="111" t="str">
        <f>IF(H3178="","",IF($C$29="상세법",FPV(H3178,K3178),IF(H3178="EI",4,IF(H3178="EO",5.2,IF(H3178="EQ",3.9,IF(H3178="ILF",7.5,IF(H3178="EIF",5.4)))))))</f>
        <v/>
      </c>
      <c r="M3178" s="112" t="str">
        <f t="shared" si="52"/>
        <v/>
      </c>
      <c r="N3178" s="113"/>
    </row>
    <row r="3179" spans="2:14">
      <c r="B3179" s="105"/>
      <c r="C3179" s="106"/>
      <c r="D3179" s="107"/>
      <c r="E3179" s="65"/>
      <c r="F3179" s="64"/>
      <c r="G3179" s="64"/>
      <c r="H3179" s="64"/>
      <c r="I3179" s="70"/>
      <c r="J3179" s="70"/>
      <c r="K3179" s="110" t="str">
        <f>IF(H3179="","",IF($C$29="간이법","",FPR(H3179,I3179,J3179)))</f>
        <v/>
      </c>
      <c r="L3179" s="111" t="str">
        <f>IF(H3179="","",IF($C$29="상세법",FPV(H3179,K3179),IF(H3179="EI",4,IF(H3179="EO",5.2,IF(H3179="EQ",3.9,IF(H3179="ILF",7.5,IF(H3179="EIF",5.4)))))))</f>
        <v/>
      </c>
      <c r="M3179" s="112" t="str">
        <f t="shared" si="52"/>
        <v/>
      </c>
      <c r="N3179" s="113"/>
    </row>
    <row r="3180" spans="2:14">
      <c r="B3180" s="105"/>
      <c r="C3180" s="106"/>
      <c r="D3180" s="107"/>
      <c r="E3180" s="65"/>
      <c r="F3180" s="64"/>
      <c r="G3180" s="64"/>
      <c r="H3180" s="64"/>
      <c r="I3180" s="70"/>
      <c r="J3180" s="70"/>
      <c r="K3180" s="110" t="str">
        <f>IF(H3180="","",IF($C$29="간이법","",FPR(H3180,I3180,J3180)))</f>
        <v/>
      </c>
      <c r="L3180" s="111" t="str">
        <f>IF(H3180="","",IF($C$29="상세법",FPV(H3180,K3180),IF(H3180="EI",4,IF(H3180="EO",5.2,IF(H3180="EQ",3.9,IF(H3180="ILF",7.5,IF(H3180="EIF",5.4)))))))</f>
        <v/>
      </c>
      <c r="M3180" s="112" t="str">
        <f t="shared" si="52"/>
        <v/>
      </c>
      <c r="N3180" s="113"/>
    </row>
    <row r="3181" spans="2:14">
      <c r="B3181" s="105"/>
      <c r="C3181" s="106"/>
      <c r="D3181" s="107"/>
      <c r="E3181" s="65"/>
      <c r="F3181" s="64"/>
      <c r="G3181" s="64"/>
      <c r="H3181" s="64"/>
      <c r="I3181" s="70"/>
      <c r="J3181" s="70"/>
      <c r="K3181" s="110" t="str">
        <f>IF(H3181="","",IF($C$29="간이법","",FPR(H3181,I3181,J3181)))</f>
        <v/>
      </c>
      <c r="L3181" s="111" t="str">
        <f>IF(H3181="","",IF($C$29="상세법",FPV(H3181,K3181),IF(H3181="EI",4,IF(H3181="EO",5.2,IF(H3181="EQ",3.9,IF(H3181="ILF",7.5,IF(H3181="EIF",5.4)))))))</f>
        <v/>
      </c>
      <c r="M3181" s="112" t="str">
        <f t="shared" si="52"/>
        <v/>
      </c>
      <c r="N3181" s="113"/>
    </row>
    <row r="3182" spans="2:14">
      <c r="B3182" s="105"/>
      <c r="C3182" s="106"/>
      <c r="D3182" s="107"/>
      <c r="E3182" s="65"/>
      <c r="F3182" s="64"/>
      <c r="G3182" s="64"/>
      <c r="H3182" s="64"/>
      <c r="I3182" s="70"/>
      <c r="J3182" s="70"/>
      <c r="K3182" s="110" t="str">
        <f>IF(H3182="","",IF($C$29="간이법","",FPR(H3182,I3182,J3182)))</f>
        <v/>
      </c>
      <c r="L3182" s="111" t="str">
        <f>IF(H3182="","",IF($C$29="상세법",FPV(H3182,K3182),IF(H3182="EI",4,IF(H3182="EO",5.2,IF(H3182="EQ",3.9,IF(H3182="ILF",7.5,IF(H3182="EIF",5.4)))))))</f>
        <v/>
      </c>
      <c r="M3182" s="112" t="str">
        <f t="shared" si="52"/>
        <v/>
      </c>
      <c r="N3182" s="113"/>
    </row>
    <row r="3183" spans="2:14">
      <c r="B3183" s="105"/>
      <c r="C3183" s="106"/>
      <c r="D3183" s="107"/>
      <c r="E3183" s="65"/>
      <c r="F3183" s="64"/>
      <c r="G3183" s="64"/>
      <c r="H3183" s="64"/>
      <c r="I3183" s="70"/>
      <c r="J3183" s="70"/>
      <c r="K3183" s="110" t="str">
        <f>IF(H3183="","",IF($C$29="간이법","",FPR(H3183,I3183,J3183)))</f>
        <v/>
      </c>
      <c r="L3183" s="111" t="str">
        <f>IF(H3183="","",IF($C$29="상세법",FPV(H3183,K3183),IF(H3183="EI",4,IF(H3183="EO",5.2,IF(H3183="EQ",3.9,IF(H3183="ILF",7.5,IF(H3183="EIF",5.4)))))))</f>
        <v/>
      </c>
      <c r="M3183" s="112" t="str">
        <f t="shared" si="52"/>
        <v/>
      </c>
      <c r="N3183" s="113"/>
    </row>
    <row r="3184" spans="2:14">
      <c r="B3184" s="105"/>
      <c r="C3184" s="106"/>
      <c r="D3184" s="107"/>
      <c r="E3184" s="65"/>
      <c r="F3184" s="64"/>
      <c r="G3184" s="64"/>
      <c r="H3184" s="64"/>
      <c r="I3184" s="70"/>
      <c r="J3184" s="70"/>
      <c r="K3184" s="110" t="str">
        <f>IF(H3184="","",IF($C$29="간이법","",FPR(H3184,I3184,J3184)))</f>
        <v/>
      </c>
      <c r="L3184" s="111" t="str">
        <f>IF(H3184="","",IF($C$29="상세법",FPV(H3184,K3184),IF(H3184="EI",4,IF(H3184="EO",5.2,IF(H3184="EQ",3.9,IF(H3184="ILF",7.5,IF(H3184="EIF",5.4)))))))</f>
        <v/>
      </c>
      <c r="M3184" s="112" t="str">
        <f t="shared" si="52"/>
        <v/>
      </c>
      <c r="N3184" s="113"/>
    </row>
    <row r="3185" spans="2:14">
      <c r="B3185" s="105"/>
      <c r="C3185" s="106"/>
      <c r="D3185" s="107"/>
      <c r="E3185" s="65"/>
      <c r="F3185" s="64"/>
      <c r="G3185" s="64"/>
      <c r="H3185" s="64"/>
      <c r="I3185" s="70"/>
      <c r="J3185" s="70"/>
      <c r="K3185" s="110" t="str">
        <f>IF(H3185="","",IF($C$29="간이법","",FPR(H3185,I3185,J3185)))</f>
        <v/>
      </c>
      <c r="L3185" s="111" t="str">
        <f>IF(H3185="","",IF($C$29="상세법",FPV(H3185,K3185),IF(H3185="EI",4,IF(H3185="EO",5.2,IF(H3185="EQ",3.9,IF(H3185="ILF",7.5,IF(H3185="EIF",5.4)))))))</f>
        <v/>
      </c>
      <c r="M3185" s="112" t="str">
        <f t="shared" si="52"/>
        <v/>
      </c>
      <c r="N3185" s="113"/>
    </row>
    <row r="3186" spans="2:14">
      <c r="B3186" s="105"/>
      <c r="C3186" s="106"/>
      <c r="D3186" s="107"/>
      <c r="E3186" s="65"/>
      <c r="F3186" s="64"/>
      <c r="G3186" s="64"/>
      <c r="H3186" s="64"/>
      <c r="I3186" s="70"/>
      <c r="J3186" s="70"/>
      <c r="K3186" s="110" t="str">
        <f>IF(H3186="","",IF($C$29="간이법","",FPR(H3186,I3186,J3186)))</f>
        <v/>
      </c>
      <c r="L3186" s="111" t="str">
        <f>IF(H3186="","",IF($C$29="상세법",FPV(H3186,K3186),IF(H3186="EI",4,IF(H3186="EO",5.2,IF(H3186="EQ",3.9,IF(H3186="ILF",7.5,IF(H3186="EIF",5.4)))))))</f>
        <v/>
      </c>
      <c r="M3186" s="112" t="str">
        <f t="shared" si="52"/>
        <v/>
      </c>
      <c r="N3186" s="113"/>
    </row>
    <row r="3187" spans="2:14">
      <c r="B3187" s="105"/>
      <c r="C3187" s="106"/>
      <c r="D3187" s="107"/>
      <c r="E3187" s="65"/>
      <c r="F3187" s="64"/>
      <c r="G3187" s="64"/>
      <c r="H3187" s="64"/>
      <c r="I3187" s="70"/>
      <c r="J3187" s="70"/>
      <c r="K3187" s="110" t="str">
        <f>IF(H3187="","",IF($C$29="간이법","",FPR(H3187,I3187,J3187)))</f>
        <v/>
      </c>
      <c r="L3187" s="111" t="str">
        <f>IF(H3187="","",IF($C$29="상세법",FPV(H3187,K3187),IF(H3187="EI",4,IF(H3187="EO",5.2,IF(H3187="EQ",3.9,IF(H3187="ILF",7.5,IF(H3187="EIF",5.4)))))))</f>
        <v/>
      </c>
      <c r="M3187" s="112" t="str">
        <f t="shared" si="52"/>
        <v/>
      </c>
      <c r="N3187" s="113"/>
    </row>
    <row r="3188" spans="2:14">
      <c r="B3188" s="105"/>
      <c r="C3188" s="106"/>
      <c r="D3188" s="107"/>
      <c r="E3188" s="65"/>
      <c r="F3188" s="64"/>
      <c r="G3188" s="64"/>
      <c r="H3188" s="64"/>
      <c r="I3188" s="70"/>
      <c r="J3188" s="70"/>
      <c r="K3188" s="110" t="str">
        <f>IF(H3188="","",IF($C$29="간이법","",FPR(H3188,I3188,J3188)))</f>
        <v/>
      </c>
      <c r="L3188" s="111" t="str">
        <f>IF(H3188="","",IF($C$29="상세법",FPV(H3188,K3188),IF(H3188="EI",4,IF(H3188="EO",5.2,IF(H3188="EQ",3.9,IF(H3188="ILF",7.5,IF(H3188="EIF",5.4)))))))</f>
        <v/>
      </c>
      <c r="M3188" s="112" t="str">
        <f t="shared" si="52"/>
        <v/>
      </c>
      <c r="N3188" s="113"/>
    </row>
    <row r="3189" spans="2:14">
      <c r="B3189" s="105"/>
      <c r="C3189" s="106"/>
      <c r="D3189" s="107"/>
      <c r="E3189" s="65"/>
      <c r="F3189" s="64"/>
      <c r="G3189" s="64"/>
      <c r="H3189" s="64"/>
      <c r="I3189" s="70"/>
      <c r="J3189" s="70"/>
      <c r="K3189" s="110" t="str">
        <f>IF(H3189="","",IF($C$29="간이법","",FPR(H3189,I3189,J3189)))</f>
        <v/>
      </c>
      <c r="L3189" s="111" t="str">
        <f>IF(H3189="","",IF($C$29="상세법",FPV(H3189,K3189),IF(H3189="EI",4,IF(H3189="EO",5.2,IF(H3189="EQ",3.9,IF(H3189="ILF",7.5,IF(H3189="EIF",5.4)))))))</f>
        <v/>
      </c>
      <c r="M3189" s="112" t="str">
        <f t="shared" si="52"/>
        <v/>
      </c>
      <c r="N3189" s="113"/>
    </row>
    <row r="3190" spans="2:14">
      <c r="B3190" s="105"/>
      <c r="C3190" s="106"/>
      <c r="D3190" s="107"/>
      <c r="E3190" s="65"/>
      <c r="F3190" s="64"/>
      <c r="G3190" s="64"/>
      <c r="H3190" s="64"/>
      <c r="I3190" s="70"/>
      <c r="J3190" s="70"/>
      <c r="K3190" s="110" t="str">
        <f>IF(H3190="","",IF($C$29="간이법","",FPR(H3190,I3190,J3190)))</f>
        <v/>
      </c>
      <c r="L3190" s="111" t="str">
        <f>IF(H3190="","",IF($C$29="상세법",FPV(H3190,K3190),IF(H3190="EI",4,IF(H3190="EO",5.2,IF(H3190="EQ",3.9,IF(H3190="ILF",7.5,IF(H3190="EIF",5.4)))))))</f>
        <v/>
      </c>
      <c r="M3190" s="112" t="str">
        <f t="shared" si="52"/>
        <v/>
      </c>
      <c r="N3190" s="113"/>
    </row>
    <row r="3191" spans="2:14">
      <c r="B3191" s="105"/>
      <c r="C3191" s="106"/>
      <c r="D3191" s="107"/>
      <c r="E3191" s="65"/>
      <c r="F3191" s="64"/>
      <c r="G3191" s="64"/>
      <c r="H3191" s="64"/>
      <c r="I3191" s="70"/>
      <c r="J3191" s="70"/>
      <c r="K3191" s="110" t="str">
        <f>IF(H3191="","",IF($C$29="간이법","",FPR(H3191,I3191,J3191)))</f>
        <v/>
      </c>
      <c r="L3191" s="111" t="str">
        <f>IF(H3191="","",IF($C$29="상세법",FPV(H3191,K3191),IF(H3191="EI",4,IF(H3191="EO",5.2,IF(H3191="EQ",3.9,IF(H3191="ILF",7.5,IF(H3191="EIF",5.4)))))))</f>
        <v/>
      </c>
      <c r="M3191" s="112" t="str">
        <f t="shared" si="52"/>
        <v/>
      </c>
      <c r="N3191" s="113"/>
    </row>
    <row r="3192" spans="2:14">
      <c r="B3192" s="105"/>
      <c r="C3192" s="106"/>
      <c r="D3192" s="107"/>
      <c r="E3192" s="65"/>
      <c r="F3192" s="64"/>
      <c r="G3192" s="64"/>
      <c r="H3192" s="64"/>
      <c r="I3192" s="70"/>
      <c r="J3192" s="70"/>
      <c r="K3192" s="110" t="str">
        <f>IF(H3192="","",IF($C$29="간이법","",FPR(H3192,I3192,J3192)))</f>
        <v/>
      </c>
      <c r="L3192" s="111" t="str">
        <f>IF(H3192="","",IF($C$29="상세법",FPV(H3192,K3192),IF(H3192="EI",4,IF(H3192="EO",5.2,IF(H3192="EQ",3.9,IF(H3192="ILF",7.5,IF(H3192="EIF",5.4)))))))</f>
        <v/>
      </c>
      <c r="M3192" s="112" t="str">
        <f t="shared" si="52"/>
        <v/>
      </c>
      <c r="N3192" s="113"/>
    </row>
    <row r="3193" spans="2:14">
      <c r="B3193" s="105"/>
      <c r="C3193" s="106"/>
      <c r="D3193" s="107"/>
      <c r="E3193" s="65"/>
      <c r="F3193" s="64"/>
      <c r="G3193" s="64"/>
      <c r="H3193" s="64"/>
      <c r="I3193" s="70"/>
      <c r="J3193" s="70"/>
      <c r="K3193" s="110" t="str">
        <f>IF(H3193="","",IF($C$29="간이법","",FPR(H3193,I3193,J3193)))</f>
        <v/>
      </c>
      <c r="L3193" s="111" t="str">
        <f>IF(H3193="","",IF($C$29="상세법",FPV(H3193,K3193),IF(H3193="EI",4,IF(H3193="EO",5.2,IF(H3193="EQ",3.9,IF(H3193="ILF",7.5,IF(H3193="EIF",5.4)))))))</f>
        <v/>
      </c>
      <c r="M3193" s="112" t="str">
        <f t="shared" ref="M3193:M3256" si="53">IF(L3193="","",L3193*IF(G3193="상",0.7,IF(G3193="중",0.5,IF(G3193="하",0.2,1))))</f>
        <v/>
      </c>
      <c r="N3193" s="113"/>
    </row>
    <row r="3194" spans="2:14">
      <c r="B3194" s="105"/>
      <c r="C3194" s="106"/>
      <c r="D3194" s="107"/>
      <c r="E3194" s="65"/>
      <c r="F3194" s="64"/>
      <c r="G3194" s="64"/>
      <c r="H3194" s="64"/>
      <c r="I3194" s="70"/>
      <c r="J3194" s="70"/>
      <c r="K3194" s="110" t="str">
        <f>IF(H3194="","",IF($C$29="간이법","",FPR(H3194,I3194,J3194)))</f>
        <v/>
      </c>
      <c r="L3194" s="111" t="str">
        <f>IF(H3194="","",IF($C$29="상세법",FPV(H3194,K3194),IF(H3194="EI",4,IF(H3194="EO",5.2,IF(H3194="EQ",3.9,IF(H3194="ILF",7.5,IF(H3194="EIF",5.4)))))))</f>
        <v/>
      </c>
      <c r="M3194" s="112" t="str">
        <f t="shared" si="53"/>
        <v/>
      </c>
      <c r="N3194" s="113"/>
    </row>
    <row r="3195" spans="2:14">
      <c r="B3195" s="105"/>
      <c r="C3195" s="106"/>
      <c r="D3195" s="107"/>
      <c r="E3195" s="65"/>
      <c r="F3195" s="64"/>
      <c r="G3195" s="64"/>
      <c r="H3195" s="64"/>
      <c r="I3195" s="70"/>
      <c r="J3195" s="70"/>
      <c r="K3195" s="110" t="str">
        <f>IF(H3195="","",IF($C$29="간이법","",FPR(H3195,I3195,J3195)))</f>
        <v/>
      </c>
      <c r="L3195" s="111" t="str">
        <f>IF(H3195="","",IF($C$29="상세법",FPV(H3195,K3195),IF(H3195="EI",4,IF(H3195="EO",5.2,IF(H3195="EQ",3.9,IF(H3195="ILF",7.5,IF(H3195="EIF",5.4)))))))</f>
        <v/>
      </c>
      <c r="M3195" s="112" t="str">
        <f t="shared" si="53"/>
        <v/>
      </c>
      <c r="N3195" s="113"/>
    </row>
    <row r="3196" spans="2:14">
      <c r="B3196" s="105"/>
      <c r="C3196" s="106"/>
      <c r="D3196" s="107"/>
      <c r="E3196" s="65"/>
      <c r="F3196" s="64"/>
      <c r="G3196" s="64"/>
      <c r="H3196" s="64"/>
      <c r="I3196" s="70"/>
      <c r="J3196" s="70"/>
      <c r="K3196" s="110" t="str">
        <f>IF(H3196="","",IF($C$29="간이법","",FPR(H3196,I3196,J3196)))</f>
        <v/>
      </c>
      <c r="L3196" s="111" t="str">
        <f>IF(H3196="","",IF($C$29="상세법",FPV(H3196,K3196),IF(H3196="EI",4,IF(H3196="EO",5.2,IF(H3196="EQ",3.9,IF(H3196="ILF",7.5,IF(H3196="EIF",5.4)))))))</f>
        <v/>
      </c>
      <c r="M3196" s="112" t="str">
        <f t="shared" si="53"/>
        <v/>
      </c>
      <c r="N3196" s="113"/>
    </row>
    <row r="3197" spans="2:14">
      <c r="B3197" s="105"/>
      <c r="C3197" s="106"/>
      <c r="D3197" s="107"/>
      <c r="E3197" s="65"/>
      <c r="F3197" s="64"/>
      <c r="G3197" s="64"/>
      <c r="H3197" s="64"/>
      <c r="I3197" s="70"/>
      <c r="J3197" s="70"/>
      <c r="K3197" s="110" t="str">
        <f>IF(H3197="","",IF($C$29="간이법","",FPR(H3197,I3197,J3197)))</f>
        <v/>
      </c>
      <c r="L3197" s="111" t="str">
        <f>IF(H3197="","",IF($C$29="상세법",FPV(H3197,K3197),IF(H3197="EI",4,IF(H3197="EO",5.2,IF(H3197="EQ",3.9,IF(H3197="ILF",7.5,IF(H3197="EIF",5.4)))))))</f>
        <v/>
      </c>
      <c r="M3197" s="112" t="str">
        <f t="shared" si="53"/>
        <v/>
      </c>
      <c r="N3197" s="113"/>
    </row>
    <row r="3198" spans="2:14">
      <c r="B3198" s="105"/>
      <c r="C3198" s="106"/>
      <c r="D3198" s="107"/>
      <c r="E3198" s="65"/>
      <c r="F3198" s="64"/>
      <c r="G3198" s="64"/>
      <c r="H3198" s="64"/>
      <c r="I3198" s="70"/>
      <c r="J3198" s="70"/>
      <c r="K3198" s="110" t="str">
        <f>IF(H3198="","",IF($C$29="간이법","",FPR(H3198,I3198,J3198)))</f>
        <v/>
      </c>
      <c r="L3198" s="111" t="str">
        <f>IF(H3198="","",IF($C$29="상세법",FPV(H3198,K3198),IF(H3198="EI",4,IF(H3198="EO",5.2,IF(H3198="EQ",3.9,IF(H3198="ILF",7.5,IF(H3198="EIF",5.4)))))))</f>
        <v/>
      </c>
      <c r="M3198" s="112" t="str">
        <f t="shared" si="53"/>
        <v/>
      </c>
      <c r="N3198" s="113"/>
    </row>
    <row r="3199" spans="2:14">
      <c r="B3199" s="105"/>
      <c r="C3199" s="106"/>
      <c r="D3199" s="107"/>
      <c r="E3199" s="65"/>
      <c r="F3199" s="64"/>
      <c r="G3199" s="64"/>
      <c r="H3199" s="64"/>
      <c r="I3199" s="70"/>
      <c r="J3199" s="70"/>
      <c r="K3199" s="110" t="str">
        <f>IF(H3199="","",IF($C$29="간이법","",FPR(H3199,I3199,J3199)))</f>
        <v/>
      </c>
      <c r="L3199" s="111" t="str">
        <f>IF(H3199="","",IF($C$29="상세법",FPV(H3199,K3199),IF(H3199="EI",4,IF(H3199="EO",5.2,IF(H3199="EQ",3.9,IF(H3199="ILF",7.5,IF(H3199="EIF",5.4)))))))</f>
        <v/>
      </c>
      <c r="M3199" s="112" t="str">
        <f t="shared" si="53"/>
        <v/>
      </c>
      <c r="N3199" s="113"/>
    </row>
    <row r="3200" spans="2:14">
      <c r="B3200" s="105"/>
      <c r="C3200" s="106"/>
      <c r="D3200" s="107"/>
      <c r="E3200" s="65"/>
      <c r="F3200" s="64"/>
      <c r="G3200" s="64"/>
      <c r="H3200" s="64"/>
      <c r="I3200" s="70"/>
      <c r="J3200" s="70"/>
      <c r="K3200" s="110" t="str">
        <f>IF(H3200="","",IF($C$29="간이법","",FPR(H3200,I3200,J3200)))</f>
        <v/>
      </c>
      <c r="L3200" s="111" t="str">
        <f>IF(H3200="","",IF($C$29="상세법",FPV(H3200,K3200),IF(H3200="EI",4,IF(H3200="EO",5.2,IF(H3200="EQ",3.9,IF(H3200="ILF",7.5,IF(H3200="EIF",5.4)))))))</f>
        <v/>
      </c>
      <c r="M3200" s="112" t="str">
        <f t="shared" si="53"/>
        <v/>
      </c>
      <c r="N3200" s="113"/>
    </row>
    <row r="3201" spans="2:14">
      <c r="B3201" s="105"/>
      <c r="C3201" s="106"/>
      <c r="D3201" s="107"/>
      <c r="E3201" s="65"/>
      <c r="F3201" s="64"/>
      <c r="G3201" s="64"/>
      <c r="H3201" s="64"/>
      <c r="I3201" s="70"/>
      <c r="J3201" s="70"/>
      <c r="K3201" s="110" t="str">
        <f>IF(H3201="","",IF($C$29="간이법","",FPR(H3201,I3201,J3201)))</f>
        <v/>
      </c>
      <c r="L3201" s="111" t="str">
        <f>IF(H3201="","",IF($C$29="상세법",FPV(H3201,K3201),IF(H3201="EI",4,IF(H3201="EO",5.2,IF(H3201="EQ",3.9,IF(H3201="ILF",7.5,IF(H3201="EIF",5.4)))))))</f>
        <v/>
      </c>
      <c r="M3201" s="112" t="str">
        <f t="shared" si="53"/>
        <v/>
      </c>
      <c r="N3201" s="113"/>
    </row>
    <row r="3202" spans="2:14">
      <c r="B3202" s="105"/>
      <c r="C3202" s="106"/>
      <c r="D3202" s="107"/>
      <c r="E3202" s="65"/>
      <c r="F3202" s="64"/>
      <c r="G3202" s="64"/>
      <c r="H3202" s="64"/>
      <c r="I3202" s="70"/>
      <c r="J3202" s="70"/>
      <c r="K3202" s="110" t="str">
        <f>IF(H3202="","",IF($C$29="간이법","",FPR(H3202,I3202,J3202)))</f>
        <v/>
      </c>
      <c r="L3202" s="111" t="str">
        <f>IF(H3202="","",IF($C$29="상세법",FPV(H3202,K3202),IF(H3202="EI",4,IF(H3202="EO",5.2,IF(H3202="EQ",3.9,IF(H3202="ILF",7.5,IF(H3202="EIF",5.4)))))))</f>
        <v/>
      </c>
      <c r="M3202" s="112" t="str">
        <f t="shared" si="53"/>
        <v/>
      </c>
      <c r="N3202" s="113"/>
    </row>
    <row r="3203" spans="2:14">
      <c r="B3203" s="105"/>
      <c r="C3203" s="106"/>
      <c r="D3203" s="107"/>
      <c r="E3203" s="65"/>
      <c r="F3203" s="64"/>
      <c r="G3203" s="64"/>
      <c r="H3203" s="64"/>
      <c r="I3203" s="70"/>
      <c r="J3203" s="70"/>
      <c r="K3203" s="110" t="str">
        <f>IF(H3203="","",IF($C$29="간이법","",FPR(H3203,I3203,J3203)))</f>
        <v/>
      </c>
      <c r="L3203" s="111" t="str">
        <f>IF(H3203="","",IF($C$29="상세법",FPV(H3203,K3203),IF(H3203="EI",4,IF(H3203="EO",5.2,IF(H3203="EQ",3.9,IF(H3203="ILF",7.5,IF(H3203="EIF",5.4)))))))</f>
        <v/>
      </c>
      <c r="M3203" s="112" t="str">
        <f t="shared" si="53"/>
        <v/>
      </c>
      <c r="N3203" s="113"/>
    </row>
    <row r="3204" spans="2:14">
      <c r="B3204" s="105"/>
      <c r="C3204" s="106"/>
      <c r="D3204" s="107"/>
      <c r="E3204" s="65"/>
      <c r="F3204" s="64"/>
      <c r="G3204" s="64"/>
      <c r="H3204" s="64"/>
      <c r="I3204" s="70"/>
      <c r="J3204" s="70"/>
      <c r="K3204" s="110" t="str">
        <f>IF(H3204="","",IF($C$29="간이법","",FPR(H3204,I3204,J3204)))</f>
        <v/>
      </c>
      <c r="L3204" s="111" t="str">
        <f>IF(H3204="","",IF($C$29="상세법",FPV(H3204,K3204),IF(H3204="EI",4,IF(H3204="EO",5.2,IF(H3204="EQ",3.9,IF(H3204="ILF",7.5,IF(H3204="EIF",5.4)))))))</f>
        <v/>
      </c>
      <c r="M3204" s="112" t="str">
        <f t="shared" si="53"/>
        <v/>
      </c>
      <c r="N3204" s="113"/>
    </row>
    <row r="3205" spans="2:14">
      <c r="B3205" s="105"/>
      <c r="C3205" s="106"/>
      <c r="D3205" s="107"/>
      <c r="E3205" s="65"/>
      <c r="F3205" s="64"/>
      <c r="G3205" s="64"/>
      <c r="H3205" s="64"/>
      <c r="I3205" s="70"/>
      <c r="J3205" s="70"/>
      <c r="K3205" s="110" t="str">
        <f>IF(H3205="","",IF($C$29="간이법","",FPR(H3205,I3205,J3205)))</f>
        <v/>
      </c>
      <c r="L3205" s="111" t="str">
        <f>IF(H3205="","",IF($C$29="상세법",FPV(H3205,K3205),IF(H3205="EI",4,IF(H3205="EO",5.2,IF(H3205="EQ",3.9,IF(H3205="ILF",7.5,IF(H3205="EIF",5.4)))))))</f>
        <v/>
      </c>
      <c r="M3205" s="112" t="str">
        <f t="shared" si="53"/>
        <v/>
      </c>
      <c r="N3205" s="113"/>
    </row>
    <row r="3206" spans="2:14">
      <c r="B3206" s="105"/>
      <c r="C3206" s="106"/>
      <c r="D3206" s="107"/>
      <c r="E3206" s="65"/>
      <c r="F3206" s="64"/>
      <c r="G3206" s="64"/>
      <c r="H3206" s="64"/>
      <c r="I3206" s="70"/>
      <c r="J3206" s="70"/>
      <c r="K3206" s="110" t="str">
        <f>IF(H3206="","",IF($C$29="간이법","",FPR(H3206,I3206,J3206)))</f>
        <v/>
      </c>
      <c r="L3206" s="111" t="str">
        <f>IF(H3206="","",IF($C$29="상세법",FPV(H3206,K3206),IF(H3206="EI",4,IF(H3206="EO",5.2,IF(H3206="EQ",3.9,IF(H3206="ILF",7.5,IF(H3206="EIF",5.4)))))))</f>
        <v/>
      </c>
      <c r="M3206" s="112" t="str">
        <f t="shared" si="53"/>
        <v/>
      </c>
      <c r="N3206" s="113"/>
    </row>
    <row r="3207" spans="2:14">
      <c r="B3207" s="105"/>
      <c r="C3207" s="106"/>
      <c r="D3207" s="107"/>
      <c r="E3207" s="65"/>
      <c r="F3207" s="64"/>
      <c r="G3207" s="64"/>
      <c r="H3207" s="64"/>
      <c r="I3207" s="70"/>
      <c r="J3207" s="70"/>
      <c r="K3207" s="110" t="str">
        <f>IF(H3207="","",IF($C$29="간이법","",FPR(H3207,I3207,J3207)))</f>
        <v/>
      </c>
      <c r="L3207" s="111" t="str">
        <f>IF(H3207="","",IF($C$29="상세법",FPV(H3207,K3207),IF(H3207="EI",4,IF(H3207="EO",5.2,IF(H3207="EQ",3.9,IF(H3207="ILF",7.5,IF(H3207="EIF",5.4)))))))</f>
        <v/>
      </c>
      <c r="M3207" s="112" t="str">
        <f t="shared" si="53"/>
        <v/>
      </c>
      <c r="N3207" s="113"/>
    </row>
    <row r="3208" spans="2:14">
      <c r="B3208" s="105"/>
      <c r="C3208" s="106"/>
      <c r="D3208" s="107"/>
      <c r="E3208" s="65"/>
      <c r="F3208" s="64"/>
      <c r="G3208" s="64"/>
      <c r="H3208" s="64"/>
      <c r="I3208" s="70"/>
      <c r="J3208" s="70"/>
      <c r="K3208" s="110" t="str">
        <f>IF(H3208="","",IF($C$29="간이법","",FPR(H3208,I3208,J3208)))</f>
        <v/>
      </c>
      <c r="L3208" s="111" t="str">
        <f>IF(H3208="","",IF($C$29="상세법",FPV(H3208,K3208),IF(H3208="EI",4,IF(H3208="EO",5.2,IF(H3208="EQ",3.9,IF(H3208="ILF",7.5,IF(H3208="EIF",5.4)))))))</f>
        <v/>
      </c>
      <c r="M3208" s="112" t="str">
        <f t="shared" si="53"/>
        <v/>
      </c>
      <c r="N3208" s="113"/>
    </row>
    <row r="3209" spans="2:14">
      <c r="B3209" s="105"/>
      <c r="C3209" s="106"/>
      <c r="D3209" s="107"/>
      <c r="E3209" s="65"/>
      <c r="F3209" s="64"/>
      <c r="G3209" s="64"/>
      <c r="H3209" s="64"/>
      <c r="I3209" s="70"/>
      <c r="J3209" s="70"/>
      <c r="K3209" s="110" t="str">
        <f>IF(H3209="","",IF($C$29="간이법","",FPR(H3209,I3209,J3209)))</f>
        <v/>
      </c>
      <c r="L3209" s="111" t="str">
        <f>IF(H3209="","",IF($C$29="상세법",FPV(H3209,K3209),IF(H3209="EI",4,IF(H3209="EO",5.2,IF(H3209="EQ",3.9,IF(H3209="ILF",7.5,IF(H3209="EIF",5.4)))))))</f>
        <v/>
      </c>
      <c r="M3209" s="112" t="str">
        <f t="shared" si="53"/>
        <v/>
      </c>
      <c r="N3209" s="113"/>
    </row>
    <row r="3210" spans="2:14">
      <c r="B3210" s="105"/>
      <c r="C3210" s="106"/>
      <c r="D3210" s="107"/>
      <c r="E3210" s="65"/>
      <c r="F3210" s="64"/>
      <c r="G3210" s="64"/>
      <c r="H3210" s="64"/>
      <c r="I3210" s="70"/>
      <c r="J3210" s="70"/>
      <c r="K3210" s="110" t="str">
        <f>IF(H3210="","",IF($C$29="간이법","",FPR(H3210,I3210,J3210)))</f>
        <v/>
      </c>
      <c r="L3210" s="111" t="str">
        <f>IF(H3210="","",IF($C$29="상세법",FPV(H3210,K3210),IF(H3210="EI",4,IF(H3210="EO",5.2,IF(H3210="EQ",3.9,IF(H3210="ILF",7.5,IF(H3210="EIF",5.4)))))))</f>
        <v/>
      </c>
      <c r="M3210" s="112" t="str">
        <f t="shared" si="53"/>
        <v/>
      </c>
      <c r="N3210" s="113"/>
    </row>
    <row r="3211" spans="2:14">
      <c r="B3211" s="105"/>
      <c r="C3211" s="106"/>
      <c r="D3211" s="107"/>
      <c r="E3211" s="65"/>
      <c r="F3211" s="64"/>
      <c r="G3211" s="64"/>
      <c r="H3211" s="64"/>
      <c r="I3211" s="70"/>
      <c r="J3211" s="70"/>
      <c r="K3211" s="110" t="str">
        <f>IF(H3211="","",IF($C$29="간이법","",FPR(H3211,I3211,J3211)))</f>
        <v/>
      </c>
      <c r="L3211" s="111" t="str">
        <f>IF(H3211="","",IF($C$29="상세법",FPV(H3211,K3211),IF(H3211="EI",4,IF(H3211="EO",5.2,IF(H3211="EQ",3.9,IF(H3211="ILF",7.5,IF(H3211="EIF",5.4)))))))</f>
        <v/>
      </c>
      <c r="M3211" s="112" t="str">
        <f t="shared" si="53"/>
        <v/>
      </c>
      <c r="N3211" s="113"/>
    </row>
    <row r="3212" spans="2:14">
      <c r="B3212" s="105"/>
      <c r="C3212" s="106"/>
      <c r="D3212" s="107"/>
      <c r="E3212" s="65"/>
      <c r="F3212" s="64"/>
      <c r="G3212" s="64"/>
      <c r="H3212" s="64"/>
      <c r="I3212" s="70"/>
      <c r="J3212" s="70"/>
      <c r="K3212" s="110" t="str">
        <f>IF(H3212="","",IF($C$29="간이법","",FPR(H3212,I3212,J3212)))</f>
        <v/>
      </c>
      <c r="L3212" s="111" t="str">
        <f>IF(H3212="","",IF($C$29="상세법",FPV(H3212,K3212),IF(H3212="EI",4,IF(H3212="EO",5.2,IF(H3212="EQ",3.9,IF(H3212="ILF",7.5,IF(H3212="EIF",5.4)))))))</f>
        <v/>
      </c>
      <c r="M3212" s="112" t="str">
        <f t="shared" si="53"/>
        <v/>
      </c>
      <c r="N3212" s="113"/>
    </row>
    <row r="3213" spans="2:14">
      <c r="B3213" s="105"/>
      <c r="C3213" s="106"/>
      <c r="D3213" s="107"/>
      <c r="E3213" s="65"/>
      <c r="F3213" s="64"/>
      <c r="G3213" s="64"/>
      <c r="H3213" s="64"/>
      <c r="I3213" s="70"/>
      <c r="J3213" s="70"/>
      <c r="K3213" s="110" t="str">
        <f>IF(H3213="","",IF($C$29="간이법","",FPR(H3213,I3213,J3213)))</f>
        <v/>
      </c>
      <c r="L3213" s="111" t="str">
        <f>IF(H3213="","",IF($C$29="상세법",FPV(H3213,K3213),IF(H3213="EI",4,IF(H3213="EO",5.2,IF(H3213="EQ",3.9,IF(H3213="ILF",7.5,IF(H3213="EIF",5.4)))))))</f>
        <v/>
      </c>
      <c r="M3213" s="112" t="str">
        <f t="shared" si="53"/>
        <v/>
      </c>
      <c r="N3213" s="113"/>
    </row>
    <row r="3214" spans="2:14">
      <c r="B3214" s="105"/>
      <c r="C3214" s="106"/>
      <c r="D3214" s="107"/>
      <c r="E3214" s="65"/>
      <c r="F3214" s="64"/>
      <c r="G3214" s="64"/>
      <c r="H3214" s="64"/>
      <c r="I3214" s="70"/>
      <c r="J3214" s="70"/>
      <c r="K3214" s="110" t="str">
        <f>IF(H3214="","",IF($C$29="간이법","",FPR(H3214,I3214,J3214)))</f>
        <v/>
      </c>
      <c r="L3214" s="111" t="str">
        <f>IF(H3214="","",IF($C$29="상세법",FPV(H3214,K3214),IF(H3214="EI",4,IF(H3214="EO",5.2,IF(H3214="EQ",3.9,IF(H3214="ILF",7.5,IF(H3214="EIF",5.4)))))))</f>
        <v/>
      </c>
      <c r="M3214" s="112" t="str">
        <f t="shared" si="53"/>
        <v/>
      </c>
      <c r="N3214" s="113"/>
    </row>
    <row r="3215" spans="2:14">
      <c r="B3215" s="105"/>
      <c r="C3215" s="106"/>
      <c r="D3215" s="107"/>
      <c r="E3215" s="65"/>
      <c r="F3215" s="64"/>
      <c r="G3215" s="64"/>
      <c r="H3215" s="64"/>
      <c r="I3215" s="70"/>
      <c r="J3215" s="70"/>
      <c r="K3215" s="110" t="str">
        <f>IF(H3215="","",IF($C$29="간이법","",FPR(H3215,I3215,J3215)))</f>
        <v/>
      </c>
      <c r="L3215" s="111" t="str">
        <f>IF(H3215="","",IF($C$29="상세법",FPV(H3215,K3215),IF(H3215="EI",4,IF(H3215="EO",5.2,IF(H3215="EQ",3.9,IF(H3215="ILF",7.5,IF(H3215="EIF",5.4)))))))</f>
        <v/>
      </c>
      <c r="M3215" s="112" t="str">
        <f t="shared" si="53"/>
        <v/>
      </c>
      <c r="N3215" s="113"/>
    </row>
    <row r="3216" spans="2:14">
      <c r="B3216" s="105"/>
      <c r="C3216" s="106"/>
      <c r="D3216" s="107"/>
      <c r="E3216" s="65"/>
      <c r="F3216" s="64"/>
      <c r="G3216" s="64"/>
      <c r="H3216" s="64"/>
      <c r="I3216" s="70"/>
      <c r="J3216" s="70"/>
      <c r="K3216" s="110" t="str">
        <f>IF(H3216="","",IF($C$29="간이법","",FPR(H3216,I3216,J3216)))</f>
        <v/>
      </c>
      <c r="L3216" s="111" t="str">
        <f>IF(H3216="","",IF($C$29="상세법",FPV(H3216,K3216),IF(H3216="EI",4,IF(H3216="EO",5.2,IF(H3216="EQ",3.9,IF(H3216="ILF",7.5,IF(H3216="EIF",5.4)))))))</f>
        <v/>
      </c>
      <c r="M3216" s="112" t="str">
        <f t="shared" si="53"/>
        <v/>
      </c>
      <c r="N3216" s="113"/>
    </row>
    <row r="3217" spans="2:14">
      <c r="B3217" s="105"/>
      <c r="C3217" s="106"/>
      <c r="D3217" s="107"/>
      <c r="E3217" s="65"/>
      <c r="F3217" s="64"/>
      <c r="G3217" s="64"/>
      <c r="H3217" s="64"/>
      <c r="I3217" s="70"/>
      <c r="J3217" s="70"/>
      <c r="K3217" s="110" t="str">
        <f>IF(H3217="","",IF($C$29="간이법","",FPR(H3217,I3217,J3217)))</f>
        <v/>
      </c>
      <c r="L3217" s="111" t="str">
        <f>IF(H3217="","",IF($C$29="상세법",FPV(H3217,K3217),IF(H3217="EI",4,IF(H3217="EO",5.2,IF(H3217="EQ",3.9,IF(H3217="ILF",7.5,IF(H3217="EIF",5.4)))))))</f>
        <v/>
      </c>
      <c r="M3217" s="112" t="str">
        <f t="shared" si="53"/>
        <v/>
      </c>
      <c r="N3217" s="113"/>
    </row>
    <row r="3218" spans="2:14">
      <c r="B3218" s="105"/>
      <c r="C3218" s="106"/>
      <c r="D3218" s="107"/>
      <c r="E3218" s="65"/>
      <c r="F3218" s="64"/>
      <c r="G3218" s="64"/>
      <c r="H3218" s="64"/>
      <c r="I3218" s="70"/>
      <c r="J3218" s="70"/>
      <c r="K3218" s="110" t="str">
        <f>IF(H3218="","",IF($C$29="간이법","",FPR(H3218,I3218,J3218)))</f>
        <v/>
      </c>
      <c r="L3218" s="111" t="str">
        <f>IF(H3218="","",IF($C$29="상세법",FPV(H3218,K3218),IF(H3218="EI",4,IF(H3218="EO",5.2,IF(H3218="EQ",3.9,IF(H3218="ILF",7.5,IF(H3218="EIF",5.4)))))))</f>
        <v/>
      </c>
      <c r="M3218" s="112" t="str">
        <f t="shared" si="53"/>
        <v/>
      </c>
      <c r="N3218" s="113"/>
    </row>
    <row r="3219" spans="2:14">
      <c r="B3219" s="105"/>
      <c r="C3219" s="106"/>
      <c r="D3219" s="107"/>
      <c r="E3219" s="65"/>
      <c r="F3219" s="64"/>
      <c r="G3219" s="64"/>
      <c r="H3219" s="64"/>
      <c r="I3219" s="70"/>
      <c r="J3219" s="70"/>
      <c r="K3219" s="110" t="str">
        <f>IF(H3219="","",IF($C$29="간이법","",FPR(H3219,I3219,J3219)))</f>
        <v/>
      </c>
      <c r="L3219" s="111" t="str">
        <f>IF(H3219="","",IF($C$29="상세법",FPV(H3219,K3219),IF(H3219="EI",4,IF(H3219="EO",5.2,IF(H3219="EQ",3.9,IF(H3219="ILF",7.5,IF(H3219="EIF",5.4)))))))</f>
        <v/>
      </c>
      <c r="M3219" s="112" t="str">
        <f t="shared" si="53"/>
        <v/>
      </c>
      <c r="N3219" s="113"/>
    </row>
    <row r="3220" spans="2:14">
      <c r="B3220" s="105"/>
      <c r="C3220" s="106"/>
      <c r="D3220" s="107"/>
      <c r="E3220" s="65"/>
      <c r="F3220" s="64"/>
      <c r="G3220" s="64"/>
      <c r="H3220" s="64"/>
      <c r="I3220" s="70"/>
      <c r="J3220" s="70"/>
      <c r="K3220" s="110" t="str">
        <f>IF(H3220="","",IF($C$29="간이법","",FPR(H3220,I3220,J3220)))</f>
        <v/>
      </c>
      <c r="L3220" s="111" t="str">
        <f>IF(H3220="","",IF($C$29="상세법",FPV(H3220,K3220),IF(H3220="EI",4,IF(H3220="EO",5.2,IF(H3220="EQ",3.9,IF(H3220="ILF",7.5,IF(H3220="EIF",5.4)))))))</f>
        <v/>
      </c>
      <c r="M3220" s="112" t="str">
        <f t="shared" si="53"/>
        <v/>
      </c>
      <c r="N3220" s="113"/>
    </row>
    <row r="3221" spans="2:14">
      <c r="B3221" s="105"/>
      <c r="C3221" s="106"/>
      <c r="D3221" s="107"/>
      <c r="E3221" s="65"/>
      <c r="F3221" s="64"/>
      <c r="G3221" s="64"/>
      <c r="H3221" s="64"/>
      <c r="I3221" s="70"/>
      <c r="J3221" s="70"/>
      <c r="K3221" s="110" t="str">
        <f>IF(H3221="","",IF($C$29="간이법","",FPR(H3221,I3221,J3221)))</f>
        <v/>
      </c>
      <c r="L3221" s="111" t="str">
        <f>IF(H3221="","",IF($C$29="상세법",FPV(H3221,K3221),IF(H3221="EI",4,IF(H3221="EO",5.2,IF(H3221="EQ",3.9,IF(H3221="ILF",7.5,IF(H3221="EIF",5.4)))))))</f>
        <v/>
      </c>
      <c r="M3221" s="112" t="str">
        <f t="shared" si="53"/>
        <v/>
      </c>
      <c r="N3221" s="113"/>
    </row>
    <row r="3222" spans="2:14">
      <c r="B3222" s="105"/>
      <c r="C3222" s="106"/>
      <c r="D3222" s="107"/>
      <c r="E3222" s="65"/>
      <c r="F3222" s="64"/>
      <c r="G3222" s="64"/>
      <c r="H3222" s="64"/>
      <c r="I3222" s="70"/>
      <c r="J3222" s="70"/>
      <c r="K3222" s="110" t="str">
        <f>IF(H3222="","",IF($C$29="간이법","",FPR(H3222,I3222,J3222)))</f>
        <v/>
      </c>
      <c r="L3222" s="111" t="str">
        <f>IF(H3222="","",IF($C$29="상세법",FPV(H3222,K3222),IF(H3222="EI",4,IF(H3222="EO",5.2,IF(H3222="EQ",3.9,IF(H3222="ILF",7.5,IF(H3222="EIF",5.4)))))))</f>
        <v/>
      </c>
      <c r="M3222" s="112" t="str">
        <f t="shared" si="53"/>
        <v/>
      </c>
      <c r="N3222" s="113"/>
    </row>
    <row r="3223" spans="2:14">
      <c r="B3223" s="105"/>
      <c r="C3223" s="106"/>
      <c r="D3223" s="107"/>
      <c r="E3223" s="65"/>
      <c r="F3223" s="64"/>
      <c r="G3223" s="64"/>
      <c r="H3223" s="64"/>
      <c r="I3223" s="70"/>
      <c r="J3223" s="70"/>
      <c r="K3223" s="110" t="str">
        <f>IF(H3223="","",IF($C$29="간이법","",FPR(H3223,I3223,J3223)))</f>
        <v/>
      </c>
      <c r="L3223" s="111" t="str">
        <f>IF(H3223="","",IF($C$29="상세법",FPV(H3223,K3223),IF(H3223="EI",4,IF(H3223="EO",5.2,IF(H3223="EQ",3.9,IF(H3223="ILF",7.5,IF(H3223="EIF",5.4)))))))</f>
        <v/>
      </c>
      <c r="M3223" s="112" t="str">
        <f t="shared" si="53"/>
        <v/>
      </c>
      <c r="N3223" s="113"/>
    </row>
    <row r="3224" spans="2:14">
      <c r="B3224" s="105"/>
      <c r="C3224" s="106"/>
      <c r="D3224" s="107"/>
      <c r="E3224" s="65"/>
      <c r="F3224" s="64"/>
      <c r="G3224" s="64"/>
      <c r="H3224" s="64"/>
      <c r="I3224" s="70"/>
      <c r="J3224" s="70"/>
      <c r="K3224" s="110" t="str">
        <f>IF(H3224="","",IF($C$29="간이법","",FPR(H3224,I3224,J3224)))</f>
        <v/>
      </c>
      <c r="L3224" s="111" t="str">
        <f>IF(H3224="","",IF($C$29="상세법",FPV(H3224,K3224),IF(H3224="EI",4,IF(H3224="EO",5.2,IF(H3224="EQ",3.9,IF(H3224="ILF",7.5,IF(H3224="EIF",5.4)))))))</f>
        <v/>
      </c>
      <c r="M3224" s="112" t="str">
        <f t="shared" si="53"/>
        <v/>
      </c>
      <c r="N3224" s="113"/>
    </row>
    <row r="3225" spans="2:14">
      <c r="B3225" s="105"/>
      <c r="C3225" s="106"/>
      <c r="D3225" s="107"/>
      <c r="E3225" s="65"/>
      <c r="F3225" s="64"/>
      <c r="G3225" s="64"/>
      <c r="H3225" s="64"/>
      <c r="I3225" s="70"/>
      <c r="J3225" s="70"/>
      <c r="K3225" s="110" t="str">
        <f>IF(H3225="","",IF($C$29="간이법","",FPR(H3225,I3225,J3225)))</f>
        <v/>
      </c>
      <c r="L3225" s="111" t="str">
        <f>IF(H3225="","",IF($C$29="상세법",FPV(H3225,K3225),IF(H3225="EI",4,IF(H3225="EO",5.2,IF(H3225="EQ",3.9,IF(H3225="ILF",7.5,IF(H3225="EIF",5.4)))))))</f>
        <v/>
      </c>
      <c r="M3225" s="112" t="str">
        <f t="shared" si="53"/>
        <v/>
      </c>
      <c r="N3225" s="113"/>
    </row>
    <row r="3226" spans="2:14">
      <c r="B3226" s="105"/>
      <c r="C3226" s="106"/>
      <c r="D3226" s="107"/>
      <c r="E3226" s="65"/>
      <c r="F3226" s="64"/>
      <c r="G3226" s="64"/>
      <c r="H3226" s="64"/>
      <c r="I3226" s="70"/>
      <c r="J3226" s="70"/>
      <c r="K3226" s="110" t="str">
        <f>IF(H3226="","",IF($C$29="간이법","",FPR(H3226,I3226,J3226)))</f>
        <v/>
      </c>
      <c r="L3226" s="111" t="str">
        <f>IF(H3226="","",IF($C$29="상세법",FPV(H3226,K3226),IF(H3226="EI",4,IF(H3226="EO",5.2,IF(H3226="EQ",3.9,IF(H3226="ILF",7.5,IF(H3226="EIF",5.4)))))))</f>
        <v/>
      </c>
      <c r="M3226" s="112" t="str">
        <f t="shared" si="53"/>
        <v/>
      </c>
      <c r="N3226" s="113"/>
    </row>
    <row r="3227" spans="2:14">
      <c r="B3227" s="105"/>
      <c r="C3227" s="106"/>
      <c r="D3227" s="107"/>
      <c r="E3227" s="65"/>
      <c r="F3227" s="64"/>
      <c r="G3227" s="64"/>
      <c r="H3227" s="64"/>
      <c r="I3227" s="70"/>
      <c r="J3227" s="70"/>
      <c r="K3227" s="110" t="str">
        <f>IF(H3227="","",IF($C$29="간이법","",FPR(H3227,I3227,J3227)))</f>
        <v/>
      </c>
      <c r="L3227" s="111" t="str">
        <f>IF(H3227="","",IF($C$29="상세법",FPV(H3227,K3227),IF(H3227="EI",4,IF(H3227="EO",5.2,IF(H3227="EQ",3.9,IF(H3227="ILF",7.5,IF(H3227="EIF",5.4)))))))</f>
        <v/>
      </c>
      <c r="M3227" s="112" t="str">
        <f t="shared" si="53"/>
        <v/>
      </c>
      <c r="N3227" s="113"/>
    </row>
    <row r="3228" spans="2:14">
      <c r="B3228" s="105"/>
      <c r="C3228" s="106"/>
      <c r="D3228" s="107"/>
      <c r="E3228" s="65"/>
      <c r="F3228" s="64"/>
      <c r="G3228" s="64"/>
      <c r="H3228" s="64"/>
      <c r="I3228" s="70"/>
      <c r="J3228" s="70"/>
      <c r="K3228" s="110" t="str">
        <f>IF(H3228="","",IF($C$29="간이법","",FPR(H3228,I3228,J3228)))</f>
        <v/>
      </c>
      <c r="L3228" s="111" t="str">
        <f>IF(H3228="","",IF($C$29="상세법",FPV(H3228,K3228),IF(H3228="EI",4,IF(H3228="EO",5.2,IF(H3228="EQ",3.9,IF(H3228="ILF",7.5,IF(H3228="EIF",5.4)))))))</f>
        <v/>
      </c>
      <c r="M3228" s="112" t="str">
        <f t="shared" si="53"/>
        <v/>
      </c>
      <c r="N3228" s="113"/>
    </row>
    <row r="3229" spans="2:14">
      <c r="B3229" s="105"/>
      <c r="C3229" s="106"/>
      <c r="D3229" s="107"/>
      <c r="E3229" s="65"/>
      <c r="F3229" s="64"/>
      <c r="G3229" s="64"/>
      <c r="H3229" s="64"/>
      <c r="I3229" s="70"/>
      <c r="J3229" s="70"/>
      <c r="K3229" s="110" t="str">
        <f>IF(H3229="","",IF($C$29="간이법","",FPR(H3229,I3229,J3229)))</f>
        <v/>
      </c>
      <c r="L3229" s="111" t="str">
        <f>IF(H3229="","",IF($C$29="상세법",FPV(H3229,K3229),IF(H3229="EI",4,IF(H3229="EO",5.2,IF(H3229="EQ",3.9,IF(H3229="ILF",7.5,IF(H3229="EIF",5.4)))))))</f>
        <v/>
      </c>
      <c r="M3229" s="112" t="str">
        <f t="shared" si="53"/>
        <v/>
      </c>
      <c r="N3229" s="113"/>
    </row>
    <row r="3230" spans="2:14">
      <c r="B3230" s="105"/>
      <c r="C3230" s="106"/>
      <c r="D3230" s="107"/>
      <c r="E3230" s="65"/>
      <c r="F3230" s="64"/>
      <c r="G3230" s="64"/>
      <c r="H3230" s="64"/>
      <c r="I3230" s="70"/>
      <c r="J3230" s="70"/>
      <c r="K3230" s="110" t="str">
        <f>IF(H3230="","",IF($C$29="간이법","",FPR(H3230,I3230,J3230)))</f>
        <v/>
      </c>
      <c r="L3230" s="111" t="str">
        <f>IF(H3230="","",IF($C$29="상세법",FPV(H3230,K3230),IF(H3230="EI",4,IF(H3230="EO",5.2,IF(H3230="EQ",3.9,IF(H3230="ILF",7.5,IF(H3230="EIF",5.4)))))))</f>
        <v/>
      </c>
      <c r="M3230" s="112" t="str">
        <f t="shared" si="53"/>
        <v/>
      </c>
      <c r="N3230" s="113"/>
    </row>
    <row r="3231" spans="2:14">
      <c r="B3231" s="105"/>
      <c r="C3231" s="106"/>
      <c r="D3231" s="107"/>
      <c r="E3231" s="65"/>
      <c r="F3231" s="64"/>
      <c r="G3231" s="64"/>
      <c r="H3231" s="64"/>
      <c r="I3231" s="70"/>
      <c r="J3231" s="70"/>
      <c r="K3231" s="110" t="str">
        <f>IF(H3231="","",IF($C$29="간이법","",FPR(H3231,I3231,J3231)))</f>
        <v/>
      </c>
      <c r="L3231" s="111" t="str">
        <f>IF(H3231="","",IF($C$29="상세법",FPV(H3231,K3231),IF(H3231="EI",4,IF(H3231="EO",5.2,IF(H3231="EQ",3.9,IF(H3231="ILF",7.5,IF(H3231="EIF",5.4)))))))</f>
        <v/>
      </c>
      <c r="M3231" s="112" t="str">
        <f t="shared" si="53"/>
        <v/>
      </c>
      <c r="N3231" s="113"/>
    </row>
    <row r="3232" spans="2:14">
      <c r="B3232" s="105"/>
      <c r="C3232" s="106"/>
      <c r="D3232" s="107"/>
      <c r="E3232" s="65"/>
      <c r="F3232" s="64"/>
      <c r="G3232" s="64"/>
      <c r="H3232" s="64"/>
      <c r="I3232" s="70"/>
      <c r="J3232" s="70"/>
      <c r="K3232" s="110" t="str">
        <f>IF(H3232="","",IF($C$29="간이법","",FPR(H3232,I3232,J3232)))</f>
        <v/>
      </c>
      <c r="L3232" s="111" t="str">
        <f>IF(H3232="","",IF($C$29="상세법",FPV(H3232,K3232),IF(H3232="EI",4,IF(H3232="EO",5.2,IF(H3232="EQ",3.9,IF(H3232="ILF",7.5,IF(H3232="EIF",5.4)))))))</f>
        <v/>
      </c>
      <c r="M3232" s="112" t="str">
        <f t="shared" si="53"/>
        <v/>
      </c>
      <c r="N3232" s="113"/>
    </row>
    <row r="3233" spans="2:14">
      <c r="B3233" s="105"/>
      <c r="C3233" s="106"/>
      <c r="D3233" s="107"/>
      <c r="E3233" s="65"/>
      <c r="F3233" s="64"/>
      <c r="G3233" s="64"/>
      <c r="H3233" s="64"/>
      <c r="I3233" s="70"/>
      <c r="J3233" s="70"/>
      <c r="K3233" s="110" t="str">
        <f>IF(H3233="","",IF($C$29="간이법","",FPR(H3233,I3233,J3233)))</f>
        <v/>
      </c>
      <c r="L3233" s="111" t="str">
        <f>IF(H3233="","",IF($C$29="상세법",FPV(H3233,K3233),IF(H3233="EI",4,IF(H3233="EO",5.2,IF(H3233="EQ",3.9,IF(H3233="ILF",7.5,IF(H3233="EIF",5.4)))))))</f>
        <v/>
      </c>
      <c r="M3233" s="112" t="str">
        <f t="shared" si="53"/>
        <v/>
      </c>
      <c r="N3233" s="113"/>
    </row>
    <row r="3234" spans="2:14">
      <c r="B3234" s="105"/>
      <c r="C3234" s="106"/>
      <c r="D3234" s="107"/>
      <c r="E3234" s="65"/>
      <c r="F3234" s="64"/>
      <c r="G3234" s="64"/>
      <c r="H3234" s="64"/>
      <c r="I3234" s="70"/>
      <c r="J3234" s="70"/>
      <c r="K3234" s="110" t="str">
        <f>IF(H3234="","",IF($C$29="간이법","",FPR(H3234,I3234,J3234)))</f>
        <v/>
      </c>
      <c r="L3234" s="111" t="str">
        <f>IF(H3234="","",IF($C$29="상세법",FPV(H3234,K3234),IF(H3234="EI",4,IF(H3234="EO",5.2,IF(H3234="EQ",3.9,IF(H3234="ILF",7.5,IF(H3234="EIF",5.4)))))))</f>
        <v/>
      </c>
      <c r="M3234" s="112" t="str">
        <f t="shared" si="53"/>
        <v/>
      </c>
      <c r="N3234" s="113"/>
    </row>
    <row r="3235" spans="2:14">
      <c r="B3235" s="105"/>
      <c r="C3235" s="106"/>
      <c r="D3235" s="107"/>
      <c r="E3235" s="65"/>
      <c r="F3235" s="64"/>
      <c r="G3235" s="64"/>
      <c r="H3235" s="64"/>
      <c r="I3235" s="70"/>
      <c r="J3235" s="70"/>
      <c r="K3235" s="110" t="str">
        <f>IF(H3235="","",IF($C$29="간이법","",FPR(H3235,I3235,J3235)))</f>
        <v/>
      </c>
      <c r="L3235" s="111" t="str">
        <f>IF(H3235="","",IF($C$29="상세법",FPV(H3235,K3235),IF(H3235="EI",4,IF(H3235="EO",5.2,IF(H3235="EQ",3.9,IF(H3235="ILF",7.5,IF(H3235="EIF",5.4)))))))</f>
        <v/>
      </c>
      <c r="M3235" s="112" t="str">
        <f t="shared" si="53"/>
        <v/>
      </c>
      <c r="N3235" s="113"/>
    </row>
    <row r="3236" spans="2:14">
      <c r="B3236" s="105"/>
      <c r="C3236" s="106"/>
      <c r="D3236" s="107"/>
      <c r="E3236" s="65"/>
      <c r="F3236" s="64"/>
      <c r="G3236" s="64"/>
      <c r="H3236" s="64"/>
      <c r="I3236" s="70"/>
      <c r="J3236" s="70"/>
      <c r="K3236" s="110" t="str">
        <f>IF(H3236="","",IF($C$29="간이법","",FPR(H3236,I3236,J3236)))</f>
        <v/>
      </c>
      <c r="L3236" s="111" t="str">
        <f>IF(H3236="","",IF($C$29="상세법",FPV(H3236,K3236),IF(H3236="EI",4,IF(H3236="EO",5.2,IF(H3236="EQ",3.9,IF(H3236="ILF",7.5,IF(H3236="EIF",5.4)))))))</f>
        <v/>
      </c>
      <c r="M3236" s="112" t="str">
        <f t="shared" si="53"/>
        <v/>
      </c>
      <c r="N3236" s="113"/>
    </row>
    <row r="3237" spans="2:14">
      <c r="B3237" s="105"/>
      <c r="C3237" s="106"/>
      <c r="D3237" s="107"/>
      <c r="E3237" s="65"/>
      <c r="F3237" s="64"/>
      <c r="G3237" s="64"/>
      <c r="H3237" s="64"/>
      <c r="I3237" s="70"/>
      <c r="J3237" s="70"/>
      <c r="K3237" s="110" t="str">
        <f>IF(H3237="","",IF($C$29="간이법","",FPR(H3237,I3237,J3237)))</f>
        <v/>
      </c>
      <c r="L3237" s="111" t="str">
        <f>IF(H3237="","",IF($C$29="상세법",FPV(H3237,K3237),IF(H3237="EI",4,IF(H3237="EO",5.2,IF(H3237="EQ",3.9,IF(H3237="ILF",7.5,IF(H3237="EIF",5.4)))))))</f>
        <v/>
      </c>
      <c r="M3237" s="112" t="str">
        <f t="shared" si="53"/>
        <v/>
      </c>
      <c r="N3237" s="113"/>
    </row>
    <row r="3238" spans="2:14">
      <c r="B3238" s="105"/>
      <c r="C3238" s="106"/>
      <c r="D3238" s="107"/>
      <c r="E3238" s="65"/>
      <c r="F3238" s="64"/>
      <c r="G3238" s="64"/>
      <c r="H3238" s="64"/>
      <c r="I3238" s="70"/>
      <c r="J3238" s="70"/>
      <c r="K3238" s="110" t="str">
        <f>IF(H3238="","",IF($C$29="간이법","",FPR(H3238,I3238,J3238)))</f>
        <v/>
      </c>
      <c r="L3238" s="111" t="str">
        <f>IF(H3238="","",IF($C$29="상세법",FPV(H3238,K3238),IF(H3238="EI",4,IF(H3238="EO",5.2,IF(H3238="EQ",3.9,IF(H3238="ILF",7.5,IF(H3238="EIF",5.4)))))))</f>
        <v/>
      </c>
      <c r="M3238" s="112" t="str">
        <f t="shared" si="53"/>
        <v/>
      </c>
      <c r="N3238" s="113"/>
    </row>
    <row r="3239" spans="2:14">
      <c r="B3239" s="105"/>
      <c r="C3239" s="106"/>
      <c r="D3239" s="107"/>
      <c r="E3239" s="65"/>
      <c r="F3239" s="64"/>
      <c r="G3239" s="64"/>
      <c r="H3239" s="64"/>
      <c r="I3239" s="70"/>
      <c r="J3239" s="70"/>
      <c r="K3239" s="110" t="str">
        <f>IF(H3239="","",IF($C$29="간이법","",FPR(H3239,I3239,J3239)))</f>
        <v/>
      </c>
      <c r="L3239" s="111" t="str">
        <f>IF(H3239="","",IF($C$29="상세법",FPV(H3239,K3239),IF(H3239="EI",4,IF(H3239="EO",5.2,IF(H3239="EQ",3.9,IF(H3239="ILF",7.5,IF(H3239="EIF",5.4)))))))</f>
        <v/>
      </c>
      <c r="M3239" s="112" t="str">
        <f t="shared" si="53"/>
        <v/>
      </c>
      <c r="N3239" s="113"/>
    </row>
    <row r="3240" spans="2:14">
      <c r="B3240" s="105"/>
      <c r="C3240" s="106"/>
      <c r="D3240" s="107"/>
      <c r="E3240" s="65"/>
      <c r="F3240" s="64"/>
      <c r="G3240" s="64"/>
      <c r="H3240" s="64"/>
      <c r="I3240" s="70"/>
      <c r="J3240" s="70"/>
      <c r="K3240" s="110" t="str">
        <f>IF(H3240="","",IF($C$29="간이법","",FPR(H3240,I3240,J3240)))</f>
        <v/>
      </c>
      <c r="L3240" s="111" t="str">
        <f>IF(H3240="","",IF($C$29="상세법",FPV(H3240,K3240),IF(H3240="EI",4,IF(H3240="EO",5.2,IF(H3240="EQ",3.9,IF(H3240="ILF",7.5,IF(H3240="EIF",5.4)))))))</f>
        <v/>
      </c>
      <c r="M3240" s="112" t="str">
        <f t="shared" si="53"/>
        <v/>
      </c>
      <c r="N3240" s="113"/>
    </row>
    <row r="3241" spans="2:14">
      <c r="B3241" s="105"/>
      <c r="C3241" s="106"/>
      <c r="D3241" s="107"/>
      <c r="E3241" s="65"/>
      <c r="F3241" s="64"/>
      <c r="G3241" s="64"/>
      <c r="H3241" s="64"/>
      <c r="I3241" s="70"/>
      <c r="J3241" s="70"/>
      <c r="K3241" s="110" t="str">
        <f>IF(H3241="","",IF($C$29="간이법","",FPR(H3241,I3241,J3241)))</f>
        <v/>
      </c>
      <c r="L3241" s="111" t="str">
        <f>IF(H3241="","",IF($C$29="상세법",FPV(H3241,K3241),IF(H3241="EI",4,IF(H3241="EO",5.2,IF(H3241="EQ",3.9,IF(H3241="ILF",7.5,IF(H3241="EIF",5.4)))))))</f>
        <v/>
      </c>
      <c r="M3241" s="112" t="str">
        <f t="shared" si="53"/>
        <v/>
      </c>
      <c r="N3241" s="113"/>
    </row>
    <row r="3242" spans="2:14">
      <c r="B3242" s="105"/>
      <c r="C3242" s="106"/>
      <c r="D3242" s="107"/>
      <c r="E3242" s="65"/>
      <c r="F3242" s="64"/>
      <c r="G3242" s="64"/>
      <c r="H3242" s="64"/>
      <c r="I3242" s="70"/>
      <c r="J3242" s="70"/>
      <c r="K3242" s="110" t="str">
        <f>IF(H3242="","",IF($C$29="간이법","",FPR(H3242,I3242,J3242)))</f>
        <v/>
      </c>
      <c r="L3242" s="111" t="str">
        <f>IF(H3242="","",IF($C$29="상세법",FPV(H3242,K3242),IF(H3242="EI",4,IF(H3242="EO",5.2,IF(H3242="EQ",3.9,IF(H3242="ILF",7.5,IF(H3242="EIF",5.4)))))))</f>
        <v/>
      </c>
      <c r="M3242" s="112" t="str">
        <f t="shared" si="53"/>
        <v/>
      </c>
      <c r="N3242" s="113"/>
    </row>
    <row r="3243" spans="2:14">
      <c r="B3243" s="105"/>
      <c r="C3243" s="106"/>
      <c r="D3243" s="107"/>
      <c r="E3243" s="65"/>
      <c r="F3243" s="64"/>
      <c r="G3243" s="64"/>
      <c r="H3243" s="64"/>
      <c r="I3243" s="70"/>
      <c r="J3243" s="70"/>
      <c r="K3243" s="110" t="str">
        <f>IF(H3243="","",IF($C$29="간이법","",FPR(H3243,I3243,J3243)))</f>
        <v/>
      </c>
      <c r="L3243" s="111" t="str">
        <f>IF(H3243="","",IF($C$29="상세법",FPV(H3243,K3243),IF(H3243="EI",4,IF(H3243="EO",5.2,IF(H3243="EQ",3.9,IF(H3243="ILF",7.5,IF(H3243="EIF",5.4)))))))</f>
        <v/>
      </c>
      <c r="M3243" s="112" t="str">
        <f t="shared" si="53"/>
        <v/>
      </c>
      <c r="N3243" s="113"/>
    </row>
    <row r="3244" spans="2:14">
      <c r="B3244" s="105"/>
      <c r="C3244" s="106"/>
      <c r="D3244" s="107"/>
      <c r="E3244" s="65"/>
      <c r="F3244" s="64"/>
      <c r="G3244" s="64"/>
      <c r="H3244" s="64"/>
      <c r="I3244" s="70"/>
      <c r="J3244" s="70"/>
      <c r="K3244" s="110" t="str">
        <f>IF(H3244="","",IF($C$29="간이법","",FPR(H3244,I3244,J3244)))</f>
        <v/>
      </c>
      <c r="L3244" s="111" t="str">
        <f>IF(H3244="","",IF($C$29="상세법",FPV(H3244,K3244),IF(H3244="EI",4,IF(H3244="EO",5.2,IF(H3244="EQ",3.9,IF(H3244="ILF",7.5,IF(H3244="EIF",5.4)))))))</f>
        <v/>
      </c>
      <c r="M3244" s="112" t="str">
        <f t="shared" si="53"/>
        <v/>
      </c>
      <c r="N3244" s="113"/>
    </row>
    <row r="3245" spans="2:14">
      <c r="B3245" s="105"/>
      <c r="C3245" s="106"/>
      <c r="D3245" s="107"/>
      <c r="E3245" s="65"/>
      <c r="F3245" s="64"/>
      <c r="G3245" s="64"/>
      <c r="H3245" s="64"/>
      <c r="I3245" s="70"/>
      <c r="J3245" s="70"/>
      <c r="K3245" s="110" t="str">
        <f>IF(H3245="","",IF($C$29="간이법","",FPR(H3245,I3245,J3245)))</f>
        <v/>
      </c>
      <c r="L3245" s="111" t="str">
        <f>IF(H3245="","",IF($C$29="상세법",FPV(H3245,K3245),IF(H3245="EI",4,IF(H3245="EO",5.2,IF(H3245="EQ",3.9,IF(H3245="ILF",7.5,IF(H3245="EIF",5.4)))))))</f>
        <v/>
      </c>
      <c r="M3245" s="112" t="str">
        <f t="shared" si="53"/>
        <v/>
      </c>
      <c r="N3245" s="113"/>
    </row>
    <row r="3246" spans="2:14">
      <c r="B3246" s="105"/>
      <c r="C3246" s="106"/>
      <c r="D3246" s="107"/>
      <c r="E3246" s="65"/>
      <c r="F3246" s="64"/>
      <c r="G3246" s="64"/>
      <c r="H3246" s="64"/>
      <c r="I3246" s="70"/>
      <c r="J3246" s="70"/>
      <c r="K3246" s="110" t="str">
        <f>IF(H3246="","",IF($C$29="간이법","",FPR(H3246,I3246,J3246)))</f>
        <v/>
      </c>
      <c r="L3246" s="111" t="str">
        <f>IF(H3246="","",IF($C$29="상세법",FPV(H3246,K3246),IF(H3246="EI",4,IF(H3246="EO",5.2,IF(H3246="EQ",3.9,IF(H3246="ILF",7.5,IF(H3246="EIF",5.4)))))))</f>
        <v/>
      </c>
      <c r="M3246" s="112" t="str">
        <f t="shared" si="53"/>
        <v/>
      </c>
      <c r="N3246" s="113"/>
    </row>
    <row r="3247" spans="2:14">
      <c r="B3247" s="105"/>
      <c r="C3247" s="106"/>
      <c r="D3247" s="107"/>
      <c r="E3247" s="65"/>
      <c r="F3247" s="64"/>
      <c r="G3247" s="64"/>
      <c r="H3247" s="64"/>
      <c r="I3247" s="70"/>
      <c r="J3247" s="70"/>
      <c r="K3247" s="110" t="str">
        <f>IF(H3247="","",IF($C$29="간이법","",FPR(H3247,I3247,J3247)))</f>
        <v/>
      </c>
      <c r="L3247" s="111" t="str">
        <f>IF(H3247="","",IF($C$29="상세법",FPV(H3247,K3247),IF(H3247="EI",4,IF(H3247="EO",5.2,IF(H3247="EQ",3.9,IF(H3247="ILF",7.5,IF(H3247="EIF",5.4)))))))</f>
        <v/>
      </c>
      <c r="M3247" s="112" t="str">
        <f t="shared" si="53"/>
        <v/>
      </c>
      <c r="N3247" s="113"/>
    </row>
    <row r="3248" spans="2:14">
      <c r="B3248" s="105"/>
      <c r="C3248" s="106"/>
      <c r="D3248" s="107"/>
      <c r="E3248" s="65"/>
      <c r="F3248" s="64"/>
      <c r="G3248" s="64"/>
      <c r="H3248" s="64"/>
      <c r="I3248" s="70"/>
      <c r="J3248" s="70"/>
      <c r="K3248" s="110" t="str">
        <f>IF(H3248="","",IF($C$29="간이법","",FPR(H3248,I3248,J3248)))</f>
        <v/>
      </c>
      <c r="L3248" s="111" t="str">
        <f>IF(H3248="","",IF($C$29="상세법",FPV(H3248,K3248),IF(H3248="EI",4,IF(H3248="EO",5.2,IF(H3248="EQ",3.9,IF(H3248="ILF",7.5,IF(H3248="EIF",5.4)))))))</f>
        <v/>
      </c>
      <c r="M3248" s="112" t="str">
        <f t="shared" si="53"/>
        <v/>
      </c>
      <c r="N3248" s="113"/>
    </row>
    <row r="3249" spans="2:14">
      <c r="B3249" s="105"/>
      <c r="C3249" s="106"/>
      <c r="D3249" s="107"/>
      <c r="E3249" s="65"/>
      <c r="F3249" s="64"/>
      <c r="G3249" s="64"/>
      <c r="H3249" s="64"/>
      <c r="I3249" s="70"/>
      <c r="J3249" s="70"/>
      <c r="K3249" s="110" t="str">
        <f>IF(H3249="","",IF($C$29="간이법","",FPR(H3249,I3249,J3249)))</f>
        <v/>
      </c>
      <c r="L3249" s="111" t="str">
        <f>IF(H3249="","",IF($C$29="상세법",FPV(H3249,K3249),IF(H3249="EI",4,IF(H3249="EO",5.2,IF(H3249="EQ",3.9,IF(H3249="ILF",7.5,IF(H3249="EIF",5.4)))))))</f>
        <v/>
      </c>
      <c r="M3249" s="112" t="str">
        <f t="shared" si="53"/>
        <v/>
      </c>
      <c r="N3249" s="113"/>
    </row>
    <row r="3250" spans="2:14">
      <c r="B3250" s="105"/>
      <c r="C3250" s="106"/>
      <c r="D3250" s="107"/>
      <c r="E3250" s="65"/>
      <c r="F3250" s="64"/>
      <c r="G3250" s="64"/>
      <c r="H3250" s="64"/>
      <c r="I3250" s="70"/>
      <c r="J3250" s="70"/>
      <c r="K3250" s="110" t="str">
        <f>IF(H3250="","",IF($C$29="간이법","",FPR(H3250,I3250,J3250)))</f>
        <v/>
      </c>
      <c r="L3250" s="111" t="str">
        <f>IF(H3250="","",IF($C$29="상세법",FPV(H3250,K3250),IF(H3250="EI",4,IF(H3250="EO",5.2,IF(H3250="EQ",3.9,IF(H3250="ILF",7.5,IF(H3250="EIF",5.4)))))))</f>
        <v/>
      </c>
      <c r="M3250" s="112" t="str">
        <f t="shared" si="53"/>
        <v/>
      </c>
      <c r="N3250" s="113"/>
    </row>
    <row r="3251" spans="2:14">
      <c r="B3251" s="105"/>
      <c r="C3251" s="106"/>
      <c r="D3251" s="107"/>
      <c r="E3251" s="65"/>
      <c r="F3251" s="64"/>
      <c r="G3251" s="64"/>
      <c r="H3251" s="64"/>
      <c r="I3251" s="70"/>
      <c r="J3251" s="70"/>
      <c r="K3251" s="110" t="str">
        <f>IF(H3251="","",IF($C$29="간이법","",FPR(H3251,I3251,J3251)))</f>
        <v/>
      </c>
      <c r="L3251" s="111" t="str">
        <f>IF(H3251="","",IF($C$29="상세법",FPV(H3251,K3251),IF(H3251="EI",4,IF(H3251="EO",5.2,IF(H3251="EQ",3.9,IF(H3251="ILF",7.5,IF(H3251="EIF",5.4)))))))</f>
        <v/>
      </c>
      <c r="M3251" s="112" t="str">
        <f t="shared" si="53"/>
        <v/>
      </c>
      <c r="N3251" s="113"/>
    </row>
    <row r="3252" spans="2:14">
      <c r="B3252" s="105"/>
      <c r="C3252" s="106"/>
      <c r="D3252" s="107"/>
      <c r="E3252" s="65"/>
      <c r="F3252" s="64"/>
      <c r="G3252" s="64"/>
      <c r="H3252" s="64"/>
      <c r="I3252" s="70"/>
      <c r="J3252" s="70"/>
      <c r="K3252" s="110" t="str">
        <f>IF(H3252="","",IF($C$29="간이법","",FPR(H3252,I3252,J3252)))</f>
        <v/>
      </c>
      <c r="L3252" s="111" t="str">
        <f>IF(H3252="","",IF($C$29="상세법",FPV(H3252,K3252),IF(H3252="EI",4,IF(H3252="EO",5.2,IF(H3252="EQ",3.9,IF(H3252="ILF",7.5,IF(H3252="EIF",5.4)))))))</f>
        <v/>
      </c>
      <c r="M3252" s="112" t="str">
        <f t="shared" si="53"/>
        <v/>
      </c>
      <c r="N3252" s="113"/>
    </row>
    <row r="3253" spans="2:14">
      <c r="B3253" s="105"/>
      <c r="C3253" s="106"/>
      <c r="D3253" s="107"/>
      <c r="E3253" s="65"/>
      <c r="F3253" s="64"/>
      <c r="G3253" s="64"/>
      <c r="H3253" s="64"/>
      <c r="I3253" s="70"/>
      <c r="J3253" s="70"/>
      <c r="K3253" s="110" t="str">
        <f>IF(H3253="","",IF($C$29="간이법","",FPR(H3253,I3253,J3253)))</f>
        <v/>
      </c>
      <c r="L3253" s="111" t="str">
        <f>IF(H3253="","",IF($C$29="상세법",FPV(H3253,K3253),IF(H3253="EI",4,IF(H3253="EO",5.2,IF(H3253="EQ",3.9,IF(H3253="ILF",7.5,IF(H3253="EIF",5.4)))))))</f>
        <v/>
      </c>
      <c r="M3253" s="112" t="str">
        <f t="shared" si="53"/>
        <v/>
      </c>
      <c r="N3253" s="113"/>
    </row>
    <row r="3254" spans="2:14">
      <c r="B3254" s="105"/>
      <c r="C3254" s="106"/>
      <c r="D3254" s="107"/>
      <c r="E3254" s="65"/>
      <c r="F3254" s="64"/>
      <c r="G3254" s="64"/>
      <c r="H3254" s="64"/>
      <c r="I3254" s="70"/>
      <c r="J3254" s="70"/>
      <c r="K3254" s="110" t="str">
        <f>IF(H3254="","",IF($C$29="간이법","",FPR(H3254,I3254,J3254)))</f>
        <v/>
      </c>
      <c r="L3254" s="111" t="str">
        <f>IF(H3254="","",IF($C$29="상세법",FPV(H3254,K3254),IF(H3254="EI",4,IF(H3254="EO",5.2,IF(H3254="EQ",3.9,IF(H3254="ILF",7.5,IF(H3254="EIF",5.4)))))))</f>
        <v/>
      </c>
      <c r="M3254" s="112" t="str">
        <f t="shared" si="53"/>
        <v/>
      </c>
      <c r="N3254" s="113"/>
    </row>
    <row r="3255" spans="2:14">
      <c r="B3255" s="105"/>
      <c r="C3255" s="106"/>
      <c r="D3255" s="107"/>
      <c r="E3255" s="65"/>
      <c r="F3255" s="64"/>
      <c r="G3255" s="64"/>
      <c r="H3255" s="64"/>
      <c r="I3255" s="70"/>
      <c r="J3255" s="70"/>
      <c r="K3255" s="110" t="str">
        <f>IF(H3255="","",IF($C$29="간이법","",FPR(H3255,I3255,J3255)))</f>
        <v/>
      </c>
      <c r="L3255" s="111" t="str">
        <f>IF(H3255="","",IF($C$29="상세법",FPV(H3255,K3255),IF(H3255="EI",4,IF(H3255="EO",5.2,IF(H3255="EQ",3.9,IF(H3255="ILF",7.5,IF(H3255="EIF",5.4)))))))</f>
        <v/>
      </c>
      <c r="M3255" s="112" t="str">
        <f t="shared" si="53"/>
        <v/>
      </c>
      <c r="N3255" s="113"/>
    </row>
    <row r="3256" spans="2:14">
      <c r="B3256" s="105"/>
      <c r="C3256" s="106"/>
      <c r="D3256" s="107"/>
      <c r="E3256" s="65"/>
      <c r="F3256" s="64"/>
      <c r="G3256" s="64"/>
      <c r="H3256" s="64"/>
      <c r="I3256" s="70"/>
      <c r="J3256" s="70"/>
      <c r="K3256" s="110" t="str">
        <f>IF(H3256="","",IF($C$29="간이법","",FPR(H3256,I3256,J3256)))</f>
        <v/>
      </c>
      <c r="L3256" s="111" t="str">
        <f>IF(H3256="","",IF($C$29="상세법",FPV(H3256,K3256),IF(H3256="EI",4,IF(H3256="EO",5.2,IF(H3256="EQ",3.9,IF(H3256="ILF",7.5,IF(H3256="EIF",5.4)))))))</f>
        <v/>
      </c>
      <c r="M3256" s="112" t="str">
        <f t="shared" si="53"/>
        <v/>
      </c>
      <c r="N3256" s="113"/>
    </row>
    <row r="3257" spans="2:14">
      <c r="B3257" s="105"/>
      <c r="C3257" s="106"/>
      <c r="D3257" s="107"/>
      <c r="E3257" s="65"/>
      <c r="F3257" s="64"/>
      <c r="G3257" s="64"/>
      <c r="H3257" s="64"/>
      <c r="I3257" s="70"/>
      <c r="J3257" s="70"/>
      <c r="K3257" s="110" t="str">
        <f>IF(H3257="","",IF($C$29="간이법","",FPR(H3257,I3257,J3257)))</f>
        <v/>
      </c>
      <c r="L3257" s="111" t="str">
        <f>IF(H3257="","",IF($C$29="상세법",FPV(H3257,K3257),IF(H3257="EI",4,IF(H3257="EO",5.2,IF(H3257="EQ",3.9,IF(H3257="ILF",7.5,IF(H3257="EIF",5.4)))))))</f>
        <v/>
      </c>
      <c r="M3257" s="112" t="str">
        <f t="shared" ref="M3257:M3320" si="54">IF(L3257="","",L3257*IF(G3257="상",0.7,IF(G3257="중",0.5,IF(G3257="하",0.2,1))))</f>
        <v/>
      </c>
      <c r="N3257" s="113"/>
    </row>
    <row r="3258" spans="2:14">
      <c r="B3258" s="105"/>
      <c r="C3258" s="106"/>
      <c r="D3258" s="107"/>
      <c r="E3258" s="65"/>
      <c r="F3258" s="64"/>
      <c r="G3258" s="64"/>
      <c r="H3258" s="64"/>
      <c r="I3258" s="70"/>
      <c r="J3258" s="70"/>
      <c r="K3258" s="110" t="str">
        <f>IF(H3258="","",IF($C$29="간이법","",FPR(H3258,I3258,J3258)))</f>
        <v/>
      </c>
      <c r="L3258" s="111" t="str">
        <f>IF(H3258="","",IF($C$29="상세법",FPV(H3258,K3258),IF(H3258="EI",4,IF(H3258="EO",5.2,IF(H3258="EQ",3.9,IF(H3258="ILF",7.5,IF(H3258="EIF",5.4)))))))</f>
        <v/>
      </c>
      <c r="M3258" s="112" t="str">
        <f t="shared" si="54"/>
        <v/>
      </c>
      <c r="N3258" s="113"/>
    </row>
    <row r="3259" spans="2:14">
      <c r="B3259" s="105"/>
      <c r="C3259" s="106"/>
      <c r="D3259" s="107"/>
      <c r="E3259" s="65"/>
      <c r="F3259" s="64"/>
      <c r="G3259" s="64"/>
      <c r="H3259" s="64"/>
      <c r="I3259" s="70"/>
      <c r="J3259" s="70"/>
      <c r="K3259" s="110" t="str">
        <f>IF(H3259="","",IF($C$29="간이법","",FPR(H3259,I3259,J3259)))</f>
        <v/>
      </c>
      <c r="L3259" s="111" t="str">
        <f>IF(H3259="","",IF($C$29="상세법",FPV(H3259,K3259),IF(H3259="EI",4,IF(H3259="EO",5.2,IF(H3259="EQ",3.9,IF(H3259="ILF",7.5,IF(H3259="EIF",5.4)))))))</f>
        <v/>
      </c>
      <c r="M3259" s="112" t="str">
        <f t="shared" si="54"/>
        <v/>
      </c>
      <c r="N3259" s="113"/>
    </row>
    <row r="3260" spans="2:14">
      <c r="B3260" s="105"/>
      <c r="C3260" s="106"/>
      <c r="D3260" s="107"/>
      <c r="E3260" s="65"/>
      <c r="F3260" s="64"/>
      <c r="G3260" s="64"/>
      <c r="H3260" s="64"/>
      <c r="I3260" s="70"/>
      <c r="J3260" s="70"/>
      <c r="K3260" s="110" t="str">
        <f>IF(H3260="","",IF($C$29="간이법","",FPR(H3260,I3260,J3260)))</f>
        <v/>
      </c>
      <c r="L3260" s="111" t="str">
        <f>IF(H3260="","",IF($C$29="상세법",FPV(H3260,K3260),IF(H3260="EI",4,IF(H3260="EO",5.2,IF(H3260="EQ",3.9,IF(H3260="ILF",7.5,IF(H3260="EIF",5.4)))))))</f>
        <v/>
      </c>
      <c r="M3260" s="112" t="str">
        <f t="shared" si="54"/>
        <v/>
      </c>
      <c r="N3260" s="113"/>
    </row>
    <row r="3261" spans="2:14">
      <c r="B3261" s="105"/>
      <c r="C3261" s="106"/>
      <c r="D3261" s="107"/>
      <c r="E3261" s="65"/>
      <c r="F3261" s="64"/>
      <c r="G3261" s="64"/>
      <c r="H3261" s="64"/>
      <c r="I3261" s="70"/>
      <c r="J3261" s="70"/>
      <c r="K3261" s="110" t="str">
        <f>IF(H3261="","",IF($C$29="간이법","",FPR(H3261,I3261,J3261)))</f>
        <v/>
      </c>
      <c r="L3261" s="111" t="str">
        <f>IF(H3261="","",IF($C$29="상세법",FPV(H3261,K3261),IF(H3261="EI",4,IF(H3261="EO",5.2,IF(H3261="EQ",3.9,IF(H3261="ILF",7.5,IF(H3261="EIF",5.4)))))))</f>
        <v/>
      </c>
      <c r="M3261" s="112" t="str">
        <f t="shared" si="54"/>
        <v/>
      </c>
      <c r="N3261" s="113"/>
    </row>
    <row r="3262" spans="2:14">
      <c r="B3262" s="105"/>
      <c r="C3262" s="106"/>
      <c r="D3262" s="107"/>
      <c r="E3262" s="65"/>
      <c r="F3262" s="64"/>
      <c r="G3262" s="64"/>
      <c r="H3262" s="64"/>
      <c r="I3262" s="70"/>
      <c r="J3262" s="70"/>
      <c r="K3262" s="110" t="str">
        <f>IF(H3262="","",IF($C$29="간이법","",FPR(H3262,I3262,J3262)))</f>
        <v/>
      </c>
      <c r="L3262" s="111" t="str">
        <f>IF(H3262="","",IF($C$29="상세법",FPV(H3262,K3262),IF(H3262="EI",4,IF(H3262="EO",5.2,IF(H3262="EQ",3.9,IF(H3262="ILF",7.5,IF(H3262="EIF",5.4)))))))</f>
        <v/>
      </c>
      <c r="M3262" s="112" t="str">
        <f t="shared" si="54"/>
        <v/>
      </c>
      <c r="N3262" s="113"/>
    </row>
    <row r="3263" spans="2:14">
      <c r="B3263" s="105"/>
      <c r="C3263" s="106"/>
      <c r="D3263" s="107"/>
      <c r="E3263" s="65"/>
      <c r="F3263" s="64"/>
      <c r="G3263" s="64"/>
      <c r="H3263" s="64"/>
      <c r="I3263" s="70"/>
      <c r="J3263" s="70"/>
      <c r="K3263" s="110" t="str">
        <f>IF(H3263="","",IF($C$29="간이법","",FPR(H3263,I3263,J3263)))</f>
        <v/>
      </c>
      <c r="L3263" s="111" t="str">
        <f>IF(H3263="","",IF($C$29="상세법",FPV(H3263,K3263),IF(H3263="EI",4,IF(H3263="EO",5.2,IF(H3263="EQ",3.9,IF(H3263="ILF",7.5,IF(H3263="EIF",5.4)))))))</f>
        <v/>
      </c>
      <c r="M3263" s="112" t="str">
        <f t="shared" si="54"/>
        <v/>
      </c>
      <c r="N3263" s="113"/>
    </row>
    <row r="3264" spans="2:14">
      <c r="B3264" s="105"/>
      <c r="C3264" s="106"/>
      <c r="D3264" s="107"/>
      <c r="E3264" s="65"/>
      <c r="F3264" s="64"/>
      <c r="G3264" s="64"/>
      <c r="H3264" s="64"/>
      <c r="I3264" s="70"/>
      <c r="J3264" s="70"/>
      <c r="K3264" s="110" t="str">
        <f>IF(H3264="","",IF($C$29="간이법","",FPR(H3264,I3264,J3264)))</f>
        <v/>
      </c>
      <c r="L3264" s="111" t="str">
        <f>IF(H3264="","",IF($C$29="상세법",FPV(H3264,K3264),IF(H3264="EI",4,IF(H3264="EO",5.2,IF(H3264="EQ",3.9,IF(H3264="ILF",7.5,IF(H3264="EIF",5.4)))))))</f>
        <v/>
      </c>
      <c r="M3264" s="112" t="str">
        <f t="shared" si="54"/>
        <v/>
      </c>
      <c r="N3264" s="113"/>
    </row>
    <row r="3265" spans="2:14">
      <c r="B3265" s="105"/>
      <c r="C3265" s="106"/>
      <c r="D3265" s="107"/>
      <c r="E3265" s="65"/>
      <c r="F3265" s="64"/>
      <c r="G3265" s="64"/>
      <c r="H3265" s="64"/>
      <c r="I3265" s="70"/>
      <c r="J3265" s="70"/>
      <c r="K3265" s="110" t="str">
        <f>IF(H3265="","",IF($C$29="간이법","",FPR(H3265,I3265,J3265)))</f>
        <v/>
      </c>
      <c r="L3265" s="111" t="str">
        <f>IF(H3265="","",IF($C$29="상세법",FPV(H3265,K3265),IF(H3265="EI",4,IF(H3265="EO",5.2,IF(H3265="EQ",3.9,IF(H3265="ILF",7.5,IF(H3265="EIF",5.4)))))))</f>
        <v/>
      </c>
      <c r="M3265" s="112" t="str">
        <f t="shared" si="54"/>
        <v/>
      </c>
      <c r="N3265" s="113"/>
    </row>
    <row r="3266" spans="2:14">
      <c r="B3266" s="105"/>
      <c r="C3266" s="106"/>
      <c r="D3266" s="107"/>
      <c r="E3266" s="65"/>
      <c r="F3266" s="64"/>
      <c r="G3266" s="64"/>
      <c r="H3266" s="64"/>
      <c r="I3266" s="70"/>
      <c r="J3266" s="70"/>
      <c r="K3266" s="110" t="str">
        <f>IF(H3266="","",IF($C$29="간이법","",FPR(H3266,I3266,J3266)))</f>
        <v/>
      </c>
      <c r="L3266" s="111" t="str">
        <f>IF(H3266="","",IF($C$29="상세법",FPV(H3266,K3266),IF(H3266="EI",4,IF(H3266="EO",5.2,IF(H3266="EQ",3.9,IF(H3266="ILF",7.5,IF(H3266="EIF",5.4)))))))</f>
        <v/>
      </c>
      <c r="M3266" s="112" t="str">
        <f t="shared" si="54"/>
        <v/>
      </c>
      <c r="N3266" s="113"/>
    </row>
    <row r="3267" spans="2:14">
      <c r="B3267" s="105"/>
      <c r="C3267" s="106"/>
      <c r="D3267" s="107"/>
      <c r="E3267" s="65"/>
      <c r="F3267" s="64"/>
      <c r="G3267" s="64"/>
      <c r="H3267" s="64"/>
      <c r="I3267" s="70"/>
      <c r="J3267" s="70"/>
      <c r="K3267" s="110" t="str">
        <f>IF(H3267="","",IF($C$29="간이법","",FPR(H3267,I3267,J3267)))</f>
        <v/>
      </c>
      <c r="L3267" s="111" t="str">
        <f>IF(H3267="","",IF($C$29="상세법",FPV(H3267,K3267),IF(H3267="EI",4,IF(H3267="EO",5.2,IF(H3267="EQ",3.9,IF(H3267="ILF",7.5,IF(H3267="EIF",5.4)))))))</f>
        <v/>
      </c>
      <c r="M3267" s="112" t="str">
        <f t="shared" si="54"/>
        <v/>
      </c>
      <c r="N3267" s="113"/>
    </row>
    <row r="3268" spans="2:14">
      <c r="B3268" s="105"/>
      <c r="C3268" s="106"/>
      <c r="D3268" s="107"/>
      <c r="E3268" s="65"/>
      <c r="F3268" s="64"/>
      <c r="G3268" s="64"/>
      <c r="H3268" s="64"/>
      <c r="I3268" s="70"/>
      <c r="J3268" s="70"/>
      <c r="K3268" s="110" t="str">
        <f>IF(H3268="","",IF($C$29="간이법","",FPR(H3268,I3268,J3268)))</f>
        <v/>
      </c>
      <c r="L3268" s="111" t="str">
        <f>IF(H3268="","",IF($C$29="상세법",FPV(H3268,K3268),IF(H3268="EI",4,IF(H3268="EO",5.2,IF(H3268="EQ",3.9,IF(H3268="ILF",7.5,IF(H3268="EIF",5.4)))))))</f>
        <v/>
      </c>
      <c r="M3268" s="112" t="str">
        <f t="shared" si="54"/>
        <v/>
      </c>
      <c r="N3268" s="113"/>
    </row>
    <row r="3269" spans="2:14">
      <c r="B3269" s="105"/>
      <c r="C3269" s="106"/>
      <c r="D3269" s="107"/>
      <c r="E3269" s="65"/>
      <c r="F3269" s="64"/>
      <c r="G3269" s="64"/>
      <c r="H3269" s="64"/>
      <c r="I3269" s="70"/>
      <c r="J3269" s="70"/>
      <c r="K3269" s="110" t="str">
        <f>IF(H3269="","",IF($C$29="간이법","",FPR(H3269,I3269,J3269)))</f>
        <v/>
      </c>
      <c r="L3269" s="111" t="str">
        <f>IF(H3269="","",IF($C$29="상세법",FPV(H3269,K3269),IF(H3269="EI",4,IF(H3269="EO",5.2,IF(H3269="EQ",3.9,IF(H3269="ILF",7.5,IF(H3269="EIF",5.4)))))))</f>
        <v/>
      </c>
      <c r="M3269" s="112" t="str">
        <f t="shared" si="54"/>
        <v/>
      </c>
      <c r="N3269" s="113"/>
    </row>
    <row r="3270" spans="2:14">
      <c r="B3270" s="105"/>
      <c r="C3270" s="106"/>
      <c r="D3270" s="107"/>
      <c r="E3270" s="65"/>
      <c r="F3270" s="64"/>
      <c r="G3270" s="64"/>
      <c r="H3270" s="64"/>
      <c r="I3270" s="70"/>
      <c r="J3270" s="70"/>
      <c r="K3270" s="110" t="str">
        <f>IF(H3270="","",IF($C$29="간이법","",FPR(H3270,I3270,J3270)))</f>
        <v/>
      </c>
      <c r="L3270" s="111" t="str">
        <f>IF(H3270="","",IF($C$29="상세법",FPV(H3270,K3270),IF(H3270="EI",4,IF(H3270="EO",5.2,IF(H3270="EQ",3.9,IF(H3270="ILF",7.5,IF(H3270="EIF",5.4)))))))</f>
        <v/>
      </c>
      <c r="M3270" s="112" t="str">
        <f t="shared" si="54"/>
        <v/>
      </c>
      <c r="N3270" s="113"/>
    </row>
    <row r="3271" spans="2:14">
      <c r="B3271" s="105"/>
      <c r="C3271" s="106"/>
      <c r="D3271" s="107"/>
      <c r="E3271" s="65"/>
      <c r="F3271" s="64"/>
      <c r="G3271" s="64"/>
      <c r="H3271" s="64"/>
      <c r="I3271" s="70"/>
      <c r="J3271" s="70"/>
      <c r="K3271" s="110" t="str">
        <f>IF(H3271="","",IF($C$29="간이법","",FPR(H3271,I3271,J3271)))</f>
        <v/>
      </c>
      <c r="L3271" s="111" t="str">
        <f>IF(H3271="","",IF($C$29="상세법",FPV(H3271,K3271),IF(H3271="EI",4,IF(H3271="EO",5.2,IF(H3271="EQ",3.9,IF(H3271="ILF",7.5,IF(H3271="EIF",5.4)))))))</f>
        <v/>
      </c>
      <c r="M3271" s="112" t="str">
        <f t="shared" si="54"/>
        <v/>
      </c>
      <c r="N3271" s="113"/>
    </row>
    <row r="3272" spans="2:14">
      <c r="B3272" s="105"/>
      <c r="C3272" s="106"/>
      <c r="D3272" s="107"/>
      <c r="E3272" s="65"/>
      <c r="F3272" s="64"/>
      <c r="G3272" s="64"/>
      <c r="H3272" s="64"/>
      <c r="I3272" s="70"/>
      <c r="J3272" s="70"/>
      <c r="K3272" s="110" t="str">
        <f>IF(H3272="","",IF($C$29="간이법","",FPR(H3272,I3272,J3272)))</f>
        <v/>
      </c>
      <c r="L3272" s="111" t="str">
        <f>IF(H3272="","",IF($C$29="상세법",FPV(H3272,K3272),IF(H3272="EI",4,IF(H3272="EO",5.2,IF(H3272="EQ",3.9,IF(H3272="ILF",7.5,IF(H3272="EIF",5.4)))))))</f>
        <v/>
      </c>
      <c r="M3272" s="112" t="str">
        <f t="shared" si="54"/>
        <v/>
      </c>
      <c r="N3272" s="113"/>
    </row>
    <row r="3273" spans="2:14">
      <c r="B3273" s="105"/>
      <c r="C3273" s="106"/>
      <c r="D3273" s="107"/>
      <c r="E3273" s="65"/>
      <c r="F3273" s="64"/>
      <c r="G3273" s="64"/>
      <c r="H3273" s="64"/>
      <c r="I3273" s="70"/>
      <c r="J3273" s="70"/>
      <c r="K3273" s="110" t="str">
        <f>IF(H3273="","",IF($C$29="간이법","",FPR(H3273,I3273,J3273)))</f>
        <v/>
      </c>
      <c r="L3273" s="111" t="str">
        <f>IF(H3273="","",IF($C$29="상세법",FPV(H3273,K3273),IF(H3273="EI",4,IF(H3273="EO",5.2,IF(H3273="EQ",3.9,IF(H3273="ILF",7.5,IF(H3273="EIF",5.4)))))))</f>
        <v/>
      </c>
      <c r="M3273" s="112" t="str">
        <f t="shared" si="54"/>
        <v/>
      </c>
      <c r="N3273" s="113"/>
    </row>
    <row r="3274" spans="2:14">
      <c r="B3274" s="105"/>
      <c r="C3274" s="106"/>
      <c r="D3274" s="107"/>
      <c r="E3274" s="65"/>
      <c r="F3274" s="64"/>
      <c r="G3274" s="64"/>
      <c r="H3274" s="64"/>
      <c r="I3274" s="70"/>
      <c r="J3274" s="70"/>
      <c r="K3274" s="110" t="str">
        <f>IF(H3274="","",IF($C$29="간이법","",FPR(H3274,I3274,J3274)))</f>
        <v/>
      </c>
      <c r="L3274" s="111" t="str">
        <f>IF(H3274="","",IF($C$29="상세법",FPV(H3274,K3274),IF(H3274="EI",4,IF(H3274="EO",5.2,IF(H3274="EQ",3.9,IF(H3274="ILF",7.5,IF(H3274="EIF",5.4)))))))</f>
        <v/>
      </c>
      <c r="M3274" s="112" t="str">
        <f t="shared" si="54"/>
        <v/>
      </c>
      <c r="N3274" s="113"/>
    </row>
    <row r="3275" spans="2:14">
      <c r="B3275" s="105"/>
      <c r="C3275" s="106"/>
      <c r="D3275" s="107"/>
      <c r="E3275" s="65"/>
      <c r="F3275" s="64"/>
      <c r="G3275" s="64"/>
      <c r="H3275" s="64"/>
      <c r="I3275" s="70"/>
      <c r="J3275" s="70"/>
      <c r="K3275" s="110" t="str">
        <f>IF(H3275="","",IF($C$29="간이법","",FPR(H3275,I3275,J3275)))</f>
        <v/>
      </c>
      <c r="L3275" s="111" t="str">
        <f>IF(H3275="","",IF($C$29="상세법",FPV(H3275,K3275),IF(H3275="EI",4,IF(H3275="EO",5.2,IF(H3275="EQ",3.9,IF(H3275="ILF",7.5,IF(H3275="EIF",5.4)))))))</f>
        <v/>
      </c>
      <c r="M3275" s="112" t="str">
        <f t="shared" si="54"/>
        <v/>
      </c>
      <c r="N3275" s="113"/>
    </row>
    <row r="3276" spans="2:14">
      <c r="B3276" s="105"/>
      <c r="C3276" s="106"/>
      <c r="D3276" s="107"/>
      <c r="E3276" s="65"/>
      <c r="F3276" s="64"/>
      <c r="G3276" s="64"/>
      <c r="H3276" s="64"/>
      <c r="I3276" s="70"/>
      <c r="J3276" s="70"/>
      <c r="K3276" s="110" t="str">
        <f>IF(H3276="","",IF($C$29="간이법","",FPR(H3276,I3276,J3276)))</f>
        <v/>
      </c>
      <c r="L3276" s="111" t="str">
        <f>IF(H3276="","",IF($C$29="상세법",FPV(H3276,K3276),IF(H3276="EI",4,IF(H3276="EO",5.2,IF(H3276="EQ",3.9,IF(H3276="ILF",7.5,IF(H3276="EIF",5.4)))))))</f>
        <v/>
      </c>
      <c r="M3276" s="112" t="str">
        <f t="shared" si="54"/>
        <v/>
      </c>
      <c r="N3276" s="113"/>
    </row>
    <row r="3277" spans="2:14">
      <c r="B3277" s="105"/>
      <c r="C3277" s="106"/>
      <c r="D3277" s="107"/>
      <c r="E3277" s="65"/>
      <c r="F3277" s="64"/>
      <c r="G3277" s="64"/>
      <c r="H3277" s="64"/>
      <c r="I3277" s="70"/>
      <c r="J3277" s="70"/>
      <c r="K3277" s="110" t="str">
        <f>IF(H3277="","",IF($C$29="간이법","",FPR(H3277,I3277,J3277)))</f>
        <v/>
      </c>
      <c r="L3277" s="111" t="str">
        <f>IF(H3277="","",IF($C$29="상세법",FPV(H3277,K3277),IF(H3277="EI",4,IF(H3277="EO",5.2,IF(H3277="EQ",3.9,IF(H3277="ILF",7.5,IF(H3277="EIF",5.4)))))))</f>
        <v/>
      </c>
      <c r="M3277" s="112" t="str">
        <f t="shared" si="54"/>
        <v/>
      </c>
      <c r="N3277" s="113"/>
    </row>
    <row r="3278" spans="2:14">
      <c r="B3278" s="105"/>
      <c r="C3278" s="106"/>
      <c r="D3278" s="107"/>
      <c r="E3278" s="65"/>
      <c r="F3278" s="64"/>
      <c r="G3278" s="64"/>
      <c r="H3278" s="64"/>
      <c r="I3278" s="70"/>
      <c r="J3278" s="70"/>
      <c r="K3278" s="110" t="str">
        <f>IF(H3278="","",IF($C$29="간이법","",FPR(H3278,I3278,J3278)))</f>
        <v/>
      </c>
      <c r="L3278" s="111" t="str">
        <f>IF(H3278="","",IF($C$29="상세법",FPV(H3278,K3278),IF(H3278="EI",4,IF(H3278="EO",5.2,IF(H3278="EQ",3.9,IF(H3278="ILF",7.5,IF(H3278="EIF",5.4)))))))</f>
        <v/>
      </c>
      <c r="M3278" s="112" t="str">
        <f t="shared" si="54"/>
        <v/>
      </c>
      <c r="N3278" s="113"/>
    </row>
    <row r="3279" spans="2:14">
      <c r="B3279" s="105"/>
      <c r="C3279" s="106"/>
      <c r="D3279" s="107"/>
      <c r="E3279" s="65"/>
      <c r="F3279" s="64"/>
      <c r="G3279" s="64"/>
      <c r="H3279" s="64"/>
      <c r="I3279" s="70"/>
      <c r="J3279" s="70"/>
      <c r="K3279" s="110" t="str">
        <f>IF(H3279="","",IF($C$29="간이법","",FPR(H3279,I3279,J3279)))</f>
        <v/>
      </c>
      <c r="L3279" s="111" t="str">
        <f>IF(H3279="","",IF($C$29="상세법",FPV(H3279,K3279),IF(H3279="EI",4,IF(H3279="EO",5.2,IF(H3279="EQ",3.9,IF(H3279="ILF",7.5,IF(H3279="EIF",5.4)))))))</f>
        <v/>
      </c>
      <c r="M3279" s="112" t="str">
        <f t="shared" si="54"/>
        <v/>
      </c>
      <c r="N3279" s="113"/>
    </row>
    <row r="3280" spans="2:14">
      <c r="B3280" s="105"/>
      <c r="C3280" s="106"/>
      <c r="D3280" s="107"/>
      <c r="E3280" s="65"/>
      <c r="F3280" s="64"/>
      <c r="G3280" s="64"/>
      <c r="H3280" s="64"/>
      <c r="I3280" s="70"/>
      <c r="J3280" s="70"/>
      <c r="K3280" s="110" t="str">
        <f>IF(H3280="","",IF($C$29="간이법","",FPR(H3280,I3280,J3280)))</f>
        <v/>
      </c>
      <c r="L3280" s="111" t="str">
        <f>IF(H3280="","",IF($C$29="상세법",FPV(H3280,K3280),IF(H3280="EI",4,IF(H3280="EO",5.2,IF(H3280="EQ",3.9,IF(H3280="ILF",7.5,IF(H3280="EIF",5.4)))))))</f>
        <v/>
      </c>
      <c r="M3280" s="112" t="str">
        <f t="shared" si="54"/>
        <v/>
      </c>
      <c r="N3280" s="113"/>
    </row>
    <row r="3281" spans="2:14">
      <c r="B3281" s="105"/>
      <c r="C3281" s="106"/>
      <c r="D3281" s="107"/>
      <c r="E3281" s="65"/>
      <c r="F3281" s="64"/>
      <c r="G3281" s="64"/>
      <c r="H3281" s="64"/>
      <c r="I3281" s="70"/>
      <c r="J3281" s="70"/>
      <c r="K3281" s="110" t="str">
        <f>IF(H3281="","",IF($C$29="간이법","",FPR(H3281,I3281,J3281)))</f>
        <v/>
      </c>
      <c r="L3281" s="111" t="str">
        <f>IF(H3281="","",IF($C$29="상세법",FPV(H3281,K3281),IF(H3281="EI",4,IF(H3281="EO",5.2,IF(H3281="EQ",3.9,IF(H3281="ILF",7.5,IF(H3281="EIF",5.4)))))))</f>
        <v/>
      </c>
      <c r="M3281" s="112" t="str">
        <f t="shared" si="54"/>
        <v/>
      </c>
      <c r="N3281" s="113"/>
    </row>
    <row r="3282" spans="2:14">
      <c r="B3282" s="105"/>
      <c r="C3282" s="106"/>
      <c r="D3282" s="107"/>
      <c r="E3282" s="65"/>
      <c r="F3282" s="64"/>
      <c r="G3282" s="64"/>
      <c r="H3282" s="64"/>
      <c r="I3282" s="70"/>
      <c r="J3282" s="70"/>
      <c r="K3282" s="110" t="str">
        <f>IF(H3282="","",IF($C$29="간이법","",FPR(H3282,I3282,J3282)))</f>
        <v/>
      </c>
      <c r="L3282" s="111" t="str">
        <f>IF(H3282="","",IF($C$29="상세법",FPV(H3282,K3282),IF(H3282="EI",4,IF(H3282="EO",5.2,IF(H3282="EQ",3.9,IF(H3282="ILF",7.5,IF(H3282="EIF",5.4)))))))</f>
        <v/>
      </c>
      <c r="M3282" s="112" t="str">
        <f t="shared" si="54"/>
        <v/>
      </c>
      <c r="N3282" s="113"/>
    </row>
    <row r="3283" spans="2:14">
      <c r="B3283" s="105"/>
      <c r="C3283" s="106"/>
      <c r="D3283" s="107"/>
      <c r="E3283" s="65"/>
      <c r="F3283" s="64"/>
      <c r="G3283" s="64"/>
      <c r="H3283" s="64"/>
      <c r="I3283" s="70"/>
      <c r="J3283" s="70"/>
      <c r="K3283" s="110" t="str">
        <f>IF(H3283="","",IF($C$29="간이법","",FPR(H3283,I3283,J3283)))</f>
        <v/>
      </c>
      <c r="L3283" s="111" t="str">
        <f>IF(H3283="","",IF($C$29="상세법",FPV(H3283,K3283),IF(H3283="EI",4,IF(H3283="EO",5.2,IF(H3283="EQ",3.9,IF(H3283="ILF",7.5,IF(H3283="EIF",5.4)))))))</f>
        <v/>
      </c>
      <c r="M3283" s="112" t="str">
        <f t="shared" si="54"/>
        <v/>
      </c>
      <c r="N3283" s="113"/>
    </row>
    <row r="3284" spans="2:14">
      <c r="B3284" s="105"/>
      <c r="C3284" s="106"/>
      <c r="D3284" s="107"/>
      <c r="E3284" s="65"/>
      <c r="F3284" s="64"/>
      <c r="G3284" s="64"/>
      <c r="H3284" s="64"/>
      <c r="I3284" s="70"/>
      <c r="J3284" s="70"/>
      <c r="K3284" s="110" t="str">
        <f>IF(H3284="","",IF($C$29="간이법","",FPR(H3284,I3284,J3284)))</f>
        <v/>
      </c>
      <c r="L3284" s="111" t="str">
        <f>IF(H3284="","",IF($C$29="상세법",FPV(H3284,K3284),IF(H3284="EI",4,IF(H3284="EO",5.2,IF(H3284="EQ",3.9,IF(H3284="ILF",7.5,IF(H3284="EIF",5.4)))))))</f>
        <v/>
      </c>
      <c r="M3284" s="112" t="str">
        <f t="shared" si="54"/>
        <v/>
      </c>
      <c r="N3284" s="113"/>
    </row>
    <row r="3285" spans="2:14">
      <c r="B3285" s="105"/>
      <c r="C3285" s="106"/>
      <c r="D3285" s="107"/>
      <c r="E3285" s="65"/>
      <c r="F3285" s="64"/>
      <c r="G3285" s="64"/>
      <c r="H3285" s="64"/>
      <c r="I3285" s="70"/>
      <c r="J3285" s="70"/>
      <c r="K3285" s="110" t="str">
        <f>IF(H3285="","",IF($C$29="간이법","",FPR(H3285,I3285,J3285)))</f>
        <v/>
      </c>
      <c r="L3285" s="111" t="str">
        <f>IF(H3285="","",IF($C$29="상세법",FPV(H3285,K3285),IF(H3285="EI",4,IF(H3285="EO",5.2,IF(H3285="EQ",3.9,IF(H3285="ILF",7.5,IF(H3285="EIF",5.4)))))))</f>
        <v/>
      </c>
      <c r="M3285" s="112" t="str">
        <f t="shared" si="54"/>
        <v/>
      </c>
      <c r="N3285" s="113"/>
    </row>
    <row r="3286" spans="2:14">
      <c r="B3286" s="105"/>
      <c r="C3286" s="106"/>
      <c r="D3286" s="107"/>
      <c r="E3286" s="65"/>
      <c r="F3286" s="64"/>
      <c r="G3286" s="64"/>
      <c r="H3286" s="64"/>
      <c r="I3286" s="70"/>
      <c r="J3286" s="70"/>
      <c r="K3286" s="110" t="str">
        <f>IF(H3286="","",IF($C$29="간이법","",FPR(H3286,I3286,J3286)))</f>
        <v/>
      </c>
      <c r="L3286" s="111" t="str">
        <f>IF(H3286="","",IF($C$29="상세법",FPV(H3286,K3286),IF(H3286="EI",4,IF(H3286="EO",5.2,IF(H3286="EQ",3.9,IF(H3286="ILF",7.5,IF(H3286="EIF",5.4)))))))</f>
        <v/>
      </c>
      <c r="M3286" s="112" t="str">
        <f t="shared" si="54"/>
        <v/>
      </c>
      <c r="N3286" s="113"/>
    </row>
    <row r="3287" spans="2:14">
      <c r="B3287" s="105"/>
      <c r="C3287" s="106"/>
      <c r="D3287" s="107"/>
      <c r="E3287" s="65"/>
      <c r="F3287" s="64"/>
      <c r="G3287" s="64"/>
      <c r="H3287" s="64"/>
      <c r="I3287" s="70"/>
      <c r="J3287" s="70"/>
      <c r="K3287" s="110" t="str">
        <f>IF(H3287="","",IF($C$29="간이법","",FPR(H3287,I3287,J3287)))</f>
        <v/>
      </c>
      <c r="L3287" s="111" t="str">
        <f>IF(H3287="","",IF($C$29="상세법",FPV(H3287,K3287),IF(H3287="EI",4,IF(H3287="EO",5.2,IF(H3287="EQ",3.9,IF(H3287="ILF",7.5,IF(H3287="EIF",5.4)))))))</f>
        <v/>
      </c>
      <c r="M3287" s="112" t="str">
        <f t="shared" si="54"/>
        <v/>
      </c>
      <c r="N3287" s="113"/>
    </row>
    <row r="3288" spans="2:14">
      <c r="B3288" s="105"/>
      <c r="C3288" s="106"/>
      <c r="D3288" s="107"/>
      <c r="E3288" s="65"/>
      <c r="F3288" s="64"/>
      <c r="G3288" s="64"/>
      <c r="H3288" s="64"/>
      <c r="I3288" s="70"/>
      <c r="J3288" s="70"/>
      <c r="K3288" s="110" t="str">
        <f>IF(H3288="","",IF($C$29="간이법","",FPR(H3288,I3288,J3288)))</f>
        <v/>
      </c>
      <c r="L3288" s="111" t="str">
        <f>IF(H3288="","",IF($C$29="상세법",FPV(H3288,K3288),IF(H3288="EI",4,IF(H3288="EO",5.2,IF(H3288="EQ",3.9,IF(H3288="ILF",7.5,IF(H3288="EIF",5.4)))))))</f>
        <v/>
      </c>
      <c r="M3288" s="112" t="str">
        <f t="shared" si="54"/>
        <v/>
      </c>
      <c r="N3288" s="113"/>
    </row>
    <row r="3289" spans="2:14">
      <c r="B3289" s="105"/>
      <c r="C3289" s="106"/>
      <c r="D3289" s="107"/>
      <c r="E3289" s="65"/>
      <c r="F3289" s="64"/>
      <c r="G3289" s="64"/>
      <c r="H3289" s="64"/>
      <c r="I3289" s="70"/>
      <c r="J3289" s="70"/>
      <c r="K3289" s="110" t="str">
        <f>IF(H3289="","",IF($C$29="간이법","",FPR(H3289,I3289,J3289)))</f>
        <v/>
      </c>
      <c r="L3289" s="111" t="str">
        <f>IF(H3289="","",IF($C$29="상세법",FPV(H3289,K3289),IF(H3289="EI",4,IF(H3289="EO",5.2,IF(H3289="EQ",3.9,IF(H3289="ILF",7.5,IF(H3289="EIF",5.4)))))))</f>
        <v/>
      </c>
      <c r="M3289" s="112" t="str">
        <f t="shared" si="54"/>
        <v/>
      </c>
      <c r="N3289" s="113"/>
    </row>
    <row r="3290" spans="2:14">
      <c r="B3290" s="105"/>
      <c r="C3290" s="106"/>
      <c r="D3290" s="107"/>
      <c r="E3290" s="65"/>
      <c r="F3290" s="64"/>
      <c r="G3290" s="64"/>
      <c r="H3290" s="64"/>
      <c r="I3290" s="70"/>
      <c r="J3290" s="70"/>
      <c r="K3290" s="110" t="str">
        <f>IF(H3290="","",IF($C$29="간이법","",FPR(H3290,I3290,J3290)))</f>
        <v/>
      </c>
      <c r="L3290" s="111" t="str">
        <f>IF(H3290="","",IF($C$29="상세법",FPV(H3290,K3290),IF(H3290="EI",4,IF(H3290="EO",5.2,IF(H3290="EQ",3.9,IF(H3290="ILF",7.5,IF(H3290="EIF",5.4)))))))</f>
        <v/>
      </c>
      <c r="M3290" s="112" t="str">
        <f t="shared" si="54"/>
        <v/>
      </c>
      <c r="N3290" s="113"/>
    </row>
    <row r="3291" spans="2:14">
      <c r="B3291" s="105"/>
      <c r="C3291" s="106"/>
      <c r="D3291" s="107"/>
      <c r="E3291" s="65"/>
      <c r="F3291" s="64"/>
      <c r="G3291" s="64"/>
      <c r="H3291" s="64"/>
      <c r="I3291" s="70"/>
      <c r="J3291" s="70"/>
      <c r="K3291" s="110" t="str">
        <f>IF(H3291="","",IF($C$29="간이법","",FPR(H3291,I3291,J3291)))</f>
        <v/>
      </c>
      <c r="L3291" s="111" t="str">
        <f>IF(H3291="","",IF($C$29="상세법",FPV(H3291,K3291),IF(H3291="EI",4,IF(H3291="EO",5.2,IF(H3291="EQ",3.9,IF(H3291="ILF",7.5,IF(H3291="EIF",5.4)))))))</f>
        <v/>
      </c>
      <c r="M3291" s="112" t="str">
        <f t="shared" si="54"/>
        <v/>
      </c>
      <c r="N3291" s="113"/>
    </row>
    <row r="3292" spans="2:14">
      <c r="B3292" s="105"/>
      <c r="C3292" s="106"/>
      <c r="D3292" s="107"/>
      <c r="E3292" s="65"/>
      <c r="F3292" s="64"/>
      <c r="G3292" s="64"/>
      <c r="H3292" s="64"/>
      <c r="I3292" s="70"/>
      <c r="J3292" s="70"/>
      <c r="K3292" s="110" t="str">
        <f>IF(H3292="","",IF($C$29="간이법","",FPR(H3292,I3292,J3292)))</f>
        <v/>
      </c>
      <c r="L3292" s="111" t="str">
        <f>IF(H3292="","",IF($C$29="상세법",FPV(H3292,K3292),IF(H3292="EI",4,IF(H3292="EO",5.2,IF(H3292="EQ",3.9,IF(H3292="ILF",7.5,IF(H3292="EIF",5.4)))))))</f>
        <v/>
      </c>
      <c r="M3292" s="112" t="str">
        <f t="shared" si="54"/>
        <v/>
      </c>
      <c r="N3292" s="113"/>
    </row>
    <row r="3293" spans="2:14">
      <c r="B3293" s="105"/>
      <c r="C3293" s="106"/>
      <c r="D3293" s="107"/>
      <c r="E3293" s="65"/>
      <c r="F3293" s="64"/>
      <c r="G3293" s="64"/>
      <c r="H3293" s="64"/>
      <c r="I3293" s="70"/>
      <c r="J3293" s="70"/>
      <c r="K3293" s="110" t="str">
        <f>IF(H3293="","",IF($C$29="간이법","",FPR(H3293,I3293,J3293)))</f>
        <v/>
      </c>
      <c r="L3293" s="111" t="str">
        <f>IF(H3293="","",IF($C$29="상세법",FPV(H3293,K3293),IF(H3293="EI",4,IF(H3293="EO",5.2,IF(H3293="EQ",3.9,IF(H3293="ILF",7.5,IF(H3293="EIF",5.4)))))))</f>
        <v/>
      </c>
      <c r="M3293" s="112" t="str">
        <f t="shared" si="54"/>
        <v/>
      </c>
      <c r="N3293" s="113"/>
    </row>
    <row r="3294" spans="2:14">
      <c r="B3294" s="105"/>
      <c r="C3294" s="106"/>
      <c r="D3294" s="107"/>
      <c r="E3294" s="65"/>
      <c r="F3294" s="64"/>
      <c r="G3294" s="64"/>
      <c r="H3294" s="64"/>
      <c r="I3294" s="70"/>
      <c r="J3294" s="70"/>
      <c r="K3294" s="110" t="str">
        <f>IF(H3294="","",IF($C$29="간이법","",FPR(H3294,I3294,J3294)))</f>
        <v/>
      </c>
      <c r="L3294" s="111" t="str">
        <f>IF(H3294="","",IF($C$29="상세법",FPV(H3294,K3294),IF(H3294="EI",4,IF(H3294="EO",5.2,IF(H3294="EQ",3.9,IF(H3294="ILF",7.5,IF(H3294="EIF",5.4)))))))</f>
        <v/>
      </c>
      <c r="M3294" s="112" t="str">
        <f t="shared" si="54"/>
        <v/>
      </c>
      <c r="N3294" s="113"/>
    </row>
    <row r="3295" spans="2:14">
      <c r="B3295" s="105"/>
      <c r="C3295" s="106"/>
      <c r="D3295" s="107"/>
      <c r="E3295" s="65"/>
      <c r="F3295" s="64"/>
      <c r="G3295" s="64"/>
      <c r="H3295" s="64"/>
      <c r="I3295" s="70"/>
      <c r="J3295" s="70"/>
      <c r="K3295" s="110" t="str">
        <f>IF(H3295="","",IF($C$29="간이법","",FPR(H3295,I3295,J3295)))</f>
        <v/>
      </c>
      <c r="L3295" s="111" t="str">
        <f>IF(H3295="","",IF($C$29="상세법",FPV(H3295,K3295),IF(H3295="EI",4,IF(H3295="EO",5.2,IF(H3295="EQ",3.9,IF(H3295="ILF",7.5,IF(H3295="EIF",5.4)))))))</f>
        <v/>
      </c>
      <c r="M3295" s="112" t="str">
        <f t="shared" si="54"/>
        <v/>
      </c>
      <c r="N3295" s="113"/>
    </row>
    <row r="3296" spans="2:14">
      <c r="B3296" s="105"/>
      <c r="C3296" s="106"/>
      <c r="D3296" s="107"/>
      <c r="E3296" s="65"/>
      <c r="F3296" s="64"/>
      <c r="G3296" s="64"/>
      <c r="H3296" s="64"/>
      <c r="I3296" s="70"/>
      <c r="J3296" s="70"/>
      <c r="K3296" s="110" t="str">
        <f>IF(H3296="","",IF($C$29="간이법","",FPR(H3296,I3296,J3296)))</f>
        <v/>
      </c>
      <c r="L3296" s="111" t="str">
        <f>IF(H3296="","",IF($C$29="상세법",FPV(H3296,K3296),IF(H3296="EI",4,IF(H3296="EO",5.2,IF(H3296="EQ",3.9,IF(H3296="ILF",7.5,IF(H3296="EIF",5.4)))))))</f>
        <v/>
      </c>
      <c r="M3296" s="112" t="str">
        <f t="shared" si="54"/>
        <v/>
      </c>
      <c r="N3296" s="113"/>
    </row>
    <row r="3297" spans="2:14">
      <c r="B3297" s="105"/>
      <c r="C3297" s="106"/>
      <c r="D3297" s="107"/>
      <c r="E3297" s="65"/>
      <c r="F3297" s="64"/>
      <c r="G3297" s="64"/>
      <c r="H3297" s="64"/>
      <c r="I3297" s="70"/>
      <c r="J3297" s="70"/>
      <c r="K3297" s="110" t="str">
        <f>IF(H3297="","",IF($C$29="간이법","",FPR(H3297,I3297,J3297)))</f>
        <v/>
      </c>
      <c r="L3297" s="111" t="str">
        <f>IF(H3297="","",IF($C$29="상세법",FPV(H3297,K3297),IF(H3297="EI",4,IF(H3297="EO",5.2,IF(H3297="EQ",3.9,IF(H3297="ILF",7.5,IF(H3297="EIF",5.4)))))))</f>
        <v/>
      </c>
      <c r="M3297" s="112" t="str">
        <f t="shared" si="54"/>
        <v/>
      </c>
      <c r="N3297" s="113"/>
    </row>
    <row r="3298" spans="2:14">
      <c r="B3298" s="105"/>
      <c r="C3298" s="106"/>
      <c r="D3298" s="107"/>
      <c r="E3298" s="65"/>
      <c r="F3298" s="64"/>
      <c r="G3298" s="64"/>
      <c r="H3298" s="64"/>
      <c r="I3298" s="70"/>
      <c r="J3298" s="70"/>
      <c r="K3298" s="110" t="str">
        <f>IF(H3298="","",IF($C$29="간이법","",FPR(H3298,I3298,J3298)))</f>
        <v/>
      </c>
      <c r="L3298" s="111" t="str">
        <f>IF(H3298="","",IF($C$29="상세법",FPV(H3298,K3298),IF(H3298="EI",4,IF(H3298="EO",5.2,IF(H3298="EQ",3.9,IF(H3298="ILF",7.5,IF(H3298="EIF",5.4)))))))</f>
        <v/>
      </c>
      <c r="M3298" s="112" t="str">
        <f t="shared" si="54"/>
        <v/>
      </c>
      <c r="N3298" s="113"/>
    </row>
    <row r="3299" spans="2:14">
      <c r="B3299" s="105"/>
      <c r="C3299" s="106"/>
      <c r="D3299" s="107"/>
      <c r="E3299" s="65"/>
      <c r="F3299" s="64"/>
      <c r="G3299" s="64"/>
      <c r="H3299" s="64"/>
      <c r="I3299" s="70"/>
      <c r="J3299" s="70"/>
      <c r="K3299" s="110" t="str">
        <f>IF(H3299="","",IF($C$29="간이법","",FPR(H3299,I3299,J3299)))</f>
        <v/>
      </c>
      <c r="L3299" s="111" t="str">
        <f>IF(H3299="","",IF($C$29="상세법",FPV(H3299,K3299),IF(H3299="EI",4,IF(H3299="EO",5.2,IF(H3299="EQ",3.9,IF(H3299="ILF",7.5,IF(H3299="EIF",5.4)))))))</f>
        <v/>
      </c>
      <c r="M3299" s="112" t="str">
        <f t="shared" si="54"/>
        <v/>
      </c>
      <c r="N3299" s="113"/>
    </row>
    <row r="3300" spans="2:14">
      <c r="B3300" s="105"/>
      <c r="C3300" s="106"/>
      <c r="D3300" s="107"/>
      <c r="E3300" s="65"/>
      <c r="F3300" s="64"/>
      <c r="G3300" s="64"/>
      <c r="H3300" s="64"/>
      <c r="I3300" s="70"/>
      <c r="J3300" s="70"/>
      <c r="K3300" s="110" t="str">
        <f>IF(H3300="","",IF($C$29="간이법","",FPR(H3300,I3300,J3300)))</f>
        <v/>
      </c>
      <c r="L3300" s="111" t="str">
        <f>IF(H3300="","",IF($C$29="상세법",FPV(H3300,K3300),IF(H3300="EI",4,IF(H3300="EO",5.2,IF(H3300="EQ",3.9,IF(H3300="ILF",7.5,IF(H3300="EIF",5.4)))))))</f>
        <v/>
      </c>
      <c r="M3300" s="112" t="str">
        <f t="shared" si="54"/>
        <v/>
      </c>
      <c r="N3300" s="113"/>
    </row>
    <row r="3301" spans="2:14">
      <c r="B3301" s="105"/>
      <c r="C3301" s="106"/>
      <c r="D3301" s="107"/>
      <c r="E3301" s="65"/>
      <c r="F3301" s="64"/>
      <c r="G3301" s="64"/>
      <c r="H3301" s="64"/>
      <c r="I3301" s="70"/>
      <c r="J3301" s="70"/>
      <c r="K3301" s="110" t="str">
        <f>IF(H3301="","",IF($C$29="간이법","",FPR(H3301,I3301,J3301)))</f>
        <v/>
      </c>
      <c r="L3301" s="111" t="str">
        <f>IF(H3301="","",IF($C$29="상세법",FPV(H3301,K3301),IF(H3301="EI",4,IF(H3301="EO",5.2,IF(H3301="EQ",3.9,IF(H3301="ILF",7.5,IF(H3301="EIF",5.4)))))))</f>
        <v/>
      </c>
      <c r="M3301" s="112" t="str">
        <f t="shared" si="54"/>
        <v/>
      </c>
      <c r="N3301" s="113"/>
    </row>
    <row r="3302" spans="2:14">
      <c r="B3302" s="105"/>
      <c r="C3302" s="106"/>
      <c r="D3302" s="107"/>
      <c r="E3302" s="65"/>
      <c r="F3302" s="64"/>
      <c r="G3302" s="64"/>
      <c r="H3302" s="64"/>
      <c r="I3302" s="70"/>
      <c r="J3302" s="70"/>
      <c r="K3302" s="110" t="str">
        <f>IF(H3302="","",IF($C$29="간이법","",FPR(H3302,I3302,J3302)))</f>
        <v/>
      </c>
      <c r="L3302" s="111" t="str">
        <f>IF(H3302="","",IF($C$29="상세법",FPV(H3302,K3302),IF(H3302="EI",4,IF(H3302="EO",5.2,IF(H3302="EQ",3.9,IF(H3302="ILF",7.5,IF(H3302="EIF",5.4)))))))</f>
        <v/>
      </c>
      <c r="M3302" s="112" t="str">
        <f t="shared" si="54"/>
        <v/>
      </c>
      <c r="N3302" s="113"/>
    </row>
    <row r="3303" spans="2:14">
      <c r="B3303" s="105"/>
      <c r="C3303" s="106"/>
      <c r="D3303" s="107"/>
      <c r="E3303" s="65"/>
      <c r="F3303" s="64"/>
      <c r="G3303" s="64"/>
      <c r="H3303" s="64"/>
      <c r="I3303" s="70"/>
      <c r="J3303" s="70"/>
      <c r="K3303" s="110" t="str">
        <f>IF(H3303="","",IF($C$29="간이법","",FPR(H3303,I3303,J3303)))</f>
        <v/>
      </c>
      <c r="L3303" s="111" t="str">
        <f>IF(H3303="","",IF($C$29="상세법",FPV(H3303,K3303),IF(H3303="EI",4,IF(H3303="EO",5.2,IF(H3303="EQ",3.9,IF(H3303="ILF",7.5,IF(H3303="EIF",5.4)))))))</f>
        <v/>
      </c>
      <c r="M3303" s="112" t="str">
        <f t="shared" si="54"/>
        <v/>
      </c>
      <c r="N3303" s="113"/>
    </row>
    <row r="3304" spans="2:14">
      <c r="B3304" s="105"/>
      <c r="C3304" s="106"/>
      <c r="D3304" s="107"/>
      <c r="E3304" s="65"/>
      <c r="F3304" s="64"/>
      <c r="G3304" s="64"/>
      <c r="H3304" s="64"/>
      <c r="I3304" s="70"/>
      <c r="J3304" s="70"/>
      <c r="K3304" s="110" t="str">
        <f>IF(H3304="","",IF($C$29="간이법","",FPR(H3304,I3304,J3304)))</f>
        <v/>
      </c>
      <c r="L3304" s="111" t="str">
        <f>IF(H3304="","",IF($C$29="상세법",FPV(H3304,K3304),IF(H3304="EI",4,IF(H3304="EO",5.2,IF(H3304="EQ",3.9,IF(H3304="ILF",7.5,IF(H3304="EIF",5.4)))))))</f>
        <v/>
      </c>
      <c r="M3304" s="112" t="str">
        <f t="shared" si="54"/>
        <v/>
      </c>
      <c r="N3304" s="113"/>
    </row>
    <row r="3305" spans="2:14">
      <c r="B3305" s="105"/>
      <c r="C3305" s="106"/>
      <c r="D3305" s="107"/>
      <c r="E3305" s="65"/>
      <c r="F3305" s="64"/>
      <c r="G3305" s="64"/>
      <c r="H3305" s="64"/>
      <c r="I3305" s="70"/>
      <c r="J3305" s="70"/>
      <c r="K3305" s="110" t="str">
        <f>IF(H3305="","",IF($C$29="간이법","",FPR(H3305,I3305,J3305)))</f>
        <v/>
      </c>
      <c r="L3305" s="111" t="str">
        <f>IF(H3305="","",IF($C$29="상세법",FPV(H3305,K3305),IF(H3305="EI",4,IF(H3305="EO",5.2,IF(H3305="EQ",3.9,IF(H3305="ILF",7.5,IF(H3305="EIF",5.4)))))))</f>
        <v/>
      </c>
      <c r="M3305" s="112" t="str">
        <f t="shared" si="54"/>
        <v/>
      </c>
      <c r="N3305" s="113"/>
    </row>
    <row r="3306" spans="2:14">
      <c r="B3306" s="105"/>
      <c r="C3306" s="106"/>
      <c r="D3306" s="107"/>
      <c r="E3306" s="65"/>
      <c r="F3306" s="64"/>
      <c r="G3306" s="64"/>
      <c r="H3306" s="64"/>
      <c r="I3306" s="70"/>
      <c r="J3306" s="70"/>
      <c r="K3306" s="110" t="str">
        <f>IF(H3306="","",IF($C$29="간이법","",FPR(H3306,I3306,J3306)))</f>
        <v/>
      </c>
      <c r="L3306" s="111" t="str">
        <f>IF(H3306="","",IF($C$29="상세법",FPV(H3306,K3306),IF(H3306="EI",4,IF(H3306="EO",5.2,IF(H3306="EQ",3.9,IF(H3306="ILF",7.5,IF(H3306="EIF",5.4)))))))</f>
        <v/>
      </c>
      <c r="M3306" s="112" t="str">
        <f t="shared" si="54"/>
        <v/>
      </c>
      <c r="N3306" s="113"/>
    </row>
    <row r="3307" spans="2:14">
      <c r="B3307" s="105"/>
      <c r="C3307" s="106"/>
      <c r="D3307" s="107"/>
      <c r="E3307" s="65"/>
      <c r="F3307" s="64"/>
      <c r="G3307" s="64"/>
      <c r="H3307" s="64"/>
      <c r="I3307" s="70"/>
      <c r="J3307" s="70"/>
      <c r="K3307" s="110" t="str">
        <f>IF(H3307="","",IF($C$29="간이법","",FPR(H3307,I3307,J3307)))</f>
        <v/>
      </c>
      <c r="L3307" s="111" t="str">
        <f>IF(H3307="","",IF($C$29="상세법",FPV(H3307,K3307),IF(H3307="EI",4,IF(H3307="EO",5.2,IF(H3307="EQ",3.9,IF(H3307="ILF",7.5,IF(H3307="EIF",5.4)))))))</f>
        <v/>
      </c>
      <c r="M3307" s="112" t="str">
        <f t="shared" si="54"/>
        <v/>
      </c>
      <c r="N3307" s="113"/>
    </row>
    <row r="3308" spans="2:14">
      <c r="B3308" s="105"/>
      <c r="C3308" s="106"/>
      <c r="D3308" s="107"/>
      <c r="E3308" s="65"/>
      <c r="F3308" s="64"/>
      <c r="G3308" s="64"/>
      <c r="H3308" s="64"/>
      <c r="I3308" s="70"/>
      <c r="J3308" s="70"/>
      <c r="K3308" s="110" t="str">
        <f>IF(H3308="","",IF($C$29="간이법","",FPR(H3308,I3308,J3308)))</f>
        <v/>
      </c>
      <c r="L3308" s="111" t="str">
        <f>IF(H3308="","",IF($C$29="상세법",FPV(H3308,K3308),IF(H3308="EI",4,IF(H3308="EO",5.2,IF(H3308="EQ",3.9,IF(H3308="ILF",7.5,IF(H3308="EIF",5.4)))))))</f>
        <v/>
      </c>
      <c r="M3308" s="112" t="str">
        <f t="shared" si="54"/>
        <v/>
      </c>
      <c r="N3308" s="113"/>
    </row>
    <row r="3309" spans="2:14">
      <c r="B3309" s="105"/>
      <c r="C3309" s="106"/>
      <c r="D3309" s="107"/>
      <c r="E3309" s="65"/>
      <c r="F3309" s="64"/>
      <c r="G3309" s="64"/>
      <c r="H3309" s="64"/>
      <c r="I3309" s="70"/>
      <c r="J3309" s="70"/>
      <c r="K3309" s="110" t="str">
        <f>IF(H3309="","",IF($C$29="간이법","",FPR(H3309,I3309,J3309)))</f>
        <v/>
      </c>
      <c r="L3309" s="111" t="str">
        <f>IF(H3309="","",IF($C$29="상세법",FPV(H3309,K3309),IF(H3309="EI",4,IF(H3309="EO",5.2,IF(H3309="EQ",3.9,IF(H3309="ILF",7.5,IF(H3309="EIF",5.4)))))))</f>
        <v/>
      </c>
      <c r="M3309" s="112" t="str">
        <f t="shared" si="54"/>
        <v/>
      </c>
      <c r="N3309" s="113"/>
    </row>
    <row r="3310" spans="2:14">
      <c r="B3310" s="105"/>
      <c r="C3310" s="106"/>
      <c r="D3310" s="107"/>
      <c r="E3310" s="65"/>
      <c r="F3310" s="64"/>
      <c r="G3310" s="64"/>
      <c r="H3310" s="64"/>
      <c r="I3310" s="70"/>
      <c r="J3310" s="70"/>
      <c r="K3310" s="110" t="str">
        <f>IF(H3310="","",IF($C$29="간이법","",FPR(H3310,I3310,J3310)))</f>
        <v/>
      </c>
      <c r="L3310" s="111" t="str">
        <f>IF(H3310="","",IF($C$29="상세법",FPV(H3310,K3310),IF(H3310="EI",4,IF(H3310="EO",5.2,IF(H3310="EQ",3.9,IF(H3310="ILF",7.5,IF(H3310="EIF",5.4)))))))</f>
        <v/>
      </c>
      <c r="M3310" s="112" t="str">
        <f t="shared" si="54"/>
        <v/>
      </c>
      <c r="N3310" s="113"/>
    </row>
    <row r="3311" spans="2:14">
      <c r="B3311" s="105"/>
      <c r="C3311" s="106"/>
      <c r="D3311" s="107"/>
      <c r="E3311" s="65"/>
      <c r="F3311" s="64"/>
      <c r="G3311" s="64"/>
      <c r="H3311" s="64"/>
      <c r="I3311" s="70"/>
      <c r="J3311" s="70"/>
      <c r="K3311" s="110" t="str">
        <f>IF(H3311="","",IF($C$29="간이법","",FPR(H3311,I3311,J3311)))</f>
        <v/>
      </c>
      <c r="L3311" s="111" t="str">
        <f>IF(H3311="","",IF($C$29="상세법",FPV(H3311,K3311),IF(H3311="EI",4,IF(H3311="EO",5.2,IF(H3311="EQ",3.9,IF(H3311="ILF",7.5,IF(H3311="EIF",5.4)))))))</f>
        <v/>
      </c>
      <c r="M3311" s="112" t="str">
        <f t="shared" si="54"/>
        <v/>
      </c>
      <c r="N3311" s="113"/>
    </row>
    <row r="3312" spans="2:14">
      <c r="B3312" s="105"/>
      <c r="C3312" s="106"/>
      <c r="D3312" s="107"/>
      <c r="E3312" s="65"/>
      <c r="F3312" s="64"/>
      <c r="G3312" s="64"/>
      <c r="H3312" s="64"/>
      <c r="I3312" s="70"/>
      <c r="J3312" s="70"/>
      <c r="K3312" s="110" t="str">
        <f>IF(H3312="","",IF($C$29="간이법","",FPR(H3312,I3312,J3312)))</f>
        <v/>
      </c>
      <c r="L3312" s="111" t="str">
        <f>IF(H3312="","",IF($C$29="상세법",FPV(H3312,K3312),IF(H3312="EI",4,IF(H3312="EO",5.2,IF(H3312="EQ",3.9,IF(H3312="ILF",7.5,IF(H3312="EIF",5.4)))))))</f>
        <v/>
      </c>
      <c r="M3312" s="112" t="str">
        <f t="shared" si="54"/>
        <v/>
      </c>
      <c r="N3312" s="113"/>
    </row>
    <row r="3313" spans="2:14">
      <c r="B3313" s="105"/>
      <c r="C3313" s="106"/>
      <c r="D3313" s="107"/>
      <c r="E3313" s="65"/>
      <c r="F3313" s="64"/>
      <c r="G3313" s="64"/>
      <c r="H3313" s="64"/>
      <c r="I3313" s="70"/>
      <c r="J3313" s="70"/>
      <c r="K3313" s="110" t="str">
        <f>IF(H3313="","",IF($C$29="간이법","",FPR(H3313,I3313,J3313)))</f>
        <v/>
      </c>
      <c r="L3313" s="111" t="str">
        <f>IF(H3313="","",IF($C$29="상세법",FPV(H3313,K3313),IF(H3313="EI",4,IF(H3313="EO",5.2,IF(H3313="EQ",3.9,IF(H3313="ILF",7.5,IF(H3313="EIF",5.4)))))))</f>
        <v/>
      </c>
      <c r="M3313" s="112" t="str">
        <f t="shared" si="54"/>
        <v/>
      </c>
      <c r="N3313" s="113"/>
    </row>
    <row r="3314" spans="2:14">
      <c r="B3314" s="105"/>
      <c r="C3314" s="106"/>
      <c r="D3314" s="107"/>
      <c r="E3314" s="65"/>
      <c r="F3314" s="64"/>
      <c r="G3314" s="64"/>
      <c r="H3314" s="64"/>
      <c r="I3314" s="70"/>
      <c r="J3314" s="70"/>
      <c r="K3314" s="110" t="str">
        <f>IF(H3314="","",IF($C$29="간이법","",FPR(H3314,I3314,J3314)))</f>
        <v/>
      </c>
      <c r="L3314" s="111" t="str">
        <f>IF(H3314="","",IF($C$29="상세법",FPV(H3314,K3314),IF(H3314="EI",4,IF(H3314="EO",5.2,IF(H3314="EQ",3.9,IF(H3314="ILF",7.5,IF(H3314="EIF",5.4)))))))</f>
        <v/>
      </c>
      <c r="M3314" s="112" t="str">
        <f t="shared" si="54"/>
        <v/>
      </c>
      <c r="N3314" s="113"/>
    </row>
    <row r="3315" spans="2:14">
      <c r="B3315" s="105"/>
      <c r="C3315" s="106"/>
      <c r="D3315" s="107"/>
      <c r="E3315" s="65"/>
      <c r="F3315" s="64"/>
      <c r="G3315" s="64"/>
      <c r="H3315" s="64"/>
      <c r="I3315" s="70"/>
      <c r="J3315" s="70"/>
      <c r="K3315" s="110" t="str">
        <f>IF(H3315="","",IF($C$29="간이법","",FPR(H3315,I3315,J3315)))</f>
        <v/>
      </c>
      <c r="L3315" s="111" t="str">
        <f>IF(H3315="","",IF($C$29="상세법",FPV(H3315,K3315),IF(H3315="EI",4,IF(H3315="EO",5.2,IF(H3315="EQ",3.9,IF(H3315="ILF",7.5,IF(H3315="EIF",5.4)))))))</f>
        <v/>
      </c>
      <c r="M3315" s="112" t="str">
        <f t="shared" si="54"/>
        <v/>
      </c>
      <c r="N3315" s="113"/>
    </row>
    <row r="3316" spans="2:14">
      <c r="B3316" s="105"/>
      <c r="C3316" s="106"/>
      <c r="D3316" s="107"/>
      <c r="E3316" s="65"/>
      <c r="F3316" s="64"/>
      <c r="G3316" s="64"/>
      <c r="H3316" s="64"/>
      <c r="I3316" s="70"/>
      <c r="J3316" s="70"/>
      <c r="K3316" s="110" t="str">
        <f>IF(H3316="","",IF($C$29="간이법","",FPR(H3316,I3316,J3316)))</f>
        <v/>
      </c>
      <c r="L3316" s="111" t="str">
        <f>IF(H3316="","",IF($C$29="상세법",FPV(H3316,K3316),IF(H3316="EI",4,IF(H3316="EO",5.2,IF(H3316="EQ",3.9,IF(H3316="ILF",7.5,IF(H3316="EIF",5.4)))))))</f>
        <v/>
      </c>
      <c r="M3316" s="112" t="str">
        <f t="shared" si="54"/>
        <v/>
      </c>
      <c r="N3316" s="113"/>
    </row>
    <row r="3317" spans="2:14">
      <c r="B3317" s="105"/>
      <c r="C3317" s="106"/>
      <c r="D3317" s="107"/>
      <c r="E3317" s="65"/>
      <c r="F3317" s="64"/>
      <c r="G3317" s="64"/>
      <c r="H3317" s="64"/>
      <c r="I3317" s="70"/>
      <c r="J3317" s="70"/>
      <c r="K3317" s="110" t="str">
        <f>IF(H3317="","",IF($C$29="간이법","",FPR(H3317,I3317,J3317)))</f>
        <v/>
      </c>
      <c r="L3317" s="111" t="str">
        <f>IF(H3317="","",IF($C$29="상세법",FPV(H3317,K3317),IF(H3317="EI",4,IF(H3317="EO",5.2,IF(H3317="EQ",3.9,IF(H3317="ILF",7.5,IF(H3317="EIF",5.4)))))))</f>
        <v/>
      </c>
      <c r="M3317" s="112" t="str">
        <f t="shared" si="54"/>
        <v/>
      </c>
      <c r="N3317" s="113"/>
    </row>
    <row r="3318" spans="2:14">
      <c r="B3318" s="105"/>
      <c r="C3318" s="106"/>
      <c r="D3318" s="107"/>
      <c r="E3318" s="65"/>
      <c r="F3318" s="64"/>
      <c r="G3318" s="64"/>
      <c r="H3318" s="64"/>
      <c r="I3318" s="70"/>
      <c r="J3318" s="70"/>
      <c r="K3318" s="110" t="str">
        <f>IF(H3318="","",IF($C$29="간이법","",FPR(H3318,I3318,J3318)))</f>
        <v/>
      </c>
      <c r="L3318" s="111" t="str">
        <f>IF(H3318="","",IF($C$29="상세법",FPV(H3318,K3318),IF(H3318="EI",4,IF(H3318="EO",5.2,IF(H3318="EQ",3.9,IF(H3318="ILF",7.5,IF(H3318="EIF",5.4)))))))</f>
        <v/>
      </c>
      <c r="M3318" s="112" t="str">
        <f t="shared" si="54"/>
        <v/>
      </c>
      <c r="N3318" s="113"/>
    </row>
    <row r="3319" spans="2:14">
      <c r="B3319" s="105"/>
      <c r="C3319" s="106"/>
      <c r="D3319" s="107"/>
      <c r="E3319" s="65"/>
      <c r="F3319" s="64"/>
      <c r="G3319" s="64"/>
      <c r="H3319" s="64"/>
      <c r="I3319" s="70"/>
      <c r="J3319" s="70"/>
      <c r="K3319" s="110" t="str">
        <f>IF(H3319="","",IF($C$29="간이법","",FPR(H3319,I3319,J3319)))</f>
        <v/>
      </c>
      <c r="L3319" s="111" t="str">
        <f>IF(H3319="","",IF($C$29="상세법",FPV(H3319,K3319),IF(H3319="EI",4,IF(H3319="EO",5.2,IF(H3319="EQ",3.9,IF(H3319="ILF",7.5,IF(H3319="EIF",5.4)))))))</f>
        <v/>
      </c>
      <c r="M3319" s="112" t="str">
        <f t="shared" si="54"/>
        <v/>
      </c>
      <c r="N3319" s="113"/>
    </row>
    <row r="3320" spans="2:14">
      <c r="B3320" s="105"/>
      <c r="C3320" s="106"/>
      <c r="D3320" s="107"/>
      <c r="E3320" s="65"/>
      <c r="F3320" s="64"/>
      <c r="G3320" s="64"/>
      <c r="H3320" s="64"/>
      <c r="I3320" s="70"/>
      <c r="J3320" s="70"/>
      <c r="K3320" s="110" t="str">
        <f>IF(H3320="","",IF($C$29="간이법","",FPR(H3320,I3320,J3320)))</f>
        <v/>
      </c>
      <c r="L3320" s="111" t="str">
        <f>IF(H3320="","",IF($C$29="상세법",FPV(H3320,K3320),IF(H3320="EI",4,IF(H3320="EO",5.2,IF(H3320="EQ",3.9,IF(H3320="ILF",7.5,IF(H3320="EIF",5.4)))))))</f>
        <v/>
      </c>
      <c r="M3320" s="112" t="str">
        <f t="shared" si="54"/>
        <v/>
      </c>
      <c r="N3320" s="113"/>
    </row>
    <row r="3321" spans="2:14">
      <c r="B3321" s="105"/>
      <c r="C3321" s="106"/>
      <c r="D3321" s="107"/>
      <c r="E3321" s="65"/>
      <c r="F3321" s="64"/>
      <c r="G3321" s="64"/>
      <c r="H3321" s="64"/>
      <c r="I3321" s="70"/>
      <c r="J3321" s="70"/>
      <c r="K3321" s="110" t="str">
        <f>IF(H3321="","",IF($C$29="간이법","",FPR(H3321,I3321,J3321)))</f>
        <v/>
      </c>
      <c r="L3321" s="111" t="str">
        <f>IF(H3321="","",IF($C$29="상세법",FPV(H3321,K3321),IF(H3321="EI",4,IF(H3321="EO",5.2,IF(H3321="EQ",3.9,IF(H3321="ILF",7.5,IF(H3321="EIF",5.4)))))))</f>
        <v/>
      </c>
      <c r="M3321" s="112" t="str">
        <f t="shared" ref="M3321:M3384" si="55">IF(L3321="","",L3321*IF(G3321="상",0.7,IF(G3321="중",0.5,IF(G3321="하",0.2,1))))</f>
        <v/>
      </c>
      <c r="N3321" s="113"/>
    </row>
    <row r="3322" spans="2:14">
      <c r="B3322" s="105"/>
      <c r="C3322" s="106"/>
      <c r="D3322" s="107"/>
      <c r="E3322" s="65"/>
      <c r="F3322" s="64"/>
      <c r="G3322" s="64"/>
      <c r="H3322" s="64"/>
      <c r="I3322" s="70"/>
      <c r="J3322" s="70"/>
      <c r="K3322" s="110" t="str">
        <f>IF(H3322="","",IF($C$29="간이법","",FPR(H3322,I3322,J3322)))</f>
        <v/>
      </c>
      <c r="L3322" s="111" t="str">
        <f>IF(H3322="","",IF($C$29="상세법",FPV(H3322,K3322),IF(H3322="EI",4,IF(H3322="EO",5.2,IF(H3322="EQ",3.9,IF(H3322="ILF",7.5,IF(H3322="EIF",5.4)))))))</f>
        <v/>
      </c>
      <c r="M3322" s="112" t="str">
        <f t="shared" si="55"/>
        <v/>
      </c>
      <c r="N3322" s="113"/>
    </row>
    <row r="3323" spans="2:14">
      <c r="B3323" s="105"/>
      <c r="C3323" s="106"/>
      <c r="D3323" s="107"/>
      <c r="E3323" s="65"/>
      <c r="F3323" s="64"/>
      <c r="G3323" s="64"/>
      <c r="H3323" s="64"/>
      <c r="I3323" s="70"/>
      <c r="J3323" s="70"/>
      <c r="K3323" s="110" t="str">
        <f>IF(H3323="","",IF($C$29="간이법","",FPR(H3323,I3323,J3323)))</f>
        <v/>
      </c>
      <c r="L3323" s="111" t="str">
        <f>IF(H3323="","",IF($C$29="상세법",FPV(H3323,K3323),IF(H3323="EI",4,IF(H3323="EO",5.2,IF(H3323="EQ",3.9,IF(H3323="ILF",7.5,IF(H3323="EIF",5.4)))))))</f>
        <v/>
      </c>
      <c r="M3323" s="112" t="str">
        <f t="shared" si="55"/>
        <v/>
      </c>
      <c r="N3323" s="113"/>
    </row>
    <row r="3324" spans="2:14">
      <c r="B3324" s="105"/>
      <c r="C3324" s="106"/>
      <c r="D3324" s="107"/>
      <c r="E3324" s="65"/>
      <c r="F3324" s="64"/>
      <c r="G3324" s="64"/>
      <c r="H3324" s="64"/>
      <c r="I3324" s="70"/>
      <c r="J3324" s="70"/>
      <c r="K3324" s="110" t="str">
        <f>IF(H3324="","",IF($C$29="간이법","",FPR(H3324,I3324,J3324)))</f>
        <v/>
      </c>
      <c r="L3324" s="111" t="str">
        <f>IF(H3324="","",IF($C$29="상세법",FPV(H3324,K3324),IF(H3324="EI",4,IF(H3324="EO",5.2,IF(H3324="EQ",3.9,IF(H3324="ILF",7.5,IF(H3324="EIF",5.4)))))))</f>
        <v/>
      </c>
      <c r="M3324" s="112" t="str">
        <f t="shared" si="55"/>
        <v/>
      </c>
      <c r="N3324" s="113"/>
    </row>
    <row r="3325" spans="2:14">
      <c r="B3325" s="105"/>
      <c r="C3325" s="106"/>
      <c r="D3325" s="107"/>
      <c r="E3325" s="65"/>
      <c r="F3325" s="64"/>
      <c r="G3325" s="64"/>
      <c r="H3325" s="64"/>
      <c r="I3325" s="70"/>
      <c r="J3325" s="70"/>
      <c r="K3325" s="110" t="str">
        <f>IF(H3325="","",IF($C$29="간이법","",FPR(H3325,I3325,J3325)))</f>
        <v/>
      </c>
      <c r="L3325" s="111" t="str">
        <f>IF(H3325="","",IF($C$29="상세법",FPV(H3325,K3325),IF(H3325="EI",4,IF(H3325="EO",5.2,IF(H3325="EQ",3.9,IF(H3325="ILF",7.5,IF(H3325="EIF",5.4)))))))</f>
        <v/>
      </c>
      <c r="M3325" s="112" t="str">
        <f t="shared" si="55"/>
        <v/>
      </c>
      <c r="N3325" s="113"/>
    </row>
    <row r="3326" spans="2:14">
      <c r="B3326" s="105"/>
      <c r="C3326" s="106"/>
      <c r="D3326" s="107"/>
      <c r="E3326" s="65"/>
      <c r="F3326" s="64"/>
      <c r="G3326" s="64"/>
      <c r="H3326" s="64"/>
      <c r="I3326" s="70"/>
      <c r="J3326" s="70"/>
      <c r="K3326" s="110" t="str">
        <f>IF(H3326="","",IF($C$29="간이법","",FPR(H3326,I3326,J3326)))</f>
        <v/>
      </c>
      <c r="L3326" s="111" t="str">
        <f>IF(H3326="","",IF($C$29="상세법",FPV(H3326,K3326),IF(H3326="EI",4,IF(H3326="EO",5.2,IF(H3326="EQ",3.9,IF(H3326="ILF",7.5,IF(H3326="EIF",5.4)))))))</f>
        <v/>
      </c>
      <c r="M3326" s="112" t="str">
        <f t="shared" si="55"/>
        <v/>
      </c>
      <c r="N3326" s="113"/>
    </row>
    <row r="3327" spans="2:14">
      <c r="B3327" s="105"/>
      <c r="C3327" s="106"/>
      <c r="D3327" s="107"/>
      <c r="E3327" s="65"/>
      <c r="F3327" s="64"/>
      <c r="G3327" s="64"/>
      <c r="H3327" s="64"/>
      <c r="I3327" s="70"/>
      <c r="J3327" s="70"/>
      <c r="K3327" s="110" t="str">
        <f>IF(H3327="","",IF($C$29="간이법","",FPR(H3327,I3327,J3327)))</f>
        <v/>
      </c>
      <c r="L3327" s="111" t="str">
        <f>IF(H3327="","",IF($C$29="상세법",FPV(H3327,K3327),IF(H3327="EI",4,IF(H3327="EO",5.2,IF(H3327="EQ",3.9,IF(H3327="ILF",7.5,IF(H3327="EIF",5.4)))))))</f>
        <v/>
      </c>
      <c r="M3327" s="112" t="str">
        <f t="shared" si="55"/>
        <v/>
      </c>
      <c r="N3327" s="113"/>
    </row>
    <row r="3328" spans="2:14">
      <c r="B3328" s="105"/>
      <c r="C3328" s="106"/>
      <c r="D3328" s="107"/>
      <c r="E3328" s="65"/>
      <c r="F3328" s="64"/>
      <c r="G3328" s="64"/>
      <c r="H3328" s="64"/>
      <c r="I3328" s="70"/>
      <c r="J3328" s="70"/>
      <c r="K3328" s="110" t="str">
        <f>IF(H3328="","",IF($C$29="간이법","",FPR(H3328,I3328,J3328)))</f>
        <v/>
      </c>
      <c r="L3328" s="111" t="str">
        <f>IF(H3328="","",IF($C$29="상세법",FPV(H3328,K3328),IF(H3328="EI",4,IF(H3328="EO",5.2,IF(H3328="EQ",3.9,IF(H3328="ILF",7.5,IF(H3328="EIF",5.4)))))))</f>
        <v/>
      </c>
      <c r="M3328" s="112" t="str">
        <f t="shared" si="55"/>
        <v/>
      </c>
      <c r="N3328" s="113"/>
    </row>
    <row r="3329" spans="2:14">
      <c r="B3329" s="105"/>
      <c r="C3329" s="106"/>
      <c r="D3329" s="107"/>
      <c r="E3329" s="65"/>
      <c r="F3329" s="64"/>
      <c r="G3329" s="64"/>
      <c r="H3329" s="64"/>
      <c r="I3329" s="70"/>
      <c r="J3329" s="70"/>
      <c r="K3329" s="110" t="str">
        <f>IF(H3329="","",IF($C$29="간이법","",FPR(H3329,I3329,J3329)))</f>
        <v/>
      </c>
      <c r="L3329" s="111" t="str">
        <f>IF(H3329="","",IF($C$29="상세법",FPV(H3329,K3329),IF(H3329="EI",4,IF(H3329="EO",5.2,IF(H3329="EQ",3.9,IF(H3329="ILF",7.5,IF(H3329="EIF",5.4)))))))</f>
        <v/>
      </c>
      <c r="M3329" s="112" t="str">
        <f t="shared" si="55"/>
        <v/>
      </c>
      <c r="N3329" s="113"/>
    </row>
    <row r="3330" spans="2:14">
      <c r="B3330" s="105"/>
      <c r="C3330" s="106"/>
      <c r="D3330" s="107"/>
      <c r="E3330" s="65"/>
      <c r="F3330" s="64"/>
      <c r="G3330" s="64"/>
      <c r="H3330" s="64"/>
      <c r="I3330" s="70"/>
      <c r="J3330" s="70"/>
      <c r="K3330" s="110" t="str">
        <f>IF(H3330="","",IF($C$29="간이법","",FPR(H3330,I3330,J3330)))</f>
        <v/>
      </c>
      <c r="L3330" s="111" t="str">
        <f>IF(H3330="","",IF($C$29="상세법",FPV(H3330,K3330),IF(H3330="EI",4,IF(H3330="EO",5.2,IF(H3330="EQ",3.9,IF(H3330="ILF",7.5,IF(H3330="EIF",5.4)))))))</f>
        <v/>
      </c>
      <c r="M3330" s="112" t="str">
        <f t="shared" si="55"/>
        <v/>
      </c>
      <c r="N3330" s="113"/>
    </row>
    <row r="3331" spans="2:14">
      <c r="B3331" s="105"/>
      <c r="C3331" s="106"/>
      <c r="D3331" s="107"/>
      <c r="E3331" s="65"/>
      <c r="F3331" s="64"/>
      <c r="G3331" s="64"/>
      <c r="H3331" s="64"/>
      <c r="I3331" s="70"/>
      <c r="J3331" s="70"/>
      <c r="K3331" s="110" t="str">
        <f>IF(H3331="","",IF($C$29="간이법","",FPR(H3331,I3331,J3331)))</f>
        <v/>
      </c>
      <c r="L3331" s="111" t="str">
        <f>IF(H3331="","",IF($C$29="상세법",FPV(H3331,K3331),IF(H3331="EI",4,IF(H3331="EO",5.2,IF(H3331="EQ",3.9,IF(H3331="ILF",7.5,IF(H3331="EIF",5.4)))))))</f>
        <v/>
      </c>
      <c r="M3331" s="112" t="str">
        <f t="shared" si="55"/>
        <v/>
      </c>
      <c r="N3331" s="113"/>
    </row>
    <row r="3332" spans="2:14">
      <c r="B3332" s="105"/>
      <c r="C3332" s="106"/>
      <c r="D3332" s="107"/>
      <c r="E3332" s="65"/>
      <c r="F3332" s="64"/>
      <c r="G3332" s="64"/>
      <c r="H3332" s="64"/>
      <c r="I3332" s="70"/>
      <c r="J3332" s="70"/>
      <c r="K3332" s="110" t="str">
        <f>IF(H3332="","",IF($C$29="간이법","",FPR(H3332,I3332,J3332)))</f>
        <v/>
      </c>
      <c r="L3332" s="111" t="str">
        <f>IF(H3332="","",IF($C$29="상세법",FPV(H3332,K3332),IF(H3332="EI",4,IF(H3332="EO",5.2,IF(H3332="EQ",3.9,IF(H3332="ILF",7.5,IF(H3332="EIF",5.4)))))))</f>
        <v/>
      </c>
      <c r="M3332" s="112" t="str">
        <f t="shared" si="55"/>
        <v/>
      </c>
      <c r="N3332" s="113"/>
    </row>
    <row r="3333" spans="2:14">
      <c r="B3333" s="105"/>
      <c r="C3333" s="106"/>
      <c r="D3333" s="107"/>
      <c r="E3333" s="65"/>
      <c r="F3333" s="64"/>
      <c r="G3333" s="64"/>
      <c r="H3333" s="64"/>
      <c r="I3333" s="70"/>
      <c r="J3333" s="70"/>
      <c r="K3333" s="110" t="str">
        <f>IF(H3333="","",IF($C$29="간이법","",FPR(H3333,I3333,J3333)))</f>
        <v/>
      </c>
      <c r="L3333" s="111" t="str">
        <f>IF(H3333="","",IF($C$29="상세법",FPV(H3333,K3333),IF(H3333="EI",4,IF(H3333="EO",5.2,IF(H3333="EQ",3.9,IF(H3333="ILF",7.5,IF(H3333="EIF",5.4)))))))</f>
        <v/>
      </c>
      <c r="M3333" s="112" t="str">
        <f t="shared" si="55"/>
        <v/>
      </c>
      <c r="N3333" s="113"/>
    </row>
    <row r="3334" spans="2:14">
      <c r="B3334" s="105"/>
      <c r="C3334" s="106"/>
      <c r="D3334" s="107"/>
      <c r="E3334" s="65"/>
      <c r="F3334" s="64"/>
      <c r="G3334" s="64"/>
      <c r="H3334" s="64"/>
      <c r="I3334" s="70"/>
      <c r="J3334" s="70"/>
      <c r="K3334" s="110" t="str">
        <f>IF(H3334="","",IF($C$29="간이법","",FPR(H3334,I3334,J3334)))</f>
        <v/>
      </c>
      <c r="L3334" s="111" t="str">
        <f>IF(H3334="","",IF($C$29="상세법",FPV(H3334,K3334),IF(H3334="EI",4,IF(H3334="EO",5.2,IF(H3334="EQ",3.9,IF(H3334="ILF",7.5,IF(H3334="EIF",5.4)))))))</f>
        <v/>
      </c>
      <c r="M3334" s="112" t="str">
        <f t="shared" si="55"/>
        <v/>
      </c>
      <c r="N3334" s="113"/>
    </row>
    <row r="3335" spans="2:14">
      <c r="B3335" s="105"/>
      <c r="C3335" s="106"/>
      <c r="D3335" s="107"/>
      <c r="E3335" s="65"/>
      <c r="F3335" s="64"/>
      <c r="G3335" s="64"/>
      <c r="H3335" s="64"/>
      <c r="I3335" s="70"/>
      <c r="J3335" s="70"/>
      <c r="K3335" s="110" t="str">
        <f>IF(H3335="","",IF($C$29="간이법","",FPR(H3335,I3335,J3335)))</f>
        <v/>
      </c>
      <c r="L3335" s="111" t="str">
        <f>IF(H3335="","",IF($C$29="상세법",FPV(H3335,K3335),IF(H3335="EI",4,IF(H3335="EO",5.2,IF(H3335="EQ",3.9,IF(H3335="ILF",7.5,IF(H3335="EIF",5.4)))))))</f>
        <v/>
      </c>
      <c r="M3335" s="112" t="str">
        <f t="shared" si="55"/>
        <v/>
      </c>
      <c r="N3335" s="113"/>
    </row>
    <row r="3336" spans="2:14">
      <c r="B3336" s="105"/>
      <c r="C3336" s="106"/>
      <c r="D3336" s="107"/>
      <c r="E3336" s="65"/>
      <c r="F3336" s="64"/>
      <c r="G3336" s="64"/>
      <c r="H3336" s="64"/>
      <c r="I3336" s="70"/>
      <c r="J3336" s="70"/>
      <c r="K3336" s="110" t="str">
        <f>IF(H3336="","",IF($C$29="간이법","",FPR(H3336,I3336,J3336)))</f>
        <v/>
      </c>
      <c r="L3336" s="111" t="str">
        <f>IF(H3336="","",IF($C$29="상세법",FPV(H3336,K3336),IF(H3336="EI",4,IF(H3336="EO",5.2,IF(H3336="EQ",3.9,IF(H3336="ILF",7.5,IF(H3336="EIF",5.4)))))))</f>
        <v/>
      </c>
      <c r="M3336" s="112" t="str">
        <f t="shared" si="55"/>
        <v/>
      </c>
      <c r="N3336" s="113"/>
    </row>
    <row r="3337" spans="2:14">
      <c r="B3337" s="105"/>
      <c r="C3337" s="106"/>
      <c r="D3337" s="107"/>
      <c r="E3337" s="65"/>
      <c r="F3337" s="64"/>
      <c r="G3337" s="64"/>
      <c r="H3337" s="64"/>
      <c r="I3337" s="70"/>
      <c r="J3337" s="70"/>
      <c r="K3337" s="110" t="str">
        <f>IF(H3337="","",IF($C$29="간이법","",FPR(H3337,I3337,J3337)))</f>
        <v/>
      </c>
      <c r="L3337" s="111" t="str">
        <f>IF(H3337="","",IF($C$29="상세법",FPV(H3337,K3337),IF(H3337="EI",4,IF(H3337="EO",5.2,IF(H3337="EQ",3.9,IF(H3337="ILF",7.5,IF(H3337="EIF",5.4)))))))</f>
        <v/>
      </c>
      <c r="M3337" s="112" t="str">
        <f t="shared" si="55"/>
        <v/>
      </c>
      <c r="N3337" s="113"/>
    </row>
    <row r="3338" spans="2:14">
      <c r="B3338" s="105"/>
      <c r="C3338" s="106"/>
      <c r="D3338" s="107"/>
      <c r="E3338" s="65"/>
      <c r="F3338" s="64"/>
      <c r="G3338" s="64"/>
      <c r="H3338" s="64"/>
      <c r="I3338" s="70"/>
      <c r="J3338" s="70"/>
      <c r="K3338" s="110" t="str">
        <f>IF(H3338="","",IF($C$29="간이법","",FPR(H3338,I3338,J3338)))</f>
        <v/>
      </c>
      <c r="L3338" s="111" t="str">
        <f>IF(H3338="","",IF($C$29="상세법",FPV(H3338,K3338),IF(H3338="EI",4,IF(H3338="EO",5.2,IF(H3338="EQ",3.9,IF(H3338="ILF",7.5,IF(H3338="EIF",5.4)))))))</f>
        <v/>
      </c>
      <c r="M3338" s="112" t="str">
        <f t="shared" si="55"/>
        <v/>
      </c>
      <c r="N3338" s="113"/>
    </row>
    <row r="3339" spans="2:14">
      <c r="B3339" s="105"/>
      <c r="C3339" s="106"/>
      <c r="D3339" s="107"/>
      <c r="E3339" s="65"/>
      <c r="F3339" s="64"/>
      <c r="G3339" s="64"/>
      <c r="H3339" s="64"/>
      <c r="I3339" s="70"/>
      <c r="J3339" s="70"/>
      <c r="K3339" s="110" t="str">
        <f>IF(H3339="","",IF($C$29="간이법","",FPR(H3339,I3339,J3339)))</f>
        <v/>
      </c>
      <c r="L3339" s="111" t="str">
        <f>IF(H3339="","",IF($C$29="상세법",FPV(H3339,K3339),IF(H3339="EI",4,IF(H3339="EO",5.2,IF(H3339="EQ",3.9,IF(H3339="ILF",7.5,IF(H3339="EIF",5.4)))))))</f>
        <v/>
      </c>
      <c r="M3339" s="112" t="str">
        <f t="shared" si="55"/>
        <v/>
      </c>
      <c r="N3339" s="113"/>
    </row>
    <row r="3340" spans="2:14">
      <c r="B3340" s="105"/>
      <c r="C3340" s="106"/>
      <c r="D3340" s="107"/>
      <c r="E3340" s="65"/>
      <c r="F3340" s="64"/>
      <c r="G3340" s="64"/>
      <c r="H3340" s="64"/>
      <c r="I3340" s="70"/>
      <c r="J3340" s="70"/>
      <c r="K3340" s="110" t="str">
        <f>IF(H3340="","",IF($C$29="간이법","",FPR(H3340,I3340,J3340)))</f>
        <v/>
      </c>
      <c r="L3340" s="111" t="str">
        <f>IF(H3340="","",IF($C$29="상세법",FPV(H3340,K3340),IF(H3340="EI",4,IF(H3340="EO",5.2,IF(H3340="EQ",3.9,IF(H3340="ILF",7.5,IF(H3340="EIF",5.4)))))))</f>
        <v/>
      </c>
      <c r="M3340" s="112" t="str">
        <f t="shared" si="55"/>
        <v/>
      </c>
      <c r="N3340" s="113"/>
    </row>
    <row r="3341" spans="2:14">
      <c r="B3341" s="105"/>
      <c r="C3341" s="106"/>
      <c r="D3341" s="107"/>
      <c r="E3341" s="65"/>
      <c r="F3341" s="64"/>
      <c r="G3341" s="64"/>
      <c r="H3341" s="64"/>
      <c r="I3341" s="70"/>
      <c r="J3341" s="70"/>
      <c r="K3341" s="110" t="str">
        <f>IF(H3341="","",IF($C$29="간이법","",FPR(H3341,I3341,J3341)))</f>
        <v/>
      </c>
      <c r="L3341" s="111" t="str">
        <f>IF(H3341="","",IF($C$29="상세법",FPV(H3341,K3341),IF(H3341="EI",4,IF(H3341="EO",5.2,IF(H3341="EQ",3.9,IF(H3341="ILF",7.5,IF(H3341="EIF",5.4)))))))</f>
        <v/>
      </c>
      <c r="M3341" s="112" t="str">
        <f t="shared" si="55"/>
        <v/>
      </c>
      <c r="N3341" s="113"/>
    </row>
    <row r="3342" spans="2:14">
      <c r="B3342" s="105"/>
      <c r="C3342" s="106"/>
      <c r="D3342" s="107"/>
      <c r="E3342" s="65"/>
      <c r="F3342" s="64"/>
      <c r="G3342" s="64"/>
      <c r="H3342" s="64"/>
      <c r="I3342" s="70"/>
      <c r="J3342" s="70"/>
      <c r="K3342" s="110" t="str">
        <f>IF(H3342="","",IF($C$29="간이법","",FPR(H3342,I3342,J3342)))</f>
        <v/>
      </c>
      <c r="L3342" s="111" t="str">
        <f>IF(H3342="","",IF($C$29="상세법",FPV(H3342,K3342),IF(H3342="EI",4,IF(H3342="EO",5.2,IF(H3342="EQ",3.9,IF(H3342="ILF",7.5,IF(H3342="EIF",5.4)))))))</f>
        <v/>
      </c>
      <c r="M3342" s="112" t="str">
        <f t="shared" si="55"/>
        <v/>
      </c>
      <c r="N3342" s="113"/>
    </row>
    <row r="3343" spans="2:14">
      <c r="B3343" s="105"/>
      <c r="C3343" s="106"/>
      <c r="D3343" s="107"/>
      <c r="E3343" s="65"/>
      <c r="F3343" s="64"/>
      <c r="G3343" s="64"/>
      <c r="H3343" s="64"/>
      <c r="I3343" s="70"/>
      <c r="J3343" s="70"/>
      <c r="K3343" s="110" t="str">
        <f>IF(H3343="","",IF($C$29="간이법","",FPR(H3343,I3343,J3343)))</f>
        <v/>
      </c>
      <c r="L3343" s="111" t="str">
        <f>IF(H3343="","",IF($C$29="상세법",FPV(H3343,K3343),IF(H3343="EI",4,IF(H3343="EO",5.2,IF(H3343="EQ",3.9,IF(H3343="ILF",7.5,IF(H3343="EIF",5.4)))))))</f>
        <v/>
      </c>
      <c r="M3343" s="112" t="str">
        <f t="shared" si="55"/>
        <v/>
      </c>
      <c r="N3343" s="113"/>
    </row>
    <row r="3344" spans="2:14">
      <c r="B3344" s="105"/>
      <c r="C3344" s="106"/>
      <c r="D3344" s="107"/>
      <c r="E3344" s="65"/>
      <c r="F3344" s="64"/>
      <c r="G3344" s="64"/>
      <c r="H3344" s="64"/>
      <c r="I3344" s="70"/>
      <c r="J3344" s="70"/>
      <c r="K3344" s="110" t="str">
        <f>IF(H3344="","",IF($C$29="간이법","",FPR(H3344,I3344,J3344)))</f>
        <v/>
      </c>
      <c r="L3344" s="111" t="str">
        <f>IF(H3344="","",IF($C$29="상세법",FPV(H3344,K3344),IF(H3344="EI",4,IF(H3344="EO",5.2,IF(H3344="EQ",3.9,IF(H3344="ILF",7.5,IF(H3344="EIF",5.4)))))))</f>
        <v/>
      </c>
      <c r="M3344" s="112" t="str">
        <f t="shared" si="55"/>
        <v/>
      </c>
      <c r="N3344" s="113"/>
    </row>
    <row r="3345" spans="2:14">
      <c r="B3345" s="105"/>
      <c r="C3345" s="106"/>
      <c r="D3345" s="107"/>
      <c r="E3345" s="65"/>
      <c r="F3345" s="64"/>
      <c r="G3345" s="64"/>
      <c r="H3345" s="64"/>
      <c r="I3345" s="70"/>
      <c r="J3345" s="70"/>
      <c r="K3345" s="110" t="str">
        <f>IF(H3345="","",IF($C$29="간이법","",FPR(H3345,I3345,J3345)))</f>
        <v/>
      </c>
      <c r="L3345" s="111" t="str">
        <f>IF(H3345="","",IF($C$29="상세법",FPV(H3345,K3345),IF(H3345="EI",4,IF(H3345="EO",5.2,IF(H3345="EQ",3.9,IF(H3345="ILF",7.5,IF(H3345="EIF",5.4)))))))</f>
        <v/>
      </c>
      <c r="M3345" s="112" t="str">
        <f t="shared" si="55"/>
        <v/>
      </c>
      <c r="N3345" s="113"/>
    </row>
    <row r="3346" spans="2:14">
      <c r="B3346" s="105"/>
      <c r="C3346" s="106"/>
      <c r="D3346" s="107"/>
      <c r="E3346" s="65"/>
      <c r="F3346" s="64"/>
      <c r="G3346" s="64"/>
      <c r="H3346" s="64"/>
      <c r="I3346" s="70"/>
      <c r="J3346" s="70"/>
      <c r="K3346" s="110" t="str">
        <f>IF(H3346="","",IF($C$29="간이법","",FPR(H3346,I3346,J3346)))</f>
        <v/>
      </c>
      <c r="L3346" s="111" t="str">
        <f>IF(H3346="","",IF($C$29="상세법",FPV(H3346,K3346),IF(H3346="EI",4,IF(H3346="EO",5.2,IF(H3346="EQ",3.9,IF(H3346="ILF",7.5,IF(H3346="EIF",5.4)))))))</f>
        <v/>
      </c>
      <c r="M3346" s="112" t="str">
        <f t="shared" si="55"/>
        <v/>
      </c>
      <c r="N3346" s="113"/>
    </row>
    <row r="3347" spans="2:14">
      <c r="B3347" s="105"/>
      <c r="C3347" s="106"/>
      <c r="D3347" s="107"/>
      <c r="E3347" s="65"/>
      <c r="F3347" s="64"/>
      <c r="G3347" s="64"/>
      <c r="H3347" s="64"/>
      <c r="I3347" s="70"/>
      <c r="J3347" s="70"/>
      <c r="K3347" s="110" t="str">
        <f>IF(H3347="","",IF($C$29="간이법","",FPR(H3347,I3347,J3347)))</f>
        <v/>
      </c>
      <c r="L3347" s="111" t="str">
        <f>IF(H3347="","",IF($C$29="상세법",FPV(H3347,K3347),IF(H3347="EI",4,IF(H3347="EO",5.2,IF(H3347="EQ",3.9,IF(H3347="ILF",7.5,IF(H3347="EIF",5.4)))))))</f>
        <v/>
      </c>
      <c r="M3347" s="112" t="str">
        <f t="shared" si="55"/>
        <v/>
      </c>
      <c r="N3347" s="113"/>
    </row>
    <row r="3348" spans="2:14">
      <c r="B3348" s="105"/>
      <c r="C3348" s="106"/>
      <c r="D3348" s="107"/>
      <c r="E3348" s="65"/>
      <c r="F3348" s="64"/>
      <c r="G3348" s="64"/>
      <c r="H3348" s="64"/>
      <c r="I3348" s="70"/>
      <c r="J3348" s="70"/>
      <c r="K3348" s="110" t="str">
        <f>IF(H3348="","",IF($C$29="간이법","",FPR(H3348,I3348,J3348)))</f>
        <v/>
      </c>
      <c r="L3348" s="111" t="str">
        <f>IF(H3348="","",IF($C$29="상세법",FPV(H3348,K3348),IF(H3348="EI",4,IF(H3348="EO",5.2,IF(H3348="EQ",3.9,IF(H3348="ILF",7.5,IF(H3348="EIF",5.4)))))))</f>
        <v/>
      </c>
      <c r="M3348" s="112" t="str">
        <f t="shared" si="55"/>
        <v/>
      </c>
      <c r="N3348" s="113"/>
    </row>
    <row r="3349" spans="2:14">
      <c r="B3349" s="105"/>
      <c r="C3349" s="106"/>
      <c r="D3349" s="107"/>
      <c r="E3349" s="65"/>
      <c r="F3349" s="64"/>
      <c r="G3349" s="64"/>
      <c r="H3349" s="64"/>
      <c r="I3349" s="70"/>
      <c r="J3349" s="70"/>
      <c r="K3349" s="110" t="str">
        <f>IF(H3349="","",IF($C$29="간이법","",FPR(H3349,I3349,J3349)))</f>
        <v/>
      </c>
      <c r="L3349" s="111" t="str">
        <f>IF(H3349="","",IF($C$29="상세법",FPV(H3349,K3349),IF(H3349="EI",4,IF(H3349="EO",5.2,IF(H3349="EQ",3.9,IF(H3349="ILF",7.5,IF(H3349="EIF",5.4)))))))</f>
        <v/>
      </c>
      <c r="M3349" s="112" t="str">
        <f t="shared" si="55"/>
        <v/>
      </c>
      <c r="N3349" s="113"/>
    </row>
    <row r="3350" spans="2:14">
      <c r="B3350" s="105"/>
      <c r="C3350" s="106"/>
      <c r="D3350" s="107"/>
      <c r="E3350" s="65"/>
      <c r="F3350" s="64"/>
      <c r="G3350" s="64"/>
      <c r="H3350" s="64"/>
      <c r="I3350" s="70"/>
      <c r="J3350" s="70"/>
      <c r="K3350" s="110" t="str">
        <f>IF(H3350="","",IF($C$29="간이법","",FPR(H3350,I3350,J3350)))</f>
        <v/>
      </c>
      <c r="L3350" s="111" t="str">
        <f>IF(H3350="","",IF($C$29="상세법",FPV(H3350,K3350),IF(H3350="EI",4,IF(H3350="EO",5.2,IF(H3350="EQ",3.9,IF(H3350="ILF",7.5,IF(H3350="EIF",5.4)))))))</f>
        <v/>
      </c>
      <c r="M3350" s="112" t="str">
        <f t="shared" si="55"/>
        <v/>
      </c>
      <c r="N3350" s="113"/>
    </row>
    <row r="3351" spans="2:14">
      <c r="B3351" s="105"/>
      <c r="C3351" s="106"/>
      <c r="D3351" s="107"/>
      <c r="E3351" s="65"/>
      <c r="F3351" s="64"/>
      <c r="G3351" s="64"/>
      <c r="H3351" s="64"/>
      <c r="I3351" s="70"/>
      <c r="J3351" s="70"/>
      <c r="K3351" s="110" t="str">
        <f>IF(H3351="","",IF($C$29="간이법","",FPR(H3351,I3351,J3351)))</f>
        <v/>
      </c>
      <c r="L3351" s="111" t="str">
        <f>IF(H3351="","",IF($C$29="상세법",FPV(H3351,K3351),IF(H3351="EI",4,IF(H3351="EO",5.2,IF(H3351="EQ",3.9,IF(H3351="ILF",7.5,IF(H3351="EIF",5.4)))))))</f>
        <v/>
      </c>
      <c r="M3351" s="112" t="str">
        <f t="shared" si="55"/>
        <v/>
      </c>
      <c r="N3351" s="113"/>
    </row>
    <row r="3352" spans="2:14">
      <c r="B3352" s="105"/>
      <c r="C3352" s="106"/>
      <c r="D3352" s="107"/>
      <c r="E3352" s="65"/>
      <c r="F3352" s="64"/>
      <c r="G3352" s="64"/>
      <c r="H3352" s="64"/>
      <c r="I3352" s="70"/>
      <c r="J3352" s="70"/>
      <c r="K3352" s="110" t="str">
        <f>IF(H3352="","",IF($C$29="간이법","",FPR(H3352,I3352,J3352)))</f>
        <v/>
      </c>
      <c r="L3352" s="111" t="str">
        <f>IF(H3352="","",IF($C$29="상세법",FPV(H3352,K3352),IF(H3352="EI",4,IF(H3352="EO",5.2,IF(H3352="EQ",3.9,IF(H3352="ILF",7.5,IF(H3352="EIF",5.4)))))))</f>
        <v/>
      </c>
      <c r="M3352" s="112" t="str">
        <f t="shared" si="55"/>
        <v/>
      </c>
      <c r="N3352" s="113"/>
    </row>
    <row r="3353" spans="2:14">
      <c r="B3353" s="105"/>
      <c r="C3353" s="106"/>
      <c r="D3353" s="107"/>
      <c r="E3353" s="65"/>
      <c r="F3353" s="64"/>
      <c r="G3353" s="64"/>
      <c r="H3353" s="64"/>
      <c r="I3353" s="70"/>
      <c r="J3353" s="70"/>
      <c r="K3353" s="110" t="str">
        <f>IF(H3353="","",IF($C$29="간이법","",FPR(H3353,I3353,J3353)))</f>
        <v/>
      </c>
      <c r="L3353" s="111" t="str">
        <f>IF(H3353="","",IF($C$29="상세법",FPV(H3353,K3353),IF(H3353="EI",4,IF(H3353="EO",5.2,IF(H3353="EQ",3.9,IF(H3353="ILF",7.5,IF(H3353="EIF",5.4)))))))</f>
        <v/>
      </c>
      <c r="M3353" s="112" t="str">
        <f t="shared" si="55"/>
        <v/>
      </c>
      <c r="N3353" s="113"/>
    </row>
    <row r="3354" spans="2:14">
      <c r="B3354" s="105"/>
      <c r="C3354" s="106"/>
      <c r="D3354" s="107"/>
      <c r="E3354" s="65"/>
      <c r="F3354" s="64"/>
      <c r="G3354" s="64"/>
      <c r="H3354" s="64"/>
      <c r="I3354" s="70"/>
      <c r="J3354" s="70"/>
      <c r="K3354" s="110" t="str">
        <f>IF(H3354="","",IF($C$29="간이법","",FPR(H3354,I3354,J3354)))</f>
        <v/>
      </c>
      <c r="L3354" s="111" t="str">
        <f>IF(H3354="","",IF($C$29="상세법",FPV(H3354,K3354),IF(H3354="EI",4,IF(H3354="EO",5.2,IF(H3354="EQ",3.9,IF(H3354="ILF",7.5,IF(H3354="EIF",5.4)))))))</f>
        <v/>
      </c>
      <c r="M3354" s="112" t="str">
        <f t="shared" si="55"/>
        <v/>
      </c>
      <c r="N3354" s="113"/>
    </row>
    <row r="3355" spans="2:14">
      <c r="B3355" s="105"/>
      <c r="C3355" s="106"/>
      <c r="D3355" s="107"/>
      <c r="E3355" s="65"/>
      <c r="F3355" s="64"/>
      <c r="G3355" s="64"/>
      <c r="H3355" s="64"/>
      <c r="I3355" s="70"/>
      <c r="J3355" s="70"/>
      <c r="K3355" s="110" t="str">
        <f>IF(H3355="","",IF($C$29="간이법","",FPR(H3355,I3355,J3355)))</f>
        <v/>
      </c>
      <c r="L3355" s="111" t="str">
        <f>IF(H3355="","",IF($C$29="상세법",FPV(H3355,K3355),IF(H3355="EI",4,IF(H3355="EO",5.2,IF(H3355="EQ",3.9,IF(H3355="ILF",7.5,IF(H3355="EIF",5.4)))))))</f>
        <v/>
      </c>
      <c r="M3355" s="112" t="str">
        <f t="shared" si="55"/>
        <v/>
      </c>
      <c r="N3355" s="113"/>
    </row>
    <row r="3356" spans="2:14">
      <c r="B3356" s="105"/>
      <c r="C3356" s="106"/>
      <c r="D3356" s="107"/>
      <c r="E3356" s="65"/>
      <c r="F3356" s="64"/>
      <c r="G3356" s="64"/>
      <c r="H3356" s="64"/>
      <c r="I3356" s="70"/>
      <c r="J3356" s="70"/>
      <c r="K3356" s="110" t="str">
        <f>IF(H3356="","",IF($C$29="간이법","",FPR(H3356,I3356,J3356)))</f>
        <v/>
      </c>
      <c r="L3356" s="111" t="str">
        <f>IF(H3356="","",IF($C$29="상세법",FPV(H3356,K3356),IF(H3356="EI",4,IF(H3356="EO",5.2,IF(H3356="EQ",3.9,IF(H3356="ILF",7.5,IF(H3356="EIF",5.4)))))))</f>
        <v/>
      </c>
      <c r="M3356" s="112" t="str">
        <f t="shared" si="55"/>
        <v/>
      </c>
      <c r="N3356" s="113"/>
    </row>
    <row r="3357" spans="2:14">
      <c r="B3357" s="105"/>
      <c r="C3357" s="106"/>
      <c r="D3357" s="107"/>
      <c r="E3357" s="65"/>
      <c r="F3357" s="64"/>
      <c r="G3357" s="64"/>
      <c r="H3357" s="64"/>
      <c r="I3357" s="70"/>
      <c r="J3357" s="70"/>
      <c r="K3357" s="110" t="str">
        <f>IF(H3357="","",IF($C$29="간이법","",FPR(H3357,I3357,J3357)))</f>
        <v/>
      </c>
      <c r="L3357" s="111" t="str">
        <f>IF(H3357="","",IF($C$29="상세법",FPV(H3357,K3357),IF(H3357="EI",4,IF(H3357="EO",5.2,IF(H3357="EQ",3.9,IF(H3357="ILF",7.5,IF(H3357="EIF",5.4)))))))</f>
        <v/>
      </c>
      <c r="M3357" s="112" t="str">
        <f t="shared" si="55"/>
        <v/>
      </c>
      <c r="N3357" s="113"/>
    </row>
    <row r="3358" spans="2:14">
      <c r="B3358" s="105"/>
      <c r="C3358" s="106"/>
      <c r="D3358" s="107"/>
      <c r="E3358" s="65"/>
      <c r="F3358" s="64"/>
      <c r="G3358" s="64"/>
      <c r="H3358" s="64"/>
      <c r="I3358" s="70"/>
      <c r="J3358" s="70"/>
      <c r="K3358" s="110" t="str">
        <f>IF(H3358="","",IF($C$29="간이법","",FPR(H3358,I3358,J3358)))</f>
        <v/>
      </c>
      <c r="L3358" s="111" t="str">
        <f>IF(H3358="","",IF($C$29="상세법",FPV(H3358,K3358),IF(H3358="EI",4,IF(H3358="EO",5.2,IF(H3358="EQ",3.9,IF(H3358="ILF",7.5,IF(H3358="EIF",5.4)))))))</f>
        <v/>
      </c>
      <c r="M3358" s="112" t="str">
        <f t="shared" si="55"/>
        <v/>
      </c>
      <c r="N3358" s="113"/>
    </row>
    <row r="3359" spans="2:14">
      <c r="B3359" s="105"/>
      <c r="C3359" s="106"/>
      <c r="D3359" s="107"/>
      <c r="E3359" s="65"/>
      <c r="F3359" s="64"/>
      <c r="G3359" s="64"/>
      <c r="H3359" s="64"/>
      <c r="I3359" s="70"/>
      <c r="J3359" s="70"/>
      <c r="K3359" s="110" t="str">
        <f>IF(H3359="","",IF($C$29="간이법","",FPR(H3359,I3359,J3359)))</f>
        <v/>
      </c>
      <c r="L3359" s="111" t="str">
        <f>IF(H3359="","",IF($C$29="상세법",FPV(H3359,K3359),IF(H3359="EI",4,IF(H3359="EO",5.2,IF(H3359="EQ",3.9,IF(H3359="ILF",7.5,IF(H3359="EIF",5.4)))))))</f>
        <v/>
      </c>
      <c r="M3359" s="112" t="str">
        <f t="shared" si="55"/>
        <v/>
      </c>
      <c r="N3359" s="113"/>
    </row>
    <row r="3360" spans="2:14">
      <c r="B3360" s="105"/>
      <c r="C3360" s="106"/>
      <c r="D3360" s="107"/>
      <c r="E3360" s="65"/>
      <c r="F3360" s="64"/>
      <c r="G3360" s="64"/>
      <c r="H3360" s="64"/>
      <c r="I3360" s="70"/>
      <c r="J3360" s="70"/>
      <c r="K3360" s="110" t="str">
        <f>IF(H3360="","",IF($C$29="간이법","",FPR(H3360,I3360,J3360)))</f>
        <v/>
      </c>
      <c r="L3360" s="111" t="str">
        <f>IF(H3360="","",IF($C$29="상세법",FPV(H3360,K3360),IF(H3360="EI",4,IF(H3360="EO",5.2,IF(H3360="EQ",3.9,IF(H3360="ILF",7.5,IF(H3360="EIF",5.4)))))))</f>
        <v/>
      </c>
      <c r="M3360" s="112" t="str">
        <f t="shared" si="55"/>
        <v/>
      </c>
      <c r="N3360" s="113"/>
    </row>
    <row r="3361" spans="2:14">
      <c r="B3361" s="105"/>
      <c r="C3361" s="106"/>
      <c r="D3361" s="107"/>
      <c r="E3361" s="65"/>
      <c r="F3361" s="64"/>
      <c r="G3361" s="64"/>
      <c r="H3361" s="64"/>
      <c r="I3361" s="70"/>
      <c r="J3361" s="70"/>
      <c r="K3361" s="110" t="str">
        <f>IF(H3361="","",IF($C$29="간이법","",FPR(H3361,I3361,J3361)))</f>
        <v/>
      </c>
      <c r="L3361" s="111" t="str">
        <f>IF(H3361="","",IF($C$29="상세법",FPV(H3361,K3361),IF(H3361="EI",4,IF(H3361="EO",5.2,IF(H3361="EQ",3.9,IF(H3361="ILF",7.5,IF(H3361="EIF",5.4)))))))</f>
        <v/>
      </c>
      <c r="M3361" s="112" t="str">
        <f t="shared" si="55"/>
        <v/>
      </c>
      <c r="N3361" s="113"/>
    </row>
    <row r="3362" spans="2:14">
      <c r="B3362" s="105"/>
      <c r="C3362" s="106"/>
      <c r="D3362" s="107"/>
      <c r="E3362" s="65"/>
      <c r="F3362" s="64"/>
      <c r="G3362" s="64"/>
      <c r="H3362" s="64"/>
      <c r="I3362" s="70"/>
      <c r="J3362" s="70"/>
      <c r="K3362" s="110" t="str">
        <f>IF(H3362="","",IF($C$29="간이법","",FPR(H3362,I3362,J3362)))</f>
        <v/>
      </c>
      <c r="L3362" s="111" t="str">
        <f>IF(H3362="","",IF($C$29="상세법",FPV(H3362,K3362),IF(H3362="EI",4,IF(H3362="EO",5.2,IF(H3362="EQ",3.9,IF(H3362="ILF",7.5,IF(H3362="EIF",5.4)))))))</f>
        <v/>
      </c>
      <c r="M3362" s="112" t="str">
        <f t="shared" si="55"/>
        <v/>
      </c>
      <c r="N3362" s="113"/>
    </row>
    <row r="3363" spans="2:14">
      <c r="B3363" s="105"/>
      <c r="C3363" s="106"/>
      <c r="D3363" s="107"/>
      <c r="E3363" s="65"/>
      <c r="F3363" s="64"/>
      <c r="G3363" s="64"/>
      <c r="H3363" s="64"/>
      <c r="I3363" s="70"/>
      <c r="J3363" s="70"/>
      <c r="K3363" s="110" t="str">
        <f>IF(H3363="","",IF($C$29="간이법","",FPR(H3363,I3363,J3363)))</f>
        <v/>
      </c>
      <c r="L3363" s="111" t="str">
        <f>IF(H3363="","",IF($C$29="상세법",FPV(H3363,K3363),IF(H3363="EI",4,IF(H3363="EO",5.2,IF(H3363="EQ",3.9,IF(H3363="ILF",7.5,IF(H3363="EIF",5.4)))))))</f>
        <v/>
      </c>
      <c r="M3363" s="112" t="str">
        <f t="shared" si="55"/>
        <v/>
      </c>
      <c r="N3363" s="113"/>
    </row>
    <row r="3364" spans="2:14">
      <c r="B3364" s="105"/>
      <c r="C3364" s="106"/>
      <c r="D3364" s="107"/>
      <c r="E3364" s="65"/>
      <c r="F3364" s="64"/>
      <c r="G3364" s="64"/>
      <c r="H3364" s="64"/>
      <c r="I3364" s="70"/>
      <c r="J3364" s="70"/>
      <c r="K3364" s="110" t="str">
        <f>IF(H3364="","",IF($C$29="간이법","",FPR(H3364,I3364,J3364)))</f>
        <v/>
      </c>
      <c r="L3364" s="111" t="str">
        <f>IF(H3364="","",IF($C$29="상세법",FPV(H3364,K3364),IF(H3364="EI",4,IF(H3364="EO",5.2,IF(H3364="EQ",3.9,IF(H3364="ILF",7.5,IF(H3364="EIF",5.4)))))))</f>
        <v/>
      </c>
      <c r="M3364" s="112" t="str">
        <f t="shared" si="55"/>
        <v/>
      </c>
      <c r="N3364" s="113"/>
    </row>
    <row r="3365" spans="2:14">
      <c r="B3365" s="105"/>
      <c r="C3365" s="106"/>
      <c r="D3365" s="107"/>
      <c r="E3365" s="65"/>
      <c r="F3365" s="64"/>
      <c r="G3365" s="64"/>
      <c r="H3365" s="64"/>
      <c r="I3365" s="70"/>
      <c r="J3365" s="70"/>
      <c r="K3365" s="110" t="str">
        <f>IF(H3365="","",IF($C$29="간이법","",FPR(H3365,I3365,J3365)))</f>
        <v/>
      </c>
      <c r="L3365" s="111" t="str">
        <f>IF(H3365="","",IF($C$29="상세법",FPV(H3365,K3365),IF(H3365="EI",4,IF(H3365="EO",5.2,IF(H3365="EQ",3.9,IF(H3365="ILF",7.5,IF(H3365="EIF",5.4)))))))</f>
        <v/>
      </c>
      <c r="M3365" s="112" t="str">
        <f t="shared" si="55"/>
        <v/>
      </c>
      <c r="N3365" s="113"/>
    </row>
    <row r="3366" spans="2:14">
      <c r="B3366" s="105"/>
      <c r="C3366" s="106"/>
      <c r="D3366" s="107"/>
      <c r="E3366" s="65"/>
      <c r="F3366" s="64"/>
      <c r="G3366" s="64"/>
      <c r="H3366" s="64"/>
      <c r="I3366" s="70"/>
      <c r="J3366" s="70"/>
      <c r="K3366" s="110" t="str">
        <f>IF(H3366="","",IF($C$29="간이법","",FPR(H3366,I3366,J3366)))</f>
        <v/>
      </c>
      <c r="L3366" s="111" t="str">
        <f>IF(H3366="","",IF($C$29="상세법",FPV(H3366,K3366),IF(H3366="EI",4,IF(H3366="EO",5.2,IF(H3366="EQ",3.9,IF(H3366="ILF",7.5,IF(H3366="EIF",5.4)))))))</f>
        <v/>
      </c>
      <c r="M3366" s="112" t="str">
        <f t="shared" si="55"/>
        <v/>
      </c>
      <c r="N3366" s="113"/>
    </row>
    <row r="3367" spans="2:14">
      <c r="B3367" s="105"/>
      <c r="C3367" s="106"/>
      <c r="D3367" s="107"/>
      <c r="E3367" s="65"/>
      <c r="F3367" s="64"/>
      <c r="G3367" s="64"/>
      <c r="H3367" s="64"/>
      <c r="I3367" s="70"/>
      <c r="J3367" s="70"/>
      <c r="K3367" s="110" t="str">
        <f>IF(H3367="","",IF($C$29="간이법","",FPR(H3367,I3367,J3367)))</f>
        <v/>
      </c>
      <c r="L3367" s="111" t="str">
        <f>IF(H3367="","",IF($C$29="상세법",FPV(H3367,K3367),IF(H3367="EI",4,IF(H3367="EO",5.2,IF(H3367="EQ",3.9,IF(H3367="ILF",7.5,IF(H3367="EIF",5.4)))))))</f>
        <v/>
      </c>
      <c r="M3367" s="112" t="str">
        <f t="shared" si="55"/>
        <v/>
      </c>
      <c r="N3367" s="113"/>
    </row>
    <row r="3368" spans="2:14">
      <c r="B3368" s="105"/>
      <c r="C3368" s="106"/>
      <c r="D3368" s="107"/>
      <c r="E3368" s="65"/>
      <c r="F3368" s="64"/>
      <c r="G3368" s="64"/>
      <c r="H3368" s="64"/>
      <c r="I3368" s="70"/>
      <c r="J3368" s="70"/>
      <c r="K3368" s="110" t="str">
        <f>IF(H3368="","",IF($C$29="간이법","",FPR(H3368,I3368,J3368)))</f>
        <v/>
      </c>
      <c r="L3368" s="111" t="str">
        <f>IF(H3368="","",IF($C$29="상세법",FPV(H3368,K3368),IF(H3368="EI",4,IF(H3368="EO",5.2,IF(H3368="EQ",3.9,IF(H3368="ILF",7.5,IF(H3368="EIF",5.4)))))))</f>
        <v/>
      </c>
      <c r="M3368" s="112" t="str">
        <f t="shared" si="55"/>
        <v/>
      </c>
      <c r="N3368" s="113"/>
    </row>
    <row r="3369" spans="2:14">
      <c r="B3369" s="105"/>
      <c r="C3369" s="106"/>
      <c r="D3369" s="107"/>
      <c r="E3369" s="65"/>
      <c r="F3369" s="64"/>
      <c r="G3369" s="64"/>
      <c r="H3369" s="64"/>
      <c r="I3369" s="70"/>
      <c r="J3369" s="70"/>
      <c r="K3369" s="110" t="str">
        <f>IF(H3369="","",IF($C$29="간이법","",FPR(H3369,I3369,J3369)))</f>
        <v/>
      </c>
      <c r="L3369" s="111" t="str">
        <f>IF(H3369="","",IF($C$29="상세법",FPV(H3369,K3369),IF(H3369="EI",4,IF(H3369="EO",5.2,IF(H3369="EQ",3.9,IF(H3369="ILF",7.5,IF(H3369="EIF",5.4)))))))</f>
        <v/>
      </c>
      <c r="M3369" s="112" t="str">
        <f t="shared" si="55"/>
        <v/>
      </c>
      <c r="N3369" s="113"/>
    </row>
    <row r="3370" spans="2:14">
      <c r="B3370" s="105"/>
      <c r="C3370" s="106"/>
      <c r="D3370" s="107"/>
      <c r="E3370" s="65"/>
      <c r="F3370" s="64"/>
      <c r="G3370" s="64"/>
      <c r="H3370" s="64"/>
      <c r="I3370" s="70"/>
      <c r="J3370" s="70"/>
      <c r="K3370" s="110" t="str">
        <f>IF(H3370="","",IF($C$29="간이법","",FPR(H3370,I3370,J3370)))</f>
        <v/>
      </c>
      <c r="L3370" s="111" t="str">
        <f>IF(H3370="","",IF($C$29="상세법",FPV(H3370,K3370),IF(H3370="EI",4,IF(H3370="EO",5.2,IF(H3370="EQ",3.9,IF(H3370="ILF",7.5,IF(H3370="EIF",5.4)))))))</f>
        <v/>
      </c>
      <c r="M3370" s="112" t="str">
        <f t="shared" si="55"/>
        <v/>
      </c>
      <c r="N3370" s="113"/>
    </row>
    <row r="3371" spans="2:14">
      <c r="B3371" s="105"/>
      <c r="C3371" s="106"/>
      <c r="D3371" s="107"/>
      <c r="E3371" s="65"/>
      <c r="F3371" s="64"/>
      <c r="G3371" s="64"/>
      <c r="H3371" s="64"/>
      <c r="I3371" s="70"/>
      <c r="J3371" s="70"/>
      <c r="K3371" s="110" t="str">
        <f>IF(H3371="","",IF($C$29="간이법","",FPR(H3371,I3371,J3371)))</f>
        <v/>
      </c>
      <c r="L3371" s="111" t="str">
        <f>IF(H3371="","",IF($C$29="상세법",FPV(H3371,K3371),IF(H3371="EI",4,IF(H3371="EO",5.2,IF(H3371="EQ",3.9,IF(H3371="ILF",7.5,IF(H3371="EIF",5.4)))))))</f>
        <v/>
      </c>
      <c r="M3371" s="112" t="str">
        <f t="shared" si="55"/>
        <v/>
      </c>
      <c r="N3371" s="113"/>
    </row>
    <row r="3372" spans="2:14">
      <c r="B3372" s="105"/>
      <c r="C3372" s="106"/>
      <c r="D3372" s="107"/>
      <c r="E3372" s="65"/>
      <c r="F3372" s="64"/>
      <c r="G3372" s="64"/>
      <c r="H3372" s="64"/>
      <c r="I3372" s="70"/>
      <c r="J3372" s="70"/>
      <c r="K3372" s="110" t="str">
        <f>IF(H3372="","",IF($C$29="간이법","",FPR(H3372,I3372,J3372)))</f>
        <v/>
      </c>
      <c r="L3372" s="111" t="str">
        <f>IF(H3372="","",IF($C$29="상세법",FPV(H3372,K3372),IF(H3372="EI",4,IF(H3372="EO",5.2,IF(H3372="EQ",3.9,IF(H3372="ILF",7.5,IF(H3372="EIF",5.4)))))))</f>
        <v/>
      </c>
      <c r="M3372" s="112" t="str">
        <f t="shared" si="55"/>
        <v/>
      </c>
      <c r="N3372" s="113"/>
    </row>
    <row r="3373" spans="2:14">
      <c r="B3373" s="105"/>
      <c r="C3373" s="106"/>
      <c r="D3373" s="107"/>
      <c r="E3373" s="65"/>
      <c r="F3373" s="64"/>
      <c r="G3373" s="64"/>
      <c r="H3373" s="64"/>
      <c r="I3373" s="70"/>
      <c r="J3373" s="70"/>
      <c r="K3373" s="110" t="str">
        <f>IF(H3373="","",IF($C$29="간이법","",FPR(H3373,I3373,J3373)))</f>
        <v/>
      </c>
      <c r="L3373" s="111" t="str">
        <f>IF(H3373="","",IF($C$29="상세법",FPV(H3373,K3373),IF(H3373="EI",4,IF(H3373="EO",5.2,IF(H3373="EQ",3.9,IF(H3373="ILF",7.5,IF(H3373="EIF",5.4)))))))</f>
        <v/>
      </c>
      <c r="M3373" s="112" t="str">
        <f t="shared" si="55"/>
        <v/>
      </c>
      <c r="N3373" s="113"/>
    </row>
    <row r="3374" spans="2:14">
      <c r="B3374" s="105"/>
      <c r="C3374" s="106"/>
      <c r="D3374" s="107"/>
      <c r="E3374" s="65"/>
      <c r="F3374" s="64"/>
      <c r="G3374" s="64"/>
      <c r="H3374" s="64"/>
      <c r="I3374" s="70"/>
      <c r="J3374" s="70"/>
      <c r="K3374" s="110" t="str">
        <f>IF(H3374="","",IF($C$29="간이법","",FPR(H3374,I3374,J3374)))</f>
        <v/>
      </c>
      <c r="L3374" s="111" t="str">
        <f>IF(H3374="","",IF($C$29="상세법",FPV(H3374,K3374),IF(H3374="EI",4,IF(H3374="EO",5.2,IF(H3374="EQ",3.9,IF(H3374="ILF",7.5,IF(H3374="EIF",5.4)))))))</f>
        <v/>
      </c>
      <c r="M3374" s="112" t="str">
        <f t="shared" si="55"/>
        <v/>
      </c>
      <c r="N3374" s="113"/>
    </row>
    <row r="3375" spans="2:14">
      <c r="B3375" s="105"/>
      <c r="C3375" s="106"/>
      <c r="D3375" s="107"/>
      <c r="E3375" s="65"/>
      <c r="F3375" s="64"/>
      <c r="G3375" s="64"/>
      <c r="H3375" s="64"/>
      <c r="I3375" s="70"/>
      <c r="J3375" s="70"/>
      <c r="K3375" s="110" t="str">
        <f>IF(H3375="","",IF($C$29="간이법","",FPR(H3375,I3375,J3375)))</f>
        <v/>
      </c>
      <c r="L3375" s="111" t="str">
        <f>IF(H3375="","",IF($C$29="상세법",FPV(H3375,K3375),IF(H3375="EI",4,IF(H3375="EO",5.2,IF(H3375="EQ",3.9,IF(H3375="ILF",7.5,IF(H3375="EIF",5.4)))))))</f>
        <v/>
      </c>
      <c r="M3375" s="112" t="str">
        <f t="shared" si="55"/>
        <v/>
      </c>
      <c r="N3375" s="113"/>
    </row>
    <row r="3376" spans="2:14">
      <c r="B3376" s="105"/>
      <c r="C3376" s="106"/>
      <c r="D3376" s="107"/>
      <c r="E3376" s="65"/>
      <c r="F3376" s="64"/>
      <c r="G3376" s="64"/>
      <c r="H3376" s="64"/>
      <c r="I3376" s="70"/>
      <c r="J3376" s="70"/>
      <c r="K3376" s="110" t="str">
        <f>IF(H3376="","",IF($C$29="간이법","",FPR(H3376,I3376,J3376)))</f>
        <v/>
      </c>
      <c r="L3376" s="111" t="str">
        <f>IF(H3376="","",IF($C$29="상세법",FPV(H3376,K3376),IF(H3376="EI",4,IF(H3376="EO",5.2,IF(H3376="EQ",3.9,IF(H3376="ILF",7.5,IF(H3376="EIF",5.4)))))))</f>
        <v/>
      </c>
      <c r="M3376" s="112" t="str">
        <f t="shared" si="55"/>
        <v/>
      </c>
      <c r="N3376" s="113"/>
    </row>
    <row r="3377" spans="2:14">
      <c r="B3377" s="105"/>
      <c r="C3377" s="106"/>
      <c r="D3377" s="107"/>
      <c r="E3377" s="65"/>
      <c r="F3377" s="64"/>
      <c r="G3377" s="64"/>
      <c r="H3377" s="64"/>
      <c r="I3377" s="70"/>
      <c r="J3377" s="70"/>
      <c r="K3377" s="110" t="str">
        <f>IF(H3377="","",IF($C$29="간이법","",FPR(H3377,I3377,J3377)))</f>
        <v/>
      </c>
      <c r="L3377" s="111" t="str">
        <f>IF(H3377="","",IF($C$29="상세법",FPV(H3377,K3377),IF(H3377="EI",4,IF(H3377="EO",5.2,IF(H3377="EQ",3.9,IF(H3377="ILF",7.5,IF(H3377="EIF",5.4)))))))</f>
        <v/>
      </c>
      <c r="M3377" s="112" t="str">
        <f t="shared" si="55"/>
        <v/>
      </c>
      <c r="N3377" s="113"/>
    </row>
    <row r="3378" spans="2:14">
      <c r="B3378" s="105"/>
      <c r="C3378" s="106"/>
      <c r="D3378" s="107"/>
      <c r="E3378" s="65"/>
      <c r="F3378" s="64"/>
      <c r="G3378" s="64"/>
      <c r="H3378" s="64"/>
      <c r="I3378" s="70"/>
      <c r="J3378" s="70"/>
      <c r="K3378" s="110" t="str">
        <f>IF(H3378="","",IF($C$29="간이법","",FPR(H3378,I3378,J3378)))</f>
        <v/>
      </c>
      <c r="L3378" s="111" t="str">
        <f>IF(H3378="","",IF($C$29="상세법",FPV(H3378,K3378),IF(H3378="EI",4,IF(H3378="EO",5.2,IF(H3378="EQ",3.9,IF(H3378="ILF",7.5,IF(H3378="EIF",5.4)))))))</f>
        <v/>
      </c>
      <c r="M3378" s="112" t="str">
        <f t="shared" si="55"/>
        <v/>
      </c>
      <c r="N3378" s="113"/>
    </row>
    <row r="3379" spans="2:14">
      <c r="B3379" s="105"/>
      <c r="C3379" s="106"/>
      <c r="D3379" s="107"/>
      <c r="E3379" s="65"/>
      <c r="F3379" s="64"/>
      <c r="G3379" s="64"/>
      <c r="H3379" s="64"/>
      <c r="I3379" s="70"/>
      <c r="J3379" s="70"/>
      <c r="K3379" s="110" t="str">
        <f>IF(H3379="","",IF($C$29="간이법","",FPR(H3379,I3379,J3379)))</f>
        <v/>
      </c>
      <c r="L3379" s="111" t="str">
        <f>IF(H3379="","",IF($C$29="상세법",FPV(H3379,K3379),IF(H3379="EI",4,IF(H3379="EO",5.2,IF(H3379="EQ",3.9,IF(H3379="ILF",7.5,IF(H3379="EIF",5.4)))))))</f>
        <v/>
      </c>
      <c r="M3379" s="112" t="str">
        <f t="shared" si="55"/>
        <v/>
      </c>
      <c r="N3379" s="113"/>
    </row>
    <row r="3380" spans="2:14">
      <c r="B3380" s="105"/>
      <c r="C3380" s="106"/>
      <c r="D3380" s="107"/>
      <c r="E3380" s="65"/>
      <c r="F3380" s="64"/>
      <c r="G3380" s="64"/>
      <c r="H3380" s="64"/>
      <c r="I3380" s="70"/>
      <c r="J3380" s="70"/>
      <c r="K3380" s="110" t="str">
        <f>IF(H3380="","",IF($C$29="간이법","",FPR(H3380,I3380,J3380)))</f>
        <v/>
      </c>
      <c r="L3380" s="111" t="str">
        <f>IF(H3380="","",IF($C$29="상세법",FPV(H3380,K3380),IF(H3380="EI",4,IF(H3380="EO",5.2,IF(H3380="EQ",3.9,IF(H3380="ILF",7.5,IF(H3380="EIF",5.4)))))))</f>
        <v/>
      </c>
      <c r="M3380" s="112" t="str">
        <f t="shared" si="55"/>
        <v/>
      </c>
      <c r="N3380" s="113"/>
    </row>
    <row r="3381" spans="2:14">
      <c r="B3381" s="105"/>
      <c r="C3381" s="106"/>
      <c r="D3381" s="107"/>
      <c r="E3381" s="65"/>
      <c r="F3381" s="64"/>
      <c r="G3381" s="64"/>
      <c r="H3381" s="64"/>
      <c r="I3381" s="70"/>
      <c r="J3381" s="70"/>
      <c r="K3381" s="110" t="str">
        <f>IF(H3381="","",IF($C$29="간이법","",FPR(H3381,I3381,J3381)))</f>
        <v/>
      </c>
      <c r="L3381" s="111" t="str">
        <f>IF(H3381="","",IF($C$29="상세법",FPV(H3381,K3381),IF(H3381="EI",4,IF(H3381="EO",5.2,IF(H3381="EQ",3.9,IF(H3381="ILF",7.5,IF(H3381="EIF",5.4)))))))</f>
        <v/>
      </c>
      <c r="M3381" s="112" t="str">
        <f t="shared" si="55"/>
        <v/>
      </c>
      <c r="N3381" s="113"/>
    </row>
    <row r="3382" spans="2:14">
      <c r="B3382" s="105"/>
      <c r="C3382" s="106"/>
      <c r="D3382" s="107"/>
      <c r="E3382" s="65"/>
      <c r="F3382" s="64"/>
      <c r="G3382" s="64"/>
      <c r="H3382" s="64"/>
      <c r="I3382" s="70"/>
      <c r="J3382" s="70"/>
      <c r="K3382" s="110" t="str">
        <f>IF(H3382="","",IF($C$29="간이법","",FPR(H3382,I3382,J3382)))</f>
        <v/>
      </c>
      <c r="L3382" s="111" t="str">
        <f>IF(H3382="","",IF($C$29="상세법",FPV(H3382,K3382),IF(H3382="EI",4,IF(H3382="EO",5.2,IF(H3382="EQ",3.9,IF(H3382="ILF",7.5,IF(H3382="EIF",5.4)))))))</f>
        <v/>
      </c>
      <c r="M3382" s="112" t="str">
        <f t="shared" si="55"/>
        <v/>
      </c>
      <c r="N3382" s="113"/>
    </row>
    <row r="3383" spans="2:14">
      <c r="B3383" s="105"/>
      <c r="C3383" s="106"/>
      <c r="D3383" s="107"/>
      <c r="E3383" s="65"/>
      <c r="F3383" s="64"/>
      <c r="G3383" s="64"/>
      <c r="H3383" s="64"/>
      <c r="I3383" s="70"/>
      <c r="J3383" s="70"/>
      <c r="K3383" s="110" t="str">
        <f>IF(H3383="","",IF($C$29="간이법","",FPR(H3383,I3383,J3383)))</f>
        <v/>
      </c>
      <c r="L3383" s="111" t="str">
        <f>IF(H3383="","",IF($C$29="상세법",FPV(H3383,K3383),IF(H3383="EI",4,IF(H3383="EO",5.2,IF(H3383="EQ",3.9,IF(H3383="ILF",7.5,IF(H3383="EIF",5.4)))))))</f>
        <v/>
      </c>
      <c r="M3383" s="112" t="str">
        <f t="shared" si="55"/>
        <v/>
      </c>
      <c r="N3383" s="113"/>
    </row>
    <row r="3384" spans="2:14">
      <c r="B3384" s="105"/>
      <c r="C3384" s="106"/>
      <c r="D3384" s="107"/>
      <c r="E3384" s="65"/>
      <c r="F3384" s="64"/>
      <c r="G3384" s="64"/>
      <c r="H3384" s="64"/>
      <c r="I3384" s="70"/>
      <c r="J3384" s="70"/>
      <c r="K3384" s="110" t="str">
        <f>IF(H3384="","",IF($C$29="간이법","",FPR(H3384,I3384,J3384)))</f>
        <v/>
      </c>
      <c r="L3384" s="111" t="str">
        <f>IF(H3384="","",IF($C$29="상세법",FPV(H3384,K3384),IF(H3384="EI",4,IF(H3384="EO",5.2,IF(H3384="EQ",3.9,IF(H3384="ILF",7.5,IF(H3384="EIF",5.4)))))))</f>
        <v/>
      </c>
      <c r="M3384" s="112" t="str">
        <f t="shared" si="55"/>
        <v/>
      </c>
      <c r="N3384" s="113"/>
    </row>
    <row r="3385" spans="2:14">
      <c r="B3385" s="105"/>
      <c r="C3385" s="106"/>
      <c r="D3385" s="107"/>
      <c r="E3385" s="65"/>
      <c r="F3385" s="64"/>
      <c r="G3385" s="64"/>
      <c r="H3385" s="64"/>
      <c r="I3385" s="70"/>
      <c r="J3385" s="70"/>
      <c r="K3385" s="110" t="str">
        <f>IF(H3385="","",IF($C$29="간이법","",FPR(H3385,I3385,J3385)))</f>
        <v/>
      </c>
      <c r="L3385" s="111" t="str">
        <f>IF(H3385="","",IF($C$29="상세법",FPV(H3385,K3385),IF(H3385="EI",4,IF(H3385="EO",5.2,IF(H3385="EQ",3.9,IF(H3385="ILF",7.5,IF(H3385="EIF",5.4)))))))</f>
        <v/>
      </c>
      <c r="M3385" s="112" t="str">
        <f t="shared" ref="M3385:M3448" si="56">IF(L3385="","",L3385*IF(G3385="상",0.7,IF(G3385="중",0.5,IF(G3385="하",0.2,1))))</f>
        <v/>
      </c>
      <c r="N3385" s="113"/>
    </row>
    <row r="3386" spans="2:14">
      <c r="B3386" s="105"/>
      <c r="C3386" s="106"/>
      <c r="D3386" s="107"/>
      <c r="E3386" s="65"/>
      <c r="F3386" s="64"/>
      <c r="G3386" s="64"/>
      <c r="H3386" s="64"/>
      <c r="I3386" s="70"/>
      <c r="J3386" s="70"/>
      <c r="K3386" s="110" t="str">
        <f>IF(H3386="","",IF($C$29="간이법","",FPR(H3386,I3386,J3386)))</f>
        <v/>
      </c>
      <c r="L3386" s="111" t="str">
        <f>IF(H3386="","",IF($C$29="상세법",FPV(H3386,K3386),IF(H3386="EI",4,IF(H3386="EO",5.2,IF(H3386="EQ",3.9,IF(H3386="ILF",7.5,IF(H3386="EIF",5.4)))))))</f>
        <v/>
      </c>
      <c r="M3386" s="112" t="str">
        <f t="shared" si="56"/>
        <v/>
      </c>
      <c r="N3386" s="113"/>
    </row>
    <row r="3387" spans="2:14">
      <c r="B3387" s="105"/>
      <c r="C3387" s="106"/>
      <c r="D3387" s="107"/>
      <c r="E3387" s="65"/>
      <c r="F3387" s="64"/>
      <c r="G3387" s="64"/>
      <c r="H3387" s="64"/>
      <c r="I3387" s="70"/>
      <c r="J3387" s="70"/>
      <c r="K3387" s="110" t="str">
        <f>IF(H3387="","",IF($C$29="간이법","",FPR(H3387,I3387,J3387)))</f>
        <v/>
      </c>
      <c r="L3387" s="111" t="str">
        <f>IF(H3387="","",IF($C$29="상세법",FPV(H3387,K3387),IF(H3387="EI",4,IF(H3387="EO",5.2,IF(H3387="EQ",3.9,IF(H3387="ILF",7.5,IF(H3387="EIF",5.4)))))))</f>
        <v/>
      </c>
      <c r="M3387" s="112" t="str">
        <f t="shared" si="56"/>
        <v/>
      </c>
      <c r="N3387" s="113"/>
    </row>
    <row r="3388" spans="2:14">
      <c r="B3388" s="105"/>
      <c r="C3388" s="106"/>
      <c r="D3388" s="107"/>
      <c r="E3388" s="65"/>
      <c r="F3388" s="64"/>
      <c r="G3388" s="64"/>
      <c r="H3388" s="64"/>
      <c r="I3388" s="70"/>
      <c r="J3388" s="70"/>
      <c r="K3388" s="110" t="str">
        <f>IF(H3388="","",IF($C$29="간이법","",FPR(H3388,I3388,J3388)))</f>
        <v/>
      </c>
      <c r="L3388" s="111" t="str">
        <f>IF(H3388="","",IF($C$29="상세법",FPV(H3388,K3388),IF(H3388="EI",4,IF(H3388="EO",5.2,IF(H3388="EQ",3.9,IF(H3388="ILF",7.5,IF(H3388="EIF",5.4)))))))</f>
        <v/>
      </c>
      <c r="M3388" s="112" t="str">
        <f t="shared" si="56"/>
        <v/>
      </c>
      <c r="N3388" s="113"/>
    </row>
    <row r="3389" spans="2:14">
      <c r="B3389" s="105"/>
      <c r="C3389" s="106"/>
      <c r="D3389" s="107"/>
      <c r="E3389" s="65"/>
      <c r="F3389" s="64"/>
      <c r="G3389" s="64"/>
      <c r="H3389" s="64"/>
      <c r="I3389" s="70"/>
      <c r="J3389" s="70"/>
      <c r="K3389" s="110" t="str">
        <f>IF(H3389="","",IF($C$29="간이법","",FPR(H3389,I3389,J3389)))</f>
        <v/>
      </c>
      <c r="L3389" s="111" t="str">
        <f>IF(H3389="","",IF($C$29="상세법",FPV(H3389,K3389),IF(H3389="EI",4,IF(H3389="EO",5.2,IF(H3389="EQ",3.9,IF(H3389="ILF",7.5,IF(H3389="EIF",5.4)))))))</f>
        <v/>
      </c>
      <c r="M3389" s="112" t="str">
        <f t="shared" si="56"/>
        <v/>
      </c>
      <c r="N3389" s="113"/>
    </row>
    <row r="3390" spans="2:14">
      <c r="B3390" s="105"/>
      <c r="C3390" s="106"/>
      <c r="D3390" s="107"/>
      <c r="E3390" s="65"/>
      <c r="F3390" s="64"/>
      <c r="G3390" s="64"/>
      <c r="H3390" s="64"/>
      <c r="I3390" s="70"/>
      <c r="J3390" s="70"/>
      <c r="K3390" s="110" t="str">
        <f>IF(H3390="","",IF($C$29="간이법","",FPR(H3390,I3390,J3390)))</f>
        <v/>
      </c>
      <c r="L3390" s="111" t="str">
        <f>IF(H3390="","",IF($C$29="상세법",FPV(H3390,K3390),IF(H3390="EI",4,IF(H3390="EO",5.2,IF(H3390="EQ",3.9,IF(H3390="ILF",7.5,IF(H3390="EIF",5.4)))))))</f>
        <v/>
      </c>
      <c r="M3390" s="112" t="str">
        <f t="shared" si="56"/>
        <v/>
      </c>
      <c r="N3390" s="113"/>
    </row>
    <row r="3391" spans="2:14">
      <c r="B3391" s="105"/>
      <c r="C3391" s="106"/>
      <c r="D3391" s="107"/>
      <c r="E3391" s="65"/>
      <c r="F3391" s="64"/>
      <c r="G3391" s="64"/>
      <c r="H3391" s="64"/>
      <c r="I3391" s="70"/>
      <c r="J3391" s="70"/>
      <c r="K3391" s="110" t="str">
        <f>IF(H3391="","",IF($C$29="간이법","",FPR(H3391,I3391,J3391)))</f>
        <v/>
      </c>
      <c r="L3391" s="111" t="str">
        <f>IF(H3391="","",IF($C$29="상세법",FPV(H3391,K3391),IF(H3391="EI",4,IF(H3391="EO",5.2,IF(H3391="EQ",3.9,IF(H3391="ILF",7.5,IF(H3391="EIF",5.4)))))))</f>
        <v/>
      </c>
      <c r="M3391" s="112" t="str">
        <f t="shared" si="56"/>
        <v/>
      </c>
      <c r="N3391" s="113"/>
    </row>
    <row r="3392" spans="2:14">
      <c r="B3392" s="105"/>
      <c r="C3392" s="106"/>
      <c r="D3392" s="107"/>
      <c r="E3392" s="65"/>
      <c r="F3392" s="64"/>
      <c r="G3392" s="64"/>
      <c r="H3392" s="64"/>
      <c r="I3392" s="70"/>
      <c r="J3392" s="70"/>
      <c r="K3392" s="110" t="str">
        <f>IF(H3392="","",IF($C$29="간이법","",FPR(H3392,I3392,J3392)))</f>
        <v/>
      </c>
      <c r="L3392" s="111" t="str">
        <f>IF(H3392="","",IF($C$29="상세법",FPV(H3392,K3392),IF(H3392="EI",4,IF(H3392="EO",5.2,IF(H3392="EQ",3.9,IF(H3392="ILF",7.5,IF(H3392="EIF",5.4)))))))</f>
        <v/>
      </c>
      <c r="M3392" s="112" t="str">
        <f t="shared" si="56"/>
        <v/>
      </c>
      <c r="N3392" s="113"/>
    </row>
    <row r="3393" spans="2:14">
      <c r="B3393" s="105"/>
      <c r="C3393" s="106"/>
      <c r="D3393" s="107"/>
      <c r="E3393" s="65"/>
      <c r="F3393" s="64"/>
      <c r="G3393" s="64"/>
      <c r="H3393" s="64"/>
      <c r="I3393" s="70"/>
      <c r="J3393" s="70"/>
      <c r="K3393" s="110" t="str">
        <f>IF(H3393="","",IF($C$29="간이법","",FPR(H3393,I3393,J3393)))</f>
        <v/>
      </c>
      <c r="L3393" s="111" t="str">
        <f>IF(H3393="","",IF($C$29="상세법",FPV(H3393,K3393),IF(H3393="EI",4,IF(H3393="EO",5.2,IF(H3393="EQ",3.9,IF(H3393="ILF",7.5,IF(H3393="EIF",5.4)))))))</f>
        <v/>
      </c>
      <c r="M3393" s="112" t="str">
        <f t="shared" si="56"/>
        <v/>
      </c>
      <c r="N3393" s="113"/>
    </row>
    <row r="3394" spans="2:14">
      <c r="B3394" s="105"/>
      <c r="C3394" s="106"/>
      <c r="D3394" s="107"/>
      <c r="E3394" s="65"/>
      <c r="F3394" s="64"/>
      <c r="G3394" s="64"/>
      <c r="H3394" s="64"/>
      <c r="I3394" s="70"/>
      <c r="J3394" s="70"/>
      <c r="K3394" s="110" t="str">
        <f>IF(H3394="","",IF($C$29="간이법","",FPR(H3394,I3394,J3394)))</f>
        <v/>
      </c>
      <c r="L3394" s="111" t="str">
        <f>IF(H3394="","",IF($C$29="상세법",FPV(H3394,K3394),IF(H3394="EI",4,IF(H3394="EO",5.2,IF(H3394="EQ",3.9,IF(H3394="ILF",7.5,IF(H3394="EIF",5.4)))))))</f>
        <v/>
      </c>
      <c r="M3394" s="112" t="str">
        <f t="shared" si="56"/>
        <v/>
      </c>
      <c r="N3394" s="113"/>
    </row>
    <row r="3395" spans="2:14">
      <c r="B3395" s="105"/>
      <c r="C3395" s="106"/>
      <c r="D3395" s="107"/>
      <c r="E3395" s="65"/>
      <c r="F3395" s="64"/>
      <c r="G3395" s="64"/>
      <c r="H3395" s="64"/>
      <c r="I3395" s="70"/>
      <c r="J3395" s="70"/>
      <c r="K3395" s="110" t="str">
        <f>IF(H3395="","",IF($C$29="간이법","",FPR(H3395,I3395,J3395)))</f>
        <v/>
      </c>
      <c r="L3395" s="111" t="str">
        <f>IF(H3395="","",IF($C$29="상세법",FPV(H3395,K3395),IF(H3395="EI",4,IF(H3395="EO",5.2,IF(H3395="EQ",3.9,IF(H3395="ILF",7.5,IF(H3395="EIF",5.4)))))))</f>
        <v/>
      </c>
      <c r="M3395" s="112" t="str">
        <f t="shared" si="56"/>
        <v/>
      </c>
      <c r="N3395" s="113"/>
    </row>
    <row r="3396" spans="2:14">
      <c r="B3396" s="105"/>
      <c r="C3396" s="106"/>
      <c r="D3396" s="107"/>
      <c r="E3396" s="65"/>
      <c r="F3396" s="64"/>
      <c r="G3396" s="64"/>
      <c r="H3396" s="64"/>
      <c r="I3396" s="70"/>
      <c r="J3396" s="70"/>
      <c r="K3396" s="110" t="str">
        <f>IF(H3396="","",IF($C$29="간이법","",FPR(H3396,I3396,J3396)))</f>
        <v/>
      </c>
      <c r="L3396" s="111" t="str">
        <f>IF(H3396="","",IF($C$29="상세법",FPV(H3396,K3396),IF(H3396="EI",4,IF(H3396="EO",5.2,IF(H3396="EQ",3.9,IF(H3396="ILF",7.5,IF(H3396="EIF",5.4)))))))</f>
        <v/>
      </c>
      <c r="M3396" s="112" t="str">
        <f t="shared" si="56"/>
        <v/>
      </c>
      <c r="N3396" s="113"/>
    </row>
    <row r="3397" spans="2:14">
      <c r="B3397" s="105"/>
      <c r="C3397" s="106"/>
      <c r="D3397" s="107"/>
      <c r="E3397" s="65"/>
      <c r="F3397" s="64"/>
      <c r="G3397" s="64"/>
      <c r="H3397" s="64"/>
      <c r="I3397" s="70"/>
      <c r="J3397" s="70"/>
      <c r="K3397" s="110" t="str">
        <f>IF(H3397="","",IF($C$29="간이법","",FPR(H3397,I3397,J3397)))</f>
        <v/>
      </c>
      <c r="L3397" s="111" t="str">
        <f>IF(H3397="","",IF($C$29="상세법",FPV(H3397,K3397),IF(H3397="EI",4,IF(H3397="EO",5.2,IF(H3397="EQ",3.9,IF(H3397="ILF",7.5,IF(H3397="EIF",5.4)))))))</f>
        <v/>
      </c>
      <c r="M3397" s="112" t="str">
        <f t="shared" si="56"/>
        <v/>
      </c>
      <c r="N3397" s="113"/>
    </row>
    <row r="3398" spans="2:14">
      <c r="B3398" s="105"/>
      <c r="C3398" s="106"/>
      <c r="D3398" s="107"/>
      <c r="E3398" s="65"/>
      <c r="F3398" s="64"/>
      <c r="G3398" s="64"/>
      <c r="H3398" s="64"/>
      <c r="I3398" s="70"/>
      <c r="J3398" s="70"/>
      <c r="K3398" s="110" t="str">
        <f>IF(H3398="","",IF($C$29="간이법","",FPR(H3398,I3398,J3398)))</f>
        <v/>
      </c>
      <c r="L3398" s="111" t="str">
        <f>IF(H3398="","",IF($C$29="상세법",FPV(H3398,K3398),IF(H3398="EI",4,IF(H3398="EO",5.2,IF(H3398="EQ",3.9,IF(H3398="ILF",7.5,IF(H3398="EIF",5.4)))))))</f>
        <v/>
      </c>
      <c r="M3398" s="112" t="str">
        <f t="shared" si="56"/>
        <v/>
      </c>
      <c r="N3398" s="113"/>
    </row>
    <row r="3399" spans="2:14">
      <c r="B3399" s="105"/>
      <c r="C3399" s="106"/>
      <c r="D3399" s="107"/>
      <c r="E3399" s="65"/>
      <c r="F3399" s="64"/>
      <c r="G3399" s="64"/>
      <c r="H3399" s="64"/>
      <c r="I3399" s="70"/>
      <c r="J3399" s="70"/>
      <c r="K3399" s="110" t="str">
        <f>IF(H3399="","",IF($C$29="간이법","",FPR(H3399,I3399,J3399)))</f>
        <v/>
      </c>
      <c r="L3399" s="111" t="str">
        <f>IF(H3399="","",IF($C$29="상세법",FPV(H3399,K3399),IF(H3399="EI",4,IF(H3399="EO",5.2,IF(H3399="EQ",3.9,IF(H3399="ILF",7.5,IF(H3399="EIF",5.4)))))))</f>
        <v/>
      </c>
      <c r="M3399" s="112" t="str">
        <f t="shared" si="56"/>
        <v/>
      </c>
      <c r="N3399" s="113"/>
    </row>
    <row r="3400" spans="2:14">
      <c r="B3400" s="105"/>
      <c r="C3400" s="106"/>
      <c r="D3400" s="107"/>
      <c r="E3400" s="65"/>
      <c r="F3400" s="64"/>
      <c r="G3400" s="64"/>
      <c r="H3400" s="64"/>
      <c r="I3400" s="70"/>
      <c r="J3400" s="70"/>
      <c r="K3400" s="110" t="str">
        <f>IF(H3400="","",IF($C$29="간이법","",FPR(H3400,I3400,J3400)))</f>
        <v/>
      </c>
      <c r="L3400" s="111" t="str">
        <f>IF(H3400="","",IF($C$29="상세법",FPV(H3400,K3400),IF(H3400="EI",4,IF(H3400="EO",5.2,IF(H3400="EQ",3.9,IF(H3400="ILF",7.5,IF(H3400="EIF",5.4)))))))</f>
        <v/>
      </c>
      <c r="M3400" s="112" t="str">
        <f t="shared" si="56"/>
        <v/>
      </c>
      <c r="N3400" s="113"/>
    </row>
    <row r="3401" spans="2:14">
      <c r="B3401" s="105"/>
      <c r="C3401" s="106"/>
      <c r="D3401" s="107"/>
      <c r="E3401" s="65"/>
      <c r="F3401" s="64"/>
      <c r="G3401" s="64"/>
      <c r="H3401" s="64"/>
      <c r="I3401" s="70"/>
      <c r="J3401" s="70"/>
      <c r="K3401" s="110" t="str">
        <f>IF(H3401="","",IF($C$29="간이법","",FPR(H3401,I3401,J3401)))</f>
        <v/>
      </c>
      <c r="L3401" s="111" t="str">
        <f>IF(H3401="","",IF($C$29="상세법",FPV(H3401,K3401),IF(H3401="EI",4,IF(H3401="EO",5.2,IF(H3401="EQ",3.9,IF(H3401="ILF",7.5,IF(H3401="EIF",5.4)))))))</f>
        <v/>
      </c>
      <c r="M3401" s="112" t="str">
        <f t="shared" si="56"/>
        <v/>
      </c>
      <c r="N3401" s="113"/>
    </row>
    <row r="3402" spans="2:14">
      <c r="B3402" s="105"/>
      <c r="C3402" s="106"/>
      <c r="D3402" s="107"/>
      <c r="E3402" s="65"/>
      <c r="F3402" s="64"/>
      <c r="G3402" s="64"/>
      <c r="H3402" s="64"/>
      <c r="I3402" s="70"/>
      <c r="J3402" s="70"/>
      <c r="K3402" s="110" t="str">
        <f>IF(H3402="","",IF($C$29="간이법","",FPR(H3402,I3402,J3402)))</f>
        <v/>
      </c>
      <c r="L3402" s="111" t="str">
        <f>IF(H3402="","",IF($C$29="상세법",FPV(H3402,K3402),IF(H3402="EI",4,IF(H3402="EO",5.2,IF(H3402="EQ",3.9,IF(H3402="ILF",7.5,IF(H3402="EIF",5.4)))))))</f>
        <v/>
      </c>
      <c r="M3402" s="112" t="str">
        <f t="shared" si="56"/>
        <v/>
      </c>
      <c r="N3402" s="113"/>
    </row>
    <row r="3403" spans="2:14">
      <c r="B3403" s="105"/>
      <c r="C3403" s="106"/>
      <c r="D3403" s="107"/>
      <c r="E3403" s="65"/>
      <c r="F3403" s="64"/>
      <c r="G3403" s="64"/>
      <c r="H3403" s="64"/>
      <c r="I3403" s="70"/>
      <c r="J3403" s="70"/>
      <c r="K3403" s="110" t="str">
        <f>IF(H3403="","",IF($C$29="간이법","",FPR(H3403,I3403,J3403)))</f>
        <v/>
      </c>
      <c r="L3403" s="111" t="str">
        <f>IF(H3403="","",IF($C$29="상세법",FPV(H3403,K3403),IF(H3403="EI",4,IF(H3403="EO",5.2,IF(H3403="EQ",3.9,IF(H3403="ILF",7.5,IF(H3403="EIF",5.4)))))))</f>
        <v/>
      </c>
      <c r="M3403" s="112" t="str">
        <f t="shared" si="56"/>
        <v/>
      </c>
      <c r="N3403" s="113"/>
    </row>
    <row r="3404" spans="2:14">
      <c r="B3404" s="105"/>
      <c r="C3404" s="106"/>
      <c r="D3404" s="107"/>
      <c r="E3404" s="65"/>
      <c r="F3404" s="64"/>
      <c r="G3404" s="64"/>
      <c r="H3404" s="64"/>
      <c r="I3404" s="70"/>
      <c r="J3404" s="70"/>
      <c r="K3404" s="110" t="str">
        <f>IF(H3404="","",IF($C$29="간이법","",FPR(H3404,I3404,J3404)))</f>
        <v/>
      </c>
      <c r="L3404" s="111" t="str">
        <f>IF(H3404="","",IF($C$29="상세법",FPV(H3404,K3404),IF(H3404="EI",4,IF(H3404="EO",5.2,IF(H3404="EQ",3.9,IF(H3404="ILF",7.5,IF(H3404="EIF",5.4)))))))</f>
        <v/>
      </c>
      <c r="M3404" s="112" t="str">
        <f t="shared" si="56"/>
        <v/>
      </c>
      <c r="N3404" s="113"/>
    </row>
    <row r="3405" spans="2:14">
      <c r="B3405" s="105"/>
      <c r="C3405" s="106"/>
      <c r="D3405" s="107"/>
      <c r="E3405" s="65"/>
      <c r="F3405" s="64"/>
      <c r="G3405" s="64"/>
      <c r="H3405" s="64"/>
      <c r="I3405" s="70"/>
      <c r="J3405" s="70"/>
      <c r="K3405" s="110" t="str">
        <f>IF(H3405="","",IF($C$29="간이법","",FPR(H3405,I3405,J3405)))</f>
        <v/>
      </c>
      <c r="L3405" s="111" t="str">
        <f>IF(H3405="","",IF($C$29="상세법",FPV(H3405,K3405),IF(H3405="EI",4,IF(H3405="EO",5.2,IF(H3405="EQ",3.9,IF(H3405="ILF",7.5,IF(H3405="EIF",5.4)))))))</f>
        <v/>
      </c>
      <c r="M3405" s="112" t="str">
        <f t="shared" si="56"/>
        <v/>
      </c>
      <c r="N3405" s="113"/>
    </row>
    <row r="3406" spans="2:14">
      <c r="B3406" s="105"/>
      <c r="C3406" s="106"/>
      <c r="D3406" s="107"/>
      <c r="E3406" s="65"/>
      <c r="F3406" s="64"/>
      <c r="G3406" s="64"/>
      <c r="H3406" s="64"/>
      <c r="I3406" s="70"/>
      <c r="J3406" s="70"/>
      <c r="K3406" s="110" t="str">
        <f>IF(H3406="","",IF($C$29="간이법","",FPR(H3406,I3406,J3406)))</f>
        <v/>
      </c>
      <c r="L3406" s="111" t="str">
        <f>IF(H3406="","",IF($C$29="상세법",FPV(H3406,K3406),IF(H3406="EI",4,IF(H3406="EO",5.2,IF(H3406="EQ",3.9,IF(H3406="ILF",7.5,IF(H3406="EIF",5.4)))))))</f>
        <v/>
      </c>
      <c r="M3406" s="112" t="str">
        <f t="shared" si="56"/>
        <v/>
      </c>
      <c r="N3406" s="113"/>
    </row>
    <row r="3407" spans="2:14">
      <c r="B3407" s="105"/>
      <c r="C3407" s="106"/>
      <c r="D3407" s="107"/>
      <c r="E3407" s="65"/>
      <c r="F3407" s="64"/>
      <c r="G3407" s="64"/>
      <c r="H3407" s="64"/>
      <c r="I3407" s="70"/>
      <c r="J3407" s="70"/>
      <c r="K3407" s="110" t="str">
        <f>IF(H3407="","",IF($C$29="간이법","",FPR(H3407,I3407,J3407)))</f>
        <v/>
      </c>
      <c r="L3407" s="111" t="str">
        <f>IF(H3407="","",IF($C$29="상세법",FPV(H3407,K3407),IF(H3407="EI",4,IF(H3407="EO",5.2,IF(H3407="EQ",3.9,IF(H3407="ILF",7.5,IF(H3407="EIF",5.4)))))))</f>
        <v/>
      </c>
      <c r="M3407" s="112" t="str">
        <f t="shared" si="56"/>
        <v/>
      </c>
      <c r="N3407" s="113"/>
    </row>
    <row r="3408" spans="2:14">
      <c r="B3408" s="105"/>
      <c r="C3408" s="106"/>
      <c r="D3408" s="107"/>
      <c r="E3408" s="65"/>
      <c r="F3408" s="64"/>
      <c r="G3408" s="64"/>
      <c r="H3408" s="64"/>
      <c r="I3408" s="70"/>
      <c r="J3408" s="70"/>
      <c r="K3408" s="110" t="str">
        <f>IF(H3408="","",IF($C$29="간이법","",FPR(H3408,I3408,J3408)))</f>
        <v/>
      </c>
      <c r="L3408" s="111" t="str">
        <f>IF(H3408="","",IF($C$29="상세법",FPV(H3408,K3408),IF(H3408="EI",4,IF(H3408="EO",5.2,IF(H3408="EQ",3.9,IF(H3408="ILF",7.5,IF(H3408="EIF",5.4)))))))</f>
        <v/>
      </c>
      <c r="M3408" s="112" t="str">
        <f t="shared" si="56"/>
        <v/>
      </c>
      <c r="N3408" s="113"/>
    </row>
    <row r="3409" spans="2:14">
      <c r="B3409" s="105"/>
      <c r="C3409" s="106"/>
      <c r="D3409" s="107"/>
      <c r="E3409" s="65"/>
      <c r="F3409" s="64"/>
      <c r="G3409" s="64"/>
      <c r="H3409" s="64"/>
      <c r="I3409" s="70"/>
      <c r="J3409" s="70"/>
      <c r="K3409" s="110" t="str">
        <f>IF(H3409="","",IF($C$29="간이법","",FPR(H3409,I3409,J3409)))</f>
        <v/>
      </c>
      <c r="L3409" s="111" t="str">
        <f>IF(H3409="","",IF($C$29="상세법",FPV(H3409,K3409),IF(H3409="EI",4,IF(H3409="EO",5.2,IF(H3409="EQ",3.9,IF(H3409="ILF",7.5,IF(H3409="EIF",5.4)))))))</f>
        <v/>
      </c>
      <c r="M3409" s="112" t="str">
        <f t="shared" si="56"/>
        <v/>
      </c>
      <c r="N3409" s="113"/>
    </row>
    <row r="3410" spans="2:14">
      <c r="B3410" s="105"/>
      <c r="C3410" s="106"/>
      <c r="D3410" s="107"/>
      <c r="E3410" s="65"/>
      <c r="F3410" s="64"/>
      <c r="G3410" s="64"/>
      <c r="H3410" s="64"/>
      <c r="I3410" s="70"/>
      <c r="J3410" s="70"/>
      <c r="K3410" s="110" t="str">
        <f>IF(H3410="","",IF($C$29="간이법","",FPR(H3410,I3410,J3410)))</f>
        <v/>
      </c>
      <c r="L3410" s="111" t="str">
        <f>IF(H3410="","",IF($C$29="상세법",FPV(H3410,K3410),IF(H3410="EI",4,IF(H3410="EO",5.2,IF(H3410="EQ",3.9,IF(H3410="ILF",7.5,IF(H3410="EIF",5.4)))))))</f>
        <v/>
      </c>
      <c r="M3410" s="112" t="str">
        <f t="shared" si="56"/>
        <v/>
      </c>
      <c r="N3410" s="113"/>
    </row>
    <row r="3411" spans="2:14">
      <c r="B3411" s="105"/>
      <c r="C3411" s="106"/>
      <c r="D3411" s="107"/>
      <c r="E3411" s="65"/>
      <c r="F3411" s="64"/>
      <c r="G3411" s="64"/>
      <c r="H3411" s="64"/>
      <c r="I3411" s="70"/>
      <c r="J3411" s="70"/>
      <c r="K3411" s="110" t="str">
        <f>IF(H3411="","",IF($C$29="간이법","",FPR(H3411,I3411,J3411)))</f>
        <v/>
      </c>
      <c r="L3411" s="111" t="str">
        <f>IF(H3411="","",IF($C$29="상세법",FPV(H3411,K3411),IF(H3411="EI",4,IF(H3411="EO",5.2,IF(H3411="EQ",3.9,IF(H3411="ILF",7.5,IF(H3411="EIF",5.4)))))))</f>
        <v/>
      </c>
      <c r="M3411" s="112" t="str">
        <f t="shared" si="56"/>
        <v/>
      </c>
      <c r="N3411" s="113"/>
    </row>
    <row r="3412" spans="2:14">
      <c r="B3412" s="105"/>
      <c r="C3412" s="106"/>
      <c r="D3412" s="107"/>
      <c r="E3412" s="65"/>
      <c r="F3412" s="64"/>
      <c r="G3412" s="64"/>
      <c r="H3412" s="64"/>
      <c r="I3412" s="70"/>
      <c r="J3412" s="70"/>
      <c r="K3412" s="110" t="str">
        <f>IF(H3412="","",IF($C$29="간이법","",FPR(H3412,I3412,J3412)))</f>
        <v/>
      </c>
      <c r="L3412" s="111" t="str">
        <f>IF(H3412="","",IF($C$29="상세법",FPV(H3412,K3412),IF(H3412="EI",4,IF(H3412="EO",5.2,IF(H3412="EQ",3.9,IF(H3412="ILF",7.5,IF(H3412="EIF",5.4)))))))</f>
        <v/>
      </c>
      <c r="M3412" s="112" t="str">
        <f t="shared" si="56"/>
        <v/>
      </c>
      <c r="N3412" s="113"/>
    </row>
    <row r="3413" spans="2:14">
      <c r="B3413" s="105"/>
      <c r="C3413" s="106"/>
      <c r="D3413" s="107"/>
      <c r="E3413" s="65"/>
      <c r="F3413" s="64"/>
      <c r="G3413" s="64"/>
      <c r="H3413" s="64"/>
      <c r="I3413" s="70"/>
      <c r="J3413" s="70"/>
      <c r="K3413" s="110" t="str">
        <f>IF(H3413="","",IF($C$29="간이법","",FPR(H3413,I3413,J3413)))</f>
        <v/>
      </c>
      <c r="L3413" s="111" t="str">
        <f>IF(H3413="","",IF($C$29="상세법",FPV(H3413,K3413),IF(H3413="EI",4,IF(H3413="EO",5.2,IF(H3413="EQ",3.9,IF(H3413="ILF",7.5,IF(H3413="EIF",5.4)))))))</f>
        <v/>
      </c>
      <c r="M3413" s="112" t="str">
        <f t="shared" si="56"/>
        <v/>
      </c>
      <c r="N3413" s="113"/>
    </row>
    <row r="3414" spans="2:14">
      <c r="B3414" s="105"/>
      <c r="C3414" s="106"/>
      <c r="D3414" s="107"/>
      <c r="E3414" s="65"/>
      <c r="F3414" s="64"/>
      <c r="G3414" s="64"/>
      <c r="H3414" s="64"/>
      <c r="I3414" s="70"/>
      <c r="J3414" s="70"/>
      <c r="K3414" s="110" t="str">
        <f>IF(H3414="","",IF($C$29="간이법","",FPR(H3414,I3414,J3414)))</f>
        <v/>
      </c>
      <c r="L3414" s="111" t="str">
        <f>IF(H3414="","",IF($C$29="상세법",FPV(H3414,K3414),IF(H3414="EI",4,IF(H3414="EO",5.2,IF(H3414="EQ",3.9,IF(H3414="ILF",7.5,IF(H3414="EIF",5.4)))))))</f>
        <v/>
      </c>
      <c r="M3414" s="112" t="str">
        <f t="shared" si="56"/>
        <v/>
      </c>
      <c r="N3414" s="113"/>
    </row>
    <row r="3415" spans="2:14">
      <c r="B3415" s="105"/>
      <c r="C3415" s="106"/>
      <c r="D3415" s="107"/>
      <c r="E3415" s="65"/>
      <c r="F3415" s="64"/>
      <c r="G3415" s="64"/>
      <c r="H3415" s="64"/>
      <c r="I3415" s="70"/>
      <c r="J3415" s="70"/>
      <c r="K3415" s="110" t="str">
        <f>IF(H3415="","",IF($C$29="간이법","",FPR(H3415,I3415,J3415)))</f>
        <v/>
      </c>
      <c r="L3415" s="111" t="str">
        <f>IF(H3415="","",IF($C$29="상세법",FPV(H3415,K3415),IF(H3415="EI",4,IF(H3415="EO",5.2,IF(H3415="EQ",3.9,IF(H3415="ILF",7.5,IF(H3415="EIF",5.4)))))))</f>
        <v/>
      </c>
      <c r="M3415" s="112" t="str">
        <f t="shared" si="56"/>
        <v/>
      </c>
      <c r="N3415" s="113"/>
    </row>
    <row r="3416" spans="2:14">
      <c r="B3416" s="105"/>
      <c r="C3416" s="106"/>
      <c r="D3416" s="107"/>
      <c r="E3416" s="65"/>
      <c r="F3416" s="64"/>
      <c r="G3416" s="64"/>
      <c r="H3416" s="64"/>
      <c r="I3416" s="70"/>
      <c r="J3416" s="70"/>
      <c r="K3416" s="110" t="str">
        <f>IF(H3416="","",IF($C$29="간이법","",FPR(H3416,I3416,J3416)))</f>
        <v/>
      </c>
      <c r="L3416" s="111" t="str">
        <f>IF(H3416="","",IF($C$29="상세법",FPV(H3416,K3416),IF(H3416="EI",4,IF(H3416="EO",5.2,IF(H3416="EQ",3.9,IF(H3416="ILF",7.5,IF(H3416="EIF",5.4)))))))</f>
        <v/>
      </c>
      <c r="M3416" s="112" t="str">
        <f t="shared" si="56"/>
        <v/>
      </c>
      <c r="N3416" s="113"/>
    </row>
    <row r="3417" spans="2:14">
      <c r="B3417" s="105"/>
      <c r="C3417" s="106"/>
      <c r="D3417" s="107"/>
      <c r="E3417" s="65"/>
      <c r="F3417" s="64"/>
      <c r="G3417" s="64"/>
      <c r="H3417" s="64"/>
      <c r="I3417" s="70"/>
      <c r="J3417" s="70"/>
      <c r="K3417" s="110" t="str">
        <f>IF(H3417="","",IF($C$29="간이법","",FPR(H3417,I3417,J3417)))</f>
        <v/>
      </c>
      <c r="L3417" s="111" t="str">
        <f>IF(H3417="","",IF($C$29="상세법",FPV(H3417,K3417),IF(H3417="EI",4,IF(H3417="EO",5.2,IF(H3417="EQ",3.9,IF(H3417="ILF",7.5,IF(H3417="EIF",5.4)))))))</f>
        <v/>
      </c>
      <c r="M3417" s="112" t="str">
        <f t="shared" si="56"/>
        <v/>
      </c>
      <c r="N3417" s="113"/>
    </row>
    <row r="3418" spans="2:14">
      <c r="B3418" s="105"/>
      <c r="C3418" s="106"/>
      <c r="D3418" s="107"/>
      <c r="E3418" s="65"/>
      <c r="F3418" s="64"/>
      <c r="G3418" s="64"/>
      <c r="H3418" s="64"/>
      <c r="I3418" s="70"/>
      <c r="J3418" s="70"/>
      <c r="K3418" s="110" t="str">
        <f>IF(H3418="","",IF($C$29="간이법","",FPR(H3418,I3418,J3418)))</f>
        <v/>
      </c>
      <c r="L3418" s="111" t="str">
        <f>IF(H3418="","",IF($C$29="상세법",FPV(H3418,K3418),IF(H3418="EI",4,IF(H3418="EO",5.2,IF(H3418="EQ",3.9,IF(H3418="ILF",7.5,IF(H3418="EIF",5.4)))))))</f>
        <v/>
      </c>
      <c r="M3418" s="112" t="str">
        <f t="shared" si="56"/>
        <v/>
      </c>
      <c r="N3418" s="113"/>
    </row>
    <row r="3419" spans="2:14">
      <c r="B3419" s="105"/>
      <c r="C3419" s="106"/>
      <c r="D3419" s="107"/>
      <c r="E3419" s="65"/>
      <c r="F3419" s="64"/>
      <c r="G3419" s="64"/>
      <c r="H3419" s="64"/>
      <c r="I3419" s="70"/>
      <c r="J3419" s="70"/>
      <c r="K3419" s="110" t="str">
        <f>IF(H3419="","",IF($C$29="간이법","",FPR(H3419,I3419,J3419)))</f>
        <v/>
      </c>
      <c r="L3419" s="111" t="str">
        <f>IF(H3419="","",IF($C$29="상세법",FPV(H3419,K3419),IF(H3419="EI",4,IF(H3419="EO",5.2,IF(H3419="EQ",3.9,IF(H3419="ILF",7.5,IF(H3419="EIF",5.4)))))))</f>
        <v/>
      </c>
      <c r="M3419" s="112" t="str">
        <f t="shared" si="56"/>
        <v/>
      </c>
      <c r="N3419" s="113"/>
    </row>
    <row r="3420" spans="2:14">
      <c r="B3420" s="105"/>
      <c r="C3420" s="106"/>
      <c r="D3420" s="107"/>
      <c r="E3420" s="65"/>
      <c r="F3420" s="64"/>
      <c r="G3420" s="64"/>
      <c r="H3420" s="64"/>
      <c r="I3420" s="70"/>
      <c r="J3420" s="70"/>
      <c r="K3420" s="110" t="str">
        <f>IF(H3420="","",IF($C$29="간이법","",FPR(H3420,I3420,J3420)))</f>
        <v/>
      </c>
      <c r="L3420" s="111" t="str">
        <f>IF(H3420="","",IF($C$29="상세법",FPV(H3420,K3420),IF(H3420="EI",4,IF(H3420="EO",5.2,IF(H3420="EQ",3.9,IF(H3420="ILF",7.5,IF(H3420="EIF",5.4)))))))</f>
        <v/>
      </c>
      <c r="M3420" s="112" t="str">
        <f t="shared" si="56"/>
        <v/>
      </c>
      <c r="N3420" s="113"/>
    </row>
    <row r="3421" spans="2:14">
      <c r="B3421" s="105"/>
      <c r="C3421" s="106"/>
      <c r="D3421" s="107"/>
      <c r="E3421" s="65"/>
      <c r="F3421" s="64"/>
      <c r="G3421" s="64"/>
      <c r="H3421" s="64"/>
      <c r="I3421" s="70"/>
      <c r="J3421" s="70"/>
      <c r="K3421" s="110" t="str">
        <f>IF(H3421="","",IF($C$29="간이법","",FPR(H3421,I3421,J3421)))</f>
        <v/>
      </c>
      <c r="L3421" s="111" t="str">
        <f>IF(H3421="","",IF($C$29="상세법",FPV(H3421,K3421),IF(H3421="EI",4,IF(H3421="EO",5.2,IF(H3421="EQ",3.9,IF(H3421="ILF",7.5,IF(H3421="EIF",5.4)))))))</f>
        <v/>
      </c>
      <c r="M3421" s="112" t="str">
        <f t="shared" si="56"/>
        <v/>
      </c>
      <c r="N3421" s="113"/>
    </row>
    <row r="3422" spans="2:14">
      <c r="B3422" s="105"/>
      <c r="C3422" s="106"/>
      <c r="D3422" s="107"/>
      <c r="E3422" s="65"/>
      <c r="F3422" s="64"/>
      <c r="G3422" s="64"/>
      <c r="H3422" s="64"/>
      <c r="I3422" s="70"/>
      <c r="J3422" s="70"/>
      <c r="K3422" s="110" t="str">
        <f>IF(H3422="","",IF($C$29="간이법","",FPR(H3422,I3422,J3422)))</f>
        <v/>
      </c>
      <c r="L3422" s="111" t="str">
        <f>IF(H3422="","",IF($C$29="상세법",FPV(H3422,K3422),IF(H3422="EI",4,IF(H3422="EO",5.2,IF(H3422="EQ",3.9,IF(H3422="ILF",7.5,IF(H3422="EIF",5.4)))))))</f>
        <v/>
      </c>
      <c r="M3422" s="112" t="str">
        <f t="shared" si="56"/>
        <v/>
      </c>
      <c r="N3422" s="113"/>
    </row>
    <row r="3423" spans="2:14">
      <c r="B3423" s="105"/>
      <c r="C3423" s="106"/>
      <c r="D3423" s="107"/>
      <c r="E3423" s="65"/>
      <c r="F3423" s="64"/>
      <c r="G3423" s="64"/>
      <c r="H3423" s="64"/>
      <c r="I3423" s="70"/>
      <c r="J3423" s="70"/>
      <c r="K3423" s="110" t="str">
        <f>IF(H3423="","",IF($C$29="간이법","",FPR(H3423,I3423,J3423)))</f>
        <v/>
      </c>
      <c r="L3423" s="111" t="str">
        <f>IF(H3423="","",IF($C$29="상세법",FPV(H3423,K3423),IF(H3423="EI",4,IF(H3423="EO",5.2,IF(H3423="EQ",3.9,IF(H3423="ILF",7.5,IF(H3423="EIF",5.4)))))))</f>
        <v/>
      </c>
      <c r="M3423" s="112" t="str">
        <f t="shared" si="56"/>
        <v/>
      </c>
      <c r="N3423" s="113"/>
    </row>
    <row r="3424" spans="2:14">
      <c r="B3424" s="105"/>
      <c r="C3424" s="106"/>
      <c r="D3424" s="107"/>
      <c r="E3424" s="65"/>
      <c r="F3424" s="64"/>
      <c r="G3424" s="64"/>
      <c r="H3424" s="64"/>
      <c r="I3424" s="70"/>
      <c r="J3424" s="70"/>
      <c r="K3424" s="110" t="str">
        <f>IF(H3424="","",IF($C$29="간이법","",FPR(H3424,I3424,J3424)))</f>
        <v/>
      </c>
      <c r="L3424" s="111" t="str">
        <f>IF(H3424="","",IF($C$29="상세법",FPV(H3424,K3424),IF(H3424="EI",4,IF(H3424="EO",5.2,IF(H3424="EQ",3.9,IF(H3424="ILF",7.5,IF(H3424="EIF",5.4)))))))</f>
        <v/>
      </c>
      <c r="M3424" s="112" t="str">
        <f t="shared" si="56"/>
        <v/>
      </c>
      <c r="N3424" s="113"/>
    </row>
    <row r="3425" spans="2:14">
      <c r="B3425" s="105"/>
      <c r="C3425" s="106"/>
      <c r="D3425" s="107"/>
      <c r="E3425" s="65"/>
      <c r="F3425" s="64"/>
      <c r="G3425" s="64"/>
      <c r="H3425" s="64"/>
      <c r="I3425" s="70"/>
      <c r="J3425" s="70"/>
      <c r="K3425" s="110" t="str">
        <f>IF(H3425="","",IF($C$29="간이법","",FPR(H3425,I3425,J3425)))</f>
        <v/>
      </c>
      <c r="L3425" s="111" t="str">
        <f>IF(H3425="","",IF($C$29="상세법",FPV(H3425,K3425),IF(H3425="EI",4,IF(H3425="EO",5.2,IF(H3425="EQ",3.9,IF(H3425="ILF",7.5,IF(H3425="EIF",5.4)))))))</f>
        <v/>
      </c>
      <c r="M3425" s="112" t="str">
        <f t="shared" si="56"/>
        <v/>
      </c>
      <c r="N3425" s="113"/>
    </row>
    <row r="3426" spans="2:14">
      <c r="B3426" s="105"/>
      <c r="C3426" s="106"/>
      <c r="D3426" s="107"/>
      <c r="E3426" s="65"/>
      <c r="F3426" s="64"/>
      <c r="G3426" s="64"/>
      <c r="H3426" s="64"/>
      <c r="I3426" s="70"/>
      <c r="J3426" s="70"/>
      <c r="K3426" s="110" t="str">
        <f>IF(H3426="","",IF($C$29="간이법","",FPR(H3426,I3426,J3426)))</f>
        <v/>
      </c>
      <c r="L3426" s="111" t="str">
        <f>IF(H3426="","",IF($C$29="상세법",FPV(H3426,K3426),IF(H3426="EI",4,IF(H3426="EO",5.2,IF(H3426="EQ",3.9,IF(H3426="ILF",7.5,IF(H3426="EIF",5.4)))))))</f>
        <v/>
      </c>
      <c r="M3426" s="112" t="str">
        <f t="shared" si="56"/>
        <v/>
      </c>
      <c r="N3426" s="113"/>
    </row>
    <row r="3427" spans="2:14">
      <c r="B3427" s="105"/>
      <c r="C3427" s="106"/>
      <c r="D3427" s="107"/>
      <c r="E3427" s="65"/>
      <c r="F3427" s="64"/>
      <c r="G3427" s="64"/>
      <c r="H3427" s="64"/>
      <c r="I3427" s="70"/>
      <c r="J3427" s="70"/>
      <c r="K3427" s="110" t="str">
        <f>IF(H3427="","",IF($C$29="간이법","",FPR(H3427,I3427,J3427)))</f>
        <v/>
      </c>
      <c r="L3427" s="111" t="str">
        <f>IF(H3427="","",IF($C$29="상세법",FPV(H3427,K3427),IF(H3427="EI",4,IF(H3427="EO",5.2,IF(H3427="EQ",3.9,IF(H3427="ILF",7.5,IF(H3427="EIF",5.4)))))))</f>
        <v/>
      </c>
      <c r="M3427" s="112" t="str">
        <f t="shared" si="56"/>
        <v/>
      </c>
      <c r="N3427" s="113"/>
    </row>
    <row r="3428" spans="2:14">
      <c r="B3428" s="105"/>
      <c r="C3428" s="106"/>
      <c r="D3428" s="107"/>
      <c r="E3428" s="65"/>
      <c r="F3428" s="64"/>
      <c r="G3428" s="64"/>
      <c r="H3428" s="64"/>
      <c r="I3428" s="70"/>
      <c r="J3428" s="70"/>
      <c r="K3428" s="110" t="str">
        <f>IF(H3428="","",IF($C$29="간이법","",FPR(H3428,I3428,J3428)))</f>
        <v/>
      </c>
      <c r="L3428" s="111" t="str">
        <f>IF(H3428="","",IF($C$29="상세법",FPV(H3428,K3428),IF(H3428="EI",4,IF(H3428="EO",5.2,IF(H3428="EQ",3.9,IF(H3428="ILF",7.5,IF(H3428="EIF",5.4)))))))</f>
        <v/>
      </c>
      <c r="M3428" s="112" t="str">
        <f t="shared" si="56"/>
        <v/>
      </c>
      <c r="N3428" s="113"/>
    </row>
    <row r="3429" spans="2:14">
      <c r="B3429" s="105"/>
      <c r="C3429" s="106"/>
      <c r="D3429" s="107"/>
      <c r="E3429" s="65"/>
      <c r="F3429" s="64"/>
      <c r="G3429" s="64"/>
      <c r="H3429" s="64"/>
      <c r="I3429" s="70"/>
      <c r="J3429" s="70"/>
      <c r="K3429" s="110" t="str">
        <f>IF(H3429="","",IF($C$29="간이법","",FPR(H3429,I3429,J3429)))</f>
        <v/>
      </c>
      <c r="L3429" s="111" t="str">
        <f>IF(H3429="","",IF($C$29="상세법",FPV(H3429,K3429),IF(H3429="EI",4,IF(H3429="EO",5.2,IF(H3429="EQ",3.9,IF(H3429="ILF",7.5,IF(H3429="EIF",5.4)))))))</f>
        <v/>
      </c>
      <c r="M3429" s="112" t="str">
        <f t="shared" si="56"/>
        <v/>
      </c>
      <c r="N3429" s="113"/>
    </row>
    <row r="3430" spans="2:14">
      <c r="B3430" s="105"/>
      <c r="C3430" s="106"/>
      <c r="D3430" s="107"/>
      <c r="E3430" s="65"/>
      <c r="F3430" s="64"/>
      <c r="G3430" s="64"/>
      <c r="H3430" s="64"/>
      <c r="I3430" s="70"/>
      <c r="J3430" s="70"/>
      <c r="K3430" s="110" t="str">
        <f>IF(H3430="","",IF($C$29="간이법","",FPR(H3430,I3430,J3430)))</f>
        <v/>
      </c>
      <c r="L3430" s="111" t="str">
        <f>IF(H3430="","",IF($C$29="상세법",FPV(H3430,K3430),IF(H3430="EI",4,IF(H3430="EO",5.2,IF(H3430="EQ",3.9,IF(H3430="ILF",7.5,IF(H3430="EIF",5.4)))))))</f>
        <v/>
      </c>
      <c r="M3430" s="112" t="str">
        <f t="shared" si="56"/>
        <v/>
      </c>
      <c r="N3430" s="113"/>
    </row>
    <row r="3431" spans="2:14">
      <c r="B3431" s="105"/>
      <c r="C3431" s="106"/>
      <c r="D3431" s="107"/>
      <c r="E3431" s="65"/>
      <c r="F3431" s="64"/>
      <c r="G3431" s="64"/>
      <c r="H3431" s="64"/>
      <c r="I3431" s="70"/>
      <c r="J3431" s="70"/>
      <c r="K3431" s="110" t="str">
        <f>IF(H3431="","",IF($C$29="간이법","",FPR(H3431,I3431,J3431)))</f>
        <v/>
      </c>
      <c r="L3431" s="111" t="str">
        <f>IF(H3431="","",IF($C$29="상세법",FPV(H3431,K3431),IF(H3431="EI",4,IF(H3431="EO",5.2,IF(H3431="EQ",3.9,IF(H3431="ILF",7.5,IF(H3431="EIF",5.4)))))))</f>
        <v/>
      </c>
      <c r="M3431" s="112" t="str">
        <f t="shared" si="56"/>
        <v/>
      </c>
      <c r="N3431" s="113"/>
    </row>
    <row r="3432" spans="2:14">
      <c r="B3432" s="105"/>
      <c r="C3432" s="106"/>
      <c r="D3432" s="107"/>
      <c r="E3432" s="65"/>
      <c r="F3432" s="64"/>
      <c r="G3432" s="64"/>
      <c r="H3432" s="64"/>
      <c r="I3432" s="70"/>
      <c r="J3432" s="70"/>
      <c r="K3432" s="110" t="str">
        <f>IF(H3432="","",IF($C$29="간이법","",FPR(H3432,I3432,J3432)))</f>
        <v/>
      </c>
      <c r="L3432" s="111" t="str">
        <f>IF(H3432="","",IF($C$29="상세법",FPV(H3432,K3432),IF(H3432="EI",4,IF(H3432="EO",5.2,IF(H3432="EQ",3.9,IF(H3432="ILF",7.5,IF(H3432="EIF",5.4)))))))</f>
        <v/>
      </c>
      <c r="M3432" s="112" t="str">
        <f t="shared" si="56"/>
        <v/>
      </c>
      <c r="N3432" s="113"/>
    </row>
    <row r="3433" spans="2:14">
      <c r="B3433" s="105"/>
      <c r="C3433" s="106"/>
      <c r="D3433" s="107"/>
      <c r="E3433" s="65"/>
      <c r="F3433" s="64"/>
      <c r="G3433" s="64"/>
      <c r="H3433" s="64"/>
      <c r="I3433" s="70"/>
      <c r="J3433" s="70"/>
      <c r="K3433" s="110" t="str">
        <f>IF(H3433="","",IF($C$29="간이법","",FPR(H3433,I3433,J3433)))</f>
        <v/>
      </c>
      <c r="L3433" s="111" t="str">
        <f>IF(H3433="","",IF($C$29="상세법",FPV(H3433,K3433),IF(H3433="EI",4,IF(H3433="EO",5.2,IF(H3433="EQ",3.9,IF(H3433="ILF",7.5,IF(H3433="EIF",5.4)))))))</f>
        <v/>
      </c>
      <c r="M3433" s="112" t="str">
        <f t="shared" si="56"/>
        <v/>
      </c>
      <c r="N3433" s="113"/>
    </row>
    <row r="3434" spans="2:14">
      <c r="B3434" s="105"/>
      <c r="C3434" s="106"/>
      <c r="D3434" s="107"/>
      <c r="E3434" s="65"/>
      <c r="F3434" s="64"/>
      <c r="G3434" s="64"/>
      <c r="H3434" s="64"/>
      <c r="I3434" s="70"/>
      <c r="J3434" s="70"/>
      <c r="K3434" s="110" t="str">
        <f>IF(H3434="","",IF($C$29="간이법","",FPR(H3434,I3434,J3434)))</f>
        <v/>
      </c>
      <c r="L3434" s="111" t="str">
        <f>IF(H3434="","",IF($C$29="상세법",FPV(H3434,K3434),IF(H3434="EI",4,IF(H3434="EO",5.2,IF(H3434="EQ",3.9,IF(H3434="ILF",7.5,IF(H3434="EIF",5.4)))))))</f>
        <v/>
      </c>
      <c r="M3434" s="112" t="str">
        <f t="shared" si="56"/>
        <v/>
      </c>
      <c r="N3434" s="113"/>
    </row>
    <row r="3435" spans="2:14">
      <c r="B3435" s="105"/>
      <c r="C3435" s="106"/>
      <c r="D3435" s="107"/>
      <c r="E3435" s="65"/>
      <c r="F3435" s="64"/>
      <c r="G3435" s="64"/>
      <c r="H3435" s="64"/>
      <c r="I3435" s="70"/>
      <c r="J3435" s="70"/>
      <c r="K3435" s="110" t="str">
        <f>IF(H3435="","",IF($C$29="간이법","",FPR(H3435,I3435,J3435)))</f>
        <v/>
      </c>
      <c r="L3435" s="111" t="str">
        <f>IF(H3435="","",IF($C$29="상세법",FPV(H3435,K3435),IF(H3435="EI",4,IF(H3435="EO",5.2,IF(H3435="EQ",3.9,IF(H3435="ILF",7.5,IF(H3435="EIF",5.4)))))))</f>
        <v/>
      </c>
      <c r="M3435" s="112" t="str">
        <f t="shared" si="56"/>
        <v/>
      </c>
      <c r="N3435" s="113"/>
    </row>
    <row r="3436" spans="2:14">
      <c r="B3436" s="105"/>
      <c r="C3436" s="106"/>
      <c r="D3436" s="107"/>
      <c r="E3436" s="65"/>
      <c r="F3436" s="64"/>
      <c r="G3436" s="64"/>
      <c r="H3436" s="64"/>
      <c r="I3436" s="70"/>
      <c r="J3436" s="70"/>
      <c r="K3436" s="110" t="str">
        <f>IF(H3436="","",IF($C$29="간이법","",FPR(H3436,I3436,J3436)))</f>
        <v/>
      </c>
      <c r="L3436" s="111" t="str">
        <f>IF(H3436="","",IF($C$29="상세법",FPV(H3436,K3436),IF(H3436="EI",4,IF(H3436="EO",5.2,IF(H3436="EQ",3.9,IF(H3436="ILF",7.5,IF(H3436="EIF",5.4)))))))</f>
        <v/>
      </c>
      <c r="M3436" s="112" t="str">
        <f t="shared" si="56"/>
        <v/>
      </c>
      <c r="N3436" s="113"/>
    </row>
    <row r="3437" spans="2:14">
      <c r="B3437" s="105"/>
      <c r="C3437" s="106"/>
      <c r="D3437" s="107"/>
      <c r="E3437" s="65"/>
      <c r="F3437" s="64"/>
      <c r="G3437" s="64"/>
      <c r="H3437" s="64"/>
      <c r="I3437" s="70"/>
      <c r="J3437" s="70"/>
      <c r="K3437" s="110" t="str">
        <f>IF(H3437="","",IF($C$29="간이법","",FPR(H3437,I3437,J3437)))</f>
        <v/>
      </c>
      <c r="L3437" s="111" t="str">
        <f>IF(H3437="","",IF($C$29="상세법",FPV(H3437,K3437),IF(H3437="EI",4,IF(H3437="EO",5.2,IF(H3437="EQ",3.9,IF(H3437="ILF",7.5,IF(H3437="EIF",5.4)))))))</f>
        <v/>
      </c>
      <c r="M3437" s="112" t="str">
        <f t="shared" si="56"/>
        <v/>
      </c>
      <c r="N3437" s="113"/>
    </row>
    <row r="3438" spans="2:14">
      <c r="B3438" s="105"/>
      <c r="C3438" s="106"/>
      <c r="D3438" s="107"/>
      <c r="E3438" s="65"/>
      <c r="F3438" s="64"/>
      <c r="G3438" s="64"/>
      <c r="H3438" s="64"/>
      <c r="I3438" s="70"/>
      <c r="J3438" s="70"/>
      <c r="K3438" s="110" t="str">
        <f>IF(H3438="","",IF($C$29="간이법","",FPR(H3438,I3438,J3438)))</f>
        <v/>
      </c>
      <c r="L3438" s="111" t="str">
        <f>IF(H3438="","",IF($C$29="상세법",FPV(H3438,K3438),IF(H3438="EI",4,IF(H3438="EO",5.2,IF(H3438="EQ",3.9,IF(H3438="ILF",7.5,IF(H3438="EIF",5.4)))))))</f>
        <v/>
      </c>
      <c r="M3438" s="112" t="str">
        <f t="shared" si="56"/>
        <v/>
      </c>
      <c r="N3438" s="113"/>
    </row>
    <row r="3439" spans="2:14">
      <c r="B3439" s="105"/>
      <c r="C3439" s="106"/>
      <c r="D3439" s="107"/>
      <c r="E3439" s="65"/>
      <c r="F3439" s="64"/>
      <c r="G3439" s="64"/>
      <c r="H3439" s="64"/>
      <c r="I3439" s="70"/>
      <c r="J3439" s="70"/>
      <c r="K3439" s="110" t="str">
        <f>IF(H3439="","",IF($C$29="간이법","",FPR(H3439,I3439,J3439)))</f>
        <v/>
      </c>
      <c r="L3439" s="111" t="str">
        <f>IF(H3439="","",IF($C$29="상세법",FPV(H3439,K3439),IF(H3439="EI",4,IF(H3439="EO",5.2,IF(H3439="EQ",3.9,IF(H3439="ILF",7.5,IF(H3439="EIF",5.4)))))))</f>
        <v/>
      </c>
      <c r="M3439" s="112" t="str">
        <f t="shared" si="56"/>
        <v/>
      </c>
      <c r="N3439" s="113"/>
    </row>
    <row r="3440" spans="2:14">
      <c r="B3440" s="105"/>
      <c r="C3440" s="106"/>
      <c r="D3440" s="107"/>
      <c r="E3440" s="65"/>
      <c r="F3440" s="64"/>
      <c r="G3440" s="64"/>
      <c r="H3440" s="64"/>
      <c r="I3440" s="70"/>
      <c r="J3440" s="70"/>
      <c r="K3440" s="110" t="str">
        <f>IF(H3440="","",IF($C$29="간이법","",FPR(H3440,I3440,J3440)))</f>
        <v/>
      </c>
      <c r="L3440" s="111" t="str">
        <f>IF(H3440="","",IF($C$29="상세법",FPV(H3440,K3440),IF(H3440="EI",4,IF(H3440="EO",5.2,IF(H3440="EQ",3.9,IF(H3440="ILF",7.5,IF(H3440="EIF",5.4)))))))</f>
        <v/>
      </c>
      <c r="M3440" s="112" t="str">
        <f t="shared" si="56"/>
        <v/>
      </c>
      <c r="N3440" s="113"/>
    </row>
    <row r="3441" spans="2:14">
      <c r="B3441" s="105"/>
      <c r="C3441" s="106"/>
      <c r="D3441" s="107"/>
      <c r="E3441" s="65"/>
      <c r="F3441" s="64"/>
      <c r="G3441" s="64"/>
      <c r="H3441" s="64"/>
      <c r="I3441" s="70"/>
      <c r="J3441" s="70"/>
      <c r="K3441" s="110" t="str">
        <f>IF(H3441="","",IF($C$29="간이법","",FPR(H3441,I3441,J3441)))</f>
        <v/>
      </c>
      <c r="L3441" s="111" t="str">
        <f>IF(H3441="","",IF($C$29="상세법",FPV(H3441,K3441),IF(H3441="EI",4,IF(H3441="EO",5.2,IF(H3441="EQ",3.9,IF(H3441="ILF",7.5,IF(H3441="EIF",5.4)))))))</f>
        <v/>
      </c>
      <c r="M3441" s="112" t="str">
        <f t="shared" si="56"/>
        <v/>
      </c>
      <c r="N3441" s="113"/>
    </row>
    <row r="3442" spans="2:14">
      <c r="B3442" s="105"/>
      <c r="C3442" s="106"/>
      <c r="D3442" s="107"/>
      <c r="E3442" s="65"/>
      <c r="F3442" s="64"/>
      <c r="G3442" s="64"/>
      <c r="H3442" s="64"/>
      <c r="I3442" s="70"/>
      <c r="J3442" s="70"/>
      <c r="K3442" s="110" t="str">
        <f>IF(H3442="","",IF($C$29="간이법","",FPR(H3442,I3442,J3442)))</f>
        <v/>
      </c>
      <c r="L3442" s="111" t="str">
        <f>IF(H3442="","",IF($C$29="상세법",FPV(H3442,K3442),IF(H3442="EI",4,IF(H3442="EO",5.2,IF(H3442="EQ",3.9,IF(H3442="ILF",7.5,IF(H3442="EIF",5.4)))))))</f>
        <v/>
      </c>
      <c r="M3442" s="112" t="str">
        <f t="shared" si="56"/>
        <v/>
      </c>
      <c r="N3442" s="113"/>
    </row>
    <row r="3443" spans="2:14">
      <c r="B3443" s="105"/>
      <c r="C3443" s="106"/>
      <c r="D3443" s="107"/>
      <c r="E3443" s="65"/>
      <c r="F3443" s="64"/>
      <c r="G3443" s="64"/>
      <c r="H3443" s="64"/>
      <c r="I3443" s="70"/>
      <c r="J3443" s="70"/>
      <c r="K3443" s="110" t="str">
        <f>IF(H3443="","",IF($C$29="간이법","",FPR(H3443,I3443,J3443)))</f>
        <v/>
      </c>
      <c r="L3443" s="111" t="str">
        <f>IF(H3443="","",IF($C$29="상세법",FPV(H3443,K3443),IF(H3443="EI",4,IF(H3443="EO",5.2,IF(H3443="EQ",3.9,IF(H3443="ILF",7.5,IF(H3443="EIF",5.4)))))))</f>
        <v/>
      </c>
      <c r="M3443" s="112" t="str">
        <f t="shared" si="56"/>
        <v/>
      </c>
      <c r="N3443" s="113"/>
    </row>
    <row r="3444" spans="2:14">
      <c r="B3444" s="105"/>
      <c r="C3444" s="106"/>
      <c r="D3444" s="107"/>
      <c r="E3444" s="65"/>
      <c r="F3444" s="64"/>
      <c r="G3444" s="64"/>
      <c r="H3444" s="64"/>
      <c r="I3444" s="70"/>
      <c r="J3444" s="70"/>
      <c r="K3444" s="110" t="str">
        <f>IF(H3444="","",IF($C$29="간이법","",FPR(H3444,I3444,J3444)))</f>
        <v/>
      </c>
      <c r="L3444" s="111" t="str">
        <f>IF(H3444="","",IF($C$29="상세법",FPV(H3444,K3444),IF(H3444="EI",4,IF(H3444="EO",5.2,IF(H3444="EQ",3.9,IF(H3444="ILF",7.5,IF(H3444="EIF",5.4)))))))</f>
        <v/>
      </c>
      <c r="M3444" s="112" t="str">
        <f t="shared" si="56"/>
        <v/>
      </c>
      <c r="N3444" s="113"/>
    </row>
    <row r="3445" spans="2:14">
      <c r="B3445" s="105"/>
      <c r="C3445" s="106"/>
      <c r="D3445" s="107"/>
      <c r="E3445" s="65"/>
      <c r="F3445" s="64"/>
      <c r="G3445" s="64"/>
      <c r="H3445" s="64"/>
      <c r="I3445" s="70"/>
      <c r="J3445" s="70"/>
      <c r="K3445" s="110" t="str">
        <f>IF(H3445="","",IF($C$29="간이법","",FPR(H3445,I3445,J3445)))</f>
        <v/>
      </c>
      <c r="L3445" s="111" t="str">
        <f>IF(H3445="","",IF($C$29="상세법",FPV(H3445,K3445),IF(H3445="EI",4,IF(H3445="EO",5.2,IF(H3445="EQ",3.9,IF(H3445="ILF",7.5,IF(H3445="EIF",5.4)))))))</f>
        <v/>
      </c>
      <c r="M3445" s="112" t="str">
        <f t="shared" si="56"/>
        <v/>
      </c>
      <c r="N3445" s="113"/>
    </row>
    <row r="3446" spans="2:14">
      <c r="B3446" s="105"/>
      <c r="C3446" s="106"/>
      <c r="D3446" s="107"/>
      <c r="E3446" s="65"/>
      <c r="F3446" s="64"/>
      <c r="G3446" s="64"/>
      <c r="H3446" s="64"/>
      <c r="I3446" s="70"/>
      <c r="J3446" s="70"/>
      <c r="K3446" s="110" t="str">
        <f>IF(H3446="","",IF($C$29="간이법","",FPR(H3446,I3446,J3446)))</f>
        <v/>
      </c>
      <c r="L3446" s="111" t="str">
        <f>IF(H3446="","",IF($C$29="상세법",FPV(H3446,K3446),IF(H3446="EI",4,IF(H3446="EO",5.2,IF(H3446="EQ",3.9,IF(H3446="ILF",7.5,IF(H3446="EIF",5.4)))))))</f>
        <v/>
      </c>
      <c r="M3446" s="112" t="str">
        <f t="shared" si="56"/>
        <v/>
      </c>
      <c r="N3446" s="113"/>
    </row>
    <row r="3447" spans="2:14">
      <c r="B3447" s="105"/>
      <c r="C3447" s="106"/>
      <c r="D3447" s="107"/>
      <c r="E3447" s="65"/>
      <c r="F3447" s="64"/>
      <c r="G3447" s="64"/>
      <c r="H3447" s="64"/>
      <c r="I3447" s="70"/>
      <c r="J3447" s="70"/>
      <c r="K3447" s="110" t="str">
        <f>IF(H3447="","",IF($C$29="간이법","",FPR(H3447,I3447,J3447)))</f>
        <v/>
      </c>
      <c r="L3447" s="111" t="str">
        <f>IF(H3447="","",IF($C$29="상세법",FPV(H3447,K3447),IF(H3447="EI",4,IF(H3447="EO",5.2,IF(H3447="EQ",3.9,IF(H3447="ILF",7.5,IF(H3447="EIF",5.4)))))))</f>
        <v/>
      </c>
      <c r="M3447" s="112" t="str">
        <f t="shared" si="56"/>
        <v/>
      </c>
      <c r="N3447" s="113"/>
    </row>
    <row r="3448" spans="2:14">
      <c r="B3448" s="105"/>
      <c r="C3448" s="106"/>
      <c r="D3448" s="107"/>
      <c r="E3448" s="65"/>
      <c r="F3448" s="64"/>
      <c r="G3448" s="64"/>
      <c r="H3448" s="64"/>
      <c r="I3448" s="70"/>
      <c r="J3448" s="70"/>
      <c r="K3448" s="110" t="str">
        <f>IF(H3448="","",IF($C$29="간이법","",FPR(H3448,I3448,J3448)))</f>
        <v/>
      </c>
      <c r="L3448" s="111" t="str">
        <f>IF(H3448="","",IF($C$29="상세법",FPV(H3448,K3448),IF(H3448="EI",4,IF(H3448="EO",5.2,IF(H3448="EQ",3.9,IF(H3448="ILF",7.5,IF(H3448="EIF",5.4)))))))</f>
        <v/>
      </c>
      <c r="M3448" s="112" t="str">
        <f t="shared" si="56"/>
        <v/>
      </c>
      <c r="N3448" s="113"/>
    </row>
    <row r="3449" spans="2:14">
      <c r="B3449" s="105"/>
      <c r="C3449" s="106"/>
      <c r="D3449" s="107"/>
      <c r="E3449" s="65"/>
      <c r="F3449" s="64"/>
      <c r="G3449" s="64"/>
      <c r="H3449" s="64"/>
      <c r="I3449" s="70"/>
      <c r="J3449" s="70"/>
      <c r="K3449" s="110" t="str">
        <f>IF(H3449="","",IF($C$29="간이법","",FPR(H3449,I3449,J3449)))</f>
        <v/>
      </c>
      <c r="L3449" s="111" t="str">
        <f>IF(H3449="","",IF($C$29="상세법",FPV(H3449,K3449),IF(H3449="EI",4,IF(H3449="EO",5.2,IF(H3449="EQ",3.9,IF(H3449="ILF",7.5,IF(H3449="EIF",5.4)))))))</f>
        <v/>
      </c>
      <c r="M3449" s="112" t="str">
        <f t="shared" ref="M3449:M3512" si="57">IF(L3449="","",L3449*IF(G3449="상",0.7,IF(G3449="중",0.5,IF(G3449="하",0.2,1))))</f>
        <v/>
      </c>
      <c r="N3449" s="113"/>
    </row>
    <row r="3450" spans="2:14">
      <c r="B3450" s="105"/>
      <c r="C3450" s="106"/>
      <c r="D3450" s="107"/>
      <c r="E3450" s="65"/>
      <c r="F3450" s="64"/>
      <c r="G3450" s="64"/>
      <c r="H3450" s="64"/>
      <c r="I3450" s="70"/>
      <c r="J3450" s="70"/>
      <c r="K3450" s="110" t="str">
        <f>IF(H3450="","",IF($C$29="간이법","",FPR(H3450,I3450,J3450)))</f>
        <v/>
      </c>
      <c r="L3450" s="111" t="str">
        <f>IF(H3450="","",IF($C$29="상세법",FPV(H3450,K3450),IF(H3450="EI",4,IF(H3450="EO",5.2,IF(H3450="EQ",3.9,IF(H3450="ILF",7.5,IF(H3450="EIF",5.4)))))))</f>
        <v/>
      </c>
      <c r="M3450" s="112" t="str">
        <f t="shared" si="57"/>
        <v/>
      </c>
      <c r="N3450" s="113"/>
    </row>
    <row r="3451" spans="2:14">
      <c r="B3451" s="105"/>
      <c r="C3451" s="106"/>
      <c r="D3451" s="107"/>
      <c r="E3451" s="65"/>
      <c r="F3451" s="64"/>
      <c r="G3451" s="64"/>
      <c r="H3451" s="64"/>
      <c r="I3451" s="70"/>
      <c r="J3451" s="70"/>
      <c r="K3451" s="110" t="str">
        <f>IF(H3451="","",IF($C$29="간이법","",FPR(H3451,I3451,J3451)))</f>
        <v/>
      </c>
      <c r="L3451" s="111" t="str">
        <f>IF(H3451="","",IF($C$29="상세법",FPV(H3451,K3451),IF(H3451="EI",4,IF(H3451="EO",5.2,IF(H3451="EQ",3.9,IF(H3451="ILF",7.5,IF(H3451="EIF",5.4)))))))</f>
        <v/>
      </c>
      <c r="M3451" s="112" t="str">
        <f t="shared" si="57"/>
        <v/>
      </c>
      <c r="N3451" s="113"/>
    </row>
    <row r="3452" spans="2:14">
      <c r="B3452" s="105"/>
      <c r="C3452" s="106"/>
      <c r="D3452" s="107"/>
      <c r="E3452" s="65"/>
      <c r="F3452" s="64"/>
      <c r="G3452" s="64"/>
      <c r="H3452" s="64"/>
      <c r="I3452" s="70"/>
      <c r="J3452" s="70"/>
      <c r="K3452" s="110" t="str">
        <f>IF(H3452="","",IF($C$29="간이법","",FPR(H3452,I3452,J3452)))</f>
        <v/>
      </c>
      <c r="L3452" s="111" t="str">
        <f>IF(H3452="","",IF($C$29="상세법",FPV(H3452,K3452),IF(H3452="EI",4,IF(H3452="EO",5.2,IF(H3452="EQ",3.9,IF(H3452="ILF",7.5,IF(H3452="EIF",5.4)))))))</f>
        <v/>
      </c>
      <c r="M3452" s="112" t="str">
        <f t="shared" si="57"/>
        <v/>
      </c>
      <c r="N3452" s="113"/>
    </row>
    <row r="3453" spans="2:14">
      <c r="B3453" s="105"/>
      <c r="C3453" s="106"/>
      <c r="D3453" s="107"/>
      <c r="E3453" s="65"/>
      <c r="F3453" s="64"/>
      <c r="G3453" s="64"/>
      <c r="H3453" s="64"/>
      <c r="I3453" s="70"/>
      <c r="J3453" s="70"/>
      <c r="K3453" s="110" t="str">
        <f>IF(H3453="","",IF($C$29="간이법","",FPR(H3453,I3453,J3453)))</f>
        <v/>
      </c>
      <c r="L3453" s="111" t="str">
        <f>IF(H3453="","",IF($C$29="상세법",FPV(H3453,K3453),IF(H3453="EI",4,IF(H3453="EO",5.2,IF(H3453="EQ",3.9,IF(H3453="ILF",7.5,IF(H3453="EIF",5.4)))))))</f>
        <v/>
      </c>
      <c r="M3453" s="112" t="str">
        <f t="shared" si="57"/>
        <v/>
      </c>
      <c r="N3453" s="113"/>
    </row>
    <row r="3454" spans="2:14">
      <c r="B3454" s="105"/>
      <c r="C3454" s="106"/>
      <c r="D3454" s="107"/>
      <c r="E3454" s="65"/>
      <c r="F3454" s="64"/>
      <c r="G3454" s="64"/>
      <c r="H3454" s="64"/>
      <c r="I3454" s="70"/>
      <c r="J3454" s="70"/>
      <c r="K3454" s="110" t="str">
        <f>IF(H3454="","",IF($C$29="간이법","",FPR(H3454,I3454,J3454)))</f>
        <v/>
      </c>
      <c r="L3454" s="111" t="str">
        <f>IF(H3454="","",IF($C$29="상세법",FPV(H3454,K3454),IF(H3454="EI",4,IF(H3454="EO",5.2,IF(H3454="EQ",3.9,IF(H3454="ILF",7.5,IF(H3454="EIF",5.4)))))))</f>
        <v/>
      </c>
      <c r="M3454" s="112" t="str">
        <f t="shared" si="57"/>
        <v/>
      </c>
      <c r="N3454" s="113"/>
    </row>
    <row r="3455" spans="2:14">
      <c r="B3455" s="105"/>
      <c r="C3455" s="106"/>
      <c r="D3455" s="107"/>
      <c r="E3455" s="65"/>
      <c r="F3455" s="64"/>
      <c r="G3455" s="64"/>
      <c r="H3455" s="64"/>
      <c r="I3455" s="70"/>
      <c r="J3455" s="70"/>
      <c r="K3455" s="110" t="str">
        <f>IF(H3455="","",IF($C$29="간이법","",FPR(H3455,I3455,J3455)))</f>
        <v/>
      </c>
      <c r="L3455" s="111" t="str">
        <f>IF(H3455="","",IF($C$29="상세법",FPV(H3455,K3455),IF(H3455="EI",4,IF(H3455="EO",5.2,IF(H3455="EQ",3.9,IF(H3455="ILF",7.5,IF(H3455="EIF",5.4)))))))</f>
        <v/>
      </c>
      <c r="M3455" s="112" t="str">
        <f t="shared" si="57"/>
        <v/>
      </c>
      <c r="N3455" s="113"/>
    </row>
    <row r="3456" spans="2:14">
      <c r="B3456" s="105"/>
      <c r="C3456" s="106"/>
      <c r="D3456" s="107"/>
      <c r="E3456" s="65"/>
      <c r="F3456" s="64"/>
      <c r="G3456" s="64"/>
      <c r="H3456" s="64"/>
      <c r="I3456" s="70"/>
      <c r="J3456" s="70"/>
      <c r="K3456" s="110" t="str">
        <f>IF(H3456="","",IF($C$29="간이법","",FPR(H3456,I3456,J3456)))</f>
        <v/>
      </c>
      <c r="L3456" s="111" t="str">
        <f>IF(H3456="","",IF($C$29="상세법",FPV(H3456,K3456),IF(H3456="EI",4,IF(H3456="EO",5.2,IF(H3456="EQ",3.9,IF(H3456="ILF",7.5,IF(H3456="EIF",5.4)))))))</f>
        <v/>
      </c>
      <c r="M3456" s="112" t="str">
        <f t="shared" si="57"/>
        <v/>
      </c>
      <c r="N3456" s="113"/>
    </row>
    <row r="3457" spans="2:14">
      <c r="B3457" s="105"/>
      <c r="C3457" s="106"/>
      <c r="D3457" s="107"/>
      <c r="E3457" s="65"/>
      <c r="F3457" s="64"/>
      <c r="G3457" s="64"/>
      <c r="H3457" s="64"/>
      <c r="I3457" s="70"/>
      <c r="J3457" s="70"/>
      <c r="K3457" s="110" t="str">
        <f>IF(H3457="","",IF($C$29="간이법","",FPR(H3457,I3457,J3457)))</f>
        <v/>
      </c>
      <c r="L3457" s="111" t="str">
        <f>IF(H3457="","",IF($C$29="상세법",FPV(H3457,K3457),IF(H3457="EI",4,IF(H3457="EO",5.2,IF(H3457="EQ",3.9,IF(H3457="ILF",7.5,IF(H3457="EIF",5.4)))))))</f>
        <v/>
      </c>
      <c r="M3457" s="112" t="str">
        <f t="shared" si="57"/>
        <v/>
      </c>
      <c r="N3457" s="113"/>
    </row>
    <row r="3458" spans="2:14">
      <c r="B3458" s="105"/>
      <c r="C3458" s="106"/>
      <c r="D3458" s="107"/>
      <c r="E3458" s="65"/>
      <c r="F3458" s="64"/>
      <c r="G3458" s="64"/>
      <c r="H3458" s="64"/>
      <c r="I3458" s="70"/>
      <c r="J3458" s="70"/>
      <c r="K3458" s="110" t="str">
        <f>IF(H3458="","",IF($C$29="간이법","",FPR(H3458,I3458,J3458)))</f>
        <v/>
      </c>
      <c r="L3458" s="111" t="str">
        <f>IF(H3458="","",IF($C$29="상세법",FPV(H3458,K3458),IF(H3458="EI",4,IF(H3458="EO",5.2,IF(H3458="EQ",3.9,IF(H3458="ILF",7.5,IF(H3458="EIF",5.4)))))))</f>
        <v/>
      </c>
      <c r="M3458" s="112" t="str">
        <f t="shared" si="57"/>
        <v/>
      </c>
      <c r="N3458" s="113"/>
    </row>
    <row r="3459" spans="2:14">
      <c r="B3459" s="105"/>
      <c r="C3459" s="106"/>
      <c r="D3459" s="107"/>
      <c r="E3459" s="65"/>
      <c r="F3459" s="64"/>
      <c r="G3459" s="64"/>
      <c r="H3459" s="64"/>
      <c r="I3459" s="70"/>
      <c r="J3459" s="70"/>
      <c r="K3459" s="110" t="str">
        <f>IF(H3459="","",IF($C$29="간이법","",FPR(H3459,I3459,J3459)))</f>
        <v/>
      </c>
      <c r="L3459" s="111" t="str">
        <f>IF(H3459="","",IF($C$29="상세법",FPV(H3459,K3459),IF(H3459="EI",4,IF(H3459="EO",5.2,IF(H3459="EQ",3.9,IF(H3459="ILF",7.5,IF(H3459="EIF",5.4)))))))</f>
        <v/>
      </c>
      <c r="M3459" s="112" t="str">
        <f t="shared" si="57"/>
        <v/>
      </c>
      <c r="N3459" s="113"/>
    </row>
    <row r="3460" spans="2:14">
      <c r="B3460" s="105"/>
      <c r="C3460" s="106"/>
      <c r="D3460" s="107"/>
      <c r="E3460" s="65"/>
      <c r="F3460" s="64"/>
      <c r="G3460" s="64"/>
      <c r="H3460" s="64"/>
      <c r="I3460" s="70"/>
      <c r="J3460" s="70"/>
      <c r="K3460" s="110" t="str">
        <f>IF(H3460="","",IF($C$29="간이법","",FPR(H3460,I3460,J3460)))</f>
        <v/>
      </c>
      <c r="L3460" s="111" t="str">
        <f>IF(H3460="","",IF($C$29="상세법",FPV(H3460,K3460),IF(H3460="EI",4,IF(H3460="EO",5.2,IF(H3460="EQ",3.9,IF(H3460="ILF",7.5,IF(H3460="EIF",5.4)))))))</f>
        <v/>
      </c>
      <c r="M3460" s="112" t="str">
        <f t="shared" si="57"/>
        <v/>
      </c>
      <c r="N3460" s="113"/>
    </row>
    <row r="3461" spans="2:14">
      <c r="B3461" s="105"/>
      <c r="C3461" s="106"/>
      <c r="D3461" s="107"/>
      <c r="E3461" s="65"/>
      <c r="F3461" s="64"/>
      <c r="G3461" s="64"/>
      <c r="H3461" s="64"/>
      <c r="I3461" s="70"/>
      <c r="J3461" s="70"/>
      <c r="K3461" s="110" t="str">
        <f>IF(H3461="","",IF($C$29="간이법","",FPR(H3461,I3461,J3461)))</f>
        <v/>
      </c>
      <c r="L3461" s="111" t="str">
        <f>IF(H3461="","",IF($C$29="상세법",FPV(H3461,K3461),IF(H3461="EI",4,IF(H3461="EO",5.2,IF(H3461="EQ",3.9,IF(H3461="ILF",7.5,IF(H3461="EIF",5.4)))))))</f>
        <v/>
      </c>
      <c r="M3461" s="112" t="str">
        <f t="shared" si="57"/>
        <v/>
      </c>
      <c r="N3461" s="113"/>
    </row>
    <row r="3462" spans="2:14">
      <c r="B3462" s="105"/>
      <c r="C3462" s="106"/>
      <c r="D3462" s="107"/>
      <c r="E3462" s="65"/>
      <c r="F3462" s="64"/>
      <c r="G3462" s="64"/>
      <c r="H3462" s="64"/>
      <c r="I3462" s="70"/>
      <c r="J3462" s="70"/>
      <c r="K3462" s="110" t="str">
        <f>IF(H3462="","",IF($C$29="간이법","",FPR(H3462,I3462,J3462)))</f>
        <v/>
      </c>
      <c r="L3462" s="111" t="str">
        <f>IF(H3462="","",IF($C$29="상세법",FPV(H3462,K3462),IF(H3462="EI",4,IF(H3462="EO",5.2,IF(H3462="EQ",3.9,IF(H3462="ILF",7.5,IF(H3462="EIF",5.4)))))))</f>
        <v/>
      </c>
      <c r="M3462" s="112" t="str">
        <f t="shared" si="57"/>
        <v/>
      </c>
      <c r="N3462" s="113"/>
    </row>
    <row r="3463" spans="2:14">
      <c r="B3463" s="105"/>
      <c r="C3463" s="106"/>
      <c r="D3463" s="107"/>
      <c r="E3463" s="65"/>
      <c r="F3463" s="64"/>
      <c r="G3463" s="64"/>
      <c r="H3463" s="64"/>
      <c r="I3463" s="70"/>
      <c r="J3463" s="70"/>
      <c r="K3463" s="110" t="str">
        <f>IF(H3463="","",IF($C$29="간이법","",FPR(H3463,I3463,J3463)))</f>
        <v/>
      </c>
      <c r="L3463" s="111" t="str">
        <f>IF(H3463="","",IF($C$29="상세법",FPV(H3463,K3463),IF(H3463="EI",4,IF(H3463="EO",5.2,IF(H3463="EQ",3.9,IF(H3463="ILF",7.5,IF(H3463="EIF",5.4)))))))</f>
        <v/>
      </c>
      <c r="M3463" s="112" t="str">
        <f t="shared" si="57"/>
        <v/>
      </c>
      <c r="N3463" s="113"/>
    </row>
    <row r="3464" spans="2:14">
      <c r="B3464" s="105"/>
      <c r="C3464" s="106"/>
      <c r="D3464" s="107"/>
      <c r="E3464" s="65"/>
      <c r="F3464" s="64"/>
      <c r="G3464" s="64"/>
      <c r="H3464" s="64"/>
      <c r="I3464" s="70"/>
      <c r="J3464" s="70"/>
      <c r="K3464" s="110" t="str">
        <f>IF(H3464="","",IF($C$29="간이법","",FPR(H3464,I3464,J3464)))</f>
        <v/>
      </c>
      <c r="L3464" s="111" t="str">
        <f>IF(H3464="","",IF($C$29="상세법",FPV(H3464,K3464),IF(H3464="EI",4,IF(H3464="EO",5.2,IF(H3464="EQ",3.9,IF(H3464="ILF",7.5,IF(H3464="EIF",5.4)))))))</f>
        <v/>
      </c>
      <c r="M3464" s="112" t="str">
        <f t="shared" si="57"/>
        <v/>
      </c>
      <c r="N3464" s="113"/>
    </row>
    <row r="3465" spans="2:14">
      <c r="B3465" s="105"/>
      <c r="C3465" s="106"/>
      <c r="D3465" s="107"/>
      <c r="E3465" s="65"/>
      <c r="F3465" s="64"/>
      <c r="G3465" s="64"/>
      <c r="H3465" s="64"/>
      <c r="I3465" s="70"/>
      <c r="J3465" s="70"/>
      <c r="K3465" s="110" t="str">
        <f>IF(H3465="","",IF($C$29="간이법","",FPR(H3465,I3465,J3465)))</f>
        <v/>
      </c>
      <c r="L3465" s="111" t="str">
        <f>IF(H3465="","",IF($C$29="상세법",FPV(H3465,K3465),IF(H3465="EI",4,IF(H3465="EO",5.2,IF(H3465="EQ",3.9,IF(H3465="ILF",7.5,IF(H3465="EIF",5.4)))))))</f>
        <v/>
      </c>
      <c r="M3465" s="112" t="str">
        <f t="shared" si="57"/>
        <v/>
      </c>
      <c r="N3465" s="113"/>
    </row>
    <row r="3466" spans="2:14">
      <c r="B3466" s="105"/>
      <c r="C3466" s="106"/>
      <c r="D3466" s="107"/>
      <c r="E3466" s="65"/>
      <c r="F3466" s="64"/>
      <c r="G3466" s="64"/>
      <c r="H3466" s="64"/>
      <c r="I3466" s="70"/>
      <c r="J3466" s="70"/>
      <c r="K3466" s="110" t="str">
        <f>IF(H3466="","",IF($C$29="간이법","",FPR(H3466,I3466,J3466)))</f>
        <v/>
      </c>
      <c r="L3466" s="111" t="str">
        <f>IF(H3466="","",IF($C$29="상세법",FPV(H3466,K3466),IF(H3466="EI",4,IF(H3466="EO",5.2,IF(H3466="EQ",3.9,IF(H3466="ILF",7.5,IF(H3466="EIF",5.4)))))))</f>
        <v/>
      </c>
      <c r="M3466" s="112" t="str">
        <f t="shared" si="57"/>
        <v/>
      </c>
      <c r="N3466" s="113"/>
    </row>
    <row r="3467" spans="2:14">
      <c r="B3467" s="105"/>
      <c r="C3467" s="106"/>
      <c r="D3467" s="107"/>
      <c r="E3467" s="65"/>
      <c r="F3467" s="64"/>
      <c r="G3467" s="64"/>
      <c r="H3467" s="64"/>
      <c r="I3467" s="70"/>
      <c r="J3467" s="70"/>
      <c r="K3467" s="110" t="str">
        <f>IF(H3467="","",IF($C$29="간이법","",FPR(H3467,I3467,J3467)))</f>
        <v/>
      </c>
      <c r="L3467" s="111" t="str">
        <f>IF(H3467="","",IF($C$29="상세법",FPV(H3467,K3467),IF(H3467="EI",4,IF(H3467="EO",5.2,IF(H3467="EQ",3.9,IF(H3467="ILF",7.5,IF(H3467="EIF",5.4)))))))</f>
        <v/>
      </c>
      <c r="M3467" s="112" t="str">
        <f t="shared" si="57"/>
        <v/>
      </c>
      <c r="N3467" s="113"/>
    </row>
    <row r="3468" spans="2:14">
      <c r="B3468" s="105"/>
      <c r="C3468" s="106"/>
      <c r="D3468" s="107"/>
      <c r="E3468" s="65"/>
      <c r="F3468" s="64"/>
      <c r="G3468" s="64"/>
      <c r="H3468" s="64"/>
      <c r="I3468" s="70"/>
      <c r="J3468" s="70"/>
      <c r="K3468" s="110" t="str">
        <f>IF(H3468="","",IF($C$29="간이법","",FPR(H3468,I3468,J3468)))</f>
        <v/>
      </c>
      <c r="L3468" s="111" t="str">
        <f>IF(H3468="","",IF($C$29="상세법",FPV(H3468,K3468),IF(H3468="EI",4,IF(H3468="EO",5.2,IF(H3468="EQ",3.9,IF(H3468="ILF",7.5,IF(H3468="EIF",5.4)))))))</f>
        <v/>
      </c>
      <c r="M3468" s="112" t="str">
        <f t="shared" si="57"/>
        <v/>
      </c>
      <c r="N3468" s="113"/>
    </row>
    <row r="3469" spans="2:14">
      <c r="B3469" s="105"/>
      <c r="C3469" s="106"/>
      <c r="D3469" s="107"/>
      <c r="E3469" s="65"/>
      <c r="F3469" s="64"/>
      <c r="G3469" s="64"/>
      <c r="H3469" s="64"/>
      <c r="I3469" s="70"/>
      <c r="J3469" s="70"/>
      <c r="K3469" s="110" t="str">
        <f>IF(H3469="","",IF($C$29="간이법","",FPR(H3469,I3469,J3469)))</f>
        <v/>
      </c>
      <c r="L3469" s="111" t="str">
        <f>IF(H3469="","",IF($C$29="상세법",FPV(H3469,K3469),IF(H3469="EI",4,IF(H3469="EO",5.2,IF(H3469="EQ",3.9,IF(H3469="ILF",7.5,IF(H3469="EIF",5.4)))))))</f>
        <v/>
      </c>
      <c r="M3469" s="112" t="str">
        <f t="shared" si="57"/>
        <v/>
      </c>
      <c r="N3469" s="113"/>
    </row>
    <row r="3470" spans="2:14">
      <c r="B3470" s="105"/>
      <c r="C3470" s="106"/>
      <c r="D3470" s="107"/>
      <c r="E3470" s="65"/>
      <c r="F3470" s="64"/>
      <c r="G3470" s="64"/>
      <c r="H3470" s="64"/>
      <c r="I3470" s="70"/>
      <c r="J3470" s="70"/>
      <c r="K3470" s="110" t="str">
        <f>IF(H3470="","",IF($C$29="간이법","",FPR(H3470,I3470,J3470)))</f>
        <v/>
      </c>
      <c r="L3470" s="111" t="str">
        <f>IF(H3470="","",IF($C$29="상세법",FPV(H3470,K3470),IF(H3470="EI",4,IF(H3470="EO",5.2,IF(H3470="EQ",3.9,IF(H3470="ILF",7.5,IF(H3470="EIF",5.4)))))))</f>
        <v/>
      </c>
      <c r="M3470" s="112" t="str">
        <f t="shared" si="57"/>
        <v/>
      </c>
      <c r="N3470" s="113"/>
    </row>
    <row r="3471" spans="2:14">
      <c r="B3471" s="105"/>
      <c r="C3471" s="106"/>
      <c r="D3471" s="107"/>
      <c r="E3471" s="65"/>
      <c r="F3471" s="64"/>
      <c r="G3471" s="64"/>
      <c r="H3471" s="64"/>
      <c r="I3471" s="70"/>
      <c r="J3471" s="70"/>
      <c r="K3471" s="110" t="str">
        <f>IF(H3471="","",IF($C$29="간이법","",FPR(H3471,I3471,J3471)))</f>
        <v/>
      </c>
      <c r="L3471" s="111" t="str">
        <f>IF(H3471="","",IF($C$29="상세법",FPV(H3471,K3471),IF(H3471="EI",4,IF(H3471="EO",5.2,IF(H3471="EQ",3.9,IF(H3471="ILF",7.5,IF(H3471="EIF",5.4)))))))</f>
        <v/>
      </c>
      <c r="M3471" s="112" t="str">
        <f t="shared" si="57"/>
        <v/>
      </c>
      <c r="N3471" s="113"/>
    </row>
    <row r="3472" spans="2:14">
      <c r="B3472" s="105"/>
      <c r="C3472" s="106"/>
      <c r="D3472" s="107"/>
      <c r="E3472" s="65"/>
      <c r="F3472" s="64"/>
      <c r="G3472" s="64"/>
      <c r="H3472" s="64"/>
      <c r="I3472" s="70"/>
      <c r="J3472" s="70"/>
      <c r="K3472" s="110" t="str">
        <f>IF(H3472="","",IF($C$29="간이법","",FPR(H3472,I3472,J3472)))</f>
        <v/>
      </c>
      <c r="L3472" s="111" t="str">
        <f>IF(H3472="","",IF($C$29="상세법",FPV(H3472,K3472),IF(H3472="EI",4,IF(H3472="EO",5.2,IF(H3472="EQ",3.9,IF(H3472="ILF",7.5,IF(H3472="EIF",5.4)))))))</f>
        <v/>
      </c>
      <c r="M3472" s="112" t="str">
        <f t="shared" si="57"/>
        <v/>
      </c>
      <c r="N3472" s="113"/>
    </row>
    <row r="3473" spans="2:14">
      <c r="B3473" s="105"/>
      <c r="C3473" s="106"/>
      <c r="D3473" s="107"/>
      <c r="E3473" s="65"/>
      <c r="F3473" s="64"/>
      <c r="G3473" s="64"/>
      <c r="H3473" s="64"/>
      <c r="I3473" s="70"/>
      <c r="J3473" s="70"/>
      <c r="K3473" s="110" t="str">
        <f>IF(H3473="","",IF($C$29="간이법","",FPR(H3473,I3473,J3473)))</f>
        <v/>
      </c>
      <c r="L3473" s="111" t="str">
        <f>IF(H3473="","",IF($C$29="상세법",FPV(H3473,K3473),IF(H3473="EI",4,IF(H3473="EO",5.2,IF(H3473="EQ",3.9,IF(H3473="ILF",7.5,IF(H3473="EIF",5.4)))))))</f>
        <v/>
      </c>
      <c r="M3473" s="112" t="str">
        <f t="shared" si="57"/>
        <v/>
      </c>
      <c r="N3473" s="113"/>
    </row>
    <row r="3474" spans="2:14">
      <c r="B3474" s="105"/>
      <c r="C3474" s="106"/>
      <c r="D3474" s="107"/>
      <c r="E3474" s="65"/>
      <c r="F3474" s="64"/>
      <c r="G3474" s="64"/>
      <c r="H3474" s="64"/>
      <c r="I3474" s="70"/>
      <c r="J3474" s="70"/>
      <c r="K3474" s="110" t="str">
        <f>IF(H3474="","",IF($C$29="간이법","",FPR(H3474,I3474,J3474)))</f>
        <v/>
      </c>
      <c r="L3474" s="111" t="str">
        <f>IF(H3474="","",IF($C$29="상세법",FPV(H3474,K3474),IF(H3474="EI",4,IF(H3474="EO",5.2,IF(H3474="EQ",3.9,IF(H3474="ILF",7.5,IF(H3474="EIF",5.4)))))))</f>
        <v/>
      </c>
      <c r="M3474" s="112" t="str">
        <f t="shared" si="57"/>
        <v/>
      </c>
      <c r="N3474" s="113"/>
    </row>
    <row r="3475" spans="2:14">
      <c r="B3475" s="105"/>
      <c r="C3475" s="106"/>
      <c r="D3475" s="107"/>
      <c r="E3475" s="65"/>
      <c r="F3475" s="64"/>
      <c r="G3475" s="64"/>
      <c r="H3475" s="64"/>
      <c r="I3475" s="70"/>
      <c r="J3475" s="70"/>
      <c r="K3475" s="110" t="str">
        <f>IF(H3475="","",IF($C$29="간이법","",FPR(H3475,I3475,J3475)))</f>
        <v/>
      </c>
      <c r="L3475" s="111" t="str">
        <f>IF(H3475="","",IF($C$29="상세법",FPV(H3475,K3475),IF(H3475="EI",4,IF(H3475="EO",5.2,IF(H3475="EQ",3.9,IF(H3475="ILF",7.5,IF(H3475="EIF",5.4)))))))</f>
        <v/>
      </c>
      <c r="M3475" s="112" t="str">
        <f t="shared" si="57"/>
        <v/>
      </c>
      <c r="N3475" s="113"/>
    </row>
    <row r="3476" spans="2:14">
      <c r="B3476" s="105"/>
      <c r="C3476" s="106"/>
      <c r="D3476" s="107"/>
      <c r="E3476" s="65"/>
      <c r="F3476" s="64"/>
      <c r="G3476" s="64"/>
      <c r="H3476" s="64"/>
      <c r="I3476" s="70"/>
      <c r="J3476" s="70"/>
      <c r="K3476" s="110" t="str">
        <f>IF(H3476="","",IF($C$29="간이법","",FPR(H3476,I3476,J3476)))</f>
        <v/>
      </c>
      <c r="L3476" s="111" t="str">
        <f>IF(H3476="","",IF($C$29="상세법",FPV(H3476,K3476),IF(H3476="EI",4,IF(H3476="EO",5.2,IF(H3476="EQ",3.9,IF(H3476="ILF",7.5,IF(H3476="EIF",5.4)))))))</f>
        <v/>
      </c>
      <c r="M3476" s="112" t="str">
        <f t="shared" si="57"/>
        <v/>
      </c>
      <c r="N3476" s="113"/>
    </row>
    <row r="3477" spans="2:14">
      <c r="B3477" s="105"/>
      <c r="C3477" s="106"/>
      <c r="D3477" s="107"/>
      <c r="E3477" s="65"/>
      <c r="F3477" s="64"/>
      <c r="G3477" s="64"/>
      <c r="H3477" s="64"/>
      <c r="I3477" s="70"/>
      <c r="J3477" s="70"/>
      <c r="K3477" s="110" t="str">
        <f>IF(H3477="","",IF($C$29="간이법","",FPR(H3477,I3477,J3477)))</f>
        <v/>
      </c>
      <c r="L3477" s="111" t="str">
        <f>IF(H3477="","",IF($C$29="상세법",FPV(H3477,K3477),IF(H3477="EI",4,IF(H3477="EO",5.2,IF(H3477="EQ",3.9,IF(H3477="ILF",7.5,IF(H3477="EIF",5.4)))))))</f>
        <v/>
      </c>
      <c r="M3477" s="112" t="str">
        <f t="shared" si="57"/>
        <v/>
      </c>
      <c r="N3477" s="113"/>
    </row>
    <row r="3478" spans="2:14">
      <c r="B3478" s="105"/>
      <c r="C3478" s="106"/>
      <c r="D3478" s="107"/>
      <c r="E3478" s="65"/>
      <c r="F3478" s="64"/>
      <c r="G3478" s="64"/>
      <c r="H3478" s="64"/>
      <c r="I3478" s="70"/>
      <c r="J3478" s="70"/>
      <c r="K3478" s="110" t="str">
        <f>IF(H3478="","",IF($C$29="간이법","",FPR(H3478,I3478,J3478)))</f>
        <v/>
      </c>
      <c r="L3478" s="111" t="str">
        <f>IF(H3478="","",IF($C$29="상세법",FPV(H3478,K3478),IF(H3478="EI",4,IF(H3478="EO",5.2,IF(H3478="EQ",3.9,IF(H3478="ILF",7.5,IF(H3478="EIF",5.4)))))))</f>
        <v/>
      </c>
      <c r="M3478" s="112" t="str">
        <f t="shared" si="57"/>
        <v/>
      </c>
      <c r="N3478" s="113"/>
    </row>
    <row r="3479" spans="2:14">
      <c r="B3479" s="105"/>
      <c r="C3479" s="106"/>
      <c r="D3479" s="107"/>
      <c r="E3479" s="65"/>
      <c r="F3479" s="64"/>
      <c r="G3479" s="64"/>
      <c r="H3479" s="64"/>
      <c r="I3479" s="70"/>
      <c r="J3479" s="70"/>
      <c r="K3479" s="110" t="str">
        <f>IF(H3479="","",IF($C$29="간이법","",FPR(H3479,I3479,J3479)))</f>
        <v/>
      </c>
      <c r="L3479" s="111" t="str">
        <f>IF(H3479="","",IF($C$29="상세법",FPV(H3479,K3479),IF(H3479="EI",4,IF(H3479="EO",5.2,IF(H3479="EQ",3.9,IF(H3479="ILF",7.5,IF(H3479="EIF",5.4)))))))</f>
        <v/>
      </c>
      <c r="M3479" s="112" t="str">
        <f t="shared" si="57"/>
        <v/>
      </c>
      <c r="N3479" s="113"/>
    </row>
    <row r="3480" spans="2:14">
      <c r="B3480" s="105"/>
      <c r="C3480" s="106"/>
      <c r="D3480" s="107"/>
      <c r="E3480" s="65"/>
      <c r="F3480" s="64"/>
      <c r="G3480" s="64"/>
      <c r="H3480" s="64"/>
      <c r="I3480" s="70"/>
      <c r="J3480" s="70"/>
      <c r="K3480" s="110" t="str">
        <f>IF(H3480="","",IF($C$29="간이법","",FPR(H3480,I3480,J3480)))</f>
        <v/>
      </c>
      <c r="L3480" s="111" t="str">
        <f>IF(H3480="","",IF($C$29="상세법",FPV(H3480,K3480),IF(H3480="EI",4,IF(H3480="EO",5.2,IF(H3480="EQ",3.9,IF(H3480="ILF",7.5,IF(H3480="EIF",5.4)))))))</f>
        <v/>
      </c>
      <c r="M3480" s="112" t="str">
        <f t="shared" si="57"/>
        <v/>
      </c>
      <c r="N3480" s="113"/>
    </row>
    <row r="3481" spans="2:14">
      <c r="B3481" s="105"/>
      <c r="C3481" s="106"/>
      <c r="D3481" s="107"/>
      <c r="E3481" s="65"/>
      <c r="F3481" s="64"/>
      <c r="G3481" s="64"/>
      <c r="H3481" s="64"/>
      <c r="I3481" s="70"/>
      <c r="J3481" s="70"/>
      <c r="K3481" s="110" t="str">
        <f>IF(H3481="","",IF($C$29="간이법","",FPR(H3481,I3481,J3481)))</f>
        <v/>
      </c>
      <c r="L3481" s="111" t="str">
        <f>IF(H3481="","",IF($C$29="상세법",FPV(H3481,K3481),IF(H3481="EI",4,IF(H3481="EO",5.2,IF(H3481="EQ",3.9,IF(H3481="ILF",7.5,IF(H3481="EIF",5.4)))))))</f>
        <v/>
      </c>
      <c r="M3481" s="112" t="str">
        <f t="shared" si="57"/>
        <v/>
      </c>
      <c r="N3481" s="113"/>
    </row>
    <row r="3482" spans="2:14">
      <c r="B3482" s="105"/>
      <c r="C3482" s="106"/>
      <c r="D3482" s="107"/>
      <c r="E3482" s="65"/>
      <c r="F3482" s="64"/>
      <c r="G3482" s="64"/>
      <c r="H3482" s="64"/>
      <c r="I3482" s="70"/>
      <c r="J3482" s="70"/>
      <c r="K3482" s="110" t="str">
        <f>IF(H3482="","",IF($C$29="간이법","",FPR(H3482,I3482,J3482)))</f>
        <v/>
      </c>
      <c r="L3482" s="111" t="str">
        <f>IF(H3482="","",IF($C$29="상세법",FPV(H3482,K3482),IF(H3482="EI",4,IF(H3482="EO",5.2,IF(H3482="EQ",3.9,IF(H3482="ILF",7.5,IF(H3482="EIF",5.4)))))))</f>
        <v/>
      </c>
      <c r="M3482" s="112" t="str">
        <f t="shared" si="57"/>
        <v/>
      </c>
      <c r="N3482" s="113"/>
    </row>
    <row r="3483" spans="2:14">
      <c r="B3483" s="105"/>
      <c r="C3483" s="106"/>
      <c r="D3483" s="107"/>
      <c r="E3483" s="65"/>
      <c r="F3483" s="64"/>
      <c r="G3483" s="64"/>
      <c r="H3483" s="64"/>
      <c r="I3483" s="70"/>
      <c r="J3483" s="70"/>
      <c r="K3483" s="110" t="str">
        <f>IF(H3483="","",IF($C$29="간이법","",FPR(H3483,I3483,J3483)))</f>
        <v/>
      </c>
      <c r="L3483" s="111" t="str">
        <f>IF(H3483="","",IF($C$29="상세법",FPV(H3483,K3483),IF(H3483="EI",4,IF(H3483="EO",5.2,IF(H3483="EQ",3.9,IF(H3483="ILF",7.5,IF(H3483="EIF",5.4)))))))</f>
        <v/>
      </c>
      <c r="M3483" s="112" t="str">
        <f t="shared" si="57"/>
        <v/>
      </c>
      <c r="N3483" s="113"/>
    </row>
    <row r="3484" spans="2:14">
      <c r="B3484" s="105"/>
      <c r="C3484" s="106"/>
      <c r="D3484" s="107"/>
      <c r="E3484" s="65"/>
      <c r="F3484" s="64"/>
      <c r="G3484" s="64"/>
      <c r="H3484" s="64"/>
      <c r="I3484" s="70"/>
      <c r="J3484" s="70"/>
      <c r="K3484" s="110" t="str">
        <f>IF(H3484="","",IF($C$29="간이법","",FPR(H3484,I3484,J3484)))</f>
        <v/>
      </c>
      <c r="L3484" s="111" t="str">
        <f>IF(H3484="","",IF($C$29="상세법",FPV(H3484,K3484),IF(H3484="EI",4,IF(H3484="EO",5.2,IF(H3484="EQ",3.9,IF(H3484="ILF",7.5,IF(H3484="EIF",5.4)))))))</f>
        <v/>
      </c>
      <c r="M3484" s="112" t="str">
        <f t="shared" si="57"/>
        <v/>
      </c>
      <c r="N3484" s="113"/>
    </row>
    <row r="3485" spans="2:14">
      <c r="B3485" s="105"/>
      <c r="C3485" s="106"/>
      <c r="D3485" s="107"/>
      <c r="E3485" s="65"/>
      <c r="F3485" s="64"/>
      <c r="G3485" s="64"/>
      <c r="H3485" s="64"/>
      <c r="I3485" s="70"/>
      <c r="J3485" s="70"/>
      <c r="K3485" s="110" t="str">
        <f>IF(H3485="","",IF($C$29="간이법","",FPR(H3485,I3485,J3485)))</f>
        <v/>
      </c>
      <c r="L3485" s="111" t="str">
        <f>IF(H3485="","",IF($C$29="상세법",FPV(H3485,K3485),IF(H3485="EI",4,IF(H3485="EO",5.2,IF(H3485="EQ",3.9,IF(H3485="ILF",7.5,IF(H3485="EIF",5.4)))))))</f>
        <v/>
      </c>
      <c r="M3485" s="112" t="str">
        <f t="shared" si="57"/>
        <v/>
      </c>
      <c r="N3485" s="113"/>
    </row>
    <row r="3486" spans="2:14">
      <c r="B3486" s="105"/>
      <c r="C3486" s="106"/>
      <c r="D3486" s="107"/>
      <c r="E3486" s="65"/>
      <c r="F3486" s="64"/>
      <c r="G3486" s="64"/>
      <c r="H3486" s="64"/>
      <c r="I3486" s="70"/>
      <c r="J3486" s="70"/>
      <c r="K3486" s="110" t="str">
        <f>IF(H3486="","",IF($C$29="간이법","",FPR(H3486,I3486,J3486)))</f>
        <v/>
      </c>
      <c r="L3486" s="111" t="str">
        <f>IF(H3486="","",IF($C$29="상세법",FPV(H3486,K3486),IF(H3486="EI",4,IF(H3486="EO",5.2,IF(H3486="EQ",3.9,IF(H3486="ILF",7.5,IF(H3486="EIF",5.4)))))))</f>
        <v/>
      </c>
      <c r="M3486" s="112" t="str">
        <f t="shared" si="57"/>
        <v/>
      </c>
      <c r="N3486" s="113"/>
    </row>
    <row r="3487" spans="2:14">
      <c r="B3487" s="105"/>
      <c r="C3487" s="106"/>
      <c r="D3487" s="107"/>
      <c r="E3487" s="65"/>
      <c r="F3487" s="64"/>
      <c r="G3487" s="64"/>
      <c r="H3487" s="64"/>
      <c r="I3487" s="70"/>
      <c r="J3487" s="70"/>
      <c r="K3487" s="110" t="str">
        <f>IF(H3487="","",IF($C$29="간이법","",FPR(H3487,I3487,J3487)))</f>
        <v/>
      </c>
      <c r="L3487" s="111" t="str">
        <f>IF(H3487="","",IF($C$29="상세법",FPV(H3487,K3487),IF(H3487="EI",4,IF(H3487="EO",5.2,IF(H3487="EQ",3.9,IF(H3487="ILF",7.5,IF(H3487="EIF",5.4)))))))</f>
        <v/>
      </c>
      <c r="M3487" s="112" t="str">
        <f t="shared" si="57"/>
        <v/>
      </c>
      <c r="N3487" s="113"/>
    </row>
    <row r="3488" spans="2:14">
      <c r="B3488" s="105"/>
      <c r="C3488" s="106"/>
      <c r="D3488" s="107"/>
      <c r="E3488" s="65"/>
      <c r="F3488" s="64"/>
      <c r="G3488" s="64"/>
      <c r="H3488" s="64"/>
      <c r="I3488" s="70"/>
      <c r="J3488" s="70"/>
      <c r="K3488" s="110" t="str">
        <f>IF(H3488="","",IF($C$29="간이법","",FPR(H3488,I3488,J3488)))</f>
        <v/>
      </c>
      <c r="L3488" s="111" t="str">
        <f>IF(H3488="","",IF($C$29="상세법",FPV(H3488,K3488),IF(H3488="EI",4,IF(H3488="EO",5.2,IF(H3488="EQ",3.9,IF(H3488="ILF",7.5,IF(H3488="EIF",5.4)))))))</f>
        <v/>
      </c>
      <c r="M3488" s="112" t="str">
        <f t="shared" si="57"/>
        <v/>
      </c>
      <c r="N3488" s="113"/>
    </row>
    <row r="3489" spans="2:14">
      <c r="B3489" s="105"/>
      <c r="C3489" s="106"/>
      <c r="D3489" s="107"/>
      <c r="E3489" s="65"/>
      <c r="F3489" s="64"/>
      <c r="G3489" s="64"/>
      <c r="H3489" s="64"/>
      <c r="I3489" s="70"/>
      <c r="J3489" s="70"/>
      <c r="K3489" s="110" t="str">
        <f>IF(H3489="","",IF($C$29="간이법","",FPR(H3489,I3489,J3489)))</f>
        <v/>
      </c>
      <c r="L3489" s="111" t="str">
        <f>IF(H3489="","",IF($C$29="상세법",FPV(H3489,K3489),IF(H3489="EI",4,IF(H3489="EO",5.2,IF(H3489="EQ",3.9,IF(H3489="ILF",7.5,IF(H3489="EIF",5.4)))))))</f>
        <v/>
      </c>
      <c r="M3489" s="112" t="str">
        <f t="shared" si="57"/>
        <v/>
      </c>
      <c r="N3489" s="113"/>
    </row>
    <row r="3490" spans="2:14">
      <c r="B3490" s="105"/>
      <c r="C3490" s="106"/>
      <c r="D3490" s="107"/>
      <c r="E3490" s="65"/>
      <c r="F3490" s="64"/>
      <c r="G3490" s="64"/>
      <c r="H3490" s="64"/>
      <c r="I3490" s="70"/>
      <c r="J3490" s="70"/>
      <c r="K3490" s="110" t="str">
        <f>IF(H3490="","",IF($C$29="간이법","",FPR(H3490,I3490,J3490)))</f>
        <v/>
      </c>
      <c r="L3490" s="111" t="str">
        <f>IF(H3490="","",IF($C$29="상세법",FPV(H3490,K3490),IF(H3490="EI",4,IF(H3490="EO",5.2,IF(H3490="EQ",3.9,IF(H3490="ILF",7.5,IF(H3490="EIF",5.4)))))))</f>
        <v/>
      </c>
      <c r="M3490" s="112" t="str">
        <f t="shared" si="57"/>
        <v/>
      </c>
      <c r="N3490" s="113"/>
    </row>
    <row r="3491" spans="2:14">
      <c r="B3491" s="105"/>
      <c r="C3491" s="106"/>
      <c r="D3491" s="107"/>
      <c r="E3491" s="65"/>
      <c r="F3491" s="64"/>
      <c r="G3491" s="64"/>
      <c r="H3491" s="64"/>
      <c r="I3491" s="70"/>
      <c r="J3491" s="70"/>
      <c r="K3491" s="110" t="str">
        <f>IF(H3491="","",IF($C$29="간이법","",FPR(H3491,I3491,J3491)))</f>
        <v/>
      </c>
      <c r="L3491" s="111" t="str">
        <f>IF(H3491="","",IF($C$29="상세법",FPV(H3491,K3491),IF(H3491="EI",4,IF(H3491="EO",5.2,IF(H3491="EQ",3.9,IF(H3491="ILF",7.5,IF(H3491="EIF",5.4)))))))</f>
        <v/>
      </c>
      <c r="M3491" s="112" t="str">
        <f t="shared" si="57"/>
        <v/>
      </c>
      <c r="N3491" s="113"/>
    </row>
    <row r="3492" spans="2:14">
      <c r="B3492" s="105"/>
      <c r="C3492" s="106"/>
      <c r="D3492" s="107"/>
      <c r="E3492" s="65"/>
      <c r="F3492" s="64"/>
      <c r="G3492" s="64"/>
      <c r="H3492" s="64"/>
      <c r="I3492" s="70"/>
      <c r="J3492" s="70"/>
      <c r="K3492" s="110" t="str">
        <f>IF(H3492="","",IF($C$29="간이법","",FPR(H3492,I3492,J3492)))</f>
        <v/>
      </c>
      <c r="L3492" s="111" t="str">
        <f>IF(H3492="","",IF($C$29="상세법",FPV(H3492,K3492),IF(H3492="EI",4,IF(H3492="EO",5.2,IF(H3492="EQ",3.9,IF(H3492="ILF",7.5,IF(H3492="EIF",5.4)))))))</f>
        <v/>
      </c>
      <c r="M3492" s="112" t="str">
        <f t="shared" si="57"/>
        <v/>
      </c>
      <c r="N3492" s="113"/>
    </row>
    <row r="3493" spans="2:14">
      <c r="B3493" s="105"/>
      <c r="C3493" s="106"/>
      <c r="D3493" s="107"/>
      <c r="E3493" s="65"/>
      <c r="F3493" s="64"/>
      <c r="G3493" s="64"/>
      <c r="H3493" s="64"/>
      <c r="I3493" s="70"/>
      <c r="J3493" s="70"/>
      <c r="K3493" s="110" t="str">
        <f>IF(H3493="","",IF($C$29="간이법","",FPR(H3493,I3493,J3493)))</f>
        <v/>
      </c>
      <c r="L3493" s="111" t="str">
        <f>IF(H3493="","",IF($C$29="상세법",FPV(H3493,K3493),IF(H3493="EI",4,IF(H3493="EO",5.2,IF(H3493="EQ",3.9,IF(H3493="ILF",7.5,IF(H3493="EIF",5.4)))))))</f>
        <v/>
      </c>
      <c r="M3493" s="112" t="str">
        <f t="shared" si="57"/>
        <v/>
      </c>
      <c r="N3493" s="113"/>
    </row>
    <row r="3494" spans="2:14">
      <c r="B3494" s="105"/>
      <c r="C3494" s="106"/>
      <c r="D3494" s="107"/>
      <c r="E3494" s="65"/>
      <c r="F3494" s="64"/>
      <c r="G3494" s="64"/>
      <c r="H3494" s="64"/>
      <c r="I3494" s="70"/>
      <c r="J3494" s="70"/>
      <c r="K3494" s="110" t="str">
        <f>IF(H3494="","",IF($C$29="간이법","",FPR(H3494,I3494,J3494)))</f>
        <v/>
      </c>
      <c r="L3494" s="111" t="str">
        <f>IF(H3494="","",IF($C$29="상세법",FPV(H3494,K3494),IF(H3494="EI",4,IF(H3494="EO",5.2,IF(H3494="EQ",3.9,IF(H3494="ILF",7.5,IF(H3494="EIF",5.4)))))))</f>
        <v/>
      </c>
      <c r="M3494" s="112" t="str">
        <f t="shared" si="57"/>
        <v/>
      </c>
      <c r="N3494" s="113"/>
    </row>
    <row r="3495" spans="2:14">
      <c r="B3495" s="105"/>
      <c r="C3495" s="106"/>
      <c r="D3495" s="107"/>
      <c r="E3495" s="65"/>
      <c r="F3495" s="64"/>
      <c r="G3495" s="64"/>
      <c r="H3495" s="64"/>
      <c r="I3495" s="70"/>
      <c r="J3495" s="70"/>
      <c r="K3495" s="110" t="str">
        <f>IF(H3495="","",IF($C$29="간이법","",FPR(H3495,I3495,J3495)))</f>
        <v/>
      </c>
      <c r="L3495" s="111" t="str">
        <f>IF(H3495="","",IF($C$29="상세법",FPV(H3495,K3495),IF(H3495="EI",4,IF(H3495="EO",5.2,IF(H3495="EQ",3.9,IF(H3495="ILF",7.5,IF(H3495="EIF",5.4)))))))</f>
        <v/>
      </c>
      <c r="M3495" s="112" t="str">
        <f t="shared" si="57"/>
        <v/>
      </c>
      <c r="N3495" s="113"/>
    </row>
    <row r="3496" spans="2:14">
      <c r="B3496" s="105"/>
      <c r="C3496" s="106"/>
      <c r="D3496" s="107"/>
      <c r="E3496" s="65"/>
      <c r="F3496" s="64"/>
      <c r="G3496" s="64"/>
      <c r="H3496" s="64"/>
      <c r="I3496" s="70"/>
      <c r="J3496" s="70"/>
      <c r="K3496" s="110" t="str">
        <f>IF(H3496="","",IF($C$29="간이법","",FPR(H3496,I3496,J3496)))</f>
        <v/>
      </c>
      <c r="L3496" s="111" t="str">
        <f>IF(H3496="","",IF($C$29="상세법",FPV(H3496,K3496),IF(H3496="EI",4,IF(H3496="EO",5.2,IF(H3496="EQ",3.9,IF(H3496="ILF",7.5,IF(H3496="EIF",5.4)))))))</f>
        <v/>
      </c>
      <c r="M3496" s="112" t="str">
        <f t="shared" si="57"/>
        <v/>
      </c>
      <c r="N3496" s="113"/>
    </row>
    <row r="3497" spans="2:14">
      <c r="B3497" s="105"/>
      <c r="C3497" s="106"/>
      <c r="D3497" s="107"/>
      <c r="E3497" s="65"/>
      <c r="F3497" s="64"/>
      <c r="G3497" s="64"/>
      <c r="H3497" s="64"/>
      <c r="I3497" s="70"/>
      <c r="J3497" s="70"/>
      <c r="K3497" s="110" t="str">
        <f>IF(H3497="","",IF($C$29="간이법","",FPR(H3497,I3497,J3497)))</f>
        <v/>
      </c>
      <c r="L3497" s="111" t="str">
        <f>IF(H3497="","",IF($C$29="상세법",FPV(H3497,K3497),IF(H3497="EI",4,IF(H3497="EO",5.2,IF(H3497="EQ",3.9,IF(H3497="ILF",7.5,IF(H3497="EIF",5.4)))))))</f>
        <v/>
      </c>
      <c r="M3497" s="112" t="str">
        <f t="shared" si="57"/>
        <v/>
      </c>
      <c r="N3497" s="113"/>
    </row>
    <row r="3498" spans="2:14">
      <c r="B3498" s="105"/>
      <c r="C3498" s="106"/>
      <c r="D3498" s="107"/>
      <c r="E3498" s="65"/>
      <c r="F3498" s="64"/>
      <c r="G3498" s="64"/>
      <c r="H3498" s="64"/>
      <c r="I3498" s="70"/>
      <c r="J3498" s="70"/>
      <c r="K3498" s="110" t="str">
        <f>IF(H3498="","",IF($C$29="간이법","",FPR(H3498,I3498,J3498)))</f>
        <v/>
      </c>
      <c r="L3498" s="111" t="str">
        <f>IF(H3498="","",IF($C$29="상세법",FPV(H3498,K3498),IF(H3498="EI",4,IF(H3498="EO",5.2,IF(H3498="EQ",3.9,IF(H3498="ILF",7.5,IF(H3498="EIF",5.4)))))))</f>
        <v/>
      </c>
      <c r="M3498" s="112" t="str">
        <f t="shared" si="57"/>
        <v/>
      </c>
      <c r="N3498" s="113"/>
    </row>
    <row r="3499" spans="2:14">
      <c r="B3499" s="105"/>
      <c r="C3499" s="106"/>
      <c r="D3499" s="107"/>
      <c r="E3499" s="65"/>
      <c r="F3499" s="64"/>
      <c r="G3499" s="64"/>
      <c r="H3499" s="64"/>
      <c r="I3499" s="70"/>
      <c r="J3499" s="70"/>
      <c r="K3499" s="110" t="str">
        <f>IF(H3499="","",IF($C$29="간이법","",FPR(H3499,I3499,J3499)))</f>
        <v/>
      </c>
      <c r="L3499" s="111" t="str">
        <f>IF(H3499="","",IF($C$29="상세법",FPV(H3499,K3499),IF(H3499="EI",4,IF(H3499="EO",5.2,IF(H3499="EQ",3.9,IF(H3499="ILF",7.5,IF(H3499="EIF",5.4)))))))</f>
        <v/>
      </c>
      <c r="M3499" s="112" t="str">
        <f t="shared" si="57"/>
        <v/>
      </c>
      <c r="N3499" s="113"/>
    </row>
    <row r="3500" spans="2:14">
      <c r="B3500" s="105"/>
      <c r="C3500" s="106"/>
      <c r="D3500" s="107"/>
      <c r="E3500" s="65"/>
      <c r="F3500" s="64"/>
      <c r="G3500" s="64"/>
      <c r="H3500" s="64"/>
      <c r="I3500" s="70"/>
      <c r="J3500" s="70"/>
      <c r="K3500" s="110" t="str">
        <f>IF(H3500="","",IF($C$29="간이법","",FPR(H3500,I3500,J3500)))</f>
        <v/>
      </c>
      <c r="L3500" s="111" t="str">
        <f>IF(H3500="","",IF($C$29="상세법",FPV(H3500,K3500),IF(H3500="EI",4,IF(H3500="EO",5.2,IF(H3500="EQ",3.9,IF(H3500="ILF",7.5,IF(H3500="EIF",5.4)))))))</f>
        <v/>
      </c>
      <c r="M3500" s="112" t="str">
        <f t="shared" si="57"/>
        <v/>
      </c>
      <c r="N3500" s="113"/>
    </row>
    <row r="3501" spans="2:14">
      <c r="B3501" s="105"/>
      <c r="C3501" s="106"/>
      <c r="D3501" s="107"/>
      <c r="E3501" s="65"/>
      <c r="F3501" s="64"/>
      <c r="G3501" s="64"/>
      <c r="H3501" s="64"/>
      <c r="I3501" s="70"/>
      <c r="J3501" s="70"/>
      <c r="K3501" s="110" t="str">
        <f>IF(H3501="","",IF($C$29="간이법","",FPR(H3501,I3501,J3501)))</f>
        <v/>
      </c>
      <c r="L3501" s="111" t="str">
        <f>IF(H3501="","",IF($C$29="상세법",FPV(H3501,K3501),IF(H3501="EI",4,IF(H3501="EO",5.2,IF(H3501="EQ",3.9,IF(H3501="ILF",7.5,IF(H3501="EIF",5.4)))))))</f>
        <v/>
      </c>
      <c r="M3501" s="112" t="str">
        <f t="shared" si="57"/>
        <v/>
      </c>
      <c r="N3501" s="113"/>
    </row>
    <row r="3502" spans="2:14">
      <c r="B3502" s="105"/>
      <c r="C3502" s="106"/>
      <c r="D3502" s="107"/>
      <c r="E3502" s="65"/>
      <c r="F3502" s="64"/>
      <c r="G3502" s="64"/>
      <c r="H3502" s="64"/>
      <c r="I3502" s="70"/>
      <c r="J3502" s="70"/>
      <c r="K3502" s="110" t="str">
        <f>IF(H3502="","",IF($C$29="간이법","",FPR(H3502,I3502,J3502)))</f>
        <v/>
      </c>
      <c r="L3502" s="111" t="str">
        <f>IF(H3502="","",IF($C$29="상세법",FPV(H3502,K3502),IF(H3502="EI",4,IF(H3502="EO",5.2,IF(H3502="EQ",3.9,IF(H3502="ILF",7.5,IF(H3502="EIF",5.4)))))))</f>
        <v/>
      </c>
      <c r="M3502" s="112" t="str">
        <f t="shared" si="57"/>
        <v/>
      </c>
      <c r="N3502" s="113"/>
    </row>
    <row r="3503" spans="2:14">
      <c r="B3503" s="105"/>
      <c r="C3503" s="106"/>
      <c r="D3503" s="107"/>
      <c r="E3503" s="65"/>
      <c r="F3503" s="64"/>
      <c r="G3503" s="64"/>
      <c r="H3503" s="64"/>
      <c r="I3503" s="70"/>
      <c r="J3503" s="70"/>
      <c r="K3503" s="110" t="str">
        <f>IF(H3503="","",IF($C$29="간이법","",FPR(H3503,I3503,J3503)))</f>
        <v/>
      </c>
      <c r="L3503" s="111" t="str">
        <f>IF(H3503="","",IF($C$29="상세법",FPV(H3503,K3503),IF(H3503="EI",4,IF(H3503="EO",5.2,IF(H3503="EQ",3.9,IF(H3503="ILF",7.5,IF(H3503="EIF",5.4)))))))</f>
        <v/>
      </c>
      <c r="M3503" s="112" t="str">
        <f t="shared" si="57"/>
        <v/>
      </c>
      <c r="N3503" s="113"/>
    </row>
    <row r="3504" spans="2:14">
      <c r="B3504" s="105"/>
      <c r="C3504" s="106"/>
      <c r="D3504" s="107"/>
      <c r="E3504" s="65"/>
      <c r="F3504" s="64"/>
      <c r="G3504" s="64"/>
      <c r="H3504" s="64"/>
      <c r="I3504" s="70"/>
      <c r="J3504" s="70"/>
      <c r="K3504" s="110" t="str">
        <f>IF(H3504="","",IF($C$29="간이법","",FPR(H3504,I3504,J3504)))</f>
        <v/>
      </c>
      <c r="L3504" s="111" t="str">
        <f>IF(H3504="","",IF($C$29="상세법",FPV(H3504,K3504),IF(H3504="EI",4,IF(H3504="EO",5.2,IF(H3504="EQ",3.9,IF(H3504="ILF",7.5,IF(H3504="EIF",5.4)))))))</f>
        <v/>
      </c>
      <c r="M3504" s="112" t="str">
        <f t="shared" si="57"/>
        <v/>
      </c>
      <c r="N3504" s="113"/>
    </row>
    <row r="3505" spans="2:14">
      <c r="B3505" s="105"/>
      <c r="C3505" s="106"/>
      <c r="D3505" s="107"/>
      <c r="E3505" s="65"/>
      <c r="F3505" s="64"/>
      <c r="G3505" s="64"/>
      <c r="H3505" s="64"/>
      <c r="I3505" s="70"/>
      <c r="J3505" s="70"/>
      <c r="K3505" s="110" t="str">
        <f>IF(H3505="","",IF($C$29="간이법","",FPR(H3505,I3505,J3505)))</f>
        <v/>
      </c>
      <c r="L3505" s="111" t="str">
        <f>IF(H3505="","",IF($C$29="상세법",FPV(H3505,K3505),IF(H3505="EI",4,IF(H3505="EO",5.2,IF(H3505="EQ",3.9,IF(H3505="ILF",7.5,IF(H3505="EIF",5.4)))))))</f>
        <v/>
      </c>
      <c r="M3505" s="112" t="str">
        <f t="shared" si="57"/>
        <v/>
      </c>
      <c r="N3505" s="113"/>
    </row>
    <row r="3506" spans="2:14">
      <c r="B3506" s="105"/>
      <c r="C3506" s="106"/>
      <c r="D3506" s="107"/>
      <c r="E3506" s="65"/>
      <c r="F3506" s="64"/>
      <c r="G3506" s="64"/>
      <c r="H3506" s="64"/>
      <c r="I3506" s="70"/>
      <c r="J3506" s="70"/>
      <c r="K3506" s="110" t="str">
        <f>IF(H3506="","",IF($C$29="간이법","",FPR(H3506,I3506,J3506)))</f>
        <v/>
      </c>
      <c r="L3506" s="111" t="str">
        <f>IF(H3506="","",IF($C$29="상세법",FPV(H3506,K3506),IF(H3506="EI",4,IF(H3506="EO",5.2,IF(H3506="EQ",3.9,IF(H3506="ILF",7.5,IF(H3506="EIF",5.4)))))))</f>
        <v/>
      </c>
      <c r="M3506" s="112" t="str">
        <f t="shared" si="57"/>
        <v/>
      </c>
      <c r="N3506" s="113"/>
    </row>
    <row r="3507" spans="2:14">
      <c r="B3507" s="105"/>
      <c r="C3507" s="106"/>
      <c r="D3507" s="107"/>
      <c r="E3507" s="65"/>
      <c r="F3507" s="64"/>
      <c r="G3507" s="64"/>
      <c r="H3507" s="64"/>
      <c r="I3507" s="70"/>
      <c r="J3507" s="70"/>
      <c r="K3507" s="110" t="str">
        <f>IF(H3507="","",IF($C$29="간이법","",FPR(H3507,I3507,J3507)))</f>
        <v/>
      </c>
      <c r="L3507" s="111" t="str">
        <f>IF(H3507="","",IF($C$29="상세법",FPV(H3507,K3507),IF(H3507="EI",4,IF(H3507="EO",5.2,IF(H3507="EQ",3.9,IF(H3507="ILF",7.5,IF(H3507="EIF",5.4)))))))</f>
        <v/>
      </c>
      <c r="M3507" s="112" t="str">
        <f t="shared" si="57"/>
        <v/>
      </c>
      <c r="N3507" s="113"/>
    </row>
    <row r="3508" spans="2:14">
      <c r="B3508" s="105"/>
      <c r="C3508" s="106"/>
      <c r="D3508" s="107"/>
      <c r="E3508" s="65"/>
      <c r="F3508" s="64"/>
      <c r="G3508" s="64"/>
      <c r="H3508" s="64"/>
      <c r="I3508" s="70"/>
      <c r="J3508" s="70"/>
      <c r="K3508" s="110" t="str">
        <f>IF(H3508="","",IF($C$29="간이법","",FPR(H3508,I3508,J3508)))</f>
        <v/>
      </c>
      <c r="L3508" s="111" t="str">
        <f>IF(H3508="","",IF($C$29="상세법",FPV(H3508,K3508),IF(H3508="EI",4,IF(H3508="EO",5.2,IF(H3508="EQ",3.9,IF(H3508="ILF",7.5,IF(H3508="EIF",5.4)))))))</f>
        <v/>
      </c>
      <c r="M3508" s="112" t="str">
        <f t="shared" si="57"/>
        <v/>
      </c>
      <c r="N3508" s="113"/>
    </row>
    <row r="3509" spans="2:14">
      <c r="B3509" s="105"/>
      <c r="C3509" s="106"/>
      <c r="D3509" s="107"/>
      <c r="E3509" s="65"/>
      <c r="F3509" s="64"/>
      <c r="G3509" s="64"/>
      <c r="H3509" s="64"/>
      <c r="I3509" s="70"/>
      <c r="J3509" s="70"/>
      <c r="K3509" s="110" t="str">
        <f>IF(H3509="","",IF($C$29="간이법","",FPR(H3509,I3509,J3509)))</f>
        <v/>
      </c>
      <c r="L3509" s="111" t="str">
        <f>IF(H3509="","",IF($C$29="상세법",FPV(H3509,K3509),IF(H3509="EI",4,IF(H3509="EO",5.2,IF(H3509="EQ",3.9,IF(H3509="ILF",7.5,IF(H3509="EIF",5.4)))))))</f>
        <v/>
      </c>
      <c r="M3509" s="112" t="str">
        <f t="shared" si="57"/>
        <v/>
      </c>
      <c r="N3509" s="113"/>
    </row>
    <row r="3510" spans="2:14">
      <c r="B3510" s="105"/>
      <c r="C3510" s="106"/>
      <c r="D3510" s="107"/>
      <c r="E3510" s="65"/>
      <c r="F3510" s="64"/>
      <c r="G3510" s="64"/>
      <c r="H3510" s="64"/>
      <c r="I3510" s="70"/>
      <c r="J3510" s="70"/>
      <c r="K3510" s="110" t="str">
        <f>IF(H3510="","",IF($C$29="간이법","",FPR(H3510,I3510,J3510)))</f>
        <v/>
      </c>
      <c r="L3510" s="111" t="str">
        <f>IF(H3510="","",IF($C$29="상세법",FPV(H3510,K3510),IF(H3510="EI",4,IF(H3510="EO",5.2,IF(H3510="EQ",3.9,IF(H3510="ILF",7.5,IF(H3510="EIF",5.4)))))))</f>
        <v/>
      </c>
      <c r="M3510" s="112" t="str">
        <f t="shared" si="57"/>
        <v/>
      </c>
      <c r="N3510" s="113"/>
    </row>
    <row r="3511" spans="2:14">
      <c r="B3511" s="105"/>
      <c r="C3511" s="106"/>
      <c r="D3511" s="107"/>
      <c r="E3511" s="65"/>
      <c r="F3511" s="64"/>
      <c r="G3511" s="64"/>
      <c r="H3511" s="64"/>
      <c r="I3511" s="70"/>
      <c r="J3511" s="70"/>
      <c r="K3511" s="110" t="str">
        <f>IF(H3511="","",IF($C$29="간이법","",FPR(H3511,I3511,J3511)))</f>
        <v/>
      </c>
      <c r="L3511" s="111" t="str">
        <f>IF(H3511="","",IF($C$29="상세법",FPV(H3511,K3511),IF(H3511="EI",4,IF(H3511="EO",5.2,IF(H3511="EQ",3.9,IF(H3511="ILF",7.5,IF(H3511="EIF",5.4)))))))</f>
        <v/>
      </c>
      <c r="M3511" s="112" t="str">
        <f t="shared" si="57"/>
        <v/>
      </c>
      <c r="N3511" s="113"/>
    </row>
    <row r="3512" spans="2:14">
      <c r="B3512" s="105"/>
      <c r="C3512" s="106"/>
      <c r="D3512" s="107"/>
      <c r="E3512" s="65"/>
      <c r="F3512" s="64"/>
      <c r="G3512" s="64"/>
      <c r="H3512" s="64"/>
      <c r="I3512" s="70"/>
      <c r="J3512" s="70"/>
      <c r="K3512" s="110" t="str">
        <f>IF(H3512="","",IF($C$29="간이법","",FPR(H3512,I3512,J3512)))</f>
        <v/>
      </c>
      <c r="L3512" s="111" t="str">
        <f>IF(H3512="","",IF($C$29="상세법",FPV(H3512,K3512),IF(H3512="EI",4,IF(H3512="EO",5.2,IF(H3512="EQ",3.9,IF(H3512="ILF",7.5,IF(H3512="EIF",5.4)))))))</f>
        <v/>
      </c>
      <c r="M3512" s="112" t="str">
        <f t="shared" si="57"/>
        <v/>
      </c>
      <c r="N3512" s="113"/>
    </row>
    <row r="3513" spans="2:14">
      <c r="B3513" s="105"/>
      <c r="C3513" s="106"/>
      <c r="D3513" s="107"/>
      <c r="E3513" s="65"/>
      <c r="F3513" s="64"/>
      <c r="G3513" s="64"/>
      <c r="H3513" s="64"/>
      <c r="I3513" s="70"/>
      <c r="J3513" s="70"/>
      <c r="K3513" s="110" t="str">
        <f>IF(H3513="","",IF($C$29="간이법","",FPR(H3513,I3513,J3513)))</f>
        <v/>
      </c>
      <c r="L3513" s="111" t="str">
        <f>IF(H3513="","",IF($C$29="상세법",FPV(H3513,K3513),IF(H3513="EI",4,IF(H3513="EO",5.2,IF(H3513="EQ",3.9,IF(H3513="ILF",7.5,IF(H3513="EIF",5.4)))))))</f>
        <v/>
      </c>
      <c r="M3513" s="112" t="str">
        <f t="shared" ref="M3513:M3576" si="58">IF(L3513="","",L3513*IF(G3513="상",0.7,IF(G3513="중",0.5,IF(G3513="하",0.2,1))))</f>
        <v/>
      </c>
      <c r="N3513" s="113"/>
    </row>
    <row r="3514" spans="2:14">
      <c r="B3514" s="105"/>
      <c r="C3514" s="106"/>
      <c r="D3514" s="107"/>
      <c r="E3514" s="65"/>
      <c r="F3514" s="64"/>
      <c r="G3514" s="64"/>
      <c r="H3514" s="64"/>
      <c r="I3514" s="70"/>
      <c r="J3514" s="70"/>
      <c r="K3514" s="110" t="str">
        <f>IF(H3514="","",IF($C$29="간이법","",FPR(H3514,I3514,J3514)))</f>
        <v/>
      </c>
      <c r="L3514" s="111" t="str">
        <f>IF(H3514="","",IF($C$29="상세법",FPV(H3514,K3514),IF(H3514="EI",4,IF(H3514="EO",5.2,IF(H3514="EQ",3.9,IF(H3514="ILF",7.5,IF(H3514="EIF",5.4)))))))</f>
        <v/>
      </c>
      <c r="M3514" s="112" t="str">
        <f t="shared" si="58"/>
        <v/>
      </c>
      <c r="N3514" s="113"/>
    </row>
    <row r="3515" spans="2:14">
      <c r="B3515" s="105"/>
      <c r="C3515" s="106"/>
      <c r="D3515" s="107"/>
      <c r="E3515" s="65"/>
      <c r="F3515" s="64"/>
      <c r="G3515" s="64"/>
      <c r="H3515" s="64"/>
      <c r="I3515" s="70"/>
      <c r="J3515" s="70"/>
      <c r="K3515" s="110" t="str">
        <f>IF(H3515="","",IF($C$29="간이법","",FPR(H3515,I3515,J3515)))</f>
        <v/>
      </c>
      <c r="L3515" s="111" t="str">
        <f>IF(H3515="","",IF($C$29="상세법",FPV(H3515,K3515),IF(H3515="EI",4,IF(H3515="EO",5.2,IF(H3515="EQ",3.9,IF(H3515="ILF",7.5,IF(H3515="EIF",5.4)))))))</f>
        <v/>
      </c>
      <c r="M3515" s="112" t="str">
        <f t="shared" si="58"/>
        <v/>
      </c>
      <c r="N3515" s="113"/>
    </row>
    <row r="3516" spans="2:14">
      <c r="B3516" s="105"/>
      <c r="C3516" s="106"/>
      <c r="D3516" s="107"/>
      <c r="E3516" s="65"/>
      <c r="F3516" s="64"/>
      <c r="G3516" s="64"/>
      <c r="H3516" s="64"/>
      <c r="I3516" s="70"/>
      <c r="J3516" s="70"/>
      <c r="K3516" s="110" t="str">
        <f>IF(H3516="","",IF($C$29="간이법","",FPR(H3516,I3516,J3516)))</f>
        <v/>
      </c>
      <c r="L3516" s="111" t="str">
        <f>IF(H3516="","",IF($C$29="상세법",FPV(H3516,K3516),IF(H3516="EI",4,IF(H3516="EO",5.2,IF(H3516="EQ",3.9,IF(H3516="ILF",7.5,IF(H3516="EIF",5.4)))))))</f>
        <v/>
      </c>
      <c r="M3516" s="112" t="str">
        <f t="shared" si="58"/>
        <v/>
      </c>
      <c r="N3516" s="113"/>
    </row>
    <row r="3517" spans="2:14">
      <c r="B3517" s="105"/>
      <c r="C3517" s="106"/>
      <c r="D3517" s="107"/>
      <c r="E3517" s="65"/>
      <c r="F3517" s="64"/>
      <c r="G3517" s="64"/>
      <c r="H3517" s="64"/>
      <c r="I3517" s="70"/>
      <c r="J3517" s="70"/>
      <c r="K3517" s="110" t="str">
        <f>IF(H3517="","",IF($C$29="간이법","",FPR(H3517,I3517,J3517)))</f>
        <v/>
      </c>
      <c r="L3517" s="111" t="str">
        <f>IF(H3517="","",IF($C$29="상세법",FPV(H3517,K3517),IF(H3517="EI",4,IF(H3517="EO",5.2,IF(H3517="EQ",3.9,IF(H3517="ILF",7.5,IF(H3517="EIF",5.4)))))))</f>
        <v/>
      </c>
      <c r="M3517" s="112" t="str">
        <f t="shared" si="58"/>
        <v/>
      </c>
      <c r="N3517" s="113"/>
    </row>
    <row r="3518" spans="2:14">
      <c r="B3518" s="105"/>
      <c r="C3518" s="106"/>
      <c r="D3518" s="107"/>
      <c r="E3518" s="65"/>
      <c r="F3518" s="64"/>
      <c r="G3518" s="64"/>
      <c r="H3518" s="64"/>
      <c r="I3518" s="70"/>
      <c r="J3518" s="70"/>
      <c r="K3518" s="110" t="str">
        <f>IF(H3518="","",IF($C$29="간이법","",FPR(H3518,I3518,J3518)))</f>
        <v/>
      </c>
      <c r="L3518" s="111" t="str">
        <f>IF(H3518="","",IF($C$29="상세법",FPV(H3518,K3518),IF(H3518="EI",4,IF(H3518="EO",5.2,IF(H3518="EQ",3.9,IF(H3518="ILF",7.5,IF(H3518="EIF",5.4)))))))</f>
        <v/>
      </c>
      <c r="M3518" s="112" t="str">
        <f t="shared" si="58"/>
        <v/>
      </c>
      <c r="N3518" s="113"/>
    </row>
    <row r="3519" spans="2:14">
      <c r="B3519" s="105"/>
      <c r="C3519" s="106"/>
      <c r="D3519" s="107"/>
      <c r="E3519" s="65"/>
      <c r="F3519" s="64"/>
      <c r="G3519" s="64"/>
      <c r="H3519" s="64"/>
      <c r="I3519" s="70"/>
      <c r="J3519" s="70"/>
      <c r="K3519" s="110" t="str">
        <f>IF(H3519="","",IF($C$29="간이법","",FPR(H3519,I3519,J3519)))</f>
        <v/>
      </c>
      <c r="L3519" s="111" t="str">
        <f>IF(H3519="","",IF($C$29="상세법",FPV(H3519,K3519),IF(H3519="EI",4,IF(H3519="EO",5.2,IF(H3519="EQ",3.9,IF(H3519="ILF",7.5,IF(H3519="EIF",5.4)))))))</f>
        <v/>
      </c>
      <c r="M3519" s="112" t="str">
        <f t="shared" si="58"/>
        <v/>
      </c>
      <c r="N3519" s="113"/>
    </row>
    <row r="3520" spans="2:14">
      <c r="B3520" s="105"/>
      <c r="C3520" s="106"/>
      <c r="D3520" s="107"/>
      <c r="E3520" s="65"/>
      <c r="F3520" s="64"/>
      <c r="G3520" s="64"/>
      <c r="H3520" s="64"/>
      <c r="I3520" s="70"/>
      <c r="J3520" s="70"/>
      <c r="K3520" s="110" t="str">
        <f>IF(H3520="","",IF($C$29="간이법","",FPR(H3520,I3520,J3520)))</f>
        <v/>
      </c>
      <c r="L3520" s="111" t="str">
        <f>IF(H3520="","",IF($C$29="상세법",FPV(H3520,K3520),IF(H3520="EI",4,IF(H3520="EO",5.2,IF(H3520="EQ",3.9,IF(H3520="ILF",7.5,IF(H3520="EIF",5.4)))))))</f>
        <v/>
      </c>
      <c r="M3520" s="112" t="str">
        <f t="shared" si="58"/>
        <v/>
      </c>
      <c r="N3520" s="113"/>
    </row>
    <row r="3521" spans="2:14">
      <c r="B3521" s="105"/>
      <c r="C3521" s="106"/>
      <c r="D3521" s="107"/>
      <c r="E3521" s="65"/>
      <c r="F3521" s="64"/>
      <c r="G3521" s="64"/>
      <c r="H3521" s="64"/>
      <c r="I3521" s="70"/>
      <c r="J3521" s="70"/>
      <c r="K3521" s="110" t="str">
        <f>IF(H3521="","",IF($C$29="간이법","",FPR(H3521,I3521,J3521)))</f>
        <v/>
      </c>
      <c r="L3521" s="111" t="str">
        <f>IF(H3521="","",IF($C$29="상세법",FPV(H3521,K3521),IF(H3521="EI",4,IF(H3521="EO",5.2,IF(H3521="EQ",3.9,IF(H3521="ILF",7.5,IF(H3521="EIF",5.4)))))))</f>
        <v/>
      </c>
      <c r="M3521" s="112" t="str">
        <f t="shared" si="58"/>
        <v/>
      </c>
      <c r="N3521" s="113"/>
    </row>
    <row r="3522" spans="2:14">
      <c r="B3522" s="105"/>
      <c r="C3522" s="106"/>
      <c r="D3522" s="107"/>
      <c r="E3522" s="65"/>
      <c r="F3522" s="64"/>
      <c r="G3522" s="64"/>
      <c r="H3522" s="64"/>
      <c r="I3522" s="70"/>
      <c r="J3522" s="70"/>
      <c r="K3522" s="110" t="str">
        <f>IF(H3522="","",IF($C$29="간이법","",FPR(H3522,I3522,J3522)))</f>
        <v/>
      </c>
      <c r="L3522" s="111" t="str">
        <f>IF(H3522="","",IF($C$29="상세법",FPV(H3522,K3522),IF(H3522="EI",4,IF(H3522="EO",5.2,IF(H3522="EQ",3.9,IF(H3522="ILF",7.5,IF(H3522="EIF",5.4)))))))</f>
        <v/>
      </c>
      <c r="M3522" s="112" t="str">
        <f t="shared" si="58"/>
        <v/>
      </c>
      <c r="N3522" s="113"/>
    </row>
    <row r="3523" spans="2:14">
      <c r="B3523" s="105"/>
      <c r="C3523" s="106"/>
      <c r="D3523" s="107"/>
      <c r="E3523" s="65"/>
      <c r="F3523" s="64"/>
      <c r="G3523" s="64"/>
      <c r="H3523" s="64"/>
      <c r="I3523" s="70"/>
      <c r="J3523" s="70"/>
      <c r="K3523" s="110" t="str">
        <f>IF(H3523="","",IF($C$29="간이법","",FPR(H3523,I3523,J3523)))</f>
        <v/>
      </c>
      <c r="L3523" s="111" t="str">
        <f>IF(H3523="","",IF($C$29="상세법",FPV(H3523,K3523),IF(H3523="EI",4,IF(H3523="EO",5.2,IF(H3523="EQ",3.9,IF(H3523="ILF",7.5,IF(H3523="EIF",5.4)))))))</f>
        <v/>
      </c>
      <c r="M3523" s="112" t="str">
        <f t="shared" si="58"/>
        <v/>
      </c>
      <c r="N3523" s="113"/>
    </row>
    <row r="3524" spans="2:14">
      <c r="B3524" s="105"/>
      <c r="C3524" s="106"/>
      <c r="D3524" s="107"/>
      <c r="E3524" s="65"/>
      <c r="F3524" s="64"/>
      <c r="G3524" s="64"/>
      <c r="H3524" s="64"/>
      <c r="I3524" s="70"/>
      <c r="J3524" s="70"/>
      <c r="K3524" s="110" t="str">
        <f>IF(H3524="","",IF($C$29="간이법","",FPR(H3524,I3524,J3524)))</f>
        <v/>
      </c>
      <c r="L3524" s="111" t="str">
        <f>IF(H3524="","",IF($C$29="상세법",FPV(H3524,K3524),IF(H3524="EI",4,IF(H3524="EO",5.2,IF(H3524="EQ",3.9,IF(H3524="ILF",7.5,IF(H3524="EIF",5.4)))))))</f>
        <v/>
      </c>
      <c r="M3524" s="112" t="str">
        <f t="shared" si="58"/>
        <v/>
      </c>
      <c r="N3524" s="113"/>
    </row>
    <row r="3525" spans="2:14">
      <c r="B3525" s="105"/>
      <c r="C3525" s="106"/>
      <c r="D3525" s="107"/>
      <c r="E3525" s="65"/>
      <c r="F3525" s="64"/>
      <c r="G3525" s="64"/>
      <c r="H3525" s="64"/>
      <c r="I3525" s="70"/>
      <c r="J3525" s="70"/>
      <c r="K3525" s="110" t="str">
        <f>IF(H3525="","",IF($C$29="간이법","",FPR(H3525,I3525,J3525)))</f>
        <v/>
      </c>
      <c r="L3525" s="111" t="str">
        <f>IF(H3525="","",IF($C$29="상세법",FPV(H3525,K3525),IF(H3525="EI",4,IF(H3525="EO",5.2,IF(H3525="EQ",3.9,IF(H3525="ILF",7.5,IF(H3525="EIF",5.4)))))))</f>
        <v/>
      </c>
      <c r="M3525" s="112" t="str">
        <f t="shared" si="58"/>
        <v/>
      </c>
      <c r="N3525" s="113"/>
    </row>
    <row r="3526" spans="2:14">
      <c r="B3526" s="105"/>
      <c r="C3526" s="106"/>
      <c r="D3526" s="107"/>
      <c r="E3526" s="65"/>
      <c r="F3526" s="64"/>
      <c r="G3526" s="64"/>
      <c r="H3526" s="64"/>
      <c r="I3526" s="70"/>
      <c r="J3526" s="70"/>
      <c r="K3526" s="110" t="str">
        <f>IF(H3526="","",IF($C$29="간이법","",FPR(H3526,I3526,J3526)))</f>
        <v/>
      </c>
      <c r="L3526" s="111" t="str">
        <f>IF(H3526="","",IF($C$29="상세법",FPV(H3526,K3526),IF(H3526="EI",4,IF(H3526="EO",5.2,IF(H3526="EQ",3.9,IF(H3526="ILF",7.5,IF(H3526="EIF",5.4)))))))</f>
        <v/>
      </c>
      <c r="M3526" s="112" t="str">
        <f t="shared" si="58"/>
        <v/>
      </c>
      <c r="N3526" s="113"/>
    </row>
    <row r="3527" spans="2:14">
      <c r="B3527" s="105"/>
      <c r="C3527" s="106"/>
      <c r="D3527" s="107"/>
      <c r="E3527" s="65"/>
      <c r="F3527" s="64"/>
      <c r="G3527" s="64"/>
      <c r="H3527" s="64"/>
      <c r="I3527" s="70"/>
      <c r="J3527" s="70"/>
      <c r="K3527" s="110" t="str">
        <f>IF(H3527="","",IF($C$29="간이법","",FPR(H3527,I3527,J3527)))</f>
        <v/>
      </c>
      <c r="L3527" s="111" t="str">
        <f>IF(H3527="","",IF($C$29="상세법",FPV(H3527,K3527),IF(H3527="EI",4,IF(H3527="EO",5.2,IF(H3527="EQ",3.9,IF(H3527="ILF",7.5,IF(H3527="EIF",5.4)))))))</f>
        <v/>
      </c>
      <c r="M3527" s="112" t="str">
        <f t="shared" si="58"/>
        <v/>
      </c>
      <c r="N3527" s="113"/>
    </row>
    <row r="3528" spans="2:14">
      <c r="B3528" s="105"/>
      <c r="C3528" s="106"/>
      <c r="D3528" s="107"/>
      <c r="E3528" s="65"/>
      <c r="F3528" s="64"/>
      <c r="G3528" s="64"/>
      <c r="H3528" s="64"/>
      <c r="I3528" s="70"/>
      <c r="J3528" s="70"/>
      <c r="K3528" s="110" t="str">
        <f>IF(H3528="","",IF($C$29="간이법","",FPR(H3528,I3528,J3528)))</f>
        <v/>
      </c>
      <c r="L3528" s="111" t="str">
        <f>IF(H3528="","",IF($C$29="상세법",FPV(H3528,K3528),IF(H3528="EI",4,IF(H3528="EO",5.2,IF(H3528="EQ",3.9,IF(H3528="ILF",7.5,IF(H3528="EIF",5.4)))))))</f>
        <v/>
      </c>
      <c r="M3528" s="112" t="str">
        <f t="shared" si="58"/>
        <v/>
      </c>
      <c r="N3528" s="113"/>
    </row>
    <row r="3529" spans="2:14">
      <c r="B3529" s="105"/>
      <c r="C3529" s="106"/>
      <c r="D3529" s="107"/>
      <c r="E3529" s="65"/>
      <c r="F3529" s="64"/>
      <c r="G3529" s="64"/>
      <c r="H3529" s="64"/>
      <c r="I3529" s="70"/>
      <c r="J3529" s="70"/>
      <c r="K3529" s="110" t="str">
        <f>IF(H3529="","",IF($C$29="간이법","",FPR(H3529,I3529,J3529)))</f>
        <v/>
      </c>
      <c r="L3529" s="111" t="str">
        <f>IF(H3529="","",IF($C$29="상세법",FPV(H3529,K3529),IF(H3529="EI",4,IF(H3529="EO",5.2,IF(H3529="EQ",3.9,IF(H3529="ILF",7.5,IF(H3529="EIF",5.4)))))))</f>
        <v/>
      </c>
      <c r="M3529" s="112" t="str">
        <f t="shared" si="58"/>
        <v/>
      </c>
      <c r="N3529" s="113"/>
    </row>
    <row r="3530" spans="2:14">
      <c r="B3530" s="105"/>
      <c r="C3530" s="106"/>
      <c r="D3530" s="107"/>
      <c r="E3530" s="65"/>
      <c r="F3530" s="64"/>
      <c r="G3530" s="64"/>
      <c r="H3530" s="64"/>
      <c r="I3530" s="70"/>
      <c r="J3530" s="70"/>
      <c r="K3530" s="110" t="str">
        <f>IF(H3530="","",IF($C$29="간이법","",FPR(H3530,I3530,J3530)))</f>
        <v/>
      </c>
      <c r="L3530" s="111" t="str">
        <f>IF(H3530="","",IF($C$29="상세법",FPV(H3530,K3530),IF(H3530="EI",4,IF(H3530="EO",5.2,IF(H3530="EQ",3.9,IF(H3530="ILF",7.5,IF(H3530="EIF",5.4)))))))</f>
        <v/>
      </c>
      <c r="M3530" s="112" t="str">
        <f t="shared" si="58"/>
        <v/>
      </c>
      <c r="N3530" s="113"/>
    </row>
    <row r="3531" spans="2:14">
      <c r="B3531" s="105"/>
      <c r="C3531" s="106"/>
      <c r="D3531" s="107"/>
      <c r="E3531" s="65"/>
      <c r="F3531" s="64"/>
      <c r="G3531" s="64"/>
      <c r="H3531" s="64"/>
      <c r="I3531" s="70"/>
      <c r="J3531" s="70"/>
      <c r="K3531" s="110" t="str">
        <f>IF(H3531="","",IF($C$29="간이법","",FPR(H3531,I3531,J3531)))</f>
        <v/>
      </c>
      <c r="L3531" s="111" t="str">
        <f>IF(H3531="","",IF($C$29="상세법",FPV(H3531,K3531),IF(H3531="EI",4,IF(H3531="EO",5.2,IF(H3531="EQ",3.9,IF(H3531="ILF",7.5,IF(H3531="EIF",5.4)))))))</f>
        <v/>
      </c>
      <c r="M3531" s="112" t="str">
        <f t="shared" si="58"/>
        <v/>
      </c>
      <c r="N3531" s="113"/>
    </row>
    <row r="3532" spans="2:14">
      <c r="B3532" s="105"/>
      <c r="C3532" s="106"/>
      <c r="D3532" s="107"/>
      <c r="E3532" s="65"/>
      <c r="F3532" s="64"/>
      <c r="G3532" s="64"/>
      <c r="H3532" s="64"/>
      <c r="I3532" s="70"/>
      <c r="J3532" s="70"/>
      <c r="K3532" s="110" t="str">
        <f>IF(H3532="","",IF($C$29="간이법","",FPR(H3532,I3532,J3532)))</f>
        <v/>
      </c>
      <c r="L3532" s="111" t="str">
        <f>IF(H3532="","",IF($C$29="상세법",FPV(H3532,K3532),IF(H3532="EI",4,IF(H3532="EO",5.2,IF(H3532="EQ",3.9,IF(H3532="ILF",7.5,IF(H3532="EIF",5.4)))))))</f>
        <v/>
      </c>
      <c r="M3532" s="112" t="str">
        <f t="shared" si="58"/>
        <v/>
      </c>
      <c r="N3532" s="113"/>
    </row>
    <row r="3533" spans="2:14">
      <c r="B3533" s="105"/>
      <c r="C3533" s="106"/>
      <c r="D3533" s="107"/>
      <c r="E3533" s="65"/>
      <c r="F3533" s="64"/>
      <c r="G3533" s="64"/>
      <c r="H3533" s="64"/>
      <c r="I3533" s="70"/>
      <c r="J3533" s="70"/>
      <c r="K3533" s="110" t="str">
        <f>IF(H3533="","",IF($C$29="간이법","",FPR(H3533,I3533,J3533)))</f>
        <v/>
      </c>
      <c r="L3533" s="111" t="str">
        <f>IF(H3533="","",IF($C$29="상세법",FPV(H3533,K3533),IF(H3533="EI",4,IF(H3533="EO",5.2,IF(H3533="EQ",3.9,IF(H3533="ILF",7.5,IF(H3533="EIF",5.4)))))))</f>
        <v/>
      </c>
      <c r="M3533" s="112" t="str">
        <f t="shared" si="58"/>
        <v/>
      </c>
      <c r="N3533" s="113"/>
    </row>
    <row r="3534" spans="2:14">
      <c r="B3534" s="105"/>
      <c r="C3534" s="106"/>
      <c r="D3534" s="107"/>
      <c r="E3534" s="65"/>
      <c r="F3534" s="64"/>
      <c r="G3534" s="64"/>
      <c r="H3534" s="64"/>
      <c r="I3534" s="70"/>
      <c r="J3534" s="70"/>
      <c r="K3534" s="110" t="str">
        <f>IF(H3534="","",IF($C$29="간이법","",FPR(H3534,I3534,J3534)))</f>
        <v/>
      </c>
      <c r="L3534" s="111" t="str">
        <f>IF(H3534="","",IF($C$29="상세법",FPV(H3534,K3534),IF(H3534="EI",4,IF(H3534="EO",5.2,IF(H3534="EQ",3.9,IF(H3534="ILF",7.5,IF(H3534="EIF",5.4)))))))</f>
        <v/>
      </c>
      <c r="M3534" s="112" t="str">
        <f t="shared" si="58"/>
        <v/>
      </c>
      <c r="N3534" s="113"/>
    </row>
    <row r="3535" spans="2:14">
      <c r="B3535" s="105"/>
      <c r="C3535" s="106"/>
      <c r="D3535" s="107"/>
      <c r="E3535" s="65"/>
      <c r="F3535" s="64"/>
      <c r="G3535" s="64"/>
      <c r="H3535" s="64"/>
      <c r="I3535" s="70"/>
      <c r="J3535" s="70"/>
      <c r="K3535" s="110" t="str">
        <f>IF(H3535="","",IF($C$29="간이법","",FPR(H3535,I3535,J3535)))</f>
        <v/>
      </c>
      <c r="L3535" s="111" t="str">
        <f>IF(H3535="","",IF($C$29="상세법",FPV(H3535,K3535),IF(H3535="EI",4,IF(H3535="EO",5.2,IF(H3535="EQ",3.9,IF(H3535="ILF",7.5,IF(H3535="EIF",5.4)))))))</f>
        <v/>
      </c>
      <c r="M3535" s="112" t="str">
        <f t="shared" si="58"/>
        <v/>
      </c>
      <c r="N3535" s="113"/>
    </row>
    <row r="3536" spans="2:14">
      <c r="B3536" s="105"/>
      <c r="C3536" s="106"/>
      <c r="D3536" s="107"/>
      <c r="E3536" s="65"/>
      <c r="F3536" s="64"/>
      <c r="G3536" s="64"/>
      <c r="H3536" s="64"/>
      <c r="I3536" s="70"/>
      <c r="J3536" s="70"/>
      <c r="K3536" s="110" t="str">
        <f>IF(H3536="","",IF($C$29="간이법","",FPR(H3536,I3536,J3536)))</f>
        <v/>
      </c>
      <c r="L3536" s="111" t="str">
        <f>IF(H3536="","",IF($C$29="상세법",FPV(H3536,K3536),IF(H3536="EI",4,IF(H3536="EO",5.2,IF(H3536="EQ",3.9,IF(H3536="ILF",7.5,IF(H3536="EIF",5.4)))))))</f>
        <v/>
      </c>
      <c r="M3536" s="112" t="str">
        <f t="shared" si="58"/>
        <v/>
      </c>
      <c r="N3536" s="113"/>
    </row>
    <row r="3537" spans="2:14">
      <c r="B3537" s="105"/>
      <c r="C3537" s="106"/>
      <c r="D3537" s="107"/>
      <c r="E3537" s="65"/>
      <c r="F3537" s="64"/>
      <c r="G3537" s="64"/>
      <c r="H3537" s="64"/>
      <c r="I3537" s="70"/>
      <c r="J3537" s="70"/>
      <c r="K3537" s="110" t="str">
        <f>IF(H3537="","",IF($C$29="간이법","",FPR(H3537,I3537,J3537)))</f>
        <v/>
      </c>
      <c r="L3537" s="111" t="str">
        <f>IF(H3537="","",IF($C$29="상세법",FPV(H3537,K3537),IF(H3537="EI",4,IF(H3537="EO",5.2,IF(H3537="EQ",3.9,IF(H3537="ILF",7.5,IF(H3537="EIF",5.4)))))))</f>
        <v/>
      </c>
      <c r="M3537" s="112" t="str">
        <f t="shared" si="58"/>
        <v/>
      </c>
      <c r="N3537" s="113"/>
    </row>
    <row r="3538" spans="2:14">
      <c r="B3538" s="105"/>
      <c r="C3538" s="106"/>
      <c r="D3538" s="107"/>
      <c r="E3538" s="65"/>
      <c r="F3538" s="64"/>
      <c r="G3538" s="64"/>
      <c r="H3538" s="64"/>
      <c r="I3538" s="70"/>
      <c r="J3538" s="70"/>
      <c r="K3538" s="110" t="str">
        <f>IF(H3538="","",IF($C$29="간이법","",FPR(H3538,I3538,J3538)))</f>
        <v/>
      </c>
      <c r="L3538" s="111" t="str">
        <f>IF(H3538="","",IF($C$29="상세법",FPV(H3538,K3538),IF(H3538="EI",4,IF(H3538="EO",5.2,IF(H3538="EQ",3.9,IF(H3538="ILF",7.5,IF(H3538="EIF",5.4)))))))</f>
        <v/>
      </c>
      <c r="M3538" s="112" t="str">
        <f t="shared" si="58"/>
        <v/>
      </c>
      <c r="N3538" s="113"/>
    </row>
    <row r="3539" spans="2:14">
      <c r="B3539" s="105"/>
      <c r="C3539" s="106"/>
      <c r="D3539" s="107"/>
      <c r="E3539" s="65"/>
      <c r="F3539" s="64"/>
      <c r="G3539" s="64"/>
      <c r="H3539" s="64"/>
      <c r="I3539" s="70"/>
      <c r="J3539" s="70"/>
      <c r="K3539" s="110" t="str">
        <f>IF(H3539="","",IF($C$29="간이법","",FPR(H3539,I3539,J3539)))</f>
        <v/>
      </c>
      <c r="L3539" s="111" t="str">
        <f>IF(H3539="","",IF($C$29="상세법",FPV(H3539,K3539),IF(H3539="EI",4,IF(H3539="EO",5.2,IF(H3539="EQ",3.9,IF(H3539="ILF",7.5,IF(H3539="EIF",5.4)))))))</f>
        <v/>
      </c>
      <c r="M3539" s="112" t="str">
        <f t="shared" si="58"/>
        <v/>
      </c>
      <c r="N3539" s="113"/>
    </row>
    <row r="3540" spans="2:14">
      <c r="B3540" s="105"/>
      <c r="C3540" s="106"/>
      <c r="D3540" s="107"/>
      <c r="E3540" s="65"/>
      <c r="F3540" s="64"/>
      <c r="G3540" s="64"/>
      <c r="H3540" s="64"/>
      <c r="I3540" s="70"/>
      <c r="J3540" s="70"/>
      <c r="K3540" s="110" t="str">
        <f>IF(H3540="","",IF($C$29="간이법","",FPR(H3540,I3540,J3540)))</f>
        <v/>
      </c>
      <c r="L3540" s="111" t="str">
        <f>IF(H3540="","",IF($C$29="상세법",FPV(H3540,K3540),IF(H3540="EI",4,IF(H3540="EO",5.2,IF(H3540="EQ",3.9,IF(H3540="ILF",7.5,IF(H3540="EIF",5.4)))))))</f>
        <v/>
      </c>
      <c r="M3540" s="112" t="str">
        <f t="shared" si="58"/>
        <v/>
      </c>
      <c r="N3540" s="113"/>
    </row>
    <row r="3541" spans="2:14">
      <c r="B3541" s="105"/>
      <c r="C3541" s="106"/>
      <c r="D3541" s="107"/>
      <c r="E3541" s="65"/>
      <c r="F3541" s="64"/>
      <c r="G3541" s="64"/>
      <c r="H3541" s="64"/>
      <c r="I3541" s="70"/>
      <c r="J3541" s="70"/>
      <c r="K3541" s="110" t="str">
        <f>IF(H3541="","",IF($C$29="간이법","",FPR(H3541,I3541,J3541)))</f>
        <v/>
      </c>
      <c r="L3541" s="111" t="str">
        <f>IF(H3541="","",IF($C$29="상세법",FPV(H3541,K3541),IF(H3541="EI",4,IF(H3541="EO",5.2,IF(H3541="EQ",3.9,IF(H3541="ILF",7.5,IF(H3541="EIF",5.4)))))))</f>
        <v/>
      </c>
      <c r="M3541" s="112" t="str">
        <f t="shared" si="58"/>
        <v/>
      </c>
      <c r="N3541" s="113"/>
    </row>
    <row r="3542" spans="2:14">
      <c r="B3542" s="105"/>
      <c r="C3542" s="106"/>
      <c r="D3542" s="107"/>
      <c r="E3542" s="65"/>
      <c r="F3542" s="64"/>
      <c r="G3542" s="64"/>
      <c r="H3542" s="64"/>
      <c r="I3542" s="70"/>
      <c r="J3542" s="70"/>
      <c r="K3542" s="110" t="str">
        <f>IF(H3542="","",IF($C$29="간이법","",FPR(H3542,I3542,J3542)))</f>
        <v/>
      </c>
      <c r="L3542" s="111" t="str">
        <f>IF(H3542="","",IF($C$29="상세법",FPV(H3542,K3542),IF(H3542="EI",4,IF(H3542="EO",5.2,IF(H3542="EQ",3.9,IF(H3542="ILF",7.5,IF(H3542="EIF",5.4)))))))</f>
        <v/>
      </c>
      <c r="M3542" s="112" t="str">
        <f t="shared" si="58"/>
        <v/>
      </c>
      <c r="N3542" s="113"/>
    </row>
    <row r="3543" spans="2:14">
      <c r="B3543" s="105"/>
      <c r="C3543" s="106"/>
      <c r="D3543" s="107"/>
      <c r="E3543" s="65"/>
      <c r="F3543" s="64"/>
      <c r="G3543" s="64"/>
      <c r="H3543" s="64"/>
      <c r="I3543" s="70"/>
      <c r="J3543" s="70"/>
      <c r="K3543" s="110" t="str">
        <f>IF(H3543="","",IF($C$29="간이법","",FPR(H3543,I3543,J3543)))</f>
        <v/>
      </c>
      <c r="L3543" s="111" t="str">
        <f>IF(H3543="","",IF($C$29="상세법",FPV(H3543,K3543),IF(H3543="EI",4,IF(H3543="EO",5.2,IF(H3543="EQ",3.9,IF(H3543="ILF",7.5,IF(H3543="EIF",5.4)))))))</f>
        <v/>
      </c>
      <c r="M3543" s="112" t="str">
        <f t="shared" si="58"/>
        <v/>
      </c>
      <c r="N3543" s="113"/>
    </row>
    <row r="3544" spans="2:14">
      <c r="B3544" s="105"/>
      <c r="C3544" s="106"/>
      <c r="D3544" s="107"/>
      <c r="E3544" s="65"/>
      <c r="F3544" s="64"/>
      <c r="G3544" s="64"/>
      <c r="H3544" s="64"/>
      <c r="I3544" s="70"/>
      <c r="J3544" s="70"/>
      <c r="K3544" s="110" t="str">
        <f>IF(H3544="","",IF($C$29="간이법","",FPR(H3544,I3544,J3544)))</f>
        <v/>
      </c>
      <c r="L3544" s="111" t="str">
        <f>IF(H3544="","",IF($C$29="상세법",FPV(H3544,K3544),IF(H3544="EI",4,IF(H3544="EO",5.2,IF(H3544="EQ",3.9,IF(H3544="ILF",7.5,IF(H3544="EIF",5.4)))))))</f>
        <v/>
      </c>
      <c r="M3544" s="112" t="str">
        <f t="shared" si="58"/>
        <v/>
      </c>
      <c r="N3544" s="113"/>
    </row>
    <row r="3545" spans="2:14">
      <c r="B3545" s="105"/>
      <c r="C3545" s="106"/>
      <c r="D3545" s="107"/>
      <c r="E3545" s="65"/>
      <c r="F3545" s="64"/>
      <c r="G3545" s="64"/>
      <c r="H3545" s="64"/>
      <c r="I3545" s="70"/>
      <c r="J3545" s="70"/>
      <c r="K3545" s="110" t="str">
        <f>IF(H3545="","",IF($C$29="간이법","",FPR(H3545,I3545,J3545)))</f>
        <v/>
      </c>
      <c r="L3545" s="111" t="str">
        <f>IF(H3545="","",IF($C$29="상세법",FPV(H3545,K3545),IF(H3545="EI",4,IF(H3545="EO",5.2,IF(H3545="EQ",3.9,IF(H3545="ILF",7.5,IF(H3545="EIF",5.4)))))))</f>
        <v/>
      </c>
      <c r="M3545" s="112" t="str">
        <f t="shared" si="58"/>
        <v/>
      </c>
      <c r="N3545" s="113"/>
    </row>
    <row r="3546" spans="2:14">
      <c r="B3546" s="105"/>
      <c r="C3546" s="106"/>
      <c r="D3546" s="107"/>
      <c r="E3546" s="65"/>
      <c r="F3546" s="64"/>
      <c r="G3546" s="64"/>
      <c r="H3546" s="64"/>
      <c r="I3546" s="70"/>
      <c r="J3546" s="70"/>
      <c r="K3546" s="110" t="str">
        <f>IF(H3546="","",IF($C$29="간이법","",FPR(H3546,I3546,J3546)))</f>
        <v/>
      </c>
      <c r="L3546" s="111" t="str">
        <f>IF(H3546="","",IF($C$29="상세법",FPV(H3546,K3546),IF(H3546="EI",4,IF(H3546="EO",5.2,IF(H3546="EQ",3.9,IF(H3546="ILF",7.5,IF(H3546="EIF",5.4)))))))</f>
        <v/>
      </c>
      <c r="M3546" s="112" t="str">
        <f t="shared" si="58"/>
        <v/>
      </c>
      <c r="N3546" s="113"/>
    </row>
    <row r="3547" spans="2:14">
      <c r="B3547" s="105"/>
      <c r="C3547" s="106"/>
      <c r="D3547" s="107"/>
      <c r="E3547" s="65"/>
      <c r="F3547" s="64"/>
      <c r="G3547" s="64"/>
      <c r="H3547" s="64"/>
      <c r="I3547" s="70"/>
      <c r="J3547" s="70"/>
      <c r="K3547" s="110" t="str">
        <f>IF(H3547="","",IF($C$29="간이법","",FPR(H3547,I3547,J3547)))</f>
        <v/>
      </c>
      <c r="L3547" s="111" t="str">
        <f>IF(H3547="","",IF($C$29="상세법",FPV(H3547,K3547),IF(H3547="EI",4,IF(H3547="EO",5.2,IF(H3547="EQ",3.9,IF(H3547="ILF",7.5,IF(H3547="EIF",5.4)))))))</f>
        <v/>
      </c>
      <c r="M3547" s="112" t="str">
        <f t="shared" si="58"/>
        <v/>
      </c>
      <c r="N3547" s="113"/>
    </row>
    <row r="3548" spans="2:14">
      <c r="B3548" s="105"/>
      <c r="C3548" s="106"/>
      <c r="D3548" s="107"/>
      <c r="E3548" s="65"/>
      <c r="F3548" s="64"/>
      <c r="G3548" s="64"/>
      <c r="H3548" s="64"/>
      <c r="I3548" s="70"/>
      <c r="J3548" s="70"/>
      <c r="K3548" s="110" t="str">
        <f>IF(H3548="","",IF($C$29="간이법","",FPR(H3548,I3548,J3548)))</f>
        <v/>
      </c>
      <c r="L3548" s="111" t="str">
        <f>IF(H3548="","",IF($C$29="상세법",FPV(H3548,K3548),IF(H3548="EI",4,IF(H3548="EO",5.2,IF(H3548="EQ",3.9,IF(H3548="ILF",7.5,IF(H3548="EIF",5.4)))))))</f>
        <v/>
      </c>
      <c r="M3548" s="112" t="str">
        <f t="shared" si="58"/>
        <v/>
      </c>
      <c r="N3548" s="113"/>
    </row>
    <row r="3549" spans="2:14">
      <c r="B3549" s="105"/>
      <c r="C3549" s="106"/>
      <c r="D3549" s="107"/>
      <c r="E3549" s="65"/>
      <c r="F3549" s="64"/>
      <c r="G3549" s="64"/>
      <c r="H3549" s="64"/>
      <c r="I3549" s="70"/>
      <c r="J3549" s="70"/>
      <c r="K3549" s="110" t="str">
        <f>IF(H3549="","",IF($C$29="간이법","",FPR(H3549,I3549,J3549)))</f>
        <v/>
      </c>
      <c r="L3549" s="111" t="str">
        <f>IF(H3549="","",IF($C$29="상세법",FPV(H3549,K3549),IF(H3549="EI",4,IF(H3549="EO",5.2,IF(H3549="EQ",3.9,IF(H3549="ILF",7.5,IF(H3549="EIF",5.4)))))))</f>
        <v/>
      </c>
      <c r="M3549" s="112" t="str">
        <f t="shared" si="58"/>
        <v/>
      </c>
      <c r="N3549" s="113"/>
    </row>
    <row r="3550" spans="2:14">
      <c r="B3550" s="105"/>
      <c r="C3550" s="106"/>
      <c r="D3550" s="107"/>
      <c r="E3550" s="65"/>
      <c r="F3550" s="64"/>
      <c r="G3550" s="64"/>
      <c r="H3550" s="64"/>
      <c r="I3550" s="70"/>
      <c r="J3550" s="70"/>
      <c r="K3550" s="110" t="str">
        <f>IF(H3550="","",IF($C$29="간이법","",FPR(H3550,I3550,J3550)))</f>
        <v/>
      </c>
      <c r="L3550" s="111" t="str">
        <f>IF(H3550="","",IF($C$29="상세법",FPV(H3550,K3550),IF(H3550="EI",4,IF(H3550="EO",5.2,IF(H3550="EQ",3.9,IF(H3550="ILF",7.5,IF(H3550="EIF",5.4)))))))</f>
        <v/>
      </c>
      <c r="M3550" s="112" t="str">
        <f t="shared" si="58"/>
        <v/>
      </c>
      <c r="N3550" s="113"/>
    </row>
    <row r="3551" spans="2:14">
      <c r="B3551" s="105"/>
      <c r="C3551" s="106"/>
      <c r="D3551" s="107"/>
      <c r="E3551" s="65"/>
      <c r="F3551" s="64"/>
      <c r="G3551" s="64"/>
      <c r="H3551" s="64"/>
      <c r="I3551" s="70"/>
      <c r="J3551" s="70"/>
      <c r="K3551" s="110" t="str">
        <f>IF(H3551="","",IF($C$29="간이법","",FPR(H3551,I3551,J3551)))</f>
        <v/>
      </c>
      <c r="L3551" s="111" t="str">
        <f>IF(H3551="","",IF($C$29="상세법",FPV(H3551,K3551),IF(H3551="EI",4,IF(H3551="EO",5.2,IF(H3551="EQ",3.9,IF(H3551="ILF",7.5,IF(H3551="EIF",5.4)))))))</f>
        <v/>
      </c>
      <c r="M3551" s="112" t="str">
        <f t="shared" si="58"/>
        <v/>
      </c>
      <c r="N3551" s="113"/>
    </row>
    <row r="3552" spans="2:14">
      <c r="B3552" s="105"/>
      <c r="C3552" s="106"/>
      <c r="D3552" s="107"/>
      <c r="E3552" s="65"/>
      <c r="F3552" s="64"/>
      <c r="G3552" s="64"/>
      <c r="H3552" s="64"/>
      <c r="I3552" s="70"/>
      <c r="J3552" s="70"/>
      <c r="K3552" s="110" t="str">
        <f>IF(H3552="","",IF($C$29="간이법","",FPR(H3552,I3552,J3552)))</f>
        <v/>
      </c>
      <c r="L3552" s="111" t="str">
        <f>IF(H3552="","",IF($C$29="상세법",FPV(H3552,K3552),IF(H3552="EI",4,IF(H3552="EO",5.2,IF(H3552="EQ",3.9,IF(H3552="ILF",7.5,IF(H3552="EIF",5.4)))))))</f>
        <v/>
      </c>
      <c r="M3552" s="112" t="str">
        <f t="shared" si="58"/>
        <v/>
      </c>
      <c r="N3552" s="113"/>
    </row>
    <row r="3553" spans="2:14">
      <c r="B3553" s="105"/>
      <c r="C3553" s="106"/>
      <c r="D3553" s="107"/>
      <c r="E3553" s="65"/>
      <c r="F3553" s="64"/>
      <c r="G3553" s="64"/>
      <c r="H3553" s="64"/>
      <c r="I3553" s="70"/>
      <c r="J3553" s="70"/>
      <c r="K3553" s="110" t="str">
        <f>IF(H3553="","",IF($C$29="간이법","",FPR(H3553,I3553,J3553)))</f>
        <v/>
      </c>
      <c r="L3553" s="111" t="str">
        <f>IF(H3553="","",IF($C$29="상세법",FPV(H3553,K3553),IF(H3553="EI",4,IF(H3553="EO",5.2,IF(H3553="EQ",3.9,IF(H3553="ILF",7.5,IF(H3553="EIF",5.4)))))))</f>
        <v/>
      </c>
      <c r="M3553" s="112" t="str">
        <f t="shared" si="58"/>
        <v/>
      </c>
      <c r="N3553" s="113"/>
    </row>
    <row r="3554" spans="2:14">
      <c r="B3554" s="105"/>
      <c r="C3554" s="106"/>
      <c r="D3554" s="107"/>
      <c r="E3554" s="65"/>
      <c r="F3554" s="64"/>
      <c r="G3554" s="64"/>
      <c r="H3554" s="64"/>
      <c r="I3554" s="70"/>
      <c r="J3554" s="70"/>
      <c r="K3554" s="110" t="str">
        <f>IF(H3554="","",IF($C$29="간이법","",FPR(H3554,I3554,J3554)))</f>
        <v/>
      </c>
      <c r="L3554" s="111" t="str">
        <f>IF(H3554="","",IF($C$29="상세법",FPV(H3554,K3554),IF(H3554="EI",4,IF(H3554="EO",5.2,IF(H3554="EQ",3.9,IF(H3554="ILF",7.5,IF(H3554="EIF",5.4)))))))</f>
        <v/>
      </c>
      <c r="M3554" s="112" t="str">
        <f t="shared" si="58"/>
        <v/>
      </c>
      <c r="N3554" s="113"/>
    </row>
    <row r="3555" spans="2:14">
      <c r="B3555" s="105"/>
      <c r="C3555" s="106"/>
      <c r="D3555" s="107"/>
      <c r="E3555" s="65"/>
      <c r="F3555" s="64"/>
      <c r="G3555" s="64"/>
      <c r="H3555" s="64"/>
      <c r="I3555" s="70"/>
      <c r="J3555" s="70"/>
      <c r="K3555" s="110" t="str">
        <f>IF(H3555="","",IF($C$29="간이법","",FPR(H3555,I3555,J3555)))</f>
        <v/>
      </c>
      <c r="L3555" s="111" t="str">
        <f>IF(H3555="","",IF($C$29="상세법",FPV(H3555,K3555),IF(H3555="EI",4,IF(H3555="EO",5.2,IF(H3555="EQ",3.9,IF(H3555="ILF",7.5,IF(H3555="EIF",5.4)))))))</f>
        <v/>
      </c>
      <c r="M3555" s="112" t="str">
        <f t="shared" si="58"/>
        <v/>
      </c>
      <c r="N3555" s="113"/>
    </row>
    <row r="3556" spans="2:14">
      <c r="B3556" s="105"/>
      <c r="C3556" s="106"/>
      <c r="D3556" s="107"/>
      <c r="E3556" s="65"/>
      <c r="F3556" s="64"/>
      <c r="G3556" s="64"/>
      <c r="H3556" s="64"/>
      <c r="I3556" s="70"/>
      <c r="J3556" s="70"/>
      <c r="K3556" s="110" t="str">
        <f>IF(H3556="","",IF($C$29="간이법","",FPR(H3556,I3556,J3556)))</f>
        <v/>
      </c>
      <c r="L3556" s="111" t="str">
        <f>IF(H3556="","",IF($C$29="상세법",FPV(H3556,K3556),IF(H3556="EI",4,IF(H3556="EO",5.2,IF(H3556="EQ",3.9,IF(H3556="ILF",7.5,IF(H3556="EIF",5.4)))))))</f>
        <v/>
      </c>
      <c r="M3556" s="112" t="str">
        <f t="shared" si="58"/>
        <v/>
      </c>
      <c r="N3556" s="113"/>
    </row>
    <row r="3557" spans="2:14">
      <c r="B3557" s="105"/>
      <c r="C3557" s="106"/>
      <c r="D3557" s="107"/>
      <c r="E3557" s="65"/>
      <c r="F3557" s="64"/>
      <c r="G3557" s="64"/>
      <c r="H3557" s="64"/>
      <c r="I3557" s="70"/>
      <c r="J3557" s="70"/>
      <c r="K3557" s="110" t="str">
        <f>IF(H3557="","",IF($C$29="간이법","",FPR(H3557,I3557,J3557)))</f>
        <v/>
      </c>
      <c r="L3557" s="111" t="str">
        <f>IF(H3557="","",IF($C$29="상세법",FPV(H3557,K3557),IF(H3557="EI",4,IF(H3557="EO",5.2,IF(H3557="EQ",3.9,IF(H3557="ILF",7.5,IF(H3557="EIF",5.4)))))))</f>
        <v/>
      </c>
      <c r="M3557" s="112" t="str">
        <f t="shared" si="58"/>
        <v/>
      </c>
      <c r="N3557" s="113"/>
    </row>
    <row r="3558" spans="2:14">
      <c r="B3558" s="105"/>
      <c r="C3558" s="106"/>
      <c r="D3558" s="107"/>
      <c r="E3558" s="65"/>
      <c r="F3558" s="64"/>
      <c r="G3558" s="64"/>
      <c r="H3558" s="64"/>
      <c r="I3558" s="70"/>
      <c r="J3558" s="70"/>
      <c r="K3558" s="110" t="str">
        <f>IF(H3558="","",IF($C$29="간이법","",FPR(H3558,I3558,J3558)))</f>
        <v/>
      </c>
      <c r="L3558" s="111" t="str">
        <f>IF(H3558="","",IF($C$29="상세법",FPV(H3558,K3558),IF(H3558="EI",4,IF(H3558="EO",5.2,IF(H3558="EQ",3.9,IF(H3558="ILF",7.5,IF(H3558="EIF",5.4)))))))</f>
        <v/>
      </c>
      <c r="M3558" s="112" t="str">
        <f t="shared" si="58"/>
        <v/>
      </c>
      <c r="N3558" s="113"/>
    </row>
    <row r="3559" spans="2:14">
      <c r="B3559" s="105"/>
      <c r="C3559" s="106"/>
      <c r="D3559" s="107"/>
      <c r="E3559" s="65"/>
      <c r="F3559" s="64"/>
      <c r="G3559" s="64"/>
      <c r="H3559" s="64"/>
      <c r="I3559" s="70"/>
      <c r="J3559" s="70"/>
      <c r="K3559" s="110" t="str">
        <f>IF(H3559="","",IF($C$29="간이법","",FPR(H3559,I3559,J3559)))</f>
        <v/>
      </c>
      <c r="L3559" s="111" t="str">
        <f>IF(H3559="","",IF($C$29="상세법",FPV(H3559,K3559),IF(H3559="EI",4,IF(H3559="EO",5.2,IF(H3559="EQ",3.9,IF(H3559="ILF",7.5,IF(H3559="EIF",5.4)))))))</f>
        <v/>
      </c>
      <c r="M3559" s="112" t="str">
        <f t="shared" si="58"/>
        <v/>
      </c>
      <c r="N3559" s="113"/>
    </row>
    <row r="3560" spans="2:14">
      <c r="B3560" s="105"/>
      <c r="C3560" s="106"/>
      <c r="D3560" s="107"/>
      <c r="E3560" s="65"/>
      <c r="F3560" s="64"/>
      <c r="G3560" s="64"/>
      <c r="H3560" s="64"/>
      <c r="I3560" s="70"/>
      <c r="J3560" s="70"/>
      <c r="K3560" s="110" t="str">
        <f>IF(H3560="","",IF($C$29="간이법","",FPR(H3560,I3560,J3560)))</f>
        <v/>
      </c>
      <c r="L3560" s="111" t="str">
        <f>IF(H3560="","",IF($C$29="상세법",FPV(H3560,K3560),IF(H3560="EI",4,IF(H3560="EO",5.2,IF(H3560="EQ",3.9,IF(H3560="ILF",7.5,IF(H3560="EIF",5.4)))))))</f>
        <v/>
      </c>
      <c r="M3560" s="112" t="str">
        <f t="shared" si="58"/>
        <v/>
      </c>
      <c r="N3560" s="113"/>
    </row>
    <row r="3561" spans="2:14">
      <c r="B3561" s="105"/>
      <c r="C3561" s="106"/>
      <c r="D3561" s="107"/>
      <c r="E3561" s="65"/>
      <c r="F3561" s="64"/>
      <c r="G3561" s="64"/>
      <c r="H3561" s="64"/>
      <c r="I3561" s="70"/>
      <c r="J3561" s="70"/>
      <c r="K3561" s="110" t="str">
        <f>IF(H3561="","",IF($C$29="간이법","",FPR(H3561,I3561,J3561)))</f>
        <v/>
      </c>
      <c r="L3561" s="111" t="str">
        <f>IF(H3561="","",IF($C$29="상세법",FPV(H3561,K3561),IF(H3561="EI",4,IF(H3561="EO",5.2,IF(H3561="EQ",3.9,IF(H3561="ILF",7.5,IF(H3561="EIF",5.4)))))))</f>
        <v/>
      </c>
      <c r="M3561" s="112" t="str">
        <f t="shared" si="58"/>
        <v/>
      </c>
      <c r="N3561" s="113"/>
    </row>
    <row r="3562" spans="2:14">
      <c r="B3562" s="105"/>
      <c r="C3562" s="106"/>
      <c r="D3562" s="107"/>
      <c r="E3562" s="65"/>
      <c r="F3562" s="64"/>
      <c r="G3562" s="64"/>
      <c r="H3562" s="64"/>
      <c r="I3562" s="70"/>
      <c r="J3562" s="70"/>
      <c r="K3562" s="110" t="str">
        <f>IF(H3562="","",IF($C$29="간이법","",FPR(H3562,I3562,J3562)))</f>
        <v/>
      </c>
      <c r="L3562" s="111" t="str">
        <f>IF(H3562="","",IF($C$29="상세법",FPV(H3562,K3562),IF(H3562="EI",4,IF(H3562="EO",5.2,IF(H3562="EQ",3.9,IF(H3562="ILF",7.5,IF(H3562="EIF",5.4)))))))</f>
        <v/>
      </c>
      <c r="M3562" s="112" t="str">
        <f t="shared" si="58"/>
        <v/>
      </c>
      <c r="N3562" s="113"/>
    </row>
    <row r="3563" spans="2:14">
      <c r="B3563" s="105"/>
      <c r="C3563" s="106"/>
      <c r="D3563" s="107"/>
      <c r="E3563" s="65"/>
      <c r="F3563" s="64"/>
      <c r="G3563" s="64"/>
      <c r="H3563" s="64"/>
      <c r="I3563" s="70"/>
      <c r="J3563" s="70"/>
      <c r="K3563" s="110" t="str">
        <f>IF(H3563="","",IF($C$29="간이법","",FPR(H3563,I3563,J3563)))</f>
        <v/>
      </c>
      <c r="L3563" s="111" t="str">
        <f>IF(H3563="","",IF($C$29="상세법",FPV(H3563,K3563),IF(H3563="EI",4,IF(H3563="EO",5.2,IF(H3563="EQ",3.9,IF(H3563="ILF",7.5,IF(H3563="EIF",5.4)))))))</f>
        <v/>
      </c>
      <c r="M3563" s="112" t="str">
        <f t="shared" si="58"/>
        <v/>
      </c>
      <c r="N3563" s="113"/>
    </row>
    <row r="3564" spans="2:14">
      <c r="B3564" s="105"/>
      <c r="C3564" s="106"/>
      <c r="D3564" s="107"/>
      <c r="E3564" s="65"/>
      <c r="F3564" s="64"/>
      <c r="G3564" s="64"/>
      <c r="H3564" s="64"/>
      <c r="I3564" s="70"/>
      <c r="J3564" s="70"/>
      <c r="K3564" s="110" t="str">
        <f>IF(H3564="","",IF($C$29="간이법","",FPR(H3564,I3564,J3564)))</f>
        <v/>
      </c>
      <c r="L3564" s="111" t="str">
        <f>IF(H3564="","",IF($C$29="상세법",FPV(H3564,K3564),IF(H3564="EI",4,IF(H3564="EO",5.2,IF(H3564="EQ",3.9,IF(H3564="ILF",7.5,IF(H3564="EIF",5.4)))))))</f>
        <v/>
      </c>
      <c r="M3564" s="112" t="str">
        <f t="shared" si="58"/>
        <v/>
      </c>
      <c r="N3564" s="113"/>
    </row>
    <row r="3565" spans="2:14">
      <c r="B3565" s="105"/>
      <c r="C3565" s="106"/>
      <c r="D3565" s="107"/>
      <c r="E3565" s="65"/>
      <c r="F3565" s="64"/>
      <c r="G3565" s="64"/>
      <c r="H3565" s="64"/>
      <c r="I3565" s="70"/>
      <c r="J3565" s="70"/>
      <c r="K3565" s="110" t="str">
        <f>IF(H3565="","",IF($C$29="간이법","",FPR(H3565,I3565,J3565)))</f>
        <v/>
      </c>
      <c r="L3565" s="111" t="str">
        <f>IF(H3565="","",IF($C$29="상세법",FPV(H3565,K3565),IF(H3565="EI",4,IF(H3565="EO",5.2,IF(H3565="EQ",3.9,IF(H3565="ILF",7.5,IF(H3565="EIF",5.4)))))))</f>
        <v/>
      </c>
      <c r="M3565" s="112" t="str">
        <f t="shared" si="58"/>
        <v/>
      </c>
      <c r="N3565" s="113"/>
    </row>
    <row r="3566" spans="2:14">
      <c r="B3566" s="105"/>
      <c r="C3566" s="106"/>
      <c r="D3566" s="107"/>
      <c r="E3566" s="65"/>
      <c r="F3566" s="64"/>
      <c r="G3566" s="64"/>
      <c r="H3566" s="64"/>
      <c r="I3566" s="70"/>
      <c r="J3566" s="70"/>
      <c r="K3566" s="110" t="str">
        <f>IF(H3566="","",IF($C$29="간이법","",FPR(H3566,I3566,J3566)))</f>
        <v/>
      </c>
      <c r="L3566" s="111" t="str">
        <f>IF(H3566="","",IF($C$29="상세법",FPV(H3566,K3566),IF(H3566="EI",4,IF(H3566="EO",5.2,IF(H3566="EQ",3.9,IF(H3566="ILF",7.5,IF(H3566="EIF",5.4)))))))</f>
        <v/>
      </c>
      <c r="M3566" s="112" t="str">
        <f t="shared" si="58"/>
        <v/>
      </c>
      <c r="N3566" s="113"/>
    </row>
    <row r="3567" spans="2:14">
      <c r="B3567" s="105"/>
      <c r="C3567" s="106"/>
      <c r="D3567" s="107"/>
      <c r="E3567" s="65"/>
      <c r="F3567" s="64"/>
      <c r="G3567" s="64"/>
      <c r="H3567" s="64"/>
      <c r="I3567" s="70"/>
      <c r="J3567" s="70"/>
      <c r="K3567" s="110" t="str">
        <f>IF(H3567="","",IF($C$29="간이법","",FPR(H3567,I3567,J3567)))</f>
        <v/>
      </c>
      <c r="L3567" s="111" t="str">
        <f>IF(H3567="","",IF($C$29="상세법",FPV(H3567,K3567),IF(H3567="EI",4,IF(H3567="EO",5.2,IF(H3567="EQ",3.9,IF(H3567="ILF",7.5,IF(H3567="EIF",5.4)))))))</f>
        <v/>
      </c>
      <c r="M3567" s="112" t="str">
        <f t="shared" si="58"/>
        <v/>
      </c>
      <c r="N3567" s="113"/>
    </row>
    <row r="3568" spans="2:14">
      <c r="B3568" s="105"/>
      <c r="C3568" s="106"/>
      <c r="D3568" s="107"/>
      <c r="E3568" s="65"/>
      <c r="F3568" s="64"/>
      <c r="G3568" s="64"/>
      <c r="H3568" s="64"/>
      <c r="I3568" s="70"/>
      <c r="J3568" s="70"/>
      <c r="K3568" s="110" t="str">
        <f>IF(H3568="","",IF($C$29="간이법","",FPR(H3568,I3568,J3568)))</f>
        <v/>
      </c>
      <c r="L3568" s="111" t="str">
        <f>IF(H3568="","",IF($C$29="상세법",FPV(H3568,K3568),IF(H3568="EI",4,IF(H3568="EO",5.2,IF(H3568="EQ",3.9,IF(H3568="ILF",7.5,IF(H3568="EIF",5.4)))))))</f>
        <v/>
      </c>
      <c r="M3568" s="112" t="str">
        <f t="shared" si="58"/>
        <v/>
      </c>
      <c r="N3568" s="113"/>
    </row>
    <row r="3569" spans="2:14">
      <c r="B3569" s="105"/>
      <c r="C3569" s="106"/>
      <c r="D3569" s="107"/>
      <c r="E3569" s="65"/>
      <c r="F3569" s="64"/>
      <c r="G3569" s="64"/>
      <c r="H3569" s="64"/>
      <c r="I3569" s="70"/>
      <c r="J3569" s="70"/>
      <c r="K3569" s="110" t="str">
        <f>IF(H3569="","",IF($C$29="간이법","",FPR(H3569,I3569,J3569)))</f>
        <v/>
      </c>
      <c r="L3569" s="111" t="str">
        <f>IF(H3569="","",IF($C$29="상세법",FPV(H3569,K3569),IF(H3569="EI",4,IF(H3569="EO",5.2,IF(H3569="EQ",3.9,IF(H3569="ILF",7.5,IF(H3569="EIF",5.4)))))))</f>
        <v/>
      </c>
      <c r="M3569" s="112" t="str">
        <f t="shared" si="58"/>
        <v/>
      </c>
      <c r="N3569" s="113"/>
    </row>
    <row r="3570" spans="2:14">
      <c r="B3570" s="105"/>
      <c r="C3570" s="106"/>
      <c r="D3570" s="107"/>
      <c r="E3570" s="65"/>
      <c r="F3570" s="64"/>
      <c r="G3570" s="64"/>
      <c r="H3570" s="64"/>
      <c r="I3570" s="70"/>
      <c r="J3570" s="70"/>
      <c r="K3570" s="110" t="str">
        <f>IF(H3570="","",IF($C$29="간이법","",FPR(H3570,I3570,J3570)))</f>
        <v/>
      </c>
      <c r="L3570" s="111" t="str">
        <f>IF(H3570="","",IF($C$29="상세법",FPV(H3570,K3570),IF(H3570="EI",4,IF(H3570="EO",5.2,IF(H3570="EQ",3.9,IF(H3570="ILF",7.5,IF(H3570="EIF",5.4)))))))</f>
        <v/>
      </c>
      <c r="M3570" s="112" t="str">
        <f t="shared" si="58"/>
        <v/>
      </c>
      <c r="N3570" s="113"/>
    </row>
    <row r="3571" spans="2:14">
      <c r="B3571" s="105"/>
      <c r="C3571" s="106"/>
      <c r="D3571" s="107"/>
      <c r="E3571" s="65"/>
      <c r="F3571" s="64"/>
      <c r="G3571" s="64"/>
      <c r="H3571" s="64"/>
      <c r="I3571" s="70"/>
      <c r="J3571" s="70"/>
      <c r="K3571" s="110" t="str">
        <f>IF(H3571="","",IF($C$29="간이법","",FPR(H3571,I3571,J3571)))</f>
        <v/>
      </c>
      <c r="L3571" s="111" t="str">
        <f>IF(H3571="","",IF($C$29="상세법",FPV(H3571,K3571),IF(H3571="EI",4,IF(H3571="EO",5.2,IF(H3571="EQ",3.9,IF(H3571="ILF",7.5,IF(H3571="EIF",5.4)))))))</f>
        <v/>
      </c>
      <c r="M3571" s="112" t="str">
        <f t="shared" si="58"/>
        <v/>
      </c>
      <c r="N3571" s="113"/>
    </row>
    <row r="3572" spans="2:14">
      <c r="B3572" s="105"/>
      <c r="C3572" s="106"/>
      <c r="D3572" s="107"/>
      <c r="E3572" s="65"/>
      <c r="F3572" s="64"/>
      <c r="G3572" s="64"/>
      <c r="H3572" s="64"/>
      <c r="I3572" s="70"/>
      <c r="J3572" s="70"/>
      <c r="K3572" s="110" t="str">
        <f>IF(H3572="","",IF($C$29="간이법","",FPR(H3572,I3572,J3572)))</f>
        <v/>
      </c>
      <c r="L3572" s="111" t="str">
        <f>IF(H3572="","",IF($C$29="상세법",FPV(H3572,K3572),IF(H3572="EI",4,IF(H3572="EO",5.2,IF(H3572="EQ",3.9,IF(H3572="ILF",7.5,IF(H3572="EIF",5.4)))))))</f>
        <v/>
      </c>
      <c r="M3572" s="112" t="str">
        <f t="shared" si="58"/>
        <v/>
      </c>
      <c r="N3572" s="113"/>
    </row>
    <row r="3573" spans="2:14">
      <c r="B3573" s="105"/>
      <c r="C3573" s="106"/>
      <c r="D3573" s="107"/>
      <c r="E3573" s="65"/>
      <c r="F3573" s="64"/>
      <c r="G3573" s="64"/>
      <c r="H3573" s="64"/>
      <c r="I3573" s="70"/>
      <c r="J3573" s="70"/>
      <c r="K3573" s="110" t="str">
        <f>IF(H3573="","",IF($C$29="간이법","",FPR(H3573,I3573,J3573)))</f>
        <v/>
      </c>
      <c r="L3573" s="111" t="str">
        <f>IF(H3573="","",IF($C$29="상세법",FPV(H3573,K3573),IF(H3573="EI",4,IF(H3573="EO",5.2,IF(H3573="EQ",3.9,IF(H3573="ILF",7.5,IF(H3573="EIF",5.4)))))))</f>
        <v/>
      </c>
      <c r="M3573" s="112" t="str">
        <f t="shared" si="58"/>
        <v/>
      </c>
      <c r="N3573" s="113"/>
    </row>
    <row r="3574" spans="2:14">
      <c r="B3574" s="105"/>
      <c r="C3574" s="106"/>
      <c r="D3574" s="107"/>
      <c r="E3574" s="65"/>
      <c r="F3574" s="64"/>
      <c r="G3574" s="64"/>
      <c r="H3574" s="64"/>
      <c r="I3574" s="70"/>
      <c r="J3574" s="70"/>
      <c r="K3574" s="110" t="str">
        <f>IF(H3574="","",IF($C$29="간이법","",FPR(H3574,I3574,J3574)))</f>
        <v/>
      </c>
      <c r="L3574" s="111" t="str">
        <f>IF(H3574="","",IF($C$29="상세법",FPV(H3574,K3574),IF(H3574="EI",4,IF(H3574="EO",5.2,IF(H3574="EQ",3.9,IF(H3574="ILF",7.5,IF(H3574="EIF",5.4)))))))</f>
        <v/>
      </c>
      <c r="M3574" s="112" t="str">
        <f t="shared" si="58"/>
        <v/>
      </c>
      <c r="N3574" s="113"/>
    </row>
    <row r="3575" spans="2:14">
      <c r="B3575" s="105"/>
      <c r="C3575" s="106"/>
      <c r="D3575" s="107"/>
      <c r="E3575" s="65"/>
      <c r="F3575" s="64"/>
      <c r="G3575" s="64"/>
      <c r="H3575" s="64"/>
      <c r="I3575" s="70"/>
      <c r="J3575" s="70"/>
      <c r="K3575" s="110" t="str">
        <f>IF(H3575="","",IF($C$29="간이법","",FPR(H3575,I3575,J3575)))</f>
        <v/>
      </c>
      <c r="L3575" s="111" t="str">
        <f>IF(H3575="","",IF($C$29="상세법",FPV(H3575,K3575),IF(H3575="EI",4,IF(H3575="EO",5.2,IF(H3575="EQ",3.9,IF(H3575="ILF",7.5,IF(H3575="EIF",5.4)))))))</f>
        <v/>
      </c>
      <c r="M3575" s="112" t="str">
        <f t="shared" si="58"/>
        <v/>
      </c>
      <c r="N3575" s="113"/>
    </row>
    <row r="3576" spans="2:14">
      <c r="B3576" s="105"/>
      <c r="C3576" s="106"/>
      <c r="D3576" s="107"/>
      <c r="E3576" s="65"/>
      <c r="F3576" s="64"/>
      <c r="G3576" s="64"/>
      <c r="H3576" s="64"/>
      <c r="I3576" s="70"/>
      <c r="J3576" s="70"/>
      <c r="K3576" s="110" t="str">
        <f>IF(H3576="","",IF($C$29="간이법","",FPR(H3576,I3576,J3576)))</f>
        <v/>
      </c>
      <c r="L3576" s="111" t="str">
        <f>IF(H3576="","",IF($C$29="상세법",FPV(H3576,K3576),IF(H3576="EI",4,IF(H3576="EO",5.2,IF(H3576="EQ",3.9,IF(H3576="ILF",7.5,IF(H3576="EIF",5.4)))))))</f>
        <v/>
      </c>
      <c r="M3576" s="112" t="str">
        <f t="shared" si="58"/>
        <v/>
      </c>
      <c r="N3576" s="113"/>
    </row>
    <row r="3577" spans="2:14">
      <c r="B3577" s="105"/>
      <c r="C3577" s="106"/>
      <c r="D3577" s="107"/>
      <c r="E3577" s="65"/>
      <c r="F3577" s="64"/>
      <c r="G3577" s="64"/>
      <c r="H3577" s="64"/>
      <c r="I3577" s="70"/>
      <c r="J3577" s="70"/>
      <c r="K3577" s="110" t="str">
        <f>IF(H3577="","",IF($C$29="간이법","",FPR(H3577,I3577,J3577)))</f>
        <v/>
      </c>
      <c r="L3577" s="111" t="str">
        <f>IF(H3577="","",IF($C$29="상세법",FPV(H3577,K3577),IF(H3577="EI",4,IF(H3577="EO",5.2,IF(H3577="EQ",3.9,IF(H3577="ILF",7.5,IF(H3577="EIF",5.4)))))))</f>
        <v/>
      </c>
      <c r="M3577" s="112" t="str">
        <f t="shared" ref="M3577:M3640" si="59">IF(L3577="","",L3577*IF(G3577="상",0.7,IF(G3577="중",0.5,IF(G3577="하",0.2,1))))</f>
        <v/>
      </c>
      <c r="N3577" s="113"/>
    </row>
    <row r="3578" spans="2:14">
      <c r="B3578" s="105"/>
      <c r="C3578" s="106"/>
      <c r="D3578" s="107"/>
      <c r="E3578" s="65"/>
      <c r="F3578" s="64"/>
      <c r="G3578" s="64"/>
      <c r="H3578" s="64"/>
      <c r="I3578" s="70"/>
      <c r="J3578" s="70"/>
      <c r="K3578" s="110" t="str">
        <f>IF(H3578="","",IF($C$29="간이법","",FPR(H3578,I3578,J3578)))</f>
        <v/>
      </c>
      <c r="L3578" s="111" t="str">
        <f>IF(H3578="","",IF($C$29="상세법",FPV(H3578,K3578),IF(H3578="EI",4,IF(H3578="EO",5.2,IF(H3578="EQ",3.9,IF(H3578="ILF",7.5,IF(H3578="EIF",5.4)))))))</f>
        <v/>
      </c>
      <c r="M3578" s="112" t="str">
        <f t="shared" si="59"/>
        <v/>
      </c>
      <c r="N3578" s="113"/>
    </row>
    <row r="3579" spans="2:14">
      <c r="B3579" s="105"/>
      <c r="C3579" s="106"/>
      <c r="D3579" s="107"/>
      <c r="E3579" s="65"/>
      <c r="F3579" s="64"/>
      <c r="G3579" s="64"/>
      <c r="H3579" s="64"/>
      <c r="I3579" s="70"/>
      <c r="J3579" s="70"/>
      <c r="K3579" s="110" t="str">
        <f>IF(H3579="","",IF($C$29="간이법","",FPR(H3579,I3579,J3579)))</f>
        <v/>
      </c>
      <c r="L3579" s="111" t="str">
        <f>IF(H3579="","",IF($C$29="상세법",FPV(H3579,K3579),IF(H3579="EI",4,IF(H3579="EO",5.2,IF(H3579="EQ",3.9,IF(H3579="ILF",7.5,IF(H3579="EIF",5.4)))))))</f>
        <v/>
      </c>
      <c r="M3579" s="112" t="str">
        <f t="shared" si="59"/>
        <v/>
      </c>
      <c r="N3579" s="113"/>
    </row>
    <row r="3580" spans="2:14">
      <c r="B3580" s="105"/>
      <c r="C3580" s="106"/>
      <c r="D3580" s="107"/>
      <c r="E3580" s="65"/>
      <c r="F3580" s="64"/>
      <c r="G3580" s="64"/>
      <c r="H3580" s="64"/>
      <c r="I3580" s="70"/>
      <c r="J3580" s="70"/>
      <c r="K3580" s="110" t="str">
        <f>IF(H3580="","",IF($C$29="간이법","",FPR(H3580,I3580,J3580)))</f>
        <v/>
      </c>
      <c r="L3580" s="111" t="str">
        <f>IF(H3580="","",IF($C$29="상세법",FPV(H3580,K3580),IF(H3580="EI",4,IF(H3580="EO",5.2,IF(H3580="EQ",3.9,IF(H3580="ILF",7.5,IF(H3580="EIF",5.4)))))))</f>
        <v/>
      </c>
      <c r="M3580" s="112" t="str">
        <f t="shared" si="59"/>
        <v/>
      </c>
      <c r="N3580" s="113"/>
    </row>
    <row r="3581" spans="2:14">
      <c r="B3581" s="105"/>
      <c r="C3581" s="106"/>
      <c r="D3581" s="107"/>
      <c r="E3581" s="65"/>
      <c r="F3581" s="64"/>
      <c r="G3581" s="64"/>
      <c r="H3581" s="64"/>
      <c r="I3581" s="70"/>
      <c r="J3581" s="70"/>
      <c r="K3581" s="110" t="str">
        <f>IF(H3581="","",IF($C$29="간이법","",FPR(H3581,I3581,J3581)))</f>
        <v/>
      </c>
      <c r="L3581" s="111" t="str">
        <f>IF(H3581="","",IF($C$29="상세법",FPV(H3581,K3581),IF(H3581="EI",4,IF(H3581="EO",5.2,IF(H3581="EQ",3.9,IF(H3581="ILF",7.5,IF(H3581="EIF",5.4)))))))</f>
        <v/>
      </c>
      <c r="M3581" s="112" t="str">
        <f t="shared" si="59"/>
        <v/>
      </c>
      <c r="N3581" s="113"/>
    </row>
    <row r="3582" spans="2:14">
      <c r="B3582" s="105"/>
      <c r="C3582" s="106"/>
      <c r="D3582" s="107"/>
      <c r="E3582" s="65"/>
      <c r="F3582" s="64"/>
      <c r="G3582" s="64"/>
      <c r="H3582" s="64"/>
      <c r="I3582" s="70"/>
      <c r="J3582" s="70"/>
      <c r="K3582" s="110" t="str">
        <f>IF(H3582="","",IF($C$29="간이법","",FPR(H3582,I3582,J3582)))</f>
        <v/>
      </c>
      <c r="L3582" s="111" t="str">
        <f>IF(H3582="","",IF($C$29="상세법",FPV(H3582,K3582),IF(H3582="EI",4,IF(H3582="EO",5.2,IF(H3582="EQ",3.9,IF(H3582="ILF",7.5,IF(H3582="EIF",5.4)))))))</f>
        <v/>
      </c>
      <c r="M3582" s="112" t="str">
        <f t="shared" si="59"/>
        <v/>
      </c>
      <c r="N3582" s="113"/>
    </row>
    <row r="3583" spans="2:14">
      <c r="B3583" s="105"/>
      <c r="C3583" s="106"/>
      <c r="D3583" s="107"/>
      <c r="E3583" s="65"/>
      <c r="F3583" s="64"/>
      <c r="G3583" s="64"/>
      <c r="H3583" s="64"/>
      <c r="I3583" s="70"/>
      <c r="J3583" s="70"/>
      <c r="K3583" s="110" t="str">
        <f>IF(H3583="","",IF($C$29="간이법","",FPR(H3583,I3583,J3583)))</f>
        <v/>
      </c>
      <c r="L3583" s="111" t="str">
        <f>IF(H3583="","",IF($C$29="상세법",FPV(H3583,K3583),IF(H3583="EI",4,IF(H3583="EO",5.2,IF(H3583="EQ",3.9,IF(H3583="ILF",7.5,IF(H3583="EIF",5.4)))))))</f>
        <v/>
      </c>
      <c r="M3583" s="112" t="str">
        <f t="shared" si="59"/>
        <v/>
      </c>
      <c r="N3583" s="113"/>
    </row>
    <row r="3584" spans="2:14">
      <c r="B3584" s="105"/>
      <c r="C3584" s="106"/>
      <c r="D3584" s="107"/>
      <c r="E3584" s="65"/>
      <c r="F3584" s="64"/>
      <c r="G3584" s="64"/>
      <c r="H3584" s="64"/>
      <c r="I3584" s="70"/>
      <c r="J3584" s="70"/>
      <c r="K3584" s="110" t="str">
        <f>IF(H3584="","",IF($C$29="간이법","",FPR(H3584,I3584,J3584)))</f>
        <v/>
      </c>
      <c r="L3584" s="111" t="str">
        <f>IF(H3584="","",IF($C$29="상세법",FPV(H3584,K3584),IF(H3584="EI",4,IF(H3584="EO",5.2,IF(H3584="EQ",3.9,IF(H3584="ILF",7.5,IF(H3584="EIF",5.4)))))))</f>
        <v/>
      </c>
      <c r="M3584" s="112" t="str">
        <f t="shared" si="59"/>
        <v/>
      </c>
      <c r="N3584" s="113"/>
    </row>
    <row r="3585" spans="2:14">
      <c r="B3585" s="105"/>
      <c r="C3585" s="106"/>
      <c r="D3585" s="107"/>
      <c r="E3585" s="65"/>
      <c r="F3585" s="64"/>
      <c r="G3585" s="64"/>
      <c r="H3585" s="64"/>
      <c r="I3585" s="70"/>
      <c r="J3585" s="70"/>
      <c r="K3585" s="110" t="str">
        <f>IF(H3585="","",IF($C$29="간이법","",FPR(H3585,I3585,J3585)))</f>
        <v/>
      </c>
      <c r="L3585" s="111" t="str">
        <f>IF(H3585="","",IF($C$29="상세법",FPV(H3585,K3585),IF(H3585="EI",4,IF(H3585="EO",5.2,IF(H3585="EQ",3.9,IF(H3585="ILF",7.5,IF(H3585="EIF",5.4)))))))</f>
        <v/>
      </c>
      <c r="M3585" s="112" t="str">
        <f t="shared" si="59"/>
        <v/>
      </c>
      <c r="N3585" s="113"/>
    </row>
    <row r="3586" spans="2:14">
      <c r="B3586" s="105"/>
      <c r="C3586" s="106"/>
      <c r="D3586" s="107"/>
      <c r="E3586" s="65"/>
      <c r="F3586" s="64"/>
      <c r="G3586" s="64"/>
      <c r="H3586" s="64"/>
      <c r="I3586" s="70"/>
      <c r="J3586" s="70"/>
      <c r="K3586" s="110" t="str">
        <f>IF(H3586="","",IF($C$29="간이법","",FPR(H3586,I3586,J3586)))</f>
        <v/>
      </c>
      <c r="L3586" s="111" t="str">
        <f>IF(H3586="","",IF($C$29="상세법",FPV(H3586,K3586),IF(H3586="EI",4,IF(H3586="EO",5.2,IF(H3586="EQ",3.9,IF(H3586="ILF",7.5,IF(H3586="EIF",5.4)))))))</f>
        <v/>
      </c>
      <c r="M3586" s="112" t="str">
        <f t="shared" si="59"/>
        <v/>
      </c>
      <c r="N3586" s="113"/>
    </row>
    <row r="3587" spans="2:14">
      <c r="B3587" s="105"/>
      <c r="C3587" s="106"/>
      <c r="D3587" s="107"/>
      <c r="E3587" s="65"/>
      <c r="F3587" s="64"/>
      <c r="G3587" s="64"/>
      <c r="H3587" s="64"/>
      <c r="I3587" s="70"/>
      <c r="J3587" s="70"/>
      <c r="K3587" s="110" t="str">
        <f>IF(H3587="","",IF($C$29="간이법","",FPR(H3587,I3587,J3587)))</f>
        <v/>
      </c>
      <c r="L3587" s="111" t="str">
        <f>IF(H3587="","",IF($C$29="상세법",FPV(H3587,K3587),IF(H3587="EI",4,IF(H3587="EO",5.2,IF(H3587="EQ",3.9,IF(H3587="ILF",7.5,IF(H3587="EIF",5.4)))))))</f>
        <v/>
      </c>
      <c r="M3587" s="112" t="str">
        <f t="shared" si="59"/>
        <v/>
      </c>
      <c r="N3587" s="113"/>
    </row>
    <row r="3588" spans="2:14">
      <c r="B3588" s="105"/>
      <c r="C3588" s="106"/>
      <c r="D3588" s="107"/>
      <c r="E3588" s="65"/>
      <c r="F3588" s="64"/>
      <c r="G3588" s="64"/>
      <c r="H3588" s="64"/>
      <c r="I3588" s="70"/>
      <c r="J3588" s="70"/>
      <c r="K3588" s="110" t="str">
        <f>IF(H3588="","",IF($C$29="간이법","",FPR(H3588,I3588,J3588)))</f>
        <v/>
      </c>
      <c r="L3588" s="111" t="str">
        <f>IF(H3588="","",IF($C$29="상세법",FPV(H3588,K3588),IF(H3588="EI",4,IF(H3588="EO",5.2,IF(H3588="EQ",3.9,IF(H3588="ILF",7.5,IF(H3588="EIF",5.4)))))))</f>
        <v/>
      </c>
      <c r="M3588" s="112" t="str">
        <f t="shared" si="59"/>
        <v/>
      </c>
      <c r="N3588" s="113"/>
    </row>
    <row r="3589" spans="2:14">
      <c r="B3589" s="105"/>
      <c r="C3589" s="106"/>
      <c r="D3589" s="107"/>
      <c r="E3589" s="65"/>
      <c r="F3589" s="64"/>
      <c r="G3589" s="64"/>
      <c r="H3589" s="64"/>
      <c r="I3589" s="70"/>
      <c r="J3589" s="70"/>
      <c r="K3589" s="110" t="str">
        <f>IF(H3589="","",IF($C$29="간이법","",FPR(H3589,I3589,J3589)))</f>
        <v/>
      </c>
      <c r="L3589" s="111" t="str">
        <f>IF(H3589="","",IF($C$29="상세법",FPV(H3589,K3589),IF(H3589="EI",4,IF(H3589="EO",5.2,IF(H3589="EQ",3.9,IF(H3589="ILF",7.5,IF(H3589="EIF",5.4)))))))</f>
        <v/>
      </c>
      <c r="M3589" s="112" t="str">
        <f t="shared" si="59"/>
        <v/>
      </c>
      <c r="N3589" s="113"/>
    </row>
    <row r="3590" spans="2:14">
      <c r="B3590" s="105"/>
      <c r="C3590" s="106"/>
      <c r="D3590" s="107"/>
      <c r="E3590" s="65"/>
      <c r="F3590" s="64"/>
      <c r="G3590" s="64"/>
      <c r="H3590" s="64"/>
      <c r="I3590" s="70"/>
      <c r="J3590" s="70"/>
      <c r="K3590" s="110" t="str">
        <f>IF(H3590="","",IF($C$29="간이법","",FPR(H3590,I3590,J3590)))</f>
        <v/>
      </c>
      <c r="L3590" s="111" t="str">
        <f>IF(H3590="","",IF($C$29="상세법",FPV(H3590,K3590),IF(H3590="EI",4,IF(H3590="EO",5.2,IF(H3590="EQ",3.9,IF(H3590="ILF",7.5,IF(H3590="EIF",5.4)))))))</f>
        <v/>
      </c>
      <c r="M3590" s="112" t="str">
        <f t="shared" si="59"/>
        <v/>
      </c>
      <c r="N3590" s="113"/>
    </row>
    <row r="3591" spans="2:14">
      <c r="B3591" s="105"/>
      <c r="C3591" s="106"/>
      <c r="D3591" s="107"/>
      <c r="E3591" s="65"/>
      <c r="F3591" s="64"/>
      <c r="G3591" s="64"/>
      <c r="H3591" s="64"/>
      <c r="I3591" s="70"/>
      <c r="J3591" s="70"/>
      <c r="K3591" s="110" t="str">
        <f>IF(H3591="","",IF($C$29="간이법","",FPR(H3591,I3591,J3591)))</f>
        <v/>
      </c>
      <c r="L3591" s="111" t="str">
        <f>IF(H3591="","",IF($C$29="상세법",FPV(H3591,K3591),IF(H3591="EI",4,IF(H3591="EO",5.2,IF(H3591="EQ",3.9,IF(H3591="ILF",7.5,IF(H3591="EIF",5.4)))))))</f>
        <v/>
      </c>
      <c r="M3591" s="112" t="str">
        <f t="shared" si="59"/>
        <v/>
      </c>
      <c r="N3591" s="113"/>
    </row>
    <row r="3592" spans="2:14">
      <c r="B3592" s="105"/>
      <c r="C3592" s="106"/>
      <c r="D3592" s="107"/>
      <c r="E3592" s="65"/>
      <c r="F3592" s="64"/>
      <c r="G3592" s="64"/>
      <c r="H3592" s="64"/>
      <c r="I3592" s="70"/>
      <c r="J3592" s="70"/>
      <c r="K3592" s="110" t="str">
        <f>IF(H3592="","",IF($C$29="간이법","",FPR(H3592,I3592,J3592)))</f>
        <v/>
      </c>
      <c r="L3592" s="111" t="str">
        <f>IF(H3592="","",IF($C$29="상세법",FPV(H3592,K3592),IF(H3592="EI",4,IF(H3592="EO",5.2,IF(H3592="EQ",3.9,IF(H3592="ILF",7.5,IF(H3592="EIF",5.4)))))))</f>
        <v/>
      </c>
      <c r="M3592" s="112" t="str">
        <f t="shared" si="59"/>
        <v/>
      </c>
      <c r="N3592" s="113"/>
    </row>
    <row r="3593" spans="2:14">
      <c r="B3593" s="105"/>
      <c r="C3593" s="106"/>
      <c r="D3593" s="107"/>
      <c r="E3593" s="65"/>
      <c r="F3593" s="64"/>
      <c r="G3593" s="64"/>
      <c r="H3593" s="64"/>
      <c r="I3593" s="70"/>
      <c r="J3593" s="70"/>
      <c r="K3593" s="110" t="str">
        <f>IF(H3593="","",IF($C$29="간이법","",FPR(H3593,I3593,J3593)))</f>
        <v/>
      </c>
      <c r="L3593" s="111" t="str">
        <f>IF(H3593="","",IF($C$29="상세법",FPV(H3593,K3593),IF(H3593="EI",4,IF(H3593="EO",5.2,IF(H3593="EQ",3.9,IF(H3593="ILF",7.5,IF(H3593="EIF",5.4)))))))</f>
        <v/>
      </c>
      <c r="M3593" s="112" t="str">
        <f t="shared" si="59"/>
        <v/>
      </c>
      <c r="N3593" s="113"/>
    </row>
    <row r="3594" spans="2:14">
      <c r="B3594" s="105"/>
      <c r="C3594" s="106"/>
      <c r="D3594" s="107"/>
      <c r="E3594" s="65"/>
      <c r="F3594" s="64"/>
      <c r="G3594" s="64"/>
      <c r="H3594" s="64"/>
      <c r="I3594" s="70"/>
      <c r="J3594" s="70"/>
      <c r="K3594" s="110" t="str">
        <f>IF(H3594="","",IF($C$29="간이법","",FPR(H3594,I3594,J3594)))</f>
        <v/>
      </c>
      <c r="L3594" s="111" t="str">
        <f>IF(H3594="","",IF($C$29="상세법",FPV(H3594,K3594),IF(H3594="EI",4,IF(H3594="EO",5.2,IF(H3594="EQ",3.9,IF(H3594="ILF",7.5,IF(H3594="EIF",5.4)))))))</f>
        <v/>
      </c>
      <c r="M3594" s="112" t="str">
        <f t="shared" si="59"/>
        <v/>
      </c>
      <c r="N3594" s="113"/>
    </row>
    <row r="3595" spans="2:14">
      <c r="B3595" s="105"/>
      <c r="C3595" s="106"/>
      <c r="D3595" s="107"/>
      <c r="E3595" s="65"/>
      <c r="F3595" s="64"/>
      <c r="G3595" s="64"/>
      <c r="H3595" s="64"/>
      <c r="I3595" s="70"/>
      <c r="J3595" s="70"/>
      <c r="K3595" s="110" t="str">
        <f>IF(H3595="","",IF($C$29="간이법","",FPR(H3595,I3595,J3595)))</f>
        <v/>
      </c>
      <c r="L3595" s="111" t="str">
        <f>IF(H3595="","",IF($C$29="상세법",FPV(H3595,K3595),IF(H3595="EI",4,IF(H3595="EO",5.2,IF(H3595="EQ",3.9,IF(H3595="ILF",7.5,IF(H3595="EIF",5.4)))))))</f>
        <v/>
      </c>
      <c r="M3595" s="112" t="str">
        <f t="shared" si="59"/>
        <v/>
      </c>
      <c r="N3595" s="113"/>
    </row>
    <row r="3596" spans="2:14">
      <c r="B3596" s="105"/>
      <c r="C3596" s="106"/>
      <c r="D3596" s="107"/>
      <c r="E3596" s="65"/>
      <c r="F3596" s="64"/>
      <c r="G3596" s="64"/>
      <c r="H3596" s="64"/>
      <c r="I3596" s="70"/>
      <c r="J3596" s="70"/>
      <c r="K3596" s="110" t="str">
        <f>IF(H3596="","",IF($C$29="간이법","",FPR(H3596,I3596,J3596)))</f>
        <v/>
      </c>
      <c r="L3596" s="111" t="str">
        <f>IF(H3596="","",IF($C$29="상세법",FPV(H3596,K3596),IF(H3596="EI",4,IF(H3596="EO",5.2,IF(H3596="EQ",3.9,IF(H3596="ILF",7.5,IF(H3596="EIF",5.4)))))))</f>
        <v/>
      </c>
      <c r="M3596" s="112" t="str">
        <f t="shared" si="59"/>
        <v/>
      </c>
      <c r="N3596" s="113"/>
    </row>
    <row r="3597" spans="2:14">
      <c r="B3597" s="105"/>
      <c r="C3597" s="106"/>
      <c r="D3597" s="107"/>
      <c r="E3597" s="65"/>
      <c r="F3597" s="64"/>
      <c r="G3597" s="64"/>
      <c r="H3597" s="64"/>
      <c r="I3597" s="70"/>
      <c r="J3597" s="70"/>
      <c r="K3597" s="110" t="str">
        <f>IF(H3597="","",IF($C$29="간이법","",FPR(H3597,I3597,J3597)))</f>
        <v/>
      </c>
      <c r="L3597" s="111" t="str">
        <f>IF(H3597="","",IF($C$29="상세법",FPV(H3597,K3597),IF(H3597="EI",4,IF(H3597="EO",5.2,IF(H3597="EQ",3.9,IF(H3597="ILF",7.5,IF(H3597="EIF",5.4)))))))</f>
        <v/>
      </c>
      <c r="M3597" s="112" t="str">
        <f t="shared" si="59"/>
        <v/>
      </c>
      <c r="N3597" s="113"/>
    </row>
    <row r="3598" spans="2:14">
      <c r="B3598" s="105"/>
      <c r="C3598" s="106"/>
      <c r="D3598" s="107"/>
      <c r="E3598" s="65"/>
      <c r="F3598" s="64"/>
      <c r="G3598" s="64"/>
      <c r="H3598" s="64"/>
      <c r="I3598" s="70"/>
      <c r="J3598" s="70"/>
      <c r="K3598" s="110" t="str">
        <f>IF(H3598="","",IF($C$29="간이법","",FPR(H3598,I3598,J3598)))</f>
        <v/>
      </c>
      <c r="L3598" s="111" t="str">
        <f>IF(H3598="","",IF($C$29="상세법",FPV(H3598,K3598),IF(H3598="EI",4,IF(H3598="EO",5.2,IF(H3598="EQ",3.9,IF(H3598="ILF",7.5,IF(H3598="EIF",5.4)))))))</f>
        <v/>
      </c>
      <c r="M3598" s="112" t="str">
        <f t="shared" si="59"/>
        <v/>
      </c>
      <c r="N3598" s="113"/>
    </row>
    <row r="3599" spans="2:14">
      <c r="B3599" s="105"/>
      <c r="C3599" s="106"/>
      <c r="D3599" s="107"/>
      <c r="E3599" s="65"/>
      <c r="F3599" s="64"/>
      <c r="G3599" s="64"/>
      <c r="H3599" s="64"/>
      <c r="I3599" s="70"/>
      <c r="J3599" s="70"/>
      <c r="K3599" s="110" t="str">
        <f>IF(H3599="","",IF($C$29="간이법","",FPR(H3599,I3599,J3599)))</f>
        <v/>
      </c>
      <c r="L3599" s="111" t="str">
        <f>IF(H3599="","",IF($C$29="상세법",FPV(H3599,K3599),IF(H3599="EI",4,IF(H3599="EO",5.2,IF(H3599="EQ",3.9,IF(H3599="ILF",7.5,IF(H3599="EIF",5.4)))))))</f>
        <v/>
      </c>
      <c r="M3599" s="112" t="str">
        <f t="shared" si="59"/>
        <v/>
      </c>
      <c r="N3599" s="113"/>
    </row>
    <row r="3600" spans="2:14">
      <c r="B3600" s="105"/>
      <c r="C3600" s="106"/>
      <c r="D3600" s="107"/>
      <c r="E3600" s="65"/>
      <c r="F3600" s="64"/>
      <c r="G3600" s="64"/>
      <c r="H3600" s="64"/>
      <c r="I3600" s="70"/>
      <c r="J3600" s="70"/>
      <c r="K3600" s="110" t="str">
        <f>IF(H3600="","",IF($C$29="간이법","",FPR(H3600,I3600,J3600)))</f>
        <v/>
      </c>
      <c r="L3600" s="111" t="str">
        <f>IF(H3600="","",IF($C$29="상세법",FPV(H3600,K3600),IF(H3600="EI",4,IF(H3600="EO",5.2,IF(H3600="EQ",3.9,IF(H3600="ILF",7.5,IF(H3600="EIF",5.4)))))))</f>
        <v/>
      </c>
      <c r="M3600" s="112" t="str">
        <f t="shared" si="59"/>
        <v/>
      </c>
      <c r="N3600" s="113"/>
    </row>
    <row r="3601" spans="2:14">
      <c r="B3601" s="105"/>
      <c r="C3601" s="106"/>
      <c r="D3601" s="107"/>
      <c r="E3601" s="65"/>
      <c r="F3601" s="64"/>
      <c r="G3601" s="64"/>
      <c r="H3601" s="64"/>
      <c r="I3601" s="70"/>
      <c r="J3601" s="70"/>
      <c r="K3601" s="110" t="str">
        <f>IF(H3601="","",IF($C$29="간이법","",FPR(H3601,I3601,J3601)))</f>
        <v/>
      </c>
      <c r="L3601" s="111" t="str">
        <f>IF(H3601="","",IF($C$29="상세법",FPV(H3601,K3601),IF(H3601="EI",4,IF(H3601="EO",5.2,IF(H3601="EQ",3.9,IF(H3601="ILF",7.5,IF(H3601="EIF",5.4)))))))</f>
        <v/>
      </c>
      <c r="M3601" s="112" t="str">
        <f t="shared" si="59"/>
        <v/>
      </c>
      <c r="N3601" s="113"/>
    </row>
    <row r="3602" spans="2:14">
      <c r="B3602" s="105"/>
      <c r="C3602" s="106"/>
      <c r="D3602" s="107"/>
      <c r="E3602" s="65"/>
      <c r="F3602" s="64"/>
      <c r="G3602" s="64"/>
      <c r="H3602" s="64"/>
      <c r="I3602" s="70"/>
      <c r="J3602" s="70"/>
      <c r="K3602" s="110" t="str">
        <f>IF(H3602="","",IF($C$29="간이법","",FPR(H3602,I3602,J3602)))</f>
        <v/>
      </c>
      <c r="L3602" s="111" t="str">
        <f>IF(H3602="","",IF($C$29="상세법",FPV(H3602,K3602),IF(H3602="EI",4,IF(H3602="EO",5.2,IF(H3602="EQ",3.9,IF(H3602="ILF",7.5,IF(H3602="EIF",5.4)))))))</f>
        <v/>
      </c>
      <c r="M3602" s="112" t="str">
        <f t="shared" si="59"/>
        <v/>
      </c>
      <c r="N3602" s="113"/>
    </row>
    <row r="3603" spans="2:14">
      <c r="B3603" s="105"/>
      <c r="C3603" s="106"/>
      <c r="D3603" s="107"/>
      <c r="E3603" s="65"/>
      <c r="F3603" s="64"/>
      <c r="G3603" s="64"/>
      <c r="H3603" s="64"/>
      <c r="I3603" s="70"/>
      <c r="J3603" s="70"/>
      <c r="K3603" s="110" t="str">
        <f>IF(H3603="","",IF($C$29="간이법","",FPR(H3603,I3603,J3603)))</f>
        <v/>
      </c>
      <c r="L3603" s="111" t="str">
        <f>IF(H3603="","",IF($C$29="상세법",FPV(H3603,K3603),IF(H3603="EI",4,IF(H3603="EO",5.2,IF(H3603="EQ",3.9,IF(H3603="ILF",7.5,IF(H3603="EIF",5.4)))))))</f>
        <v/>
      </c>
      <c r="M3603" s="112" t="str">
        <f t="shared" si="59"/>
        <v/>
      </c>
      <c r="N3603" s="113"/>
    </row>
    <row r="3604" spans="2:14">
      <c r="B3604" s="105"/>
      <c r="C3604" s="106"/>
      <c r="D3604" s="107"/>
      <c r="E3604" s="65"/>
      <c r="F3604" s="64"/>
      <c r="G3604" s="64"/>
      <c r="H3604" s="64"/>
      <c r="I3604" s="70"/>
      <c r="J3604" s="70"/>
      <c r="K3604" s="110" t="str">
        <f>IF(H3604="","",IF($C$29="간이법","",FPR(H3604,I3604,J3604)))</f>
        <v/>
      </c>
      <c r="L3604" s="111" t="str">
        <f>IF(H3604="","",IF($C$29="상세법",FPV(H3604,K3604),IF(H3604="EI",4,IF(H3604="EO",5.2,IF(H3604="EQ",3.9,IF(H3604="ILF",7.5,IF(H3604="EIF",5.4)))))))</f>
        <v/>
      </c>
      <c r="M3604" s="112" t="str">
        <f t="shared" si="59"/>
        <v/>
      </c>
      <c r="N3604" s="113"/>
    </row>
    <row r="3605" spans="2:14">
      <c r="B3605" s="105"/>
      <c r="C3605" s="106"/>
      <c r="D3605" s="107"/>
      <c r="E3605" s="65"/>
      <c r="F3605" s="64"/>
      <c r="G3605" s="64"/>
      <c r="H3605" s="64"/>
      <c r="I3605" s="70"/>
      <c r="J3605" s="70"/>
      <c r="K3605" s="110" t="str">
        <f>IF(H3605="","",IF($C$29="간이법","",FPR(H3605,I3605,J3605)))</f>
        <v/>
      </c>
      <c r="L3605" s="111" t="str">
        <f>IF(H3605="","",IF($C$29="상세법",FPV(H3605,K3605),IF(H3605="EI",4,IF(H3605="EO",5.2,IF(H3605="EQ",3.9,IF(H3605="ILF",7.5,IF(H3605="EIF",5.4)))))))</f>
        <v/>
      </c>
      <c r="M3605" s="112" t="str">
        <f t="shared" si="59"/>
        <v/>
      </c>
      <c r="N3605" s="113"/>
    </row>
    <row r="3606" spans="2:14">
      <c r="B3606" s="105"/>
      <c r="C3606" s="106"/>
      <c r="D3606" s="107"/>
      <c r="E3606" s="65"/>
      <c r="F3606" s="64"/>
      <c r="G3606" s="64"/>
      <c r="H3606" s="64"/>
      <c r="I3606" s="70"/>
      <c r="J3606" s="70"/>
      <c r="K3606" s="110" t="str">
        <f>IF(H3606="","",IF($C$29="간이법","",FPR(H3606,I3606,J3606)))</f>
        <v/>
      </c>
      <c r="L3606" s="111" t="str">
        <f>IF(H3606="","",IF($C$29="상세법",FPV(H3606,K3606),IF(H3606="EI",4,IF(H3606="EO",5.2,IF(H3606="EQ",3.9,IF(H3606="ILF",7.5,IF(H3606="EIF",5.4)))))))</f>
        <v/>
      </c>
      <c r="M3606" s="112" t="str">
        <f t="shared" si="59"/>
        <v/>
      </c>
      <c r="N3606" s="113"/>
    </row>
    <row r="3607" spans="2:14">
      <c r="B3607" s="105"/>
      <c r="C3607" s="106"/>
      <c r="D3607" s="107"/>
      <c r="E3607" s="65"/>
      <c r="F3607" s="64"/>
      <c r="G3607" s="64"/>
      <c r="H3607" s="64"/>
      <c r="I3607" s="70"/>
      <c r="J3607" s="70"/>
      <c r="K3607" s="110" t="str">
        <f>IF(H3607="","",IF($C$29="간이법","",FPR(H3607,I3607,J3607)))</f>
        <v/>
      </c>
      <c r="L3607" s="111" t="str">
        <f>IF(H3607="","",IF($C$29="상세법",FPV(H3607,K3607),IF(H3607="EI",4,IF(H3607="EO",5.2,IF(H3607="EQ",3.9,IF(H3607="ILF",7.5,IF(H3607="EIF",5.4)))))))</f>
        <v/>
      </c>
      <c r="M3607" s="112" t="str">
        <f t="shared" si="59"/>
        <v/>
      </c>
      <c r="N3607" s="113"/>
    </row>
    <row r="3608" spans="2:14">
      <c r="B3608" s="105"/>
      <c r="C3608" s="106"/>
      <c r="D3608" s="107"/>
      <c r="E3608" s="65"/>
      <c r="F3608" s="64"/>
      <c r="G3608" s="64"/>
      <c r="H3608" s="64"/>
      <c r="I3608" s="70"/>
      <c r="J3608" s="70"/>
      <c r="K3608" s="110" t="str">
        <f>IF(H3608="","",IF($C$29="간이법","",FPR(H3608,I3608,J3608)))</f>
        <v/>
      </c>
      <c r="L3608" s="111" t="str">
        <f>IF(H3608="","",IF($C$29="상세법",FPV(H3608,K3608),IF(H3608="EI",4,IF(H3608="EO",5.2,IF(H3608="EQ",3.9,IF(H3608="ILF",7.5,IF(H3608="EIF",5.4)))))))</f>
        <v/>
      </c>
      <c r="M3608" s="112" t="str">
        <f t="shared" si="59"/>
        <v/>
      </c>
      <c r="N3608" s="113"/>
    </row>
    <row r="3609" spans="2:14">
      <c r="B3609" s="105"/>
      <c r="C3609" s="106"/>
      <c r="D3609" s="107"/>
      <c r="E3609" s="65"/>
      <c r="F3609" s="64"/>
      <c r="G3609" s="64"/>
      <c r="H3609" s="64"/>
      <c r="I3609" s="70"/>
      <c r="J3609" s="70"/>
      <c r="K3609" s="110" t="str">
        <f>IF(H3609="","",IF($C$29="간이법","",FPR(H3609,I3609,J3609)))</f>
        <v/>
      </c>
      <c r="L3609" s="111" t="str">
        <f>IF(H3609="","",IF($C$29="상세법",FPV(H3609,K3609),IF(H3609="EI",4,IF(H3609="EO",5.2,IF(H3609="EQ",3.9,IF(H3609="ILF",7.5,IF(H3609="EIF",5.4)))))))</f>
        <v/>
      </c>
      <c r="M3609" s="112" t="str">
        <f t="shared" si="59"/>
        <v/>
      </c>
      <c r="N3609" s="113"/>
    </row>
    <row r="3610" spans="2:14">
      <c r="B3610" s="105"/>
      <c r="C3610" s="106"/>
      <c r="D3610" s="107"/>
      <c r="E3610" s="65"/>
      <c r="F3610" s="64"/>
      <c r="G3610" s="64"/>
      <c r="H3610" s="64"/>
      <c r="I3610" s="70"/>
      <c r="J3610" s="70"/>
      <c r="K3610" s="110" t="str">
        <f>IF(H3610="","",IF($C$29="간이법","",FPR(H3610,I3610,J3610)))</f>
        <v/>
      </c>
      <c r="L3610" s="111" t="str">
        <f>IF(H3610="","",IF($C$29="상세법",FPV(H3610,K3610),IF(H3610="EI",4,IF(H3610="EO",5.2,IF(H3610="EQ",3.9,IF(H3610="ILF",7.5,IF(H3610="EIF",5.4)))))))</f>
        <v/>
      </c>
      <c r="M3610" s="112" t="str">
        <f t="shared" si="59"/>
        <v/>
      </c>
      <c r="N3610" s="113"/>
    </row>
    <row r="3611" spans="2:14">
      <c r="B3611" s="105"/>
      <c r="C3611" s="106"/>
      <c r="D3611" s="107"/>
      <c r="E3611" s="65"/>
      <c r="F3611" s="64"/>
      <c r="G3611" s="64"/>
      <c r="H3611" s="64"/>
      <c r="I3611" s="70"/>
      <c r="J3611" s="70"/>
      <c r="K3611" s="110" t="str">
        <f>IF(H3611="","",IF($C$29="간이법","",FPR(H3611,I3611,J3611)))</f>
        <v/>
      </c>
      <c r="L3611" s="111" t="str">
        <f>IF(H3611="","",IF($C$29="상세법",FPV(H3611,K3611),IF(H3611="EI",4,IF(H3611="EO",5.2,IF(H3611="EQ",3.9,IF(H3611="ILF",7.5,IF(H3611="EIF",5.4)))))))</f>
        <v/>
      </c>
      <c r="M3611" s="112" t="str">
        <f t="shared" si="59"/>
        <v/>
      </c>
      <c r="N3611" s="113"/>
    </row>
    <row r="3612" spans="2:14">
      <c r="B3612" s="105"/>
      <c r="C3612" s="106"/>
      <c r="D3612" s="107"/>
      <c r="E3612" s="65"/>
      <c r="F3612" s="64"/>
      <c r="G3612" s="64"/>
      <c r="H3612" s="64"/>
      <c r="I3612" s="70"/>
      <c r="J3612" s="70"/>
      <c r="K3612" s="110" t="str">
        <f>IF(H3612="","",IF($C$29="간이법","",FPR(H3612,I3612,J3612)))</f>
        <v/>
      </c>
      <c r="L3612" s="111" t="str">
        <f>IF(H3612="","",IF($C$29="상세법",FPV(H3612,K3612),IF(H3612="EI",4,IF(H3612="EO",5.2,IF(H3612="EQ",3.9,IF(H3612="ILF",7.5,IF(H3612="EIF",5.4)))))))</f>
        <v/>
      </c>
      <c r="M3612" s="112" t="str">
        <f t="shared" si="59"/>
        <v/>
      </c>
      <c r="N3612" s="113"/>
    </row>
    <row r="3613" spans="2:14">
      <c r="B3613" s="105"/>
      <c r="C3613" s="106"/>
      <c r="D3613" s="107"/>
      <c r="E3613" s="65"/>
      <c r="F3613" s="64"/>
      <c r="G3613" s="64"/>
      <c r="H3613" s="64"/>
      <c r="I3613" s="70"/>
      <c r="J3613" s="70"/>
      <c r="K3613" s="110" t="str">
        <f>IF(H3613="","",IF($C$29="간이법","",FPR(H3613,I3613,J3613)))</f>
        <v/>
      </c>
      <c r="L3613" s="111" t="str">
        <f>IF(H3613="","",IF($C$29="상세법",FPV(H3613,K3613),IF(H3613="EI",4,IF(H3613="EO",5.2,IF(H3613="EQ",3.9,IF(H3613="ILF",7.5,IF(H3613="EIF",5.4)))))))</f>
        <v/>
      </c>
      <c r="M3613" s="112" t="str">
        <f t="shared" si="59"/>
        <v/>
      </c>
      <c r="N3613" s="113"/>
    </row>
    <row r="3614" spans="2:14">
      <c r="B3614" s="105"/>
      <c r="C3614" s="106"/>
      <c r="D3614" s="107"/>
      <c r="E3614" s="65"/>
      <c r="F3614" s="64"/>
      <c r="G3614" s="64"/>
      <c r="H3614" s="64"/>
      <c r="I3614" s="70"/>
      <c r="J3614" s="70"/>
      <c r="K3614" s="110" t="str">
        <f>IF(H3614="","",IF($C$29="간이법","",FPR(H3614,I3614,J3614)))</f>
        <v/>
      </c>
      <c r="L3614" s="111" t="str">
        <f>IF(H3614="","",IF($C$29="상세법",FPV(H3614,K3614),IF(H3614="EI",4,IF(H3614="EO",5.2,IF(H3614="EQ",3.9,IF(H3614="ILF",7.5,IF(H3614="EIF",5.4)))))))</f>
        <v/>
      </c>
      <c r="M3614" s="112" t="str">
        <f t="shared" si="59"/>
        <v/>
      </c>
      <c r="N3614" s="113"/>
    </row>
    <row r="3615" spans="2:14">
      <c r="B3615" s="105"/>
      <c r="C3615" s="106"/>
      <c r="D3615" s="107"/>
      <c r="E3615" s="65"/>
      <c r="F3615" s="64"/>
      <c r="G3615" s="64"/>
      <c r="H3615" s="64"/>
      <c r="I3615" s="70"/>
      <c r="J3615" s="70"/>
      <c r="K3615" s="110" t="str">
        <f>IF(H3615="","",IF($C$29="간이법","",FPR(H3615,I3615,J3615)))</f>
        <v/>
      </c>
      <c r="L3615" s="111" t="str">
        <f>IF(H3615="","",IF($C$29="상세법",FPV(H3615,K3615),IF(H3615="EI",4,IF(H3615="EO",5.2,IF(H3615="EQ",3.9,IF(H3615="ILF",7.5,IF(H3615="EIF",5.4)))))))</f>
        <v/>
      </c>
      <c r="M3615" s="112" t="str">
        <f t="shared" si="59"/>
        <v/>
      </c>
      <c r="N3615" s="113"/>
    </row>
    <row r="3616" spans="2:14">
      <c r="B3616" s="105"/>
      <c r="C3616" s="106"/>
      <c r="D3616" s="107"/>
      <c r="E3616" s="65"/>
      <c r="F3616" s="64"/>
      <c r="G3616" s="64"/>
      <c r="H3616" s="64"/>
      <c r="I3616" s="70"/>
      <c r="J3616" s="70"/>
      <c r="K3616" s="110" t="str">
        <f>IF(H3616="","",IF($C$29="간이법","",FPR(H3616,I3616,J3616)))</f>
        <v/>
      </c>
      <c r="L3616" s="111" t="str">
        <f>IF(H3616="","",IF($C$29="상세법",FPV(H3616,K3616),IF(H3616="EI",4,IF(H3616="EO",5.2,IF(H3616="EQ",3.9,IF(H3616="ILF",7.5,IF(H3616="EIF",5.4)))))))</f>
        <v/>
      </c>
      <c r="M3616" s="112" t="str">
        <f t="shared" si="59"/>
        <v/>
      </c>
      <c r="N3616" s="113"/>
    </row>
    <row r="3617" spans="2:14">
      <c r="B3617" s="105"/>
      <c r="C3617" s="106"/>
      <c r="D3617" s="107"/>
      <c r="E3617" s="65"/>
      <c r="F3617" s="64"/>
      <c r="G3617" s="64"/>
      <c r="H3617" s="64"/>
      <c r="I3617" s="70"/>
      <c r="J3617" s="70"/>
      <c r="K3617" s="110" t="str">
        <f>IF(H3617="","",IF($C$29="간이법","",FPR(H3617,I3617,J3617)))</f>
        <v/>
      </c>
      <c r="L3617" s="111" t="str">
        <f>IF(H3617="","",IF($C$29="상세법",FPV(H3617,K3617),IF(H3617="EI",4,IF(H3617="EO",5.2,IF(H3617="EQ",3.9,IF(H3617="ILF",7.5,IF(H3617="EIF",5.4)))))))</f>
        <v/>
      </c>
      <c r="M3617" s="112" t="str">
        <f t="shared" si="59"/>
        <v/>
      </c>
      <c r="N3617" s="113"/>
    </row>
    <row r="3618" spans="2:14">
      <c r="B3618" s="105"/>
      <c r="C3618" s="106"/>
      <c r="D3618" s="107"/>
      <c r="E3618" s="65"/>
      <c r="F3618" s="64"/>
      <c r="G3618" s="64"/>
      <c r="H3618" s="64"/>
      <c r="I3618" s="70"/>
      <c r="J3618" s="70"/>
      <c r="K3618" s="110" t="str">
        <f>IF(H3618="","",IF($C$29="간이법","",FPR(H3618,I3618,J3618)))</f>
        <v/>
      </c>
      <c r="L3618" s="111" t="str">
        <f>IF(H3618="","",IF($C$29="상세법",FPV(H3618,K3618),IF(H3618="EI",4,IF(H3618="EO",5.2,IF(H3618="EQ",3.9,IF(H3618="ILF",7.5,IF(H3618="EIF",5.4)))))))</f>
        <v/>
      </c>
      <c r="M3618" s="112" t="str">
        <f t="shared" si="59"/>
        <v/>
      </c>
      <c r="N3618" s="113"/>
    </row>
    <row r="3619" spans="2:14">
      <c r="B3619" s="105"/>
      <c r="C3619" s="106"/>
      <c r="D3619" s="107"/>
      <c r="E3619" s="65"/>
      <c r="F3619" s="64"/>
      <c r="G3619" s="64"/>
      <c r="H3619" s="64"/>
      <c r="I3619" s="70"/>
      <c r="J3619" s="70"/>
      <c r="K3619" s="110" t="str">
        <f>IF(H3619="","",IF($C$29="간이법","",FPR(H3619,I3619,J3619)))</f>
        <v/>
      </c>
      <c r="L3619" s="111" t="str">
        <f>IF(H3619="","",IF($C$29="상세법",FPV(H3619,K3619),IF(H3619="EI",4,IF(H3619="EO",5.2,IF(H3619="EQ",3.9,IF(H3619="ILF",7.5,IF(H3619="EIF",5.4)))))))</f>
        <v/>
      </c>
      <c r="M3619" s="112" t="str">
        <f t="shared" si="59"/>
        <v/>
      </c>
      <c r="N3619" s="113"/>
    </row>
    <row r="3620" spans="2:14">
      <c r="B3620" s="105"/>
      <c r="C3620" s="106"/>
      <c r="D3620" s="107"/>
      <c r="E3620" s="65"/>
      <c r="F3620" s="64"/>
      <c r="G3620" s="64"/>
      <c r="H3620" s="64"/>
      <c r="I3620" s="70"/>
      <c r="J3620" s="70"/>
      <c r="K3620" s="110" t="str">
        <f>IF(H3620="","",IF($C$29="간이법","",FPR(H3620,I3620,J3620)))</f>
        <v/>
      </c>
      <c r="L3620" s="111" t="str">
        <f>IF(H3620="","",IF($C$29="상세법",FPV(H3620,K3620),IF(H3620="EI",4,IF(H3620="EO",5.2,IF(H3620="EQ",3.9,IF(H3620="ILF",7.5,IF(H3620="EIF",5.4)))))))</f>
        <v/>
      </c>
      <c r="M3620" s="112" t="str">
        <f t="shared" si="59"/>
        <v/>
      </c>
      <c r="N3620" s="113"/>
    </row>
    <row r="3621" spans="2:14">
      <c r="B3621" s="105"/>
      <c r="C3621" s="106"/>
      <c r="D3621" s="107"/>
      <c r="E3621" s="65"/>
      <c r="F3621" s="64"/>
      <c r="G3621" s="64"/>
      <c r="H3621" s="64"/>
      <c r="I3621" s="70"/>
      <c r="J3621" s="70"/>
      <c r="K3621" s="110" t="str">
        <f>IF(H3621="","",IF($C$29="간이법","",FPR(H3621,I3621,J3621)))</f>
        <v/>
      </c>
      <c r="L3621" s="111" t="str">
        <f>IF(H3621="","",IF($C$29="상세법",FPV(H3621,K3621),IF(H3621="EI",4,IF(H3621="EO",5.2,IF(H3621="EQ",3.9,IF(H3621="ILF",7.5,IF(H3621="EIF",5.4)))))))</f>
        <v/>
      </c>
      <c r="M3621" s="112" t="str">
        <f t="shared" si="59"/>
        <v/>
      </c>
      <c r="N3621" s="113"/>
    </row>
    <row r="3622" spans="2:14">
      <c r="B3622" s="105"/>
      <c r="C3622" s="106"/>
      <c r="D3622" s="107"/>
      <c r="E3622" s="65"/>
      <c r="F3622" s="64"/>
      <c r="G3622" s="64"/>
      <c r="H3622" s="64"/>
      <c r="I3622" s="70"/>
      <c r="J3622" s="70"/>
      <c r="K3622" s="110" t="str">
        <f>IF(H3622="","",IF($C$29="간이법","",FPR(H3622,I3622,J3622)))</f>
        <v/>
      </c>
      <c r="L3622" s="111" t="str">
        <f>IF(H3622="","",IF($C$29="상세법",FPV(H3622,K3622),IF(H3622="EI",4,IF(H3622="EO",5.2,IF(H3622="EQ",3.9,IF(H3622="ILF",7.5,IF(H3622="EIF",5.4)))))))</f>
        <v/>
      </c>
      <c r="M3622" s="112" t="str">
        <f t="shared" si="59"/>
        <v/>
      </c>
      <c r="N3622" s="113"/>
    </row>
    <row r="3623" spans="2:14">
      <c r="B3623" s="105"/>
      <c r="C3623" s="106"/>
      <c r="D3623" s="107"/>
      <c r="E3623" s="65"/>
      <c r="F3623" s="64"/>
      <c r="G3623" s="64"/>
      <c r="H3623" s="64"/>
      <c r="I3623" s="70"/>
      <c r="J3623" s="70"/>
      <c r="K3623" s="110" t="str">
        <f>IF(H3623="","",IF($C$29="간이법","",FPR(H3623,I3623,J3623)))</f>
        <v/>
      </c>
      <c r="L3623" s="111" t="str">
        <f>IF(H3623="","",IF($C$29="상세법",FPV(H3623,K3623),IF(H3623="EI",4,IF(H3623="EO",5.2,IF(H3623="EQ",3.9,IF(H3623="ILF",7.5,IF(H3623="EIF",5.4)))))))</f>
        <v/>
      </c>
      <c r="M3623" s="112" t="str">
        <f t="shared" si="59"/>
        <v/>
      </c>
      <c r="N3623" s="113"/>
    </row>
    <row r="3624" spans="2:14">
      <c r="B3624" s="105"/>
      <c r="C3624" s="106"/>
      <c r="D3624" s="107"/>
      <c r="E3624" s="65"/>
      <c r="F3624" s="64"/>
      <c r="G3624" s="64"/>
      <c r="H3624" s="64"/>
      <c r="I3624" s="70"/>
      <c r="J3624" s="70"/>
      <c r="K3624" s="110" t="str">
        <f>IF(H3624="","",IF($C$29="간이법","",FPR(H3624,I3624,J3624)))</f>
        <v/>
      </c>
      <c r="L3624" s="111" t="str">
        <f>IF(H3624="","",IF($C$29="상세법",FPV(H3624,K3624),IF(H3624="EI",4,IF(H3624="EO",5.2,IF(H3624="EQ",3.9,IF(H3624="ILF",7.5,IF(H3624="EIF",5.4)))))))</f>
        <v/>
      </c>
      <c r="M3624" s="112" t="str">
        <f t="shared" si="59"/>
        <v/>
      </c>
      <c r="N3624" s="113"/>
    </row>
    <row r="3625" spans="2:14">
      <c r="B3625" s="105"/>
      <c r="C3625" s="106"/>
      <c r="D3625" s="107"/>
      <c r="E3625" s="65"/>
      <c r="F3625" s="64"/>
      <c r="G3625" s="64"/>
      <c r="H3625" s="64"/>
      <c r="I3625" s="70"/>
      <c r="J3625" s="70"/>
      <c r="K3625" s="110" t="str">
        <f>IF(H3625="","",IF($C$29="간이법","",FPR(H3625,I3625,J3625)))</f>
        <v/>
      </c>
      <c r="L3625" s="111" t="str">
        <f>IF(H3625="","",IF($C$29="상세법",FPV(H3625,K3625),IF(H3625="EI",4,IF(H3625="EO",5.2,IF(H3625="EQ",3.9,IF(H3625="ILF",7.5,IF(H3625="EIF",5.4)))))))</f>
        <v/>
      </c>
      <c r="M3625" s="112" t="str">
        <f t="shared" si="59"/>
        <v/>
      </c>
      <c r="N3625" s="113"/>
    </row>
    <row r="3626" spans="2:14">
      <c r="B3626" s="105"/>
      <c r="C3626" s="106"/>
      <c r="D3626" s="107"/>
      <c r="E3626" s="65"/>
      <c r="F3626" s="64"/>
      <c r="G3626" s="64"/>
      <c r="H3626" s="64"/>
      <c r="I3626" s="70"/>
      <c r="J3626" s="70"/>
      <c r="K3626" s="110" t="str">
        <f>IF(H3626="","",IF($C$29="간이법","",FPR(H3626,I3626,J3626)))</f>
        <v/>
      </c>
      <c r="L3626" s="111" t="str">
        <f>IF(H3626="","",IF($C$29="상세법",FPV(H3626,K3626),IF(H3626="EI",4,IF(H3626="EO",5.2,IF(H3626="EQ",3.9,IF(H3626="ILF",7.5,IF(H3626="EIF",5.4)))))))</f>
        <v/>
      </c>
      <c r="M3626" s="112" t="str">
        <f t="shared" si="59"/>
        <v/>
      </c>
      <c r="N3626" s="113"/>
    </row>
    <row r="3627" spans="2:14">
      <c r="B3627" s="105"/>
      <c r="C3627" s="106"/>
      <c r="D3627" s="107"/>
      <c r="E3627" s="65"/>
      <c r="F3627" s="64"/>
      <c r="G3627" s="64"/>
      <c r="H3627" s="64"/>
      <c r="I3627" s="70"/>
      <c r="J3627" s="70"/>
      <c r="K3627" s="110" t="str">
        <f>IF(H3627="","",IF($C$29="간이법","",FPR(H3627,I3627,J3627)))</f>
        <v/>
      </c>
      <c r="L3627" s="111" t="str">
        <f>IF(H3627="","",IF($C$29="상세법",FPV(H3627,K3627),IF(H3627="EI",4,IF(H3627="EO",5.2,IF(H3627="EQ",3.9,IF(H3627="ILF",7.5,IF(H3627="EIF",5.4)))))))</f>
        <v/>
      </c>
      <c r="M3627" s="112" t="str">
        <f t="shared" si="59"/>
        <v/>
      </c>
      <c r="N3627" s="113"/>
    </row>
    <row r="3628" spans="2:14">
      <c r="B3628" s="105"/>
      <c r="C3628" s="106"/>
      <c r="D3628" s="107"/>
      <c r="E3628" s="65"/>
      <c r="F3628" s="64"/>
      <c r="G3628" s="64"/>
      <c r="H3628" s="64"/>
      <c r="I3628" s="70"/>
      <c r="J3628" s="70"/>
      <c r="K3628" s="110" t="str">
        <f>IF(H3628="","",IF($C$29="간이법","",FPR(H3628,I3628,J3628)))</f>
        <v/>
      </c>
      <c r="L3628" s="111" t="str">
        <f>IF(H3628="","",IF($C$29="상세법",FPV(H3628,K3628),IF(H3628="EI",4,IF(H3628="EO",5.2,IF(H3628="EQ",3.9,IF(H3628="ILF",7.5,IF(H3628="EIF",5.4)))))))</f>
        <v/>
      </c>
      <c r="M3628" s="112" t="str">
        <f t="shared" si="59"/>
        <v/>
      </c>
      <c r="N3628" s="113"/>
    </row>
    <row r="3629" spans="2:14">
      <c r="B3629" s="105"/>
      <c r="C3629" s="106"/>
      <c r="D3629" s="107"/>
      <c r="E3629" s="65"/>
      <c r="F3629" s="64"/>
      <c r="G3629" s="64"/>
      <c r="H3629" s="64"/>
      <c r="I3629" s="70"/>
      <c r="J3629" s="70"/>
      <c r="K3629" s="110" t="str">
        <f>IF(H3629="","",IF($C$29="간이법","",FPR(H3629,I3629,J3629)))</f>
        <v/>
      </c>
      <c r="L3629" s="111" t="str">
        <f>IF(H3629="","",IF($C$29="상세법",FPV(H3629,K3629),IF(H3629="EI",4,IF(H3629="EO",5.2,IF(H3629="EQ",3.9,IF(H3629="ILF",7.5,IF(H3629="EIF",5.4)))))))</f>
        <v/>
      </c>
      <c r="M3629" s="112" t="str">
        <f t="shared" si="59"/>
        <v/>
      </c>
      <c r="N3629" s="113"/>
    </row>
    <row r="3630" spans="2:14">
      <c r="B3630" s="105"/>
      <c r="C3630" s="106"/>
      <c r="D3630" s="107"/>
      <c r="E3630" s="65"/>
      <c r="F3630" s="64"/>
      <c r="G3630" s="64"/>
      <c r="H3630" s="64"/>
      <c r="I3630" s="70"/>
      <c r="J3630" s="70"/>
      <c r="K3630" s="110" t="str">
        <f>IF(H3630="","",IF($C$29="간이법","",FPR(H3630,I3630,J3630)))</f>
        <v/>
      </c>
      <c r="L3630" s="111" t="str">
        <f>IF(H3630="","",IF($C$29="상세법",FPV(H3630,K3630),IF(H3630="EI",4,IF(H3630="EO",5.2,IF(H3630="EQ",3.9,IF(H3630="ILF",7.5,IF(H3630="EIF",5.4)))))))</f>
        <v/>
      </c>
      <c r="M3630" s="112" t="str">
        <f t="shared" si="59"/>
        <v/>
      </c>
      <c r="N3630" s="113"/>
    </row>
    <row r="3631" spans="2:14">
      <c r="B3631" s="105"/>
      <c r="C3631" s="106"/>
      <c r="D3631" s="107"/>
      <c r="E3631" s="65"/>
      <c r="F3631" s="64"/>
      <c r="G3631" s="64"/>
      <c r="H3631" s="64"/>
      <c r="I3631" s="70"/>
      <c r="J3631" s="70"/>
      <c r="K3631" s="110" t="str">
        <f>IF(H3631="","",IF($C$29="간이법","",FPR(H3631,I3631,J3631)))</f>
        <v/>
      </c>
      <c r="L3631" s="111" t="str">
        <f>IF(H3631="","",IF($C$29="상세법",FPV(H3631,K3631),IF(H3631="EI",4,IF(H3631="EO",5.2,IF(H3631="EQ",3.9,IF(H3631="ILF",7.5,IF(H3631="EIF",5.4)))))))</f>
        <v/>
      </c>
      <c r="M3631" s="112" t="str">
        <f t="shared" si="59"/>
        <v/>
      </c>
      <c r="N3631" s="113"/>
    </row>
    <row r="3632" spans="2:14">
      <c r="B3632" s="105"/>
      <c r="C3632" s="106"/>
      <c r="D3632" s="107"/>
      <c r="E3632" s="65"/>
      <c r="F3632" s="64"/>
      <c r="G3632" s="64"/>
      <c r="H3632" s="64"/>
      <c r="I3632" s="70"/>
      <c r="J3632" s="70"/>
      <c r="K3632" s="110" t="str">
        <f>IF(H3632="","",IF($C$29="간이법","",FPR(H3632,I3632,J3632)))</f>
        <v/>
      </c>
      <c r="L3632" s="111" t="str">
        <f>IF(H3632="","",IF($C$29="상세법",FPV(H3632,K3632),IF(H3632="EI",4,IF(H3632="EO",5.2,IF(H3632="EQ",3.9,IF(H3632="ILF",7.5,IF(H3632="EIF",5.4)))))))</f>
        <v/>
      </c>
      <c r="M3632" s="112" t="str">
        <f t="shared" si="59"/>
        <v/>
      </c>
      <c r="N3632" s="113"/>
    </row>
    <row r="3633" spans="2:14">
      <c r="B3633" s="105"/>
      <c r="C3633" s="106"/>
      <c r="D3633" s="107"/>
      <c r="E3633" s="65"/>
      <c r="F3633" s="64"/>
      <c r="G3633" s="64"/>
      <c r="H3633" s="64"/>
      <c r="I3633" s="70"/>
      <c r="J3633" s="70"/>
      <c r="K3633" s="110" t="str">
        <f>IF(H3633="","",IF($C$29="간이법","",FPR(H3633,I3633,J3633)))</f>
        <v/>
      </c>
      <c r="L3633" s="111" t="str">
        <f>IF(H3633="","",IF($C$29="상세법",FPV(H3633,K3633),IF(H3633="EI",4,IF(H3633="EO",5.2,IF(H3633="EQ",3.9,IF(H3633="ILF",7.5,IF(H3633="EIF",5.4)))))))</f>
        <v/>
      </c>
      <c r="M3633" s="112" t="str">
        <f t="shared" si="59"/>
        <v/>
      </c>
      <c r="N3633" s="113"/>
    </row>
    <row r="3634" spans="2:14">
      <c r="B3634" s="105"/>
      <c r="C3634" s="106"/>
      <c r="D3634" s="107"/>
      <c r="E3634" s="65"/>
      <c r="F3634" s="64"/>
      <c r="G3634" s="64"/>
      <c r="H3634" s="64"/>
      <c r="I3634" s="70"/>
      <c r="J3634" s="70"/>
      <c r="K3634" s="110" t="str">
        <f>IF(H3634="","",IF($C$29="간이법","",FPR(H3634,I3634,J3634)))</f>
        <v/>
      </c>
      <c r="L3634" s="111" t="str">
        <f>IF(H3634="","",IF($C$29="상세법",FPV(H3634,K3634),IF(H3634="EI",4,IF(H3634="EO",5.2,IF(H3634="EQ",3.9,IF(H3634="ILF",7.5,IF(H3634="EIF",5.4)))))))</f>
        <v/>
      </c>
      <c r="M3634" s="112" t="str">
        <f t="shared" si="59"/>
        <v/>
      </c>
      <c r="N3634" s="113"/>
    </row>
    <row r="3635" spans="2:14">
      <c r="B3635" s="105"/>
      <c r="C3635" s="106"/>
      <c r="D3635" s="107"/>
      <c r="E3635" s="65"/>
      <c r="F3635" s="64"/>
      <c r="G3635" s="64"/>
      <c r="H3635" s="64"/>
      <c r="I3635" s="70"/>
      <c r="J3635" s="70"/>
      <c r="K3635" s="110" t="str">
        <f>IF(H3635="","",IF($C$29="간이법","",FPR(H3635,I3635,J3635)))</f>
        <v/>
      </c>
      <c r="L3635" s="111" t="str">
        <f>IF(H3635="","",IF($C$29="상세법",FPV(H3635,K3635),IF(H3635="EI",4,IF(H3635="EO",5.2,IF(H3635="EQ",3.9,IF(H3635="ILF",7.5,IF(H3635="EIF",5.4)))))))</f>
        <v/>
      </c>
      <c r="M3635" s="112" t="str">
        <f t="shared" si="59"/>
        <v/>
      </c>
      <c r="N3635" s="113"/>
    </row>
    <row r="3636" spans="2:14">
      <c r="B3636" s="105"/>
      <c r="C3636" s="106"/>
      <c r="D3636" s="107"/>
      <c r="E3636" s="65"/>
      <c r="F3636" s="64"/>
      <c r="G3636" s="64"/>
      <c r="H3636" s="64"/>
      <c r="I3636" s="70"/>
      <c r="J3636" s="70"/>
      <c r="K3636" s="110" t="str">
        <f>IF(H3636="","",IF($C$29="간이법","",FPR(H3636,I3636,J3636)))</f>
        <v/>
      </c>
      <c r="L3636" s="111" t="str">
        <f>IF(H3636="","",IF($C$29="상세법",FPV(H3636,K3636),IF(H3636="EI",4,IF(H3636="EO",5.2,IF(H3636="EQ",3.9,IF(H3636="ILF",7.5,IF(H3636="EIF",5.4)))))))</f>
        <v/>
      </c>
      <c r="M3636" s="112" t="str">
        <f t="shared" si="59"/>
        <v/>
      </c>
      <c r="N3636" s="113"/>
    </row>
    <row r="3637" spans="2:14">
      <c r="B3637" s="105"/>
      <c r="C3637" s="106"/>
      <c r="D3637" s="107"/>
      <c r="E3637" s="65"/>
      <c r="F3637" s="64"/>
      <c r="G3637" s="64"/>
      <c r="H3637" s="64"/>
      <c r="I3637" s="70"/>
      <c r="J3637" s="70"/>
      <c r="K3637" s="110" t="str">
        <f>IF(H3637="","",IF($C$29="간이법","",FPR(H3637,I3637,J3637)))</f>
        <v/>
      </c>
      <c r="L3637" s="111" t="str">
        <f>IF(H3637="","",IF($C$29="상세법",FPV(H3637,K3637),IF(H3637="EI",4,IF(H3637="EO",5.2,IF(H3637="EQ",3.9,IF(H3637="ILF",7.5,IF(H3637="EIF",5.4)))))))</f>
        <v/>
      </c>
      <c r="M3637" s="112" t="str">
        <f t="shared" si="59"/>
        <v/>
      </c>
      <c r="N3637" s="113"/>
    </row>
    <row r="3638" spans="2:14">
      <c r="B3638" s="105"/>
      <c r="C3638" s="106"/>
      <c r="D3638" s="107"/>
      <c r="E3638" s="65"/>
      <c r="F3638" s="64"/>
      <c r="G3638" s="64"/>
      <c r="H3638" s="64"/>
      <c r="I3638" s="70"/>
      <c r="J3638" s="70"/>
      <c r="K3638" s="110" t="str">
        <f>IF(H3638="","",IF($C$29="간이법","",FPR(H3638,I3638,J3638)))</f>
        <v/>
      </c>
      <c r="L3638" s="111" t="str">
        <f>IF(H3638="","",IF($C$29="상세법",FPV(H3638,K3638),IF(H3638="EI",4,IF(H3638="EO",5.2,IF(H3638="EQ",3.9,IF(H3638="ILF",7.5,IF(H3638="EIF",5.4)))))))</f>
        <v/>
      </c>
      <c r="M3638" s="112" t="str">
        <f t="shared" si="59"/>
        <v/>
      </c>
      <c r="N3638" s="113"/>
    </row>
    <row r="3639" spans="2:14">
      <c r="B3639" s="105"/>
      <c r="C3639" s="106"/>
      <c r="D3639" s="107"/>
      <c r="E3639" s="65"/>
      <c r="F3639" s="64"/>
      <c r="G3639" s="64"/>
      <c r="H3639" s="64"/>
      <c r="I3639" s="70"/>
      <c r="J3639" s="70"/>
      <c r="K3639" s="110" t="str">
        <f>IF(H3639="","",IF($C$29="간이법","",FPR(H3639,I3639,J3639)))</f>
        <v/>
      </c>
      <c r="L3639" s="111" t="str">
        <f>IF(H3639="","",IF($C$29="상세법",FPV(H3639,K3639),IF(H3639="EI",4,IF(H3639="EO",5.2,IF(H3639="EQ",3.9,IF(H3639="ILF",7.5,IF(H3639="EIF",5.4)))))))</f>
        <v/>
      </c>
      <c r="M3639" s="112" t="str">
        <f t="shared" si="59"/>
        <v/>
      </c>
      <c r="N3639" s="113"/>
    </row>
    <row r="3640" spans="2:14">
      <c r="B3640" s="105"/>
      <c r="C3640" s="106"/>
      <c r="D3640" s="107"/>
      <c r="E3640" s="65"/>
      <c r="F3640" s="64"/>
      <c r="G3640" s="64"/>
      <c r="H3640" s="64"/>
      <c r="I3640" s="70"/>
      <c r="J3640" s="70"/>
      <c r="K3640" s="110" t="str">
        <f>IF(H3640="","",IF($C$29="간이법","",FPR(H3640,I3640,J3640)))</f>
        <v/>
      </c>
      <c r="L3640" s="111" t="str">
        <f>IF(H3640="","",IF($C$29="상세법",FPV(H3640,K3640),IF(H3640="EI",4,IF(H3640="EO",5.2,IF(H3640="EQ",3.9,IF(H3640="ILF",7.5,IF(H3640="EIF",5.4)))))))</f>
        <v/>
      </c>
      <c r="M3640" s="112" t="str">
        <f t="shared" si="59"/>
        <v/>
      </c>
      <c r="N3640" s="113"/>
    </row>
    <row r="3641" spans="2:14">
      <c r="B3641" s="105"/>
      <c r="C3641" s="106"/>
      <c r="D3641" s="107"/>
      <c r="E3641" s="65"/>
      <c r="F3641" s="64"/>
      <c r="G3641" s="64"/>
      <c r="H3641" s="64"/>
      <c r="I3641" s="70"/>
      <c r="J3641" s="70"/>
      <c r="K3641" s="110" t="str">
        <f>IF(H3641="","",IF($C$29="간이법","",FPR(H3641,I3641,J3641)))</f>
        <v/>
      </c>
      <c r="L3641" s="111" t="str">
        <f>IF(H3641="","",IF($C$29="상세법",FPV(H3641,K3641),IF(H3641="EI",4,IF(H3641="EO",5.2,IF(H3641="EQ",3.9,IF(H3641="ILF",7.5,IF(H3641="EIF",5.4)))))))</f>
        <v/>
      </c>
      <c r="M3641" s="112" t="str">
        <f t="shared" ref="M3641:M3704" si="60">IF(L3641="","",L3641*IF(G3641="상",0.7,IF(G3641="중",0.5,IF(G3641="하",0.2,1))))</f>
        <v/>
      </c>
      <c r="N3641" s="113"/>
    </row>
    <row r="3642" spans="2:14">
      <c r="B3642" s="105"/>
      <c r="C3642" s="106"/>
      <c r="D3642" s="107"/>
      <c r="E3642" s="65"/>
      <c r="F3642" s="64"/>
      <c r="G3642" s="64"/>
      <c r="H3642" s="64"/>
      <c r="I3642" s="70"/>
      <c r="J3642" s="70"/>
      <c r="K3642" s="110" t="str">
        <f>IF(H3642="","",IF($C$29="간이법","",FPR(H3642,I3642,J3642)))</f>
        <v/>
      </c>
      <c r="L3642" s="111" t="str">
        <f>IF(H3642="","",IF($C$29="상세법",FPV(H3642,K3642),IF(H3642="EI",4,IF(H3642="EO",5.2,IF(H3642="EQ",3.9,IF(H3642="ILF",7.5,IF(H3642="EIF",5.4)))))))</f>
        <v/>
      </c>
      <c r="M3642" s="112" t="str">
        <f t="shared" si="60"/>
        <v/>
      </c>
      <c r="N3642" s="113"/>
    </row>
    <row r="3643" spans="2:14">
      <c r="B3643" s="105"/>
      <c r="C3643" s="106"/>
      <c r="D3643" s="107"/>
      <c r="E3643" s="65"/>
      <c r="F3643" s="64"/>
      <c r="G3643" s="64"/>
      <c r="H3643" s="64"/>
      <c r="I3643" s="70"/>
      <c r="J3643" s="70"/>
      <c r="K3643" s="110" t="str">
        <f>IF(H3643="","",IF($C$29="간이법","",FPR(H3643,I3643,J3643)))</f>
        <v/>
      </c>
      <c r="L3643" s="111" t="str">
        <f>IF(H3643="","",IF($C$29="상세법",FPV(H3643,K3643),IF(H3643="EI",4,IF(H3643="EO",5.2,IF(H3643="EQ",3.9,IF(H3643="ILF",7.5,IF(H3643="EIF",5.4)))))))</f>
        <v/>
      </c>
      <c r="M3643" s="112" t="str">
        <f t="shared" si="60"/>
        <v/>
      </c>
      <c r="N3643" s="113"/>
    </row>
    <row r="3644" spans="2:14">
      <c r="B3644" s="105"/>
      <c r="C3644" s="106"/>
      <c r="D3644" s="107"/>
      <c r="E3644" s="65"/>
      <c r="F3644" s="64"/>
      <c r="G3644" s="64"/>
      <c r="H3644" s="64"/>
      <c r="I3644" s="70"/>
      <c r="J3644" s="70"/>
      <c r="K3644" s="110" t="str">
        <f>IF(H3644="","",IF($C$29="간이법","",FPR(H3644,I3644,J3644)))</f>
        <v/>
      </c>
      <c r="L3644" s="111" t="str">
        <f>IF(H3644="","",IF($C$29="상세법",FPV(H3644,K3644),IF(H3644="EI",4,IF(H3644="EO",5.2,IF(H3644="EQ",3.9,IF(H3644="ILF",7.5,IF(H3644="EIF",5.4)))))))</f>
        <v/>
      </c>
      <c r="M3644" s="112" t="str">
        <f t="shared" si="60"/>
        <v/>
      </c>
      <c r="N3644" s="113"/>
    </row>
    <row r="3645" spans="2:14">
      <c r="B3645" s="105"/>
      <c r="C3645" s="106"/>
      <c r="D3645" s="107"/>
      <c r="E3645" s="65"/>
      <c r="F3645" s="64"/>
      <c r="G3645" s="64"/>
      <c r="H3645" s="64"/>
      <c r="I3645" s="70"/>
      <c r="J3645" s="70"/>
      <c r="K3645" s="110" t="str">
        <f>IF(H3645="","",IF($C$29="간이법","",FPR(H3645,I3645,J3645)))</f>
        <v/>
      </c>
      <c r="L3645" s="111" t="str">
        <f>IF(H3645="","",IF($C$29="상세법",FPV(H3645,K3645),IF(H3645="EI",4,IF(H3645="EO",5.2,IF(H3645="EQ",3.9,IF(H3645="ILF",7.5,IF(H3645="EIF",5.4)))))))</f>
        <v/>
      </c>
      <c r="M3645" s="112" t="str">
        <f t="shared" si="60"/>
        <v/>
      </c>
      <c r="N3645" s="113"/>
    </row>
    <row r="3646" spans="2:14">
      <c r="B3646" s="105"/>
      <c r="C3646" s="106"/>
      <c r="D3646" s="107"/>
      <c r="E3646" s="65"/>
      <c r="F3646" s="64"/>
      <c r="G3646" s="64"/>
      <c r="H3646" s="64"/>
      <c r="I3646" s="70"/>
      <c r="J3646" s="70"/>
      <c r="K3646" s="110" t="str">
        <f>IF(H3646="","",IF($C$29="간이법","",FPR(H3646,I3646,J3646)))</f>
        <v/>
      </c>
      <c r="L3646" s="111" t="str">
        <f>IF(H3646="","",IF($C$29="상세법",FPV(H3646,K3646),IF(H3646="EI",4,IF(H3646="EO",5.2,IF(H3646="EQ",3.9,IF(H3646="ILF",7.5,IF(H3646="EIF",5.4)))))))</f>
        <v/>
      </c>
      <c r="M3646" s="112" t="str">
        <f t="shared" si="60"/>
        <v/>
      </c>
      <c r="N3646" s="113"/>
    </row>
    <row r="3647" spans="2:14">
      <c r="B3647" s="105"/>
      <c r="C3647" s="106"/>
      <c r="D3647" s="107"/>
      <c r="E3647" s="65"/>
      <c r="F3647" s="64"/>
      <c r="G3647" s="64"/>
      <c r="H3647" s="64"/>
      <c r="I3647" s="70"/>
      <c r="J3647" s="70"/>
      <c r="K3647" s="110" t="str">
        <f>IF(H3647="","",IF($C$29="간이법","",FPR(H3647,I3647,J3647)))</f>
        <v/>
      </c>
      <c r="L3647" s="111" t="str">
        <f>IF(H3647="","",IF($C$29="상세법",FPV(H3647,K3647),IF(H3647="EI",4,IF(H3647="EO",5.2,IF(H3647="EQ",3.9,IF(H3647="ILF",7.5,IF(H3647="EIF",5.4)))))))</f>
        <v/>
      </c>
      <c r="M3647" s="112" t="str">
        <f t="shared" si="60"/>
        <v/>
      </c>
      <c r="N3647" s="113"/>
    </row>
    <row r="3648" spans="2:14">
      <c r="B3648" s="105"/>
      <c r="C3648" s="106"/>
      <c r="D3648" s="107"/>
      <c r="E3648" s="65"/>
      <c r="F3648" s="64"/>
      <c r="G3648" s="64"/>
      <c r="H3648" s="64"/>
      <c r="I3648" s="70"/>
      <c r="J3648" s="70"/>
      <c r="K3648" s="110" t="str">
        <f>IF(H3648="","",IF($C$29="간이법","",FPR(H3648,I3648,J3648)))</f>
        <v/>
      </c>
      <c r="L3648" s="111" t="str">
        <f>IF(H3648="","",IF($C$29="상세법",FPV(H3648,K3648),IF(H3648="EI",4,IF(H3648="EO",5.2,IF(H3648="EQ",3.9,IF(H3648="ILF",7.5,IF(H3648="EIF",5.4)))))))</f>
        <v/>
      </c>
      <c r="M3648" s="112" t="str">
        <f t="shared" si="60"/>
        <v/>
      </c>
      <c r="N3648" s="113"/>
    </row>
    <row r="3649" spans="2:14">
      <c r="B3649" s="105"/>
      <c r="C3649" s="106"/>
      <c r="D3649" s="107"/>
      <c r="E3649" s="65"/>
      <c r="F3649" s="64"/>
      <c r="G3649" s="64"/>
      <c r="H3649" s="64"/>
      <c r="I3649" s="70"/>
      <c r="J3649" s="70"/>
      <c r="K3649" s="110" t="str">
        <f>IF(H3649="","",IF($C$29="간이법","",FPR(H3649,I3649,J3649)))</f>
        <v/>
      </c>
      <c r="L3649" s="111" t="str">
        <f>IF(H3649="","",IF($C$29="상세법",FPV(H3649,K3649),IF(H3649="EI",4,IF(H3649="EO",5.2,IF(H3649="EQ",3.9,IF(H3649="ILF",7.5,IF(H3649="EIF",5.4)))))))</f>
        <v/>
      </c>
      <c r="M3649" s="112" t="str">
        <f t="shared" si="60"/>
        <v/>
      </c>
      <c r="N3649" s="113"/>
    </row>
    <row r="3650" spans="2:14">
      <c r="B3650" s="105"/>
      <c r="C3650" s="106"/>
      <c r="D3650" s="107"/>
      <c r="E3650" s="65"/>
      <c r="F3650" s="64"/>
      <c r="G3650" s="64"/>
      <c r="H3650" s="64"/>
      <c r="I3650" s="70"/>
      <c r="J3650" s="70"/>
      <c r="K3650" s="110" t="str">
        <f>IF(H3650="","",IF($C$29="간이법","",FPR(H3650,I3650,J3650)))</f>
        <v/>
      </c>
      <c r="L3650" s="111" t="str">
        <f>IF(H3650="","",IF($C$29="상세법",FPV(H3650,K3650),IF(H3650="EI",4,IF(H3650="EO",5.2,IF(H3650="EQ",3.9,IF(H3650="ILF",7.5,IF(H3650="EIF",5.4)))))))</f>
        <v/>
      </c>
      <c r="M3650" s="112" t="str">
        <f t="shared" si="60"/>
        <v/>
      </c>
      <c r="N3650" s="113"/>
    </row>
    <row r="3651" spans="2:14">
      <c r="B3651" s="105"/>
      <c r="C3651" s="106"/>
      <c r="D3651" s="107"/>
      <c r="E3651" s="65"/>
      <c r="F3651" s="64"/>
      <c r="G3651" s="64"/>
      <c r="H3651" s="64"/>
      <c r="I3651" s="70"/>
      <c r="J3651" s="70"/>
      <c r="K3651" s="110" t="str">
        <f>IF(H3651="","",IF($C$29="간이법","",FPR(H3651,I3651,J3651)))</f>
        <v/>
      </c>
      <c r="L3651" s="111" t="str">
        <f>IF(H3651="","",IF($C$29="상세법",FPV(H3651,K3651),IF(H3651="EI",4,IF(H3651="EO",5.2,IF(H3651="EQ",3.9,IF(H3651="ILF",7.5,IF(H3651="EIF",5.4)))))))</f>
        <v/>
      </c>
      <c r="M3651" s="112" t="str">
        <f t="shared" si="60"/>
        <v/>
      </c>
      <c r="N3651" s="113"/>
    </row>
    <row r="3652" spans="2:14">
      <c r="B3652" s="105"/>
      <c r="C3652" s="106"/>
      <c r="D3652" s="107"/>
      <c r="E3652" s="65"/>
      <c r="F3652" s="64"/>
      <c r="G3652" s="64"/>
      <c r="H3652" s="64"/>
      <c r="I3652" s="70"/>
      <c r="J3652" s="70"/>
      <c r="K3652" s="110" t="str">
        <f>IF(H3652="","",IF($C$29="간이법","",FPR(H3652,I3652,J3652)))</f>
        <v/>
      </c>
      <c r="L3652" s="111" t="str">
        <f>IF(H3652="","",IF($C$29="상세법",FPV(H3652,K3652),IF(H3652="EI",4,IF(H3652="EO",5.2,IF(H3652="EQ",3.9,IF(H3652="ILF",7.5,IF(H3652="EIF",5.4)))))))</f>
        <v/>
      </c>
      <c r="M3652" s="112" t="str">
        <f t="shared" si="60"/>
        <v/>
      </c>
      <c r="N3652" s="113"/>
    </row>
    <row r="3653" spans="2:14">
      <c r="B3653" s="105"/>
      <c r="C3653" s="106"/>
      <c r="D3653" s="107"/>
      <c r="E3653" s="65"/>
      <c r="F3653" s="64"/>
      <c r="G3653" s="64"/>
      <c r="H3653" s="64"/>
      <c r="I3653" s="70"/>
      <c r="J3653" s="70"/>
      <c r="K3653" s="110" t="str">
        <f>IF(H3653="","",IF($C$29="간이법","",FPR(H3653,I3653,J3653)))</f>
        <v/>
      </c>
      <c r="L3653" s="111" t="str">
        <f>IF(H3653="","",IF($C$29="상세법",FPV(H3653,K3653),IF(H3653="EI",4,IF(H3653="EO",5.2,IF(H3653="EQ",3.9,IF(H3653="ILF",7.5,IF(H3653="EIF",5.4)))))))</f>
        <v/>
      </c>
      <c r="M3653" s="112" t="str">
        <f t="shared" si="60"/>
        <v/>
      </c>
      <c r="N3653" s="113"/>
    </row>
    <row r="3654" spans="2:14">
      <c r="B3654" s="105"/>
      <c r="C3654" s="106"/>
      <c r="D3654" s="107"/>
      <c r="E3654" s="65"/>
      <c r="F3654" s="64"/>
      <c r="G3654" s="64"/>
      <c r="H3654" s="64"/>
      <c r="I3654" s="70"/>
      <c r="J3654" s="70"/>
      <c r="K3654" s="110" t="str">
        <f>IF(H3654="","",IF($C$29="간이법","",FPR(H3654,I3654,J3654)))</f>
        <v/>
      </c>
      <c r="L3654" s="111" t="str">
        <f>IF(H3654="","",IF($C$29="상세법",FPV(H3654,K3654),IF(H3654="EI",4,IF(H3654="EO",5.2,IF(H3654="EQ",3.9,IF(H3654="ILF",7.5,IF(H3654="EIF",5.4)))))))</f>
        <v/>
      </c>
      <c r="M3654" s="112" t="str">
        <f t="shared" si="60"/>
        <v/>
      </c>
      <c r="N3654" s="113"/>
    </row>
    <row r="3655" spans="2:14">
      <c r="B3655" s="105"/>
      <c r="C3655" s="106"/>
      <c r="D3655" s="107"/>
      <c r="E3655" s="65"/>
      <c r="F3655" s="64"/>
      <c r="G3655" s="64"/>
      <c r="H3655" s="64"/>
      <c r="I3655" s="70"/>
      <c r="J3655" s="70"/>
      <c r="K3655" s="110" t="str">
        <f>IF(H3655="","",IF($C$29="간이법","",FPR(H3655,I3655,J3655)))</f>
        <v/>
      </c>
      <c r="L3655" s="111" t="str">
        <f>IF(H3655="","",IF($C$29="상세법",FPV(H3655,K3655),IF(H3655="EI",4,IF(H3655="EO",5.2,IF(H3655="EQ",3.9,IF(H3655="ILF",7.5,IF(H3655="EIF",5.4)))))))</f>
        <v/>
      </c>
      <c r="M3655" s="112" t="str">
        <f t="shared" si="60"/>
        <v/>
      </c>
      <c r="N3655" s="113"/>
    </row>
    <row r="3656" spans="2:14">
      <c r="B3656" s="105"/>
      <c r="C3656" s="106"/>
      <c r="D3656" s="107"/>
      <c r="E3656" s="65"/>
      <c r="F3656" s="64"/>
      <c r="G3656" s="64"/>
      <c r="H3656" s="64"/>
      <c r="I3656" s="70"/>
      <c r="J3656" s="70"/>
      <c r="K3656" s="110" t="str">
        <f>IF(H3656="","",IF($C$29="간이법","",FPR(H3656,I3656,J3656)))</f>
        <v/>
      </c>
      <c r="L3656" s="111" t="str">
        <f>IF(H3656="","",IF($C$29="상세법",FPV(H3656,K3656),IF(H3656="EI",4,IF(H3656="EO",5.2,IF(H3656="EQ",3.9,IF(H3656="ILF",7.5,IF(H3656="EIF",5.4)))))))</f>
        <v/>
      </c>
      <c r="M3656" s="112" t="str">
        <f t="shared" si="60"/>
        <v/>
      </c>
      <c r="N3656" s="113"/>
    </row>
    <row r="3657" spans="2:14">
      <c r="B3657" s="105"/>
      <c r="C3657" s="106"/>
      <c r="D3657" s="107"/>
      <c r="E3657" s="65"/>
      <c r="F3657" s="64"/>
      <c r="G3657" s="64"/>
      <c r="H3657" s="64"/>
      <c r="I3657" s="70"/>
      <c r="J3657" s="70"/>
      <c r="K3657" s="110" t="str">
        <f>IF(H3657="","",IF($C$29="간이법","",FPR(H3657,I3657,J3657)))</f>
        <v/>
      </c>
      <c r="L3657" s="111" t="str">
        <f>IF(H3657="","",IF($C$29="상세법",FPV(H3657,K3657),IF(H3657="EI",4,IF(H3657="EO",5.2,IF(H3657="EQ",3.9,IF(H3657="ILF",7.5,IF(H3657="EIF",5.4)))))))</f>
        <v/>
      </c>
      <c r="M3657" s="112" t="str">
        <f t="shared" si="60"/>
        <v/>
      </c>
      <c r="N3657" s="113"/>
    </row>
    <row r="3658" spans="2:14">
      <c r="B3658" s="105"/>
      <c r="C3658" s="106"/>
      <c r="D3658" s="107"/>
      <c r="E3658" s="65"/>
      <c r="F3658" s="64"/>
      <c r="G3658" s="64"/>
      <c r="H3658" s="64"/>
      <c r="I3658" s="70"/>
      <c r="J3658" s="70"/>
      <c r="K3658" s="110" t="str">
        <f>IF(H3658="","",IF($C$29="간이법","",FPR(H3658,I3658,J3658)))</f>
        <v/>
      </c>
      <c r="L3658" s="111" t="str">
        <f>IF(H3658="","",IF($C$29="상세법",FPV(H3658,K3658),IF(H3658="EI",4,IF(H3658="EO",5.2,IF(H3658="EQ",3.9,IF(H3658="ILF",7.5,IF(H3658="EIF",5.4)))))))</f>
        <v/>
      </c>
      <c r="M3658" s="112" t="str">
        <f t="shared" si="60"/>
        <v/>
      </c>
      <c r="N3658" s="113"/>
    </row>
    <row r="3659" spans="2:14">
      <c r="B3659" s="105"/>
      <c r="C3659" s="106"/>
      <c r="D3659" s="107"/>
      <c r="E3659" s="65"/>
      <c r="F3659" s="64"/>
      <c r="G3659" s="64"/>
      <c r="H3659" s="64"/>
      <c r="I3659" s="70"/>
      <c r="J3659" s="70"/>
      <c r="K3659" s="110" t="str">
        <f>IF(H3659="","",IF($C$29="간이법","",FPR(H3659,I3659,J3659)))</f>
        <v/>
      </c>
      <c r="L3659" s="111" t="str">
        <f>IF(H3659="","",IF($C$29="상세법",FPV(H3659,K3659),IF(H3659="EI",4,IF(H3659="EO",5.2,IF(H3659="EQ",3.9,IF(H3659="ILF",7.5,IF(H3659="EIF",5.4)))))))</f>
        <v/>
      </c>
      <c r="M3659" s="112" t="str">
        <f t="shared" si="60"/>
        <v/>
      </c>
      <c r="N3659" s="113"/>
    </row>
    <row r="3660" spans="2:14">
      <c r="B3660" s="105"/>
      <c r="C3660" s="106"/>
      <c r="D3660" s="107"/>
      <c r="E3660" s="65"/>
      <c r="F3660" s="64"/>
      <c r="G3660" s="64"/>
      <c r="H3660" s="64"/>
      <c r="I3660" s="70"/>
      <c r="J3660" s="70"/>
      <c r="K3660" s="110" t="str">
        <f>IF(H3660="","",IF($C$29="간이법","",FPR(H3660,I3660,J3660)))</f>
        <v/>
      </c>
      <c r="L3660" s="111" t="str">
        <f>IF(H3660="","",IF($C$29="상세법",FPV(H3660,K3660),IF(H3660="EI",4,IF(H3660="EO",5.2,IF(H3660="EQ",3.9,IF(H3660="ILF",7.5,IF(H3660="EIF",5.4)))))))</f>
        <v/>
      </c>
      <c r="M3660" s="112" t="str">
        <f t="shared" si="60"/>
        <v/>
      </c>
      <c r="N3660" s="113"/>
    </row>
    <row r="3661" spans="2:14">
      <c r="B3661" s="105"/>
      <c r="C3661" s="106"/>
      <c r="D3661" s="107"/>
      <c r="E3661" s="65"/>
      <c r="F3661" s="64"/>
      <c r="G3661" s="64"/>
      <c r="H3661" s="64"/>
      <c r="I3661" s="70"/>
      <c r="J3661" s="70"/>
      <c r="K3661" s="110" t="str">
        <f>IF(H3661="","",IF($C$29="간이법","",FPR(H3661,I3661,J3661)))</f>
        <v/>
      </c>
      <c r="L3661" s="111" t="str">
        <f>IF(H3661="","",IF($C$29="상세법",FPV(H3661,K3661),IF(H3661="EI",4,IF(H3661="EO",5.2,IF(H3661="EQ",3.9,IF(H3661="ILF",7.5,IF(H3661="EIF",5.4)))))))</f>
        <v/>
      </c>
      <c r="M3661" s="112" t="str">
        <f t="shared" si="60"/>
        <v/>
      </c>
      <c r="N3661" s="113"/>
    </row>
    <row r="3662" spans="2:14">
      <c r="B3662" s="105"/>
      <c r="C3662" s="106"/>
      <c r="D3662" s="107"/>
      <c r="E3662" s="65"/>
      <c r="F3662" s="64"/>
      <c r="G3662" s="64"/>
      <c r="H3662" s="64"/>
      <c r="I3662" s="70"/>
      <c r="J3662" s="70"/>
      <c r="K3662" s="110" t="str">
        <f>IF(H3662="","",IF($C$29="간이법","",FPR(H3662,I3662,J3662)))</f>
        <v/>
      </c>
      <c r="L3662" s="111" t="str">
        <f>IF(H3662="","",IF($C$29="상세법",FPV(H3662,K3662),IF(H3662="EI",4,IF(H3662="EO",5.2,IF(H3662="EQ",3.9,IF(H3662="ILF",7.5,IF(H3662="EIF",5.4)))))))</f>
        <v/>
      </c>
      <c r="M3662" s="112" t="str">
        <f t="shared" si="60"/>
        <v/>
      </c>
      <c r="N3662" s="113"/>
    </row>
    <row r="3663" spans="2:14">
      <c r="B3663" s="105"/>
      <c r="C3663" s="106"/>
      <c r="D3663" s="107"/>
      <c r="E3663" s="65"/>
      <c r="F3663" s="64"/>
      <c r="G3663" s="64"/>
      <c r="H3663" s="64"/>
      <c r="I3663" s="70"/>
      <c r="J3663" s="70"/>
      <c r="K3663" s="110" t="str">
        <f>IF(H3663="","",IF($C$29="간이법","",FPR(H3663,I3663,J3663)))</f>
        <v/>
      </c>
      <c r="L3663" s="111" t="str">
        <f>IF(H3663="","",IF($C$29="상세법",FPV(H3663,K3663),IF(H3663="EI",4,IF(H3663="EO",5.2,IF(H3663="EQ",3.9,IF(H3663="ILF",7.5,IF(H3663="EIF",5.4)))))))</f>
        <v/>
      </c>
      <c r="M3663" s="112" t="str">
        <f t="shared" si="60"/>
        <v/>
      </c>
      <c r="N3663" s="113"/>
    </row>
    <row r="3664" spans="2:14">
      <c r="B3664" s="105"/>
      <c r="C3664" s="106"/>
      <c r="D3664" s="107"/>
      <c r="E3664" s="65"/>
      <c r="F3664" s="64"/>
      <c r="G3664" s="64"/>
      <c r="H3664" s="64"/>
      <c r="I3664" s="70"/>
      <c r="J3664" s="70"/>
      <c r="K3664" s="110" t="str">
        <f>IF(H3664="","",IF($C$29="간이법","",FPR(H3664,I3664,J3664)))</f>
        <v/>
      </c>
      <c r="L3664" s="111" t="str">
        <f>IF(H3664="","",IF($C$29="상세법",FPV(H3664,K3664),IF(H3664="EI",4,IF(H3664="EO",5.2,IF(H3664="EQ",3.9,IF(H3664="ILF",7.5,IF(H3664="EIF",5.4)))))))</f>
        <v/>
      </c>
      <c r="M3664" s="112" t="str">
        <f t="shared" si="60"/>
        <v/>
      </c>
      <c r="N3664" s="113"/>
    </row>
    <row r="3665" spans="2:14">
      <c r="B3665" s="105"/>
      <c r="C3665" s="106"/>
      <c r="D3665" s="107"/>
      <c r="E3665" s="65"/>
      <c r="F3665" s="64"/>
      <c r="G3665" s="64"/>
      <c r="H3665" s="64"/>
      <c r="I3665" s="70"/>
      <c r="J3665" s="70"/>
      <c r="K3665" s="110" t="str">
        <f>IF(H3665="","",IF($C$29="간이법","",FPR(H3665,I3665,J3665)))</f>
        <v/>
      </c>
      <c r="L3665" s="111" t="str">
        <f>IF(H3665="","",IF($C$29="상세법",FPV(H3665,K3665),IF(H3665="EI",4,IF(H3665="EO",5.2,IF(H3665="EQ",3.9,IF(H3665="ILF",7.5,IF(H3665="EIF",5.4)))))))</f>
        <v/>
      </c>
      <c r="M3665" s="112" t="str">
        <f t="shared" si="60"/>
        <v/>
      </c>
      <c r="N3665" s="113"/>
    </row>
    <row r="3666" spans="2:14">
      <c r="B3666" s="105"/>
      <c r="C3666" s="106"/>
      <c r="D3666" s="107"/>
      <c r="E3666" s="65"/>
      <c r="F3666" s="64"/>
      <c r="G3666" s="64"/>
      <c r="H3666" s="64"/>
      <c r="I3666" s="70"/>
      <c r="J3666" s="70"/>
      <c r="K3666" s="110" t="str">
        <f>IF(H3666="","",IF($C$29="간이법","",FPR(H3666,I3666,J3666)))</f>
        <v/>
      </c>
      <c r="L3666" s="111" t="str">
        <f>IF(H3666="","",IF($C$29="상세법",FPV(H3666,K3666),IF(H3666="EI",4,IF(H3666="EO",5.2,IF(H3666="EQ",3.9,IF(H3666="ILF",7.5,IF(H3666="EIF",5.4)))))))</f>
        <v/>
      </c>
      <c r="M3666" s="112" t="str">
        <f t="shared" si="60"/>
        <v/>
      </c>
      <c r="N3666" s="113"/>
    </row>
    <row r="3667" spans="2:14">
      <c r="B3667" s="105"/>
      <c r="C3667" s="106"/>
      <c r="D3667" s="107"/>
      <c r="E3667" s="65"/>
      <c r="F3667" s="64"/>
      <c r="G3667" s="64"/>
      <c r="H3667" s="64"/>
      <c r="I3667" s="70"/>
      <c r="J3667" s="70"/>
      <c r="K3667" s="110" t="str">
        <f>IF(H3667="","",IF($C$29="간이법","",FPR(H3667,I3667,J3667)))</f>
        <v/>
      </c>
      <c r="L3667" s="111" t="str">
        <f>IF(H3667="","",IF($C$29="상세법",FPV(H3667,K3667),IF(H3667="EI",4,IF(H3667="EO",5.2,IF(H3667="EQ",3.9,IF(H3667="ILF",7.5,IF(H3667="EIF",5.4)))))))</f>
        <v/>
      </c>
      <c r="M3667" s="112" t="str">
        <f t="shared" si="60"/>
        <v/>
      </c>
      <c r="N3667" s="113"/>
    </row>
    <row r="3668" spans="2:14">
      <c r="B3668" s="105"/>
      <c r="C3668" s="106"/>
      <c r="D3668" s="107"/>
      <c r="E3668" s="65"/>
      <c r="F3668" s="64"/>
      <c r="G3668" s="64"/>
      <c r="H3668" s="64"/>
      <c r="I3668" s="70"/>
      <c r="J3668" s="70"/>
      <c r="K3668" s="110" t="str">
        <f>IF(H3668="","",IF($C$29="간이법","",FPR(H3668,I3668,J3668)))</f>
        <v/>
      </c>
      <c r="L3668" s="111" t="str">
        <f>IF(H3668="","",IF($C$29="상세법",FPV(H3668,K3668),IF(H3668="EI",4,IF(H3668="EO",5.2,IF(H3668="EQ",3.9,IF(H3668="ILF",7.5,IF(H3668="EIF",5.4)))))))</f>
        <v/>
      </c>
      <c r="M3668" s="112" t="str">
        <f t="shared" si="60"/>
        <v/>
      </c>
      <c r="N3668" s="113"/>
    </row>
    <row r="3669" spans="2:14">
      <c r="B3669" s="105"/>
      <c r="C3669" s="106"/>
      <c r="D3669" s="107"/>
      <c r="E3669" s="65"/>
      <c r="F3669" s="64"/>
      <c r="G3669" s="64"/>
      <c r="H3669" s="64"/>
      <c r="I3669" s="70"/>
      <c r="J3669" s="70"/>
      <c r="K3669" s="110" t="str">
        <f>IF(H3669="","",IF($C$29="간이법","",FPR(H3669,I3669,J3669)))</f>
        <v/>
      </c>
      <c r="L3669" s="111" t="str">
        <f>IF(H3669="","",IF($C$29="상세법",FPV(H3669,K3669),IF(H3669="EI",4,IF(H3669="EO",5.2,IF(H3669="EQ",3.9,IF(H3669="ILF",7.5,IF(H3669="EIF",5.4)))))))</f>
        <v/>
      </c>
      <c r="M3669" s="112" t="str">
        <f t="shared" si="60"/>
        <v/>
      </c>
      <c r="N3669" s="113"/>
    </row>
    <row r="3670" spans="2:14">
      <c r="B3670" s="105"/>
      <c r="C3670" s="106"/>
      <c r="D3670" s="107"/>
      <c r="E3670" s="65"/>
      <c r="F3670" s="64"/>
      <c r="G3670" s="64"/>
      <c r="H3670" s="64"/>
      <c r="I3670" s="70"/>
      <c r="J3670" s="70"/>
      <c r="K3670" s="110" t="str">
        <f>IF(H3670="","",IF($C$29="간이법","",FPR(H3670,I3670,J3670)))</f>
        <v/>
      </c>
      <c r="L3670" s="111" t="str">
        <f>IF(H3670="","",IF($C$29="상세법",FPV(H3670,K3670),IF(H3670="EI",4,IF(H3670="EO",5.2,IF(H3670="EQ",3.9,IF(H3670="ILF",7.5,IF(H3670="EIF",5.4)))))))</f>
        <v/>
      </c>
      <c r="M3670" s="112" t="str">
        <f t="shared" si="60"/>
        <v/>
      </c>
      <c r="N3670" s="113"/>
    </row>
    <row r="3671" spans="2:14">
      <c r="B3671" s="105"/>
      <c r="C3671" s="106"/>
      <c r="D3671" s="107"/>
      <c r="E3671" s="65"/>
      <c r="F3671" s="64"/>
      <c r="G3671" s="64"/>
      <c r="H3671" s="64"/>
      <c r="I3671" s="70"/>
      <c r="J3671" s="70"/>
      <c r="K3671" s="110" t="str">
        <f>IF(H3671="","",IF($C$29="간이법","",FPR(H3671,I3671,J3671)))</f>
        <v/>
      </c>
      <c r="L3671" s="111" t="str">
        <f>IF(H3671="","",IF($C$29="상세법",FPV(H3671,K3671),IF(H3671="EI",4,IF(H3671="EO",5.2,IF(H3671="EQ",3.9,IF(H3671="ILF",7.5,IF(H3671="EIF",5.4)))))))</f>
        <v/>
      </c>
      <c r="M3671" s="112" t="str">
        <f t="shared" si="60"/>
        <v/>
      </c>
      <c r="N3671" s="113"/>
    </row>
    <row r="3672" spans="2:14">
      <c r="B3672" s="105"/>
      <c r="C3672" s="106"/>
      <c r="D3672" s="107"/>
      <c r="E3672" s="65"/>
      <c r="F3672" s="64"/>
      <c r="G3672" s="64"/>
      <c r="H3672" s="64"/>
      <c r="I3672" s="70"/>
      <c r="J3672" s="70"/>
      <c r="K3672" s="110" t="str">
        <f>IF(H3672="","",IF($C$29="간이법","",FPR(H3672,I3672,J3672)))</f>
        <v/>
      </c>
      <c r="L3672" s="111" t="str">
        <f>IF(H3672="","",IF($C$29="상세법",FPV(H3672,K3672),IF(H3672="EI",4,IF(H3672="EO",5.2,IF(H3672="EQ",3.9,IF(H3672="ILF",7.5,IF(H3672="EIF",5.4)))))))</f>
        <v/>
      </c>
      <c r="M3672" s="112" t="str">
        <f t="shared" si="60"/>
        <v/>
      </c>
      <c r="N3672" s="113"/>
    </row>
    <row r="3673" spans="2:14">
      <c r="B3673" s="105"/>
      <c r="C3673" s="106"/>
      <c r="D3673" s="107"/>
      <c r="E3673" s="65"/>
      <c r="F3673" s="64"/>
      <c r="G3673" s="64"/>
      <c r="H3673" s="64"/>
      <c r="I3673" s="70"/>
      <c r="J3673" s="70"/>
      <c r="K3673" s="110" t="str">
        <f>IF(H3673="","",IF($C$29="간이법","",FPR(H3673,I3673,J3673)))</f>
        <v/>
      </c>
      <c r="L3673" s="111" t="str">
        <f>IF(H3673="","",IF($C$29="상세법",FPV(H3673,K3673),IF(H3673="EI",4,IF(H3673="EO",5.2,IF(H3673="EQ",3.9,IF(H3673="ILF",7.5,IF(H3673="EIF",5.4)))))))</f>
        <v/>
      </c>
      <c r="M3673" s="112" t="str">
        <f t="shared" si="60"/>
        <v/>
      </c>
      <c r="N3673" s="113"/>
    </row>
    <row r="3674" spans="2:14">
      <c r="B3674" s="105"/>
      <c r="C3674" s="106"/>
      <c r="D3674" s="107"/>
      <c r="E3674" s="65"/>
      <c r="F3674" s="64"/>
      <c r="G3674" s="64"/>
      <c r="H3674" s="64"/>
      <c r="I3674" s="70"/>
      <c r="J3674" s="70"/>
      <c r="K3674" s="110" t="str">
        <f>IF(H3674="","",IF($C$29="간이법","",FPR(H3674,I3674,J3674)))</f>
        <v/>
      </c>
      <c r="L3674" s="111" t="str">
        <f>IF(H3674="","",IF($C$29="상세법",FPV(H3674,K3674),IF(H3674="EI",4,IF(H3674="EO",5.2,IF(H3674="EQ",3.9,IF(H3674="ILF",7.5,IF(H3674="EIF",5.4)))))))</f>
        <v/>
      </c>
      <c r="M3674" s="112" t="str">
        <f t="shared" si="60"/>
        <v/>
      </c>
      <c r="N3674" s="113"/>
    </row>
    <row r="3675" spans="2:14">
      <c r="B3675" s="105"/>
      <c r="C3675" s="106"/>
      <c r="D3675" s="107"/>
      <c r="E3675" s="65"/>
      <c r="F3675" s="64"/>
      <c r="G3675" s="64"/>
      <c r="H3675" s="64"/>
      <c r="I3675" s="70"/>
      <c r="J3675" s="70"/>
      <c r="K3675" s="110" t="str">
        <f>IF(H3675="","",IF($C$29="간이법","",FPR(H3675,I3675,J3675)))</f>
        <v/>
      </c>
      <c r="L3675" s="111" t="str">
        <f>IF(H3675="","",IF($C$29="상세법",FPV(H3675,K3675),IF(H3675="EI",4,IF(H3675="EO",5.2,IF(H3675="EQ",3.9,IF(H3675="ILF",7.5,IF(H3675="EIF",5.4)))))))</f>
        <v/>
      </c>
      <c r="M3675" s="112" t="str">
        <f t="shared" si="60"/>
        <v/>
      </c>
      <c r="N3675" s="113"/>
    </row>
    <row r="3676" spans="2:14">
      <c r="B3676" s="105"/>
      <c r="C3676" s="106"/>
      <c r="D3676" s="107"/>
      <c r="E3676" s="65"/>
      <c r="F3676" s="64"/>
      <c r="G3676" s="64"/>
      <c r="H3676" s="64"/>
      <c r="I3676" s="70"/>
      <c r="J3676" s="70"/>
      <c r="K3676" s="110" t="str">
        <f>IF(H3676="","",IF($C$29="간이법","",FPR(H3676,I3676,J3676)))</f>
        <v/>
      </c>
      <c r="L3676" s="111" t="str">
        <f>IF(H3676="","",IF($C$29="상세법",FPV(H3676,K3676),IF(H3676="EI",4,IF(H3676="EO",5.2,IF(H3676="EQ",3.9,IF(H3676="ILF",7.5,IF(H3676="EIF",5.4)))))))</f>
        <v/>
      </c>
      <c r="M3676" s="112" t="str">
        <f t="shared" si="60"/>
        <v/>
      </c>
      <c r="N3676" s="113"/>
    </row>
    <row r="3677" spans="2:14">
      <c r="B3677" s="105"/>
      <c r="C3677" s="106"/>
      <c r="D3677" s="107"/>
      <c r="E3677" s="65"/>
      <c r="F3677" s="64"/>
      <c r="G3677" s="64"/>
      <c r="H3677" s="64"/>
      <c r="I3677" s="70"/>
      <c r="J3677" s="70"/>
      <c r="K3677" s="110" t="str">
        <f>IF(H3677="","",IF($C$29="간이법","",FPR(H3677,I3677,J3677)))</f>
        <v/>
      </c>
      <c r="L3677" s="111" t="str">
        <f>IF(H3677="","",IF($C$29="상세법",FPV(H3677,K3677),IF(H3677="EI",4,IF(H3677="EO",5.2,IF(H3677="EQ",3.9,IF(H3677="ILF",7.5,IF(H3677="EIF",5.4)))))))</f>
        <v/>
      </c>
      <c r="M3677" s="112" t="str">
        <f t="shared" si="60"/>
        <v/>
      </c>
      <c r="N3677" s="113"/>
    </row>
    <row r="3678" spans="2:14">
      <c r="B3678" s="105"/>
      <c r="C3678" s="106"/>
      <c r="D3678" s="107"/>
      <c r="E3678" s="65"/>
      <c r="F3678" s="64"/>
      <c r="G3678" s="64"/>
      <c r="H3678" s="64"/>
      <c r="I3678" s="70"/>
      <c r="J3678" s="70"/>
      <c r="K3678" s="110" t="str">
        <f>IF(H3678="","",IF($C$29="간이법","",FPR(H3678,I3678,J3678)))</f>
        <v/>
      </c>
      <c r="L3678" s="111" t="str">
        <f>IF(H3678="","",IF($C$29="상세법",FPV(H3678,K3678),IF(H3678="EI",4,IF(H3678="EO",5.2,IF(H3678="EQ",3.9,IF(H3678="ILF",7.5,IF(H3678="EIF",5.4)))))))</f>
        <v/>
      </c>
      <c r="M3678" s="112" t="str">
        <f t="shared" si="60"/>
        <v/>
      </c>
      <c r="N3678" s="113"/>
    </row>
    <row r="3679" spans="2:14">
      <c r="B3679" s="105"/>
      <c r="C3679" s="106"/>
      <c r="D3679" s="107"/>
      <c r="E3679" s="65"/>
      <c r="F3679" s="64"/>
      <c r="G3679" s="64"/>
      <c r="H3679" s="64"/>
      <c r="I3679" s="70"/>
      <c r="J3679" s="70"/>
      <c r="K3679" s="110" t="str">
        <f>IF(H3679="","",IF($C$29="간이법","",FPR(H3679,I3679,J3679)))</f>
        <v/>
      </c>
      <c r="L3679" s="111" t="str">
        <f>IF(H3679="","",IF($C$29="상세법",FPV(H3679,K3679),IF(H3679="EI",4,IF(H3679="EO",5.2,IF(H3679="EQ",3.9,IF(H3679="ILF",7.5,IF(H3679="EIF",5.4)))))))</f>
        <v/>
      </c>
      <c r="M3679" s="112" t="str">
        <f t="shared" si="60"/>
        <v/>
      </c>
      <c r="N3679" s="113"/>
    </row>
    <row r="3680" spans="2:14">
      <c r="B3680" s="105"/>
      <c r="C3680" s="106"/>
      <c r="D3680" s="107"/>
      <c r="E3680" s="65"/>
      <c r="F3680" s="64"/>
      <c r="G3680" s="64"/>
      <c r="H3680" s="64"/>
      <c r="I3680" s="70"/>
      <c r="J3680" s="70"/>
      <c r="K3680" s="110" t="str">
        <f>IF(H3680="","",IF($C$29="간이법","",FPR(H3680,I3680,J3680)))</f>
        <v/>
      </c>
      <c r="L3680" s="111" t="str">
        <f>IF(H3680="","",IF($C$29="상세법",FPV(H3680,K3680),IF(H3680="EI",4,IF(H3680="EO",5.2,IF(H3680="EQ",3.9,IF(H3680="ILF",7.5,IF(H3680="EIF",5.4)))))))</f>
        <v/>
      </c>
      <c r="M3680" s="112" t="str">
        <f t="shared" si="60"/>
        <v/>
      </c>
      <c r="N3680" s="113"/>
    </row>
    <row r="3681" spans="2:14">
      <c r="B3681" s="105"/>
      <c r="C3681" s="106"/>
      <c r="D3681" s="107"/>
      <c r="E3681" s="65"/>
      <c r="F3681" s="64"/>
      <c r="G3681" s="64"/>
      <c r="H3681" s="64"/>
      <c r="I3681" s="70"/>
      <c r="J3681" s="70"/>
      <c r="K3681" s="110" t="str">
        <f>IF(H3681="","",IF($C$29="간이법","",FPR(H3681,I3681,J3681)))</f>
        <v/>
      </c>
      <c r="L3681" s="111" t="str">
        <f>IF(H3681="","",IF($C$29="상세법",FPV(H3681,K3681),IF(H3681="EI",4,IF(H3681="EO",5.2,IF(H3681="EQ",3.9,IF(H3681="ILF",7.5,IF(H3681="EIF",5.4)))))))</f>
        <v/>
      </c>
      <c r="M3681" s="112" t="str">
        <f t="shared" si="60"/>
        <v/>
      </c>
      <c r="N3681" s="113"/>
    </row>
    <row r="3682" spans="2:14">
      <c r="B3682" s="105"/>
      <c r="C3682" s="106"/>
      <c r="D3682" s="107"/>
      <c r="E3682" s="65"/>
      <c r="F3682" s="64"/>
      <c r="G3682" s="64"/>
      <c r="H3682" s="64"/>
      <c r="I3682" s="70"/>
      <c r="J3682" s="70"/>
      <c r="K3682" s="110" t="str">
        <f>IF(H3682="","",IF($C$29="간이법","",FPR(H3682,I3682,J3682)))</f>
        <v/>
      </c>
      <c r="L3682" s="111" t="str">
        <f>IF(H3682="","",IF($C$29="상세법",FPV(H3682,K3682),IF(H3682="EI",4,IF(H3682="EO",5.2,IF(H3682="EQ",3.9,IF(H3682="ILF",7.5,IF(H3682="EIF",5.4)))))))</f>
        <v/>
      </c>
      <c r="M3682" s="112" t="str">
        <f t="shared" si="60"/>
        <v/>
      </c>
      <c r="N3682" s="113"/>
    </row>
    <row r="3683" spans="2:14">
      <c r="B3683" s="105"/>
      <c r="C3683" s="106"/>
      <c r="D3683" s="107"/>
      <c r="E3683" s="65"/>
      <c r="F3683" s="64"/>
      <c r="G3683" s="64"/>
      <c r="H3683" s="64"/>
      <c r="I3683" s="70"/>
      <c r="J3683" s="70"/>
      <c r="K3683" s="110" t="str">
        <f>IF(H3683="","",IF($C$29="간이법","",FPR(H3683,I3683,J3683)))</f>
        <v/>
      </c>
      <c r="L3683" s="111" t="str">
        <f>IF(H3683="","",IF($C$29="상세법",FPV(H3683,K3683),IF(H3683="EI",4,IF(H3683="EO",5.2,IF(H3683="EQ",3.9,IF(H3683="ILF",7.5,IF(H3683="EIF",5.4)))))))</f>
        <v/>
      </c>
      <c r="M3683" s="112" t="str">
        <f t="shared" si="60"/>
        <v/>
      </c>
      <c r="N3683" s="113"/>
    </row>
    <row r="3684" spans="2:14">
      <c r="B3684" s="105"/>
      <c r="C3684" s="106"/>
      <c r="D3684" s="107"/>
      <c r="E3684" s="65"/>
      <c r="F3684" s="64"/>
      <c r="G3684" s="64"/>
      <c r="H3684" s="64"/>
      <c r="I3684" s="70"/>
      <c r="J3684" s="70"/>
      <c r="K3684" s="110" t="str">
        <f>IF(H3684="","",IF($C$29="간이법","",FPR(H3684,I3684,J3684)))</f>
        <v/>
      </c>
      <c r="L3684" s="111" t="str">
        <f>IF(H3684="","",IF($C$29="상세법",FPV(H3684,K3684),IF(H3684="EI",4,IF(H3684="EO",5.2,IF(H3684="EQ",3.9,IF(H3684="ILF",7.5,IF(H3684="EIF",5.4)))))))</f>
        <v/>
      </c>
      <c r="M3684" s="112" t="str">
        <f t="shared" si="60"/>
        <v/>
      </c>
      <c r="N3684" s="113"/>
    </row>
    <row r="3685" spans="2:14">
      <c r="B3685" s="105"/>
      <c r="C3685" s="106"/>
      <c r="D3685" s="107"/>
      <c r="E3685" s="65"/>
      <c r="F3685" s="64"/>
      <c r="G3685" s="64"/>
      <c r="H3685" s="64"/>
      <c r="I3685" s="70"/>
      <c r="J3685" s="70"/>
      <c r="K3685" s="110" t="str">
        <f>IF(H3685="","",IF($C$29="간이법","",FPR(H3685,I3685,J3685)))</f>
        <v/>
      </c>
      <c r="L3685" s="111" t="str">
        <f>IF(H3685="","",IF($C$29="상세법",FPV(H3685,K3685),IF(H3685="EI",4,IF(H3685="EO",5.2,IF(H3685="EQ",3.9,IF(H3685="ILF",7.5,IF(H3685="EIF",5.4)))))))</f>
        <v/>
      </c>
      <c r="M3685" s="112" t="str">
        <f t="shared" si="60"/>
        <v/>
      </c>
      <c r="N3685" s="113"/>
    </row>
    <row r="3686" spans="2:14">
      <c r="B3686" s="105"/>
      <c r="C3686" s="106"/>
      <c r="D3686" s="107"/>
      <c r="E3686" s="65"/>
      <c r="F3686" s="64"/>
      <c r="G3686" s="64"/>
      <c r="H3686" s="64"/>
      <c r="I3686" s="70"/>
      <c r="J3686" s="70"/>
      <c r="K3686" s="110" t="str">
        <f>IF(H3686="","",IF($C$29="간이법","",FPR(H3686,I3686,J3686)))</f>
        <v/>
      </c>
      <c r="L3686" s="111" t="str">
        <f>IF(H3686="","",IF($C$29="상세법",FPV(H3686,K3686),IF(H3686="EI",4,IF(H3686="EO",5.2,IF(H3686="EQ",3.9,IF(H3686="ILF",7.5,IF(H3686="EIF",5.4)))))))</f>
        <v/>
      </c>
      <c r="M3686" s="112" t="str">
        <f t="shared" si="60"/>
        <v/>
      </c>
      <c r="N3686" s="113"/>
    </row>
    <row r="3687" spans="2:14">
      <c r="B3687" s="105"/>
      <c r="C3687" s="106"/>
      <c r="D3687" s="107"/>
      <c r="E3687" s="65"/>
      <c r="F3687" s="64"/>
      <c r="G3687" s="64"/>
      <c r="H3687" s="64"/>
      <c r="I3687" s="70"/>
      <c r="J3687" s="70"/>
      <c r="K3687" s="110" t="str">
        <f>IF(H3687="","",IF($C$29="간이법","",FPR(H3687,I3687,J3687)))</f>
        <v/>
      </c>
      <c r="L3687" s="111" t="str">
        <f>IF(H3687="","",IF($C$29="상세법",FPV(H3687,K3687),IF(H3687="EI",4,IF(H3687="EO",5.2,IF(H3687="EQ",3.9,IF(H3687="ILF",7.5,IF(H3687="EIF",5.4)))))))</f>
        <v/>
      </c>
      <c r="M3687" s="112" t="str">
        <f t="shared" si="60"/>
        <v/>
      </c>
      <c r="N3687" s="113"/>
    </row>
    <row r="3688" spans="2:14">
      <c r="B3688" s="105"/>
      <c r="C3688" s="106"/>
      <c r="D3688" s="107"/>
      <c r="E3688" s="65"/>
      <c r="F3688" s="64"/>
      <c r="G3688" s="64"/>
      <c r="H3688" s="64"/>
      <c r="I3688" s="70"/>
      <c r="J3688" s="70"/>
      <c r="K3688" s="110" t="str">
        <f>IF(H3688="","",IF($C$29="간이법","",FPR(H3688,I3688,J3688)))</f>
        <v/>
      </c>
      <c r="L3688" s="111" t="str">
        <f>IF(H3688="","",IF($C$29="상세법",FPV(H3688,K3688),IF(H3688="EI",4,IF(H3688="EO",5.2,IF(H3688="EQ",3.9,IF(H3688="ILF",7.5,IF(H3688="EIF",5.4)))))))</f>
        <v/>
      </c>
      <c r="M3688" s="112" t="str">
        <f t="shared" si="60"/>
        <v/>
      </c>
      <c r="N3688" s="113"/>
    </row>
    <row r="3689" spans="2:14">
      <c r="B3689" s="105"/>
      <c r="C3689" s="106"/>
      <c r="D3689" s="107"/>
      <c r="E3689" s="65"/>
      <c r="F3689" s="64"/>
      <c r="G3689" s="64"/>
      <c r="H3689" s="64"/>
      <c r="I3689" s="70"/>
      <c r="J3689" s="70"/>
      <c r="K3689" s="110" t="str">
        <f>IF(H3689="","",IF($C$29="간이법","",FPR(H3689,I3689,J3689)))</f>
        <v/>
      </c>
      <c r="L3689" s="111" t="str">
        <f>IF(H3689="","",IF($C$29="상세법",FPV(H3689,K3689),IF(H3689="EI",4,IF(H3689="EO",5.2,IF(H3689="EQ",3.9,IF(H3689="ILF",7.5,IF(H3689="EIF",5.4)))))))</f>
        <v/>
      </c>
      <c r="M3689" s="112" t="str">
        <f t="shared" si="60"/>
        <v/>
      </c>
      <c r="N3689" s="113"/>
    </row>
    <row r="3690" spans="2:14">
      <c r="B3690" s="105"/>
      <c r="C3690" s="106"/>
      <c r="D3690" s="107"/>
      <c r="E3690" s="65"/>
      <c r="F3690" s="64"/>
      <c r="G3690" s="64"/>
      <c r="H3690" s="64"/>
      <c r="I3690" s="70"/>
      <c r="J3690" s="70"/>
      <c r="K3690" s="110" t="str">
        <f>IF(H3690="","",IF($C$29="간이법","",FPR(H3690,I3690,J3690)))</f>
        <v/>
      </c>
      <c r="L3690" s="111" t="str">
        <f>IF(H3690="","",IF($C$29="상세법",FPV(H3690,K3690),IF(H3690="EI",4,IF(H3690="EO",5.2,IF(H3690="EQ",3.9,IF(H3690="ILF",7.5,IF(H3690="EIF",5.4)))))))</f>
        <v/>
      </c>
      <c r="M3690" s="112" t="str">
        <f t="shared" si="60"/>
        <v/>
      </c>
      <c r="N3690" s="113"/>
    </row>
    <row r="3691" spans="2:14">
      <c r="B3691" s="105"/>
      <c r="C3691" s="106"/>
      <c r="D3691" s="107"/>
      <c r="E3691" s="65"/>
      <c r="F3691" s="64"/>
      <c r="G3691" s="64"/>
      <c r="H3691" s="64"/>
      <c r="I3691" s="70"/>
      <c r="J3691" s="70"/>
      <c r="K3691" s="110" t="str">
        <f>IF(H3691="","",IF($C$29="간이법","",FPR(H3691,I3691,J3691)))</f>
        <v/>
      </c>
      <c r="L3691" s="111" t="str">
        <f>IF(H3691="","",IF($C$29="상세법",FPV(H3691,K3691),IF(H3691="EI",4,IF(H3691="EO",5.2,IF(H3691="EQ",3.9,IF(H3691="ILF",7.5,IF(H3691="EIF",5.4)))))))</f>
        <v/>
      </c>
      <c r="M3691" s="112" t="str">
        <f t="shared" si="60"/>
        <v/>
      </c>
      <c r="N3691" s="113"/>
    </row>
    <row r="3692" spans="2:14">
      <c r="B3692" s="105"/>
      <c r="C3692" s="106"/>
      <c r="D3692" s="107"/>
      <c r="E3692" s="65"/>
      <c r="F3692" s="64"/>
      <c r="G3692" s="64"/>
      <c r="H3692" s="64"/>
      <c r="I3692" s="70"/>
      <c r="J3692" s="70"/>
      <c r="K3692" s="110" t="str">
        <f>IF(H3692="","",IF($C$29="간이법","",FPR(H3692,I3692,J3692)))</f>
        <v/>
      </c>
      <c r="L3692" s="111" t="str">
        <f>IF(H3692="","",IF($C$29="상세법",FPV(H3692,K3692),IF(H3692="EI",4,IF(H3692="EO",5.2,IF(H3692="EQ",3.9,IF(H3692="ILF",7.5,IF(H3692="EIF",5.4)))))))</f>
        <v/>
      </c>
      <c r="M3692" s="112" t="str">
        <f t="shared" si="60"/>
        <v/>
      </c>
      <c r="N3692" s="113"/>
    </row>
    <row r="3693" spans="2:14">
      <c r="B3693" s="105"/>
      <c r="C3693" s="106"/>
      <c r="D3693" s="107"/>
      <c r="E3693" s="65"/>
      <c r="F3693" s="64"/>
      <c r="G3693" s="64"/>
      <c r="H3693" s="64"/>
      <c r="I3693" s="70"/>
      <c r="J3693" s="70"/>
      <c r="K3693" s="110" t="str">
        <f>IF(H3693="","",IF($C$29="간이법","",FPR(H3693,I3693,J3693)))</f>
        <v/>
      </c>
      <c r="L3693" s="111" t="str">
        <f>IF(H3693="","",IF($C$29="상세법",FPV(H3693,K3693),IF(H3693="EI",4,IF(H3693="EO",5.2,IF(H3693="EQ",3.9,IF(H3693="ILF",7.5,IF(H3693="EIF",5.4)))))))</f>
        <v/>
      </c>
      <c r="M3693" s="112" t="str">
        <f t="shared" si="60"/>
        <v/>
      </c>
      <c r="N3693" s="113"/>
    </row>
    <row r="3694" spans="2:14">
      <c r="B3694" s="105"/>
      <c r="C3694" s="106"/>
      <c r="D3694" s="107"/>
      <c r="E3694" s="65"/>
      <c r="F3694" s="64"/>
      <c r="G3694" s="64"/>
      <c r="H3694" s="64"/>
      <c r="I3694" s="70"/>
      <c r="J3694" s="70"/>
      <c r="K3694" s="110" t="str">
        <f>IF(H3694="","",IF($C$29="간이법","",FPR(H3694,I3694,J3694)))</f>
        <v/>
      </c>
      <c r="L3694" s="111" t="str">
        <f>IF(H3694="","",IF($C$29="상세법",FPV(H3694,K3694),IF(H3694="EI",4,IF(H3694="EO",5.2,IF(H3694="EQ",3.9,IF(H3694="ILF",7.5,IF(H3694="EIF",5.4)))))))</f>
        <v/>
      </c>
      <c r="M3694" s="112" t="str">
        <f t="shared" si="60"/>
        <v/>
      </c>
      <c r="N3694" s="113"/>
    </row>
    <row r="3695" spans="2:14">
      <c r="B3695" s="105"/>
      <c r="C3695" s="106"/>
      <c r="D3695" s="107"/>
      <c r="E3695" s="65"/>
      <c r="F3695" s="64"/>
      <c r="G3695" s="64"/>
      <c r="H3695" s="64"/>
      <c r="I3695" s="70"/>
      <c r="J3695" s="70"/>
      <c r="K3695" s="110" t="str">
        <f>IF(H3695="","",IF($C$29="간이법","",FPR(H3695,I3695,J3695)))</f>
        <v/>
      </c>
      <c r="L3695" s="111" t="str">
        <f>IF(H3695="","",IF($C$29="상세법",FPV(H3695,K3695),IF(H3695="EI",4,IF(H3695="EO",5.2,IF(H3695="EQ",3.9,IF(H3695="ILF",7.5,IF(H3695="EIF",5.4)))))))</f>
        <v/>
      </c>
      <c r="M3695" s="112" t="str">
        <f t="shared" si="60"/>
        <v/>
      </c>
      <c r="N3695" s="113"/>
    </row>
    <row r="3696" spans="2:14">
      <c r="B3696" s="105"/>
      <c r="C3696" s="106"/>
      <c r="D3696" s="107"/>
      <c r="E3696" s="65"/>
      <c r="F3696" s="64"/>
      <c r="G3696" s="64"/>
      <c r="H3696" s="64"/>
      <c r="I3696" s="70"/>
      <c r="J3696" s="70"/>
      <c r="K3696" s="110" t="str">
        <f>IF(H3696="","",IF($C$29="간이법","",FPR(H3696,I3696,J3696)))</f>
        <v/>
      </c>
      <c r="L3696" s="111" t="str">
        <f>IF(H3696="","",IF($C$29="상세법",FPV(H3696,K3696),IF(H3696="EI",4,IF(H3696="EO",5.2,IF(H3696="EQ",3.9,IF(H3696="ILF",7.5,IF(H3696="EIF",5.4)))))))</f>
        <v/>
      </c>
      <c r="M3696" s="112" t="str">
        <f t="shared" si="60"/>
        <v/>
      </c>
      <c r="N3696" s="113"/>
    </row>
    <row r="3697" spans="2:14">
      <c r="B3697" s="105"/>
      <c r="C3697" s="106"/>
      <c r="D3697" s="107"/>
      <c r="E3697" s="65"/>
      <c r="F3697" s="64"/>
      <c r="G3697" s="64"/>
      <c r="H3697" s="64"/>
      <c r="I3697" s="70"/>
      <c r="J3697" s="70"/>
      <c r="K3697" s="110" t="str">
        <f>IF(H3697="","",IF($C$29="간이법","",FPR(H3697,I3697,J3697)))</f>
        <v/>
      </c>
      <c r="L3697" s="111" t="str">
        <f>IF(H3697="","",IF($C$29="상세법",FPV(H3697,K3697),IF(H3697="EI",4,IF(H3697="EO",5.2,IF(H3697="EQ",3.9,IF(H3697="ILF",7.5,IF(H3697="EIF",5.4)))))))</f>
        <v/>
      </c>
      <c r="M3697" s="112" t="str">
        <f t="shared" si="60"/>
        <v/>
      </c>
      <c r="N3697" s="113"/>
    </row>
    <row r="3698" spans="2:14">
      <c r="B3698" s="105"/>
      <c r="C3698" s="106"/>
      <c r="D3698" s="107"/>
      <c r="E3698" s="65"/>
      <c r="F3698" s="64"/>
      <c r="G3698" s="64"/>
      <c r="H3698" s="64"/>
      <c r="I3698" s="70"/>
      <c r="J3698" s="70"/>
      <c r="K3698" s="110" t="str">
        <f>IF(H3698="","",IF($C$29="간이법","",FPR(H3698,I3698,J3698)))</f>
        <v/>
      </c>
      <c r="L3698" s="111" t="str">
        <f>IF(H3698="","",IF($C$29="상세법",FPV(H3698,K3698),IF(H3698="EI",4,IF(H3698="EO",5.2,IF(H3698="EQ",3.9,IF(H3698="ILF",7.5,IF(H3698="EIF",5.4)))))))</f>
        <v/>
      </c>
      <c r="M3698" s="112" t="str">
        <f t="shared" si="60"/>
        <v/>
      </c>
      <c r="N3698" s="113"/>
    </row>
    <row r="3699" spans="2:14">
      <c r="B3699" s="105"/>
      <c r="C3699" s="106"/>
      <c r="D3699" s="107"/>
      <c r="E3699" s="65"/>
      <c r="F3699" s="64"/>
      <c r="G3699" s="64"/>
      <c r="H3699" s="64"/>
      <c r="I3699" s="70"/>
      <c r="J3699" s="70"/>
      <c r="K3699" s="110" t="str">
        <f>IF(H3699="","",IF($C$29="간이법","",FPR(H3699,I3699,J3699)))</f>
        <v/>
      </c>
      <c r="L3699" s="111" t="str">
        <f>IF(H3699="","",IF($C$29="상세법",FPV(H3699,K3699),IF(H3699="EI",4,IF(H3699="EO",5.2,IF(H3699="EQ",3.9,IF(H3699="ILF",7.5,IF(H3699="EIF",5.4)))))))</f>
        <v/>
      </c>
      <c r="M3699" s="112" t="str">
        <f t="shared" si="60"/>
        <v/>
      </c>
      <c r="N3699" s="113"/>
    </row>
    <row r="3700" spans="2:14">
      <c r="B3700" s="105"/>
      <c r="C3700" s="106"/>
      <c r="D3700" s="107"/>
      <c r="E3700" s="65"/>
      <c r="F3700" s="64"/>
      <c r="G3700" s="64"/>
      <c r="H3700" s="64"/>
      <c r="I3700" s="70"/>
      <c r="J3700" s="70"/>
      <c r="K3700" s="110" t="str">
        <f>IF(H3700="","",IF($C$29="간이법","",FPR(H3700,I3700,J3700)))</f>
        <v/>
      </c>
      <c r="L3700" s="111" t="str">
        <f>IF(H3700="","",IF($C$29="상세법",FPV(H3700,K3700),IF(H3700="EI",4,IF(H3700="EO",5.2,IF(H3700="EQ",3.9,IF(H3700="ILF",7.5,IF(H3700="EIF",5.4)))))))</f>
        <v/>
      </c>
      <c r="M3700" s="112" t="str">
        <f t="shared" si="60"/>
        <v/>
      </c>
      <c r="N3700" s="113"/>
    </row>
    <row r="3701" spans="2:14">
      <c r="B3701" s="105"/>
      <c r="C3701" s="106"/>
      <c r="D3701" s="107"/>
      <c r="E3701" s="65"/>
      <c r="F3701" s="64"/>
      <c r="G3701" s="64"/>
      <c r="H3701" s="64"/>
      <c r="I3701" s="70"/>
      <c r="J3701" s="70"/>
      <c r="K3701" s="110" t="str">
        <f>IF(H3701="","",IF($C$29="간이법","",FPR(H3701,I3701,J3701)))</f>
        <v/>
      </c>
      <c r="L3701" s="111" t="str">
        <f>IF(H3701="","",IF($C$29="상세법",FPV(H3701,K3701),IF(H3701="EI",4,IF(H3701="EO",5.2,IF(H3701="EQ",3.9,IF(H3701="ILF",7.5,IF(H3701="EIF",5.4)))))))</f>
        <v/>
      </c>
      <c r="M3701" s="112" t="str">
        <f t="shared" si="60"/>
        <v/>
      </c>
      <c r="N3701" s="113"/>
    </row>
    <row r="3702" spans="2:14">
      <c r="B3702" s="105"/>
      <c r="C3702" s="106"/>
      <c r="D3702" s="107"/>
      <c r="E3702" s="65"/>
      <c r="F3702" s="64"/>
      <c r="G3702" s="64"/>
      <c r="H3702" s="64"/>
      <c r="I3702" s="70"/>
      <c r="J3702" s="70"/>
      <c r="K3702" s="110" t="str">
        <f>IF(H3702="","",IF($C$29="간이법","",FPR(H3702,I3702,J3702)))</f>
        <v/>
      </c>
      <c r="L3702" s="111" t="str">
        <f>IF(H3702="","",IF($C$29="상세법",FPV(H3702,K3702),IF(H3702="EI",4,IF(H3702="EO",5.2,IF(H3702="EQ",3.9,IF(H3702="ILF",7.5,IF(H3702="EIF",5.4)))))))</f>
        <v/>
      </c>
      <c r="M3702" s="112" t="str">
        <f t="shared" si="60"/>
        <v/>
      </c>
      <c r="N3702" s="113"/>
    </row>
    <row r="3703" spans="2:14">
      <c r="B3703" s="105"/>
      <c r="C3703" s="106"/>
      <c r="D3703" s="107"/>
      <c r="E3703" s="65"/>
      <c r="F3703" s="64"/>
      <c r="G3703" s="64"/>
      <c r="H3703" s="64"/>
      <c r="I3703" s="70"/>
      <c r="J3703" s="70"/>
      <c r="K3703" s="110" t="str">
        <f>IF(H3703="","",IF($C$29="간이법","",FPR(H3703,I3703,J3703)))</f>
        <v/>
      </c>
      <c r="L3703" s="111" t="str">
        <f>IF(H3703="","",IF($C$29="상세법",FPV(H3703,K3703),IF(H3703="EI",4,IF(H3703="EO",5.2,IF(H3703="EQ",3.9,IF(H3703="ILF",7.5,IF(H3703="EIF",5.4)))))))</f>
        <v/>
      </c>
      <c r="M3703" s="112" t="str">
        <f t="shared" si="60"/>
        <v/>
      </c>
      <c r="N3703" s="113"/>
    </row>
    <row r="3704" spans="2:14">
      <c r="B3704" s="105"/>
      <c r="C3704" s="106"/>
      <c r="D3704" s="107"/>
      <c r="E3704" s="65"/>
      <c r="F3704" s="64"/>
      <c r="G3704" s="64"/>
      <c r="H3704" s="64"/>
      <c r="I3704" s="70"/>
      <c r="J3704" s="70"/>
      <c r="K3704" s="110" t="str">
        <f>IF(H3704="","",IF($C$29="간이법","",FPR(H3704,I3704,J3704)))</f>
        <v/>
      </c>
      <c r="L3704" s="111" t="str">
        <f>IF(H3704="","",IF($C$29="상세법",FPV(H3704,K3704),IF(H3704="EI",4,IF(H3704="EO",5.2,IF(H3704="EQ",3.9,IF(H3704="ILF",7.5,IF(H3704="EIF",5.4)))))))</f>
        <v/>
      </c>
      <c r="M3704" s="112" t="str">
        <f t="shared" si="60"/>
        <v/>
      </c>
      <c r="N3704" s="113"/>
    </row>
    <row r="3705" spans="2:14">
      <c r="B3705" s="105"/>
      <c r="C3705" s="106"/>
      <c r="D3705" s="107"/>
      <c r="E3705" s="65"/>
      <c r="F3705" s="64"/>
      <c r="G3705" s="64"/>
      <c r="H3705" s="64"/>
      <c r="I3705" s="70"/>
      <c r="J3705" s="70"/>
      <c r="K3705" s="110" t="str">
        <f>IF(H3705="","",IF($C$29="간이법","",FPR(H3705,I3705,J3705)))</f>
        <v/>
      </c>
      <c r="L3705" s="111" t="str">
        <f>IF(H3705="","",IF($C$29="상세법",FPV(H3705,K3705),IF(H3705="EI",4,IF(H3705="EO",5.2,IF(H3705="EQ",3.9,IF(H3705="ILF",7.5,IF(H3705="EIF",5.4)))))))</f>
        <v/>
      </c>
      <c r="M3705" s="112" t="str">
        <f t="shared" ref="M3705:M3768" si="61">IF(L3705="","",L3705*IF(G3705="상",0.7,IF(G3705="중",0.5,IF(G3705="하",0.2,1))))</f>
        <v/>
      </c>
      <c r="N3705" s="113"/>
    </row>
    <row r="3706" spans="2:14">
      <c r="B3706" s="105"/>
      <c r="C3706" s="106"/>
      <c r="D3706" s="107"/>
      <c r="E3706" s="65"/>
      <c r="F3706" s="64"/>
      <c r="G3706" s="64"/>
      <c r="H3706" s="64"/>
      <c r="I3706" s="70"/>
      <c r="J3706" s="70"/>
      <c r="K3706" s="110" t="str">
        <f>IF(H3706="","",IF($C$29="간이법","",FPR(H3706,I3706,J3706)))</f>
        <v/>
      </c>
      <c r="L3706" s="111" t="str">
        <f>IF(H3706="","",IF($C$29="상세법",FPV(H3706,K3706),IF(H3706="EI",4,IF(H3706="EO",5.2,IF(H3706="EQ",3.9,IF(H3706="ILF",7.5,IF(H3706="EIF",5.4)))))))</f>
        <v/>
      </c>
      <c r="M3706" s="112" t="str">
        <f t="shared" si="61"/>
        <v/>
      </c>
      <c r="N3706" s="113"/>
    </row>
    <row r="3707" spans="2:14">
      <c r="B3707" s="105"/>
      <c r="C3707" s="106"/>
      <c r="D3707" s="107"/>
      <c r="E3707" s="65"/>
      <c r="F3707" s="64"/>
      <c r="G3707" s="64"/>
      <c r="H3707" s="64"/>
      <c r="I3707" s="70"/>
      <c r="J3707" s="70"/>
      <c r="K3707" s="110" t="str">
        <f>IF(H3707="","",IF($C$29="간이법","",FPR(H3707,I3707,J3707)))</f>
        <v/>
      </c>
      <c r="L3707" s="111" t="str">
        <f>IF(H3707="","",IF($C$29="상세법",FPV(H3707,K3707),IF(H3707="EI",4,IF(H3707="EO",5.2,IF(H3707="EQ",3.9,IF(H3707="ILF",7.5,IF(H3707="EIF",5.4)))))))</f>
        <v/>
      </c>
      <c r="M3707" s="112" t="str">
        <f t="shared" si="61"/>
        <v/>
      </c>
      <c r="N3707" s="113"/>
    </row>
    <row r="3708" spans="2:14">
      <c r="B3708" s="105"/>
      <c r="C3708" s="106"/>
      <c r="D3708" s="107"/>
      <c r="E3708" s="65"/>
      <c r="F3708" s="64"/>
      <c r="G3708" s="64"/>
      <c r="H3708" s="64"/>
      <c r="I3708" s="70"/>
      <c r="J3708" s="70"/>
      <c r="K3708" s="110" t="str">
        <f>IF(H3708="","",IF($C$29="간이법","",FPR(H3708,I3708,J3708)))</f>
        <v/>
      </c>
      <c r="L3708" s="111" t="str">
        <f>IF(H3708="","",IF($C$29="상세법",FPV(H3708,K3708),IF(H3708="EI",4,IF(H3708="EO",5.2,IF(H3708="EQ",3.9,IF(H3708="ILF",7.5,IF(H3708="EIF",5.4)))))))</f>
        <v/>
      </c>
      <c r="M3708" s="112" t="str">
        <f t="shared" si="61"/>
        <v/>
      </c>
      <c r="N3708" s="113"/>
    </row>
    <row r="3709" spans="2:14">
      <c r="B3709" s="105"/>
      <c r="C3709" s="106"/>
      <c r="D3709" s="107"/>
      <c r="E3709" s="65"/>
      <c r="F3709" s="64"/>
      <c r="G3709" s="64"/>
      <c r="H3709" s="64"/>
      <c r="I3709" s="70"/>
      <c r="J3709" s="70"/>
      <c r="K3709" s="110" t="str">
        <f>IF(H3709="","",IF($C$29="간이법","",FPR(H3709,I3709,J3709)))</f>
        <v/>
      </c>
      <c r="L3709" s="111" t="str">
        <f>IF(H3709="","",IF($C$29="상세법",FPV(H3709,K3709),IF(H3709="EI",4,IF(H3709="EO",5.2,IF(H3709="EQ",3.9,IF(H3709="ILF",7.5,IF(H3709="EIF",5.4)))))))</f>
        <v/>
      </c>
      <c r="M3709" s="112" t="str">
        <f t="shared" si="61"/>
        <v/>
      </c>
      <c r="N3709" s="113"/>
    </row>
    <row r="3710" spans="2:14">
      <c r="B3710" s="105"/>
      <c r="C3710" s="106"/>
      <c r="D3710" s="107"/>
      <c r="E3710" s="65"/>
      <c r="F3710" s="64"/>
      <c r="G3710" s="64"/>
      <c r="H3710" s="64"/>
      <c r="I3710" s="70"/>
      <c r="J3710" s="70"/>
      <c r="K3710" s="110" t="str">
        <f>IF(H3710="","",IF($C$29="간이법","",FPR(H3710,I3710,J3710)))</f>
        <v/>
      </c>
      <c r="L3710" s="111" t="str">
        <f>IF(H3710="","",IF($C$29="상세법",FPV(H3710,K3710),IF(H3710="EI",4,IF(H3710="EO",5.2,IF(H3710="EQ",3.9,IF(H3710="ILF",7.5,IF(H3710="EIF",5.4)))))))</f>
        <v/>
      </c>
      <c r="M3710" s="112" t="str">
        <f t="shared" si="61"/>
        <v/>
      </c>
      <c r="N3710" s="113"/>
    </row>
    <row r="3711" spans="2:14">
      <c r="B3711" s="105"/>
      <c r="C3711" s="106"/>
      <c r="D3711" s="107"/>
      <c r="E3711" s="65"/>
      <c r="F3711" s="64"/>
      <c r="G3711" s="64"/>
      <c r="H3711" s="64"/>
      <c r="I3711" s="70"/>
      <c r="J3711" s="70"/>
      <c r="K3711" s="110" t="str">
        <f>IF(H3711="","",IF($C$29="간이법","",FPR(H3711,I3711,J3711)))</f>
        <v/>
      </c>
      <c r="L3711" s="111" t="str">
        <f>IF(H3711="","",IF($C$29="상세법",FPV(H3711,K3711),IF(H3711="EI",4,IF(H3711="EO",5.2,IF(H3711="EQ",3.9,IF(H3711="ILF",7.5,IF(H3711="EIF",5.4)))))))</f>
        <v/>
      </c>
      <c r="M3711" s="112" t="str">
        <f t="shared" si="61"/>
        <v/>
      </c>
      <c r="N3711" s="113"/>
    </row>
    <row r="3712" spans="2:14">
      <c r="B3712" s="105"/>
      <c r="C3712" s="106"/>
      <c r="D3712" s="107"/>
      <c r="E3712" s="65"/>
      <c r="F3712" s="64"/>
      <c r="G3712" s="64"/>
      <c r="H3712" s="64"/>
      <c r="I3712" s="70"/>
      <c r="J3712" s="70"/>
      <c r="K3712" s="110" t="str">
        <f>IF(H3712="","",IF($C$29="간이법","",FPR(H3712,I3712,J3712)))</f>
        <v/>
      </c>
      <c r="L3712" s="111" t="str">
        <f>IF(H3712="","",IF($C$29="상세법",FPV(H3712,K3712),IF(H3712="EI",4,IF(H3712="EO",5.2,IF(H3712="EQ",3.9,IF(H3712="ILF",7.5,IF(H3712="EIF",5.4)))))))</f>
        <v/>
      </c>
      <c r="M3712" s="112" t="str">
        <f t="shared" si="61"/>
        <v/>
      </c>
      <c r="N3712" s="113"/>
    </row>
    <row r="3713" spans="2:14">
      <c r="B3713" s="105"/>
      <c r="C3713" s="106"/>
      <c r="D3713" s="107"/>
      <c r="E3713" s="65"/>
      <c r="F3713" s="64"/>
      <c r="G3713" s="64"/>
      <c r="H3713" s="64"/>
      <c r="I3713" s="70"/>
      <c r="J3713" s="70"/>
      <c r="K3713" s="110" t="str">
        <f>IF(H3713="","",IF($C$29="간이법","",FPR(H3713,I3713,J3713)))</f>
        <v/>
      </c>
      <c r="L3713" s="111" t="str">
        <f>IF(H3713="","",IF($C$29="상세법",FPV(H3713,K3713),IF(H3713="EI",4,IF(H3713="EO",5.2,IF(H3713="EQ",3.9,IF(H3713="ILF",7.5,IF(H3713="EIF",5.4)))))))</f>
        <v/>
      </c>
      <c r="M3713" s="112" t="str">
        <f t="shared" si="61"/>
        <v/>
      </c>
      <c r="N3713" s="113"/>
    </row>
    <row r="3714" spans="2:14">
      <c r="B3714" s="105"/>
      <c r="C3714" s="106"/>
      <c r="D3714" s="107"/>
      <c r="E3714" s="65"/>
      <c r="F3714" s="64"/>
      <c r="G3714" s="64"/>
      <c r="H3714" s="64"/>
      <c r="I3714" s="70"/>
      <c r="J3714" s="70"/>
      <c r="K3714" s="110" t="str">
        <f>IF(H3714="","",IF($C$29="간이법","",FPR(H3714,I3714,J3714)))</f>
        <v/>
      </c>
      <c r="L3714" s="111" t="str">
        <f>IF(H3714="","",IF($C$29="상세법",FPV(H3714,K3714),IF(H3714="EI",4,IF(H3714="EO",5.2,IF(H3714="EQ",3.9,IF(H3714="ILF",7.5,IF(H3714="EIF",5.4)))))))</f>
        <v/>
      </c>
      <c r="M3714" s="112" t="str">
        <f t="shared" si="61"/>
        <v/>
      </c>
      <c r="N3714" s="113"/>
    </row>
    <row r="3715" spans="2:14">
      <c r="B3715" s="105"/>
      <c r="C3715" s="106"/>
      <c r="D3715" s="107"/>
      <c r="E3715" s="65"/>
      <c r="F3715" s="64"/>
      <c r="G3715" s="64"/>
      <c r="H3715" s="64"/>
      <c r="I3715" s="70"/>
      <c r="J3715" s="70"/>
      <c r="K3715" s="110" t="str">
        <f>IF(H3715="","",IF($C$29="간이법","",FPR(H3715,I3715,J3715)))</f>
        <v/>
      </c>
      <c r="L3715" s="111" t="str">
        <f>IF(H3715="","",IF($C$29="상세법",FPV(H3715,K3715),IF(H3715="EI",4,IF(H3715="EO",5.2,IF(H3715="EQ",3.9,IF(H3715="ILF",7.5,IF(H3715="EIF",5.4)))))))</f>
        <v/>
      </c>
      <c r="M3715" s="112" t="str">
        <f t="shared" si="61"/>
        <v/>
      </c>
      <c r="N3715" s="113"/>
    </row>
    <row r="3716" spans="2:14">
      <c r="B3716" s="105"/>
      <c r="C3716" s="106"/>
      <c r="D3716" s="107"/>
      <c r="E3716" s="65"/>
      <c r="F3716" s="64"/>
      <c r="G3716" s="64"/>
      <c r="H3716" s="64"/>
      <c r="I3716" s="70"/>
      <c r="J3716" s="70"/>
      <c r="K3716" s="110" t="str">
        <f>IF(H3716="","",IF($C$29="간이법","",FPR(H3716,I3716,J3716)))</f>
        <v/>
      </c>
      <c r="L3716" s="111" t="str">
        <f>IF(H3716="","",IF($C$29="상세법",FPV(H3716,K3716),IF(H3716="EI",4,IF(H3716="EO",5.2,IF(H3716="EQ",3.9,IF(H3716="ILF",7.5,IF(H3716="EIF",5.4)))))))</f>
        <v/>
      </c>
      <c r="M3716" s="112" t="str">
        <f t="shared" si="61"/>
        <v/>
      </c>
      <c r="N3716" s="113"/>
    </row>
    <row r="3717" spans="2:14">
      <c r="B3717" s="105"/>
      <c r="C3717" s="106"/>
      <c r="D3717" s="107"/>
      <c r="E3717" s="65"/>
      <c r="F3717" s="64"/>
      <c r="G3717" s="64"/>
      <c r="H3717" s="64"/>
      <c r="I3717" s="70"/>
      <c r="J3717" s="70"/>
      <c r="K3717" s="110" t="str">
        <f>IF(H3717="","",IF($C$29="간이법","",FPR(H3717,I3717,J3717)))</f>
        <v/>
      </c>
      <c r="L3717" s="111" t="str">
        <f>IF(H3717="","",IF($C$29="상세법",FPV(H3717,K3717),IF(H3717="EI",4,IF(H3717="EO",5.2,IF(H3717="EQ",3.9,IF(H3717="ILF",7.5,IF(H3717="EIF",5.4)))))))</f>
        <v/>
      </c>
      <c r="M3717" s="112" t="str">
        <f t="shared" si="61"/>
        <v/>
      </c>
      <c r="N3717" s="113"/>
    </row>
    <row r="3718" spans="2:14">
      <c r="B3718" s="105"/>
      <c r="C3718" s="106"/>
      <c r="D3718" s="107"/>
      <c r="E3718" s="65"/>
      <c r="F3718" s="64"/>
      <c r="G3718" s="64"/>
      <c r="H3718" s="64"/>
      <c r="I3718" s="70"/>
      <c r="J3718" s="70"/>
      <c r="K3718" s="110" t="str">
        <f>IF(H3718="","",IF($C$29="간이법","",FPR(H3718,I3718,J3718)))</f>
        <v/>
      </c>
      <c r="L3718" s="111" t="str">
        <f>IF(H3718="","",IF($C$29="상세법",FPV(H3718,K3718),IF(H3718="EI",4,IF(H3718="EO",5.2,IF(H3718="EQ",3.9,IF(H3718="ILF",7.5,IF(H3718="EIF",5.4)))))))</f>
        <v/>
      </c>
      <c r="M3718" s="112" t="str">
        <f t="shared" si="61"/>
        <v/>
      </c>
      <c r="N3718" s="113"/>
    </row>
    <row r="3719" spans="2:14">
      <c r="B3719" s="105"/>
      <c r="C3719" s="106"/>
      <c r="D3719" s="107"/>
      <c r="E3719" s="65"/>
      <c r="F3719" s="64"/>
      <c r="G3719" s="64"/>
      <c r="H3719" s="64"/>
      <c r="I3719" s="70"/>
      <c r="J3719" s="70"/>
      <c r="K3719" s="110" t="str">
        <f>IF(H3719="","",IF($C$29="간이법","",FPR(H3719,I3719,J3719)))</f>
        <v/>
      </c>
      <c r="L3719" s="111" t="str">
        <f>IF(H3719="","",IF($C$29="상세법",FPV(H3719,K3719),IF(H3719="EI",4,IF(H3719="EO",5.2,IF(H3719="EQ",3.9,IF(H3719="ILF",7.5,IF(H3719="EIF",5.4)))))))</f>
        <v/>
      </c>
      <c r="M3719" s="112" t="str">
        <f t="shared" si="61"/>
        <v/>
      </c>
      <c r="N3719" s="113"/>
    </row>
    <row r="3720" spans="2:14">
      <c r="B3720" s="105"/>
      <c r="C3720" s="106"/>
      <c r="D3720" s="107"/>
      <c r="E3720" s="65"/>
      <c r="F3720" s="64"/>
      <c r="G3720" s="64"/>
      <c r="H3720" s="64"/>
      <c r="I3720" s="70"/>
      <c r="J3720" s="70"/>
      <c r="K3720" s="110" t="str">
        <f>IF(H3720="","",IF($C$29="간이법","",FPR(H3720,I3720,J3720)))</f>
        <v/>
      </c>
      <c r="L3720" s="111" t="str">
        <f>IF(H3720="","",IF($C$29="상세법",FPV(H3720,K3720),IF(H3720="EI",4,IF(H3720="EO",5.2,IF(H3720="EQ",3.9,IF(H3720="ILF",7.5,IF(H3720="EIF",5.4)))))))</f>
        <v/>
      </c>
      <c r="M3720" s="112" t="str">
        <f t="shared" si="61"/>
        <v/>
      </c>
      <c r="N3720" s="113"/>
    </row>
    <row r="3721" spans="2:14">
      <c r="B3721" s="105"/>
      <c r="C3721" s="106"/>
      <c r="D3721" s="107"/>
      <c r="E3721" s="65"/>
      <c r="F3721" s="64"/>
      <c r="G3721" s="64"/>
      <c r="H3721" s="64"/>
      <c r="I3721" s="70"/>
      <c r="J3721" s="70"/>
      <c r="K3721" s="110" t="str">
        <f>IF(H3721="","",IF($C$29="간이법","",FPR(H3721,I3721,J3721)))</f>
        <v/>
      </c>
      <c r="L3721" s="111" t="str">
        <f>IF(H3721="","",IF($C$29="상세법",FPV(H3721,K3721),IF(H3721="EI",4,IF(H3721="EO",5.2,IF(H3721="EQ",3.9,IF(H3721="ILF",7.5,IF(H3721="EIF",5.4)))))))</f>
        <v/>
      </c>
      <c r="M3721" s="112" t="str">
        <f t="shared" si="61"/>
        <v/>
      </c>
      <c r="N3721" s="113"/>
    </row>
    <row r="3722" spans="2:14">
      <c r="B3722" s="105"/>
      <c r="C3722" s="106"/>
      <c r="D3722" s="107"/>
      <c r="E3722" s="65"/>
      <c r="F3722" s="64"/>
      <c r="G3722" s="64"/>
      <c r="H3722" s="64"/>
      <c r="I3722" s="70"/>
      <c r="J3722" s="70"/>
      <c r="K3722" s="110" t="str">
        <f>IF(H3722="","",IF($C$29="간이법","",FPR(H3722,I3722,J3722)))</f>
        <v/>
      </c>
      <c r="L3722" s="111" t="str">
        <f>IF(H3722="","",IF($C$29="상세법",FPV(H3722,K3722),IF(H3722="EI",4,IF(H3722="EO",5.2,IF(H3722="EQ",3.9,IF(H3722="ILF",7.5,IF(H3722="EIF",5.4)))))))</f>
        <v/>
      </c>
      <c r="M3722" s="112" t="str">
        <f t="shared" si="61"/>
        <v/>
      </c>
      <c r="N3722" s="113"/>
    </row>
    <row r="3723" spans="2:14">
      <c r="B3723" s="105"/>
      <c r="C3723" s="106"/>
      <c r="D3723" s="107"/>
      <c r="E3723" s="65"/>
      <c r="F3723" s="64"/>
      <c r="G3723" s="64"/>
      <c r="H3723" s="64"/>
      <c r="I3723" s="70"/>
      <c r="J3723" s="70"/>
      <c r="K3723" s="110" t="str">
        <f>IF(H3723="","",IF($C$29="간이법","",FPR(H3723,I3723,J3723)))</f>
        <v/>
      </c>
      <c r="L3723" s="111" t="str">
        <f>IF(H3723="","",IF($C$29="상세법",FPV(H3723,K3723),IF(H3723="EI",4,IF(H3723="EO",5.2,IF(H3723="EQ",3.9,IF(H3723="ILF",7.5,IF(H3723="EIF",5.4)))))))</f>
        <v/>
      </c>
      <c r="M3723" s="112" t="str">
        <f t="shared" si="61"/>
        <v/>
      </c>
      <c r="N3723" s="113"/>
    </row>
    <row r="3724" spans="2:14">
      <c r="B3724" s="105"/>
      <c r="C3724" s="106"/>
      <c r="D3724" s="107"/>
      <c r="E3724" s="65"/>
      <c r="F3724" s="64"/>
      <c r="G3724" s="64"/>
      <c r="H3724" s="64"/>
      <c r="I3724" s="70"/>
      <c r="J3724" s="70"/>
      <c r="K3724" s="110" t="str">
        <f>IF(H3724="","",IF($C$29="간이법","",FPR(H3724,I3724,J3724)))</f>
        <v/>
      </c>
      <c r="L3724" s="111" t="str">
        <f>IF(H3724="","",IF($C$29="상세법",FPV(H3724,K3724),IF(H3724="EI",4,IF(H3724="EO",5.2,IF(H3724="EQ",3.9,IF(H3724="ILF",7.5,IF(H3724="EIF",5.4)))))))</f>
        <v/>
      </c>
      <c r="M3724" s="112" t="str">
        <f t="shared" si="61"/>
        <v/>
      </c>
      <c r="N3724" s="113"/>
    </row>
    <row r="3725" spans="2:14">
      <c r="B3725" s="105"/>
      <c r="C3725" s="106"/>
      <c r="D3725" s="107"/>
      <c r="E3725" s="65"/>
      <c r="F3725" s="64"/>
      <c r="G3725" s="64"/>
      <c r="H3725" s="64"/>
      <c r="I3725" s="70"/>
      <c r="J3725" s="70"/>
      <c r="K3725" s="110" t="str">
        <f>IF(H3725="","",IF($C$29="간이법","",FPR(H3725,I3725,J3725)))</f>
        <v/>
      </c>
      <c r="L3725" s="111" t="str">
        <f>IF(H3725="","",IF($C$29="상세법",FPV(H3725,K3725),IF(H3725="EI",4,IF(H3725="EO",5.2,IF(H3725="EQ",3.9,IF(H3725="ILF",7.5,IF(H3725="EIF",5.4)))))))</f>
        <v/>
      </c>
      <c r="M3725" s="112" t="str">
        <f t="shared" si="61"/>
        <v/>
      </c>
      <c r="N3725" s="113"/>
    </row>
    <row r="3726" spans="2:14">
      <c r="B3726" s="105"/>
      <c r="C3726" s="106"/>
      <c r="D3726" s="107"/>
      <c r="E3726" s="65"/>
      <c r="F3726" s="64"/>
      <c r="G3726" s="64"/>
      <c r="H3726" s="64"/>
      <c r="I3726" s="70"/>
      <c r="J3726" s="70"/>
      <c r="K3726" s="110" t="str">
        <f>IF(H3726="","",IF($C$29="간이법","",FPR(H3726,I3726,J3726)))</f>
        <v/>
      </c>
      <c r="L3726" s="111" t="str">
        <f>IF(H3726="","",IF($C$29="상세법",FPV(H3726,K3726),IF(H3726="EI",4,IF(H3726="EO",5.2,IF(H3726="EQ",3.9,IF(H3726="ILF",7.5,IF(H3726="EIF",5.4)))))))</f>
        <v/>
      </c>
      <c r="M3726" s="112" t="str">
        <f t="shared" si="61"/>
        <v/>
      </c>
      <c r="N3726" s="113"/>
    </row>
    <row r="3727" spans="2:14">
      <c r="B3727" s="105"/>
      <c r="C3727" s="106"/>
      <c r="D3727" s="107"/>
      <c r="E3727" s="65"/>
      <c r="F3727" s="64"/>
      <c r="G3727" s="64"/>
      <c r="H3727" s="64"/>
      <c r="I3727" s="70"/>
      <c r="J3727" s="70"/>
      <c r="K3727" s="110" t="str">
        <f>IF(H3727="","",IF($C$29="간이법","",FPR(H3727,I3727,J3727)))</f>
        <v/>
      </c>
      <c r="L3727" s="111" t="str">
        <f>IF(H3727="","",IF($C$29="상세법",FPV(H3727,K3727),IF(H3727="EI",4,IF(H3727="EO",5.2,IF(H3727="EQ",3.9,IF(H3727="ILF",7.5,IF(H3727="EIF",5.4)))))))</f>
        <v/>
      </c>
      <c r="M3727" s="112" t="str">
        <f t="shared" si="61"/>
        <v/>
      </c>
      <c r="N3727" s="113"/>
    </row>
    <row r="3728" spans="2:14">
      <c r="B3728" s="105"/>
      <c r="C3728" s="106"/>
      <c r="D3728" s="107"/>
      <c r="E3728" s="65"/>
      <c r="F3728" s="64"/>
      <c r="G3728" s="64"/>
      <c r="H3728" s="64"/>
      <c r="I3728" s="70"/>
      <c r="J3728" s="70"/>
      <c r="K3728" s="110" t="str">
        <f>IF(H3728="","",IF($C$29="간이법","",FPR(H3728,I3728,J3728)))</f>
        <v/>
      </c>
      <c r="L3728" s="111" t="str">
        <f>IF(H3728="","",IF($C$29="상세법",FPV(H3728,K3728),IF(H3728="EI",4,IF(H3728="EO",5.2,IF(H3728="EQ",3.9,IF(H3728="ILF",7.5,IF(H3728="EIF",5.4)))))))</f>
        <v/>
      </c>
      <c r="M3728" s="112" t="str">
        <f t="shared" si="61"/>
        <v/>
      </c>
      <c r="N3728" s="113"/>
    </row>
    <row r="3729" spans="2:14">
      <c r="B3729" s="105"/>
      <c r="C3729" s="106"/>
      <c r="D3729" s="107"/>
      <c r="E3729" s="65"/>
      <c r="F3729" s="64"/>
      <c r="G3729" s="64"/>
      <c r="H3729" s="64"/>
      <c r="I3729" s="70"/>
      <c r="J3729" s="70"/>
      <c r="K3729" s="110" t="str">
        <f>IF(H3729="","",IF($C$29="간이법","",FPR(H3729,I3729,J3729)))</f>
        <v/>
      </c>
      <c r="L3729" s="111" t="str">
        <f>IF(H3729="","",IF($C$29="상세법",FPV(H3729,K3729),IF(H3729="EI",4,IF(H3729="EO",5.2,IF(H3729="EQ",3.9,IF(H3729="ILF",7.5,IF(H3729="EIF",5.4)))))))</f>
        <v/>
      </c>
      <c r="M3729" s="112" t="str">
        <f t="shared" si="61"/>
        <v/>
      </c>
      <c r="N3729" s="113"/>
    </row>
    <row r="3730" spans="2:14">
      <c r="B3730" s="105"/>
      <c r="C3730" s="106"/>
      <c r="D3730" s="107"/>
      <c r="E3730" s="65"/>
      <c r="F3730" s="64"/>
      <c r="G3730" s="64"/>
      <c r="H3730" s="64"/>
      <c r="I3730" s="70"/>
      <c r="J3730" s="70"/>
      <c r="K3730" s="110" t="str">
        <f>IF(H3730="","",IF($C$29="간이법","",FPR(H3730,I3730,J3730)))</f>
        <v/>
      </c>
      <c r="L3730" s="111" t="str">
        <f>IF(H3730="","",IF($C$29="상세법",FPV(H3730,K3730),IF(H3730="EI",4,IF(H3730="EO",5.2,IF(H3730="EQ",3.9,IF(H3730="ILF",7.5,IF(H3730="EIF",5.4)))))))</f>
        <v/>
      </c>
      <c r="M3730" s="112" t="str">
        <f t="shared" si="61"/>
        <v/>
      </c>
      <c r="N3730" s="113"/>
    </row>
    <row r="3731" spans="2:14">
      <c r="B3731" s="105"/>
      <c r="C3731" s="106"/>
      <c r="D3731" s="107"/>
      <c r="E3731" s="65"/>
      <c r="F3731" s="64"/>
      <c r="G3731" s="64"/>
      <c r="H3731" s="64"/>
      <c r="I3731" s="70"/>
      <c r="J3731" s="70"/>
      <c r="K3731" s="110" t="str">
        <f>IF(H3731="","",IF($C$29="간이법","",FPR(H3731,I3731,J3731)))</f>
        <v/>
      </c>
      <c r="L3731" s="111" t="str">
        <f>IF(H3731="","",IF($C$29="상세법",FPV(H3731,K3731),IF(H3731="EI",4,IF(H3731="EO",5.2,IF(H3731="EQ",3.9,IF(H3731="ILF",7.5,IF(H3731="EIF",5.4)))))))</f>
        <v/>
      </c>
      <c r="M3731" s="112" t="str">
        <f t="shared" si="61"/>
        <v/>
      </c>
      <c r="N3731" s="113"/>
    </row>
    <row r="3732" spans="2:14">
      <c r="B3732" s="105"/>
      <c r="C3732" s="106"/>
      <c r="D3732" s="107"/>
      <c r="E3732" s="65"/>
      <c r="F3732" s="64"/>
      <c r="G3732" s="64"/>
      <c r="H3732" s="64"/>
      <c r="I3732" s="70"/>
      <c r="J3732" s="70"/>
      <c r="K3732" s="110" t="str">
        <f>IF(H3732="","",IF($C$29="간이법","",FPR(H3732,I3732,J3732)))</f>
        <v/>
      </c>
      <c r="L3732" s="111" t="str">
        <f>IF(H3732="","",IF($C$29="상세법",FPV(H3732,K3732),IF(H3732="EI",4,IF(H3732="EO",5.2,IF(H3732="EQ",3.9,IF(H3732="ILF",7.5,IF(H3732="EIF",5.4)))))))</f>
        <v/>
      </c>
      <c r="M3732" s="112" t="str">
        <f t="shared" si="61"/>
        <v/>
      </c>
      <c r="N3732" s="113"/>
    </row>
    <row r="3733" spans="2:14">
      <c r="B3733" s="105"/>
      <c r="C3733" s="106"/>
      <c r="D3733" s="107"/>
      <c r="E3733" s="65"/>
      <c r="F3733" s="64"/>
      <c r="G3733" s="64"/>
      <c r="H3733" s="64"/>
      <c r="I3733" s="70"/>
      <c r="J3733" s="70"/>
      <c r="K3733" s="110" t="str">
        <f>IF(H3733="","",IF($C$29="간이법","",FPR(H3733,I3733,J3733)))</f>
        <v/>
      </c>
      <c r="L3733" s="111" t="str">
        <f>IF(H3733="","",IF($C$29="상세법",FPV(H3733,K3733),IF(H3733="EI",4,IF(H3733="EO",5.2,IF(H3733="EQ",3.9,IF(H3733="ILF",7.5,IF(H3733="EIF",5.4)))))))</f>
        <v/>
      </c>
      <c r="M3733" s="112" t="str">
        <f t="shared" si="61"/>
        <v/>
      </c>
      <c r="N3733" s="113"/>
    </row>
    <row r="3734" spans="2:14">
      <c r="B3734" s="105"/>
      <c r="C3734" s="106"/>
      <c r="D3734" s="107"/>
      <c r="E3734" s="65"/>
      <c r="F3734" s="64"/>
      <c r="G3734" s="64"/>
      <c r="H3734" s="64"/>
      <c r="I3734" s="70"/>
      <c r="J3734" s="70"/>
      <c r="K3734" s="110" t="str">
        <f>IF(H3734="","",IF($C$29="간이법","",FPR(H3734,I3734,J3734)))</f>
        <v/>
      </c>
      <c r="L3734" s="111" t="str">
        <f>IF(H3734="","",IF($C$29="상세법",FPV(H3734,K3734),IF(H3734="EI",4,IF(H3734="EO",5.2,IF(H3734="EQ",3.9,IF(H3734="ILF",7.5,IF(H3734="EIF",5.4)))))))</f>
        <v/>
      </c>
      <c r="M3734" s="112" t="str">
        <f t="shared" si="61"/>
        <v/>
      </c>
      <c r="N3734" s="113"/>
    </row>
    <row r="3735" spans="2:14">
      <c r="B3735" s="105"/>
      <c r="C3735" s="106"/>
      <c r="D3735" s="107"/>
      <c r="E3735" s="65"/>
      <c r="F3735" s="64"/>
      <c r="G3735" s="64"/>
      <c r="H3735" s="64"/>
      <c r="I3735" s="70"/>
      <c r="J3735" s="70"/>
      <c r="K3735" s="110" t="str">
        <f>IF(H3735="","",IF($C$29="간이법","",FPR(H3735,I3735,J3735)))</f>
        <v/>
      </c>
      <c r="L3735" s="111" t="str">
        <f>IF(H3735="","",IF($C$29="상세법",FPV(H3735,K3735),IF(H3735="EI",4,IF(H3735="EO",5.2,IF(H3735="EQ",3.9,IF(H3735="ILF",7.5,IF(H3735="EIF",5.4)))))))</f>
        <v/>
      </c>
      <c r="M3735" s="112" t="str">
        <f t="shared" si="61"/>
        <v/>
      </c>
      <c r="N3735" s="113"/>
    </row>
    <row r="3736" spans="2:14">
      <c r="B3736" s="105"/>
      <c r="C3736" s="106"/>
      <c r="D3736" s="107"/>
      <c r="E3736" s="65"/>
      <c r="F3736" s="64"/>
      <c r="G3736" s="64"/>
      <c r="H3736" s="64"/>
      <c r="I3736" s="70"/>
      <c r="J3736" s="70"/>
      <c r="K3736" s="110" t="str">
        <f>IF(H3736="","",IF($C$29="간이법","",FPR(H3736,I3736,J3736)))</f>
        <v/>
      </c>
      <c r="L3736" s="111" t="str">
        <f>IF(H3736="","",IF($C$29="상세법",FPV(H3736,K3736),IF(H3736="EI",4,IF(H3736="EO",5.2,IF(H3736="EQ",3.9,IF(H3736="ILF",7.5,IF(H3736="EIF",5.4)))))))</f>
        <v/>
      </c>
      <c r="M3736" s="112" t="str">
        <f t="shared" si="61"/>
        <v/>
      </c>
      <c r="N3736" s="113"/>
    </row>
    <row r="3737" spans="2:14">
      <c r="B3737" s="105"/>
      <c r="C3737" s="106"/>
      <c r="D3737" s="107"/>
      <c r="E3737" s="65"/>
      <c r="F3737" s="64"/>
      <c r="G3737" s="64"/>
      <c r="H3737" s="64"/>
      <c r="I3737" s="70"/>
      <c r="J3737" s="70"/>
      <c r="K3737" s="110" t="str">
        <f>IF(H3737="","",IF($C$29="간이법","",FPR(H3737,I3737,J3737)))</f>
        <v/>
      </c>
      <c r="L3737" s="111" t="str">
        <f>IF(H3737="","",IF($C$29="상세법",FPV(H3737,K3737),IF(H3737="EI",4,IF(H3737="EO",5.2,IF(H3737="EQ",3.9,IF(H3737="ILF",7.5,IF(H3737="EIF",5.4)))))))</f>
        <v/>
      </c>
      <c r="M3737" s="112" t="str">
        <f t="shared" si="61"/>
        <v/>
      </c>
      <c r="N3737" s="113"/>
    </row>
    <row r="3738" spans="2:14">
      <c r="B3738" s="105"/>
      <c r="C3738" s="106"/>
      <c r="D3738" s="107"/>
      <c r="E3738" s="65"/>
      <c r="F3738" s="64"/>
      <c r="G3738" s="64"/>
      <c r="H3738" s="64"/>
      <c r="I3738" s="70"/>
      <c r="J3738" s="70"/>
      <c r="K3738" s="110" t="str">
        <f>IF(H3738="","",IF($C$29="간이법","",FPR(H3738,I3738,J3738)))</f>
        <v/>
      </c>
      <c r="L3738" s="111" t="str">
        <f>IF(H3738="","",IF($C$29="상세법",FPV(H3738,K3738),IF(H3738="EI",4,IF(H3738="EO",5.2,IF(H3738="EQ",3.9,IF(H3738="ILF",7.5,IF(H3738="EIF",5.4)))))))</f>
        <v/>
      </c>
      <c r="M3738" s="112" t="str">
        <f t="shared" si="61"/>
        <v/>
      </c>
      <c r="N3738" s="113"/>
    </row>
    <row r="3739" spans="2:14">
      <c r="B3739" s="105"/>
      <c r="C3739" s="106"/>
      <c r="D3739" s="107"/>
      <c r="E3739" s="65"/>
      <c r="F3739" s="64"/>
      <c r="G3739" s="64"/>
      <c r="H3739" s="64"/>
      <c r="I3739" s="70"/>
      <c r="J3739" s="70"/>
      <c r="K3739" s="110" t="str">
        <f>IF(H3739="","",IF($C$29="간이법","",FPR(H3739,I3739,J3739)))</f>
        <v/>
      </c>
      <c r="L3739" s="111" t="str">
        <f>IF(H3739="","",IF($C$29="상세법",FPV(H3739,K3739),IF(H3739="EI",4,IF(H3739="EO",5.2,IF(H3739="EQ",3.9,IF(H3739="ILF",7.5,IF(H3739="EIF",5.4)))))))</f>
        <v/>
      </c>
      <c r="M3739" s="112" t="str">
        <f t="shared" si="61"/>
        <v/>
      </c>
      <c r="N3739" s="113"/>
    </row>
    <row r="3740" spans="2:14">
      <c r="B3740" s="105"/>
      <c r="C3740" s="106"/>
      <c r="D3740" s="107"/>
      <c r="E3740" s="65"/>
      <c r="F3740" s="64"/>
      <c r="G3740" s="64"/>
      <c r="H3740" s="64"/>
      <c r="I3740" s="70"/>
      <c r="J3740" s="70"/>
      <c r="K3740" s="110" t="str">
        <f>IF(H3740="","",IF($C$29="간이법","",FPR(H3740,I3740,J3740)))</f>
        <v/>
      </c>
      <c r="L3740" s="111" t="str">
        <f>IF(H3740="","",IF($C$29="상세법",FPV(H3740,K3740),IF(H3740="EI",4,IF(H3740="EO",5.2,IF(H3740="EQ",3.9,IF(H3740="ILF",7.5,IF(H3740="EIF",5.4)))))))</f>
        <v/>
      </c>
      <c r="M3740" s="112" t="str">
        <f t="shared" si="61"/>
        <v/>
      </c>
      <c r="N3740" s="113"/>
    </row>
    <row r="3741" spans="2:14">
      <c r="B3741" s="105"/>
      <c r="C3741" s="106"/>
      <c r="D3741" s="107"/>
      <c r="E3741" s="65"/>
      <c r="F3741" s="64"/>
      <c r="G3741" s="64"/>
      <c r="H3741" s="64"/>
      <c r="I3741" s="70"/>
      <c r="J3741" s="70"/>
      <c r="K3741" s="110" t="str">
        <f>IF(H3741="","",IF($C$29="간이법","",FPR(H3741,I3741,J3741)))</f>
        <v/>
      </c>
      <c r="L3741" s="111" t="str">
        <f>IF(H3741="","",IF($C$29="상세법",FPV(H3741,K3741),IF(H3741="EI",4,IF(H3741="EO",5.2,IF(H3741="EQ",3.9,IF(H3741="ILF",7.5,IF(H3741="EIF",5.4)))))))</f>
        <v/>
      </c>
      <c r="M3741" s="112" t="str">
        <f t="shared" si="61"/>
        <v/>
      </c>
      <c r="N3741" s="113"/>
    </row>
    <row r="3742" spans="2:14">
      <c r="B3742" s="105"/>
      <c r="C3742" s="106"/>
      <c r="D3742" s="107"/>
      <c r="E3742" s="65"/>
      <c r="F3742" s="64"/>
      <c r="G3742" s="64"/>
      <c r="H3742" s="64"/>
      <c r="I3742" s="70"/>
      <c r="J3742" s="70"/>
      <c r="K3742" s="110" t="str">
        <f>IF(H3742="","",IF($C$29="간이법","",FPR(H3742,I3742,J3742)))</f>
        <v/>
      </c>
      <c r="L3742" s="111" t="str">
        <f>IF(H3742="","",IF($C$29="상세법",FPV(H3742,K3742),IF(H3742="EI",4,IF(H3742="EO",5.2,IF(H3742="EQ",3.9,IF(H3742="ILF",7.5,IF(H3742="EIF",5.4)))))))</f>
        <v/>
      </c>
      <c r="M3742" s="112" t="str">
        <f t="shared" si="61"/>
        <v/>
      </c>
      <c r="N3742" s="113"/>
    </row>
    <row r="3743" spans="2:14">
      <c r="B3743" s="105"/>
      <c r="C3743" s="106"/>
      <c r="D3743" s="107"/>
      <c r="E3743" s="65"/>
      <c r="F3743" s="64"/>
      <c r="G3743" s="64"/>
      <c r="H3743" s="64"/>
      <c r="I3743" s="70"/>
      <c r="J3743" s="70"/>
      <c r="K3743" s="110" t="str">
        <f>IF(H3743="","",IF($C$29="간이법","",FPR(H3743,I3743,J3743)))</f>
        <v/>
      </c>
      <c r="L3743" s="111" t="str">
        <f>IF(H3743="","",IF($C$29="상세법",FPV(H3743,K3743),IF(H3743="EI",4,IF(H3743="EO",5.2,IF(H3743="EQ",3.9,IF(H3743="ILF",7.5,IF(H3743="EIF",5.4)))))))</f>
        <v/>
      </c>
      <c r="M3743" s="112" t="str">
        <f t="shared" si="61"/>
        <v/>
      </c>
      <c r="N3743" s="113"/>
    </row>
    <row r="3744" spans="2:14">
      <c r="B3744" s="105"/>
      <c r="C3744" s="106"/>
      <c r="D3744" s="107"/>
      <c r="E3744" s="65"/>
      <c r="F3744" s="64"/>
      <c r="G3744" s="64"/>
      <c r="H3744" s="64"/>
      <c r="I3744" s="70"/>
      <c r="J3744" s="70"/>
      <c r="K3744" s="110" t="str">
        <f>IF(H3744="","",IF($C$29="간이법","",FPR(H3744,I3744,J3744)))</f>
        <v/>
      </c>
      <c r="L3744" s="111" t="str">
        <f>IF(H3744="","",IF($C$29="상세법",FPV(H3744,K3744),IF(H3744="EI",4,IF(H3744="EO",5.2,IF(H3744="EQ",3.9,IF(H3744="ILF",7.5,IF(H3744="EIF",5.4)))))))</f>
        <v/>
      </c>
      <c r="M3744" s="112" t="str">
        <f t="shared" si="61"/>
        <v/>
      </c>
      <c r="N3744" s="113"/>
    </row>
    <row r="3745" spans="2:14">
      <c r="B3745" s="105"/>
      <c r="C3745" s="106"/>
      <c r="D3745" s="107"/>
      <c r="E3745" s="65"/>
      <c r="F3745" s="64"/>
      <c r="G3745" s="64"/>
      <c r="H3745" s="64"/>
      <c r="I3745" s="70"/>
      <c r="J3745" s="70"/>
      <c r="K3745" s="110" t="str">
        <f>IF(H3745="","",IF($C$29="간이법","",FPR(H3745,I3745,J3745)))</f>
        <v/>
      </c>
      <c r="L3745" s="111" t="str">
        <f>IF(H3745="","",IF($C$29="상세법",FPV(H3745,K3745),IF(H3745="EI",4,IF(H3745="EO",5.2,IF(H3745="EQ",3.9,IF(H3745="ILF",7.5,IF(H3745="EIF",5.4)))))))</f>
        <v/>
      </c>
      <c r="M3745" s="112" t="str">
        <f t="shared" si="61"/>
        <v/>
      </c>
      <c r="N3745" s="113"/>
    </row>
    <row r="3746" spans="2:14">
      <c r="B3746" s="105"/>
      <c r="C3746" s="106"/>
      <c r="D3746" s="107"/>
      <c r="E3746" s="65"/>
      <c r="F3746" s="64"/>
      <c r="G3746" s="64"/>
      <c r="H3746" s="64"/>
      <c r="I3746" s="70"/>
      <c r="J3746" s="70"/>
      <c r="K3746" s="110" t="str">
        <f>IF(H3746="","",IF($C$29="간이법","",FPR(H3746,I3746,J3746)))</f>
        <v/>
      </c>
      <c r="L3746" s="111" t="str">
        <f>IF(H3746="","",IF($C$29="상세법",FPV(H3746,K3746),IF(H3746="EI",4,IF(H3746="EO",5.2,IF(H3746="EQ",3.9,IF(H3746="ILF",7.5,IF(H3746="EIF",5.4)))))))</f>
        <v/>
      </c>
      <c r="M3746" s="112" t="str">
        <f t="shared" si="61"/>
        <v/>
      </c>
      <c r="N3746" s="113"/>
    </row>
    <row r="3747" spans="2:14">
      <c r="B3747" s="105"/>
      <c r="C3747" s="106"/>
      <c r="D3747" s="107"/>
      <c r="E3747" s="65"/>
      <c r="F3747" s="64"/>
      <c r="G3747" s="64"/>
      <c r="H3747" s="64"/>
      <c r="I3747" s="70"/>
      <c r="J3747" s="70"/>
      <c r="K3747" s="110" t="str">
        <f>IF(H3747="","",IF($C$29="간이법","",FPR(H3747,I3747,J3747)))</f>
        <v/>
      </c>
      <c r="L3747" s="111" t="str">
        <f>IF(H3747="","",IF($C$29="상세법",FPV(H3747,K3747),IF(H3747="EI",4,IF(H3747="EO",5.2,IF(H3747="EQ",3.9,IF(H3747="ILF",7.5,IF(H3747="EIF",5.4)))))))</f>
        <v/>
      </c>
      <c r="M3747" s="112" t="str">
        <f t="shared" si="61"/>
        <v/>
      </c>
      <c r="N3747" s="113"/>
    </row>
    <row r="3748" spans="2:14">
      <c r="B3748" s="105"/>
      <c r="C3748" s="106"/>
      <c r="D3748" s="107"/>
      <c r="E3748" s="65"/>
      <c r="F3748" s="64"/>
      <c r="G3748" s="64"/>
      <c r="H3748" s="64"/>
      <c r="I3748" s="70"/>
      <c r="J3748" s="70"/>
      <c r="K3748" s="110" t="str">
        <f>IF(H3748="","",IF($C$29="간이법","",FPR(H3748,I3748,J3748)))</f>
        <v/>
      </c>
      <c r="L3748" s="111" t="str">
        <f>IF(H3748="","",IF($C$29="상세법",FPV(H3748,K3748),IF(H3748="EI",4,IF(H3748="EO",5.2,IF(H3748="EQ",3.9,IF(H3748="ILF",7.5,IF(H3748="EIF",5.4)))))))</f>
        <v/>
      </c>
      <c r="M3748" s="112" t="str">
        <f t="shared" si="61"/>
        <v/>
      </c>
      <c r="N3748" s="113"/>
    </row>
    <row r="3749" spans="2:14">
      <c r="B3749" s="105"/>
      <c r="C3749" s="106"/>
      <c r="D3749" s="107"/>
      <c r="E3749" s="65"/>
      <c r="F3749" s="64"/>
      <c r="G3749" s="64"/>
      <c r="H3749" s="64"/>
      <c r="I3749" s="70"/>
      <c r="J3749" s="70"/>
      <c r="K3749" s="110" t="str">
        <f>IF(H3749="","",IF($C$29="간이법","",FPR(H3749,I3749,J3749)))</f>
        <v/>
      </c>
      <c r="L3749" s="111" t="str">
        <f>IF(H3749="","",IF($C$29="상세법",FPV(H3749,K3749),IF(H3749="EI",4,IF(H3749="EO",5.2,IF(H3749="EQ",3.9,IF(H3749="ILF",7.5,IF(H3749="EIF",5.4)))))))</f>
        <v/>
      </c>
      <c r="M3749" s="112" t="str">
        <f t="shared" si="61"/>
        <v/>
      </c>
      <c r="N3749" s="113"/>
    </row>
    <row r="3750" spans="2:14">
      <c r="B3750" s="105"/>
      <c r="C3750" s="106"/>
      <c r="D3750" s="107"/>
      <c r="E3750" s="65"/>
      <c r="F3750" s="64"/>
      <c r="G3750" s="64"/>
      <c r="H3750" s="64"/>
      <c r="I3750" s="70"/>
      <c r="J3750" s="70"/>
      <c r="K3750" s="110" t="str">
        <f>IF(H3750="","",IF($C$29="간이법","",FPR(H3750,I3750,J3750)))</f>
        <v/>
      </c>
      <c r="L3750" s="111" t="str">
        <f>IF(H3750="","",IF($C$29="상세법",FPV(H3750,K3750),IF(H3750="EI",4,IF(H3750="EO",5.2,IF(H3750="EQ",3.9,IF(H3750="ILF",7.5,IF(H3750="EIF",5.4)))))))</f>
        <v/>
      </c>
      <c r="M3750" s="112" t="str">
        <f t="shared" si="61"/>
        <v/>
      </c>
      <c r="N3750" s="113"/>
    </row>
    <row r="3751" spans="2:14">
      <c r="B3751" s="105"/>
      <c r="C3751" s="106"/>
      <c r="D3751" s="107"/>
      <c r="E3751" s="65"/>
      <c r="F3751" s="64"/>
      <c r="G3751" s="64"/>
      <c r="H3751" s="64"/>
      <c r="I3751" s="70"/>
      <c r="J3751" s="70"/>
      <c r="K3751" s="110" t="str">
        <f>IF(H3751="","",IF($C$29="간이법","",FPR(H3751,I3751,J3751)))</f>
        <v/>
      </c>
      <c r="L3751" s="111" t="str">
        <f>IF(H3751="","",IF($C$29="상세법",FPV(H3751,K3751),IF(H3751="EI",4,IF(H3751="EO",5.2,IF(H3751="EQ",3.9,IF(H3751="ILF",7.5,IF(H3751="EIF",5.4)))))))</f>
        <v/>
      </c>
      <c r="M3751" s="112" t="str">
        <f t="shared" si="61"/>
        <v/>
      </c>
      <c r="N3751" s="113"/>
    </row>
    <row r="3752" spans="2:14">
      <c r="B3752" s="105"/>
      <c r="C3752" s="106"/>
      <c r="D3752" s="107"/>
      <c r="E3752" s="65"/>
      <c r="F3752" s="64"/>
      <c r="G3752" s="64"/>
      <c r="H3752" s="64"/>
      <c r="I3752" s="70"/>
      <c r="J3752" s="70"/>
      <c r="K3752" s="110" t="str">
        <f>IF(H3752="","",IF($C$29="간이법","",FPR(H3752,I3752,J3752)))</f>
        <v/>
      </c>
      <c r="L3752" s="111" t="str">
        <f>IF(H3752="","",IF($C$29="상세법",FPV(H3752,K3752),IF(H3752="EI",4,IF(H3752="EO",5.2,IF(H3752="EQ",3.9,IF(H3752="ILF",7.5,IF(H3752="EIF",5.4)))))))</f>
        <v/>
      </c>
      <c r="M3752" s="112" t="str">
        <f t="shared" si="61"/>
        <v/>
      </c>
      <c r="N3752" s="113"/>
    </row>
    <row r="3753" spans="2:14">
      <c r="B3753" s="105"/>
      <c r="C3753" s="106"/>
      <c r="D3753" s="107"/>
      <c r="E3753" s="65"/>
      <c r="F3753" s="64"/>
      <c r="G3753" s="64"/>
      <c r="H3753" s="64"/>
      <c r="I3753" s="70"/>
      <c r="J3753" s="70"/>
      <c r="K3753" s="110" t="str">
        <f>IF(H3753="","",IF($C$29="간이법","",FPR(H3753,I3753,J3753)))</f>
        <v/>
      </c>
      <c r="L3753" s="111" t="str">
        <f>IF(H3753="","",IF($C$29="상세법",FPV(H3753,K3753),IF(H3753="EI",4,IF(H3753="EO",5.2,IF(H3753="EQ",3.9,IF(H3753="ILF",7.5,IF(H3753="EIF",5.4)))))))</f>
        <v/>
      </c>
      <c r="M3753" s="112" t="str">
        <f t="shared" si="61"/>
        <v/>
      </c>
      <c r="N3753" s="113"/>
    </row>
    <row r="3754" spans="2:14">
      <c r="B3754" s="105"/>
      <c r="C3754" s="106"/>
      <c r="D3754" s="107"/>
      <c r="E3754" s="65"/>
      <c r="F3754" s="64"/>
      <c r="G3754" s="64"/>
      <c r="H3754" s="64"/>
      <c r="I3754" s="70"/>
      <c r="J3754" s="70"/>
      <c r="K3754" s="110" t="str">
        <f>IF(H3754="","",IF($C$29="간이법","",FPR(H3754,I3754,J3754)))</f>
        <v/>
      </c>
      <c r="L3754" s="111" t="str">
        <f>IF(H3754="","",IF($C$29="상세법",FPV(H3754,K3754),IF(H3754="EI",4,IF(H3754="EO",5.2,IF(H3754="EQ",3.9,IF(H3754="ILF",7.5,IF(H3754="EIF",5.4)))))))</f>
        <v/>
      </c>
      <c r="M3754" s="112" t="str">
        <f t="shared" si="61"/>
        <v/>
      </c>
      <c r="N3754" s="113"/>
    </row>
    <row r="3755" spans="2:14">
      <c r="B3755" s="105"/>
      <c r="C3755" s="106"/>
      <c r="D3755" s="107"/>
      <c r="E3755" s="65"/>
      <c r="F3755" s="64"/>
      <c r="G3755" s="64"/>
      <c r="H3755" s="64"/>
      <c r="I3755" s="70"/>
      <c r="J3755" s="70"/>
      <c r="K3755" s="110" t="str">
        <f>IF(H3755="","",IF($C$29="간이법","",FPR(H3755,I3755,J3755)))</f>
        <v/>
      </c>
      <c r="L3755" s="111" t="str">
        <f>IF(H3755="","",IF($C$29="상세법",FPV(H3755,K3755),IF(H3755="EI",4,IF(H3755="EO",5.2,IF(H3755="EQ",3.9,IF(H3755="ILF",7.5,IF(H3755="EIF",5.4)))))))</f>
        <v/>
      </c>
      <c r="M3755" s="112" t="str">
        <f t="shared" si="61"/>
        <v/>
      </c>
      <c r="N3755" s="113"/>
    </row>
    <row r="3756" spans="2:14">
      <c r="B3756" s="105"/>
      <c r="C3756" s="106"/>
      <c r="D3756" s="107"/>
      <c r="E3756" s="65"/>
      <c r="F3756" s="64"/>
      <c r="G3756" s="64"/>
      <c r="H3756" s="64"/>
      <c r="I3756" s="70"/>
      <c r="J3756" s="70"/>
      <c r="K3756" s="110" t="str">
        <f>IF(H3756="","",IF($C$29="간이법","",FPR(H3756,I3756,J3756)))</f>
        <v/>
      </c>
      <c r="L3756" s="111" t="str">
        <f>IF(H3756="","",IF($C$29="상세법",FPV(H3756,K3756),IF(H3756="EI",4,IF(H3756="EO",5.2,IF(H3756="EQ",3.9,IF(H3756="ILF",7.5,IF(H3756="EIF",5.4)))))))</f>
        <v/>
      </c>
      <c r="M3756" s="112" t="str">
        <f t="shared" si="61"/>
        <v/>
      </c>
      <c r="N3756" s="113"/>
    </row>
    <row r="3757" spans="2:14">
      <c r="B3757" s="105"/>
      <c r="C3757" s="106"/>
      <c r="D3757" s="107"/>
      <c r="E3757" s="65"/>
      <c r="F3757" s="64"/>
      <c r="G3757" s="64"/>
      <c r="H3757" s="64"/>
      <c r="I3757" s="70"/>
      <c r="J3757" s="70"/>
      <c r="K3757" s="110" t="str">
        <f>IF(H3757="","",IF($C$29="간이법","",FPR(H3757,I3757,J3757)))</f>
        <v/>
      </c>
      <c r="L3757" s="111" t="str">
        <f>IF(H3757="","",IF($C$29="상세법",FPV(H3757,K3757),IF(H3757="EI",4,IF(H3757="EO",5.2,IF(H3757="EQ",3.9,IF(H3757="ILF",7.5,IF(H3757="EIF",5.4)))))))</f>
        <v/>
      </c>
      <c r="M3757" s="112" t="str">
        <f t="shared" si="61"/>
        <v/>
      </c>
      <c r="N3757" s="113"/>
    </row>
    <row r="3758" spans="2:14">
      <c r="B3758" s="105"/>
      <c r="C3758" s="106"/>
      <c r="D3758" s="107"/>
      <c r="E3758" s="65"/>
      <c r="F3758" s="64"/>
      <c r="G3758" s="64"/>
      <c r="H3758" s="64"/>
      <c r="I3758" s="70"/>
      <c r="J3758" s="70"/>
      <c r="K3758" s="110" t="str">
        <f>IF(H3758="","",IF($C$29="간이법","",FPR(H3758,I3758,J3758)))</f>
        <v/>
      </c>
      <c r="L3758" s="111" t="str">
        <f>IF(H3758="","",IF($C$29="상세법",FPV(H3758,K3758),IF(H3758="EI",4,IF(H3758="EO",5.2,IF(H3758="EQ",3.9,IF(H3758="ILF",7.5,IF(H3758="EIF",5.4)))))))</f>
        <v/>
      </c>
      <c r="M3758" s="112" t="str">
        <f t="shared" si="61"/>
        <v/>
      </c>
      <c r="N3758" s="113"/>
    </row>
    <row r="3759" spans="2:14">
      <c r="B3759" s="105"/>
      <c r="C3759" s="106"/>
      <c r="D3759" s="107"/>
      <c r="E3759" s="65"/>
      <c r="F3759" s="64"/>
      <c r="G3759" s="64"/>
      <c r="H3759" s="64"/>
      <c r="I3759" s="70"/>
      <c r="J3759" s="70"/>
      <c r="K3759" s="110" t="str">
        <f>IF(H3759="","",IF($C$29="간이법","",FPR(H3759,I3759,J3759)))</f>
        <v/>
      </c>
      <c r="L3759" s="111" t="str">
        <f>IF(H3759="","",IF($C$29="상세법",FPV(H3759,K3759),IF(H3759="EI",4,IF(H3759="EO",5.2,IF(H3759="EQ",3.9,IF(H3759="ILF",7.5,IF(H3759="EIF",5.4)))))))</f>
        <v/>
      </c>
      <c r="M3759" s="112" t="str">
        <f t="shared" si="61"/>
        <v/>
      </c>
      <c r="N3759" s="113"/>
    </row>
    <row r="3760" spans="2:14">
      <c r="B3760" s="105"/>
      <c r="C3760" s="106"/>
      <c r="D3760" s="107"/>
      <c r="E3760" s="65"/>
      <c r="F3760" s="64"/>
      <c r="G3760" s="64"/>
      <c r="H3760" s="64"/>
      <c r="I3760" s="70"/>
      <c r="J3760" s="70"/>
      <c r="K3760" s="110" t="str">
        <f>IF(H3760="","",IF($C$29="간이법","",FPR(H3760,I3760,J3760)))</f>
        <v/>
      </c>
      <c r="L3760" s="111" t="str">
        <f>IF(H3760="","",IF($C$29="상세법",FPV(H3760,K3760),IF(H3760="EI",4,IF(H3760="EO",5.2,IF(H3760="EQ",3.9,IF(H3760="ILF",7.5,IF(H3760="EIF",5.4)))))))</f>
        <v/>
      </c>
      <c r="M3760" s="112" t="str">
        <f t="shared" si="61"/>
        <v/>
      </c>
      <c r="N3760" s="113"/>
    </row>
    <row r="3761" spans="2:14">
      <c r="B3761" s="105"/>
      <c r="C3761" s="106"/>
      <c r="D3761" s="107"/>
      <c r="E3761" s="65"/>
      <c r="F3761" s="64"/>
      <c r="G3761" s="64"/>
      <c r="H3761" s="64"/>
      <c r="I3761" s="70"/>
      <c r="J3761" s="70"/>
      <c r="K3761" s="110" t="str">
        <f>IF(H3761="","",IF($C$29="간이법","",FPR(H3761,I3761,J3761)))</f>
        <v/>
      </c>
      <c r="L3761" s="111" t="str">
        <f>IF(H3761="","",IF($C$29="상세법",FPV(H3761,K3761),IF(H3761="EI",4,IF(H3761="EO",5.2,IF(H3761="EQ",3.9,IF(H3761="ILF",7.5,IF(H3761="EIF",5.4)))))))</f>
        <v/>
      </c>
      <c r="M3761" s="112" t="str">
        <f t="shared" si="61"/>
        <v/>
      </c>
      <c r="N3761" s="113"/>
    </row>
    <row r="3762" spans="2:14">
      <c r="B3762" s="105"/>
      <c r="C3762" s="106"/>
      <c r="D3762" s="107"/>
      <c r="E3762" s="65"/>
      <c r="F3762" s="64"/>
      <c r="G3762" s="64"/>
      <c r="H3762" s="64"/>
      <c r="I3762" s="70"/>
      <c r="J3762" s="70"/>
      <c r="K3762" s="110" t="str">
        <f>IF(H3762="","",IF($C$29="간이법","",FPR(H3762,I3762,J3762)))</f>
        <v/>
      </c>
      <c r="L3762" s="111" t="str">
        <f>IF(H3762="","",IF($C$29="상세법",FPV(H3762,K3762),IF(H3762="EI",4,IF(H3762="EO",5.2,IF(H3762="EQ",3.9,IF(H3762="ILF",7.5,IF(H3762="EIF",5.4)))))))</f>
        <v/>
      </c>
      <c r="M3762" s="112" t="str">
        <f t="shared" si="61"/>
        <v/>
      </c>
      <c r="N3762" s="113"/>
    </row>
    <row r="3763" spans="2:14">
      <c r="B3763" s="105"/>
      <c r="C3763" s="106"/>
      <c r="D3763" s="107"/>
      <c r="E3763" s="65"/>
      <c r="F3763" s="64"/>
      <c r="G3763" s="64"/>
      <c r="H3763" s="64"/>
      <c r="I3763" s="70"/>
      <c r="J3763" s="70"/>
      <c r="K3763" s="110" t="str">
        <f>IF(H3763="","",IF($C$29="간이법","",FPR(H3763,I3763,J3763)))</f>
        <v/>
      </c>
      <c r="L3763" s="111" t="str">
        <f>IF(H3763="","",IF($C$29="상세법",FPV(H3763,K3763),IF(H3763="EI",4,IF(H3763="EO",5.2,IF(H3763="EQ",3.9,IF(H3763="ILF",7.5,IF(H3763="EIF",5.4)))))))</f>
        <v/>
      </c>
      <c r="M3763" s="112" t="str">
        <f t="shared" si="61"/>
        <v/>
      </c>
      <c r="N3763" s="113"/>
    </row>
    <row r="3764" spans="2:14">
      <c r="B3764" s="105"/>
      <c r="C3764" s="106"/>
      <c r="D3764" s="107"/>
      <c r="E3764" s="65"/>
      <c r="F3764" s="64"/>
      <c r="G3764" s="64"/>
      <c r="H3764" s="64"/>
      <c r="I3764" s="70"/>
      <c r="J3764" s="70"/>
      <c r="K3764" s="110" t="str">
        <f>IF(H3764="","",IF($C$29="간이법","",FPR(H3764,I3764,J3764)))</f>
        <v/>
      </c>
      <c r="L3764" s="111" t="str">
        <f>IF(H3764="","",IF($C$29="상세법",FPV(H3764,K3764),IF(H3764="EI",4,IF(H3764="EO",5.2,IF(H3764="EQ",3.9,IF(H3764="ILF",7.5,IF(H3764="EIF",5.4)))))))</f>
        <v/>
      </c>
      <c r="M3764" s="112" t="str">
        <f t="shared" si="61"/>
        <v/>
      </c>
      <c r="N3764" s="113"/>
    </row>
    <row r="3765" spans="2:14">
      <c r="B3765" s="105"/>
      <c r="C3765" s="106"/>
      <c r="D3765" s="107"/>
      <c r="E3765" s="65"/>
      <c r="F3765" s="64"/>
      <c r="G3765" s="64"/>
      <c r="H3765" s="64"/>
      <c r="I3765" s="70"/>
      <c r="J3765" s="70"/>
      <c r="K3765" s="110" t="str">
        <f>IF(H3765="","",IF($C$29="간이법","",FPR(H3765,I3765,J3765)))</f>
        <v/>
      </c>
      <c r="L3765" s="111" t="str">
        <f>IF(H3765="","",IF($C$29="상세법",FPV(H3765,K3765),IF(H3765="EI",4,IF(H3765="EO",5.2,IF(H3765="EQ",3.9,IF(H3765="ILF",7.5,IF(H3765="EIF",5.4)))))))</f>
        <v/>
      </c>
      <c r="M3765" s="112" t="str">
        <f t="shared" si="61"/>
        <v/>
      </c>
      <c r="N3765" s="113"/>
    </row>
    <row r="3766" spans="2:14">
      <c r="B3766" s="105"/>
      <c r="C3766" s="106"/>
      <c r="D3766" s="107"/>
      <c r="E3766" s="65"/>
      <c r="F3766" s="64"/>
      <c r="G3766" s="64"/>
      <c r="H3766" s="64"/>
      <c r="I3766" s="70"/>
      <c r="J3766" s="70"/>
      <c r="K3766" s="110" t="str">
        <f>IF(H3766="","",IF($C$29="간이법","",FPR(H3766,I3766,J3766)))</f>
        <v/>
      </c>
      <c r="L3766" s="111" t="str">
        <f>IF(H3766="","",IF($C$29="상세법",FPV(H3766,K3766),IF(H3766="EI",4,IF(H3766="EO",5.2,IF(H3766="EQ",3.9,IF(H3766="ILF",7.5,IF(H3766="EIF",5.4)))))))</f>
        <v/>
      </c>
      <c r="M3766" s="112" t="str">
        <f t="shared" si="61"/>
        <v/>
      </c>
      <c r="N3766" s="113"/>
    </row>
    <row r="3767" spans="2:14">
      <c r="B3767" s="105"/>
      <c r="C3767" s="106"/>
      <c r="D3767" s="107"/>
      <c r="E3767" s="65"/>
      <c r="F3767" s="64"/>
      <c r="G3767" s="64"/>
      <c r="H3767" s="64"/>
      <c r="I3767" s="70"/>
      <c r="J3767" s="70"/>
      <c r="K3767" s="110" t="str">
        <f>IF(H3767="","",IF($C$29="간이법","",FPR(H3767,I3767,J3767)))</f>
        <v/>
      </c>
      <c r="L3767" s="111" t="str">
        <f>IF(H3767="","",IF($C$29="상세법",FPV(H3767,K3767),IF(H3767="EI",4,IF(H3767="EO",5.2,IF(H3767="EQ",3.9,IF(H3767="ILF",7.5,IF(H3767="EIF",5.4)))))))</f>
        <v/>
      </c>
      <c r="M3767" s="112" t="str">
        <f t="shared" si="61"/>
        <v/>
      </c>
      <c r="N3767" s="113"/>
    </row>
    <row r="3768" spans="2:14">
      <c r="B3768" s="105"/>
      <c r="C3768" s="106"/>
      <c r="D3768" s="107"/>
      <c r="E3768" s="65"/>
      <c r="F3768" s="64"/>
      <c r="G3768" s="64"/>
      <c r="H3768" s="64"/>
      <c r="I3768" s="70"/>
      <c r="J3768" s="70"/>
      <c r="K3768" s="110" t="str">
        <f>IF(H3768="","",IF($C$29="간이법","",FPR(H3768,I3768,J3768)))</f>
        <v/>
      </c>
      <c r="L3768" s="111" t="str">
        <f>IF(H3768="","",IF($C$29="상세법",FPV(H3768,K3768),IF(H3768="EI",4,IF(H3768="EO",5.2,IF(H3768="EQ",3.9,IF(H3768="ILF",7.5,IF(H3768="EIF",5.4)))))))</f>
        <v/>
      </c>
      <c r="M3768" s="112" t="str">
        <f t="shared" si="61"/>
        <v/>
      </c>
      <c r="N3768" s="113"/>
    </row>
    <row r="3769" spans="2:14">
      <c r="B3769" s="105"/>
      <c r="C3769" s="106"/>
      <c r="D3769" s="107"/>
      <c r="E3769" s="65"/>
      <c r="F3769" s="64"/>
      <c r="G3769" s="64"/>
      <c r="H3769" s="64"/>
      <c r="I3769" s="70"/>
      <c r="J3769" s="70"/>
      <c r="K3769" s="110" t="str">
        <f>IF(H3769="","",IF($C$29="간이법","",FPR(H3769,I3769,J3769)))</f>
        <v/>
      </c>
      <c r="L3769" s="111" t="str">
        <f>IF(H3769="","",IF($C$29="상세법",FPV(H3769,K3769),IF(H3769="EI",4,IF(H3769="EO",5.2,IF(H3769="EQ",3.9,IF(H3769="ILF",7.5,IF(H3769="EIF",5.4)))))))</f>
        <v/>
      </c>
      <c r="M3769" s="112" t="str">
        <f t="shared" ref="M3769:M3832" si="62">IF(L3769="","",L3769*IF(G3769="상",0.7,IF(G3769="중",0.5,IF(G3769="하",0.2,1))))</f>
        <v/>
      </c>
      <c r="N3769" s="113"/>
    </row>
    <row r="3770" spans="2:14">
      <c r="B3770" s="105"/>
      <c r="C3770" s="106"/>
      <c r="D3770" s="107"/>
      <c r="E3770" s="65"/>
      <c r="F3770" s="64"/>
      <c r="G3770" s="64"/>
      <c r="H3770" s="64"/>
      <c r="I3770" s="70"/>
      <c r="J3770" s="70"/>
      <c r="K3770" s="110" t="str">
        <f>IF(H3770="","",IF($C$29="간이법","",FPR(H3770,I3770,J3770)))</f>
        <v/>
      </c>
      <c r="L3770" s="111" t="str">
        <f>IF(H3770="","",IF($C$29="상세법",FPV(H3770,K3770),IF(H3770="EI",4,IF(H3770="EO",5.2,IF(H3770="EQ",3.9,IF(H3770="ILF",7.5,IF(H3770="EIF",5.4)))))))</f>
        <v/>
      </c>
      <c r="M3770" s="112" t="str">
        <f t="shared" si="62"/>
        <v/>
      </c>
      <c r="N3770" s="113"/>
    </row>
    <row r="3771" spans="2:14">
      <c r="B3771" s="105"/>
      <c r="C3771" s="106"/>
      <c r="D3771" s="107"/>
      <c r="E3771" s="65"/>
      <c r="F3771" s="64"/>
      <c r="G3771" s="64"/>
      <c r="H3771" s="64"/>
      <c r="I3771" s="70"/>
      <c r="J3771" s="70"/>
      <c r="K3771" s="110" t="str">
        <f>IF(H3771="","",IF($C$29="간이법","",FPR(H3771,I3771,J3771)))</f>
        <v/>
      </c>
      <c r="L3771" s="111" t="str">
        <f>IF(H3771="","",IF($C$29="상세법",FPV(H3771,K3771),IF(H3771="EI",4,IF(H3771="EO",5.2,IF(H3771="EQ",3.9,IF(H3771="ILF",7.5,IF(H3771="EIF",5.4)))))))</f>
        <v/>
      </c>
      <c r="M3771" s="112" t="str">
        <f t="shared" si="62"/>
        <v/>
      </c>
      <c r="N3771" s="113"/>
    </row>
    <row r="3772" spans="2:14">
      <c r="B3772" s="105"/>
      <c r="C3772" s="106"/>
      <c r="D3772" s="107"/>
      <c r="E3772" s="65"/>
      <c r="F3772" s="64"/>
      <c r="G3772" s="64"/>
      <c r="H3772" s="64"/>
      <c r="I3772" s="70"/>
      <c r="J3772" s="70"/>
      <c r="K3772" s="110" t="str">
        <f>IF(H3772="","",IF($C$29="간이법","",FPR(H3772,I3772,J3772)))</f>
        <v/>
      </c>
      <c r="L3772" s="111" t="str">
        <f>IF(H3772="","",IF($C$29="상세법",FPV(H3772,K3772),IF(H3772="EI",4,IF(H3772="EO",5.2,IF(H3772="EQ",3.9,IF(H3772="ILF",7.5,IF(H3772="EIF",5.4)))))))</f>
        <v/>
      </c>
      <c r="M3772" s="112" t="str">
        <f t="shared" si="62"/>
        <v/>
      </c>
      <c r="N3772" s="113"/>
    </row>
    <row r="3773" spans="2:14">
      <c r="B3773" s="105"/>
      <c r="C3773" s="106"/>
      <c r="D3773" s="107"/>
      <c r="E3773" s="65"/>
      <c r="F3773" s="64"/>
      <c r="G3773" s="64"/>
      <c r="H3773" s="64"/>
      <c r="I3773" s="70"/>
      <c r="J3773" s="70"/>
      <c r="K3773" s="110" t="str">
        <f>IF(H3773="","",IF($C$29="간이법","",FPR(H3773,I3773,J3773)))</f>
        <v/>
      </c>
      <c r="L3773" s="111" t="str">
        <f>IF(H3773="","",IF($C$29="상세법",FPV(H3773,K3773),IF(H3773="EI",4,IF(H3773="EO",5.2,IF(H3773="EQ",3.9,IF(H3773="ILF",7.5,IF(H3773="EIF",5.4)))))))</f>
        <v/>
      </c>
      <c r="M3773" s="112" t="str">
        <f t="shared" si="62"/>
        <v/>
      </c>
      <c r="N3773" s="113"/>
    </row>
    <row r="3774" spans="2:14">
      <c r="B3774" s="105"/>
      <c r="C3774" s="106"/>
      <c r="D3774" s="107"/>
      <c r="E3774" s="65"/>
      <c r="F3774" s="64"/>
      <c r="G3774" s="64"/>
      <c r="H3774" s="64"/>
      <c r="I3774" s="70"/>
      <c r="J3774" s="70"/>
      <c r="K3774" s="110" t="str">
        <f>IF(H3774="","",IF($C$29="간이법","",FPR(H3774,I3774,J3774)))</f>
        <v/>
      </c>
      <c r="L3774" s="111" t="str">
        <f>IF(H3774="","",IF($C$29="상세법",FPV(H3774,K3774),IF(H3774="EI",4,IF(H3774="EO",5.2,IF(H3774="EQ",3.9,IF(H3774="ILF",7.5,IF(H3774="EIF",5.4)))))))</f>
        <v/>
      </c>
      <c r="M3774" s="112" t="str">
        <f t="shared" si="62"/>
        <v/>
      </c>
      <c r="N3774" s="113"/>
    </row>
    <row r="3775" spans="2:14">
      <c r="B3775" s="105"/>
      <c r="C3775" s="106"/>
      <c r="D3775" s="107"/>
      <c r="E3775" s="65"/>
      <c r="F3775" s="64"/>
      <c r="G3775" s="64"/>
      <c r="H3775" s="64"/>
      <c r="I3775" s="70"/>
      <c r="J3775" s="70"/>
      <c r="K3775" s="110" t="str">
        <f>IF(H3775="","",IF($C$29="간이법","",FPR(H3775,I3775,J3775)))</f>
        <v/>
      </c>
      <c r="L3775" s="111" t="str">
        <f>IF(H3775="","",IF($C$29="상세법",FPV(H3775,K3775),IF(H3775="EI",4,IF(H3775="EO",5.2,IF(H3775="EQ",3.9,IF(H3775="ILF",7.5,IF(H3775="EIF",5.4)))))))</f>
        <v/>
      </c>
      <c r="M3775" s="112" t="str">
        <f t="shared" si="62"/>
        <v/>
      </c>
      <c r="N3775" s="113"/>
    </row>
    <row r="3776" spans="2:14">
      <c r="B3776" s="105"/>
      <c r="C3776" s="106"/>
      <c r="D3776" s="107"/>
      <c r="E3776" s="65"/>
      <c r="F3776" s="64"/>
      <c r="G3776" s="64"/>
      <c r="H3776" s="64"/>
      <c r="I3776" s="70"/>
      <c r="J3776" s="70"/>
      <c r="K3776" s="110" t="str">
        <f>IF(H3776="","",IF($C$29="간이법","",FPR(H3776,I3776,J3776)))</f>
        <v/>
      </c>
      <c r="L3776" s="111" t="str">
        <f>IF(H3776="","",IF($C$29="상세법",FPV(H3776,K3776),IF(H3776="EI",4,IF(H3776="EO",5.2,IF(H3776="EQ",3.9,IF(H3776="ILF",7.5,IF(H3776="EIF",5.4)))))))</f>
        <v/>
      </c>
      <c r="M3776" s="112" t="str">
        <f t="shared" si="62"/>
        <v/>
      </c>
      <c r="N3776" s="113"/>
    </row>
    <row r="3777" spans="2:14">
      <c r="B3777" s="105"/>
      <c r="C3777" s="106"/>
      <c r="D3777" s="107"/>
      <c r="E3777" s="65"/>
      <c r="F3777" s="64"/>
      <c r="G3777" s="64"/>
      <c r="H3777" s="64"/>
      <c r="I3777" s="70"/>
      <c r="J3777" s="70"/>
      <c r="K3777" s="110" t="str">
        <f>IF(H3777="","",IF($C$29="간이법","",FPR(H3777,I3777,J3777)))</f>
        <v/>
      </c>
      <c r="L3777" s="111" t="str">
        <f>IF(H3777="","",IF($C$29="상세법",FPV(H3777,K3777),IF(H3777="EI",4,IF(H3777="EO",5.2,IF(H3777="EQ",3.9,IF(H3777="ILF",7.5,IF(H3777="EIF",5.4)))))))</f>
        <v/>
      </c>
      <c r="M3777" s="112" t="str">
        <f t="shared" si="62"/>
        <v/>
      </c>
      <c r="N3777" s="113"/>
    </row>
    <row r="3778" spans="2:14">
      <c r="B3778" s="105"/>
      <c r="C3778" s="106"/>
      <c r="D3778" s="107"/>
      <c r="E3778" s="65"/>
      <c r="F3778" s="64"/>
      <c r="G3778" s="64"/>
      <c r="H3778" s="64"/>
      <c r="I3778" s="70"/>
      <c r="J3778" s="70"/>
      <c r="K3778" s="110" t="str">
        <f>IF(H3778="","",IF($C$29="간이법","",FPR(H3778,I3778,J3778)))</f>
        <v/>
      </c>
      <c r="L3778" s="111" t="str">
        <f>IF(H3778="","",IF($C$29="상세법",FPV(H3778,K3778),IF(H3778="EI",4,IF(H3778="EO",5.2,IF(H3778="EQ",3.9,IF(H3778="ILF",7.5,IF(H3778="EIF",5.4)))))))</f>
        <v/>
      </c>
      <c r="M3778" s="112" t="str">
        <f t="shared" si="62"/>
        <v/>
      </c>
      <c r="N3778" s="113"/>
    </row>
    <row r="3779" spans="2:14">
      <c r="B3779" s="105"/>
      <c r="C3779" s="106"/>
      <c r="D3779" s="107"/>
      <c r="E3779" s="65"/>
      <c r="F3779" s="64"/>
      <c r="G3779" s="64"/>
      <c r="H3779" s="64"/>
      <c r="I3779" s="70"/>
      <c r="J3779" s="70"/>
      <c r="K3779" s="110" t="str">
        <f>IF(H3779="","",IF($C$29="간이법","",FPR(H3779,I3779,J3779)))</f>
        <v/>
      </c>
      <c r="L3779" s="111" t="str">
        <f>IF(H3779="","",IF($C$29="상세법",FPV(H3779,K3779),IF(H3779="EI",4,IF(H3779="EO",5.2,IF(H3779="EQ",3.9,IF(H3779="ILF",7.5,IF(H3779="EIF",5.4)))))))</f>
        <v/>
      </c>
      <c r="M3779" s="112" t="str">
        <f t="shared" si="62"/>
        <v/>
      </c>
      <c r="N3779" s="113"/>
    </row>
    <row r="3780" spans="2:14">
      <c r="B3780" s="105"/>
      <c r="C3780" s="106"/>
      <c r="D3780" s="107"/>
      <c r="E3780" s="65"/>
      <c r="F3780" s="64"/>
      <c r="G3780" s="64"/>
      <c r="H3780" s="64"/>
      <c r="I3780" s="70"/>
      <c r="J3780" s="70"/>
      <c r="K3780" s="110" t="str">
        <f>IF(H3780="","",IF($C$29="간이법","",FPR(H3780,I3780,J3780)))</f>
        <v/>
      </c>
      <c r="L3780" s="111" t="str">
        <f>IF(H3780="","",IF($C$29="상세법",FPV(H3780,K3780),IF(H3780="EI",4,IF(H3780="EO",5.2,IF(H3780="EQ",3.9,IF(H3780="ILF",7.5,IF(H3780="EIF",5.4)))))))</f>
        <v/>
      </c>
      <c r="M3780" s="112" t="str">
        <f t="shared" si="62"/>
        <v/>
      </c>
      <c r="N3780" s="113"/>
    </row>
    <row r="3781" spans="2:14">
      <c r="B3781" s="105"/>
      <c r="C3781" s="106"/>
      <c r="D3781" s="107"/>
      <c r="E3781" s="65"/>
      <c r="F3781" s="64"/>
      <c r="G3781" s="64"/>
      <c r="H3781" s="64"/>
      <c r="I3781" s="70"/>
      <c r="J3781" s="70"/>
      <c r="K3781" s="110" t="str">
        <f>IF(H3781="","",IF($C$29="간이법","",FPR(H3781,I3781,J3781)))</f>
        <v/>
      </c>
      <c r="L3781" s="111" t="str">
        <f>IF(H3781="","",IF($C$29="상세법",FPV(H3781,K3781),IF(H3781="EI",4,IF(H3781="EO",5.2,IF(H3781="EQ",3.9,IF(H3781="ILF",7.5,IF(H3781="EIF",5.4)))))))</f>
        <v/>
      </c>
      <c r="M3781" s="112" t="str">
        <f t="shared" si="62"/>
        <v/>
      </c>
      <c r="N3781" s="113"/>
    </row>
    <row r="3782" spans="2:14">
      <c r="B3782" s="105"/>
      <c r="C3782" s="106"/>
      <c r="D3782" s="107"/>
      <c r="E3782" s="65"/>
      <c r="F3782" s="64"/>
      <c r="G3782" s="64"/>
      <c r="H3782" s="64"/>
      <c r="I3782" s="70"/>
      <c r="J3782" s="70"/>
      <c r="K3782" s="110" t="str">
        <f>IF(H3782="","",IF($C$29="간이법","",FPR(H3782,I3782,J3782)))</f>
        <v/>
      </c>
      <c r="L3782" s="111" t="str">
        <f>IF(H3782="","",IF($C$29="상세법",FPV(H3782,K3782),IF(H3782="EI",4,IF(H3782="EO",5.2,IF(H3782="EQ",3.9,IF(H3782="ILF",7.5,IF(H3782="EIF",5.4)))))))</f>
        <v/>
      </c>
      <c r="M3782" s="112" t="str">
        <f t="shared" si="62"/>
        <v/>
      </c>
      <c r="N3782" s="113"/>
    </row>
    <row r="3783" spans="2:14">
      <c r="B3783" s="105"/>
      <c r="C3783" s="106"/>
      <c r="D3783" s="107"/>
      <c r="E3783" s="65"/>
      <c r="F3783" s="64"/>
      <c r="G3783" s="64"/>
      <c r="H3783" s="64"/>
      <c r="I3783" s="70"/>
      <c r="J3783" s="70"/>
      <c r="K3783" s="110" t="str">
        <f>IF(H3783="","",IF($C$29="간이법","",FPR(H3783,I3783,J3783)))</f>
        <v/>
      </c>
      <c r="L3783" s="111" t="str">
        <f>IF(H3783="","",IF($C$29="상세법",FPV(H3783,K3783),IF(H3783="EI",4,IF(H3783="EO",5.2,IF(H3783="EQ",3.9,IF(H3783="ILF",7.5,IF(H3783="EIF",5.4)))))))</f>
        <v/>
      </c>
      <c r="M3783" s="112" t="str">
        <f t="shared" si="62"/>
        <v/>
      </c>
      <c r="N3783" s="113"/>
    </row>
    <row r="3784" spans="2:14">
      <c r="B3784" s="105"/>
      <c r="C3784" s="106"/>
      <c r="D3784" s="107"/>
      <c r="E3784" s="65"/>
      <c r="F3784" s="64"/>
      <c r="G3784" s="64"/>
      <c r="H3784" s="64"/>
      <c r="I3784" s="70"/>
      <c r="J3784" s="70"/>
      <c r="K3784" s="110" t="str">
        <f>IF(H3784="","",IF($C$29="간이법","",FPR(H3784,I3784,J3784)))</f>
        <v/>
      </c>
      <c r="L3784" s="111" t="str">
        <f>IF(H3784="","",IF($C$29="상세법",FPV(H3784,K3784),IF(H3784="EI",4,IF(H3784="EO",5.2,IF(H3784="EQ",3.9,IF(H3784="ILF",7.5,IF(H3784="EIF",5.4)))))))</f>
        <v/>
      </c>
      <c r="M3784" s="112" t="str">
        <f t="shared" si="62"/>
        <v/>
      </c>
      <c r="N3784" s="113"/>
    </row>
    <row r="3785" spans="2:14">
      <c r="B3785" s="105"/>
      <c r="C3785" s="106"/>
      <c r="D3785" s="107"/>
      <c r="E3785" s="65"/>
      <c r="F3785" s="64"/>
      <c r="G3785" s="64"/>
      <c r="H3785" s="64"/>
      <c r="I3785" s="70"/>
      <c r="J3785" s="70"/>
      <c r="K3785" s="110" t="str">
        <f>IF(H3785="","",IF($C$29="간이법","",FPR(H3785,I3785,J3785)))</f>
        <v/>
      </c>
      <c r="L3785" s="111" t="str">
        <f>IF(H3785="","",IF($C$29="상세법",FPV(H3785,K3785),IF(H3785="EI",4,IF(H3785="EO",5.2,IF(H3785="EQ",3.9,IF(H3785="ILF",7.5,IF(H3785="EIF",5.4)))))))</f>
        <v/>
      </c>
      <c r="M3785" s="112" t="str">
        <f t="shared" si="62"/>
        <v/>
      </c>
      <c r="N3785" s="113"/>
    </row>
    <row r="3786" spans="2:14">
      <c r="B3786" s="105"/>
      <c r="C3786" s="106"/>
      <c r="D3786" s="107"/>
      <c r="E3786" s="65"/>
      <c r="F3786" s="64"/>
      <c r="G3786" s="64"/>
      <c r="H3786" s="64"/>
      <c r="I3786" s="70"/>
      <c r="J3786" s="70"/>
      <c r="K3786" s="110" t="str">
        <f>IF(H3786="","",IF($C$29="간이법","",FPR(H3786,I3786,J3786)))</f>
        <v/>
      </c>
      <c r="L3786" s="111" t="str">
        <f>IF(H3786="","",IF($C$29="상세법",FPV(H3786,K3786),IF(H3786="EI",4,IF(H3786="EO",5.2,IF(H3786="EQ",3.9,IF(H3786="ILF",7.5,IF(H3786="EIF",5.4)))))))</f>
        <v/>
      </c>
      <c r="M3786" s="112" t="str">
        <f t="shared" si="62"/>
        <v/>
      </c>
      <c r="N3786" s="113"/>
    </row>
    <row r="3787" spans="2:14">
      <c r="B3787" s="105"/>
      <c r="C3787" s="106"/>
      <c r="D3787" s="107"/>
      <c r="E3787" s="65"/>
      <c r="F3787" s="64"/>
      <c r="G3787" s="64"/>
      <c r="H3787" s="64"/>
      <c r="I3787" s="70"/>
      <c r="J3787" s="70"/>
      <c r="K3787" s="110" t="str">
        <f>IF(H3787="","",IF($C$29="간이법","",FPR(H3787,I3787,J3787)))</f>
        <v/>
      </c>
      <c r="L3787" s="111" t="str">
        <f>IF(H3787="","",IF($C$29="상세법",FPV(H3787,K3787),IF(H3787="EI",4,IF(H3787="EO",5.2,IF(H3787="EQ",3.9,IF(H3787="ILF",7.5,IF(H3787="EIF",5.4)))))))</f>
        <v/>
      </c>
      <c r="M3787" s="112" t="str">
        <f t="shared" si="62"/>
        <v/>
      </c>
      <c r="N3787" s="113"/>
    </row>
    <row r="3788" spans="2:14">
      <c r="B3788" s="105"/>
      <c r="C3788" s="106"/>
      <c r="D3788" s="107"/>
      <c r="E3788" s="65"/>
      <c r="F3788" s="64"/>
      <c r="G3788" s="64"/>
      <c r="H3788" s="64"/>
      <c r="I3788" s="70"/>
      <c r="J3788" s="70"/>
      <c r="K3788" s="110" t="str">
        <f>IF(H3788="","",IF($C$29="간이법","",FPR(H3788,I3788,J3788)))</f>
        <v/>
      </c>
      <c r="L3788" s="111" t="str">
        <f>IF(H3788="","",IF($C$29="상세법",FPV(H3788,K3788),IF(H3788="EI",4,IF(H3788="EO",5.2,IF(H3788="EQ",3.9,IF(H3788="ILF",7.5,IF(H3788="EIF",5.4)))))))</f>
        <v/>
      </c>
      <c r="M3788" s="112" t="str">
        <f t="shared" si="62"/>
        <v/>
      </c>
      <c r="N3788" s="113"/>
    </row>
    <row r="3789" spans="2:14">
      <c r="B3789" s="105"/>
      <c r="C3789" s="106"/>
      <c r="D3789" s="107"/>
      <c r="E3789" s="65"/>
      <c r="F3789" s="64"/>
      <c r="G3789" s="64"/>
      <c r="H3789" s="64"/>
      <c r="I3789" s="70"/>
      <c r="J3789" s="70"/>
      <c r="K3789" s="110" t="str">
        <f>IF(H3789="","",IF($C$29="간이법","",FPR(H3789,I3789,J3789)))</f>
        <v/>
      </c>
      <c r="L3789" s="111" t="str">
        <f>IF(H3789="","",IF($C$29="상세법",FPV(H3789,K3789),IF(H3789="EI",4,IF(H3789="EO",5.2,IF(H3789="EQ",3.9,IF(H3789="ILF",7.5,IF(H3789="EIF",5.4)))))))</f>
        <v/>
      </c>
      <c r="M3789" s="112" t="str">
        <f t="shared" si="62"/>
        <v/>
      </c>
      <c r="N3789" s="113"/>
    </row>
    <row r="3790" spans="2:14">
      <c r="B3790" s="105"/>
      <c r="C3790" s="106"/>
      <c r="D3790" s="107"/>
      <c r="E3790" s="65"/>
      <c r="F3790" s="64"/>
      <c r="G3790" s="64"/>
      <c r="H3790" s="64"/>
      <c r="I3790" s="70"/>
      <c r="J3790" s="70"/>
      <c r="K3790" s="110" t="str">
        <f>IF(H3790="","",IF($C$29="간이법","",FPR(H3790,I3790,J3790)))</f>
        <v/>
      </c>
      <c r="L3790" s="111" t="str">
        <f>IF(H3790="","",IF($C$29="상세법",FPV(H3790,K3790),IF(H3790="EI",4,IF(H3790="EO",5.2,IF(H3790="EQ",3.9,IF(H3790="ILF",7.5,IF(H3790="EIF",5.4)))))))</f>
        <v/>
      </c>
      <c r="M3790" s="112" t="str">
        <f t="shared" si="62"/>
        <v/>
      </c>
      <c r="N3790" s="113"/>
    </row>
    <row r="3791" spans="2:14">
      <c r="B3791" s="105"/>
      <c r="C3791" s="106"/>
      <c r="D3791" s="107"/>
      <c r="E3791" s="65"/>
      <c r="F3791" s="64"/>
      <c r="G3791" s="64"/>
      <c r="H3791" s="64"/>
      <c r="I3791" s="70"/>
      <c r="J3791" s="70"/>
      <c r="K3791" s="110" t="str">
        <f>IF(H3791="","",IF($C$29="간이법","",FPR(H3791,I3791,J3791)))</f>
        <v/>
      </c>
      <c r="L3791" s="111" t="str">
        <f>IF(H3791="","",IF($C$29="상세법",FPV(H3791,K3791),IF(H3791="EI",4,IF(H3791="EO",5.2,IF(H3791="EQ",3.9,IF(H3791="ILF",7.5,IF(H3791="EIF",5.4)))))))</f>
        <v/>
      </c>
      <c r="M3791" s="112" t="str">
        <f t="shared" si="62"/>
        <v/>
      </c>
      <c r="N3791" s="113"/>
    </row>
    <row r="3792" spans="2:14">
      <c r="B3792" s="105"/>
      <c r="C3792" s="106"/>
      <c r="D3792" s="107"/>
      <c r="E3792" s="65"/>
      <c r="F3792" s="64"/>
      <c r="G3792" s="64"/>
      <c r="H3792" s="64"/>
      <c r="I3792" s="70"/>
      <c r="J3792" s="70"/>
      <c r="K3792" s="110" t="str">
        <f>IF(H3792="","",IF($C$29="간이법","",FPR(H3792,I3792,J3792)))</f>
        <v/>
      </c>
      <c r="L3792" s="111" t="str">
        <f>IF(H3792="","",IF($C$29="상세법",FPV(H3792,K3792),IF(H3792="EI",4,IF(H3792="EO",5.2,IF(H3792="EQ",3.9,IF(H3792="ILF",7.5,IF(H3792="EIF",5.4)))))))</f>
        <v/>
      </c>
      <c r="M3792" s="112" t="str">
        <f t="shared" si="62"/>
        <v/>
      </c>
      <c r="N3792" s="113"/>
    </row>
    <row r="3793" spans="2:14">
      <c r="B3793" s="105"/>
      <c r="C3793" s="106"/>
      <c r="D3793" s="107"/>
      <c r="E3793" s="65"/>
      <c r="F3793" s="64"/>
      <c r="G3793" s="64"/>
      <c r="H3793" s="64"/>
      <c r="I3793" s="70"/>
      <c r="J3793" s="70"/>
      <c r="K3793" s="110" t="str">
        <f>IF(H3793="","",IF($C$29="간이법","",FPR(H3793,I3793,J3793)))</f>
        <v/>
      </c>
      <c r="L3793" s="111" t="str">
        <f>IF(H3793="","",IF($C$29="상세법",FPV(H3793,K3793),IF(H3793="EI",4,IF(H3793="EO",5.2,IF(H3793="EQ",3.9,IF(H3793="ILF",7.5,IF(H3793="EIF",5.4)))))))</f>
        <v/>
      </c>
      <c r="M3793" s="112" t="str">
        <f t="shared" si="62"/>
        <v/>
      </c>
      <c r="N3793" s="113"/>
    </row>
    <row r="3794" spans="2:14">
      <c r="B3794" s="105"/>
      <c r="C3794" s="106"/>
      <c r="D3794" s="107"/>
      <c r="E3794" s="65"/>
      <c r="F3794" s="64"/>
      <c r="G3794" s="64"/>
      <c r="H3794" s="64"/>
      <c r="I3794" s="70"/>
      <c r="J3794" s="70"/>
      <c r="K3794" s="110" t="str">
        <f>IF(H3794="","",IF($C$29="간이법","",FPR(H3794,I3794,J3794)))</f>
        <v/>
      </c>
      <c r="L3794" s="111" t="str">
        <f>IF(H3794="","",IF($C$29="상세법",FPV(H3794,K3794),IF(H3794="EI",4,IF(H3794="EO",5.2,IF(H3794="EQ",3.9,IF(H3794="ILF",7.5,IF(H3794="EIF",5.4)))))))</f>
        <v/>
      </c>
      <c r="M3794" s="112" t="str">
        <f t="shared" si="62"/>
        <v/>
      </c>
      <c r="N3794" s="113"/>
    </row>
    <row r="3795" spans="2:14">
      <c r="B3795" s="105"/>
      <c r="C3795" s="106"/>
      <c r="D3795" s="107"/>
      <c r="E3795" s="65"/>
      <c r="F3795" s="64"/>
      <c r="G3795" s="64"/>
      <c r="H3795" s="64"/>
      <c r="I3795" s="70"/>
      <c r="J3795" s="70"/>
      <c r="K3795" s="110" t="str">
        <f>IF(H3795="","",IF($C$29="간이법","",FPR(H3795,I3795,J3795)))</f>
        <v/>
      </c>
      <c r="L3795" s="111" t="str">
        <f>IF(H3795="","",IF($C$29="상세법",FPV(H3795,K3795),IF(H3795="EI",4,IF(H3795="EO",5.2,IF(H3795="EQ",3.9,IF(H3795="ILF",7.5,IF(H3795="EIF",5.4)))))))</f>
        <v/>
      </c>
      <c r="M3795" s="112" t="str">
        <f t="shared" si="62"/>
        <v/>
      </c>
      <c r="N3795" s="113"/>
    </row>
    <row r="3796" spans="2:14">
      <c r="B3796" s="105"/>
      <c r="C3796" s="106"/>
      <c r="D3796" s="107"/>
      <c r="E3796" s="65"/>
      <c r="F3796" s="64"/>
      <c r="G3796" s="64"/>
      <c r="H3796" s="64"/>
      <c r="I3796" s="70"/>
      <c r="J3796" s="70"/>
      <c r="K3796" s="110" t="str">
        <f>IF(H3796="","",IF($C$29="간이법","",FPR(H3796,I3796,J3796)))</f>
        <v/>
      </c>
      <c r="L3796" s="111" t="str">
        <f>IF(H3796="","",IF($C$29="상세법",FPV(H3796,K3796),IF(H3796="EI",4,IF(H3796="EO",5.2,IF(H3796="EQ",3.9,IF(H3796="ILF",7.5,IF(H3796="EIF",5.4)))))))</f>
        <v/>
      </c>
      <c r="M3796" s="112" t="str">
        <f t="shared" si="62"/>
        <v/>
      </c>
      <c r="N3796" s="113"/>
    </row>
    <row r="3797" spans="2:14">
      <c r="B3797" s="105"/>
      <c r="C3797" s="106"/>
      <c r="D3797" s="107"/>
      <c r="E3797" s="65"/>
      <c r="F3797" s="64"/>
      <c r="G3797" s="64"/>
      <c r="H3797" s="64"/>
      <c r="I3797" s="70"/>
      <c r="J3797" s="70"/>
      <c r="K3797" s="110" t="str">
        <f>IF(H3797="","",IF($C$29="간이법","",FPR(H3797,I3797,J3797)))</f>
        <v/>
      </c>
      <c r="L3797" s="111" t="str">
        <f>IF(H3797="","",IF($C$29="상세법",FPV(H3797,K3797),IF(H3797="EI",4,IF(H3797="EO",5.2,IF(H3797="EQ",3.9,IF(H3797="ILF",7.5,IF(H3797="EIF",5.4)))))))</f>
        <v/>
      </c>
      <c r="M3797" s="112" t="str">
        <f t="shared" si="62"/>
        <v/>
      </c>
      <c r="N3797" s="113"/>
    </row>
    <row r="3798" spans="2:14">
      <c r="B3798" s="105"/>
      <c r="C3798" s="106"/>
      <c r="D3798" s="107"/>
      <c r="E3798" s="65"/>
      <c r="F3798" s="64"/>
      <c r="G3798" s="64"/>
      <c r="H3798" s="64"/>
      <c r="I3798" s="70"/>
      <c r="J3798" s="70"/>
      <c r="K3798" s="110" t="str">
        <f>IF(H3798="","",IF($C$29="간이법","",FPR(H3798,I3798,J3798)))</f>
        <v/>
      </c>
      <c r="L3798" s="111" t="str">
        <f>IF(H3798="","",IF($C$29="상세법",FPV(H3798,K3798),IF(H3798="EI",4,IF(H3798="EO",5.2,IF(H3798="EQ",3.9,IF(H3798="ILF",7.5,IF(H3798="EIF",5.4)))))))</f>
        <v/>
      </c>
      <c r="M3798" s="112" t="str">
        <f t="shared" si="62"/>
        <v/>
      </c>
      <c r="N3798" s="113"/>
    </row>
    <row r="3799" spans="2:14">
      <c r="B3799" s="105"/>
      <c r="C3799" s="106"/>
      <c r="D3799" s="107"/>
      <c r="E3799" s="65"/>
      <c r="F3799" s="64"/>
      <c r="G3799" s="64"/>
      <c r="H3799" s="64"/>
      <c r="I3799" s="70"/>
      <c r="J3799" s="70"/>
      <c r="K3799" s="110" t="str">
        <f>IF(H3799="","",IF($C$29="간이법","",FPR(H3799,I3799,J3799)))</f>
        <v/>
      </c>
      <c r="L3799" s="111" t="str">
        <f>IF(H3799="","",IF($C$29="상세법",FPV(H3799,K3799),IF(H3799="EI",4,IF(H3799="EO",5.2,IF(H3799="EQ",3.9,IF(H3799="ILF",7.5,IF(H3799="EIF",5.4)))))))</f>
        <v/>
      </c>
      <c r="M3799" s="112" t="str">
        <f t="shared" si="62"/>
        <v/>
      </c>
      <c r="N3799" s="113"/>
    </row>
    <row r="3800" spans="2:14">
      <c r="B3800" s="105"/>
      <c r="C3800" s="106"/>
      <c r="D3800" s="107"/>
      <c r="E3800" s="65"/>
      <c r="F3800" s="64"/>
      <c r="G3800" s="64"/>
      <c r="H3800" s="64"/>
      <c r="I3800" s="70"/>
      <c r="J3800" s="70"/>
      <c r="K3800" s="110" t="str">
        <f>IF(H3800="","",IF($C$29="간이법","",FPR(H3800,I3800,J3800)))</f>
        <v/>
      </c>
      <c r="L3800" s="111" t="str">
        <f>IF(H3800="","",IF($C$29="상세법",FPV(H3800,K3800),IF(H3800="EI",4,IF(H3800="EO",5.2,IF(H3800="EQ",3.9,IF(H3800="ILF",7.5,IF(H3800="EIF",5.4)))))))</f>
        <v/>
      </c>
      <c r="M3800" s="112" t="str">
        <f t="shared" si="62"/>
        <v/>
      </c>
      <c r="N3800" s="113"/>
    </row>
    <row r="3801" spans="2:14">
      <c r="B3801" s="105"/>
      <c r="C3801" s="106"/>
      <c r="D3801" s="107"/>
      <c r="E3801" s="65"/>
      <c r="F3801" s="64"/>
      <c r="G3801" s="64"/>
      <c r="H3801" s="64"/>
      <c r="I3801" s="70"/>
      <c r="J3801" s="70"/>
      <c r="K3801" s="110" t="str">
        <f>IF(H3801="","",IF($C$29="간이법","",FPR(H3801,I3801,J3801)))</f>
        <v/>
      </c>
      <c r="L3801" s="111" t="str">
        <f>IF(H3801="","",IF($C$29="상세법",FPV(H3801,K3801),IF(H3801="EI",4,IF(H3801="EO",5.2,IF(H3801="EQ",3.9,IF(H3801="ILF",7.5,IF(H3801="EIF",5.4)))))))</f>
        <v/>
      </c>
      <c r="M3801" s="112" t="str">
        <f t="shared" si="62"/>
        <v/>
      </c>
      <c r="N3801" s="113"/>
    </row>
    <row r="3802" spans="2:14">
      <c r="B3802" s="105"/>
      <c r="C3802" s="106"/>
      <c r="D3802" s="107"/>
      <c r="E3802" s="65"/>
      <c r="F3802" s="64"/>
      <c r="G3802" s="64"/>
      <c r="H3802" s="64"/>
      <c r="I3802" s="70"/>
      <c r="J3802" s="70"/>
      <c r="K3802" s="110" t="str">
        <f>IF(H3802="","",IF($C$29="간이법","",FPR(H3802,I3802,J3802)))</f>
        <v/>
      </c>
      <c r="L3802" s="111" t="str">
        <f>IF(H3802="","",IF($C$29="상세법",FPV(H3802,K3802),IF(H3802="EI",4,IF(H3802="EO",5.2,IF(H3802="EQ",3.9,IF(H3802="ILF",7.5,IF(H3802="EIF",5.4)))))))</f>
        <v/>
      </c>
      <c r="M3802" s="112" t="str">
        <f t="shared" si="62"/>
        <v/>
      </c>
      <c r="N3802" s="113"/>
    </row>
    <row r="3803" spans="2:14">
      <c r="B3803" s="105"/>
      <c r="C3803" s="106"/>
      <c r="D3803" s="107"/>
      <c r="E3803" s="65"/>
      <c r="F3803" s="64"/>
      <c r="G3803" s="64"/>
      <c r="H3803" s="64"/>
      <c r="I3803" s="70"/>
      <c r="J3803" s="70"/>
      <c r="K3803" s="110" t="str">
        <f>IF(H3803="","",IF($C$29="간이법","",FPR(H3803,I3803,J3803)))</f>
        <v/>
      </c>
      <c r="L3803" s="111" t="str">
        <f>IF(H3803="","",IF($C$29="상세법",FPV(H3803,K3803),IF(H3803="EI",4,IF(H3803="EO",5.2,IF(H3803="EQ",3.9,IF(H3803="ILF",7.5,IF(H3803="EIF",5.4)))))))</f>
        <v/>
      </c>
      <c r="M3803" s="112" t="str">
        <f t="shared" si="62"/>
        <v/>
      </c>
      <c r="N3803" s="113"/>
    </row>
    <row r="3804" spans="2:14">
      <c r="B3804" s="105"/>
      <c r="C3804" s="106"/>
      <c r="D3804" s="107"/>
      <c r="E3804" s="65"/>
      <c r="F3804" s="64"/>
      <c r="G3804" s="64"/>
      <c r="H3804" s="64"/>
      <c r="I3804" s="70"/>
      <c r="J3804" s="70"/>
      <c r="K3804" s="110" t="str">
        <f>IF(H3804="","",IF($C$29="간이법","",FPR(H3804,I3804,J3804)))</f>
        <v/>
      </c>
      <c r="L3804" s="111" t="str">
        <f>IF(H3804="","",IF($C$29="상세법",FPV(H3804,K3804),IF(H3804="EI",4,IF(H3804="EO",5.2,IF(H3804="EQ",3.9,IF(H3804="ILF",7.5,IF(H3804="EIF",5.4)))))))</f>
        <v/>
      </c>
      <c r="M3804" s="112" t="str">
        <f t="shared" si="62"/>
        <v/>
      </c>
      <c r="N3804" s="113"/>
    </row>
    <row r="3805" spans="2:14">
      <c r="B3805" s="105"/>
      <c r="C3805" s="106"/>
      <c r="D3805" s="107"/>
      <c r="E3805" s="65"/>
      <c r="F3805" s="64"/>
      <c r="G3805" s="64"/>
      <c r="H3805" s="64"/>
      <c r="I3805" s="70"/>
      <c r="J3805" s="70"/>
      <c r="K3805" s="110" t="str">
        <f>IF(H3805="","",IF($C$29="간이법","",FPR(H3805,I3805,J3805)))</f>
        <v/>
      </c>
      <c r="L3805" s="111" t="str">
        <f>IF(H3805="","",IF($C$29="상세법",FPV(H3805,K3805),IF(H3805="EI",4,IF(H3805="EO",5.2,IF(H3805="EQ",3.9,IF(H3805="ILF",7.5,IF(H3805="EIF",5.4)))))))</f>
        <v/>
      </c>
      <c r="M3805" s="112" t="str">
        <f t="shared" si="62"/>
        <v/>
      </c>
      <c r="N3805" s="113"/>
    </row>
    <row r="3806" spans="2:14">
      <c r="B3806" s="105"/>
      <c r="C3806" s="106"/>
      <c r="D3806" s="107"/>
      <c r="E3806" s="65"/>
      <c r="F3806" s="64"/>
      <c r="G3806" s="64"/>
      <c r="H3806" s="64"/>
      <c r="I3806" s="70"/>
      <c r="J3806" s="70"/>
      <c r="K3806" s="110" t="str">
        <f>IF(H3806="","",IF($C$29="간이법","",FPR(H3806,I3806,J3806)))</f>
        <v/>
      </c>
      <c r="L3806" s="111" t="str">
        <f>IF(H3806="","",IF($C$29="상세법",FPV(H3806,K3806),IF(H3806="EI",4,IF(H3806="EO",5.2,IF(H3806="EQ",3.9,IF(H3806="ILF",7.5,IF(H3806="EIF",5.4)))))))</f>
        <v/>
      </c>
      <c r="M3806" s="112" t="str">
        <f t="shared" si="62"/>
        <v/>
      </c>
      <c r="N3806" s="113"/>
    </row>
    <row r="3807" spans="2:14">
      <c r="B3807" s="105"/>
      <c r="C3807" s="106"/>
      <c r="D3807" s="107"/>
      <c r="E3807" s="65"/>
      <c r="F3807" s="64"/>
      <c r="G3807" s="64"/>
      <c r="H3807" s="64"/>
      <c r="I3807" s="70"/>
      <c r="J3807" s="70"/>
      <c r="K3807" s="110" t="str">
        <f>IF(H3807="","",IF($C$29="간이법","",FPR(H3807,I3807,J3807)))</f>
        <v/>
      </c>
      <c r="L3807" s="111" t="str">
        <f>IF(H3807="","",IF($C$29="상세법",FPV(H3807,K3807),IF(H3807="EI",4,IF(H3807="EO",5.2,IF(H3807="EQ",3.9,IF(H3807="ILF",7.5,IF(H3807="EIF",5.4)))))))</f>
        <v/>
      </c>
      <c r="M3807" s="112" t="str">
        <f t="shared" si="62"/>
        <v/>
      </c>
      <c r="N3807" s="113"/>
    </row>
    <row r="3808" spans="2:14">
      <c r="B3808" s="105"/>
      <c r="C3808" s="106"/>
      <c r="D3808" s="107"/>
      <c r="E3808" s="65"/>
      <c r="F3808" s="64"/>
      <c r="G3808" s="64"/>
      <c r="H3808" s="64"/>
      <c r="I3808" s="70"/>
      <c r="J3808" s="70"/>
      <c r="K3808" s="110" t="str">
        <f>IF(H3808="","",IF($C$29="간이법","",FPR(H3808,I3808,J3808)))</f>
        <v/>
      </c>
      <c r="L3808" s="111" t="str">
        <f>IF(H3808="","",IF($C$29="상세법",FPV(H3808,K3808),IF(H3808="EI",4,IF(H3808="EO",5.2,IF(H3808="EQ",3.9,IF(H3808="ILF",7.5,IF(H3808="EIF",5.4)))))))</f>
        <v/>
      </c>
      <c r="M3808" s="112" t="str">
        <f t="shared" si="62"/>
        <v/>
      </c>
      <c r="N3808" s="113"/>
    </row>
    <row r="3809" spans="2:14">
      <c r="B3809" s="105"/>
      <c r="C3809" s="106"/>
      <c r="D3809" s="107"/>
      <c r="E3809" s="65"/>
      <c r="F3809" s="64"/>
      <c r="G3809" s="64"/>
      <c r="H3809" s="64"/>
      <c r="I3809" s="70"/>
      <c r="J3809" s="70"/>
      <c r="K3809" s="110" t="str">
        <f>IF(H3809="","",IF($C$29="간이법","",FPR(H3809,I3809,J3809)))</f>
        <v/>
      </c>
      <c r="L3809" s="111" t="str">
        <f>IF(H3809="","",IF($C$29="상세법",FPV(H3809,K3809),IF(H3809="EI",4,IF(H3809="EO",5.2,IF(H3809="EQ",3.9,IF(H3809="ILF",7.5,IF(H3809="EIF",5.4)))))))</f>
        <v/>
      </c>
      <c r="M3809" s="112" t="str">
        <f t="shared" si="62"/>
        <v/>
      </c>
      <c r="N3809" s="113"/>
    </row>
    <row r="3810" spans="2:14">
      <c r="B3810" s="105"/>
      <c r="C3810" s="106"/>
      <c r="D3810" s="107"/>
      <c r="E3810" s="65"/>
      <c r="F3810" s="64"/>
      <c r="G3810" s="64"/>
      <c r="H3810" s="64"/>
      <c r="I3810" s="70"/>
      <c r="J3810" s="70"/>
      <c r="K3810" s="110" t="str">
        <f>IF(H3810="","",IF($C$29="간이법","",FPR(H3810,I3810,J3810)))</f>
        <v/>
      </c>
      <c r="L3810" s="111" t="str">
        <f>IF(H3810="","",IF($C$29="상세법",FPV(H3810,K3810),IF(H3810="EI",4,IF(H3810="EO",5.2,IF(H3810="EQ",3.9,IF(H3810="ILF",7.5,IF(H3810="EIF",5.4)))))))</f>
        <v/>
      </c>
      <c r="M3810" s="112" t="str">
        <f t="shared" si="62"/>
        <v/>
      </c>
      <c r="N3810" s="113"/>
    </row>
    <row r="3811" spans="2:14">
      <c r="B3811" s="105"/>
      <c r="C3811" s="106"/>
      <c r="D3811" s="107"/>
      <c r="E3811" s="65"/>
      <c r="F3811" s="64"/>
      <c r="G3811" s="64"/>
      <c r="H3811" s="64"/>
      <c r="I3811" s="70"/>
      <c r="J3811" s="70"/>
      <c r="K3811" s="110" t="str">
        <f>IF(H3811="","",IF($C$29="간이법","",FPR(H3811,I3811,J3811)))</f>
        <v/>
      </c>
      <c r="L3811" s="111" t="str">
        <f>IF(H3811="","",IF($C$29="상세법",FPV(H3811,K3811),IF(H3811="EI",4,IF(H3811="EO",5.2,IF(H3811="EQ",3.9,IF(H3811="ILF",7.5,IF(H3811="EIF",5.4)))))))</f>
        <v/>
      </c>
      <c r="M3811" s="112" t="str">
        <f t="shared" si="62"/>
        <v/>
      </c>
      <c r="N3811" s="113"/>
    </row>
    <row r="3812" spans="2:14">
      <c r="B3812" s="105"/>
      <c r="C3812" s="106"/>
      <c r="D3812" s="107"/>
      <c r="E3812" s="65"/>
      <c r="F3812" s="64"/>
      <c r="G3812" s="64"/>
      <c r="H3812" s="64"/>
      <c r="I3812" s="70"/>
      <c r="J3812" s="70"/>
      <c r="K3812" s="110" t="str">
        <f>IF(H3812="","",IF($C$29="간이법","",FPR(H3812,I3812,J3812)))</f>
        <v/>
      </c>
      <c r="L3812" s="111" t="str">
        <f>IF(H3812="","",IF($C$29="상세법",FPV(H3812,K3812),IF(H3812="EI",4,IF(H3812="EO",5.2,IF(H3812="EQ",3.9,IF(H3812="ILF",7.5,IF(H3812="EIF",5.4)))))))</f>
        <v/>
      </c>
      <c r="M3812" s="112" t="str">
        <f t="shared" si="62"/>
        <v/>
      </c>
      <c r="N3812" s="113"/>
    </row>
    <row r="3813" spans="2:14">
      <c r="B3813" s="105"/>
      <c r="C3813" s="106"/>
      <c r="D3813" s="107"/>
      <c r="E3813" s="65"/>
      <c r="F3813" s="64"/>
      <c r="G3813" s="64"/>
      <c r="H3813" s="64"/>
      <c r="I3813" s="70"/>
      <c r="J3813" s="70"/>
      <c r="K3813" s="110" t="str">
        <f>IF(H3813="","",IF($C$29="간이법","",FPR(H3813,I3813,J3813)))</f>
        <v/>
      </c>
      <c r="L3813" s="111" t="str">
        <f>IF(H3813="","",IF($C$29="상세법",FPV(H3813,K3813),IF(H3813="EI",4,IF(H3813="EO",5.2,IF(H3813="EQ",3.9,IF(H3813="ILF",7.5,IF(H3813="EIF",5.4)))))))</f>
        <v/>
      </c>
      <c r="M3813" s="112" t="str">
        <f t="shared" si="62"/>
        <v/>
      </c>
      <c r="N3813" s="113"/>
    </row>
    <row r="3814" spans="2:14">
      <c r="B3814" s="105"/>
      <c r="C3814" s="106"/>
      <c r="D3814" s="107"/>
      <c r="E3814" s="65"/>
      <c r="F3814" s="64"/>
      <c r="G3814" s="64"/>
      <c r="H3814" s="64"/>
      <c r="I3814" s="70"/>
      <c r="J3814" s="70"/>
      <c r="K3814" s="110" t="str">
        <f>IF(H3814="","",IF($C$29="간이법","",FPR(H3814,I3814,J3814)))</f>
        <v/>
      </c>
      <c r="L3814" s="111" t="str">
        <f>IF(H3814="","",IF($C$29="상세법",FPV(H3814,K3814),IF(H3814="EI",4,IF(H3814="EO",5.2,IF(H3814="EQ",3.9,IF(H3814="ILF",7.5,IF(H3814="EIF",5.4)))))))</f>
        <v/>
      </c>
      <c r="M3814" s="112" t="str">
        <f t="shared" si="62"/>
        <v/>
      </c>
      <c r="N3814" s="113"/>
    </row>
    <row r="3815" spans="2:14">
      <c r="B3815" s="105"/>
      <c r="C3815" s="106"/>
      <c r="D3815" s="107"/>
      <c r="E3815" s="65"/>
      <c r="F3815" s="64"/>
      <c r="G3815" s="64"/>
      <c r="H3815" s="64"/>
      <c r="I3815" s="70"/>
      <c r="J3815" s="70"/>
      <c r="K3815" s="110" t="str">
        <f>IF(H3815="","",IF($C$29="간이법","",FPR(H3815,I3815,J3815)))</f>
        <v/>
      </c>
      <c r="L3815" s="111" t="str">
        <f>IF(H3815="","",IF($C$29="상세법",FPV(H3815,K3815),IF(H3815="EI",4,IF(H3815="EO",5.2,IF(H3815="EQ",3.9,IF(H3815="ILF",7.5,IF(H3815="EIF",5.4)))))))</f>
        <v/>
      </c>
      <c r="M3815" s="112" t="str">
        <f t="shared" si="62"/>
        <v/>
      </c>
      <c r="N3815" s="113"/>
    </row>
    <row r="3816" spans="2:14">
      <c r="B3816" s="105"/>
      <c r="C3816" s="106"/>
      <c r="D3816" s="107"/>
      <c r="E3816" s="65"/>
      <c r="F3816" s="64"/>
      <c r="G3816" s="64"/>
      <c r="H3816" s="64"/>
      <c r="I3816" s="70"/>
      <c r="J3816" s="70"/>
      <c r="K3816" s="110" t="str">
        <f>IF(H3816="","",IF($C$29="간이법","",FPR(H3816,I3816,J3816)))</f>
        <v/>
      </c>
      <c r="L3816" s="111" t="str">
        <f>IF(H3816="","",IF($C$29="상세법",FPV(H3816,K3816),IF(H3816="EI",4,IF(H3816="EO",5.2,IF(H3816="EQ",3.9,IF(H3816="ILF",7.5,IF(H3816="EIF",5.4)))))))</f>
        <v/>
      </c>
      <c r="M3816" s="112" t="str">
        <f t="shared" si="62"/>
        <v/>
      </c>
      <c r="N3816" s="113"/>
    </row>
    <row r="3817" spans="2:14">
      <c r="B3817" s="105"/>
      <c r="C3817" s="106"/>
      <c r="D3817" s="107"/>
      <c r="E3817" s="65"/>
      <c r="F3817" s="64"/>
      <c r="G3817" s="64"/>
      <c r="H3817" s="64"/>
      <c r="I3817" s="70"/>
      <c r="J3817" s="70"/>
      <c r="K3817" s="110" t="str">
        <f>IF(H3817="","",IF($C$29="간이법","",FPR(H3817,I3817,J3817)))</f>
        <v/>
      </c>
      <c r="L3817" s="111" t="str">
        <f>IF(H3817="","",IF($C$29="상세법",FPV(H3817,K3817),IF(H3817="EI",4,IF(H3817="EO",5.2,IF(H3817="EQ",3.9,IF(H3817="ILF",7.5,IF(H3817="EIF",5.4)))))))</f>
        <v/>
      </c>
      <c r="M3817" s="112" t="str">
        <f t="shared" si="62"/>
        <v/>
      </c>
      <c r="N3817" s="113"/>
    </row>
    <row r="3818" spans="2:14">
      <c r="B3818" s="105"/>
      <c r="C3818" s="106"/>
      <c r="D3818" s="107"/>
      <c r="E3818" s="65"/>
      <c r="F3818" s="64"/>
      <c r="G3818" s="64"/>
      <c r="H3818" s="64"/>
      <c r="I3818" s="70"/>
      <c r="J3818" s="70"/>
      <c r="K3818" s="110" t="str">
        <f>IF(H3818="","",IF($C$29="간이법","",FPR(H3818,I3818,J3818)))</f>
        <v/>
      </c>
      <c r="L3818" s="111" t="str">
        <f>IF(H3818="","",IF($C$29="상세법",FPV(H3818,K3818),IF(H3818="EI",4,IF(H3818="EO",5.2,IF(H3818="EQ",3.9,IF(H3818="ILF",7.5,IF(H3818="EIF",5.4)))))))</f>
        <v/>
      </c>
      <c r="M3818" s="112" t="str">
        <f t="shared" si="62"/>
        <v/>
      </c>
      <c r="N3818" s="113"/>
    </row>
    <row r="3819" spans="2:14">
      <c r="B3819" s="105"/>
      <c r="C3819" s="106"/>
      <c r="D3819" s="107"/>
      <c r="E3819" s="65"/>
      <c r="F3819" s="64"/>
      <c r="G3819" s="64"/>
      <c r="H3819" s="64"/>
      <c r="I3819" s="70"/>
      <c r="J3819" s="70"/>
      <c r="K3819" s="110" t="str">
        <f>IF(H3819="","",IF($C$29="간이법","",FPR(H3819,I3819,J3819)))</f>
        <v/>
      </c>
      <c r="L3819" s="111" t="str">
        <f>IF(H3819="","",IF($C$29="상세법",FPV(H3819,K3819),IF(H3819="EI",4,IF(H3819="EO",5.2,IF(H3819="EQ",3.9,IF(H3819="ILF",7.5,IF(H3819="EIF",5.4)))))))</f>
        <v/>
      </c>
      <c r="M3819" s="112" t="str">
        <f t="shared" si="62"/>
        <v/>
      </c>
      <c r="N3819" s="113"/>
    </row>
    <row r="3820" spans="2:14">
      <c r="B3820" s="105"/>
      <c r="C3820" s="106"/>
      <c r="D3820" s="107"/>
      <c r="E3820" s="65"/>
      <c r="F3820" s="64"/>
      <c r="G3820" s="64"/>
      <c r="H3820" s="64"/>
      <c r="I3820" s="70"/>
      <c r="J3820" s="70"/>
      <c r="K3820" s="110" t="str">
        <f>IF(H3820="","",IF($C$29="간이법","",FPR(H3820,I3820,J3820)))</f>
        <v/>
      </c>
      <c r="L3820" s="111" t="str">
        <f>IF(H3820="","",IF($C$29="상세법",FPV(H3820,K3820),IF(H3820="EI",4,IF(H3820="EO",5.2,IF(H3820="EQ",3.9,IF(H3820="ILF",7.5,IF(H3820="EIF",5.4)))))))</f>
        <v/>
      </c>
      <c r="M3820" s="112" t="str">
        <f t="shared" si="62"/>
        <v/>
      </c>
      <c r="N3820" s="113"/>
    </row>
    <row r="3821" spans="2:14">
      <c r="B3821" s="105"/>
      <c r="C3821" s="106"/>
      <c r="D3821" s="107"/>
      <c r="E3821" s="65"/>
      <c r="F3821" s="64"/>
      <c r="G3821" s="64"/>
      <c r="H3821" s="64"/>
      <c r="I3821" s="70"/>
      <c r="J3821" s="70"/>
      <c r="K3821" s="110" t="str">
        <f>IF(H3821="","",IF($C$29="간이법","",FPR(H3821,I3821,J3821)))</f>
        <v/>
      </c>
      <c r="L3821" s="111" t="str">
        <f>IF(H3821="","",IF($C$29="상세법",FPV(H3821,K3821),IF(H3821="EI",4,IF(H3821="EO",5.2,IF(H3821="EQ",3.9,IF(H3821="ILF",7.5,IF(H3821="EIF",5.4)))))))</f>
        <v/>
      </c>
      <c r="M3821" s="112" t="str">
        <f t="shared" si="62"/>
        <v/>
      </c>
      <c r="N3821" s="113"/>
    </row>
    <row r="3822" spans="2:14">
      <c r="B3822" s="105"/>
      <c r="C3822" s="106"/>
      <c r="D3822" s="107"/>
      <c r="E3822" s="65"/>
      <c r="F3822" s="64"/>
      <c r="G3822" s="64"/>
      <c r="H3822" s="64"/>
      <c r="I3822" s="70"/>
      <c r="J3822" s="70"/>
      <c r="K3822" s="110" t="str">
        <f>IF(H3822="","",IF($C$29="간이법","",FPR(H3822,I3822,J3822)))</f>
        <v/>
      </c>
      <c r="L3822" s="111" t="str">
        <f>IF(H3822="","",IF($C$29="상세법",FPV(H3822,K3822),IF(H3822="EI",4,IF(H3822="EO",5.2,IF(H3822="EQ",3.9,IF(H3822="ILF",7.5,IF(H3822="EIF",5.4)))))))</f>
        <v/>
      </c>
      <c r="M3822" s="112" t="str">
        <f t="shared" si="62"/>
        <v/>
      </c>
      <c r="N3822" s="113"/>
    </row>
    <row r="3823" spans="2:14">
      <c r="B3823" s="105"/>
      <c r="C3823" s="106"/>
      <c r="D3823" s="107"/>
      <c r="E3823" s="65"/>
      <c r="F3823" s="64"/>
      <c r="G3823" s="64"/>
      <c r="H3823" s="64"/>
      <c r="I3823" s="70"/>
      <c r="J3823" s="70"/>
      <c r="K3823" s="110" t="str">
        <f>IF(H3823="","",IF($C$29="간이법","",FPR(H3823,I3823,J3823)))</f>
        <v/>
      </c>
      <c r="L3823" s="111" t="str">
        <f>IF(H3823="","",IF($C$29="상세법",FPV(H3823,K3823),IF(H3823="EI",4,IF(H3823="EO",5.2,IF(H3823="EQ",3.9,IF(H3823="ILF",7.5,IF(H3823="EIF",5.4)))))))</f>
        <v/>
      </c>
      <c r="M3823" s="112" t="str">
        <f t="shared" si="62"/>
        <v/>
      </c>
      <c r="N3823" s="113"/>
    </row>
    <row r="3824" spans="2:14">
      <c r="B3824" s="105"/>
      <c r="C3824" s="106"/>
      <c r="D3824" s="107"/>
      <c r="E3824" s="65"/>
      <c r="F3824" s="64"/>
      <c r="G3824" s="64"/>
      <c r="H3824" s="64"/>
      <c r="I3824" s="70"/>
      <c r="J3824" s="70"/>
      <c r="K3824" s="110" t="str">
        <f>IF(H3824="","",IF($C$29="간이법","",FPR(H3824,I3824,J3824)))</f>
        <v/>
      </c>
      <c r="L3824" s="111" t="str">
        <f>IF(H3824="","",IF($C$29="상세법",FPV(H3824,K3824),IF(H3824="EI",4,IF(H3824="EO",5.2,IF(H3824="EQ",3.9,IF(H3824="ILF",7.5,IF(H3824="EIF",5.4)))))))</f>
        <v/>
      </c>
      <c r="M3824" s="112" t="str">
        <f t="shared" si="62"/>
        <v/>
      </c>
      <c r="N3824" s="113"/>
    </row>
    <row r="3825" spans="2:14">
      <c r="B3825" s="105"/>
      <c r="C3825" s="106"/>
      <c r="D3825" s="107"/>
      <c r="E3825" s="65"/>
      <c r="F3825" s="64"/>
      <c r="G3825" s="64"/>
      <c r="H3825" s="64"/>
      <c r="I3825" s="70"/>
      <c r="J3825" s="70"/>
      <c r="K3825" s="110" t="str">
        <f>IF(H3825="","",IF($C$29="간이법","",FPR(H3825,I3825,J3825)))</f>
        <v/>
      </c>
      <c r="L3825" s="111" t="str">
        <f>IF(H3825="","",IF($C$29="상세법",FPV(H3825,K3825),IF(H3825="EI",4,IF(H3825="EO",5.2,IF(H3825="EQ",3.9,IF(H3825="ILF",7.5,IF(H3825="EIF",5.4)))))))</f>
        <v/>
      </c>
      <c r="M3825" s="112" t="str">
        <f t="shared" si="62"/>
        <v/>
      </c>
      <c r="N3825" s="113"/>
    </row>
    <row r="3826" spans="2:14">
      <c r="B3826" s="105"/>
      <c r="C3826" s="106"/>
      <c r="D3826" s="107"/>
      <c r="E3826" s="65"/>
      <c r="F3826" s="64"/>
      <c r="G3826" s="64"/>
      <c r="H3826" s="64"/>
      <c r="I3826" s="70"/>
      <c r="J3826" s="70"/>
      <c r="K3826" s="110" t="str">
        <f>IF(H3826="","",IF($C$29="간이법","",FPR(H3826,I3826,J3826)))</f>
        <v/>
      </c>
      <c r="L3826" s="111" t="str">
        <f>IF(H3826="","",IF($C$29="상세법",FPV(H3826,K3826),IF(H3826="EI",4,IF(H3826="EO",5.2,IF(H3826="EQ",3.9,IF(H3826="ILF",7.5,IF(H3826="EIF",5.4)))))))</f>
        <v/>
      </c>
      <c r="M3826" s="112" t="str">
        <f t="shared" si="62"/>
        <v/>
      </c>
      <c r="N3826" s="113"/>
    </row>
    <row r="3827" spans="2:14">
      <c r="B3827" s="105"/>
      <c r="C3827" s="106"/>
      <c r="D3827" s="107"/>
      <c r="E3827" s="65"/>
      <c r="F3827" s="64"/>
      <c r="G3827" s="64"/>
      <c r="H3827" s="64"/>
      <c r="I3827" s="70"/>
      <c r="J3827" s="70"/>
      <c r="K3827" s="110" t="str">
        <f>IF(H3827="","",IF($C$29="간이법","",FPR(H3827,I3827,J3827)))</f>
        <v/>
      </c>
      <c r="L3827" s="111" t="str">
        <f>IF(H3827="","",IF($C$29="상세법",FPV(H3827,K3827),IF(H3827="EI",4,IF(H3827="EO",5.2,IF(H3827="EQ",3.9,IF(H3827="ILF",7.5,IF(H3827="EIF",5.4)))))))</f>
        <v/>
      </c>
      <c r="M3827" s="112" t="str">
        <f t="shared" si="62"/>
        <v/>
      </c>
      <c r="N3827" s="113"/>
    </row>
    <row r="3828" spans="2:14">
      <c r="B3828" s="105"/>
      <c r="C3828" s="106"/>
      <c r="D3828" s="107"/>
      <c r="E3828" s="65"/>
      <c r="F3828" s="64"/>
      <c r="G3828" s="64"/>
      <c r="H3828" s="64"/>
      <c r="I3828" s="70"/>
      <c r="J3828" s="70"/>
      <c r="K3828" s="110" t="str">
        <f>IF(H3828="","",IF($C$29="간이법","",FPR(H3828,I3828,J3828)))</f>
        <v/>
      </c>
      <c r="L3828" s="111" t="str">
        <f>IF(H3828="","",IF($C$29="상세법",FPV(H3828,K3828),IF(H3828="EI",4,IF(H3828="EO",5.2,IF(H3828="EQ",3.9,IF(H3828="ILF",7.5,IF(H3828="EIF",5.4)))))))</f>
        <v/>
      </c>
      <c r="M3828" s="112" t="str">
        <f t="shared" si="62"/>
        <v/>
      </c>
      <c r="N3828" s="113"/>
    </row>
    <row r="3829" spans="2:14">
      <c r="B3829" s="105"/>
      <c r="C3829" s="106"/>
      <c r="D3829" s="107"/>
      <c r="E3829" s="65"/>
      <c r="F3829" s="64"/>
      <c r="G3829" s="64"/>
      <c r="H3829" s="64"/>
      <c r="I3829" s="70"/>
      <c r="J3829" s="70"/>
      <c r="K3829" s="110" t="str">
        <f>IF(H3829="","",IF($C$29="간이법","",FPR(H3829,I3829,J3829)))</f>
        <v/>
      </c>
      <c r="L3829" s="111" t="str">
        <f>IF(H3829="","",IF($C$29="상세법",FPV(H3829,K3829),IF(H3829="EI",4,IF(H3829="EO",5.2,IF(H3829="EQ",3.9,IF(H3829="ILF",7.5,IF(H3829="EIF",5.4)))))))</f>
        <v/>
      </c>
      <c r="M3829" s="112" t="str">
        <f t="shared" si="62"/>
        <v/>
      </c>
      <c r="N3829" s="113"/>
    </row>
    <row r="3830" spans="2:14">
      <c r="B3830" s="105"/>
      <c r="C3830" s="106"/>
      <c r="D3830" s="107"/>
      <c r="E3830" s="65"/>
      <c r="F3830" s="64"/>
      <c r="G3830" s="64"/>
      <c r="H3830" s="64"/>
      <c r="I3830" s="70"/>
      <c r="J3830" s="70"/>
      <c r="K3830" s="110" t="str">
        <f>IF(H3830="","",IF($C$29="간이법","",FPR(H3830,I3830,J3830)))</f>
        <v/>
      </c>
      <c r="L3830" s="111" t="str">
        <f>IF(H3830="","",IF($C$29="상세법",FPV(H3830,K3830),IF(H3830="EI",4,IF(H3830="EO",5.2,IF(H3830="EQ",3.9,IF(H3830="ILF",7.5,IF(H3830="EIF",5.4)))))))</f>
        <v/>
      </c>
      <c r="M3830" s="112" t="str">
        <f t="shared" si="62"/>
        <v/>
      </c>
      <c r="N3830" s="113"/>
    </row>
    <row r="3831" spans="2:14">
      <c r="B3831" s="105"/>
      <c r="C3831" s="106"/>
      <c r="D3831" s="107"/>
      <c r="E3831" s="65"/>
      <c r="F3831" s="64"/>
      <c r="G3831" s="64"/>
      <c r="H3831" s="64"/>
      <c r="I3831" s="70"/>
      <c r="J3831" s="70"/>
      <c r="K3831" s="110" t="str">
        <f>IF(H3831="","",IF($C$29="간이법","",FPR(H3831,I3831,J3831)))</f>
        <v/>
      </c>
      <c r="L3831" s="111" t="str">
        <f>IF(H3831="","",IF($C$29="상세법",FPV(H3831,K3831),IF(H3831="EI",4,IF(H3831="EO",5.2,IF(H3831="EQ",3.9,IF(H3831="ILF",7.5,IF(H3831="EIF",5.4)))))))</f>
        <v/>
      </c>
      <c r="M3831" s="112" t="str">
        <f t="shared" si="62"/>
        <v/>
      </c>
      <c r="N3831" s="113"/>
    </row>
    <row r="3832" spans="2:14">
      <c r="B3832" s="105"/>
      <c r="C3832" s="106"/>
      <c r="D3832" s="107"/>
      <c r="E3832" s="65"/>
      <c r="F3832" s="64"/>
      <c r="G3832" s="64"/>
      <c r="H3832" s="64"/>
      <c r="I3832" s="70"/>
      <c r="J3832" s="70"/>
      <c r="K3832" s="110" t="str">
        <f>IF(H3832="","",IF($C$29="간이법","",FPR(H3832,I3832,J3832)))</f>
        <v/>
      </c>
      <c r="L3832" s="111" t="str">
        <f>IF(H3832="","",IF($C$29="상세법",FPV(H3832,K3832),IF(H3832="EI",4,IF(H3832="EO",5.2,IF(H3832="EQ",3.9,IF(H3832="ILF",7.5,IF(H3832="EIF",5.4)))))))</f>
        <v/>
      </c>
      <c r="M3832" s="112" t="str">
        <f t="shared" si="62"/>
        <v/>
      </c>
      <c r="N3832" s="113"/>
    </row>
    <row r="3833" spans="2:14">
      <c r="B3833" s="105"/>
      <c r="C3833" s="106"/>
      <c r="D3833" s="107"/>
      <c r="E3833" s="65"/>
      <c r="F3833" s="64"/>
      <c r="G3833" s="64"/>
      <c r="H3833" s="64"/>
      <c r="I3833" s="70"/>
      <c r="J3833" s="70"/>
      <c r="K3833" s="110" t="str">
        <f>IF(H3833="","",IF($C$29="간이법","",FPR(H3833,I3833,J3833)))</f>
        <v/>
      </c>
      <c r="L3833" s="111" t="str">
        <f>IF(H3833="","",IF($C$29="상세법",FPV(H3833,K3833),IF(H3833="EI",4,IF(H3833="EO",5.2,IF(H3833="EQ",3.9,IF(H3833="ILF",7.5,IF(H3833="EIF",5.4)))))))</f>
        <v/>
      </c>
      <c r="M3833" s="112" t="str">
        <f t="shared" ref="M3833:M3896" si="63">IF(L3833="","",L3833*IF(G3833="상",0.7,IF(G3833="중",0.5,IF(G3833="하",0.2,1))))</f>
        <v/>
      </c>
      <c r="N3833" s="113"/>
    </row>
    <row r="3834" spans="2:14">
      <c r="B3834" s="105"/>
      <c r="C3834" s="106"/>
      <c r="D3834" s="107"/>
      <c r="E3834" s="65"/>
      <c r="F3834" s="64"/>
      <c r="G3834" s="64"/>
      <c r="H3834" s="64"/>
      <c r="I3834" s="70"/>
      <c r="J3834" s="70"/>
      <c r="K3834" s="110" t="str">
        <f>IF(H3834="","",IF($C$29="간이법","",FPR(H3834,I3834,J3834)))</f>
        <v/>
      </c>
      <c r="L3834" s="111" t="str">
        <f>IF(H3834="","",IF($C$29="상세법",FPV(H3834,K3834),IF(H3834="EI",4,IF(H3834="EO",5.2,IF(H3834="EQ",3.9,IF(H3834="ILF",7.5,IF(H3834="EIF",5.4)))))))</f>
        <v/>
      </c>
      <c r="M3834" s="112" t="str">
        <f t="shared" si="63"/>
        <v/>
      </c>
      <c r="N3834" s="113"/>
    </row>
    <row r="3835" spans="2:14">
      <c r="B3835" s="105"/>
      <c r="C3835" s="106"/>
      <c r="D3835" s="107"/>
      <c r="E3835" s="65"/>
      <c r="F3835" s="64"/>
      <c r="G3835" s="64"/>
      <c r="H3835" s="64"/>
      <c r="I3835" s="70"/>
      <c r="J3835" s="70"/>
      <c r="K3835" s="110" t="str">
        <f>IF(H3835="","",IF($C$29="간이법","",FPR(H3835,I3835,J3835)))</f>
        <v/>
      </c>
      <c r="L3835" s="111" t="str">
        <f>IF(H3835="","",IF($C$29="상세법",FPV(H3835,K3835),IF(H3835="EI",4,IF(H3835="EO",5.2,IF(H3835="EQ",3.9,IF(H3835="ILF",7.5,IF(H3835="EIF",5.4)))))))</f>
        <v/>
      </c>
      <c r="M3835" s="112" t="str">
        <f t="shared" si="63"/>
        <v/>
      </c>
      <c r="N3835" s="113"/>
    </row>
    <row r="3836" spans="2:14">
      <c r="B3836" s="105"/>
      <c r="C3836" s="106"/>
      <c r="D3836" s="107"/>
      <c r="E3836" s="65"/>
      <c r="F3836" s="64"/>
      <c r="G3836" s="64"/>
      <c r="H3836" s="64"/>
      <c r="I3836" s="70"/>
      <c r="J3836" s="70"/>
      <c r="K3836" s="110" t="str">
        <f>IF(H3836="","",IF($C$29="간이법","",FPR(H3836,I3836,J3836)))</f>
        <v/>
      </c>
      <c r="L3836" s="111" t="str">
        <f>IF(H3836="","",IF($C$29="상세법",FPV(H3836,K3836),IF(H3836="EI",4,IF(H3836="EO",5.2,IF(H3836="EQ",3.9,IF(H3836="ILF",7.5,IF(H3836="EIF",5.4)))))))</f>
        <v/>
      </c>
      <c r="M3836" s="112" t="str">
        <f t="shared" si="63"/>
        <v/>
      </c>
      <c r="N3836" s="113"/>
    </row>
    <row r="3837" spans="2:14">
      <c r="B3837" s="105"/>
      <c r="C3837" s="106"/>
      <c r="D3837" s="107"/>
      <c r="E3837" s="65"/>
      <c r="F3837" s="64"/>
      <c r="G3837" s="64"/>
      <c r="H3837" s="64"/>
      <c r="I3837" s="70"/>
      <c r="J3837" s="70"/>
      <c r="K3837" s="110" t="str">
        <f>IF(H3837="","",IF($C$29="간이법","",FPR(H3837,I3837,J3837)))</f>
        <v/>
      </c>
      <c r="L3837" s="111" t="str">
        <f>IF(H3837="","",IF($C$29="상세법",FPV(H3837,K3837),IF(H3837="EI",4,IF(H3837="EO",5.2,IF(H3837="EQ",3.9,IF(H3837="ILF",7.5,IF(H3837="EIF",5.4)))))))</f>
        <v/>
      </c>
      <c r="M3837" s="112" t="str">
        <f t="shared" si="63"/>
        <v/>
      </c>
      <c r="N3837" s="113"/>
    </row>
    <row r="3838" spans="2:14">
      <c r="B3838" s="105"/>
      <c r="C3838" s="106"/>
      <c r="D3838" s="107"/>
      <c r="E3838" s="65"/>
      <c r="F3838" s="64"/>
      <c r="G3838" s="64"/>
      <c r="H3838" s="64"/>
      <c r="I3838" s="70"/>
      <c r="J3838" s="70"/>
      <c r="K3838" s="110" t="str">
        <f>IF(H3838="","",IF($C$29="간이법","",FPR(H3838,I3838,J3838)))</f>
        <v/>
      </c>
      <c r="L3838" s="111" t="str">
        <f>IF(H3838="","",IF($C$29="상세법",FPV(H3838,K3838),IF(H3838="EI",4,IF(H3838="EO",5.2,IF(H3838="EQ",3.9,IF(H3838="ILF",7.5,IF(H3838="EIF",5.4)))))))</f>
        <v/>
      </c>
      <c r="M3838" s="112" t="str">
        <f t="shared" si="63"/>
        <v/>
      </c>
      <c r="N3838" s="113"/>
    </row>
    <row r="3839" spans="2:14">
      <c r="B3839" s="105"/>
      <c r="C3839" s="106"/>
      <c r="D3839" s="107"/>
      <c r="E3839" s="65"/>
      <c r="F3839" s="64"/>
      <c r="G3839" s="64"/>
      <c r="H3839" s="64"/>
      <c r="I3839" s="70"/>
      <c r="J3839" s="70"/>
      <c r="K3839" s="110" t="str">
        <f>IF(H3839="","",IF($C$29="간이법","",FPR(H3839,I3839,J3839)))</f>
        <v/>
      </c>
      <c r="L3839" s="111" t="str">
        <f>IF(H3839="","",IF($C$29="상세법",FPV(H3839,K3839),IF(H3839="EI",4,IF(H3839="EO",5.2,IF(H3839="EQ",3.9,IF(H3839="ILF",7.5,IF(H3839="EIF",5.4)))))))</f>
        <v/>
      </c>
      <c r="M3839" s="112" t="str">
        <f t="shared" si="63"/>
        <v/>
      </c>
      <c r="N3839" s="113"/>
    </row>
    <row r="3840" spans="2:14">
      <c r="B3840" s="105"/>
      <c r="C3840" s="106"/>
      <c r="D3840" s="107"/>
      <c r="E3840" s="65"/>
      <c r="F3840" s="64"/>
      <c r="G3840" s="64"/>
      <c r="H3840" s="64"/>
      <c r="I3840" s="70"/>
      <c r="J3840" s="70"/>
      <c r="K3840" s="110" t="str">
        <f>IF(H3840="","",IF($C$29="간이법","",FPR(H3840,I3840,J3840)))</f>
        <v/>
      </c>
      <c r="L3840" s="111" t="str">
        <f>IF(H3840="","",IF($C$29="상세법",FPV(H3840,K3840),IF(H3840="EI",4,IF(H3840="EO",5.2,IF(H3840="EQ",3.9,IF(H3840="ILF",7.5,IF(H3840="EIF",5.4)))))))</f>
        <v/>
      </c>
      <c r="M3840" s="112" t="str">
        <f t="shared" si="63"/>
        <v/>
      </c>
      <c r="N3840" s="113"/>
    </row>
    <row r="3841" spans="2:14">
      <c r="B3841" s="105"/>
      <c r="C3841" s="106"/>
      <c r="D3841" s="107"/>
      <c r="E3841" s="65"/>
      <c r="F3841" s="64"/>
      <c r="G3841" s="64"/>
      <c r="H3841" s="64"/>
      <c r="I3841" s="70"/>
      <c r="J3841" s="70"/>
      <c r="K3841" s="110" t="str">
        <f>IF(H3841="","",IF($C$29="간이법","",FPR(H3841,I3841,J3841)))</f>
        <v/>
      </c>
      <c r="L3841" s="111" t="str">
        <f>IF(H3841="","",IF($C$29="상세법",FPV(H3841,K3841),IF(H3841="EI",4,IF(H3841="EO",5.2,IF(H3841="EQ",3.9,IF(H3841="ILF",7.5,IF(H3841="EIF",5.4)))))))</f>
        <v/>
      </c>
      <c r="M3841" s="112" t="str">
        <f t="shared" si="63"/>
        <v/>
      </c>
      <c r="N3841" s="113"/>
    </row>
    <row r="3842" spans="2:14">
      <c r="B3842" s="105"/>
      <c r="C3842" s="106"/>
      <c r="D3842" s="107"/>
      <c r="E3842" s="65"/>
      <c r="F3842" s="64"/>
      <c r="G3842" s="64"/>
      <c r="H3842" s="64"/>
      <c r="I3842" s="70"/>
      <c r="J3842" s="70"/>
      <c r="K3842" s="110" t="str">
        <f>IF(H3842="","",IF($C$29="간이법","",FPR(H3842,I3842,J3842)))</f>
        <v/>
      </c>
      <c r="L3842" s="111" t="str">
        <f>IF(H3842="","",IF($C$29="상세법",FPV(H3842,K3842),IF(H3842="EI",4,IF(H3842="EO",5.2,IF(H3842="EQ",3.9,IF(H3842="ILF",7.5,IF(H3842="EIF",5.4)))))))</f>
        <v/>
      </c>
      <c r="M3842" s="112" t="str">
        <f t="shared" si="63"/>
        <v/>
      </c>
      <c r="N3842" s="113"/>
    </row>
    <row r="3843" spans="2:14">
      <c r="B3843" s="105"/>
      <c r="C3843" s="106"/>
      <c r="D3843" s="107"/>
      <c r="E3843" s="65"/>
      <c r="F3843" s="64"/>
      <c r="G3843" s="64"/>
      <c r="H3843" s="64"/>
      <c r="I3843" s="70"/>
      <c r="J3843" s="70"/>
      <c r="K3843" s="110" t="str">
        <f>IF(H3843="","",IF($C$29="간이법","",FPR(H3843,I3843,J3843)))</f>
        <v/>
      </c>
      <c r="L3843" s="111" t="str">
        <f>IF(H3843="","",IF($C$29="상세법",FPV(H3843,K3843),IF(H3843="EI",4,IF(H3843="EO",5.2,IF(H3843="EQ",3.9,IF(H3843="ILF",7.5,IF(H3843="EIF",5.4)))))))</f>
        <v/>
      </c>
      <c r="M3843" s="112" t="str">
        <f t="shared" si="63"/>
        <v/>
      </c>
      <c r="N3843" s="113"/>
    </row>
    <row r="3844" spans="2:14">
      <c r="B3844" s="105"/>
      <c r="C3844" s="106"/>
      <c r="D3844" s="107"/>
      <c r="E3844" s="65"/>
      <c r="F3844" s="64"/>
      <c r="G3844" s="64"/>
      <c r="H3844" s="64"/>
      <c r="I3844" s="70"/>
      <c r="J3844" s="70"/>
      <c r="K3844" s="110" t="str">
        <f>IF(H3844="","",IF($C$29="간이법","",FPR(H3844,I3844,J3844)))</f>
        <v/>
      </c>
      <c r="L3844" s="111" t="str">
        <f>IF(H3844="","",IF($C$29="상세법",FPV(H3844,K3844),IF(H3844="EI",4,IF(H3844="EO",5.2,IF(H3844="EQ",3.9,IF(H3844="ILF",7.5,IF(H3844="EIF",5.4)))))))</f>
        <v/>
      </c>
      <c r="M3844" s="112" t="str">
        <f t="shared" si="63"/>
        <v/>
      </c>
      <c r="N3844" s="113"/>
    </row>
    <row r="3845" spans="2:14">
      <c r="B3845" s="105"/>
      <c r="C3845" s="106"/>
      <c r="D3845" s="107"/>
      <c r="E3845" s="65"/>
      <c r="F3845" s="64"/>
      <c r="G3845" s="64"/>
      <c r="H3845" s="64"/>
      <c r="I3845" s="70"/>
      <c r="J3845" s="70"/>
      <c r="K3845" s="110" t="str">
        <f>IF(H3845="","",IF($C$29="간이법","",FPR(H3845,I3845,J3845)))</f>
        <v/>
      </c>
      <c r="L3845" s="111" t="str">
        <f>IF(H3845="","",IF($C$29="상세법",FPV(H3845,K3845),IF(H3845="EI",4,IF(H3845="EO",5.2,IF(H3845="EQ",3.9,IF(H3845="ILF",7.5,IF(H3845="EIF",5.4)))))))</f>
        <v/>
      </c>
      <c r="M3845" s="112" t="str">
        <f t="shared" si="63"/>
        <v/>
      </c>
      <c r="N3845" s="113"/>
    </row>
    <row r="3846" spans="2:14">
      <c r="B3846" s="105"/>
      <c r="C3846" s="106"/>
      <c r="D3846" s="107"/>
      <c r="E3846" s="65"/>
      <c r="F3846" s="64"/>
      <c r="G3846" s="64"/>
      <c r="H3846" s="64"/>
      <c r="I3846" s="70"/>
      <c r="J3846" s="70"/>
      <c r="K3846" s="110" t="str">
        <f>IF(H3846="","",IF($C$29="간이법","",FPR(H3846,I3846,J3846)))</f>
        <v/>
      </c>
      <c r="L3846" s="111" t="str">
        <f>IF(H3846="","",IF($C$29="상세법",FPV(H3846,K3846),IF(H3846="EI",4,IF(H3846="EO",5.2,IF(H3846="EQ",3.9,IF(H3846="ILF",7.5,IF(H3846="EIF",5.4)))))))</f>
        <v/>
      </c>
      <c r="M3846" s="112" t="str">
        <f t="shared" si="63"/>
        <v/>
      </c>
      <c r="N3846" s="113"/>
    </row>
    <row r="3847" spans="2:14">
      <c r="B3847" s="105"/>
      <c r="C3847" s="106"/>
      <c r="D3847" s="107"/>
      <c r="E3847" s="65"/>
      <c r="F3847" s="64"/>
      <c r="G3847" s="64"/>
      <c r="H3847" s="64"/>
      <c r="I3847" s="70"/>
      <c r="J3847" s="70"/>
      <c r="K3847" s="110" t="str">
        <f>IF(H3847="","",IF($C$29="간이법","",FPR(H3847,I3847,J3847)))</f>
        <v/>
      </c>
      <c r="L3847" s="111" t="str">
        <f>IF(H3847="","",IF($C$29="상세법",FPV(H3847,K3847),IF(H3847="EI",4,IF(H3847="EO",5.2,IF(H3847="EQ",3.9,IF(H3847="ILF",7.5,IF(H3847="EIF",5.4)))))))</f>
        <v/>
      </c>
      <c r="M3847" s="112" t="str">
        <f t="shared" si="63"/>
        <v/>
      </c>
      <c r="N3847" s="113"/>
    </row>
    <row r="3848" spans="2:14">
      <c r="B3848" s="105"/>
      <c r="C3848" s="106"/>
      <c r="D3848" s="107"/>
      <c r="E3848" s="65"/>
      <c r="F3848" s="64"/>
      <c r="G3848" s="64"/>
      <c r="H3848" s="64"/>
      <c r="I3848" s="70"/>
      <c r="J3848" s="70"/>
      <c r="K3848" s="110" t="str">
        <f>IF(H3848="","",IF($C$29="간이법","",FPR(H3848,I3848,J3848)))</f>
        <v/>
      </c>
      <c r="L3848" s="111" t="str">
        <f>IF(H3848="","",IF($C$29="상세법",FPV(H3848,K3848),IF(H3848="EI",4,IF(H3848="EO",5.2,IF(H3848="EQ",3.9,IF(H3848="ILF",7.5,IF(H3848="EIF",5.4)))))))</f>
        <v/>
      </c>
      <c r="M3848" s="112" t="str">
        <f t="shared" si="63"/>
        <v/>
      </c>
      <c r="N3848" s="113"/>
    </row>
    <row r="3849" spans="2:14">
      <c r="B3849" s="105"/>
      <c r="C3849" s="106"/>
      <c r="D3849" s="107"/>
      <c r="E3849" s="65"/>
      <c r="F3849" s="64"/>
      <c r="G3849" s="64"/>
      <c r="H3849" s="64"/>
      <c r="I3849" s="70"/>
      <c r="J3849" s="70"/>
      <c r="K3849" s="110" t="str">
        <f>IF(H3849="","",IF($C$29="간이법","",FPR(H3849,I3849,J3849)))</f>
        <v/>
      </c>
      <c r="L3849" s="111" t="str">
        <f>IF(H3849="","",IF($C$29="상세법",FPV(H3849,K3849),IF(H3849="EI",4,IF(H3849="EO",5.2,IF(H3849="EQ",3.9,IF(H3849="ILF",7.5,IF(H3849="EIF",5.4)))))))</f>
        <v/>
      </c>
      <c r="M3849" s="112" t="str">
        <f t="shared" si="63"/>
        <v/>
      </c>
      <c r="N3849" s="113"/>
    </row>
    <row r="3850" spans="2:14">
      <c r="B3850" s="105"/>
      <c r="C3850" s="106"/>
      <c r="D3850" s="107"/>
      <c r="E3850" s="65"/>
      <c r="F3850" s="64"/>
      <c r="G3850" s="64"/>
      <c r="H3850" s="64"/>
      <c r="I3850" s="70"/>
      <c r="J3850" s="70"/>
      <c r="K3850" s="110" t="str">
        <f>IF(H3850="","",IF($C$29="간이법","",FPR(H3850,I3850,J3850)))</f>
        <v/>
      </c>
      <c r="L3850" s="111" t="str">
        <f>IF(H3850="","",IF($C$29="상세법",FPV(H3850,K3850),IF(H3850="EI",4,IF(H3850="EO",5.2,IF(H3850="EQ",3.9,IF(H3850="ILF",7.5,IF(H3850="EIF",5.4)))))))</f>
        <v/>
      </c>
      <c r="M3850" s="112" t="str">
        <f t="shared" si="63"/>
        <v/>
      </c>
      <c r="N3850" s="113"/>
    </row>
    <row r="3851" spans="2:14">
      <c r="B3851" s="105"/>
      <c r="C3851" s="106"/>
      <c r="D3851" s="107"/>
      <c r="E3851" s="65"/>
      <c r="F3851" s="64"/>
      <c r="G3851" s="64"/>
      <c r="H3851" s="64"/>
      <c r="I3851" s="70"/>
      <c r="J3851" s="70"/>
      <c r="K3851" s="110" t="str">
        <f>IF(H3851="","",IF($C$29="간이법","",FPR(H3851,I3851,J3851)))</f>
        <v/>
      </c>
      <c r="L3851" s="111" t="str">
        <f>IF(H3851="","",IF($C$29="상세법",FPV(H3851,K3851),IF(H3851="EI",4,IF(H3851="EO",5.2,IF(H3851="EQ",3.9,IF(H3851="ILF",7.5,IF(H3851="EIF",5.4)))))))</f>
        <v/>
      </c>
      <c r="M3851" s="112" t="str">
        <f t="shared" si="63"/>
        <v/>
      </c>
      <c r="N3851" s="113"/>
    </row>
    <row r="3852" spans="2:14">
      <c r="B3852" s="105"/>
      <c r="C3852" s="106"/>
      <c r="D3852" s="107"/>
      <c r="E3852" s="65"/>
      <c r="F3852" s="64"/>
      <c r="G3852" s="64"/>
      <c r="H3852" s="64"/>
      <c r="I3852" s="70"/>
      <c r="J3852" s="70"/>
      <c r="K3852" s="110" t="str">
        <f>IF(H3852="","",IF($C$29="간이법","",FPR(H3852,I3852,J3852)))</f>
        <v/>
      </c>
      <c r="L3852" s="111" t="str">
        <f>IF(H3852="","",IF($C$29="상세법",FPV(H3852,K3852),IF(H3852="EI",4,IF(H3852="EO",5.2,IF(H3852="EQ",3.9,IF(H3852="ILF",7.5,IF(H3852="EIF",5.4)))))))</f>
        <v/>
      </c>
      <c r="M3852" s="112" t="str">
        <f t="shared" si="63"/>
        <v/>
      </c>
      <c r="N3852" s="113"/>
    </row>
    <row r="3853" spans="2:14">
      <c r="B3853" s="105"/>
      <c r="C3853" s="106"/>
      <c r="D3853" s="107"/>
      <c r="E3853" s="65"/>
      <c r="F3853" s="64"/>
      <c r="G3853" s="64"/>
      <c r="H3853" s="64"/>
      <c r="I3853" s="70"/>
      <c r="J3853" s="70"/>
      <c r="K3853" s="110" t="str">
        <f>IF(H3853="","",IF($C$29="간이법","",FPR(H3853,I3853,J3853)))</f>
        <v/>
      </c>
      <c r="L3853" s="111" t="str">
        <f>IF(H3853="","",IF($C$29="상세법",FPV(H3853,K3853),IF(H3853="EI",4,IF(H3853="EO",5.2,IF(H3853="EQ",3.9,IF(H3853="ILF",7.5,IF(H3853="EIF",5.4)))))))</f>
        <v/>
      </c>
      <c r="M3853" s="112" t="str">
        <f t="shared" si="63"/>
        <v/>
      </c>
      <c r="N3853" s="113"/>
    </row>
    <row r="3854" spans="2:14">
      <c r="B3854" s="105"/>
      <c r="C3854" s="106"/>
      <c r="D3854" s="107"/>
      <c r="E3854" s="65"/>
      <c r="F3854" s="64"/>
      <c r="G3854" s="64"/>
      <c r="H3854" s="64"/>
      <c r="I3854" s="70"/>
      <c r="J3854" s="70"/>
      <c r="K3854" s="110" t="str">
        <f>IF(H3854="","",IF($C$29="간이법","",FPR(H3854,I3854,J3854)))</f>
        <v/>
      </c>
      <c r="L3854" s="111" t="str">
        <f>IF(H3854="","",IF($C$29="상세법",FPV(H3854,K3854),IF(H3854="EI",4,IF(H3854="EO",5.2,IF(H3854="EQ",3.9,IF(H3854="ILF",7.5,IF(H3854="EIF",5.4)))))))</f>
        <v/>
      </c>
      <c r="M3854" s="112" t="str">
        <f t="shared" si="63"/>
        <v/>
      </c>
      <c r="N3854" s="113"/>
    </row>
    <row r="3855" spans="2:14">
      <c r="B3855" s="105"/>
      <c r="C3855" s="106"/>
      <c r="D3855" s="107"/>
      <c r="E3855" s="65"/>
      <c r="F3855" s="64"/>
      <c r="G3855" s="64"/>
      <c r="H3855" s="64"/>
      <c r="I3855" s="70"/>
      <c r="J3855" s="70"/>
      <c r="K3855" s="110" t="str">
        <f>IF(H3855="","",IF($C$29="간이법","",FPR(H3855,I3855,J3855)))</f>
        <v/>
      </c>
      <c r="L3855" s="111" t="str">
        <f>IF(H3855="","",IF($C$29="상세법",FPV(H3855,K3855),IF(H3855="EI",4,IF(H3855="EO",5.2,IF(H3855="EQ",3.9,IF(H3855="ILF",7.5,IF(H3855="EIF",5.4)))))))</f>
        <v/>
      </c>
      <c r="M3855" s="112" t="str">
        <f t="shared" si="63"/>
        <v/>
      </c>
      <c r="N3855" s="113"/>
    </row>
    <row r="3856" spans="2:14">
      <c r="B3856" s="105"/>
      <c r="C3856" s="106"/>
      <c r="D3856" s="107"/>
      <c r="E3856" s="65"/>
      <c r="F3856" s="64"/>
      <c r="G3856" s="64"/>
      <c r="H3856" s="64"/>
      <c r="I3856" s="70"/>
      <c r="J3856" s="70"/>
      <c r="K3856" s="110" t="str">
        <f>IF(H3856="","",IF($C$29="간이법","",FPR(H3856,I3856,J3856)))</f>
        <v/>
      </c>
      <c r="L3856" s="111" t="str">
        <f>IF(H3856="","",IF($C$29="상세법",FPV(H3856,K3856),IF(H3856="EI",4,IF(H3856="EO",5.2,IF(H3856="EQ",3.9,IF(H3856="ILF",7.5,IF(H3856="EIF",5.4)))))))</f>
        <v/>
      </c>
      <c r="M3856" s="112" t="str">
        <f t="shared" si="63"/>
        <v/>
      </c>
      <c r="N3856" s="113"/>
    </row>
    <row r="3857" spans="2:14">
      <c r="B3857" s="105"/>
      <c r="C3857" s="106"/>
      <c r="D3857" s="107"/>
      <c r="E3857" s="65"/>
      <c r="F3857" s="64"/>
      <c r="G3857" s="64"/>
      <c r="H3857" s="64"/>
      <c r="I3857" s="70"/>
      <c r="J3857" s="70"/>
      <c r="K3857" s="110" t="str">
        <f>IF(H3857="","",IF($C$29="간이법","",FPR(H3857,I3857,J3857)))</f>
        <v/>
      </c>
      <c r="L3857" s="111" t="str">
        <f>IF(H3857="","",IF($C$29="상세법",FPV(H3857,K3857),IF(H3857="EI",4,IF(H3857="EO",5.2,IF(H3857="EQ",3.9,IF(H3857="ILF",7.5,IF(H3857="EIF",5.4)))))))</f>
        <v/>
      </c>
      <c r="M3857" s="112" t="str">
        <f t="shared" si="63"/>
        <v/>
      </c>
      <c r="N3857" s="113"/>
    </row>
    <row r="3858" spans="2:14">
      <c r="B3858" s="105"/>
      <c r="C3858" s="106"/>
      <c r="D3858" s="107"/>
      <c r="E3858" s="65"/>
      <c r="F3858" s="64"/>
      <c r="G3858" s="64"/>
      <c r="H3858" s="64"/>
      <c r="I3858" s="70"/>
      <c r="J3858" s="70"/>
      <c r="K3858" s="110" t="str">
        <f>IF(H3858="","",IF($C$29="간이법","",FPR(H3858,I3858,J3858)))</f>
        <v/>
      </c>
      <c r="L3858" s="111" t="str">
        <f>IF(H3858="","",IF($C$29="상세법",FPV(H3858,K3858),IF(H3858="EI",4,IF(H3858="EO",5.2,IF(H3858="EQ",3.9,IF(H3858="ILF",7.5,IF(H3858="EIF",5.4)))))))</f>
        <v/>
      </c>
      <c r="M3858" s="112" t="str">
        <f t="shared" si="63"/>
        <v/>
      </c>
      <c r="N3858" s="113"/>
    </row>
    <row r="3859" spans="2:14">
      <c r="B3859" s="105"/>
      <c r="C3859" s="106"/>
      <c r="D3859" s="107"/>
      <c r="E3859" s="65"/>
      <c r="F3859" s="64"/>
      <c r="G3859" s="64"/>
      <c r="H3859" s="64"/>
      <c r="I3859" s="70"/>
      <c r="J3859" s="70"/>
      <c r="K3859" s="110" t="str">
        <f>IF(H3859="","",IF($C$29="간이법","",FPR(H3859,I3859,J3859)))</f>
        <v/>
      </c>
      <c r="L3859" s="111" t="str">
        <f>IF(H3859="","",IF($C$29="상세법",FPV(H3859,K3859),IF(H3859="EI",4,IF(H3859="EO",5.2,IF(H3859="EQ",3.9,IF(H3859="ILF",7.5,IF(H3859="EIF",5.4)))))))</f>
        <v/>
      </c>
      <c r="M3859" s="112" t="str">
        <f t="shared" si="63"/>
        <v/>
      </c>
      <c r="N3859" s="113"/>
    </row>
    <row r="3860" spans="2:14">
      <c r="B3860" s="105"/>
      <c r="C3860" s="106"/>
      <c r="D3860" s="107"/>
      <c r="E3860" s="65"/>
      <c r="F3860" s="64"/>
      <c r="G3860" s="64"/>
      <c r="H3860" s="64"/>
      <c r="I3860" s="70"/>
      <c r="J3860" s="70"/>
      <c r="K3860" s="110" t="str">
        <f>IF(H3860="","",IF($C$29="간이법","",FPR(H3860,I3860,J3860)))</f>
        <v/>
      </c>
      <c r="L3860" s="111" t="str">
        <f>IF(H3860="","",IF($C$29="상세법",FPV(H3860,K3860),IF(H3860="EI",4,IF(H3860="EO",5.2,IF(H3860="EQ",3.9,IF(H3860="ILF",7.5,IF(H3860="EIF",5.4)))))))</f>
        <v/>
      </c>
      <c r="M3860" s="112" t="str">
        <f t="shared" si="63"/>
        <v/>
      </c>
      <c r="N3860" s="113"/>
    </row>
    <row r="3861" spans="2:14">
      <c r="B3861" s="105"/>
      <c r="C3861" s="106"/>
      <c r="D3861" s="107"/>
      <c r="E3861" s="65"/>
      <c r="F3861" s="64"/>
      <c r="G3861" s="64"/>
      <c r="H3861" s="64"/>
      <c r="I3861" s="70"/>
      <c r="J3861" s="70"/>
      <c r="K3861" s="110" t="str">
        <f>IF(H3861="","",IF($C$29="간이법","",FPR(H3861,I3861,J3861)))</f>
        <v/>
      </c>
      <c r="L3861" s="111" t="str">
        <f>IF(H3861="","",IF($C$29="상세법",FPV(H3861,K3861),IF(H3861="EI",4,IF(H3861="EO",5.2,IF(H3861="EQ",3.9,IF(H3861="ILF",7.5,IF(H3861="EIF",5.4)))))))</f>
        <v/>
      </c>
      <c r="M3861" s="112" t="str">
        <f t="shared" si="63"/>
        <v/>
      </c>
      <c r="N3861" s="113"/>
    </row>
    <row r="3862" spans="2:14">
      <c r="B3862" s="105"/>
      <c r="C3862" s="106"/>
      <c r="D3862" s="107"/>
      <c r="E3862" s="65"/>
      <c r="F3862" s="64"/>
      <c r="G3862" s="64"/>
      <c r="H3862" s="64"/>
      <c r="I3862" s="70"/>
      <c r="J3862" s="70"/>
      <c r="K3862" s="110" t="str">
        <f>IF(H3862="","",IF($C$29="간이법","",FPR(H3862,I3862,J3862)))</f>
        <v/>
      </c>
      <c r="L3862" s="111" t="str">
        <f>IF(H3862="","",IF($C$29="상세법",FPV(H3862,K3862),IF(H3862="EI",4,IF(H3862="EO",5.2,IF(H3862="EQ",3.9,IF(H3862="ILF",7.5,IF(H3862="EIF",5.4)))))))</f>
        <v/>
      </c>
      <c r="M3862" s="112" t="str">
        <f t="shared" si="63"/>
        <v/>
      </c>
      <c r="N3862" s="113"/>
    </row>
    <row r="3863" spans="2:14">
      <c r="B3863" s="105"/>
      <c r="C3863" s="106"/>
      <c r="D3863" s="107"/>
      <c r="E3863" s="65"/>
      <c r="F3863" s="64"/>
      <c r="G3863" s="64"/>
      <c r="H3863" s="64"/>
      <c r="I3863" s="70"/>
      <c r="J3863" s="70"/>
      <c r="K3863" s="110" t="str">
        <f>IF(H3863="","",IF($C$29="간이법","",FPR(H3863,I3863,J3863)))</f>
        <v/>
      </c>
      <c r="L3863" s="111" t="str">
        <f>IF(H3863="","",IF($C$29="상세법",FPV(H3863,K3863),IF(H3863="EI",4,IF(H3863="EO",5.2,IF(H3863="EQ",3.9,IF(H3863="ILF",7.5,IF(H3863="EIF",5.4)))))))</f>
        <v/>
      </c>
      <c r="M3863" s="112" t="str">
        <f t="shared" si="63"/>
        <v/>
      </c>
      <c r="N3863" s="113"/>
    </row>
    <row r="3864" spans="2:14">
      <c r="B3864" s="105"/>
      <c r="C3864" s="106"/>
      <c r="D3864" s="107"/>
      <c r="E3864" s="65"/>
      <c r="F3864" s="64"/>
      <c r="G3864" s="64"/>
      <c r="H3864" s="64"/>
      <c r="I3864" s="70"/>
      <c r="J3864" s="70"/>
      <c r="K3864" s="110" t="str">
        <f>IF(H3864="","",IF($C$29="간이법","",FPR(H3864,I3864,J3864)))</f>
        <v/>
      </c>
      <c r="L3864" s="111" t="str">
        <f>IF(H3864="","",IF($C$29="상세법",FPV(H3864,K3864),IF(H3864="EI",4,IF(H3864="EO",5.2,IF(H3864="EQ",3.9,IF(H3864="ILF",7.5,IF(H3864="EIF",5.4)))))))</f>
        <v/>
      </c>
      <c r="M3864" s="112" t="str">
        <f t="shared" si="63"/>
        <v/>
      </c>
      <c r="N3864" s="113"/>
    </row>
    <row r="3865" spans="2:14">
      <c r="B3865" s="105"/>
      <c r="C3865" s="106"/>
      <c r="D3865" s="107"/>
      <c r="E3865" s="65"/>
      <c r="F3865" s="64"/>
      <c r="G3865" s="64"/>
      <c r="H3865" s="64"/>
      <c r="I3865" s="70"/>
      <c r="J3865" s="70"/>
      <c r="K3865" s="110" t="str">
        <f>IF(H3865="","",IF($C$29="간이법","",FPR(H3865,I3865,J3865)))</f>
        <v/>
      </c>
      <c r="L3865" s="111" t="str">
        <f>IF(H3865="","",IF($C$29="상세법",FPV(H3865,K3865),IF(H3865="EI",4,IF(H3865="EO",5.2,IF(H3865="EQ",3.9,IF(H3865="ILF",7.5,IF(H3865="EIF",5.4)))))))</f>
        <v/>
      </c>
      <c r="M3865" s="112" t="str">
        <f t="shared" si="63"/>
        <v/>
      </c>
      <c r="N3865" s="113"/>
    </row>
    <row r="3866" spans="2:14">
      <c r="B3866" s="105"/>
      <c r="C3866" s="106"/>
      <c r="D3866" s="107"/>
      <c r="E3866" s="65"/>
      <c r="F3866" s="64"/>
      <c r="G3866" s="64"/>
      <c r="H3866" s="64"/>
      <c r="I3866" s="70"/>
      <c r="J3866" s="70"/>
      <c r="K3866" s="110" t="str">
        <f>IF(H3866="","",IF($C$29="간이법","",FPR(H3866,I3866,J3866)))</f>
        <v/>
      </c>
      <c r="L3866" s="111" t="str">
        <f>IF(H3866="","",IF($C$29="상세법",FPV(H3866,K3866),IF(H3866="EI",4,IF(H3866="EO",5.2,IF(H3866="EQ",3.9,IF(H3866="ILF",7.5,IF(H3866="EIF",5.4)))))))</f>
        <v/>
      </c>
      <c r="M3866" s="112" t="str">
        <f t="shared" si="63"/>
        <v/>
      </c>
      <c r="N3866" s="113"/>
    </row>
    <row r="3867" spans="2:14">
      <c r="B3867" s="105"/>
      <c r="C3867" s="106"/>
      <c r="D3867" s="107"/>
      <c r="E3867" s="65"/>
      <c r="F3867" s="64"/>
      <c r="G3867" s="64"/>
      <c r="H3867" s="64"/>
      <c r="I3867" s="70"/>
      <c r="J3867" s="70"/>
      <c r="K3867" s="110" t="str">
        <f>IF(H3867="","",IF($C$29="간이법","",FPR(H3867,I3867,J3867)))</f>
        <v/>
      </c>
      <c r="L3867" s="111" t="str">
        <f>IF(H3867="","",IF($C$29="상세법",FPV(H3867,K3867),IF(H3867="EI",4,IF(H3867="EO",5.2,IF(H3867="EQ",3.9,IF(H3867="ILF",7.5,IF(H3867="EIF",5.4)))))))</f>
        <v/>
      </c>
      <c r="M3867" s="112" t="str">
        <f t="shared" si="63"/>
        <v/>
      </c>
      <c r="N3867" s="113"/>
    </row>
    <row r="3868" spans="2:14">
      <c r="B3868" s="105"/>
      <c r="C3868" s="106"/>
      <c r="D3868" s="107"/>
      <c r="E3868" s="65"/>
      <c r="F3868" s="64"/>
      <c r="G3868" s="64"/>
      <c r="H3868" s="64"/>
      <c r="I3868" s="70"/>
      <c r="J3868" s="70"/>
      <c r="K3868" s="110" t="str">
        <f>IF(H3868="","",IF($C$29="간이법","",FPR(H3868,I3868,J3868)))</f>
        <v/>
      </c>
      <c r="L3868" s="111" t="str">
        <f>IF(H3868="","",IF($C$29="상세법",FPV(H3868,K3868),IF(H3868="EI",4,IF(H3868="EO",5.2,IF(H3868="EQ",3.9,IF(H3868="ILF",7.5,IF(H3868="EIF",5.4)))))))</f>
        <v/>
      </c>
      <c r="M3868" s="112" t="str">
        <f t="shared" si="63"/>
        <v/>
      </c>
      <c r="N3868" s="113"/>
    </row>
    <row r="3869" spans="2:14">
      <c r="B3869" s="105"/>
      <c r="C3869" s="106"/>
      <c r="D3869" s="107"/>
      <c r="E3869" s="65"/>
      <c r="F3869" s="64"/>
      <c r="G3869" s="64"/>
      <c r="H3869" s="64"/>
      <c r="I3869" s="70"/>
      <c r="J3869" s="70"/>
      <c r="K3869" s="110" t="str">
        <f>IF(H3869="","",IF($C$29="간이법","",FPR(H3869,I3869,J3869)))</f>
        <v/>
      </c>
      <c r="L3869" s="111" t="str">
        <f>IF(H3869="","",IF($C$29="상세법",FPV(H3869,K3869),IF(H3869="EI",4,IF(H3869="EO",5.2,IF(H3869="EQ",3.9,IF(H3869="ILF",7.5,IF(H3869="EIF",5.4)))))))</f>
        <v/>
      </c>
      <c r="M3869" s="112" t="str">
        <f t="shared" si="63"/>
        <v/>
      </c>
      <c r="N3869" s="113"/>
    </row>
    <row r="3870" spans="2:14">
      <c r="B3870" s="105"/>
      <c r="C3870" s="106"/>
      <c r="D3870" s="107"/>
      <c r="E3870" s="65"/>
      <c r="F3870" s="64"/>
      <c r="G3870" s="64"/>
      <c r="H3870" s="64"/>
      <c r="I3870" s="70"/>
      <c r="J3870" s="70"/>
      <c r="K3870" s="110" t="str">
        <f>IF(H3870="","",IF($C$29="간이법","",FPR(H3870,I3870,J3870)))</f>
        <v/>
      </c>
      <c r="L3870" s="111" t="str">
        <f>IF(H3870="","",IF($C$29="상세법",FPV(H3870,K3870),IF(H3870="EI",4,IF(H3870="EO",5.2,IF(H3870="EQ",3.9,IF(H3870="ILF",7.5,IF(H3870="EIF",5.4)))))))</f>
        <v/>
      </c>
      <c r="M3870" s="112" t="str">
        <f t="shared" si="63"/>
        <v/>
      </c>
      <c r="N3870" s="113"/>
    </row>
    <row r="3871" spans="2:14">
      <c r="B3871" s="105"/>
      <c r="C3871" s="106"/>
      <c r="D3871" s="107"/>
      <c r="E3871" s="65"/>
      <c r="F3871" s="64"/>
      <c r="G3871" s="64"/>
      <c r="H3871" s="64"/>
      <c r="I3871" s="70"/>
      <c r="J3871" s="70"/>
      <c r="K3871" s="110" t="str">
        <f>IF(H3871="","",IF($C$29="간이법","",FPR(H3871,I3871,J3871)))</f>
        <v/>
      </c>
      <c r="L3871" s="111" t="str">
        <f>IF(H3871="","",IF($C$29="상세법",FPV(H3871,K3871),IF(H3871="EI",4,IF(H3871="EO",5.2,IF(H3871="EQ",3.9,IF(H3871="ILF",7.5,IF(H3871="EIF",5.4)))))))</f>
        <v/>
      </c>
      <c r="M3871" s="112" t="str">
        <f t="shared" si="63"/>
        <v/>
      </c>
      <c r="N3871" s="113"/>
    </row>
    <row r="3872" spans="2:14">
      <c r="B3872" s="105"/>
      <c r="C3872" s="106"/>
      <c r="D3872" s="107"/>
      <c r="E3872" s="65"/>
      <c r="F3872" s="64"/>
      <c r="G3872" s="64"/>
      <c r="H3872" s="64"/>
      <c r="I3872" s="70"/>
      <c r="J3872" s="70"/>
      <c r="K3872" s="110" t="str">
        <f>IF(H3872="","",IF($C$29="간이법","",FPR(H3872,I3872,J3872)))</f>
        <v/>
      </c>
      <c r="L3872" s="111" t="str">
        <f>IF(H3872="","",IF($C$29="상세법",FPV(H3872,K3872),IF(H3872="EI",4,IF(H3872="EO",5.2,IF(H3872="EQ",3.9,IF(H3872="ILF",7.5,IF(H3872="EIF",5.4)))))))</f>
        <v/>
      </c>
      <c r="M3872" s="112" t="str">
        <f t="shared" si="63"/>
        <v/>
      </c>
      <c r="N3872" s="113"/>
    </row>
    <row r="3873" spans="2:14">
      <c r="B3873" s="105"/>
      <c r="C3873" s="106"/>
      <c r="D3873" s="107"/>
      <c r="E3873" s="65"/>
      <c r="F3873" s="64"/>
      <c r="G3873" s="64"/>
      <c r="H3873" s="64"/>
      <c r="I3873" s="70"/>
      <c r="J3873" s="70"/>
      <c r="K3873" s="110" t="str">
        <f>IF(H3873="","",IF($C$29="간이법","",FPR(H3873,I3873,J3873)))</f>
        <v/>
      </c>
      <c r="L3873" s="111" t="str">
        <f>IF(H3873="","",IF($C$29="상세법",FPV(H3873,K3873),IF(H3873="EI",4,IF(H3873="EO",5.2,IF(H3873="EQ",3.9,IF(H3873="ILF",7.5,IF(H3873="EIF",5.4)))))))</f>
        <v/>
      </c>
      <c r="M3873" s="112" t="str">
        <f t="shared" si="63"/>
        <v/>
      </c>
      <c r="N3873" s="113"/>
    </row>
    <row r="3874" spans="2:14">
      <c r="B3874" s="105"/>
      <c r="C3874" s="106"/>
      <c r="D3874" s="107"/>
      <c r="E3874" s="65"/>
      <c r="F3874" s="64"/>
      <c r="G3874" s="64"/>
      <c r="H3874" s="64"/>
      <c r="I3874" s="70"/>
      <c r="J3874" s="70"/>
      <c r="K3874" s="110" t="str">
        <f>IF(H3874="","",IF($C$29="간이법","",FPR(H3874,I3874,J3874)))</f>
        <v/>
      </c>
      <c r="L3874" s="111" t="str">
        <f>IF(H3874="","",IF($C$29="상세법",FPV(H3874,K3874),IF(H3874="EI",4,IF(H3874="EO",5.2,IF(H3874="EQ",3.9,IF(H3874="ILF",7.5,IF(H3874="EIF",5.4)))))))</f>
        <v/>
      </c>
      <c r="M3874" s="112" t="str">
        <f t="shared" si="63"/>
        <v/>
      </c>
      <c r="N3874" s="113"/>
    </row>
    <row r="3875" spans="2:14">
      <c r="B3875" s="105"/>
      <c r="C3875" s="106"/>
      <c r="D3875" s="107"/>
      <c r="E3875" s="65"/>
      <c r="F3875" s="64"/>
      <c r="G3875" s="64"/>
      <c r="H3875" s="64"/>
      <c r="I3875" s="70"/>
      <c r="J3875" s="70"/>
      <c r="K3875" s="110" t="str">
        <f>IF(H3875="","",IF($C$29="간이법","",FPR(H3875,I3875,J3875)))</f>
        <v/>
      </c>
      <c r="L3875" s="111" t="str">
        <f>IF(H3875="","",IF($C$29="상세법",FPV(H3875,K3875),IF(H3875="EI",4,IF(H3875="EO",5.2,IF(H3875="EQ",3.9,IF(H3875="ILF",7.5,IF(H3875="EIF",5.4)))))))</f>
        <v/>
      </c>
      <c r="M3875" s="112" t="str">
        <f t="shared" si="63"/>
        <v/>
      </c>
      <c r="N3875" s="113"/>
    </row>
    <row r="3876" spans="2:14">
      <c r="B3876" s="105"/>
      <c r="C3876" s="106"/>
      <c r="D3876" s="107"/>
      <c r="E3876" s="65"/>
      <c r="F3876" s="64"/>
      <c r="G3876" s="64"/>
      <c r="H3876" s="64"/>
      <c r="I3876" s="70"/>
      <c r="J3876" s="70"/>
      <c r="K3876" s="110" t="str">
        <f>IF(H3876="","",IF($C$29="간이법","",FPR(H3876,I3876,J3876)))</f>
        <v/>
      </c>
      <c r="L3876" s="111" t="str">
        <f>IF(H3876="","",IF($C$29="상세법",FPV(H3876,K3876),IF(H3876="EI",4,IF(H3876="EO",5.2,IF(H3876="EQ",3.9,IF(H3876="ILF",7.5,IF(H3876="EIF",5.4)))))))</f>
        <v/>
      </c>
      <c r="M3876" s="112" t="str">
        <f t="shared" si="63"/>
        <v/>
      </c>
      <c r="N3876" s="113"/>
    </row>
    <row r="3877" spans="2:14">
      <c r="B3877" s="105"/>
      <c r="C3877" s="106"/>
      <c r="D3877" s="107"/>
      <c r="E3877" s="65"/>
      <c r="F3877" s="64"/>
      <c r="G3877" s="64"/>
      <c r="H3877" s="64"/>
      <c r="I3877" s="70"/>
      <c r="J3877" s="70"/>
      <c r="K3877" s="110" t="str">
        <f>IF(H3877="","",IF($C$29="간이법","",FPR(H3877,I3877,J3877)))</f>
        <v/>
      </c>
      <c r="L3877" s="111" t="str">
        <f>IF(H3877="","",IF($C$29="상세법",FPV(H3877,K3877),IF(H3877="EI",4,IF(H3877="EO",5.2,IF(H3877="EQ",3.9,IF(H3877="ILF",7.5,IF(H3877="EIF",5.4)))))))</f>
        <v/>
      </c>
      <c r="M3877" s="112" t="str">
        <f t="shared" si="63"/>
        <v/>
      </c>
      <c r="N3877" s="113"/>
    </row>
    <row r="3878" spans="2:14">
      <c r="B3878" s="105"/>
      <c r="C3878" s="106"/>
      <c r="D3878" s="107"/>
      <c r="E3878" s="65"/>
      <c r="F3878" s="64"/>
      <c r="G3878" s="64"/>
      <c r="H3878" s="64"/>
      <c r="I3878" s="70"/>
      <c r="J3878" s="70"/>
      <c r="K3878" s="110" t="str">
        <f>IF(H3878="","",IF($C$29="간이법","",FPR(H3878,I3878,J3878)))</f>
        <v/>
      </c>
      <c r="L3878" s="111" t="str">
        <f>IF(H3878="","",IF($C$29="상세법",FPV(H3878,K3878),IF(H3878="EI",4,IF(H3878="EO",5.2,IF(H3878="EQ",3.9,IF(H3878="ILF",7.5,IF(H3878="EIF",5.4)))))))</f>
        <v/>
      </c>
      <c r="M3878" s="112" t="str">
        <f t="shared" si="63"/>
        <v/>
      </c>
      <c r="N3878" s="113"/>
    </row>
    <row r="3879" spans="2:14">
      <c r="B3879" s="105"/>
      <c r="C3879" s="106"/>
      <c r="D3879" s="107"/>
      <c r="E3879" s="65"/>
      <c r="F3879" s="64"/>
      <c r="G3879" s="64"/>
      <c r="H3879" s="64"/>
      <c r="I3879" s="70"/>
      <c r="J3879" s="70"/>
      <c r="K3879" s="110" t="str">
        <f>IF(H3879="","",IF($C$29="간이법","",FPR(H3879,I3879,J3879)))</f>
        <v/>
      </c>
      <c r="L3879" s="111" t="str">
        <f>IF(H3879="","",IF($C$29="상세법",FPV(H3879,K3879),IF(H3879="EI",4,IF(H3879="EO",5.2,IF(H3879="EQ",3.9,IF(H3879="ILF",7.5,IF(H3879="EIF",5.4)))))))</f>
        <v/>
      </c>
      <c r="M3879" s="112" t="str">
        <f t="shared" si="63"/>
        <v/>
      </c>
      <c r="N3879" s="113"/>
    </row>
    <row r="3880" spans="2:14">
      <c r="B3880" s="105"/>
      <c r="C3880" s="106"/>
      <c r="D3880" s="107"/>
      <c r="E3880" s="65"/>
      <c r="F3880" s="64"/>
      <c r="G3880" s="64"/>
      <c r="H3880" s="64"/>
      <c r="I3880" s="70"/>
      <c r="J3880" s="70"/>
      <c r="K3880" s="110" t="str">
        <f>IF(H3880="","",IF($C$29="간이법","",FPR(H3880,I3880,J3880)))</f>
        <v/>
      </c>
      <c r="L3880" s="111" t="str">
        <f>IF(H3880="","",IF($C$29="상세법",FPV(H3880,K3880),IF(H3880="EI",4,IF(H3880="EO",5.2,IF(H3880="EQ",3.9,IF(H3880="ILF",7.5,IF(H3880="EIF",5.4)))))))</f>
        <v/>
      </c>
      <c r="M3880" s="112" t="str">
        <f t="shared" si="63"/>
        <v/>
      </c>
      <c r="N3880" s="113"/>
    </row>
    <row r="3881" spans="2:14">
      <c r="B3881" s="105"/>
      <c r="C3881" s="106"/>
      <c r="D3881" s="107"/>
      <c r="E3881" s="65"/>
      <c r="F3881" s="64"/>
      <c r="G3881" s="64"/>
      <c r="H3881" s="64"/>
      <c r="I3881" s="70"/>
      <c r="J3881" s="70"/>
      <c r="K3881" s="110" t="str">
        <f>IF(H3881="","",IF($C$29="간이법","",FPR(H3881,I3881,J3881)))</f>
        <v/>
      </c>
      <c r="L3881" s="111" t="str">
        <f>IF(H3881="","",IF($C$29="상세법",FPV(H3881,K3881),IF(H3881="EI",4,IF(H3881="EO",5.2,IF(H3881="EQ",3.9,IF(H3881="ILF",7.5,IF(H3881="EIF",5.4)))))))</f>
        <v/>
      </c>
      <c r="M3881" s="112" t="str">
        <f t="shared" si="63"/>
        <v/>
      </c>
      <c r="N3881" s="113"/>
    </row>
    <row r="3882" spans="2:14">
      <c r="B3882" s="105"/>
      <c r="C3882" s="106"/>
      <c r="D3882" s="107"/>
      <c r="E3882" s="65"/>
      <c r="F3882" s="64"/>
      <c r="G3882" s="64"/>
      <c r="H3882" s="64"/>
      <c r="I3882" s="70"/>
      <c r="J3882" s="70"/>
      <c r="K3882" s="110" t="str">
        <f>IF(H3882="","",IF($C$29="간이법","",FPR(H3882,I3882,J3882)))</f>
        <v/>
      </c>
      <c r="L3882" s="111" t="str">
        <f>IF(H3882="","",IF($C$29="상세법",FPV(H3882,K3882),IF(H3882="EI",4,IF(H3882="EO",5.2,IF(H3882="EQ",3.9,IF(H3882="ILF",7.5,IF(H3882="EIF",5.4)))))))</f>
        <v/>
      </c>
      <c r="M3882" s="112" t="str">
        <f t="shared" si="63"/>
        <v/>
      </c>
      <c r="N3882" s="113"/>
    </row>
    <row r="3883" spans="2:14">
      <c r="B3883" s="105"/>
      <c r="C3883" s="106"/>
      <c r="D3883" s="107"/>
      <c r="E3883" s="65"/>
      <c r="F3883" s="64"/>
      <c r="G3883" s="64"/>
      <c r="H3883" s="64"/>
      <c r="I3883" s="70"/>
      <c r="J3883" s="70"/>
      <c r="K3883" s="110" t="str">
        <f>IF(H3883="","",IF($C$29="간이법","",FPR(H3883,I3883,J3883)))</f>
        <v/>
      </c>
      <c r="L3883" s="111" t="str">
        <f>IF(H3883="","",IF($C$29="상세법",FPV(H3883,K3883),IF(H3883="EI",4,IF(H3883="EO",5.2,IF(H3883="EQ",3.9,IF(H3883="ILF",7.5,IF(H3883="EIF",5.4)))))))</f>
        <v/>
      </c>
      <c r="M3883" s="112" t="str">
        <f t="shared" si="63"/>
        <v/>
      </c>
      <c r="N3883" s="113"/>
    </row>
    <row r="3884" spans="2:14">
      <c r="B3884" s="105"/>
      <c r="C3884" s="106"/>
      <c r="D3884" s="107"/>
      <c r="E3884" s="65"/>
      <c r="F3884" s="64"/>
      <c r="G3884" s="64"/>
      <c r="H3884" s="64"/>
      <c r="I3884" s="70"/>
      <c r="J3884" s="70"/>
      <c r="K3884" s="110" t="str">
        <f>IF(H3884="","",IF($C$29="간이법","",FPR(H3884,I3884,J3884)))</f>
        <v/>
      </c>
      <c r="L3884" s="111" t="str">
        <f>IF(H3884="","",IF($C$29="상세법",FPV(H3884,K3884),IF(H3884="EI",4,IF(H3884="EO",5.2,IF(H3884="EQ",3.9,IF(H3884="ILF",7.5,IF(H3884="EIF",5.4)))))))</f>
        <v/>
      </c>
      <c r="M3884" s="112" t="str">
        <f t="shared" si="63"/>
        <v/>
      </c>
      <c r="N3884" s="113"/>
    </row>
    <row r="3885" spans="2:14">
      <c r="B3885" s="105"/>
      <c r="C3885" s="106"/>
      <c r="D3885" s="107"/>
      <c r="E3885" s="65"/>
      <c r="F3885" s="64"/>
      <c r="G3885" s="64"/>
      <c r="H3885" s="64"/>
      <c r="I3885" s="70"/>
      <c r="J3885" s="70"/>
      <c r="K3885" s="110" t="str">
        <f>IF(H3885="","",IF($C$29="간이법","",FPR(H3885,I3885,J3885)))</f>
        <v/>
      </c>
      <c r="L3885" s="111" t="str">
        <f>IF(H3885="","",IF($C$29="상세법",FPV(H3885,K3885),IF(H3885="EI",4,IF(H3885="EO",5.2,IF(H3885="EQ",3.9,IF(H3885="ILF",7.5,IF(H3885="EIF",5.4)))))))</f>
        <v/>
      </c>
      <c r="M3885" s="112" t="str">
        <f t="shared" si="63"/>
        <v/>
      </c>
      <c r="N3885" s="113"/>
    </row>
    <row r="3886" spans="2:14">
      <c r="B3886" s="105"/>
      <c r="C3886" s="106"/>
      <c r="D3886" s="107"/>
      <c r="E3886" s="65"/>
      <c r="F3886" s="64"/>
      <c r="G3886" s="64"/>
      <c r="H3886" s="64"/>
      <c r="I3886" s="70"/>
      <c r="J3886" s="70"/>
      <c r="K3886" s="110" t="str">
        <f>IF(H3886="","",IF($C$29="간이법","",FPR(H3886,I3886,J3886)))</f>
        <v/>
      </c>
      <c r="L3886" s="111" t="str">
        <f>IF(H3886="","",IF($C$29="상세법",FPV(H3886,K3886),IF(H3886="EI",4,IF(H3886="EO",5.2,IF(H3886="EQ",3.9,IF(H3886="ILF",7.5,IF(H3886="EIF",5.4)))))))</f>
        <v/>
      </c>
      <c r="M3886" s="112" t="str">
        <f t="shared" si="63"/>
        <v/>
      </c>
      <c r="N3886" s="113"/>
    </row>
    <row r="3887" spans="2:14">
      <c r="B3887" s="105"/>
      <c r="C3887" s="106"/>
      <c r="D3887" s="107"/>
      <c r="E3887" s="65"/>
      <c r="F3887" s="64"/>
      <c r="G3887" s="64"/>
      <c r="H3887" s="64"/>
      <c r="I3887" s="70"/>
      <c r="J3887" s="70"/>
      <c r="K3887" s="110" t="str">
        <f>IF(H3887="","",IF($C$29="간이법","",FPR(H3887,I3887,J3887)))</f>
        <v/>
      </c>
      <c r="L3887" s="111" t="str">
        <f>IF(H3887="","",IF($C$29="상세법",FPV(H3887,K3887),IF(H3887="EI",4,IF(H3887="EO",5.2,IF(H3887="EQ",3.9,IF(H3887="ILF",7.5,IF(H3887="EIF",5.4)))))))</f>
        <v/>
      </c>
      <c r="M3887" s="112" t="str">
        <f t="shared" si="63"/>
        <v/>
      </c>
      <c r="N3887" s="113"/>
    </row>
    <row r="3888" spans="2:14">
      <c r="B3888" s="105"/>
      <c r="C3888" s="106"/>
      <c r="D3888" s="107"/>
      <c r="E3888" s="65"/>
      <c r="F3888" s="64"/>
      <c r="G3888" s="64"/>
      <c r="H3888" s="64"/>
      <c r="I3888" s="70"/>
      <c r="J3888" s="70"/>
      <c r="K3888" s="110" t="str">
        <f>IF(H3888="","",IF($C$29="간이법","",FPR(H3888,I3888,J3888)))</f>
        <v/>
      </c>
      <c r="L3888" s="111" t="str">
        <f>IF(H3888="","",IF($C$29="상세법",FPV(H3888,K3888),IF(H3888="EI",4,IF(H3888="EO",5.2,IF(H3888="EQ",3.9,IF(H3888="ILF",7.5,IF(H3888="EIF",5.4)))))))</f>
        <v/>
      </c>
      <c r="M3888" s="112" t="str">
        <f t="shared" si="63"/>
        <v/>
      </c>
      <c r="N3888" s="113"/>
    </row>
    <row r="3889" spans="2:14">
      <c r="B3889" s="105"/>
      <c r="C3889" s="106"/>
      <c r="D3889" s="107"/>
      <c r="E3889" s="65"/>
      <c r="F3889" s="64"/>
      <c r="G3889" s="64"/>
      <c r="H3889" s="64"/>
      <c r="I3889" s="70"/>
      <c r="J3889" s="70"/>
      <c r="K3889" s="110" t="str">
        <f>IF(H3889="","",IF($C$29="간이법","",FPR(H3889,I3889,J3889)))</f>
        <v/>
      </c>
      <c r="L3889" s="111" t="str">
        <f>IF(H3889="","",IF($C$29="상세법",FPV(H3889,K3889),IF(H3889="EI",4,IF(H3889="EO",5.2,IF(H3889="EQ",3.9,IF(H3889="ILF",7.5,IF(H3889="EIF",5.4)))))))</f>
        <v/>
      </c>
      <c r="M3889" s="112" t="str">
        <f t="shared" si="63"/>
        <v/>
      </c>
      <c r="N3889" s="113"/>
    </row>
    <row r="3890" spans="2:14">
      <c r="B3890" s="105"/>
      <c r="C3890" s="106"/>
      <c r="D3890" s="107"/>
      <c r="E3890" s="65"/>
      <c r="F3890" s="64"/>
      <c r="G3890" s="64"/>
      <c r="H3890" s="64"/>
      <c r="I3890" s="70"/>
      <c r="J3890" s="70"/>
      <c r="K3890" s="110" t="str">
        <f>IF(H3890="","",IF($C$29="간이법","",FPR(H3890,I3890,J3890)))</f>
        <v/>
      </c>
      <c r="L3890" s="111" t="str">
        <f>IF(H3890="","",IF($C$29="상세법",FPV(H3890,K3890),IF(H3890="EI",4,IF(H3890="EO",5.2,IF(H3890="EQ",3.9,IF(H3890="ILF",7.5,IF(H3890="EIF",5.4)))))))</f>
        <v/>
      </c>
      <c r="M3890" s="112" t="str">
        <f t="shared" si="63"/>
        <v/>
      </c>
      <c r="N3890" s="113"/>
    </row>
    <row r="3891" spans="2:14">
      <c r="B3891" s="105"/>
      <c r="C3891" s="106"/>
      <c r="D3891" s="107"/>
      <c r="E3891" s="65"/>
      <c r="F3891" s="64"/>
      <c r="G3891" s="64"/>
      <c r="H3891" s="64"/>
      <c r="I3891" s="70"/>
      <c r="J3891" s="70"/>
      <c r="K3891" s="110" t="str">
        <f>IF(H3891="","",IF($C$29="간이법","",FPR(H3891,I3891,J3891)))</f>
        <v/>
      </c>
      <c r="L3891" s="111" t="str">
        <f>IF(H3891="","",IF($C$29="상세법",FPV(H3891,K3891),IF(H3891="EI",4,IF(H3891="EO",5.2,IF(H3891="EQ",3.9,IF(H3891="ILF",7.5,IF(H3891="EIF",5.4)))))))</f>
        <v/>
      </c>
      <c r="M3891" s="112" t="str">
        <f t="shared" si="63"/>
        <v/>
      </c>
      <c r="N3891" s="113"/>
    </row>
    <row r="3892" spans="2:14">
      <c r="B3892" s="105"/>
      <c r="C3892" s="106"/>
      <c r="D3892" s="107"/>
      <c r="E3892" s="65"/>
      <c r="F3892" s="64"/>
      <c r="G3892" s="64"/>
      <c r="H3892" s="64"/>
      <c r="I3892" s="70"/>
      <c r="J3892" s="70"/>
      <c r="K3892" s="110" t="str">
        <f>IF(H3892="","",IF($C$29="간이법","",FPR(H3892,I3892,J3892)))</f>
        <v/>
      </c>
      <c r="L3892" s="111" t="str">
        <f>IF(H3892="","",IF($C$29="상세법",FPV(H3892,K3892),IF(H3892="EI",4,IF(H3892="EO",5.2,IF(H3892="EQ",3.9,IF(H3892="ILF",7.5,IF(H3892="EIF",5.4)))))))</f>
        <v/>
      </c>
      <c r="M3892" s="112" t="str">
        <f t="shared" si="63"/>
        <v/>
      </c>
      <c r="N3892" s="113"/>
    </row>
    <row r="3893" spans="2:14">
      <c r="B3893" s="105"/>
      <c r="C3893" s="106"/>
      <c r="D3893" s="107"/>
      <c r="E3893" s="65"/>
      <c r="F3893" s="64"/>
      <c r="G3893" s="64"/>
      <c r="H3893" s="64"/>
      <c r="I3893" s="70"/>
      <c r="J3893" s="70"/>
      <c r="K3893" s="110" t="str">
        <f>IF(H3893="","",IF($C$29="간이법","",FPR(H3893,I3893,J3893)))</f>
        <v/>
      </c>
      <c r="L3893" s="111" t="str">
        <f>IF(H3893="","",IF($C$29="상세법",FPV(H3893,K3893),IF(H3893="EI",4,IF(H3893="EO",5.2,IF(H3893="EQ",3.9,IF(H3893="ILF",7.5,IF(H3893="EIF",5.4)))))))</f>
        <v/>
      </c>
      <c r="M3893" s="112" t="str">
        <f t="shared" si="63"/>
        <v/>
      </c>
      <c r="N3893" s="113"/>
    </row>
    <row r="3894" spans="2:14">
      <c r="B3894" s="105"/>
      <c r="C3894" s="106"/>
      <c r="D3894" s="107"/>
      <c r="E3894" s="65"/>
      <c r="F3894" s="64"/>
      <c r="G3894" s="64"/>
      <c r="H3894" s="64"/>
      <c r="I3894" s="70"/>
      <c r="J3894" s="70"/>
      <c r="K3894" s="110" t="str">
        <f>IF(H3894="","",IF($C$29="간이법","",FPR(H3894,I3894,J3894)))</f>
        <v/>
      </c>
      <c r="L3894" s="111" t="str">
        <f>IF(H3894="","",IF($C$29="상세법",FPV(H3894,K3894),IF(H3894="EI",4,IF(H3894="EO",5.2,IF(H3894="EQ",3.9,IF(H3894="ILF",7.5,IF(H3894="EIF",5.4)))))))</f>
        <v/>
      </c>
      <c r="M3894" s="112" t="str">
        <f t="shared" si="63"/>
        <v/>
      </c>
      <c r="N3894" s="113"/>
    </row>
    <row r="3895" spans="2:14">
      <c r="B3895" s="105"/>
      <c r="C3895" s="106"/>
      <c r="D3895" s="107"/>
      <c r="E3895" s="65"/>
      <c r="F3895" s="64"/>
      <c r="G3895" s="64"/>
      <c r="H3895" s="64"/>
      <c r="I3895" s="70"/>
      <c r="J3895" s="70"/>
      <c r="K3895" s="110" t="str">
        <f>IF(H3895="","",IF($C$29="간이법","",FPR(H3895,I3895,J3895)))</f>
        <v/>
      </c>
      <c r="L3895" s="111" t="str">
        <f>IF(H3895="","",IF($C$29="상세법",FPV(H3895,K3895),IF(H3895="EI",4,IF(H3895="EO",5.2,IF(H3895="EQ",3.9,IF(H3895="ILF",7.5,IF(H3895="EIF",5.4)))))))</f>
        <v/>
      </c>
      <c r="M3895" s="112" t="str">
        <f t="shared" si="63"/>
        <v/>
      </c>
      <c r="N3895" s="113"/>
    </row>
    <row r="3896" spans="2:14">
      <c r="B3896" s="105"/>
      <c r="C3896" s="106"/>
      <c r="D3896" s="107"/>
      <c r="E3896" s="65"/>
      <c r="F3896" s="64"/>
      <c r="G3896" s="64"/>
      <c r="H3896" s="64"/>
      <c r="I3896" s="70"/>
      <c r="J3896" s="70"/>
      <c r="K3896" s="110" t="str">
        <f>IF(H3896="","",IF($C$29="간이법","",FPR(H3896,I3896,J3896)))</f>
        <v/>
      </c>
      <c r="L3896" s="111" t="str">
        <f>IF(H3896="","",IF($C$29="상세법",FPV(H3896,K3896),IF(H3896="EI",4,IF(H3896="EO",5.2,IF(H3896="EQ",3.9,IF(H3896="ILF",7.5,IF(H3896="EIF",5.4)))))))</f>
        <v/>
      </c>
      <c r="M3896" s="112" t="str">
        <f t="shared" si="63"/>
        <v/>
      </c>
      <c r="N3896" s="113"/>
    </row>
    <row r="3897" spans="2:14">
      <c r="B3897" s="105"/>
      <c r="C3897" s="106"/>
      <c r="D3897" s="107"/>
      <c r="E3897" s="65"/>
      <c r="F3897" s="64"/>
      <c r="G3897" s="64"/>
      <c r="H3897" s="64"/>
      <c r="I3897" s="70"/>
      <c r="J3897" s="70"/>
      <c r="K3897" s="110" t="str">
        <f>IF(H3897="","",IF($C$29="간이법","",FPR(H3897,I3897,J3897)))</f>
        <v/>
      </c>
      <c r="L3897" s="111" t="str">
        <f>IF(H3897="","",IF($C$29="상세법",FPV(H3897,K3897),IF(H3897="EI",4,IF(H3897="EO",5.2,IF(H3897="EQ",3.9,IF(H3897="ILF",7.5,IF(H3897="EIF",5.4)))))))</f>
        <v/>
      </c>
      <c r="M3897" s="112" t="str">
        <f t="shared" ref="M3897:M3960" si="64">IF(L3897="","",L3897*IF(G3897="상",0.7,IF(G3897="중",0.5,IF(G3897="하",0.2,1))))</f>
        <v/>
      </c>
      <c r="N3897" s="113"/>
    </row>
    <row r="3898" spans="2:14">
      <c r="B3898" s="105"/>
      <c r="C3898" s="106"/>
      <c r="D3898" s="107"/>
      <c r="E3898" s="65"/>
      <c r="F3898" s="64"/>
      <c r="G3898" s="64"/>
      <c r="H3898" s="64"/>
      <c r="I3898" s="70"/>
      <c r="J3898" s="70"/>
      <c r="K3898" s="110" t="str">
        <f>IF(H3898="","",IF($C$29="간이법","",FPR(H3898,I3898,J3898)))</f>
        <v/>
      </c>
      <c r="L3898" s="111" t="str">
        <f>IF(H3898="","",IF($C$29="상세법",FPV(H3898,K3898),IF(H3898="EI",4,IF(H3898="EO",5.2,IF(H3898="EQ",3.9,IF(H3898="ILF",7.5,IF(H3898="EIF",5.4)))))))</f>
        <v/>
      </c>
      <c r="M3898" s="112" t="str">
        <f t="shared" si="64"/>
        <v/>
      </c>
      <c r="N3898" s="113"/>
    </row>
    <row r="3899" spans="2:14">
      <c r="B3899" s="105"/>
      <c r="C3899" s="106"/>
      <c r="D3899" s="107"/>
      <c r="E3899" s="65"/>
      <c r="F3899" s="64"/>
      <c r="G3899" s="64"/>
      <c r="H3899" s="64"/>
      <c r="I3899" s="70"/>
      <c r="J3899" s="70"/>
      <c r="K3899" s="110" t="str">
        <f>IF(H3899="","",IF($C$29="간이법","",FPR(H3899,I3899,J3899)))</f>
        <v/>
      </c>
      <c r="L3899" s="111" t="str">
        <f>IF(H3899="","",IF($C$29="상세법",FPV(H3899,K3899),IF(H3899="EI",4,IF(H3899="EO",5.2,IF(H3899="EQ",3.9,IF(H3899="ILF",7.5,IF(H3899="EIF",5.4)))))))</f>
        <v/>
      </c>
      <c r="M3899" s="112" t="str">
        <f t="shared" si="64"/>
        <v/>
      </c>
      <c r="N3899" s="113"/>
    </row>
    <row r="3900" spans="2:14">
      <c r="B3900" s="105"/>
      <c r="C3900" s="106"/>
      <c r="D3900" s="107"/>
      <c r="E3900" s="65"/>
      <c r="F3900" s="64"/>
      <c r="G3900" s="64"/>
      <c r="H3900" s="64"/>
      <c r="I3900" s="70"/>
      <c r="J3900" s="70"/>
      <c r="K3900" s="110" t="str">
        <f>IF(H3900="","",IF($C$29="간이법","",FPR(H3900,I3900,J3900)))</f>
        <v/>
      </c>
      <c r="L3900" s="111" t="str">
        <f>IF(H3900="","",IF($C$29="상세법",FPV(H3900,K3900),IF(H3900="EI",4,IF(H3900="EO",5.2,IF(H3900="EQ",3.9,IF(H3900="ILF",7.5,IF(H3900="EIF",5.4)))))))</f>
        <v/>
      </c>
      <c r="M3900" s="112" t="str">
        <f t="shared" si="64"/>
        <v/>
      </c>
      <c r="N3900" s="113"/>
    </row>
    <row r="3901" spans="2:14">
      <c r="B3901" s="105"/>
      <c r="C3901" s="106"/>
      <c r="D3901" s="107"/>
      <c r="E3901" s="65"/>
      <c r="F3901" s="64"/>
      <c r="G3901" s="64"/>
      <c r="H3901" s="64"/>
      <c r="I3901" s="70"/>
      <c r="J3901" s="70"/>
      <c r="K3901" s="110" t="str">
        <f>IF(H3901="","",IF($C$29="간이법","",FPR(H3901,I3901,J3901)))</f>
        <v/>
      </c>
      <c r="L3901" s="111" t="str">
        <f>IF(H3901="","",IF($C$29="상세법",FPV(H3901,K3901),IF(H3901="EI",4,IF(H3901="EO",5.2,IF(H3901="EQ",3.9,IF(H3901="ILF",7.5,IF(H3901="EIF",5.4)))))))</f>
        <v/>
      </c>
      <c r="M3901" s="112" t="str">
        <f t="shared" si="64"/>
        <v/>
      </c>
      <c r="N3901" s="113"/>
    </row>
    <row r="3902" spans="2:14">
      <c r="B3902" s="105"/>
      <c r="C3902" s="106"/>
      <c r="D3902" s="107"/>
      <c r="E3902" s="65"/>
      <c r="F3902" s="64"/>
      <c r="G3902" s="64"/>
      <c r="H3902" s="64"/>
      <c r="I3902" s="70"/>
      <c r="J3902" s="70"/>
      <c r="K3902" s="110" t="str">
        <f>IF(H3902="","",IF($C$29="간이법","",FPR(H3902,I3902,J3902)))</f>
        <v/>
      </c>
      <c r="L3902" s="111" t="str">
        <f>IF(H3902="","",IF($C$29="상세법",FPV(H3902,K3902),IF(H3902="EI",4,IF(H3902="EO",5.2,IF(H3902="EQ",3.9,IF(H3902="ILF",7.5,IF(H3902="EIF",5.4)))))))</f>
        <v/>
      </c>
      <c r="M3902" s="112" t="str">
        <f t="shared" si="64"/>
        <v/>
      </c>
      <c r="N3902" s="113"/>
    </row>
    <row r="3903" spans="2:14">
      <c r="B3903" s="105"/>
      <c r="C3903" s="106"/>
      <c r="D3903" s="107"/>
      <c r="E3903" s="65"/>
      <c r="F3903" s="64"/>
      <c r="G3903" s="64"/>
      <c r="H3903" s="64"/>
      <c r="I3903" s="70"/>
      <c r="J3903" s="70"/>
      <c r="K3903" s="110" t="str">
        <f>IF(H3903="","",IF($C$29="간이법","",FPR(H3903,I3903,J3903)))</f>
        <v/>
      </c>
      <c r="L3903" s="111" t="str">
        <f>IF(H3903="","",IF($C$29="상세법",FPV(H3903,K3903),IF(H3903="EI",4,IF(H3903="EO",5.2,IF(H3903="EQ",3.9,IF(H3903="ILF",7.5,IF(H3903="EIF",5.4)))))))</f>
        <v/>
      </c>
      <c r="M3903" s="112" t="str">
        <f t="shared" si="64"/>
        <v/>
      </c>
      <c r="N3903" s="113"/>
    </row>
    <row r="3904" spans="2:14">
      <c r="B3904" s="105"/>
      <c r="C3904" s="106"/>
      <c r="D3904" s="107"/>
      <c r="E3904" s="65"/>
      <c r="F3904" s="64"/>
      <c r="G3904" s="64"/>
      <c r="H3904" s="64"/>
      <c r="I3904" s="70"/>
      <c r="J3904" s="70"/>
      <c r="K3904" s="110" t="str">
        <f>IF(H3904="","",IF($C$29="간이법","",FPR(H3904,I3904,J3904)))</f>
        <v/>
      </c>
      <c r="L3904" s="111" t="str">
        <f>IF(H3904="","",IF($C$29="상세법",FPV(H3904,K3904),IF(H3904="EI",4,IF(H3904="EO",5.2,IF(H3904="EQ",3.9,IF(H3904="ILF",7.5,IF(H3904="EIF",5.4)))))))</f>
        <v/>
      </c>
      <c r="M3904" s="112" t="str">
        <f t="shared" si="64"/>
        <v/>
      </c>
      <c r="N3904" s="113"/>
    </row>
    <row r="3905" spans="2:14">
      <c r="B3905" s="105"/>
      <c r="C3905" s="106"/>
      <c r="D3905" s="107"/>
      <c r="E3905" s="65"/>
      <c r="F3905" s="64"/>
      <c r="G3905" s="64"/>
      <c r="H3905" s="64"/>
      <c r="I3905" s="70"/>
      <c r="J3905" s="70"/>
      <c r="K3905" s="110" t="str">
        <f>IF(H3905="","",IF($C$29="간이법","",FPR(H3905,I3905,J3905)))</f>
        <v/>
      </c>
      <c r="L3905" s="111" t="str">
        <f>IF(H3905="","",IF($C$29="상세법",FPV(H3905,K3905),IF(H3905="EI",4,IF(H3905="EO",5.2,IF(H3905="EQ",3.9,IF(H3905="ILF",7.5,IF(H3905="EIF",5.4)))))))</f>
        <v/>
      </c>
      <c r="M3905" s="112" t="str">
        <f t="shared" si="64"/>
        <v/>
      </c>
      <c r="N3905" s="113"/>
    </row>
    <row r="3906" spans="2:14">
      <c r="B3906" s="105"/>
      <c r="C3906" s="106"/>
      <c r="D3906" s="107"/>
      <c r="E3906" s="65"/>
      <c r="F3906" s="64"/>
      <c r="G3906" s="64"/>
      <c r="H3906" s="64"/>
      <c r="I3906" s="70"/>
      <c r="J3906" s="70"/>
      <c r="K3906" s="110" t="str">
        <f>IF(H3906="","",IF($C$29="간이법","",FPR(H3906,I3906,J3906)))</f>
        <v/>
      </c>
      <c r="L3906" s="111" t="str">
        <f>IF(H3906="","",IF($C$29="상세법",FPV(H3906,K3906),IF(H3906="EI",4,IF(H3906="EO",5.2,IF(H3906="EQ",3.9,IF(H3906="ILF",7.5,IF(H3906="EIF",5.4)))))))</f>
        <v/>
      </c>
      <c r="M3906" s="112" t="str">
        <f t="shared" si="64"/>
        <v/>
      </c>
      <c r="N3906" s="113"/>
    </row>
    <row r="3907" spans="2:14">
      <c r="B3907" s="105"/>
      <c r="C3907" s="106"/>
      <c r="D3907" s="107"/>
      <c r="E3907" s="65"/>
      <c r="F3907" s="64"/>
      <c r="G3907" s="64"/>
      <c r="H3907" s="64"/>
      <c r="I3907" s="70"/>
      <c r="J3907" s="70"/>
      <c r="K3907" s="110" t="str">
        <f>IF(H3907="","",IF($C$29="간이법","",FPR(H3907,I3907,J3907)))</f>
        <v/>
      </c>
      <c r="L3907" s="111" t="str">
        <f>IF(H3907="","",IF($C$29="상세법",FPV(H3907,K3907),IF(H3907="EI",4,IF(H3907="EO",5.2,IF(H3907="EQ",3.9,IF(H3907="ILF",7.5,IF(H3907="EIF",5.4)))))))</f>
        <v/>
      </c>
      <c r="M3907" s="112" t="str">
        <f t="shared" si="64"/>
        <v/>
      </c>
      <c r="N3907" s="113"/>
    </row>
    <row r="3908" spans="2:14">
      <c r="B3908" s="105"/>
      <c r="C3908" s="106"/>
      <c r="D3908" s="107"/>
      <c r="E3908" s="65"/>
      <c r="F3908" s="64"/>
      <c r="G3908" s="64"/>
      <c r="H3908" s="64"/>
      <c r="I3908" s="70"/>
      <c r="J3908" s="70"/>
      <c r="K3908" s="110" t="str">
        <f>IF(H3908="","",IF($C$29="간이법","",FPR(H3908,I3908,J3908)))</f>
        <v/>
      </c>
      <c r="L3908" s="111" t="str">
        <f>IF(H3908="","",IF($C$29="상세법",FPV(H3908,K3908),IF(H3908="EI",4,IF(H3908="EO",5.2,IF(H3908="EQ",3.9,IF(H3908="ILF",7.5,IF(H3908="EIF",5.4)))))))</f>
        <v/>
      </c>
      <c r="M3908" s="112" t="str">
        <f t="shared" si="64"/>
        <v/>
      </c>
      <c r="N3908" s="113"/>
    </row>
    <row r="3909" spans="2:14">
      <c r="B3909" s="105"/>
      <c r="C3909" s="106"/>
      <c r="D3909" s="107"/>
      <c r="E3909" s="65"/>
      <c r="F3909" s="64"/>
      <c r="G3909" s="64"/>
      <c r="H3909" s="64"/>
      <c r="I3909" s="70"/>
      <c r="J3909" s="70"/>
      <c r="K3909" s="110" t="str">
        <f>IF(H3909="","",IF($C$29="간이법","",FPR(H3909,I3909,J3909)))</f>
        <v/>
      </c>
      <c r="L3909" s="111" t="str">
        <f>IF(H3909="","",IF($C$29="상세법",FPV(H3909,K3909),IF(H3909="EI",4,IF(H3909="EO",5.2,IF(H3909="EQ",3.9,IF(H3909="ILF",7.5,IF(H3909="EIF",5.4)))))))</f>
        <v/>
      </c>
      <c r="M3909" s="112" t="str">
        <f t="shared" si="64"/>
        <v/>
      </c>
      <c r="N3909" s="113"/>
    </row>
    <row r="3910" spans="2:14">
      <c r="B3910" s="105"/>
      <c r="C3910" s="106"/>
      <c r="D3910" s="107"/>
      <c r="E3910" s="65"/>
      <c r="F3910" s="64"/>
      <c r="G3910" s="64"/>
      <c r="H3910" s="64"/>
      <c r="I3910" s="70"/>
      <c r="J3910" s="70"/>
      <c r="K3910" s="110" t="str">
        <f>IF(H3910="","",IF($C$29="간이법","",FPR(H3910,I3910,J3910)))</f>
        <v/>
      </c>
      <c r="L3910" s="111" t="str">
        <f>IF(H3910="","",IF($C$29="상세법",FPV(H3910,K3910),IF(H3910="EI",4,IF(H3910="EO",5.2,IF(H3910="EQ",3.9,IF(H3910="ILF",7.5,IF(H3910="EIF",5.4)))))))</f>
        <v/>
      </c>
      <c r="M3910" s="112" t="str">
        <f t="shared" si="64"/>
        <v/>
      </c>
      <c r="N3910" s="113"/>
    </row>
    <row r="3911" spans="2:14">
      <c r="B3911" s="105"/>
      <c r="C3911" s="106"/>
      <c r="D3911" s="107"/>
      <c r="E3911" s="65"/>
      <c r="F3911" s="64"/>
      <c r="G3911" s="64"/>
      <c r="H3911" s="64"/>
      <c r="I3911" s="70"/>
      <c r="J3911" s="70"/>
      <c r="K3911" s="110" t="str">
        <f>IF(H3911="","",IF($C$29="간이법","",FPR(H3911,I3911,J3911)))</f>
        <v/>
      </c>
      <c r="L3911" s="111" t="str">
        <f>IF(H3911="","",IF($C$29="상세법",FPV(H3911,K3911),IF(H3911="EI",4,IF(H3911="EO",5.2,IF(H3911="EQ",3.9,IF(H3911="ILF",7.5,IF(H3911="EIF",5.4)))))))</f>
        <v/>
      </c>
      <c r="M3911" s="112" t="str">
        <f t="shared" si="64"/>
        <v/>
      </c>
      <c r="N3911" s="113"/>
    </row>
    <row r="3912" spans="2:14">
      <c r="B3912" s="105"/>
      <c r="C3912" s="106"/>
      <c r="D3912" s="107"/>
      <c r="E3912" s="65"/>
      <c r="F3912" s="64"/>
      <c r="G3912" s="64"/>
      <c r="H3912" s="64"/>
      <c r="I3912" s="70"/>
      <c r="J3912" s="70"/>
      <c r="K3912" s="110" t="str">
        <f>IF(H3912="","",IF($C$29="간이법","",FPR(H3912,I3912,J3912)))</f>
        <v/>
      </c>
      <c r="L3912" s="111" t="str">
        <f>IF(H3912="","",IF($C$29="상세법",FPV(H3912,K3912),IF(H3912="EI",4,IF(H3912="EO",5.2,IF(H3912="EQ",3.9,IF(H3912="ILF",7.5,IF(H3912="EIF",5.4)))))))</f>
        <v/>
      </c>
      <c r="M3912" s="112" t="str">
        <f t="shared" si="64"/>
        <v/>
      </c>
      <c r="N3912" s="113"/>
    </row>
    <row r="3913" spans="2:14">
      <c r="B3913" s="105"/>
      <c r="C3913" s="106"/>
      <c r="D3913" s="107"/>
      <c r="E3913" s="65"/>
      <c r="F3913" s="64"/>
      <c r="G3913" s="64"/>
      <c r="H3913" s="64"/>
      <c r="I3913" s="70"/>
      <c r="J3913" s="70"/>
      <c r="K3913" s="110" t="str">
        <f>IF(H3913="","",IF($C$29="간이법","",FPR(H3913,I3913,J3913)))</f>
        <v/>
      </c>
      <c r="L3913" s="111" t="str">
        <f>IF(H3913="","",IF($C$29="상세법",FPV(H3913,K3913),IF(H3913="EI",4,IF(H3913="EO",5.2,IF(H3913="EQ",3.9,IF(H3913="ILF",7.5,IF(H3913="EIF",5.4)))))))</f>
        <v/>
      </c>
      <c r="M3913" s="112" t="str">
        <f t="shared" si="64"/>
        <v/>
      </c>
      <c r="N3913" s="113"/>
    </row>
    <row r="3914" spans="2:14">
      <c r="B3914" s="105"/>
      <c r="C3914" s="106"/>
      <c r="D3914" s="107"/>
      <c r="E3914" s="65"/>
      <c r="F3914" s="64"/>
      <c r="G3914" s="64"/>
      <c r="H3914" s="64"/>
      <c r="I3914" s="70"/>
      <c r="J3914" s="70"/>
      <c r="K3914" s="110" t="str">
        <f>IF(H3914="","",IF($C$29="간이법","",FPR(H3914,I3914,J3914)))</f>
        <v/>
      </c>
      <c r="L3914" s="111" t="str">
        <f>IF(H3914="","",IF($C$29="상세법",FPV(H3914,K3914),IF(H3914="EI",4,IF(H3914="EO",5.2,IF(H3914="EQ",3.9,IF(H3914="ILF",7.5,IF(H3914="EIF",5.4)))))))</f>
        <v/>
      </c>
      <c r="M3914" s="112" t="str">
        <f t="shared" si="64"/>
        <v/>
      </c>
      <c r="N3914" s="113"/>
    </row>
    <row r="3915" spans="2:14">
      <c r="B3915" s="105"/>
      <c r="C3915" s="106"/>
      <c r="D3915" s="107"/>
      <c r="E3915" s="65"/>
      <c r="F3915" s="64"/>
      <c r="G3915" s="64"/>
      <c r="H3915" s="64"/>
      <c r="I3915" s="70"/>
      <c r="J3915" s="70"/>
      <c r="K3915" s="110" t="str">
        <f>IF(H3915="","",IF($C$29="간이법","",FPR(H3915,I3915,J3915)))</f>
        <v/>
      </c>
      <c r="L3915" s="111" t="str">
        <f>IF(H3915="","",IF($C$29="상세법",FPV(H3915,K3915),IF(H3915="EI",4,IF(H3915="EO",5.2,IF(H3915="EQ",3.9,IF(H3915="ILF",7.5,IF(H3915="EIF",5.4)))))))</f>
        <v/>
      </c>
      <c r="M3915" s="112" t="str">
        <f t="shared" si="64"/>
        <v/>
      </c>
      <c r="N3915" s="113"/>
    </row>
    <row r="3916" spans="2:14">
      <c r="B3916" s="105"/>
      <c r="C3916" s="106"/>
      <c r="D3916" s="107"/>
      <c r="E3916" s="65"/>
      <c r="F3916" s="64"/>
      <c r="G3916" s="64"/>
      <c r="H3916" s="64"/>
      <c r="I3916" s="70"/>
      <c r="J3916" s="70"/>
      <c r="K3916" s="110" t="str">
        <f>IF(H3916="","",IF($C$29="간이법","",FPR(H3916,I3916,J3916)))</f>
        <v/>
      </c>
      <c r="L3916" s="111" t="str">
        <f>IF(H3916="","",IF($C$29="상세법",FPV(H3916,K3916),IF(H3916="EI",4,IF(H3916="EO",5.2,IF(H3916="EQ",3.9,IF(H3916="ILF",7.5,IF(H3916="EIF",5.4)))))))</f>
        <v/>
      </c>
      <c r="M3916" s="112" t="str">
        <f t="shared" si="64"/>
        <v/>
      </c>
      <c r="N3916" s="113"/>
    </row>
    <row r="3917" spans="2:14">
      <c r="B3917" s="105"/>
      <c r="C3917" s="106"/>
      <c r="D3917" s="107"/>
      <c r="E3917" s="65"/>
      <c r="F3917" s="64"/>
      <c r="G3917" s="64"/>
      <c r="H3917" s="64"/>
      <c r="I3917" s="70"/>
      <c r="J3917" s="70"/>
      <c r="K3917" s="110" t="str">
        <f>IF(H3917="","",IF($C$29="간이법","",FPR(H3917,I3917,J3917)))</f>
        <v/>
      </c>
      <c r="L3917" s="111" t="str">
        <f>IF(H3917="","",IF($C$29="상세법",FPV(H3917,K3917),IF(H3917="EI",4,IF(H3917="EO",5.2,IF(H3917="EQ",3.9,IF(H3917="ILF",7.5,IF(H3917="EIF",5.4)))))))</f>
        <v/>
      </c>
      <c r="M3917" s="112" t="str">
        <f t="shared" si="64"/>
        <v/>
      </c>
      <c r="N3917" s="113"/>
    </row>
    <row r="3918" spans="2:14">
      <c r="B3918" s="105"/>
      <c r="C3918" s="106"/>
      <c r="D3918" s="107"/>
      <c r="E3918" s="65"/>
      <c r="F3918" s="64"/>
      <c r="G3918" s="64"/>
      <c r="H3918" s="64"/>
      <c r="I3918" s="70"/>
      <c r="J3918" s="70"/>
      <c r="K3918" s="110" t="str">
        <f>IF(H3918="","",IF($C$29="간이법","",FPR(H3918,I3918,J3918)))</f>
        <v/>
      </c>
      <c r="L3918" s="111" t="str">
        <f>IF(H3918="","",IF($C$29="상세법",FPV(H3918,K3918),IF(H3918="EI",4,IF(H3918="EO",5.2,IF(H3918="EQ",3.9,IF(H3918="ILF",7.5,IF(H3918="EIF",5.4)))))))</f>
        <v/>
      </c>
      <c r="M3918" s="112" t="str">
        <f t="shared" si="64"/>
        <v/>
      </c>
      <c r="N3918" s="113"/>
    </row>
    <row r="3919" spans="2:14">
      <c r="B3919" s="105"/>
      <c r="C3919" s="106"/>
      <c r="D3919" s="107"/>
      <c r="E3919" s="65"/>
      <c r="F3919" s="64"/>
      <c r="G3919" s="64"/>
      <c r="H3919" s="64"/>
      <c r="I3919" s="70"/>
      <c r="J3919" s="70"/>
      <c r="K3919" s="110" t="str">
        <f>IF(H3919="","",IF($C$29="간이법","",FPR(H3919,I3919,J3919)))</f>
        <v/>
      </c>
      <c r="L3919" s="111" t="str">
        <f>IF(H3919="","",IF($C$29="상세법",FPV(H3919,K3919),IF(H3919="EI",4,IF(H3919="EO",5.2,IF(H3919="EQ",3.9,IF(H3919="ILF",7.5,IF(H3919="EIF",5.4)))))))</f>
        <v/>
      </c>
      <c r="M3919" s="112" t="str">
        <f t="shared" si="64"/>
        <v/>
      </c>
      <c r="N3919" s="113"/>
    </row>
    <row r="3920" spans="2:14">
      <c r="B3920" s="105"/>
      <c r="C3920" s="106"/>
      <c r="D3920" s="107"/>
      <c r="E3920" s="65"/>
      <c r="F3920" s="64"/>
      <c r="G3920" s="64"/>
      <c r="H3920" s="64"/>
      <c r="I3920" s="70"/>
      <c r="J3920" s="70"/>
      <c r="K3920" s="110" t="str">
        <f>IF(H3920="","",IF($C$29="간이법","",FPR(H3920,I3920,J3920)))</f>
        <v/>
      </c>
      <c r="L3920" s="111" t="str">
        <f>IF(H3920="","",IF($C$29="상세법",FPV(H3920,K3920),IF(H3920="EI",4,IF(H3920="EO",5.2,IF(H3920="EQ",3.9,IF(H3920="ILF",7.5,IF(H3920="EIF",5.4)))))))</f>
        <v/>
      </c>
      <c r="M3920" s="112" t="str">
        <f t="shared" si="64"/>
        <v/>
      </c>
      <c r="N3920" s="113"/>
    </row>
    <row r="3921" spans="2:14">
      <c r="B3921" s="105"/>
      <c r="C3921" s="106"/>
      <c r="D3921" s="107"/>
      <c r="E3921" s="65"/>
      <c r="F3921" s="64"/>
      <c r="G3921" s="64"/>
      <c r="H3921" s="64"/>
      <c r="I3921" s="70"/>
      <c r="J3921" s="70"/>
      <c r="K3921" s="110" t="str">
        <f>IF(H3921="","",IF($C$29="간이법","",FPR(H3921,I3921,J3921)))</f>
        <v/>
      </c>
      <c r="L3921" s="111" t="str">
        <f>IF(H3921="","",IF($C$29="상세법",FPV(H3921,K3921),IF(H3921="EI",4,IF(H3921="EO",5.2,IF(H3921="EQ",3.9,IF(H3921="ILF",7.5,IF(H3921="EIF",5.4)))))))</f>
        <v/>
      </c>
      <c r="M3921" s="112" t="str">
        <f t="shared" si="64"/>
        <v/>
      </c>
      <c r="N3921" s="113"/>
    </row>
    <row r="3922" spans="2:14">
      <c r="B3922" s="105"/>
      <c r="C3922" s="106"/>
      <c r="D3922" s="107"/>
      <c r="E3922" s="65"/>
      <c r="F3922" s="64"/>
      <c r="G3922" s="64"/>
      <c r="H3922" s="64"/>
      <c r="I3922" s="70"/>
      <c r="J3922" s="70"/>
      <c r="K3922" s="110" t="str">
        <f>IF(H3922="","",IF($C$29="간이법","",FPR(H3922,I3922,J3922)))</f>
        <v/>
      </c>
      <c r="L3922" s="111" t="str">
        <f>IF(H3922="","",IF($C$29="상세법",FPV(H3922,K3922),IF(H3922="EI",4,IF(H3922="EO",5.2,IF(H3922="EQ",3.9,IF(H3922="ILF",7.5,IF(H3922="EIF",5.4)))))))</f>
        <v/>
      </c>
      <c r="M3922" s="112" t="str">
        <f t="shared" si="64"/>
        <v/>
      </c>
      <c r="N3922" s="113"/>
    </row>
    <row r="3923" spans="2:14">
      <c r="B3923" s="105"/>
      <c r="C3923" s="106"/>
      <c r="D3923" s="107"/>
      <c r="E3923" s="65"/>
      <c r="F3923" s="64"/>
      <c r="G3923" s="64"/>
      <c r="H3923" s="64"/>
      <c r="I3923" s="70"/>
      <c r="J3923" s="70"/>
      <c r="K3923" s="110" t="str">
        <f>IF(H3923="","",IF($C$29="간이법","",FPR(H3923,I3923,J3923)))</f>
        <v/>
      </c>
      <c r="L3923" s="111" t="str">
        <f>IF(H3923="","",IF($C$29="상세법",FPV(H3923,K3923),IF(H3923="EI",4,IF(H3923="EO",5.2,IF(H3923="EQ",3.9,IF(H3923="ILF",7.5,IF(H3923="EIF",5.4)))))))</f>
        <v/>
      </c>
      <c r="M3923" s="112" t="str">
        <f t="shared" si="64"/>
        <v/>
      </c>
      <c r="N3923" s="113"/>
    </row>
    <row r="3924" spans="2:14">
      <c r="B3924" s="105"/>
      <c r="C3924" s="106"/>
      <c r="D3924" s="107"/>
      <c r="E3924" s="65"/>
      <c r="F3924" s="64"/>
      <c r="G3924" s="64"/>
      <c r="H3924" s="64"/>
      <c r="I3924" s="70"/>
      <c r="J3924" s="70"/>
      <c r="K3924" s="110" t="str">
        <f>IF(H3924="","",IF($C$29="간이법","",FPR(H3924,I3924,J3924)))</f>
        <v/>
      </c>
      <c r="L3924" s="111" t="str">
        <f>IF(H3924="","",IF($C$29="상세법",FPV(H3924,K3924),IF(H3924="EI",4,IF(H3924="EO",5.2,IF(H3924="EQ",3.9,IF(H3924="ILF",7.5,IF(H3924="EIF",5.4)))))))</f>
        <v/>
      </c>
      <c r="M3924" s="112" t="str">
        <f t="shared" si="64"/>
        <v/>
      </c>
      <c r="N3924" s="113"/>
    </row>
    <row r="3925" spans="2:14">
      <c r="B3925" s="105"/>
      <c r="C3925" s="106"/>
      <c r="D3925" s="107"/>
      <c r="E3925" s="65"/>
      <c r="F3925" s="64"/>
      <c r="G3925" s="64"/>
      <c r="H3925" s="64"/>
      <c r="I3925" s="70"/>
      <c r="J3925" s="70"/>
      <c r="K3925" s="110" t="str">
        <f>IF(H3925="","",IF($C$29="간이법","",FPR(H3925,I3925,J3925)))</f>
        <v/>
      </c>
      <c r="L3925" s="111" t="str">
        <f>IF(H3925="","",IF($C$29="상세법",FPV(H3925,K3925),IF(H3925="EI",4,IF(H3925="EO",5.2,IF(H3925="EQ",3.9,IF(H3925="ILF",7.5,IF(H3925="EIF",5.4)))))))</f>
        <v/>
      </c>
      <c r="M3925" s="112" t="str">
        <f t="shared" si="64"/>
        <v/>
      </c>
      <c r="N3925" s="113"/>
    </row>
    <row r="3926" spans="2:14">
      <c r="B3926" s="105"/>
      <c r="C3926" s="106"/>
      <c r="D3926" s="107"/>
      <c r="E3926" s="65"/>
      <c r="F3926" s="64"/>
      <c r="G3926" s="64"/>
      <c r="H3926" s="64"/>
      <c r="I3926" s="70"/>
      <c r="J3926" s="70"/>
      <c r="K3926" s="110" t="str">
        <f>IF(H3926="","",IF($C$29="간이법","",FPR(H3926,I3926,J3926)))</f>
        <v/>
      </c>
      <c r="L3926" s="111" t="str">
        <f>IF(H3926="","",IF($C$29="상세법",FPV(H3926,K3926),IF(H3926="EI",4,IF(H3926="EO",5.2,IF(H3926="EQ",3.9,IF(H3926="ILF",7.5,IF(H3926="EIF",5.4)))))))</f>
        <v/>
      </c>
      <c r="M3926" s="112" t="str">
        <f t="shared" si="64"/>
        <v/>
      </c>
      <c r="N3926" s="113"/>
    </row>
    <row r="3927" spans="2:14">
      <c r="B3927" s="105"/>
      <c r="C3927" s="106"/>
      <c r="D3927" s="107"/>
      <c r="E3927" s="65"/>
      <c r="F3927" s="64"/>
      <c r="G3927" s="64"/>
      <c r="H3927" s="64"/>
      <c r="I3927" s="70"/>
      <c r="J3927" s="70"/>
      <c r="K3927" s="110" t="str">
        <f>IF(H3927="","",IF($C$29="간이법","",FPR(H3927,I3927,J3927)))</f>
        <v/>
      </c>
      <c r="L3927" s="111" t="str">
        <f>IF(H3927="","",IF($C$29="상세법",FPV(H3927,K3927),IF(H3927="EI",4,IF(H3927="EO",5.2,IF(H3927="EQ",3.9,IF(H3927="ILF",7.5,IF(H3927="EIF",5.4)))))))</f>
        <v/>
      </c>
      <c r="M3927" s="112" t="str">
        <f t="shared" si="64"/>
        <v/>
      </c>
      <c r="N3927" s="113"/>
    </row>
    <row r="3928" spans="2:14">
      <c r="B3928" s="105"/>
      <c r="C3928" s="106"/>
      <c r="D3928" s="107"/>
      <c r="E3928" s="65"/>
      <c r="F3928" s="64"/>
      <c r="G3928" s="64"/>
      <c r="H3928" s="64"/>
      <c r="I3928" s="70"/>
      <c r="J3928" s="70"/>
      <c r="K3928" s="110" t="str">
        <f>IF(H3928="","",IF($C$29="간이법","",FPR(H3928,I3928,J3928)))</f>
        <v/>
      </c>
      <c r="L3928" s="111" t="str">
        <f>IF(H3928="","",IF($C$29="상세법",FPV(H3928,K3928),IF(H3928="EI",4,IF(H3928="EO",5.2,IF(H3928="EQ",3.9,IF(H3928="ILF",7.5,IF(H3928="EIF",5.4)))))))</f>
        <v/>
      </c>
      <c r="M3928" s="112" t="str">
        <f t="shared" si="64"/>
        <v/>
      </c>
      <c r="N3928" s="113"/>
    </row>
    <row r="3929" spans="2:14">
      <c r="B3929" s="105"/>
      <c r="C3929" s="106"/>
      <c r="D3929" s="107"/>
      <c r="E3929" s="65"/>
      <c r="F3929" s="64"/>
      <c r="G3929" s="64"/>
      <c r="H3929" s="64"/>
      <c r="I3929" s="70"/>
      <c r="J3929" s="70"/>
      <c r="K3929" s="110" t="str">
        <f>IF(H3929="","",IF($C$29="간이법","",FPR(H3929,I3929,J3929)))</f>
        <v/>
      </c>
      <c r="L3929" s="111" t="str">
        <f>IF(H3929="","",IF($C$29="상세법",FPV(H3929,K3929),IF(H3929="EI",4,IF(H3929="EO",5.2,IF(H3929="EQ",3.9,IF(H3929="ILF",7.5,IF(H3929="EIF",5.4)))))))</f>
        <v/>
      </c>
      <c r="M3929" s="112" t="str">
        <f t="shared" si="64"/>
        <v/>
      </c>
      <c r="N3929" s="113"/>
    </row>
    <row r="3930" spans="2:14">
      <c r="B3930" s="105"/>
      <c r="C3930" s="106"/>
      <c r="D3930" s="107"/>
      <c r="E3930" s="65"/>
      <c r="F3930" s="64"/>
      <c r="G3930" s="64"/>
      <c r="H3930" s="64"/>
      <c r="I3930" s="70"/>
      <c r="J3930" s="70"/>
      <c r="K3930" s="110" t="str">
        <f>IF(H3930="","",IF($C$29="간이법","",FPR(H3930,I3930,J3930)))</f>
        <v/>
      </c>
      <c r="L3930" s="111" t="str">
        <f>IF(H3930="","",IF($C$29="상세법",FPV(H3930,K3930),IF(H3930="EI",4,IF(H3930="EO",5.2,IF(H3930="EQ",3.9,IF(H3930="ILF",7.5,IF(H3930="EIF",5.4)))))))</f>
        <v/>
      </c>
      <c r="M3930" s="112" t="str">
        <f t="shared" si="64"/>
        <v/>
      </c>
      <c r="N3930" s="113"/>
    </row>
    <row r="3931" spans="2:14">
      <c r="B3931" s="105"/>
      <c r="C3931" s="106"/>
      <c r="D3931" s="107"/>
      <c r="E3931" s="65"/>
      <c r="F3931" s="64"/>
      <c r="G3931" s="64"/>
      <c r="H3931" s="64"/>
      <c r="I3931" s="70"/>
      <c r="J3931" s="70"/>
      <c r="K3931" s="110" t="str">
        <f>IF(H3931="","",IF($C$29="간이법","",FPR(H3931,I3931,J3931)))</f>
        <v/>
      </c>
      <c r="L3931" s="111" t="str">
        <f>IF(H3931="","",IF($C$29="상세법",FPV(H3931,K3931),IF(H3931="EI",4,IF(H3931="EO",5.2,IF(H3931="EQ",3.9,IF(H3931="ILF",7.5,IF(H3931="EIF",5.4)))))))</f>
        <v/>
      </c>
      <c r="M3931" s="112" t="str">
        <f t="shared" si="64"/>
        <v/>
      </c>
      <c r="N3931" s="113"/>
    </row>
    <row r="3932" spans="2:14">
      <c r="B3932" s="105"/>
      <c r="C3932" s="106"/>
      <c r="D3932" s="107"/>
      <c r="E3932" s="65"/>
      <c r="F3932" s="64"/>
      <c r="G3932" s="64"/>
      <c r="H3932" s="64"/>
      <c r="I3932" s="70"/>
      <c r="J3932" s="70"/>
      <c r="K3932" s="110" t="str">
        <f>IF(H3932="","",IF($C$29="간이법","",FPR(H3932,I3932,J3932)))</f>
        <v/>
      </c>
      <c r="L3932" s="111" t="str">
        <f>IF(H3932="","",IF($C$29="상세법",FPV(H3932,K3932),IF(H3932="EI",4,IF(H3932="EO",5.2,IF(H3932="EQ",3.9,IF(H3932="ILF",7.5,IF(H3932="EIF",5.4)))))))</f>
        <v/>
      </c>
      <c r="M3932" s="112" t="str">
        <f t="shared" si="64"/>
        <v/>
      </c>
      <c r="N3932" s="113"/>
    </row>
    <row r="3933" spans="2:14">
      <c r="B3933" s="105"/>
      <c r="C3933" s="106"/>
      <c r="D3933" s="107"/>
      <c r="E3933" s="65"/>
      <c r="F3933" s="64"/>
      <c r="G3933" s="64"/>
      <c r="H3933" s="64"/>
      <c r="I3933" s="70"/>
      <c r="J3933" s="70"/>
      <c r="K3933" s="110" t="str">
        <f>IF(H3933="","",IF($C$29="간이법","",FPR(H3933,I3933,J3933)))</f>
        <v/>
      </c>
      <c r="L3933" s="111" t="str">
        <f>IF(H3933="","",IF($C$29="상세법",FPV(H3933,K3933),IF(H3933="EI",4,IF(H3933="EO",5.2,IF(H3933="EQ",3.9,IF(H3933="ILF",7.5,IF(H3933="EIF",5.4)))))))</f>
        <v/>
      </c>
      <c r="M3933" s="112" t="str">
        <f t="shared" si="64"/>
        <v/>
      </c>
      <c r="N3933" s="113"/>
    </row>
    <row r="3934" spans="2:14">
      <c r="B3934" s="105"/>
      <c r="C3934" s="106"/>
      <c r="D3934" s="107"/>
      <c r="E3934" s="65"/>
      <c r="F3934" s="64"/>
      <c r="G3934" s="64"/>
      <c r="H3934" s="64"/>
      <c r="I3934" s="70"/>
      <c r="J3934" s="70"/>
      <c r="K3934" s="110" t="str">
        <f>IF(H3934="","",IF($C$29="간이법","",FPR(H3934,I3934,J3934)))</f>
        <v/>
      </c>
      <c r="L3934" s="111" t="str">
        <f>IF(H3934="","",IF($C$29="상세법",FPV(H3934,K3934),IF(H3934="EI",4,IF(H3934="EO",5.2,IF(H3934="EQ",3.9,IF(H3934="ILF",7.5,IF(H3934="EIF",5.4)))))))</f>
        <v/>
      </c>
      <c r="M3934" s="112" t="str">
        <f t="shared" si="64"/>
        <v/>
      </c>
      <c r="N3934" s="113"/>
    </row>
    <row r="3935" spans="2:14">
      <c r="B3935" s="105"/>
      <c r="C3935" s="106"/>
      <c r="D3935" s="107"/>
      <c r="E3935" s="65"/>
      <c r="F3935" s="64"/>
      <c r="G3935" s="64"/>
      <c r="H3935" s="64"/>
      <c r="I3935" s="70"/>
      <c r="J3935" s="70"/>
      <c r="K3935" s="110" t="str">
        <f>IF(H3935="","",IF($C$29="간이법","",FPR(H3935,I3935,J3935)))</f>
        <v/>
      </c>
      <c r="L3935" s="111" t="str">
        <f>IF(H3935="","",IF($C$29="상세법",FPV(H3935,K3935),IF(H3935="EI",4,IF(H3935="EO",5.2,IF(H3935="EQ",3.9,IF(H3935="ILF",7.5,IF(H3935="EIF",5.4)))))))</f>
        <v/>
      </c>
      <c r="M3935" s="112" t="str">
        <f t="shared" si="64"/>
        <v/>
      </c>
      <c r="N3935" s="113"/>
    </row>
    <row r="3936" spans="2:14">
      <c r="B3936" s="105"/>
      <c r="C3936" s="106"/>
      <c r="D3936" s="107"/>
      <c r="E3936" s="65"/>
      <c r="F3936" s="64"/>
      <c r="G3936" s="64"/>
      <c r="H3936" s="64"/>
      <c r="I3936" s="70"/>
      <c r="J3936" s="70"/>
      <c r="K3936" s="110" t="str">
        <f>IF(H3936="","",IF($C$29="간이법","",FPR(H3936,I3936,J3936)))</f>
        <v/>
      </c>
      <c r="L3936" s="111" t="str">
        <f>IF(H3936="","",IF($C$29="상세법",FPV(H3936,K3936),IF(H3936="EI",4,IF(H3936="EO",5.2,IF(H3936="EQ",3.9,IF(H3936="ILF",7.5,IF(H3936="EIF",5.4)))))))</f>
        <v/>
      </c>
      <c r="M3936" s="112" t="str">
        <f t="shared" si="64"/>
        <v/>
      </c>
      <c r="N3936" s="113"/>
    </row>
    <row r="3937" spans="2:14">
      <c r="B3937" s="105"/>
      <c r="C3937" s="106"/>
      <c r="D3937" s="107"/>
      <c r="E3937" s="65"/>
      <c r="F3937" s="64"/>
      <c r="G3937" s="64"/>
      <c r="H3937" s="64"/>
      <c r="I3937" s="70"/>
      <c r="J3937" s="70"/>
      <c r="K3937" s="110" t="str">
        <f>IF(H3937="","",IF($C$29="간이법","",FPR(H3937,I3937,J3937)))</f>
        <v/>
      </c>
      <c r="L3937" s="111" t="str">
        <f>IF(H3937="","",IF($C$29="상세법",FPV(H3937,K3937),IF(H3937="EI",4,IF(H3937="EO",5.2,IF(H3937="EQ",3.9,IF(H3937="ILF",7.5,IF(H3937="EIF",5.4)))))))</f>
        <v/>
      </c>
      <c r="M3937" s="112" t="str">
        <f t="shared" si="64"/>
        <v/>
      </c>
      <c r="N3937" s="113"/>
    </row>
    <row r="3938" spans="2:14">
      <c r="B3938" s="105"/>
      <c r="C3938" s="106"/>
      <c r="D3938" s="107"/>
      <c r="E3938" s="65"/>
      <c r="F3938" s="64"/>
      <c r="G3938" s="64"/>
      <c r="H3938" s="64"/>
      <c r="I3938" s="70"/>
      <c r="J3938" s="70"/>
      <c r="K3938" s="110" t="str">
        <f>IF(H3938="","",IF($C$29="간이법","",FPR(H3938,I3938,J3938)))</f>
        <v/>
      </c>
      <c r="L3938" s="111" t="str">
        <f>IF(H3938="","",IF($C$29="상세법",FPV(H3938,K3938),IF(H3938="EI",4,IF(H3938="EO",5.2,IF(H3938="EQ",3.9,IF(H3938="ILF",7.5,IF(H3938="EIF",5.4)))))))</f>
        <v/>
      </c>
      <c r="M3938" s="112" t="str">
        <f t="shared" si="64"/>
        <v/>
      </c>
      <c r="N3938" s="113"/>
    </row>
    <row r="3939" spans="2:14">
      <c r="B3939" s="105"/>
      <c r="C3939" s="106"/>
      <c r="D3939" s="107"/>
      <c r="E3939" s="65"/>
      <c r="F3939" s="64"/>
      <c r="G3939" s="64"/>
      <c r="H3939" s="64"/>
      <c r="I3939" s="70"/>
      <c r="J3939" s="70"/>
      <c r="K3939" s="110" t="str">
        <f>IF(H3939="","",IF($C$29="간이법","",FPR(H3939,I3939,J3939)))</f>
        <v/>
      </c>
      <c r="L3939" s="111" t="str">
        <f>IF(H3939="","",IF($C$29="상세법",FPV(H3939,K3939),IF(H3939="EI",4,IF(H3939="EO",5.2,IF(H3939="EQ",3.9,IF(H3939="ILF",7.5,IF(H3939="EIF",5.4)))))))</f>
        <v/>
      </c>
      <c r="M3939" s="112" t="str">
        <f t="shared" si="64"/>
        <v/>
      </c>
      <c r="N3939" s="113"/>
    </row>
    <row r="3940" spans="2:14">
      <c r="B3940" s="105"/>
      <c r="C3940" s="106"/>
      <c r="D3940" s="107"/>
      <c r="E3940" s="65"/>
      <c r="F3940" s="64"/>
      <c r="G3940" s="64"/>
      <c r="H3940" s="64"/>
      <c r="I3940" s="70"/>
      <c r="J3940" s="70"/>
      <c r="K3940" s="110" t="str">
        <f>IF(H3940="","",IF($C$29="간이법","",FPR(H3940,I3940,J3940)))</f>
        <v/>
      </c>
      <c r="L3940" s="111" t="str">
        <f>IF(H3940="","",IF($C$29="상세법",FPV(H3940,K3940),IF(H3940="EI",4,IF(H3940="EO",5.2,IF(H3940="EQ",3.9,IF(H3940="ILF",7.5,IF(H3940="EIF",5.4)))))))</f>
        <v/>
      </c>
      <c r="M3940" s="112" t="str">
        <f t="shared" si="64"/>
        <v/>
      </c>
      <c r="N3940" s="113"/>
    </row>
    <row r="3941" spans="2:14">
      <c r="B3941" s="105"/>
      <c r="C3941" s="106"/>
      <c r="D3941" s="107"/>
      <c r="E3941" s="65"/>
      <c r="F3941" s="64"/>
      <c r="G3941" s="64"/>
      <c r="H3941" s="64"/>
      <c r="I3941" s="70"/>
      <c r="J3941" s="70"/>
      <c r="K3941" s="110" t="str">
        <f>IF(H3941="","",IF($C$29="간이법","",FPR(H3941,I3941,J3941)))</f>
        <v/>
      </c>
      <c r="L3941" s="111" t="str">
        <f>IF(H3941="","",IF($C$29="상세법",FPV(H3941,K3941),IF(H3941="EI",4,IF(H3941="EO",5.2,IF(H3941="EQ",3.9,IF(H3941="ILF",7.5,IF(H3941="EIF",5.4)))))))</f>
        <v/>
      </c>
      <c r="M3941" s="112" t="str">
        <f t="shared" si="64"/>
        <v/>
      </c>
      <c r="N3941" s="113"/>
    </row>
    <row r="3942" spans="2:14">
      <c r="B3942" s="105"/>
      <c r="C3942" s="106"/>
      <c r="D3942" s="107"/>
      <c r="E3942" s="65"/>
      <c r="F3942" s="64"/>
      <c r="G3942" s="64"/>
      <c r="H3942" s="64"/>
      <c r="I3942" s="70"/>
      <c r="J3942" s="70"/>
      <c r="K3942" s="110" t="str">
        <f>IF(H3942="","",IF($C$29="간이법","",FPR(H3942,I3942,J3942)))</f>
        <v/>
      </c>
      <c r="L3942" s="111" t="str">
        <f>IF(H3942="","",IF($C$29="상세법",FPV(H3942,K3942),IF(H3942="EI",4,IF(H3942="EO",5.2,IF(H3942="EQ",3.9,IF(H3942="ILF",7.5,IF(H3942="EIF",5.4)))))))</f>
        <v/>
      </c>
      <c r="M3942" s="112" t="str">
        <f t="shared" si="64"/>
        <v/>
      </c>
      <c r="N3942" s="113"/>
    </row>
    <row r="3943" spans="2:14">
      <c r="B3943" s="105"/>
      <c r="C3943" s="106"/>
      <c r="D3943" s="107"/>
      <c r="E3943" s="65"/>
      <c r="F3943" s="64"/>
      <c r="G3943" s="64"/>
      <c r="H3943" s="64"/>
      <c r="I3943" s="70"/>
      <c r="J3943" s="70"/>
      <c r="K3943" s="110" t="str">
        <f>IF(H3943="","",IF($C$29="간이법","",FPR(H3943,I3943,J3943)))</f>
        <v/>
      </c>
      <c r="L3943" s="111" t="str">
        <f>IF(H3943="","",IF($C$29="상세법",FPV(H3943,K3943),IF(H3943="EI",4,IF(H3943="EO",5.2,IF(H3943="EQ",3.9,IF(H3943="ILF",7.5,IF(H3943="EIF",5.4)))))))</f>
        <v/>
      </c>
      <c r="M3943" s="112" t="str">
        <f t="shared" si="64"/>
        <v/>
      </c>
      <c r="N3943" s="113"/>
    </row>
    <row r="3944" spans="2:14">
      <c r="B3944" s="105"/>
      <c r="C3944" s="106"/>
      <c r="D3944" s="107"/>
      <c r="E3944" s="65"/>
      <c r="F3944" s="64"/>
      <c r="G3944" s="64"/>
      <c r="H3944" s="64"/>
      <c r="I3944" s="70"/>
      <c r="J3944" s="70"/>
      <c r="K3944" s="110" t="str">
        <f>IF(H3944="","",IF($C$29="간이법","",FPR(H3944,I3944,J3944)))</f>
        <v/>
      </c>
      <c r="L3944" s="111" t="str">
        <f>IF(H3944="","",IF($C$29="상세법",FPV(H3944,K3944),IF(H3944="EI",4,IF(H3944="EO",5.2,IF(H3944="EQ",3.9,IF(H3944="ILF",7.5,IF(H3944="EIF",5.4)))))))</f>
        <v/>
      </c>
      <c r="M3944" s="112" t="str">
        <f t="shared" si="64"/>
        <v/>
      </c>
      <c r="N3944" s="113"/>
    </row>
    <row r="3945" spans="2:14">
      <c r="B3945" s="105"/>
      <c r="C3945" s="106"/>
      <c r="D3945" s="107"/>
      <c r="E3945" s="65"/>
      <c r="F3945" s="64"/>
      <c r="G3945" s="64"/>
      <c r="H3945" s="64"/>
      <c r="I3945" s="70"/>
      <c r="J3945" s="70"/>
      <c r="K3945" s="110" t="str">
        <f>IF(H3945="","",IF($C$29="간이법","",FPR(H3945,I3945,J3945)))</f>
        <v/>
      </c>
      <c r="L3945" s="111" t="str">
        <f>IF(H3945="","",IF($C$29="상세법",FPV(H3945,K3945),IF(H3945="EI",4,IF(H3945="EO",5.2,IF(H3945="EQ",3.9,IF(H3945="ILF",7.5,IF(H3945="EIF",5.4)))))))</f>
        <v/>
      </c>
      <c r="M3945" s="112" t="str">
        <f t="shared" si="64"/>
        <v/>
      </c>
      <c r="N3945" s="113"/>
    </row>
    <row r="3946" spans="2:14">
      <c r="B3946" s="105"/>
      <c r="C3946" s="106"/>
      <c r="D3946" s="107"/>
      <c r="E3946" s="65"/>
      <c r="F3946" s="64"/>
      <c r="G3946" s="64"/>
      <c r="H3946" s="64"/>
      <c r="I3946" s="70"/>
      <c r="J3946" s="70"/>
      <c r="K3946" s="110" t="str">
        <f>IF(H3946="","",IF($C$29="간이법","",FPR(H3946,I3946,J3946)))</f>
        <v/>
      </c>
      <c r="L3946" s="111" t="str">
        <f>IF(H3946="","",IF($C$29="상세법",FPV(H3946,K3946),IF(H3946="EI",4,IF(H3946="EO",5.2,IF(H3946="EQ",3.9,IF(H3946="ILF",7.5,IF(H3946="EIF",5.4)))))))</f>
        <v/>
      </c>
      <c r="M3946" s="112" t="str">
        <f t="shared" si="64"/>
        <v/>
      </c>
      <c r="N3946" s="113"/>
    </row>
    <row r="3947" spans="2:14">
      <c r="B3947" s="105"/>
      <c r="C3947" s="106"/>
      <c r="D3947" s="107"/>
      <c r="E3947" s="65"/>
      <c r="F3947" s="64"/>
      <c r="G3947" s="64"/>
      <c r="H3947" s="64"/>
      <c r="I3947" s="70"/>
      <c r="J3947" s="70"/>
      <c r="K3947" s="110" t="str">
        <f>IF(H3947="","",IF($C$29="간이법","",FPR(H3947,I3947,J3947)))</f>
        <v/>
      </c>
      <c r="L3947" s="111" t="str">
        <f>IF(H3947="","",IF($C$29="상세법",FPV(H3947,K3947),IF(H3947="EI",4,IF(H3947="EO",5.2,IF(H3947="EQ",3.9,IF(H3947="ILF",7.5,IF(H3947="EIF",5.4)))))))</f>
        <v/>
      </c>
      <c r="M3947" s="112" t="str">
        <f t="shared" si="64"/>
        <v/>
      </c>
      <c r="N3947" s="113"/>
    </row>
    <row r="3948" spans="2:14">
      <c r="B3948" s="105"/>
      <c r="C3948" s="106"/>
      <c r="D3948" s="107"/>
      <c r="E3948" s="65"/>
      <c r="F3948" s="64"/>
      <c r="G3948" s="64"/>
      <c r="H3948" s="64"/>
      <c r="I3948" s="70"/>
      <c r="J3948" s="70"/>
      <c r="K3948" s="110" t="str">
        <f>IF(H3948="","",IF($C$29="간이법","",FPR(H3948,I3948,J3948)))</f>
        <v/>
      </c>
      <c r="L3948" s="111" t="str">
        <f>IF(H3948="","",IF($C$29="상세법",FPV(H3948,K3948),IF(H3948="EI",4,IF(H3948="EO",5.2,IF(H3948="EQ",3.9,IF(H3948="ILF",7.5,IF(H3948="EIF",5.4)))))))</f>
        <v/>
      </c>
      <c r="M3948" s="112" t="str">
        <f t="shared" si="64"/>
        <v/>
      </c>
      <c r="N3948" s="113"/>
    </row>
    <row r="3949" spans="2:14">
      <c r="B3949" s="105"/>
      <c r="C3949" s="106"/>
      <c r="D3949" s="107"/>
      <c r="E3949" s="65"/>
      <c r="F3949" s="64"/>
      <c r="G3949" s="64"/>
      <c r="H3949" s="64"/>
      <c r="I3949" s="70"/>
      <c r="J3949" s="70"/>
      <c r="K3949" s="110" t="str">
        <f>IF(H3949="","",IF($C$29="간이법","",FPR(H3949,I3949,J3949)))</f>
        <v/>
      </c>
      <c r="L3949" s="111" t="str">
        <f>IF(H3949="","",IF($C$29="상세법",FPV(H3949,K3949),IF(H3949="EI",4,IF(H3949="EO",5.2,IF(H3949="EQ",3.9,IF(H3949="ILF",7.5,IF(H3949="EIF",5.4)))))))</f>
        <v/>
      </c>
      <c r="M3949" s="112" t="str">
        <f t="shared" si="64"/>
        <v/>
      </c>
      <c r="N3949" s="113"/>
    </row>
    <row r="3950" spans="2:14">
      <c r="B3950" s="105"/>
      <c r="C3950" s="106"/>
      <c r="D3950" s="107"/>
      <c r="E3950" s="65"/>
      <c r="F3950" s="64"/>
      <c r="G3950" s="64"/>
      <c r="H3950" s="64"/>
      <c r="I3950" s="70"/>
      <c r="J3950" s="70"/>
      <c r="K3950" s="110" t="str">
        <f>IF(H3950="","",IF($C$29="간이법","",FPR(H3950,I3950,J3950)))</f>
        <v/>
      </c>
      <c r="L3950" s="111" t="str">
        <f>IF(H3950="","",IF($C$29="상세법",FPV(H3950,K3950),IF(H3950="EI",4,IF(H3950="EO",5.2,IF(H3950="EQ",3.9,IF(H3950="ILF",7.5,IF(H3950="EIF",5.4)))))))</f>
        <v/>
      </c>
      <c r="M3950" s="112" t="str">
        <f t="shared" si="64"/>
        <v/>
      </c>
      <c r="N3950" s="113"/>
    </row>
    <row r="3951" spans="2:14">
      <c r="B3951" s="105"/>
      <c r="C3951" s="106"/>
      <c r="D3951" s="107"/>
      <c r="E3951" s="65"/>
      <c r="F3951" s="64"/>
      <c r="G3951" s="64"/>
      <c r="H3951" s="64"/>
      <c r="I3951" s="70"/>
      <c r="J3951" s="70"/>
      <c r="K3951" s="110" t="str">
        <f>IF(H3951="","",IF($C$29="간이법","",FPR(H3951,I3951,J3951)))</f>
        <v/>
      </c>
      <c r="L3951" s="111" t="str">
        <f>IF(H3951="","",IF($C$29="상세법",FPV(H3951,K3951),IF(H3951="EI",4,IF(H3951="EO",5.2,IF(H3951="EQ",3.9,IF(H3951="ILF",7.5,IF(H3951="EIF",5.4)))))))</f>
        <v/>
      </c>
      <c r="M3951" s="112" t="str">
        <f t="shared" si="64"/>
        <v/>
      </c>
      <c r="N3951" s="113"/>
    </row>
    <row r="3952" spans="2:14">
      <c r="B3952" s="105"/>
      <c r="C3952" s="106"/>
      <c r="D3952" s="107"/>
      <c r="E3952" s="65"/>
      <c r="F3952" s="64"/>
      <c r="G3952" s="64"/>
      <c r="H3952" s="64"/>
      <c r="I3952" s="70"/>
      <c r="J3952" s="70"/>
      <c r="K3952" s="110" t="str">
        <f>IF(H3952="","",IF($C$29="간이법","",FPR(H3952,I3952,J3952)))</f>
        <v/>
      </c>
      <c r="L3952" s="111" t="str">
        <f>IF(H3952="","",IF($C$29="상세법",FPV(H3952,K3952),IF(H3952="EI",4,IF(H3952="EO",5.2,IF(H3952="EQ",3.9,IF(H3952="ILF",7.5,IF(H3952="EIF",5.4)))))))</f>
        <v/>
      </c>
      <c r="M3952" s="112" t="str">
        <f t="shared" si="64"/>
        <v/>
      </c>
      <c r="N3952" s="113"/>
    </row>
    <row r="3953" spans="2:14">
      <c r="B3953" s="105"/>
      <c r="C3953" s="106"/>
      <c r="D3953" s="107"/>
      <c r="E3953" s="65"/>
      <c r="F3953" s="64"/>
      <c r="G3953" s="64"/>
      <c r="H3953" s="64"/>
      <c r="I3953" s="70"/>
      <c r="J3953" s="70"/>
      <c r="K3953" s="110" t="str">
        <f>IF(H3953="","",IF($C$29="간이법","",FPR(H3953,I3953,J3953)))</f>
        <v/>
      </c>
      <c r="L3953" s="111" t="str">
        <f>IF(H3953="","",IF($C$29="상세법",FPV(H3953,K3953),IF(H3953="EI",4,IF(H3953="EO",5.2,IF(H3953="EQ",3.9,IF(H3953="ILF",7.5,IF(H3953="EIF",5.4)))))))</f>
        <v/>
      </c>
      <c r="M3953" s="112" t="str">
        <f t="shared" si="64"/>
        <v/>
      </c>
      <c r="N3953" s="113"/>
    </row>
    <row r="3954" spans="2:14">
      <c r="B3954" s="105"/>
      <c r="C3954" s="106"/>
      <c r="D3954" s="107"/>
      <c r="E3954" s="65"/>
      <c r="F3954" s="64"/>
      <c r="G3954" s="64"/>
      <c r="H3954" s="64"/>
      <c r="I3954" s="70"/>
      <c r="J3954" s="70"/>
      <c r="K3954" s="110" t="str">
        <f>IF(H3954="","",IF($C$29="간이법","",FPR(H3954,I3954,J3954)))</f>
        <v/>
      </c>
      <c r="L3954" s="111" t="str">
        <f>IF(H3954="","",IF($C$29="상세법",FPV(H3954,K3954),IF(H3954="EI",4,IF(H3954="EO",5.2,IF(H3954="EQ",3.9,IF(H3954="ILF",7.5,IF(H3954="EIF",5.4)))))))</f>
        <v/>
      </c>
      <c r="M3954" s="112" t="str">
        <f t="shared" si="64"/>
        <v/>
      </c>
      <c r="N3954" s="113"/>
    </row>
    <row r="3955" spans="2:14">
      <c r="B3955" s="105"/>
      <c r="C3955" s="106"/>
      <c r="D3955" s="107"/>
      <c r="E3955" s="65"/>
      <c r="F3955" s="64"/>
      <c r="G3955" s="64"/>
      <c r="H3955" s="64"/>
      <c r="I3955" s="70"/>
      <c r="J3955" s="70"/>
      <c r="K3955" s="110" t="str">
        <f>IF(H3955="","",IF($C$29="간이법","",FPR(H3955,I3955,J3955)))</f>
        <v/>
      </c>
      <c r="L3955" s="111" t="str">
        <f>IF(H3955="","",IF($C$29="상세법",FPV(H3955,K3955),IF(H3955="EI",4,IF(H3955="EO",5.2,IF(H3955="EQ",3.9,IF(H3955="ILF",7.5,IF(H3955="EIF",5.4)))))))</f>
        <v/>
      </c>
      <c r="M3955" s="112" t="str">
        <f t="shared" si="64"/>
        <v/>
      </c>
      <c r="N3955" s="113"/>
    </row>
    <row r="3956" spans="2:14">
      <c r="B3956" s="105"/>
      <c r="C3956" s="106"/>
      <c r="D3956" s="107"/>
      <c r="E3956" s="65"/>
      <c r="F3956" s="64"/>
      <c r="G3956" s="64"/>
      <c r="H3956" s="64"/>
      <c r="I3956" s="70"/>
      <c r="J3956" s="70"/>
      <c r="K3956" s="110" t="str">
        <f>IF(H3956="","",IF($C$29="간이법","",FPR(H3956,I3956,J3956)))</f>
        <v/>
      </c>
      <c r="L3956" s="111" t="str">
        <f>IF(H3956="","",IF($C$29="상세법",FPV(H3956,K3956),IF(H3956="EI",4,IF(H3956="EO",5.2,IF(H3956="EQ",3.9,IF(H3956="ILF",7.5,IF(H3956="EIF",5.4)))))))</f>
        <v/>
      </c>
      <c r="M3956" s="112" t="str">
        <f t="shared" si="64"/>
        <v/>
      </c>
      <c r="N3956" s="113"/>
    </row>
    <row r="3957" spans="2:14">
      <c r="B3957" s="105"/>
      <c r="C3957" s="106"/>
      <c r="D3957" s="107"/>
      <c r="E3957" s="65"/>
      <c r="F3957" s="64"/>
      <c r="G3957" s="64"/>
      <c r="H3957" s="64"/>
      <c r="I3957" s="70"/>
      <c r="J3957" s="70"/>
      <c r="K3957" s="110" t="str">
        <f>IF(H3957="","",IF($C$29="간이법","",FPR(H3957,I3957,J3957)))</f>
        <v/>
      </c>
      <c r="L3957" s="111" t="str">
        <f>IF(H3957="","",IF($C$29="상세법",FPV(H3957,K3957),IF(H3957="EI",4,IF(H3957="EO",5.2,IF(H3957="EQ",3.9,IF(H3957="ILF",7.5,IF(H3957="EIF",5.4)))))))</f>
        <v/>
      </c>
      <c r="M3957" s="112" t="str">
        <f t="shared" si="64"/>
        <v/>
      </c>
      <c r="N3957" s="113"/>
    </row>
    <row r="3958" spans="2:14">
      <c r="B3958" s="105"/>
      <c r="C3958" s="106"/>
      <c r="D3958" s="107"/>
      <c r="E3958" s="65"/>
      <c r="F3958" s="64"/>
      <c r="G3958" s="64"/>
      <c r="H3958" s="64"/>
      <c r="I3958" s="70"/>
      <c r="J3958" s="70"/>
      <c r="K3958" s="110" t="str">
        <f>IF(H3958="","",IF($C$29="간이법","",FPR(H3958,I3958,J3958)))</f>
        <v/>
      </c>
      <c r="L3958" s="111" t="str">
        <f>IF(H3958="","",IF($C$29="상세법",FPV(H3958,K3958),IF(H3958="EI",4,IF(H3958="EO",5.2,IF(H3958="EQ",3.9,IF(H3958="ILF",7.5,IF(H3958="EIF",5.4)))))))</f>
        <v/>
      </c>
      <c r="M3958" s="112" t="str">
        <f t="shared" si="64"/>
        <v/>
      </c>
      <c r="N3958" s="113"/>
    </row>
    <row r="3959" spans="2:14">
      <c r="B3959" s="105"/>
      <c r="C3959" s="106"/>
      <c r="D3959" s="107"/>
      <c r="E3959" s="65"/>
      <c r="F3959" s="64"/>
      <c r="G3959" s="64"/>
      <c r="H3959" s="64"/>
      <c r="I3959" s="70"/>
      <c r="J3959" s="70"/>
      <c r="K3959" s="110" t="str">
        <f>IF(H3959="","",IF($C$29="간이법","",FPR(H3959,I3959,J3959)))</f>
        <v/>
      </c>
      <c r="L3959" s="111" t="str">
        <f>IF(H3959="","",IF($C$29="상세법",FPV(H3959,K3959),IF(H3959="EI",4,IF(H3959="EO",5.2,IF(H3959="EQ",3.9,IF(H3959="ILF",7.5,IF(H3959="EIF",5.4)))))))</f>
        <v/>
      </c>
      <c r="M3959" s="112" t="str">
        <f t="shared" si="64"/>
        <v/>
      </c>
      <c r="N3959" s="113"/>
    </row>
    <row r="3960" spans="2:14">
      <c r="B3960" s="105"/>
      <c r="C3960" s="106"/>
      <c r="D3960" s="107"/>
      <c r="E3960" s="65"/>
      <c r="F3960" s="64"/>
      <c r="G3960" s="64"/>
      <c r="H3960" s="64"/>
      <c r="I3960" s="70"/>
      <c r="J3960" s="70"/>
      <c r="K3960" s="110" t="str">
        <f>IF(H3960="","",IF($C$29="간이법","",FPR(H3960,I3960,J3960)))</f>
        <v/>
      </c>
      <c r="L3960" s="111" t="str">
        <f>IF(H3960="","",IF($C$29="상세법",FPV(H3960,K3960),IF(H3960="EI",4,IF(H3960="EO",5.2,IF(H3960="EQ",3.9,IF(H3960="ILF",7.5,IF(H3960="EIF",5.4)))))))</f>
        <v/>
      </c>
      <c r="M3960" s="112" t="str">
        <f t="shared" si="64"/>
        <v/>
      </c>
      <c r="N3960" s="113"/>
    </row>
    <row r="3961" spans="2:14">
      <c r="B3961" s="105"/>
      <c r="C3961" s="106"/>
      <c r="D3961" s="107"/>
      <c r="E3961" s="65"/>
      <c r="F3961" s="64"/>
      <c r="G3961" s="64"/>
      <c r="H3961" s="64"/>
      <c r="I3961" s="70"/>
      <c r="J3961" s="70"/>
      <c r="K3961" s="110" t="str">
        <f>IF(H3961="","",IF($C$29="간이법","",FPR(H3961,I3961,J3961)))</f>
        <v/>
      </c>
      <c r="L3961" s="111" t="str">
        <f>IF(H3961="","",IF($C$29="상세법",FPV(H3961,K3961),IF(H3961="EI",4,IF(H3961="EO",5.2,IF(H3961="EQ",3.9,IF(H3961="ILF",7.5,IF(H3961="EIF",5.4)))))))</f>
        <v/>
      </c>
      <c r="M3961" s="112" t="str">
        <f t="shared" ref="M3961:M4024" si="65">IF(L3961="","",L3961*IF(G3961="상",0.7,IF(G3961="중",0.5,IF(G3961="하",0.2,1))))</f>
        <v/>
      </c>
      <c r="N3961" s="113"/>
    </row>
    <row r="3962" spans="2:14">
      <c r="B3962" s="105"/>
      <c r="C3962" s="106"/>
      <c r="D3962" s="107"/>
      <c r="E3962" s="65"/>
      <c r="F3962" s="64"/>
      <c r="G3962" s="64"/>
      <c r="H3962" s="64"/>
      <c r="I3962" s="70"/>
      <c r="J3962" s="70"/>
      <c r="K3962" s="110" t="str">
        <f>IF(H3962="","",IF($C$29="간이법","",FPR(H3962,I3962,J3962)))</f>
        <v/>
      </c>
      <c r="L3962" s="111" t="str">
        <f>IF(H3962="","",IF($C$29="상세법",FPV(H3962,K3962),IF(H3962="EI",4,IF(H3962="EO",5.2,IF(H3962="EQ",3.9,IF(H3962="ILF",7.5,IF(H3962="EIF",5.4)))))))</f>
        <v/>
      </c>
      <c r="M3962" s="112" t="str">
        <f t="shared" si="65"/>
        <v/>
      </c>
      <c r="N3962" s="113"/>
    </row>
    <row r="3963" spans="2:14">
      <c r="B3963" s="105"/>
      <c r="C3963" s="106"/>
      <c r="D3963" s="107"/>
      <c r="E3963" s="65"/>
      <c r="F3963" s="64"/>
      <c r="G3963" s="64"/>
      <c r="H3963" s="64"/>
      <c r="I3963" s="70"/>
      <c r="J3963" s="70"/>
      <c r="K3963" s="110" t="str">
        <f>IF(H3963="","",IF($C$29="간이법","",FPR(H3963,I3963,J3963)))</f>
        <v/>
      </c>
      <c r="L3963" s="111" t="str">
        <f>IF(H3963="","",IF($C$29="상세법",FPV(H3963,K3963),IF(H3963="EI",4,IF(H3963="EO",5.2,IF(H3963="EQ",3.9,IF(H3963="ILF",7.5,IF(H3963="EIF",5.4)))))))</f>
        <v/>
      </c>
      <c r="M3963" s="112" t="str">
        <f t="shared" si="65"/>
        <v/>
      </c>
      <c r="N3963" s="113"/>
    </row>
    <row r="3964" spans="2:14">
      <c r="B3964" s="105"/>
      <c r="C3964" s="106"/>
      <c r="D3964" s="107"/>
      <c r="E3964" s="65"/>
      <c r="F3964" s="64"/>
      <c r="G3964" s="64"/>
      <c r="H3964" s="64"/>
      <c r="I3964" s="70"/>
      <c r="J3964" s="70"/>
      <c r="K3964" s="110" t="str">
        <f>IF(H3964="","",IF($C$29="간이법","",FPR(H3964,I3964,J3964)))</f>
        <v/>
      </c>
      <c r="L3964" s="111" t="str">
        <f>IF(H3964="","",IF($C$29="상세법",FPV(H3964,K3964),IF(H3964="EI",4,IF(H3964="EO",5.2,IF(H3964="EQ",3.9,IF(H3964="ILF",7.5,IF(H3964="EIF",5.4)))))))</f>
        <v/>
      </c>
      <c r="M3964" s="112" t="str">
        <f t="shared" si="65"/>
        <v/>
      </c>
      <c r="N3964" s="113"/>
    </row>
    <row r="3965" spans="2:14">
      <c r="B3965" s="105"/>
      <c r="C3965" s="106"/>
      <c r="D3965" s="107"/>
      <c r="E3965" s="65"/>
      <c r="F3965" s="64"/>
      <c r="G3965" s="64"/>
      <c r="H3965" s="64"/>
      <c r="I3965" s="70"/>
      <c r="J3965" s="70"/>
      <c r="K3965" s="110" t="str">
        <f>IF(H3965="","",IF($C$29="간이법","",FPR(H3965,I3965,J3965)))</f>
        <v/>
      </c>
      <c r="L3965" s="111" t="str">
        <f>IF(H3965="","",IF($C$29="상세법",FPV(H3965,K3965),IF(H3965="EI",4,IF(H3965="EO",5.2,IF(H3965="EQ",3.9,IF(H3965="ILF",7.5,IF(H3965="EIF",5.4)))))))</f>
        <v/>
      </c>
      <c r="M3965" s="112" t="str">
        <f t="shared" si="65"/>
        <v/>
      </c>
      <c r="N3965" s="113"/>
    </row>
    <row r="3966" spans="2:14">
      <c r="B3966" s="105"/>
      <c r="C3966" s="106"/>
      <c r="D3966" s="107"/>
      <c r="E3966" s="65"/>
      <c r="F3966" s="64"/>
      <c r="G3966" s="64"/>
      <c r="H3966" s="64"/>
      <c r="I3966" s="70"/>
      <c r="J3966" s="70"/>
      <c r="K3966" s="110" t="str">
        <f>IF(H3966="","",IF($C$29="간이법","",FPR(H3966,I3966,J3966)))</f>
        <v/>
      </c>
      <c r="L3966" s="111" t="str">
        <f>IF(H3966="","",IF($C$29="상세법",FPV(H3966,K3966),IF(H3966="EI",4,IF(H3966="EO",5.2,IF(H3966="EQ",3.9,IF(H3966="ILF",7.5,IF(H3966="EIF",5.4)))))))</f>
        <v/>
      </c>
      <c r="M3966" s="112" t="str">
        <f t="shared" si="65"/>
        <v/>
      </c>
      <c r="N3966" s="113"/>
    </row>
    <row r="3967" spans="2:14">
      <c r="B3967" s="105"/>
      <c r="C3967" s="106"/>
      <c r="D3967" s="107"/>
      <c r="E3967" s="65"/>
      <c r="F3967" s="64"/>
      <c r="G3967" s="64"/>
      <c r="H3967" s="64"/>
      <c r="I3967" s="70"/>
      <c r="J3967" s="70"/>
      <c r="K3967" s="110" t="str">
        <f>IF(H3967="","",IF($C$29="간이법","",FPR(H3967,I3967,J3967)))</f>
        <v/>
      </c>
      <c r="L3967" s="111" t="str">
        <f>IF(H3967="","",IF($C$29="상세법",FPV(H3967,K3967),IF(H3967="EI",4,IF(H3967="EO",5.2,IF(H3967="EQ",3.9,IF(H3967="ILF",7.5,IF(H3967="EIF",5.4)))))))</f>
        <v/>
      </c>
      <c r="M3967" s="112" t="str">
        <f t="shared" si="65"/>
        <v/>
      </c>
      <c r="N3967" s="113"/>
    </row>
    <row r="3968" spans="2:14">
      <c r="B3968" s="105"/>
      <c r="C3968" s="106"/>
      <c r="D3968" s="107"/>
      <c r="E3968" s="65"/>
      <c r="F3968" s="64"/>
      <c r="G3968" s="64"/>
      <c r="H3968" s="64"/>
      <c r="I3968" s="70"/>
      <c r="J3968" s="70"/>
      <c r="K3968" s="110" t="str">
        <f>IF(H3968="","",IF($C$29="간이법","",FPR(H3968,I3968,J3968)))</f>
        <v/>
      </c>
      <c r="L3968" s="111" t="str">
        <f>IF(H3968="","",IF($C$29="상세법",FPV(H3968,K3968),IF(H3968="EI",4,IF(H3968="EO",5.2,IF(H3968="EQ",3.9,IF(H3968="ILF",7.5,IF(H3968="EIF",5.4)))))))</f>
        <v/>
      </c>
      <c r="M3968" s="112" t="str">
        <f t="shared" si="65"/>
        <v/>
      </c>
      <c r="N3968" s="113"/>
    </row>
    <row r="3969" spans="2:14">
      <c r="B3969" s="105"/>
      <c r="C3969" s="106"/>
      <c r="D3969" s="107"/>
      <c r="E3969" s="65"/>
      <c r="F3969" s="64"/>
      <c r="G3969" s="64"/>
      <c r="H3969" s="64"/>
      <c r="I3969" s="70"/>
      <c r="J3969" s="70"/>
      <c r="K3969" s="110" t="str">
        <f>IF(H3969="","",IF($C$29="간이법","",FPR(H3969,I3969,J3969)))</f>
        <v/>
      </c>
      <c r="L3969" s="111" t="str">
        <f>IF(H3969="","",IF($C$29="상세법",FPV(H3969,K3969),IF(H3969="EI",4,IF(H3969="EO",5.2,IF(H3969="EQ",3.9,IF(H3969="ILF",7.5,IF(H3969="EIF",5.4)))))))</f>
        <v/>
      </c>
      <c r="M3969" s="112" t="str">
        <f t="shared" si="65"/>
        <v/>
      </c>
      <c r="N3969" s="113"/>
    </row>
    <row r="3970" spans="2:14">
      <c r="B3970" s="105"/>
      <c r="C3970" s="106"/>
      <c r="D3970" s="107"/>
      <c r="E3970" s="65"/>
      <c r="F3970" s="64"/>
      <c r="G3970" s="64"/>
      <c r="H3970" s="64"/>
      <c r="I3970" s="70"/>
      <c r="J3970" s="70"/>
      <c r="K3970" s="110" t="str">
        <f>IF(H3970="","",IF($C$29="간이법","",FPR(H3970,I3970,J3970)))</f>
        <v/>
      </c>
      <c r="L3970" s="111" t="str">
        <f>IF(H3970="","",IF($C$29="상세법",FPV(H3970,K3970),IF(H3970="EI",4,IF(H3970="EO",5.2,IF(H3970="EQ",3.9,IF(H3970="ILF",7.5,IF(H3970="EIF",5.4)))))))</f>
        <v/>
      </c>
      <c r="M3970" s="112" t="str">
        <f t="shared" si="65"/>
        <v/>
      </c>
      <c r="N3970" s="113"/>
    </row>
    <row r="3971" spans="2:14">
      <c r="B3971" s="105"/>
      <c r="C3971" s="106"/>
      <c r="D3971" s="107"/>
      <c r="E3971" s="65"/>
      <c r="F3971" s="64"/>
      <c r="G3971" s="64"/>
      <c r="H3971" s="64"/>
      <c r="I3971" s="70"/>
      <c r="J3971" s="70"/>
      <c r="K3971" s="110" t="str">
        <f>IF(H3971="","",IF($C$29="간이법","",FPR(H3971,I3971,J3971)))</f>
        <v/>
      </c>
      <c r="L3971" s="111" t="str">
        <f>IF(H3971="","",IF($C$29="상세법",FPV(H3971,K3971),IF(H3971="EI",4,IF(H3971="EO",5.2,IF(H3971="EQ",3.9,IF(H3971="ILF",7.5,IF(H3971="EIF",5.4)))))))</f>
        <v/>
      </c>
      <c r="M3971" s="112" t="str">
        <f t="shared" si="65"/>
        <v/>
      </c>
      <c r="N3971" s="113"/>
    </row>
    <row r="3972" spans="2:14">
      <c r="B3972" s="105"/>
      <c r="C3972" s="106"/>
      <c r="D3972" s="107"/>
      <c r="E3972" s="65"/>
      <c r="F3972" s="64"/>
      <c r="G3972" s="64"/>
      <c r="H3972" s="64"/>
      <c r="I3972" s="70"/>
      <c r="J3972" s="70"/>
      <c r="K3972" s="110" t="str">
        <f>IF(H3972="","",IF($C$29="간이법","",FPR(H3972,I3972,J3972)))</f>
        <v/>
      </c>
      <c r="L3972" s="111" t="str">
        <f>IF(H3972="","",IF($C$29="상세법",FPV(H3972,K3972),IF(H3972="EI",4,IF(H3972="EO",5.2,IF(H3972="EQ",3.9,IF(H3972="ILF",7.5,IF(H3972="EIF",5.4)))))))</f>
        <v/>
      </c>
      <c r="M3972" s="112" t="str">
        <f t="shared" si="65"/>
        <v/>
      </c>
      <c r="N3972" s="113"/>
    </row>
    <row r="3973" spans="2:14">
      <c r="B3973" s="105"/>
      <c r="C3973" s="106"/>
      <c r="D3973" s="107"/>
      <c r="E3973" s="65"/>
      <c r="F3973" s="64"/>
      <c r="G3973" s="64"/>
      <c r="H3973" s="64"/>
      <c r="I3973" s="70"/>
      <c r="J3973" s="70"/>
      <c r="K3973" s="110" t="str">
        <f>IF(H3973="","",IF($C$29="간이법","",FPR(H3973,I3973,J3973)))</f>
        <v/>
      </c>
      <c r="L3973" s="111" t="str">
        <f>IF(H3973="","",IF($C$29="상세법",FPV(H3973,K3973),IF(H3973="EI",4,IF(H3973="EO",5.2,IF(H3973="EQ",3.9,IF(H3973="ILF",7.5,IF(H3973="EIF",5.4)))))))</f>
        <v/>
      </c>
      <c r="M3973" s="112" t="str">
        <f t="shared" si="65"/>
        <v/>
      </c>
      <c r="N3973" s="113"/>
    </row>
    <row r="3974" spans="2:14">
      <c r="B3974" s="105"/>
      <c r="C3974" s="106"/>
      <c r="D3974" s="107"/>
      <c r="E3974" s="65"/>
      <c r="F3974" s="64"/>
      <c r="G3974" s="64"/>
      <c r="H3974" s="64"/>
      <c r="I3974" s="70"/>
      <c r="J3974" s="70"/>
      <c r="K3974" s="110" t="str">
        <f>IF(H3974="","",IF($C$29="간이법","",FPR(H3974,I3974,J3974)))</f>
        <v/>
      </c>
      <c r="L3974" s="111" t="str">
        <f>IF(H3974="","",IF($C$29="상세법",FPV(H3974,K3974),IF(H3974="EI",4,IF(H3974="EO",5.2,IF(H3974="EQ",3.9,IF(H3974="ILF",7.5,IF(H3974="EIF",5.4)))))))</f>
        <v/>
      </c>
      <c r="M3974" s="112" t="str">
        <f t="shared" si="65"/>
        <v/>
      </c>
      <c r="N3974" s="113"/>
    </row>
    <row r="3975" spans="2:14">
      <c r="B3975" s="105"/>
      <c r="C3975" s="106"/>
      <c r="D3975" s="107"/>
      <c r="E3975" s="65"/>
      <c r="F3975" s="64"/>
      <c r="G3975" s="64"/>
      <c r="H3975" s="64"/>
      <c r="I3975" s="70"/>
      <c r="J3975" s="70"/>
      <c r="K3975" s="110" t="str">
        <f>IF(H3975="","",IF($C$29="간이법","",FPR(H3975,I3975,J3975)))</f>
        <v/>
      </c>
      <c r="L3975" s="111" t="str">
        <f>IF(H3975="","",IF($C$29="상세법",FPV(H3975,K3975),IF(H3975="EI",4,IF(H3975="EO",5.2,IF(H3975="EQ",3.9,IF(H3975="ILF",7.5,IF(H3975="EIF",5.4)))))))</f>
        <v/>
      </c>
      <c r="M3975" s="112" t="str">
        <f t="shared" si="65"/>
        <v/>
      </c>
      <c r="N3975" s="113"/>
    </row>
    <row r="3976" spans="2:14">
      <c r="B3976" s="105"/>
      <c r="C3976" s="106"/>
      <c r="D3976" s="107"/>
      <c r="E3976" s="65"/>
      <c r="F3976" s="64"/>
      <c r="G3976" s="64"/>
      <c r="H3976" s="64"/>
      <c r="I3976" s="70"/>
      <c r="J3976" s="70"/>
      <c r="K3976" s="110" t="str">
        <f>IF(H3976="","",IF($C$29="간이법","",FPR(H3976,I3976,J3976)))</f>
        <v/>
      </c>
      <c r="L3976" s="111" t="str">
        <f>IF(H3976="","",IF($C$29="상세법",FPV(H3976,K3976),IF(H3976="EI",4,IF(H3976="EO",5.2,IF(H3976="EQ",3.9,IF(H3976="ILF",7.5,IF(H3976="EIF",5.4)))))))</f>
        <v/>
      </c>
      <c r="M3976" s="112" t="str">
        <f t="shared" si="65"/>
        <v/>
      </c>
      <c r="N3976" s="113"/>
    </row>
    <row r="3977" spans="2:14">
      <c r="B3977" s="105"/>
      <c r="C3977" s="106"/>
      <c r="D3977" s="107"/>
      <c r="E3977" s="65"/>
      <c r="F3977" s="64"/>
      <c r="G3977" s="64"/>
      <c r="H3977" s="64"/>
      <c r="I3977" s="70"/>
      <c r="J3977" s="70"/>
      <c r="K3977" s="110" t="str">
        <f>IF(H3977="","",IF($C$29="간이법","",FPR(H3977,I3977,J3977)))</f>
        <v/>
      </c>
      <c r="L3977" s="111" t="str">
        <f>IF(H3977="","",IF($C$29="상세법",FPV(H3977,K3977),IF(H3977="EI",4,IF(H3977="EO",5.2,IF(H3977="EQ",3.9,IF(H3977="ILF",7.5,IF(H3977="EIF",5.4)))))))</f>
        <v/>
      </c>
      <c r="M3977" s="112" t="str">
        <f t="shared" si="65"/>
        <v/>
      </c>
      <c r="N3977" s="113"/>
    </row>
    <row r="3978" spans="2:14">
      <c r="B3978" s="105"/>
      <c r="C3978" s="106"/>
      <c r="D3978" s="107"/>
      <c r="E3978" s="65"/>
      <c r="F3978" s="64"/>
      <c r="G3978" s="64"/>
      <c r="H3978" s="64"/>
      <c r="I3978" s="70"/>
      <c r="J3978" s="70"/>
      <c r="K3978" s="110" t="str">
        <f>IF(H3978="","",IF($C$29="간이법","",FPR(H3978,I3978,J3978)))</f>
        <v/>
      </c>
      <c r="L3978" s="111" t="str">
        <f>IF(H3978="","",IF($C$29="상세법",FPV(H3978,K3978),IF(H3978="EI",4,IF(H3978="EO",5.2,IF(H3978="EQ",3.9,IF(H3978="ILF",7.5,IF(H3978="EIF",5.4)))))))</f>
        <v/>
      </c>
      <c r="M3978" s="112" t="str">
        <f t="shared" si="65"/>
        <v/>
      </c>
      <c r="N3978" s="113"/>
    </row>
    <row r="3979" spans="2:14">
      <c r="B3979" s="105"/>
      <c r="C3979" s="106"/>
      <c r="D3979" s="107"/>
      <c r="E3979" s="65"/>
      <c r="F3979" s="64"/>
      <c r="G3979" s="64"/>
      <c r="H3979" s="64"/>
      <c r="I3979" s="70"/>
      <c r="J3979" s="70"/>
      <c r="K3979" s="110" t="str">
        <f>IF(H3979="","",IF($C$29="간이법","",FPR(H3979,I3979,J3979)))</f>
        <v/>
      </c>
      <c r="L3979" s="111" t="str">
        <f>IF(H3979="","",IF($C$29="상세법",FPV(H3979,K3979),IF(H3979="EI",4,IF(H3979="EO",5.2,IF(H3979="EQ",3.9,IF(H3979="ILF",7.5,IF(H3979="EIF",5.4)))))))</f>
        <v/>
      </c>
      <c r="M3979" s="112" t="str">
        <f t="shared" si="65"/>
        <v/>
      </c>
      <c r="N3979" s="113"/>
    </row>
    <row r="3980" spans="2:14">
      <c r="B3980" s="105"/>
      <c r="C3980" s="106"/>
      <c r="D3980" s="107"/>
      <c r="E3980" s="65"/>
      <c r="F3980" s="64"/>
      <c r="G3980" s="64"/>
      <c r="H3980" s="64"/>
      <c r="I3980" s="70"/>
      <c r="J3980" s="70"/>
      <c r="K3980" s="110" t="str">
        <f>IF(H3980="","",IF($C$29="간이법","",FPR(H3980,I3980,J3980)))</f>
        <v/>
      </c>
      <c r="L3980" s="111" t="str">
        <f>IF(H3980="","",IF($C$29="상세법",FPV(H3980,K3980),IF(H3980="EI",4,IF(H3980="EO",5.2,IF(H3980="EQ",3.9,IF(H3980="ILF",7.5,IF(H3980="EIF",5.4)))))))</f>
        <v/>
      </c>
      <c r="M3980" s="112" t="str">
        <f t="shared" si="65"/>
        <v/>
      </c>
      <c r="N3980" s="113"/>
    </row>
    <row r="3981" spans="2:14">
      <c r="B3981" s="105"/>
      <c r="C3981" s="106"/>
      <c r="D3981" s="107"/>
      <c r="E3981" s="65"/>
      <c r="F3981" s="64"/>
      <c r="G3981" s="64"/>
      <c r="H3981" s="64"/>
      <c r="I3981" s="70"/>
      <c r="J3981" s="70"/>
      <c r="K3981" s="110" t="str">
        <f>IF(H3981="","",IF($C$29="간이법","",FPR(H3981,I3981,J3981)))</f>
        <v/>
      </c>
      <c r="L3981" s="111" t="str">
        <f>IF(H3981="","",IF($C$29="상세법",FPV(H3981,K3981),IF(H3981="EI",4,IF(H3981="EO",5.2,IF(H3981="EQ",3.9,IF(H3981="ILF",7.5,IF(H3981="EIF",5.4)))))))</f>
        <v/>
      </c>
      <c r="M3981" s="112" t="str">
        <f t="shared" si="65"/>
        <v/>
      </c>
      <c r="N3981" s="113"/>
    </row>
    <row r="3982" spans="2:14">
      <c r="B3982" s="105"/>
      <c r="C3982" s="106"/>
      <c r="D3982" s="107"/>
      <c r="E3982" s="65"/>
      <c r="F3982" s="64"/>
      <c r="G3982" s="64"/>
      <c r="H3982" s="64"/>
      <c r="I3982" s="70"/>
      <c r="J3982" s="70"/>
      <c r="K3982" s="110" t="str">
        <f>IF(H3982="","",IF($C$29="간이법","",FPR(H3982,I3982,J3982)))</f>
        <v/>
      </c>
      <c r="L3982" s="111" t="str">
        <f>IF(H3982="","",IF($C$29="상세법",FPV(H3982,K3982),IF(H3982="EI",4,IF(H3982="EO",5.2,IF(H3982="EQ",3.9,IF(H3982="ILF",7.5,IF(H3982="EIF",5.4)))))))</f>
        <v/>
      </c>
      <c r="M3982" s="112" t="str">
        <f t="shared" si="65"/>
        <v/>
      </c>
      <c r="N3982" s="113"/>
    </row>
    <row r="3983" spans="2:14">
      <c r="B3983" s="105"/>
      <c r="C3983" s="106"/>
      <c r="D3983" s="107"/>
      <c r="E3983" s="65"/>
      <c r="F3983" s="64"/>
      <c r="G3983" s="64"/>
      <c r="H3983" s="64"/>
      <c r="I3983" s="70"/>
      <c r="J3983" s="70"/>
      <c r="K3983" s="110" t="str">
        <f>IF(H3983="","",IF($C$29="간이법","",FPR(H3983,I3983,J3983)))</f>
        <v/>
      </c>
      <c r="L3983" s="111" t="str">
        <f>IF(H3983="","",IF($C$29="상세법",FPV(H3983,K3983),IF(H3983="EI",4,IF(H3983="EO",5.2,IF(H3983="EQ",3.9,IF(H3983="ILF",7.5,IF(H3983="EIF",5.4)))))))</f>
        <v/>
      </c>
      <c r="M3983" s="112" t="str">
        <f t="shared" si="65"/>
        <v/>
      </c>
      <c r="N3983" s="113"/>
    </row>
    <row r="3984" spans="2:14">
      <c r="B3984" s="105"/>
      <c r="C3984" s="106"/>
      <c r="D3984" s="107"/>
      <c r="E3984" s="65"/>
      <c r="F3984" s="64"/>
      <c r="G3984" s="64"/>
      <c r="H3984" s="64"/>
      <c r="I3984" s="70"/>
      <c r="J3984" s="70"/>
      <c r="K3984" s="110" t="str">
        <f>IF(H3984="","",IF($C$29="간이법","",FPR(H3984,I3984,J3984)))</f>
        <v/>
      </c>
      <c r="L3984" s="111" t="str">
        <f>IF(H3984="","",IF($C$29="상세법",FPV(H3984,K3984),IF(H3984="EI",4,IF(H3984="EO",5.2,IF(H3984="EQ",3.9,IF(H3984="ILF",7.5,IF(H3984="EIF",5.4)))))))</f>
        <v/>
      </c>
      <c r="M3984" s="112" t="str">
        <f t="shared" si="65"/>
        <v/>
      </c>
      <c r="N3984" s="113"/>
    </row>
    <row r="3985" spans="2:14">
      <c r="B3985" s="105"/>
      <c r="C3985" s="106"/>
      <c r="D3985" s="107"/>
      <c r="E3985" s="65"/>
      <c r="F3985" s="64"/>
      <c r="G3985" s="64"/>
      <c r="H3985" s="64"/>
      <c r="I3985" s="70"/>
      <c r="J3985" s="70"/>
      <c r="K3985" s="110" t="str">
        <f>IF(H3985="","",IF($C$29="간이법","",FPR(H3985,I3985,J3985)))</f>
        <v/>
      </c>
      <c r="L3985" s="111" t="str">
        <f>IF(H3985="","",IF($C$29="상세법",FPV(H3985,K3985),IF(H3985="EI",4,IF(H3985="EO",5.2,IF(H3985="EQ",3.9,IF(H3985="ILF",7.5,IF(H3985="EIF",5.4)))))))</f>
        <v/>
      </c>
      <c r="M3985" s="112" t="str">
        <f t="shared" si="65"/>
        <v/>
      </c>
      <c r="N3985" s="113"/>
    </row>
    <row r="3986" spans="2:14">
      <c r="B3986" s="105"/>
      <c r="C3986" s="106"/>
      <c r="D3986" s="107"/>
      <c r="E3986" s="65"/>
      <c r="F3986" s="64"/>
      <c r="G3986" s="64"/>
      <c r="H3986" s="64"/>
      <c r="I3986" s="70"/>
      <c r="J3986" s="70"/>
      <c r="K3986" s="110" t="str">
        <f>IF(H3986="","",IF($C$29="간이법","",FPR(H3986,I3986,J3986)))</f>
        <v/>
      </c>
      <c r="L3986" s="111" t="str">
        <f>IF(H3986="","",IF($C$29="상세법",FPV(H3986,K3986),IF(H3986="EI",4,IF(H3986="EO",5.2,IF(H3986="EQ",3.9,IF(H3986="ILF",7.5,IF(H3986="EIF",5.4)))))))</f>
        <v/>
      </c>
      <c r="M3986" s="112" t="str">
        <f t="shared" si="65"/>
        <v/>
      </c>
      <c r="N3986" s="113"/>
    </row>
    <row r="3987" spans="2:14">
      <c r="B3987" s="105"/>
      <c r="C3987" s="106"/>
      <c r="D3987" s="107"/>
      <c r="E3987" s="65"/>
      <c r="F3987" s="64"/>
      <c r="G3987" s="64"/>
      <c r="H3987" s="64"/>
      <c r="I3987" s="70"/>
      <c r="J3987" s="70"/>
      <c r="K3987" s="110" t="str">
        <f>IF(H3987="","",IF($C$29="간이법","",FPR(H3987,I3987,J3987)))</f>
        <v/>
      </c>
      <c r="L3987" s="111" t="str">
        <f>IF(H3987="","",IF($C$29="상세법",FPV(H3987,K3987),IF(H3987="EI",4,IF(H3987="EO",5.2,IF(H3987="EQ",3.9,IF(H3987="ILF",7.5,IF(H3987="EIF",5.4)))))))</f>
        <v/>
      </c>
      <c r="M3987" s="112" t="str">
        <f t="shared" si="65"/>
        <v/>
      </c>
      <c r="N3987" s="113"/>
    </row>
    <row r="3988" spans="2:14">
      <c r="B3988" s="105"/>
      <c r="C3988" s="106"/>
      <c r="D3988" s="107"/>
      <c r="E3988" s="65"/>
      <c r="F3988" s="64"/>
      <c r="G3988" s="64"/>
      <c r="H3988" s="64"/>
      <c r="I3988" s="70"/>
      <c r="J3988" s="70"/>
      <c r="K3988" s="110" t="str">
        <f>IF(H3988="","",IF($C$29="간이법","",FPR(H3988,I3988,J3988)))</f>
        <v/>
      </c>
      <c r="L3988" s="111" t="str">
        <f>IF(H3988="","",IF($C$29="상세법",FPV(H3988,K3988),IF(H3988="EI",4,IF(H3988="EO",5.2,IF(H3988="EQ",3.9,IF(H3988="ILF",7.5,IF(H3988="EIF",5.4)))))))</f>
        <v/>
      </c>
      <c r="M3988" s="112" t="str">
        <f t="shared" si="65"/>
        <v/>
      </c>
      <c r="N3988" s="113"/>
    </row>
    <row r="3989" spans="2:14">
      <c r="B3989" s="105"/>
      <c r="C3989" s="106"/>
      <c r="D3989" s="107"/>
      <c r="E3989" s="65"/>
      <c r="F3989" s="64"/>
      <c r="G3989" s="64"/>
      <c r="H3989" s="64"/>
      <c r="I3989" s="70"/>
      <c r="J3989" s="70"/>
      <c r="K3989" s="110" t="str">
        <f>IF(H3989="","",IF($C$29="간이법","",FPR(H3989,I3989,J3989)))</f>
        <v/>
      </c>
      <c r="L3989" s="111" t="str">
        <f>IF(H3989="","",IF($C$29="상세법",FPV(H3989,K3989),IF(H3989="EI",4,IF(H3989="EO",5.2,IF(H3989="EQ",3.9,IF(H3989="ILF",7.5,IF(H3989="EIF",5.4)))))))</f>
        <v/>
      </c>
      <c r="M3989" s="112" t="str">
        <f t="shared" si="65"/>
        <v/>
      </c>
      <c r="N3989" s="113"/>
    </row>
    <row r="3990" spans="2:14">
      <c r="B3990" s="105"/>
      <c r="C3990" s="106"/>
      <c r="D3990" s="107"/>
      <c r="E3990" s="65"/>
      <c r="F3990" s="64"/>
      <c r="G3990" s="64"/>
      <c r="H3990" s="64"/>
      <c r="I3990" s="70"/>
      <c r="J3990" s="70"/>
      <c r="K3990" s="110" t="str">
        <f>IF(H3990="","",IF($C$29="간이법","",FPR(H3990,I3990,J3990)))</f>
        <v/>
      </c>
      <c r="L3990" s="111" t="str">
        <f>IF(H3990="","",IF($C$29="상세법",FPV(H3990,K3990),IF(H3990="EI",4,IF(H3990="EO",5.2,IF(H3990="EQ",3.9,IF(H3990="ILF",7.5,IF(H3990="EIF",5.4)))))))</f>
        <v/>
      </c>
      <c r="M3990" s="112" t="str">
        <f t="shared" si="65"/>
        <v/>
      </c>
      <c r="N3990" s="113"/>
    </row>
    <row r="3991" spans="2:14">
      <c r="B3991" s="105"/>
      <c r="C3991" s="106"/>
      <c r="D3991" s="107"/>
      <c r="E3991" s="65"/>
      <c r="F3991" s="64"/>
      <c r="G3991" s="64"/>
      <c r="H3991" s="64"/>
      <c r="I3991" s="70"/>
      <c r="J3991" s="70"/>
      <c r="K3991" s="110" t="str">
        <f>IF(H3991="","",IF($C$29="간이법","",FPR(H3991,I3991,J3991)))</f>
        <v/>
      </c>
      <c r="L3991" s="111" t="str">
        <f>IF(H3991="","",IF($C$29="상세법",FPV(H3991,K3991),IF(H3991="EI",4,IF(H3991="EO",5.2,IF(H3991="EQ",3.9,IF(H3991="ILF",7.5,IF(H3991="EIF",5.4)))))))</f>
        <v/>
      </c>
      <c r="M3991" s="112" t="str">
        <f t="shared" si="65"/>
        <v/>
      </c>
      <c r="N3991" s="113"/>
    </row>
    <row r="3992" spans="2:14">
      <c r="B3992" s="105"/>
      <c r="C3992" s="106"/>
      <c r="D3992" s="107"/>
      <c r="E3992" s="65"/>
      <c r="F3992" s="64"/>
      <c r="G3992" s="64"/>
      <c r="H3992" s="64"/>
      <c r="I3992" s="70"/>
      <c r="J3992" s="70"/>
      <c r="K3992" s="110" t="str">
        <f>IF(H3992="","",IF($C$29="간이법","",FPR(H3992,I3992,J3992)))</f>
        <v/>
      </c>
      <c r="L3992" s="111" t="str">
        <f>IF(H3992="","",IF($C$29="상세법",FPV(H3992,K3992),IF(H3992="EI",4,IF(H3992="EO",5.2,IF(H3992="EQ",3.9,IF(H3992="ILF",7.5,IF(H3992="EIF",5.4)))))))</f>
        <v/>
      </c>
      <c r="M3992" s="112" t="str">
        <f t="shared" si="65"/>
        <v/>
      </c>
      <c r="N3992" s="113"/>
    </row>
    <row r="3993" spans="2:14">
      <c r="B3993" s="105"/>
      <c r="C3993" s="106"/>
      <c r="D3993" s="107"/>
      <c r="E3993" s="65"/>
      <c r="F3993" s="64"/>
      <c r="G3993" s="64"/>
      <c r="H3993" s="64"/>
      <c r="I3993" s="70"/>
      <c r="J3993" s="70"/>
      <c r="K3993" s="110" t="str">
        <f>IF(H3993="","",IF($C$29="간이법","",FPR(H3993,I3993,J3993)))</f>
        <v/>
      </c>
      <c r="L3993" s="111" t="str">
        <f>IF(H3993="","",IF($C$29="상세법",FPV(H3993,K3993),IF(H3993="EI",4,IF(H3993="EO",5.2,IF(H3993="EQ",3.9,IF(H3993="ILF",7.5,IF(H3993="EIF",5.4)))))))</f>
        <v/>
      </c>
      <c r="M3993" s="112" t="str">
        <f t="shared" si="65"/>
        <v/>
      </c>
      <c r="N3993" s="113"/>
    </row>
    <row r="3994" spans="2:14">
      <c r="B3994" s="105"/>
      <c r="C3994" s="106"/>
      <c r="D3994" s="107"/>
      <c r="E3994" s="65"/>
      <c r="F3994" s="64"/>
      <c r="G3994" s="64"/>
      <c r="H3994" s="64"/>
      <c r="I3994" s="70"/>
      <c r="J3994" s="70"/>
      <c r="K3994" s="110" t="str">
        <f>IF(H3994="","",IF($C$29="간이법","",FPR(H3994,I3994,J3994)))</f>
        <v/>
      </c>
      <c r="L3994" s="111" t="str">
        <f>IF(H3994="","",IF($C$29="상세법",FPV(H3994,K3994),IF(H3994="EI",4,IF(H3994="EO",5.2,IF(H3994="EQ",3.9,IF(H3994="ILF",7.5,IF(H3994="EIF",5.4)))))))</f>
        <v/>
      </c>
      <c r="M3994" s="112" t="str">
        <f t="shared" si="65"/>
        <v/>
      </c>
      <c r="N3994" s="113"/>
    </row>
    <row r="3995" spans="2:14">
      <c r="B3995" s="105"/>
      <c r="C3995" s="106"/>
      <c r="D3995" s="107"/>
      <c r="E3995" s="65"/>
      <c r="F3995" s="64"/>
      <c r="G3995" s="64"/>
      <c r="H3995" s="64"/>
      <c r="I3995" s="70"/>
      <c r="J3995" s="70"/>
      <c r="K3995" s="110" t="str">
        <f>IF(H3995="","",IF($C$29="간이법","",FPR(H3995,I3995,J3995)))</f>
        <v/>
      </c>
      <c r="L3995" s="111" t="str">
        <f>IF(H3995="","",IF($C$29="상세법",FPV(H3995,K3995),IF(H3995="EI",4,IF(H3995="EO",5.2,IF(H3995="EQ",3.9,IF(H3995="ILF",7.5,IF(H3995="EIF",5.4)))))))</f>
        <v/>
      </c>
      <c r="M3995" s="112" t="str">
        <f t="shared" si="65"/>
        <v/>
      </c>
      <c r="N3995" s="113"/>
    </row>
    <row r="3996" spans="2:14">
      <c r="B3996" s="105"/>
      <c r="C3996" s="106"/>
      <c r="D3996" s="107"/>
      <c r="E3996" s="65"/>
      <c r="F3996" s="64"/>
      <c r="G3996" s="64"/>
      <c r="H3996" s="64"/>
      <c r="I3996" s="70"/>
      <c r="J3996" s="70"/>
      <c r="K3996" s="110" t="str">
        <f>IF(H3996="","",IF($C$29="간이법","",FPR(H3996,I3996,J3996)))</f>
        <v/>
      </c>
      <c r="L3996" s="111" t="str">
        <f>IF(H3996="","",IF($C$29="상세법",FPV(H3996,K3996),IF(H3996="EI",4,IF(H3996="EO",5.2,IF(H3996="EQ",3.9,IF(H3996="ILF",7.5,IF(H3996="EIF",5.4)))))))</f>
        <v/>
      </c>
      <c r="M3996" s="112" t="str">
        <f t="shared" si="65"/>
        <v/>
      </c>
      <c r="N3996" s="113"/>
    </row>
    <row r="3997" spans="2:14">
      <c r="B3997" s="105"/>
      <c r="C3997" s="106"/>
      <c r="D3997" s="107"/>
      <c r="E3997" s="65"/>
      <c r="F3997" s="64"/>
      <c r="G3997" s="64"/>
      <c r="H3997" s="64"/>
      <c r="I3997" s="70"/>
      <c r="J3997" s="70"/>
      <c r="K3997" s="110" t="str">
        <f>IF(H3997="","",IF($C$29="간이법","",FPR(H3997,I3997,J3997)))</f>
        <v/>
      </c>
      <c r="L3997" s="111" t="str">
        <f>IF(H3997="","",IF($C$29="상세법",FPV(H3997,K3997),IF(H3997="EI",4,IF(H3997="EO",5.2,IF(H3997="EQ",3.9,IF(H3997="ILF",7.5,IF(H3997="EIF",5.4)))))))</f>
        <v/>
      </c>
      <c r="M3997" s="112" t="str">
        <f t="shared" si="65"/>
        <v/>
      </c>
      <c r="N3997" s="113"/>
    </row>
    <row r="3998" spans="2:14">
      <c r="B3998" s="105"/>
      <c r="C3998" s="106"/>
      <c r="D3998" s="107"/>
      <c r="E3998" s="65"/>
      <c r="F3998" s="64"/>
      <c r="G3998" s="64"/>
      <c r="H3998" s="64"/>
      <c r="I3998" s="70"/>
      <c r="J3998" s="70"/>
      <c r="K3998" s="110" t="str">
        <f>IF(H3998="","",IF($C$29="간이법","",FPR(H3998,I3998,J3998)))</f>
        <v/>
      </c>
      <c r="L3998" s="111" t="str">
        <f>IF(H3998="","",IF($C$29="상세법",FPV(H3998,K3998),IF(H3998="EI",4,IF(H3998="EO",5.2,IF(H3998="EQ",3.9,IF(H3998="ILF",7.5,IF(H3998="EIF",5.4)))))))</f>
        <v/>
      </c>
      <c r="M3998" s="112" t="str">
        <f t="shared" si="65"/>
        <v/>
      </c>
      <c r="N3998" s="113"/>
    </row>
    <row r="3999" spans="2:14">
      <c r="B3999" s="105"/>
      <c r="C3999" s="106"/>
      <c r="D3999" s="107"/>
      <c r="E3999" s="65"/>
      <c r="F3999" s="64"/>
      <c r="G3999" s="64"/>
      <c r="H3999" s="64"/>
      <c r="I3999" s="70"/>
      <c r="J3999" s="70"/>
      <c r="K3999" s="110" t="str">
        <f>IF(H3999="","",IF($C$29="간이법","",FPR(H3999,I3999,J3999)))</f>
        <v/>
      </c>
      <c r="L3999" s="111" t="str">
        <f>IF(H3999="","",IF($C$29="상세법",FPV(H3999,K3999),IF(H3999="EI",4,IF(H3999="EO",5.2,IF(H3999="EQ",3.9,IF(H3999="ILF",7.5,IF(H3999="EIF",5.4)))))))</f>
        <v/>
      </c>
      <c r="M3999" s="112" t="str">
        <f t="shared" si="65"/>
        <v/>
      </c>
      <c r="N3999" s="113"/>
    </row>
    <row r="4000" spans="2:14">
      <c r="B4000" s="105"/>
      <c r="C4000" s="106"/>
      <c r="D4000" s="107"/>
      <c r="E4000" s="65"/>
      <c r="F4000" s="64"/>
      <c r="G4000" s="64"/>
      <c r="H4000" s="64"/>
      <c r="I4000" s="70"/>
      <c r="J4000" s="70"/>
      <c r="K4000" s="110" t="str">
        <f>IF(H4000="","",IF($C$29="간이법","",FPR(H4000,I4000,J4000)))</f>
        <v/>
      </c>
      <c r="L4000" s="111" t="str">
        <f>IF(H4000="","",IF($C$29="상세법",FPV(H4000,K4000),IF(H4000="EI",4,IF(H4000="EO",5.2,IF(H4000="EQ",3.9,IF(H4000="ILF",7.5,IF(H4000="EIF",5.4)))))))</f>
        <v/>
      </c>
      <c r="M4000" s="112" t="str">
        <f t="shared" si="65"/>
        <v/>
      </c>
      <c r="N4000" s="113"/>
    </row>
    <row r="4001" spans="2:14">
      <c r="B4001" s="105"/>
      <c r="C4001" s="106"/>
      <c r="D4001" s="107"/>
      <c r="E4001" s="65"/>
      <c r="F4001" s="64"/>
      <c r="G4001" s="64"/>
      <c r="H4001" s="64"/>
      <c r="I4001" s="70"/>
      <c r="J4001" s="70"/>
      <c r="K4001" s="110" t="str">
        <f>IF(H4001="","",IF($C$29="간이법","",FPR(H4001,I4001,J4001)))</f>
        <v/>
      </c>
      <c r="L4001" s="111" t="str">
        <f>IF(H4001="","",IF($C$29="상세법",FPV(H4001,K4001),IF(H4001="EI",4,IF(H4001="EO",5.2,IF(H4001="EQ",3.9,IF(H4001="ILF",7.5,IF(H4001="EIF",5.4)))))))</f>
        <v/>
      </c>
      <c r="M4001" s="112" t="str">
        <f t="shared" si="65"/>
        <v/>
      </c>
      <c r="N4001" s="113"/>
    </row>
    <row r="4002" spans="2:14">
      <c r="B4002" s="105"/>
      <c r="C4002" s="106"/>
      <c r="D4002" s="107"/>
      <c r="E4002" s="65"/>
      <c r="F4002" s="64"/>
      <c r="G4002" s="64"/>
      <c r="H4002" s="64"/>
      <c r="I4002" s="70"/>
      <c r="J4002" s="70"/>
      <c r="K4002" s="110" t="str">
        <f>IF(H4002="","",IF($C$29="간이법","",FPR(H4002,I4002,J4002)))</f>
        <v/>
      </c>
      <c r="L4002" s="111" t="str">
        <f>IF(H4002="","",IF($C$29="상세법",FPV(H4002,K4002),IF(H4002="EI",4,IF(H4002="EO",5.2,IF(H4002="EQ",3.9,IF(H4002="ILF",7.5,IF(H4002="EIF",5.4)))))))</f>
        <v/>
      </c>
      <c r="M4002" s="112" t="str">
        <f t="shared" si="65"/>
        <v/>
      </c>
      <c r="N4002" s="113"/>
    </row>
    <row r="4003" spans="2:14">
      <c r="B4003" s="105"/>
      <c r="C4003" s="106"/>
      <c r="D4003" s="107"/>
      <c r="E4003" s="65"/>
      <c r="F4003" s="64"/>
      <c r="G4003" s="64"/>
      <c r="H4003" s="64"/>
      <c r="I4003" s="70"/>
      <c r="J4003" s="70"/>
      <c r="K4003" s="110" t="str">
        <f>IF(H4003="","",IF($C$29="간이법","",FPR(H4003,I4003,J4003)))</f>
        <v/>
      </c>
      <c r="L4003" s="111" t="str">
        <f>IF(H4003="","",IF($C$29="상세법",FPV(H4003,K4003),IF(H4003="EI",4,IF(H4003="EO",5.2,IF(H4003="EQ",3.9,IF(H4003="ILF",7.5,IF(H4003="EIF",5.4)))))))</f>
        <v/>
      </c>
      <c r="M4003" s="112" t="str">
        <f t="shared" si="65"/>
        <v/>
      </c>
      <c r="N4003" s="113"/>
    </row>
    <row r="4004" spans="2:14">
      <c r="B4004" s="105"/>
      <c r="C4004" s="106"/>
      <c r="D4004" s="107"/>
      <c r="E4004" s="65"/>
      <c r="F4004" s="64"/>
      <c r="G4004" s="64"/>
      <c r="H4004" s="64"/>
      <c r="I4004" s="70"/>
      <c r="J4004" s="70"/>
      <c r="K4004" s="110" t="str">
        <f>IF(H4004="","",IF($C$29="간이법","",FPR(H4004,I4004,J4004)))</f>
        <v/>
      </c>
      <c r="L4004" s="111" t="str">
        <f>IF(H4004="","",IF($C$29="상세법",FPV(H4004,K4004),IF(H4004="EI",4,IF(H4004="EO",5.2,IF(H4004="EQ",3.9,IF(H4004="ILF",7.5,IF(H4004="EIF",5.4)))))))</f>
        <v/>
      </c>
      <c r="M4004" s="112" t="str">
        <f t="shared" si="65"/>
        <v/>
      </c>
      <c r="N4004" s="113"/>
    </row>
    <row r="4005" spans="2:14">
      <c r="B4005" s="105"/>
      <c r="C4005" s="106"/>
      <c r="D4005" s="107"/>
      <c r="E4005" s="65"/>
      <c r="F4005" s="64"/>
      <c r="G4005" s="64"/>
      <c r="H4005" s="64"/>
      <c r="I4005" s="70"/>
      <c r="J4005" s="70"/>
      <c r="K4005" s="110" t="str">
        <f>IF(H4005="","",IF($C$29="간이법","",FPR(H4005,I4005,J4005)))</f>
        <v/>
      </c>
      <c r="L4005" s="111" t="str">
        <f>IF(H4005="","",IF($C$29="상세법",FPV(H4005,K4005),IF(H4005="EI",4,IF(H4005="EO",5.2,IF(H4005="EQ",3.9,IF(H4005="ILF",7.5,IF(H4005="EIF",5.4)))))))</f>
        <v/>
      </c>
      <c r="M4005" s="112" t="str">
        <f t="shared" si="65"/>
        <v/>
      </c>
      <c r="N4005" s="113"/>
    </row>
    <row r="4006" spans="2:14">
      <c r="B4006" s="105"/>
      <c r="C4006" s="106"/>
      <c r="D4006" s="107"/>
      <c r="E4006" s="65"/>
      <c r="F4006" s="64"/>
      <c r="G4006" s="64"/>
      <c r="H4006" s="64"/>
      <c r="I4006" s="70"/>
      <c r="J4006" s="70"/>
      <c r="K4006" s="110" t="str">
        <f>IF(H4006="","",IF($C$29="간이법","",FPR(H4006,I4006,J4006)))</f>
        <v/>
      </c>
      <c r="L4006" s="111" t="str">
        <f>IF(H4006="","",IF($C$29="상세법",FPV(H4006,K4006),IF(H4006="EI",4,IF(H4006="EO",5.2,IF(H4006="EQ",3.9,IF(H4006="ILF",7.5,IF(H4006="EIF",5.4)))))))</f>
        <v/>
      </c>
      <c r="M4006" s="112" t="str">
        <f t="shared" si="65"/>
        <v/>
      </c>
      <c r="N4006" s="113"/>
    </row>
    <row r="4007" spans="2:14">
      <c r="B4007" s="105"/>
      <c r="C4007" s="106"/>
      <c r="D4007" s="107"/>
      <c r="E4007" s="65"/>
      <c r="F4007" s="64"/>
      <c r="G4007" s="64"/>
      <c r="H4007" s="64"/>
      <c r="I4007" s="70"/>
      <c r="J4007" s="70"/>
      <c r="K4007" s="110" t="str">
        <f>IF(H4007="","",IF($C$29="간이법","",FPR(H4007,I4007,J4007)))</f>
        <v/>
      </c>
      <c r="L4007" s="111" t="str">
        <f>IF(H4007="","",IF($C$29="상세법",FPV(H4007,K4007),IF(H4007="EI",4,IF(H4007="EO",5.2,IF(H4007="EQ",3.9,IF(H4007="ILF",7.5,IF(H4007="EIF",5.4)))))))</f>
        <v/>
      </c>
      <c r="M4007" s="112" t="str">
        <f t="shared" si="65"/>
        <v/>
      </c>
      <c r="N4007" s="113"/>
    </row>
    <row r="4008" spans="2:14">
      <c r="B4008" s="105"/>
      <c r="C4008" s="106"/>
      <c r="D4008" s="107"/>
      <c r="E4008" s="65"/>
      <c r="F4008" s="64"/>
      <c r="G4008" s="64"/>
      <c r="H4008" s="64"/>
      <c r="I4008" s="70"/>
      <c r="J4008" s="70"/>
      <c r="K4008" s="110" t="str">
        <f>IF(H4008="","",IF($C$29="간이법","",FPR(H4008,I4008,J4008)))</f>
        <v/>
      </c>
      <c r="L4008" s="111" t="str">
        <f>IF(H4008="","",IF($C$29="상세법",FPV(H4008,K4008),IF(H4008="EI",4,IF(H4008="EO",5.2,IF(H4008="EQ",3.9,IF(H4008="ILF",7.5,IF(H4008="EIF",5.4)))))))</f>
        <v/>
      </c>
      <c r="M4008" s="112" t="str">
        <f t="shared" si="65"/>
        <v/>
      </c>
      <c r="N4008" s="113"/>
    </row>
    <row r="4009" spans="2:14">
      <c r="B4009" s="105"/>
      <c r="C4009" s="106"/>
      <c r="D4009" s="107"/>
      <c r="E4009" s="65"/>
      <c r="F4009" s="64"/>
      <c r="G4009" s="64"/>
      <c r="H4009" s="64"/>
      <c r="I4009" s="70"/>
      <c r="J4009" s="70"/>
      <c r="K4009" s="110" t="str">
        <f>IF(H4009="","",IF($C$29="간이법","",FPR(H4009,I4009,J4009)))</f>
        <v/>
      </c>
      <c r="L4009" s="111" t="str">
        <f>IF(H4009="","",IF($C$29="상세법",FPV(H4009,K4009),IF(H4009="EI",4,IF(H4009="EO",5.2,IF(H4009="EQ",3.9,IF(H4009="ILF",7.5,IF(H4009="EIF",5.4)))))))</f>
        <v/>
      </c>
      <c r="M4009" s="112" t="str">
        <f t="shared" si="65"/>
        <v/>
      </c>
      <c r="N4009" s="113"/>
    </row>
    <row r="4010" spans="2:14">
      <c r="B4010" s="105"/>
      <c r="C4010" s="106"/>
      <c r="D4010" s="107"/>
      <c r="E4010" s="65"/>
      <c r="F4010" s="64"/>
      <c r="G4010" s="64"/>
      <c r="H4010" s="64"/>
      <c r="I4010" s="70"/>
      <c r="J4010" s="70"/>
      <c r="K4010" s="110" t="str">
        <f>IF(H4010="","",IF($C$29="간이법","",FPR(H4010,I4010,J4010)))</f>
        <v/>
      </c>
      <c r="L4010" s="111" t="str">
        <f>IF(H4010="","",IF($C$29="상세법",FPV(H4010,K4010),IF(H4010="EI",4,IF(H4010="EO",5.2,IF(H4010="EQ",3.9,IF(H4010="ILF",7.5,IF(H4010="EIF",5.4)))))))</f>
        <v/>
      </c>
      <c r="M4010" s="112" t="str">
        <f t="shared" si="65"/>
        <v/>
      </c>
      <c r="N4010" s="113"/>
    </row>
    <row r="4011" spans="2:14">
      <c r="B4011" s="105"/>
      <c r="C4011" s="106"/>
      <c r="D4011" s="107"/>
      <c r="E4011" s="65"/>
      <c r="F4011" s="64"/>
      <c r="G4011" s="64"/>
      <c r="H4011" s="64"/>
      <c r="I4011" s="70"/>
      <c r="J4011" s="70"/>
      <c r="K4011" s="110" t="str">
        <f>IF(H4011="","",IF($C$29="간이법","",FPR(H4011,I4011,J4011)))</f>
        <v/>
      </c>
      <c r="L4011" s="111" t="str">
        <f>IF(H4011="","",IF($C$29="상세법",FPV(H4011,K4011),IF(H4011="EI",4,IF(H4011="EO",5.2,IF(H4011="EQ",3.9,IF(H4011="ILF",7.5,IF(H4011="EIF",5.4)))))))</f>
        <v/>
      </c>
      <c r="M4011" s="112" t="str">
        <f t="shared" si="65"/>
        <v/>
      </c>
      <c r="N4011" s="113"/>
    </row>
    <row r="4012" spans="2:14">
      <c r="B4012" s="105"/>
      <c r="C4012" s="106"/>
      <c r="D4012" s="107"/>
      <c r="E4012" s="65"/>
      <c r="F4012" s="64"/>
      <c r="G4012" s="64"/>
      <c r="H4012" s="64"/>
      <c r="I4012" s="70"/>
      <c r="J4012" s="70"/>
      <c r="K4012" s="110" t="str">
        <f>IF(H4012="","",IF($C$29="간이법","",FPR(H4012,I4012,J4012)))</f>
        <v/>
      </c>
      <c r="L4012" s="111" t="str">
        <f>IF(H4012="","",IF($C$29="상세법",FPV(H4012,K4012),IF(H4012="EI",4,IF(H4012="EO",5.2,IF(H4012="EQ",3.9,IF(H4012="ILF",7.5,IF(H4012="EIF",5.4)))))))</f>
        <v/>
      </c>
      <c r="M4012" s="112" t="str">
        <f t="shared" si="65"/>
        <v/>
      </c>
      <c r="N4012" s="113"/>
    </row>
    <row r="4013" spans="2:14">
      <c r="B4013" s="105"/>
      <c r="C4013" s="106"/>
      <c r="D4013" s="107"/>
      <c r="E4013" s="65"/>
      <c r="F4013" s="64"/>
      <c r="G4013" s="64"/>
      <c r="H4013" s="64"/>
      <c r="I4013" s="70"/>
      <c r="J4013" s="70"/>
      <c r="K4013" s="110" t="str">
        <f>IF(H4013="","",IF($C$29="간이법","",FPR(H4013,I4013,J4013)))</f>
        <v/>
      </c>
      <c r="L4013" s="111" t="str">
        <f>IF(H4013="","",IF($C$29="상세법",FPV(H4013,K4013),IF(H4013="EI",4,IF(H4013="EO",5.2,IF(H4013="EQ",3.9,IF(H4013="ILF",7.5,IF(H4013="EIF",5.4)))))))</f>
        <v/>
      </c>
      <c r="M4013" s="112" t="str">
        <f t="shared" si="65"/>
        <v/>
      </c>
      <c r="N4013" s="113"/>
    </row>
    <row r="4014" spans="2:14">
      <c r="B4014" s="105"/>
      <c r="C4014" s="106"/>
      <c r="D4014" s="107"/>
      <c r="E4014" s="65"/>
      <c r="F4014" s="64"/>
      <c r="G4014" s="64"/>
      <c r="H4014" s="64"/>
      <c r="I4014" s="70"/>
      <c r="J4014" s="70"/>
      <c r="K4014" s="110" t="str">
        <f>IF(H4014="","",IF($C$29="간이법","",FPR(H4014,I4014,J4014)))</f>
        <v/>
      </c>
      <c r="L4014" s="111" t="str">
        <f>IF(H4014="","",IF($C$29="상세법",FPV(H4014,K4014),IF(H4014="EI",4,IF(H4014="EO",5.2,IF(H4014="EQ",3.9,IF(H4014="ILF",7.5,IF(H4014="EIF",5.4)))))))</f>
        <v/>
      </c>
      <c r="M4014" s="112" t="str">
        <f t="shared" si="65"/>
        <v/>
      </c>
      <c r="N4014" s="113"/>
    </row>
    <row r="4015" spans="2:14">
      <c r="B4015" s="105"/>
      <c r="C4015" s="106"/>
      <c r="D4015" s="107"/>
      <c r="E4015" s="65"/>
      <c r="F4015" s="64"/>
      <c r="G4015" s="64"/>
      <c r="H4015" s="64"/>
      <c r="I4015" s="70"/>
      <c r="J4015" s="70"/>
      <c r="K4015" s="110" t="str">
        <f>IF(H4015="","",IF($C$29="간이법","",FPR(H4015,I4015,J4015)))</f>
        <v/>
      </c>
      <c r="L4015" s="111" t="str">
        <f>IF(H4015="","",IF($C$29="상세법",FPV(H4015,K4015),IF(H4015="EI",4,IF(H4015="EO",5.2,IF(H4015="EQ",3.9,IF(H4015="ILF",7.5,IF(H4015="EIF",5.4)))))))</f>
        <v/>
      </c>
      <c r="M4015" s="112" t="str">
        <f t="shared" si="65"/>
        <v/>
      </c>
      <c r="N4015" s="113"/>
    </row>
    <row r="4016" spans="2:14">
      <c r="B4016" s="105"/>
      <c r="C4016" s="106"/>
      <c r="D4016" s="107"/>
      <c r="E4016" s="65"/>
      <c r="F4016" s="64"/>
      <c r="G4016" s="64"/>
      <c r="H4016" s="64"/>
      <c r="I4016" s="70"/>
      <c r="J4016" s="70"/>
      <c r="K4016" s="110" t="str">
        <f>IF(H4016="","",IF($C$29="간이법","",FPR(H4016,I4016,J4016)))</f>
        <v/>
      </c>
      <c r="L4016" s="111" t="str">
        <f>IF(H4016="","",IF($C$29="상세법",FPV(H4016,K4016),IF(H4016="EI",4,IF(H4016="EO",5.2,IF(H4016="EQ",3.9,IF(H4016="ILF",7.5,IF(H4016="EIF",5.4)))))))</f>
        <v/>
      </c>
      <c r="M4016" s="112" t="str">
        <f t="shared" si="65"/>
        <v/>
      </c>
      <c r="N4016" s="113"/>
    </row>
    <row r="4017" spans="2:14">
      <c r="B4017" s="105"/>
      <c r="C4017" s="106"/>
      <c r="D4017" s="107"/>
      <c r="E4017" s="65"/>
      <c r="F4017" s="64"/>
      <c r="G4017" s="64"/>
      <c r="H4017" s="64"/>
      <c r="I4017" s="70"/>
      <c r="J4017" s="70"/>
      <c r="K4017" s="110" t="str">
        <f>IF(H4017="","",IF($C$29="간이법","",FPR(H4017,I4017,J4017)))</f>
        <v/>
      </c>
      <c r="L4017" s="111" t="str">
        <f>IF(H4017="","",IF($C$29="상세법",FPV(H4017,K4017),IF(H4017="EI",4,IF(H4017="EO",5.2,IF(H4017="EQ",3.9,IF(H4017="ILF",7.5,IF(H4017="EIF",5.4)))))))</f>
        <v/>
      </c>
      <c r="M4017" s="112" t="str">
        <f t="shared" si="65"/>
        <v/>
      </c>
      <c r="N4017" s="113"/>
    </row>
    <row r="4018" spans="2:14">
      <c r="B4018" s="105"/>
      <c r="C4018" s="106"/>
      <c r="D4018" s="107"/>
      <c r="E4018" s="65"/>
      <c r="F4018" s="64"/>
      <c r="G4018" s="64"/>
      <c r="H4018" s="64"/>
      <c r="I4018" s="70"/>
      <c r="J4018" s="70"/>
      <c r="K4018" s="110" t="str">
        <f>IF(H4018="","",IF($C$29="간이법","",FPR(H4018,I4018,J4018)))</f>
        <v/>
      </c>
      <c r="L4018" s="111" t="str">
        <f>IF(H4018="","",IF($C$29="상세법",FPV(H4018,K4018),IF(H4018="EI",4,IF(H4018="EO",5.2,IF(H4018="EQ",3.9,IF(H4018="ILF",7.5,IF(H4018="EIF",5.4)))))))</f>
        <v/>
      </c>
      <c r="M4018" s="112" t="str">
        <f t="shared" si="65"/>
        <v/>
      </c>
      <c r="N4018" s="113"/>
    </row>
    <row r="4019" spans="2:14">
      <c r="B4019" s="105"/>
      <c r="C4019" s="106"/>
      <c r="D4019" s="107"/>
      <c r="E4019" s="65"/>
      <c r="F4019" s="64"/>
      <c r="G4019" s="64"/>
      <c r="H4019" s="64"/>
      <c r="I4019" s="70"/>
      <c r="J4019" s="70"/>
      <c r="K4019" s="110" t="str">
        <f>IF(H4019="","",IF($C$29="간이법","",FPR(H4019,I4019,J4019)))</f>
        <v/>
      </c>
      <c r="L4019" s="111" t="str">
        <f>IF(H4019="","",IF($C$29="상세법",FPV(H4019,K4019),IF(H4019="EI",4,IF(H4019="EO",5.2,IF(H4019="EQ",3.9,IF(H4019="ILF",7.5,IF(H4019="EIF",5.4)))))))</f>
        <v/>
      </c>
      <c r="M4019" s="112" t="str">
        <f t="shared" si="65"/>
        <v/>
      </c>
      <c r="N4019" s="113"/>
    </row>
    <row r="4020" spans="2:14">
      <c r="B4020" s="105"/>
      <c r="C4020" s="106"/>
      <c r="D4020" s="107"/>
      <c r="E4020" s="65"/>
      <c r="F4020" s="64"/>
      <c r="G4020" s="64"/>
      <c r="H4020" s="64"/>
      <c r="I4020" s="70"/>
      <c r="J4020" s="70"/>
      <c r="K4020" s="110" t="str">
        <f>IF(H4020="","",IF($C$29="간이법","",FPR(H4020,I4020,J4020)))</f>
        <v/>
      </c>
      <c r="L4020" s="111" t="str">
        <f>IF(H4020="","",IF($C$29="상세법",FPV(H4020,K4020),IF(H4020="EI",4,IF(H4020="EO",5.2,IF(H4020="EQ",3.9,IF(H4020="ILF",7.5,IF(H4020="EIF",5.4)))))))</f>
        <v/>
      </c>
      <c r="M4020" s="112" t="str">
        <f t="shared" si="65"/>
        <v/>
      </c>
      <c r="N4020" s="113"/>
    </row>
    <row r="4021" spans="2:14">
      <c r="B4021" s="105"/>
      <c r="C4021" s="106"/>
      <c r="D4021" s="107"/>
      <c r="E4021" s="65"/>
      <c r="F4021" s="64"/>
      <c r="G4021" s="64"/>
      <c r="H4021" s="64"/>
      <c r="I4021" s="70"/>
      <c r="J4021" s="70"/>
      <c r="K4021" s="110" t="str">
        <f>IF(H4021="","",IF($C$29="간이법","",FPR(H4021,I4021,J4021)))</f>
        <v/>
      </c>
      <c r="L4021" s="111" t="str">
        <f>IF(H4021="","",IF($C$29="상세법",FPV(H4021,K4021),IF(H4021="EI",4,IF(H4021="EO",5.2,IF(H4021="EQ",3.9,IF(H4021="ILF",7.5,IF(H4021="EIF",5.4)))))))</f>
        <v/>
      </c>
      <c r="M4021" s="112" t="str">
        <f t="shared" si="65"/>
        <v/>
      </c>
      <c r="N4021" s="113"/>
    </row>
    <row r="4022" spans="2:14">
      <c r="B4022" s="105"/>
      <c r="C4022" s="106"/>
      <c r="D4022" s="107"/>
      <c r="E4022" s="65"/>
      <c r="F4022" s="64"/>
      <c r="G4022" s="64"/>
      <c r="H4022" s="64"/>
      <c r="I4022" s="70"/>
      <c r="J4022" s="70"/>
      <c r="K4022" s="110" t="str">
        <f>IF(H4022="","",IF($C$29="간이법","",FPR(H4022,I4022,J4022)))</f>
        <v/>
      </c>
      <c r="L4022" s="111" t="str">
        <f>IF(H4022="","",IF($C$29="상세법",FPV(H4022,K4022),IF(H4022="EI",4,IF(H4022="EO",5.2,IF(H4022="EQ",3.9,IF(H4022="ILF",7.5,IF(H4022="EIF",5.4)))))))</f>
        <v/>
      </c>
      <c r="M4022" s="112" t="str">
        <f t="shared" si="65"/>
        <v/>
      </c>
      <c r="N4022" s="113"/>
    </row>
    <row r="4023" spans="2:14">
      <c r="B4023" s="105"/>
      <c r="C4023" s="106"/>
      <c r="D4023" s="107"/>
      <c r="E4023" s="65"/>
      <c r="F4023" s="64"/>
      <c r="G4023" s="64"/>
      <c r="H4023" s="64"/>
      <c r="I4023" s="70"/>
      <c r="J4023" s="70"/>
      <c r="K4023" s="110" t="str">
        <f>IF(H4023="","",IF($C$29="간이법","",FPR(H4023,I4023,J4023)))</f>
        <v/>
      </c>
      <c r="L4023" s="111" t="str">
        <f>IF(H4023="","",IF($C$29="상세법",FPV(H4023,K4023),IF(H4023="EI",4,IF(H4023="EO",5.2,IF(H4023="EQ",3.9,IF(H4023="ILF",7.5,IF(H4023="EIF",5.4)))))))</f>
        <v/>
      </c>
      <c r="M4023" s="112" t="str">
        <f t="shared" si="65"/>
        <v/>
      </c>
      <c r="N4023" s="113"/>
    </row>
    <row r="4024" spans="2:14">
      <c r="B4024" s="105"/>
      <c r="C4024" s="106"/>
      <c r="D4024" s="107"/>
      <c r="E4024" s="65"/>
      <c r="F4024" s="64"/>
      <c r="G4024" s="64"/>
      <c r="H4024" s="64"/>
      <c r="I4024" s="70"/>
      <c r="J4024" s="70"/>
      <c r="K4024" s="110" t="str">
        <f>IF(H4024="","",IF($C$29="간이법","",FPR(H4024,I4024,J4024)))</f>
        <v/>
      </c>
      <c r="L4024" s="111" t="str">
        <f>IF(H4024="","",IF($C$29="상세법",FPV(H4024,K4024),IF(H4024="EI",4,IF(H4024="EO",5.2,IF(H4024="EQ",3.9,IF(H4024="ILF",7.5,IF(H4024="EIF",5.4)))))))</f>
        <v/>
      </c>
      <c r="M4024" s="112" t="str">
        <f t="shared" si="65"/>
        <v/>
      </c>
      <c r="N4024" s="113"/>
    </row>
    <row r="4025" spans="2:14">
      <c r="B4025" s="105"/>
      <c r="C4025" s="106"/>
      <c r="D4025" s="107"/>
      <c r="E4025" s="65"/>
      <c r="F4025" s="64"/>
      <c r="G4025" s="64"/>
      <c r="H4025" s="64"/>
      <c r="I4025" s="70"/>
      <c r="J4025" s="70"/>
      <c r="K4025" s="110" t="str">
        <f>IF(H4025="","",IF($C$29="간이법","",FPR(H4025,I4025,J4025)))</f>
        <v/>
      </c>
      <c r="L4025" s="111" t="str">
        <f>IF(H4025="","",IF($C$29="상세법",FPV(H4025,K4025),IF(H4025="EI",4,IF(H4025="EO",5.2,IF(H4025="EQ",3.9,IF(H4025="ILF",7.5,IF(H4025="EIF",5.4)))))))</f>
        <v/>
      </c>
      <c r="M4025" s="112" t="str">
        <f t="shared" ref="M4025:M4088" si="66">IF(L4025="","",L4025*IF(G4025="상",0.7,IF(G4025="중",0.5,IF(G4025="하",0.2,1))))</f>
        <v/>
      </c>
      <c r="N4025" s="113"/>
    </row>
    <row r="4026" spans="2:14">
      <c r="B4026" s="105"/>
      <c r="C4026" s="106"/>
      <c r="D4026" s="107"/>
      <c r="E4026" s="65"/>
      <c r="F4026" s="64"/>
      <c r="G4026" s="64"/>
      <c r="H4026" s="64"/>
      <c r="I4026" s="70"/>
      <c r="J4026" s="70"/>
      <c r="K4026" s="110" t="str">
        <f>IF(H4026="","",IF($C$29="간이법","",FPR(H4026,I4026,J4026)))</f>
        <v/>
      </c>
      <c r="L4026" s="111" t="str">
        <f>IF(H4026="","",IF($C$29="상세법",FPV(H4026,K4026),IF(H4026="EI",4,IF(H4026="EO",5.2,IF(H4026="EQ",3.9,IF(H4026="ILF",7.5,IF(H4026="EIF",5.4)))))))</f>
        <v/>
      </c>
      <c r="M4026" s="112" t="str">
        <f t="shared" si="66"/>
        <v/>
      </c>
      <c r="N4026" s="113"/>
    </row>
    <row r="4027" spans="2:14">
      <c r="B4027" s="105"/>
      <c r="C4027" s="106"/>
      <c r="D4027" s="107"/>
      <c r="E4027" s="65"/>
      <c r="F4027" s="64"/>
      <c r="G4027" s="64"/>
      <c r="H4027" s="64"/>
      <c r="I4027" s="70"/>
      <c r="J4027" s="70"/>
      <c r="K4027" s="110" t="str">
        <f>IF(H4027="","",IF($C$29="간이법","",FPR(H4027,I4027,J4027)))</f>
        <v/>
      </c>
      <c r="L4027" s="111" t="str">
        <f>IF(H4027="","",IF($C$29="상세법",FPV(H4027,K4027),IF(H4027="EI",4,IF(H4027="EO",5.2,IF(H4027="EQ",3.9,IF(H4027="ILF",7.5,IF(H4027="EIF",5.4)))))))</f>
        <v/>
      </c>
      <c r="M4027" s="112" t="str">
        <f t="shared" si="66"/>
        <v/>
      </c>
      <c r="N4027" s="113"/>
    </row>
    <row r="4028" spans="2:14">
      <c r="B4028" s="105"/>
      <c r="C4028" s="106"/>
      <c r="D4028" s="107"/>
      <c r="E4028" s="65"/>
      <c r="F4028" s="64"/>
      <c r="G4028" s="64"/>
      <c r="H4028" s="64"/>
      <c r="I4028" s="70"/>
      <c r="J4028" s="70"/>
      <c r="K4028" s="110" t="str">
        <f>IF(H4028="","",IF($C$29="간이법","",FPR(H4028,I4028,J4028)))</f>
        <v/>
      </c>
      <c r="L4028" s="111" t="str">
        <f>IF(H4028="","",IF($C$29="상세법",FPV(H4028,K4028),IF(H4028="EI",4,IF(H4028="EO",5.2,IF(H4028="EQ",3.9,IF(H4028="ILF",7.5,IF(H4028="EIF",5.4)))))))</f>
        <v/>
      </c>
      <c r="M4028" s="112" t="str">
        <f t="shared" si="66"/>
        <v/>
      </c>
      <c r="N4028" s="113"/>
    </row>
    <row r="4029" spans="2:14">
      <c r="B4029" s="105"/>
      <c r="C4029" s="106"/>
      <c r="D4029" s="107"/>
      <c r="E4029" s="65"/>
      <c r="F4029" s="64"/>
      <c r="G4029" s="64"/>
      <c r="H4029" s="64"/>
      <c r="I4029" s="70"/>
      <c r="J4029" s="70"/>
      <c r="K4029" s="110" t="str">
        <f>IF(H4029="","",IF($C$29="간이법","",FPR(H4029,I4029,J4029)))</f>
        <v/>
      </c>
      <c r="L4029" s="111" t="str">
        <f>IF(H4029="","",IF($C$29="상세법",FPV(H4029,K4029),IF(H4029="EI",4,IF(H4029="EO",5.2,IF(H4029="EQ",3.9,IF(H4029="ILF",7.5,IF(H4029="EIF",5.4)))))))</f>
        <v/>
      </c>
      <c r="M4029" s="112" t="str">
        <f t="shared" si="66"/>
        <v/>
      </c>
      <c r="N4029" s="113"/>
    </row>
    <row r="4030" spans="2:14">
      <c r="B4030" s="105"/>
      <c r="C4030" s="106"/>
      <c r="D4030" s="107"/>
      <c r="E4030" s="65"/>
      <c r="F4030" s="64"/>
      <c r="G4030" s="64"/>
      <c r="H4030" s="64"/>
      <c r="I4030" s="70"/>
      <c r="J4030" s="70"/>
      <c r="K4030" s="110" t="str">
        <f>IF(H4030="","",IF($C$29="간이법","",FPR(H4030,I4030,J4030)))</f>
        <v/>
      </c>
      <c r="L4030" s="111" t="str">
        <f>IF(H4030="","",IF($C$29="상세법",FPV(H4030,K4030),IF(H4030="EI",4,IF(H4030="EO",5.2,IF(H4030="EQ",3.9,IF(H4030="ILF",7.5,IF(H4030="EIF",5.4)))))))</f>
        <v/>
      </c>
      <c r="M4030" s="112" t="str">
        <f t="shared" si="66"/>
        <v/>
      </c>
      <c r="N4030" s="113"/>
    </row>
    <row r="4031" spans="2:14">
      <c r="B4031" s="105"/>
      <c r="C4031" s="106"/>
      <c r="D4031" s="107"/>
      <c r="E4031" s="65"/>
      <c r="F4031" s="64"/>
      <c r="G4031" s="64"/>
      <c r="H4031" s="64"/>
      <c r="I4031" s="70"/>
      <c r="J4031" s="70"/>
      <c r="K4031" s="110" t="str">
        <f>IF(H4031="","",IF($C$29="간이법","",FPR(H4031,I4031,J4031)))</f>
        <v/>
      </c>
      <c r="L4031" s="111" t="str">
        <f>IF(H4031="","",IF($C$29="상세법",FPV(H4031,K4031),IF(H4031="EI",4,IF(H4031="EO",5.2,IF(H4031="EQ",3.9,IF(H4031="ILF",7.5,IF(H4031="EIF",5.4)))))))</f>
        <v/>
      </c>
      <c r="M4031" s="112" t="str">
        <f t="shared" si="66"/>
        <v/>
      </c>
      <c r="N4031" s="113"/>
    </row>
    <row r="4032" spans="2:14">
      <c r="B4032" s="105"/>
      <c r="C4032" s="106"/>
      <c r="D4032" s="107"/>
      <c r="E4032" s="65"/>
      <c r="F4032" s="64"/>
      <c r="G4032" s="64"/>
      <c r="H4032" s="64"/>
      <c r="I4032" s="70"/>
      <c r="J4032" s="70"/>
      <c r="K4032" s="110" t="str">
        <f>IF(H4032="","",IF($C$29="간이법","",FPR(H4032,I4032,J4032)))</f>
        <v/>
      </c>
      <c r="L4032" s="111" t="str">
        <f>IF(H4032="","",IF($C$29="상세법",FPV(H4032,K4032),IF(H4032="EI",4,IF(H4032="EO",5.2,IF(H4032="EQ",3.9,IF(H4032="ILF",7.5,IF(H4032="EIF",5.4)))))))</f>
        <v/>
      </c>
      <c r="M4032" s="112" t="str">
        <f t="shared" si="66"/>
        <v/>
      </c>
      <c r="N4032" s="113"/>
    </row>
    <row r="4033" spans="2:14">
      <c r="B4033" s="105"/>
      <c r="C4033" s="106"/>
      <c r="D4033" s="107"/>
      <c r="E4033" s="65"/>
      <c r="F4033" s="64"/>
      <c r="G4033" s="64"/>
      <c r="H4033" s="64"/>
      <c r="I4033" s="70"/>
      <c r="J4033" s="70"/>
      <c r="K4033" s="110" t="str">
        <f>IF(H4033="","",IF($C$29="간이법","",FPR(H4033,I4033,J4033)))</f>
        <v/>
      </c>
      <c r="L4033" s="111" t="str">
        <f>IF(H4033="","",IF($C$29="상세법",FPV(H4033,K4033),IF(H4033="EI",4,IF(H4033="EO",5.2,IF(H4033="EQ",3.9,IF(H4033="ILF",7.5,IF(H4033="EIF",5.4)))))))</f>
        <v/>
      </c>
      <c r="M4033" s="112" t="str">
        <f t="shared" si="66"/>
        <v/>
      </c>
      <c r="N4033" s="113"/>
    </row>
    <row r="4034" spans="2:14">
      <c r="B4034" s="105"/>
      <c r="C4034" s="106"/>
      <c r="D4034" s="107"/>
      <c r="E4034" s="65"/>
      <c r="F4034" s="64"/>
      <c r="G4034" s="64"/>
      <c r="H4034" s="64"/>
      <c r="I4034" s="70"/>
      <c r="J4034" s="70"/>
      <c r="K4034" s="110" t="str">
        <f>IF(H4034="","",IF($C$29="간이법","",FPR(H4034,I4034,J4034)))</f>
        <v/>
      </c>
      <c r="L4034" s="111" t="str">
        <f>IF(H4034="","",IF($C$29="상세법",FPV(H4034,K4034),IF(H4034="EI",4,IF(H4034="EO",5.2,IF(H4034="EQ",3.9,IF(H4034="ILF",7.5,IF(H4034="EIF",5.4)))))))</f>
        <v/>
      </c>
      <c r="M4034" s="112" t="str">
        <f t="shared" si="66"/>
        <v/>
      </c>
      <c r="N4034" s="113"/>
    </row>
    <row r="4035" spans="2:14">
      <c r="B4035" s="105"/>
      <c r="C4035" s="106"/>
      <c r="D4035" s="107"/>
      <c r="E4035" s="65"/>
      <c r="F4035" s="64"/>
      <c r="G4035" s="64"/>
      <c r="H4035" s="64"/>
      <c r="I4035" s="70"/>
      <c r="J4035" s="70"/>
      <c r="K4035" s="110" t="str">
        <f>IF(H4035="","",IF($C$29="간이법","",FPR(H4035,I4035,J4035)))</f>
        <v/>
      </c>
      <c r="L4035" s="111" t="str">
        <f>IF(H4035="","",IF($C$29="상세법",FPV(H4035,K4035),IF(H4035="EI",4,IF(H4035="EO",5.2,IF(H4035="EQ",3.9,IF(H4035="ILF",7.5,IF(H4035="EIF",5.4)))))))</f>
        <v/>
      </c>
      <c r="M4035" s="112" t="str">
        <f t="shared" si="66"/>
        <v/>
      </c>
      <c r="N4035" s="113"/>
    </row>
    <row r="4036" spans="2:14">
      <c r="B4036" s="105"/>
      <c r="C4036" s="106"/>
      <c r="D4036" s="107"/>
      <c r="E4036" s="65"/>
      <c r="F4036" s="64"/>
      <c r="G4036" s="64"/>
      <c r="H4036" s="64"/>
      <c r="I4036" s="70"/>
      <c r="J4036" s="70"/>
      <c r="K4036" s="110" t="str">
        <f>IF(H4036="","",IF($C$29="간이법","",FPR(H4036,I4036,J4036)))</f>
        <v/>
      </c>
      <c r="L4036" s="111" t="str">
        <f>IF(H4036="","",IF($C$29="상세법",FPV(H4036,K4036),IF(H4036="EI",4,IF(H4036="EO",5.2,IF(H4036="EQ",3.9,IF(H4036="ILF",7.5,IF(H4036="EIF",5.4)))))))</f>
        <v/>
      </c>
      <c r="M4036" s="112" t="str">
        <f t="shared" si="66"/>
        <v/>
      </c>
      <c r="N4036" s="113"/>
    </row>
    <row r="4037" spans="2:14">
      <c r="B4037" s="105"/>
      <c r="C4037" s="106"/>
      <c r="D4037" s="107"/>
      <c r="E4037" s="65"/>
      <c r="F4037" s="64"/>
      <c r="G4037" s="64"/>
      <c r="H4037" s="64"/>
      <c r="I4037" s="70"/>
      <c r="J4037" s="70"/>
      <c r="K4037" s="110" t="str">
        <f>IF(H4037="","",IF($C$29="간이법","",FPR(H4037,I4037,J4037)))</f>
        <v/>
      </c>
      <c r="L4037" s="111" t="str">
        <f>IF(H4037="","",IF($C$29="상세법",FPV(H4037,K4037),IF(H4037="EI",4,IF(H4037="EO",5.2,IF(H4037="EQ",3.9,IF(H4037="ILF",7.5,IF(H4037="EIF",5.4)))))))</f>
        <v/>
      </c>
      <c r="M4037" s="112" t="str">
        <f t="shared" si="66"/>
        <v/>
      </c>
      <c r="N4037" s="113"/>
    </row>
    <row r="4038" spans="2:14">
      <c r="B4038" s="105"/>
      <c r="C4038" s="106"/>
      <c r="D4038" s="107"/>
      <c r="E4038" s="65"/>
      <c r="F4038" s="64"/>
      <c r="G4038" s="64"/>
      <c r="H4038" s="64"/>
      <c r="I4038" s="70"/>
      <c r="J4038" s="70"/>
      <c r="K4038" s="110" t="str">
        <f>IF(H4038="","",IF($C$29="간이법","",FPR(H4038,I4038,J4038)))</f>
        <v/>
      </c>
      <c r="L4038" s="111" t="str">
        <f>IF(H4038="","",IF($C$29="상세법",FPV(H4038,K4038),IF(H4038="EI",4,IF(H4038="EO",5.2,IF(H4038="EQ",3.9,IF(H4038="ILF",7.5,IF(H4038="EIF",5.4)))))))</f>
        <v/>
      </c>
      <c r="M4038" s="112" t="str">
        <f t="shared" si="66"/>
        <v/>
      </c>
      <c r="N4038" s="113"/>
    </row>
    <row r="4039" spans="2:14">
      <c r="B4039" s="105"/>
      <c r="C4039" s="106"/>
      <c r="D4039" s="107"/>
      <c r="E4039" s="65"/>
      <c r="F4039" s="64"/>
      <c r="G4039" s="64"/>
      <c r="H4039" s="64"/>
      <c r="I4039" s="70"/>
      <c r="J4039" s="70"/>
      <c r="K4039" s="110" t="str">
        <f>IF(H4039="","",IF($C$29="간이법","",FPR(H4039,I4039,J4039)))</f>
        <v/>
      </c>
      <c r="L4039" s="111" t="str">
        <f>IF(H4039="","",IF($C$29="상세법",FPV(H4039,K4039),IF(H4039="EI",4,IF(H4039="EO",5.2,IF(H4039="EQ",3.9,IF(H4039="ILF",7.5,IF(H4039="EIF",5.4)))))))</f>
        <v/>
      </c>
      <c r="M4039" s="112" t="str">
        <f t="shared" si="66"/>
        <v/>
      </c>
      <c r="N4039" s="113"/>
    </row>
    <row r="4040" spans="2:14">
      <c r="B4040" s="105"/>
      <c r="C4040" s="106"/>
      <c r="D4040" s="107"/>
      <c r="E4040" s="65"/>
      <c r="F4040" s="64"/>
      <c r="G4040" s="64"/>
      <c r="H4040" s="64"/>
      <c r="I4040" s="70"/>
      <c r="J4040" s="70"/>
      <c r="K4040" s="110" t="str">
        <f>IF(H4040="","",IF($C$29="간이법","",FPR(H4040,I4040,J4040)))</f>
        <v/>
      </c>
      <c r="L4040" s="111" t="str">
        <f>IF(H4040="","",IF($C$29="상세법",FPV(H4040,K4040),IF(H4040="EI",4,IF(H4040="EO",5.2,IF(H4040="EQ",3.9,IF(H4040="ILF",7.5,IF(H4040="EIF",5.4)))))))</f>
        <v/>
      </c>
      <c r="M4040" s="112" t="str">
        <f t="shared" si="66"/>
        <v/>
      </c>
      <c r="N4040" s="113"/>
    </row>
    <row r="4041" spans="2:14">
      <c r="B4041" s="105"/>
      <c r="C4041" s="106"/>
      <c r="D4041" s="107"/>
      <c r="E4041" s="65"/>
      <c r="F4041" s="64"/>
      <c r="G4041" s="64"/>
      <c r="H4041" s="64"/>
      <c r="I4041" s="70"/>
      <c r="J4041" s="70"/>
      <c r="K4041" s="110" t="str">
        <f>IF(H4041="","",IF($C$29="간이법","",FPR(H4041,I4041,J4041)))</f>
        <v/>
      </c>
      <c r="L4041" s="111" t="str">
        <f>IF(H4041="","",IF($C$29="상세법",FPV(H4041,K4041),IF(H4041="EI",4,IF(H4041="EO",5.2,IF(H4041="EQ",3.9,IF(H4041="ILF",7.5,IF(H4041="EIF",5.4)))))))</f>
        <v/>
      </c>
      <c r="M4041" s="112" t="str">
        <f t="shared" si="66"/>
        <v/>
      </c>
      <c r="N4041" s="113"/>
    </row>
    <row r="4042" spans="2:14">
      <c r="B4042" s="105"/>
      <c r="C4042" s="106"/>
      <c r="D4042" s="107"/>
      <c r="E4042" s="65"/>
      <c r="F4042" s="64"/>
      <c r="G4042" s="64"/>
      <c r="H4042" s="64"/>
      <c r="I4042" s="70"/>
      <c r="J4042" s="70"/>
      <c r="K4042" s="110" t="str">
        <f>IF(H4042="","",IF($C$29="간이법","",FPR(H4042,I4042,J4042)))</f>
        <v/>
      </c>
      <c r="L4042" s="111" t="str">
        <f>IF(H4042="","",IF($C$29="상세법",FPV(H4042,K4042),IF(H4042="EI",4,IF(H4042="EO",5.2,IF(H4042="EQ",3.9,IF(H4042="ILF",7.5,IF(H4042="EIF",5.4)))))))</f>
        <v/>
      </c>
      <c r="M4042" s="112" t="str">
        <f t="shared" si="66"/>
        <v/>
      </c>
      <c r="N4042" s="113"/>
    </row>
    <row r="4043" spans="2:14">
      <c r="B4043" s="105"/>
      <c r="C4043" s="106"/>
      <c r="D4043" s="107"/>
      <c r="E4043" s="65"/>
      <c r="F4043" s="64"/>
      <c r="G4043" s="64"/>
      <c r="H4043" s="64"/>
      <c r="I4043" s="70"/>
      <c r="J4043" s="70"/>
      <c r="K4043" s="110" t="str">
        <f>IF(H4043="","",IF($C$29="간이법","",FPR(H4043,I4043,J4043)))</f>
        <v/>
      </c>
      <c r="L4043" s="111" t="str">
        <f>IF(H4043="","",IF($C$29="상세법",FPV(H4043,K4043),IF(H4043="EI",4,IF(H4043="EO",5.2,IF(H4043="EQ",3.9,IF(H4043="ILF",7.5,IF(H4043="EIF",5.4)))))))</f>
        <v/>
      </c>
      <c r="M4043" s="112" t="str">
        <f t="shared" si="66"/>
        <v/>
      </c>
      <c r="N4043" s="113"/>
    </row>
    <row r="4044" spans="2:14">
      <c r="B4044" s="105"/>
      <c r="C4044" s="106"/>
      <c r="D4044" s="107"/>
      <c r="E4044" s="65"/>
      <c r="F4044" s="64"/>
      <c r="G4044" s="64"/>
      <c r="H4044" s="64"/>
      <c r="I4044" s="70"/>
      <c r="J4044" s="70"/>
      <c r="K4044" s="110" t="str">
        <f>IF(H4044="","",IF($C$29="간이법","",FPR(H4044,I4044,J4044)))</f>
        <v/>
      </c>
      <c r="L4044" s="111" t="str">
        <f>IF(H4044="","",IF($C$29="상세법",FPV(H4044,K4044),IF(H4044="EI",4,IF(H4044="EO",5.2,IF(H4044="EQ",3.9,IF(H4044="ILF",7.5,IF(H4044="EIF",5.4)))))))</f>
        <v/>
      </c>
      <c r="M4044" s="112" t="str">
        <f t="shared" si="66"/>
        <v/>
      </c>
      <c r="N4044" s="113"/>
    </row>
    <row r="4045" spans="2:14">
      <c r="B4045" s="105"/>
      <c r="C4045" s="106"/>
      <c r="D4045" s="107"/>
      <c r="E4045" s="65"/>
      <c r="F4045" s="64"/>
      <c r="G4045" s="64"/>
      <c r="H4045" s="64"/>
      <c r="I4045" s="70"/>
      <c r="J4045" s="70"/>
      <c r="K4045" s="110" t="str">
        <f>IF(H4045="","",IF($C$29="간이법","",FPR(H4045,I4045,J4045)))</f>
        <v/>
      </c>
      <c r="L4045" s="111" t="str">
        <f>IF(H4045="","",IF($C$29="상세법",FPV(H4045,K4045),IF(H4045="EI",4,IF(H4045="EO",5.2,IF(H4045="EQ",3.9,IF(H4045="ILF",7.5,IF(H4045="EIF",5.4)))))))</f>
        <v/>
      </c>
      <c r="M4045" s="112" t="str">
        <f t="shared" si="66"/>
        <v/>
      </c>
      <c r="N4045" s="113"/>
    </row>
    <row r="4046" spans="2:14">
      <c r="B4046" s="105"/>
      <c r="C4046" s="106"/>
      <c r="D4046" s="107"/>
      <c r="E4046" s="65"/>
      <c r="F4046" s="64"/>
      <c r="G4046" s="64"/>
      <c r="H4046" s="64"/>
      <c r="I4046" s="70"/>
      <c r="J4046" s="70"/>
      <c r="K4046" s="110" t="str">
        <f>IF(H4046="","",IF($C$29="간이법","",FPR(H4046,I4046,J4046)))</f>
        <v/>
      </c>
      <c r="L4046" s="111" t="str">
        <f>IF(H4046="","",IF($C$29="상세법",FPV(H4046,K4046),IF(H4046="EI",4,IF(H4046="EO",5.2,IF(H4046="EQ",3.9,IF(H4046="ILF",7.5,IF(H4046="EIF",5.4)))))))</f>
        <v/>
      </c>
      <c r="M4046" s="112" t="str">
        <f t="shared" si="66"/>
        <v/>
      </c>
      <c r="N4046" s="113"/>
    </row>
    <row r="4047" spans="2:14">
      <c r="B4047" s="105"/>
      <c r="C4047" s="106"/>
      <c r="D4047" s="107"/>
      <c r="E4047" s="65"/>
      <c r="F4047" s="64"/>
      <c r="G4047" s="64"/>
      <c r="H4047" s="64"/>
      <c r="I4047" s="70"/>
      <c r="J4047" s="70"/>
      <c r="K4047" s="110" t="str">
        <f>IF(H4047="","",IF($C$29="간이법","",FPR(H4047,I4047,J4047)))</f>
        <v/>
      </c>
      <c r="L4047" s="111" t="str">
        <f>IF(H4047="","",IF($C$29="상세법",FPV(H4047,K4047),IF(H4047="EI",4,IF(H4047="EO",5.2,IF(H4047="EQ",3.9,IF(H4047="ILF",7.5,IF(H4047="EIF",5.4)))))))</f>
        <v/>
      </c>
      <c r="M4047" s="112" t="str">
        <f t="shared" si="66"/>
        <v/>
      </c>
      <c r="N4047" s="113"/>
    </row>
    <row r="4048" spans="2:14">
      <c r="B4048" s="105"/>
      <c r="C4048" s="106"/>
      <c r="D4048" s="107"/>
      <c r="E4048" s="65"/>
      <c r="F4048" s="64"/>
      <c r="G4048" s="64"/>
      <c r="H4048" s="64"/>
      <c r="I4048" s="70"/>
      <c r="J4048" s="70"/>
      <c r="K4048" s="110" t="str">
        <f>IF(H4048="","",IF($C$29="간이법","",FPR(H4048,I4048,J4048)))</f>
        <v/>
      </c>
      <c r="L4048" s="111" t="str">
        <f>IF(H4048="","",IF($C$29="상세법",FPV(H4048,K4048),IF(H4048="EI",4,IF(H4048="EO",5.2,IF(H4048="EQ",3.9,IF(H4048="ILF",7.5,IF(H4048="EIF",5.4)))))))</f>
        <v/>
      </c>
      <c r="M4048" s="112" t="str">
        <f t="shared" si="66"/>
        <v/>
      </c>
      <c r="N4048" s="113"/>
    </row>
    <row r="4049" spans="2:14">
      <c r="B4049" s="105"/>
      <c r="C4049" s="106"/>
      <c r="D4049" s="107"/>
      <c r="E4049" s="65"/>
      <c r="F4049" s="64"/>
      <c r="G4049" s="64"/>
      <c r="H4049" s="64"/>
      <c r="I4049" s="70"/>
      <c r="J4049" s="70"/>
      <c r="K4049" s="110" t="str">
        <f>IF(H4049="","",IF($C$29="간이법","",FPR(H4049,I4049,J4049)))</f>
        <v/>
      </c>
      <c r="L4049" s="111" t="str">
        <f>IF(H4049="","",IF($C$29="상세법",FPV(H4049,K4049),IF(H4049="EI",4,IF(H4049="EO",5.2,IF(H4049="EQ",3.9,IF(H4049="ILF",7.5,IF(H4049="EIF",5.4)))))))</f>
        <v/>
      </c>
      <c r="M4049" s="112" t="str">
        <f t="shared" si="66"/>
        <v/>
      </c>
      <c r="N4049" s="113"/>
    </row>
    <row r="4050" spans="2:14">
      <c r="B4050" s="105"/>
      <c r="C4050" s="106"/>
      <c r="D4050" s="107"/>
      <c r="E4050" s="65"/>
      <c r="F4050" s="64"/>
      <c r="G4050" s="64"/>
      <c r="H4050" s="64"/>
      <c r="I4050" s="70"/>
      <c r="J4050" s="70"/>
      <c r="K4050" s="110" t="str">
        <f>IF(H4050="","",IF($C$29="간이법","",FPR(H4050,I4050,J4050)))</f>
        <v/>
      </c>
      <c r="L4050" s="111" t="str">
        <f>IF(H4050="","",IF($C$29="상세법",FPV(H4050,K4050),IF(H4050="EI",4,IF(H4050="EO",5.2,IF(H4050="EQ",3.9,IF(H4050="ILF",7.5,IF(H4050="EIF",5.4)))))))</f>
        <v/>
      </c>
      <c r="M4050" s="112" t="str">
        <f t="shared" si="66"/>
        <v/>
      </c>
      <c r="N4050" s="113"/>
    </row>
    <row r="4051" spans="2:14">
      <c r="B4051" s="105"/>
      <c r="C4051" s="106"/>
      <c r="D4051" s="107"/>
      <c r="E4051" s="65"/>
      <c r="F4051" s="64"/>
      <c r="G4051" s="64"/>
      <c r="H4051" s="64"/>
      <c r="I4051" s="70"/>
      <c r="J4051" s="70"/>
      <c r="K4051" s="110" t="str">
        <f>IF(H4051="","",IF($C$29="간이법","",FPR(H4051,I4051,J4051)))</f>
        <v/>
      </c>
      <c r="L4051" s="111" t="str">
        <f>IF(H4051="","",IF($C$29="상세법",FPV(H4051,K4051),IF(H4051="EI",4,IF(H4051="EO",5.2,IF(H4051="EQ",3.9,IF(H4051="ILF",7.5,IF(H4051="EIF",5.4)))))))</f>
        <v/>
      </c>
      <c r="M4051" s="112" t="str">
        <f t="shared" si="66"/>
        <v/>
      </c>
      <c r="N4051" s="113"/>
    </row>
    <row r="4052" spans="2:14">
      <c r="B4052" s="105"/>
      <c r="C4052" s="106"/>
      <c r="D4052" s="107"/>
      <c r="E4052" s="65"/>
      <c r="F4052" s="64"/>
      <c r="G4052" s="64"/>
      <c r="H4052" s="64"/>
      <c r="I4052" s="70"/>
      <c r="J4052" s="70"/>
      <c r="K4052" s="110" t="str">
        <f>IF(H4052="","",IF($C$29="간이법","",FPR(H4052,I4052,J4052)))</f>
        <v/>
      </c>
      <c r="L4052" s="111" t="str">
        <f>IF(H4052="","",IF($C$29="상세법",FPV(H4052,K4052),IF(H4052="EI",4,IF(H4052="EO",5.2,IF(H4052="EQ",3.9,IF(H4052="ILF",7.5,IF(H4052="EIF",5.4)))))))</f>
        <v/>
      </c>
      <c r="M4052" s="112" t="str">
        <f t="shared" si="66"/>
        <v/>
      </c>
      <c r="N4052" s="113"/>
    </row>
    <row r="4053" spans="2:14">
      <c r="B4053" s="105"/>
      <c r="C4053" s="106"/>
      <c r="D4053" s="107"/>
      <c r="E4053" s="65"/>
      <c r="F4053" s="64"/>
      <c r="G4053" s="64"/>
      <c r="H4053" s="64"/>
      <c r="I4053" s="70"/>
      <c r="J4053" s="70"/>
      <c r="K4053" s="110" t="str">
        <f>IF(H4053="","",IF($C$29="간이법","",FPR(H4053,I4053,J4053)))</f>
        <v/>
      </c>
      <c r="L4053" s="111" t="str">
        <f>IF(H4053="","",IF($C$29="상세법",FPV(H4053,K4053),IF(H4053="EI",4,IF(H4053="EO",5.2,IF(H4053="EQ",3.9,IF(H4053="ILF",7.5,IF(H4053="EIF",5.4)))))))</f>
        <v/>
      </c>
      <c r="M4053" s="112" t="str">
        <f t="shared" si="66"/>
        <v/>
      </c>
      <c r="N4053" s="113"/>
    </row>
    <row r="4054" spans="2:14">
      <c r="B4054" s="105"/>
      <c r="C4054" s="106"/>
      <c r="D4054" s="107"/>
      <c r="E4054" s="65"/>
      <c r="F4054" s="64"/>
      <c r="G4054" s="64"/>
      <c r="H4054" s="64"/>
      <c r="I4054" s="70"/>
      <c r="J4054" s="70"/>
      <c r="K4054" s="110" t="str">
        <f>IF(H4054="","",IF($C$29="간이법","",FPR(H4054,I4054,J4054)))</f>
        <v/>
      </c>
      <c r="L4054" s="111" t="str">
        <f>IF(H4054="","",IF($C$29="상세법",FPV(H4054,K4054),IF(H4054="EI",4,IF(H4054="EO",5.2,IF(H4054="EQ",3.9,IF(H4054="ILF",7.5,IF(H4054="EIF",5.4)))))))</f>
        <v/>
      </c>
      <c r="M4054" s="112" t="str">
        <f t="shared" si="66"/>
        <v/>
      </c>
      <c r="N4054" s="113"/>
    </row>
    <row r="4055" spans="2:14">
      <c r="B4055" s="105"/>
      <c r="C4055" s="106"/>
      <c r="D4055" s="107"/>
      <c r="E4055" s="65"/>
      <c r="F4055" s="64"/>
      <c r="G4055" s="64"/>
      <c r="H4055" s="64"/>
      <c r="I4055" s="70"/>
      <c r="J4055" s="70"/>
      <c r="K4055" s="110" t="str">
        <f>IF(H4055="","",IF($C$29="간이법","",FPR(H4055,I4055,J4055)))</f>
        <v/>
      </c>
      <c r="L4055" s="111" t="str">
        <f>IF(H4055="","",IF($C$29="상세법",FPV(H4055,K4055),IF(H4055="EI",4,IF(H4055="EO",5.2,IF(H4055="EQ",3.9,IF(H4055="ILF",7.5,IF(H4055="EIF",5.4)))))))</f>
        <v/>
      </c>
      <c r="M4055" s="112" t="str">
        <f t="shared" si="66"/>
        <v/>
      </c>
      <c r="N4055" s="113"/>
    </row>
    <row r="4056" spans="2:14">
      <c r="B4056" s="105"/>
      <c r="C4056" s="106"/>
      <c r="D4056" s="107"/>
      <c r="E4056" s="65"/>
      <c r="F4056" s="64"/>
      <c r="G4056" s="64"/>
      <c r="H4056" s="64"/>
      <c r="I4056" s="70"/>
      <c r="J4056" s="70"/>
      <c r="K4056" s="110" t="str">
        <f>IF(H4056="","",IF($C$29="간이법","",FPR(H4056,I4056,J4056)))</f>
        <v/>
      </c>
      <c r="L4056" s="111" t="str">
        <f>IF(H4056="","",IF($C$29="상세법",FPV(H4056,K4056),IF(H4056="EI",4,IF(H4056="EO",5.2,IF(H4056="EQ",3.9,IF(H4056="ILF",7.5,IF(H4056="EIF",5.4)))))))</f>
        <v/>
      </c>
      <c r="M4056" s="112" t="str">
        <f t="shared" si="66"/>
        <v/>
      </c>
      <c r="N4056" s="113"/>
    </row>
    <row r="4057" spans="2:14">
      <c r="B4057" s="105"/>
      <c r="C4057" s="106"/>
      <c r="D4057" s="107"/>
      <c r="E4057" s="65"/>
      <c r="F4057" s="64"/>
      <c r="G4057" s="64"/>
      <c r="H4057" s="64"/>
      <c r="I4057" s="70"/>
      <c r="J4057" s="70"/>
      <c r="K4057" s="110" t="str">
        <f>IF(H4057="","",IF($C$29="간이법","",FPR(H4057,I4057,J4057)))</f>
        <v/>
      </c>
      <c r="L4057" s="111" t="str">
        <f>IF(H4057="","",IF($C$29="상세법",FPV(H4057,K4057),IF(H4057="EI",4,IF(H4057="EO",5.2,IF(H4057="EQ",3.9,IF(H4057="ILF",7.5,IF(H4057="EIF",5.4)))))))</f>
        <v/>
      </c>
      <c r="M4057" s="112" t="str">
        <f t="shared" si="66"/>
        <v/>
      </c>
      <c r="N4057" s="113"/>
    </row>
    <row r="4058" spans="2:14">
      <c r="B4058" s="105"/>
      <c r="C4058" s="106"/>
      <c r="D4058" s="107"/>
      <c r="E4058" s="65"/>
      <c r="F4058" s="64"/>
      <c r="G4058" s="64"/>
      <c r="H4058" s="64"/>
      <c r="I4058" s="70"/>
      <c r="J4058" s="70"/>
      <c r="K4058" s="110" t="str">
        <f>IF(H4058="","",IF($C$29="간이법","",FPR(H4058,I4058,J4058)))</f>
        <v/>
      </c>
      <c r="L4058" s="111" t="str">
        <f>IF(H4058="","",IF($C$29="상세법",FPV(H4058,K4058),IF(H4058="EI",4,IF(H4058="EO",5.2,IF(H4058="EQ",3.9,IF(H4058="ILF",7.5,IF(H4058="EIF",5.4)))))))</f>
        <v/>
      </c>
      <c r="M4058" s="112" t="str">
        <f t="shared" si="66"/>
        <v/>
      </c>
      <c r="N4058" s="113"/>
    </row>
    <row r="4059" spans="2:14">
      <c r="B4059" s="105"/>
      <c r="C4059" s="106"/>
      <c r="D4059" s="107"/>
      <c r="E4059" s="65"/>
      <c r="F4059" s="64"/>
      <c r="G4059" s="64"/>
      <c r="H4059" s="64"/>
      <c r="I4059" s="70"/>
      <c r="J4059" s="70"/>
      <c r="K4059" s="110" t="str">
        <f>IF(H4059="","",IF($C$29="간이법","",FPR(H4059,I4059,J4059)))</f>
        <v/>
      </c>
      <c r="L4059" s="111" t="str">
        <f>IF(H4059="","",IF($C$29="상세법",FPV(H4059,K4059),IF(H4059="EI",4,IF(H4059="EO",5.2,IF(H4059="EQ",3.9,IF(H4059="ILF",7.5,IF(H4059="EIF",5.4)))))))</f>
        <v/>
      </c>
      <c r="M4059" s="112" t="str">
        <f t="shared" si="66"/>
        <v/>
      </c>
      <c r="N4059" s="113"/>
    </row>
    <row r="4060" spans="2:14">
      <c r="B4060" s="105"/>
      <c r="C4060" s="106"/>
      <c r="D4060" s="107"/>
      <c r="E4060" s="65"/>
      <c r="F4060" s="64"/>
      <c r="G4060" s="64"/>
      <c r="H4060" s="64"/>
      <c r="I4060" s="70"/>
      <c r="J4060" s="70"/>
      <c r="K4060" s="110" t="str">
        <f>IF(H4060="","",IF($C$29="간이법","",FPR(H4060,I4060,J4060)))</f>
        <v/>
      </c>
      <c r="L4060" s="111" t="str">
        <f>IF(H4060="","",IF($C$29="상세법",FPV(H4060,K4060),IF(H4060="EI",4,IF(H4060="EO",5.2,IF(H4060="EQ",3.9,IF(H4060="ILF",7.5,IF(H4060="EIF",5.4)))))))</f>
        <v/>
      </c>
      <c r="M4060" s="112" t="str">
        <f t="shared" si="66"/>
        <v/>
      </c>
      <c r="N4060" s="113"/>
    </row>
    <row r="4061" spans="2:14">
      <c r="B4061" s="105"/>
      <c r="C4061" s="106"/>
      <c r="D4061" s="107"/>
      <c r="E4061" s="65"/>
      <c r="F4061" s="64"/>
      <c r="G4061" s="64"/>
      <c r="H4061" s="64"/>
      <c r="I4061" s="70"/>
      <c r="J4061" s="70"/>
      <c r="K4061" s="110" t="str">
        <f>IF(H4061="","",IF($C$29="간이법","",FPR(H4061,I4061,J4061)))</f>
        <v/>
      </c>
      <c r="L4061" s="111" t="str">
        <f>IF(H4061="","",IF($C$29="상세법",FPV(H4061,K4061),IF(H4061="EI",4,IF(H4061="EO",5.2,IF(H4061="EQ",3.9,IF(H4061="ILF",7.5,IF(H4061="EIF",5.4)))))))</f>
        <v/>
      </c>
      <c r="M4061" s="112" t="str">
        <f t="shared" si="66"/>
        <v/>
      </c>
      <c r="N4061" s="113"/>
    </row>
    <row r="4062" spans="2:14">
      <c r="B4062" s="105"/>
      <c r="C4062" s="106"/>
      <c r="D4062" s="107"/>
      <c r="E4062" s="65"/>
      <c r="F4062" s="64"/>
      <c r="G4062" s="64"/>
      <c r="H4062" s="64"/>
      <c r="I4062" s="70"/>
      <c r="J4062" s="70"/>
      <c r="K4062" s="110" t="str">
        <f>IF(H4062="","",IF($C$29="간이법","",FPR(H4062,I4062,J4062)))</f>
        <v/>
      </c>
      <c r="L4062" s="111" t="str">
        <f>IF(H4062="","",IF($C$29="상세법",FPV(H4062,K4062),IF(H4062="EI",4,IF(H4062="EO",5.2,IF(H4062="EQ",3.9,IF(H4062="ILF",7.5,IF(H4062="EIF",5.4)))))))</f>
        <v/>
      </c>
      <c r="M4062" s="112" t="str">
        <f t="shared" si="66"/>
        <v/>
      </c>
      <c r="N4062" s="113"/>
    </row>
    <row r="4063" spans="2:14">
      <c r="B4063" s="105"/>
      <c r="C4063" s="106"/>
      <c r="D4063" s="107"/>
      <c r="E4063" s="65"/>
      <c r="F4063" s="64"/>
      <c r="G4063" s="64"/>
      <c r="H4063" s="64"/>
      <c r="I4063" s="70"/>
      <c r="J4063" s="70"/>
      <c r="K4063" s="110" t="str">
        <f>IF(H4063="","",IF($C$29="간이법","",FPR(H4063,I4063,J4063)))</f>
        <v/>
      </c>
      <c r="L4063" s="111" t="str">
        <f>IF(H4063="","",IF($C$29="상세법",FPV(H4063,K4063),IF(H4063="EI",4,IF(H4063="EO",5.2,IF(H4063="EQ",3.9,IF(H4063="ILF",7.5,IF(H4063="EIF",5.4)))))))</f>
        <v/>
      </c>
      <c r="M4063" s="112" t="str">
        <f t="shared" si="66"/>
        <v/>
      </c>
      <c r="N4063" s="113"/>
    </row>
    <row r="4064" spans="2:14">
      <c r="B4064" s="105"/>
      <c r="C4064" s="106"/>
      <c r="D4064" s="107"/>
      <c r="E4064" s="65"/>
      <c r="F4064" s="64"/>
      <c r="G4064" s="64"/>
      <c r="H4064" s="64"/>
      <c r="I4064" s="70"/>
      <c r="J4064" s="70"/>
      <c r="K4064" s="110" t="str">
        <f>IF(H4064="","",IF($C$29="간이법","",FPR(H4064,I4064,J4064)))</f>
        <v/>
      </c>
      <c r="L4064" s="111" t="str">
        <f>IF(H4064="","",IF($C$29="상세법",FPV(H4064,K4064),IF(H4064="EI",4,IF(H4064="EO",5.2,IF(H4064="EQ",3.9,IF(H4064="ILF",7.5,IF(H4064="EIF",5.4)))))))</f>
        <v/>
      </c>
      <c r="M4064" s="112" t="str">
        <f t="shared" si="66"/>
        <v/>
      </c>
      <c r="N4064" s="113"/>
    </row>
    <row r="4065" spans="2:14">
      <c r="B4065" s="105"/>
      <c r="C4065" s="106"/>
      <c r="D4065" s="107"/>
      <c r="E4065" s="65"/>
      <c r="F4065" s="64"/>
      <c r="G4065" s="64"/>
      <c r="H4065" s="64"/>
      <c r="I4065" s="70"/>
      <c r="J4065" s="70"/>
      <c r="K4065" s="110" t="str">
        <f>IF(H4065="","",IF($C$29="간이법","",FPR(H4065,I4065,J4065)))</f>
        <v/>
      </c>
      <c r="L4065" s="111" t="str">
        <f>IF(H4065="","",IF($C$29="상세법",FPV(H4065,K4065),IF(H4065="EI",4,IF(H4065="EO",5.2,IF(H4065="EQ",3.9,IF(H4065="ILF",7.5,IF(H4065="EIF",5.4)))))))</f>
        <v/>
      </c>
      <c r="M4065" s="112" t="str">
        <f t="shared" si="66"/>
        <v/>
      </c>
      <c r="N4065" s="113"/>
    </row>
    <row r="4066" spans="2:14">
      <c r="B4066" s="105"/>
      <c r="C4066" s="106"/>
      <c r="D4066" s="107"/>
      <c r="E4066" s="65"/>
      <c r="F4066" s="64"/>
      <c r="G4066" s="64"/>
      <c r="H4066" s="64"/>
      <c r="I4066" s="70"/>
      <c r="J4066" s="70"/>
      <c r="K4066" s="110" t="str">
        <f>IF(H4066="","",IF($C$29="간이법","",FPR(H4066,I4066,J4066)))</f>
        <v/>
      </c>
      <c r="L4066" s="111" t="str">
        <f>IF(H4066="","",IF($C$29="상세법",FPV(H4066,K4066),IF(H4066="EI",4,IF(H4066="EO",5.2,IF(H4066="EQ",3.9,IF(H4066="ILF",7.5,IF(H4066="EIF",5.4)))))))</f>
        <v/>
      </c>
      <c r="M4066" s="112" t="str">
        <f t="shared" si="66"/>
        <v/>
      </c>
      <c r="N4066" s="113"/>
    </row>
    <row r="4067" spans="2:14">
      <c r="B4067" s="105"/>
      <c r="C4067" s="106"/>
      <c r="D4067" s="107"/>
      <c r="E4067" s="65"/>
      <c r="F4067" s="64"/>
      <c r="G4067" s="64"/>
      <c r="H4067" s="64"/>
      <c r="I4067" s="70"/>
      <c r="J4067" s="70"/>
      <c r="K4067" s="110" t="str">
        <f>IF(H4067="","",IF($C$29="간이법","",FPR(H4067,I4067,J4067)))</f>
        <v/>
      </c>
      <c r="L4067" s="111" t="str">
        <f>IF(H4067="","",IF($C$29="상세법",FPV(H4067,K4067),IF(H4067="EI",4,IF(H4067="EO",5.2,IF(H4067="EQ",3.9,IF(H4067="ILF",7.5,IF(H4067="EIF",5.4)))))))</f>
        <v/>
      </c>
      <c r="M4067" s="112" t="str">
        <f t="shared" si="66"/>
        <v/>
      </c>
      <c r="N4067" s="113"/>
    </row>
    <row r="4068" spans="2:14">
      <c r="B4068" s="105"/>
      <c r="C4068" s="106"/>
      <c r="D4068" s="107"/>
      <c r="E4068" s="65"/>
      <c r="F4068" s="64"/>
      <c r="G4068" s="64"/>
      <c r="H4068" s="64"/>
      <c r="I4068" s="70"/>
      <c r="J4068" s="70"/>
      <c r="K4068" s="110" t="str">
        <f>IF(H4068="","",IF($C$29="간이법","",FPR(H4068,I4068,J4068)))</f>
        <v/>
      </c>
      <c r="L4068" s="111" t="str">
        <f>IF(H4068="","",IF($C$29="상세법",FPV(H4068,K4068),IF(H4068="EI",4,IF(H4068="EO",5.2,IF(H4068="EQ",3.9,IF(H4068="ILF",7.5,IF(H4068="EIF",5.4)))))))</f>
        <v/>
      </c>
      <c r="M4068" s="112" t="str">
        <f t="shared" si="66"/>
        <v/>
      </c>
      <c r="N4068" s="113"/>
    </row>
    <row r="4069" spans="2:14">
      <c r="B4069" s="105"/>
      <c r="C4069" s="106"/>
      <c r="D4069" s="107"/>
      <c r="E4069" s="65"/>
      <c r="F4069" s="64"/>
      <c r="G4069" s="64"/>
      <c r="H4069" s="64"/>
      <c r="I4069" s="70"/>
      <c r="J4069" s="70"/>
      <c r="K4069" s="110" t="str">
        <f>IF(H4069="","",IF($C$29="간이법","",FPR(H4069,I4069,J4069)))</f>
        <v/>
      </c>
      <c r="L4069" s="111" t="str">
        <f>IF(H4069="","",IF($C$29="상세법",FPV(H4069,K4069),IF(H4069="EI",4,IF(H4069="EO",5.2,IF(H4069="EQ",3.9,IF(H4069="ILF",7.5,IF(H4069="EIF",5.4)))))))</f>
        <v/>
      </c>
      <c r="M4069" s="112" t="str">
        <f t="shared" si="66"/>
        <v/>
      </c>
      <c r="N4069" s="113"/>
    </row>
    <row r="4070" spans="2:14">
      <c r="B4070" s="105"/>
      <c r="C4070" s="106"/>
      <c r="D4070" s="107"/>
      <c r="E4070" s="65"/>
      <c r="F4070" s="64"/>
      <c r="G4070" s="64"/>
      <c r="H4070" s="64"/>
      <c r="I4070" s="70"/>
      <c r="J4070" s="70"/>
      <c r="K4070" s="110" t="str">
        <f>IF(H4070="","",IF($C$29="간이법","",FPR(H4070,I4070,J4070)))</f>
        <v/>
      </c>
      <c r="L4070" s="111" t="str">
        <f>IF(H4070="","",IF($C$29="상세법",FPV(H4070,K4070),IF(H4070="EI",4,IF(H4070="EO",5.2,IF(H4070="EQ",3.9,IF(H4070="ILF",7.5,IF(H4070="EIF",5.4)))))))</f>
        <v/>
      </c>
      <c r="M4070" s="112" t="str">
        <f t="shared" si="66"/>
        <v/>
      </c>
      <c r="N4070" s="113"/>
    </row>
    <row r="4071" spans="2:14">
      <c r="B4071" s="105"/>
      <c r="C4071" s="106"/>
      <c r="D4071" s="107"/>
      <c r="E4071" s="65"/>
      <c r="F4071" s="64"/>
      <c r="G4071" s="64"/>
      <c r="H4071" s="64"/>
      <c r="I4071" s="70"/>
      <c r="J4071" s="70"/>
      <c r="K4071" s="110" t="str">
        <f>IF(H4071="","",IF($C$29="간이법","",FPR(H4071,I4071,J4071)))</f>
        <v/>
      </c>
      <c r="L4071" s="111" t="str">
        <f>IF(H4071="","",IF($C$29="상세법",FPV(H4071,K4071),IF(H4071="EI",4,IF(H4071="EO",5.2,IF(H4071="EQ",3.9,IF(H4071="ILF",7.5,IF(H4071="EIF",5.4)))))))</f>
        <v/>
      </c>
      <c r="M4071" s="112" t="str">
        <f t="shared" si="66"/>
        <v/>
      </c>
      <c r="N4071" s="113"/>
    </row>
    <row r="4072" spans="2:14">
      <c r="B4072" s="105"/>
      <c r="C4072" s="106"/>
      <c r="D4072" s="107"/>
      <c r="E4072" s="65"/>
      <c r="F4072" s="64"/>
      <c r="G4072" s="64"/>
      <c r="H4072" s="64"/>
      <c r="I4072" s="70"/>
      <c r="J4072" s="70"/>
      <c r="K4072" s="110" t="str">
        <f>IF(H4072="","",IF($C$29="간이법","",FPR(H4072,I4072,J4072)))</f>
        <v/>
      </c>
      <c r="L4072" s="111" t="str">
        <f>IF(H4072="","",IF($C$29="상세법",FPV(H4072,K4072),IF(H4072="EI",4,IF(H4072="EO",5.2,IF(H4072="EQ",3.9,IF(H4072="ILF",7.5,IF(H4072="EIF",5.4)))))))</f>
        <v/>
      </c>
      <c r="M4072" s="112" t="str">
        <f t="shared" si="66"/>
        <v/>
      </c>
      <c r="N4072" s="113"/>
    </row>
    <row r="4073" spans="2:14">
      <c r="B4073" s="105"/>
      <c r="C4073" s="106"/>
      <c r="D4073" s="107"/>
      <c r="E4073" s="65"/>
      <c r="F4073" s="64"/>
      <c r="G4073" s="64"/>
      <c r="H4073" s="64"/>
      <c r="I4073" s="70"/>
      <c r="J4073" s="70"/>
      <c r="K4073" s="110" t="str">
        <f>IF(H4073="","",IF($C$29="간이법","",FPR(H4073,I4073,J4073)))</f>
        <v/>
      </c>
      <c r="L4073" s="111" t="str">
        <f>IF(H4073="","",IF($C$29="상세법",FPV(H4073,K4073),IF(H4073="EI",4,IF(H4073="EO",5.2,IF(H4073="EQ",3.9,IF(H4073="ILF",7.5,IF(H4073="EIF",5.4)))))))</f>
        <v/>
      </c>
      <c r="M4073" s="112" t="str">
        <f t="shared" si="66"/>
        <v/>
      </c>
      <c r="N4073" s="113"/>
    </row>
    <row r="4074" spans="2:14">
      <c r="B4074" s="105"/>
      <c r="C4074" s="106"/>
      <c r="D4074" s="107"/>
      <c r="E4074" s="65"/>
      <c r="F4074" s="64"/>
      <c r="G4074" s="64"/>
      <c r="H4074" s="64"/>
      <c r="I4074" s="70"/>
      <c r="J4074" s="70"/>
      <c r="K4074" s="110" t="str">
        <f>IF(H4074="","",IF($C$29="간이법","",FPR(H4074,I4074,J4074)))</f>
        <v/>
      </c>
      <c r="L4074" s="111" t="str">
        <f>IF(H4074="","",IF($C$29="상세법",FPV(H4074,K4074),IF(H4074="EI",4,IF(H4074="EO",5.2,IF(H4074="EQ",3.9,IF(H4074="ILF",7.5,IF(H4074="EIF",5.4)))))))</f>
        <v/>
      </c>
      <c r="M4074" s="112" t="str">
        <f t="shared" si="66"/>
        <v/>
      </c>
      <c r="N4074" s="113"/>
    </row>
    <row r="4075" spans="2:14">
      <c r="B4075" s="105"/>
      <c r="C4075" s="106"/>
      <c r="D4075" s="107"/>
      <c r="E4075" s="65"/>
      <c r="F4075" s="64"/>
      <c r="G4075" s="64"/>
      <c r="H4075" s="64"/>
      <c r="I4075" s="70"/>
      <c r="J4075" s="70"/>
      <c r="K4075" s="110" t="str">
        <f>IF(H4075="","",IF($C$29="간이법","",FPR(H4075,I4075,J4075)))</f>
        <v/>
      </c>
      <c r="L4075" s="111" t="str">
        <f>IF(H4075="","",IF($C$29="상세법",FPV(H4075,K4075),IF(H4075="EI",4,IF(H4075="EO",5.2,IF(H4075="EQ",3.9,IF(H4075="ILF",7.5,IF(H4075="EIF",5.4)))))))</f>
        <v/>
      </c>
      <c r="M4075" s="112" t="str">
        <f t="shared" si="66"/>
        <v/>
      </c>
      <c r="N4075" s="113"/>
    </row>
    <row r="4076" spans="2:14">
      <c r="B4076" s="105"/>
      <c r="C4076" s="106"/>
      <c r="D4076" s="107"/>
      <c r="E4076" s="65"/>
      <c r="F4076" s="64"/>
      <c r="G4076" s="64"/>
      <c r="H4076" s="64"/>
      <c r="I4076" s="70"/>
      <c r="J4076" s="70"/>
      <c r="K4076" s="110" t="str">
        <f>IF(H4076="","",IF($C$29="간이법","",FPR(H4076,I4076,J4076)))</f>
        <v/>
      </c>
      <c r="L4076" s="111" t="str">
        <f>IF(H4076="","",IF($C$29="상세법",FPV(H4076,K4076),IF(H4076="EI",4,IF(H4076="EO",5.2,IF(H4076="EQ",3.9,IF(H4076="ILF",7.5,IF(H4076="EIF",5.4)))))))</f>
        <v/>
      </c>
      <c r="M4076" s="112" t="str">
        <f t="shared" si="66"/>
        <v/>
      </c>
      <c r="N4076" s="113"/>
    </row>
    <row r="4077" spans="2:14">
      <c r="B4077" s="105"/>
      <c r="C4077" s="106"/>
      <c r="D4077" s="107"/>
      <c r="E4077" s="65"/>
      <c r="F4077" s="64"/>
      <c r="G4077" s="64"/>
      <c r="H4077" s="64"/>
      <c r="I4077" s="70"/>
      <c r="J4077" s="70"/>
      <c r="K4077" s="110" t="str">
        <f>IF(H4077="","",IF($C$29="간이법","",FPR(H4077,I4077,J4077)))</f>
        <v/>
      </c>
      <c r="L4077" s="111" t="str">
        <f>IF(H4077="","",IF($C$29="상세법",FPV(H4077,K4077),IF(H4077="EI",4,IF(H4077="EO",5.2,IF(H4077="EQ",3.9,IF(H4077="ILF",7.5,IF(H4077="EIF",5.4)))))))</f>
        <v/>
      </c>
      <c r="M4077" s="112" t="str">
        <f t="shared" si="66"/>
        <v/>
      </c>
      <c r="N4077" s="113"/>
    </row>
    <row r="4078" spans="2:14">
      <c r="B4078" s="105"/>
      <c r="C4078" s="106"/>
      <c r="D4078" s="107"/>
      <c r="E4078" s="65"/>
      <c r="F4078" s="64"/>
      <c r="G4078" s="64"/>
      <c r="H4078" s="64"/>
      <c r="I4078" s="70"/>
      <c r="J4078" s="70"/>
      <c r="K4078" s="110" t="str">
        <f>IF(H4078="","",IF($C$29="간이법","",FPR(H4078,I4078,J4078)))</f>
        <v/>
      </c>
      <c r="L4078" s="111" t="str">
        <f>IF(H4078="","",IF($C$29="상세법",FPV(H4078,K4078),IF(H4078="EI",4,IF(H4078="EO",5.2,IF(H4078="EQ",3.9,IF(H4078="ILF",7.5,IF(H4078="EIF",5.4)))))))</f>
        <v/>
      </c>
      <c r="M4078" s="112" t="str">
        <f t="shared" si="66"/>
        <v/>
      </c>
      <c r="N4078" s="113"/>
    </row>
    <row r="4079" spans="2:14">
      <c r="B4079" s="105"/>
      <c r="C4079" s="106"/>
      <c r="D4079" s="107"/>
      <c r="E4079" s="65"/>
      <c r="F4079" s="64"/>
      <c r="G4079" s="64"/>
      <c r="H4079" s="64"/>
      <c r="I4079" s="70"/>
      <c r="J4079" s="70"/>
      <c r="K4079" s="110" t="str">
        <f>IF(H4079="","",IF($C$29="간이법","",FPR(H4079,I4079,J4079)))</f>
        <v/>
      </c>
      <c r="L4079" s="111" t="str">
        <f>IF(H4079="","",IF($C$29="상세법",FPV(H4079,K4079),IF(H4079="EI",4,IF(H4079="EO",5.2,IF(H4079="EQ",3.9,IF(H4079="ILF",7.5,IF(H4079="EIF",5.4)))))))</f>
        <v/>
      </c>
      <c r="M4079" s="112" t="str">
        <f t="shared" si="66"/>
        <v/>
      </c>
      <c r="N4079" s="113"/>
    </row>
    <row r="4080" spans="2:14">
      <c r="B4080" s="105"/>
      <c r="C4080" s="106"/>
      <c r="D4080" s="107"/>
      <c r="E4080" s="65"/>
      <c r="F4080" s="64"/>
      <c r="G4080" s="64"/>
      <c r="H4080" s="64"/>
      <c r="I4080" s="70"/>
      <c r="J4080" s="70"/>
      <c r="K4080" s="110" t="str">
        <f>IF(H4080="","",IF($C$29="간이법","",FPR(H4080,I4080,J4080)))</f>
        <v/>
      </c>
      <c r="L4080" s="111" t="str">
        <f>IF(H4080="","",IF($C$29="상세법",FPV(H4080,K4080),IF(H4080="EI",4,IF(H4080="EO",5.2,IF(H4080="EQ",3.9,IF(H4080="ILF",7.5,IF(H4080="EIF",5.4)))))))</f>
        <v/>
      </c>
      <c r="M4080" s="112" t="str">
        <f t="shared" si="66"/>
        <v/>
      </c>
      <c r="N4080" s="113"/>
    </row>
    <row r="4081" spans="2:14">
      <c r="B4081" s="105"/>
      <c r="C4081" s="106"/>
      <c r="D4081" s="107"/>
      <c r="E4081" s="65"/>
      <c r="F4081" s="64"/>
      <c r="G4081" s="64"/>
      <c r="H4081" s="64"/>
      <c r="I4081" s="70"/>
      <c r="J4081" s="70"/>
      <c r="K4081" s="110" t="str">
        <f>IF(H4081="","",IF($C$29="간이법","",FPR(H4081,I4081,J4081)))</f>
        <v/>
      </c>
      <c r="L4081" s="111" t="str">
        <f>IF(H4081="","",IF($C$29="상세법",FPV(H4081,K4081),IF(H4081="EI",4,IF(H4081="EO",5.2,IF(H4081="EQ",3.9,IF(H4081="ILF",7.5,IF(H4081="EIF",5.4)))))))</f>
        <v/>
      </c>
      <c r="M4081" s="112" t="str">
        <f t="shared" si="66"/>
        <v/>
      </c>
      <c r="N4081" s="113"/>
    </row>
    <row r="4082" spans="2:14">
      <c r="B4082" s="105"/>
      <c r="C4082" s="106"/>
      <c r="D4082" s="107"/>
      <c r="E4082" s="65"/>
      <c r="F4082" s="64"/>
      <c r="G4082" s="64"/>
      <c r="H4082" s="64"/>
      <c r="I4082" s="70"/>
      <c r="J4082" s="70"/>
      <c r="K4082" s="110" t="str">
        <f>IF(H4082="","",IF($C$29="간이법","",FPR(H4082,I4082,J4082)))</f>
        <v/>
      </c>
      <c r="L4082" s="111" t="str">
        <f>IF(H4082="","",IF($C$29="상세법",FPV(H4082,K4082),IF(H4082="EI",4,IF(H4082="EO",5.2,IF(H4082="EQ",3.9,IF(H4082="ILF",7.5,IF(H4082="EIF",5.4)))))))</f>
        <v/>
      </c>
      <c r="M4082" s="112" t="str">
        <f t="shared" si="66"/>
        <v/>
      </c>
      <c r="N4082" s="113"/>
    </row>
    <row r="4083" spans="2:14">
      <c r="B4083" s="105"/>
      <c r="C4083" s="106"/>
      <c r="D4083" s="107"/>
      <c r="E4083" s="65"/>
      <c r="F4083" s="64"/>
      <c r="G4083" s="64"/>
      <c r="H4083" s="64"/>
      <c r="I4083" s="70"/>
      <c r="J4083" s="70"/>
      <c r="K4083" s="110" t="str">
        <f>IF(H4083="","",IF($C$29="간이법","",FPR(H4083,I4083,J4083)))</f>
        <v/>
      </c>
      <c r="L4083" s="111" t="str">
        <f>IF(H4083="","",IF($C$29="상세법",FPV(H4083,K4083),IF(H4083="EI",4,IF(H4083="EO",5.2,IF(H4083="EQ",3.9,IF(H4083="ILF",7.5,IF(H4083="EIF",5.4)))))))</f>
        <v/>
      </c>
      <c r="M4083" s="112" t="str">
        <f t="shared" si="66"/>
        <v/>
      </c>
      <c r="N4083" s="113"/>
    </row>
    <row r="4084" spans="2:14">
      <c r="B4084" s="105"/>
      <c r="C4084" s="106"/>
      <c r="D4084" s="107"/>
      <c r="E4084" s="65"/>
      <c r="F4084" s="64"/>
      <c r="G4084" s="64"/>
      <c r="H4084" s="64"/>
      <c r="I4084" s="70"/>
      <c r="J4084" s="70"/>
      <c r="K4084" s="110" t="str">
        <f>IF(H4084="","",IF($C$29="간이법","",FPR(H4084,I4084,J4084)))</f>
        <v/>
      </c>
      <c r="L4084" s="111" t="str">
        <f>IF(H4084="","",IF($C$29="상세법",FPV(H4084,K4084),IF(H4084="EI",4,IF(H4084="EO",5.2,IF(H4084="EQ",3.9,IF(H4084="ILF",7.5,IF(H4084="EIF",5.4)))))))</f>
        <v/>
      </c>
      <c r="M4084" s="112" t="str">
        <f t="shared" si="66"/>
        <v/>
      </c>
      <c r="N4084" s="113"/>
    </row>
    <row r="4085" spans="2:14">
      <c r="B4085" s="105"/>
      <c r="C4085" s="106"/>
      <c r="D4085" s="107"/>
      <c r="E4085" s="65"/>
      <c r="F4085" s="64"/>
      <c r="G4085" s="64"/>
      <c r="H4085" s="64"/>
      <c r="I4085" s="70"/>
      <c r="J4085" s="70"/>
      <c r="K4085" s="110" t="str">
        <f>IF(H4085="","",IF($C$29="간이법","",FPR(H4085,I4085,J4085)))</f>
        <v/>
      </c>
      <c r="L4085" s="111" t="str">
        <f>IF(H4085="","",IF($C$29="상세법",FPV(H4085,K4085),IF(H4085="EI",4,IF(H4085="EO",5.2,IF(H4085="EQ",3.9,IF(H4085="ILF",7.5,IF(H4085="EIF",5.4)))))))</f>
        <v/>
      </c>
      <c r="M4085" s="112" t="str">
        <f t="shared" si="66"/>
        <v/>
      </c>
      <c r="N4085" s="113"/>
    </row>
    <row r="4086" spans="2:14">
      <c r="B4086" s="105"/>
      <c r="C4086" s="106"/>
      <c r="D4086" s="107"/>
      <c r="E4086" s="65"/>
      <c r="F4086" s="64"/>
      <c r="G4086" s="64"/>
      <c r="H4086" s="64"/>
      <c r="I4086" s="70"/>
      <c r="J4086" s="70"/>
      <c r="K4086" s="110" t="str">
        <f>IF(H4086="","",IF($C$29="간이법","",FPR(H4086,I4086,J4086)))</f>
        <v/>
      </c>
      <c r="L4086" s="111" t="str">
        <f>IF(H4086="","",IF($C$29="상세법",FPV(H4086,K4086),IF(H4086="EI",4,IF(H4086="EO",5.2,IF(H4086="EQ",3.9,IF(H4086="ILF",7.5,IF(H4086="EIF",5.4)))))))</f>
        <v/>
      </c>
      <c r="M4086" s="112" t="str">
        <f t="shared" si="66"/>
        <v/>
      </c>
      <c r="N4086" s="113"/>
    </row>
    <row r="4087" spans="2:14">
      <c r="B4087" s="105"/>
      <c r="C4087" s="106"/>
      <c r="D4087" s="107"/>
      <c r="E4087" s="65"/>
      <c r="F4087" s="64"/>
      <c r="G4087" s="64"/>
      <c r="H4087" s="64"/>
      <c r="I4087" s="70"/>
      <c r="J4087" s="70"/>
      <c r="K4087" s="110" t="str">
        <f>IF(H4087="","",IF($C$29="간이법","",FPR(H4087,I4087,J4087)))</f>
        <v/>
      </c>
      <c r="L4087" s="111" t="str">
        <f>IF(H4087="","",IF($C$29="상세법",FPV(H4087,K4087),IF(H4087="EI",4,IF(H4087="EO",5.2,IF(H4087="EQ",3.9,IF(H4087="ILF",7.5,IF(H4087="EIF",5.4)))))))</f>
        <v/>
      </c>
      <c r="M4087" s="112" t="str">
        <f t="shared" si="66"/>
        <v/>
      </c>
      <c r="N4087" s="113"/>
    </row>
    <row r="4088" spans="2:14">
      <c r="B4088" s="105"/>
      <c r="C4088" s="106"/>
      <c r="D4088" s="107"/>
      <c r="E4088" s="65"/>
      <c r="F4088" s="64"/>
      <c r="G4088" s="64"/>
      <c r="H4088" s="64"/>
      <c r="I4088" s="70"/>
      <c r="J4088" s="70"/>
      <c r="K4088" s="110" t="str">
        <f>IF(H4088="","",IF($C$29="간이법","",FPR(H4088,I4088,J4088)))</f>
        <v/>
      </c>
      <c r="L4088" s="111" t="str">
        <f>IF(H4088="","",IF($C$29="상세법",FPV(H4088,K4088),IF(H4088="EI",4,IF(H4088="EO",5.2,IF(H4088="EQ",3.9,IF(H4088="ILF",7.5,IF(H4088="EIF",5.4)))))))</f>
        <v/>
      </c>
      <c r="M4088" s="112" t="str">
        <f t="shared" si="66"/>
        <v/>
      </c>
      <c r="N4088" s="113"/>
    </row>
    <row r="4089" spans="2:14">
      <c r="B4089" s="105"/>
      <c r="C4089" s="106"/>
      <c r="D4089" s="107"/>
      <c r="E4089" s="65"/>
      <c r="F4089" s="64"/>
      <c r="G4089" s="64"/>
      <c r="H4089" s="64"/>
      <c r="I4089" s="70"/>
      <c r="J4089" s="70"/>
      <c r="K4089" s="110" t="str">
        <f>IF(H4089="","",IF($C$29="간이법","",FPR(H4089,I4089,J4089)))</f>
        <v/>
      </c>
      <c r="L4089" s="111" t="str">
        <f>IF(H4089="","",IF($C$29="상세법",FPV(H4089,K4089),IF(H4089="EI",4,IF(H4089="EO",5.2,IF(H4089="EQ",3.9,IF(H4089="ILF",7.5,IF(H4089="EIF",5.4)))))))</f>
        <v/>
      </c>
      <c r="M4089" s="112" t="str">
        <f t="shared" ref="M4089:M4152" si="67">IF(L4089="","",L4089*IF(G4089="상",0.7,IF(G4089="중",0.5,IF(G4089="하",0.2,1))))</f>
        <v/>
      </c>
      <c r="N4089" s="113"/>
    </row>
    <row r="4090" spans="2:14">
      <c r="B4090" s="105"/>
      <c r="C4090" s="106"/>
      <c r="D4090" s="107"/>
      <c r="E4090" s="65"/>
      <c r="F4090" s="64"/>
      <c r="G4090" s="64"/>
      <c r="H4090" s="64"/>
      <c r="I4090" s="70"/>
      <c r="J4090" s="70"/>
      <c r="K4090" s="110" t="str">
        <f>IF(H4090="","",IF($C$29="간이법","",FPR(H4090,I4090,J4090)))</f>
        <v/>
      </c>
      <c r="L4090" s="111" t="str">
        <f>IF(H4090="","",IF($C$29="상세법",FPV(H4090,K4090),IF(H4090="EI",4,IF(H4090="EO",5.2,IF(H4090="EQ",3.9,IF(H4090="ILF",7.5,IF(H4090="EIF",5.4)))))))</f>
        <v/>
      </c>
      <c r="M4090" s="112" t="str">
        <f t="shared" si="67"/>
        <v/>
      </c>
      <c r="N4090" s="113"/>
    </row>
    <row r="4091" spans="2:14">
      <c r="B4091" s="105"/>
      <c r="C4091" s="106"/>
      <c r="D4091" s="107"/>
      <c r="E4091" s="65"/>
      <c r="F4091" s="64"/>
      <c r="G4091" s="64"/>
      <c r="H4091" s="64"/>
      <c r="I4091" s="70"/>
      <c r="J4091" s="70"/>
      <c r="K4091" s="110" t="str">
        <f>IF(H4091="","",IF($C$29="간이법","",FPR(H4091,I4091,J4091)))</f>
        <v/>
      </c>
      <c r="L4091" s="111" t="str">
        <f>IF(H4091="","",IF($C$29="상세법",FPV(H4091,K4091),IF(H4091="EI",4,IF(H4091="EO",5.2,IF(H4091="EQ",3.9,IF(H4091="ILF",7.5,IF(H4091="EIF",5.4)))))))</f>
        <v/>
      </c>
      <c r="M4091" s="112" t="str">
        <f t="shared" si="67"/>
        <v/>
      </c>
      <c r="N4091" s="113"/>
    </row>
    <row r="4092" spans="2:14">
      <c r="B4092" s="105"/>
      <c r="C4092" s="106"/>
      <c r="D4092" s="107"/>
      <c r="E4092" s="65"/>
      <c r="F4092" s="64"/>
      <c r="G4092" s="64"/>
      <c r="H4092" s="64"/>
      <c r="I4092" s="70"/>
      <c r="J4092" s="70"/>
      <c r="K4092" s="110" t="str">
        <f>IF(H4092="","",IF($C$29="간이법","",FPR(H4092,I4092,J4092)))</f>
        <v/>
      </c>
      <c r="L4092" s="111" t="str">
        <f>IF(H4092="","",IF($C$29="상세법",FPV(H4092,K4092),IF(H4092="EI",4,IF(H4092="EO",5.2,IF(H4092="EQ",3.9,IF(H4092="ILF",7.5,IF(H4092="EIF",5.4)))))))</f>
        <v/>
      </c>
      <c r="M4092" s="112" t="str">
        <f t="shared" si="67"/>
        <v/>
      </c>
      <c r="N4092" s="113"/>
    </row>
    <row r="4093" spans="2:14">
      <c r="B4093" s="105"/>
      <c r="C4093" s="106"/>
      <c r="D4093" s="107"/>
      <c r="E4093" s="65"/>
      <c r="F4093" s="64"/>
      <c r="G4093" s="64"/>
      <c r="H4093" s="64"/>
      <c r="I4093" s="70"/>
      <c r="J4093" s="70"/>
      <c r="K4093" s="110" t="str">
        <f>IF(H4093="","",IF($C$29="간이법","",FPR(H4093,I4093,J4093)))</f>
        <v/>
      </c>
      <c r="L4093" s="111" t="str">
        <f>IF(H4093="","",IF($C$29="상세법",FPV(H4093,K4093),IF(H4093="EI",4,IF(H4093="EO",5.2,IF(H4093="EQ",3.9,IF(H4093="ILF",7.5,IF(H4093="EIF",5.4)))))))</f>
        <v/>
      </c>
      <c r="M4093" s="112" t="str">
        <f t="shared" si="67"/>
        <v/>
      </c>
      <c r="N4093" s="113"/>
    </row>
    <row r="4094" spans="2:14">
      <c r="B4094" s="105"/>
      <c r="C4094" s="106"/>
      <c r="D4094" s="107"/>
      <c r="E4094" s="65"/>
      <c r="F4094" s="64"/>
      <c r="G4094" s="64"/>
      <c r="H4094" s="64"/>
      <c r="I4094" s="70"/>
      <c r="J4094" s="70"/>
      <c r="K4094" s="110" t="str">
        <f>IF(H4094="","",IF($C$29="간이법","",FPR(H4094,I4094,J4094)))</f>
        <v/>
      </c>
      <c r="L4094" s="111" t="str">
        <f>IF(H4094="","",IF($C$29="상세법",FPV(H4094,K4094),IF(H4094="EI",4,IF(H4094="EO",5.2,IF(H4094="EQ",3.9,IF(H4094="ILF",7.5,IF(H4094="EIF",5.4)))))))</f>
        <v/>
      </c>
      <c r="M4094" s="112" t="str">
        <f t="shared" si="67"/>
        <v/>
      </c>
      <c r="N4094" s="113"/>
    </row>
    <row r="4095" spans="2:14">
      <c r="B4095" s="105"/>
      <c r="C4095" s="106"/>
      <c r="D4095" s="107"/>
      <c r="E4095" s="65"/>
      <c r="F4095" s="64"/>
      <c r="G4095" s="64"/>
      <c r="H4095" s="64"/>
      <c r="I4095" s="70"/>
      <c r="J4095" s="70"/>
      <c r="K4095" s="110" t="str">
        <f>IF(H4095="","",IF($C$29="간이법","",FPR(H4095,I4095,J4095)))</f>
        <v/>
      </c>
      <c r="L4095" s="111" t="str">
        <f>IF(H4095="","",IF($C$29="상세법",FPV(H4095,K4095),IF(H4095="EI",4,IF(H4095="EO",5.2,IF(H4095="EQ",3.9,IF(H4095="ILF",7.5,IF(H4095="EIF",5.4)))))))</f>
        <v/>
      </c>
      <c r="M4095" s="112" t="str">
        <f t="shared" si="67"/>
        <v/>
      </c>
      <c r="N4095" s="113"/>
    </row>
    <row r="4096" spans="2:14">
      <c r="B4096" s="105"/>
      <c r="C4096" s="106"/>
      <c r="D4096" s="107"/>
      <c r="E4096" s="65"/>
      <c r="F4096" s="64"/>
      <c r="G4096" s="64"/>
      <c r="H4096" s="64"/>
      <c r="I4096" s="70"/>
      <c r="J4096" s="70"/>
      <c r="K4096" s="110" t="str">
        <f>IF(H4096="","",IF($C$29="간이법","",FPR(H4096,I4096,J4096)))</f>
        <v/>
      </c>
      <c r="L4096" s="111" t="str">
        <f>IF(H4096="","",IF($C$29="상세법",FPV(H4096,K4096),IF(H4096="EI",4,IF(H4096="EO",5.2,IF(H4096="EQ",3.9,IF(H4096="ILF",7.5,IF(H4096="EIF",5.4)))))))</f>
        <v/>
      </c>
      <c r="M4096" s="112" t="str">
        <f t="shared" si="67"/>
        <v/>
      </c>
      <c r="N4096" s="113"/>
    </row>
    <row r="4097" spans="2:14">
      <c r="B4097" s="105"/>
      <c r="C4097" s="106"/>
      <c r="D4097" s="107"/>
      <c r="E4097" s="65"/>
      <c r="F4097" s="64"/>
      <c r="G4097" s="64"/>
      <c r="H4097" s="64"/>
      <c r="I4097" s="70"/>
      <c r="J4097" s="70"/>
      <c r="K4097" s="110" t="str">
        <f>IF(H4097="","",IF($C$29="간이법","",FPR(H4097,I4097,J4097)))</f>
        <v/>
      </c>
      <c r="L4097" s="111" t="str">
        <f>IF(H4097="","",IF($C$29="상세법",FPV(H4097,K4097),IF(H4097="EI",4,IF(H4097="EO",5.2,IF(H4097="EQ",3.9,IF(H4097="ILF",7.5,IF(H4097="EIF",5.4)))))))</f>
        <v/>
      </c>
      <c r="M4097" s="112" t="str">
        <f t="shared" si="67"/>
        <v/>
      </c>
      <c r="N4097" s="113"/>
    </row>
    <row r="4098" spans="2:14">
      <c r="B4098" s="105"/>
      <c r="C4098" s="106"/>
      <c r="D4098" s="107"/>
      <c r="E4098" s="65"/>
      <c r="F4098" s="64"/>
      <c r="G4098" s="64"/>
      <c r="H4098" s="64"/>
      <c r="I4098" s="70"/>
      <c r="J4098" s="70"/>
      <c r="K4098" s="110" t="str">
        <f>IF(H4098="","",IF($C$29="간이법","",FPR(H4098,I4098,J4098)))</f>
        <v/>
      </c>
      <c r="L4098" s="111" t="str">
        <f>IF(H4098="","",IF($C$29="상세법",FPV(H4098,K4098),IF(H4098="EI",4,IF(H4098="EO",5.2,IF(H4098="EQ",3.9,IF(H4098="ILF",7.5,IF(H4098="EIF",5.4)))))))</f>
        <v/>
      </c>
      <c r="M4098" s="112" t="str">
        <f t="shared" si="67"/>
        <v/>
      </c>
      <c r="N4098" s="113"/>
    </row>
    <row r="4099" spans="2:14">
      <c r="B4099" s="105"/>
      <c r="C4099" s="106"/>
      <c r="D4099" s="107"/>
      <c r="E4099" s="65"/>
      <c r="F4099" s="64"/>
      <c r="G4099" s="64"/>
      <c r="H4099" s="64"/>
      <c r="I4099" s="70"/>
      <c r="J4099" s="70"/>
      <c r="K4099" s="110" t="str">
        <f>IF(H4099="","",IF($C$29="간이법","",FPR(H4099,I4099,J4099)))</f>
        <v/>
      </c>
      <c r="L4099" s="111" t="str">
        <f>IF(H4099="","",IF($C$29="상세법",FPV(H4099,K4099),IF(H4099="EI",4,IF(H4099="EO",5.2,IF(H4099="EQ",3.9,IF(H4099="ILF",7.5,IF(H4099="EIF",5.4)))))))</f>
        <v/>
      </c>
      <c r="M4099" s="112" t="str">
        <f t="shared" si="67"/>
        <v/>
      </c>
      <c r="N4099" s="113"/>
    </row>
    <row r="4100" spans="2:14">
      <c r="B4100" s="105"/>
      <c r="C4100" s="106"/>
      <c r="D4100" s="107"/>
      <c r="E4100" s="65"/>
      <c r="F4100" s="64"/>
      <c r="G4100" s="64"/>
      <c r="H4100" s="64"/>
      <c r="I4100" s="70"/>
      <c r="J4100" s="70"/>
      <c r="K4100" s="110" t="str">
        <f>IF(H4100="","",IF($C$29="간이법","",FPR(H4100,I4100,J4100)))</f>
        <v/>
      </c>
      <c r="L4100" s="111" t="str">
        <f>IF(H4100="","",IF($C$29="상세법",FPV(H4100,K4100),IF(H4100="EI",4,IF(H4100="EO",5.2,IF(H4100="EQ",3.9,IF(H4100="ILF",7.5,IF(H4100="EIF",5.4)))))))</f>
        <v/>
      </c>
      <c r="M4100" s="112" t="str">
        <f t="shared" si="67"/>
        <v/>
      </c>
      <c r="N4100" s="113"/>
    </row>
    <row r="4101" spans="2:14">
      <c r="B4101" s="105"/>
      <c r="C4101" s="106"/>
      <c r="D4101" s="107"/>
      <c r="E4101" s="65"/>
      <c r="F4101" s="64"/>
      <c r="G4101" s="64"/>
      <c r="H4101" s="64"/>
      <c r="I4101" s="70"/>
      <c r="J4101" s="70"/>
      <c r="K4101" s="110" t="str">
        <f>IF(H4101="","",IF($C$29="간이법","",FPR(H4101,I4101,J4101)))</f>
        <v/>
      </c>
      <c r="L4101" s="111" t="str">
        <f>IF(H4101="","",IF($C$29="상세법",FPV(H4101,K4101),IF(H4101="EI",4,IF(H4101="EO",5.2,IF(H4101="EQ",3.9,IF(H4101="ILF",7.5,IF(H4101="EIF",5.4)))))))</f>
        <v/>
      </c>
      <c r="M4101" s="112" t="str">
        <f t="shared" si="67"/>
        <v/>
      </c>
      <c r="N4101" s="113"/>
    </row>
    <row r="4102" spans="2:14">
      <c r="B4102" s="105"/>
      <c r="C4102" s="106"/>
      <c r="D4102" s="107"/>
      <c r="E4102" s="65"/>
      <c r="F4102" s="64"/>
      <c r="G4102" s="64"/>
      <c r="H4102" s="64"/>
      <c r="I4102" s="70"/>
      <c r="J4102" s="70"/>
      <c r="K4102" s="110" t="str">
        <f>IF(H4102="","",IF($C$29="간이법","",FPR(H4102,I4102,J4102)))</f>
        <v/>
      </c>
      <c r="L4102" s="111" t="str">
        <f>IF(H4102="","",IF($C$29="상세법",FPV(H4102,K4102),IF(H4102="EI",4,IF(H4102="EO",5.2,IF(H4102="EQ",3.9,IF(H4102="ILF",7.5,IF(H4102="EIF",5.4)))))))</f>
        <v/>
      </c>
      <c r="M4102" s="112" t="str">
        <f t="shared" si="67"/>
        <v/>
      </c>
      <c r="N4102" s="113"/>
    </row>
    <row r="4103" spans="2:14">
      <c r="B4103" s="105"/>
      <c r="C4103" s="106"/>
      <c r="D4103" s="107"/>
      <c r="E4103" s="65"/>
      <c r="F4103" s="64"/>
      <c r="G4103" s="64"/>
      <c r="H4103" s="64"/>
      <c r="I4103" s="70"/>
      <c r="J4103" s="70"/>
      <c r="K4103" s="110" t="str">
        <f>IF(H4103="","",IF($C$29="간이법","",FPR(H4103,I4103,J4103)))</f>
        <v/>
      </c>
      <c r="L4103" s="111" t="str">
        <f>IF(H4103="","",IF($C$29="상세법",FPV(H4103,K4103),IF(H4103="EI",4,IF(H4103="EO",5.2,IF(H4103="EQ",3.9,IF(H4103="ILF",7.5,IF(H4103="EIF",5.4)))))))</f>
        <v/>
      </c>
      <c r="M4103" s="112" t="str">
        <f t="shared" si="67"/>
        <v/>
      </c>
      <c r="N4103" s="113"/>
    </row>
    <row r="4104" spans="2:14">
      <c r="B4104" s="105"/>
      <c r="C4104" s="106"/>
      <c r="D4104" s="107"/>
      <c r="E4104" s="65"/>
      <c r="F4104" s="64"/>
      <c r="G4104" s="64"/>
      <c r="H4104" s="64"/>
      <c r="I4104" s="70"/>
      <c r="J4104" s="70"/>
      <c r="K4104" s="110" t="str">
        <f>IF(H4104="","",IF($C$29="간이법","",FPR(H4104,I4104,J4104)))</f>
        <v/>
      </c>
      <c r="L4104" s="111" t="str">
        <f>IF(H4104="","",IF($C$29="상세법",FPV(H4104,K4104),IF(H4104="EI",4,IF(H4104="EO",5.2,IF(H4104="EQ",3.9,IF(H4104="ILF",7.5,IF(H4104="EIF",5.4)))))))</f>
        <v/>
      </c>
      <c r="M4104" s="112" t="str">
        <f t="shared" si="67"/>
        <v/>
      </c>
      <c r="N4104" s="113"/>
    </row>
    <row r="4105" spans="2:14">
      <c r="B4105" s="105"/>
      <c r="C4105" s="106"/>
      <c r="D4105" s="107"/>
      <c r="E4105" s="65"/>
      <c r="F4105" s="64"/>
      <c r="G4105" s="64"/>
      <c r="H4105" s="64"/>
      <c r="I4105" s="70"/>
      <c r="J4105" s="70"/>
      <c r="K4105" s="110" t="str">
        <f>IF(H4105="","",IF($C$29="간이법","",FPR(H4105,I4105,J4105)))</f>
        <v/>
      </c>
      <c r="L4105" s="111" t="str">
        <f>IF(H4105="","",IF($C$29="상세법",FPV(H4105,K4105),IF(H4105="EI",4,IF(H4105="EO",5.2,IF(H4105="EQ",3.9,IF(H4105="ILF",7.5,IF(H4105="EIF",5.4)))))))</f>
        <v/>
      </c>
      <c r="M4105" s="112" t="str">
        <f t="shared" si="67"/>
        <v/>
      </c>
      <c r="N4105" s="113"/>
    </row>
    <row r="4106" spans="2:14">
      <c r="B4106" s="105"/>
      <c r="C4106" s="106"/>
      <c r="D4106" s="107"/>
      <c r="E4106" s="65"/>
      <c r="F4106" s="64"/>
      <c r="G4106" s="64"/>
      <c r="H4106" s="64"/>
      <c r="I4106" s="70"/>
      <c r="J4106" s="70"/>
      <c r="K4106" s="110" t="str">
        <f>IF(H4106="","",IF($C$29="간이법","",FPR(H4106,I4106,J4106)))</f>
        <v/>
      </c>
      <c r="L4106" s="111" t="str">
        <f>IF(H4106="","",IF($C$29="상세법",FPV(H4106,K4106),IF(H4106="EI",4,IF(H4106="EO",5.2,IF(H4106="EQ",3.9,IF(H4106="ILF",7.5,IF(H4106="EIF",5.4)))))))</f>
        <v/>
      </c>
      <c r="M4106" s="112" t="str">
        <f t="shared" si="67"/>
        <v/>
      </c>
      <c r="N4106" s="113"/>
    </row>
    <row r="4107" spans="2:14">
      <c r="B4107" s="105"/>
      <c r="C4107" s="106"/>
      <c r="D4107" s="107"/>
      <c r="E4107" s="65"/>
      <c r="F4107" s="64"/>
      <c r="G4107" s="64"/>
      <c r="H4107" s="64"/>
      <c r="I4107" s="70"/>
      <c r="J4107" s="70"/>
      <c r="K4107" s="110" t="str">
        <f>IF(H4107="","",IF($C$29="간이법","",FPR(H4107,I4107,J4107)))</f>
        <v/>
      </c>
      <c r="L4107" s="111" t="str">
        <f>IF(H4107="","",IF($C$29="상세법",FPV(H4107,K4107),IF(H4107="EI",4,IF(H4107="EO",5.2,IF(H4107="EQ",3.9,IF(H4107="ILF",7.5,IF(H4107="EIF",5.4)))))))</f>
        <v/>
      </c>
      <c r="M4107" s="112" t="str">
        <f t="shared" si="67"/>
        <v/>
      </c>
      <c r="N4107" s="113"/>
    </row>
    <row r="4108" spans="2:14">
      <c r="B4108" s="105"/>
      <c r="C4108" s="106"/>
      <c r="D4108" s="107"/>
      <c r="E4108" s="65"/>
      <c r="F4108" s="64"/>
      <c r="G4108" s="64"/>
      <c r="H4108" s="64"/>
      <c r="I4108" s="70"/>
      <c r="J4108" s="70"/>
      <c r="K4108" s="110" t="str">
        <f>IF(H4108="","",IF($C$29="간이법","",FPR(H4108,I4108,J4108)))</f>
        <v/>
      </c>
      <c r="L4108" s="111" t="str">
        <f>IF(H4108="","",IF($C$29="상세법",FPV(H4108,K4108),IF(H4108="EI",4,IF(H4108="EO",5.2,IF(H4108="EQ",3.9,IF(H4108="ILF",7.5,IF(H4108="EIF",5.4)))))))</f>
        <v/>
      </c>
      <c r="M4108" s="112" t="str">
        <f t="shared" si="67"/>
        <v/>
      </c>
      <c r="N4108" s="113"/>
    </row>
    <row r="4109" spans="2:14">
      <c r="B4109" s="105"/>
      <c r="C4109" s="106"/>
      <c r="D4109" s="107"/>
      <c r="E4109" s="65"/>
      <c r="F4109" s="64"/>
      <c r="G4109" s="64"/>
      <c r="H4109" s="64"/>
      <c r="I4109" s="70"/>
      <c r="J4109" s="70"/>
      <c r="K4109" s="110" t="str">
        <f>IF(H4109="","",IF($C$29="간이법","",FPR(H4109,I4109,J4109)))</f>
        <v/>
      </c>
      <c r="L4109" s="111" t="str">
        <f>IF(H4109="","",IF($C$29="상세법",FPV(H4109,K4109),IF(H4109="EI",4,IF(H4109="EO",5.2,IF(H4109="EQ",3.9,IF(H4109="ILF",7.5,IF(H4109="EIF",5.4)))))))</f>
        <v/>
      </c>
      <c r="M4109" s="112" t="str">
        <f t="shared" si="67"/>
        <v/>
      </c>
      <c r="N4109" s="113"/>
    </row>
    <row r="4110" spans="2:14">
      <c r="B4110" s="105"/>
      <c r="C4110" s="106"/>
      <c r="D4110" s="107"/>
      <c r="E4110" s="65"/>
      <c r="F4110" s="64"/>
      <c r="G4110" s="64"/>
      <c r="H4110" s="64"/>
      <c r="I4110" s="70"/>
      <c r="J4110" s="70"/>
      <c r="K4110" s="110" t="str">
        <f>IF(H4110="","",IF($C$29="간이법","",FPR(H4110,I4110,J4110)))</f>
        <v/>
      </c>
      <c r="L4110" s="111" t="str">
        <f>IF(H4110="","",IF($C$29="상세법",FPV(H4110,K4110),IF(H4110="EI",4,IF(H4110="EO",5.2,IF(H4110="EQ",3.9,IF(H4110="ILF",7.5,IF(H4110="EIF",5.4)))))))</f>
        <v/>
      </c>
      <c r="M4110" s="112" t="str">
        <f t="shared" si="67"/>
        <v/>
      </c>
      <c r="N4110" s="113"/>
    </row>
    <row r="4111" spans="2:14">
      <c r="B4111" s="105"/>
      <c r="C4111" s="106"/>
      <c r="D4111" s="107"/>
      <c r="E4111" s="65"/>
      <c r="F4111" s="64"/>
      <c r="G4111" s="64"/>
      <c r="H4111" s="64"/>
      <c r="I4111" s="70"/>
      <c r="J4111" s="70"/>
      <c r="K4111" s="110" t="str">
        <f>IF(H4111="","",IF($C$29="간이법","",FPR(H4111,I4111,J4111)))</f>
        <v/>
      </c>
      <c r="L4111" s="111" t="str">
        <f>IF(H4111="","",IF($C$29="상세법",FPV(H4111,K4111),IF(H4111="EI",4,IF(H4111="EO",5.2,IF(H4111="EQ",3.9,IF(H4111="ILF",7.5,IF(H4111="EIF",5.4)))))))</f>
        <v/>
      </c>
      <c r="M4111" s="112" t="str">
        <f t="shared" si="67"/>
        <v/>
      </c>
      <c r="N4111" s="113"/>
    </row>
    <row r="4112" spans="2:14">
      <c r="B4112" s="105"/>
      <c r="C4112" s="106"/>
      <c r="D4112" s="107"/>
      <c r="E4112" s="65"/>
      <c r="F4112" s="64"/>
      <c r="G4112" s="64"/>
      <c r="H4112" s="64"/>
      <c r="I4112" s="70"/>
      <c r="J4112" s="70"/>
      <c r="K4112" s="110" t="str">
        <f>IF(H4112="","",IF($C$29="간이법","",FPR(H4112,I4112,J4112)))</f>
        <v/>
      </c>
      <c r="L4112" s="111" t="str">
        <f>IF(H4112="","",IF($C$29="상세법",FPV(H4112,K4112),IF(H4112="EI",4,IF(H4112="EO",5.2,IF(H4112="EQ",3.9,IF(H4112="ILF",7.5,IF(H4112="EIF",5.4)))))))</f>
        <v/>
      </c>
      <c r="M4112" s="112" t="str">
        <f t="shared" si="67"/>
        <v/>
      </c>
      <c r="N4112" s="113"/>
    </row>
    <row r="4113" spans="2:14">
      <c r="B4113" s="105"/>
      <c r="C4113" s="106"/>
      <c r="D4113" s="107"/>
      <c r="E4113" s="65"/>
      <c r="F4113" s="64"/>
      <c r="G4113" s="64"/>
      <c r="H4113" s="64"/>
      <c r="I4113" s="70"/>
      <c r="J4113" s="70"/>
      <c r="K4113" s="110" t="str">
        <f>IF(H4113="","",IF($C$29="간이법","",FPR(H4113,I4113,J4113)))</f>
        <v/>
      </c>
      <c r="L4113" s="111" t="str">
        <f>IF(H4113="","",IF($C$29="상세법",FPV(H4113,K4113),IF(H4113="EI",4,IF(H4113="EO",5.2,IF(H4113="EQ",3.9,IF(H4113="ILF",7.5,IF(H4113="EIF",5.4)))))))</f>
        <v/>
      </c>
      <c r="M4113" s="112" t="str">
        <f t="shared" si="67"/>
        <v/>
      </c>
      <c r="N4113" s="113"/>
    </row>
    <row r="4114" spans="2:14">
      <c r="B4114" s="105"/>
      <c r="C4114" s="106"/>
      <c r="D4114" s="107"/>
      <c r="E4114" s="65"/>
      <c r="F4114" s="64"/>
      <c r="G4114" s="64"/>
      <c r="H4114" s="64"/>
      <c r="I4114" s="70"/>
      <c r="J4114" s="70"/>
      <c r="K4114" s="110" t="str">
        <f>IF(H4114="","",IF($C$29="간이법","",FPR(H4114,I4114,J4114)))</f>
        <v/>
      </c>
      <c r="L4114" s="111" t="str">
        <f>IF(H4114="","",IF($C$29="상세법",FPV(H4114,K4114),IF(H4114="EI",4,IF(H4114="EO",5.2,IF(H4114="EQ",3.9,IF(H4114="ILF",7.5,IF(H4114="EIF",5.4)))))))</f>
        <v/>
      </c>
      <c r="M4114" s="112" t="str">
        <f t="shared" si="67"/>
        <v/>
      </c>
      <c r="N4114" s="113"/>
    </row>
    <row r="4115" spans="2:14">
      <c r="B4115" s="105"/>
      <c r="C4115" s="106"/>
      <c r="D4115" s="107"/>
      <c r="E4115" s="65"/>
      <c r="F4115" s="64"/>
      <c r="G4115" s="64"/>
      <c r="H4115" s="64"/>
      <c r="I4115" s="70"/>
      <c r="J4115" s="70"/>
      <c r="K4115" s="110" t="str">
        <f>IF(H4115="","",IF($C$29="간이법","",FPR(H4115,I4115,J4115)))</f>
        <v/>
      </c>
      <c r="L4115" s="111" t="str">
        <f>IF(H4115="","",IF($C$29="상세법",FPV(H4115,K4115),IF(H4115="EI",4,IF(H4115="EO",5.2,IF(H4115="EQ",3.9,IF(H4115="ILF",7.5,IF(H4115="EIF",5.4)))))))</f>
        <v/>
      </c>
      <c r="M4115" s="112" t="str">
        <f t="shared" si="67"/>
        <v/>
      </c>
      <c r="N4115" s="113"/>
    </row>
    <row r="4116" spans="2:14">
      <c r="B4116" s="105"/>
      <c r="C4116" s="106"/>
      <c r="D4116" s="107"/>
      <c r="E4116" s="65"/>
      <c r="F4116" s="64"/>
      <c r="G4116" s="64"/>
      <c r="H4116" s="64"/>
      <c r="I4116" s="70"/>
      <c r="J4116" s="70"/>
      <c r="K4116" s="110" t="str">
        <f>IF(H4116="","",IF($C$29="간이법","",FPR(H4116,I4116,J4116)))</f>
        <v/>
      </c>
      <c r="L4116" s="111" t="str">
        <f>IF(H4116="","",IF($C$29="상세법",FPV(H4116,K4116),IF(H4116="EI",4,IF(H4116="EO",5.2,IF(H4116="EQ",3.9,IF(H4116="ILF",7.5,IF(H4116="EIF",5.4)))))))</f>
        <v/>
      </c>
      <c r="M4116" s="112" t="str">
        <f t="shared" si="67"/>
        <v/>
      </c>
      <c r="N4116" s="113"/>
    </row>
    <row r="4117" spans="2:14">
      <c r="B4117" s="105"/>
      <c r="C4117" s="106"/>
      <c r="D4117" s="107"/>
      <c r="E4117" s="65"/>
      <c r="F4117" s="64"/>
      <c r="G4117" s="64"/>
      <c r="H4117" s="64"/>
      <c r="I4117" s="70"/>
      <c r="J4117" s="70"/>
      <c r="K4117" s="110" t="str">
        <f>IF(H4117="","",IF($C$29="간이법","",FPR(H4117,I4117,J4117)))</f>
        <v/>
      </c>
      <c r="L4117" s="111" t="str">
        <f>IF(H4117="","",IF($C$29="상세법",FPV(H4117,K4117),IF(H4117="EI",4,IF(H4117="EO",5.2,IF(H4117="EQ",3.9,IF(H4117="ILF",7.5,IF(H4117="EIF",5.4)))))))</f>
        <v/>
      </c>
      <c r="M4117" s="112" t="str">
        <f t="shared" si="67"/>
        <v/>
      </c>
      <c r="N4117" s="113"/>
    </row>
    <row r="4118" spans="2:14">
      <c r="B4118" s="105"/>
      <c r="C4118" s="106"/>
      <c r="D4118" s="107"/>
      <c r="E4118" s="65"/>
      <c r="F4118" s="64"/>
      <c r="G4118" s="64"/>
      <c r="H4118" s="64"/>
      <c r="I4118" s="70"/>
      <c r="J4118" s="70"/>
      <c r="K4118" s="110" t="str">
        <f>IF(H4118="","",IF($C$29="간이법","",FPR(H4118,I4118,J4118)))</f>
        <v/>
      </c>
      <c r="L4118" s="111" t="str">
        <f>IF(H4118="","",IF($C$29="상세법",FPV(H4118,K4118),IF(H4118="EI",4,IF(H4118="EO",5.2,IF(H4118="EQ",3.9,IF(H4118="ILF",7.5,IF(H4118="EIF",5.4)))))))</f>
        <v/>
      </c>
      <c r="M4118" s="112" t="str">
        <f t="shared" si="67"/>
        <v/>
      </c>
      <c r="N4118" s="113"/>
    </row>
    <row r="4119" spans="2:14">
      <c r="B4119" s="105"/>
      <c r="C4119" s="106"/>
      <c r="D4119" s="107"/>
      <c r="E4119" s="65"/>
      <c r="F4119" s="64"/>
      <c r="G4119" s="64"/>
      <c r="H4119" s="64"/>
      <c r="I4119" s="70"/>
      <c r="J4119" s="70"/>
      <c r="K4119" s="110" t="str">
        <f>IF(H4119="","",IF($C$29="간이법","",FPR(H4119,I4119,J4119)))</f>
        <v/>
      </c>
      <c r="L4119" s="111" t="str">
        <f>IF(H4119="","",IF($C$29="상세법",FPV(H4119,K4119),IF(H4119="EI",4,IF(H4119="EO",5.2,IF(H4119="EQ",3.9,IF(H4119="ILF",7.5,IF(H4119="EIF",5.4)))))))</f>
        <v/>
      </c>
      <c r="M4119" s="112" t="str">
        <f t="shared" si="67"/>
        <v/>
      </c>
      <c r="N4119" s="113"/>
    </row>
    <row r="4120" spans="2:14">
      <c r="B4120" s="105"/>
      <c r="C4120" s="106"/>
      <c r="D4120" s="107"/>
      <c r="E4120" s="65"/>
      <c r="F4120" s="64"/>
      <c r="G4120" s="64"/>
      <c r="H4120" s="64"/>
      <c r="I4120" s="70"/>
      <c r="J4120" s="70"/>
      <c r="K4120" s="110" t="str">
        <f>IF(H4120="","",IF($C$29="간이법","",FPR(H4120,I4120,J4120)))</f>
        <v/>
      </c>
      <c r="L4120" s="111" t="str">
        <f>IF(H4120="","",IF($C$29="상세법",FPV(H4120,K4120),IF(H4120="EI",4,IF(H4120="EO",5.2,IF(H4120="EQ",3.9,IF(H4120="ILF",7.5,IF(H4120="EIF",5.4)))))))</f>
        <v/>
      </c>
      <c r="M4120" s="112" t="str">
        <f t="shared" si="67"/>
        <v/>
      </c>
      <c r="N4120" s="113"/>
    </row>
    <row r="4121" spans="2:14">
      <c r="B4121" s="105"/>
      <c r="C4121" s="106"/>
      <c r="D4121" s="107"/>
      <c r="E4121" s="65"/>
      <c r="F4121" s="64"/>
      <c r="G4121" s="64"/>
      <c r="H4121" s="64"/>
      <c r="I4121" s="70"/>
      <c r="J4121" s="70"/>
      <c r="K4121" s="110" t="str">
        <f>IF(H4121="","",IF($C$29="간이법","",FPR(H4121,I4121,J4121)))</f>
        <v/>
      </c>
      <c r="L4121" s="111" t="str">
        <f>IF(H4121="","",IF($C$29="상세법",FPV(H4121,K4121),IF(H4121="EI",4,IF(H4121="EO",5.2,IF(H4121="EQ",3.9,IF(H4121="ILF",7.5,IF(H4121="EIF",5.4)))))))</f>
        <v/>
      </c>
      <c r="M4121" s="112" t="str">
        <f t="shared" si="67"/>
        <v/>
      </c>
      <c r="N4121" s="113"/>
    </row>
    <row r="4122" spans="2:14">
      <c r="B4122" s="105"/>
      <c r="C4122" s="106"/>
      <c r="D4122" s="107"/>
      <c r="E4122" s="65"/>
      <c r="F4122" s="64"/>
      <c r="G4122" s="64"/>
      <c r="H4122" s="64"/>
      <c r="I4122" s="70"/>
      <c r="J4122" s="70"/>
      <c r="K4122" s="110" t="str">
        <f>IF(H4122="","",IF($C$29="간이법","",FPR(H4122,I4122,J4122)))</f>
        <v/>
      </c>
      <c r="L4122" s="111" t="str">
        <f>IF(H4122="","",IF($C$29="상세법",FPV(H4122,K4122),IF(H4122="EI",4,IF(H4122="EO",5.2,IF(H4122="EQ",3.9,IF(H4122="ILF",7.5,IF(H4122="EIF",5.4)))))))</f>
        <v/>
      </c>
      <c r="M4122" s="112" t="str">
        <f t="shared" si="67"/>
        <v/>
      </c>
      <c r="N4122" s="113"/>
    </row>
    <row r="4123" spans="2:14">
      <c r="B4123" s="105"/>
      <c r="C4123" s="106"/>
      <c r="D4123" s="107"/>
      <c r="E4123" s="65"/>
      <c r="F4123" s="64"/>
      <c r="G4123" s="64"/>
      <c r="H4123" s="64"/>
      <c r="I4123" s="70"/>
      <c r="J4123" s="70"/>
      <c r="K4123" s="110" t="str">
        <f>IF(H4123="","",IF($C$29="간이법","",FPR(H4123,I4123,J4123)))</f>
        <v/>
      </c>
      <c r="L4123" s="111" t="str">
        <f>IF(H4123="","",IF($C$29="상세법",FPV(H4123,K4123),IF(H4123="EI",4,IF(H4123="EO",5.2,IF(H4123="EQ",3.9,IF(H4123="ILF",7.5,IF(H4123="EIF",5.4)))))))</f>
        <v/>
      </c>
      <c r="M4123" s="112" t="str">
        <f t="shared" si="67"/>
        <v/>
      </c>
      <c r="N4123" s="113"/>
    </row>
    <row r="4124" spans="2:14">
      <c r="B4124" s="105"/>
      <c r="C4124" s="106"/>
      <c r="D4124" s="107"/>
      <c r="E4124" s="65"/>
      <c r="F4124" s="64"/>
      <c r="G4124" s="64"/>
      <c r="H4124" s="64"/>
      <c r="I4124" s="70"/>
      <c r="J4124" s="70"/>
      <c r="K4124" s="110" t="str">
        <f>IF(H4124="","",IF($C$29="간이법","",FPR(H4124,I4124,J4124)))</f>
        <v/>
      </c>
      <c r="L4124" s="111" t="str">
        <f>IF(H4124="","",IF($C$29="상세법",FPV(H4124,K4124),IF(H4124="EI",4,IF(H4124="EO",5.2,IF(H4124="EQ",3.9,IF(H4124="ILF",7.5,IF(H4124="EIF",5.4)))))))</f>
        <v/>
      </c>
      <c r="M4124" s="112" t="str">
        <f t="shared" si="67"/>
        <v/>
      </c>
      <c r="N4124" s="113"/>
    </row>
    <row r="4125" spans="2:14">
      <c r="B4125" s="105"/>
      <c r="C4125" s="106"/>
      <c r="D4125" s="107"/>
      <c r="E4125" s="65"/>
      <c r="F4125" s="64"/>
      <c r="G4125" s="64"/>
      <c r="H4125" s="64"/>
      <c r="I4125" s="70"/>
      <c r="J4125" s="70"/>
      <c r="K4125" s="110" t="str">
        <f>IF(H4125="","",IF($C$29="간이법","",FPR(H4125,I4125,J4125)))</f>
        <v/>
      </c>
      <c r="L4125" s="111" t="str">
        <f>IF(H4125="","",IF($C$29="상세법",FPV(H4125,K4125),IF(H4125="EI",4,IF(H4125="EO",5.2,IF(H4125="EQ",3.9,IF(H4125="ILF",7.5,IF(H4125="EIF",5.4)))))))</f>
        <v/>
      </c>
      <c r="M4125" s="112" t="str">
        <f t="shared" si="67"/>
        <v/>
      </c>
      <c r="N4125" s="113"/>
    </row>
    <row r="4126" spans="2:14">
      <c r="B4126" s="105"/>
      <c r="C4126" s="106"/>
      <c r="D4126" s="107"/>
      <c r="E4126" s="65"/>
      <c r="F4126" s="64"/>
      <c r="G4126" s="64"/>
      <c r="H4126" s="64"/>
      <c r="I4126" s="70"/>
      <c r="J4126" s="70"/>
      <c r="K4126" s="110" t="str">
        <f>IF(H4126="","",IF($C$29="간이법","",FPR(H4126,I4126,J4126)))</f>
        <v/>
      </c>
      <c r="L4126" s="111" t="str">
        <f>IF(H4126="","",IF($C$29="상세법",FPV(H4126,K4126),IF(H4126="EI",4,IF(H4126="EO",5.2,IF(H4126="EQ",3.9,IF(H4126="ILF",7.5,IF(H4126="EIF",5.4)))))))</f>
        <v/>
      </c>
      <c r="M4126" s="112" t="str">
        <f t="shared" si="67"/>
        <v/>
      </c>
      <c r="N4126" s="113"/>
    </row>
    <row r="4127" spans="2:14">
      <c r="B4127" s="105"/>
      <c r="C4127" s="106"/>
      <c r="D4127" s="107"/>
      <c r="E4127" s="65"/>
      <c r="F4127" s="64"/>
      <c r="G4127" s="64"/>
      <c r="H4127" s="64"/>
      <c r="I4127" s="70"/>
      <c r="J4127" s="70"/>
      <c r="K4127" s="110" t="str">
        <f>IF(H4127="","",IF($C$29="간이법","",FPR(H4127,I4127,J4127)))</f>
        <v/>
      </c>
      <c r="L4127" s="111" t="str">
        <f>IF(H4127="","",IF($C$29="상세법",FPV(H4127,K4127),IF(H4127="EI",4,IF(H4127="EO",5.2,IF(H4127="EQ",3.9,IF(H4127="ILF",7.5,IF(H4127="EIF",5.4)))))))</f>
        <v/>
      </c>
      <c r="M4127" s="112" t="str">
        <f t="shared" si="67"/>
        <v/>
      </c>
      <c r="N4127" s="113"/>
    </row>
    <row r="4128" spans="2:14">
      <c r="B4128" s="105"/>
      <c r="C4128" s="106"/>
      <c r="D4128" s="107"/>
      <c r="E4128" s="65"/>
      <c r="F4128" s="64"/>
      <c r="G4128" s="64"/>
      <c r="H4128" s="64"/>
      <c r="I4128" s="70"/>
      <c r="J4128" s="70"/>
      <c r="K4128" s="110" t="str">
        <f>IF(H4128="","",IF($C$29="간이법","",FPR(H4128,I4128,J4128)))</f>
        <v/>
      </c>
      <c r="L4128" s="111" t="str">
        <f>IF(H4128="","",IF($C$29="상세법",FPV(H4128,K4128),IF(H4128="EI",4,IF(H4128="EO",5.2,IF(H4128="EQ",3.9,IF(H4128="ILF",7.5,IF(H4128="EIF",5.4)))))))</f>
        <v/>
      </c>
      <c r="M4128" s="112" t="str">
        <f t="shared" si="67"/>
        <v/>
      </c>
      <c r="N4128" s="113"/>
    </row>
    <row r="4129" spans="2:14">
      <c r="B4129" s="105"/>
      <c r="C4129" s="106"/>
      <c r="D4129" s="107"/>
      <c r="E4129" s="65"/>
      <c r="F4129" s="64"/>
      <c r="G4129" s="64"/>
      <c r="H4129" s="64"/>
      <c r="I4129" s="70"/>
      <c r="J4129" s="70"/>
      <c r="K4129" s="110" t="str">
        <f>IF(H4129="","",IF($C$29="간이법","",FPR(H4129,I4129,J4129)))</f>
        <v/>
      </c>
      <c r="L4129" s="111" t="str">
        <f>IF(H4129="","",IF($C$29="상세법",FPV(H4129,K4129),IF(H4129="EI",4,IF(H4129="EO",5.2,IF(H4129="EQ",3.9,IF(H4129="ILF",7.5,IF(H4129="EIF",5.4)))))))</f>
        <v/>
      </c>
      <c r="M4129" s="112" t="str">
        <f t="shared" si="67"/>
        <v/>
      </c>
      <c r="N4129" s="113"/>
    </row>
    <row r="4130" spans="2:14">
      <c r="B4130" s="105"/>
      <c r="C4130" s="106"/>
      <c r="D4130" s="107"/>
      <c r="E4130" s="65"/>
      <c r="F4130" s="64"/>
      <c r="G4130" s="64"/>
      <c r="H4130" s="64"/>
      <c r="I4130" s="70"/>
      <c r="J4130" s="70"/>
      <c r="K4130" s="110" t="str">
        <f>IF(H4130="","",IF($C$29="간이법","",FPR(H4130,I4130,J4130)))</f>
        <v/>
      </c>
      <c r="L4130" s="111" t="str">
        <f>IF(H4130="","",IF($C$29="상세법",FPV(H4130,K4130),IF(H4130="EI",4,IF(H4130="EO",5.2,IF(H4130="EQ",3.9,IF(H4130="ILF",7.5,IF(H4130="EIF",5.4)))))))</f>
        <v/>
      </c>
      <c r="M4130" s="112" t="str">
        <f t="shared" si="67"/>
        <v/>
      </c>
      <c r="N4130" s="113"/>
    </row>
    <row r="4131" spans="2:14">
      <c r="B4131" s="105"/>
      <c r="C4131" s="106"/>
      <c r="D4131" s="107"/>
      <c r="E4131" s="65"/>
      <c r="F4131" s="64"/>
      <c r="G4131" s="64"/>
      <c r="H4131" s="64"/>
      <c r="I4131" s="70"/>
      <c r="J4131" s="70"/>
      <c r="K4131" s="110" t="str">
        <f>IF(H4131="","",IF($C$29="간이법","",FPR(H4131,I4131,J4131)))</f>
        <v/>
      </c>
      <c r="L4131" s="111" t="str">
        <f>IF(H4131="","",IF($C$29="상세법",FPV(H4131,K4131),IF(H4131="EI",4,IF(H4131="EO",5.2,IF(H4131="EQ",3.9,IF(H4131="ILF",7.5,IF(H4131="EIF",5.4)))))))</f>
        <v/>
      </c>
      <c r="M4131" s="112" t="str">
        <f t="shared" si="67"/>
        <v/>
      </c>
      <c r="N4131" s="113"/>
    </row>
    <row r="4132" spans="2:14">
      <c r="B4132" s="105"/>
      <c r="C4132" s="106"/>
      <c r="D4132" s="107"/>
      <c r="E4132" s="65"/>
      <c r="F4132" s="64"/>
      <c r="G4132" s="64"/>
      <c r="H4132" s="64"/>
      <c r="I4132" s="70"/>
      <c r="J4132" s="70"/>
      <c r="K4132" s="110" t="str">
        <f>IF(H4132="","",IF($C$29="간이법","",FPR(H4132,I4132,J4132)))</f>
        <v/>
      </c>
      <c r="L4132" s="111" t="str">
        <f>IF(H4132="","",IF($C$29="상세법",FPV(H4132,K4132),IF(H4132="EI",4,IF(H4132="EO",5.2,IF(H4132="EQ",3.9,IF(H4132="ILF",7.5,IF(H4132="EIF",5.4)))))))</f>
        <v/>
      </c>
      <c r="M4132" s="112" t="str">
        <f t="shared" si="67"/>
        <v/>
      </c>
      <c r="N4132" s="113"/>
    </row>
    <row r="4133" spans="2:14">
      <c r="B4133" s="105"/>
      <c r="C4133" s="106"/>
      <c r="D4133" s="107"/>
      <c r="E4133" s="65"/>
      <c r="F4133" s="64"/>
      <c r="G4133" s="64"/>
      <c r="H4133" s="64"/>
      <c r="I4133" s="70"/>
      <c r="J4133" s="70"/>
      <c r="K4133" s="110" t="str">
        <f>IF(H4133="","",IF($C$29="간이법","",FPR(H4133,I4133,J4133)))</f>
        <v/>
      </c>
      <c r="L4133" s="111" t="str">
        <f>IF(H4133="","",IF($C$29="상세법",FPV(H4133,K4133),IF(H4133="EI",4,IF(H4133="EO",5.2,IF(H4133="EQ",3.9,IF(H4133="ILF",7.5,IF(H4133="EIF",5.4)))))))</f>
        <v/>
      </c>
      <c r="M4133" s="112" t="str">
        <f t="shared" si="67"/>
        <v/>
      </c>
      <c r="N4133" s="113"/>
    </row>
    <row r="4134" spans="2:14">
      <c r="B4134" s="105"/>
      <c r="C4134" s="106"/>
      <c r="D4134" s="107"/>
      <c r="E4134" s="65"/>
      <c r="F4134" s="64"/>
      <c r="G4134" s="64"/>
      <c r="H4134" s="64"/>
      <c r="I4134" s="70"/>
      <c r="J4134" s="70"/>
      <c r="K4134" s="110" t="str">
        <f>IF(H4134="","",IF($C$29="간이법","",FPR(H4134,I4134,J4134)))</f>
        <v/>
      </c>
      <c r="L4134" s="111" t="str">
        <f>IF(H4134="","",IF($C$29="상세법",FPV(H4134,K4134),IF(H4134="EI",4,IF(H4134="EO",5.2,IF(H4134="EQ",3.9,IF(H4134="ILF",7.5,IF(H4134="EIF",5.4)))))))</f>
        <v/>
      </c>
      <c r="M4134" s="112" t="str">
        <f t="shared" si="67"/>
        <v/>
      </c>
      <c r="N4134" s="113"/>
    </row>
    <row r="4135" spans="2:14">
      <c r="B4135" s="105"/>
      <c r="C4135" s="106"/>
      <c r="D4135" s="107"/>
      <c r="E4135" s="65"/>
      <c r="F4135" s="64"/>
      <c r="G4135" s="64"/>
      <c r="H4135" s="64"/>
      <c r="I4135" s="70"/>
      <c r="J4135" s="70"/>
      <c r="K4135" s="110" t="str">
        <f>IF(H4135="","",IF($C$29="간이법","",FPR(H4135,I4135,J4135)))</f>
        <v/>
      </c>
      <c r="L4135" s="111" t="str">
        <f>IF(H4135="","",IF($C$29="상세법",FPV(H4135,K4135),IF(H4135="EI",4,IF(H4135="EO",5.2,IF(H4135="EQ",3.9,IF(H4135="ILF",7.5,IF(H4135="EIF",5.4)))))))</f>
        <v/>
      </c>
      <c r="M4135" s="112" t="str">
        <f t="shared" si="67"/>
        <v/>
      </c>
      <c r="N4135" s="113"/>
    </row>
    <row r="4136" spans="2:14">
      <c r="B4136" s="105"/>
      <c r="C4136" s="106"/>
      <c r="D4136" s="107"/>
      <c r="E4136" s="65"/>
      <c r="F4136" s="64"/>
      <c r="G4136" s="64"/>
      <c r="H4136" s="64"/>
      <c r="I4136" s="70"/>
      <c r="J4136" s="70"/>
      <c r="K4136" s="110" t="str">
        <f>IF(H4136="","",IF($C$29="간이법","",FPR(H4136,I4136,J4136)))</f>
        <v/>
      </c>
      <c r="L4136" s="111" t="str">
        <f>IF(H4136="","",IF($C$29="상세법",FPV(H4136,K4136),IF(H4136="EI",4,IF(H4136="EO",5.2,IF(H4136="EQ",3.9,IF(H4136="ILF",7.5,IF(H4136="EIF",5.4)))))))</f>
        <v/>
      </c>
      <c r="M4136" s="112" t="str">
        <f t="shared" si="67"/>
        <v/>
      </c>
      <c r="N4136" s="113"/>
    </row>
    <row r="4137" spans="2:14">
      <c r="B4137" s="105"/>
      <c r="C4137" s="106"/>
      <c r="D4137" s="107"/>
      <c r="E4137" s="65"/>
      <c r="F4137" s="64"/>
      <c r="G4137" s="64"/>
      <c r="H4137" s="64"/>
      <c r="I4137" s="70"/>
      <c r="J4137" s="70"/>
      <c r="K4137" s="110" t="str">
        <f>IF(H4137="","",IF($C$29="간이법","",FPR(H4137,I4137,J4137)))</f>
        <v/>
      </c>
      <c r="L4137" s="111" t="str">
        <f>IF(H4137="","",IF($C$29="상세법",FPV(H4137,K4137),IF(H4137="EI",4,IF(H4137="EO",5.2,IF(H4137="EQ",3.9,IF(H4137="ILF",7.5,IF(H4137="EIF",5.4)))))))</f>
        <v/>
      </c>
      <c r="M4137" s="112" t="str">
        <f t="shared" si="67"/>
        <v/>
      </c>
      <c r="N4137" s="113"/>
    </row>
    <row r="4138" spans="2:14">
      <c r="B4138" s="105"/>
      <c r="C4138" s="106"/>
      <c r="D4138" s="107"/>
      <c r="E4138" s="65"/>
      <c r="F4138" s="64"/>
      <c r="G4138" s="64"/>
      <c r="H4138" s="64"/>
      <c r="I4138" s="70"/>
      <c r="J4138" s="70"/>
      <c r="K4138" s="110" t="str">
        <f>IF(H4138="","",IF($C$29="간이법","",FPR(H4138,I4138,J4138)))</f>
        <v/>
      </c>
      <c r="L4138" s="111" t="str">
        <f>IF(H4138="","",IF($C$29="상세법",FPV(H4138,K4138),IF(H4138="EI",4,IF(H4138="EO",5.2,IF(H4138="EQ",3.9,IF(H4138="ILF",7.5,IF(H4138="EIF",5.4)))))))</f>
        <v/>
      </c>
      <c r="M4138" s="112" t="str">
        <f t="shared" si="67"/>
        <v/>
      </c>
      <c r="N4138" s="113"/>
    </row>
    <row r="4139" spans="2:14">
      <c r="B4139" s="105"/>
      <c r="C4139" s="106"/>
      <c r="D4139" s="107"/>
      <c r="E4139" s="65"/>
      <c r="F4139" s="64"/>
      <c r="G4139" s="64"/>
      <c r="H4139" s="64"/>
      <c r="I4139" s="70"/>
      <c r="J4139" s="70"/>
      <c r="K4139" s="110" t="str">
        <f>IF(H4139="","",IF($C$29="간이법","",FPR(H4139,I4139,J4139)))</f>
        <v/>
      </c>
      <c r="L4139" s="111" t="str">
        <f>IF(H4139="","",IF($C$29="상세법",FPV(H4139,K4139),IF(H4139="EI",4,IF(H4139="EO",5.2,IF(H4139="EQ",3.9,IF(H4139="ILF",7.5,IF(H4139="EIF",5.4)))))))</f>
        <v/>
      </c>
      <c r="M4139" s="112" t="str">
        <f t="shared" si="67"/>
        <v/>
      </c>
      <c r="N4139" s="113"/>
    </row>
    <row r="4140" spans="2:14">
      <c r="B4140" s="105"/>
      <c r="C4140" s="106"/>
      <c r="D4140" s="107"/>
      <c r="E4140" s="65"/>
      <c r="F4140" s="64"/>
      <c r="G4140" s="64"/>
      <c r="H4140" s="64"/>
      <c r="I4140" s="70"/>
      <c r="J4140" s="70"/>
      <c r="K4140" s="110" t="str">
        <f>IF(H4140="","",IF($C$29="간이법","",FPR(H4140,I4140,J4140)))</f>
        <v/>
      </c>
      <c r="L4140" s="111" t="str">
        <f>IF(H4140="","",IF($C$29="상세법",FPV(H4140,K4140),IF(H4140="EI",4,IF(H4140="EO",5.2,IF(H4140="EQ",3.9,IF(H4140="ILF",7.5,IF(H4140="EIF",5.4)))))))</f>
        <v/>
      </c>
      <c r="M4140" s="112" t="str">
        <f t="shared" si="67"/>
        <v/>
      </c>
      <c r="N4140" s="113"/>
    </row>
    <row r="4141" spans="2:14">
      <c r="B4141" s="105"/>
      <c r="C4141" s="106"/>
      <c r="D4141" s="107"/>
      <c r="E4141" s="65"/>
      <c r="F4141" s="64"/>
      <c r="G4141" s="64"/>
      <c r="H4141" s="64"/>
      <c r="I4141" s="70"/>
      <c r="J4141" s="70"/>
      <c r="K4141" s="110" t="str">
        <f>IF(H4141="","",IF($C$29="간이법","",FPR(H4141,I4141,J4141)))</f>
        <v/>
      </c>
      <c r="L4141" s="111" t="str">
        <f>IF(H4141="","",IF($C$29="상세법",FPV(H4141,K4141),IF(H4141="EI",4,IF(H4141="EO",5.2,IF(H4141="EQ",3.9,IF(H4141="ILF",7.5,IF(H4141="EIF",5.4)))))))</f>
        <v/>
      </c>
      <c r="M4141" s="112" t="str">
        <f t="shared" si="67"/>
        <v/>
      </c>
      <c r="N4141" s="113"/>
    </row>
    <row r="4142" spans="2:14">
      <c r="B4142" s="105"/>
      <c r="C4142" s="106"/>
      <c r="D4142" s="107"/>
      <c r="E4142" s="65"/>
      <c r="F4142" s="64"/>
      <c r="G4142" s="64"/>
      <c r="H4142" s="64"/>
      <c r="I4142" s="70"/>
      <c r="J4142" s="70"/>
      <c r="K4142" s="110" t="str">
        <f>IF(H4142="","",IF($C$29="간이법","",FPR(H4142,I4142,J4142)))</f>
        <v/>
      </c>
      <c r="L4142" s="111" t="str">
        <f>IF(H4142="","",IF($C$29="상세법",FPV(H4142,K4142),IF(H4142="EI",4,IF(H4142="EO",5.2,IF(H4142="EQ",3.9,IF(H4142="ILF",7.5,IF(H4142="EIF",5.4)))))))</f>
        <v/>
      </c>
      <c r="M4142" s="112" t="str">
        <f t="shared" si="67"/>
        <v/>
      </c>
      <c r="N4142" s="113"/>
    </row>
    <row r="4143" spans="2:14">
      <c r="B4143" s="105"/>
      <c r="C4143" s="106"/>
      <c r="D4143" s="107"/>
      <c r="E4143" s="65"/>
      <c r="F4143" s="64"/>
      <c r="G4143" s="64"/>
      <c r="H4143" s="64"/>
      <c r="I4143" s="70"/>
      <c r="J4143" s="70"/>
      <c r="K4143" s="110" t="str">
        <f>IF(H4143="","",IF($C$29="간이법","",FPR(H4143,I4143,J4143)))</f>
        <v/>
      </c>
      <c r="L4143" s="111" t="str">
        <f>IF(H4143="","",IF($C$29="상세법",FPV(H4143,K4143),IF(H4143="EI",4,IF(H4143="EO",5.2,IF(H4143="EQ",3.9,IF(H4143="ILF",7.5,IF(H4143="EIF",5.4)))))))</f>
        <v/>
      </c>
      <c r="M4143" s="112" t="str">
        <f t="shared" si="67"/>
        <v/>
      </c>
      <c r="N4143" s="113"/>
    </row>
    <row r="4144" spans="2:14">
      <c r="B4144" s="105"/>
      <c r="C4144" s="106"/>
      <c r="D4144" s="107"/>
      <c r="E4144" s="65"/>
      <c r="F4144" s="64"/>
      <c r="G4144" s="64"/>
      <c r="H4144" s="64"/>
      <c r="I4144" s="70"/>
      <c r="J4144" s="70"/>
      <c r="K4144" s="110" t="str">
        <f>IF(H4144="","",IF($C$29="간이법","",FPR(H4144,I4144,J4144)))</f>
        <v/>
      </c>
      <c r="L4144" s="111" t="str">
        <f>IF(H4144="","",IF($C$29="상세법",FPV(H4144,K4144),IF(H4144="EI",4,IF(H4144="EO",5.2,IF(H4144="EQ",3.9,IF(H4144="ILF",7.5,IF(H4144="EIF",5.4)))))))</f>
        <v/>
      </c>
      <c r="M4144" s="112" t="str">
        <f t="shared" si="67"/>
        <v/>
      </c>
      <c r="N4144" s="113"/>
    </row>
    <row r="4145" spans="2:14">
      <c r="B4145" s="105"/>
      <c r="C4145" s="106"/>
      <c r="D4145" s="107"/>
      <c r="E4145" s="65"/>
      <c r="F4145" s="64"/>
      <c r="G4145" s="64"/>
      <c r="H4145" s="64"/>
      <c r="I4145" s="70"/>
      <c r="J4145" s="70"/>
      <c r="K4145" s="110" t="str">
        <f>IF(H4145="","",IF($C$29="간이법","",FPR(H4145,I4145,J4145)))</f>
        <v/>
      </c>
      <c r="L4145" s="111" t="str">
        <f>IF(H4145="","",IF($C$29="상세법",FPV(H4145,K4145),IF(H4145="EI",4,IF(H4145="EO",5.2,IF(H4145="EQ",3.9,IF(H4145="ILF",7.5,IF(H4145="EIF",5.4)))))))</f>
        <v/>
      </c>
      <c r="M4145" s="112" t="str">
        <f t="shared" si="67"/>
        <v/>
      </c>
      <c r="N4145" s="113"/>
    </row>
    <row r="4146" spans="2:14">
      <c r="B4146" s="105"/>
      <c r="C4146" s="106"/>
      <c r="D4146" s="107"/>
      <c r="E4146" s="65"/>
      <c r="F4146" s="64"/>
      <c r="G4146" s="64"/>
      <c r="H4146" s="64"/>
      <c r="I4146" s="70"/>
      <c r="J4146" s="70"/>
      <c r="K4146" s="110" t="str">
        <f>IF(H4146="","",IF($C$29="간이법","",FPR(H4146,I4146,J4146)))</f>
        <v/>
      </c>
      <c r="L4146" s="111" t="str">
        <f>IF(H4146="","",IF($C$29="상세법",FPV(H4146,K4146),IF(H4146="EI",4,IF(H4146="EO",5.2,IF(H4146="EQ",3.9,IF(H4146="ILF",7.5,IF(H4146="EIF",5.4)))))))</f>
        <v/>
      </c>
      <c r="M4146" s="112" t="str">
        <f t="shared" si="67"/>
        <v/>
      </c>
      <c r="N4146" s="113"/>
    </row>
    <row r="4147" spans="2:14">
      <c r="B4147" s="105"/>
      <c r="C4147" s="106"/>
      <c r="D4147" s="107"/>
      <c r="E4147" s="65"/>
      <c r="F4147" s="64"/>
      <c r="G4147" s="64"/>
      <c r="H4147" s="64"/>
      <c r="I4147" s="70"/>
      <c r="J4147" s="70"/>
      <c r="K4147" s="110" t="str">
        <f>IF(H4147="","",IF($C$29="간이법","",FPR(H4147,I4147,J4147)))</f>
        <v/>
      </c>
      <c r="L4147" s="111" t="str">
        <f>IF(H4147="","",IF($C$29="상세법",FPV(H4147,K4147),IF(H4147="EI",4,IF(H4147="EO",5.2,IF(H4147="EQ",3.9,IF(H4147="ILF",7.5,IF(H4147="EIF",5.4)))))))</f>
        <v/>
      </c>
      <c r="M4147" s="112" t="str">
        <f t="shared" si="67"/>
        <v/>
      </c>
      <c r="N4147" s="113"/>
    </row>
    <row r="4148" spans="2:14">
      <c r="B4148" s="105"/>
      <c r="C4148" s="106"/>
      <c r="D4148" s="107"/>
      <c r="E4148" s="65"/>
      <c r="F4148" s="64"/>
      <c r="G4148" s="64"/>
      <c r="H4148" s="64"/>
      <c r="I4148" s="70"/>
      <c r="J4148" s="70"/>
      <c r="K4148" s="110" t="str">
        <f>IF(H4148="","",IF($C$29="간이법","",FPR(H4148,I4148,J4148)))</f>
        <v/>
      </c>
      <c r="L4148" s="111" t="str">
        <f>IF(H4148="","",IF($C$29="상세법",FPV(H4148,K4148),IF(H4148="EI",4,IF(H4148="EO",5.2,IF(H4148="EQ",3.9,IF(H4148="ILF",7.5,IF(H4148="EIF",5.4)))))))</f>
        <v/>
      </c>
      <c r="M4148" s="112" t="str">
        <f t="shared" si="67"/>
        <v/>
      </c>
      <c r="N4148" s="113"/>
    </row>
    <row r="4149" spans="2:14">
      <c r="B4149" s="105"/>
      <c r="C4149" s="106"/>
      <c r="D4149" s="107"/>
      <c r="E4149" s="65"/>
      <c r="F4149" s="64"/>
      <c r="G4149" s="64"/>
      <c r="H4149" s="64"/>
      <c r="I4149" s="70"/>
      <c r="J4149" s="70"/>
      <c r="K4149" s="110" t="str">
        <f>IF(H4149="","",IF($C$29="간이법","",FPR(H4149,I4149,J4149)))</f>
        <v/>
      </c>
      <c r="L4149" s="111" t="str">
        <f>IF(H4149="","",IF($C$29="상세법",FPV(H4149,K4149),IF(H4149="EI",4,IF(H4149="EO",5.2,IF(H4149="EQ",3.9,IF(H4149="ILF",7.5,IF(H4149="EIF",5.4)))))))</f>
        <v/>
      </c>
      <c r="M4149" s="112" t="str">
        <f t="shared" si="67"/>
        <v/>
      </c>
      <c r="N4149" s="113"/>
    </row>
    <row r="4150" spans="2:14">
      <c r="B4150" s="105"/>
      <c r="C4150" s="106"/>
      <c r="D4150" s="107"/>
      <c r="E4150" s="65"/>
      <c r="F4150" s="64"/>
      <c r="G4150" s="64"/>
      <c r="H4150" s="64"/>
      <c r="I4150" s="70"/>
      <c r="J4150" s="70"/>
      <c r="K4150" s="110" t="str">
        <f>IF(H4150="","",IF($C$29="간이법","",FPR(H4150,I4150,J4150)))</f>
        <v/>
      </c>
      <c r="L4150" s="111" t="str">
        <f>IF(H4150="","",IF($C$29="상세법",FPV(H4150,K4150),IF(H4150="EI",4,IF(H4150="EO",5.2,IF(H4150="EQ",3.9,IF(H4150="ILF",7.5,IF(H4150="EIF",5.4)))))))</f>
        <v/>
      </c>
      <c r="M4150" s="112" t="str">
        <f t="shared" si="67"/>
        <v/>
      </c>
      <c r="N4150" s="113"/>
    </row>
    <row r="4151" spans="2:14">
      <c r="B4151" s="105"/>
      <c r="C4151" s="106"/>
      <c r="D4151" s="107"/>
      <c r="E4151" s="65"/>
      <c r="F4151" s="64"/>
      <c r="G4151" s="64"/>
      <c r="H4151" s="64"/>
      <c r="I4151" s="70"/>
      <c r="J4151" s="70"/>
      <c r="K4151" s="110" t="str">
        <f>IF(H4151="","",IF($C$29="간이법","",FPR(H4151,I4151,J4151)))</f>
        <v/>
      </c>
      <c r="L4151" s="111" t="str">
        <f>IF(H4151="","",IF($C$29="상세법",FPV(H4151,K4151),IF(H4151="EI",4,IF(H4151="EO",5.2,IF(H4151="EQ",3.9,IF(H4151="ILF",7.5,IF(H4151="EIF",5.4)))))))</f>
        <v/>
      </c>
      <c r="M4151" s="112" t="str">
        <f t="shared" si="67"/>
        <v/>
      </c>
      <c r="N4151" s="113"/>
    </row>
    <row r="4152" spans="2:14">
      <c r="B4152" s="105"/>
      <c r="C4152" s="106"/>
      <c r="D4152" s="107"/>
      <c r="E4152" s="65"/>
      <c r="F4152" s="64"/>
      <c r="G4152" s="64"/>
      <c r="H4152" s="64"/>
      <c r="I4152" s="70"/>
      <c r="J4152" s="70"/>
      <c r="K4152" s="110" t="str">
        <f>IF(H4152="","",IF($C$29="간이법","",FPR(H4152,I4152,J4152)))</f>
        <v/>
      </c>
      <c r="L4152" s="111" t="str">
        <f>IF(H4152="","",IF($C$29="상세법",FPV(H4152,K4152),IF(H4152="EI",4,IF(H4152="EO",5.2,IF(H4152="EQ",3.9,IF(H4152="ILF",7.5,IF(H4152="EIF",5.4)))))))</f>
        <v/>
      </c>
      <c r="M4152" s="112" t="str">
        <f t="shared" si="67"/>
        <v/>
      </c>
      <c r="N4152" s="113"/>
    </row>
    <row r="4153" spans="2:14">
      <c r="B4153" s="105"/>
      <c r="C4153" s="106"/>
      <c r="D4153" s="107"/>
      <c r="E4153" s="65"/>
      <c r="F4153" s="64"/>
      <c r="G4153" s="64"/>
      <c r="H4153" s="64"/>
      <c r="I4153" s="70"/>
      <c r="J4153" s="70"/>
      <c r="K4153" s="110" t="str">
        <f>IF(H4153="","",IF($C$29="간이법","",FPR(H4153,I4153,J4153)))</f>
        <v/>
      </c>
      <c r="L4153" s="111" t="str">
        <f>IF(H4153="","",IF($C$29="상세법",FPV(H4153,K4153),IF(H4153="EI",4,IF(H4153="EO",5.2,IF(H4153="EQ",3.9,IF(H4153="ILF",7.5,IF(H4153="EIF",5.4)))))))</f>
        <v/>
      </c>
      <c r="M4153" s="112" t="str">
        <f t="shared" ref="M4153:M4216" si="68">IF(L4153="","",L4153*IF(G4153="상",0.7,IF(G4153="중",0.5,IF(G4153="하",0.2,1))))</f>
        <v/>
      </c>
      <c r="N4153" s="113"/>
    </row>
    <row r="4154" spans="2:14">
      <c r="B4154" s="105"/>
      <c r="C4154" s="106"/>
      <c r="D4154" s="107"/>
      <c r="E4154" s="65"/>
      <c r="F4154" s="64"/>
      <c r="G4154" s="64"/>
      <c r="H4154" s="64"/>
      <c r="I4154" s="70"/>
      <c r="J4154" s="70"/>
      <c r="K4154" s="110" t="str">
        <f>IF(H4154="","",IF($C$29="간이법","",FPR(H4154,I4154,J4154)))</f>
        <v/>
      </c>
      <c r="L4154" s="111" t="str">
        <f>IF(H4154="","",IF($C$29="상세법",FPV(H4154,K4154),IF(H4154="EI",4,IF(H4154="EO",5.2,IF(H4154="EQ",3.9,IF(H4154="ILF",7.5,IF(H4154="EIF",5.4)))))))</f>
        <v/>
      </c>
      <c r="M4154" s="112" t="str">
        <f t="shared" si="68"/>
        <v/>
      </c>
      <c r="N4154" s="113"/>
    </row>
    <row r="4155" spans="2:14">
      <c r="B4155" s="105"/>
      <c r="C4155" s="106"/>
      <c r="D4155" s="107"/>
      <c r="E4155" s="65"/>
      <c r="F4155" s="64"/>
      <c r="G4155" s="64"/>
      <c r="H4155" s="64"/>
      <c r="I4155" s="70"/>
      <c r="J4155" s="70"/>
      <c r="K4155" s="110" t="str">
        <f>IF(H4155="","",IF($C$29="간이법","",FPR(H4155,I4155,J4155)))</f>
        <v/>
      </c>
      <c r="L4155" s="111" t="str">
        <f>IF(H4155="","",IF($C$29="상세법",FPV(H4155,K4155),IF(H4155="EI",4,IF(H4155="EO",5.2,IF(H4155="EQ",3.9,IF(H4155="ILF",7.5,IF(H4155="EIF",5.4)))))))</f>
        <v/>
      </c>
      <c r="M4155" s="112" t="str">
        <f t="shared" si="68"/>
        <v/>
      </c>
      <c r="N4155" s="113"/>
    </row>
    <row r="4156" spans="2:14">
      <c r="B4156" s="105"/>
      <c r="C4156" s="106"/>
      <c r="D4156" s="107"/>
      <c r="E4156" s="65"/>
      <c r="F4156" s="64"/>
      <c r="G4156" s="64"/>
      <c r="H4156" s="64"/>
      <c r="I4156" s="70"/>
      <c r="J4156" s="70"/>
      <c r="K4156" s="110" t="str">
        <f>IF(H4156="","",IF($C$29="간이법","",FPR(H4156,I4156,J4156)))</f>
        <v/>
      </c>
      <c r="L4156" s="111" t="str">
        <f>IF(H4156="","",IF($C$29="상세법",FPV(H4156,K4156),IF(H4156="EI",4,IF(H4156="EO",5.2,IF(H4156="EQ",3.9,IF(H4156="ILF",7.5,IF(H4156="EIF",5.4)))))))</f>
        <v/>
      </c>
      <c r="M4156" s="112" t="str">
        <f t="shared" si="68"/>
        <v/>
      </c>
      <c r="N4156" s="113"/>
    </row>
    <row r="4157" spans="2:14">
      <c r="B4157" s="105"/>
      <c r="C4157" s="106"/>
      <c r="D4157" s="107"/>
      <c r="E4157" s="65"/>
      <c r="F4157" s="64"/>
      <c r="G4157" s="64"/>
      <c r="H4157" s="64"/>
      <c r="I4157" s="70"/>
      <c r="J4157" s="70"/>
      <c r="K4157" s="110" t="str">
        <f>IF(H4157="","",IF($C$29="간이법","",FPR(H4157,I4157,J4157)))</f>
        <v/>
      </c>
      <c r="L4157" s="111" t="str">
        <f>IF(H4157="","",IF($C$29="상세법",FPV(H4157,K4157),IF(H4157="EI",4,IF(H4157="EO",5.2,IF(H4157="EQ",3.9,IF(H4157="ILF",7.5,IF(H4157="EIF",5.4)))))))</f>
        <v/>
      </c>
      <c r="M4157" s="112" t="str">
        <f t="shared" si="68"/>
        <v/>
      </c>
      <c r="N4157" s="113"/>
    </row>
    <row r="4158" spans="2:14">
      <c r="B4158" s="105"/>
      <c r="C4158" s="106"/>
      <c r="D4158" s="107"/>
      <c r="E4158" s="65"/>
      <c r="F4158" s="64"/>
      <c r="G4158" s="64"/>
      <c r="H4158" s="64"/>
      <c r="I4158" s="70"/>
      <c r="J4158" s="70"/>
      <c r="K4158" s="110" t="str">
        <f>IF(H4158="","",IF($C$29="간이법","",FPR(H4158,I4158,J4158)))</f>
        <v/>
      </c>
      <c r="L4158" s="111" t="str">
        <f>IF(H4158="","",IF($C$29="상세법",FPV(H4158,K4158),IF(H4158="EI",4,IF(H4158="EO",5.2,IF(H4158="EQ",3.9,IF(H4158="ILF",7.5,IF(H4158="EIF",5.4)))))))</f>
        <v/>
      </c>
      <c r="M4158" s="112" t="str">
        <f t="shared" si="68"/>
        <v/>
      </c>
      <c r="N4158" s="113"/>
    </row>
    <row r="4159" spans="2:14">
      <c r="B4159" s="105"/>
      <c r="C4159" s="106"/>
      <c r="D4159" s="107"/>
      <c r="E4159" s="65"/>
      <c r="F4159" s="64"/>
      <c r="G4159" s="64"/>
      <c r="H4159" s="64"/>
      <c r="I4159" s="70"/>
      <c r="J4159" s="70"/>
      <c r="K4159" s="110" t="str">
        <f>IF(H4159="","",IF($C$29="간이법","",FPR(H4159,I4159,J4159)))</f>
        <v/>
      </c>
      <c r="L4159" s="111" t="str">
        <f>IF(H4159="","",IF($C$29="상세법",FPV(H4159,K4159),IF(H4159="EI",4,IF(H4159="EO",5.2,IF(H4159="EQ",3.9,IF(H4159="ILF",7.5,IF(H4159="EIF",5.4)))))))</f>
        <v/>
      </c>
      <c r="M4159" s="112" t="str">
        <f t="shared" si="68"/>
        <v/>
      </c>
      <c r="N4159" s="113"/>
    </row>
    <row r="4160" spans="2:14">
      <c r="B4160" s="105"/>
      <c r="C4160" s="106"/>
      <c r="D4160" s="107"/>
      <c r="E4160" s="65"/>
      <c r="F4160" s="64"/>
      <c r="G4160" s="64"/>
      <c r="H4160" s="64"/>
      <c r="I4160" s="70"/>
      <c r="J4160" s="70"/>
      <c r="K4160" s="110" t="str">
        <f>IF(H4160="","",IF($C$29="간이법","",FPR(H4160,I4160,J4160)))</f>
        <v/>
      </c>
      <c r="L4160" s="111" t="str">
        <f>IF(H4160="","",IF($C$29="상세법",FPV(H4160,K4160),IF(H4160="EI",4,IF(H4160="EO",5.2,IF(H4160="EQ",3.9,IF(H4160="ILF",7.5,IF(H4160="EIF",5.4)))))))</f>
        <v/>
      </c>
      <c r="M4160" s="112" t="str">
        <f t="shared" si="68"/>
        <v/>
      </c>
      <c r="N4160" s="113"/>
    </row>
    <row r="4161" spans="2:14">
      <c r="B4161" s="105"/>
      <c r="C4161" s="106"/>
      <c r="D4161" s="107"/>
      <c r="E4161" s="65"/>
      <c r="F4161" s="64"/>
      <c r="G4161" s="64"/>
      <c r="H4161" s="64"/>
      <c r="I4161" s="70"/>
      <c r="J4161" s="70"/>
      <c r="K4161" s="110" t="str">
        <f>IF(H4161="","",IF($C$29="간이법","",FPR(H4161,I4161,J4161)))</f>
        <v/>
      </c>
      <c r="L4161" s="111" t="str">
        <f>IF(H4161="","",IF($C$29="상세법",FPV(H4161,K4161),IF(H4161="EI",4,IF(H4161="EO",5.2,IF(H4161="EQ",3.9,IF(H4161="ILF",7.5,IF(H4161="EIF",5.4)))))))</f>
        <v/>
      </c>
      <c r="M4161" s="112" t="str">
        <f t="shared" si="68"/>
        <v/>
      </c>
      <c r="N4161" s="113"/>
    </row>
    <row r="4162" spans="2:14">
      <c r="B4162" s="105"/>
      <c r="C4162" s="106"/>
      <c r="D4162" s="107"/>
      <c r="E4162" s="65"/>
      <c r="F4162" s="64"/>
      <c r="G4162" s="64"/>
      <c r="H4162" s="64"/>
      <c r="I4162" s="70"/>
      <c r="J4162" s="70"/>
      <c r="K4162" s="110" t="str">
        <f>IF(H4162="","",IF($C$29="간이법","",FPR(H4162,I4162,J4162)))</f>
        <v/>
      </c>
      <c r="L4162" s="111" t="str">
        <f>IF(H4162="","",IF($C$29="상세법",FPV(H4162,K4162),IF(H4162="EI",4,IF(H4162="EO",5.2,IF(H4162="EQ",3.9,IF(H4162="ILF",7.5,IF(H4162="EIF",5.4)))))))</f>
        <v/>
      </c>
      <c r="M4162" s="112" t="str">
        <f t="shared" si="68"/>
        <v/>
      </c>
      <c r="N4162" s="113"/>
    </row>
    <row r="4163" spans="2:14">
      <c r="B4163" s="105"/>
      <c r="C4163" s="106"/>
      <c r="D4163" s="107"/>
      <c r="E4163" s="65"/>
      <c r="F4163" s="64"/>
      <c r="G4163" s="64"/>
      <c r="H4163" s="64"/>
      <c r="I4163" s="70"/>
      <c r="J4163" s="70"/>
      <c r="K4163" s="110" t="str">
        <f>IF(H4163="","",IF($C$29="간이법","",FPR(H4163,I4163,J4163)))</f>
        <v/>
      </c>
      <c r="L4163" s="111" t="str">
        <f>IF(H4163="","",IF($C$29="상세법",FPV(H4163,K4163),IF(H4163="EI",4,IF(H4163="EO",5.2,IF(H4163="EQ",3.9,IF(H4163="ILF",7.5,IF(H4163="EIF",5.4)))))))</f>
        <v/>
      </c>
      <c r="M4163" s="112" t="str">
        <f t="shared" si="68"/>
        <v/>
      </c>
      <c r="N4163" s="113"/>
    </row>
    <row r="4164" spans="2:14">
      <c r="B4164" s="105"/>
      <c r="C4164" s="106"/>
      <c r="D4164" s="107"/>
      <c r="E4164" s="65"/>
      <c r="F4164" s="64"/>
      <c r="G4164" s="64"/>
      <c r="H4164" s="64"/>
      <c r="I4164" s="70"/>
      <c r="J4164" s="70"/>
      <c r="K4164" s="110" t="str">
        <f>IF(H4164="","",IF($C$29="간이법","",FPR(H4164,I4164,J4164)))</f>
        <v/>
      </c>
      <c r="L4164" s="111" t="str">
        <f>IF(H4164="","",IF($C$29="상세법",FPV(H4164,K4164),IF(H4164="EI",4,IF(H4164="EO",5.2,IF(H4164="EQ",3.9,IF(H4164="ILF",7.5,IF(H4164="EIF",5.4)))))))</f>
        <v/>
      </c>
      <c r="M4164" s="112" t="str">
        <f t="shared" si="68"/>
        <v/>
      </c>
      <c r="N4164" s="113"/>
    </row>
    <row r="4165" spans="2:14">
      <c r="B4165" s="105"/>
      <c r="C4165" s="106"/>
      <c r="D4165" s="107"/>
      <c r="E4165" s="65"/>
      <c r="F4165" s="64"/>
      <c r="G4165" s="64"/>
      <c r="H4165" s="64"/>
      <c r="I4165" s="70"/>
      <c r="J4165" s="70"/>
      <c r="K4165" s="110" t="str">
        <f>IF(H4165="","",IF($C$29="간이법","",FPR(H4165,I4165,J4165)))</f>
        <v/>
      </c>
      <c r="L4165" s="111" t="str">
        <f>IF(H4165="","",IF($C$29="상세법",FPV(H4165,K4165),IF(H4165="EI",4,IF(H4165="EO",5.2,IF(H4165="EQ",3.9,IF(H4165="ILF",7.5,IF(H4165="EIF",5.4)))))))</f>
        <v/>
      </c>
      <c r="M4165" s="112" t="str">
        <f t="shared" si="68"/>
        <v/>
      </c>
      <c r="N4165" s="113"/>
    </row>
    <row r="4166" spans="2:14">
      <c r="B4166" s="105"/>
      <c r="C4166" s="106"/>
      <c r="D4166" s="107"/>
      <c r="E4166" s="65"/>
      <c r="F4166" s="64"/>
      <c r="G4166" s="64"/>
      <c r="H4166" s="64"/>
      <c r="I4166" s="70"/>
      <c r="J4166" s="70"/>
      <c r="K4166" s="110" t="str">
        <f>IF(H4166="","",IF($C$29="간이법","",FPR(H4166,I4166,J4166)))</f>
        <v/>
      </c>
      <c r="L4166" s="111" t="str">
        <f>IF(H4166="","",IF($C$29="상세법",FPV(H4166,K4166),IF(H4166="EI",4,IF(H4166="EO",5.2,IF(H4166="EQ",3.9,IF(H4166="ILF",7.5,IF(H4166="EIF",5.4)))))))</f>
        <v/>
      </c>
      <c r="M4166" s="112" t="str">
        <f t="shared" si="68"/>
        <v/>
      </c>
      <c r="N4166" s="113"/>
    </row>
    <row r="4167" spans="2:14">
      <c r="B4167" s="105"/>
      <c r="C4167" s="106"/>
      <c r="D4167" s="107"/>
      <c r="E4167" s="65"/>
      <c r="F4167" s="64"/>
      <c r="G4167" s="64"/>
      <c r="H4167" s="64"/>
      <c r="I4167" s="70"/>
      <c r="J4167" s="70"/>
      <c r="K4167" s="110" t="str">
        <f>IF(H4167="","",IF($C$29="간이법","",FPR(H4167,I4167,J4167)))</f>
        <v/>
      </c>
      <c r="L4167" s="111" t="str">
        <f>IF(H4167="","",IF($C$29="상세법",FPV(H4167,K4167),IF(H4167="EI",4,IF(H4167="EO",5.2,IF(H4167="EQ",3.9,IF(H4167="ILF",7.5,IF(H4167="EIF",5.4)))))))</f>
        <v/>
      </c>
      <c r="M4167" s="112" t="str">
        <f t="shared" si="68"/>
        <v/>
      </c>
      <c r="N4167" s="113"/>
    </row>
    <row r="4168" spans="2:14">
      <c r="B4168" s="105"/>
      <c r="C4168" s="106"/>
      <c r="D4168" s="107"/>
      <c r="E4168" s="65"/>
      <c r="F4168" s="64"/>
      <c r="G4168" s="64"/>
      <c r="H4168" s="64"/>
      <c r="I4168" s="70"/>
      <c r="J4168" s="70"/>
      <c r="K4168" s="110" t="str">
        <f>IF(H4168="","",IF($C$29="간이법","",FPR(H4168,I4168,J4168)))</f>
        <v/>
      </c>
      <c r="L4168" s="111" t="str">
        <f>IF(H4168="","",IF($C$29="상세법",FPV(H4168,K4168),IF(H4168="EI",4,IF(H4168="EO",5.2,IF(H4168="EQ",3.9,IF(H4168="ILF",7.5,IF(H4168="EIF",5.4)))))))</f>
        <v/>
      </c>
      <c r="M4168" s="112" t="str">
        <f t="shared" si="68"/>
        <v/>
      </c>
      <c r="N4168" s="113"/>
    </row>
    <row r="4169" spans="2:14">
      <c r="B4169" s="105"/>
      <c r="C4169" s="106"/>
      <c r="D4169" s="107"/>
      <c r="E4169" s="65"/>
      <c r="F4169" s="64"/>
      <c r="G4169" s="64"/>
      <c r="H4169" s="64"/>
      <c r="I4169" s="70"/>
      <c r="J4169" s="70"/>
      <c r="K4169" s="110" t="str">
        <f>IF(H4169="","",IF($C$29="간이법","",FPR(H4169,I4169,J4169)))</f>
        <v/>
      </c>
      <c r="L4169" s="111" t="str">
        <f>IF(H4169="","",IF($C$29="상세법",FPV(H4169,K4169),IF(H4169="EI",4,IF(H4169="EO",5.2,IF(H4169="EQ",3.9,IF(H4169="ILF",7.5,IF(H4169="EIF",5.4)))))))</f>
        <v/>
      </c>
      <c r="M4169" s="112" t="str">
        <f t="shared" si="68"/>
        <v/>
      </c>
      <c r="N4169" s="113"/>
    </row>
    <row r="4170" spans="2:14">
      <c r="B4170" s="105"/>
      <c r="C4170" s="106"/>
      <c r="D4170" s="107"/>
      <c r="E4170" s="65"/>
      <c r="F4170" s="64"/>
      <c r="G4170" s="64"/>
      <c r="H4170" s="64"/>
      <c r="I4170" s="70"/>
      <c r="J4170" s="70"/>
      <c r="K4170" s="110" t="str">
        <f>IF(H4170="","",IF($C$29="간이법","",FPR(H4170,I4170,J4170)))</f>
        <v/>
      </c>
      <c r="L4170" s="111" t="str">
        <f>IF(H4170="","",IF($C$29="상세법",FPV(H4170,K4170),IF(H4170="EI",4,IF(H4170="EO",5.2,IF(H4170="EQ",3.9,IF(H4170="ILF",7.5,IF(H4170="EIF",5.4)))))))</f>
        <v/>
      </c>
      <c r="M4170" s="112" t="str">
        <f t="shared" si="68"/>
        <v/>
      </c>
      <c r="N4170" s="113"/>
    </row>
    <row r="4171" spans="2:14">
      <c r="B4171" s="105"/>
      <c r="C4171" s="106"/>
      <c r="D4171" s="107"/>
      <c r="E4171" s="65"/>
      <c r="F4171" s="64"/>
      <c r="G4171" s="64"/>
      <c r="H4171" s="64"/>
      <c r="I4171" s="70"/>
      <c r="J4171" s="70"/>
      <c r="K4171" s="110" t="str">
        <f>IF(H4171="","",IF($C$29="간이법","",FPR(H4171,I4171,J4171)))</f>
        <v/>
      </c>
      <c r="L4171" s="111" t="str">
        <f>IF(H4171="","",IF($C$29="상세법",FPV(H4171,K4171),IF(H4171="EI",4,IF(H4171="EO",5.2,IF(H4171="EQ",3.9,IF(H4171="ILF",7.5,IF(H4171="EIF",5.4)))))))</f>
        <v/>
      </c>
      <c r="M4171" s="112" t="str">
        <f t="shared" si="68"/>
        <v/>
      </c>
      <c r="N4171" s="113"/>
    </row>
    <row r="4172" spans="2:14">
      <c r="B4172" s="105"/>
      <c r="C4172" s="106"/>
      <c r="D4172" s="107"/>
      <c r="E4172" s="65"/>
      <c r="F4172" s="64"/>
      <c r="G4172" s="64"/>
      <c r="H4172" s="64"/>
      <c r="I4172" s="70"/>
      <c r="J4172" s="70"/>
      <c r="K4172" s="110" t="str">
        <f>IF(H4172="","",IF($C$29="간이법","",FPR(H4172,I4172,J4172)))</f>
        <v/>
      </c>
      <c r="L4172" s="111" t="str">
        <f>IF(H4172="","",IF($C$29="상세법",FPV(H4172,K4172),IF(H4172="EI",4,IF(H4172="EO",5.2,IF(H4172="EQ",3.9,IF(H4172="ILF",7.5,IF(H4172="EIF",5.4)))))))</f>
        <v/>
      </c>
      <c r="M4172" s="112" t="str">
        <f t="shared" si="68"/>
        <v/>
      </c>
      <c r="N4172" s="113"/>
    </row>
    <row r="4173" spans="2:14">
      <c r="B4173" s="105"/>
      <c r="C4173" s="106"/>
      <c r="D4173" s="107"/>
      <c r="E4173" s="65"/>
      <c r="F4173" s="64"/>
      <c r="G4173" s="64"/>
      <c r="H4173" s="64"/>
      <c r="I4173" s="70"/>
      <c r="J4173" s="70"/>
      <c r="K4173" s="110" t="str">
        <f>IF(H4173="","",IF($C$29="간이법","",FPR(H4173,I4173,J4173)))</f>
        <v/>
      </c>
      <c r="L4173" s="111" t="str">
        <f>IF(H4173="","",IF($C$29="상세법",FPV(H4173,K4173),IF(H4173="EI",4,IF(H4173="EO",5.2,IF(H4173="EQ",3.9,IF(H4173="ILF",7.5,IF(H4173="EIF",5.4)))))))</f>
        <v/>
      </c>
      <c r="M4173" s="112" t="str">
        <f t="shared" si="68"/>
        <v/>
      </c>
      <c r="N4173" s="113"/>
    </row>
    <row r="4174" spans="2:14">
      <c r="B4174" s="105"/>
      <c r="C4174" s="106"/>
      <c r="D4174" s="107"/>
      <c r="E4174" s="65"/>
      <c r="F4174" s="64"/>
      <c r="G4174" s="64"/>
      <c r="H4174" s="64"/>
      <c r="I4174" s="70"/>
      <c r="J4174" s="70"/>
      <c r="K4174" s="110" t="str">
        <f>IF(H4174="","",IF($C$29="간이법","",FPR(H4174,I4174,J4174)))</f>
        <v/>
      </c>
      <c r="L4174" s="111" t="str">
        <f>IF(H4174="","",IF($C$29="상세법",FPV(H4174,K4174),IF(H4174="EI",4,IF(H4174="EO",5.2,IF(H4174="EQ",3.9,IF(H4174="ILF",7.5,IF(H4174="EIF",5.4)))))))</f>
        <v/>
      </c>
      <c r="M4174" s="112" t="str">
        <f t="shared" si="68"/>
        <v/>
      </c>
      <c r="N4174" s="113"/>
    </row>
    <row r="4175" spans="2:14">
      <c r="B4175" s="105"/>
      <c r="C4175" s="106"/>
      <c r="D4175" s="107"/>
      <c r="E4175" s="65"/>
      <c r="F4175" s="64"/>
      <c r="G4175" s="64"/>
      <c r="H4175" s="64"/>
      <c r="I4175" s="70"/>
      <c r="J4175" s="70"/>
      <c r="K4175" s="110" t="str">
        <f>IF(H4175="","",IF($C$29="간이법","",FPR(H4175,I4175,J4175)))</f>
        <v/>
      </c>
      <c r="L4175" s="111" t="str">
        <f>IF(H4175="","",IF($C$29="상세법",FPV(H4175,K4175),IF(H4175="EI",4,IF(H4175="EO",5.2,IF(H4175="EQ",3.9,IF(H4175="ILF",7.5,IF(H4175="EIF",5.4)))))))</f>
        <v/>
      </c>
      <c r="M4175" s="112" t="str">
        <f t="shared" si="68"/>
        <v/>
      </c>
      <c r="N4175" s="113"/>
    </row>
    <row r="4176" spans="2:14">
      <c r="B4176" s="105"/>
      <c r="C4176" s="106"/>
      <c r="D4176" s="107"/>
      <c r="E4176" s="65"/>
      <c r="F4176" s="64"/>
      <c r="G4176" s="64"/>
      <c r="H4176" s="64"/>
      <c r="I4176" s="70"/>
      <c r="J4176" s="70"/>
      <c r="K4176" s="110" t="str">
        <f>IF(H4176="","",IF($C$29="간이법","",FPR(H4176,I4176,J4176)))</f>
        <v/>
      </c>
      <c r="L4176" s="111" t="str">
        <f>IF(H4176="","",IF($C$29="상세법",FPV(H4176,K4176),IF(H4176="EI",4,IF(H4176="EO",5.2,IF(H4176="EQ",3.9,IF(H4176="ILF",7.5,IF(H4176="EIF",5.4)))))))</f>
        <v/>
      </c>
      <c r="M4176" s="112" t="str">
        <f t="shared" si="68"/>
        <v/>
      </c>
      <c r="N4176" s="113"/>
    </row>
    <row r="4177" spans="2:14">
      <c r="B4177" s="105"/>
      <c r="C4177" s="106"/>
      <c r="D4177" s="107"/>
      <c r="E4177" s="65"/>
      <c r="F4177" s="64"/>
      <c r="G4177" s="64"/>
      <c r="H4177" s="64"/>
      <c r="I4177" s="70"/>
      <c r="J4177" s="70"/>
      <c r="K4177" s="110" t="str">
        <f>IF(H4177="","",IF($C$29="간이법","",FPR(H4177,I4177,J4177)))</f>
        <v/>
      </c>
      <c r="L4177" s="111" t="str">
        <f>IF(H4177="","",IF($C$29="상세법",FPV(H4177,K4177),IF(H4177="EI",4,IF(H4177="EO",5.2,IF(H4177="EQ",3.9,IF(H4177="ILF",7.5,IF(H4177="EIF",5.4)))))))</f>
        <v/>
      </c>
      <c r="M4177" s="112" t="str">
        <f t="shared" si="68"/>
        <v/>
      </c>
      <c r="N4177" s="113"/>
    </row>
    <row r="4178" spans="2:14">
      <c r="B4178" s="105"/>
      <c r="C4178" s="106"/>
      <c r="D4178" s="107"/>
      <c r="E4178" s="65"/>
      <c r="F4178" s="64"/>
      <c r="G4178" s="64"/>
      <c r="H4178" s="64"/>
      <c r="I4178" s="70"/>
      <c r="J4178" s="70"/>
      <c r="K4178" s="110" t="str">
        <f>IF(H4178="","",IF($C$29="간이법","",FPR(H4178,I4178,J4178)))</f>
        <v/>
      </c>
      <c r="L4178" s="111" t="str">
        <f>IF(H4178="","",IF($C$29="상세법",FPV(H4178,K4178),IF(H4178="EI",4,IF(H4178="EO",5.2,IF(H4178="EQ",3.9,IF(H4178="ILF",7.5,IF(H4178="EIF",5.4)))))))</f>
        <v/>
      </c>
      <c r="M4178" s="112" t="str">
        <f t="shared" si="68"/>
        <v/>
      </c>
      <c r="N4178" s="113"/>
    </row>
    <row r="4179" spans="2:14">
      <c r="B4179" s="105"/>
      <c r="C4179" s="106"/>
      <c r="D4179" s="107"/>
      <c r="E4179" s="65"/>
      <c r="F4179" s="64"/>
      <c r="G4179" s="64"/>
      <c r="H4179" s="64"/>
      <c r="I4179" s="70"/>
      <c r="J4179" s="70"/>
      <c r="K4179" s="110" t="str">
        <f>IF(H4179="","",IF($C$29="간이법","",FPR(H4179,I4179,J4179)))</f>
        <v/>
      </c>
      <c r="L4179" s="111" t="str">
        <f>IF(H4179="","",IF($C$29="상세법",FPV(H4179,K4179),IF(H4179="EI",4,IF(H4179="EO",5.2,IF(H4179="EQ",3.9,IF(H4179="ILF",7.5,IF(H4179="EIF",5.4)))))))</f>
        <v/>
      </c>
      <c r="M4179" s="112" t="str">
        <f t="shared" si="68"/>
        <v/>
      </c>
      <c r="N4179" s="113"/>
    </row>
    <row r="4180" spans="2:14">
      <c r="B4180" s="105"/>
      <c r="C4180" s="106"/>
      <c r="D4180" s="107"/>
      <c r="E4180" s="65"/>
      <c r="F4180" s="64"/>
      <c r="G4180" s="64"/>
      <c r="H4180" s="64"/>
      <c r="I4180" s="70"/>
      <c r="J4180" s="70"/>
      <c r="K4180" s="110" t="str">
        <f>IF(H4180="","",IF($C$29="간이법","",FPR(H4180,I4180,J4180)))</f>
        <v/>
      </c>
      <c r="L4180" s="111" t="str">
        <f>IF(H4180="","",IF($C$29="상세법",FPV(H4180,K4180),IF(H4180="EI",4,IF(H4180="EO",5.2,IF(H4180="EQ",3.9,IF(H4180="ILF",7.5,IF(H4180="EIF",5.4)))))))</f>
        <v/>
      </c>
      <c r="M4180" s="112" t="str">
        <f t="shared" si="68"/>
        <v/>
      </c>
      <c r="N4180" s="113"/>
    </row>
    <row r="4181" spans="2:14">
      <c r="B4181" s="105"/>
      <c r="C4181" s="106"/>
      <c r="D4181" s="107"/>
      <c r="E4181" s="65"/>
      <c r="F4181" s="64"/>
      <c r="G4181" s="64"/>
      <c r="H4181" s="64"/>
      <c r="I4181" s="70"/>
      <c r="J4181" s="70"/>
      <c r="K4181" s="110" t="str">
        <f>IF(H4181="","",IF($C$29="간이법","",FPR(H4181,I4181,J4181)))</f>
        <v/>
      </c>
      <c r="L4181" s="111" t="str">
        <f>IF(H4181="","",IF($C$29="상세법",FPV(H4181,K4181),IF(H4181="EI",4,IF(H4181="EO",5.2,IF(H4181="EQ",3.9,IF(H4181="ILF",7.5,IF(H4181="EIF",5.4)))))))</f>
        <v/>
      </c>
      <c r="M4181" s="112" t="str">
        <f t="shared" si="68"/>
        <v/>
      </c>
      <c r="N4181" s="113"/>
    </row>
    <row r="4182" spans="2:14">
      <c r="B4182" s="105"/>
      <c r="C4182" s="106"/>
      <c r="D4182" s="107"/>
      <c r="E4182" s="65"/>
      <c r="F4182" s="64"/>
      <c r="G4182" s="64"/>
      <c r="H4182" s="64"/>
      <c r="I4182" s="70"/>
      <c r="J4182" s="70"/>
      <c r="K4182" s="110" t="str">
        <f>IF(H4182="","",IF($C$29="간이법","",FPR(H4182,I4182,J4182)))</f>
        <v/>
      </c>
      <c r="L4182" s="111" t="str">
        <f>IF(H4182="","",IF($C$29="상세법",FPV(H4182,K4182),IF(H4182="EI",4,IF(H4182="EO",5.2,IF(H4182="EQ",3.9,IF(H4182="ILF",7.5,IF(H4182="EIF",5.4)))))))</f>
        <v/>
      </c>
      <c r="M4182" s="112" t="str">
        <f t="shared" si="68"/>
        <v/>
      </c>
      <c r="N4182" s="113"/>
    </row>
    <row r="4183" spans="2:14">
      <c r="B4183" s="105"/>
      <c r="C4183" s="106"/>
      <c r="D4183" s="107"/>
      <c r="E4183" s="65"/>
      <c r="F4183" s="64"/>
      <c r="G4183" s="64"/>
      <c r="H4183" s="64"/>
      <c r="I4183" s="70"/>
      <c r="J4183" s="70"/>
      <c r="K4183" s="110" t="str">
        <f>IF(H4183="","",IF($C$29="간이법","",FPR(H4183,I4183,J4183)))</f>
        <v/>
      </c>
      <c r="L4183" s="111" t="str">
        <f>IF(H4183="","",IF($C$29="상세법",FPV(H4183,K4183),IF(H4183="EI",4,IF(H4183="EO",5.2,IF(H4183="EQ",3.9,IF(H4183="ILF",7.5,IF(H4183="EIF",5.4)))))))</f>
        <v/>
      </c>
      <c r="M4183" s="112" t="str">
        <f t="shared" si="68"/>
        <v/>
      </c>
      <c r="N4183" s="113"/>
    </row>
    <row r="4184" spans="2:14">
      <c r="B4184" s="105"/>
      <c r="C4184" s="106"/>
      <c r="D4184" s="107"/>
      <c r="E4184" s="65"/>
      <c r="F4184" s="64"/>
      <c r="G4184" s="64"/>
      <c r="H4184" s="64"/>
      <c r="I4184" s="70"/>
      <c r="J4184" s="70"/>
      <c r="K4184" s="110" t="str">
        <f>IF(H4184="","",IF($C$29="간이법","",FPR(H4184,I4184,J4184)))</f>
        <v/>
      </c>
      <c r="L4184" s="111" t="str">
        <f>IF(H4184="","",IF($C$29="상세법",FPV(H4184,K4184),IF(H4184="EI",4,IF(H4184="EO",5.2,IF(H4184="EQ",3.9,IF(H4184="ILF",7.5,IF(H4184="EIF",5.4)))))))</f>
        <v/>
      </c>
      <c r="M4184" s="112" t="str">
        <f t="shared" si="68"/>
        <v/>
      </c>
      <c r="N4184" s="113"/>
    </row>
    <row r="4185" spans="2:14">
      <c r="B4185" s="105"/>
      <c r="C4185" s="106"/>
      <c r="D4185" s="107"/>
      <c r="E4185" s="65"/>
      <c r="F4185" s="64"/>
      <c r="G4185" s="64"/>
      <c r="H4185" s="64"/>
      <c r="I4185" s="70"/>
      <c r="J4185" s="70"/>
      <c r="K4185" s="110" t="str">
        <f>IF(H4185="","",IF($C$29="간이법","",FPR(H4185,I4185,J4185)))</f>
        <v/>
      </c>
      <c r="L4185" s="111" t="str">
        <f>IF(H4185="","",IF($C$29="상세법",FPV(H4185,K4185),IF(H4185="EI",4,IF(H4185="EO",5.2,IF(H4185="EQ",3.9,IF(H4185="ILF",7.5,IF(H4185="EIF",5.4)))))))</f>
        <v/>
      </c>
      <c r="M4185" s="112" t="str">
        <f t="shared" si="68"/>
        <v/>
      </c>
      <c r="N4185" s="113"/>
    </row>
    <row r="4186" spans="2:14">
      <c r="B4186" s="105"/>
      <c r="C4186" s="106"/>
      <c r="D4186" s="107"/>
      <c r="E4186" s="65"/>
      <c r="F4186" s="64"/>
      <c r="G4186" s="64"/>
      <c r="H4186" s="64"/>
      <c r="I4186" s="70"/>
      <c r="J4186" s="70"/>
      <c r="K4186" s="110" t="str">
        <f>IF(H4186="","",IF($C$29="간이법","",FPR(H4186,I4186,J4186)))</f>
        <v/>
      </c>
      <c r="L4186" s="111" t="str">
        <f>IF(H4186="","",IF($C$29="상세법",FPV(H4186,K4186),IF(H4186="EI",4,IF(H4186="EO",5.2,IF(H4186="EQ",3.9,IF(H4186="ILF",7.5,IF(H4186="EIF",5.4)))))))</f>
        <v/>
      </c>
      <c r="M4186" s="112" t="str">
        <f t="shared" si="68"/>
        <v/>
      </c>
      <c r="N4186" s="113"/>
    </row>
    <row r="4187" spans="2:14">
      <c r="B4187" s="105"/>
      <c r="C4187" s="106"/>
      <c r="D4187" s="107"/>
      <c r="E4187" s="65"/>
      <c r="F4187" s="64"/>
      <c r="G4187" s="64"/>
      <c r="H4187" s="64"/>
      <c r="I4187" s="70"/>
      <c r="J4187" s="70"/>
      <c r="K4187" s="110" t="str">
        <f>IF(H4187="","",IF($C$29="간이법","",FPR(H4187,I4187,J4187)))</f>
        <v/>
      </c>
      <c r="L4187" s="111" t="str">
        <f>IF(H4187="","",IF($C$29="상세법",FPV(H4187,K4187),IF(H4187="EI",4,IF(H4187="EO",5.2,IF(H4187="EQ",3.9,IF(H4187="ILF",7.5,IF(H4187="EIF",5.4)))))))</f>
        <v/>
      </c>
      <c r="M4187" s="112" t="str">
        <f t="shared" si="68"/>
        <v/>
      </c>
      <c r="N4187" s="113"/>
    </row>
    <row r="4188" spans="2:14">
      <c r="B4188" s="105"/>
      <c r="C4188" s="106"/>
      <c r="D4188" s="107"/>
      <c r="E4188" s="65"/>
      <c r="F4188" s="64"/>
      <c r="G4188" s="64"/>
      <c r="H4188" s="64"/>
      <c r="I4188" s="70"/>
      <c r="J4188" s="70"/>
      <c r="K4188" s="110" t="str">
        <f>IF(H4188="","",IF($C$29="간이법","",FPR(H4188,I4188,J4188)))</f>
        <v/>
      </c>
      <c r="L4188" s="111" t="str">
        <f>IF(H4188="","",IF($C$29="상세법",FPV(H4188,K4188),IF(H4188="EI",4,IF(H4188="EO",5.2,IF(H4188="EQ",3.9,IF(H4188="ILF",7.5,IF(H4188="EIF",5.4)))))))</f>
        <v/>
      </c>
      <c r="M4188" s="112" t="str">
        <f t="shared" si="68"/>
        <v/>
      </c>
      <c r="N4188" s="113"/>
    </row>
    <row r="4189" spans="2:14">
      <c r="B4189" s="105"/>
      <c r="C4189" s="106"/>
      <c r="D4189" s="107"/>
      <c r="E4189" s="65"/>
      <c r="F4189" s="64"/>
      <c r="G4189" s="64"/>
      <c r="H4189" s="64"/>
      <c r="I4189" s="70"/>
      <c r="J4189" s="70"/>
      <c r="K4189" s="110" t="str">
        <f>IF(H4189="","",IF($C$29="간이법","",FPR(H4189,I4189,J4189)))</f>
        <v/>
      </c>
      <c r="L4189" s="111" t="str">
        <f>IF(H4189="","",IF($C$29="상세법",FPV(H4189,K4189),IF(H4189="EI",4,IF(H4189="EO",5.2,IF(H4189="EQ",3.9,IF(H4189="ILF",7.5,IF(H4189="EIF",5.4)))))))</f>
        <v/>
      </c>
      <c r="M4189" s="112" t="str">
        <f t="shared" si="68"/>
        <v/>
      </c>
      <c r="N4189" s="113"/>
    </row>
    <row r="4190" spans="2:14">
      <c r="B4190" s="105"/>
      <c r="C4190" s="106"/>
      <c r="D4190" s="107"/>
      <c r="E4190" s="65"/>
      <c r="F4190" s="64"/>
      <c r="G4190" s="64"/>
      <c r="H4190" s="64"/>
      <c r="I4190" s="70"/>
      <c r="J4190" s="70"/>
      <c r="K4190" s="110" t="str">
        <f>IF(H4190="","",IF($C$29="간이법","",FPR(H4190,I4190,J4190)))</f>
        <v/>
      </c>
      <c r="L4190" s="111" t="str">
        <f>IF(H4190="","",IF($C$29="상세법",FPV(H4190,K4190),IF(H4190="EI",4,IF(H4190="EO",5.2,IF(H4190="EQ",3.9,IF(H4190="ILF",7.5,IF(H4190="EIF",5.4)))))))</f>
        <v/>
      </c>
      <c r="M4190" s="112" t="str">
        <f t="shared" si="68"/>
        <v/>
      </c>
      <c r="N4190" s="113"/>
    </row>
    <row r="4191" spans="2:14">
      <c r="B4191" s="105"/>
      <c r="C4191" s="106"/>
      <c r="D4191" s="107"/>
      <c r="E4191" s="65"/>
      <c r="F4191" s="64"/>
      <c r="G4191" s="64"/>
      <c r="H4191" s="64"/>
      <c r="I4191" s="70"/>
      <c r="J4191" s="70"/>
      <c r="K4191" s="110" t="str">
        <f>IF(H4191="","",IF($C$29="간이법","",FPR(H4191,I4191,J4191)))</f>
        <v/>
      </c>
      <c r="L4191" s="111" t="str">
        <f>IF(H4191="","",IF($C$29="상세법",FPV(H4191,K4191),IF(H4191="EI",4,IF(H4191="EO",5.2,IF(H4191="EQ",3.9,IF(H4191="ILF",7.5,IF(H4191="EIF",5.4)))))))</f>
        <v/>
      </c>
      <c r="M4191" s="112" t="str">
        <f t="shared" si="68"/>
        <v/>
      </c>
      <c r="N4191" s="113"/>
    </row>
    <row r="4192" spans="2:14">
      <c r="B4192" s="105"/>
      <c r="C4192" s="106"/>
      <c r="D4192" s="107"/>
      <c r="E4192" s="65"/>
      <c r="F4192" s="64"/>
      <c r="G4192" s="64"/>
      <c r="H4192" s="64"/>
      <c r="I4192" s="70"/>
      <c r="J4192" s="70"/>
      <c r="K4192" s="110" t="str">
        <f>IF(H4192="","",IF($C$29="간이법","",FPR(H4192,I4192,J4192)))</f>
        <v/>
      </c>
      <c r="L4192" s="111" t="str">
        <f>IF(H4192="","",IF($C$29="상세법",FPV(H4192,K4192),IF(H4192="EI",4,IF(H4192="EO",5.2,IF(H4192="EQ",3.9,IF(H4192="ILF",7.5,IF(H4192="EIF",5.4)))))))</f>
        <v/>
      </c>
      <c r="M4192" s="112" t="str">
        <f t="shared" si="68"/>
        <v/>
      </c>
      <c r="N4192" s="113"/>
    </row>
    <row r="4193" spans="2:14">
      <c r="B4193" s="105"/>
      <c r="C4193" s="106"/>
      <c r="D4193" s="107"/>
      <c r="E4193" s="65"/>
      <c r="F4193" s="64"/>
      <c r="G4193" s="64"/>
      <c r="H4193" s="64"/>
      <c r="I4193" s="70"/>
      <c r="J4193" s="70"/>
      <c r="K4193" s="110" t="str">
        <f>IF(H4193="","",IF($C$29="간이법","",FPR(H4193,I4193,J4193)))</f>
        <v/>
      </c>
      <c r="L4193" s="111" t="str">
        <f>IF(H4193="","",IF($C$29="상세법",FPV(H4193,K4193),IF(H4193="EI",4,IF(H4193="EO",5.2,IF(H4193="EQ",3.9,IF(H4193="ILF",7.5,IF(H4193="EIF",5.4)))))))</f>
        <v/>
      </c>
      <c r="M4193" s="112" t="str">
        <f t="shared" si="68"/>
        <v/>
      </c>
      <c r="N4193" s="113"/>
    </row>
    <row r="4194" spans="2:14">
      <c r="B4194" s="105"/>
      <c r="C4194" s="106"/>
      <c r="D4194" s="107"/>
      <c r="E4194" s="65"/>
      <c r="F4194" s="64"/>
      <c r="G4194" s="64"/>
      <c r="H4194" s="64"/>
      <c r="I4194" s="70"/>
      <c r="J4194" s="70"/>
      <c r="K4194" s="110" t="str">
        <f>IF(H4194="","",IF($C$29="간이법","",FPR(H4194,I4194,J4194)))</f>
        <v/>
      </c>
      <c r="L4194" s="111" t="str">
        <f>IF(H4194="","",IF($C$29="상세법",FPV(H4194,K4194),IF(H4194="EI",4,IF(H4194="EO",5.2,IF(H4194="EQ",3.9,IF(H4194="ILF",7.5,IF(H4194="EIF",5.4)))))))</f>
        <v/>
      </c>
      <c r="M4194" s="112" t="str">
        <f t="shared" si="68"/>
        <v/>
      </c>
      <c r="N4194" s="113"/>
    </row>
    <row r="4195" spans="2:14">
      <c r="B4195" s="105"/>
      <c r="C4195" s="106"/>
      <c r="D4195" s="107"/>
      <c r="E4195" s="65"/>
      <c r="F4195" s="64"/>
      <c r="G4195" s="64"/>
      <c r="H4195" s="64"/>
      <c r="I4195" s="70"/>
      <c r="J4195" s="70"/>
      <c r="K4195" s="110" t="str">
        <f>IF(H4195="","",IF($C$29="간이법","",FPR(H4195,I4195,J4195)))</f>
        <v/>
      </c>
      <c r="L4195" s="111" t="str">
        <f>IF(H4195="","",IF($C$29="상세법",FPV(H4195,K4195),IF(H4195="EI",4,IF(H4195="EO",5.2,IF(H4195="EQ",3.9,IF(H4195="ILF",7.5,IF(H4195="EIF",5.4)))))))</f>
        <v/>
      </c>
      <c r="M4195" s="112" t="str">
        <f t="shared" si="68"/>
        <v/>
      </c>
      <c r="N4195" s="113"/>
    </row>
    <row r="4196" spans="2:14">
      <c r="B4196" s="105"/>
      <c r="C4196" s="106"/>
      <c r="D4196" s="107"/>
      <c r="E4196" s="65"/>
      <c r="F4196" s="64"/>
      <c r="G4196" s="64"/>
      <c r="H4196" s="64"/>
      <c r="I4196" s="70"/>
      <c r="J4196" s="70"/>
      <c r="K4196" s="110" t="str">
        <f>IF(H4196="","",IF($C$29="간이법","",FPR(H4196,I4196,J4196)))</f>
        <v/>
      </c>
      <c r="L4196" s="111" t="str">
        <f>IF(H4196="","",IF($C$29="상세법",FPV(H4196,K4196),IF(H4196="EI",4,IF(H4196="EO",5.2,IF(H4196="EQ",3.9,IF(H4196="ILF",7.5,IF(H4196="EIF",5.4)))))))</f>
        <v/>
      </c>
      <c r="M4196" s="112" t="str">
        <f t="shared" si="68"/>
        <v/>
      </c>
      <c r="N4196" s="113"/>
    </row>
    <row r="4197" spans="2:14">
      <c r="B4197" s="105"/>
      <c r="C4197" s="106"/>
      <c r="D4197" s="107"/>
      <c r="E4197" s="65"/>
      <c r="F4197" s="64"/>
      <c r="G4197" s="64"/>
      <c r="H4197" s="64"/>
      <c r="I4197" s="70"/>
      <c r="J4197" s="70"/>
      <c r="K4197" s="110" t="str">
        <f>IF(H4197="","",IF($C$29="간이법","",FPR(H4197,I4197,J4197)))</f>
        <v/>
      </c>
      <c r="L4197" s="111" t="str">
        <f>IF(H4197="","",IF($C$29="상세법",FPV(H4197,K4197),IF(H4197="EI",4,IF(H4197="EO",5.2,IF(H4197="EQ",3.9,IF(H4197="ILF",7.5,IF(H4197="EIF",5.4)))))))</f>
        <v/>
      </c>
      <c r="M4197" s="112" t="str">
        <f t="shared" si="68"/>
        <v/>
      </c>
      <c r="N4197" s="113"/>
    </row>
    <row r="4198" spans="2:14">
      <c r="B4198" s="105"/>
      <c r="C4198" s="106"/>
      <c r="D4198" s="107"/>
      <c r="E4198" s="65"/>
      <c r="F4198" s="64"/>
      <c r="G4198" s="64"/>
      <c r="H4198" s="64"/>
      <c r="I4198" s="70"/>
      <c r="J4198" s="70"/>
      <c r="K4198" s="110" t="str">
        <f>IF(H4198="","",IF($C$29="간이법","",FPR(H4198,I4198,J4198)))</f>
        <v/>
      </c>
      <c r="L4198" s="111" t="str">
        <f>IF(H4198="","",IF($C$29="상세법",FPV(H4198,K4198),IF(H4198="EI",4,IF(H4198="EO",5.2,IF(H4198="EQ",3.9,IF(H4198="ILF",7.5,IF(H4198="EIF",5.4)))))))</f>
        <v/>
      </c>
      <c r="M4198" s="112" t="str">
        <f t="shared" si="68"/>
        <v/>
      </c>
      <c r="N4198" s="113"/>
    </row>
    <row r="4199" spans="2:14">
      <c r="B4199" s="105"/>
      <c r="C4199" s="106"/>
      <c r="D4199" s="107"/>
      <c r="E4199" s="65"/>
      <c r="F4199" s="64"/>
      <c r="G4199" s="64"/>
      <c r="H4199" s="64"/>
      <c r="I4199" s="70"/>
      <c r="J4199" s="70"/>
      <c r="K4199" s="110" t="str">
        <f>IF(H4199="","",IF($C$29="간이법","",FPR(H4199,I4199,J4199)))</f>
        <v/>
      </c>
      <c r="L4199" s="111" t="str">
        <f>IF(H4199="","",IF($C$29="상세법",FPV(H4199,K4199),IF(H4199="EI",4,IF(H4199="EO",5.2,IF(H4199="EQ",3.9,IF(H4199="ILF",7.5,IF(H4199="EIF",5.4)))))))</f>
        <v/>
      </c>
      <c r="M4199" s="112" t="str">
        <f t="shared" si="68"/>
        <v/>
      </c>
      <c r="N4199" s="113"/>
    </row>
    <row r="4200" spans="2:14">
      <c r="B4200" s="105"/>
      <c r="C4200" s="106"/>
      <c r="D4200" s="107"/>
      <c r="E4200" s="65"/>
      <c r="F4200" s="64"/>
      <c r="G4200" s="64"/>
      <c r="H4200" s="64"/>
      <c r="I4200" s="70"/>
      <c r="J4200" s="70"/>
      <c r="K4200" s="110" t="str">
        <f>IF(H4200="","",IF($C$29="간이법","",FPR(H4200,I4200,J4200)))</f>
        <v/>
      </c>
      <c r="L4200" s="111" t="str">
        <f>IF(H4200="","",IF($C$29="상세법",FPV(H4200,K4200),IF(H4200="EI",4,IF(H4200="EO",5.2,IF(H4200="EQ",3.9,IF(H4200="ILF",7.5,IF(H4200="EIF",5.4)))))))</f>
        <v/>
      </c>
      <c r="M4200" s="112" t="str">
        <f t="shared" si="68"/>
        <v/>
      </c>
      <c r="N4200" s="113"/>
    </row>
    <row r="4201" spans="2:14">
      <c r="B4201" s="105"/>
      <c r="C4201" s="106"/>
      <c r="D4201" s="107"/>
      <c r="E4201" s="65"/>
      <c r="F4201" s="64"/>
      <c r="G4201" s="64"/>
      <c r="H4201" s="64"/>
      <c r="I4201" s="70"/>
      <c r="J4201" s="70"/>
      <c r="K4201" s="110" t="str">
        <f>IF(H4201="","",IF($C$29="간이법","",FPR(H4201,I4201,J4201)))</f>
        <v/>
      </c>
      <c r="L4201" s="111" t="str">
        <f>IF(H4201="","",IF($C$29="상세법",FPV(H4201,K4201),IF(H4201="EI",4,IF(H4201="EO",5.2,IF(H4201="EQ",3.9,IF(H4201="ILF",7.5,IF(H4201="EIF",5.4)))))))</f>
        <v/>
      </c>
      <c r="M4201" s="112" t="str">
        <f t="shared" si="68"/>
        <v/>
      </c>
      <c r="N4201" s="113"/>
    </row>
    <row r="4202" spans="2:14">
      <c r="B4202" s="105"/>
      <c r="C4202" s="106"/>
      <c r="D4202" s="107"/>
      <c r="E4202" s="65"/>
      <c r="F4202" s="64"/>
      <c r="G4202" s="64"/>
      <c r="H4202" s="64"/>
      <c r="I4202" s="70"/>
      <c r="J4202" s="70"/>
      <c r="K4202" s="110" t="str">
        <f>IF(H4202="","",IF($C$29="간이법","",FPR(H4202,I4202,J4202)))</f>
        <v/>
      </c>
      <c r="L4202" s="111" t="str">
        <f>IF(H4202="","",IF($C$29="상세법",FPV(H4202,K4202),IF(H4202="EI",4,IF(H4202="EO",5.2,IF(H4202="EQ",3.9,IF(H4202="ILF",7.5,IF(H4202="EIF",5.4)))))))</f>
        <v/>
      </c>
      <c r="M4202" s="112" t="str">
        <f t="shared" si="68"/>
        <v/>
      </c>
      <c r="N4202" s="113"/>
    </row>
    <row r="4203" spans="2:14">
      <c r="B4203" s="105"/>
      <c r="C4203" s="106"/>
      <c r="D4203" s="107"/>
      <c r="E4203" s="65"/>
      <c r="F4203" s="64"/>
      <c r="G4203" s="64"/>
      <c r="H4203" s="64"/>
      <c r="I4203" s="70"/>
      <c r="J4203" s="70"/>
      <c r="K4203" s="110" t="str">
        <f>IF(H4203="","",IF($C$29="간이법","",FPR(H4203,I4203,J4203)))</f>
        <v/>
      </c>
      <c r="L4203" s="111" t="str">
        <f>IF(H4203="","",IF($C$29="상세법",FPV(H4203,K4203),IF(H4203="EI",4,IF(H4203="EO",5.2,IF(H4203="EQ",3.9,IF(H4203="ILF",7.5,IF(H4203="EIF",5.4)))))))</f>
        <v/>
      </c>
      <c r="M4203" s="112" t="str">
        <f t="shared" si="68"/>
        <v/>
      </c>
      <c r="N4203" s="113"/>
    </row>
    <row r="4204" spans="2:14">
      <c r="B4204" s="105"/>
      <c r="C4204" s="106"/>
      <c r="D4204" s="107"/>
      <c r="E4204" s="65"/>
      <c r="F4204" s="64"/>
      <c r="G4204" s="64"/>
      <c r="H4204" s="64"/>
      <c r="I4204" s="70"/>
      <c r="J4204" s="70"/>
      <c r="K4204" s="110" t="str">
        <f>IF(H4204="","",IF($C$29="간이법","",FPR(H4204,I4204,J4204)))</f>
        <v/>
      </c>
      <c r="L4204" s="111" t="str">
        <f>IF(H4204="","",IF($C$29="상세법",FPV(H4204,K4204),IF(H4204="EI",4,IF(H4204="EO",5.2,IF(H4204="EQ",3.9,IF(H4204="ILF",7.5,IF(H4204="EIF",5.4)))))))</f>
        <v/>
      </c>
      <c r="M4204" s="112" t="str">
        <f t="shared" si="68"/>
        <v/>
      </c>
      <c r="N4204" s="113"/>
    </row>
    <row r="4205" spans="2:14">
      <c r="B4205" s="105"/>
      <c r="C4205" s="106"/>
      <c r="D4205" s="107"/>
      <c r="E4205" s="65"/>
      <c r="F4205" s="64"/>
      <c r="G4205" s="64"/>
      <c r="H4205" s="64"/>
      <c r="I4205" s="70"/>
      <c r="J4205" s="70"/>
      <c r="K4205" s="110" t="str">
        <f>IF(H4205="","",IF($C$29="간이법","",FPR(H4205,I4205,J4205)))</f>
        <v/>
      </c>
      <c r="L4205" s="111" t="str">
        <f>IF(H4205="","",IF($C$29="상세법",FPV(H4205,K4205),IF(H4205="EI",4,IF(H4205="EO",5.2,IF(H4205="EQ",3.9,IF(H4205="ILF",7.5,IF(H4205="EIF",5.4)))))))</f>
        <v/>
      </c>
      <c r="M4205" s="112" t="str">
        <f t="shared" si="68"/>
        <v/>
      </c>
      <c r="N4205" s="113"/>
    </row>
    <row r="4206" spans="2:14">
      <c r="B4206" s="105"/>
      <c r="C4206" s="106"/>
      <c r="D4206" s="107"/>
      <c r="E4206" s="65"/>
      <c r="F4206" s="64"/>
      <c r="G4206" s="64"/>
      <c r="H4206" s="64"/>
      <c r="I4206" s="70"/>
      <c r="J4206" s="70"/>
      <c r="K4206" s="110" t="str">
        <f>IF(H4206="","",IF($C$29="간이법","",FPR(H4206,I4206,J4206)))</f>
        <v/>
      </c>
      <c r="L4206" s="111" t="str">
        <f>IF(H4206="","",IF($C$29="상세법",FPV(H4206,K4206),IF(H4206="EI",4,IF(H4206="EO",5.2,IF(H4206="EQ",3.9,IF(H4206="ILF",7.5,IF(H4206="EIF",5.4)))))))</f>
        <v/>
      </c>
      <c r="M4206" s="112" t="str">
        <f t="shared" si="68"/>
        <v/>
      </c>
      <c r="N4206" s="113"/>
    </row>
    <row r="4207" spans="2:14">
      <c r="B4207" s="105"/>
      <c r="C4207" s="106"/>
      <c r="D4207" s="107"/>
      <c r="E4207" s="65"/>
      <c r="F4207" s="64"/>
      <c r="G4207" s="64"/>
      <c r="H4207" s="64"/>
      <c r="I4207" s="70"/>
      <c r="J4207" s="70"/>
      <c r="K4207" s="110" t="str">
        <f>IF(H4207="","",IF($C$29="간이법","",FPR(H4207,I4207,J4207)))</f>
        <v/>
      </c>
      <c r="L4207" s="111" t="str">
        <f>IF(H4207="","",IF($C$29="상세법",FPV(H4207,K4207),IF(H4207="EI",4,IF(H4207="EO",5.2,IF(H4207="EQ",3.9,IF(H4207="ILF",7.5,IF(H4207="EIF",5.4)))))))</f>
        <v/>
      </c>
      <c r="M4207" s="112" t="str">
        <f t="shared" si="68"/>
        <v/>
      </c>
      <c r="N4207" s="113"/>
    </row>
    <row r="4208" spans="2:14">
      <c r="B4208" s="105"/>
      <c r="C4208" s="106"/>
      <c r="D4208" s="107"/>
      <c r="E4208" s="65"/>
      <c r="F4208" s="64"/>
      <c r="G4208" s="64"/>
      <c r="H4208" s="64"/>
      <c r="I4208" s="70"/>
      <c r="J4208" s="70"/>
      <c r="K4208" s="110" t="str">
        <f>IF(H4208="","",IF($C$29="간이법","",FPR(H4208,I4208,J4208)))</f>
        <v/>
      </c>
      <c r="L4208" s="111" t="str">
        <f>IF(H4208="","",IF($C$29="상세법",FPV(H4208,K4208),IF(H4208="EI",4,IF(H4208="EO",5.2,IF(H4208="EQ",3.9,IF(H4208="ILF",7.5,IF(H4208="EIF",5.4)))))))</f>
        <v/>
      </c>
      <c r="M4208" s="112" t="str">
        <f t="shared" si="68"/>
        <v/>
      </c>
      <c r="N4208" s="113"/>
    </row>
    <row r="4209" spans="2:14">
      <c r="B4209" s="105"/>
      <c r="C4209" s="106"/>
      <c r="D4209" s="107"/>
      <c r="E4209" s="65"/>
      <c r="F4209" s="64"/>
      <c r="G4209" s="64"/>
      <c r="H4209" s="64"/>
      <c r="I4209" s="70"/>
      <c r="J4209" s="70"/>
      <c r="K4209" s="110" t="str">
        <f>IF(H4209="","",IF($C$29="간이법","",FPR(H4209,I4209,J4209)))</f>
        <v/>
      </c>
      <c r="L4209" s="111" t="str">
        <f>IF(H4209="","",IF($C$29="상세법",FPV(H4209,K4209),IF(H4209="EI",4,IF(H4209="EO",5.2,IF(H4209="EQ",3.9,IF(H4209="ILF",7.5,IF(H4209="EIF",5.4)))))))</f>
        <v/>
      </c>
      <c r="M4209" s="112" t="str">
        <f t="shared" si="68"/>
        <v/>
      </c>
      <c r="N4209" s="113"/>
    </row>
    <row r="4210" spans="2:14">
      <c r="B4210" s="105"/>
      <c r="C4210" s="106"/>
      <c r="D4210" s="107"/>
      <c r="E4210" s="65"/>
      <c r="F4210" s="64"/>
      <c r="G4210" s="64"/>
      <c r="H4210" s="64"/>
      <c r="I4210" s="70"/>
      <c r="J4210" s="70"/>
      <c r="K4210" s="110" t="str">
        <f>IF(H4210="","",IF($C$29="간이법","",FPR(H4210,I4210,J4210)))</f>
        <v/>
      </c>
      <c r="L4210" s="111" t="str">
        <f>IF(H4210="","",IF($C$29="상세법",FPV(H4210,K4210),IF(H4210="EI",4,IF(H4210="EO",5.2,IF(H4210="EQ",3.9,IF(H4210="ILF",7.5,IF(H4210="EIF",5.4)))))))</f>
        <v/>
      </c>
      <c r="M4210" s="112" t="str">
        <f t="shared" si="68"/>
        <v/>
      </c>
      <c r="N4210" s="113"/>
    </row>
    <row r="4211" spans="2:14">
      <c r="B4211" s="105"/>
      <c r="C4211" s="106"/>
      <c r="D4211" s="107"/>
      <c r="E4211" s="65"/>
      <c r="F4211" s="64"/>
      <c r="G4211" s="64"/>
      <c r="H4211" s="64"/>
      <c r="I4211" s="70"/>
      <c r="J4211" s="70"/>
      <c r="K4211" s="110" t="str">
        <f>IF(H4211="","",IF($C$29="간이법","",FPR(H4211,I4211,J4211)))</f>
        <v/>
      </c>
      <c r="L4211" s="111" t="str">
        <f>IF(H4211="","",IF($C$29="상세법",FPV(H4211,K4211),IF(H4211="EI",4,IF(H4211="EO",5.2,IF(H4211="EQ",3.9,IF(H4211="ILF",7.5,IF(H4211="EIF",5.4)))))))</f>
        <v/>
      </c>
      <c r="M4211" s="112" t="str">
        <f t="shared" si="68"/>
        <v/>
      </c>
      <c r="N4211" s="113"/>
    </row>
    <row r="4212" spans="2:14">
      <c r="B4212" s="105"/>
      <c r="C4212" s="106"/>
      <c r="D4212" s="107"/>
      <c r="E4212" s="65"/>
      <c r="F4212" s="64"/>
      <c r="G4212" s="64"/>
      <c r="H4212" s="64"/>
      <c r="I4212" s="70"/>
      <c r="J4212" s="70"/>
      <c r="K4212" s="110" t="str">
        <f>IF(H4212="","",IF($C$29="간이법","",FPR(H4212,I4212,J4212)))</f>
        <v/>
      </c>
      <c r="L4212" s="111" t="str">
        <f>IF(H4212="","",IF($C$29="상세법",FPV(H4212,K4212),IF(H4212="EI",4,IF(H4212="EO",5.2,IF(H4212="EQ",3.9,IF(H4212="ILF",7.5,IF(H4212="EIF",5.4)))))))</f>
        <v/>
      </c>
      <c r="M4212" s="112" t="str">
        <f t="shared" si="68"/>
        <v/>
      </c>
      <c r="N4212" s="113"/>
    </row>
    <row r="4213" spans="2:14">
      <c r="B4213" s="105"/>
      <c r="C4213" s="106"/>
      <c r="D4213" s="107"/>
      <c r="E4213" s="65"/>
      <c r="F4213" s="64"/>
      <c r="G4213" s="64"/>
      <c r="H4213" s="64"/>
      <c r="I4213" s="70"/>
      <c r="J4213" s="70"/>
      <c r="K4213" s="110" t="str">
        <f>IF(H4213="","",IF($C$29="간이법","",FPR(H4213,I4213,J4213)))</f>
        <v/>
      </c>
      <c r="L4213" s="111" t="str">
        <f>IF(H4213="","",IF($C$29="상세법",FPV(H4213,K4213),IF(H4213="EI",4,IF(H4213="EO",5.2,IF(H4213="EQ",3.9,IF(H4213="ILF",7.5,IF(H4213="EIF",5.4)))))))</f>
        <v/>
      </c>
      <c r="M4213" s="112" t="str">
        <f t="shared" si="68"/>
        <v/>
      </c>
      <c r="N4213" s="113"/>
    </row>
    <row r="4214" spans="2:14">
      <c r="B4214" s="105"/>
      <c r="C4214" s="106"/>
      <c r="D4214" s="107"/>
      <c r="E4214" s="65"/>
      <c r="F4214" s="64"/>
      <c r="G4214" s="64"/>
      <c r="H4214" s="64"/>
      <c r="I4214" s="70"/>
      <c r="J4214" s="70"/>
      <c r="K4214" s="110" t="str">
        <f>IF(H4214="","",IF($C$29="간이법","",FPR(H4214,I4214,J4214)))</f>
        <v/>
      </c>
      <c r="L4214" s="111" t="str">
        <f>IF(H4214="","",IF($C$29="상세법",FPV(H4214,K4214),IF(H4214="EI",4,IF(H4214="EO",5.2,IF(H4214="EQ",3.9,IF(H4214="ILF",7.5,IF(H4214="EIF",5.4)))))))</f>
        <v/>
      </c>
      <c r="M4214" s="112" t="str">
        <f t="shared" si="68"/>
        <v/>
      </c>
      <c r="N4214" s="113"/>
    </row>
    <row r="4215" spans="2:14">
      <c r="B4215" s="105"/>
      <c r="C4215" s="106"/>
      <c r="D4215" s="107"/>
      <c r="E4215" s="65"/>
      <c r="F4215" s="64"/>
      <c r="G4215" s="64"/>
      <c r="H4215" s="64"/>
      <c r="I4215" s="70"/>
      <c r="J4215" s="70"/>
      <c r="K4215" s="110" t="str">
        <f>IF(H4215="","",IF($C$29="간이법","",FPR(H4215,I4215,J4215)))</f>
        <v/>
      </c>
      <c r="L4215" s="111" t="str">
        <f>IF(H4215="","",IF($C$29="상세법",FPV(H4215,K4215),IF(H4215="EI",4,IF(H4215="EO",5.2,IF(H4215="EQ",3.9,IF(H4215="ILF",7.5,IF(H4215="EIF",5.4)))))))</f>
        <v/>
      </c>
      <c r="M4215" s="112" t="str">
        <f t="shared" si="68"/>
        <v/>
      </c>
      <c r="N4215" s="113"/>
    </row>
    <row r="4216" spans="2:14">
      <c r="B4216" s="105"/>
      <c r="C4216" s="106"/>
      <c r="D4216" s="107"/>
      <c r="E4216" s="65"/>
      <c r="F4216" s="64"/>
      <c r="G4216" s="64"/>
      <c r="H4216" s="64"/>
      <c r="I4216" s="70"/>
      <c r="J4216" s="70"/>
      <c r="K4216" s="110" t="str">
        <f>IF(H4216="","",IF($C$29="간이법","",FPR(H4216,I4216,J4216)))</f>
        <v/>
      </c>
      <c r="L4216" s="111" t="str">
        <f>IF(H4216="","",IF($C$29="상세법",FPV(H4216,K4216),IF(H4216="EI",4,IF(H4216="EO",5.2,IF(H4216="EQ",3.9,IF(H4216="ILF",7.5,IF(H4216="EIF",5.4)))))))</f>
        <v/>
      </c>
      <c r="M4216" s="112" t="str">
        <f t="shared" si="68"/>
        <v/>
      </c>
      <c r="N4216" s="113"/>
    </row>
    <row r="4217" spans="2:14">
      <c r="B4217" s="105"/>
      <c r="C4217" s="106"/>
      <c r="D4217" s="107"/>
      <c r="E4217" s="65"/>
      <c r="F4217" s="64"/>
      <c r="G4217" s="64"/>
      <c r="H4217" s="64"/>
      <c r="I4217" s="70"/>
      <c r="J4217" s="70"/>
      <c r="K4217" s="110" t="str">
        <f>IF(H4217="","",IF($C$29="간이법","",FPR(H4217,I4217,J4217)))</f>
        <v/>
      </c>
      <c r="L4217" s="111" t="str">
        <f>IF(H4217="","",IF($C$29="상세법",FPV(H4217,K4217),IF(H4217="EI",4,IF(H4217="EO",5.2,IF(H4217="EQ",3.9,IF(H4217="ILF",7.5,IF(H4217="EIF",5.4)))))))</f>
        <v/>
      </c>
      <c r="M4217" s="112" t="str">
        <f t="shared" ref="M4217:M4280" si="69">IF(L4217="","",L4217*IF(G4217="상",0.7,IF(G4217="중",0.5,IF(G4217="하",0.2,1))))</f>
        <v/>
      </c>
      <c r="N4217" s="113"/>
    </row>
    <row r="4218" spans="2:14">
      <c r="B4218" s="105"/>
      <c r="C4218" s="106"/>
      <c r="D4218" s="107"/>
      <c r="E4218" s="65"/>
      <c r="F4218" s="64"/>
      <c r="G4218" s="64"/>
      <c r="H4218" s="64"/>
      <c r="I4218" s="70"/>
      <c r="J4218" s="70"/>
      <c r="K4218" s="110" t="str">
        <f>IF(H4218="","",IF($C$29="간이법","",FPR(H4218,I4218,J4218)))</f>
        <v/>
      </c>
      <c r="L4218" s="111" t="str">
        <f>IF(H4218="","",IF($C$29="상세법",FPV(H4218,K4218),IF(H4218="EI",4,IF(H4218="EO",5.2,IF(H4218="EQ",3.9,IF(H4218="ILF",7.5,IF(H4218="EIF",5.4)))))))</f>
        <v/>
      </c>
      <c r="M4218" s="112" t="str">
        <f t="shared" si="69"/>
        <v/>
      </c>
      <c r="N4218" s="113"/>
    </row>
    <row r="4219" spans="2:14">
      <c r="B4219" s="105"/>
      <c r="C4219" s="106"/>
      <c r="D4219" s="107"/>
      <c r="E4219" s="65"/>
      <c r="F4219" s="64"/>
      <c r="G4219" s="64"/>
      <c r="H4219" s="64"/>
      <c r="I4219" s="70"/>
      <c r="J4219" s="70"/>
      <c r="K4219" s="110" t="str">
        <f>IF(H4219="","",IF($C$29="간이법","",FPR(H4219,I4219,J4219)))</f>
        <v/>
      </c>
      <c r="L4219" s="111" t="str">
        <f>IF(H4219="","",IF($C$29="상세법",FPV(H4219,K4219),IF(H4219="EI",4,IF(H4219="EO",5.2,IF(H4219="EQ",3.9,IF(H4219="ILF",7.5,IF(H4219="EIF",5.4)))))))</f>
        <v/>
      </c>
      <c r="M4219" s="112" t="str">
        <f t="shared" si="69"/>
        <v/>
      </c>
      <c r="N4219" s="113"/>
    </row>
    <row r="4220" spans="2:14">
      <c r="B4220" s="105"/>
      <c r="C4220" s="106"/>
      <c r="D4220" s="107"/>
      <c r="E4220" s="65"/>
      <c r="F4220" s="64"/>
      <c r="G4220" s="64"/>
      <c r="H4220" s="64"/>
      <c r="I4220" s="70"/>
      <c r="J4220" s="70"/>
      <c r="K4220" s="110" t="str">
        <f>IF(H4220="","",IF($C$29="간이법","",FPR(H4220,I4220,J4220)))</f>
        <v/>
      </c>
      <c r="L4220" s="111" t="str">
        <f>IF(H4220="","",IF($C$29="상세법",FPV(H4220,K4220),IF(H4220="EI",4,IF(H4220="EO",5.2,IF(H4220="EQ",3.9,IF(H4220="ILF",7.5,IF(H4220="EIF",5.4)))))))</f>
        <v/>
      </c>
      <c r="M4220" s="112" t="str">
        <f t="shared" si="69"/>
        <v/>
      </c>
      <c r="N4220" s="113"/>
    </row>
    <row r="4221" spans="2:14">
      <c r="B4221" s="105"/>
      <c r="C4221" s="106"/>
      <c r="D4221" s="107"/>
      <c r="E4221" s="65"/>
      <c r="F4221" s="64"/>
      <c r="G4221" s="64"/>
      <c r="H4221" s="64"/>
      <c r="I4221" s="70"/>
      <c r="J4221" s="70"/>
      <c r="K4221" s="110" t="str">
        <f>IF(H4221="","",IF($C$29="간이법","",FPR(H4221,I4221,J4221)))</f>
        <v/>
      </c>
      <c r="L4221" s="111" t="str">
        <f>IF(H4221="","",IF($C$29="상세법",FPV(H4221,K4221),IF(H4221="EI",4,IF(H4221="EO",5.2,IF(H4221="EQ",3.9,IF(H4221="ILF",7.5,IF(H4221="EIF",5.4)))))))</f>
        <v/>
      </c>
      <c r="M4221" s="112" t="str">
        <f t="shared" si="69"/>
        <v/>
      </c>
      <c r="N4221" s="113"/>
    </row>
    <row r="4222" spans="2:14">
      <c r="B4222" s="105"/>
      <c r="C4222" s="106"/>
      <c r="D4222" s="107"/>
      <c r="E4222" s="65"/>
      <c r="F4222" s="64"/>
      <c r="G4222" s="64"/>
      <c r="H4222" s="64"/>
      <c r="I4222" s="70"/>
      <c r="J4222" s="70"/>
      <c r="K4222" s="110" t="str">
        <f>IF(H4222="","",IF($C$29="간이법","",FPR(H4222,I4222,J4222)))</f>
        <v/>
      </c>
      <c r="L4222" s="111" t="str">
        <f>IF(H4222="","",IF($C$29="상세법",FPV(H4222,K4222),IF(H4222="EI",4,IF(H4222="EO",5.2,IF(H4222="EQ",3.9,IF(H4222="ILF",7.5,IF(H4222="EIF",5.4)))))))</f>
        <v/>
      </c>
      <c r="M4222" s="112" t="str">
        <f t="shared" si="69"/>
        <v/>
      </c>
      <c r="N4222" s="113"/>
    </row>
    <row r="4223" spans="2:14">
      <c r="B4223" s="105"/>
      <c r="C4223" s="106"/>
      <c r="D4223" s="107"/>
      <c r="E4223" s="65"/>
      <c r="F4223" s="64"/>
      <c r="G4223" s="64"/>
      <c r="H4223" s="64"/>
      <c r="I4223" s="70"/>
      <c r="J4223" s="70"/>
      <c r="K4223" s="110" t="str">
        <f>IF(H4223="","",IF($C$29="간이법","",FPR(H4223,I4223,J4223)))</f>
        <v/>
      </c>
      <c r="L4223" s="111" t="str">
        <f>IF(H4223="","",IF($C$29="상세법",FPV(H4223,K4223),IF(H4223="EI",4,IF(H4223="EO",5.2,IF(H4223="EQ",3.9,IF(H4223="ILF",7.5,IF(H4223="EIF",5.4)))))))</f>
        <v/>
      </c>
      <c r="M4223" s="112" t="str">
        <f t="shared" si="69"/>
        <v/>
      </c>
      <c r="N4223" s="113"/>
    </row>
    <row r="4224" spans="2:14">
      <c r="B4224" s="105"/>
      <c r="C4224" s="106"/>
      <c r="D4224" s="107"/>
      <c r="E4224" s="65"/>
      <c r="F4224" s="64"/>
      <c r="G4224" s="64"/>
      <c r="H4224" s="64"/>
      <c r="I4224" s="70"/>
      <c r="J4224" s="70"/>
      <c r="K4224" s="110" t="str">
        <f>IF(H4224="","",IF($C$29="간이법","",FPR(H4224,I4224,J4224)))</f>
        <v/>
      </c>
      <c r="L4224" s="111" t="str">
        <f>IF(H4224="","",IF($C$29="상세법",FPV(H4224,K4224),IF(H4224="EI",4,IF(H4224="EO",5.2,IF(H4224="EQ",3.9,IF(H4224="ILF",7.5,IF(H4224="EIF",5.4)))))))</f>
        <v/>
      </c>
      <c r="M4224" s="112" t="str">
        <f t="shared" si="69"/>
        <v/>
      </c>
      <c r="N4224" s="113"/>
    </row>
    <row r="4225" spans="2:14">
      <c r="B4225" s="105"/>
      <c r="C4225" s="106"/>
      <c r="D4225" s="107"/>
      <c r="E4225" s="65"/>
      <c r="F4225" s="64"/>
      <c r="G4225" s="64"/>
      <c r="H4225" s="64"/>
      <c r="I4225" s="70"/>
      <c r="J4225" s="70"/>
      <c r="K4225" s="110" t="str">
        <f>IF(H4225="","",IF($C$29="간이법","",FPR(H4225,I4225,J4225)))</f>
        <v/>
      </c>
      <c r="L4225" s="111" t="str">
        <f>IF(H4225="","",IF($C$29="상세법",FPV(H4225,K4225),IF(H4225="EI",4,IF(H4225="EO",5.2,IF(H4225="EQ",3.9,IF(H4225="ILF",7.5,IF(H4225="EIF",5.4)))))))</f>
        <v/>
      </c>
      <c r="M4225" s="112" t="str">
        <f t="shared" si="69"/>
        <v/>
      </c>
      <c r="N4225" s="113"/>
    </row>
    <row r="4226" spans="2:14">
      <c r="B4226" s="105"/>
      <c r="C4226" s="106"/>
      <c r="D4226" s="107"/>
      <c r="E4226" s="65"/>
      <c r="F4226" s="64"/>
      <c r="G4226" s="64"/>
      <c r="H4226" s="64"/>
      <c r="I4226" s="70"/>
      <c r="J4226" s="70"/>
      <c r="K4226" s="110" t="str">
        <f>IF(H4226="","",IF($C$29="간이법","",FPR(H4226,I4226,J4226)))</f>
        <v/>
      </c>
      <c r="L4226" s="111" t="str">
        <f>IF(H4226="","",IF($C$29="상세법",FPV(H4226,K4226),IF(H4226="EI",4,IF(H4226="EO",5.2,IF(H4226="EQ",3.9,IF(H4226="ILF",7.5,IF(H4226="EIF",5.4)))))))</f>
        <v/>
      </c>
      <c r="M4226" s="112" t="str">
        <f t="shared" si="69"/>
        <v/>
      </c>
      <c r="N4226" s="113"/>
    </row>
    <row r="4227" spans="2:14">
      <c r="B4227" s="105"/>
      <c r="C4227" s="106"/>
      <c r="D4227" s="107"/>
      <c r="E4227" s="65"/>
      <c r="F4227" s="64"/>
      <c r="G4227" s="64"/>
      <c r="H4227" s="64"/>
      <c r="I4227" s="70"/>
      <c r="J4227" s="70"/>
      <c r="K4227" s="110" t="str">
        <f>IF(H4227="","",IF($C$29="간이법","",FPR(H4227,I4227,J4227)))</f>
        <v/>
      </c>
      <c r="L4227" s="111" t="str">
        <f>IF(H4227="","",IF($C$29="상세법",FPV(H4227,K4227),IF(H4227="EI",4,IF(H4227="EO",5.2,IF(H4227="EQ",3.9,IF(H4227="ILF",7.5,IF(H4227="EIF",5.4)))))))</f>
        <v/>
      </c>
      <c r="M4227" s="112" t="str">
        <f t="shared" si="69"/>
        <v/>
      </c>
      <c r="N4227" s="113"/>
    </row>
    <row r="4228" spans="2:14">
      <c r="B4228" s="105"/>
      <c r="C4228" s="106"/>
      <c r="D4228" s="107"/>
      <c r="E4228" s="65"/>
      <c r="F4228" s="64"/>
      <c r="G4228" s="64"/>
      <c r="H4228" s="64"/>
      <c r="I4228" s="70"/>
      <c r="J4228" s="70"/>
      <c r="K4228" s="110" t="str">
        <f>IF(H4228="","",IF($C$29="간이법","",FPR(H4228,I4228,J4228)))</f>
        <v/>
      </c>
      <c r="L4228" s="111" t="str">
        <f>IF(H4228="","",IF($C$29="상세법",FPV(H4228,K4228),IF(H4228="EI",4,IF(H4228="EO",5.2,IF(H4228="EQ",3.9,IF(H4228="ILF",7.5,IF(H4228="EIF",5.4)))))))</f>
        <v/>
      </c>
      <c r="M4228" s="112" t="str">
        <f t="shared" si="69"/>
        <v/>
      </c>
      <c r="N4228" s="113"/>
    </row>
    <row r="4229" spans="2:14">
      <c r="B4229" s="105"/>
      <c r="C4229" s="106"/>
      <c r="D4229" s="107"/>
      <c r="E4229" s="65"/>
      <c r="F4229" s="64"/>
      <c r="G4229" s="64"/>
      <c r="H4229" s="64"/>
      <c r="I4229" s="70"/>
      <c r="J4229" s="70"/>
      <c r="K4229" s="110" t="str">
        <f>IF(H4229="","",IF($C$29="간이법","",FPR(H4229,I4229,J4229)))</f>
        <v/>
      </c>
      <c r="L4229" s="111" t="str">
        <f>IF(H4229="","",IF($C$29="상세법",FPV(H4229,K4229),IF(H4229="EI",4,IF(H4229="EO",5.2,IF(H4229="EQ",3.9,IF(H4229="ILF",7.5,IF(H4229="EIF",5.4)))))))</f>
        <v/>
      </c>
      <c r="M4229" s="112" t="str">
        <f t="shared" si="69"/>
        <v/>
      </c>
      <c r="N4229" s="113"/>
    </row>
    <row r="4230" spans="2:14">
      <c r="B4230" s="105"/>
      <c r="C4230" s="106"/>
      <c r="D4230" s="107"/>
      <c r="E4230" s="65"/>
      <c r="F4230" s="64"/>
      <c r="G4230" s="64"/>
      <c r="H4230" s="64"/>
      <c r="I4230" s="70"/>
      <c r="J4230" s="70"/>
      <c r="K4230" s="110" t="str">
        <f>IF(H4230="","",IF($C$29="간이법","",FPR(H4230,I4230,J4230)))</f>
        <v/>
      </c>
      <c r="L4230" s="111" t="str">
        <f>IF(H4230="","",IF($C$29="상세법",FPV(H4230,K4230),IF(H4230="EI",4,IF(H4230="EO",5.2,IF(H4230="EQ",3.9,IF(H4230="ILF",7.5,IF(H4230="EIF",5.4)))))))</f>
        <v/>
      </c>
      <c r="M4230" s="112" t="str">
        <f t="shared" si="69"/>
        <v/>
      </c>
      <c r="N4230" s="113"/>
    </row>
    <row r="4231" spans="2:14">
      <c r="B4231" s="105"/>
      <c r="C4231" s="106"/>
      <c r="D4231" s="107"/>
      <c r="E4231" s="65"/>
      <c r="F4231" s="64"/>
      <c r="G4231" s="64"/>
      <c r="H4231" s="64"/>
      <c r="I4231" s="70"/>
      <c r="J4231" s="70"/>
      <c r="K4231" s="110" t="str">
        <f>IF(H4231="","",IF($C$29="간이법","",FPR(H4231,I4231,J4231)))</f>
        <v/>
      </c>
      <c r="L4231" s="111" t="str">
        <f>IF(H4231="","",IF($C$29="상세법",FPV(H4231,K4231),IF(H4231="EI",4,IF(H4231="EO",5.2,IF(H4231="EQ",3.9,IF(H4231="ILF",7.5,IF(H4231="EIF",5.4)))))))</f>
        <v/>
      </c>
      <c r="M4231" s="112" t="str">
        <f t="shared" si="69"/>
        <v/>
      </c>
      <c r="N4231" s="113"/>
    </row>
    <row r="4232" spans="2:14">
      <c r="B4232" s="105"/>
      <c r="C4232" s="106"/>
      <c r="D4232" s="107"/>
      <c r="E4232" s="65"/>
      <c r="F4232" s="64"/>
      <c r="G4232" s="64"/>
      <c r="H4232" s="64"/>
      <c r="I4232" s="70"/>
      <c r="J4232" s="70"/>
      <c r="K4232" s="110" t="str">
        <f>IF(H4232="","",IF($C$29="간이법","",FPR(H4232,I4232,J4232)))</f>
        <v/>
      </c>
      <c r="L4232" s="111" t="str">
        <f>IF(H4232="","",IF($C$29="상세법",FPV(H4232,K4232),IF(H4232="EI",4,IF(H4232="EO",5.2,IF(H4232="EQ",3.9,IF(H4232="ILF",7.5,IF(H4232="EIF",5.4)))))))</f>
        <v/>
      </c>
      <c r="M4232" s="112" t="str">
        <f t="shared" si="69"/>
        <v/>
      </c>
      <c r="N4232" s="113"/>
    </row>
    <row r="4233" spans="2:14">
      <c r="B4233" s="105"/>
      <c r="C4233" s="106"/>
      <c r="D4233" s="107"/>
      <c r="E4233" s="65"/>
      <c r="F4233" s="64"/>
      <c r="G4233" s="64"/>
      <c r="H4233" s="64"/>
      <c r="I4233" s="70"/>
      <c r="J4233" s="70"/>
      <c r="K4233" s="110" t="str">
        <f>IF(H4233="","",IF($C$29="간이법","",FPR(H4233,I4233,J4233)))</f>
        <v/>
      </c>
      <c r="L4233" s="111" t="str">
        <f>IF(H4233="","",IF($C$29="상세법",FPV(H4233,K4233),IF(H4233="EI",4,IF(H4233="EO",5.2,IF(H4233="EQ",3.9,IF(H4233="ILF",7.5,IF(H4233="EIF",5.4)))))))</f>
        <v/>
      </c>
      <c r="M4233" s="112" t="str">
        <f t="shared" si="69"/>
        <v/>
      </c>
      <c r="N4233" s="113"/>
    </row>
    <row r="4234" spans="2:14">
      <c r="B4234" s="105"/>
      <c r="C4234" s="106"/>
      <c r="D4234" s="107"/>
      <c r="E4234" s="65"/>
      <c r="F4234" s="64"/>
      <c r="G4234" s="64"/>
      <c r="H4234" s="64"/>
      <c r="I4234" s="70"/>
      <c r="J4234" s="70"/>
      <c r="K4234" s="110" t="str">
        <f>IF(H4234="","",IF($C$29="간이법","",FPR(H4234,I4234,J4234)))</f>
        <v/>
      </c>
      <c r="L4234" s="111" t="str">
        <f>IF(H4234="","",IF($C$29="상세법",FPV(H4234,K4234),IF(H4234="EI",4,IF(H4234="EO",5.2,IF(H4234="EQ",3.9,IF(H4234="ILF",7.5,IF(H4234="EIF",5.4)))))))</f>
        <v/>
      </c>
      <c r="M4234" s="112" t="str">
        <f t="shared" si="69"/>
        <v/>
      </c>
      <c r="N4234" s="113"/>
    </row>
    <row r="4235" spans="2:14">
      <c r="B4235" s="105"/>
      <c r="C4235" s="106"/>
      <c r="D4235" s="107"/>
      <c r="E4235" s="65"/>
      <c r="F4235" s="64"/>
      <c r="G4235" s="64"/>
      <c r="H4235" s="64"/>
      <c r="I4235" s="70"/>
      <c r="J4235" s="70"/>
      <c r="K4235" s="110" t="str">
        <f>IF(H4235="","",IF($C$29="간이법","",FPR(H4235,I4235,J4235)))</f>
        <v/>
      </c>
      <c r="L4235" s="111" t="str">
        <f>IF(H4235="","",IF($C$29="상세법",FPV(H4235,K4235),IF(H4235="EI",4,IF(H4235="EO",5.2,IF(H4235="EQ",3.9,IF(H4235="ILF",7.5,IF(H4235="EIF",5.4)))))))</f>
        <v/>
      </c>
      <c r="M4235" s="112" t="str">
        <f t="shared" si="69"/>
        <v/>
      </c>
      <c r="N4235" s="113"/>
    </row>
    <row r="4236" spans="2:14">
      <c r="B4236" s="105"/>
      <c r="C4236" s="106"/>
      <c r="D4236" s="107"/>
      <c r="E4236" s="65"/>
      <c r="F4236" s="64"/>
      <c r="G4236" s="64"/>
      <c r="H4236" s="64"/>
      <c r="I4236" s="70"/>
      <c r="J4236" s="70"/>
      <c r="K4236" s="110" t="str">
        <f>IF(H4236="","",IF($C$29="간이법","",FPR(H4236,I4236,J4236)))</f>
        <v/>
      </c>
      <c r="L4236" s="111" t="str">
        <f>IF(H4236="","",IF($C$29="상세법",FPV(H4236,K4236),IF(H4236="EI",4,IF(H4236="EO",5.2,IF(H4236="EQ",3.9,IF(H4236="ILF",7.5,IF(H4236="EIF",5.4)))))))</f>
        <v/>
      </c>
      <c r="M4236" s="112" t="str">
        <f t="shared" si="69"/>
        <v/>
      </c>
      <c r="N4236" s="113"/>
    </row>
    <row r="4237" spans="2:14">
      <c r="B4237" s="105"/>
      <c r="C4237" s="106"/>
      <c r="D4237" s="107"/>
      <c r="E4237" s="65"/>
      <c r="F4237" s="64"/>
      <c r="G4237" s="64"/>
      <c r="H4237" s="64"/>
      <c r="I4237" s="70"/>
      <c r="J4237" s="70"/>
      <c r="K4237" s="110" t="str">
        <f>IF(H4237="","",IF($C$29="간이법","",FPR(H4237,I4237,J4237)))</f>
        <v/>
      </c>
      <c r="L4237" s="111" t="str">
        <f>IF(H4237="","",IF($C$29="상세법",FPV(H4237,K4237),IF(H4237="EI",4,IF(H4237="EO",5.2,IF(H4237="EQ",3.9,IF(H4237="ILF",7.5,IF(H4237="EIF",5.4)))))))</f>
        <v/>
      </c>
      <c r="M4237" s="112" t="str">
        <f t="shared" si="69"/>
        <v/>
      </c>
      <c r="N4237" s="113"/>
    </row>
    <row r="4238" spans="2:14">
      <c r="B4238" s="105"/>
      <c r="C4238" s="106"/>
      <c r="D4238" s="107"/>
      <c r="E4238" s="65"/>
      <c r="F4238" s="64"/>
      <c r="G4238" s="64"/>
      <c r="H4238" s="64"/>
      <c r="I4238" s="70"/>
      <c r="J4238" s="70"/>
      <c r="K4238" s="110" t="str">
        <f>IF(H4238="","",IF($C$29="간이법","",FPR(H4238,I4238,J4238)))</f>
        <v/>
      </c>
      <c r="L4238" s="111" t="str">
        <f>IF(H4238="","",IF($C$29="상세법",FPV(H4238,K4238),IF(H4238="EI",4,IF(H4238="EO",5.2,IF(H4238="EQ",3.9,IF(H4238="ILF",7.5,IF(H4238="EIF",5.4)))))))</f>
        <v/>
      </c>
      <c r="M4238" s="112" t="str">
        <f t="shared" si="69"/>
        <v/>
      </c>
      <c r="N4238" s="113"/>
    </row>
    <row r="4239" spans="2:14">
      <c r="B4239" s="105"/>
      <c r="C4239" s="106"/>
      <c r="D4239" s="107"/>
      <c r="E4239" s="65"/>
      <c r="F4239" s="64"/>
      <c r="G4239" s="64"/>
      <c r="H4239" s="64"/>
      <c r="I4239" s="70"/>
      <c r="J4239" s="70"/>
      <c r="K4239" s="110" t="str">
        <f>IF(H4239="","",IF($C$29="간이법","",FPR(H4239,I4239,J4239)))</f>
        <v/>
      </c>
      <c r="L4239" s="111" t="str">
        <f>IF(H4239="","",IF($C$29="상세법",FPV(H4239,K4239),IF(H4239="EI",4,IF(H4239="EO",5.2,IF(H4239="EQ",3.9,IF(H4239="ILF",7.5,IF(H4239="EIF",5.4)))))))</f>
        <v/>
      </c>
      <c r="M4239" s="112" t="str">
        <f t="shared" si="69"/>
        <v/>
      </c>
      <c r="N4239" s="113"/>
    </row>
    <row r="4240" spans="2:14">
      <c r="B4240" s="105"/>
      <c r="C4240" s="106"/>
      <c r="D4240" s="107"/>
      <c r="E4240" s="65"/>
      <c r="F4240" s="64"/>
      <c r="G4240" s="64"/>
      <c r="H4240" s="64"/>
      <c r="I4240" s="70"/>
      <c r="J4240" s="70"/>
      <c r="K4240" s="110" t="str">
        <f>IF(H4240="","",IF($C$29="간이법","",FPR(H4240,I4240,J4240)))</f>
        <v/>
      </c>
      <c r="L4240" s="111" t="str">
        <f>IF(H4240="","",IF($C$29="상세법",FPV(H4240,K4240),IF(H4240="EI",4,IF(H4240="EO",5.2,IF(H4240="EQ",3.9,IF(H4240="ILF",7.5,IF(H4240="EIF",5.4)))))))</f>
        <v/>
      </c>
      <c r="M4240" s="112" t="str">
        <f t="shared" si="69"/>
        <v/>
      </c>
      <c r="N4240" s="113"/>
    </row>
    <row r="4241" spans="2:14">
      <c r="B4241" s="105"/>
      <c r="C4241" s="106"/>
      <c r="D4241" s="107"/>
      <c r="E4241" s="65"/>
      <c r="F4241" s="64"/>
      <c r="G4241" s="64"/>
      <c r="H4241" s="64"/>
      <c r="I4241" s="70"/>
      <c r="J4241" s="70"/>
      <c r="K4241" s="110" t="str">
        <f>IF(H4241="","",IF($C$29="간이법","",FPR(H4241,I4241,J4241)))</f>
        <v/>
      </c>
      <c r="L4241" s="111" t="str">
        <f>IF(H4241="","",IF($C$29="상세법",FPV(H4241,K4241),IF(H4241="EI",4,IF(H4241="EO",5.2,IF(H4241="EQ",3.9,IF(H4241="ILF",7.5,IF(H4241="EIF",5.4)))))))</f>
        <v/>
      </c>
      <c r="M4241" s="112" t="str">
        <f t="shared" si="69"/>
        <v/>
      </c>
      <c r="N4241" s="113"/>
    </row>
    <row r="4242" spans="2:14">
      <c r="B4242" s="105"/>
      <c r="C4242" s="106"/>
      <c r="D4242" s="107"/>
      <c r="E4242" s="65"/>
      <c r="F4242" s="64"/>
      <c r="G4242" s="64"/>
      <c r="H4242" s="64"/>
      <c r="I4242" s="70"/>
      <c r="J4242" s="70"/>
      <c r="K4242" s="110" t="str">
        <f>IF(H4242="","",IF($C$29="간이법","",FPR(H4242,I4242,J4242)))</f>
        <v/>
      </c>
      <c r="L4242" s="111" t="str">
        <f>IF(H4242="","",IF($C$29="상세법",FPV(H4242,K4242),IF(H4242="EI",4,IF(H4242="EO",5.2,IF(H4242="EQ",3.9,IF(H4242="ILF",7.5,IF(H4242="EIF",5.4)))))))</f>
        <v/>
      </c>
      <c r="M4242" s="112" t="str">
        <f t="shared" si="69"/>
        <v/>
      </c>
      <c r="N4242" s="113"/>
    </row>
    <row r="4243" spans="2:14">
      <c r="B4243" s="105"/>
      <c r="C4243" s="106"/>
      <c r="D4243" s="107"/>
      <c r="E4243" s="65"/>
      <c r="F4243" s="64"/>
      <c r="G4243" s="64"/>
      <c r="H4243" s="64"/>
      <c r="I4243" s="70"/>
      <c r="J4243" s="70"/>
      <c r="K4243" s="110" t="str">
        <f>IF(H4243="","",IF($C$29="간이법","",FPR(H4243,I4243,J4243)))</f>
        <v/>
      </c>
      <c r="L4243" s="111" t="str">
        <f>IF(H4243="","",IF($C$29="상세법",FPV(H4243,K4243),IF(H4243="EI",4,IF(H4243="EO",5.2,IF(H4243="EQ",3.9,IF(H4243="ILF",7.5,IF(H4243="EIF",5.4)))))))</f>
        <v/>
      </c>
      <c r="M4243" s="112" t="str">
        <f t="shared" si="69"/>
        <v/>
      </c>
      <c r="N4243" s="113"/>
    </row>
    <row r="4244" spans="2:14">
      <c r="B4244" s="105"/>
      <c r="C4244" s="106"/>
      <c r="D4244" s="107"/>
      <c r="E4244" s="65"/>
      <c r="F4244" s="64"/>
      <c r="G4244" s="64"/>
      <c r="H4244" s="64"/>
      <c r="I4244" s="70"/>
      <c r="J4244" s="70"/>
      <c r="K4244" s="110" t="str">
        <f>IF(H4244="","",IF($C$29="간이법","",FPR(H4244,I4244,J4244)))</f>
        <v/>
      </c>
      <c r="L4244" s="111" t="str">
        <f>IF(H4244="","",IF($C$29="상세법",FPV(H4244,K4244),IF(H4244="EI",4,IF(H4244="EO",5.2,IF(H4244="EQ",3.9,IF(H4244="ILF",7.5,IF(H4244="EIF",5.4)))))))</f>
        <v/>
      </c>
      <c r="M4244" s="112" t="str">
        <f t="shared" si="69"/>
        <v/>
      </c>
      <c r="N4244" s="113"/>
    </row>
    <row r="4245" spans="2:14">
      <c r="B4245" s="105"/>
      <c r="C4245" s="106"/>
      <c r="D4245" s="107"/>
      <c r="E4245" s="65"/>
      <c r="F4245" s="64"/>
      <c r="G4245" s="64"/>
      <c r="H4245" s="64"/>
      <c r="I4245" s="70"/>
      <c r="J4245" s="70"/>
      <c r="K4245" s="110" t="str">
        <f>IF(H4245="","",IF($C$29="간이법","",FPR(H4245,I4245,J4245)))</f>
        <v/>
      </c>
      <c r="L4245" s="111" t="str">
        <f>IF(H4245="","",IF($C$29="상세법",FPV(H4245,K4245),IF(H4245="EI",4,IF(H4245="EO",5.2,IF(H4245="EQ",3.9,IF(H4245="ILF",7.5,IF(H4245="EIF",5.4)))))))</f>
        <v/>
      </c>
      <c r="M4245" s="112" t="str">
        <f t="shared" si="69"/>
        <v/>
      </c>
      <c r="N4245" s="113"/>
    </row>
    <row r="4246" spans="2:14">
      <c r="B4246" s="105"/>
      <c r="C4246" s="106"/>
      <c r="D4246" s="107"/>
      <c r="E4246" s="65"/>
      <c r="F4246" s="64"/>
      <c r="G4246" s="64"/>
      <c r="H4246" s="64"/>
      <c r="I4246" s="70"/>
      <c r="J4246" s="70"/>
      <c r="K4246" s="110" t="str">
        <f>IF(H4246="","",IF($C$29="간이법","",FPR(H4246,I4246,J4246)))</f>
        <v/>
      </c>
      <c r="L4246" s="111" t="str">
        <f>IF(H4246="","",IF($C$29="상세법",FPV(H4246,K4246),IF(H4246="EI",4,IF(H4246="EO",5.2,IF(H4246="EQ",3.9,IF(H4246="ILF",7.5,IF(H4246="EIF",5.4)))))))</f>
        <v/>
      </c>
      <c r="M4246" s="112" t="str">
        <f t="shared" si="69"/>
        <v/>
      </c>
      <c r="N4246" s="113"/>
    </row>
    <row r="4247" spans="2:14">
      <c r="B4247" s="105"/>
      <c r="C4247" s="106"/>
      <c r="D4247" s="107"/>
      <c r="E4247" s="65"/>
      <c r="F4247" s="64"/>
      <c r="G4247" s="64"/>
      <c r="H4247" s="64"/>
      <c r="I4247" s="70"/>
      <c r="J4247" s="70"/>
      <c r="K4247" s="110" t="str">
        <f>IF(H4247="","",IF($C$29="간이법","",FPR(H4247,I4247,J4247)))</f>
        <v/>
      </c>
      <c r="L4247" s="111" t="str">
        <f>IF(H4247="","",IF($C$29="상세법",FPV(H4247,K4247),IF(H4247="EI",4,IF(H4247="EO",5.2,IF(H4247="EQ",3.9,IF(H4247="ILF",7.5,IF(H4247="EIF",5.4)))))))</f>
        <v/>
      </c>
      <c r="M4247" s="112" t="str">
        <f t="shared" si="69"/>
        <v/>
      </c>
      <c r="N4247" s="113"/>
    </row>
    <row r="4248" spans="2:14">
      <c r="B4248" s="105"/>
      <c r="C4248" s="106"/>
      <c r="D4248" s="107"/>
      <c r="E4248" s="65"/>
      <c r="F4248" s="64"/>
      <c r="G4248" s="64"/>
      <c r="H4248" s="64"/>
      <c r="I4248" s="70"/>
      <c r="J4248" s="70"/>
      <c r="K4248" s="110" t="str">
        <f>IF(H4248="","",IF($C$29="간이법","",FPR(H4248,I4248,J4248)))</f>
        <v/>
      </c>
      <c r="L4248" s="111" t="str">
        <f>IF(H4248="","",IF($C$29="상세법",FPV(H4248,K4248),IF(H4248="EI",4,IF(H4248="EO",5.2,IF(H4248="EQ",3.9,IF(H4248="ILF",7.5,IF(H4248="EIF",5.4)))))))</f>
        <v/>
      </c>
      <c r="M4248" s="112" t="str">
        <f t="shared" si="69"/>
        <v/>
      </c>
      <c r="N4248" s="113"/>
    </row>
    <row r="4249" spans="2:14">
      <c r="B4249" s="105"/>
      <c r="C4249" s="106"/>
      <c r="D4249" s="107"/>
      <c r="E4249" s="65"/>
      <c r="F4249" s="64"/>
      <c r="G4249" s="64"/>
      <c r="H4249" s="64"/>
      <c r="I4249" s="70"/>
      <c r="J4249" s="70"/>
      <c r="K4249" s="110" t="str">
        <f>IF(H4249="","",IF($C$29="간이법","",FPR(H4249,I4249,J4249)))</f>
        <v/>
      </c>
      <c r="L4249" s="111" t="str">
        <f>IF(H4249="","",IF($C$29="상세법",FPV(H4249,K4249),IF(H4249="EI",4,IF(H4249="EO",5.2,IF(H4249="EQ",3.9,IF(H4249="ILF",7.5,IF(H4249="EIF",5.4)))))))</f>
        <v/>
      </c>
      <c r="M4249" s="112" t="str">
        <f t="shared" si="69"/>
        <v/>
      </c>
      <c r="N4249" s="113"/>
    </row>
    <row r="4250" spans="2:14">
      <c r="B4250" s="105"/>
      <c r="C4250" s="106"/>
      <c r="D4250" s="107"/>
      <c r="E4250" s="65"/>
      <c r="F4250" s="64"/>
      <c r="G4250" s="64"/>
      <c r="H4250" s="64"/>
      <c r="I4250" s="70"/>
      <c r="J4250" s="70"/>
      <c r="K4250" s="110" t="str">
        <f>IF(H4250="","",IF($C$29="간이법","",FPR(H4250,I4250,J4250)))</f>
        <v/>
      </c>
      <c r="L4250" s="111" t="str">
        <f>IF(H4250="","",IF($C$29="상세법",FPV(H4250,K4250),IF(H4250="EI",4,IF(H4250="EO",5.2,IF(H4250="EQ",3.9,IF(H4250="ILF",7.5,IF(H4250="EIF",5.4)))))))</f>
        <v/>
      </c>
      <c r="M4250" s="112" t="str">
        <f t="shared" si="69"/>
        <v/>
      </c>
      <c r="N4250" s="113"/>
    </row>
    <row r="4251" spans="2:14">
      <c r="B4251" s="105"/>
      <c r="C4251" s="106"/>
      <c r="D4251" s="107"/>
      <c r="E4251" s="65"/>
      <c r="F4251" s="64"/>
      <c r="G4251" s="64"/>
      <c r="H4251" s="64"/>
      <c r="I4251" s="70"/>
      <c r="J4251" s="70"/>
      <c r="K4251" s="110" t="str">
        <f>IF(H4251="","",IF($C$29="간이법","",FPR(H4251,I4251,J4251)))</f>
        <v/>
      </c>
      <c r="L4251" s="111" t="str">
        <f>IF(H4251="","",IF($C$29="상세법",FPV(H4251,K4251),IF(H4251="EI",4,IF(H4251="EO",5.2,IF(H4251="EQ",3.9,IF(H4251="ILF",7.5,IF(H4251="EIF",5.4)))))))</f>
        <v/>
      </c>
      <c r="M4251" s="112" t="str">
        <f t="shared" si="69"/>
        <v/>
      </c>
      <c r="N4251" s="113"/>
    </row>
    <row r="4252" spans="2:14">
      <c r="B4252" s="105"/>
      <c r="C4252" s="106"/>
      <c r="D4252" s="107"/>
      <c r="E4252" s="65"/>
      <c r="F4252" s="64"/>
      <c r="G4252" s="64"/>
      <c r="H4252" s="64"/>
      <c r="I4252" s="70"/>
      <c r="J4252" s="70"/>
      <c r="K4252" s="110" t="str">
        <f>IF(H4252="","",IF($C$29="간이법","",FPR(H4252,I4252,J4252)))</f>
        <v/>
      </c>
      <c r="L4252" s="111" t="str">
        <f>IF(H4252="","",IF($C$29="상세법",FPV(H4252,K4252),IF(H4252="EI",4,IF(H4252="EO",5.2,IF(H4252="EQ",3.9,IF(H4252="ILF",7.5,IF(H4252="EIF",5.4)))))))</f>
        <v/>
      </c>
      <c r="M4252" s="112" t="str">
        <f t="shared" si="69"/>
        <v/>
      </c>
      <c r="N4252" s="113"/>
    </row>
    <row r="4253" spans="2:14">
      <c r="B4253" s="105"/>
      <c r="C4253" s="106"/>
      <c r="D4253" s="107"/>
      <c r="E4253" s="65"/>
      <c r="F4253" s="64"/>
      <c r="G4253" s="64"/>
      <c r="H4253" s="64"/>
      <c r="I4253" s="70"/>
      <c r="J4253" s="70"/>
      <c r="K4253" s="110" t="str">
        <f>IF(H4253="","",IF($C$29="간이법","",FPR(H4253,I4253,J4253)))</f>
        <v/>
      </c>
      <c r="L4253" s="111" t="str">
        <f>IF(H4253="","",IF($C$29="상세법",FPV(H4253,K4253),IF(H4253="EI",4,IF(H4253="EO",5.2,IF(H4253="EQ",3.9,IF(H4253="ILF",7.5,IF(H4253="EIF",5.4)))))))</f>
        <v/>
      </c>
      <c r="M4253" s="112" t="str">
        <f t="shared" si="69"/>
        <v/>
      </c>
      <c r="N4253" s="113"/>
    </row>
    <row r="4254" spans="2:14">
      <c r="B4254" s="105"/>
      <c r="C4254" s="106"/>
      <c r="D4254" s="107"/>
      <c r="E4254" s="65"/>
      <c r="F4254" s="64"/>
      <c r="G4254" s="64"/>
      <c r="H4254" s="64"/>
      <c r="I4254" s="70"/>
      <c r="J4254" s="70"/>
      <c r="K4254" s="110" t="str">
        <f>IF(H4254="","",IF($C$29="간이법","",FPR(H4254,I4254,J4254)))</f>
        <v/>
      </c>
      <c r="L4254" s="111" t="str">
        <f>IF(H4254="","",IF($C$29="상세법",FPV(H4254,K4254),IF(H4254="EI",4,IF(H4254="EO",5.2,IF(H4254="EQ",3.9,IF(H4254="ILF",7.5,IF(H4254="EIF",5.4)))))))</f>
        <v/>
      </c>
      <c r="M4254" s="112" t="str">
        <f t="shared" si="69"/>
        <v/>
      </c>
      <c r="N4254" s="113"/>
    </row>
    <row r="4255" spans="2:14">
      <c r="B4255" s="105"/>
      <c r="C4255" s="106"/>
      <c r="D4255" s="107"/>
      <c r="E4255" s="65"/>
      <c r="F4255" s="64"/>
      <c r="G4255" s="64"/>
      <c r="H4255" s="64"/>
      <c r="I4255" s="70"/>
      <c r="J4255" s="70"/>
      <c r="K4255" s="110" t="str">
        <f>IF(H4255="","",IF($C$29="간이법","",FPR(H4255,I4255,J4255)))</f>
        <v/>
      </c>
      <c r="L4255" s="111" t="str">
        <f>IF(H4255="","",IF($C$29="상세법",FPV(H4255,K4255),IF(H4255="EI",4,IF(H4255="EO",5.2,IF(H4255="EQ",3.9,IF(H4255="ILF",7.5,IF(H4255="EIF",5.4)))))))</f>
        <v/>
      </c>
      <c r="M4255" s="112" t="str">
        <f t="shared" si="69"/>
        <v/>
      </c>
      <c r="N4255" s="113"/>
    </row>
    <row r="4256" spans="2:14">
      <c r="B4256" s="105"/>
      <c r="C4256" s="106"/>
      <c r="D4256" s="107"/>
      <c r="E4256" s="65"/>
      <c r="F4256" s="64"/>
      <c r="G4256" s="64"/>
      <c r="H4256" s="64"/>
      <c r="I4256" s="70"/>
      <c r="J4256" s="70"/>
      <c r="K4256" s="110" t="str">
        <f>IF(H4256="","",IF($C$29="간이법","",FPR(H4256,I4256,J4256)))</f>
        <v/>
      </c>
      <c r="L4256" s="111" t="str">
        <f>IF(H4256="","",IF($C$29="상세법",FPV(H4256,K4256),IF(H4256="EI",4,IF(H4256="EO",5.2,IF(H4256="EQ",3.9,IF(H4256="ILF",7.5,IF(H4256="EIF",5.4)))))))</f>
        <v/>
      </c>
      <c r="M4256" s="112" t="str">
        <f t="shared" si="69"/>
        <v/>
      </c>
      <c r="N4256" s="113"/>
    </row>
    <row r="4257" spans="2:14">
      <c r="B4257" s="105"/>
      <c r="C4257" s="106"/>
      <c r="D4257" s="107"/>
      <c r="E4257" s="65"/>
      <c r="F4257" s="64"/>
      <c r="G4257" s="64"/>
      <c r="H4257" s="64"/>
      <c r="I4257" s="70"/>
      <c r="J4257" s="70"/>
      <c r="K4257" s="110" t="str">
        <f>IF(H4257="","",IF($C$29="간이법","",FPR(H4257,I4257,J4257)))</f>
        <v/>
      </c>
      <c r="L4257" s="111" t="str">
        <f>IF(H4257="","",IF($C$29="상세법",FPV(H4257,K4257),IF(H4257="EI",4,IF(H4257="EO",5.2,IF(H4257="EQ",3.9,IF(H4257="ILF",7.5,IF(H4257="EIF",5.4)))))))</f>
        <v/>
      </c>
      <c r="M4257" s="112" t="str">
        <f t="shared" si="69"/>
        <v/>
      </c>
      <c r="N4257" s="113"/>
    </row>
    <row r="4258" spans="2:14">
      <c r="B4258" s="105"/>
      <c r="C4258" s="106"/>
      <c r="D4258" s="107"/>
      <c r="E4258" s="65"/>
      <c r="F4258" s="64"/>
      <c r="G4258" s="64"/>
      <c r="H4258" s="64"/>
      <c r="I4258" s="70"/>
      <c r="J4258" s="70"/>
      <c r="K4258" s="110" t="str">
        <f>IF(H4258="","",IF($C$29="간이법","",FPR(H4258,I4258,J4258)))</f>
        <v/>
      </c>
      <c r="L4258" s="111" t="str">
        <f>IF(H4258="","",IF($C$29="상세법",FPV(H4258,K4258),IF(H4258="EI",4,IF(H4258="EO",5.2,IF(H4258="EQ",3.9,IF(H4258="ILF",7.5,IF(H4258="EIF",5.4)))))))</f>
        <v/>
      </c>
      <c r="M4258" s="112" t="str">
        <f t="shared" si="69"/>
        <v/>
      </c>
      <c r="N4258" s="113"/>
    </row>
    <row r="4259" spans="2:14">
      <c r="B4259" s="105"/>
      <c r="C4259" s="106"/>
      <c r="D4259" s="107"/>
      <c r="E4259" s="65"/>
      <c r="F4259" s="64"/>
      <c r="G4259" s="64"/>
      <c r="H4259" s="64"/>
      <c r="I4259" s="70"/>
      <c r="J4259" s="70"/>
      <c r="K4259" s="110" t="str">
        <f>IF(H4259="","",IF($C$29="간이법","",FPR(H4259,I4259,J4259)))</f>
        <v/>
      </c>
      <c r="L4259" s="111" t="str">
        <f>IF(H4259="","",IF($C$29="상세법",FPV(H4259,K4259),IF(H4259="EI",4,IF(H4259="EO",5.2,IF(H4259="EQ",3.9,IF(H4259="ILF",7.5,IF(H4259="EIF",5.4)))))))</f>
        <v/>
      </c>
      <c r="M4259" s="112" t="str">
        <f t="shared" si="69"/>
        <v/>
      </c>
      <c r="N4259" s="113"/>
    </row>
    <row r="4260" spans="2:14">
      <c r="B4260" s="105"/>
      <c r="C4260" s="106"/>
      <c r="D4260" s="107"/>
      <c r="E4260" s="65"/>
      <c r="F4260" s="64"/>
      <c r="G4260" s="64"/>
      <c r="H4260" s="64"/>
      <c r="I4260" s="70"/>
      <c r="J4260" s="70"/>
      <c r="K4260" s="110" t="str">
        <f>IF(H4260="","",IF($C$29="간이법","",FPR(H4260,I4260,J4260)))</f>
        <v/>
      </c>
      <c r="L4260" s="111" t="str">
        <f>IF(H4260="","",IF($C$29="상세법",FPV(H4260,K4260),IF(H4260="EI",4,IF(H4260="EO",5.2,IF(H4260="EQ",3.9,IF(H4260="ILF",7.5,IF(H4260="EIF",5.4)))))))</f>
        <v/>
      </c>
      <c r="M4260" s="112" t="str">
        <f t="shared" si="69"/>
        <v/>
      </c>
      <c r="N4260" s="113"/>
    </row>
    <row r="4261" spans="2:14">
      <c r="B4261" s="105"/>
      <c r="C4261" s="106"/>
      <c r="D4261" s="107"/>
      <c r="E4261" s="65"/>
      <c r="F4261" s="64"/>
      <c r="G4261" s="64"/>
      <c r="H4261" s="64"/>
      <c r="I4261" s="70"/>
      <c r="J4261" s="70"/>
      <c r="K4261" s="110" t="str">
        <f>IF(H4261="","",IF($C$29="간이법","",FPR(H4261,I4261,J4261)))</f>
        <v/>
      </c>
      <c r="L4261" s="111" t="str">
        <f>IF(H4261="","",IF($C$29="상세법",FPV(H4261,K4261),IF(H4261="EI",4,IF(H4261="EO",5.2,IF(H4261="EQ",3.9,IF(H4261="ILF",7.5,IF(H4261="EIF",5.4)))))))</f>
        <v/>
      </c>
      <c r="M4261" s="112" t="str">
        <f t="shared" si="69"/>
        <v/>
      </c>
      <c r="N4261" s="113"/>
    </row>
    <row r="4262" spans="2:14">
      <c r="B4262" s="105"/>
      <c r="C4262" s="106"/>
      <c r="D4262" s="107"/>
      <c r="E4262" s="65"/>
      <c r="F4262" s="64"/>
      <c r="G4262" s="64"/>
      <c r="H4262" s="64"/>
      <c r="I4262" s="70"/>
      <c r="J4262" s="70"/>
      <c r="K4262" s="110" t="str">
        <f>IF(H4262="","",IF($C$29="간이법","",FPR(H4262,I4262,J4262)))</f>
        <v/>
      </c>
      <c r="L4262" s="111" t="str">
        <f>IF(H4262="","",IF($C$29="상세법",FPV(H4262,K4262),IF(H4262="EI",4,IF(H4262="EO",5.2,IF(H4262="EQ",3.9,IF(H4262="ILF",7.5,IF(H4262="EIF",5.4)))))))</f>
        <v/>
      </c>
      <c r="M4262" s="112" t="str">
        <f t="shared" si="69"/>
        <v/>
      </c>
      <c r="N4262" s="113"/>
    </row>
    <row r="4263" spans="2:14">
      <c r="B4263" s="105"/>
      <c r="C4263" s="106"/>
      <c r="D4263" s="107"/>
      <c r="E4263" s="65"/>
      <c r="F4263" s="64"/>
      <c r="G4263" s="64"/>
      <c r="H4263" s="64"/>
      <c r="I4263" s="70"/>
      <c r="J4263" s="70"/>
      <c r="K4263" s="110" t="str">
        <f>IF(H4263="","",IF($C$29="간이법","",FPR(H4263,I4263,J4263)))</f>
        <v/>
      </c>
      <c r="L4263" s="111" t="str">
        <f>IF(H4263="","",IF($C$29="상세법",FPV(H4263,K4263),IF(H4263="EI",4,IF(H4263="EO",5.2,IF(H4263="EQ",3.9,IF(H4263="ILF",7.5,IF(H4263="EIF",5.4)))))))</f>
        <v/>
      </c>
      <c r="M4263" s="112" t="str">
        <f t="shared" si="69"/>
        <v/>
      </c>
      <c r="N4263" s="113"/>
    </row>
    <row r="4264" spans="2:14">
      <c r="B4264" s="105"/>
      <c r="C4264" s="106"/>
      <c r="D4264" s="107"/>
      <c r="E4264" s="65"/>
      <c r="F4264" s="64"/>
      <c r="G4264" s="64"/>
      <c r="H4264" s="64"/>
      <c r="I4264" s="70"/>
      <c r="J4264" s="70"/>
      <c r="K4264" s="110" t="str">
        <f>IF(H4264="","",IF($C$29="간이법","",FPR(H4264,I4264,J4264)))</f>
        <v/>
      </c>
      <c r="L4264" s="111" t="str">
        <f>IF(H4264="","",IF($C$29="상세법",FPV(H4264,K4264),IF(H4264="EI",4,IF(H4264="EO",5.2,IF(H4264="EQ",3.9,IF(H4264="ILF",7.5,IF(H4264="EIF",5.4)))))))</f>
        <v/>
      </c>
      <c r="M4264" s="112" t="str">
        <f t="shared" si="69"/>
        <v/>
      </c>
      <c r="N4264" s="113"/>
    </row>
    <row r="4265" spans="2:14">
      <c r="B4265" s="105"/>
      <c r="C4265" s="106"/>
      <c r="D4265" s="107"/>
      <c r="E4265" s="65"/>
      <c r="F4265" s="64"/>
      <c r="G4265" s="64"/>
      <c r="H4265" s="64"/>
      <c r="I4265" s="70"/>
      <c r="J4265" s="70"/>
      <c r="K4265" s="110" t="str">
        <f>IF(H4265="","",IF($C$29="간이법","",FPR(H4265,I4265,J4265)))</f>
        <v/>
      </c>
      <c r="L4265" s="111" t="str">
        <f>IF(H4265="","",IF($C$29="상세법",FPV(H4265,K4265),IF(H4265="EI",4,IF(H4265="EO",5.2,IF(H4265="EQ",3.9,IF(H4265="ILF",7.5,IF(H4265="EIF",5.4)))))))</f>
        <v/>
      </c>
      <c r="M4265" s="112" t="str">
        <f t="shared" si="69"/>
        <v/>
      </c>
      <c r="N4265" s="113"/>
    </row>
    <row r="4266" spans="2:14">
      <c r="B4266" s="105"/>
      <c r="C4266" s="106"/>
      <c r="D4266" s="107"/>
      <c r="E4266" s="65"/>
      <c r="F4266" s="64"/>
      <c r="G4266" s="64"/>
      <c r="H4266" s="64"/>
      <c r="I4266" s="70"/>
      <c r="J4266" s="70"/>
      <c r="K4266" s="110" t="str">
        <f>IF(H4266="","",IF($C$29="간이법","",FPR(H4266,I4266,J4266)))</f>
        <v/>
      </c>
      <c r="L4266" s="111" t="str">
        <f>IF(H4266="","",IF($C$29="상세법",FPV(H4266,K4266),IF(H4266="EI",4,IF(H4266="EO",5.2,IF(H4266="EQ",3.9,IF(H4266="ILF",7.5,IF(H4266="EIF",5.4)))))))</f>
        <v/>
      </c>
      <c r="M4266" s="112" t="str">
        <f t="shared" si="69"/>
        <v/>
      </c>
      <c r="N4266" s="113"/>
    </row>
    <row r="4267" spans="2:14">
      <c r="B4267" s="105"/>
      <c r="C4267" s="106"/>
      <c r="D4267" s="107"/>
      <c r="E4267" s="65"/>
      <c r="F4267" s="64"/>
      <c r="G4267" s="64"/>
      <c r="H4267" s="64"/>
      <c r="I4267" s="70"/>
      <c r="J4267" s="70"/>
      <c r="K4267" s="110" t="str">
        <f>IF(H4267="","",IF($C$29="간이법","",FPR(H4267,I4267,J4267)))</f>
        <v/>
      </c>
      <c r="L4267" s="111" t="str">
        <f>IF(H4267="","",IF($C$29="상세법",FPV(H4267,K4267),IF(H4267="EI",4,IF(H4267="EO",5.2,IF(H4267="EQ",3.9,IF(H4267="ILF",7.5,IF(H4267="EIF",5.4)))))))</f>
        <v/>
      </c>
      <c r="M4267" s="112" t="str">
        <f t="shared" si="69"/>
        <v/>
      </c>
      <c r="N4267" s="113"/>
    </row>
    <row r="4268" spans="2:14">
      <c r="B4268" s="105"/>
      <c r="C4268" s="106"/>
      <c r="D4268" s="107"/>
      <c r="E4268" s="65"/>
      <c r="F4268" s="64"/>
      <c r="G4268" s="64"/>
      <c r="H4268" s="64"/>
      <c r="I4268" s="70"/>
      <c r="J4268" s="70"/>
      <c r="K4268" s="110" t="str">
        <f>IF(H4268="","",IF($C$29="간이법","",FPR(H4268,I4268,J4268)))</f>
        <v/>
      </c>
      <c r="L4268" s="111" t="str">
        <f>IF(H4268="","",IF($C$29="상세법",FPV(H4268,K4268),IF(H4268="EI",4,IF(H4268="EO",5.2,IF(H4268="EQ",3.9,IF(H4268="ILF",7.5,IF(H4268="EIF",5.4)))))))</f>
        <v/>
      </c>
      <c r="M4268" s="112" t="str">
        <f t="shared" si="69"/>
        <v/>
      </c>
      <c r="N4268" s="113"/>
    </row>
    <row r="4269" spans="2:14">
      <c r="B4269" s="105"/>
      <c r="C4269" s="106"/>
      <c r="D4269" s="107"/>
      <c r="E4269" s="65"/>
      <c r="F4269" s="64"/>
      <c r="G4269" s="64"/>
      <c r="H4269" s="64"/>
      <c r="I4269" s="70"/>
      <c r="J4269" s="70"/>
      <c r="K4269" s="110" t="str">
        <f>IF(H4269="","",IF($C$29="간이법","",FPR(H4269,I4269,J4269)))</f>
        <v/>
      </c>
      <c r="L4269" s="111" t="str">
        <f>IF(H4269="","",IF($C$29="상세법",FPV(H4269,K4269),IF(H4269="EI",4,IF(H4269="EO",5.2,IF(H4269="EQ",3.9,IF(H4269="ILF",7.5,IF(H4269="EIF",5.4)))))))</f>
        <v/>
      </c>
      <c r="M4269" s="112" t="str">
        <f t="shared" si="69"/>
        <v/>
      </c>
      <c r="N4269" s="113"/>
    </row>
    <row r="4270" spans="2:14">
      <c r="B4270" s="105"/>
      <c r="C4270" s="106"/>
      <c r="D4270" s="107"/>
      <c r="E4270" s="65"/>
      <c r="F4270" s="64"/>
      <c r="G4270" s="64"/>
      <c r="H4270" s="64"/>
      <c r="I4270" s="70"/>
      <c r="J4270" s="70"/>
      <c r="K4270" s="110" t="str">
        <f>IF(H4270="","",IF($C$29="간이법","",FPR(H4270,I4270,J4270)))</f>
        <v/>
      </c>
      <c r="L4270" s="111" t="str">
        <f>IF(H4270="","",IF($C$29="상세법",FPV(H4270,K4270),IF(H4270="EI",4,IF(H4270="EO",5.2,IF(H4270="EQ",3.9,IF(H4270="ILF",7.5,IF(H4270="EIF",5.4)))))))</f>
        <v/>
      </c>
      <c r="M4270" s="112" t="str">
        <f t="shared" si="69"/>
        <v/>
      </c>
      <c r="N4270" s="113"/>
    </row>
    <row r="4271" spans="2:14">
      <c r="B4271" s="105"/>
      <c r="C4271" s="106"/>
      <c r="D4271" s="107"/>
      <c r="E4271" s="65"/>
      <c r="F4271" s="64"/>
      <c r="G4271" s="64"/>
      <c r="H4271" s="64"/>
      <c r="I4271" s="70"/>
      <c r="J4271" s="70"/>
      <c r="K4271" s="110" t="str">
        <f>IF(H4271="","",IF($C$29="간이법","",FPR(H4271,I4271,J4271)))</f>
        <v/>
      </c>
      <c r="L4271" s="111" t="str">
        <f>IF(H4271="","",IF($C$29="상세법",FPV(H4271,K4271),IF(H4271="EI",4,IF(H4271="EO",5.2,IF(H4271="EQ",3.9,IF(H4271="ILF",7.5,IF(H4271="EIF",5.4)))))))</f>
        <v/>
      </c>
      <c r="M4271" s="112" t="str">
        <f t="shared" si="69"/>
        <v/>
      </c>
      <c r="N4271" s="113"/>
    </row>
    <row r="4272" spans="2:14">
      <c r="B4272" s="105"/>
      <c r="C4272" s="106"/>
      <c r="D4272" s="107"/>
      <c r="E4272" s="65"/>
      <c r="F4272" s="64"/>
      <c r="G4272" s="64"/>
      <c r="H4272" s="64"/>
      <c r="I4272" s="70"/>
      <c r="J4272" s="70"/>
      <c r="K4272" s="110" t="str">
        <f>IF(H4272="","",IF($C$29="간이법","",FPR(H4272,I4272,J4272)))</f>
        <v/>
      </c>
      <c r="L4272" s="111" t="str">
        <f>IF(H4272="","",IF($C$29="상세법",FPV(H4272,K4272),IF(H4272="EI",4,IF(H4272="EO",5.2,IF(H4272="EQ",3.9,IF(H4272="ILF",7.5,IF(H4272="EIF",5.4)))))))</f>
        <v/>
      </c>
      <c r="M4272" s="112" t="str">
        <f t="shared" si="69"/>
        <v/>
      </c>
      <c r="N4272" s="113"/>
    </row>
    <row r="4273" spans="2:14">
      <c r="B4273" s="105"/>
      <c r="C4273" s="106"/>
      <c r="D4273" s="107"/>
      <c r="E4273" s="65"/>
      <c r="F4273" s="64"/>
      <c r="G4273" s="64"/>
      <c r="H4273" s="64"/>
      <c r="I4273" s="70"/>
      <c r="J4273" s="70"/>
      <c r="K4273" s="110" t="str">
        <f>IF(H4273="","",IF($C$29="간이법","",FPR(H4273,I4273,J4273)))</f>
        <v/>
      </c>
      <c r="L4273" s="111" t="str">
        <f>IF(H4273="","",IF($C$29="상세법",FPV(H4273,K4273),IF(H4273="EI",4,IF(H4273="EO",5.2,IF(H4273="EQ",3.9,IF(H4273="ILF",7.5,IF(H4273="EIF",5.4)))))))</f>
        <v/>
      </c>
      <c r="M4273" s="112" t="str">
        <f t="shared" si="69"/>
        <v/>
      </c>
      <c r="N4273" s="113"/>
    </row>
    <row r="4274" spans="2:14">
      <c r="B4274" s="105"/>
      <c r="C4274" s="106"/>
      <c r="D4274" s="107"/>
      <c r="E4274" s="65"/>
      <c r="F4274" s="64"/>
      <c r="G4274" s="64"/>
      <c r="H4274" s="64"/>
      <c r="I4274" s="70"/>
      <c r="J4274" s="70"/>
      <c r="K4274" s="110" t="str">
        <f>IF(H4274="","",IF($C$29="간이법","",FPR(H4274,I4274,J4274)))</f>
        <v/>
      </c>
      <c r="L4274" s="111" t="str">
        <f>IF(H4274="","",IF($C$29="상세법",FPV(H4274,K4274),IF(H4274="EI",4,IF(H4274="EO",5.2,IF(H4274="EQ",3.9,IF(H4274="ILF",7.5,IF(H4274="EIF",5.4)))))))</f>
        <v/>
      </c>
      <c r="M4274" s="112" t="str">
        <f t="shared" si="69"/>
        <v/>
      </c>
      <c r="N4274" s="113"/>
    </row>
    <row r="4275" spans="2:14">
      <c r="B4275" s="105"/>
      <c r="C4275" s="106"/>
      <c r="D4275" s="107"/>
      <c r="E4275" s="65"/>
      <c r="F4275" s="64"/>
      <c r="G4275" s="64"/>
      <c r="H4275" s="64"/>
      <c r="I4275" s="70"/>
      <c r="J4275" s="70"/>
      <c r="K4275" s="110" t="str">
        <f>IF(H4275="","",IF($C$29="간이법","",FPR(H4275,I4275,J4275)))</f>
        <v/>
      </c>
      <c r="L4275" s="111" t="str">
        <f>IF(H4275="","",IF($C$29="상세법",FPV(H4275,K4275),IF(H4275="EI",4,IF(H4275="EO",5.2,IF(H4275="EQ",3.9,IF(H4275="ILF",7.5,IF(H4275="EIF",5.4)))))))</f>
        <v/>
      </c>
      <c r="M4275" s="112" t="str">
        <f t="shared" si="69"/>
        <v/>
      </c>
      <c r="N4275" s="113"/>
    </row>
    <row r="4276" spans="2:14">
      <c r="B4276" s="105"/>
      <c r="C4276" s="106"/>
      <c r="D4276" s="107"/>
      <c r="E4276" s="65"/>
      <c r="F4276" s="64"/>
      <c r="G4276" s="64"/>
      <c r="H4276" s="64"/>
      <c r="I4276" s="70"/>
      <c r="J4276" s="70"/>
      <c r="K4276" s="110" t="str">
        <f>IF(H4276="","",IF($C$29="간이법","",FPR(H4276,I4276,J4276)))</f>
        <v/>
      </c>
      <c r="L4276" s="111" t="str">
        <f>IF(H4276="","",IF($C$29="상세법",FPV(H4276,K4276),IF(H4276="EI",4,IF(H4276="EO",5.2,IF(H4276="EQ",3.9,IF(H4276="ILF",7.5,IF(H4276="EIF",5.4)))))))</f>
        <v/>
      </c>
      <c r="M4276" s="112" t="str">
        <f t="shared" si="69"/>
        <v/>
      </c>
      <c r="N4276" s="113"/>
    </row>
    <row r="4277" spans="2:14">
      <c r="B4277" s="105"/>
      <c r="C4277" s="106"/>
      <c r="D4277" s="107"/>
      <c r="E4277" s="65"/>
      <c r="F4277" s="64"/>
      <c r="G4277" s="64"/>
      <c r="H4277" s="64"/>
      <c r="I4277" s="70"/>
      <c r="J4277" s="70"/>
      <c r="K4277" s="110" t="str">
        <f>IF(H4277="","",IF($C$29="간이법","",FPR(H4277,I4277,J4277)))</f>
        <v/>
      </c>
      <c r="L4277" s="111" t="str">
        <f>IF(H4277="","",IF($C$29="상세법",FPV(H4277,K4277),IF(H4277="EI",4,IF(H4277="EO",5.2,IF(H4277="EQ",3.9,IF(H4277="ILF",7.5,IF(H4277="EIF",5.4)))))))</f>
        <v/>
      </c>
      <c r="M4277" s="112" t="str">
        <f t="shared" si="69"/>
        <v/>
      </c>
      <c r="N4277" s="113"/>
    </row>
    <row r="4278" spans="2:14">
      <c r="B4278" s="105"/>
      <c r="C4278" s="106"/>
      <c r="D4278" s="107"/>
      <c r="E4278" s="65"/>
      <c r="F4278" s="64"/>
      <c r="G4278" s="64"/>
      <c r="H4278" s="64"/>
      <c r="I4278" s="70"/>
      <c r="J4278" s="70"/>
      <c r="K4278" s="110" t="str">
        <f>IF(H4278="","",IF($C$29="간이법","",FPR(H4278,I4278,J4278)))</f>
        <v/>
      </c>
      <c r="L4278" s="111" t="str">
        <f>IF(H4278="","",IF($C$29="상세법",FPV(H4278,K4278),IF(H4278="EI",4,IF(H4278="EO",5.2,IF(H4278="EQ",3.9,IF(H4278="ILF",7.5,IF(H4278="EIF",5.4)))))))</f>
        <v/>
      </c>
      <c r="M4278" s="112" t="str">
        <f t="shared" si="69"/>
        <v/>
      </c>
      <c r="N4278" s="113"/>
    </row>
    <row r="4279" spans="2:14">
      <c r="B4279" s="105"/>
      <c r="C4279" s="106"/>
      <c r="D4279" s="107"/>
      <c r="E4279" s="65"/>
      <c r="F4279" s="64"/>
      <c r="G4279" s="64"/>
      <c r="H4279" s="64"/>
      <c r="I4279" s="70"/>
      <c r="J4279" s="70"/>
      <c r="K4279" s="110" t="str">
        <f>IF(H4279="","",IF($C$29="간이법","",FPR(H4279,I4279,J4279)))</f>
        <v/>
      </c>
      <c r="L4279" s="111" t="str">
        <f>IF(H4279="","",IF($C$29="상세법",FPV(H4279,K4279),IF(H4279="EI",4,IF(H4279="EO",5.2,IF(H4279="EQ",3.9,IF(H4279="ILF",7.5,IF(H4279="EIF",5.4)))))))</f>
        <v/>
      </c>
      <c r="M4279" s="112" t="str">
        <f t="shared" si="69"/>
        <v/>
      </c>
      <c r="N4279" s="113"/>
    </row>
    <row r="4280" spans="2:14">
      <c r="B4280" s="105"/>
      <c r="C4280" s="106"/>
      <c r="D4280" s="107"/>
      <c r="E4280" s="65"/>
      <c r="F4280" s="64"/>
      <c r="G4280" s="64"/>
      <c r="H4280" s="64"/>
      <c r="I4280" s="70"/>
      <c r="J4280" s="70"/>
      <c r="K4280" s="110" t="str">
        <f>IF(H4280="","",IF($C$29="간이법","",FPR(H4280,I4280,J4280)))</f>
        <v/>
      </c>
      <c r="L4280" s="111" t="str">
        <f>IF(H4280="","",IF($C$29="상세법",FPV(H4280,K4280),IF(H4280="EI",4,IF(H4280="EO",5.2,IF(H4280="EQ",3.9,IF(H4280="ILF",7.5,IF(H4280="EIF",5.4)))))))</f>
        <v/>
      </c>
      <c r="M4280" s="112" t="str">
        <f t="shared" si="69"/>
        <v/>
      </c>
      <c r="N4280" s="113"/>
    </row>
    <row r="4281" spans="2:14">
      <c r="B4281" s="105"/>
      <c r="C4281" s="106"/>
      <c r="D4281" s="107"/>
      <c r="E4281" s="65"/>
      <c r="F4281" s="64"/>
      <c r="G4281" s="64"/>
      <c r="H4281" s="64"/>
      <c r="I4281" s="70"/>
      <c r="J4281" s="70"/>
      <c r="K4281" s="110" t="str">
        <f>IF(H4281="","",IF($C$29="간이법","",FPR(H4281,I4281,J4281)))</f>
        <v/>
      </c>
      <c r="L4281" s="111" t="str">
        <f>IF(H4281="","",IF($C$29="상세법",FPV(H4281,K4281),IF(H4281="EI",4,IF(H4281="EO",5.2,IF(H4281="EQ",3.9,IF(H4281="ILF",7.5,IF(H4281="EIF",5.4)))))))</f>
        <v/>
      </c>
      <c r="M4281" s="112" t="str">
        <f t="shared" ref="M4281:M4344" si="70">IF(L4281="","",L4281*IF(G4281="상",0.7,IF(G4281="중",0.5,IF(G4281="하",0.2,1))))</f>
        <v/>
      </c>
      <c r="N4281" s="113"/>
    </row>
    <row r="4282" spans="2:14">
      <c r="B4282" s="105"/>
      <c r="C4282" s="106"/>
      <c r="D4282" s="107"/>
      <c r="E4282" s="65"/>
      <c r="F4282" s="64"/>
      <c r="G4282" s="64"/>
      <c r="H4282" s="64"/>
      <c r="I4282" s="70"/>
      <c r="J4282" s="70"/>
      <c r="K4282" s="110" t="str">
        <f>IF(H4282="","",IF($C$29="간이법","",FPR(H4282,I4282,J4282)))</f>
        <v/>
      </c>
      <c r="L4282" s="111" t="str">
        <f>IF(H4282="","",IF($C$29="상세법",FPV(H4282,K4282),IF(H4282="EI",4,IF(H4282="EO",5.2,IF(H4282="EQ",3.9,IF(H4282="ILF",7.5,IF(H4282="EIF",5.4)))))))</f>
        <v/>
      </c>
      <c r="M4282" s="112" t="str">
        <f t="shared" si="70"/>
        <v/>
      </c>
      <c r="N4282" s="113"/>
    </row>
    <row r="4283" spans="2:14">
      <c r="B4283" s="105"/>
      <c r="C4283" s="106"/>
      <c r="D4283" s="107"/>
      <c r="E4283" s="65"/>
      <c r="F4283" s="64"/>
      <c r="G4283" s="64"/>
      <c r="H4283" s="64"/>
      <c r="I4283" s="70"/>
      <c r="J4283" s="70"/>
      <c r="K4283" s="110" t="str">
        <f>IF(H4283="","",IF($C$29="간이법","",FPR(H4283,I4283,J4283)))</f>
        <v/>
      </c>
      <c r="L4283" s="111" t="str">
        <f>IF(H4283="","",IF($C$29="상세법",FPV(H4283,K4283),IF(H4283="EI",4,IF(H4283="EO",5.2,IF(H4283="EQ",3.9,IF(H4283="ILF",7.5,IF(H4283="EIF",5.4)))))))</f>
        <v/>
      </c>
      <c r="M4283" s="112" t="str">
        <f t="shared" si="70"/>
        <v/>
      </c>
      <c r="N4283" s="113"/>
    </row>
    <row r="4284" spans="2:14">
      <c r="B4284" s="105"/>
      <c r="C4284" s="106"/>
      <c r="D4284" s="107"/>
      <c r="E4284" s="65"/>
      <c r="F4284" s="64"/>
      <c r="G4284" s="64"/>
      <c r="H4284" s="64"/>
      <c r="I4284" s="70"/>
      <c r="J4284" s="70"/>
      <c r="K4284" s="110" t="str">
        <f>IF(H4284="","",IF($C$29="간이법","",FPR(H4284,I4284,J4284)))</f>
        <v/>
      </c>
      <c r="L4284" s="111" t="str">
        <f>IF(H4284="","",IF($C$29="상세법",FPV(H4284,K4284),IF(H4284="EI",4,IF(H4284="EO",5.2,IF(H4284="EQ",3.9,IF(H4284="ILF",7.5,IF(H4284="EIF",5.4)))))))</f>
        <v/>
      </c>
      <c r="M4284" s="112" t="str">
        <f t="shared" si="70"/>
        <v/>
      </c>
      <c r="N4284" s="113"/>
    </row>
    <row r="4285" spans="2:14">
      <c r="B4285" s="105"/>
      <c r="C4285" s="106"/>
      <c r="D4285" s="107"/>
      <c r="E4285" s="65"/>
      <c r="F4285" s="64"/>
      <c r="G4285" s="64"/>
      <c r="H4285" s="64"/>
      <c r="I4285" s="70"/>
      <c r="J4285" s="70"/>
      <c r="K4285" s="110" t="str">
        <f>IF(H4285="","",IF($C$29="간이법","",FPR(H4285,I4285,J4285)))</f>
        <v/>
      </c>
      <c r="L4285" s="111" t="str">
        <f>IF(H4285="","",IF($C$29="상세법",FPV(H4285,K4285),IF(H4285="EI",4,IF(H4285="EO",5.2,IF(H4285="EQ",3.9,IF(H4285="ILF",7.5,IF(H4285="EIF",5.4)))))))</f>
        <v/>
      </c>
      <c r="M4285" s="112" t="str">
        <f t="shared" si="70"/>
        <v/>
      </c>
      <c r="N4285" s="113"/>
    </row>
    <row r="4286" spans="2:14">
      <c r="B4286" s="105"/>
      <c r="C4286" s="106"/>
      <c r="D4286" s="107"/>
      <c r="E4286" s="65"/>
      <c r="F4286" s="64"/>
      <c r="G4286" s="64"/>
      <c r="H4286" s="64"/>
      <c r="I4286" s="70"/>
      <c r="J4286" s="70"/>
      <c r="K4286" s="110" t="str">
        <f>IF(H4286="","",IF($C$29="간이법","",FPR(H4286,I4286,J4286)))</f>
        <v/>
      </c>
      <c r="L4286" s="111" t="str">
        <f>IF(H4286="","",IF($C$29="상세법",FPV(H4286,K4286),IF(H4286="EI",4,IF(H4286="EO",5.2,IF(H4286="EQ",3.9,IF(H4286="ILF",7.5,IF(H4286="EIF",5.4)))))))</f>
        <v/>
      </c>
      <c r="M4286" s="112" t="str">
        <f t="shared" si="70"/>
        <v/>
      </c>
      <c r="N4286" s="113"/>
    </row>
    <row r="4287" spans="2:14">
      <c r="B4287" s="105"/>
      <c r="C4287" s="106"/>
      <c r="D4287" s="107"/>
      <c r="E4287" s="65"/>
      <c r="F4287" s="64"/>
      <c r="G4287" s="64"/>
      <c r="H4287" s="64"/>
      <c r="I4287" s="70"/>
      <c r="J4287" s="70"/>
      <c r="K4287" s="110" t="str">
        <f>IF(H4287="","",IF($C$29="간이법","",FPR(H4287,I4287,J4287)))</f>
        <v/>
      </c>
      <c r="L4287" s="111" t="str">
        <f>IF(H4287="","",IF($C$29="상세법",FPV(H4287,K4287),IF(H4287="EI",4,IF(H4287="EO",5.2,IF(H4287="EQ",3.9,IF(H4287="ILF",7.5,IF(H4287="EIF",5.4)))))))</f>
        <v/>
      </c>
      <c r="M4287" s="112" t="str">
        <f t="shared" si="70"/>
        <v/>
      </c>
      <c r="N4287" s="113"/>
    </row>
    <row r="4288" spans="2:14">
      <c r="B4288" s="105"/>
      <c r="C4288" s="106"/>
      <c r="D4288" s="107"/>
      <c r="E4288" s="65"/>
      <c r="F4288" s="64"/>
      <c r="G4288" s="64"/>
      <c r="H4288" s="64"/>
      <c r="I4288" s="70"/>
      <c r="J4288" s="70"/>
      <c r="K4288" s="110" t="str">
        <f>IF(H4288="","",IF($C$29="간이법","",FPR(H4288,I4288,J4288)))</f>
        <v/>
      </c>
      <c r="L4288" s="111" t="str">
        <f>IF(H4288="","",IF($C$29="상세법",FPV(H4288,K4288),IF(H4288="EI",4,IF(H4288="EO",5.2,IF(H4288="EQ",3.9,IF(H4288="ILF",7.5,IF(H4288="EIF",5.4)))))))</f>
        <v/>
      </c>
      <c r="M4288" s="112" t="str">
        <f t="shared" si="70"/>
        <v/>
      </c>
      <c r="N4288" s="113"/>
    </row>
    <row r="4289" spans="2:14">
      <c r="B4289" s="105"/>
      <c r="C4289" s="106"/>
      <c r="D4289" s="107"/>
      <c r="E4289" s="65"/>
      <c r="F4289" s="64"/>
      <c r="G4289" s="64"/>
      <c r="H4289" s="64"/>
      <c r="I4289" s="70"/>
      <c r="J4289" s="70"/>
      <c r="K4289" s="110" t="str">
        <f>IF(H4289="","",IF($C$29="간이법","",FPR(H4289,I4289,J4289)))</f>
        <v/>
      </c>
      <c r="L4289" s="111" t="str">
        <f>IF(H4289="","",IF($C$29="상세법",FPV(H4289,K4289),IF(H4289="EI",4,IF(H4289="EO",5.2,IF(H4289="EQ",3.9,IF(H4289="ILF",7.5,IF(H4289="EIF",5.4)))))))</f>
        <v/>
      </c>
      <c r="M4289" s="112" t="str">
        <f t="shared" si="70"/>
        <v/>
      </c>
      <c r="N4289" s="113"/>
    </row>
    <row r="4290" spans="2:14">
      <c r="B4290" s="105"/>
      <c r="C4290" s="106"/>
      <c r="D4290" s="107"/>
      <c r="E4290" s="65"/>
      <c r="F4290" s="64"/>
      <c r="G4290" s="64"/>
      <c r="H4290" s="64"/>
      <c r="I4290" s="70"/>
      <c r="J4290" s="70"/>
      <c r="K4290" s="110" t="str">
        <f>IF(H4290="","",IF($C$29="간이법","",FPR(H4290,I4290,J4290)))</f>
        <v/>
      </c>
      <c r="L4290" s="111" t="str">
        <f>IF(H4290="","",IF($C$29="상세법",FPV(H4290,K4290),IF(H4290="EI",4,IF(H4290="EO",5.2,IF(H4290="EQ",3.9,IF(H4290="ILF",7.5,IF(H4290="EIF",5.4)))))))</f>
        <v/>
      </c>
      <c r="M4290" s="112" t="str">
        <f t="shared" si="70"/>
        <v/>
      </c>
      <c r="N4290" s="113"/>
    </row>
    <row r="4291" spans="2:14">
      <c r="B4291" s="105"/>
      <c r="C4291" s="106"/>
      <c r="D4291" s="107"/>
      <c r="E4291" s="65"/>
      <c r="F4291" s="64"/>
      <c r="G4291" s="64"/>
      <c r="H4291" s="64"/>
      <c r="I4291" s="70"/>
      <c r="J4291" s="70"/>
      <c r="K4291" s="110" t="str">
        <f>IF(H4291="","",IF($C$29="간이법","",FPR(H4291,I4291,J4291)))</f>
        <v/>
      </c>
      <c r="L4291" s="111" t="str">
        <f>IF(H4291="","",IF($C$29="상세법",FPV(H4291,K4291),IF(H4291="EI",4,IF(H4291="EO",5.2,IF(H4291="EQ",3.9,IF(H4291="ILF",7.5,IF(H4291="EIF",5.4)))))))</f>
        <v/>
      </c>
      <c r="M4291" s="112" t="str">
        <f t="shared" si="70"/>
        <v/>
      </c>
      <c r="N4291" s="113"/>
    </row>
    <row r="4292" spans="2:14">
      <c r="B4292" s="105"/>
      <c r="C4292" s="106"/>
      <c r="D4292" s="107"/>
      <c r="E4292" s="65"/>
      <c r="F4292" s="64"/>
      <c r="G4292" s="64"/>
      <c r="H4292" s="64"/>
      <c r="I4292" s="70"/>
      <c r="J4292" s="70"/>
      <c r="K4292" s="110" t="str">
        <f>IF(H4292="","",IF($C$29="간이법","",FPR(H4292,I4292,J4292)))</f>
        <v/>
      </c>
      <c r="L4292" s="111" t="str">
        <f>IF(H4292="","",IF($C$29="상세법",FPV(H4292,K4292),IF(H4292="EI",4,IF(H4292="EO",5.2,IF(H4292="EQ",3.9,IF(H4292="ILF",7.5,IF(H4292="EIF",5.4)))))))</f>
        <v/>
      </c>
      <c r="M4292" s="112" t="str">
        <f t="shared" si="70"/>
        <v/>
      </c>
      <c r="N4292" s="113"/>
    </row>
    <row r="4293" spans="2:14">
      <c r="B4293" s="105"/>
      <c r="C4293" s="106"/>
      <c r="D4293" s="107"/>
      <c r="E4293" s="65"/>
      <c r="F4293" s="64"/>
      <c r="G4293" s="64"/>
      <c r="H4293" s="64"/>
      <c r="I4293" s="70"/>
      <c r="J4293" s="70"/>
      <c r="K4293" s="110" t="str">
        <f>IF(H4293="","",IF($C$29="간이법","",FPR(H4293,I4293,J4293)))</f>
        <v/>
      </c>
      <c r="L4293" s="111" t="str">
        <f>IF(H4293="","",IF($C$29="상세법",FPV(H4293,K4293),IF(H4293="EI",4,IF(H4293="EO",5.2,IF(H4293="EQ",3.9,IF(H4293="ILF",7.5,IF(H4293="EIF",5.4)))))))</f>
        <v/>
      </c>
      <c r="M4293" s="112" t="str">
        <f t="shared" si="70"/>
        <v/>
      </c>
      <c r="N4293" s="113"/>
    </row>
    <row r="4294" spans="2:14">
      <c r="B4294" s="105"/>
      <c r="C4294" s="106"/>
      <c r="D4294" s="107"/>
      <c r="E4294" s="65"/>
      <c r="F4294" s="64"/>
      <c r="G4294" s="64"/>
      <c r="H4294" s="64"/>
      <c r="I4294" s="70"/>
      <c r="J4294" s="70"/>
      <c r="K4294" s="110" t="str">
        <f>IF(H4294="","",IF($C$29="간이법","",FPR(H4294,I4294,J4294)))</f>
        <v/>
      </c>
      <c r="L4294" s="111" t="str">
        <f>IF(H4294="","",IF($C$29="상세법",FPV(H4294,K4294),IF(H4294="EI",4,IF(H4294="EO",5.2,IF(H4294="EQ",3.9,IF(H4294="ILF",7.5,IF(H4294="EIF",5.4)))))))</f>
        <v/>
      </c>
      <c r="M4294" s="112" t="str">
        <f t="shared" si="70"/>
        <v/>
      </c>
      <c r="N4294" s="113"/>
    </row>
    <row r="4295" spans="2:14">
      <c r="B4295" s="105"/>
      <c r="C4295" s="106"/>
      <c r="D4295" s="107"/>
      <c r="E4295" s="65"/>
      <c r="F4295" s="64"/>
      <c r="G4295" s="64"/>
      <c r="H4295" s="64"/>
      <c r="I4295" s="70"/>
      <c r="J4295" s="70"/>
      <c r="K4295" s="110" t="str">
        <f>IF(H4295="","",IF($C$29="간이법","",FPR(H4295,I4295,J4295)))</f>
        <v/>
      </c>
      <c r="L4295" s="111" t="str">
        <f>IF(H4295="","",IF($C$29="상세법",FPV(H4295,K4295),IF(H4295="EI",4,IF(H4295="EO",5.2,IF(H4295="EQ",3.9,IF(H4295="ILF",7.5,IF(H4295="EIF",5.4)))))))</f>
        <v/>
      </c>
      <c r="M4295" s="112" t="str">
        <f t="shared" si="70"/>
        <v/>
      </c>
      <c r="N4295" s="113"/>
    </row>
    <row r="4296" spans="2:14">
      <c r="B4296" s="105"/>
      <c r="C4296" s="106"/>
      <c r="D4296" s="107"/>
      <c r="E4296" s="65"/>
      <c r="F4296" s="64"/>
      <c r="G4296" s="64"/>
      <c r="H4296" s="64"/>
      <c r="I4296" s="70"/>
      <c r="J4296" s="70"/>
      <c r="K4296" s="110" t="str">
        <f>IF(H4296="","",IF($C$29="간이법","",FPR(H4296,I4296,J4296)))</f>
        <v/>
      </c>
      <c r="L4296" s="111" t="str">
        <f>IF(H4296="","",IF($C$29="상세법",FPV(H4296,K4296),IF(H4296="EI",4,IF(H4296="EO",5.2,IF(H4296="EQ",3.9,IF(H4296="ILF",7.5,IF(H4296="EIF",5.4)))))))</f>
        <v/>
      </c>
      <c r="M4296" s="112" t="str">
        <f t="shared" si="70"/>
        <v/>
      </c>
      <c r="N4296" s="113"/>
    </row>
    <row r="4297" spans="2:14">
      <c r="B4297" s="105"/>
      <c r="C4297" s="106"/>
      <c r="D4297" s="107"/>
      <c r="E4297" s="65"/>
      <c r="F4297" s="64"/>
      <c r="G4297" s="64"/>
      <c r="H4297" s="64"/>
      <c r="I4297" s="70"/>
      <c r="J4297" s="70"/>
      <c r="K4297" s="110" t="str">
        <f>IF(H4297="","",IF($C$29="간이법","",FPR(H4297,I4297,J4297)))</f>
        <v/>
      </c>
      <c r="L4297" s="111" t="str">
        <f>IF(H4297="","",IF($C$29="상세법",FPV(H4297,K4297),IF(H4297="EI",4,IF(H4297="EO",5.2,IF(H4297="EQ",3.9,IF(H4297="ILF",7.5,IF(H4297="EIF",5.4)))))))</f>
        <v/>
      </c>
      <c r="M4297" s="112" t="str">
        <f t="shared" si="70"/>
        <v/>
      </c>
      <c r="N4297" s="113"/>
    </row>
    <row r="4298" spans="2:14">
      <c r="B4298" s="105"/>
      <c r="C4298" s="106"/>
      <c r="D4298" s="107"/>
      <c r="E4298" s="65"/>
      <c r="F4298" s="64"/>
      <c r="G4298" s="64"/>
      <c r="H4298" s="64"/>
      <c r="I4298" s="70"/>
      <c r="J4298" s="70"/>
      <c r="K4298" s="110" t="str">
        <f>IF(H4298="","",IF($C$29="간이법","",FPR(H4298,I4298,J4298)))</f>
        <v/>
      </c>
      <c r="L4298" s="111" t="str">
        <f>IF(H4298="","",IF($C$29="상세법",FPV(H4298,K4298),IF(H4298="EI",4,IF(H4298="EO",5.2,IF(H4298="EQ",3.9,IF(H4298="ILF",7.5,IF(H4298="EIF",5.4)))))))</f>
        <v/>
      </c>
      <c r="M4298" s="112" t="str">
        <f t="shared" si="70"/>
        <v/>
      </c>
      <c r="N4298" s="113"/>
    </row>
    <row r="4299" spans="2:14">
      <c r="B4299" s="105"/>
      <c r="C4299" s="106"/>
      <c r="D4299" s="107"/>
      <c r="E4299" s="65"/>
      <c r="F4299" s="64"/>
      <c r="G4299" s="64"/>
      <c r="H4299" s="64"/>
      <c r="I4299" s="70"/>
      <c r="J4299" s="70"/>
      <c r="K4299" s="110" t="str">
        <f>IF(H4299="","",IF($C$29="간이법","",FPR(H4299,I4299,J4299)))</f>
        <v/>
      </c>
      <c r="L4299" s="111" t="str">
        <f>IF(H4299="","",IF($C$29="상세법",FPV(H4299,K4299),IF(H4299="EI",4,IF(H4299="EO",5.2,IF(H4299="EQ",3.9,IF(H4299="ILF",7.5,IF(H4299="EIF",5.4)))))))</f>
        <v/>
      </c>
      <c r="M4299" s="112" t="str">
        <f t="shared" si="70"/>
        <v/>
      </c>
      <c r="N4299" s="113"/>
    </row>
    <row r="4300" spans="2:14">
      <c r="B4300" s="105"/>
      <c r="C4300" s="106"/>
      <c r="D4300" s="107"/>
      <c r="E4300" s="65"/>
      <c r="F4300" s="64"/>
      <c r="G4300" s="64"/>
      <c r="H4300" s="64"/>
      <c r="I4300" s="70"/>
      <c r="J4300" s="70"/>
      <c r="K4300" s="110" t="str">
        <f>IF(H4300="","",IF($C$29="간이법","",FPR(H4300,I4300,J4300)))</f>
        <v/>
      </c>
      <c r="L4300" s="111" t="str">
        <f>IF(H4300="","",IF($C$29="상세법",FPV(H4300,K4300),IF(H4300="EI",4,IF(H4300="EO",5.2,IF(H4300="EQ",3.9,IF(H4300="ILF",7.5,IF(H4300="EIF",5.4)))))))</f>
        <v/>
      </c>
      <c r="M4300" s="112" t="str">
        <f t="shared" si="70"/>
        <v/>
      </c>
      <c r="N4300" s="113"/>
    </row>
    <row r="4301" spans="2:14">
      <c r="B4301" s="105"/>
      <c r="C4301" s="106"/>
      <c r="D4301" s="107"/>
      <c r="E4301" s="65"/>
      <c r="F4301" s="64"/>
      <c r="G4301" s="64"/>
      <c r="H4301" s="64"/>
      <c r="I4301" s="70"/>
      <c r="J4301" s="70"/>
      <c r="K4301" s="110" t="str">
        <f>IF(H4301="","",IF($C$29="간이법","",FPR(H4301,I4301,J4301)))</f>
        <v/>
      </c>
      <c r="L4301" s="111" t="str">
        <f>IF(H4301="","",IF($C$29="상세법",FPV(H4301,K4301),IF(H4301="EI",4,IF(H4301="EO",5.2,IF(H4301="EQ",3.9,IF(H4301="ILF",7.5,IF(H4301="EIF",5.4)))))))</f>
        <v/>
      </c>
      <c r="M4301" s="112" t="str">
        <f t="shared" si="70"/>
        <v/>
      </c>
      <c r="N4301" s="113"/>
    </row>
    <row r="4302" spans="2:14">
      <c r="B4302" s="105"/>
      <c r="C4302" s="106"/>
      <c r="D4302" s="107"/>
      <c r="E4302" s="65"/>
      <c r="F4302" s="64"/>
      <c r="G4302" s="64"/>
      <c r="H4302" s="64"/>
      <c r="I4302" s="70"/>
      <c r="J4302" s="70"/>
      <c r="K4302" s="110" t="str">
        <f>IF(H4302="","",IF($C$29="간이법","",FPR(H4302,I4302,J4302)))</f>
        <v/>
      </c>
      <c r="L4302" s="111" t="str">
        <f>IF(H4302="","",IF($C$29="상세법",FPV(H4302,K4302),IF(H4302="EI",4,IF(H4302="EO",5.2,IF(H4302="EQ",3.9,IF(H4302="ILF",7.5,IF(H4302="EIF",5.4)))))))</f>
        <v/>
      </c>
      <c r="M4302" s="112" t="str">
        <f t="shared" si="70"/>
        <v/>
      </c>
      <c r="N4302" s="113"/>
    </row>
    <row r="4303" spans="2:14">
      <c r="B4303" s="105"/>
      <c r="C4303" s="106"/>
      <c r="D4303" s="107"/>
      <c r="E4303" s="65"/>
      <c r="F4303" s="64"/>
      <c r="G4303" s="64"/>
      <c r="H4303" s="64"/>
      <c r="I4303" s="70"/>
      <c r="J4303" s="70"/>
      <c r="K4303" s="110" t="str">
        <f>IF(H4303="","",IF($C$29="간이법","",FPR(H4303,I4303,J4303)))</f>
        <v/>
      </c>
      <c r="L4303" s="111" t="str">
        <f>IF(H4303="","",IF($C$29="상세법",FPV(H4303,K4303),IF(H4303="EI",4,IF(H4303="EO",5.2,IF(H4303="EQ",3.9,IF(H4303="ILF",7.5,IF(H4303="EIF",5.4)))))))</f>
        <v/>
      </c>
      <c r="M4303" s="112" t="str">
        <f t="shared" si="70"/>
        <v/>
      </c>
      <c r="N4303" s="113"/>
    </row>
    <row r="4304" spans="2:14">
      <c r="B4304" s="105"/>
      <c r="C4304" s="106"/>
      <c r="D4304" s="107"/>
      <c r="E4304" s="65"/>
      <c r="F4304" s="64"/>
      <c r="G4304" s="64"/>
      <c r="H4304" s="64"/>
      <c r="I4304" s="70"/>
      <c r="J4304" s="70"/>
      <c r="K4304" s="110" t="str">
        <f>IF(H4304="","",IF($C$29="간이법","",FPR(H4304,I4304,J4304)))</f>
        <v/>
      </c>
      <c r="L4304" s="111" t="str">
        <f>IF(H4304="","",IF($C$29="상세법",FPV(H4304,K4304),IF(H4304="EI",4,IF(H4304="EO",5.2,IF(H4304="EQ",3.9,IF(H4304="ILF",7.5,IF(H4304="EIF",5.4)))))))</f>
        <v/>
      </c>
      <c r="M4304" s="112" t="str">
        <f t="shared" si="70"/>
        <v/>
      </c>
      <c r="N4304" s="113"/>
    </row>
    <row r="4305" spans="2:14">
      <c r="B4305" s="105"/>
      <c r="C4305" s="106"/>
      <c r="D4305" s="107"/>
      <c r="E4305" s="65"/>
      <c r="F4305" s="64"/>
      <c r="G4305" s="64"/>
      <c r="H4305" s="64"/>
      <c r="I4305" s="70"/>
      <c r="J4305" s="70"/>
      <c r="K4305" s="110" t="str">
        <f>IF(H4305="","",IF($C$29="간이법","",FPR(H4305,I4305,J4305)))</f>
        <v/>
      </c>
      <c r="L4305" s="111" t="str">
        <f>IF(H4305="","",IF($C$29="상세법",FPV(H4305,K4305),IF(H4305="EI",4,IF(H4305="EO",5.2,IF(H4305="EQ",3.9,IF(H4305="ILF",7.5,IF(H4305="EIF",5.4)))))))</f>
        <v/>
      </c>
      <c r="M4305" s="112" t="str">
        <f t="shared" si="70"/>
        <v/>
      </c>
      <c r="N4305" s="113"/>
    </row>
    <row r="4306" spans="2:14">
      <c r="B4306" s="105"/>
      <c r="C4306" s="106"/>
      <c r="D4306" s="107"/>
      <c r="E4306" s="65"/>
      <c r="F4306" s="64"/>
      <c r="G4306" s="64"/>
      <c r="H4306" s="64"/>
      <c r="I4306" s="70"/>
      <c r="J4306" s="70"/>
      <c r="K4306" s="110" t="str">
        <f>IF(H4306="","",IF($C$29="간이법","",FPR(H4306,I4306,J4306)))</f>
        <v/>
      </c>
      <c r="L4306" s="111" t="str">
        <f>IF(H4306="","",IF($C$29="상세법",FPV(H4306,K4306),IF(H4306="EI",4,IF(H4306="EO",5.2,IF(H4306="EQ",3.9,IF(H4306="ILF",7.5,IF(H4306="EIF",5.4)))))))</f>
        <v/>
      </c>
      <c r="M4306" s="112" t="str">
        <f t="shared" si="70"/>
        <v/>
      </c>
      <c r="N4306" s="113"/>
    </row>
    <row r="4307" spans="2:14">
      <c r="B4307" s="105"/>
      <c r="C4307" s="106"/>
      <c r="D4307" s="107"/>
      <c r="E4307" s="65"/>
      <c r="F4307" s="64"/>
      <c r="G4307" s="64"/>
      <c r="H4307" s="64"/>
      <c r="I4307" s="70"/>
      <c r="J4307" s="70"/>
      <c r="K4307" s="110" t="str">
        <f>IF(H4307="","",IF($C$29="간이법","",FPR(H4307,I4307,J4307)))</f>
        <v/>
      </c>
      <c r="L4307" s="111" t="str">
        <f>IF(H4307="","",IF($C$29="상세법",FPV(H4307,K4307),IF(H4307="EI",4,IF(H4307="EO",5.2,IF(H4307="EQ",3.9,IF(H4307="ILF",7.5,IF(H4307="EIF",5.4)))))))</f>
        <v/>
      </c>
      <c r="M4307" s="112" t="str">
        <f t="shared" si="70"/>
        <v/>
      </c>
      <c r="N4307" s="113"/>
    </row>
    <row r="4308" spans="2:14">
      <c r="B4308" s="105"/>
      <c r="C4308" s="106"/>
      <c r="D4308" s="107"/>
      <c r="E4308" s="65"/>
      <c r="F4308" s="64"/>
      <c r="G4308" s="64"/>
      <c r="H4308" s="64"/>
      <c r="I4308" s="70"/>
      <c r="J4308" s="70"/>
      <c r="K4308" s="110" t="str">
        <f>IF(H4308="","",IF($C$29="간이법","",FPR(H4308,I4308,J4308)))</f>
        <v/>
      </c>
      <c r="L4308" s="111" t="str">
        <f>IF(H4308="","",IF($C$29="상세법",FPV(H4308,K4308),IF(H4308="EI",4,IF(H4308="EO",5.2,IF(H4308="EQ",3.9,IF(H4308="ILF",7.5,IF(H4308="EIF",5.4)))))))</f>
        <v/>
      </c>
      <c r="M4308" s="112" t="str">
        <f t="shared" si="70"/>
        <v/>
      </c>
      <c r="N4308" s="113"/>
    </row>
    <row r="4309" spans="2:14">
      <c r="B4309" s="105"/>
      <c r="C4309" s="106"/>
      <c r="D4309" s="107"/>
      <c r="E4309" s="65"/>
      <c r="F4309" s="64"/>
      <c r="G4309" s="64"/>
      <c r="H4309" s="64"/>
      <c r="I4309" s="70"/>
      <c r="J4309" s="70"/>
      <c r="K4309" s="110" t="str">
        <f>IF(H4309="","",IF($C$29="간이법","",FPR(H4309,I4309,J4309)))</f>
        <v/>
      </c>
      <c r="L4309" s="111" t="str">
        <f>IF(H4309="","",IF($C$29="상세법",FPV(H4309,K4309),IF(H4309="EI",4,IF(H4309="EO",5.2,IF(H4309="EQ",3.9,IF(H4309="ILF",7.5,IF(H4309="EIF",5.4)))))))</f>
        <v/>
      </c>
      <c r="M4309" s="112" t="str">
        <f t="shared" si="70"/>
        <v/>
      </c>
      <c r="N4309" s="113"/>
    </row>
    <row r="4310" spans="2:14">
      <c r="B4310" s="105"/>
      <c r="C4310" s="106"/>
      <c r="D4310" s="107"/>
      <c r="E4310" s="65"/>
      <c r="F4310" s="64"/>
      <c r="G4310" s="64"/>
      <c r="H4310" s="64"/>
      <c r="I4310" s="70"/>
      <c r="J4310" s="70"/>
      <c r="K4310" s="110" t="str">
        <f>IF(H4310="","",IF($C$29="간이법","",FPR(H4310,I4310,J4310)))</f>
        <v/>
      </c>
      <c r="L4310" s="111" t="str">
        <f>IF(H4310="","",IF($C$29="상세법",FPV(H4310,K4310),IF(H4310="EI",4,IF(H4310="EO",5.2,IF(H4310="EQ",3.9,IF(H4310="ILF",7.5,IF(H4310="EIF",5.4)))))))</f>
        <v/>
      </c>
      <c r="M4310" s="112" t="str">
        <f t="shared" si="70"/>
        <v/>
      </c>
      <c r="N4310" s="113"/>
    </row>
    <row r="4311" spans="2:14">
      <c r="B4311" s="105"/>
      <c r="C4311" s="106"/>
      <c r="D4311" s="107"/>
      <c r="E4311" s="65"/>
      <c r="F4311" s="64"/>
      <c r="G4311" s="64"/>
      <c r="H4311" s="64"/>
      <c r="I4311" s="70"/>
      <c r="J4311" s="70"/>
      <c r="K4311" s="110" t="str">
        <f>IF(H4311="","",IF($C$29="간이법","",FPR(H4311,I4311,J4311)))</f>
        <v/>
      </c>
      <c r="L4311" s="111" t="str">
        <f>IF(H4311="","",IF($C$29="상세법",FPV(H4311,K4311),IF(H4311="EI",4,IF(H4311="EO",5.2,IF(H4311="EQ",3.9,IF(H4311="ILF",7.5,IF(H4311="EIF",5.4)))))))</f>
        <v/>
      </c>
      <c r="M4311" s="112" t="str">
        <f t="shared" si="70"/>
        <v/>
      </c>
      <c r="N4311" s="113"/>
    </row>
    <row r="4312" spans="2:14">
      <c r="B4312" s="105"/>
      <c r="C4312" s="106"/>
      <c r="D4312" s="107"/>
      <c r="E4312" s="65"/>
      <c r="F4312" s="64"/>
      <c r="G4312" s="64"/>
      <c r="H4312" s="64"/>
      <c r="I4312" s="70"/>
      <c r="J4312" s="70"/>
      <c r="K4312" s="110" t="str">
        <f>IF(H4312="","",IF($C$29="간이법","",FPR(H4312,I4312,J4312)))</f>
        <v/>
      </c>
      <c r="L4312" s="111" t="str">
        <f>IF(H4312="","",IF($C$29="상세법",FPV(H4312,K4312),IF(H4312="EI",4,IF(H4312="EO",5.2,IF(H4312="EQ",3.9,IF(H4312="ILF",7.5,IF(H4312="EIF",5.4)))))))</f>
        <v/>
      </c>
      <c r="M4312" s="112" t="str">
        <f t="shared" si="70"/>
        <v/>
      </c>
      <c r="N4312" s="113"/>
    </row>
    <row r="4313" spans="2:14">
      <c r="B4313" s="105"/>
      <c r="C4313" s="106"/>
      <c r="D4313" s="107"/>
      <c r="E4313" s="65"/>
      <c r="F4313" s="64"/>
      <c r="G4313" s="64"/>
      <c r="H4313" s="64"/>
      <c r="I4313" s="70"/>
      <c r="J4313" s="70"/>
      <c r="K4313" s="110" t="str">
        <f>IF(H4313="","",IF($C$29="간이법","",FPR(H4313,I4313,J4313)))</f>
        <v/>
      </c>
      <c r="L4313" s="111" t="str">
        <f>IF(H4313="","",IF($C$29="상세법",FPV(H4313,K4313),IF(H4313="EI",4,IF(H4313="EO",5.2,IF(H4313="EQ",3.9,IF(H4313="ILF",7.5,IF(H4313="EIF",5.4)))))))</f>
        <v/>
      </c>
      <c r="M4313" s="112" t="str">
        <f t="shared" si="70"/>
        <v/>
      </c>
      <c r="N4313" s="113"/>
    </row>
    <row r="4314" spans="2:14">
      <c r="B4314" s="105"/>
      <c r="C4314" s="106"/>
      <c r="D4314" s="107"/>
      <c r="E4314" s="65"/>
      <c r="F4314" s="64"/>
      <c r="G4314" s="64"/>
      <c r="H4314" s="64"/>
      <c r="I4314" s="70"/>
      <c r="J4314" s="70"/>
      <c r="K4314" s="110" t="str">
        <f>IF(H4314="","",IF($C$29="간이법","",FPR(H4314,I4314,J4314)))</f>
        <v/>
      </c>
      <c r="L4314" s="111" t="str">
        <f>IF(H4314="","",IF($C$29="상세법",FPV(H4314,K4314),IF(H4314="EI",4,IF(H4314="EO",5.2,IF(H4314="EQ",3.9,IF(H4314="ILF",7.5,IF(H4314="EIF",5.4)))))))</f>
        <v/>
      </c>
      <c r="M4314" s="112" t="str">
        <f t="shared" si="70"/>
        <v/>
      </c>
      <c r="N4314" s="113"/>
    </row>
    <row r="4315" spans="2:14">
      <c r="B4315" s="105"/>
      <c r="C4315" s="106"/>
      <c r="D4315" s="107"/>
      <c r="E4315" s="65"/>
      <c r="F4315" s="64"/>
      <c r="G4315" s="64"/>
      <c r="H4315" s="64"/>
      <c r="I4315" s="70"/>
      <c r="J4315" s="70"/>
      <c r="K4315" s="110" t="str">
        <f>IF(H4315="","",IF($C$29="간이법","",FPR(H4315,I4315,J4315)))</f>
        <v/>
      </c>
      <c r="L4315" s="111" t="str">
        <f>IF(H4315="","",IF($C$29="상세법",FPV(H4315,K4315),IF(H4315="EI",4,IF(H4315="EO",5.2,IF(H4315="EQ",3.9,IF(H4315="ILF",7.5,IF(H4315="EIF",5.4)))))))</f>
        <v/>
      </c>
      <c r="M4315" s="112" t="str">
        <f t="shared" si="70"/>
        <v/>
      </c>
      <c r="N4315" s="113"/>
    </row>
    <row r="4316" spans="2:14">
      <c r="B4316" s="105"/>
      <c r="C4316" s="106"/>
      <c r="D4316" s="107"/>
      <c r="E4316" s="65"/>
      <c r="F4316" s="64"/>
      <c r="G4316" s="64"/>
      <c r="H4316" s="64"/>
      <c r="I4316" s="70"/>
      <c r="J4316" s="70"/>
      <c r="K4316" s="110" t="str">
        <f>IF(H4316="","",IF($C$29="간이법","",FPR(H4316,I4316,J4316)))</f>
        <v/>
      </c>
      <c r="L4316" s="111" t="str">
        <f>IF(H4316="","",IF($C$29="상세법",FPV(H4316,K4316),IF(H4316="EI",4,IF(H4316="EO",5.2,IF(H4316="EQ",3.9,IF(H4316="ILF",7.5,IF(H4316="EIF",5.4)))))))</f>
        <v/>
      </c>
      <c r="M4316" s="112" t="str">
        <f t="shared" si="70"/>
        <v/>
      </c>
      <c r="N4316" s="113"/>
    </row>
    <row r="4317" spans="2:14">
      <c r="B4317" s="105"/>
      <c r="C4317" s="106"/>
      <c r="D4317" s="107"/>
      <c r="E4317" s="65"/>
      <c r="F4317" s="64"/>
      <c r="G4317" s="64"/>
      <c r="H4317" s="64"/>
      <c r="I4317" s="70"/>
      <c r="J4317" s="70"/>
      <c r="K4317" s="110" t="str">
        <f>IF(H4317="","",IF($C$29="간이법","",FPR(H4317,I4317,J4317)))</f>
        <v/>
      </c>
      <c r="L4317" s="111" t="str">
        <f>IF(H4317="","",IF($C$29="상세법",FPV(H4317,K4317),IF(H4317="EI",4,IF(H4317="EO",5.2,IF(H4317="EQ",3.9,IF(H4317="ILF",7.5,IF(H4317="EIF",5.4)))))))</f>
        <v/>
      </c>
      <c r="M4317" s="112" t="str">
        <f t="shared" si="70"/>
        <v/>
      </c>
      <c r="N4317" s="113"/>
    </row>
    <row r="4318" spans="2:14">
      <c r="B4318" s="105"/>
      <c r="C4318" s="106"/>
      <c r="D4318" s="107"/>
      <c r="E4318" s="65"/>
      <c r="F4318" s="64"/>
      <c r="G4318" s="64"/>
      <c r="H4318" s="64"/>
      <c r="I4318" s="70"/>
      <c r="J4318" s="70"/>
      <c r="K4318" s="110" t="str">
        <f>IF(H4318="","",IF($C$29="간이법","",FPR(H4318,I4318,J4318)))</f>
        <v/>
      </c>
      <c r="L4318" s="111" t="str">
        <f>IF(H4318="","",IF($C$29="상세법",FPV(H4318,K4318),IF(H4318="EI",4,IF(H4318="EO",5.2,IF(H4318="EQ",3.9,IF(H4318="ILF",7.5,IF(H4318="EIF",5.4)))))))</f>
        <v/>
      </c>
      <c r="M4318" s="112" t="str">
        <f t="shared" si="70"/>
        <v/>
      </c>
      <c r="N4318" s="113"/>
    </row>
    <row r="4319" spans="2:14">
      <c r="B4319" s="105"/>
      <c r="C4319" s="106"/>
      <c r="D4319" s="107"/>
      <c r="E4319" s="65"/>
      <c r="F4319" s="64"/>
      <c r="G4319" s="64"/>
      <c r="H4319" s="64"/>
      <c r="I4319" s="70"/>
      <c r="J4319" s="70"/>
      <c r="K4319" s="110" t="str">
        <f>IF(H4319="","",IF($C$29="간이법","",FPR(H4319,I4319,J4319)))</f>
        <v/>
      </c>
      <c r="L4319" s="111" t="str">
        <f>IF(H4319="","",IF($C$29="상세법",FPV(H4319,K4319),IF(H4319="EI",4,IF(H4319="EO",5.2,IF(H4319="EQ",3.9,IF(H4319="ILF",7.5,IF(H4319="EIF",5.4)))))))</f>
        <v/>
      </c>
      <c r="M4319" s="112" t="str">
        <f t="shared" si="70"/>
        <v/>
      </c>
      <c r="N4319" s="113"/>
    </row>
    <row r="4320" spans="2:14">
      <c r="B4320" s="105"/>
      <c r="C4320" s="106"/>
      <c r="D4320" s="107"/>
      <c r="E4320" s="65"/>
      <c r="F4320" s="64"/>
      <c r="G4320" s="64"/>
      <c r="H4320" s="64"/>
      <c r="I4320" s="70"/>
      <c r="J4320" s="70"/>
      <c r="K4320" s="110" t="str">
        <f>IF(H4320="","",IF($C$29="간이법","",FPR(H4320,I4320,J4320)))</f>
        <v/>
      </c>
      <c r="L4320" s="111" t="str">
        <f>IF(H4320="","",IF($C$29="상세법",FPV(H4320,K4320),IF(H4320="EI",4,IF(H4320="EO",5.2,IF(H4320="EQ",3.9,IF(H4320="ILF",7.5,IF(H4320="EIF",5.4)))))))</f>
        <v/>
      </c>
      <c r="M4320" s="112" t="str">
        <f t="shared" si="70"/>
        <v/>
      </c>
      <c r="N4320" s="113"/>
    </row>
    <row r="4321" spans="2:14">
      <c r="B4321" s="105"/>
      <c r="C4321" s="106"/>
      <c r="D4321" s="107"/>
      <c r="E4321" s="65"/>
      <c r="F4321" s="64"/>
      <c r="G4321" s="64"/>
      <c r="H4321" s="64"/>
      <c r="I4321" s="70"/>
      <c r="J4321" s="70"/>
      <c r="K4321" s="110" t="str">
        <f>IF(H4321="","",IF($C$29="간이법","",FPR(H4321,I4321,J4321)))</f>
        <v/>
      </c>
      <c r="L4321" s="111" t="str">
        <f>IF(H4321="","",IF($C$29="상세법",FPV(H4321,K4321),IF(H4321="EI",4,IF(H4321="EO",5.2,IF(H4321="EQ",3.9,IF(H4321="ILF",7.5,IF(H4321="EIF",5.4)))))))</f>
        <v/>
      </c>
      <c r="M4321" s="112" t="str">
        <f t="shared" si="70"/>
        <v/>
      </c>
      <c r="N4321" s="113"/>
    </row>
    <row r="4322" spans="2:14">
      <c r="B4322" s="105"/>
      <c r="C4322" s="106"/>
      <c r="D4322" s="107"/>
      <c r="E4322" s="65"/>
      <c r="F4322" s="64"/>
      <c r="G4322" s="64"/>
      <c r="H4322" s="64"/>
      <c r="I4322" s="70"/>
      <c r="J4322" s="70"/>
      <c r="K4322" s="110" t="str">
        <f>IF(H4322="","",IF($C$29="간이법","",FPR(H4322,I4322,J4322)))</f>
        <v/>
      </c>
      <c r="L4322" s="111" t="str">
        <f>IF(H4322="","",IF($C$29="상세법",FPV(H4322,K4322),IF(H4322="EI",4,IF(H4322="EO",5.2,IF(H4322="EQ",3.9,IF(H4322="ILF",7.5,IF(H4322="EIF",5.4)))))))</f>
        <v/>
      </c>
      <c r="M4322" s="112" t="str">
        <f t="shared" si="70"/>
        <v/>
      </c>
      <c r="N4322" s="113"/>
    </row>
    <row r="4323" spans="2:14">
      <c r="B4323" s="105"/>
      <c r="C4323" s="106"/>
      <c r="D4323" s="107"/>
      <c r="E4323" s="65"/>
      <c r="F4323" s="64"/>
      <c r="G4323" s="64"/>
      <c r="H4323" s="64"/>
      <c r="I4323" s="70"/>
      <c r="J4323" s="70"/>
      <c r="K4323" s="110" t="str">
        <f>IF(H4323="","",IF($C$29="간이법","",FPR(H4323,I4323,J4323)))</f>
        <v/>
      </c>
      <c r="L4323" s="111" t="str">
        <f>IF(H4323="","",IF($C$29="상세법",FPV(H4323,K4323),IF(H4323="EI",4,IF(H4323="EO",5.2,IF(H4323="EQ",3.9,IF(H4323="ILF",7.5,IF(H4323="EIF",5.4)))))))</f>
        <v/>
      </c>
      <c r="M4323" s="112" t="str">
        <f t="shared" si="70"/>
        <v/>
      </c>
      <c r="N4323" s="113"/>
    </row>
    <row r="4324" spans="2:14">
      <c r="B4324" s="105"/>
      <c r="C4324" s="106"/>
      <c r="D4324" s="107"/>
      <c r="E4324" s="65"/>
      <c r="F4324" s="64"/>
      <c r="G4324" s="64"/>
      <c r="H4324" s="64"/>
      <c r="I4324" s="70"/>
      <c r="J4324" s="70"/>
      <c r="K4324" s="110" t="str">
        <f>IF(H4324="","",IF($C$29="간이법","",FPR(H4324,I4324,J4324)))</f>
        <v/>
      </c>
      <c r="L4324" s="111" t="str">
        <f>IF(H4324="","",IF($C$29="상세법",FPV(H4324,K4324),IF(H4324="EI",4,IF(H4324="EO",5.2,IF(H4324="EQ",3.9,IF(H4324="ILF",7.5,IF(H4324="EIF",5.4)))))))</f>
        <v/>
      </c>
      <c r="M4324" s="112" t="str">
        <f t="shared" si="70"/>
        <v/>
      </c>
      <c r="N4324" s="113"/>
    </row>
    <row r="4325" spans="2:14">
      <c r="B4325" s="105"/>
      <c r="C4325" s="106"/>
      <c r="D4325" s="107"/>
      <c r="E4325" s="65"/>
      <c r="F4325" s="64"/>
      <c r="G4325" s="64"/>
      <c r="H4325" s="64"/>
      <c r="I4325" s="70"/>
      <c r="J4325" s="70"/>
      <c r="K4325" s="110" t="str">
        <f>IF(H4325="","",IF($C$29="간이법","",FPR(H4325,I4325,J4325)))</f>
        <v/>
      </c>
      <c r="L4325" s="111" t="str">
        <f>IF(H4325="","",IF($C$29="상세법",FPV(H4325,K4325),IF(H4325="EI",4,IF(H4325="EO",5.2,IF(H4325="EQ",3.9,IF(H4325="ILF",7.5,IF(H4325="EIF",5.4)))))))</f>
        <v/>
      </c>
      <c r="M4325" s="112" t="str">
        <f t="shared" si="70"/>
        <v/>
      </c>
      <c r="N4325" s="113"/>
    </row>
    <row r="4326" spans="2:14">
      <c r="B4326" s="105"/>
      <c r="C4326" s="106"/>
      <c r="D4326" s="107"/>
      <c r="E4326" s="65"/>
      <c r="F4326" s="64"/>
      <c r="G4326" s="64"/>
      <c r="H4326" s="64"/>
      <c r="I4326" s="70"/>
      <c r="J4326" s="70"/>
      <c r="K4326" s="110" t="str">
        <f>IF(H4326="","",IF($C$29="간이법","",FPR(H4326,I4326,J4326)))</f>
        <v/>
      </c>
      <c r="L4326" s="111" t="str">
        <f>IF(H4326="","",IF($C$29="상세법",FPV(H4326,K4326),IF(H4326="EI",4,IF(H4326="EO",5.2,IF(H4326="EQ",3.9,IF(H4326="ILF",7.5,IF(H4326="EIF",5.4)))))))</f>
        <v/>
      </c>
      <c r="M4326" s="112" t="str">
        <f t="shared" si="70"/>
        <v/>
      </c>
      <c r="N4326" s="113"/>
    </row>
    <row r="4327" spans="2:14">
      <c r="B4327" s="105"/>
      <c r="C4327" s="106"/>
      <c r="D4327" s="107"/>
      <c r="E4327" s="65"/>
      <c r="F4327" s="64"/>
      <c r="G4327" s="64"/>
      <c r="H4327" s="64"/>
      <c r="I4327" s="70"/>
      <c r="J4327" s="70"/>
      <c r="K4327" s="110" t="str">
        <f>IF(H4327="","",IF($C$29="간이법","",FPR(H4327,I4327,J4327)))</f>
        <v/>
      </c>
      <c r="L4327" s="111" t="str">
        <f>IF(H4327="","",IF($C$29="상세법",FPV(H4327,K4327),IF(H4327="EI",4,IF(H4327="EO",5.2,IF(H4327="EQ",3.9,IF(H4327="ILF",7.5,IF(H4327="EIF",5.4)))))))</f>
        <v/>
      </c>
      <c r="M4327" s="112" t="str">
        <f t="shared" si="70"/>
        <v/>
      </c>
      <c r="N4327" s="113"/>
    </row>
    <row r="4328" spans="2:14">
      <c r="B4328" s="105"/>
      <c r="C4328" s="106"/>
      <c r="D4328" s="107"/>
      <c r="E4328" s="65"/>
      <c r="F4328" s="64"/>
      <c r="G4328" s="64"/>
      <c r="H4328" s="64"/>
      <c r="I4328" s="70"/>
      <c r="J4328" s="70"/>
      <c r="K4328" s="110" t="str">
        <f>IF(H4328="","",IF($C$29="간이법","",FPR(H4328,I4328,J4328)))</f>
        <v/>
      </c>
      <c r="L4328" s="111" t="str">
        <f>IF(H4328="","",IF($C$29="상세법",FPV(H4328,K4328),IF(H4328="EI",4,IF(H4328="EO",5.2,IF(H4328="EQ",3.9,IF(H4328="ILF",7.5,IF(H4328="EIF",5.4)))))))</f>
        <v/>
      </c>
      <c r="M4328" s="112" t="str">
        <f t="shared" si="70"/>
        <v/>
      </c>
      <c r="N4328" s="113"/>
    </row>
    <row r="4329" spans="2:14">
      <c r="B4329" s="105"/>
      <c r="C4329" s="106"/>
      <c r="D4329" s="107"/>
      <c r="E4329" s="65"/>
      <c r="F4329" s="64"/>
      <c r="G4329" s="64"/>
      <c r="H4329" s="64"/>
      <c r="I4329" s="70"/>
      <c r="J4329" s="70"/>
      <c r="K4329" s="110" t="str">
        <f>IF(H4329="","",IF($C$29="간이법","",FPR(H4329,I4329,J4329)))</f>
        <v/>
      </c>
      <c r="L4329" s="111" t="str">
        <f>IF(H4329="","",IF($C$29="상세법",FPV(H4329,K4329),IF(H4329="EI",4,IF(H4329="EO",5.2,IF(H4329="EQ",3.9,IF(H4329="ILF",7.5,IF(H4329="EIF",5.4)))))))</f>
        <v/>
      </c>
      <c r="M4329" s="112" t="str">
        <f t="shared" si="70"/>
        <v/>
      </c>
      <c r="N4329" s="113"/>
    </row>
    <row r="4330" spans="2:14">
      <c r="B4330" s="105"/>
      <c r="C4330" s="106"/>
      <c r="D4330" s="107"/>
      <c r="E4330" s="65"/>
      <c r="F4330" s="64"/>
      <c r="G4330" s="64"/>
      <c r="H4330" s="64"/>
      <c r="I4330" s="70"/>
      <c r="J4330" s="70"/>
      <c r="K4330" s="110" t="str">
        <f>IF(H4330="","",IF($C$29="간이법","",FPR(H4330,I4330,J4330)))</f>
        <v/>
      </c>
      <c r="L4330" s="111" t="str">
        <f>IF(H4330="","",IF($C$29="상세법",FPV(H4330,K4330),IF(H4330="EI",4,IF(H4330="EO",5.2,IF(H4330="EQ",3.9,IF(H4330="ILF",7.5,IF(H4330="EIF",5.4)))))))</f>
        <v/>
      </c>
      <c r="M4330" s="112" t="str">
        <f t="shared" si="70"/>
        <v/>
      </c>
      <c r="N4330" s="113"/>
    </row>
    <row r="4331" spans="2:14">
      <c r="B4331" s="105"/>
      <c r="C4331" s="106"/>
      <c r="D4331" s="107"/>
      <c r="E4331" s="65"/>
      <c r="F4331" s="64"/>
      <c r="G4331" s="64"/>
      <c r="H4331" s="64"/>
      <c r="I4331" s="70"/>
      <c r="J4331" s="70"/>
      <c r="K4331" s="110" t="str">
        <f>IF(H4331="","",IF($C$29="간이법","",FPR(H4331,I4331,J4331)))</f>
        <v/>
      </c>
      <c r="L4331" s="111" t="str">
        <f>IF(H4331="","",IF($C$29="상세법",FPV(H4331,K4331),IF(H4331="EI",4,IF(H4331="EO",5.2,IF(H4331="EQ",3.9,IF(H4331="ILF",7.5,IF(H4331="EIF",5.4)))))))</f>
        <v/>
      </c>
      <c r="M4331" s="112" t="str">
        <f t="shared" si="70"/>
        <v/>
      </c>
      <c r="N4331" s="113"/>
    </row>
    <row r="4332" spans="2:14">
      <c r="B4332" s="105"/>
      <c r="C4332" s="106"/>
      <c r="D4332" s="107"/>
      <c r="E4332" s="65"/>
      <c r="F4332" s="64"/>
      <c r="G4332" s="64"/>
      <c r="H4332" s="64"/>
      <c r="I4332" s="70"/>
      <c r="J4332" s="70"/>
      <c r="K4332" s="110" t="str">
        <f>IF(H4332="","",IF($C$29="간이법","",FPR(H4332,I4332,J4332)))</f>
        <v/>
      </c>
      <c r="L4332" s="111" t="str">
        <f>IF(H4332="","",IF($C$29="상세법",FPV(H4332,K4332),IF(H4332="EI",4,IF(H4332="EO",5.2,IF(H4332="EQ",3.9,IF(H4332="ILF",7.5,IF(H4332="EIF",5.4)))))))</f>
        <v/>
      </c>
      <c r="M4332" s="112" t="str">
        <f t="shared" si="70"/>
        <v/>
      </c>
      <c r="N4332" s="113"/>
    </row>
    <row r="4333" spans="2:14">
      <c r="B4333" s="105"/>
      <c r="C4333" s="106"/>
      <c r="D4333" s="107"/>
      <c r="E4333" s="65"/>
      <c r="F4333" s="64"/>
      <c r="G4333" s="64"/>
      <c r="H4333" s="64"/>
      <c r="I4333" s="70"/>
      <c r="J4333" s="70"/>
      <c r="K4333" s="110" t="str">
        <f>IF(H4333="","",IF($C$29="간이법","",FPR(H4333,I4333,J4333)))</f>
        <v/>
      </c>
      <c r="L4333" s="111" t="str">
        <f>IF(H4333="","",IF($C$29="상세법",FPV(H4333,K4333),IF(H4333="EI",4,IF(H4333="EO",5.2,IF(H4333="EQ",3.9,IF(H4333="ILF",7.5,IF(H4333="EIF",5.4)))))))</f>
        <v/>
      </c>
      <c r="M4333" s="112" t="str">
        <f t="shared" si="70"/>
        <v/>
      </c>
      <c r="N4333" s="113"/>
    </row>
    <row r="4334" spans="2:14">
      <c r="B4334" s="105"/>
      <c r="C4334" s="106"/>
      <c r="D4334" s="107"/>
      <c r="E4334" s="65"/>
      <c r="F4334" s="64"/>
      <c r="G4334" s="64"/>
      <c r="H4334" s="64"/>
      <c r="I4334" s="70"/>
      <c r="J4334" s="70"/>
      <c r="K4334" s="110" t="str">
        <f>IF(H4334="","",IF($C$29="간이법","",FPR(H4334,I4334,J4334)))</f>
        <v/>
      </c>
      <c r="L4334" s="111" t="str">
        <f>IF(H4334="","",IF($C$29="상세법",FPV(H4334,K4334),IF(H4334="EI",4,IF(H4334="EO",5.2,IF(H4334="EQ",3.9,IF(H4334="ILF",7.5,IF(H4334="EIF",5.4)))))))</f>
        <v/>
      </c>
      <c r="M4334" s="112" t="str">
        <f t="shared" si="70"/>
        <v/>
      </c>
      <c r="N4334" s="113"/>
    </row>
    <row r="4335" spans="2:14">
      <c r="B4335" s="105"/>
      <c r="C4335" s="106"/>
      <c r="D4335" s="107"/>
      <c r="E4335" s="65"/>
      <c r="F4335" s="64"/>
      <c r="G4335" s="64"/>
      <c r="H4335" s="64"/>
      <c r="I4335" s="70"/>
      <c r="J4335" s="70"/>
      <c r="K4335" s="110" t="str">
        <f>IF(H4335="","",IF($C$29="간이법","",FPR(H4335,I4335,J4335)))</f>
        <v/>
      </c>
      <c r="L4335" s="111" t="str">
        <f>IF(H4335="","",IF($C$29="상세법",FPV(H4335,K4335),IF(H4335="EI",4,IF(H4335="EO",5.2,IF(H4335="EQ",3.9,IF(H4335="ILF",7.5,IF(H4335="EIF",5.4)))))))</f>
        <v/>
      </c>
      <c r="M4335" s="112" t="str">
        <f t="shared" si="70"/>
        <v/>
      </c>
      <c r="N4335" s="113"/>
    </row>
    <row r="4336" spans="2:14">
      <c r="B4336" s="105"/>
      <c r="C4336" s="106"/>
      <c r="D4336" s="107"/>
      <c r="E4336" s="65"/>
      <c r="F4336" s="64"/>
      <c r="G4336" s="64"/>
      <c r="H4336" s="64"/>
      <c r="I4336" s="70"/>
      <c r="J4336" s="70"/>
      <c r="K4336" s="110" t="str">
        <f>IF(H4336="","",IF($C$29="간이법","",FPR(H4336,I4336,J4336)))</f>
        <v/>
      </c>
      <c r="L4336" s="111" t="str">
        <f>IF(H4336="","",IF($C$29="상세법",FPV(H4336,K4336),IF(H4336="EI",4,IF(H4336="EO",5.2,IF(H4336="EQ",3.9,IF(H4336="ILF",7.5,IF(H4336="EIF",5.4)))))))</f>
        <v/>
      </c>
      <c r="M4336" s="112" t="str">
        <f t="shared" si="70"/>
        <v/>
      </c>
      <c r="N4336" s="113"/>
    </row>
    <row r="4337" spans="2:14">
      <c r="B4337" s="105"/>
      <c r="C4337" s="106"/>
      <c r="D4337" s="107"/>
      <c r="E4337" s="65"/>
      <c r="F4337" s="64"/>
      <c r="G4337" s="64"/>
      <c r="H4337" s="64"/>
      <c r="I4337" s="70"/>
      <c r="J4337" s="70"/>
      <c r="K4337" s="110" t="str">
        <f>IF(H4337="","",IF($C$29="간이법","",FPR(H4337,I4337,J4337)))</f>
        <v/>
      </c>
      <c r="L4337" s="111" t="str">
        <f>IF(H4337="","",IF($C$29="상세법",FPV(H4337,K4337),IF(H4337="EI",4,IF(H4337="EO",5.2,IF(H4337="EQ",3.9,IF(H4337="ILF",7.5,IF(H4337="EIF",5.4)))))))</f>
        <v/>
      </c>
      <c r="M4337" s="112" t="str">
        <f t="shared" si="70"/>
        <v/>
      </c>
      <c r="N4337" s="113"/>
    </row>
    <row r="4338" spans="2:14">
      <c r="B4338" s="105"/>
      <c r="C4338" s="106"/>
      <c r="D4338" s="107"/>
      <c r="E4338" s="65"/>
      <c r="F4338" s="64"/>
      <c r="G4338" s="64"/>
      <c r="H4338" s="64"/>
      <c r="I4338" s="70"/>
      <c r="J4338" s="70"/>
      <c r="K4338" s="110" t="str">
        <f>IF(H4338="","",IF($C$29="간이법","",FPR(H4338,I4338,J4338)))</f>
        <v/>
      </c>
      <c r="L4338" s="111" t="str">
        <f>IF(H4338="","",IF($C$29="상세법",FPV(H4338,K4338),IF(H4338="EI",4,IF(H4338="EO",5.2,IF(H4338="EQ",3.9,IF(H4338="ILF",7.5,IF(H4338="EIF",5.4)))))))</f>
        <v/>
      </c>
      <c r="M4338" s="112" t="str">
        <f t="shared" si="70"/>
        <v/>
      </c>
      <c r="N4338" s="113"/>
    </row>
    <row r="4339" spans="2:14">
      <c r="B4339" s="105"/>
      <c r="C4339" s="106"/>
      <c r="D4339" s="107"/>
      <c r="E4339" s="65"/>
      <c r="F4339" s="64"/>
      <c r="G4339" s="64"/>
      <c r="H4339" s="64"/>
      <c r="I4339" s="70"/>
      <c r="J4339" s="70"/>
      <c r="K4339" s="110" t="str">
        <f>IF(H4339="","",IF($C$29="간이법","",FPR(H4339,I4339,J4339)))</f>
        <v/>
      </c>
      <c r="L4339" s="111" t="str">
        <f>IF(H4339="","",IF($C$29="상세법",FPV(H4339,K4339),IF(H4339="EI",4,IF(H4339="EO",5.2,IF(H4339="EQ",3.9,IF(H4339="ILF",7.5,IF(H4339="EIF",5.4)))))))</f>
        <v/>
      </c>
      <c r="M4339" s="112" t="str">
        <f t="shared" si="70"/>
        <v/>
      </c>
      <c r="N4339" s="113"/>
    </row>
    <row r="4340" spans="2:14">
      <c r="B4340" s="105"/>
      <c r="C4340" s="106"/>
      <c r="D4340" s="107"/>
      <c r="E4340" s="65"/>
      <c r="F4340" s="64"/>
      <c r="G4340" s="64"/>
      <c r="H4340" s="64"/>
      <c r="I4340" s="70"/>
      <c r="J4340" s="70"/>
      <c r="K4340" s="110" t="str">
        <f>IF(H4340="","",IF($C$29="간이법","",FPR(H4340,I4340,J4340)))</f>
        <v/>
      </c>
      <c r="L4340" s="111" t="str">
        <f>IF(H4340="","",IF($C$29="상세법",FPV(H4340,K4340),IF(H4340="EI",4,IF(H4340="EO",5.2,IF(H4340="EQ",3.9,IF(H4340="ILF",7.5,IF(H4340="EIF",5.4)))))))</f>
        <v/>
      </c>
      <c r="M4340" s="112" t="str">
        <f t="shared" si="70"/>
        <v/>
      </c>
      <c r="N4340" s="113"/>
    </row>
    <row r="4341" spans="2:14">
      <c r="B4341" s="105"/>
      <c r="C4341" s="106"/>
      <c r="D4341" s="107"/>
      <c r="E4341" s="65"/>
      <c r="F4341" s="64"/>
      <c r="G4341" s="64"/>
      <c r="H4341" s="64"/>
      <c r="I4341" s="70"/>
      <c r="J4341" s="70"/>
      <c r="K4341" s="110" t="str">
        <f>IF(H4341="","",IF($C$29="간이법","",FPR(H4341,I4341,J4341)))</f>
        <v/>
      </c>
      <c r="L4341" s="111" t="str">
        <f>IF(H4341="","",IF($C$29="상세법",FPV(H4341,K4341),IF(H4341="EI",4,IF(H4341="EO",5.2,IF(H4341="EQ",3.9,IF(H4341="ILF",7.5,IF(H4341="EIF",5.4)))))))</f>
        <v/>
      </c>
      <c r="M4341" s="112" t="str">
        <f t="shared" si="70"/>
        <v/>
      </c>
      <c r="N4341" s="113"/>
    </row>
    <row r="4342" spans="2:14">
      <c r="B4342" s="105"/>
      <c r="C4342" s="106"/>
      <c r="D4342" s="107"/>
      <c r="E4342" s="65"/>
      <c r="F4342" s="64"/>
      <c r="G4342" s="64"/>
      <c r="H4342" s="64"/>
      <c r="I4342" s="70"/>
      <c r="J4342" s="70"/>
      <c r="K4342" s="110" t="str">
        <f>IF(H4342="","",IF($C$29="간이법","",FPR(H4342,I4342,J4342)))</f>
        <v/>
      </c>
      <c r="L4342" s="111" t="str">
        <f>IF(H4342="","",IF($C$29="상세법",FPV(H4342,K4342),IF(H4342="EI",4,IF(H4342="EO",5.2,IF(H4342="EQ",3.9,IF(H4342="ILF",7.5,IF(H4342="EIF",5.4)))))))</f>
        <v/>
      </c>
      <c r="M4342" s="112" t="str">
        <f t="shared" si="70"/>
        <v/>
      </c>
      <c r="N4342" s="113"/>
    </row>
    <row r="4343" spans="2:14">
      <c r="B4343" s="105"/>
      <c r="C4343" s="106"/>
      <c r="D4343" s="107"/>
      <c r="E4343" s="65"/>
      <c r="F4343" s="64"/>
      <c r="G4343" s="64"/>
      <c r="H4343" s="64"/>
      <c r="I4343" s="70"/>
      <c r="J4343" s="70"/>
      <c r="K4343" s="110" t="str">
        <f>IF(H4343="","",IF($C$29="간이법","",FPR(H4343,I4343,J4343)))</f>
        <v/>
      </c>
      <c r="L4343" s="111" t="str">
        <f>IF(H4343="","",IF($C$29="상세법",FPV(H4343,K4343),IF(H4343="EI",4,IF(H4343="EO",5.2,IF(H4343="EQ",3.9,IF(H4343="ILF",7.5,IF(H4343="EIF",5.4)))))))</f>
        <v/>
      </c>
      <c r="M4343" s="112" t="str">
        <f t="shared" si="70"/>
        <v/>
      </c>
      <c r="N4343" s="113"/>
    </row>
    <row r="4344" spans="2:14">
      <c r="B4344" s="105"/>
      <c r="C4344" s="106"/>
      <c r="D4344" s="107"/>
      <c r="E4344" s="65"/>
      <c r="F4344" s="64"/>
      <c r="G4344" s="64"/>
      <c r="H4344" s="64"/>
      <c r="I4344" s="70"/>
      <c r="J4344" s="70"/>
      <c r="K4344" s="110" t="str">
        <f>IF(H4344="","",IF($C$29="간이법","",FPR(H4344,I4344,J4344)))</f>
        <v/>
      </c>
      <c r="L4344" s="111" t="str">
        <f>IF(H4344="","",IF($C$29="상세법",FPV(H4344,K4344),IF(H4344="EI",4,IF(H4344="EO",5.2,IF(H4344="EQ",3.9,IF(H4344="ILF",7.5,IF(H4344="EIF",5.4)))))))</f>
        <v/>
      </c>
      <c r="M4344" s="112" t="str">
        <f t="shared" si="70"/>
        <v/>
      </c>
      <c r="N4344" s="113"/>
    </row>
    <row r="4345" spans="2:14">
      <c r="B4345" s="105"/>
      <c r="C4345" s="106"/>
      <c r="D4345" s="107"/>
      <c r="E4345" s="65"/>
      <c r="F4345" s="64"/>
      <c r="G4345" s="64"/>
      <c r="H4345" s="64"/>
      <c r="I4345" s="70"/>
      <c r="J4345" s="70"/>
      <c r="K4345" s="110" t="str">
        <f>IF(H4345="","",IF($C$29="간이법","",FPR(H4345,I4345,J4345)))</f>
        <v/>
      </c>
      <c r="L4345" s="111" t="str">
        <f>IF(H4345="","",IF($C$29="상세법",FPV(H4345,K4345),IF(H4345="EI",4,IF(H4345="EO",5.2,IF(H4345="EQ",3.9,IF(H4345="ILF",7.5,IF(H4345="EIF",5.4)))))))</f>
        <v/>
      </c>
      <c r="M4345" s="112" t="str">
        <f t="shared" ref="M4345:M4408" si="71">IF(L4345="","",L4345*IF(G4345="상",0.7,IF(G4345="중",0.5,IF(G4345="하",0.2,1))))</f>
        <v/>
      </c>
      <c r="N4345" s="113"/>
    </row>
    <row r="4346" spans="2:14">
      <c r="B4346" s="105"/>
      <c r="C4346" s="106"/>
      <c r="D4346" s="107"/>
      <c r="E4346" s="65"/>
      <c r="F4346" s="64"/>
      <c r="G4346" s="64"/>
      <c r="H4346" s="64"/>
      <c r="I4346" s="70"/>
      <c r="J4346" s="70"/>
      <c r="K4346" s="110" t="str">
        <f>IF(H4346="","",IF($C$29="간이법","",FPR(H4346,I4346,J4346)))</f>
        <v/>
      </c>
      <c r="L4346" s="111" t="str">
        <f>IF(H4346="","",IF($C$29="상세법",FPV(H4346,K4346),IF(H4346="EI",4,IF(H4346="EO",5.2,IF(H4346="EQ",3.9,IF(H4346="ILF",7.5,IF(H4346="EIF",5.4)))))))</f>
        <v/>
      </c>
      <c r="M4346" s="112" t="str">
        <f t="shared" si="71"/>
        <v/>
      </c>
      <c r="N4346" s="113"/>
    </row>
    <row r="4347" spans="2:14">
      <c r="B4347" s="105"/>
      <c r="C4347" s="106"/>
      <c r="D4347" s="107"/>
      <c r="E4347" s="65"/>
      <c r="F4347" s="64"/>
      <c r="G4347" s="64"/>
      <c r="H4347" s="64"/>
      <c r="I4347" s="70"/>
      <c r="J4347" s="70"/>
      <c r="K4347" s="110" t="str">
        <f>IF(H4347="","",IF($C$29="간이법","",FPR(H4347,I4347,J4347)))</f>
        <v/>
      </c>
      <c r="L4347" s="111" t="str">
        <f>IF(H4347="","",IF($C$29="상세법",FPV(H4347,K4347),IF(H4347="EI",4,IF(H4347="EO",5.2,IF(H4347="EQ",3.9,IF(H4347="ILF",7.5,IF(H4347="EIF",5.4)))))))</f>
        <v/>
      </c>
      <c r="M4347" s="112" t="str">
        <f t="shared" si="71"/>
        <v/>
      </c>
      <c r="N4347" s="113"/>
    </row>
    <row r="4348" spans="2:14">
      <c r="B4348" s="105"/>
      <c r="C4348" s="106"/>
      <c r="D4348" s="107"/>
      <c r="E4348" s="65"/>
      <c r="F4348" s="64"/>
      <c r="G4348" s="64"/>
      <c r="H4348" s="64"/>
      <c r="I4348" s="70"/>
      <c r="J4348" s="70"/>
      <c r="K4348" s="110" t="str">
        <f>IF(H4348="","",IF($C$29="간이법","",FPR(H4348,I4348,J4348)))</f>
        <v/>
      </c>
      <c r="L4348" s="111" t="str">
        <f>IF(H4348="","",IF($C$29="상세법",FPV(H4348,K4348),IF(H4348="EI",4,IF(H4348="EO",5.2,IF(H4348="EQ",3.9,IF(H4348="ILF",7.5,IF(H4348="EIF",5.4)))))))</f>
        <v/>
      </c>
      <c r="M4348" s="112" t="str">
        <f t="shared" si="71"/>
        <v/>
      </c>
      <c r="N4348" s="113"/>
    </row>
    <row r="4349" spans="2:14">
      <c r="B4349" s="105"/>
      <c r="C4349" s="106"/>
      <c r="D4349" s="107"/>
      <c r="E4349" s="65"/>
      <c r="F4349" s="64"/>
      <c r="G4349" s="64"/>
      <c r="H4349" s="64"/>
      <c r="I4349" s="70"/>
      <c r="J4349" s="70"/>
      <c r="K4349" s="110" t="str">
        <f>IF(H4349="","",IF($C$29="간이법","",FPR(H4349,I4349,J4349)))</f>
        <v/>
      </c>
      <c r="L4349" s="111" t="str">
        <f>IF(H4349="","",IF($C$29="상세법",FPV(H4349,K4349),IF(H4349="EI",4,IF(H4349="EO",5.2,IF(H4349="EQ",3.9,IF(H4349="ILF",7.5,IF(H4349="EIF",5.4)))))))</f>
        <v/>
      </c>
      <c r="M4349" s="112" t="str">
        <f t="shared" si="71"/>
        <v/>
      </c>
      <c r="N4349" s="113"/>
    </row>
    <row r="4350" spans="2:14">
      <c r="B4350" s="105"/>
      <c r="C4350" s="106"/>
      <c r="D4350" s="107"/>
      <c r="E4350" s="65"/>
      <c r="F4350" s="64"/>
      <c r="G4350" s="64"/>
      <c r="H4350" s="64"/>
      <c r="I4350" s="70"/>
      <c r="J4350" s="70"/>
      <c r="K4350" s="110" t="str">
        <f>IF(H4350="","",IF($C$29="간이법","",FPR(H4350,I4350,J4350)))</f>
        <v/>
      </c>
      <c r="L4350" s="111" t="str">
        <f>IF(H4350="","",IF($C$29="상세법",FPV(H4350,K4350),IF(H4350="EI",4,IF(H4350="EO",5.2,IF(H4350="EQ",3.9,IF(H4350="ILF",7.5,IF(H4350="EIF",5.4)))))))</f>
        <v/>
      </c>
      <c r="M4350" s="112" t="str">
        <f t="shared" si="71"/>
        <v/>
      </c>
      <c r="N4350" s="113"/>
    </row>
    <row r="4351" spans="2:14">
      <c r="B4351" s="105"/>
      <c r="C4351" s="106"/>
      <c r="D4351" s="107"/>
      <c r="E4351" s="65"/>
      <c r="F4351" s="64"/>
      <c r="G4351" s="64"/>
      <c r="H4351" s="64"/>
      <c r="I4351" s="70"/>
      <c r="J4351" s="70"/>
      <c r="K4351" s="110" t="str">
        <f>IF(H4351="","",IF($C$29="간이법","",FPR(H4351,I4351,J4351)))</f>
        <v/>
      </c>
      <c r="L4351" s="111" t="str">
        <f>IF(H4351="","",IF($C$29="상세법",FPV(H4351,K4351),IF(H4351="EI",4,IF(H4351="EO",5.2,IF(H4351="EQ",3.9,IF(H4351="ILF",7.5,IF(H4351="EIF",5.4)))))))</f>
        <v/>
      </c>
      <c r="M4351" s="112" t="str">
        <f t="shared" si="71"/>
        <v/>
      </c>
      <c r="N4351" s="113"/>
    </row>
    <row r="4352" spans="2:14">
      <c r="B4352" s="105"/>
      <c r="C4352" s="106"/>
      <c r="D4352" s="107"/>
      <c r="E4352" s="65"/>
      <c r="F4352" s="64"/>
      <c r="G4352" s="64"/>
      <c r="H4352" s="64"/>
      <c r="I4352" s="70"/>
      <c r="J4352" s="70"/>
      <c r="K4352" s="110" t="str">
        <f>IF(H4352="","",IF($C$29="간이법","",FPR(H4352,I4352,J4352)))</f>
        <v/>
      </c>
      <c r="L4352" s="111" t="str">
        <f>IF(H4352="","",IF($C$29="상세법",FPV(H4352,K4352),IF(H4352="EI",4,IF(H4352="EO",5.2,IF(H4352="EQ",3.9,IF(H4352="ILF",7.5,IF(H4352="EIF",5.4)))))))</f>
        <v/>
      </c>
      <c r="M4352" s="112" t="str">
        <f t="shared" si="71"/>
        <v/>
      </c>
      <c r="N4352" s="113"/>
    </row>
    <row r="4353" spans="2:14">
      <c r="B4353" s="105"/>
      <c r="C4353" s="106"/>
      <c r="D4353" s="107"/>
      <c r="E4353" s="65"/>
      <c r="F4353" s="64"/>
      <c r="G4353" s="64"/>
      <c r="H4353" s="64"/>
      <c r="I4353" s="70"/>
      <c r="J4353" s="70"/>
      <c r="K4353" s="110" t="str">
        <f>IF(H4353="","",IF($C$29="간이법","",FPR(H4353,I4353,J4353)))</f>
        <v/>
      </c>
      <c r="L4353" s="111" t="str">
        <f>IF(H4353="","",IF($C$29="상세법",FPV(H4353,K4353),IF(H4353="EI",4,IF(H4353="EO",5.2,IF(H4353="EQ",3.9,IF(H4353="ILF",7.5,IF(H4353="EIF",5.4)))))))</f>
        <v/>
      </c>
      <c r="M4353" s="112" t="str">
        <f t="shared" si="71"/>
        <v/>
      </c>
      <c r="N4353" s="113"/>
    </row>
    <row r="4354" spans="2:14">
      <c r="B4354" s="105"/>
      <c r="C4354" s="106"/>
      <c r="D4354" s="107"/>
      <c r="E4354" s="65"/>
      <c r="F4354" s="64"/>
      <c r="G4354" s="64"/>
      <c r="H4354" s="64"/>
      <c r="I4354" s="70"/>
      <c r="J4354" s="70"/>
      <c r="K4354" s="110" t="str">
        <f>IF(H4354="","",IF($C$29="간이법","",FPR(H4354,I4354,J4354)))</f>
        <v/>
      </c>
      <c r="L4354" s="111" t="str">
        <f>IF(H4354="","",IF($C$29="상세법",FPV(H4354,K4354),IF(H4354="EI",4,IF(H4354="EO",5.2,IF(H4354="EQ",3.9,IF(H4354="ILF",7.5,IF(H4354="EIF",5.4)))))))</f>
        <v/>
      </c>
      <c r="M4354" s="112" t="str">
        <f t="shared" si="71"/>
        <v/>
      </c>
      <c r="N4354" s="113"/>
    </row>
    <row r="4355" spans="2:14">
      <c r="B4355" s="105"/>
      <c r="C4355" s="106"/>
      <c r="D4355" s="107"/>
      <c r="E4355" s="65"/>
      <c r="F4355" s="64"/>
      <c r="G4355" s="64"/>
      <c r="H4355" s="64"/>
      <c r="I4355" s="70"/>
      <c r="J4355" s="70"/>
      <c r="K4355" s="110" t="str">
        <f>IF(H4355="","",IF($C$29="간이법","",FPR(H4355,I4355,J4355)))</f>
        <v/>
      </c>
      <c r="L4355" s="111" t="str">
        <f>IF(H4355="","",IF($C$29="상세법",FPV(H4355,K4355),IF(H4355="EI",4,IF(H4355="EO",5.2,IF(H4355="EQ",3.9,IF(H4355="ILF",7.5,IF(H4355="EIF",5.4)))))))</f>
        <v/>
      </c>
      <c r="M4355" s="112" t="str">
        <f t="shared" si="71"/>
        <v/>
      </c>
      <c r="N4355" s="113"/>
    </row>
    <row r="4356" spans="2:14">
      <c r="B4356" s="105"/>
      <c r="C4356" s="106"/>
      <c r="D4356" s="107"/>
      <c r="E4356" s="65"/>
      <c r="F4356" s="64"/>
      <c r="G4356" s="64"/>
      <c r="H4356" s="64"/>
      <c r="I4356" s="70"/>
      <c r="J4356" s="70"/>
      <c r="K4356" s="110" t="str">
        <f>IF(H4356="","",IF($C$29="간이법","",FPR(H4356,I4356,J4356)))</f>
        <v/>
      </c>
      <c r="L4356" s="111" t="str">
        <f>IF(H4356="","",IF($C$29="상세법",FPV(H4356,K4356),IF(H4356="EI",4,IF(H4356="EO",5.2,IF(H4356="EQ",3.9,IF(H4356="ILF",7.5,IF(H4356="EIF",5.4)))))))</f>
        <v/>
      </c>
      <c r="M4356" s="112" t="str">
        <f t="shared" si="71"/>
        <v/>
      </c>
      <c r="N4356" s="113"/>
    </row>
    <row r="4357" spans="2:14">
      <c r="B4357" s="105"/>
      <c r="C4357" s="106"/>
      <c r="D4357" s="107"/>
      <c r="E4357" s="65"/>
      <c r="F4357" s="64"/>
      <c r="G4357" s="64"/>
      <c r="H4357" s="64"/>
      <c r="I4357" s="70"/>
      <c r="J4357" s="70"/>
      <c r="K4357" s="110" t="str">
        <f>IF(H4357="","",IF($C$29="간이법","",FPR(H4357,I4357,J4357)))</f>
        <v/>
      </c>
      <c r="L4357" s="111" t="str">
        <f>IF(H4357="","",IF($C$29="상세법",FPV(H4357,K4357),IF(H4357="EI",4,IF(H4357="EO",5.2,IF(H4357="EQ",3.9,IF(H4357="ILF",7.5,IF(H4357="EIF",5.4)))))))</f>
        <v/>
      </c>
      <c r="M4357" s="112" t="str">
        <f t="shared" si="71"/>
        <v/>
      </c>
      <c r="N4357" s="113"/>
    </row>
    <row r="4358" spans="2:14">
      <c r="B4358" s="105"/>
      <c r="C4358" s="106"/>
      <c r="D4358" s="107"/>
      <c r="E4358" s="65"/>
      <c r="F4358" s="64"/>
      <c r="G4358" s="64"/>
      <c r="H4358" s="64"/>
      <c r="I4358" s="70"/>
      <c r="J4358" s="70"/>
      <c r="K4358" s="110" t="str">
        <f>IF(H4358="","",IF($C$29="간이법","",FPR(H4358,I4358,J4358)))</f>
        <v/>
      </c>
      <c r="L4358" s="111" t="str">
        <f>IF(H4358="","",IF($C$29="상세법",FPV(H4358,K4358),IF(H4358="EI",4,IF(H4358="EO",5.2,IF(H4358="EQ",3.9,IF(H4358="ILF",7.5,IF(H4358="EIF",5.4)))))))</f>
        <v/>
      </c>
      <c r="M4358" s="112" t="str">
        <f t="shared" si="71"/>
        <v/>
      </c>
      <c r="N4358" s="113"/>
    </row>
    <row r="4359" spans="2:14">
      <c r="B4359" s="105"/>
      <c r="C4359" s="106"/>
      <c r="D4359" s="107"/>
      <c r="E4359" s="65"/>
      <c r="F4359" s="64"/>
      <c r="G4359" s="64"/>
      <c r="H4359" s="64"/>
      <c r="I4359" s="70"/>
      <c r="J4359" s="70"/>
      <c r="K4359" s="110" t="str">
        <f>IF(H4359="","",IF($C$29="간이법","",FPR(H4359,I4359,J4359)))</f>
        <v/>
      </c>
      <c r="L4359" s="111" t="str">
        <f>IF(H4359="","",IF($C$29="상세법",FPV(H4359,K4359),IF(H4359="EI",4,IF(H4359="EO",5.2,IF(H4359="EQ",3.9,IF(H4359="ILF",7.5,IF(H4359="EIF",5.4)))))))</f>
        <v/>
      </c>
      <c r="M4359" s="112" t="str">
        <f t="shared" si="71"/>
        <v/>
      </c>
      <c r="N4359" s="113"/>
    </row>
    <row r="4360" spans="2:14">
      <c r="B4360" s="105"/>
      <c r="C4360" s="106"/>
      <c r="D4360" s="107"/>
      <c r="E4360" s="65"/>
      <c r="F4360" s="64"/>
      <c r="G4360" s="64"/>
      <c r="H4360" s="64"/>
      <c r="I4360" s="70"/>
      <c r="J4360" s="70"/>
      <c r="K4360" s="110" t="str">
        <f>IF(H4360="","",IF($C$29="간이법","",FPR(H4360,I4360,J4360)))</f>
        <v/>
      </c>
      <c r="L4360" s="111" t="str">
        <f>IF(H4360="","",IF($C$29="상세법",FPV(H4360,K4360),IF(H4360="EI",4,IF(H4360="EO",5.2,IF(H4360="EQ",3.9,IF(H4360="ILF",7.5,IF(H4360="EIF",5.4)))))))</f>
        <v/>
      </c>
      <c r="M4360" s="112" t="str">
        <f t="shared" si="71"/>
        <v/>
      </c>
      <c r="N4360" s="113"/>
    </row>
    <row r="4361" spans="2:14">
      <c r="B4361" s="105"/>
      <c r="C4361" s="106"/>
      <c r="D4361" s="107"/>
      <c r="E4361" s="65"/>
      <c r="F4361" s="64"/>
      <c r="G4361" s="64"/>
      <c r="H4361" s="64"/>
      <c r="I4361" s="70"/>
      <c r="J4361" s="70"/>
      <c r="K4361" s="110" t="str">
        <f>IF(H4361="","",IF($C$29="간이법","",FPR(H4361,I4361,J4361)))</f>
        <v/>
      </c>
      <c r="L4361" s="111" t="str">
        <f>IF(H4361="","",IF($C$29="상세법",FPV(H4361,K4361),IF(H4361="EI",4,IF(H4361="EO",5.2,IF(H4361="EQ",3.9,IF(H4361="ILF",7.5,IF(H4361="EIF",5.4)))))))</f>
        <v/>
      </c>
      <c r="M4361" s="112" t="str">
        <f t="shared" si="71"/>
        <v/>
      </c>
      <c r="N4361" s="113"/>
    </row>
    <row r="4362" spans="2:14">
      <c r="B4362" s="105"/>
      <c r="C4362" s="106"/>
      <c r="D4362" s="107"/>
      <c r="E4362" s="65"/>
      <c r="F4362" s="64"/>
      <c r="G4362" s="64"/>
      <c r="H4362" s="64"/>
      <c r="I4362" s="70"/>
      <c r="J4362" s="70"/>
      <c r="K4362" s="110" t="str">
        <f>IF(H4362="","",IF($C$29="간이법","",FPR(H4362,I4362,J4362)))</f>
        <v/>
      </c>
      <c r="L4362" s="111" t="str">
        <f>IF(H4362="","",IF($C$29="상세법",FPV(H4362,K4362),IF(H4362="EI",4,IF(H4362="EO",5.2,IF(H4362="EQ",3.9,IF(H4362="ILF",7.5,IF(H4362="EIF",5.4)))))))</f>
        <v/>
      </c>
      <c r="M4362" s="112" t="str">
        <f t="shared" si="71"/>
        <v/>
      </c>
      <c r="N4362" s="113"/>
    </row>
    <row r="4363" spans="2:14">
      <c r="B4363" s="105"/>
      <c r="C4363" s="106"/>
      <c r="D4363" s="107"/>
      <c r="E4363" s="65"/>
      <c r="F4363" s="64"/>
      <c r="G4363" s="64"/>
      <c r="H4363" s="64"/>
      <c r="I4363" s="70"/>
      <c r="J4363" s="70"/>
      <c r="K4363" s="110" t="str">
        <f>IF(H4363="","",IF($C$29="간이법","",FPR(H4363,I4363,J4363)))</f>
        <v/>
      </c>
      <c r="L4363" s="111" t="str">
        <f>IF(H4363="","",IF($C$29="상세법",FPV(H4363,K4363),IF(H4363="EI",4,IF(H4363="EO",5.2,IF(H4363="EQ",3.9,IF(H4363="ILF",7.5,IF(H4363="EIF",5.4)))))))</f>
        <v/>
      </c>
      <c r="M4363" s="112" t="str">
        <f t="shared" si="71"/>
        <v/>
      </c>
      <c r="N4363" s="113"/>
    </row>
    <row r="4364" spans="2:14">
      <c r="B4364" s="105"/>
      <c r="C4364" s="106"/>
      <c r="D4364" s="107"/>
      <c r="E4364" s="65"/>
      <c r="F4364" s="64"/>
      <c r="G4364" s="64"/>
      <c r="H4364" s="64"/>
      <c r="I4364" s="70"/>
      <c r="J4364" s="70"/>
      <c r="K4364" s="110" t="str">
        <f>IF(H4364="","",IF($C$29="간이법","",FPR(H4364,I4364,J4364)))</f>
        <v/>
      </c>
      <c r="L4364" s="111" t="str">
        <f>IF(H4364="","",IF($C$29="상세법",FPV(H4364,K4364),IF(H4364="EI",4,IF(H4364="EO",5.2,IF(H4364="EQ",3.9,IF(H4364="ILF",7.5,IF(H4364="EIF",5.4)))))))</f>
        <v/>
      </c>
      <c r="M4364" s="112" t="str">
        <f t="shared" si="71"/>
        <v/>
      </c>
      <c r="N4364" s="113"/>
    </row>
    <row r="4365" spans="2:14">
      <c r="B4365" s="105"/>
      <c r="C4365" s="106"/>
      <c r="D4365" s="107"/>
      <c r="E4365" s="65"/>
      <c r="F4365" s="64"/>
      <c r="G4365" s="64"/>
      <c r="H4365" s="64"/>
      <c r="I4365" s="70"/>
      <c r="J4365" s="70"/>
      <c r="K4365" s="110" t="str">
        <f>IF(H4365="","",IF($C$29="간이법","",FPR(H4365,I4365,J4365)))</f>
        <v/>
      </c>
      <c r="L4365" s="111" t="str">
        <f>IF(H4365="","",IF($C$29="상세법",FPV(H4365,K4365),IF(H4365="EI",4,IF(H4365="EO",5.2,IF(H4365="EQ",3.9,IF(H4365="ILF",7.5,IF(H4365="EIF",5.4)))))))</f>
        <v/>
      </c>
      <c r="M4365" s="112" t="str">
        <f t="shared" si="71"/>
        <v/>
      </c>
      <c r="N4365" s="113"/>
    </row>
    <row r="4366" spans="2:14">
      <c r="B4366" s="105"/>
      <c r="C4366" s="106"/>
      <c r="D4366" s="107"/>
      <c r="E4366" s="65"/>
      <c r="F4366" s="64"/>
      <c r="G4366" s="64"/>
      <c r="H4366" s="64"/>
      <c r="I4366" s="70"/>
      <c r="J4366" s="70"/>
      <c r="K4366" s="110" t="str">
        <f>IF(H4366="","",IF($C$29="간이법","",FPR(H4366,I4366,J4366)))</f>
        <v/>
      </c>
      <c r="L4366" s="111" t="str">
        <f>IF(H4366="","",IF($C$29="상세법",FPV(H4366,K4366),IF(H4366="EI",4,IF(H4366="EO",5.2,IF(H4366="EQ",3.9,IF(H4366="ILF",7.5,IF(H4366="EIF",5.4)))))))</f>
        <v/>
      </c>
      <c r="M4366" s="112" t="str">
        <f t="shared" si="71"/>
        <v/>
      </c>
      <c r="N4366" s="113"/>
    </row>
    <row r="4367" spans="2:14">
      <c r="B4367" s="105"/>
      <c r="C4367" s="106"/>
      <c r="D4367" s="107"/>
      <c r="E4367" s="65"/>
      <c r="F4367" s="64"/>
      <c r="G4367" s="64"/>
      <c r="H4367" s="64"/>
      <c r="I4367" s="70"/>
      <c r="J4367" s="70"/>
      <c r="K4367" s="110" t="str">
        <f>IF(H4367="","",IF($C$29="간이법","",FPR(H4367,I4367,J4367)))</f>
        <v/>
      </c>
      <c r="L4367" s="111" t="str">
        <f>IF(H4367="","",IF($C$29="상세법",FPV(H4367,K4367),IF(H4367="EI",4,IF(H4367="EO",5.2,IF(H4367="EQ",3.9,IF(H4367="ILF",7.5,IF(H4367="EIF",5.4)))))))</f>
        <v/>
      </c>
      <c r="M4367" s="112" t="str">
        <f t="shared" si="71"/>
        <v/>
      </c>
      <c r="N4367" s="113"/>
    </row>
    <row r="4368" spans="2:14">
      <c r="B4368" s="105"/>
      <c r="C4368" s="106"/>
      <c r="D4368" s="107"/>
      <c r="E4368" s="65"/>
      <c r="F4368" s="64"/>
      <c r="G4368" s="64"/>
      <c r="H4368" s="64"/>
      <c r="I4368" s="70"/>
      <c r="J4368" s="70"/>
      <c r="K4368" s="110" t="str">
        <f>IF(H4368="","",IF($C$29="간이법","",FPR(H4368,I4368,J4368)))</f>
        <v/>
      </c>
      <c r="L4368" s="111" t="str">
        <f>IF(H4368="","",IF($C$29="상세법",FPV(H4368,K4368),IF(H4368="EI",4,IF(H4368="EO",5.2,IF(H4368="EQ",3.9,IF(H4368="ILF",7.5,IF(H4368="EIF",5.4)))))))</f>
        <v/>
      </c>
      <c r="M4368" s="112" t="str">
        <f t="shared" si="71"/>
        <v/>
      </c>
      <c r="N4368" s="113"/>
    </row>
    <row r="4369" spans="2:14">
      <c r="B4369" s="105"/>
      <c r="C4369" s="106"/>
      <c r="D4369" s="107"/>
      <c r="E4369" s="65"/>
      <c r="F4369" s="64"/>
      <c r="G4369" s="64"/>
      <c r="H4369" s="64"/>
      <c r="I4369" s="70"/>
      <c r="J4369" s="70"/>
      <c r="K4369" s="110" t="str">
        <f>IF(H4369="","",IF($C$29="간이법","",FPR(H4369,I4369,J4369)))</f>
        <v/>
      </c>
      <c r="L4369" s="111" t="str">
        <f>IF(H4369="","",IF($C$29="상세법",FPV(H4369,K4369),IF(H4369="EI",4,IF(H4369="EO",5.2,IF(H4369="EQ",3.9,IF(H4369="ILF",7.5,IF(H4369="EIF",5.4)))))))</f>
        <v/>
      </c>
      <c r="M4369" s="112" t="str">
        <f t="shared" si="71"/>
        <v/>
      </c>
      <c r="N4369" s="113"/>
    </row>
    <row r="4370" spans="2:14">
      <c r="B4370" s="105"/>
      <c r="C4370" s="106"/>
      <c r="D4370" s="107"/>
      <c r="E4370" s="65"/>
      <c r="F4370" s="64"/>
      <c r="G4370" s="64"/>
      <c r="H4370" s="64"/>
      <c r="I4370" s="70"/>
      <c r="J4370" s="70"/>
      <c r="K4370" s="110" t="str">
        <f>IF(H4370="","",IF($C$29="간이법","",FPR(H4370,I4370,J4370)))</f>
        <v/>
      </c>
      <c r="L4370" s="111" t="str">
        <f>IF(H4370="","",IF($C$29="상세법",FPV(H4370,K4370),IF(H4370="EI",4,IF(H4370="EO",5.2,IF(H4370="EQ",3.9,IF(H4370="ILF",7.5,IF(H4370="EIF",5.4)))))))</f>
        <v/>
      </c>
      <c r="M4370" s="112" t="str">
        <f t="shared" si="71"/>
        <v/>
      </c>
      <c r="N4370" s="113"/>
    </row>
    <row r="4371" spans="2:14">
      <c r="B4371" s="105"/>
      <c r="C4371" s="106"/>
      <c r="D4371" s="107"/>
      <c r="E4371" s="65"/>
      <c r="F4371" s="64"/>
      <c r="G4371" s="64"/>
      <c r="H4371" s="64"/>
      <c r="I4371" s="70"/>
      <c r="J4371" s="70"/>
      <c r="K4371" s="110" t="str">
        <f>IF(H4371="","",IF($C$29="간이법","",FPR(H4371,I4371,J4371)))</f>
        <v/>
      </c>
      <c r="L4371" s="111" t="str">
        <f>IF(H4371="","",IF($C$29="상세법",FPV(H4371,K4371),IF(H4371="EI",4,IF(H4371="EO",5.2,IF(H4371="EQ",3.9,IF(H4371="ILF",7.5,IF(H4371="EIF",5.4)))))))</f>
        <v/>
      </c>
      <c r="M4371" s="112" t="str">
        <f t="shared" si="71"/>
        <v/>
      </c>
      <c r="N4371" s="113"/>
    </row>
    <row r="4372" spans="2:14">
      <c r="B4372" s="105"/>
      <c r="C4372" s="106"/>
      <c r="D4372" s="107"/>
      <c r="E4372" s="65"/>
      <c r="F4372" s="64"/>
      <c r="G4372" s="64"/>
      <c r="H4372" s="64"/>
      <c r="I4372" s="70"/>
      <c r="J4372" s="70"/>
      <c r="K4372" s="110" t="str">
        <f>IF(H4372="","",IF($C$29="간이법","",FPR(H4372,I4372,J4372)))</f>
        <v/>
      </c>
      <c r="L4372" s="111" t="str">
        <f>IF(H4372="","",IF($C$29="상세법",FPV(H4372,K4372),IF(H4372="EI",4,IF(H4372="EO",5.2,IF(H4372="EQ",3.9,IF(H4372="ILF",7.5,IF(H4372="EIF",5.4)))))))</f>
        <v/>
      </c>
      <c r="M4372" s="112" t="str">
        <f t="shared" si="71"/>
        <v/>
      </c>
      <c r="N4372" s="113"/>
    </row>
    <row r="4373" spans="2:14">
      <c r="B4373" s="105"/>
      <c r="C4373" s="106"/>
      <c r="D4373" s="107"/>
      <c r="E4373" s="65"/>
      <c r="F4373" s="64"/>
      <c r="G4373" s="64"/>
      <c r="H4373" s="64"/>
      <c r="I4373" s="70"/>
      <c r="J4373" s="70"/>
      <c r="K4373" s="110" t="str">
        <f>IF(H4373="","",IF($C$29="간이법","",FPR(H4373,I4373,J4373)))</f>
        <v/>
      </c>
      <c r="L4373" s="111" t="str">
        <f>IF(H4373="","",IF($C$29="상세법",FPV(H4373,K4373),IF(H4373="EI",4,IF(H4373="EO",5.2,IF(H4373="EQ",3.9,IF(H4373="ILF",7.5,IF(H4373="EIF",5.4)))))))</f>
        <v/>
      </c>
      <c r="M4373" s="112" t="str">
        <f t="shared" si="71"/>
        <v/>
      </c>
      <c r="N4373" s="113"/>
    </row>
    <row r="4374" spans="2:14">
      <c r="B4374" s="105"/>
      <c r="C4374" s="106"/>
      <c r="D4374" s="107"/>
      <c r="E4374" s="65"/>
      <c r="F4374" s="64"/>
      <c r="G4374" s="64"/>
      <c r="H4374" s="64"/>
      <c r="I4374" s="70"/>
      <c r="J4374" s="70"/>
      <c r="K4374" s="110" t="str">
        <f>IF(H4374="","",IF($C$29="간이법","",FPR(H4374,I4374,J4374)))</f>
        <v/>
      </c>
      <c r="L4374" s="111" t="str">
        <f>IF(H4374="","",IF($C$29="상세법",FPV(H4374,K4374),IF(H4374="EI",4,IF(H4374="EO",5.2,IF(H4374="EQ",3.9,IF(H4374="ILF",7.5,IF(H4374="EIF",5.4)))))))</f>
        <v/>
      </c>
      <c r="M4374" s="112" t="str">
        <f t="shared" si="71"/>
        <v/>
      </c>
      <c r="N4374" s="113"/>
    </row>
    <row r="4375" spans="2:14">
      <c r="B4375" s="105"/>
      <c r="C4375" s="106"/>
      <c r="D4375" s="107"/>
      <c r="E4375" s="65"/>
      <c r="F4375" s="64"/>
      <c r="G4375" s="64"/>
      <c r="H4375" s="64"/>
      <c r="I4375" s="70"/>
      <c r="J4375" s="70"/>
      <c r="K4375" s="110" t="str">
        <f>IF(H4375="","",IF($C$29="간이법","",FPR(H4375,I4375,J4375)))</f>
        <v/>
      </c>
      <c r="L4375" s="111" t="str">
        <f>IF(H4375="","",IF($C$29="상세법",FPV(H4375,K4375),IF(H4375="EI",4,IF(H4375="EO",5.2,IF(H4375="EQ",3.9,IF(H4375="ILF",7.5,IF(H4375="EIF",5.4)))))))</f>
        <v/>
      </c>
      <c r="M4375" s="112" t="str">
        <f t="shared" si="71"/>
        <v/>
      </c>
      <c r="N4375" s="113"/>
    </row>
    <row r="4376" spans="2:14">
      <c r="B4376" s="105"/>
      <c r="C4376" s="106"/>
      <c r="D4376" s="107"/>
      <c r="E4376" s="65"/>
      <c r="F4376" s="64"/>
      <c r="G4376" s="64"/>
      <c r="H4376" s="64"/>
      <c r="I4376" s="70"/>
      <c r="J4376" s="70"/>
      <c r="K4376" s="110" t="str">
        <f>IF(H4376="","",IF($C$29="간이법","",FPR(H4376,I4376,J4376)))</f>
        <v/>
      </c>
      <c r="L4376" s="111" t="str">
        <f>IF(H4376="","",IF($C$29="상세법",FPV(H4376,K4376),IF(H4376="EI",4,IF(H4376="EO",5.2,IF(H4376="EQ",3.9,IF(H4376="ILF",7.5,IF(H4376="EIF",5.4)))))))</f>
        <v/>
      </c>
      <c r="M4376" s="112" t="str">
        <f t="shared" si="71"/>
        <v/>
      </c>
      <c r="N4376" s="113"/>
    </row>
    <row r="4377" spans="2:14">
      <c r="B4377" s="105"/>
      <c r="C4377" s="106"/>
      <c r="D4377" s="107"/>
      <c r="E4377" s="65"/>
      <c r="F4377" s="64"/>
      <c r="G4377" s="64"/>
      <c r="H4377" s="64"/>
      <c r="I4377" s="70"/>
      <c r="J4377" s="70"/>
      <c r="K4377" s="110" t="str">
        <f>IF(H4377="","",IF($C$29="간이법","",FPR(H4377,I4377,J4377)))</f>
        <v/>
      </c>
      <c r="L4377" s="111" t="str">
        <f>IF(H4377="","",IF($C$29="상세법",FPV(H4377,K4377),IF(H4377="EI",4,IF(H4377="EO",5.2,IF(H4377="EQ",3.9,IF(H4377="ILF",7.5,IF(H4377="EIF",5.4)))))))</f>
        <v/>
      </c>
      <c r="M4377" s="112" t="str">
        <f t="shared" si="71"/>
        <v/>
      </c>
      <c r="N4377" s="113"/>
    </row>
    <row r="4378" spans="2:14">
      <c r="B4378" s="105"/>
      <c r="C4378" s="106"/>
      <c r="D4378" s="107"/>
      <c r="E4378" s="65"/>
      <c r="F4378" s="64"/>
      <c r="G4378" s="64"/>
      <c r="H4378" s="64"/>
      <c r="I4378" s="70"/>
      <c r="J4378" s="70"/>
      <c r="K4378" s="110" t="str">
        <f>IF(H4378="","",IF($C$29="간이법","",FPR(H4378,I4378,J4378)))</f>
        <v/>
      </c>
      <c r="L4378" s="111" t="str">
        <f>IF(H4378="","",IF($C$29="상세법",FPV(H4378,K4378),IF(H4378="EI",4,IF(H4378="EO",5.2,IF(H4378="EQ",3.9,IF(H4378="ILF",7.5,IF(H4378="EIF",5.4)))))))</f>
        <v/>
      </c>
      <c r="M4378" s="112" t="str">
        <f t="shared" si="71"/>
        <v/>
      </c>
      <c r="N4378" s="113"/>
    </row>
    <row r="4379" spans="2:14">
      <c r="B4379" s="105"/>
      <c r="C4379" s="106"/>
      <c r="D4379" s="107"/>
      <c r="E4379" s="65"/>
      <c r="F4379" s="64"/>
      <c r="G4379" s="64"/>
      <c r="H4379" s="64"/>
      <c r="I4379" s="70"/>
      <c r="J4379" s="70"/>
      <c r="K4379" s="110" t="str">
        <f>IF(H4379="","",IF($C$29="간이법","",FPR(H4379,I4379,J4379)))</f>
        <v/>
      </c>
      <c r="L4379" s="111" t="str">
        <f>IF(H4379="","",IF($C$29="상세법",FPV(H4379,K4379),IF(H4379="EI",4,IF(H4379="EO",5.2,IF(H4379="EQ",3.9,IF(H4379="ILF",7.5,IF(H4379="EIF",5.4)))))))</f>
        <v/>
      </c>
      <c r="M4379" s="112" t="str">
        <f t="shared" si="71"/>
        <v/>
      </c>
      <c r="N4379" s="113"/>
    </row>
    <row r="4380" spans="2:14">
      <c r="B4380" s="105"/>
      <c r="C4380" s="106"/>
      <c r="D4380" s="107"/>
      <c r="E4380" s="65"/>
      <c r="F4380" s="64"/>
      <c r="G4380" s="64"/>
      <c r="H4380" s="64"/>
      <c r="I4380" s="70"/>
      <c r="J4380" s="70"/>
      <c r="K4380" s="110" t="str">
        <f>IF(H4380="","",IF($C$29="간이법","",FPR(H4380,I4380,J4380)))</f>
        <v/>
      </c>
      <c r="L4380" s="111" t="str">
        <f>IF(H4380="","",IF($C$29="상세법",FPV(H4380,K4380),IF(H4380="EI",4,IF(H4380="EO",5.2,IF(H4380="EQ",3.9,IF(H4380="ILF",7.5,IF(H4380="EIF",5.4)))))))</f>
        <v/>
      </c>
      <c r="M4380" s="112" t="str">
        <f t="shared" si="71"/>
        <v/>
      </c>
      <c r="N4380" s="113"/>
    </row>
    <row r="4381" spans="2:14">
      <c r="B4381" s="105"/>
      <c r="C4381" s="106"/>
      <c r="D4381" s="107"/>
      <c r="E4381" s="65"/>
      <c r="F4381" s="64"/>
      <c r="G4381" s="64"/>
      <c r="H4381" s="64"/>
      <c r="I4381" s="70"/>
      <c r="J4381" s="70"/>
      <c r="K4381" s="110" t="str">
        <f>IF(H4381="","",IF($C$29="간이법","",FPR(H4381,I4381,J4381)))</f>
        <v/>
      </c>
      <c r="L4381" s="111" t="str">
        <f>IF(H4381="","",IF($C$29="상세법",FPV(H4381,K4381),IF(H4381="EI",4,IF(H4381="EO",5.2,IF(H4381="EQ",3.9,IF(H4381="ILF",7.5,IF(H4381="EIF",5.4)))))))</f>
        <v/>
      </c>
      <c r="M4381" s="112" t="str">
        <f t="shared" si="71"/>
        <v/>
      </c>
      <c r="N4381" s="113"/>
    </row>
    <row r="4382" spans="2:14">
      <c r="B4382" s="105"/>
      <c r="C4382" s="106"/>
      <c r="D4382" s="107"/>
      <c r="E4382" s="65"/>
      <c r="F4382" s="64"/>
      <c r="G4382" s="64"/>
      <c r="H4382" s="64"/>
      <c r="I4382" s="70"/>
      <c r="J4382" s="70"/>
      <c r="K4382" s="110" t="str">
        <f>IF(H4382="","",IF($C$29="간이법","",FPR(H4382,I4382,J4382)))</f>
        <v/>
      </c>
      <c r="L4382" s="111" t="str">
        <f>IF(H4382="","",IF($C$29="상세법",FPV(H4382,K4382),IF(H4382="EI",4,IF(H4382="EO",5.2,IF(H4382="EQ",3.9,IF(H4382="ILF",7.5,IF(H4382="EIF",5.4)))))))</f>
        <v/>
      </c>
      <c r="M4382" s="112" t="str">
        <f t="shared" si="71"/>
        <v/>
      </c>
      <c r="N4382" s="113"/>
    </row>
    <row r="4383" spans="2:14">
      <c r="B4383" s="105"/>
      <c r="C4383" s="106"/>
      <c r="D4383" s="107"/>
      <c r="E4383" s="65"/>
      <c r="F4383" s="64"/>
      <c r="G4383" s="64"/>
      <c r="H4383" s="64"/>
      <c r="I4383" s="70"/>
      <c r="J4383" s="70"/>
      <c r="K4383" s="110" t="str">
        <f>IF(H4383="","",IF($C$29="간이법","",FPR(H4383,I4383,J4383)))</f>
        <v/>
      </c>
      <c r="L4383" s="111" t="str">
        <f>IF(H4383="","",IF($C$29="상세법",FPV(H4383,K4383),IF(H4383="EI",4,IF(H4383="EO",5.2,IF(H4383="EQ",3.9,IF(H4383="ILF",7.5,IF(H4383="EIF",5.4)))))))</f>
        <v/>
      </c>
      <c r="M4383" s="112" t="str">
        <f t="shared" si="71"/>
        <v/>
      </c>
      <c r="N4383" s="113"/>
    </row>
    <row r="4384" spans="2:14">
      <c r="B4384" s="105"/>
      <c r="C4384" s="106"/>
      <c r="D4384" s="107"/>
      <c r="E4384" s="65"/>
      <c r="F4384" s="64"/>
      <c r="G4384" s="64"/>
      <c r="H4384" s="64"/>
      <c r="I4384" s="70"/>
      <c r="J4384" s="70"/>
      <c r="K4384" s="110" t="str">
        <f>IF(H4384="","",IF($C$29="간이법","",FPR(H4384,I4384,J4384)))</f>
        <v/>
      </c>
      <c r="L4384" s="111" t="str">
        <f>IF(H4384="","",IF($C$29="상세법",FPV(H4384,K4384),IF(H4384="EI",4,IF(H4384="EO",5.2,IF(H4384="EQ",3.9,IF(H4384="ILF",7.5,IF(H4384="EIF",5.4)))))))</f>
        <v/>
      </c>
      <c r="M4384" s="112" t="str">
        <f t="shared" si="71"/>
        <v/>
      </c>
      <c r="N4384" s="113"/>
    </row>
    <row r="4385" spans="2:14">
      <c r="B4385" s="105"/>
      <c r="C4385" s="106"/>
      <c r="D4385" s="107"/>
      <c r="E4385" s="65"/>
      <c r="F4385" s="64"/>
      <c r="G4385" s="64"/>
      <c r="H4385" s="64"/>
      <c r="I4385" s="70"/>
      <c r="J4385" s="70"/>
      <c r="K4385" s="110" t="str">
        <f>IF(H4385="","",IF($C$29="간이법","",FPR(H4385,I4385,J4385)))</f>
        <v/>
      </c>
      <c r="L4385" s="111" t="str">
        <f>IF(H4385="","",IF($C$29="상세법",FPV(H4385,K4385),IF(H4385="EI",4,IF(H4385="EO",5.2,IF(H4385="EQ",3.9,IF(H4385="ILF",7.5,IF(H4385="EIF",5.4)))))))</f>
        <v/>
      </c>
      <c r="M4385" s="112" t="str">
        <f t="shared" si="71"/>
        <v/>
      </c>
      <c r="N4385" s="113"/>
    </row>
    <row r="4386" spans="2:14">
      <c r="B4386" s="105"/>
      <c r="C4386" s="106"/>
      <c r="D4386" s="107"/>
      <c r="E4386" s="65"/>
      <c r="F4386" s="64"/>
      <c r="G4386" s="64"/>
      <c r="H4386" s="64"/>
      <c r="I4386" s="70"/>
      <c r="J4386" s="70"/>
      <c r="K4386" s="110" t="str">
        <f>IF(H4386="","",IF($C$29="간이법","",FPR(H4386,I4386,J4386)))</f>
        <v/>
      </c>
      <c r="L4386" s="111" t="str">
        <f>IF(H4386="","",IF($C$29="상세법",FPV(H4386,K4386),IF(H4386="EI",4,IF(H4386="EO",5.2,IF(H4386="EQ",3.9,IF(H4386="ILF",7.5,IF(H4386="EIF",5.4)))))))</f>
        <v/>
      </c>
      <c r="M4386" s="112" t="str">
        <f t="shared" si="71"/>
        <v/>
      </c>
      <c r="N4386" s="113"/>
    </row>
    <row r="4387" spans="2:14">
      <c r="B4387" s="105"/>
      <c r="C4387" s="106"/>
      <c r="D4387" s="107"/>
      <c r="E4387" s="65"/>
      <c r="F4387" s="64"/>
      <c r="G4387" s="64"/>
      <c r="H4387" s="64"/>
      <c r="I4387" s="70"/>
      <c r="J4387" s="70"/>
      <c r="K4387" s="110" t="str">
        <f>IF(H4387="","",IF($C$29="간이법","",FPR(H4387,I4387,J4387)))</f>
        <v/>
      </c>
      <c r="L4387" s="111" t="str">
        <f>IF(H4387="","",IF($C$29="상세법",FPV(H4387,K4387),IF(H4387="EI",4,IF(H4387="EO",5.2,IF(H4387="EQ",3.9,IF(H4387="ILF",7.5,IF(H4387="EIF",5.4)))))))</f>
        <v/>
      </c>
      <c r="M4387" s="112" t="str">
        <f t="shared" si="71"/>
        <v/>
      </c>
      <c r="N4387" s="113"/>
    </row>
    <row r="4388" spans="2:14">
      <c r="B4388" s="105"/>
      <c r="C4388" s="106"/>
      <c r="D4388" s="107"/>
      <c r="E4388" s="65"/>
      <c r="F4388" s="64"/>
      <c r="G4388" s="64"/>
      <c r="H4388" s="64"/>
      <c r="I4388" s="70"/>
      <c r="J4388" s="70"/>
      <c r="K4388" s="110" t="str">
        <f>IF(H4388="","",IF($C$29="간이법","",FPR(H4388,I4388,J4388)))</f>
        <v/>
      </c>
      <c r="L4388" s="111" t="str">
        <f>IF(H4388="","",IF($C$29="상세법",FPV(H4388,K4388),IF(H4388="EI",4,IF(H4388="EO",5.2,IF(H4388="EQ",3.9,IF(H4388="ILF",7.5,IF(H4388="EIF",5.4)))))))</f>
        <v/>
      </c>
      <c r="M4388" s="112" t="str">
        <f t="shared" si="71"/>
        <v/>
      </c>
      <c r="N4388" s="113"/>
    </row>
    <row r="4389" spans="2:14">
      <c r="B4389" s="105"/>
      <c r="C4389" s="106"/>
      <c r="D4389" s="107"/>
      <c r="E4389" s="65"/>
      <c r="F4389" s="64"/>
      <c r="G4389" s="64"/>
      <c r="H4389" s="64"/>
      <c r="I4389" s="70"/>
      <c r="J4389" s="70"/>
      <c r="K4389" s="110" t="str">
        <f>IF(H4389="","",IF($C$29="간이법","",FPR(H4389,I4389,J4389)))</f>
        <v/>
      </c>
      <c r="L4389" s="111" t="str">
        <f>IF(H4389="","",IF($C$29="상세법",FPV(H4389,K4389),IF(H4389="EI",4,IF(H4389="EO",5.2,IF(H4389="EQ",3.9,IF(H4389="ILF",7.5,IF(H4389="EIF",5.4)))))))</f>
        <v/>
      </c>
      <c r="M4389" s="112" t="str">
        <f t="shared" si="71"/>
        <v/>
      </c>
      <c r="N4389" s="113"/>
    </row>
    <row r="4390" spans="2:14">
      <c r="B4390" s="105"/>
      <c r="C4390" s="106"/>
      <c r="D4390" s="107"/>
      <c r="E4390" s="65"/>
      <c r="F4390" s="64"/>
      <c r="G4390" s="64"/>
      <c r="H4390" s="64"/>
      <c r="I4390" s="70"/>
      <c r="J4390" s="70"/>
      <c r="K4390" s="110" t="str">
        <f>IF(H4390="","",IF($C$29="간이법","",FPR(H4390,I4390,J4390)))</f>
        <v/>
      </c>
      <c r="L4390" s="111" t="str">
        <f>IF(H4390="","",IF($C$29="상세법",FPV(H4390,K4390),IF(H4390="EI",4,IF(H4390="EO",5.2,IF(H4390="EQ",3.9,IF(H4390="ILF",7.5,IF(H4390="EIF",5.4)))))))</f>
        <v/>
      </c>
      <c r="M4390" s="112" t="str">
        <f t="shared" si="71"/>
        <v/>
      </c>
      <c r="N4390" s="113"/>
    </row>
    <row r="4391" spans="2:14">
      <c r="B4391" s="105"/>
      <c r="C4391" s="106"/>
      <c r="D4391" s="107"/>
      <c r="E4391" s="65"/>
      <c r="F4391" s="64"/>
      <c r="G4391" s="64"/>
      <c r="H4391" s="64"/>
      <c r="I4391" s="70"/>
      <c r="J4391" s="70"/>
      <c r="K4391" s="110" t="str">
        <f>IF(H4391="","",IF($C$29="간이법","",FPR(H4391,I4391,J4391)))</f>
        <v/>
      </c>
      <c r="L4391" s="111" t="str">
        <f>IF(H4391="","",IF($C$29="상세법",FPV(H4391,K4391),IF(H4391="EI",4,IF(H4391="EO",5.2,IF(H4391="EQ",3.9,IF(H4391="ILF",7.5,IF(H4391="EIF",5.4)))))))</f>
        <v/>
      </c>
      <c r="M4391" s="112" t="str">
        <f t="shared" si="71"/>
        <v/>
      </c>
      <c r="N4391" s="113"/>
    </row>
    <row r="4392" spans="2:14">
      <c r="B4392" s="105"/>
      <c r="C4392" s="106"/>
      <c r="D4392" s="107"/>
      <c r="E4392" s="65"/>
      <c r="F4392" s="64"/>
      <c r="G4392" s="64"/>
      <c r="H4392" s="64"/>
      <c r="I4392" s="70"/>
      <c r="J4392" s="70"/>
      <c r="K4392" s="110" t="str">
        <f>IF(H4392="","",IF($C$29="간이법","",FPR(H4392,I4392,J4392)))</f>
        <v/>
      </c>
      <c r="L4392" s="111" t="str">
        <f>IF(H4392="","",IF($C$29="상세법",FPV(H4392,K4392),IF(H4392="EI",4,IF(H4392="EO",5.2,IF(H4392="EQ",3.9,IF(H4392="ILF",7.5,IF(H4392="EIF",5.4)))))))</f>
        <v/>
      </c>
      <c r="M4392" s="112" t="str">
        <f t="shared" si="71"/>
        <v/>
      </c>
      <c r="N4392" s="113"/>
    </row>
    <row r="4393" spans="2:14">
      <c r="B4393" s="105"/>
      <c r="C4393" s="106"/>
      <c r="D4393" s="107"/>
      <c r="E4393" s="65"/>
      <c r="F4393" s="64"/>
      <c r="G4393" s="64"/>
      <c r="H4393" s="64"/>
      <c r="I4393" s="70"/>
      <c r="J4393" s="70"/>
      <c r="K4393" s="110" t="str">
        <f>IF(H4393="","",IF($C$29="간이법","",FPR(H4393,I4393,J4393)))</f>
        <v/>
      </c>
      <c r="L4393" s="111" t="str">
        <f>IF(H4393="","",IF($C$29="상세법",FPV(H4393,K4393),IF(H4393="EI",4,IF(H4393="EO",5.2,IF(H4393="EQ",3.9,IF(H4393="ILF",7.5,IF(H4393="EIF",5.4)))))))</f>
        <v/>
      </c>
      <c r="M4393" s="112" t="str">
        <f t="shared" si="71"/>
        <v/>
      </c>
      <c r="N4393" s="113"/>
    </row>
    <row r="4394" spans="2:14">
      <c r="B4394" s="105"/>
      <c r="C4394" s="106"/>
      <c r="D4394" s="107"/>
      <c r="E4394" s="65"/>
      <c r="F4394" s="64"/>
      <c r="G4394" s="64"/>
      <c r="H4394" s="64"/>
      <c r="I4394" s="70"/>
      <c r="J4394" s="70"/>
      <c r="K4394" s="110" t="str">
        <f>IF(H4394="","",IF($C$29="간이법","",FPR(H4394,I4394,J4394)))</f>
        <v/>
      </c>
      <c r="L4394" s="111" t="str">
        <f>IF(H4394="","",IF($C$29="상세법",FPV(H4394,K4394),IF(H4394="EI",4,IF(H4394="EO",5.2,IF(H4394="EQ",3.9,IF(H4394="ILF",7.5,IF(H4394="EIF",5.4)))))))</f>
        <v/>
      </c>
      <c r="M4394" s="112" t="str">
        <f t="shared" si="71"/>
        <v/>
      </c>
      <c r="N4394" s="113"/>
    </row>
    <row r="4395" spans="2:14">
      <c r="B4395" s="105"/>
      <c r="C4395" s="106"/>
      <c r="D4395" s="107"/>
      <c r="E4395" s="65"/>
      <c r="F4395" s="64"/>
      <c r="G4395" s="64"/>
      <c r="H4395" s="64"/>
      <c r="I4395" s="70"/>
      <c r="J4395" s="70"/>
      <c r="K4395" s="110" t="str">
        <f>IF(H4395="","",IF($C$29="간이법","",FPR(H4395,I4395,J4395)))</f>
        <v/>
      </c>
      <c r="L4395" s="111" t="str">
        <f>IF(H4395="","",IF($C$29="상세법",FPV(H4395,K4395),IF(H4395="EI",4,IF(H4395="EO",5.2,IF(H4395="EQ",3.9,IF(H4395="ILF",7.5,IF(H4395="EIF",5.4)))))))</f>
        <v/>
      </c>
      <c r="M4395" s="112" t="str">
        <f t="shared" si="71"/>
        <v/>
      </c>
      <c r="N4395" s="113"/>
    </row>
    <row r="4396" spans="2:14">
      <c r="B4396" s="105"/>
      <c r="C4396" s="106"/>
      <c r="D4396" s="107"/>
      <c r="E4396" s="65"/>
      <c r="F4396" s="64"/>
      <c r="G4396" s="64"/>
      <c r="H4396" s="64"/>
      <c r="I4396" s="70"/>
      <c r="J4396" s="70"/>
      <c r="K4396" s="110" t="str">
        <f>IF(H4396="","",IF($C$29="간이법","",FPR(H4396,I4396,J4396)))</f>
        <v/>
      </c>
      <c r="L4396" s="111" t="str">
        <f>IF(H4396="","",IF($C$29="상세법",FPV(H4396,K4396),IF(H4396="EI",4,IF(H4396="EO",5.2,IF(H4396="EQ",3.9,IF(H4396="ILF",7.5,IF(H4396="EIF",5.4)))))))</f>
        <v/>
      </c>
      <c r="M4396" s="112" t="str">
        <f t="shared" si="71"/>
        <v/>
      </c>
      <c r="N4396" s="113"/>
    </row>
    <row r="4397" spans="2:14">
      <c r="B4397" s="105"/>
      <c r="C4397" s="106"/>
      <c r="D4397" s="107"/>
      <c r="E4397" s="65"/>
      <c r="F4397" s="64"/>
      <c r="G4397" s="64"/>
      <c r="H4397" s="64"/>
      <c r="I4397" s="70"/>
      <c r="J4397" s="70"/>
      <c r="K4397" s="110" t="str">
        <f>IF(H4397="","",IF($C$29="간이법","",FPR(H4397,I4397,J4397)))</f>
        <v/>
      </c>
      <c r="L4397" s="111" t="str">
        <f>IF(H4397="","",IF($C$29="상세법",FPV(H4397,K4397),IF(H4397="EI",4,IF(H4397="EO",5.2,IF(H4397="EQ",3.9,IF(H4397="ILF",7.5,IF(H4397="EIF",5.4)))))))</f>
        <v/>
      </c>
      <c r="M4397" s="112" t="str">
        <f t="shared" si="71"/>
        <v/>
      </c>
      <c r="N4397" s="113"/>
    </row>
    <row r="4398" spans="2:14">
      <c r="B4398" s="105"/>
      <c r="C4398" s="106"/>
      <c r="D4398" s="107"/>
      <c r="E4398" s="65"/>
      <c r="F4398" s="64"/>
      <c r="G4398" s="64"/>
      <c r="H4398" s="64"/>
      <c r="I4398" s="70"/>
      <c r="J4398" s="70"/>
      <c r="K4398" s="110" t="str">
        <f>IF(H4398="","",IF($C$29="간이법","",FPR(H4398,I4398,J4398)))</f>
        <v/>
      </c>
      <c r="L4398" s="111" t="str">
        <f>IF(H4398="","",IF($C$29="상세법",FPV(H4398,K4398),IF(H4398="EI",4,IF(H4398="EO",5.2,IF(H4398="EQ",3.9,IF(H4398="ILF",7.5,IF(H4398="EIF",5.4)))))))</f>
        <v/>
      </c>
      <c r="M4398" s="112" t="str">
        <f t="shared" si="71"/>
        <v/>
      </c>
      <c r="N4398" s="113"/>
    </row>
    <row r="4399" spans="2:14">
      <c r="B4399" s="105"/>
      <c r="C4399" s="106"/>
      <c r="D4399" s="107"/>
      <c r="E4399" s="65"/>
      <c r="F4399" s="64"/>
      <c r="G4399" s="64"/>
      <c r="H4399" s="64"/>
      <c r="I4399" s="70"/>
      <c r="J4399" s="70"/>
      <c r="K4399" s="110" t="str">
        <f>IF(H4399="","",IF($C$29="간이법","",FPR(H4399,I4399,J4399)))</f>
        <v/>
      </c>
      <c r="L4399" s="111" t="str">
        <f>IF(H4399="","",IF($C$29="상세법",FPV(H4399,K4399),IF(H4399="EI",4,IF(H4399="EO",5.2,IF(H4399="EQ",3.9,IF(H4399="ILF",7.5,IF(H4399="EIF",5.4)))))))</f>
        <v/>
      </c>
      <c r="M4399" s="112" t="str">
        <f t="shared" si="71"/>
        <v/>
      </c>
      <c r="N4399" s="113"/>
    </row>
    <row r="4400" spans="2:14">
      <c r="B4400" s="105"/>
      <c r="C4400" s="106"/>
      <c r="D4400" s="107"/>
      <c r="E4400" s="65"/>
      <c r="F4400" s="64"/>
      <c r="G4400" s="64"/>
      <c r="H4400" s="64"/>
      <c r="I4400" s="70"/>
      <c r="J4400" s="70"/>
      <c r="K4400" s="110" t="str">
        <f>IF(H4400="","",IF($C$29="간이법","",FPR(H4400,I4400,J4400)))</f>
        <v/>
      </c>
      <c r="L4400" s="111" t="str">
        <f>IF(H4400="","",IF($C$29="상세법",FPV(H4400,K4400),IF(H4400="EI",4,IF(H4400="EO",5.2,IF(H4400="EQ",3.9,IF(H4400="ILF",7.5,IF(H4400="EIF",5.4)))))))</f>
        <v/>
      </c>
      <c r="M4400" s="112" t="str">
        <f t="shared" si="71"/>
        <v/>
      </c>
      <c r="N4400" s="113"/>
    </row>
    <row r="4401" spans="2:14">
      <c r="B4401" s="105"/>
      <c r="C4401" s="106"/>
      <c r="D4401" s="107"/>
      <c r="E4401" s="65"/>
      <c r="F4401" s="64"/>
      <c r="G4401" s="64"/>
      <c r="H4401" s="64"/>
      <c r="I4401" s="70"/>
      <c r="J4401" s="70"/>
      <c r="K4401" s="110" t="str">
        <f>IF(H4401="","",IF($C$29="간이법","",FPR(H4401,I4401,J4401)))</f>
        <v/>
      </c>
      <c r="L4401" s="111" t="str">
        <f>IF(H4401="","",IF($C$29="상세법",FPV(H4401,K4401),IF(H4401="EI",4,IF(H4401="EO",5.2,IF(H4401="EQ",3.9,IF(H4401="ILF",7.5,IF(H4401="EIF",5.4)))))))</f>
        <v/>
      </c>
      <c r="M4401" s="112" t="str">
        <f t="shared" si="71"/>
        <v/>
      </c>
      <c r="N4401" s="113"/>
    </row>
    <row r="4402" spans="2:14">
      <c r="B4402" s="105"/>
      <c r="C4402" s="106"/>
      <c r="D4402" s="107"/>
      <c r="E4402" s="65"/>
      <c r="F4402" s="64"/>
      <c r="G4402" s="64"/>
      <c r="H4402" s="64"/>
      <c r="I4402" s="70"/>
      <c r="J4402" s="70"/>
      <c r="K4402" s="110" t="str">
        <f>IF(H4402="","",IF($C$29="간이법","",FPR(H4402,I4402,J4402)))</f>
        <v/>
      </c>
      <c r="L4402" s="111" t="str">
        <f>IF(H4402="","",IF($C$29="상세법",FPV(H4402,K4402),IF(H4402="EI",4,IF(H4402="EO",5.2,IF(H4402="EQ",3.9,IF(H4402="ILF",7.5,IF(H4402="EIF",5.4)))))))</f>
        <v/>
      </c>
      <c r="M4402" s="112" t="str">
        <f t="shared" si="71"/>
        <v/>
      </c>
      <c r="N4402" s="113"/>
    </row>
    <row r="4403" spans="2:14">
      <c r="B4403" s="105"/>
      <c r="C4403" s="106"/>
      <c r="D4403" s="107"/>
      <c r="E4403" s="65"/>
      <c r="F4403" s="64"/>
      <c r="G4403" s="64"/>
      <c r="H4403" s="64"/>
      <c r="I4403" s="70"/>
      <c r="J4403" s="70"/>
      <c r="K4403" s="110" t="str">
        <f>IF(H4403="","",IF($C$29="간이법","",FPR(H4403,I4403,J4403)))</f>
        <v/>
      </c>
      <c r="L4403" s="111" t="str">
        <f>IF(H4403="","",IF($C$29="상세법",FPV(H4403,K4403),IF(H4403="EI",4,IF(H4403="EO",5.2,IF(H4403="EQ",3.9,IF(H4403="ILF",7.5,IF(H4403="EIF",5.4)))))))</f>
        <v/>
      </c>
      <c r="M4403" s="112" t="str">
        <f t="shared" si="71"/>
        <v/>
      </c>
      <c r="N4403" s="113"/>
    </row>
    <row r="4404" spans="2:14">
      <c r="B4404" s="105"/>
      <c r="C4404" s="106"/>
      <c r="D4404" s="107"/>
      <c r="E4404" s="65"/>
      <c r="F4404" s="64"/>
      <c r="G4404" s="64"/>
      <c r="H4404" s="64"/>
      <c r="I4404" s="70"/>
      <c r="J4404" s="70"/>
      <c r="K4404" s="110" t="str">
        <f>IF(H4404="","",IF($C$29="간이법","",FPR(H4404,I4404,J4404)))</f>
        <v/>
      </c>
      <c r="L4404" s="111" t="str">
        <f>IF(H4404="","",IF($C$29="상세법",FPV(H4404,K4404),IF(H4404="EI",4,IF(H4404="EO",5.2,IF(H4404="EQ",3.9,IF(H4404="ILF",7.5,IF(H4404="EIF",5.4)))))))</f>
        <v/>
      </c>
      <c r="M4404" s="112" t="str">
        <f t="shared" si="71"/>
        <v/>
      </c>
      <c r="N4404" s="113"/>
    </row>
    <row r="4405" spans="2:14">
      <c r="B4405" s="105"/>
      <c r="C4405" s="106"/>
      <c r="D4405" s="107"/>
      <c r="E4405" s="65"/>
      <c r="F4405" s="64"/>
      <c r="G4405" s="64"/>
      <c r="H4405" s="64"/>
      <c r="I4405" s="70"/>
      <c r="J4405" s="70"/>
      <c r="K4405" s="110" t="str">
        <f>IF(H4405="","",IF($C$29="간이법","",FPR(H4405,I4405,J4405)))</f>
        <v/>
      </c>
      <c r="L4405" s="111" t="str">
        <f>IF(H4405="","",IF($C$29="상세법",FPV(H4405,K4405),IF(H4405="EI",4,IF(H4405="EO",5.2,IF(H4405="EQ",3.9,IF(H4405="ILF",7.5,IF(H4405="EIF",5.4)))))))</f>
        <v/>
      </c>
      <c r="M4405" s="112" t="str">
        <f t="shared" si="71"/>
        <v/>
      </c>
      <c r="N4405" s="113"/>
    </row>
    <row r="4406" spans="2:14">
      <c r="B4406" s="105"/>
      <c r="C4406" s="106"/>
      <c r="D4406" s="107"/>
      <c r="E4406" s="65"/>
      <c r="F4406" s="64"/>
      <c r="G4406" s="64"/>
      <c r="H4406" s="64"/>
      <c r="I4406" s="70"/>
      <c r="J4406" s="70"/>
      <c r="K4406" s="110" t="str">
        <f>IF(H4406="","",IF($C$29="간이법","",FPR(H4406,I4406,J4406)))</f>
        <v/>
      </c>
      <c r="L4406" s="111" t="str">
        <f>IF(H4406="","",IF($C$29="상세법",FPV(H4406,K4406),IF(H4406="EI",4,IF(H4406="EO",5.2,IF(H4406="EQ",3.9,IF(H4406="ILF",7.5,IF(H4406="EIF",5.4)))))))</f>
        <v/>
      </c>
      <c r="M4406" s="112" t="str">
        <f t="shared" si="71"/>
        <v/>
      </c>
      <c r="N4406" s="113"/>
    </row>
    <row r="4407" spans="2:14">
      <c r="B4407" s="105"/>
      <c r="C4407" s="106"/>
      <c r="D4407" s="107"/>
      <c r="E4407" s="65"/>
      <c r="F4407" s="64"/>
      <c r="G4407" s="64"/>
      <c r="H4407" s="64"/>
      <c r="I4407" s="70"/>
      <c r="J4407" s="70"/>
      <c r="K4407" s="110" t="str">
        <f>IF(H4407="","",IF($C$29="간이법","",FPR(H4407,I4407,J4407)))</f>
        <v/>
      </c>
      <c r="L4407" s="111" t="str">
        <f>IF(H4407="","",IF($C$29="상세법",FPV(H4407,K4407),IF(H4407="EI",4,IF(H4407="EO",5.2,IF(H4407="EQ",3.9,IF(H4407="ILF",7.5,IF(H4407="EIF",5.4)))))))</f>
        <v/>
      </c>
      <c r="M4407" s="112" t="str">
        <f t="shared" si="71"/>
        <v/>
      </c>
      <c r="N4407" s="113"/>
    </row>
    <row r="4408" spans="2:14">
      <c r="B4408" s="105"/>
      <c r="C4408" s="106"/>
      <c r="D4408" s="107"/>
      <c r="E4408" s="65"/>
      <c r="F4408" s="64"/>
      <c r="G4408" s="64"/>
      <c r="H4408" s="64"/>
      <c r="I4408" s="70"/>
      <c r="J4408" s="70"/>
      <c r="K4408" s="110" t="str">
        <f>IF(H4408="","",IF($C$29="간이법","",FPR(H4408,I4408,J4408)))</f>
        <v/>
      </c>
      <c r="L4408" s="111" t="str">
        <f>IF(H4408="","",IF($C$29="상세법",FPV(H4408,K4408),IF(H4408="EI",4,IF(H4408="EO",5.2,IF(H4408="EQ",3.9,IF(H4408="ILF",7.5,IF(H4408="EIF",5.4)))))))</f>
        <v/>
      </c>
      <c r="M4408" s="112" t="str">
        <f t="shared" si="71"/>
        <v/>
      </c>
      <c r="N4408" s="113"/>
    </row>
    <row r="4409" spans="2:14">
      <c r="B4409" s="105"/>
      <c r="C4409" s="106"/>
      <c r="D4409" s="107"/>
      <c r="E4409" s="65"/>
      <c r="F4409" s="64"/>
      <c r="G4409" s="64"/>
      <c r="H4409" s="64"/>
      <c r="I4409" s="70"/>
      <c r="J4409" s="70"/>
      <c r="K4409" s="110" t="str">
        <f>IF(H4409="","",IF($C$29="간이법","",FPR(H4409,I4409,J4409)))</f>
        <v/>
      </c>
      <c r="L4409" s="111" t="str">
        <f>IF(H4409="","",IF($C$29="상세법",FPV(H4409,K4409),IF(H4409="EI",4,IF(H4409="EO",5.2,IF(H4409="EQ",3.9,IF(H4409="ILF",7.5,IF(H4409="EIF",5.4)))))))</f>
        <v/>
      </c>
      <c r="M4409" s="112" t="str">
        <f t="shared" ref="M4409:M4472" si="72">IF(L4409="","",L4409*IF(G4409="상",0.7,IF(G4409="중",0.5,IF(G4409="하",0.2,1))))</f>
        <v/>
      </c>
      <c r="N4409" s="113"/>
    </row>
    <row r="4410" spans="2:14">
      <c r="B4410" s="105"/>
      <c r="C4410" s="106"/>
      <c r="D4410" s="107"/>
      <c r="E4410" s="65"/>
      <c r="F4410" s="64"/>
      <c r="G4410" s="64"/>
      <c r="H4410" s="64"/>
      <c r="I4410" s="70"/>
      <c r="J4410" s="70"/>
      <c r="K4410" s="110" t="str">
        <f>IF(H4410="","",IF($C$29="간이법","",FPR(H4410,I4410,J4410)))</f>
        <v/>
      </c>
      <c r="L4410" s="111" t="str">
        <f>IF(H4410="","",IF($C$29="상세법",FPV(H4410,K4410),IF(H4410="EI",4,IF(H4410="EO",5.2,IF(H4410="EQ",3.9,IF(H4410="ILF",7.5,IF(H4410="EIF",5.4)))))))</f>
        <v/>
      </c>
      <c r="M4410" s="112" t="str">
        <f t="shared" si="72"/>
        <v/>
      </c>
      <c r="N4410" s="113"/>
    </row>
    <row r="4411" spans="2:14">
      <c r="B4411" s="105"/>
      <c r="C4411" s="106"/>
      <c r="D4411" s="107"/>
      <c r="E4411" s="65"/>
      <c r="F4411" s="64"/>
      <c r="G4411" s="64"/>
      <c r="H4411" s="64"/>
      <c r="I4411" s="70"/>
      <c r="J4411" s="70"/>
      <c r="K4411" s="110" t="str">
        <f>IF(H4411="","",IF($C$29="간이법","",FPR(H4411,I4411,J4411)))</f>
        <v/>
      </c>
      <c r="L4411" s="111" t="str">
        <f>IF(H4411="","",IF($C$29="상세법",FPV(H4411,K4411),IF(H4411="EI",4,IF(H4411="EO",5.2,IF(H4411="EQ",3.9,IF(H4411="ILF",7.5,IF(H4411="EIF",5.4)))))))</f>
        <v/>
      </c>
      <c r="M4411" s="112" t="str">
        <f t="shared" si="72"/>
        <v/>
      </c>
      <c r="N4411" s="113"/>
    </row>
    <row r="4412" spans="2:14">
      <c r="B4412" s="105"/>
      <c r="C4412" s="106"/>
      <c r="D4412" s="107"/>
      <c r="E4412" s="65"/>
      <c r="F4412" s="64"/>
      <c r="G4412" s="64"/>
      <c r="H4412" s="64"/>
      <c r="I4412" s="70"/>
      <c r="J4412" s="70"/>
      <c r="K4412" s="110" t="str">
        <f>IF(H4412="","",IF($C$29="간이법","",FPR(H4412,I4412,J4412)))</f>
        <v/>
      </c>
      <c r="L4412" s="111" t="str">
        <f>IF(H4412="","",IF($C$29="상세법",FPV(H4412,K4412),IF(H4412="EI",4,IF(H4412="EO",5.2,IF(H4412="EQ",3.9,IF(H4412="ILF",7.5,IF(H4412="EIF",5.4)))))))</f>
        <v/>
      </c>
      <c r="M4412" s="112" t="str">
        <f t="shared" si="72"/>
        <v/>
      </c>
      <c r="N4412" s="113"/>
    </row>
    <row r="4413" spans="2:14">
      <c r="B4413" s="105"/>
      <c r="C4413" s="106"/>
      <c r="D4413" s="107"/>
      <c r="E4413" s="65"/>
      <c r="F4413" s="64"/>
      <c r="G4413" s="64"/>
      <c r="H4413" s="64"/>
      <c r="I4413" s="70"/>
      <c r="J4413" s="70"/>
      <c r="K4413" s="110" t="str">
        <f>IF(H4413="","",IF($C$29="간이법","",FPR(H4413,I4413,J4413)))</f>
        <v/>
      </c>
      <c r="L4413" s="111" t="str">
        <f>IF(H4413="","",IF($C$29="상세법",FPV(H4413,K4413),IF(H4413="EI",4,IF(H4413="EO",5.2,IF(H4413="EQ",3.9,IF(H4413="ILF",7.5,IF(H4413="EIF",5.4)))))))</f>
        <v/>
      </c>
      <c r="M4413" s="112" t="str">
        <f t="shared" si="72"/>
        <v/>
      </c>
      <c r="N4413" s="113"/>
    </row>
    <row r="4414" spans="2:14">
      <c r="B4414" s="105"/>
      <c r="C4414" s="106"/>
      <c r="D4414" s="107"/>
      <c r="E4414" s="65"/>
      <c r="F4414" s="64"/>
      <c r="G4414" s="64"/>
      <c r="H4414" s="64"/>
      <c r="I4414" s="70"/>
      <c r="J4414" s="70"/>
      <c r="K4414" s="110" t="str">
        <f>IF(H4414="","",IF($C$29="간이법","",FPR(H4414,I4414,J4414)))</f>
        <v/>
      </c>
      <c r="L4414" s="111" t="str">
        <f>IF(H4414="","",IF($C$29="상세법",FPV(H4414,K4414),IF(H4414="EI",4,IF(H4414="EO",5.2,IF(H4414="EQ",3.9,IF(H4414="ILF",7.5,IF(H4414="EIF",5.4)))))))</f>
        <v/>
      </c>
      <c r="M4414" s="112" t="str">
        <f t="shared" si="72"/>
        <v/>
      </c>
      <c r="N4414" s="113"/>
    </row>
    <row r="4415" spans="2:14">
      <c r="B4415" s="105"/>
      <c r="C4415" s="106"/>
      <c r="D4415" s="107"/>
      <c r="E4415" s="65"/>
      <c r="F4415" s="64"/>
      <c r="G4415" s="64"/>
      <c r="H4415" s="64"/>
      <c r="I4415" s="70"/>
      <c r="J4415" s="70"/>
      <c r="K4415" s="110" t="str">
        <f>IF(H4415="","",IF($C$29="간이법","",FPR(H4415,I4415,J4415)))</f>
        <v/>
      </c>
      <c r="L4415" s="111" t="str">
        <f>IF(H4415="","",IF($C$29="상세법",FPV(H4415,K4415),IF(H4415="EI",4,IF(H4415="EO",5.2,IF(H4415="EQ",3.9,IF(H4415="ILF",7.5,IF(H4415="EIF",5.4)))))))</f>
        <v/>
      </c>
      <c r="M4415" s="112" t="str">
        <f t="shared" si="72"/>
        <v/>
      </c>
      <c r="N4415" s="113"/>
    </row>
    <row r="4416" spans="2:14">
      <c r="B4416" s="105"/>
      <c r="C4416" s="106"/>
      <c r="D4416" s="107"/>
      <c r="E4416" s="65"/>
      <c r="F4416" s="64"/>
      <c r="G4416" s="64"/>
      <c r="H4416" s="64"/>
      <c r="I4416" s="70"/>
      <c r="J4416" s="70"/>
      <c r="K4416" s="110" t="str">
        <f>IF(H4416="","",IF($C$29="간이법","",FPR(H4416,I4416,J4416)))</f>
        <v/>
      </c>
      <c r="L4416" s="111" t="str">
        <f>IF(H4416="","",IF($C$29="상세법",FPV(H4416,K4416),IF(H4416="EI",4,IF(H4416="EO",5.2,IF(H4416="EQ",3.9,IF(H4416="ILF",7.5,IF(H4416="EIF",5.4)))))))</f>
        <v/>
      </c>
      <c r="M4416" s="112" t="str">
        <f t="shared" si="72"/>
        <v/>
      </c>
      <c r="N4416" s="113"/>
    </row>
    <row r="4417" spans="2:14">
      <c r="B4417" s="105"/>
      <c r="C4417" s="106"/>
      <c r="D4417" s="107"/>
      <c r="E4417" s="65"/>
      <c r="F4417" s="64"/>
      <c r="G4417" s="64"/>
      <c r="H4417" s="64"/>
      <c r="I4417" s="70"/>
      <c r="J4417" s="70"/>
      <c r="K4417" s="110" t="str">
        <f>IF(H4417="","",IF($C$29="간이법","",FPR(H4417,I4417,J4417)))</f>
        <v/>
      </c>
      <c r="L4417" s="111" t="str">
        <f>IF(H4417="","",IF($C$29="상세법",FPV(H4417,K4417),IF(H4417="EI",4,IF(H4417="EO",5.2,IF(H4417="EQ",3.9,IF(H4417="ILF",7.5,IF(H4417="EIF",5.4)))))))</f>
        <v/>
      </c>
      <c r="M4417" s="112" t="str">
        <f t="shared" si="72"/>
        <v/>
      </c>
      <c r="N4417" s="113"/>
    </row>
    <row r="4418" spans="2:14">
      <c r="B4418" s="105"/>
      <c r="C4418" s="106"/>
      <c r="D4418" s="107"/>
      <c r="E4418" s="65"/>
      <c r="F4418" s="64"/>
      <c r="G4418" s="64"/>
      <c r="H4418" s="64"/>
      <c r="I4418" s="70"/>
      <c r="J4418" s="70"/>
      <c r="K4418" s="110" t="str">
        <f>IF(H4418="","",IF($C$29="간이법","",FPR(H4418,I4418,J4418)))</f>
        <v/>
      </c>
      <c r="L4418" s="111" t="str">
        <f>IF(H4418="","",IF($C$29="상세법",FPV(H4418,K4418),IF(H4418="EI",4,IF(H4418="EO",5.2,IF(H4418="EQ",3.9,IF(H4418="ILF",7.5,IF(H4418="EIF",5.4)))))))</f>
        <v/>
      </c>
      <c r="M4418" s="112" t="str">
        <f t="shared" si="72"/>
        <v/>
      </c>
      <c r="N4418" s="113"/>
    </row>
    <row r="4419" spans="2:14">
      <c r="B4419" s="105"/>
      <c r="C4419" s="106"/>
      <c r="D4419" s="107"/>
      <c r="E4419" s="65"/>
      <c r="F4419" s="64"/>
      <c r="G4419" s="64"/>
      <c r="H4419" s="64"/>
      <c r="I4419" s="70"/>
      <c r="J4419" s="70"/>
      <c r="K4419" s="110" t="str">
        <f>IF(H4419="","",IF($C$29="간이법","",FPR(H4419,I4419,J4419)))</f>
        <v/>
      </c>
      <c r="L4419" s="111" t="str">
        <f>IF(H4419="","",IF($C$29="상세법",FPV(H4419,K4419),IF(H4419="EI",4,IF(H4419="EO",5.2,IF(H4419="EQ",3.9,IF(H4419="ILF",7.5,IF(H4419="EIF",5.4)))))))</f>
        <v/>
      </c>
      <c r="M4419" s="112" t="str">
        <f t="shared" si="72"/>
        <v/>
      </c>
      <c r="N4419" s="113"/>
    </row>
    <row r="4420" spans="2:14">
      <c r="B4420" s="105"/>
      <c r="C4420" s="106"/>
      <c r="D4420" s="107"/>
      <c r="E4420" s="65"/>
      <c r="F4420" s="64"/>
      <c r="G4420" s="64"/>
      <c r="H4420" s="64"/>
      <c r="I4420" s="70"/>
      <c r="J4420" s="70"/>
      <c r="K4420" s="110" t="str">
        <f>IF(H4420="","",IF($C$29="간이법","",FPR(H4420,I4420,J4420)))</f>
        <v/>
      </c>
      <c r="L4420" s="111" t="str">
        <f>IF(H4420="","",IF($C$29="상세법",FPV(H4420,K4420),IF(H4420="EI",4,IF(H4420="EO",5.2,IF(H4420="EQ",3.9,IF(H4420="ILF",7.5,IF(H4420="EIF",5.4)))))))</f>
        <v/>
      </c>
      <c r="M4420" s="112" t="str">
        <f t="shared" si="72"/>
        <v/>
      </c>
      <c r="N4420" s="113"/>
    </row>
    <row r="4421" spans="2:14">
      <c r="B4421" s="105"/>
      <c r="C4421" s="106"/>
      <c r="D4421" s="107"/>
      <c r="E4421" s="65"/>
      <c r="F4421" s="64"/>
      <c r="G4421" s="64"/>
      <c r="H4421" s="64"/>
      <c r="I4421" s="70"/>
      <c r="J4421" s="70"/>
      <c r="K4421" s="110" t="str">
        <f>IF(H4421="","",IF($C$29="간이법","",FPR(H4421,I4421,J4421)))</f>
        <v/>
      </c>
      <c r="L4421" s="111" t="str">
        <f>IF(H4421="","",IF($C$29="상세법",FPV(H4421,K4421),IF(H4421="EI",4,IF(H4421="EO",5.2,IF(H4421="EQ",3.9,IF(H4421="ILF",7.5,IF(H4421="EIF",5.4)))))))</f>
        <v/>
      </c>
      <c r="M4421" s="112" t="str">
        <f t="shared" si="72"/>
        <v/>
      </c>
      <c r="N4421" s="113"/>
    </row>
    <row r="4422" spans="2:14">
      <c r="B4422" s="105"/>
      <c r="C4422" s="106"/>
      <c r="D4422" s="107"/>
      <c r="E4422" s="65"/>
      <c r="F4422" s="64"/>
      <c r="G4422" s="64"/>
      <c r="H4422" s="64"/>
      <c r="I4422" s="70"/>
      <c r="J4422" s="70"/>
      <c r="K4422" s="110" t="str">
        <f>IF(H4422="","",IF($C$29="간이법","",FPR(H4422,I4422,J4422)))</f>
        <v/>
      </c>
      <c r="L4422" s="111" t="str">
        <f>IF(H4422="","",IF($C$29="상세법",FPV(H4422,K4422),IF(H4422="EI",4,IF(H4422="EO",5.2,IF(H4422="EQ",3.9,IF(H4422="ILF",7.5,IF(H4422="EIF",5.4)))))))</f>
        <v/>
      </c>
      <c r="M4422" s="112" t="str">
        <f t="shared" si="72"/>
        <v/>
      </c>
      <c r="N4422" s="113"/>
    </row>
    <row r="4423" spans="2:14">
      <c r="B4423" s="105"/>
      <c r="C4423" s="106"/>
      <c r="D4423" s="107"/>
      <c r="E4423" s="65"/>
      <c r="F4423" s="64"/>
      <c r="G4423" s="64"/>
      <c r="H4423" s="64"/>
      <c r="I4423" s="70"/>
      <c r="J4423" s="70"/>
      <c r="K4423" s="110" t="str">
        <f>IF(H4423="","",IF($C$29="간이법","",FPR(H4423,I4423,J4423)))</f>
        <v/>
      </c>
      <c r="L4423" s="111" t="str">
        <f>IF(H4423="","",IF($C$29="상세법",FPV(H4423,K4423),IF(H4423="EI",4,IF(H4423="EO",5.2,IF(H4423="EQ",3.9,IF(H4423="ILF",7.5,IF(H4423="EIF",5.4)))))))</f>
        <v/>
      </c>
      <c r="M4423" s="112" t="str">
        <f t="shared" si="72"/>
        <v/>
      </c>
      <c r="N4423" s="113"/>
    </row>
    <row r="4424" spans="2:14">
      <c r="B4424" s="105"/>
      <c r="C4424" s="106"/>
      <c r="D4424" s="107"/>
      <c r="E4424" s="65"/>
      <c r="F4424" s="64"/>
      <c r="G4424" s="64"/>
      <c r="H4424" s="64"/>
      <c r="I4424" s="70"/>
      <c r="J4424" s="70"/>
      <c r="K4424" s="110" t="str">
        <f>IF(H4424="","",IF($C$29="간이법","",FPR(H4424,I4424,J4424)))</f>
        <v/>
      </c>
      <c r="L4424" s="111" t="str">
        <f>IF(H4424="","",IF($C$29="상세법",FPV(H4424,K4424),IF(H4424="EI",4,IF(H4424="EO",5.2,IF(H4424="EQ",3.9,IF(H4424="ILF",7.5,IF(H4424="EIF",5.4)))))))</f>
        <v/>
      </c>
      <c r="M4424" s="112" t="str">
        <f t="shared" si="72"/>
        <v/>
      </c>
      <c r="N4424" s="113"/>
    </row>
    <row r="4425" spans="2:14">
      <c r="B4425" s="105"/>
      <c r="C4425" s="106"/>
      <c r="D4425" s="107"/>
      <c r="E4425" s="65"/>
      <c r="F4425" s="64"/>
      <c r="G4425" s="64"/>
      <c r="H4425" s="64"/>
      <c r="I4425" s="70"/>
      <c r="J4425" s="70"/>
      <c r="K4425" s="110" t="str">
        <f>IF(H4425="","",IF($C$29="간이법","",FPR(H4425,I4425,J4425)))</f>
        <v/>
      </c>
      <c r="L4425" s="111" t="str">
        <f>IF(H4425="","",IF($C$29="상세법",FPV(H4425,K4425),IF(H4425="EI",4,IF(H4425="EO",5.2,IF(H4425="EQ",3.9,IF(H4425="ILF",7.5,IF(H4425="EIF",5.4)))))))</f>
        <v/>
      </c>
      <c r="M4425" s="112" t="str">
        <f t="shared" si="72"/>
        <v/>
      </c>
      <c r="N4425" s="113"/>
    </row>
    <row r="4426" spans="2:14">
      <c r="B4426" s="105"/>
      <c r="C4426" s="106"/>
      <c r="D4426" s="107"/>
      <c r="E4426" s="65"/>
      <c r="F4426" s="64"/>
      <c r="G4426" s="64"/>
      <c r="H4426" s="64"/>
      <c r="I4426" s="70"/>
      <c r="J4426" s="70"/>
      <c r="K4426" s="110" t="str">
        <f>IF(H4426="","",IF($C$29="간이법","",FPR(H4426,I4426,J4426)))</f>
        <v/>
      </c>
      <c r="L4426" s="111" t="str">
        <f>IF(H4426="","",IF($C$29="상세법",FPV(H4426,K4426),IF(H4426="EI",4,IF(H4426="EO",5.2,IF(H4426="EQ",3.9,IF(H4426="ILF",7.5,IF(H4426="EIF",5.4)))))))</f>
        <v/>
      </c>
      <c r="M4426" s="112" t="str">
        <f t="shared" si="72"/>
        <v/>
      </c>
      <c r="N4426" s="113"/>
    </row>
    <row r="4427" spans="2:14">
      <c r="B4427" s="105"/>
      <c r="C4427" s="106"/>
      <c r="D4427" s="107"/>
      <c r="E4427" s="65"/>
      <c r="F4427" s="64"/>
      <c r="G4427" s="64"/>
      <c r="H4427" s="64"/>
      <c r="I4427" s="70"/>
      <c r="J4427" s="70"/>
      <c r="K4427" s="110" t="str">
        <f>IF(H4427="","",IF($C$29="간이법","",FPR(H4427,I4427,J4427)))</f>
        <v/>
      </c>
      <c r="L4427" s="111" t="str">
        <f>IF(H4427="","",IF($C$29="상세법",FPV(H4427,K4427),IF(H4427="EI",4,IF(H4427="EO",5.2,IF(H4427="EQ",3.9,IF(H4427="ILF",7.5,IF(H4427="EIF",5.4)))))))</f>
        <v/>
      </c>
      <c r="M4427" s="112" t="str">
        <f t="shared" si="72"/>
        <v/>
      </c>
      <c r="N4427" s="113"/>
    </row>
    <row r="4428" spans="2:14">
      <c r="B4428" s="105"/>
      <c r="C4428" s="106"/>
      <c r="D4428" s="107"/>
      <c r="E4428" s="65"/>
      <c r="F4428" s="64"/>
      <c r="G4428" s="64"/>
      <c r="H4428" s="64"/>
      <c r="I4428" s="70"/>
      <c r="J4428" s="70"/>
      <c r="K4428" s="110" t="str">
        <f>IF(H4428="","",IF($C$29="간이법","",FPR(H4428,I4428,J4428)))</f>
        <v/>
      </c>
      <c r="L4428" s="111" t="str">
        <f>IF(H4428="","",IF($C$29="상세법",FPV(H4428,K4428),IF(H4428="EI",4,IF(H4428="EO",5.2,IF(H4428="EQ",3.9,IF(H4428="ILF",7.5,IF(H4428="EIF",5.4)))))))</f>
        <v/>
      </c>
      <c r="M4428" s="112" t="str">
        <f t="shared" si="72"/>
        <v/>
      </c>
      <c r="N4428" s="113"/>
    </row>
    <row r="4429" spans="2:14">
      <c r="B4429" s="105"/>
      <c r="C4429" s="106"/>
      <c r="D4429" s="107"/>
      <c r="E4429" s="65"/>
      <c r="F4429" s="64"/>
      <c r="G4429" s="64"/>
      <c r="H4429" s="64"/>
      <c r="I4429" s="70"/>
      <c r="J4429" s="70"/>
      <c r="K4429" s="110" t="str">
        <f>IF(H4429="","",IF($C$29="간이법","",FPR(H4429,I4429,J4429)))</f>
        <v/>
      </c>
      <c r="L4429" s="111" t="str">
        <f>IF(H4429="","",IF($C$29="상세법",FPV(H4429,K4429),IF(H4429="EI",4,IF(H4429="EO",5.2,IF(H4429="EQ",3.9,IF(H4429="ILF",7.5,IF(H4429="EIF",5.4)))))))</f>
        <v/>
      </c>
      <c r="M4429" s="112" t="str">
        <f t="shared" si="72"/>
        <v/>
      </c>
      <c r="N4429" s="113"/>
    </row>
    <row r="4430" spans="2:14">
      <c r="B4430" s="105"/>
      <c r="C4430" s="106"/>
      <c r="D4430" s="107"/>
      <c r="E4430" s="65"/>
      <c r="F4430" s="64"/>
      <c r="G4430" s="64"/>
      <c r="H4430" s="64"/>
      <c r="I4430" s="70"/>
      <c r="J4430" s="70"/>
      <c r="K4430" s="110" t="str">
        <f>IF(H4430="","",IF($C$29="간이법","",FPR(H4430,I4430,J4430)))</f>
        <v/>
      </c>
      <c r="L4430" s="111" t="str">
        <f>IF(H4430="","",IF($C$29="상세법",FPV(H4430,K4430),IF(H4430="EI",4,IF(H4430="EO",5.2,IF(H4430="EQ",3.9,IF(H4430="ILF",7.5,IF(H4430="EIF",5.4)))))))</f>
        <v/>
      </c>
      <c r="M4430" s="112" t="str">
        <f t="shared" si="72"/>
        <v/>
      </c>
      <c r="N4430" s="113"/>
    </row>
    <row r="4431" spans="2:14">
      <c r="B4431" s="105"/>
      <c r="C4431" s="106"/>
      <c r="D4431" s="107"/>
      <c r="E4431" s="65"/>
      <c r="F4431" s="64"/>
      <c r="G4431" s="64"/>
      <c r="H4431" s="64"/>
      <c r="I4431" s="70"/>
      <c r="J4431" s="70"/>
      <c r="K4431" s="110" t="str">
        <f>IF(H4431="","",IF($C$29="간이법","",FPR(H4431,I4431,J4431)))</f>
        <v/>
      </c>
      <c r="L4431" s="111" t="str">
        <f>IF(H4431="","",IF($C$29="상세법",FPV(H4431,K4431),IF(H4431="EI",4,IF(H4431="EO",5.2,IF(H4431="EQ",3.9,IF(H4431="ILF",7.5,IF(H4431="EIF",5.4)))))))</f>
        <v/>
      </c>
      <c r="M4431" s="112" t="str">
        <f t="shared" si="72"/>
        <v/>
      </c>
      <c r="N4431" s="113"/>
    </row>
    <row r="4432" spans="2:14">
      <c r="B4432" s="105"/>
      <c r="C4432" s="106"/>
      <c r="D4432" s="107"/>
      <c r="E4432" s="65"/>
      <c r="F4432" s="64"/>
      <c r="G4432" s="64"/>
      <c r="H4432" s="64"/>
      <c r="I4432" s="70"/>
      <c r="J4432" s="70"/>
      <c r="K4432" s="110" t="str">
        <f>IF(H4432="","",IF($C$29="간이법","",FPR(H4432,I4432,J4432)))</f>
        <v/>
      </c>
      <c r="L4432" s="111" t="str">
        <f>IF(H4432="","",IF($C$29="상세법",FPV(H4432,K4432),IF(H4432="EI",4,IF(H4432="EO",5.2,IF(H4432="EQ",3.9,IF(H4432="ILF",7.5,IF(H4432="EIF",5.4)))))))</f>
        <v/>
      </c>
      <c r="M4432" s="112" t="str">
        <f t="shared" si="72"/>
        <v/>
      </c>
      <c r="N4432" s="113"/>
    </row>
    <row r="4433" spans="2:14">
      <c r="B4433" s="105"/>
      <c r="C4433" s="106"/>
      <c r="D4433" s="107"/>
      <c r="E4433" s="65"/>
      <c r="F4433" s="64"/>
      <c r="G4433" s="64"/>
      <c r="H4433" s="64"/>
      <c r="I4433" s="70"/>
      <c r="J4433" s="70"/>
      <c r="K4433" s="110" t="str">
        <f>IF(H4433="","",IF($C$29="간이법","",FPR(H4433,I4433,J4433)))</f>
        <v/>
      </c>
      <c r="L4433" s="111" t="str">
        <f>IF(H4433="","",IF($C$29="상세법",FPV(H4433,K4433),IF(H4433="EI",4,IF(H4433="EO",5.2,IF(H4433="EQ",3.9,IF(H4433="ILF",7.5,IF(H4433="EIF",5.4)))))))</f>
        <v/>
      </c>
      <c r="M4433" s="112" t="str">
        <f t="shared" si="72"/>
        <v/>
      </c>
      <c r="N4433" s="113"/>
    </row>
    <row r="4434" spans="2:14">
      <c r="B4434" s="105"/>
      <c r="C4434" s="106"/>
      <c r="D4434" s="107"/>
      <c r="E4434" s="65"/>
      <c r="F4434" s="64"/>
      <c r="G4434" s="64"/>
      <c r="H4434" s="64"/>
      <c r="I4434" s="70"/>
      <c r="J4434" s="70"/>
      <c r="K4434" s="110" t="str">
        <f>IF(H4434="","",IF($C$29="간이법","",FPR(H4434,I4434,J4434)))</f>
        <v/>
      </c>
      <c r="L4434" s="111" t="str">
        <f>IF(H4434="","",IF($C$29="상세법",FPV(H4434,K4434),IF(H4434="EI",4,IF(H4434="EO",5.2,IF(H4434="EQ",3.9,IF(H4434="ILF",7.5,IF(H4434="EIF",5.4)))))))</f>
        <v/>
      </c>
      <c r="M4434" s="112" t="str">
        <f t="shared" si="72"/>
        <v/>
      </c>
      <c r="N4434" s="113"/>
    </row>
    <row r="4435" spans="2:14">
      <c r="B4435" s="105"/>
      <c r="C4435" s="106"/>
      <c r="D4435" s="107"/>
      <c r="E4435" s="65"/>
      <c r="F4435" s="64"/>
      <c r="G4435" s="64"/>
      <c r="H4435" s="64"/>
      <c r="I4435" s="70"/>
      <c r="J4435" s="70"/>
      <c r="K4435" s="110" t="str">
        <f>IF(H4435="","",IF($C$29="간이법","",FPR(H4435,I4435,J4435)))</f>
        <v/>
      </c>
      <c r="L4435" s="111" t="str">
        <f>IF(H4435="","",IF($C$29="상세법",FPV(H4435,K4435),IF(H4435="EI",4,IF(H4435="EO",5.2,IF(H4435="EQ",3.9,IF(H4435="ILF",7.5,IF(H4435="EIF",5.4)))))))</f>
        <v/>
      </c>
      <c r="M4435" s="112" t="str">
        <f t="shared" si="72"/>
        <v/>
      </c>
      <c r="N4435" s="113"/>
    </row>
    <row r="4436" spans="2:14">
      <c r="B4436" s="105"/>
      <c r="C4436" s="106"/>
      <c r="D4436" s="107"/>
      <c r="E4436" s="65"/>
      <c r="F4436" s="64"/>
      <c r="G4436" s="64"/>
      <c r="H4436" s="64"/>
      <c r="I4436" s="70"/>
      <c r="J4436" s="70"/>
      <c r="K4436" s="110" t="str">
        <f>IF(H4436="","",IF($C$29="간이법","",FPR(H4436,I4436,J4436)))</f>
        <v/>
      </c>
      <c r="L4436" s="111" t="str">
        <f>IF(H4436="","",IF($C$29="상세법",FPV(H4436,K4436),IF(H4436="EI",4,IF(H4436="EO",5.2,IF(H4436="EQ",3.9,IF(H4436="ILF",7.5,IF(H4436="EIF",5.4)))))))</f>
        <v/>
      </c>
      <c r="M4436" s="112" t="str">
        <f t="shared" si="72"/>
        <v/>
      </c>
      <c r="N4436" s="113"/>
    </row>
    <row r="4437" spans="2:14">
      <c r="B4437" s="105"/>
      <c r="C4437" s="106"/>
      <c r="D4437" s="107"/>
      <c r="E4437" s="65"/>
      <c r="F4437" s="64"/>
      <c r="G4437" s="64"/>
      <c r="H4437" s="64"/>
      <c r="I4437" s="70"/>
      <c r="J4437" s="70"/>
      <c r="K4437" s="110" t="str">
        <f>IF(H4437="","",IF($C$29="간이법","",FPR(H4437,I4437,J4437)))</f>
        <v/>
      </c>
      <c r="L4437" s="111" t="str">
        <f>IF(H4437="","",IF($C$29="상세법",FPV(H4437,K4437),IF(H4437="EI",4,IF(H4437="EO",5.2,IF(H4437="EQ",3.9,IF(H4437="ILF",7.5,IF(H4437="EIF",5.4)))))))</f>
        <v/>
      </c>
      <c r="M4437" s="112" t="str">
        <f t="shared" si="72"/>
        <v/>
      </c>
      <c r="N4437" s="113"/>
    </row>
    <row r="4438" spans="2:14">
      <c r="B4438" s="105"/>
      <c r="C4438" s="106"/>
      <c r="D4438" s="107"/>
      <c r="E4438" s="65"/>
      <c r="F4438" s="64"/>
      <c r="G4438" s="64"/>
      <c r="H4438" s="64"/>
      <c r="I4438" s="70"/>
      <c r="J4438" s="70"/>
      <c r="K4438" s="110" t="str">
        <f>IF(H4438="","",IF($C$29="간이법","",FPR(H4438,I4438,J4438)))</f>
        <v/>
      </c>
      <c r="L4438" s="111" t="str">
        <f>IF(H4438="","",IF($C$29="상세법",FPV(H4438,K4438),IF(H4438="EI",4,IF(H4438="EO",5.2,IF(H4438="EQ",3.9,IF(H4438="ILF",7.5,IF(H4438="EIF",5.4)))))))</f>
        <v/>
      </c>
      <c r="M4438" s="112" t="str">
        <f t="shared" si="72"/>
        <v/>
      </c>
      <c r="N4438" s="113"/>
    </row>
    <row r="4439" spans="2:14">
      <c r="B4439" s="105"/>
      <c r="C4439" s="106"/>
      <c r="D4439" s="107"/>
      <c r="E4439" s="65"/>
      <c r="F4439" s="64"/>
      <c r="G4439" s="64"/>
      <c r="H4439" s="64"/>
      <c r="I4439" s="70"/>
      <c r="J4439" s="70"/>
      <c r="K4439" s="110" t="str">
        <f>IF(H4439="","",IF($C$29="간이법","",FPR(H4439,I4439,J4439)))</f>
        <v/>
      </c>
      <c r="L4439" s="111" t="str">
        <f>IF(H4439="","",IF($C$29="상세법",FPV(H4439,K4439),IF(H4439="EI",4,IF(H4439="EO",5.2,IF(H4439="EQ",3.9,IF(H4439="ILF",7.5,IF(H4439="EIF",5.4)))))))</f>
        <v/>
      </c>
      <c r="M4439" s="112" t="str">
        <f t="shared" si="72"/>
        <v/>
      </c>
      <c r="N4439" s="113"/>
    </row>
    <row r="4440" spans="2:14">
      <c r="B4440" s="105"/>
      <c r="C4440" s="106"/>
      <c r="D4440" s="107"/>
      <c r="E4440" s="65"/>
      <c r="F4440" s="64"/>
      <c r="G4440" s="64"/>
      <c r="H4440" s="64"/>
      <c r="I4440" s="70"/>
      <c r="J4440" s="70"/>
      <c r="K4440" s="110" t="str">
        <f>IF(H4440="","",IF($C$29="간이법","",FPR(H4440,I4440,J4440)))</f>
        <v/>
      </c>
      <c r="L4440" s="111" t="str">
        <f>IF(H4440="","",IF($C$29="상세법",FPV(H4440,K4440),IF(H4440="EI",4,IF(H4440="EO",5.2,IF(H4440="EQ",3.9,IF(H4440="ILF",7.5,IF(H4440="EIF",5.4)))))))</f>
        <v/>
      </c>
      <c r="M4440" s="112" t="str">
        <f t="shared" si="72"/>
        <v/>
      </c>
      <c r="N4440" s="113"/>
    </row>
    <row r="4441" spans="2:14">
      <c r="B4441" s="105"/>
      <c r="C4441" s="106"/>
      <c r="D4441" s="107"/>
      <c r="E4441" s="65"/>
      <c r="F4441" s="64"/>
      <c r="G4441" s="64"/>
      <c r="H4441" s="64"/>
      <c r="I4441" s="70"/>
      <c r="J4441" s="70"/>
      <c r="K4441" s="110" t="str">
        <f>IF(H4441="","",IF($C$29="간이법","",FPR(H4441,I4441,J4441)))</f>
        <v/>
      </c>
      <c r="L4441" s="111" t="str">
        <f>IF(H4441="","",IF($C$29="상세법",FPV(H4441,K4441),IF(H4441="EI",4,IF(H4441="EO",5.2,IF(H4441="EQ",3.9,IF(H4441="ILF",7.5,IF(H4441="EIF",5.4)))))))</f>
        <v/>
      </c>
      <c r="M4441" s="112" t="str">
        <f t="shared" si="72"/>
        <v/>
      </c>
      <c r="N4441" s="113"/>
    </row>
    <row r="4442" spans="2:14">
      <c r="B4442" s="105"/>
      <c r="C4442" s="106"/>
      <c r="D4442" s="107"/>
      <c r="E4442" s="65"/>
      <c r="F4442" s="64"/>
      <c r="G4442" s="64"/>
      <c r="H4442" s="64"/>
      <c r="I4442" s="70"/>
      <c r="J4442" s="70"/>
      <c r="K4442" s="110" t="str">
        <f>IF(H4442="","",IF($C$29="간이법","",FPR(H4442,I4442,J4442)))</f>
        <v/>
      </c>
      <c r="L4442" s="111" t="str">
        <f>IF(H4442="","",IF($C$29="상세법",FPV(H4442,K4442),IF(H4442="EI",4,IF(H4442="EO",5.2,IF(H4442="EQ",3.9,IF(H4442="ILF",7.5,IF(H4442="EIF",5.4)))))))</f>
        <v/>
      </c>
      <c r="M4442" s="112" t="str">
        <f t="shared" si="72"/>
        <v/>
      </c>
      <c r="N4442" s="113"/>
    </row>
    <row r="4443" spans="2:14">
      <c r="B4443" s="105"/>
      <c r="C4443" s="106"/>
      <c r="D4443" s="107"/>
      <c r="E4443" s="65"/>
      <c r="F4443" s="64"/>
      <c r="G4443" s="64"/>
      <c r="H4443" s="64"/>
      <c r="I4443" s="70"/>
      <c r="J4443" s="70"/>
      <c r="K4443" s="110" t="str">
        <f>IF(H4443="","",IF($C$29="간이법","",FPR(H4443,I4443,J4443)))</f>
        <v/>
      </c>
      <c r="L4443" s="111" t="str">
        <f>IF(H4443="","",IF($C$29="상세법",FPV(H4443,K4443),IF(H4443="EI",4,IF(H4443="EO",5.2,IF(H4443="EQ",3.9,IF(H4443="ILF",7.5,IF(H4443="EIF",5.4)))))))</f>
        <v/>
      </c>
      <c r="M4443" s="112" t="str">
        <f t="shared" si="72"/>
        <v/>
      </c>
      <c r="N4443" s="113"/>
    </row>
    <row r="4444" spans="2:14">
      <c r="B4444" s="105"/>
      <c r="C4444" s="106"/>
      <c r="D4444" s="107"/>
      <c r="E4444" s="65"/>
      <c r="F4444" s="64"/>
      <c r="G4444" s="64"/>
      <c r="H4444" s="64"/>
      <c r="I4444" s="70"/>
      <c r="J4444" s="70"/>
      <c r="K4444" s="110" t="str">
        <f>IF(H4444="","",IF($C$29="간이법","",FPR(H4444,I4444,J4444)))</f>
        <v/>
      </c>
      <c r="L4444" s="111" t="str">
        <f>IF(H4444="","",IF($C$29="상세법",FPV(H4444,K4444),IF(H4444="EI",4,IF(H4444="EO",5.2,IF(H4444="EQ",3.9,IF(H4444="ILF",7.5,IF(H4444="EIF",5.4)))))))</f>
        <v/>
      </c>
      <c r="M4444" s="112" t="str">
        <f t="shared" si="72"/>
        <v/>
      </c>
      <c r="N4444" s="113"/>
    </row>
    <row r="4445" spans="2:14">
      <c r="B4445" s="105"/>
      <c r="C4445" s="106"/>
      <c r="D4445" s="107"/>
      <c r="E4445" s="65"/>
      <c r="F4445" s="64"/>
      <c r="G4445" s="64"/>
      <c r="H4445" s="64"/>
      <c r="I4445" s="70"/>
      <c r="J4445" s="70"/>
      <c r="K4445" s="110" t="str">
        <f>IF(H4445="","",IF($C$29="간이법","",FPR(H4445,I4445,J4445)))</f>
        <v/>
      </c>
      <c r="L4445" s="111" t="str">
        <f>IF(H4445="","",IF($C$29="상세법",FPV(H4445,K4445),IF(H4445="EI",4,IF(H4445="EO",5.2,IF(H4445="EQ",3.9,IF(H4445="ILF",7.5,IF(H4445="EIF",5.4)))))))</f>
        <v/>
      </c>
      <c r="M4445" s="112" t="str">
        <f t="shared" si="72"/>
        <v/>
      </c>
      <c r="N4445" s="113"/>
    </row>
    <row r="4446" spans="2:14">
      <c r="B4446" s="105"/>
      <c r="C4446" s="106"/>
      <c r="D4446" s="107"/>
      <c r="E4446" s="65"/>
      <c r="F4446" s="64"/>
      <c r="G4446" s="64"/>
      <c r="H4446" s="64"/>
      <c r="I4446" s="70"/>
      <c r="J4446" s="70"/>
      <c r="K4446" s="110" t="str">
        <f>IF(H4446="","",IF($C$29="간이법","",FPR(H4446,I4446,J4446)))</f>
        <v/>
      </c>
      <c r="L4446" s="111" t="str">
        <f>IF(H4446="","",IF($C$29="상세법",FPV(H4446,K4446),IF(H4446="EI",4,IF(H4446="EO",5.2,IF(H4446="EQ",3.9,IF(H4446="ILF",7.5,IF(H4446="EIF",5.4)))))))</f>
        <v/>
      </c>
      <c r="M4446" s="112" t="str">
        <f t="shared" si="72"/>
        <v/>
      </c>
      <c r="N4446" s="113"/>
    </row>
    <row r="4447" spans="2:14">
      <c r="B4447" s="105"/>
      <c r="C4447" s="106"/>
      <c r="D4447" s="107"/>
      <c r="E4447" s="65"/>
      <c r="F4447" s="64"/>
      <c r="G4447" s="64"/>
      <c r="H4447" s="64"/>
      <c r="I4447" s="70"/>
      <c r="J4447" s="70"/>
      <c r="K4447" s="110" t="str">
        <f>IF(H4447="","",IF($C$29="간이법","",FPR(H4447,I4447,J4447)))</f>
        <v/>
      </c>
      <c r="L4447" s="111" t="str">
        <f>IF(H4447="","",IF($C$29="상세법",FPV(H4447,K4447),IF(H4447="EI",4,IF(H4447="EO",5.2,IF(H4447="EQ",3.9,IF(H4447="ILF",7.5,IF(H4447="EIF",5.4)))))))</f>
        <v/>
      </c>
      <c r="M4447" s="112" t="str">
        <f t="shared" si="72"/>
        <v/>
      </c>
      <c r="N4447" s="113"/>
    </row>
    <row r="4448" spans="2:14">
      <c r="B4448" s="105"/>
      <c r="C4448" s="106"/>
      <c r="D4448" s="107"/>
      <c r="E4448" s="65"/>
      <c r="F4448" s="64"/>
      <c r="G4448" s="64"/>
      <c r="H4448" s="64"/>
      <c r="I4448" s="70"/>
      <c r="J4448" s="70"/>
      <c r="K4448" s="110" t="str">
        <f>IF(H4448="","",IF($C$29="간이법","",FPR(H4448,I4448,J4448)))</f>
        <v/>
      </c>
      <c r="L4448" s="111" t="str">
        <f>IF(H4448="","",IF($C$29="상세법",FPV(H4448,K4448),IF(H4448="EI",4,IF(H4448="EO",5.2,IF(H4448="EQ",3.9,IF(H4448="ILF",7.5,IF(H4448="EIF",5.4)))))))</f>
        <v/>
      </c>
      <c r="M4448" s="112" t="str">
        <f t="shared" si="72"/>
        <v/>
      </c>
      <c r="N4448" s="113"/>
    </row>
    <row r="4449" spans="2:14">
      <c r="B4449" s="105"/>
      <c r="C4449" s="106"/>
      <c r="D4449" s="107"/>
      <c r="E4449" s="65"/>
      <c r="F4449" s="64"/>
      <c r="G4449" s="64"/>
      <c r="H4449" s="64"/>
      <c r="I4449" s="70"/>
      <c r="J4449" s="70"/>
      <c r="K4449" s="110" t="str">
        <f>IF(H4449="","",IF($C$29="간이법","",FPR(H4449,I4449,J4449)))</f>
        <v/>
      </c>
      <c r="L4449" s="111" t="str">
        <f>IF(H4449="","",IF($C$29="상세법",FPV(H4449,K4449),IF(H4449="EI",4,IF(H4449="EO",5.2,IF(H4449="EQ",3.9,IF(H4449="ILF",7.5,IF(H4449="EIF",5.4)))))))</f>
        <v/>
      </c>
      <c r="M4449" s="112" t="str">
        <f t="shared" si="72"/>
        <v/>
      </c>
      <c r="N4449" s="113"/>
    </row>
    <row r="4450" spans="2:14">
      <c r="B4450" s="105"/>
      <c r="C4450" s="106"/>
      <c r="D4450" s="107"/>
      <c r="E4450" s="65"/>
      <c r="F4450" s="64"/>
      <c r="G4450" s="64"/>
      <c r="H4450" s="64"/>
      <c r="I4450" s="70"/>
      <c r="J4450" s="70"/>
      <c r="K4450" s="110" t="str">
        <f>IF(H4450="","",IF($C$29="간이법","",FPR(H4450,I4450,J4450)))</f>
        <v/>
      </c>
      <c r="L4450" s="111" t="str">
        <f>IF(H4450="","",IF($C$29="상세법",FPV(H4450,K4450),IF(H4450="EI",4,IF(H4450="EO",5.2,IF(H4450="EQ",3.9,IF(H4450="ILF",7.5,IF(H4450="EIF",5.4)))))))</f>
        <v/>
      </c>
      <c r="M4450" s="112" t="str">
        <f t="shared" si="72"/>
        <v/>
      </c>
      <c r="N4450" s="113"/>
    </row>
    <row r="4451" spans="2:14">
      <c r="B4451" s="105"/>
      <c r="C4451" s="106"/>
      <c r="D4451" s="107"/>
      <c r="E4451" s="65"/>
      <c r="F4451" s="64"/>
      <c r="G4451" s="64"/>
      <c r="H4451" s="64"/>
      <c r="I4451" s="70"/>
      <c r="J4451" s="70"/>
      <c r="K4451" s="110" t="str">
        <f>IF(H4451="","",IF($C$29="간이법","",FPR(H4451,I4451,J4451)))</f>
        <v/>
      </c>
      <c r="L4451" s="111" t="str">
        <f>IF(H4451="","",IF($C$29="상세법",FPV(H4451,K4451),IF(H4451="EI",4,IF(H4451="EO",5.2,IF(H4451="EQ",3.9,IF(H4451="ILF",7.5,IF(H4451="EIF",5.4)))))))</f>
        <v/>
      </c>
      <c r="M4451" s="112" t="str">
        <f t="shared" si="72"/>
        <v/>
      </c>
      <c r="N4451" s="113"/>
    </row>
    <row r="4452" spans="2:14">
      <c r="B4452" s="105"/>
      <c r="C4452" s="106"/>
      <c r="D4452" s="107"/>
      <c r="E4452" s="65"/>
      <c r="F4452" s="64"/>
      <c r="G4452" s="64"/>
      <c r="H4452" s="64"/>
      <c r="I4452" s="70"/>
      <c r="J4452" s="70"/>
      <c r="K4452" s="110" t="str">
        <f>IF(H4452="","",IF($C$29="간이법","",FPR(H4452,I4452,J4452)))</f>
        <v/>
      </c>
      <c r="L4452" s="111" t="str">
        <f>IF(H4452="","",IF($C$29="상세법",FPV(H4452,K4452),IF(H4452="EI",4,IF(H4452="EO",5.2,IF(H4452="EQ",3.9,IF(H4452="ILF",7.5,IF(H4452="EIF",5.4)))))))</f>
        <v/>
      </c>
      <c r="M4452" s="112" t="str">
        <f t="shared" si="72"/>
        <v/>
      </c>
      <c r="N4452" s="113"/>
    </row>
    <row r="4453" spans="2:14">
      <c r="B4453" s="105"/>
      <c r="C4453" s="106"/>
      <c r="D4453" s="107"/>
      <c r="E4453" s="65"/>
      <c r="F4453" s="64"/>
      <c r="G4453" s="64"/>
      <c r="H4453" s="64"/>
      <c r="I4453" s="70"/>
      <c r="J4453" s="70"/>
      <c r="K4453" s="110" t="str">
        <f>IF(H4453="","",IF($C$29="간이법","",FPR(H4453,I4453,J4453)))</f>
        <v/>
      </c>
      <c r="L4453" s="111" t="str">
        <f>IF(H4453="","",IF($C$29="상세법",FPV(H4453,K4453),IF(H4453="EI",4,IF(H4453="EO",5.2,IF(H4453="EQ",3.9,IF(H4453="ILF",7.5,IF(H4453="EIF",5.4)))))))</f>
        <v/>
      </c>
      <c r="M4453" s="112" t="str">
        <f t="shared" si="72"/>
        <v/>
      </c>
      <c r="N4453" s="113"/>
    </row>
    <row r="4454" spans="2:14">
      <c r="B4454" s="105"/>
      <c r="C4454" s="106"/>
      <c r="D4454" s="107"/>
      <c r="E4454" s="65"/>
      <c r="F4454" s="64"/>
      <c r="G4454" s="64"/>
      <c r="H4454" s="64"/>
      <c r="I4454" s="70"/>
      <c r="J4454" s="70"/>
      <c r="K4454" s="110" t="str">
        <f>IF(H4454="","",IF($C$29="간이법","",FPR(H4454,I4454,J4454)))</f>
        <v/>
      </c>
      <c r="L4454" s="111" t="str">
        <f>IF(H4454="","",IF($C$29="상세법",FPV(H4454,K4454),IF(H4454="EI",4,IF(H4454="EO",5.2,IF(H4454="EQ",3.9,IF(H4454="ILF",7.5,IF(H4454="EIF",5.4)))))))</f>
        <v/>
      </c>
      <c r="M4454" s="112" t="str">
        <f t="shared" si="72"/>
        <v/>
      </c>
      <c r="N4454" s="113"/>
    </row>
    <row r="4455" spans="2:14">
      <c r="B4455" s="105"/>
      <c r="C4455" s="106"/>
      <c r="D4455" s="107"/>
      <c r="E4455" s="65"/>
      <c r="F4455" s="64"/>
      <c r="G4455" s="64"/>
      <c r="H4455" s="64"/>
      <c r="I4455" s="70"/>
      <c r="J4455" s="70"/>
      <c r="K4455" s="110" t="str">
        <f>IF(H4455="","",IF($C$29="간이법","",FPR(H4455,I4455,J4455)))</f>
        <v/>
      </c>
      <c r="L4455" s="111" t="str">
        <f>IF(H4455="","",IF($C$29="상세법",FPV(H4455,K4455),IF(H4455="EI",4,IF(H4455="EO",5.2,IF(H4455="EQ",3.9,IF(H4455="ILF",7.5,IF(H4455="EIF",5.4)))))))</f>
        <v/>
      </c>
      <c r="M4455" s="112" t="str">
        <f t="shared" si="72"/>
        <v/>
      </c>
      <c r="N4455" s="113"/>
    </row>
    <row r="4456" spans="2:14">
      <c r="B4456" s="105"/>
      <c r="C4456" s="106"/>
      <c r="D4456" s="107"/>
      <c r="E4456" s="65"/>
      <c r="F4456" s="64"/>
      <c r="G4456" s="64"/>
      <c r="H4456" s="64"/>
      <c r="I4456" s="70"/>
      <c r="J4456" s="70"/>
      <c r="K4456" s="110" t="str">
        <f>IF(H4456="","",IF($C$29="간이법","",FPR(H4456,I4456,J4456)))</f>
        <v/>
      </c>
      <c r="L4456" s="111" t="str">
        <f>IF(H4456="","",IF($C$29="상세법",FPV(H4456,K4456),IF(H4456="EI",4,IF(H4456="EO",5.2,IF(H4456="EQ",3.9,IF(H4456="ILF",7.5,IF(H4456="EIF",5.4)))))))</f>
        <v/>
      </c>
      <c r="M4456" s="112" t="str">
        <f t="shared" si="72"/>
        <v/>
      </c>
      <c r="N4456" s="113"/>
    </row>
    <row r="4457" spans="2:14">
      <c r="B4457" s="105"/>
      <c r="C4457" s="106"/>
      <c r="D4457" s="107"/>
      <c r="E4457" s="65"/>
      <c r="F4457" s="64"/>
      <c r="G4457" s="64"/>
      <c r="H4457" s="64"/>
      <c r="I4457" s="70"/>
      <c r="J4457" s="70"/>
      <c r="K4457" s="110" t="str">
        <f>IF(H4457="","",IF($C$29="간이법","",FPR(H4457,I4457,J4457)))</f>
        <v/>
      </c>
      <c r="L4457" s="111" t="str">
        <f>IF(H4457="","",IF($C$29="상세법",FPV(H4457,K4457),IF(H4457="EI",4,IF(H4457="EO",5.2,IF(H4457="EQ",3.9,IF(H4457="ILF",7.5,IF(H4457="EIF",5.4)))))))</f>
        <v/>
      </c>
      <c r="M4457" s="112" t="str">
        <f t="shared" si="72"/>
        <v/>
      </c>
      <c r="N4457" s="113"/>
    </row>
    <row r="4458" spans="2:14">
      <c r="B4458" s="105"/>
      <c r="C4458" s="106"/>
      <c r="D4458" s="107"/>
      <c r="E4458" s="65"/>
      <c r="F4458" s="64"/>
      <c r="G4458" s="64"/>
      <c r="H4458" s="64"/>
      <c r="I4458" s="70"/>
      <c r="J4458" s="70"/>
      <c r="K4458" s="110" t="str">
        <f>IF(H4458="","",IF($C$29="간이법","",FPR(H4458,I4458,J4458)))</f>
        <v/>
      </c>
      <c r="L4458" s="111" t="str">
        <f>IF(H4458="","",IF($C$29="상세법",FPV(H4458,K4458),IF(H4458="EI",4,IF(H4458="EO",5.2,IF(H4458="EQ",3.9,IF(H4458="ILF",7.5,IF(H4458="EIF",5.4)))))))</f>
        <v/>
      </c>
      <c r="M4458" s="112" t="str">
        <f t="shared" si="72"/>
        <v/>
      </c>
      <c r="N4458" s="113"/>
    </row>
    <row r="4459" spans="2:14">
      <c r="B4459" s="105"/>
      <c r="C4459" s="106"/>
      <c r="D4459" s="107"/>
      <c r="E4459" s="65"/>
      <c r="F4459" s="64"/>
      <c r="G4459" s="64"/>
      <c r="H4459" s="64"/>
      <c r="I4459" s="70"/>
      <c r="J4459" s="70"/>
      <c r="K4459" s="110" t="str">
        <f>IF(H4459="","",IF($C$29="간이법","",FPR(H4459,I4459,J4459)))</f>
        <v/>
      </c>
      <c r="L4459" s="111" t="str">
        <f>IF(H4459="","",IF($C$29="상세법",FPV(H4459,K4459),IF(H4459="EI",4,IF(H4459="EO",5.2,IF(H4459="EQ",3.9,IF(H4459="ILF",7.5,IF(H4459="EIF",5.4)))))))</f>
        <v/>
      </c>
      <c r="M4459" s="112" t="str">
        <f t="shared" si="72"/>
        <v/>
      </c>
      <c r="N4459" s="113"/>
    </row>
    <row r="4460" spans="2:14">
      <c r="B4460" s="105"/>
      <c r="C4460" s="106"/>
      <c r="D4460" s="107"/>
      <c r="E4460" s="65"/>
      <c r="F4460" s="64"/>
      <c r="G4460" s="64"/>
      <c r="H4460" s="64"/>
      <c r="I4460" s="70"/>
      <c r="J4460" s="70"/>
      <c r="K4460" s="110" t="str">
        <f>IF(H4460="","",IF($C$29="간이법","",FPR(H4460,I4460,J4460)))</f>
        <v/>
      </c>
      <c r="L4460" s="111" t="str">
        <f>IF(H4460="","",IF($C$29="상세법",FPV(H4460,K4460),IF(H4460="EI",4,IF(H4460="EO",5.2,IF(H4460="EQ",3.9,IF(H4460="ILF",7.5,IF(H4460="EIF",5.4)))))))</f>
        <v/>
      </c>
      <c r="M4460" s="112" t="str">
        <f t="shared" si="72"/>
        <v/>
      </c>
      <c r="N4460" s="113"/>
    </row>
    <row r="4461" spans="2:14">
      <c r="B4461" s="105"/>
      <c r="C4461" s="106"/>
      <c r="D4461" s="107"/>
      <c r="E4461" s="65"/>
      <c r="F4461" s="64"/>
      <c r="G4461" s="64"/>
      <c r="H4461" s="64"/>
      <c r="I4461" s="70"/>
      <c r="J4461" s="70"/>
      <c r="K4461" s="110" t="str">
        <f>IF(H4461="","",IF($C$29="간이법","",FPR(H4461,I4461,J4461)))</f>
        <v/>
      </c>
      <c r="L4461" s="111" t="str">
        <f>IF(H4461="","",IF($C$29="상세법",FPV(H4461,K4461),IF(H4461="EI",4,IF(H4461="EO",5.2,IF(H4461="EQ",3.9,IF(H4461="ILF",7.5,IF(H4461="EIF",5.4)))))))</f>
        <v/>
      </c>
      <c r="M4461" s="112" t="str">
        <f t="shared" si="72"/>
        <v/>
      </c>
      <c r="N4461" s="113"/>
    </row>
    <row r="4462" spans="2:14">
      <c r="B4462" s="105"/>
      <c r="C4462" s="106"/>
      <c r="D4462" s="107"/>
      <c r="E4462" s="65"/>
      <c r="F4462" s="64"/>
      <c r="G4462" s="64"/>
      <c r="H4462" s="64"/>
      <c r="I4462" s="70"/>
      <c r="J4462" s="70"/>
      <c r="K4462" s="110" t="str">
        <f>IF(H4462="","",IF($C$29="간이법","",FPR(H4462,I4462,J4462)))</f>
        <v/>
      </c>
      <c r="L4462" s="111" t="str">
        <f>IF(H4462="","",IF($C$29="상세법",FPV(H4462,K4462),IF(H4462="EI",4,IF(H4462="EO",5.2,IF(H4462="EQ",3.9,IF(H4462="ILF",7.5,IF(H4462="EIF",5.4)))))))</f>
        <v/>
      </c>
      <c r="M4462" s="112" t="str">
        <f t="shared" si="72"/>
        <v/>
      </c>
      <c r="N4462" s="113"/>
    </row>
    <row r="4463" spans="2:14">
      <c r="B4463" s="105"/>
      <c r="C4463" s="106"/>
      <c r="D4463" s="107"/>
      <c r="E4463" s="65"/>
      <c r="F4463" s="64"/>
      <c r="G4463" s="64"/>
      <c r="H4463" s="64"/>
      <c r="I4463" s="70"/>
      <c r="J4463" s="70"/>
      <c r="K4463" s="110" t="str">
        <f>IF(H4463="","",IF($C$29="간이법","",FPR(H4463,I4463,J4463)))</f>
        <v/>
      </c>
      <c r="L4463" s="111" t="str">
        <f>IF(H4463="","",IF($C$29="상세법",FPV(H4463,K4463),IF(H4463="EI",4,IF(H4463="EO",5.2,IF(H4463="EQ",3.9,IF(H4463="ILF",7.5,IF(H4463="EIF",5.4)))))))</f>
        <v/>
      </c>
      <c r="M4463" s="112" t="str">
        <f t="shared" si="72"/>
        <v/>
      </c>
      <c r="N4463" s="113"/>
    </row>
    <row r="4464" spans="2:14">
      <c r="B4464" s="105"/>
      <c r="C4464" s="106"/>
      <c r="D4464" s="107"/>
      <c r="E4464" s="65"/>
      <c r="F4464" s="64"/>
      <c r="G4464" s="64"/>
      <c r="H4464" s="64"/>
      <c r="I4464" s="70"/>
      <c r="J4464" s="70"/>
      <c r="K4464" s="110" t="str">
        <f>IF(H4464="","",IF($C$29="간이법","",FPR(H4464,I4464,J4464)))</f>
        <v/>
      </c>
      <c r="L4464" s="111" t="str">
        <f>IF(H4464="","",IF($C$29="상세법",FPV(H4464,K4464),IF(H4464="EI",4,IF(H4464="EO",5.2,IF(H4464="EQ",3.9,IF(H4464="ILF",7.5,IF(H4464="EIF",5.4)))))))</f>
        <v/>
      </c>
      <c r="M4464" s="112" t="str">
        <f t="shared" si="72"/>
        <v/>
      </c>
      <c r="N4464" s="113"/>
    </row>
    <row r="4465" spans="2:14">
      <c r="B4465" s="105"/>
      <c r="C4465" s="106"/>
      <c r="D4465" s="107"/>
      <c r="E4465" s="65"/>
      <c r="F4465" s="64"/>
      <c r="G4465" s="64"/>
      <c r="H4465" s="64"/>
      <c r="I4465" s="70"/>
      <c r="J4465" s="70"/>
      <c r="K4465" s="110" t="str">
        <f>IF(H4465="","",IF($C$29="간이법","",FPR(H4465,I4465,J4465)))</f>
        <v/>
      </c>
      <c r="L4465" s="111" t="str">
        <f>IF(H4465="","",IF($C$29="상세법",FPV(H4465,K4465),IF(H4465="EI",4,IF(H4465="EO",5.2,IF(H4465="EQ",3.9,IF(H4465="ILF",7.5,IF(H4465="EIF",5.4)))))))</f>
        <v/>
      </c>
      <c r="M4465" s="112" t="str">
        <f t="shared" si="72"/>
        <v/>
      </c>
      <c r="N4465" s="113"/>
    </row>
    <row r="4466" spans="2:14">
      <c r="B4466" s="105"/>
      <c r="C4466" s="106"/>
      <c r="D4466" s="107"/>
      <c r="E4466" s="65"/>
      <c r="F4466" s="64"/>
      <c r="G4466" s="64"/>
      <c r="H4466" s="64"/>
      <c r="I4466" s="70"/>
      <c r="J4466" s="70"/>
      <c r="K4466" s="110" t="str">
        <f>IF(H4466="","",IF($C$29="간이법","",FPR(H4466,I4466,J4466)))</f>
        <v/>
      </c>
      <c r="L4466" s="111" t="str">
        <f>IF(H4466="","",IF($C$29="상세법",FPV(H4466,K4466),IF(H4466="EI",4,IF(H4466="EO",5.2,IF(H4466="EQ",3.9,IF(H4466="ILF",7.5,IF(H4466="EIF",5.4)))))))</f>
        <v/>
      </c>
      <c r="M4466" s="112" t="str">
        <f t="shared" si="72"/>
        <v/>
      </c>
      <c r="N4466" s="113"/>
    </row>
    <row r="4467" spans="2:14">
      <c r="B4467" s="105"/>
      <c r="C4467" s="106"/>
      <c r="D4467" s="107"/>
      <c r="E4467" s="65"/>
      <c r="F4467" s="64"/>
      <c r="G4467" s="64"/>
      <c r="H4467" s="64"/>
      <c r="I4467" s="70"/>
      <c r="J4467" s="70"/>
      <c r="K4467" s="110" t="str">
        <f>IF(H4467="","",IF($C$29="간이법","",FPR(H4467,I4467,J4467)))</f>
        <v/>
      </c>
      <c r="L4467" s="111" t="str">
        <f>IF(H4467="","",IF($C$29="상세법",FPV(H4467,K4467),IF(H4467="EI",4,IF(H4467="EO",5.2,IF(H4467="EQ",3.9,IF(H4467="ILF",7.5,IF(H4467="EIF",5.4)))))))</f>
        <v/>
      </c>
      <c r="M4467" s="112" t="str">
        <f t="shared" si="72"/>
        <v/>
      </c>
      <c r="N4467" s="113"/>
    </row>
    <row r="4468" spans="2:14">
      <c r="B4468" s="105"/>
      <c r="C4468" s="106"/>
      <c r="D4468" s="107"/>
      <c r="E4468" s="65"/>
      <c r="F4468" s="64"/>
      <c r="G4468" s="64"/>
      <c r="H4468" s="64"/>
      <c r="I4468" s="70"/>
      <c r="J4468" s="70"/>
      <c r="K4468" s="110" t="str">
        <f>IF(H4468="","",IF($C$29="간이법","",FPR(H4468,I4468,J4468)))</f>
        <v/>
      </c>
      <c r="L4468" s="111" t="str">
        <f>IF(H4468="","",IF($C$29="상세법",FPV(H4468,K4468),IF(H4468="EI",4,IF(H4468="EO",5.2,IF(H4468="EQ",3.9,IF(H4468="ILF",7.5,IF(H4468="EIF",5.4)))))))</f>
        <v/>
      </c>
      <c r="M4468" s="112" t="str">
        <f t="shared" si="72"/>
        <v/>
      </c>
      <c r="N4468" s="113"/>
    </row>
    <row r="4469" spans="2:14">
      <c r="B4469" s="105"/>
      <c r="C4469" s="106"/>
      <c r="D4469" s="107"/>
      <c r="E4469" s="65"/>
      <c r="F4469" s="64"/>
      <c r="G4469" s="64"/>
      <c r="H4469" s="64"/>
      <c r="I4469" s="70"/>
      <c r="J4469" s="70"/>
      <c r="K4469" s="110" t="str">
        <f>IF(H4469="","",IF($C$29="간이법","",FPR(H4469,I4469,J4469)))</f>
        <v/>
      </c>
      <c r="L4469" s="111" t="str">
        <f>IF(H4469="","",IF($C$29="상세법",FPV(H4469,K4469),IF(H4469="EI",4,IF(H4469="EO",5.2,IF(H4469="EQ",3.9,IF(H4469="ILF",7.5,IF(H4469="EIF",5.4)))))))</f>
        <v/>
      </c>
      <c r="M4469" s="112" t="str">
        <f t="shared" si="72"/>
        <v/>
      </c>
      <c r="N4469" s="113"/>
    </row>
    <row r="4470" spans="2:14">
      <c r="B4470" s="105"/>
      <c r="C4470" s="106"/>
      <c r="D4470" s="107"/>
      <c r="E4470" s="65"/>
      <c r="F4470" s="64"/>
      <c r="G4470" s="64"/>
      <c r="H4470" s="64"/>
      <c r="I4470" s="70"/>
      <c r="J4470" s="70"/>
      <c r="K4470" s="110" t="str">
        <f>IF(H4470="","",IF($C$29="간이법","",FPR(H4470,I4470,J4470)))</f>
        <v/>
      </c>
      <c r="L4470" s="111" t="str">
        <f>IF(H4470="","",IF($C$29="상세법",FPV(H4470,K4470),IF(H4470="EI",4,IF(H4470="EO",5.2,IF(H4470="EQ",3.9,IF(H4470="ILF",7.5,IF(H4470="EIF",5.4)))))))</f>
        <v/>
      </c>
      <c r="M4470" s="112" t="str">
        <f t="shared" si="72"/>
        <v/>
      </c>
      <c r="N4470" s="113"/>
    </row>
    <row r="4471" spans="2:14">
      <c r="B4471" s="105"/>
      <c r="C4471" s="106"/>
      <c r="D4471" s="107"/>
      <c r="E4471" s="65"/>
      <c r="F4471" s="64"/>
      <c r="G4471" s="64"/>
      <c r="H4471" s="64"/>
      <c r="I4471" s="70"/>
      <c r="J4471" s="70"/>
      <c r="K4471" s="110" t="str">
        <f>IF(H4471="","",IF($C$29="간이법","",FPR(H4471,I4471,J4471)))</f>
        <v/>
      </c>
      <c r="L4471" s="111" t="str">
        <f>IF(H4471="","",IF($C$29="상세법",FPV(H4471,K4471),IF(H4471="EI",4,IF(H4471="EO",5.2,IF(H4471="EQ",3.9,IF(H4471="ILF",7.5,IF(H4471="EIF",5.4)))))))</f>
        <v/>
      </c>
      <c r="M4471" s="112" t="str">
        <f t="shared" si="72"/>
        <v/>
      </c>
      <c r="N4471" s="113"/>
    </row>
    <row r="4472" spans="2:14">
      <c r="B4472" s="105"/>
      <c r="C4472" s="106"/>
      <c r="D4472" s="107"/>
      <c r="E4472" s="65"/>
      <c r="F4472" s="64"/>
      <c r="G4472" s="64"/>
      <c r="H4472" s="64"/>
      <c r="I4472" s="70"/>
      <c r="J4472" s="70"/>
      <c r="K4472" s="110" t="str">
        <f>IF(H4472="","",IF($C$29="간이법","",FPR(H4472,I4472,J4472)))</f>
        <v/>
      </c>
      <c r="L4472" s="111" t="str">
        <f>IF(H4472="","",IF($C$29="상세법",FPV(H4472,K4472),IF(H4472="EI",4,IF(H4472="EO",5.2,IF(H4472="EQ",3.9,IF(H4472="ILF",7.5,IF(H4472="EIF",5.4)))))))</f>
        <v/>
      </c>
      <c r="M4472" s="112" t="str">
        <f t="shared" si="72"/>
        <v/>
      </c>
      <c r="N4472" s="113"/>
    </row>
    <row r="4473" spans="2:14">
      <c r="B4473" s="105"/>
      <c r="C4473" s="106"/>
      <c r="D4473" s="107"/>
      <c r="E4473" s="65"/>
      <c r="F4473" s="64"/>
      <c r="G4473" s="64"/>
      <c r="H4473" s="64"/>
      <c r="I4473" s="70"/>
      <c r="J4473" s="70"/>
      <c r="K4473" s="110" t="str">
        <f>IF(H4473="","",IF($C$29="간이법","",FPR(H4473,I4473,J4473)))</f>
        <v/>
      </c>
      <c r="L4473" s="111" t="str">
        <f>IF(H4473="","",IF($C$29="상세법",FPV(H4473,K4473),IF(H4473="EI",4,IF(H4473="EO",5.2,IF(H4473="EQ",3.9,IF(H4473="ILF",7.5,IF(H4473="EIF",5.4)))))))</f>
        <v/>
      </c>
      <c r="M4473" s="112" t="str">
        <f t="shared" ref="M4473:M4536" si="73">IF(L4473="","",L4473*IF(G4473="상",0.7,IF(G4473="중",0.5,IF(G4473="하",0.2,1))))</f>
        <v/>
      </c>
      <c r="N4473" s="113"/>
    </row>
    <row r="4474" spans="2:14">
      <c r="B4474" s="105"/>
      <c r="C4474" s="106"/>
      <c r="D4474" s="107"/>
      <c r="E4474" s="65"/>
      <c r="F4474" s="64"/>
      <c r="G4474" s="64"/>
      <c r="H4474" s="64"/>
      <c r="I4474" s="70"/>
      <c r="J4474" s="70"/>
      <c r="K4474" s="110" t="str">
        <f>IF(H4474="","",IF($C$29="간이법","",FPR(H4474,I4474,J4474)))</f>
        <v/>
      </c>
      <c r="L4474" s="111" t="str">
        <f>IF(H4474="","",IF($C$29="상세법",FPV(H4474,K4474),IF(H4474="EI",4,IF(H4474="EO",5.2,IF(H4474="EQ",3.9,IF(H4474="ILF",7.5,IF(H4474="EIF",5.4)))))))</f>
        <v/>
      </c>
      <c r="M4474" s="112" t="str">
        <f t="shared" si="73"/>
        <v/>
      </c>
      <c r="N4474" s="113"/>
    </row>
    <row r="4475" spans="2:14">
      <c r="B4475" s="105"/>
      <c r="C4475" s="106"/>
      <c r="D4475" s="107"/>
      <c r="E4475" s="65"/>
      <c r="F4475" s="64"/>
      <c r="G4475" s="64"/>
      <c r="H4475" s="64"/>
      <c r="I4475" s="70"/>
      <c r="J4475" s="70"/>
      <c r="K4475" s="110" t="str">
        <f>IF(H4475="","",IF($C$29="간이법","",FPR(H4475,I4475,J4475)))</f>
        <v/>
      </c>
      <c r="L4475" s="111" t="str">
        <f>IF(H4475="","",IF($C$29="상세법",FPV(H4475,K4475),IF(H4475="EI",4,IF(H4475="EO",5.2,IF(H4475="EQ",3.9,IF(H4475="ILF",7.5,IF(H4475="EIF",5.4)))))))</f>
        <v/>
      </c>
      <c r="M4475" s="112" t="str">
        <f t="shared" si="73"/>
        <v/>
      </c>
      <c r="N4475" s="113"/>
    </row>
    <row r="4476" spans="2:14">
      <c r="B4476" s="105"/>
      <c r="C4476" s="106"/>
      <c r="D4476" s="107"/>
      <c r="E4476" s="65"/>
      <c r="F4476" s="64"/>
      <c r="G4476" s="64"/>
      <c r="H4476" s="64"/>
      <c r="I4476" s="70"/>
      <c r="J4476" s="70"/>
      <c r="K4476" s="110" t="str">
        <f>IF(H4476="","",IF($C$29="간이법","",FPR(H4476,I4476,J4476)))</f>
        <v/>
      </c>
      <c r="L4476" s="111" t="str">
        <f>IF(H4476="","",IF($C$29="상세법",FPV(H4476,K4476),IF(H4476="EI",4,IF(H4476="EO",5.2,IF(H4476="EQ",3.9,IF(H4476="ILF",7.5,IF(H4476="EIF",5.4)))))))</f>
        <v/>
      </c>
      <c r="M4476" s="112" t="str">
        <f t="shared" si="73"/>
        <v/>
      </c>
      <c r="N4476" s="113"/>
    </row>
    <row r="4477" spans="2:14">
      <c r="B4477" s="105"/>
      <c r="C4477" s="106"/>
      <c r="D4477" s="107"/>
      <c r="E4477" s="65"/>
      <c r="F4477" s="64"/>
      <c r="G4477" s="64"/>
      <c r="H4477" s="64"/>
      <c r="I4477" s="70"/>
      <c r="J4477" s="70"/>
      <c r="K4477" s="110" t="str">
        <f>IF(H4477="","",IF($C$29="간이법","",FPR(H4477,I4477,J4477)))</f>
        <v/>
      </c>
      <c r="L4477" s="111" t="str">
        <f>IF(H4477="","",IF($C$29="상세법",FPV(H4477,K4477),IF(H4477="EI",4,IF(H4477="EO",5.2,IF(H4477="EQ",3.9,IF(H4477="ILF",7.5,IF(H4477="EIF",5.4)))))))</f>
        <v/>
      </c>
      <c r="M4477" s="112" t="str">
        <f t="shared" si="73"/>
        <v/>
      </c>
      <c r="N4477" s="113"/>
    </row>
    <row r="4478" spans="2:14">
      <c r="B4478" s="105"/>
      <c r="C4478" s="106"/>
      <c r="D4478" s="107"/>
      <c r="E4478" s="65"/>
      <c r="F4478" s="64"/>
      <c r="G4478" s="64"/>
      <c r="H4478" s="64"/>
      <c r="I4478" s="70"/>
      <c r="J4478" s="70"/>
      <c r="K4478" s="110" t="str">
        <f>IF(H4478="","",IF($C$29="간이법","",FPR(H4478,I4478,J4478)))</f>
        <v/>
      </c>
      <c r="L4478" s="111" t="str">
        <f>IF(H4478="","",IF($C$29="상세법",FPV(H4478,K4478),IF(H4478="EI",4,IF(H4478="EO",5.2,IF(H4478="EQ",3.9,IF(H4478="ILF",7.5,IF(H4478="EIF",5.4)))))))</f>
        <v/>
      </c>
      <c r="M4478" s="112" t="str">
        <f t="shared" si="73"/>
        <v/>
      </c>
      <c r="N4478" s="113"/>
    </row>
    <row r="4479" spans="2:14">
      <c r="B4479" s="105"/>
      <c r="C4479" s="106"/>
      <c r="D4479" s="107"/>
      <c r="E4479" s="65"/>
      <c r="F4479" s="64"/>
      <c r="G4479" s="64"/>
      <c r="H4479" s="64"/>
      <c r="I4479" s="70"/>
      <c r="J4479" s="70"/>
      <c r="K4479" s="110" t="str">
        <f>IF(H4479="","",IF($C$29="간이법","",FPR(H4479,I4479,J4479)))</f>
        <v/>
      </c>
      <c r="L4479" s="111" t="str">
        <f>IF(H4479="","",IF($C$29="상세법",FPV(H4479,K4479),IF(H4479="EI",4,IF(H4479="EO",5.2,IF(H4479="EQ",3.9,IF(H4479="ILF",7.5,IF(H4479="EIF",5.4)))))))</f>
        <v/>
      </c>
      <c r="M4479" s="112" t="str">
        <f t="shared" si="73"/>
        <v/>
      </c>
      <c r="N4479" s="113"/>
    </row>
    <row r="4480" spans="2:14">
      <c r="B4480" s="105"/>
      <c r="C4480" s="106"/>
      <c r="D4480" s="107"/>
      <c r="E4480" s="65"/>
      <c r="F4480" s="64"/>
      <c r="G4480" s="64"/>
      <c r="H4480" s="64"/>
      <c r="I4480" s="70"/>
      <c r="J4480" s="70"/>
      <c r="K4480" s="110" t="str">
        <f>IF(H4480="","",IF($C$29="간이법","",FPR(H4480,I4480,J4480)))</f>
        <v/>
      </c>
      <c r="L4480" s="111" t="str">
        <f>IF(H4480="","",IF($C$29="상세법",FPV(H4480,K4480),IF(H4480="EI",4,IF(H4480="EO",5.2,IF(H4480="EQ",3.9,IF(H4480="ILF",7.5,IF(H4480="EIF",5.4)))))))</f>
        <v/>
      </c>
      <c r="M4480" s="112" t="str">
        <f t="shared" si="73"/>
        <v/>
      </c>
      <c r="N4480" s="113"/>
    </row>
    <row r="4481" spans="2:14">
      <c r="B4481" s="105"/>
      <c r="C4481" s="106"/>
      <c r="D4481" s="107"/>
      <c r="E4481" s="65"/>
      <c r="F4481" s="64"/>
      <c r="G4481" s="64"/>
      <c r="H4481" s="64"/>
      <c r="I4481" s="70"/>
      <c r="J4481" s="70"/>
      <c r="K4481" s="110" t="str">
        <f>IF(H4481="","",IF($C$29="간이법","",FPR(H4481,I4481,J4481)))</f>
        <v/>
      </c>
      <c r="L4481" s="111" t="str">
        <f>IF(H4481="","",IF($C$29="상세법",FPV(H4481,K4481),IF(H4481="EI",4,IF(H4481="EO",5.2,IF(H4481="EQ",3.9,IF(H4481="ILF",7.5,IF(H4481="EIF",5.4)))))))</f>
        <v/>
      </c>
      <c r="M4481" s="112" t="str">
        <f t="shared" si="73"/>
        <v/>
      </c>
      <c r="N4481" s="113"/>
    </row>
    <row r="4482" spans="2:14">
      <c r="B4482" s="105"/>
      <c r="C4482" s="106"/>
      <c r="D4482" s="107"/>
      <c r="E4482" s="65"/>
      <c r="F4482" s="64"/>
      <c r="G4482" s="64"/>
      <c r="H4482" s="64"/>
      <c r="I4482" s="70"/>
      <c r="J4482" s="70"/>
      <c r="K4482" s="110" t="str">
        <f>IF(H4482="","",IF($C$29="간이법","",FPR(H4482,I4482,J4482)))</f>
        <v/>
      </c>
      <c r="L4482" s="111" t="str">
        <f>IF(H4482="","",IF($C$29="상세법",FPV(H4482,K4482),IF(H4482="EI",4,IF(H4482="EO",5.2,IF(H4482="EQ",3.9,IF(H4482="ILF",7.5,IF(H4482="EIF",5.4)))))))</f>
        <v/>
      </c>
      <c r="M4482" s="112" t="str">
        <f t="shared" si="73"/>
        <v/>
      </c>
      <c r="N4482" s="113"/>
    </row>
    <row r="4483" spans="2:14">
      <c r="B4483" s="105"/>
      <c r="C4483" s="106"/>
      <c r="D4483" s="107"/>
      <c r="E4483" s="65"/>
      <c r="F4483" s="64"/>
      <c r="G4483" s="64"/>
      <c r="H4483" s="64"/>
      <c r="I4483" s="70"/>
      <c r="J4483" s="70"/>
      <c r="K4483" s="110" t="str">
        <f>IF(H4483="","",IF($C$29="간이법","",FPR(H4483,I4483,J4483)))</f>
        <v/>
      </c>
      <c r="L4483" s="111" t="str">
        <f>IF(H4483="","",IF($C$29="상세법",FPV(H4483,K4483),IF(H4483="EI",4,IF(H4483="EO",5.2,IF(H4483="EQ",3.9,IF(H4483="ILF",7.5,IF(H4483="EIF",5.4)))))))</f>
        <v/>
      </c>
      <c r="M4483" s="112" t="str">
        <f t="shared" si="73"/>
        <v/>
      </c>
      <c r="N4483" s="113"/>
    </row>
    <row r="4484" spans="2:14">
      <c r="B4484" s="105"/>
      <c r="C4484" s="106"/>
      <c r="D4484" s="107"/>
      <c r="E4484" s="65"/>
      <c r="F4484" s="64"/>
      <c r="G4484" s="64"/>
      <c r="H4484" s="64"/>
      <c r="I4484" s="70"/>
      <c r="J4484" s="70"/>
      <c r="K4484" s="110" t="str">
        <f>IF(H4484="","",IF($C$29="간이법","",FPR(H4484,I4484,J4484)))</f>
        <v/>
      </c>
      <c r="L4484" s="111" t="str">
        <f>IF(H4484="","",IF($C$29="상세법",FPV(H4484,K4484),IF(H4484="EI",4,IF(H4484="EO",5.2,IF(H4484="EQ",3.9,IF(H4484="ILF",7.5,IF(H4484="EIF",5.4)))))))</f>
        <v/>
      </c>
      <c r="M4484" s="112" t="str">
        <f t="shared" si="73"/>
        <v/>
      </c>
      <c r="N4484" s="113"/>
    </row>
    <row r="4485" spans="2:14">
      <c r="B4485" s="105"/>
      <c r="C4485" s="106"/>
      <c r="D4485" s="107"/>
      <c r="E4485" s="65"/>
      <c r="F4485" s="64"/>
      <c r="G4485" s="64"/>
      <c r="H4485" s="64"/>
      <c r="I4485" s="70"/>
      <c r="J4485" s="70"/>
      <c r="K4485" s="110" t="str">
        <f>IF(H4485="","",IF($C$29="간이법","",FPR(H4485,I4485,J4485)))</f>
        <v/>
      </c>
      <c r="L4485" s="111" t="str">
        <f>IF(H4485="","",IF($C$29="상세법",FPV(H4485,K4485),IF(H4485="EI",4,IF(H4485="EO",5.2,IF(H4485="EQ",3.9,IF(H4485="ILF",7.5,IF(H4485="EIF",5.4)))))))</f>
        <v/>
      </c>
      <c r="M4485" s="112" t="str">
        <f t="shared" si="73"/>
        <v/>
      </c>
      <c r="N4485" s="113"/>
    </row>
    <row r="4486" spans="2:14">
      <c r="B4486" s="105"/>
      <c r="C4486" s="106"/>
      <c r="D4486" s="107"/>
      <c r="E4486" s="65"/>
      <c r="F4486" s="64"/>
      <c r="G4486" s="64"/>
      <c r="H4486" s="64"/>
      <c r="I4486" s="70"/>
      <c r="J4486" s="70"/>
      <c r="K4486" s="110" t="str">
        <f>IF(H4486="","",IF($C$29="간이법","",FPR(H4486,I4486,J4486)))</f>
        <v/>
      </c>
      <c r="L4486" s="111" t="str">
        <f>IF(H4486="","",IF($C$29="상세법",FPV(H4486,K4486),IF(H4486="EI",4,IF(H4486="EO",5.2,IF(H4486="EQ",3.9,IF(H4486="ILF",7.5,IF(H4486="EIF",5.4)))))))</f>
        <v/>
      </c>
      <c r="M4486" s="112" t="str">
        <f t="shared" si="73"/>
        <v/>
      </c>
      <c r="N4486" s="113"/>
    </row>
    <row r="4487" spans="2:14">
      <c r="B4487" s="105"/>
      <c r="C4487" s="106"/>
      <c r="D4487" s="107"/>
      <c r="E4487" s="65"/>
      <c r="F4487" s="64"/>
      <c r="G4487" s="64"/>
      <c r="H4487" s="64"/>
      <c r="I4487" s="70"/>
      <c r="J4487" s="70"/>
      <c r="K4487" s="110" t="str">
        <f>IF(H4487="","",IF($C$29="간이법","",FPR(H4487,I4487,J4487)))</f>
        <v/>
      </c>
      <c r="L4487" s="111" t="str">
        <f>IF(H4487="","",IF($C$29="상세법",FPV(H4487,K4487),IF(H4487="EI",4,IF(H4487="EO",5.2,IF(H4487="EQ",3.9,IF(H4487="ILF",7.5,IF(H4487="EIF",5.4)))))))</f>
        <v/>
      </c>
      <c r="M4487" s="112" t="str">
        <f t="shared" si="73"/>
        <v/>
      </c>
      <c r="N4487" s="113"/>
    </row>
    <row r="4488" spans="2:14">
      <c r="B4488" s="105"/>
      <c r="C4488" s="106"/>
      <c r="D4488" s="107"/>
      <c r="E4488" s="65"/>
      <c r="F4488" s="64"/>
      <c r="G4488" s="64"/>
      <c r="H4488" s="64"/>
      <c r="I4488" s="70"/>
      <c r="J4488" s="70"/>
      <c r="K4488" s="110" t="str">
        <f>IF(H4488="","",IF($C$29="간이법","",FPR(H4488,I4488,J4488)))</f>
        <v/>
      </c>
      <c r="L4488" s="111" t="str">
        <f>IF(H4488="","",IF($C$29="상세법",FPV(H4488,K4488),IF(H4488="EI",4,IF(H4488="EO",5.2,IF(H4488="EQ",3.9,IF(H4488="ILF",7.5,IF(H4488="EIF",5.4)))))))</f>
        <v/>
      </c>
      <c r="M4488" s="112" t="str">
        <f t="shared" si="73"/>
        <v/>
      </c>
      <c r="N4488" s="113"/>
    </row>
    <row r="4489" spans="2:14">
      <c r="B4489" s="105"/>
      <c r="C4489" s="106"/>
      <c r="D4489" s="107"/>
      <c r="E4489" s="65"/>
      <c r="F4489" s="64"/>
      <c r="G4489" s="64"/>
      <c r="H4489" s="64"/>
      <c r="I4489" s="70"/>
      <c r="J4489" s="70"/>
      <c r="K4489" s="110" t="str">
        <f>IF(H4489="","",IF($C$29="간이법","",FPR(H4489,I4489,J4489)))</f>
        <v/>
      </c>
      <c r="L4489" s="111" t="str">
        <f>IF(H4489="","",IF($C$29="상세법",FPV(H4489,K4489),IF(H4489="EI",4,IF(H4489="EO",5.2,IF(H4489="EQ",3.9,IF(H4489="ILF",7.5,IF(H4489="EIF",5.4)))))))</f>
        <v/>
      </c>
      <c r="M4489" s="112" t="str">
        <f t="shared" si="73"/>
        <v/>
      </c>
      <c r="N4489" s="113"/>
    </row>
    <row r="4490" spans="2:14">
      <c r="B4490" s="105"/>
      <c r="C4490" s="106"/>
      <c r="D4490" s="107"/>
      <c r="E4490" s="65"/>
      <c r="F4490" s="64"/>
      <c r="G4490" s="64"/>
      <c r="H4490" s="64"/>
      <c r="I4490" s="70"/>
      <c r="J4490" s="70"/>
      <c r="K4490" s="110" t="str">
        <f>IF(H4490="","",IF($C$29="간이법","",FPR(H4490,I4490,J4490)))</f>
        <v/>
      </c>
      <c r="L4490" s="111" t="str">
        <f>IF(H4490="","",IF($C$29="상세법",FPV(H4490,K4490),IF(H4490="EI",4,IF(H4490="EO",5.2,IF(H4490="EQ",3.9,IF(H4490="ILF",7.5,IF(H4490="EIF",5.4)))))))</f>
        <v/>
      </c>
      <c r="M4490" s="112" t="str">
        <f t="shared" si="73"/>
        <v/>
      </c>
      <c r="N4490" s="113"/>
    </row>
    <row r="4491" spans="2:14">
      <c r="B4491" s="105"/>
      <c r="C4491" s="106"/>
      <c r="D4491" s="107"/>
      <c r="E4491" s="65"/>
      <c r="F4491" s="64"/>
      <c r="G4491" s="64"/>
      <c r="H4491" s="64"/>
      <c r="I4491" s="70"/>
      <c r="J4491" s="70"/>
      <c r="K4491" s="110" t="str">
        <f>IF(H4491="","",IF($C$29="간이법","",FPR(H4491,I4491,J4491)))</f>
        <v/>
      </c>
      <c r="L4491" s="111" t="str">
        <f>IF(H4491="","",IF($C$29="상세법",FPV(H4491,K4491),IF(H4491="EI",4,IF(H4491="EO",5.2,IF(H4491="EQ",3.9,IF(H4491="ILF",7.5,IF(H4491="EIF",5.4)))))))</f>
        <v/>
      </c>
      <c r="M4491" s="112" t="str">
        <f t="shared" si="73"/>
        <v/>
      </c>
      <c r="N4491" s="113"/>
    </row>
    <row r="4492" spans="2:14">
      <c r="B4492" s="105"/>
      <c r="C4492" s="106"/>
      <c r="D4492" s="107"/>
      <c r="E4492" s="65"/>
      <c r="F4492" s="64"/>
      <c r="G4492" s="64"/>
      <c r="H4492" s="64"/>
      <c r="I4492" s="70"/>
      <c r="J4492" s="70"/>
      <c r="K4492" s="110" t="str">
        <f>IF(H4492="","",IF($C$29="간이법","",FPR(H4492,I4492,J4492)))</f>
        <v/>
      </c>
      <c r="L4492" s="111" t="str">
        <f>IF(H4492="","",IF($C$29="상세법",FPV(H4492,K4492),IF(H4492="EI",4,IF(H4492="EO",5.2,IF(H4492="EQ",3.9,IF(H4492="ILF",7.5,IF(H4492="EIF",5.4)))))))</f>
        <v/>
      </c>
      <c r="M4492" s="112" t="str">
        <f t="shared" si="73"/>
        <v/>
      </c>
      <c r="N4492" s="113"/>
    </row>
    <row r="4493" spans="2:14">
      <c r="B4493" s="105"/>
      <c r="C4493" s="106"/>
      <c r="D4493" s="107"/>
      <c r="E4493" s="65"/>
      <c r="F4493" s="64"/>
      <c r="G4493" s="64"/>
      <c r="H4493" s="64"/>
      <c r="I4493" s="70"/>
      <c r="J4493" s="70"/>
      <c r="K4493" s="110" t="str">
        <f>IF(H4493="","",IF($C$29="간이법","",FPR(H4493,I4493,J4493)))</f>
        <v/>
      </c>
      <c r="L4493" s="111" t="str">
        <f>IF(H4493="","",IF($C$29="상세법",FPV(H4493,K4493),IF(H4493="EI",4,IF(H4493="EO",5.2,IF(H4493="EQ",3.9,IF(H4493="ILF",7.5,IF(H4493="EIF",5.4)))))))</f>
        <v/>
      </c>
      <c r="M4493" s="112" t="str">
        <f t="shared" si="73"/>
        <v/>
      </c>
      <c r="N4493" s="113"/>
    </row>
    <row r="4494" spans="2:14">
      <c r="B4494" s="105"/>
      <c r="C4494" s="106"/>
      <c r="D4494" s="107"/>
      <c r="E4494" s="65"/>
      <c r="F4494" s="64"/>
      <c r="G4494" s="64"/>
      <c r="H4494" s="64"/>
      <c r="I4494" s="70"/>
      <c r="J4494" s="70"/>
      <c r="K4494" s="110" t="str">
        <f>IF(H4494="","",IF($C$29="간이법","",FPR(H4494,I4494,J4494)))</f>
        <v/>
      </c>
      <c r="L4494" s="111" t="str">
        <f>IF(H4494="","",IF($C$29="상세법",FPV(H4494,K4494),IF(H4494="EI",4,IF(H4494="EO",5.2,IF(H4494="EQ",3.9,IF(H4494="ILF",7.5,IF(H4494="EIF",5.4)))))))</f>
        <v/>
      </c>
      <c r="M4494" s="112" t="str">
        <f t="shared" si="73"/>
        <v/>
      </c>
      <c r="N4494" s="113"/>
    </row>
    <row r="4495" spans="2:14">
      <c r="B4495" s="105"/>
      <c r="C4495" s="106"/>
      <c r="D4495" s="107"/>
      <c r="E4495" s="65"/>
      <c r="F4495" s="64"/>
      <c r="G4495" s="64"/>
      <c r="H4495" s="64"/>
      <c r="I4495" s="70"/>
      <c r="J4495" s="70"/>
      <c r="K4495" s="110" t="str">
        <f>IF(H4495="","",IF($C$29="간이법","",FPR(H4495,I4495,J4495)))</f>
        <v/>
      </c>
      <c r="L4495" s="111" t="str">
        <f>IF(H4495="","",IF($C$29="상세법",FPV(H4495,K4495),IF(H4495="EI",4,IF(H4495="EO",5.2,IF(H4495="EQ",3.9,IF(H4495="ILF",7.5,IF(H4495="EIF",5.4)))))))</f>
        <v/>
      </c>
      <c r="M4495" s="112" t="str">
        <f t="shared" si="73"/>
        <v/>
      </c>
      <c r="N4495" s="113"/>
    </row>
    <row r="4496" spans="2:14">
      <c r="B4496" s="105"/>
      <c r="C4496" s="106"/>
      <c r="D4496" s="107"/>
      <c r="E4496" s="65"/>
      <c r="F4496" s="64"/>
      <c r="G4496" s="64"/>
      <c r="H4496" s="64"/>
      <c r="I4496" s="70"/>
      <c r="J4496" s="70"/>
      <c r="K4496" s="110" t="str">
        <f>IF(H4496="","",IF($C$29="간이법","",FPR(H4496,I4496,J4496)))</f>
        <v/>
      </c>
      <c r="L4496" s="111" t="str">
        <f>IF(H4496="","",IF($C$29="상세법",FPV(H4496,K4496),IF(H4496="EI",4,IF(H4496="EO",5.2,IF(H4496="EQ",3.9,IF(H4496="ILF",7.5,IF(H4496="EIF",5.4)))))))</f>
        <v/>
      </c>
      <c r="M4496" s="112" t="str">
        <f t="shared" si="73"/>
        <v/>
      </c>
      <c r="N4496" s="113"/>
    </row>
    <row r="4497" spans="2:14">
      <c r="B4497" s="105"/>
      <c r="C4497" s="106"/>
      <c r="D4497" s="107"/>
      <c r="E4497" s="65"/>
      <c r="F4497" s="64"/>
      <c r="G4497" s="64"/>
      <c r="H4497" s="64"/>
      <c r="I4497" s="70"/>
      <c r="J4497" s="70"/>
      <c r="K4497" s="110" t="str">
        <f>IF(H4497="","",IF($C$29="간이법","",FPR(H4497,I4497,J4497)))</f>
        <v/>
      </c>
      <c r="L4497" s="111" t="str">
        <f>IF(H4497="","",IF($C$29="상세법",FPV(H4497,K4497),IF(H4497="EI",4,IF(H4497="EO",5.2,IF(H4497="EQ",3.9,IF(H4497="ILF",7.5,IF(H4497="EIF",5.4)))))))</f>
        <v/>
      </c>
      <c r="M4497" s="112" t="str">
        <f t="shared" si="73"/>
        <v/>
      </c>
      <c r="N4497" s="113"/>
    </row>
    <row r="4498" spans="2:14">
      <c r="B4498" s="105"/>
      <c r="C4498" s="106"/>
      <c r="D4498" s="107"/>
      <c r="E4498" s="65"/>
      <c r="F4498" s="64"/>
      <c r="G4498" s="64"/>
      <c r="H4498" s="64"/>
      <c r="I4498" s="70"/>
      <c r="J4498" s="70"/>
      <c r="K4498" s="110" t="str">
        <f>IF(H4498="","",IF($C$29="간이법","",FPR(H4498,I4498,J4498)))</f>
        <v/>
      </c>
      <c r="L4498" s="111" t="str">
        <f>IF(H4498="","",IF($C$29="상세법",FPV(H4498,K4498),IF(H4498="EI",4,IF(H4498="EO",5.2,IF(H4498="EQ",3.9,IF(H4498="ILF",7.5,IF(H4498="EIF",5.4)))))))</f>
        <v/>
      </c>
      <c r="M4498" s="112" t="str">
        <f t="shared" si="73"/>
        <v/>
      </c>
      <c r="N4498" s="113"/>
    </row>
    <row r="4499" spans="2:14">
      <c r="B4499" s="105"/>
      <c r="C4499" s="106"/>
      <c r="D4499" s="107"/>
      <c r="E4499" s="65"/>
      <c r="F4499" s="64"/>
      <c r="G4499" s="64"/>
      <c r="H4499" s="64"/>
      <c r="I4499" s="70"/>
      <c r="J4499" s="70"/>
      <c r="K4499" s="110" t="str">
        <f>IF(H4499="","",IF($C$29="간이법","",FPR(H4499,I4499,J4499)))</f>
        <v/>
      </c>
      <c r="L4499" s="111" t="str">
        <f>IF(H4499="","",IF($C$29="상세법",FPV(H4499,K4499),IF(H4499="EI",4,IF(H4499="EO",5.2,IF(H4499="EQ",3.9,IF(H4499="ILF",7.5,IF(H4499="EIF",5.4)))))))</f>
        <v/>
      </c>
      <c r="M4499" s="112" t="str">
        <f t="shared" si="73"/>
        <v/>
      </c>
      <c r="N4499" s="113"/>
    </row>
    <row r="4500" spans="2:14">
      <c r="B4500" s="105"/>
      <c r="C4500" s="106"/>
      <c r="D4500" s="107"/>
      <c r="E4500" s="65"/>
      <c r="F4500" s="64"/>
      <c r="G4500" s="64"/>
      <c r="H4500" s="64"/>
      <c r="I4500" s="70"/>
      <c r="J4500" s="70"/>
      <c r="K4500" s="110" t="str">
        <f>IF(H4500="","",IF($C$29="간이법","",FPR(H4500,I4500,J4500)))</f>
        <v/>
      </c>
      <c r="L4500" s="111" t="str">
        <f>IF(H4500="","",IF($C$29="상세법",FPV(H4500,K4500),IF(H4500="EI",4,IF(H4500="EO",5.2,IF(H4500="EQ",3.9,IF(H4500="ILF",7.5,IF(H4500="EIF",5.4)))))))</f>
        <v/>
      </c>
      <c r="M4500" s="112" t="str">
        <f t="shared" si="73"/>
        <v/>
      </c>
      <c r="N4500" s="113"/>
    </row>
    <row r="4501" spans="2:14">
      <c r="B4501" s="105"/>
      <c r="C4501" s="106"/>
      <c r="D4501" s="107"/>
      <c r="E4501" s="65"/>
      <c r="F4501" s="64"/>
      <c r="G4501" s="64"/>
      <c r="H4501" s="64"/>
      <c r="I4501" s="70"/>
      <c r="J4501" s="70"/>
      <c r="K4501" s="110" t="str">
        <f>IF(H4501="","",IF($C$29="간이법","",FPR(H4501,I4501,J4501)))</f>
        <v/>
      </c>
      <c r="L4501" s="111" t="str">
        <f>IF(H4501="","",IF($C$29="상세법",FPV(H4501,K4501),IF(H4501="EI",4,IF(H4501="EO",5.2,IF(H4501="EQ",3.9,IF(H4501="ILF",7.5,IF(H4501="EIF",5.4)))))))</f>
        <v/>
      </c>
      <c r="M4501" s="112" t="str">
        <f t="shared" si="73"/>
        <v/>
      </c>
      <c r="N4501" s="113"/>
    </row>
    <row r="4502" spans="2:14">
      <c r="B4502" s="105"/>
      <c r="C4502" s="106"/>
      <c r="D4502" s="107"/>
      <c r="E4502" s="65"/>
      <c r="F4502" s="64"/>
      <c r="G4502" s="64"/>
      <c r="H4502" s="64"/>
      <c r="I4502" s="70"/>
      <c r="J4502" s="70"/>
      <c r="K4502" s="110" t="str">
        <f>IF(H4502="","",IF($C$29="간이법","",FPR(H4502,I4502,J4502)))</f>
        <v/>
      </c>
      <c r="L4502" s="111" t="str">
        <f>IF(H4502="","",IF($C$29="상세법",FPV(H4502,K4502),IF(H4502="EI",4,IF(H4502="EO",5.2,IF(H4502="EQ",3.9,IF(H4502="ILF",7.5,IF(H4502="EIF",5.4)))))))</f>
        <v/>
      </c>
      <c r="M4502" s="112" t="str">
        <f t="shared" si="73"/>
        <v/>
      </c>
      <c r="N4502" s="113"/>
    </row>
    <row r="4503" spans="2:14">
      <c r="B4503" s="105"/>
      <c r="C4503" s="106"/>
      <c r="D4503" s="107"/>
      <c r="E4503" s="65"/>
      <c r="F4503" s="64"/>
      <c r="G4503" s="64"/>
      <c r="H4503" s="64"/>
      <c r="I4503" s="70"/>
      <c r="J4503" s="70"/>
      <c r="K4503" s="110" t="str">
        <f>IF(H4503="","",IF($C$29="간이법","",FPR(H4503,I4503,J4503)))</f>
        <v/>
      </c>
      <c r="L4503" s="111" t="str">
        <f>IF(H4503="","",IF($C$29="상세법",FPV(H4503,K4503),IF(H4503="EI",4,IF(H4503="EO",5.2,IF(H4503="EQ",3.9,IF(H4503="ILF",7.5,IF(H4503="EIF",5.4)))))))</f>
        <v/>
      </c>
      <c r="M4503" s="112" t="str">
        <f t="shared" si="73"/>
        <v/>
      </c>
      <c r="N4503" s="113"/>
    </row>
    <row r="4504" spans="2:14">
      <c r="B4504" s="105"/>
      <c r="C4504" s="106"/>
      <c r="D4504" s="107"/>
      <c r="E4504" s="65"/>
      <c r="F4504" s="64"/>
      <c r="G4504" s="64"/>
      <c r="H4504" s="64"/>
      <c r="I4504" s="70"/>
      <c r="J4504" s="70"/>
      <c r="K4504" s="110" t="str">
        <f>IF(H4504="","",IF($C$29="간이법","",FPR(H4504,I4504,J4504)))</f>
        <v/>
      </c>
      <c r="L4504" s="111" t="str">
        <f>IF(H4504="","",IF($C$29="상세법",FPV(H4504,K4504),IF(H4504="EI",4,IF(H4504="EO",5.2,IF(H4504="EQ",3.9,IF(H4504="ILF",7.5,IF(H4504="EIF",5.4)))))))</f>
        <v/>
      </c>
      <c r="M4504" s="112" t="str">
        <f t="shared" si="73"/>
        <v/>
      </c>
      <c r="N4504" s="113"/>
    </row>
    <row r="4505" spans="2:14">
      <c r="B4505" s="105"/>
      <c r="C4505" s="106"/>
      <c r="D4505" s="107"/>
      <c r="E4505" s="65"/>
      <c r="F4505" s="64"/>
      <c r="G4505" s="64"/>
      <c r="H4505" s="64"/>
      <c r="I4505" s="70"/>
      <c r="J4505" s="70"/>
      <c r="K4505" s="110" t="str">
        <f>IF(H4505="","",IF($C$29="간이법","",FPR(H4505,I4505,J4505)))</f>
        <v/>
      </c>
      <c r="L4505" s="111" t="str">
        <f>IF(H4505="","",IF($C$29="상세법",FPV(H4505,K4505),IF(H4505="EI",4,IF(H4505="EO",5.2,IF(H4505="EQ",3.9,IF(H4505="ILF",7.5,IF(H4505="EIF",5.4)))))))</f>
        <v/>
      </c>
      <c r="M4505" s="112" t="str">
        <f t="shared" si="73"/>
        <v/>
      </c>
      <c r="N4505" s="113"/>
    </row>
    <row r="4506" spans="2:14">
      <c r="B4506" s="105"/>
      <c r="C4506" s="106"/>
      <c r="D4506" s="107"/>
      <c r="E4506" s="65"/>
      <c r="F4506" s="64"/>
      <c r="G4506" s="64"/>
      <c r="H4506" s="64"/>
      <c r="I4506" s="70"/>
      <c r="J4506" s="70"/>
      <c r="K4506" s="110" t="str">
        <f>IF(H4506="","",IF($C$29="간이법","",FPR(H4506,I4506,J4506)))</f>
        <v/>
      </c>
      <c r="L4506" s="111" t="str">
        <f>IF(H4506="","",IF($C$29="상세법",FPV(H4506,K4506),IF(H4506="EI",4,IF(H4506="EO",5.2,IF(H4506="EQ",3.9,IF(H4506="ILF",7.5,IF(H4506="EIF",5.4)))))))</f>
        <v/>
      </c>
      <c r="M4506" s="112" t="str">
        <f t="shared" si="73"/>
        <v/>
      </c>
      <c r="N4506" s="113"/>
    </row>
    <row r="4507" spans="2:14">
      <c r="B4507" s="105"/>
      <c r="C4507" s="106"/>
      <c r="D4507" s="107"/>
      <c r="E4507" s="65"/>
      <c r="F4507" s="64"/>
      <c r="G4507" s="64"/>
      <c r="H4507" s="64"/>
      <c r="I4507" s="70"/>
      <c r="J4507" s="70"/>
      <c r="K4507" s="110" t="str">
        <f>IF(H4507="","",IF($C$29="간이법","",FPR(H4507,I4507,J4507)))</f>
        <v/>
      </c>
      <c r="L4507" s="111" t="str">
        <f>IF(H4507="","",IF($C$29="상세법",FPV(H4507,K4507),IF(H4507="EI",4,IF(H4507="EO",5.2,IF(H4507="EQ",3.9,IF(H4507="ILF",7.5,IF(H4507="EIF",5.4)))))))</f>
        <v/>
      </c>
      <c r="M4507" s="112" t="str">
        <f t="shared" si="73"/>
        <v/>
      </c>
      <c r="N4507" s="113"/>
    </row>
    <row r="4508" spans="2:14">
      <c r="B4508" s="105"/>
      <c r="C4508" s="106"/>
      <c r="D4508" s="107"/>
      <c r="E4508" s="65"/>
      <c r="F4508" s="64"/>
      <c r="G4508" s="64"/>
      <c r="H4508" s="64"/>
      <c r="I4508" s="70"/>
      <c r="J4508" s="70"/>
      <c r="K4508" s="110" t="str">
        <f>IF(H4508="","",IF($C$29="간이법","",FPR(H4508,I4508,J4508)))</f>
        <v/>
      </c>
      <c r="L4508" s="111" t="str">
        <f>IF(H4508="","",IF($C$29="상세법",FPV(H4508,K4508),IF(H4508="EI",4,IF(H4508="EO",5.2,IF(H4508="EQ",3.9,IF(H4508="ILF",7.5,IF(H4508="EIF",5.4)))))))</f>
        <v/>
      </c>
      <c r="M4508" s="112" t="str">
        <f t="shared" si="73"/>
        <v/>
      </c>
      <c r="N4508" s="113"/>
    </row>
    <row r="4509" spans="2:14">
      <c r="B4509" s="105"/>
      <c r="C4509" s="106"/>
      <c r="D4509" s="107"/>
      <c r="E4509" s="65"/>
      <c r="F4509" s="64"/>
      <c r="G4509" s="64"/>
      <c r="H4509" s="64"/>
      <c r="I4509" s="70"/>
      <c r="J4509" s="70"/>
      <c r="K4509" s="110" t="str">
        <f>IF(H4509="","",IF($C$29="간이법","",FPR(H4509,I4509,J4509)))</f>
        <v/>
      </c>
      <c r="L4509" s="111" t="str">
        <f>IF(H4509="","",IF($C$29="상세법",FPV(H4509,K4509),IF(H4509="EI",4,IF(H4509="EO",5.2,IF(H4509="EQ",3.9,IF(H4509="ILF",7.5,IF(H4509="EIF",5.4)))))))</f>
        <v/>
      </c>
      <c r="M4509" s="112" t="str">
        <f t="shared" si="73"/>
        <v/>
      </c>
      <c r="N4509" s="113"/>
    </row>
    <row r="4510" spans="2:14">
      <c r="B4510" s="105"/>
      <c r="C4510" s="106"/>
      <c r="D4510" s="107"/>
      <c r="E4510" s="65"/>
      <c r="F4510" s="64"/>
      <c r="G4510" s="64"/>
      <c r="H4510" s="64"/>
      <c r="I4510" s="70"/>
      <c r="J4510" s="70"/>
      <c r="K4510" s="110" t="str">
        <f>IF(H4510="","",IF($C$29="간이법","",FPR(H4510,I4510,J4510)))</f>
        <v/>
      </c>
      <c r="L4510" s="111" t="str">
        <f>IF(H4510="","",IF($C$29="상세법",FPV(H4510,K4510),IF(H4510="EI",4,IF(H4510="EO",5.2,IF(H4510="EQ",3.9,IF(H4510="ILF",7.5,IF(H4510="EIF",5.4)))))))</f>
        <v/>
      </c>
      <c r="M4510" s="112" t="str">
        <f t="shared" si="73"/>
        <v/>
      </c>
      <c r="N4510" s="113"/>
    </row>
    <row r="4511" spans="2:14">
      <c r="B4511" s="105"/>
      <c r="C4511" s="106"/>
      <c r="D4511" s="107"/>
      <c r="E4511" s="65"/>
      <c r="F4511" s="64"/>
      <c r="G4511" s="64"/>
      <c r="H4511" s="64"/>
      <c r="I4511" s="70"/>
      <c r="J4511" s="70"/>
      <c r="K4511" s="110" t="str">
        <f>IF(H4511="","",IF($C$29="간이법","",FPR(H4511,I4511,J4511)))</f>
        <v/>
      </c>
      <c r="L4511" s="111" t="str">
        <f>IF(H4511="","",IF($C$29="상세법",FPV(H4511,K4511),IF(H4511="EI",4,IF(H4511="EO",5.2,IF(H4511="EQ",3.9,IF(H4511="ILF",7.5,IF(H4511="EIF",5.4)))))))</f>
        <v/>
      </c>
      <c r="M4511" s="112" t="str">
        <f t="shared" si="73"/>
        <v/>
      </c>
      <c r="N4511" s="113"/>
    </row>
    <row r="4512" spans="2:14">
      <c r="B4512" s="105"/>
      <c r="C4512" s="106"/>
      <c r="D4512" s="107"/>
      <c r="E4512" s="65"/>
      <c r="F4512" s="64"/>
      <c r="G4512" s="64"/>
      <c r="H4512" s="64"/>
      <c r="I4512" s="70"/>
      <c r="J4512" s="70"/>
      <c r="K4512" s="110" t="str">
        <f>IF(H4512="","",IF($C$29="간이법","",FPR(H4512,I4512,J4512)))</f>
        <v/>
      </c>
      <c r="L4512" s="111" t="str">
        <f>IF(H4512="","",IF($C$29="상세법",FPV(H4512,K4512),IF(H4512="EI",4,IF(H4512="EO",5.2,IF(H4512="EQ",3.9,IF(H4512="ILF",7.5,IF(H4512="EIF",5.4)))))))</f>
        <v/>
      </c>
      <c r="M4512" s="112" t="str">
        <f t="shared" si="73"/>
        <v/>
      </c>
      <c r="N4512" s="113"/>
    </row>
    <row r="4513" spans="2:14">
      <c r="B4513" s="105"/>
      <c r="C4513" s="106"/>
      <c r="D4513" s="107"/>
      <c r="E4513" s="65"/>
      <c r="F4513" s="64"/>
      <c r="G4513" s="64"/>
      <c r="H4513" s="64"/>
      <c r="I4513" s="70"/>
      <c r="J4513" s="70"/>
      <c r="K4513" s="110" t="str">
        <f>IF(H4513="","",IF($C$29="간이법","",FPR(H4513,I4513,J4513)))</f>
        <v/>
      </c>
      <c r="L4513" s="111" t="str">
        <f>IF(H4513="","",IF($C$29="상세법",FPV(H4513,K4513),IF(H4513="EI",4,IF(H4513="EO",5.2,IF(H4513="EQ",3.9,IF(H4513="ILF",7.5,IF(H4513="EIF",5.4)))))))</f>
        <v/>
      </c>
      <c r="M4513" s="112" t="str">
        <f t="shared" si="73"/>
        <v/>
      </c>
      <c r="N4513" s="113"/>
    </row>
    <row r="4514" spans="2:14">
      <c r="B4514" s="105"/>
      <c r="C4514" s="106"/>
      <c r="D4514" s="107"/>
      <c r="E4514" s="65"/>
      <c r="F4514" s="64"/>
      <c r="G4514" s="64"/>
      <c r="H4514" s="64"/>
      <c r="I4514" s="70"/>
      <c r="J4514" s="70"/>
      <c r="K4514" s="110" t="str">
        <f>IF(H4514="","",IF($C$29="간이법","",FPR(H4514,I4514,J4514)))</f>
        <v/>
      </c>
      <c r="L4514" s="111" t="str">
        <f>IF(H4514="","",IF($C$29="상세법",FPV(H4514,K4514),IF(H4514="EI",4,IF(H4514="EO",5.2,IF(H4514="EQ",3.9,IF(H4514="ILF",7.5,IF(H4514="EIF",5.4)))))))</f>
        <v/>
      </c>
      <c r="M4514" s="112" t="str">
        <f t="shared" si="73"/>
        <v/>
      </c>
      <c r="N4514" s="113"/>
    </row>
    <row r="4515" spans="2:14">
      <c r="B4515" s="105"/>
      <c r="C4515" s="106"/>
      <c r="D4515" s="107"/>
      <c r="E4515" s="65"/>
      <c r="F4515" s="64"/>
      <c r="G4515" s="64"/>
      <c r="H4515" s="64"/>
      <c r="I4515" s="70"/>
      <c r="J4515" s="70"/>
      <c r="K4515" s="110" t="str">
        <f>IF(H4515="","",IF($C$29="간이법","",FPR(H4515,I4515,J4515)))</f>
        <v/>
      </c>
      <c r="L4515" s="111" t="str">
        <f>IF(H4515="","",IF($C$29="상세법",FPV(H4515,K4515),IF(H4515="EI",4,IF(H4515="EO",5.2,IF(H4515="EQ",3.9,IF(H4515="ILF",7.5,IF(H4515="EIF",5.4)))))))</f>
        <v/>
      </c>
      <c r="M4515" s="112" t="str">
        <f t="shared" si="73"/>
        <v/>
      </c>
      <c r="N4515" s="113"/>
    </row>
    <row r="4516" spans="2:14">
      <c r="B4516" s="105"/>
      <c r="C4516" s="106"/>
      <c r="D4516" s="107"/>
      <c r="E4516" s="65"/>
      <c r="F4516" s="64"/>
      <c r="G4516" s="64"/>
      <c r="H4516" s="64"/>
      <c r="I4516" s="70"/>
      <c r="J4516" s="70"/>
      <c r="K4516" s="110" t="str">
        <f>IF(H4516="","",IF($C$29="간이법","",FPR(H4516,I4516,J4516)))</f>
        <v/>
      </c>
      <c r="L4516" s="111" t="str">
        <f>IF(H4516="","",IF($C$29="상세법",FPV(H4516,K4516),IF(H4516="EI",4,IF(H4516="EO",5.2,IF(H4516="EQ",3.9,IF(H4516="ILF",7.5,IF(H4516="EIF",5.4)))))))</f>
        <v/>
      </c>
      <c r="M4516" s="112" t="str">
        <f t="shared" si="73"/>
        <v/>
      </c>
      <c r="N4516" s="113"/>
    </row>
    <row r="4517" spans="2:14">
      <c r="B4517" s="105"/>
      <c r="C4517" s="106"/>
      <c r="D4517" s="107"/>
      <c r="E4517" s="65"/>
      <c r="F4517" s="64"/>
      <c r="G4517" s="64"/>
      <c r="H4517" s="64"/>
      <c r="I4517" s="70"/>
      <c r="J4517" s="70"/>
      <c r="K4517" s="110" t="str">
        <f>IF(H4517="","",IF($C$29="간이법","",FPR(H4517,I4517,J4517)))</f>
        <v/>
      </c>
      <c r="L4517" s="111" t="str">
        <f>IF(H4517="","",IF($C$29="상세법",FPV(H4517,K4517),IF(H4517="EI",4,IF(H4517="EO",5.2,IF(H4517="EQ",3.9,IF(H4517="ILF",7.5,IF(H4517="EIF",5.4)))))))</f>
        <v/>
      </c>
      <c r="M4517" s="112" t="str">
        <f t="shared" si="73"/>
        <v/>
      </c>
      <c r="N4517" s="113"/>
    </row>
    <row r="4518" spans="2:14">
      <c r="B4518" s="105"/>
      <c r="C4518" s="106"/>
      <c r="D4518" s="107"/>
      <c r="E4518" s="65"/>
      <c r="F4518" s="64"/>
      <c r="G4518" s="64"/>
      <c r="H4518" s="64"/>
      <c r="I4518" s="70"/>
      <c r="J4518" s="70"/>
      <c r="K4518" s="110" t="str">
        <f>IF(H4518="","",IF($C$29="간이법","",FPR(H4518,I4518,J4518)))</f>
        <v/>
      </c>
      <c r="L4518" s="111" t="str">
        <f>IF(H4518="","",IF($C$29="상세법",FPV(H4518,K4518),IF(H4518="EI",4,IF(H4518="EO",5.2,IF(H4518="EQ",3.9,IF(H4518="ILF",7.5,IF(H4518="EIF",5.4)))))))</f>
        <v/>
      </c>
      <c r="M4518" s="112" t="str">
        <f t="shared" si="73"/>
        <v/>
      </c>
      <c r="N4518" s="113"/>
    </row>
    <row r="4519" spans="2:14">
      <c r="B4519" s="105"/>
      <c r="C4519" s="106"/>
      <c r="D4519" s="107"/>
      <c r="E4519" s="65"/>
      <c r="F4519" s="64"/>
      <c r="G4519" s="64"/>
      <c r="H4519" s="64"/>
      <c r="I4519" s="70"/>
      <c r="J4519" s="70"/>
      <c r="K4519" s="110" t="str">
        <f>IF(H4519="","",IF($C$29="간이법","",FPR(H4519,I4519,J4519)))</f>
        <v/>
      </c>
      <c r="L4519" s="111" t="str">
        <f>IF(H4519="","",IF($C$29="상세법",FPV(H4519,K4519),IF(H4519="EI",4,IF(H4519="EO",5.2,IF(H4519="EQ",3.9,IF(H4519="ILF",7.5,IF(H4519="EIF",5.4)))))))</f>
        <v/>
      </c>
      <c r="M4519" s="112" t="str">
        <f t="shared" si="73"/>
        <v/>
      </c>
      <c r="N4519" s="113"/>
    </row>
    <row r="4520" spans="2:14">
      <c r="B4520" s="105"/>
      <c r="C4520" s="106"/>
      <c r="D4520" s="107"/>
      <c r="E4520" s="65"/>
      <c r="F4520" s="64"/>
      <c r="G4520" s="64"/>
      <c r="H4520" s="64"/>
      <c r="I4520" s="70"/>
      <c r="J4520" s="70"/>
      <c r="K4520" s="110" t="str">
        <f>IF(H4520="","",IF($C$29="간이법","",FPR(H4520,I4520,J4520)))</f>
        <v/>
      </c>
      <c r="L4520" s="111" t="str">
        <f>IF(H4520="","",IF($C$29="상세법",FPV(H4520,K4520),IF(H4520="EI",4,IF(H4520="EO",5.2,IF(H4520="EQ",3.9,IF(H4520="ILF",7.5,IF(H4520="EIF",5.4)))))))</f>
        <v/>
      </c>
      <c r="M4520" s="112" t="str">
        <f t="shared" si="73"/>
        <v/>
      </c>
      <c r="N4520" s="113"/>
    </row>
    <row r="4521" spans="2:14">
      <c r="B4521" s="105"/>
      <c r="C4521" s="106"/>
      <c r="D4521" s="107"/>
      <c r="E4521" s="65"/>
      <c r="F4521" s="64"/>
      <c r="G4521" s="64"/>
      <c r="H4521" s="64"/>
      <c r="I4521" s="70"/>
      <c r="J4521" s="70"/>
      <c r="K4521" s="110" t="str">
        <f>IF(H4521="","",IF($C$29="간이법","",FPR(H4521,I4521,J4521)))</f>
        <v/>
      </c>
      <c r="L4521" s="111" t="str">
        <f>IF(H4521="","",IF($C$29="상세법",FPV(H4521,K4521),IF(H4521="EI",4,IF(H4521="EO",5.2,IF(H4521="EQ",3.9,IF(H4521="ILF",7.5,IF(H4521="EIF",5.4)))))))</f>
        <v/>
      </c>
      <c r="M4521" s="112" t="str">
        <f t="shared" si="73"/>
        <v/>
      </c>
      <c r="N4521" s="113"/>
    </row>
    <row r="4522" spans="2:14">
      <c r="B4522" s="105"/>
      <c r="C4522" s="106"/>
      <c r="D4522" s="107"/>
      <c r="E4522" s="65"/>
      <c r="F4522" s="64"/>
      <c r="G4522" s="64"/>
      <c r="H4522" s="64"/>
      <c r="I4522" s="70"/>
      <c r="J4522" s="70"/>
      <c r="K4522" s="110" t="str">
        <f>IF(H4522="","",IF($C$29="간이법","",FPR(H4522,I4522,J4522)))</f>
        <v/>
      </c>
      <c r="L4522" s="111" t="str">
        <f>IF(H4522="","",IF($C$29="상세법",FPV(H4522,K4522),IF(H4522="EI",4,IF(H4522="EO",5.2,IF(H4522="EQ",3.9,IF(H4522="ILF",7.5,IF(H4522="EIF",5.4)))))))</f>
        <v/>
      </c>
      <c r="M4522" s="112" t="str">
        <f t="shared" si="73"/>
        <v/>
      </c>
      <c r="N4522" s="113"/>
    </row>
    <row r="4523" spans="2:14">
      <c r="B4523" s="105"/>
      <c r="C4523" s="106"/>
      <c r="D4523" s="107"/>
      <c r="E4523" s="65"/>
      <c r="F4523" s="64"/>
      <c r="G4523" s="64"/>
      <c r="H4523" s="64"/>
      <c r="I4523" s="70"/>
      <c r="J4523" s="70"/>
      <c r="K4523" s="110" t="str">
        <f>IF(H4523="","",IF($C$29="간이법","",FPR(H4523,I4523,J4523)))</f>
        <v/>
      </c>
      <c r="L4523" s="111" t="str">
        <f>IF(H4523="","",IF($C$29="상세법",FPV(H4523,K4523),IF(H4523="EI",4,IF(H4523="EO",5.2,IF(H4523="EQ",3.9,IF(H4523="ILF",7.5,IF(H4523="EIF",5.4)))))))</f>
        <v/>
      </c>
      <c r="M4523" s="112" t="str">
        <f t="shared" si="73"/>
        <v/>
      </c>
      <c r="N4523" s="113"/>
    </row>
    <row r="4524" spans="2:14">
      <c r="B4524" s="105"/>
      <c r="C4524" s="106"/>
      <c r="D4524" s="107"/>
      <c r="E4524" s="65"/>
      <c r="F4524" s="64"/>
      <c r="G4524" s="64"/>
      <c r="H4524" s="64"/>
      <c r="I4524" s="70"/>
      <c r="J4524" s="70"/>
      <c r="K4524" s="110" t="str">
        <f>IF(H4524="","",IF($C$29="간이법","",FPR(H4524,I4524,J4524)))</f>
        <v/>
      </c>
      <c r="L4524" s="111" t="str">
        <f>IF(H4524="","",IF($C$29="상세법",FPV(H4524,K4524),IF(H4524="EI",4,IF(H4524="EO",5.2,IF(H4524="EQ",3.9,IF(H4524="ILF",7.5,IF(H4524="EIF",5.4)))))))</f>
        <v/>
      </c>
      <c r="M4524" s="112" t="str">
        <f t="shared" si="73"/>
        <v/>
      </c>
      <c r="N4524" s="113"/>
    </row>
    <row r="4525" spans="2:14">
      <c r="B4525" s="105"/>
      <c r="C4525" s="106"/>
      <c r="D4525" s="107"/>
      <c r="E4525" s="65"/>
      <c r="F4525" s="64"/>
      <c r="G4525" s="64"/>
      <c r="H4525" s="64"/>
      <c r="I4525" s="70"/>
      <c r="J4525" s="70"/>
      <c r="K4525" s="110" t="str">
        <f>IF(H4525="","",IF($C$29="간이법","",FPR(H4525,I4525,J4525)))</f>
        <v/>
      </c>
      <c r="L4525" s="111" t="str">
        <f>IF(H4525="","",IF($C$29="상세법",FPV(H4525,K4525),IF(H4525="EI",4,IF(H4525="EO",5.2,IF(H4525="EQ",3.9,IF(H4525="ILF",7.5,IF(H4525="EIF",5.4)))))))</f>
        <v/>
      </c>
      <c r="M4525" s="112" t="str">
        <f t="shared" si="73"/>
        <v/>
      </c>
      <c r="N4525" s="113"/>
    </row>
    <row r="4526" spans="2:14">
      <c r="B4526" s="105"/>
      <c r="C4526" s="106"/>
      <c r="D4526" s="107"/>
      <c r="E4526" s="65"/>
      <c r="F4526" s="64"/>
      <c r="G4526" s="64"/>
      <c r="H4526" s="64"/>
      <c r="I4526" s="70"/>
      <c r="J4526" s="70"/>
      <c r="K4526" s="110" t="str">
        <f>IF(H4526="","",IF($C$29="간이법","",FPR(H4526,I4526,J4526)))</f>
        <v/>
      </c>
      <c r="L4526" s="111" t="str">
        <f>IF(H4526="","",IF($C$29="상세법",FPV(H4526,K4526),IF(H4526="EI",4,IF(H4526="EO",5.2,IF(H4526="EQ",3.9,IF(H4526="ILF",7.5,IF(H4526="EIF",5.4)))))))</f>
        <v/>
      </c>
      <c r="M4526" s="112" t="str">
        <f t="shared" si="73"/>
        <v/>
      </c>
      <c r="N4526" s="113"/>
    </row>
    <row r="4527" spans="2:14">
      <c r="B4527" s="105"/>
      <c r="C4527" s="106"/>
      <c r="D4527" s="107"/>
      <c r="E4527" s="65"/>
      <c r="F4527" s="64"/>
      <c r="G4527" s="64"/>
      <c r="H4527" s="64"/>
      <c r="I4527" s="70"/>
      <c r="J4527" s="70"/>
      <c r="K4527" s="110" t="str">
        <f>IF(H4527="","",IF($C$29="간이법","",FPR(H4527,I4527,J4527)))</f>
        <v/>
      </c>
      <c r="L4527" s="111" t="str">
        <f>IF(H4527="","",IF($C$29="상세법",FPV(H4527,K4527),IF(H4527="EI",4,IF(H4527="EO",5.2,IF(H4527="EQ",3.9,IF(H4527="ILF",7.5,IF(H4527="EIF",5.4)))))))</f>
        <v/>
      </c>
      <c r="M4527" s="112" t="str">
        <f t="shared" si="73"/>
        <v/>
      </c>
      <c r="N4527" s="113"/>
    </row>
    <row r="4528" spans="2:14">
      <c r="B4528" s="105"/>
      <c r="C4528" s="106"/>
      <c r="D4528" s="107"/>
      <c r="E4528" s="65"/>
      <c r="F4528" s="64"/>
      <c r="G4528" s="64"/>
      <c r="H4528" s="64"/>
      <c r="I4528" s="70"/>
      <c r="J4528" s="70"/>
      <c r="K4528" s="110" t="str">
        <f>IF(H4528="","",IF($C$29="간이법","",FPR(H4528,I4528,J4528)))</f>
        <v/>
      </c>
      <c r="L4528" s="111" t="str">
        <f>IF(H4528="","",IF($C$29="상세법",FPV(H4528,K4528),IF(H4528="EI",4,IF(H4528="EO",5.2,IF(H4528="EQ",3.9,IF(H4528="ILF",7.5,IF(H4528="EIF",5.4)))))))</f>
        <v/>
      </c>
      <c r="M4528" s="112" t="str">
        <f t="shared" si="73"/>
        <v/>
      </c>
      <c r="N4528" s="113"/>
    </row>
    <row r="4529" spans="2:14">
      <c r="B4529" s="105"/>
      <c r="C4529" s="106"/>
      <c r="D4529" s="107"/>
      <c r="E4529" s="65"/>
      <c r="F4529" s="64"/>
      <c r="G4529" s="64"/>
      <c r="H4529" s="64"/>
      <c r="I4529" s="70"/>
      <c r="J4529" s="70"/>
      <c r="K4529" s="110" t="str">
        <f>IF(H4529="","",IF($C$29="간이법","",FPR(H4529,I4529,J4529)))</f>
        <v/>
      </c>
      <c r="L4529" s="111" t="str">
        <f>IF(H4529="","",IF($C$29="상세법",FPV(H4529,K4529),IF(H4529="EI",4,IF(H4529="EO",5.2,IF(H4529="EQ",3.9,IF(H4529="ILF",7.5,IF(H4529="EIF",5.4)))))))</f>
        <v/>
      </c>
      <c r="M4529" s="112" t="str">
        <f t="shared" si="73"/>
        <v/>
      </c>
      <c r="N4529" s="113"/>
    </row>
    <row r="4530" spans="2:14">
      <c r="B4530" s="105"/>
      <c r="C4530" s="106"/>
      <c r="D4530" s="107"/>
      <c r="E4530" s="65"/>
      <c r="F4530" s="64"/>
      <c r="G4530" s="64"/>
      <c r="H4530" s="64"/>
      <c r="I4530" s="70"/>
      <c r="J4530" s="70"/>
      <c r="K4530" s="110" t="str">
        <f>IF(H4530="","",IF($C$29="간이법","",FPR(H4530,I4530,J4530)))</f>
        <v/>
      </c>
      <c r="L4530" s="111" t="str">
        <f>IF(H4530="","",IF($C$29="상세법",FPV(H4530,K4530),IF(H4530="EI",4,IF(H4530="EO",5.2,IF(H4530="EQ",3.9,IF(H4530="ILF",7.5,IF(H4530="EIF",5.4)))))))</f>
        <v/>
      </c>
      <c r="M4530" s="112" t="str">
        <f t="shared" si="73"/>
        <v/>
      </c>
      <c r="N4530" s="113"/>
    </row>
    <row r="4531" spans="2:14">
      <c r="B4531" s="105"/>
      <c r="C4531" s="106"/>
      <c r="D4531" s="107"/>
      <c r="E4531" s="65"/>
      <c r="F4531" s="64"/>
      <c r="G4531" s="64"/>
      <c r="H4531" s="64"/>
      <c r="I4531" s="70"/>
      <c r="J4531" s="70"/>
      <c r="K4531" s="110" t="str">
        <f>IF(H4531="","",IF($C$29="간이법","",FPR(H4531,I4531,J4531)))</f>
        <v/>
      </c>
      <c r="L4531" s="111" t="str">
        <f>IF(H4531="","",IF($C$29="상세법",FPV(H4531,K4531),IF(H4531="EI",4,IF(H4531="EO",5.2,IF(H4531="EQ",3.9,IF(H4531="ILF",7.5,IF(H4531="EIF",5.4)))))))</f>
        <v/>
      </c>
      <c r="M4531" s="112" t="str">
        <f t="shared" si="73"/>
        <v/>
      </c>
      <c r="N4531" s="113"/>
    </row>
    <row r="4532" spans="2:14">
      <c r="B4532" s="105"/>
      <c r="C4532" s="106"/>
      <c r="D4532" s="107"/>
      <c r="E4532" s="65"/>
      <c r="F4532" s="64"/>
      <c r="G4532" s="64"/>
      <c r="H4532" s="64"/>
      <c r="I4532" s="70"/>
      <c r="J4532" s="70"/>
      <c r="K4532" s="110" t="str">
        <f>IF(H4532="","",IF($C$29="간이법","",FPR(H4532,I4532,J4532)))</f>
        <v/>
      </c>
      <c r="L4532" s="111" t="str">
        <f>IF(H4532="","",IF($C$29="상세법",FPV(H4532,K4532),IF(H4532="EI",4,IF(H4532="EO",5.2,IF(H4532="EQ",3.9,IF(H4532="ILF",7.5,IF(H4532="EIF",5.4)))))))</f>
        <v/>
      </c>
      <c r="M4532" s="112" t="str">
        <f t="shared" si="73"/>
        <v/>
      </c>
      <c r="N4532" s="113"/>
    </row>
    <row r="4533" spans="2:14">
      <c r="B4533" s="105"/>
      <c r="C4533" s="106"/>
      <c r="D4533" s="107"/>
      <c r="E4533" s="65"/>
      <c r="F4533" s="64"/>
      <c r="G4533" s="64"/>
      <c r="H4533" s="64"/>
      <c r="I4533" s="70"/>
      <c r="J4533" s="70"/>
      <c r="K4533" s="110" t="str">
        <f>IF(H4533="","",IF($C$29="간이법","",FPR(H4533,I4533,J4533)))</f>
        <v/>
      </c>
      <c r="L4533" s="111" t="str">
        <f>IF(H4533="","",IF($C$29="상세법",FPV(H4533,K4533),IF(H4533="EI",4,IF(H4533="EO",5.2,IF(H4533="EQ",3.9,IF(H4533="ILF",7.5,IF(H4533="EIF",5.4)))))))</f>
        <v/>
      </c>
      <c r="M4533" s="112" t="str">
        <f t="shared" si="73"/>
        <v/>
      </c>
      <c r="N4533" s="113"/>
    </row>
    <row r="4534" spans="2:14">
      <c r="B4534" s="105"/>
      <c r="C4534" s="106"/>
      <c r="D4534" s="107"/>
      <c r="E4534" s="65"/>
      <c r="F4534" s="64"/>
      <c r="G4534" s="64"/>
      <c r="H4534" s="64"/>
      <c r="I4534" s="70"/>
      <c r="J4534" s="70"/>
      <c r="K4534" s="110" t="str">
        <f>IF(H4534="","",IF($C$29="간이법","",FPR(H4534,I4534,J4534)))</f>
        <v/>
      </c>
      <c r="L4534" s="111" t="str">
        <f>IF(H4534="","",IF($C$29="상세법",FPV(H4534,K4534),IF(H4534="EI",4,IF(H4534="EO",5.2,IF(H4534="EQ",3.9,IF(H4534="ILF",7.5,IF(H4534="EIF",5.4)))))))</f>
        <v/>
      </c>
      <c r="M4534" s="112" t="str">
        <f t="shared" si="73"/>
        <v/>
      </c>
      <c r="N4534" s="113"/>
    </row>
    <row r="4535" spans="2:14">
      <c r="B4535" s="105"/>
      <c r="C4535" s="106"/>
      <c r="D4535" s="107"/>
      <c r="E4535" s="65"/>
      <c r="F4535" s="64"/>
      <c r="G4535" s="64"/>
      <c r="H4535" s="64"/>
      <c r="I4535" s="70"/>
      <c r="J4535" s="70"/>
      <c r="K4535" s="110" t="str">
        <f>IF(H4535="","",IF($C$29="간이법","",FPR(H4535,I4535,J4535)))</f>
        <v/>
      </c>
      <c r="L4535" s="111" t="str">
        <f>IF(H4535="","",IF($C$29="상세법",FPV(H4535,K4535),IF(H4535="EI",4,IF(H4535="EO",5.2,IF(H4535="EQ",3.9,IF(H4535="ILF",7.5,IF(H4535="EIF",5.4)))))))</f>
        <v/>
      </c>
      <c r="M4535" s="112" t="str">
        <f t="shared" si="73"/>
        <v/>
      </c>
      <c r="N4535" s="113"/>
    </row>
    <row r="4536" spans="2:14">
      <c r="B4536" s="105"/>
      <c r="C4536" s="106"/>
      <c r="D4536" s="107"/>
      <c r="E4536" s="65"/>
      <c r="F4536" s="64"/>
      <c r="G4536" s="64"/>
      <c r="H4536" s="64"/>
      <c r="I4536" s="70"/>
      <c r="J4536" s="70"/>
      <c r="K4536" s="110" t="str">
        <f>IF(H4536="","",IF($C$29="간이법","",FPR(H4536,I4536,J4536)))</f>
        <v/>
      </c>
      <c r="L4536" s="111" t="str">
        <f>IF(H4536="","",IF($C$29="상세법",FPV(H4536,K4536),IF(H4536="EI",4,IF(H4536="EO",5.2,IF(H4536="EQ",3.9,IF(H4536="ILF",7.5,IF(H4536="EIF",5.4)))))))</f>
        <v/>
      </c>
      <c r="M4536" s="112" t="str">
        <f t="shared" si="73"/>
        <v/>
      </c>
      <c r="N4536" s="113"/>
    </row>
    <row r="4537" spans="2:14">
      <c r="B4537" s="105"/>
      <c r="C4537" s="106"/>
      <c r="D4537" s="107"/>
      <c r="E4537" s="65"/>
      <c r="F4537" s="64"/>
      <c r="G4537" s="64"/>
      <c r="H4537" s="64"/>
      <c r="I4537" s="70"/>
      <c r="J4537" s="70"/>
      <c r="K4537" s="110" t="str">
        <f>IF(H4537="","",IF($C$29="간이법","",FPR(H4537,I4537,J4537)))</f>
        <v/>
      </c>
      <c r="L4537" s="111" t="str">
        <f>IF(H4537="","",IF($C$29="상세법",FPV(H4537,K4537),IF(H4537="EI",4,IF(H4537="EO",5.2,IF(H4537="EQ",3.9,IF(H4537="ILF",7.5,IF(H4537="EIF",5.4)))))))</f>
        <v/>
      </c>
      <c r="M4537" s="112" t="str">
        <f t="shared" ref="M4537:M4600" si="74">IF(L4537="","",L4537*IF(G4537="상",0.7,IF(G4537="중",0.5,IF(G4537="하",0.2,1))))</f>
        <v/>
      </c>
      <c r="N4537" s="113"/>
    </row>
    <row r="4538" spans="2:14">
      <c r="B4538" s="105"/>
      <c r="C4538" s="106"/>
      <c r="D4538" s="107"/>
      <c r="E4538" s="65"/>
      <c r="F4538" s="64"/>
      <c r="G4538" s="64"/>
      <c r="H4538" s="64"/>
      <c r="I4538" s="70"/>
      <c r="J4538" s="70"/>
      <c r="K4538" s="110" t="str">
        <f>IF(H4538="","",IF($C$29="간이법","",FPR(H4538,I4538,J4538)))</f>
        <v/>
      </c>
      <c r="L4538" s="111" t="str">
        <f>IF(H4538="","",IF($C$29="상세법",FPV(H4538,K4538),IF(H4538="EI",4,IF(H4538="EO",5.2,IF(H4538="EQ",3.9,IF(H4538="ILF",7.5,IF(H4538="EIF",5.4)))))))</f>
        <v/>
      </c>
      <c r="M4538" s="112" t="str">
        <f t="shared" si="74"/>
        <v/>
      </c>
      <c r="N4538" s="113"/>
    </row>
    <row r="4539" spans="2:14">
      <c r="B4539" s="105"/>
      <c r="C4539" s="106"/>
      <c r="D4539" s="107"/>
      <c r="E4539" s="65"/>
      <c r="F4539" s="64"/>
      <c r="G4539" s="64"/>
      <c r="H4539" s="64"/>
      <c r="I4539" s="70"/>
      <c r="J4539" s="70"/>
      <c r="K4539" s="110" t="str">
        <f>IF(H4539="","",IF($C$29="간이법","",FPR(H4539,I4539,J4539)))</f>
        <v/>
      </c>
      <c r="L4539" s="111" t="str">
        <f>IF(H4539="","",IF($C$29="상세법",FPV(H4539,K4539),IF(H4539="EI",4,IF(H4539="EO",5.2,IF(H4539="EQ",3.9,IF(H4539="ILF",7.5,IF(H4539="EIF",5.4)))))))</f>
        <v/>
      </c>
      <c r="M4539" s="112" t="str">
        <f t="shared" si="74"/>
        <v/>
      </c>
      <c r="N4539" s="113"/>
    </row>
    <row r="4540" spans="2:14">
      <c r="B4540" s="105"/>
      <c r="C4540" s="106"/>
      <c r="D4540" s="107"/>
      <c r="E4540" s="65"/>
      <c r="F4540" s="64"/>
      <c r="G4540" s="64"/>
      <c r="H4540" s="64"/>
      <c r="I4540" s="70"/>
      <c r="J4540" s="70"/>
      <c r="K4540" s="110" t="str">
        <f>IF(H4540="","",IF($C$29="간이법","",FPR(H4540,I4540,J4540)))</f>
        <v/>
      </c>
      <c r="L4540" s="111" t="str">
        <f>IF(H4540="","",IF($C$29="상세법",FPV(H4540,K4540),IF(H4540="EI",4,IF(H4540="EO",5.2,IF(H4540="EQ",3.9,IF(H4540="ILF",7.5,IF(H4540="EIF",5.4)))))))</f>
        <v/>
      </c>
      <c r="M4540" s="112" t="str">
        <f t="shared" si="74"/>
        <v/>
      </c>
      <c r="N4540" s="113"/>
    </row>
    <row r="4541" spans="2:14">
      <c r="B4541" s="105"/>
      <c r="C4541" s="106"/>
      <c r="D4541" s="107"/>
      <c r="E4541" s="65"/>
      <c r="F4541" s="64"/>
      <c r="G4541" s="64"/>
      <c r="H4541" s="64"/>
      <c r="I4541" s="70"/>
      <c r="J4541" s="70"/>
      <c r="K4541" s="110" t="str">
        <f>IF(H4541="","",IF($C$29="간이법","",FPR(H4541,I4541,J4541)))</f>
        <v/>
      </c>
      <c r="L4541" s="111" t="str">
        <f>IF(H4541="","",IF($C$29="상세법",FPV(H4541,K4541),IF(H4541="EI",4,IF(H4541="EO",5.2,IF(H4541="EQ",3.9,IF(H4541="ILF",7.5,IF(H4541="EIF",5.4)))))))</f>
        <v/>
      </c>
      <c r="M4541" s="112" t="str">
        <f t="shared" si="74"/>
        <v/>
      </c>
      <c r="N4541" s="113"/>
    </row>
    <row r="4542" spans="2:14">
      <c r="B4542" s="105"/>
      <c r="C4542" s="106"/>
      <c r="D4542" s="107"/>
      <c r="E4542" s="65"/>
      <c r="F4542" s="64"/>
      <c r="G4542" s="64"/>
      <c r="H4542" s="64"/>
      <c r="I4542" s="70"/>
      <c r="J4542" s="70"/>
      <c r="K4542" s="110" t="str">
        <f>IF(H4542="","",IF($C$29="간이법","",FPR(H4542,I4542,J4542)))</f>
        <v/>
      </c>
      <c r="L4542" s="111" t="str">
        <f>IF(H4542="","",IF($C$29="상세법",FPV(H4542,K4542),IF(H4542="EI",4,IF(H4542="EO",5.2,IF(H4542="EQ",3.9,IF(H4542="ILF",7.5,IF(H4542="EIF",5.4)))))))</f>
        <v/>
      </c>
      <c r="M4542" s="112" t="str">
        <f t="shared" si="74"/>
        <v/>
      </c>
      <c r="N4542" s="113"/>
    </row>
    <row r="4543" spans="2:14">
      <c r="B4543" s="105"/>
      <c r="C4543" s="106"/>
      <c r="D4543" s="107"/>
      <c r="E4543" s="65"/>
      <c r="F4543" s="64"/>
      <c r="G4543" s="64"/>
      <c r="H4543" s="64"/>
      <c r="I4543" s="70"/>
      <c r="J4543" s="70"/>
      <c r="K4543" s="110" t="str">
        <f>IF(H4543="","",IF($C$29="간이법","",FPR(H4543,I4543,J4543)))</f>
        <v/>
      </c>
      <c r="L4543" s="111" t="str">
        <f>IF(H4543="","",IF($C$29="상세법",FPV(H4543,K4543),IF(H4543="EI",4,IF(H4543="EO",5.2,IF(H4543="EQ",3.9,IF(H4543="ILF",7.5,IF(H4543="EIF",5.4)))))))</f>
        <v/>
      </c>
      <c r="M4543" s="112" t="str">
        <f t="shared" si="74"/>
        <v/>
      </c>
      <c r="N4543" s="113"/>
    </row>
    <row r="4544" spans="2:14">
      <c r="B4544" s="105"/>
      <c r="C4544" s="106"/>
      <c r="D4544" s="107"/>
      <c r="E4544" s="65"/>
      <c r="F4544" s="64"/>
      <c r="G4544" s="64"/>
      <c r="H4544" s="64"/>
      <c r="I4544" s="70"/>
      <c r="J4544" s="70"/>
      <c r="K4544" s="110" t="str">
        <f>IF(H4544="","",IF($C$29="간이법","",FPR(H4544,I4544,J4544)))</f>
        <v/>
      </c>
      <c r="L4544" s="111" t="str">
        <f>IF(H4544="","",IF($C$29="상세법",FPV(H4544,K4544),IF(H4544="EI",4,IF(H4544="EO",5.2,IF(H4544="EQ",3.9,IF(H4544="ILF",7.5,IF(H4544="EIF",5.4)))))))</f>
        <v/>
      </c>
      <c r="M4544" s="112" t="str">
        <f t="shared" si="74"/>
        <v/>
      </c>
      <c r="N4544" s="113"/>
    </row>
    <row r="4545" spans="2:14">
      <c r="B4545" s="105"/>
      <c r="C4545" s="106"/>
      <c r="D4545" s="107"/>
      <c r="E4545" s="65"/>
      <c r="F4545" s="64"/>
      <c r="G4545" s="64"/>
      <c r="H4545" s="64"/>
      <c r="I4545" s="70"/>
      <c r="J4545" s="70"/>
      <c r="K4545" s="110" t="str">
        <f>IF(H4545="","",IF($C$29="간이법","",FPR(H4545,I4545,J4545)))</f>
        <v/>
      </c>
      <c r="L4545" s="111" t="str">
        <f>IF(H4545="","",IF($C$29="상세법",FPV(H4545,K4545),IF(H4545="EI",4,IF(H4545="EO",5.2,IF(H4545="EQ",3.9,IF(H4545="ILF",7.5,IF(H4545="EIF",5.4)))))))</f>
        <v/>
      </c>
      <c r="M4545" s="112" t="str">
        <f t="shared" si="74"/>
        <v/>
      </c>
      <c r="N4545" s="113"/>
    </row>
    <row r="4546" spans="2:14">
      <c r="B4546" s="105"/>
      <c r="C4546" s="106"/>
      <c r="D4546" s="107"/>
      <c r="E4546" s="65"/>
      <c r="F4546" s="64"/>
      <c r="G4546" s="64"/>
      <c r="H4546" s="64"/>
      <c r="I4546" s="70"/>
      <c r="J4546" s="70"/>
      <c r="K4546" s="110" t="str">
        <f>IF(H4546="","",IF($C$29="간이법","",FPR(H4546,I4546,J4546)))</f>
        <v/>
      </c>
      <c r="L4546" s="111" t="str">
        <f>IF(H4546="","",IF($C$29="상세법",FPV(H4546,K4546),IF(H4546="EI",4,IF(H4546="EO",5.2,IF(H4546="EQ",3.9,IF(H4546="ILF",7.5,IF(H4546="EIF",5.4)))))))</f>
        <v/>
      </c>
      <c r="M4546" s="112" t="str">
        <f t="shared" si="74"/>
        <v/>
      </c>
      <c r="N4546" s="113"/>
    </row>
    <row r="4547" spans="2:14">
      <c r="B4547" s="105"/>
      <c r="C4547" s="106"/>
      <c r="D4547" s="107"/>
      <c r="E4547" s="65"/>
      <c r="F4547" s="64"/>
      <c r="G4547" s="64"/>
      <c r="H4547" s="64"/>
      <c r="I4547" s="70"/>
      <c r="J4547" s="70"/>
      <c r="K4547" s="110" t="str">
        <f>IF(H4547="","",IF($C$29="간이법","",FPR(H4547,I4547,J4547)))</f>
        <v/>
      </c>
      <c r="L4547" s="111" t="str">
        <f>IF(H4547="","",IF($C$29="상세법",FPV(H4547,K4547),IF(H4547="EI",4,IF(H4547="EO",5.2,IF(H4547="EQ",3.9,IF(H4547="ILF",7.5,IF(H4547="EIF",5.4)))))))</f>
        <v/>
      </c>
      <c r="M4547" s="112" t="str">
        <f t="shared" si="74"/>
        <v/>
      </c>
      <c r="N4547" s="113"/>
    </row>
    <row r="4548" spans="2:14">
      <c r="B4548" s="105"/>
      <c r="C4548" s="106"/>
      <c r="D4548" s="107"/>
      <c r="E4548" s="65"/>
      <c r="F4548" s="64"/>
      <c r="G4548" s="64"/>
      <c r="H4548" s="64"/>
      <c r="I4548" s="70"/>
      <c r="J4548" s="70"/>
      <c r="K4548" s="110" t="str">
        <f>IF(H4548="","",IF($C$29="간이법","",FPR(H4548,I4548,J4548)))</f>
        <v/>
      </c>
      <c r="L4548" s="111" t="str">
        <f>IF(H4548="","",IF($C$29="상세법",FPV(H4548,K4548),IF(H4548="EI",4,IF(H4548="EO",5.2,IF(H4548="EQ",3.9,IF(H4548="ILF",7.5,IF(H4548="EIF",5.4)))))))</f>
        <v/>
      </c>
      <c r="M4548" s="112" t="str">
        <f t="shared" si="74"/>
        <v/>
      </c>
      <c r="N4548" s="113"/>
    </row>
    <row r="4549" spans="2:14">
      <c r="B4549" s="105"/>
      <c r="C4549" s="106"/>
      <c r="D4549" s="107"/>
      <c r="E4549" s="65"/>
      <c r="F4549" s="64"/>
      <c r="G4549" s="64"/>
      <c r="H4549" s="64"/>
      <c r="I4549" s="70"/>
      <c r="J4549" s="70"/>
      <c r="K4549" s="110" t="str">
        <f>IF(H4549="","",IF($C$29="간이법","",FPR(H4549,I4549,J4549)))</f>
        <v/>
      </c>
      <c r="L4549" s="111" t="str">
        <f>IF(H4549="","",IF($C$29="상세법",FPV(H4549,K4549),IF(H4549="EI",4,IF(H4549="EO",5.2,IF(H4549="EQ",3.9,IF(H4549="ILF",7.5,IF(H4549="EIF",5.4)))))))</f>
        <v/>
      </c>
      <c r="M4549" s="112" t="str">
        <f t="shared" si="74"/>
        <v/>
      </c>
      <c r="N4549" s="113"/>
    </row>
    <row r="4550" spans="2:14">
      <c r="B4550" s="105"/>
      <c r="C4550" s="106"/>
      <c r="D4550" s="107"/>
      <c r="E4550" s="65"/>
      <c r="F4550" s="64"/>
      <c r="G4550" s="64"/>
      <c r="H4550" s="64"/>
      <c r="I4550" s="70"/>
      <c r="J4550" s="70"/>
      <c r="K4550" s="110" t="str">
        <f>IF(H4550="","",IF($C$29="간이법","",FPR(H4550,I4550,J4550)))</f>
        <v/>
      </c>
      <c r="L4550" s="111" t="str">
        <f>IF(H4550="","",IF($C$29="상세법",FPV(H4550,K4550),IF(H4550="EI",4,IF(H4550="EO",5.2,IF(H4550="EQ",3.9,IF(H4550="ILF",7.5,IF(H4550="EIF",5.4)))))))</f>
        <v/>
      </c>
      <c r="M4550" s="112" t="str">
        <f t="shared" si="74"/>
        <v/>
      </c>
      <c r="N4550" s="113"/>
    </row>
    <row r="4551" spans="2:14">
      <c r="B4551" s="105"/>
      <c r="C4551" s="106"/>
      <c r="D4551" s="107"/>
      <c r="E4551" s="65"/>
      <c r="F4551" s="64"/>
      <c r="G4551" s="64"/>
      <c r="H4551" s="64"/>
      <c r="I4551" s="70"/>
      <c r="J4551" s="70"/>
      <c r="K4551" s="110" t="str">
        <f>IF(H4551="","",IF($C$29="간이법","",FPR(H4551,I4551,J4551)))</f>
        <v/>
      </c>
      <c r="L4551" s="111" t="str">
        <f>IF(H4551="","",IF($C$29="상세법",FPV(H4551,K4551),IF(H4551="EI",4,IF(H4551="EO",5.2,IF(H4551="EQ",3.9,IF(H4551="ILF",7.5,IF(H4551="EIF",5.4)))))))</f>
        <v/>
      </c>
      <c r="M4551" s="112" t="str">
        <f t="shared" si="74"/>
        <v/>
      </c>
      <c r="N4551" s="113"/>
    </row>
    <row r="4552" spans="2:14">
      <c r="B4552" s="105"/>
      <c r="C4552" s="106"/>
      <c r="D4552" s="107"/>
      <c r="E4552" s="65"/>
      <c r="F4552" s="64"/>
      <c r="G4552" s="64"/>
      <c r="H4552" s="64"/>
      <c r="I4552" s="70"/>
      <c r="J4552" s="70"/>
      <c r="K4552" s="110" t="str">
        <f>IF(H4552="","",IF($C$29="간이법","",FPR(H4552,I4552,J4552)))</f>
        <v/>
      </c>
      <c r="L4552" s="111" t="str">
        <f>IF(H4552="","",IF($C$29="상세법",FPV(H4552,K4552),IF(H4552="EI",4,IF(H4552="EO",5.2,IF(H4552="EQ",3.9,IF(H4552="ILF",7.5,IF(H4552="EIF",5.4)))))))</f>
        <v/>
      </c>
      <c r="M4552" s="112" t="str">
        <f t="shared" si="74"/>
        <v/>
      </c>
      <c r="N4552" s="113"/>
    </row>
    <row r="4553" spans="2:14">
      <c r="B4553" s="105"/>
      <c r="C4553" s="106"/>
      <c r="D4553" s="107"/>
      <c r="E4553" s="65"/>
      <c r="F4553" s="64"/>
      <c r="G4553" s="64"/>
      <c r="H4553" s="64"/>
      <c r="I4553" s="70"/>
      <c r="J4553" s="70"/>
      <c r="K4553" s="110" t="str">
        <f>IF(H4553="","",IF($C$29="간이법","",FPR(H4553,I4553,J4553)))</f>
        <v/>
      </c>
      <c r="L4553" s="111" t="str">
        <f>IF(H4553="","",IF($C$29="상세법",FPV(H4553,K4553),IF(H4553="EI",4,IF(H4553="EO",5.2,IF(H4553="EQ",3.9,IF(H4553="ILF",7.5,IF(H4553="EIF",5.4)))))))</f>
        <v/>
      </c>
      <c r="M4553" s="112" t="str">
        <f t="shared" si="74"/>
        <v/>
      </c>
      <c r="N4553" s="113"/>
    </row>
    <row r="4554" spans="2:14">
      <c r="B4554" s="105"/>
      <c r="C4554" s="106"/>
      <c r="D4554" s="107"/>
      <c r="E4554" s="65"/>
      <c r="F4554" s="64"/>
      <c r="G4554" s="64"/>
      <c r="H4554" s="64"/>
      <c r="I4554" s="70"/>
      <c r="J4554" s="70"/>
      <c r="K4554" s="110" t="str">
        <f>IF(H4554="","",IF($C$29="간이법","",FPR(H4554,I4554,J4554)))</f>
        <v/>
      </c>
      <c r="L4554" s="111" t="str">
        <f>IF(H4554="","",IF($C$29="상세법",FPV(H4554,K4554),IF(H4554="EI",4,IF(H4554="EO",5.2,IF(H4554="EQ",3.9,IF(H4554="ILF",7.5,IF(H4554="EIF",5.4)))))))</f>
        <v/>
      </c>
      <c r="M4554" s="112" t="str">
        <f t="shared" si="74"/>
        <v/>
      </c>
      <c r="N4554" s="113"/>
    </row>
    <row r="4555" spans="2:14">
      <c r="B4555" s="105"/>
      <c r="C4555" s="106"/>
      <c r="D4555" s="107"/>
      <c r="E4555" s="65"/>
      <c r="F4555" s="64"/>
      <c r="G4555" s="64"/>
      <c r="H4555" s="64"/>
      <c r="I4555" s="70"/>
      <c r="J4555" s="70"/>
      <c r="K4555" s="110" t="str">
        <f>IF(H4555="","",IF($C$29="간이법","",FPR(H4555,I4555,J4555)))</f>
        <v/>
      </c>
      <c r="L4555" s="111" t="str">
        <f>IF(H4555="","",IF($C$29="상세법",FPV(H4555,K4555),IF(H4555="EI",4,IF(H4555="EO",5.2,IF(H4555="EQ",3.9,IF(H4555="ILF",7.5,IF(H4555="EIF",5.4)))))))</f>
        <v/>
      </c>
      <c r="M4555" s="112" t="str">
        <f t="shared" si="74"/>
        <v/>
      </c>
      <c r="N4555" s="113"/>
    </row>
    <row r="4556" spans="2:14">
      <c r="B4556" s="105"/>
      <c r="C4556" s="106"/>
      <c r="D4556" s="107"/>
      <c r="E4556" s="65"/>
      <c r="F4556" s="64"/>
      <c r="G4556" s="64"/>
      <c r="H4556" s="64"/>
      <c r="I4556" s="70"/>
      <c r="J4556" s="70"/>
      <c r="K4556" s="110" t="str">
        <f>IF(H4556="","",IF($C$29="간이법","",FPR(H4556,I4556,J4556)))</f>
        <v/>
      </c>
      <c r="L4556" s="111" t="str">
        <f>IF(H4556="","",IF($C$29="상세법",FPV(H4556,K4556),IF(H4556="EI",4,IF(H4556="EO",5.2,IF(H4556="EQ",3.9,IF(H4556="ILF",7.5,IF(H4556="EIF",5.4)))))))</f>
        <v/>
      </c>
      <c r="M4556" s="112" t="str">
        <f t="shared" si="74"/>
        <v/>
      </c>
      <c r="N4556" s="113"/>
    </row>
    <row r="4557" spans="2:14">
      <c r="B4557" s="105"/>
      <c r="C4557" s="106"/>
      <c r="D4557" s="107"/>
      <c r="E4557" s="65"/>
      <c r="F4557" s="64"/>
      <c r="G4557" s="64"/>
      <c r="H4557" s="64"/>
      <c r="I4557" s="70"/>
      <c r="J4557" s="70"/>
      <c r="K4557" s="110" t="str">
        <f>IF(H4557="","",IF($C$29="간이법","",FPR(H4557,I4557,J4557)))</f>
        <v/>
      </c>
      <c r="L4557" s="111" t="str">
        <f>IF(H4557="","",IF($C$29="상세법",FPV(H4557,K4557),IF(H4557="EI",4,IF(H4557="EO",5.2,IF(H4557="EQ",3.9,IF(H4557="ILF",7.5,IF(H4557="EIF",5.4)))))))</f>
        <v/>
      </c>
      <c r="M4557" s="112" t="str">
        <f t="shared" si="74"/>
        <v/>
      </c>
      <c r="N4557" s="113"/>
    </row>
    <row r="4558" spans="2:14">
      <c r="B4558" s="105"/>
      <c r="C4558" s="106"/>
      <c r="D4558" s="107"/>
      <c r="E4558" s="65"/>
      <c r="F4558" s="64"/>
      <c r="G4558" s="64"/>
      <c r="H4558" s="64"/>
      <c r="I4558" s="70"/>
      <c r="J4558" s="70"/>
      <c r="K4558" s="110" t="str">
        <f>IF(H4558="","",IF($C$29="간이법","",FPR(H4558,I4558,J4558)))</f>
        <v/>
      </c>
      <c r="L4558" s="111" t="str">
        <f>IF(H4558="","",IF($C$29="상세법",FPV(H4558,K4558),IF(H4558="EI",4,IF(H4558="EO",5.2,IF(H4558="EQ",3.9,IF(H4558="ILF",7.5,IF(H4558="EIF",5.4)))))))</f>
        <v/>
      </c>
      <c r="M4558" s="112" t="str">
        <f t="shared" si="74"/>
        <v/>
      </c>
      <c r="N4558" s="113"/>
    </row>
    <row r="4559" spans="2:14">
      <c r="B4559" s="105"/>
      <c r="C4559" s="106"/>
      <c r="D4559" s="107"/>
      <c r="E4559" s="65"/>
      <c r="F4559" s="64"/>
      <c r="G4559" s="64"/>
      <c r="H4559" s="64"/>
      <c r="I4559" s="70"/>
      <c r="J4559" s="70"/>
      <c r="K4559" s="110" t="str">
        <f>IF(H4559="","",IF($C$29="간이법","",FPR(H4559,I4559,J4559)))</f>
        <v/>
      </c>
      <c r="L4559" s="111" t="str">
        <f>IF(H4559="","",IF($C$29="상세법",FPV(H4559,K4559),IF(H4559="EI",4,IF(H4559="EO",5.2,IF(H4559="EQ",3.9,IF(H4559="ILF",7.5,IF(H4559="EIF",5.4)))))))</f>
        <v/>
      </c>
      <c r="M4559" s="112" t="str">
        <f t="shared" si="74"/>
        <v/>
      </c>
      <c r="N4559" s="113"/>
    </row>
    <row r="4560" spans="2:14">
      <c r="B4560" s="105"/>
      <c r="C4560" s="106"/>
      <c r="D4560" s="107"/>
      <c r="E4560" s="65"/>
      <c r="F4560" s="64"/>
      <c r="G4560" s="64"/>
      <c r="H4560" s="64"/>
      <c r="I4560" s="70"/>
      <c r="J4560" s="70"/>
      <c r="K4560" s="110" t="str">
        <f>IF(H4560="","",IF($C$29="간이법","",FPR(H4560,I4560,J4560)))</f>
        <v/>
      </c>
      <c r="L4560" s="111" t="str">
        <f>IF(H4560="","",IF($C$29="상세법",FPV(H4560,K4560),IF(H4560="EI",4,IF(H4560="EO",5.2,IF(H4560="EQ",3.9,IF(H4560="ILF",7.5,IF(H4560="EIF",5.4)))))))</f>
        <v/>
      </c>
      <c r="M4560" s="112" t="str">
        <f t="shared" si="74"/>
        <v/>
      </c>
      <c r="N4560" s="113"/>
    </row>
    <row r="4561" spans="2:14">
      <c r="B4561" s="105"/>
      <c r="C4561" s="106"/>
      <c r="D4561" s="107"/>
      <c r="E4561" s="65"/>
      <c r="F4561" s="64"/>
      <c r="G4561" s="64"/>
      <c r="H4561" s="64"/>
      <c r="I4561" s="70"/>
      <c r="J4561" s="70"/>
      <c r="K4561" s="110" t="str">
        <f>IF(H4561="","",IF($C$29="간이법","",FPR(H4561,I4561,J4561)))</f>
        <v/>
      </c>
      <c r="L4561" s="111" t="str">
        <f>IF(H4561="","",IF($C$29="상세법",FPV(H4561,K4561),IF(H4561="EI",4,IF(H4561="EO",5.2,IF(H4561="EQ",3.9,IF(H4561="ILF",7.5,IF(H4561="EIF",5.4)))))))</f>
        <v/>
      </c>
      <c r="M4561" s="112" t="str">
        <f t="shared" si="74"/>
        <v/>
      </c>
      <c r="N4561" s="113"/>
    </row>
    <row r="4562" spans="2:14">
      <c r="B4562" s="105"/>
      <c r="C4562" s="106"/>
      <c r="D4562" s="107"/>
      <c r="E4562" s="65"/>
      <c r="F4562" s="64"/>
      <c r="G4562" s="64"/>
      <c r="H4562" s="64"/>
      <c r="I4562" s="70"/>
      <c r="J4562" s="70"/>
      <c r="K4562" s="110" t="str">
        <f>IF(H4562="","",IF($C$29="간이법","",FPR(H4562,I4562,J4562)))</f>
        <v/>
      </c>
      <c r="L4562" s="111" t="str">
        <f>IF(H4562="","",IF($C$29="상세법",FPV(H4562,K4562),IF(H4562="EI",4,IF(H4562="EO",5.2,IF(H4562="EQ",3.9,IF(H4562="ILF",7.5,IF(H4562="EIF",5.4)))))))</f>
        <v/>
      </c>
      <c r="M4562" s="112" t="str">
        <f t="shared" si="74"/>
        <v/>
      </c>
      <c r="N4562" s="113"/>
    </row>
    <row r="4563" spans="2:14">
      <c r="B4563" s="105"/>
      <c r="C4563" s="106"/>
      <c r="D4563" s="107"/>
      <c r="E4563" s="65"/>
      <c r="F4563" s="64"/>
      <c r="G4563" s="64"/>
      <c r="H4563" s="64"/>
      <c r="I4563" s="70"/>
      <c r="J4563" s="70"/>
      <c r="K4563" s="110" t="str">
        <f>IF(H4563="","",IF($C$29="간이법","",FPR(H4563,I4563,J4563)))</f>
        <v/>
      </c>
      <c r="L4563" s="111" t="str">
        <f>IF(H4563="","",IF($C$29="상세법",FPV(H4563,K4563),IF(H4563="EI",4,IF(H4563="EO",5.2,IF(H4563="EQ",3.9,IF(H4563="ILF",7.5,IF(H4563="EIF",5.4)))))))</f>
        <v/>
      </c>
      <c r="M4563" s="112" t="str">
        <f t="shared" si="74"/>
        <v/>
      </c>
      <c r="N4563" s="113"/>
    </row>
    <row r="4564" spans="2:14">
      <c r="B4564" s="105"/>
      <c r="C4564" s="106"/>
      <c r="D4564" s="107"/>
      <c r="E4564" s="65"/>
      <c r="F4564" s="64"/>
      <c r="G4564" s="64"/>
      <c r="H4564" s="64"/>
      <c r="I4564" s="70"/>
      <c r="J4564" s="70"/>
      <c r="K4564" s="110" t="str">
        <f>IF(H4564="","",IF($C$29="간이법","",FPR(H4564,I4564,J4564)))</f>
        <v/>
      </c>
      <c r="L4564" s="111" t="str">
        <f>IF(H4564="","",IF($C$29="상세법",FPV(H4564,K4564),IF(H4564="EI",4,IF(H4564="EO",5.2,IF(H4564="EQ",3.9,IF(H4564="ILF",7.5,IF(H4564="EIF",5.4)))))))</f>
        <v/>
      </c>
      <c r="M4564" s="112" t="str">
        <f t="shared" si="74"/>
        <v/>
      </c>
      <c r="N4564" s="113"/>
    </row>
    <row r="4565" spans="2:14">
      <c r="B4565" s="105"/>
      <c r="C4565" s="106"/>
      <c r="D4565" s="107"/>
      <c r="E4565" s="65"/>
      <c r="F4565" s="64"/>
      <c r="G4565" s="64"/>
      <c r="H4565" s="64"/>
      <c r="I4565" s="70"/>
      <c r="J4565" s="70"/>
      <c r="K4565" s="110" t="str">
        <f>IF(H4565="","",IF($C$29="간이법","",FPR(H4565,I4565,J4565)))</f>
        <v/>
      </c>
      <c r="L4565" s="111" t="str">
        <f>IF(H4565="","",IF($C$29="상세법",FPV(H4565,K4565),IF(H4565="EI",4,IF(H4565="EO",5.2,IF(H4565="EQ",3.9,IF(H4565="ILF",7.5,IF(H4565="EIF",5.4)))))))</f>
        <v/>
      </c>
      <c r="M4565" s="112" t="str">
        <f t="shared" si="74"/>
        <v/>
      </c>
      <c r="N4565" s="113"/>
    </row>
    <row r="4566" spans="2:14">
      <c r="B4566" s="105"/>
      <c r="C4566" s="106"/>
      <c r="D4566" s="107"/>
      <c r="E4566" s="65"/>
      <c r="F4566" s="64"/>
      <c r="G4566" s="64"/>
      <c r="H4566" s="64"/>
      <c r="I4566" s="70"/>
      <c r="J4566" s="70"/>
      <c r="K4566" s="110" t="str">
        <f>IF(H4566="","",IF($C$29="간이법","",FPR(H4566,I4566,J4566)))</f>
        <v/>
      </c>
      <c r="L4566" s="111" t="str">
        <f>IF(H4566="","",IF($C$29="상세법",FPV(H4566,K4566),IF(H4566="EI",4,IF(H4566="EO",5.2,IF(H4566="EQ",3.9,IF(H4566="ILF",7.5,IF(H4566="EIF",5.4)))))))</f>
        <v/>
      </c>
      <c r="M4566" s="112" t="str">
        <f t="shared" si="74"/>
        <v/>
      </c>
      <c r="N4566" s="113"/>
    </row>
    <row r="4567" spans="2:14">
      <c r="B4567" s="105"/>
      <c r="C4567" s="106"/>
      <c r="D4567" s="107"/>
      <c r="E4567" s="65"/>
      <c r="F4567" s="64"/>
      <c r="G4567" s="64"/>
      <c r="H4567" s="64"/>
      <c r="I4567" s="70"/>
      <c r="J4567" s="70"/>
      <c r="K4567" s="110" t="str">
        <f>IF(H4567="","",IF($C$29="간이법","",FPR(H4567,I4567,J4567)))</f>
        <v/>
      </c>
      <c r="L4567" s="111" t="str">
        <f>IF(H4567="","",IF($C$29="상세법",FPV(H4567,K4567),IF(H4567="EI",4,IF(H4567="EO",5.2,IF(H4567="EQ",3.9,IF(H4567="ILF",7.5,IF(H4567="EIF",5.4)))))))</f>
        <v/>
      </c>
      <c r="M4567" s="112" t="str">
        <f t="shared" si="74"/>
        <v/>
      </c>
      <c r="N4567" s="113"/>
    </row>
    <row r="4568" spans="2:14">
      <c r="B4568" s="105"/>
      <c r="C4568" s="106"/>
      <c r="D4568" s="107"/>
      <c r="E4568" s="65"/>
      <c r="F4568" s="64"/>
      <c r="G4568" s="64"/>
      <c r="H4568" s="64"/>
      <c r="I4568" s="70"/>
      <c r="J4568" s="70"/>
      <c r="K4568" s="110" t="str">
        <f>IF(H4568="","",IF($C$29="간이법","",FPR(H4568,I4568,J4568)))</f>
        <v/>
      </c>
      <c r="L4568" s="111" t="str">
        <f>IF(H4568="","",IF($C$29="상세법",FPV(H4568,K4568),IF(H4568="EI",4,IF(H4568="EO",5.2,IF(H4568="EQ",3.9,IF(H4568="ILF",7.5,IF(H4568="EIF",5.4)))))))</f>
        <v/>
      </c>
      <c r="M4568" s="112" t="str">
        <f t="shared" si="74"/>
        <v/>
      </c>
      <c r="N4568" s="113"/>
    </row>
    <row r="4569" spans="2:14">
      <c r="B4569" s="105"/>
      <c r="C4569" s="106"/>
      <c r="D4569" s="107"/>
      <c r="E4569" s="65"/>
      <c r="F4569" s="64"/>
      <c r="G4569" s="64"/>
      <c r="H4569" s="64"/>
      <c r="I4569" s="70"/>
      <c r="J4569" s="70"/>
      <c r="K4569" s="110" t="str">
        <f>IF(H4569="","",IF($C$29="간이법","",FPR(H4569,I4569,J4569)))</f>
        <v/>
      </c>
      <c r="L4569" s="111" t="str">
        <f>IF(H4569="","",IF($C$29="상세법",FPV(H4569,K4569),IF(H4569="EI",4,IF(H4569="EO",5.2,IF(H4569="EQ",3.9,IF(H4569="ILF",7.5,IF(H4569="EIF",5.4)))))))</f>
        <v/>
      </c>
      <c r="M4569" s="112" t="str">
        <f t="shared" si="74"/>
        <v/>
      </c>
      <c r="N4569" s="113"/>
    </row>
    <row r="4570" spans="2:14">
      <c r="B4570" s="105"/>
      <c r="C4570" s="106"/>
      <c r="D4570" s="107"/>
      <c r="E4570" s="65"/>
      <c r="F4570" s="64"/>
      <c r="G4570" s="64"/>
      <c r="H4570" s="64"/>
      <c r="I4570" s="70"/>
      <c r="J4570" s="70"/>
      <c r="K4570" s="110" t="str">
        <f>IF(H4570="","",IF($C$29="간이법","",FPR(H4570,I4570,J4570)))</f>
        <v/>
      </c>
      <c r="L4570" s="111" t="str">
        <f>IF(H4570="","",IF($C$29="상세법",FPV(H4570,K4570),IF(H4570="EI",4,IF(H4570="EO",5.2,IF(H4570="EQ",3.9,IF(H4570="ILF",7.5,IF(H4570="EIF",5.4)))))))</f>
        <v/>
      </c>
      <c r="M4570" s="112" t="str">
        <f t="shared" si="74"/>
        <v/>
      </c>
      <c r="N4570" s="113"/>
    </row>
    <row r="4571" spans="2:14">
      <c r="B4571" s="105"/>
      <c r="C4571" s="106"/>
      <c r="D4571" s="107"/>
      <c r="E4571" s="65"/>
      <c r="F4571" s="64"/>
      <c r="G4571" s="64"/>
      <c r="H4571" s="64"/>
      <c r="I4571" s="70"/>
      <c r="J4571" s="70"/>
      <c r="K4571" s="110" t="str">
        <f>IF(H4571="","",IF($C$29="간이법","",FPR(H4571,I4571,J4571)))</f>
        <v/>
      </c>
      <c r="L4571" s="111" t="str">
        <f>IF(H4571="","",IF($C$29="상세법",FPV(H4571,K4571),IF(H4571="EI",4,IF(H4571="EO",5.2,IF(H4571="EQ",3.9,IF(H4571="ILF",7.5,IF(H4571="EIF",5.4)))))))</f>
        <v/>
      </c>
      <c r="M4571" s="112" t="str">
        <f t="shared" si="74"/>
        <v/>
      </c>
      <c r="N4571" s="113"/>
    </row>
    <row r="4572" spans="2:14">
      <c r="B4572" s="105"/>
      <c r="C4572" s="106"/>
      <c r="D4572" s="107"/>
      <c r="E4572" s="65"/>
      <c r="F4572" s="64"/>
      <c r="G4572" s="64"/>
      <c r="H4572" s="64"/>
      <c r="I4572" s="70"/>
      <c r="J4572" s="70"/>
      <c r="K4572" s="110" t="str">
        <f>IF(H4572="","",IF($C$29="간이법","",FPR(H4572,I4572,J4572)))</f>
        <v/>
      </c>
      <c r="L4572" s="111" t="str">
        <f>IF(H4572="","",IF($C$29="상세법",FPV(H4572,K4572),IF(H4572="EI",4,IF(H4572="EO",5.2,IF(H4572="EQ",3.9,IF(H4572="ILF",7.5,IF(H4572="EIF",5.4)))))))</f>
        <v/>
      </c>
      <c r="M4572" s="112" t="str">
        <f t="shared" si="74"/>
        <v/>
      </c>
      <c r="N4572" s="113"/>
    </row>
    <row r="4573" spans="2:14">
      <c r="B4573" s="105"/>
      <c r="C4573" s="106"/>
      <c r="D4573" s="107"/>
      <c r="E4573" s="65"/>
      <c r="F4573" s="64"/>
      <c r="G4573" s="64"/>
      <c r="H4573" s="64"/>
      <c r="I4573" s="70"/>
      <c r="J4573" s="70"/>
      <c r="K4573" s="110" t="str">
        <f>IF(H4573="","",IF($C$29="간이법","",FPR(H4573,I4573,J4573)))</f>
        <v/>
      </c>
      <c r="L4573" s="111" t="str">
        <f>IF(H4573="","",IF($C$29="상세법",FPV(H4573,K4573),IF(H4573="EI",4,IF(H4573="EO",5.2,IF(H4573="EQ",3.9,IF(H4573="ILF",7.5,IF(H4573="EIF",5.4)))))))</f>
        <v/>
      </c>
      <c r="M4573" s="112" t="str">
        <f t="shared" si="74"/>
        <v/>
      </c>
      <c r="N4573" s="113"/>
    </row>
    <row r="4574" spans="2:14">
      <c r="B4574" s="105"/>
      <c r="C4574" s="106"/>
      <c r="D4574" s="107"/>
      <c r="E4574" s="65"/>
      <c r="F4574" s="64"/>
      <c r="G4574" s="64"/>
      <c r="H4574" s="64"/>
      <c r="I4574" s="70"/>
      <c r="J4574" s="70"/>
      <c r="K4574" s="110" t="str">
        <f>IF(H4574="","",IF($C$29="간이법","",FPR(H4574,I4574,J4574)))</f>
        <v/>
      </c>
      <c r="L4574" s="111" t="str">
        <f>IF(H4574="","",IF($C$29="상세법",FPV(H4574,K4574),IF(H4574="EI",4,IF(H4574="EO",5.2,IF(H4574="EQ",3.9,IF(H4574="ILF",7.5,IF(H4574="EIF",5.4)))))))</f>
        <v/>
      </c>
      <c r="M4574" s="112" t="str">
        <f t="shared" si="74"/>
        <v/>
      </c>
      <c r="N4574" s="113"/>
    </row>
    <row r="4575" spans="2:14">
      <c r="B4575" s="105"/>
      <c r="C4575" s="106"/>
      <c r="D4575" s="107"/>
      <c r="E4575" s="65"/>
      <c r="F4575" s="64"/>
      <c r="G4575" s="64"/>
      <c r="H4575" s="64"/>
      <c r="I4575" s="70"/>
      <c r="J4575" s="70"/>
      <c r="K4575" s="110" t="str">
        <f>IF(H4575="","",IF($C$29="간이법","",FPR(H4575,I4575,J4575)))</f>
        <v/>
      </c>
      <c r="L4575" s="111" t="str">
        <f>IF(H4575="","",IF($C$29="상세법",FPV(H4575,K4575),IF(H4575="EI",4,IF(H4575="EO",5.2,IF(H4575="EQ",3.9,IF(H4575="ILF",7.5,IF(H4575="EIF",5.4)))))))</f>
        <v/>
      </c>
      <c r="M4575" s="112" t="str">
        <f t="shared" si="74"/>
        <v/>
      </c>
      <c r="N4575" s="113"/>
    </row>
    <row r="4576" spans="2:14">
      <c r="B4576" s="105"/>
      <c r="C4576" s="106"/>
      <c r="D4576" s="107"/>
      <c r="E4576" s="65"/>
      <c r="F4576" s="64"/>
      <c r="G4576" s="64"/>
      <c r="H4576" s="64"/>
      <c r="I4576" s="70"/>
      <c r="J4576" s="70"/>
      <c r="K4576" s="110" t="str">
        <f>IF(H4576="","",IF($C$29="간이법","",FPR(H4576,I4576,J4576)))</f>
        <v/>
      </c>
      <c r="L4576" s="111" t="str">
        <f>IF(H4576="","",IF($C$29="상세법",FPV(H4576,K4576),IF(H4576="EI",4,IF(H4576="EO",5.2,IF(H4576="EQ",3.9,IF(H4576="ILF",7.5,IF(H4576="EIF",5.4)))))))</f>
        <v/>
      </c>
      <c r="M4576" s="112" t="str">
        <f t="shared" si="74"/>
        <v/>
      </c>
      <c r="N4576" s="113"/>
    </row>
    <row r="4577" spans="2:14">
      <c r="B4577" s="105"/>
      <c r="C4577" s="106"/>
      <c r="D4577" s="107"/>
      <c r="E4577" s="65"/>
      <c r="F4577" s="64"/>
      <c r="G4577" s="64"/>
      <c r="H4577" s="64"/>
      <c r="I4577" s="70"/>
      <c r="J4577" s="70"/>
      <c r="K4577" s="110" t="str">
        <f>IF(H4577="","",IF($C$29="간이법","",FPR(H4577,I4577,J4577)))</f>
        <v/>
      </c>
      <c r="L4577" s="111" t="str">
        <f>IF(H4577="","",IF($C$29="상세법",FPV(H4577,K4577),IF(H4577="EI",4,IF(H4577="EO",5.2,IF(H4577="EQ",3.9,IF(H4577="ILF",7.5,IF(H4577="EIF",5.4)))))))</f>
        <v/>
      </c>
      <c r="M4577" s="112" t="str">
        <f t="shared" si="74"/>
        <v/>
      </c>
      <c r="N4577" s="113"/>
    </row>
    <row r="4578" spans="2:14">
      <c r="B4578" s="105"/>
      <c r="C4578" s="106"/>
      <c r="D4578" s="107"/>
      <c r="E4578" s="65"/>
      <c r="F4578" s="64"/>
      <c r="G4578" s="64"/>
      <c r="H4578" s="64"/>
      <c r="I4578" s="70"/>
      <c r="J4578" s="70"/>
      <c r="K4578" s="110" t="str">
        <f>IF(H4578="","",IF($C$29="간이법","",FPR(H4578,I4578,J4578)))</f>
        <v/>
      </c>
      <c r="L4578" s="111" t="str">
        <f>IF(H4578="","",IF($C$29="상세법",FPV(H4578,K4578),IF(H4578="EI",4,IF(H4578="EO",5.2,IF(H4578="EQ",3.9,IF(H4578="ILF",7.5,IF(H4578="EIF",5.4)))))))</f>
        <v/>
      </c>
      <c r="M4578" s="112" t="str">
        <f t="shared" si="74"/>
        <v/>
      </c>
      <c r="N4578" s="113"/>
    </row>
    <row r="4579" spans="2:14">
      <c r="B4579" s="105"/>
      <c r="C4579" s="106"/>
      <c r="D4579" s="107"/>
      <c r="E4579" s="65"/>
      <c r="F4579" s="64"/>
      <c r="G4579" s="64"/>
      <c r="H4579" s="64"/>
      <c r="I4579" s="70"/>
      <c r="J4579" s="70"/>
      <c r="K4579" s="110" t="str">
        <f>IF(H4579="","",IF($C$29="간이법","",FPR(H4579,I4579,J4579)))</f>
        <v/>
      </c>
      <c r="L4579" s="111" t="str">
        <f>IF(H4579="","",IF($C$29="상세법",FPV(H4579,K4579),IF(H4579="EI",4,IF(H4579="EO",5.2,IF(H4579="EQ",3.9,IF(H4579="ILF",7.5,IF(H4579="EIF",5.4)))))))</f>
        <v/>
      </c>
      <c r="M4579" s="112" t="str">
        <f t="shared" si="74"/>
        <v/>
      </c>
      <c r="N4579" s="113"/>
    </row>
    <row r="4580" spans="2:14">
      <c r="B4580" s="105"/>
      <c r="C4580" s="106"/>
      <c r="D4580" s="107"/>
      <c r="E4580" s="65"/>
      <c r="F4580" s="64"/>
      <c r="G4580" s="64"/>
      <c r="H4580" s="64"/>
      <c r="I4580" s="70"/>
      <c r="J4580" s="70"/>
      <c r="K4580" s="110" t="str">
        <f>IF(H4580="","",IF($C$29="간이법","",FPR(H4580,I4580,J4580)))</f>
        <v/>
      </c>
      <c r="L4580" s="111" t="str">
        <f>IF(H4580="","",IF($C$29="상세법",FPV(H4580,K4580),IF(H4580="EI",4,IF(H4580="EO",5.2,IF(H4580="EQ",3.9,IF(H4580="ILF",7.5,IF(H4580="EIF",5.4)))))))</f>
        <v/>
      </c>
      <c r="M4580" s="112" t="str">
        <f t="shared" si="74"/>
        <v/>
      </c>
      <c r="N4580" s="113"/>
    </row>
    <row r="4581" spans="2:14">
      <c r="B4581" s="105"/>
      <c r="C4581" s="106"/>
      <c r="D4581" s="107"/>
      <c r="E4581" s="65"/>
      <c r="F4581" s="64"/>
      <c r="G4581" s="64"/>
      <c r="H4581" s="64"/>
      <c r="I4581" s="70"/>
      <c r="J4581" s="70"/>
      <c r="K4581" s="110" t="str">
        <f>IF(H4581="","",IF($C$29="간이법","",FPR(H4581,I4581,J4581)))</f>
        <v/>
      </c>
      <c r="L4581" s="111" t="str">
        <f>IF(H4581="","",IF($C$29="상세법",FPV(H4581,K4581),IF(H4581="EI",4,IF(H4581="EO",5.2,IF(H4581="EQ",3.9,IF(H4581="ILF",7.5,IF(H4581="EIF",5.4)))))))</f>
        <v/>
      </c>
      <c r="M4581" s="112" t="str">
        <f t="shared" si="74"/>
        <v/>
      </c>
      <c r="N4581" s="113"/>
    </row>
    <row r="4582" spans="2:14">
      <c r="B4582" s="105"/>
      <c r="C4582" s="106"/>
      <c r="D4582" s="107"/>
      <c r="E4582" s="65"/>
      <c r="F4582" s="64"/>
      <c r="G4582" s="64"/>
      <c r="H4582" s="64"/>
      <c r="I4582" s="70"/>
      <c r="J4582" s="70"/>
      <c r="K4582" s="110" t="str">
        <f>IF(H4582="","",IF($C$29="간이법","",FPR(H4582,I4582,J4582)))</f>
        <v/>
      </c>
      <c r="L4582" s="111" t="str">
        <f>IF(H4582="","",IF($C$29="상세법",FPV(H4582,K4582),IF(H4582="EI",4,IF(H4582="EO",5.2,IF(H4582="EQ",3.9,IF(H4582="ILF",7.5,IF(H4582="EIF",5.4)))))))</f>
        <v/>
      </c>
      <c r="M4582" s="112" t="str">
        <f t="shared" si="74"/>
        <v/>
      </c>
      <c r="N4582" s="113"/>
    </row>
    <row r="4583" spans="2:14">
      <c r="B4583" s="105"/>
      <c r="C4583" s="106"/>
      <c r="D4583" s="107"/>
      <c r="E4583" s="65"/>
      <c r="F4583" s="64"/>
      <c r="G4583" s="64"/>
      <c r="H4583" s="64"/>
      <c r="I4583" s="70"/>
      <c r="J4583" s="70"/>
      <c r="K4583" s="110" t="str">
        <f>IF(H4583="","",IF($C$29="간이법","",FPR(H4583,I4583,J4583)))</f>
        <v/>
      </c>
      <c r="L4583" s="111" t="str">
        <f>IF(H4583="","",IF($C$29="상세법",FPV(H4583,K4583),IF(H4583="EI",4,IF(H4583="EO",5.2,IF(H4583="EQ",3.9,IF(H4583="ILF",7.5,IF(H4583="EIF",5.4)))))))</f>
        <v/>
      </c>
      <c r="M4583" s="112" t="str">
        <f t="shared" si="74"/>
        <v/>
      </c>
      <c r="N4583" s="113"/>
    </row>
    <row r="4584" spans="2:14">
      <c r="B4584" s="105"/>
      <c r="C4584" s="106"/>
      <c r="D4584" s="107"/>
      <c r="E4584" s="65"/>
      <c r="F4584" s="64"/>
      <c r="G4584" s="64"/>
      <c r="H4584" s="64"/>
      <c r="I4584" s="70"/>
      <c r="J4584" s="70"/>
      <c r="K4584" s="110" t="str">
        <f>IF(H4584="","",IF($C$29="간이법","",FPR(H4584,I4584,J4584)))</f>
        <v/>
      </c>
      <c r="L4584" s="111" t="str">
        <f>IF(H4584="","",IF($C$29="상세법",FPV(H4584,K4584),IF(H4584="EI",4,IF(H4584="EO",5.2,IF(H4584="EQ",3.9,IF(H4584="ILF",7.5,IF(H4584="EIF",5.4)))))))</f>
        <v/>
      </c>
      <c r="M4584" s="112" t="str">
        <f t="shared" si="74"/>
        <v/>
      </c>
      <c r="N4584" s="113"/>
    </row>
    <row r="4585" spans="2:14">
      <c r="B4585" s="105"/>
      <c r="C4585" s="106"/>
      <c r="D4585" s="107"/>
      <c r="E4585" s="65"/>
      <c r="F4585" s="64"/>
      <c r="G4585" s="64"/>
      <c r="H4585" s="64"/>
      <c r="I4585" s="70"/>
      <c r="J4585" s="70"/>
      <c r="K4585" s="110" t="str">
        <f>IF(H4585="","",IF($C$29="간이법","",FPR(H4585,I4585,J4585)))</f>
        <v/>
      </c>
      <c r="L4585" s="111" t="str">
        <f>IF(H4585="","",IF($C$29="상세법",FPV(H4585,K4585),IF(H4585="EI",4,IF(H4585="EO",5.2,IF(H4585="EQ",3.9,IF(H4585="ILF",7.5,IF(H4585="EIF",5.4)))))))</f>
        <v/>
      </c>
      <c r="M4585" s="112" t="str">
        <f t="shared" si="74"/>
        <v/>
      </c>
      <c r="N4585" s="113"/>
    </row>
    <row r="4586" spans="2:14">
      <c r="B4586" s="105"/>
      <c r="C4586" s="106"/>
      <c r="D4586" s="107"/>
      <c r="E4586" s="65"/>
      <c r="F4586" s="64"/>
      <c r="G4586" s="64"/>
      <c r="H4586" s="64"/>
      <c r="I4586" s="70"/>
      <c r="J4586" s="70"/>
      <c r="K4586" s="110" t="str">
        <f>IF(H4586="","",IF($C$29="간이법","",FPR(H4586,I4586,J4586)))</f>
        <v/>
      </c>
      <c r="L4586" s="111" t="str">
        <f>IF(H4586="","",IF($C$29="상세법",FPV(H4586,K4586),IF(H4586="EI",4,IF(H4586="EO",5.2,IF(H4586="EQ",3.9,IF(H4586="ILF",7.5,IF(H4586="EIF",5.4)))))))</f>
        <v/>
      </c>
      <c r="M4586" s="112" t="str">
        <f t="shared" si="74"/>
        <v/>
      </c>
      <c r="N4586" s="113"/>
    </row>
    <row r="4587" spans="2:14">
      <c r="B4587" s="105"/>
      <c r="C4587" s="106"/>
      <c r="D4587" s="107"/>
      <c r="E4587" s="65"/>
      <c r="F4587" s="64"/>
      <c r="G4587" s="64"/>
      <c r="H4587" s="64"/>
      <c r="I4587" s="70"/>
      <c r="J4587" s="70"/>
      <c r="K4587" s="110" t="str">
        <f>IF(H4587="","",IF($C$29="간이법","",FPR(H4587,I4587,J4587)))</f>
        <v/>
      </c>
      <c r="L4587" s="111" t="str">
        <f>IF(H4587="","",IF($C$29="상세법",FPV(H4587,K4587),IF(H4587="EI",4,IF(H4587="EO",5.2,IF(H4587="EQ",3.9,IF(H4587="ILF",7.5,IF(H4587="EIF",5.4)))))))</f>
        <v/>
      </c>
      <c r="M4587" s="112" t="str">
        <f t="shared" si="74"/>
        <v/>
      </c>
      <c r="N4587" s="113"/>
    </row>
    <row r="4588" spans="2:14">
      <c r="B4588" s="105"/>
      <c r="C4588" s="106"/>
      <c r="D4588" s="107"/>
      <c r="E4588" s="65"/>
      <c r="F4588" s="64"/>
      <c r="G4588" s="64"/>
      <c r="H4588" s="64"/>
      <c r="I4588" s="70"/>
      <c r="J4588" s="70"/>
      <c r="K4588" s="110" t="str">
        <f>IF(H4588="","",IF($C$29="간이법","",FPR(H4588,I4588,J4588)))</f>
        <v/>
      </c>
      <c r="L4588" s="111" t="str">
        <f>IF(H4588="","",IF($C$29="상세법",FPV(H4588,K4588),IF(H4588="EI",4,IF(H4588="EO",5.2,IF(H4588="EQ",3.9,IF(H4588="ILF",7.5,IF(H4588="EIF",5.4)))))))</f>
        <v/>
      </c>
      <c r="M4588" s="112" t="str">
        <f t="shared" si="74"/>
        <v/>
      </c>
      <c r="N4588" s="113"/>
    </row>
    <row r="4589" spans="2:14">
      <c r="B4589" s="105"/>
      <c r="C4589" s="106"/>
      <c r="D4589" s="107"/>
      <c r="E4589" s="65"/>
      <c r="F4589" s="64"/>
      <c r="G4589" s="64"/>
      <c r="H4589" s="64"/>
      <c r="I4589" s="70"/>
      <c r="J4589" s="70"/>
      <c r="K4589" s="110" t="str">
        <f>IF(H4589="","",IF($C$29="간이법","",FPR(H4589,I4589,J4589)))</f>
        <v/>
      </c>
      <c r="L4589" s="111" t="str">
        <f>IF(H4589="","",IF($C$29="상세법",FPV(H4589,K4589),IF(H4589="EI",4,IF(H4589="EO",5.2,IF(H4589="EQ",3.9,IF(H4589="ILF",7.5,IF(H4589="EIF",5.4)))))))</f>
        <v/>
      </c>
      <c r="M4589" s="112" t="str">
        <f t="shared" si="74"/>
        <v/>
      </c>
      <c r="N4589" s="113"/>
    </row>
    <row r="4590" spans="2:14">
      <c r="B4590" s="105"/>
      <c r="C4590" s="106"/>
      <c r="D4590" s="107"/>
      <c r="E4590" s="65"/>
      <c r="F4590" s="64"/>
      <c r="G4590" s="64"/>
      <c r="H4590" s="64"/>
      <c r="I4590" s="70"/>
      <c r="J4590" s="70"/>
      <c r="K4590" s="110" t="str">
        <f>IF(H4590="","",IF($C$29="간이법","",FPR(H4590,I4590,J4590)))</f>
        <v/>
      </c>
      <c r="L4590" s="111" t="str">
        <f>IF(H4590="","",IF($C$29="상세법",FPV(H4590,K4590),IF(H4590="EI",4,IF(H4590="EO",5.2,IF(H4590="EQ",3.9,IF(H4590="ILF",7.5,IF(H4590="EIF",5.4)))))))</f>
        <v/>
      </c>
      <c r="M4590" s="112" t="str">
        <f t="shared" si="74"/>
        <v/>
      </c>
      <c r="N4590" s="113"/>
    </row>
    <row r="4591" spans="2:14">
      <c r="B4591" s="105"/>
      <c r="C4591" s="106"/>
      <c r="D4591" s="107"/>
      <c r="E4591" s="65"/>
      <c r="F4591" s="64"/>
      <c r="G4591" s="64"/>
      <c r="H4591" s="64"/>
      <c r="I4591" s="70"/>
      <c r="J4591" s="70"/>
      <c r="K4591" s="110" t="str">
        <f>IF(H4591="","",IF($C$29="간이법","",FPR(H4591,I4591,J4591)))</f>
        <v/>
      </c>
      <c r="L4591" s="111" t="str">
        <f>IF(H4591="","",IF($C$29="상세법",FPV(H4591,K4591),IF(H4591="EI",4,IF(H4591="EO",5.2,IF(H4591="EQ",3.9,IF(H4591="ILF",7.5,IF(H4591="EIF",5.4)))))))</f>
        <v/>
      </c>
      <c r="M4591" s="112" t="str">
        <f t="shared" si="74"/>
        <v/>
      </c>
      <c r="N4591" s="113"/>
    </row>
    <row r="4592" spans="2:14">
      <c r="B4592" s="105"/>
      <c r="C4592" s="106"/>
      <c r="D4592" s="107"/>
      <c r="E4592" s="65"/>
      <c r="F4592" s="64"/>
      <c r="G4592" s="64"/>
      <c r="H4592" s="64"/>
      <c r="I4592" s="70"/>
      <c r="J4592" s="70"/>
      <c r="K4592" s="110" t="str">
        <f>IF(H4592="","",IF($C$29="간이법","",FPR(H4592,I4592,J4592)))</f>
        <v/>
      </c>
      <c r="L4592" s="111" t="str">
        <f>IF(H4592="","",IF($C$29="상세법",FPV(H4592,K4592),IF(H4592="EI",4,IF(H4592="EO",5.2,IF(H4592="EQ",3.9,IF(H4592="ILF",7.5,IF(H4592="EIF",5.4)))))))</f>
        <v/>
      </c>
      <c r="M4592" s="112" t="str">
        <f t="shared" si="74"/>
        <v/>
      </c>
      <c r="N4592" s="113"/>
    </row>
    <row r="4593" spans="2:14">
      <c r="B4593" s="105"/>
      <c r="C4593" s="106"/>
      <c r="D4593" s="107"/>
      <c r="E4593" s="65"/>
      <c r="F4593" s="64"/>
      <c r="G4593" s="64"/>
      <c r="H4593" s="64"/>
      <c r="I4593" s="70"/>
      <c r="J4593" s="70"/>
      <c r="K4593" s="110" t="str">
        <f>IF(H4593="","",IF($C$29="간이법","",FPR(H4593,I4593,J4593)))</f>
        <v/>
      </c>
      <c r="L4593" s="111" t="str">
        <f>IF(H4593="","",IF($C$29="상세법",FPV(H4593,K4593),IF(H4593="EI",4,IF(H4593="EO",5.2,IF(H4593="EQ",3.9,IF(H4593="ILF",7.5,IF(H4593="EIF",5.4)))))))</f>
        <v/>
      </c>
      <c r="M4593" s="112" t="str">
        <f t="shared" si="74"/>
        <v/>
      </c>
      <c r="N4593" s="113"/>
    </row>
    <row r="4594" spans="2:14">
      <c r="B4594" s="105"/>
      <c r="C4594" s="106"/>
      <c r="D4594" s="107"/>
      <c r="E4594" s="65"/>
      <c r="F4594" s="64"/>
      <c r="G4594" s="64"/>
      <c r="H4594" s="64"/>
      <c r="I4594" s="70"/>
      <c r="J4594" s="70"/>
      <c r="K4594" s="110" t="str">
        <f>IF(H4594="","",IF($C$29="간이법","",FPR(H4594,I4594,J4594)))</f>
        <v/>
      </c>
      <c r="L4594" s="111" t="str">
        <f>IF(H4594="","",IF($C$29="상세법",FPV(H4594,K4594),IF(H4594="EI",4,IF(H4594="EO",5.2,IF(H4594="EQ",3.9,IF(H4594="ILF",7.5,IF(H4594="EIF",5.4)))))))</f>
        <v/>
      </c>
      <c r="M4594" s="112" t="str">
        <f t="shared" si="74"/>
        <v/>
      </c>
      <c r="N4594" s="113"/>
    </row>
    <row r="4595" spans="2:14">
      <c r="B4595" s="105"/>
      <c r="C4595" s="106"/>
      <c r="D4595" s="107"/>
      <c r="E4595" s="65"/>
      <c r="F4595" s="64"/>
      <c r="G4595" s="64"/>
      <c r="H4595" s="64"/>
      <c r="I4595" s="70"/>
      <c r="J4595" s="70"/>
      <c r="K4595" s="110" t="str">
        <f>IF(H4595="","",IF($C$29="간이법","",FPR(H4595,I4595,J4595)))</f>
        <v/>
      </c>
      <c r="L4595" s="111" t="str">
        <f>IF(H4595="","",IF($C$29="상세법",FPV(H4595,K4595),IF(H4595="EI",4,IF(H4595="EO",5.2,IF(H4595="EQ",3.9,IF(H4595="ILF",7.5,IF(H4595="EIF",5.4)))))))</f>
        <v/>
      </c>
      <c r="M4595" s="112" t="str">
        <f t="shared" si="74"/>
        <v/>
      </c>
      <c r="N4595" s="113"/>
    </row>
    <row r="4596" spans="2:14">
      <c r="B4596" s="105"/>
      <c r="C4596" s="106"/>
      <c r="D4596" s="107"/>
      <c r="E4596" s="65"/>
      <c r="F4596" s="64"/>
      <c r="G4596" s="64"/>
      <c r="H4596" s="64"/>
      <c r="I4596" s="70"/>
      <c r="J4596" s="70"/>
      <c r="K4596" s="110" t="str">
        <f>IF(H4596="","",IF($C$29="간이법","",FPR(H4596,I4596,J4596)))</f>
        <v/>
      </c>
      <c r="L4596" s="111" t="str">
        <f>IF(H4596="","",IF($C$29="상세법",FPV(H4596,K4596),IF(H4596="EI",4,IF(H4596="EO",5.2,IF(H4596="EQ",3.9,IF(H4596="ILF",7.5,IF(H4596="EIF",5.4)))))))</f>
        <v/>
      </c>
      <c r="M4596" s="112" t="str">
        <f t="shared" si="74"/>
        <v/>
      </c>
      <c r="N4596" s="113"/>
    </row>
    <row r="4597" spans="2:14">
      <c r="B4597" s="105"/>
      <c r="C4597" s="106"/>
      <c r="D4597" s="107"/>
      <c r="E4597" s="65"/>
      <c r="F4597" s="64"/>
      <c r="G4597" s="64"/>
      <c r="H4597" s="64"/>
      <c r="I4597" s="70"/>
      <c r="J4597" s="70"/>
      <c r="K4597" s="110" t="str">
        <f>IF(H4597="","",IF($C$29="간이법","",FPR(H4597,I4597,J4597)))</f>
        <v/>
      </c>
      <c r="L4597" s="111" t="str">
        <f>IF(H4597="","",IF($C$29="상세법",FPV(H4597,K4597),IF(H4597="EI",4,IF(H4597="EO",5.2,IF(H4597="EQ",3.9,IF(H4597="ILF",7.5,IF(H4597="EIF",5.4)))))))</f>
        <v/>
      </c>
      <c r="M4597" s="112" t="str">
        <f t="shared" si="74"/>
        <v/>
      </c>
      <c r="N4597" s="113"/>
    </row>
    <row r="4598" spans="2:14">
      <c r="B4598" s="105"/>
      <c r="C4598" s="106"/>
      <c r="D4598" s="107"/>
      <c r="E4598" s="65"/>
      <c r="F4598" s="64"/>
      <c r="G4598" s="64"/>
      <c r="H4598" s="64"/>
      <c r="I4598" s="70"/>
      <c r="J4598" s="70"/>
      <c r="K4598" s="110" t="str">
        <f>IF(H4598="","",IF($C$29="간이법","",FPR(H4598,I4598,J4598)))</f>
        <v/>
      </c>
      <c r="L4598" s="111" t="str">
        <f>IF(H4598="","",IF($C$29="상세법",FPV(H4598,K4598),IF(H4598="EI",4,IF(H4598="EO",5.2,IF(H4598="EQ",3.9,IF(H4598="ILF",7.5,IF(H4598="EIF",5.4)))))))</f>
        <v/>
      </c>
      <c r="M4598" s="112" t="str">
        <f t="shared" si="74"/>
        <v/>
      </c>
      <c r="N4598" s="113"/>
    </row>
    <row r="4599" spans="2:14">
      <c r="B4599" s="105"/>
      <c r="C4599" s="106"/>
      <c r="D4599" s="107"/>
      <c r="E4599" s="65"/>
      <c r="F4599" s="64"/>
      <c r="G4599" s="64"/>
      <c r="H4599" s="64"/>
      <c r="I4599" s="70"/>
      <c r="J4599" s="70"/>
      <c r="K4599" s="110" t="str">
        <f>IF(H4599="","",IF($C$29="간이법","",FPR(H4599,I4599,J4599)))</f>
        <v/>
      </c>
      <c r="L4599" s="111" t="str">
        <f>IF(H4599="","",IF($C$29="상세법",FPV(H4599,K4599),IF(H4599="EI",4,IF(H4599="EO",5.2,IF(H4599="EQ",3.9,IF(H4599="ILF",7.5,IF(H4599="EIF",5.4)))))))</f>
        <v/>
      </c>
      <c r="M4599" s="112" t="str">
        <f t="shared" si="74"/>
        <v/>
      </c>
      <c r="N4599" s="113"/>
    </row>
    <row r="4600" spans="2:14">
      <c r="B4600" s="105"/>
      <c r="C4600" s="106"/>
      <c r="D4600" s="107"/>
      <c r="E4600" s="65"/>
      <c r="F4600" s="64"/>
      <c r="G4600" s="64"/>
      <c r="H4600" s="64"/>
      <c r="I4600" s="70"/>
      <c r="J4600" s="70"/>
      <c r="K4600" s="110" t="str">
        <f>IF(H4600="","",IF($C$29="간이법","",FPR(H4600,I4600,J4600)))</f>
        <v/>
      </c>
      <c r="L4600" s="111" t="str">
        <f>IF(H4600="","",IF($C$29="상세법",FPV(H4600,K4600),IF(H4600="EI",4,IF(H4600="EO",5.2,IF(H4600="EQ",3.9,IF(H4600="ILF",7.5,IF(H4600="EIF",5.4)))))))</f>
        <v/>
      </c>
      <c r="M4600" s="112" t="str">
        <f t="shared" si="74"/>
        <v/>
      </c>
      <c r="N4600" s="113"/>
    </row>
    <row r="4601" spans="2:14">
      <c r="B4601" s="105"/>
      <c r="C4601" s="106"/>
      <c r="D4601" s="107"/>
      <c r="E4601" s="65"/>
      <c r="F4601" s="64"/>
      <c r="G4601" s="64"/>
      <c r="H4601" s="64"/>
      <c r="I4601" s="70"/>
      <c r="J4601" s="70"/>
      <c r="K4601" s="110" t="str">
        <f>IF(H4601="","",IF($C$29="간이법","",FPR(H4601,I4601,J4601)))</f>
        <v/>
      </c>
      <c r="L4601" s="111" t="str">
        <f>IF(H4601="","",IF($C$29="상세법",FPV(H4601,K4601),IF(H4601="EI",4,IF(H4601="EO",5.2,IF(H4601="EQ",3.9,IF(H4601="ILF",7.5,IF(H4601="EIF",5.4)))))))</f>
        <v/>
      </c>
      <c r="M4601" s="112" t="str">
        <f t="shared" ref="M4601:M4664" si="75">IF(L4601="","",L4601*IF(G4601="상",0.7,IF(G4601="중",0.5,IF(G4601="하",0.2,1))))</f>
        <v/>
      </c>
      <c r="N4601" s="113"/>
    </row>
    <row r="4602" spans="2:14">
      <c r="B4602" s="105"/>
      <c r="C4602" s="106"/>
      <c r="D4602" s="107"/>
      <c r="E4602" s="65"/>
      <c r="F4602" s="64"/>
      <c r="G4602" s="64"/>
      <c r="H4602" s="64"/>
      <c r="I4602" s="70"/>
      <c r="J4602" s="70"/>
      <c r="K4602" s="110" t="str">
        <f>IF(H4602="","",IF($C$29="간이법","",FPR(H4602,I4602,J4602)))</f>
        <v/>
      </c>
      <c r="L4602" s="111" t="str">
        <f>IF(H4602="","",IF($C$29="상세법",FPV(H4602,K4602),IF(H4602="EI",4,IF(H4602="EO",5.2,IF(H4602="EQ",3.9,IF(H4602="ILF",7.5,IF(H4602="EIF",5.4)))))))</f>
        <v/>
      </c>
      <c r="M4602" s="112" t="str">
        <f t="shared" si="75"/>
        <v/>
      </c>
      <c r="N4602" s="113"/>
    </row>
    <row r="4603" spans="2:14">
      <c r="B4603" s="105"/>
      <c r="C4603" s="106"/>
      <c r="D4603" s="107"/>
      <c r="E4603" s="65"/>
      <c r="F4603" s="64"/>
      <c r="G4603" s="64"/>
      <c r="H4603" s="64"/>
      <c r="I4603" s="70"/>
      <c r="J4603" s="70"/>
      <c r="K4603" s="110" t="str">
        <f>IF(H4603="","",IF($C$29="간이법","",FPR(H4603,I4603,J4603)))</f>
        <v/>
      </c>
      <c r="L4603" s="111" t="str">
        <f>IF(H4603="","",IF($C$29="상세법",FPV(H4603,K4603),IF(H4603="EI",4,IF(H4603="EO",5.2,IF(H4603="EQ",3.9,IF(H4603="ILF",7.5,IF(H4603="EIF",5.4)))))))</f>
        <v/>
      </c>
      <c r="M4603" s="112" t="str">
        <f t="shared" si="75"/>
        <v/>
      </c>
      <c r="N4603" s="113"/>
    </row>
    <row r="4604" spans="2:14">
      <c r="B4604" s="105"/>
      <c r="C4604" s="106"/>
      <c r="D4604" s="107"/>
      <c r="E4604" s="65"/>
      <c r="F4604" s="64"/>
      <c r="G4604" s="64"/>
      <c r="H4604" s="64"/>
      <c r="I4604" s="70"/>
      <c r="J4604" s="70"/>
      <c r="K4604" s="110" t="str">
        <f>IF(H4604="","",IF($C$29="간이법","",FPR(H4604,I4604,J4604)))</f>
        <v/>
      </c>
      <c r="L4604" s="111" t="str">
        <f>IF(H4604="","",IF($C$29="상세법",FPV(H4604,K4604),IF(H4604="EI",4,IF(H4604="EO",5.2,IF(H4604="EQ",3.9,IF(H4604="ILF",7.5,IF(H4604="EIF",5.4)))))))</f>
        <v/>
      </c>
      <c r="M4604" s="112" t="str">
        <f t="shared" si="75"/>
        <v/>
      </c>
      <c r="N4604" s="113"/>
    </row>
    <row r="4605" spans="2:14">
      <c r="B4605" s="105"/>
      <c r="C4605" s="106"/>
      <c r="D4605" s="107"/>
      <c r="E4605" s="65"/>
      <c r="F4605" s="64"/>
      <c r="G4605" s="64"/>
      <c r="H4605" s="64"/>
      <c r="I4605" s="70"/>
      <c r="J4605" s="70"/>
      <c r="K4605" s="110" t="str">
        <f>IF(H4605="","",IF($C$29="간이법","",FPR(H4605,I4605,J4605)))</f>
        <v/>
      </c>
      <c r="L4605" s="111" t="str">
        <f>IF(H4605="","",IF($C$29="상세법",FPV(H4605,K4605),IF(H4605="EI",4,IF(H4605="EO",5.2,IF(H4605="EQ",3.9,IF(H4605="ILF",7.5,IF(H4605="EIF",5.4)))))))</f>
        <v/>
      </c>
      <c r="M4605" s="112" t="str">
        <f t="shared" si="75"/>
        <v/>
      </c>
      <c r="N4605" s="113"/>
    </row>
    <row r="4606" spans="2:14">
      <c r="B4606" s="105"/>
      <c r="C4606" s="106"/>
      <c r="D4606" s="107"/>
      <c r="E4606" s="65"/>
      <c r="F4606" s="64"/>
      <c r="G4606" s="64"/>
      <c r="H4606" s="64"/>
      <c r="I4606" s="70"/>
      <c r="J4606" s="70"/>
      <c r="K4606" s="110" t="str">
        <f>IF(H4606="","",IF($C$29="간이법","",FPR(H4606,I4606,J4606)))</f>
        <v/>
      </c>
      <c r="L4606" s="111" t="str">
        <f>IF(H4606="","",IF($C$29="상세법",FPV(H4606,K4606),IF(H4606="EI",4,IF(H4606="EO",5.2,IF(H4606="EQ",3.9,IF(H4606="ILF",7.5,IF(H4606="EIF",5.4)))))))</f>
        <v/>
      </c>
      <c r="M4606" s="112" t="str">
        <f t="shared" si="75"/>
        <v/>
      </c>
      <c r="N4606" s="113"/>
    </row>
    <row r="4607" spans="2:14">
      <c r="B4607" s="105"/>
      <c r="C4607" s="106"/>
      <c r="D4607" s="107"/>
      <c r="E4607" s="65"/>
      <c r="F4607" s="64"/>
      <c r="G4607" s="64"/>
      <c r="H4607" s="64"/>
      <c r="I4607" s="70"/>
      <c r="J4607" s="70"/>
      <c r="K4607" s="110" t="str">
        <f>IF(H4607="","",IF($C$29="간이법","",FPR(H4607,I4607,J4607)))</f>
        <v/>
      </c>
      <c r="L4607" s="111" t="str">
        <f>IF(H4607="","",IF($C$29="상세법",FPV(H4607,K4607),IF(H4607="EI",4,IF(H4607="EO",5.2,IF(H4607="EQ",3.9,IF(H4607="ILF",7.5,IF(H4607="EIF",5.4)))))))</f>
        <v/>
      </c>
      <c r="M4607" s="112" t="str">
        <f t="shared" si="75"/>
        <v/>
      </c>
      <c r="N4607" s="113"/>
    </row>
    <row r="4608" spans="2:14">
      <c r="B4608" s="105"/>
      <c r="C4608" s="106"/>
      <c r="D4608" s="107"/>
      <c r="E4608" s="65"/>
      <c r="F4608" s="64"/>
      <c r="G4608" s="64"/>
      <c r="H4608" s="64"/>
      <c r="I4608" s="70"/>
      <c r="J4608" s="70"/>
      <c r="K4608" s="110" t="str">
        <f>IF(H4608="","",IF($C$29="간이법","",FPR(H4608,I4608,J4608)))</f>
        <v/>
      </c>
      <c r="L4608" s="111" t="str">
        <f>IF(H4608="","",IF($C$29="상세법",FPV(H4608,K4608),IF(H4608="EI",4,IF(H4608="EO",5.2,IF(H4608="EQ",3.9,IF(H4608="ILF",7.5,IF(H4608="EIF",5.4)))))))</f>
        <v/>
      </c>
      <c r="M4608" s="112" t="str">
        <f t="shared" si="75"/>
        <v/>
      </c>
      <c r="N4608" s="113"/>
    </row>
    <row r="4609" spans="2:14">
      <c r="B4609" s="105"/>
      <c r="C4609" s="106"/>
      <c r="D4609" s="107"/>
      <c r="E4609" s="65"/>
      <c r="F4609" s="64"/>
      <c r="G4609" s="64"/>
      <c r="H4609" s="64"/>
      <c r="I4609" s="70"/>
      <c r="J4609" s="70"/>
      <c r="K4609" s="110" t="str">
        <f>IF(H4609="","",IF($C$29="간이법","",FPR(H4609,I4609,J4609)))</f>
        <v/>
      </c>
      <c r="L4609" s="111" t="str">
        <f>IF(H4609="","",IF($C$29="상세법",FPV(H4609,K4609),IF(H4609="EI",4,IF(H4609="EO",5.2,IF(H4609="EQ",3.9,IF(H4609="ILF",7.5,IF(H4609="EIF",5.4)))))))</f>
        <v/>
      </c>
      <c r="M4609" s="112" t="str">
        <f t="shared" si="75"/>
        <v/>
      </c>
      <c r="N4609" s="113"/>
    </row>
    <row r="4610" spans="2:14">
      <c r="B4610" s="105"/>
      <c r="C4610" s="106"/>
      <c r="D4610" s="107"/>
      <c r="E4610" s="65"/>
      <c r="F4610" s="64"/>
      <c r="G4610" s="64"/>
      <c r="H4610" s="64"/>
      <c r="I4610" s="70"/>
      <c r="J4610" s="70"/>
      <c r="K4610" s="110" t="str">
        <f>IF(H4610="","",IF($C$29="간이법","",FPR(H4610,I4610,J4610)))</f>
        <v/>
      </c>
      <c r="L4610" s="111" t="str">
        <f>IF(H4610="","",IF($C$29="상세법",FPV(H4610,K4610),IF(H4610="EI",4,IF(H4610="EO",5.2,IF(H4610="EQ",3.9,IF(H4610="ILF",7.5,IF(H4610="EIF",5.4)))))))</f>
        <v/>
      </c>
      <c r="M4610" s="112" t="str">
        <f t="shared" si="75"/>
        <v/>
      </c>
      <c r="N4610" s="113"/>
    </row>
    <row r="4611" spans="2:14">
      <c r="B4611" s="105"/>
      <c r="C4611" s="106"/>
      <c r="D4611" s="107"/>
      <c r="E4611" s="65"/>
      <c r="F4611" s="64"/>
      <c r="G4611" s="64"/>
      <c r="H4611" s="64"/>
      <c r="I4611" s="70"/>
      <c r="J4611" s="70"/>
      <c r="K4611" s="110" t="str">
        <f>IF(H4611="","",IF($C$29="간이법","",FPR(H4611,I4611,J4611)))</f>
        <v/>
      </c>
      <c r="L4611" s="111" t="str">
        <f>IF(H4611="","",IF($C$29="상세법",FPV(H4611,K4611),IF(H4611="EI",4,IF(H4611="EO",5.2,IF(H4611="EQ",3.9,IF(H4611="ILF",7.5,IF(H4611="EIF",5.4)))))))</f>
        <v/>
      </c>
      <c r="M4611" s="112" t="str">
        <f t="shared" si="75"/>
        <v/>
      </c>
      <c r="N4611" s="113"/>
    </row>
    <row r="4612" spans="2:14">
      <c r="B4612" s="105"/>
      <c r="C4612" s="106"/>
      <c r="D4612" s="107"/>
      <c r="E4612" s="65"/>
      <c r="F4612" s="64"/>
      <c r="G4612" s="64"/>
      <c r="H4612" s="64"/>
      <c r="I4612" s="70"/>
      <c r="J4612" s="70"/>
      <c r="K4612" s="110" t="str">
        <f>IF(H4612="","",IF($C$29="간이법","",FPR(H4612,I4612,J4612)))</f>
        <v/>
      </c>
      <c r="L4612" s="111" t="str">
        <f>IF(H4612="","",IF($C$29="상세법",FPV(H4612,K4612),IF(H4612="EI",4,IF(H4612="EO",5.2,IF(H4612="EQ",3.9,IF(H4612="ILF",7.5,IF(H4612="EIF",5.4)))))))</f>
        <v/>
      </c>
      <c r="M4612" s="112" t="str">
        <f t="shared" si="75"/>
        <v/>
      </c>
      <c r="N4612" s="113"/>
    </row>
    <row r="4613" spans="2:14">
      <c r="B4613" s="105"/>
      <c r="C4613" s="106"/>
      <c r="D4613" s="107"/>
      <c r="E4613" s="65"/>
      <c r="F4613" s="64"/>
      <c r="G4613" s="64"/>
      <c r="H4613" s="64"/>
      <c r="I4613" s="70"/>
      <c r="J4613" s="70"/>
      <c r="K4613" s="110" t="str">
        <f>IF(H4613="","",IF($C$29="간이법","",FPR(H4613,I4613,J4613)))</f>
        <v/>
      </c>
      <c r="L4613" s="111" t="str">
        <f>IF(H4613="","",IF($C$29="상세법",FPV(H4613,K4613),IF(H4613="EI",4,IF(H4613="EO",5.2,IF(H4613="EQ",3.9,IF(H4613="ILF",7.5,IF(H4613="EIF",5.4)))))))</f>
        <v/>
      </c>
      <c r="M4613" s="112" t="str">
        <f t="shared" si="75"/>
        <v/>
      </c>
      <c r="N4613" s="113"/>
    </row>
    <row r="4614" spans="2:14">
      <c r="B4614" s="105"/>
      <c r="C4614" s="106"/>
      <c r="D4614" s="107"/>
      <c r="E4614" s="65"/>
      <c r="F4614" s="64"/>
      <c r="G4614" s="64"/>
      <c r="H4614" s="64"/>
      <c r="I4614" s="70"/>
      <c r="J4614" s="70"/>
      <c r="K4614" s="110" t="str">
        <f>IF(H4614="","",IF($C$29="간이법","",FPR(H4614,I4614,J4614)))</f>
        <v/>
      </c>
      <c r="L4614" s="111" t="str">
        <f>IF(H4614="","",IF($C$29="상세법",FPV(H4614,K4614),IF(H4614="EI",4,IF(H4614="EO",5.2,IF(H4614="EQ",3.9,IF(H4614="ILF",7.5,IF(H4614="EIF",5.4)))))))</f>
        <v/>
      </c>
      <c r="M4614" s="112" t="str">
        <f t="shared" si="75"/>
        <v/>
      </c>
      <c r="N4614" s="113"/>
    </row>
    <row r="4615" spans="2:14">
      <c r="B4615" s="105"/>
      <c r="C4615" s="106"/>
      <c r="D4615" s="107"/>
      <c r="E4615" s="65"/>
      <c r="F4615" s="64"/>
      <c r="G4615" s="64"/>
      <c r="H4615" s="64"/>
      <c r="I4615" s="70"/>
      <c r="J4615" s="70"/>
      <c r="K4615" s="110" t="str">
        <f>IF(H4615="","",IF($C$29="간이법","",FPR(H4615,I4615,J4615)))</f>
        <v/>
      </c>
      <c r="L4615" s="111" t="str">
        <f>IF(H4615="","",IF($C$29="상세법",FPV(H4615,K4615),IF(H4615="EI",4,IF(H4615="EO",5.2,IF(H4615="EQ",3.9,IF(H4615="ILF",7.5,IF(H4615="EIF",5.4)))))))</f>
        <v/>
      </c>
      <c r="M4615" s="112" t="str">
        <f t="shared" si="75"/>
        <v/>
      </c>
      <c r="N4615" s="113"/>
    </row>
    <row r="4616" spans="2:14">
      <c r="B4616" s="105"/>
      <c r="C4616" s="106"/>
      <c r="D4616" s="107"/>
      <c r="E4616" s="65"/>
      <c r="F4616" s="64"/>
      <c r="G4616" s="64"/>
      <c r="H4616" s="64"/>
      <c r="I4616" s="70"/>
      <c r="J4616" s="70"/>
      <c r="K4616" s="110" t="str">
        <f>IF(H4616="","",IF($C$29="간이법","",FPR(H4616,I4616,J4616)))</f>
        <v/>
      </c>
      <c r="L4616" s="111" t="str">
        <f>IF(H4616="","",IF($C$29="상세법",FPV(H4616,K4616),IF(H4616="EI",4,IF(H4616="EO",5.2,IF(H4616="EQ",3.9,IF(H4616="ILF",7.5,IF(H4616="EIF",5.4)))))))</f>
        <v/>
      </c>
      <c r="M4616" s="112" t="str">
        <f t="shared" si="75"/>
        <v/>
      </c>
      <c r="N4616" s="113"/>
    </row>
    <row r="4617" spans="2:14">
      <c r="B4617" s="105"/>
      <c r="C4617" s="106"/>
      <c r="D4617" s="107"/>
      <c r="E4617" s="65"/>
      <c r="F4617" s="64"/>
      <c r="G4617" s="64"/>
      <c r="H4617" s="64"/>
      <c r="I4617" s="70"/>
      <c r="J4617" s="70"/>
      <c r="K4617" s="110" t="str">
        <f>IF(H4617="","",IF($C$29="간이법","",FPR(H4617,I4617,J4617)))</f>
        <v/>
      </c>
      <c r="L4617" s="111" t="str">
        <f>IF(H4617="","",IF($C$29="상세법",FPV(H4617,K4617),IF(H4617="EI",4,IF(H4617="EO",5.2,IF(H4617="EQ",3.9,IF(H4617="ILF",7.5,IF(H4617="EIF",5.4)))))))</f>
        <v/>
      </c>
      <c r="M4617" s="112" t="str">
        <f t="shared" si="75"/>
        <v/>
      </c>
      <c r="N4617" s="113"/>
    </row>
    <row r="4618" spans="2:14">
      <c r="B4618" s="105"/>
      <c r="C4618" s="106"/>
      <c r="D4618" s="107"/>
      <c r="E4618" s="65"/>
      <c r="F4618" s="64"/>
      <c r="G4618" s="64"/>
      <c r="H4618" s="64"/>
      <c r="I4618" s="70"/>
      <c r="J4618" s="70"/>
      <c r="K4618" s="110" t="str">
        <f>IF(H4618="","",IF($C$29="간이법","",FPR(H4618,I4618,J4618)))</f>
        <v/>
      </c>
      <c r="L4618" s="111" t="str">
        <f>IF(H4618="","",IF($C$29="상세법",FPV(H4618,K4618),IF(H4618="EI",4,IF(H4618="EO",5.2,IF(H4618="EQ",3.9,IF(H4618="ILF",7.5,IF(H4618="EIF",5.4)))))))</f>
        <v/>
      </c>
      <c r="M4618" s="112" t="str">
        <f t="shared" si="75"/>
        <v/>
      </c>
      <c r="N4618" s="113"/>
    </row>
    <row r="4619" spans="2:14">
      <c r="B4619" s="105"/>
      <c r="C4619" s="106"/>
      <c r="D4619" s="107"/>
      <c r="E4619" s="65"/>
      <c r="F4619" s="64"/>
      <c r="G4619" s="64"/>
      <c r="H4619" s="64"/>
      <c r="I4619" s="70"/>
      <c r="J4619" s="70"/>
      <c r="K4619" s="110" t="str">
        <f>IF(H4619="","",IF($C$29="간이법","",FPR(H4619,I4619,J4619)))</f>
        <v/>
      </c>
      <c r="L4619" s="111" t="str">
        <f>IF(H4619="","",IF($C$29="상세법",FPV(H4619,K4619),IF(H4619="EI",4,IF(H4619="EO",5.2,IF(H4619="EQ",3.9,IF(H4619="ILF",7.5,IF(H4619="EIF",5.4)))))))</f>
        <v/>
      </c>
      <c r="M4619" s="112" t="str">
        <f t="shared" si="75"/>
        <v/>
      </c>
      <c r="N4619" s="113"/>
    </row>
    <row r="4620" spans="2:14">
      <c r="B4620" s="105"/>
      <c r="C4620" s="106"/>
      <c r="D4620" s="107"/>
      <c r="E4620" s="65"/>
      <c r="F4620" s="64"/>
      <c r="G4620" s="64"/>
      <c r="H4620" s="64"/>
      <c r="I4620" s="70"/>
      <c r="J4620" s="70"/>
      <c r="K4620" s="110" t="str">
        <f>IF(H4620="","",IF($C$29="간이법","",FPR(H4620,I4620,J4620)))</f>
        <v/>
      </c>
      <c r="L4620" s="111" t="str">
        <f>IF(H4620="","",IF($C$29="상세법",FPV(H4620,K4620),IF(H4620="EI",4,IF(H4620="EO",5.2,IF(H4620="EQ",3.9,IF(H4620="ILF",7.5,IF(H4620="EIF",5.4)))))))</f>
        <v/>
      </c>
      <c r="M4620" s="112" t="str">
        <f t="shared" si="75"/>
        <v/>
      </c>
      <c r="N4620" s="113"/>
    </row>
    <row r="4621" spans="2:14">
      <c r="B4621" s="105"/>
      <c r="C4621" s="106"/>
      <c r="D4621" s="107"/>
      <c r="E4621" s="65"/>
      <c r="F4621" s="64"/>
      <c r="G4621" s="64"/>
      <c r="H4621" s="64"/>
      <c r="I4621" s="70"/>
      <c r="J4621" s="70"/>
      <c r="K4621" s="110" t="str">
        <f>IF(H4621="","",IF($C$29="간이법","",FPR(H4621,I4621,J4621)))</f>
        <v/>
      </c>
      <c r="L4621" s="111" t="str">
        <f>IF(H4621="","",IF($C$29="상세법",FPV(H4621,K4621),IF(H4621="EI",4,IF(H4621="EO",5.2,IF(H4621="EQ",3.9,IF(H4621="ILF",7.5,IF(H4621="EIF",5.4)))))))</f>
        <v/>
      </c>
      <c r="M4621" s="112" t="str">
        <f t="shared" si="75"/>
        <v/>
      </c>
      <c r="N4621" s="113"/>
    </row>
    <row r="4622" spans="2:14">
      <c r="B4622" s="105"/>
      <c r="C4622" s="106"/>
      <c r="D4622" s="107"/>
      <c r="E4622" s="65"/>
      <c r="F4622" s="64"/>
      <c r="G4622" s="64"/>
      <c r="H4622" s="64"/>
      <c r="I4622" s="70"/>
      <c r="J4622" s="70"/>
      <c r="K4622" s="110" t="str">
        <f>IF(H4622="","",IF($C$29="간이법","",FPR(H4622,I4622,J4622)))</f>
        <v/>
      </c>
      <c r="L4622" s="111" t="str">
        <f>IF(H4622="","",IF($C$29="상세법",FPV(H4622,K4622),IF(H4622="EI",4,IF(H4622="EO",5.2,IF(H4622="EQ",3.9,IF(H4622="ILF",7.5,IF(H4622="EIF",5.4)))))))</f>
        <v/>
      </c>
      <c r="M4622" s="112" t="str">
        <f t="shared" si="75"/>
        <v/>
      </c>
      <c r="N4622" s="113"/>
    </row>
    <row r="4623" spans="2:14">
      <c r="B4623" s="105"/>
      <c r="C4623" s="106"/>
      <c r="D4623" s="107"/>
      <c r="E4623" s="65"/>
      <c r="F4623" s="64"/>
      <c r="G4623" s="64"/>
      <c r="H4623" s="64"/>
      <c r="I4623" s="70"/>
      <c r="J4623" s="70"/>
      <c r="K4623" s="110" t="str">
        <f>IF(H4623="","",IF($C$29="간이법","",FPR(H4623,I4623,J4623)))</f>
        <v/>
      </c>
      <c r="L4623" s="111" t="str">
        <f>IF(H4623="","",IF($C$29="상세법",FPV(H4623,K4623),IF(H4623="EI",4,IF(H4623="EO",5.2,IF(H4623="EQ",3.9,IF(H4623="ILF",7.5,IF(H4623="EIF",5.4)))))))</f>
        <v/>
      </c>
      <c r="M4623" s="112" t="str">
        <f t="shared" si="75"/>
        <v/>
      </c>
      <c r="N4623" s="113"/>
    </row>
    <row r="4624" spans="2:14">
      <c r="B4624" s="105"/>
      <c r="C4624" s="106"/>
      <c r="D4624" s="107"/>
      <c r="E4624" s="65"/>
      <c r="F4624" s="64"/>
      <c r="G4624" s="64"/>
      <c r="H4624" s="64"/>
      <c r="I4624" s="70"/>
      <c r="J4624" s="70"/>
      <c r="K4624" s="110" t="str">
        <f>IF(H4624="","",IF($C$29="간이법","",FPR(H4624,I4624,J4624)))</f>
        <v/>
      </c>
      <c r="L4624" s="111" t="str">
        <f>IF(H4624="","",IF($C$29="상세법",FPV(H4624,K4624),IF(H4624="EI",4,IF(H4624="EO",5.2,IF(H4624="EQ",3.9,IF(H4624="ILF",7.5,IF(H4624="EIF",5.4)))))))</f>
        <v/>
      </c>
      <c r="M4624" s="112" t="str">
        <f t="shared" si="75"/>
        <v/>
      </c>
      <c r="N4624" s="113"/>
    </row>
    <row r="4625" spans="2:14">
      <c r="B4625" s="105"/>
      <c r="C4625" s="106"/>
      <c r="D4625" s="107"/>
      <c r="E4625" s="65"/>
      <c r="F4625" s="64"/>
      <c r="G4625" s="64"/>
      <c r="H4625" s="64"/>
      <c r="I4625" s="70"/>
      <c r="J4625" s="70"/>
      <c r="K4625" s="110" t="str">
        <f>IF(H4625="","",IF($C$29="간이법","",FPR(H4625,I4625,J4625)))</f>
        <v/>
      </c>
      <c r="L4625" s="111" t="str">
        <f>IF(H4625="","",IF($C$29="상세법",FPV(H4625,K4625),IF(H4625="EI",4,IF(H4625="EO",5.2,IF(H4625="EQ",3.9,IF(H4625="ILF",7.5,IF(H4625="EIF",5.4)))))))</f>
        <v/>
      </c>
      <c r="M4625" s="112" t="str">
        <f t="shared" si="75"/>
        <v/>
      </c>
      <c r="N4625" s="113"/>
    </row>
    <row r="4626" spans="2:14">
      <c r="B4626" s="105"/>
      <c r="C4626" s="106"/>
      <c r="D4626" s="107"/>
      <c r="E4626" s="65"/>
      <c r="F4626" s="64"/>
      <c r="G4626" s="64"/>
      <c r="H4626" s="64"/>
      <c r="I4626" s="70"/>
      <c r="J4626" s="70"/>
      <c r="K4626" s="110" t="str">
        <f>IF(H4626="","",IF($C$29="간이법","",FPR(H4626,I4626,J4626)))</f>
        <v/>
      </c>
      <c r="L4626" s="111" t="str">
        <f>IF(H4626="","",IF($C$29="상세법",FPV(H4626,K4626),IF(H4626="EI",4,IF(H4626="EO",5.2,IF(H4626="EQ",3.9,IF(H4626="ILF",7.5,IF(H4626="EIF",5.4)))))))</f>
        <v/>
      </c>
      <c r="M4626" s="112" t="str">
        <f t="shared" si="75"/>
        <v/>
      </c>
      <c r="N4626" s="113"/>
    </row>
    <row r="4627" spans="2:14">
      <c r="B4627" s="105"/>
      <c r="C4627" s="106"/>
      <c r="D4627" s="107"/>
      <c r="E4627" s="65"/>
      <c r="F4627" s="64"/>
      <c r="G4627" s="64"/>
      <c r="H4627" s="64"/>
      <c r="I4627" s="70"/>
      <c r="J4627" s="70"/>
      <c r="K4627" s="110" t="str">
        <f>IF(H4627="","",IF($C$29="간이법","",FPR(H4627,I4627,J4627)))</f>
        <v/>
      </c>
      <c r="L4627" s="111" t="str">
        <f>IF(H4627="","",IF($C$29="상세법",FPV(H4627,K4627),IF(H4627="EI",4,IF(H4627="EO",5.2,IF(H4627="EQ",3.9,IF(H4627="ILF",7.5,IF(H4627="EIF",5.4)))))))</f>
        <v/>
      </c>
      <c r="M4627" s="112" t="str">
        <f t="shared" si="75"/>
        <v/>
      </c>
      <c r="N4627" s="113"/>
    </row>
    <row r="4628" spans="2:14">
      <c r="B4628" s="105"/>
      <c r="C4628" s="106"/>
      <c r="D4628" s="107"/>
      <c r="E4628" s="65"/>
      <c r="F4628" s="64"/>
      <c r="G4628" s="64"/>
      <c r="H4628" s="64"/>
      <c r="I4628" s="70"/>
      <c r="J4628" s="70"/>
      <c r="K4628" s="110" t="str">
        <f>IF(H4628="","",IF($C$29="간이법","",FPR(H4628,I4628,J4628)))</f>
        <v/>
      </c>
      <c r="L4628" s="111" t="str">
        <f>IF(H4628="","",IF($C$29="상세법",FPV(H4628,K4628),IF(H4628="EI",4,IF(H4628="EO",5.2,IF(H4628="EQ",3.9,IF(H4628="ILF",7.5,IF(H4628="EIF",5.4)))))))</f>
        <v/>
      </c>
      <c r="M4628" s="112" t="str">
        <f t="shared" si="75"/>
        <v/>
      </c>
      <c r="N4628" s="113"/>
    </row>
    <row r="4629" spans="2:14">
      <c r="B4629" s="105"/>
      <c r="C4629" s="106"/>
      <c r="D4629" s="107"/>
      <c r="E4629" s="65"/>
      <c r="F4629" s="64"/>
      <c r="G4629" s="64"/>
      <c r="H4629" s="64"/>
      <c r="I4629" s="70"/>
      <c r="J4629" s="70"/>
      <c r="K4629" s="110" t="str">
        <f>IF(H4629="","",IF($C$29="간이법","",FPR(H4629,I4629,J4629)))</f>
        <v/>
      </c>
      <c r="L4629" s="111" t="str">
        <f>IF(H4629="","",IF($C$29="상세법",FPV(H4629,K4629),IF(H4629="EI",4,IF(H4629="EO",5.2,IF(H4629="EQ",3.9,IF(H4629="ILF",7.5,IF(H4629="EIF",5.4)))))))</f>
        <v/>
      </c>
      <c r="M4629" s="112" t="str">
        <f t="shared" si="75"/>
        <v/>
      </c>
      <c r="N4629" s="113"/>
    </row>
    <row r="4630" spans="2:14">
      <c r="B4630" s="105"/>
      <c r="C4630" s="106"/>
      <c r="D4630" s="107"/>
      <c r="E4630" s="65"/>
      <c r="F4630" s="64"/>
      <c r="G4630" s="64"/>
      <c r="H4630" s="64"/>
      <c r="I4630" s="70"/>
      <c r="J4630" s="70"/>
      <c r="K4630" s="110" t="str">
        <f>IF(H4630="","",IF($C$29="간이법","",FPR(H4630,I4630,J4630)))</f>
        <v/>
      </c>
      <c r="L4630" s="111" t="str">
        <f>IF(H4630="","",IF($C$29="상세법",FPV(H4630,K4630),IF(H4630="EI",4,IF(H4630="EO",5.2,IF(H4630="EQ",3.9,IF(H4630="ILF",7.5,IF(H4630="EIF",5.4)))))))</f>
        <v/>
      </c>
      <c r="M4630" s="112" t="str">
        <f t="shared" si="75"/>
        <v/>
      </c>
      <c r="N4630" s="113"/>
    </row>
    <row r="4631" spans="2:14">
      <c r="B4631" s="105"/>
      <c r="C4631" s="106"/>
      <c r="D4631" s="107"/>
      <c r="E4631" s="65"/>
      <c r="F4631" s="64"/>
      <c r="G4631" s="64"/>
      <c r="H4631" s="64"/>
      <c r="I4631" s="70"/>
      <c r="J4631" s="70"/>
      <c r="K4631" s="110" t="str">
        <f>IF(H4631="","",IF($C$29="간이법","",FPR(H4631,I4631,J4631)))</f>
        <v/>
      </c>
      <c r="L4631" s="111" t="str">
        <f>IF(H4631="","",IF($C$29="상세법",FPV(H4631,K4631),IF(H4631="EI",4,IF(H4631="EO",5.2,IF(H4631="EQ",3.9,IF(H4631="ILF",7.5,IF(H4631="EIF",5.4)))))))</f>
        <v/>
      </c>
      <c r="M4631" s="112" t="str">
        <f t="shared" si="75"/>
        <v/>
      </c>
      <c r="N4631" s="113"/>
    </row>
    <row r="4632" spans="2:14">
      <c r="B4632" s="105"/>
      <c r="C4632" s="106"/>
      <c r="D4632" s="107"/>
      <c r="E4632" s="65"/>
      <c r="F4632" s="64"/>
      <c r="G4632" s="64"/>
      <c r="H4632" s="64"/>
      <c r="I4632" s="70"/>
      <c r="J4632" s="70"/>
      <c r="K4632" s="110" t="str">
        <f>IF(H4632="","",IF($C$29="간이법","",FPR(H4632,I4632,J4632)))</f>
        <v/>
      </c>
      <c r="L4632" s="111" t="str">
        <f>IF(H4632="","",IF($C$29="상세법",FPV(H4632,K4632),IF(H4632="EI",4,IF(H4632="EO",5.2,IF(H4632="EQ",3.9,IF(H4632="ILF",7.5,IF(H4632="EIF",5.4)))))))</f>
        <v/>
      </c>
      <c r="M4632" s="112" t="str">
        <f t="shared" si="75"/>
        <v/>
      </c>
      <c r="N4632" s="113"/>
    </row>
    <row r="4633" spans="2:14">
      <c r="B4633" s="105"/>
      <c r="C4633" s="106"/>
      <c r="D4633" s="107"/>
      <c r="E4633" s="65"/>
      <c r="F4633" s="64"/>
      <c r="G4633" s="64"/>
      <c r="H4633" s="64"/>
      <c r="I4633" s="70"/>
      <c r="J4633" s="70"/>
      <c r="K4633" s="110" t="str">
        <f>IF(H4633="","",IF($C$29="간이법","",FPR(H4633,I4633,J4633)))</f>
        <v/>
      </c>
      <c r="L4633" s="111" t="str">
        <f>IF(H4633="","",IF($C$29="상세법",FPV(H4633,K4633),IF(H4633="EI",4,IF(H4633="EO",5.2,IF(H4633="EQ",3.9,IF(H4633="ILF",7.5,IF(H4633="EIF",5.4)))))))</f>
        <v/>
      </c>
      <c r="M4633" s="112" t="str">
        <f t="shared" si="75"/>
        <v/>
      </c>
      <c r="N4633" s="113"/>
    </row>
    <row r="4634" spans="2:14">
      <c r="B4634" s="105"/>
      <c r="C4634" s="106"/>
      <c r="D4634" s="107"/>
      <c r="E4634" s="65"/>
      <c r="F4634" s="64"/>
      <c r="G4634" s="64"/>
      <c r="H4634" s="64"/>
      <c r="I4634" s="70"/>
      <c r="J4634" s="70"/>
      <c r="K4634" s="110" t="str">
        <f>IF(H4634="","",IF($C$29="간이법","",FPR(H4634,I4634,J4634)))</f>
        <v/>
      </c>
      <c r="L4634" s="111" t="str">
        <f>IF(H4634="","",IF($C$29="상세법",FPV(H4634,K4634),IF(H4634="EI",4,IF(H4634="EO",5.2,IF(H4634="EQ",3.9,IF(H4634="ILF",7.5,IF(H4634="EIF",5.4)))))))</f>
        <v/>
      </c>
      <c r="M4634" s="112" t="str">
        <f t="shared" si="75"/>
        <v/>
      </c>
      <c r="N4634" s="113"/>
    </row>
    <row r="4635" spans="2:14">
      <c r="B4635" s="105"/>
      <c r="C4635" s="106"/>
      <c r="D4635" s="107"/>
      <c r="E4635" s="65"/>
      <c r="F4635" s="64"/>
      <c r="G4635" s="64"/>
      <c r="H4635" s="64"/>
      <c r="I4635" s="70"/>
      <c r="J4635" s="70"/>
      <c r="K4635" s="110" t="str">
        <f>IF(H4635="","",IF($C$29="간이법","",FPR(H4635,I4635,J4635)))</f>
        <v/>
      </c>
      <c r="L4635" s="111" t="str">
        <f>IF(H4635="","",IF($C$29="상세법",FPV(H4635,K4635),IF(H4635="EI",4,IF(H4635="EO",5.2,IF(H4635="EQ",3.9,IF(H4635="ILF",7.5,IF(H4635="EIF",5.4)))))))</f>
        <v/>
      </c>
      <c r="M4635" s="112" t="str">
        <f t="shared" si="75"/>
        <v/>
      </c>
      <c r="N4635" s="113"/>
    </row>
    <row r="4636" spans="2:14">
      <c r="B4636" s="105"/>
      <c r="C4636" s="106"/>
      <c r="D4636" s="107"/>
      <c r="E4636" s="65"/>
      <c r="F4636" s="64"/>
      <c r="G4636" s="64"/>
      <c r="H4636" s="64"/>
      <c r="I4636" s="70"/>
      <c r="J4636" s="70"/>
      <c r="K4636" s="110" t="str">
        <f>IF(H4636="","",IF($C$29="간이법","",FPR(H4636,I4636,J4636)))</f>
        <v/>
      </c>
      <c r="L4636" s="111" t="str">
        <f>IF(H4636="","",IF($C$29="상세법",FPV(H4636,K4636),IF(H4636="EI",4,IF(H4636="EO",5.2,IF(H4636="EQ",3.9,IF(H4636="ILF",7.5,IF(H4636="EIF",5.4)))))))</f>
        <v/>
      </c>
      <c r="M4636" s="112" t="str">
        <f t="shared" si="75"/>
        <v/>
      </c>
      <c r="N4636" s="113"/>
    </row>
    <row r="4637" spans="2:14">
      <c r="B4637" s="105"/>
      <c r="C4637" s="106"/>
      <c r="D4637" s="107"/>
      <c r="E4637" s="65"/>
      <c r="F4637" s="64"/>
      <c r="G4637" s="64"/>
      <c r="H4637" s="64"/>
      <c r="I4637" s="70"/>
      <c r="J4637" s="70"/>
      <c r="K4637" s="110" t="str">
        <f>IF(H4637="","",IF($C$29="간이법","",FPR(H4637,I4637,J4637)))</f>
        <v/>
      </c>
      <c r="L4637" s="111" t="str">
        <f>IF(H4637="","",IF($C$29="상세법",FPV(H4637,K4637),IF(H4637="EI",4,IF(H4637="EO",5.2,IF(H4637="EQ",3.9,IF(H4637="ILF",7.5,IF(H4637="EIF",5.4)))))))</f>
        <v/>
      </c>
      <c r="M4637" s="112" t="str">
        <f t="shared" si="75"/>
        <v/>
      </c>
      <c r="N4637" s="113"/>
    </row>
    <row r="4638" spans="2:14">
      <c r="B4638" s="105"/>
      <c r="C4638" s="106"/>
      <c r="D4638" s="107"/>
      <c r="E4638" s="65"/>
      <c r="F4638" s="64"/>
      <c r="G4638" s="64"/>
      <c r="H4638" s="64"/>
      <c r="I4638" s="70"/>
      <c r="J4638" s="70"/>
      <c r="K4638" s="110" t="str">
        <f>IF(H4638="","",IF($C$29="간이법","",FPR(H4638,I4638,J4638)))</f>
        <v/>
      </c>
      <c r="L4638" s="111" t="str">
        <f>IF(H4638="","",IF($C$29="상세법",FPV(H4638,K4638),IF(H4638="EI",4,IF(H4638="EO",5.2,IF(H4638="EQ",3.9,IF(H4638="ILF",7.5,IF(H4638="EIF",5.4)))))))</f>
        <v/>
      </c>
      <c r="M4638" s="112" t="str">
        <f t="shared" si="75"/>
        <v/>
      </c>
      <c r="N4638" s="113"/>
    </row>
    <row r="4639" spans="2:14">
      <c r="B4639" s="105"/>
      <c r="C4639" s="106"/>
      <c r="D4639" s="107"/>
      <c r="E4639" s="65"/>
      <c r="F4639" s="64"/>
      <c r="G4639" s="64"/>
      <c r="H4639" s="64"/>
      <c r="I4639" s="70"/>
      <c r="J4639" s="70"/>
      <c r="K4639" s="110" t="str">
        <f>IF(H4639="","",IF($C$29="간이법","",FPR(H4639,I4639,J4639)))</f>
        <v/>
      </c>
      <c r="L4639" s="111" t="str">
        <f>IF(H4639="","",IF($C$29="상세법",FPV(H4639,K4639),IF(H4639="EI",4,IF(H4639="EO",5.2,IF(H4639="EQ",3.9,IF(H4639="ILF",7.5,IF(H4639="EIF",5.4)))))))</f>
        <v/>
      </c>
      <c r="M4639" s="112" t="str">
        <f t="shared" si="75"/>
        <v/>
      </c>
      <c r="N4639" s="113"/>
    </row>
    <row r="4640" spans="2:14">
      <c r="B4640" s="105"/>
      <c r="C4640" s="106"/>
      <c r="D4640" s="107"/>
      <c r="E4640" s="65"/>
      <c r="F4640" s="64"/>
      <c r="G4640" s="64"/>
      <c r="H4640" s="64"/>
      <c r="I4640" s="70"/>
      <c r="J4640" s="70"/>
      <c r="K4640" s="110" t="str">
        <f>IF(H4640="","",IF($C$29="간이법","",FPR(H4640,I4640,J4640)))</f>
        <v/>
      </c>
      <c r="L4640" s="111" t="str">
        <f>IF(H4640="","",IF($C$29="상세법",FPV(H4640,K4640),IF(H4640="EI",4,IF(H4640="EO",5.2,IF(H4640="EQ",3.9,IF(H4640="ILF",7.5,IF(H4640="EIF",5.4)))))))</f>
        <v/>
      </c>
      <c r="M4640" s="112" t="str">
        <f t="shared" si="75"/>
        <v/>
      </c>
      <c r="N4640" s="113"/>
    </row>
    <row r="4641" spans="2:14">
      <c r="B4641" s="105"/>
      <c r="C4641" s="106"/>
      <c r="D4641" s="107"/>
      <c r="E4641" s="65"/>
      <c r="F4641" s="64"/>
      <c r="G4641" s="64"/>
      <c r="H4641" s="64"/>
      <c r="I4641" s="70"/>
      <c r="J4641" s="70"/>
      <c r="K4641" s="110" t="str">
        <f>IF(H4641="","",IF($C$29="간이법","",FPR(H4641,I4641,J4641)))</f>
        <v/>
      </c>
      <c r="L4641" s="111" t="str">
        <f>IF(H4641="","",IF($C$29="상세법",FPV(H4641,K4641),IF(H4641="EI",4,IF(H4641="EO",5.2,IF(H4641="EQ",3.9,IF(H4641="ILF",7.5,IF(H4641="EIF",5.4)))))))</f>
        <v/>
      </c>
      <c r="M4641" s="112" t="str">
        <f t="shared" si="75"/>
        <v/>
      </c>
      <c r="N4641" s="113"/>
    </row>
    <row r="4642" spans="2:14">
      <c r="B4642" s="105"/>
      <c r="C4642" s="106"/>
      <c r="D4642" s="107"/>
      <c r="E4642" s="65"/>
      <c r="F4642" s="64"/>
      <c r="G4642" s="64"/>
      <c r="H4642" s="64"/>
      <c r="I4642" s="70"/>
      <c r="J4642" s="70"/>
      <c r="K4642" s="110" t="str">
        <f>IF(H4642="","",IF($C$29="간이법","",FPR(H4642,I4642,J4642)))</f>
        <v/>
      </c>
      <c r="L4642" s="111" t="str">
        <f>IF(H4642="","",IF($C$29="상세법",FPV(H4642,K4642),IF(H4642="EI",4,IF(H4642="EO",5.2,IF(H4642="EQ",3.9,IF(H4642="ILF",7.5,IF(H4642="EIF",5.4)))))))</f>
        <v/>
      </c>
      <c r="M4642" s="112" t="str">
        <f t="shared" si="75"/>
        <v/>
      </c>
      <c r="N4642" s="113"/>
    </row>
    <row r="4643" spans="2:14">
      <c r="B4643" s="105"/>
      <c r="C4643" s="106"/>
      <c r="D4643" s="107"/>
      <c r="E4643" s="65"/>
      <c r="F4643" s="64"/>
      <c r="G4643" s="64"/>
      <c r="H4643" s="64"/>
      <c r="I4643" s="70"/>
      <c r="J4643" s="70"/>
      <c r="K4643" s="110" t="str">
        <f>IF(H4643="","",IF($C$29="간이법","",FPR(H4643,I4643,J4643)))</f>
        <v/>
      </c>
      <c r="L4643" s="111" t="str">
        <f>IF(H4643="","",IF($C$29="상세법",FPV(H4643,K4643),IF(H4643="EI",4,IF(H4643="EO",5.2,IF(H4643="EQ",3.9,IF(H4643="ILF",7.5,IF(H4643="EIF",5.4)))))))</f>
        <v/>
      </c>
      <c r="M4643" s="112" t="str">
        <f t="shared" si="75"/>
        <v/>
      </c>
      <c r="N4643" s="113"/>
    </row>
    <row r="4644" spans="2:14">
      <c r="B4644" s="105"/>
      <c r="C4644" s="106"/>
      <c r="D4644" s="107"/>
      <c r="E4644" s="65"/>
      <c r="F4644" s="64"/>
      <c r="G4644" s="64"/>
      <c r="H4644" s="64"/>
      <c r="I4644" s="70"/>
      <c r="J4644" s="70"/>
      <c r="K4644" s="110" t="str">
        <f>IF(H4644="","",IF($C$29="간이법","",FPR(H4644,I4644,J4644)))</f>
        <v/>
      </c>
      <c r="L4644" s="111" t="str">
        <f>IF(H4644="","",IF($C$29="상세법",FPV(H4644,K4644),IF(H4644="EI",4,IF(H4644="EO",5.2,IF(H4644="EQ",3.9,IF(H4644="ILF",7.5,IF(H4644="EIF",5.4)))))))</f>
        <v/>
      </c>
      <c r="M4644" s="112" t="str">
        <f t="shared" si="75"/>
        <v/>
      </c>
      <c r="N4644" s="113"/>
    </row>
    <row r="4645" spans="2:14">
      <c r="B4645" s="105"/>
      <c r="C4645" s="106"/>
      <c r="D4645" s="107"/>
      <c r="E4645" s="65"/>
      <c r="F4645" s="64"/>
      <c r="G4645" s="64"/>
      <c r="H4645" s="64"/>
      <c r="I4645" s="70"/>
      <c r="J4645" s="70"/>
      <c r="K4645" s="110" t="str">
        <f>IF(H4645="","",IF($C$29="간이법","",FPR(H4645,I4645,J4645)))</f>
        <v/>
      </c>
      <c r="L4645" s="111" t="str">
        <f>IF(H4645="","",IF($C$29="상세법",FPV(H4645,K4645),IF(H4645="EI",4,IF(H4645="EO",5.2,IF(H4645="EQ",3.9,IF(H4645="ILF",7.5,IF(H4645="EIF",5.4)))))))</f>
        <v/>
      </c>
      <c r="M4645" s="112" t="str">
        <f t="shared" si="75"/>
        <v/>
      </c>
      <c r="N4645" s="113"/>
    </row>
    <row r="4646" spans="2:14">
      <c r="B4646" s="105"/>
      <c r="C4646" s="106"/>
      <c r="D4646" s="107"/>
      <c r="E4646" s="65"/>
      <c r="F4646" s="64"/>
      <c r="G4646" s="64"/>
      <c r="H4646" s="64"/>
      <c r="I4646" s="70"/>
      <c r="J4646" s="70"/>
      <c r="K4646" s="110" t="str">
        <f>IF(H4646="","",IF($C$29="간이법","",FPR(H4646,I4646,J4646)))</f>
        <v/>
      </c>
      <c r="L4646" s="111" t="str">
        <f>IF(H4646="","",IF($C$29="상세법",FPV(H4646,K4646),IF(H4646="EI",4,IF(H4646="EO",5.2,IF(H4646="EQ",3.9,IF(H4646="ILF",7.5,IF(H4646="EIF",5.4)))))))</f>
        <v/>
      </c>
      <c r="M4646" s="112" t="str">
        <f t="shared" si="75"/>
        <v/>
      </c>
      <c r="N4646" s="113"/>
    </row>
    <row r="4647" spans="2:14">
      <c r="B4647" s="105"/>
      <c r="C4647" s="106"/>
      <c r="D4647" s="107"/>
      <c r="E4647" s="65"/>
      <c r="F4647" s="64"/>
      <c r="G4647" s="64"/>
      <c r="H4647" s="64"/>
      <c r="I4647" s="70"/>
      <c r="J4647" s="70"/>
      <c r="K4647" s="110" t="str">
        <f>IF(H4647="","",IF($C$29="간이법","",FPR(H4647,I4647,J4647)))</f>
        <v/>
      </c>
      <c r="L4647" s="111" t="str">
        <f>IF(H4647="","",IF($C$29="상세법",FPV(H4647,K4647),IF(H4647="EI",4,IF(H4647="EO",5.2,IF(H4647="EQ",3.9,IF(H4647="ILF",7.5,IF(H4647="EIF",5.4)))))))</f>
        <v/>
      </c>
      <c r="M4647" s="112" t="str">
        <f t="shared" si="75"/>
        <v/>
      </c>
      <c r="N4647" s="113"/>
    </row>
    <row r="4648" spans="2:14">
      <c r="B4648" s="105"/>
      <c r="C4648" s="106"/>
      <c r="D4648" s="107"/>
      <c r="E4648" s="65"/>
      <c r="F4648" s="64"/>
      <c r="G4648" s="64"/>
      <c r="H4648" s="64"/>
      <c r="I4648" s="70"/>
      <c r="J4648" s="70"/>
      <c r="K4648" s="110" t="str">
        <f>IF(H4648="","",IF($C$29="간이법","",FPR(H4648,I4648,J4648)))</f>
        <v/>
      </c>
      <c r="L4648" s="111" t="str">
        <f>IF(H4648="","",IF($C$29="상세법",FPV(H4648,K4648),IF(H4648="EI",4,IF(H4648="EO",5.2,IF(H4648="EQ",3.9,IF(H4648="ILF",7.5,IF(H4648="EIF",5.4)))))))</f>
        <v/>
      </c>
      <c r="M4648" s="112" t="str">
        <f t="shared" si="75"/>
        <v/>
      </c>
      <c r="N4648" s="113"/>
    </row>
    <row r="4649" spans="2:14">
      <c r="B4649" s="105"/>
      <c r="C4649" s="106"/>
      <c r="D4649" s="107"/>
      <c r="E4649" s="65"/>
      <c r="F4649" s="64"/>
      <c r="G4649" s="64"/>
      <c r="H4649" s="64"/>
      <c r="I4649" s="70"/>
      <c r="J4649" s="70"/>
      <c r="K4649" s="110" t="str">
        <f>IF(H4649="","",IF($C$29="간이법","",FPR(H4649,I4649,J4649)))</f>
        <v/>
      </c>
      <c r="L4649" s="111" t="str">
        <f>IF(H4649="","",IF($C$29="상세법",FPV(H4649,K4649),IF(H4649="EI",4,IF(H4649="EO",5.2,IF(H4649="EQ",3.9,IF(H4649="ILF",7.5,IF(H4649="EIF",5.4)))))))</f>
        <v/>
      </c>
      <c r="M4649" s="112" t="str">
        <f t="shared" si="75"/>
        <v/>
      </c>
      <c r="N4649" s="113"/>
    </row>
    <row r="4650" spans="2:14">
      <c r="B4650" s="105"/>
      <c r="C4650" s="106"/>
      <c r="D4650" s="107"/>
      <c r="E4650" s="65"/>
      <c r="F4650" s="64"/>
      <c r="G4650" s="64"/>
      <c r="H4650" s="64"/>
      <c r="I4650" s="70"/>
      <c r="J4650" s="70"/>
      <c r="K4650" s="110" t="str">
        <f>IF(H4650="","",IF($C$29="간이법","",FPR(H4650,I4650,J4650)))</f>
        <v/>
      </c>
      <c r="L4650" s="111" t="str">
        <f>IF(H4650="","",IF($C$29="상세법",FPV(H4650,K4650),IF(H4650="EI",4,IF(H4650="EO",5.2,IF(H4650="EQ",3.9,IF(H4650="ILF",7.5,IF(H4650="EIF",5.4)))))))</f>
        <v/>
      </c>
      <c r="M4650" s="112" t="str">
        <f t="shared" si="75"/>
        <v/>
      </c>
      <c r="N4650" s="113"/>
    </row>
    <row r="4651" spans="2:14">
      <c r="B4651" s="105"/>
      <c r="C4651" s="106"/>
      <c r="D4651" s="107"/>
      <c r="E4651" s="65"/>
      <c r="F4651" s="64"/>
      <c r="G4651" s="64"/>
      <c r="H4651" s="64"/>
      <c r="I4651" s="70"/>
      <c r="J4651" s="70"/>
      <c r="K4651" s="110" t="str">
        <f>IF(H4651="","",IF($C$29="간이법","",FPR(H4651,I4651,J4651)))</f>
        <v/>
      </c>
      <c r="L4651" s="111" t="str">
        <f>IF(H4651="","",IF($C$29="상세법",FPV(H4651,K4651),IF(H4651="EI",4,IF(H4651="EO",5.2,IF(H4651="EQ",3.9,IF(H4651="ILF",7.5,IF(H4651="EIF",5.4)))))))</f>
        <v/>
      </c>
      <c r="M4651" s="112" t="str">
        <f t="shared" si="75"/>
        <v/>
      </c>
      <c r="N4651" s="113"/>
    </row>
    <row r="4652" spans="2:14">
      <c r="B4652" s="105"/>
      <c r="C4652" s="106"/>
      <c r="D4652" s="107"/>
      <c r="E4652" s="65"/>
      <c r="F4652" s="64"/>
      <c r="G4652" s="64"/>
      <c r="H4652" s="64"/>
      <c r="I4652" s="70"/>
      <c r="J4652" s="70"/>
      <c r="K4652" s="110" t="str">
        <f>IF(H4652="","",IF($C$29="간이법","",FPR(H4652,I4652,J4652)))</f>
        <v/>
      </c>
      <c r="L4652" s="111" t="str">
        <f>IF(H4652="","",IF($C$29="상세법",FPV(H4652,K4652),IF(H4652="EI",4,IF(H4652="EO",5.2,IF(H4652="EQ",3.9,IF(H4652="ILF",7.5,IF(H4652="EIF",5.4)))))))</f>
        <v/>
      </c>
      <c r="M4652" s="112" t="str">
        <f t="shared" si="75"/>
        <v/>
      </c>
      <c r="N4652" s="113"/>
    </row>
    <row r="4653" spans="2:14">
      <c r="B4653" s="105"/>
      <c r="C4653" s="106"/>
      <c r="D4653" s="107"/>
      <c r="E4653" s="65"/>
      <c r="F4653" s="64"/>
      <c r="G4653" s="64"/>
      <c r="H4653" s="64"/>
      <c r="I4653" s="70"/>
      <c r="J4653" s="70"/>
      <c r="K4653" s="110" t="str">
        <f>IF(H4653="","",IF($C$29="간이법","",FPR(H4653,I4653,J4653)))</f>
        <v/>
      </c>
      <c r="L4653" s="111" t="str">
        <f>IF(H4653="","",IF($C$29="상세법",FPV(H4653,K4653),IF(H4653="EI",4,IF(H4653="EO",5.2,IF(H4653="EQ",3.9,IF(H4653="ILF",7.5,IF(H4653="EIF",5.4)))))))</f>
        <v/>
      </c>
      <c r="M4653" s="112" t="str">
        <f t="shared" si="75"/>
        <v/>
      </c>
      <c r="N4653" s="113"/>
    </row>
    <row r="4654" spans="2:14">
      <c r="B4654" s="105"/>
      <c r="C4654" s="106"/>
      <c r="D4654" s="107"/>
      <c r="E4654" s="65"/>
      <c r="F4654" s="64"/>
      <c r="G4654" s="64"/>
      <c r="H4654" s="64"/>
      <c r="I4654" s="70"/>
      <c r="J4654" s="70"/>
      <c r="K4654" s="110" t="str">
        <f>IF(H4654="","",IF($C$29="간이법","",FPR(H4654,I4654,J4654)))</f>
        <v/>
      </c>
      <c r="L4654" s="111" t="str">
        <f>IF(H4654="","",IF($C$29="상세법",FPV(H4654,K4654),IF(H4654="EI",4,IF(H4654="EO",5.2,IF(H4654="EQ",3.9,IF(H4654="ILF",7.5,IF(H4654="EIF",5.4)))))))</f>
        <v/>
      </c>
      <c r="M4654" s="112" t="str">
        <f t="shared" si="75"/>
        <v/>
      </c>
      <c r="N4654" s="113"/>
    </row>
    <row r="4655" spans="2:14">
      <c r="B4655" s="105"/>
      <c r="C4655" s="106"/>
      <c r="D4655" s="107"/>
      <c r="E4655" s="65"/>
      <c r="F4655" s="64"/>
      <c r="G4655" s="64"/>
      <c r="H4655" s="64"/>
      <c r="I4655" s="70"/>
      <c r="J4655" s="70"/>
      <c r="K4655" s="110" t="str">
        <f>IF(H4655="","",IF($C$29="간이법","",FPR(H4655,I4655,J4655)))</f>
        <v/>
      </c>
      <c r="L4655" s="111" t="str">
        <f>IF(H4655="","",IF($C$29="상세법",FPV(H4655,K4655),IF(H4655="EI",4,IF(H4655="EO",5.2,IF(H4655="EQ",3.9,IF(H4655="ILF",7.5,IF(H4655="EIF",5.4)))))))</f>
        <v/>
      </c>
      <c r="M4655" s="112" t="str">
        <f t="shared" si="75"/>
        <v/>
      </c>
      <c r="N4655" s="113"/>
    </row>
    <row r="4656" spans="2:14">
      <c r="B4656" s="105"/>
      <c r="C4656" s="106"/>
      <c r="D4656" s="107"/>
      <c r="E4656" s="65"/>
      <c r="F4656" s="64"/>
      <c r="G4656" s="64"/>
      <c r="H4656" s="64"/>
      <c r="I4656" s="70"/>
      <c r="J4656" s="70"/>
      <c r="K4656" s="110" t="str">
        <f>IF(H4656="","",IF($C$29="간이법","",FPR(H4656,I4656,J4656)))</f>
        <v/>
      </c>
      <c r="L4656" s="111" t="str">
        <f>IF(H4656="","",IF($C$29="상세법",FPV(H4656,K4656),IF(H4656="EI",4,IF(H4656="EO",5.2,IF(H4656="EQ",3.9,IF(H4656="ILF",7.5,IF(H4656="EIF",5.4)))))))</f>
        <v/>
      </c>
      <c r="M4656" s="112" t="str">
        <f t="shared" si="75"/>
        <v/>
      </c>
      <c r="N4656" s="113"/>
    </row>
    <row r="4657" spans="2:14">
      <c r="B4657" s="105"/>
      <c r="C4657" s="106"/>
      <c r="D4657" s="107"/>
      <c r="E4657" s="65"/>
      <c r="F4657" s="64"/>
      <c r="G4657" s="64"/>
      <c r="H4657" s="64"/>
      <c r="I4657" s="70"/>
      <c r="J4657" s="70"/>
      <c r="K4657" s="110" t="str">
        <f>IF(H4657="","",IF($C$29="간이법","",FPR(H4657,I4657,J4657)))</f>
        <v/>
      </c>
      <c r="L4657" s="111" t="str">
        <f>IF(H4657="","",IF($C$29="상세법",FPV(H4657,K4657),IF(H4657="EI",4,IF(H4657="EO",5.2,IF(H4657="EQ",3.9,IF(H4657="ILF",7.5,IF(H4657="EIF",5.4)))))))</f>
        <v/>
      </c>
      <c r="M4657" s="112" t="str">
        <f t="shared" si="75"/>
        <v/>
      </c>
      <c r="N4657" s="113"/>
    </row>
    <row r="4658" spans="2:14">
      <c r="B4658" s="105"/>
      <c r="C4658" s="106"/>
      <c r="D4658" s="107"/>
      <c r="E4658" s="65"/>
      <c r="F4658" s="64"/>
      <c r="G4658" s="64"/>
      <c r="H4658" s="64"/>
      <c r="I4658" s="70"/>
      <c r="J4658" s="70"/>
      <c r="K4658" s="110" t="str">
        <f>IF(H4658="","",IF($C$29="간이법","",FPR(H4658,I4658,J4658)))</f>
        <v/>
      </c>
      <c r="L4658" s="111" t="str">
        <f>IF(H4658="","",IF($C$29="상세법",FPV(H4658,K4658),IF(H4658="EI",4,IF(H4658="EO",5.2,IF(H4658="EQ",3.9,IF(H4658="ILF",7.5,IF(H4658="EIF",5.4)))))))</f>
        <v/>
      </c>
      <c r="M4658" s="112" t="str">
        <f t="shared" si="75"/>
        <v/>
      </c>
      <c r="N4658" s="113"/>
    </row>
    <row r="4659" spans="2:14">
      <c r="B4659" s="105"/>
      <c r="C4659" s="106"/>
      <c r="D4659" s="107"/>
      <c r="E4659" s="65"/>
      <c r="F4659" s="64"/>
      <c r="G4659" s="64"/>
      <c r="H4659" s="64"/>
      <c r="I4659" s="70"/>
      <c r="J4659" s="70"/>
      <c r="K4659" s="110" t="str">
        <f>IF(H4659="","",IF($C$29="간이법","",FPR(H4659,I4659,J4659)))</f>
        <v/>
      </c>
      <c r="L4659" s="111" t="str">
        <f>IF(H4659="","",IF($C$29="상세법",FPV(H4659,K4659),IF(H4659="EI",4,IF(H4659="EO",5.2,IF(H4659="EQ",3.9,IF(H4659="ILF",7.5,IF(H4659="EIF",5.4)))))))</f>
        <v/>
      </c>
      <c r="M4659" s="112" t="str">
        <f t="shared" si="75"/>
        <v/>
      </c>
      <c r="N4659" s="113"/>
    </row>
    <row r="4660" spans="2:14">
      <c r="B4660" s="105"/>
      <c r="C4660" s="106"/>
      <c r="D4660" s="107"/>
      <c r="E4660" s="65"/>
      <c r="F4660" s="64"/>
      <c r="G4660" s="64"/>
      <c r="H4660" s="64"/>
      <c r="I4660" s="70"/>
      <c r="J4660" s="70"/>
      <c r="K4660" s="110" t="str">
        <f>IF(H4660="","",IF($C$29="간이법","",FPR(H4660,I4660,J4660)))</f>
        <v/>
      </c>
      <c r="L4660" s="111" t="str">
        <f>IF(H4660="","",IF($C$29="상세법",FPV(H4660,K4660),IF(H4660="EI",4,IF(H4660="EO",5.2,IF(H4660="EQ",3.9,IF(H4660="ILF",7.5,IF(H4660="EIF",5.4)))))))</f>
        <v/>
      </c>
      <c r="M4660" s="112" t="str">
        <f t="shared" si="75"/>
        <v/>
      </c>
      <c r="N4660" s="113"/>
    </row>
    <row r="4661" spans="2:14">
      <c r="B4661" s="105"/>
      <c r="C4661" s="106"/>
      <c r="D4661" s="107"/>
      <c r="E4661" s="65"/>
      <c r="F4661" s="64"/>
      <c r="G4661" s="64"/>
      <c r="H4661" s="64"/>
      <c r="I4661" s="70"/>
      <c r="J4661" s="70"/>
      <c r="K4661" s="110" t="str">
        <f>IF(H4661="","",IF($C$29="간이법","",FPR(H4661,I4661,J4661)))</f>
        <v/>
      </c>
      <c r="L4661" s="111" t="str">
        <f>IF(H4661="","",IF($C$29="상세법",FPV(H4661,K4661),IF(H4661="EI",4,IF(H4661="EO",5.2,IF(H4661="EQ",3.9,IF(H4661="ILF",7.5,IF(H4661="EIF",5.4)))))))</f>
        <v/>
      </c>
      <c r="M4661" s="112" t="str">
        <f t="shared" si="75"/>
        <v/>
      </c>
      <c r="N4661" s="113"/>
    </row>
    <row r="4662" spans="2:14">
      <c r="B4662" s="105"/>
      <c r="C4662" s="106"/>
      <c r="D4662" s="107"/>
      <c r="E4662" s="65"/>
      <c r="F4662" s="64"/>
      <c r="G4662" s="64"/>
      <c r="H4662" s="64"/>
      <c r="I4662" s="70"/>
      <c r="J4662" s="70"/>
      <c r="K4662" s="110" t="str">
        <f>IF(H4662="","",IF($C$29="간이법","",FPR(H4662,I4662,J4662)))</f>
        <v/>
      </c>
      <c r="L4662" s="111" t="str">
        <f>IF(H4662="","",IF($C$29="상세법",FPV(H4662,K4662),IF(H4662="EI",4,IF(H4662="EO",5.2,IF(H4662="EQ",3.9,IF(H4662="ILF",7.5,IF(H4662="EIF",5.4)))))))</f>
        <v/>
      </c>
      <c r="M4662" s="112" t="str">
        <f t="shared" si="75"/>
        <v/>
      </c>
      <c r="N4662" s="113"/>
    </row>
    <row r="4663" spans="2:14">
      <c r="B4663" s="105"/>
      <c r="C4663" s="106"/>
      <c r="D4663" s="107"/>
      <c r="E4663" s="65"/>
      <c r="F4663" s="64"/>
      <c r="G4663" s="64"/>
      <c r="H4663" s="64"/>
      <c r="I4663" s="70"/>
      <c r="J4663" s="70"/>
      <c r="K4663" s="110" t="str">
        <f>IF(H4663="","",IF($C$29="간이법","",FPR(H4663,I4663,J4663)))</f>
        <v/>
      </c>
      <c r="L4663" s="111" t="str">
        <f>IF(H4663="","",IF($C$29="상세법",FPV(H4663,K4663),IF(H4663="EI",4,IF(H4663="EO",5.2,IF(H4663="EQ",3.9,IF(H4663="ILF",7.5,IF(H4663="EIF",5.4)))))))</f>
        <v/>
      </c>
      <c r="M4663" s="112" t="str">
        <f t="shared" si="75"/>
        <v/>
      </c>
      <c r="N4663" s="113"/>
    </row>
    <row r="4664" spans="2:14">
      <c r="B4664" s="105"/>
      <c r="C4664" s="106"/>
      <c r="D4664" s="107"/>
      <c r="E4664" s="65"/>
      <c r="F4664" s="64"/>
      <c r="G4664" s="64"/>
      <c r="H4664" s="64"/>
      <c r="I4664" s="70"/>
      <c r="J4664" s="70"/>
      <c r="K4664" s="110" t="str">
        <f>IF(H4664="","",IF($C$29="간이법","",FPR(H4664,I4664,J4664)))</f>
        <v/>
      </c>
      <c r="L4664" s="111" t="str">
        <f>IF(H4664="","",IF($C$29="상세법",FPV(H4664,K4664),IF(H4664="EI",4,IF(H4664="EO",5.2,IF(H4664="EQ",3.9,IF(H4664="ILF",7.5,IF(H4664="EIF",5.4)))))))</f>
        <v/>
      </c>
      <c r="M4664" s="112" t="str">
        <f t="shared" si="75"/>
        <v/>
      </c>
      <c r="N4664" s="113"/>
    </row>
    <row r="4665" spans="2:14">
      <c r="B4665" s="105"/>
      <c r="C4665" s="106"/>
      <c r="D4665" s="107"/>
      <c r="E4665" s="65"/>
      <c r="F4665" s="64"/>
      <c r="G4665" s="64"/>
      <c r="H4665" s="64"/>
      <c r="I4665" s="70"/>
      <c r="J4665" s="70"/>
      <c r="K4665" s="110" t="str">
        <f>IF(H4665="","",IF($C$29="간이법","",FPR(H4665,I4665,J4665)))</f>
        <v/>
      </c>
      <c r="L4665" s="111" t="str">
        <f>IF(H4665="","",IF($C$29="상세법",FPV(H4665,K4665),IF(H4665="EI",4,IF(H4665="EO",5.2,IF(H4665="EQ",3.9,IF(H4665="ILF",7.5,IF(H4665="EIF",5.4)))))))</f>
        <v/>
      </c>
      <c r="M4665" s="112" t="str">
        <f t="shared" ref="M4665:M4728" si="76">IF(L4665="","",L4665*IF(G4665="상",0.7,IF(G4665="중",0.5,IF(G4665="하",0.2,1))))</f>
        <v/>
      </c>
      <c r="N4665" s="113"/>
    </row>
    <row r="4666" spans="2:14">
      <c r="B4666" s="105"/>
      <c r="C4666" s="106"/>
      <c r="D4666" s="107"/>
      <c r="E4666" s="65"/>
      <c r="F4666" s="64"/>
      <c r="G4666" s="64"/>
      <c r="H4666" s="64"/>
      <c r="I4666" s="70"/>
      <c r="J4666" s="70"/>
      <c r="K4666" s="110" t="str">
        <f>IF(H4666="","",IF($C$29="간이법","",FPR(H4666,I4666,J4666)))</f>
        <v/>
      </c>
      <c r="L4666" s="111" t="str">
        <f>IF(H4666="","",IF($C$29="상세법",FPV(H4666,K4666),IF(H4666="EI",4,IF(H4666="EO",5.2,IF(H4666="EQ",3.9,IF(H4666="ILF",7.5,IF(H4666="EIF",5.4)))))))</f>
        <v/>
      </c>
      <c r="M4666" s="112" t="str">
        <f t="shared" si="76"/>
        <v/>
      </c>
      <c r="N4666" s="113"/>
    </row>
    <row r="4667" spans="2:14">
      <c r="B4667" s="105"/>
      <c r="C4667" s="106"/>
      <c r="D4667" s="107"/>
      <c r="E4667" s="65"/>
      <c r="F4667" s="64"/>
      <c r="G4667" s="64"/>
      <c r="H4667" s="64"/>
      <c r="I4667" s="70"/>
      <c r="J4667" s="70"/>
      <c r="K4667" s="110" t="str">
        <f>IF(H4667="","",IF($C$29="간이법","",FPR(H4667,I4667,J4667)))</f>
        <v/>
      </c>
      <c r="L4667" s="111" t="str">
        <f>IF(H4667="","",IF($C$29="상세법",FPV(H4667,K4667),IF(H4667="EI",4,IF(H4667="EO",5.2,IF(H4667="EQ",3.9,IF(H4667="ILF",7.5,IF(H4667="EIF",5.4)))))))</f>
        <v/>
      </c>
      <c r="M4667" s="112" t="str">
        <f t="shared" si="76"/>
        <v/>
      </c>
      <c r="N4667" s="113"/>
    </row>
    <row r="4668" spans="2:14">
      <c r="B4668" s="105"/>
      <c r="C4668" s="106"/>
      <c r="D4668" s="107"/>
      <c r="E4668" s="65"/>
      <c r="F4668" s="64"/>
      <c r="G4668" s="64"/>
      <c r="H4668" s="64"/>
      <c r="I4668" s="70"/>
      <c r="J4668" s="70"/>
      <c r="K4668" s="110" t="str">
        <f>IF(H4668="","",IF($C$29="간이법","",FPR(H4668,I4668,J4668)))</f>
        <v/>
      </c>
      <c r="L4668" s="111" t="str">
        <f>IF(H4668="","",IF($C$29="상세법",FPV(H4668,K4668),IF(H4668="EI",4,IF(H4668="EO",5.2,IF(H4668="EQ",3.9,IF(H4668="ILF",7.5,IF(H4668="EIF",5.4)))))))</f>
        <v/>
      </c>
      <c r="M4668" s="112" t="str">
        <f t="shared" si="76"/>
        <v/>
      </c>
      <c r="N4668" s="113"/>
    </row>
    <row r="4669" spans="2:14">
      <c r="B4669" s="105"/>
      <c r="C4669" s="106"/>
      <c r="D4669" s="107"/>
      <c r="E4669" s="65"/>
      <c r="F4669" s="64"/>
      <c r="G4669" s="64"/>
      <c r="H4669" s="64"/>
      <c r="I4669" s="70"/>
      <c r="J4669" s="70"/>
      <c r="K4669" s="110" t="str">
        <f>IF(H4669="","",IF($C$29="간이법","",FPR(H4669,I4669,J4669)))</f>
        <v/>
      </c>
      <c r="L4669" s="111" t="str">
        <f>IF(H4669="","",IF($C$29="상세법",FPV(H4669,K4669),IF(H4669="EI",4,IF(H4669="EO",5.2,IF(H4669="EQ",3.9,IF(H4669="ILF",7.5,IF(H4669="EIF",5.4)))))))</f>
        <v/>
      </c>
      <c r="M4669" s="112" t="str">
        <f t="shared" si="76"/>
        <v/>
      </c>
      <c r="N4669" s="113"/>
    </row>
    <row r="4670" spans="2:14">
      <c r="B4670" s="105"/>
      <c r="C4670" s="106"/>
      <c r="D4670" s="107"/>
      <c r="E4670" s="65"/>
      <c r="F4670" s="64"/>
      <c r="G4670" s="64"/>
      <c r="H4670" s="64"/>
      <c r="I4670" s="70"/>
      <c r="J4670" s="70"/>
      <c r="K4670" s="110" t="str">
        <f>IF(H4670="","",IF($C$29="간이법","",FPR(H4670,I4670,J4670)))</f>
        <v/>
      </c>
      <c r="L4670" s="111" t="str">
        <f>IF(H4670="","",IF($C$29="상세법",FPV(H4670,K4670),IF(H4670="EI",4,IF(H4670="EO",5.2,IF(H4670="EQ",3.9,IF(H4670="ILF",7.5,IF(H4670="EIF",5.4)))))))</f>
        <v/>
      </c>
      <c r="M4670" s="112" t="str">
        <f t="shared" si="76"/>
        <v/>
      </c>
      <c r="N4670" s="113"/>
    </row>
    <row r="4671" spans="2:14">
      <c r="B4671" s="105"/>
      <c r="C4671" s="106"/>
      <c r="D4671" s="107"/>
      <c r="E4671" s="65"/>
      <c r="F4671" s="64"/>
      <c r="G4671" s="64"/>
      <c r="H4671" s="64"/>
      <c r="I4671" s="70"/>
      <c r="J4671" s="70"/>
      <c r="K4671" s="110" t="str">
        <f>IF(H4671="","",IF($C$29="간이법","",FPR(H4671,I4671,J4671)))</f>
        <v/>
      </c>
      <c r="L4671" s="111" t="str">
        <f>IF(H4671="","",IF($C$29="상세법",FPV(H4671,K4671),IF(H4671="EI",4,IF(H4671="EO",5.2,IF(H4671="EQ",3.9,IF(H4671="ILF",7.5,IF(H4671="EIF",5.4)))))))</f>
        <v/>
      </c>
      <c r="M4671" s="112" t="str">
        <f t="shared" si="76"/>
        <v/>
      </c>
      <c r="N4671" s="113"/>
    </row>
    <row r="4672" spans="2:14">
      <c r="B4672" s="105"/>
      <c r="C4672" s="106"/>
      <c r="D4672" s="107"/>
      <c r="E4672" s="65"/>
      <c r="F4672" s="64"/>
      <c r="G4672" s="64"/>
      <c r="H4672" s="64"/>
      <c r="I4672" s="70"/>
      <c r="J4672" s="70"/>
      <c r="K4672" s="110" t="str">
        <f>IF(H4672="","",IF($C$29="간이법","",FPR(H4672,I4672,J4672)))</f>
        <v/>
      </c>
      <c r="L4672" s="111" t="str">
        <f>IF(H4672="","",IF($C$29="상세법",FPV(H4672,K4672),IF(H4672="EI",4,IF(H4672="EO",5.2,IF(H4672="EQ",3.9,IF(H4672="ILF",7.5,IF(H4672="EIF",5.4)))))))</f>
        <v/>
      </c>
      <c r="M4672" s="112" t="str">
        <f t="shared" si="76"/>
        <v/>
      </c>
      <c r="N4672" s="113"/>
    </row>
    <row r="4673" spans="2:14">
      <c r="B4673" s="105"/>
      <c r="C4673" s="106"/>
      <c r="D4673" s="107"/>
      <c r="E4673" s="65"/>
      <c r="F4673" s="64"/>
      <c r="G4673" s="64"/>
      <c r="H4673" s="64"/>
      <c r="I4673" s="70"/>
      <c r="J4673" s="70"/>
      <c r="K4673" s="110" t="str">
        <f>IF(H4673="","",IF($C$29="간이법","",FPR(H4673,I4673,J4673)))</f>
        <v/>
      </c>
      <c r="L4673" s="111" t="str">
        <f>IF(H4673="","",IF($C$29="상세법",FPV(H4673,K4673),IF(H4673="EI",4,IF(H4673="EO",5.2,IF(H4673="EQ",3.9,IF(H4673="ILF",7.5,IF(H4673="EIF",5.4)))))))</f>
        <v/>
      </c>
      <c r="M4673" s="112" t="str">
        <f t="shared" si="76"/>
        <v/>
      </c>
      <c r="N4673" s="113"/>
    </row>
    <row r="4674" spans="2:14">
      <c r="B4674" s="105"/>
      <c r="C4674" s="106"/>
      <c r="D4674" s="107"/>
      <c r="E4674" s="65"/>
      <c r="F4674" s="64"/>
      <c r="G4674" s="64"/>
      <c r="H4674" s="64"/>
      <c r="I4674" s="70"/>
      <c r="J4674" s="70"/>
      <c r="K4674" s="110" t="str">
        <f>IF(H4674="","",IF($C$29="간이법","",FPR(H4674,I4674,J4674)))</f>
        <v/>
      </c>
      <c r="L4674" s="111" t="str">
        <f>IF(H4674="","",IF($C$29="상세법",FPV(H4674,K4674),IF(H4674="EI",4,IF(H4674="EO",5.2,IF(H4674="EQ",3.9,IF(H4674="ILF",7.5,IF(H4674="EIF",5.4)))))))</f>
        <v/>
      </c>
      <c r="M4674" s="112" t="str">
        <f t="shared" si="76"/>
        <v/>
      </c>
      <c r="N4674" s="113"/>
    </row>
    <row r="4675" spans="2:14">
      <c r="B4675" s="105"/>
      <c r="C4675" s="106"/>
      <c r="D4675" s="107"/>
      <c r="E4675" s="65"/>
      <c r="F4675" s="64"/>
      <c r="G4675" s="64"/>
      <c r="H4675" s="64"/>
      <c r="I4675" s="70"/>
      <c r="J4675" s="70"/>
      <c r="K4675" s="110" t="str">
        <f>IF(H4675="","",IF($C$29="간이법","",FPR(H4675,I4675,J4675)))</f>
        <v/>
      </c>
      <c r="L4675" s="111" t="str">
        <f>IF(H4675="","",IF($C$29="상세법",FPV(H4675,K4675),IF(H4675="EI",4,IF(H4675="EO",5.2,IF(H4675="EQ",3.9,IF(H4675="ILF",7.5,IF(H4675="EIF",5.4)))))))</f>
        <v/>
      </c>
      <c r="M4675" s="112" t="str">
        <f t="shared" si="76"/>
        <v/>
      </c>
      <c r="N4675" s="113"/>
    </row>
    <row r="4676" spans="2:14">
      <c r="B4676" s="105"/>
      <c r="C4676" s="106"/>
      <c r="D4676" s="107"/>
      <c r="E4676" s="65"/>
      <c r="F4676" s="64"/>
      <c r="G4676" s="64"/>
      <c r="H4676" s="64"/>
      <c r="I4676" s="70"/>
      <c r="J4676" s="70"/>
      <c r="K4676" s="110" t="str">
        <f>IF(H4676="","",IF($C$29="간이법","",FPR(H4676,I4676,J4676)))</f>
        <v/>
      </c>
      <c r="L4676" s="111" t="str">
        <f>IF(H4676="","",IF($C$29="상세법",FPV(H4676,K4676),IF(H4676="EI",4,IF(H4676="EO",5.2,IF(H4676="EQ",3.9,IF(H4676="ILF",7.5,IF(H4676="EIF",5.4)))))))</f>
        <v/>
      </c>
      <c r="M4676" s="112" t="str">
        <f t="shared" si="76"/>
        <v/>
      </c>
      <c r="N4676" s="113"/>
    </row>
    <row r="4677" spans="2:14">
      <c r="B4677" s="105"/>
      <c r="C4677" s="106"/>
      <c r="D4677" s="107"/>
      <c r="E4677" s="65"/>
      <c r="F4677" s="64"/>
      <c r="G4677" s="64"/>
      <c r="H4677" s="64"/>
      <c r="I4677" s="70"/>
      <c r="J4677" s="70"/>
      <c r="K4677" s="110" t="str">
        <f>IF(H4677="","",IF($C$29="간이법","",FPR(H4677,I4677,J4677)))</f>
        <v/>
      </c>
      <c r="L4677" s="111" t="str">
        <f>IF(H4677="","",IF($C$29="상세법",FPV(H4677,K4677),IF(H4677="EI",4,IF(H4677="EO",5.2,IF(H4677="EQ",3.9,IF(H4677="ILF",7.5,IF(H4677="EIF",5.4)))))))</f>
        <v/>
      </c>
      <c r="M4677" s="112" t="str">
        <f t="shared" si="76"/>
        <v/>
      </c>
      <c r="N4677" s="113"/>
    </row>
    <row r="4678" spans="2:14">
      <c r="B4678" s="105"/>
      <c r="C4678" s="106"/>
      <c r="D4678" s="107"/>
      <c r="E4678" s="65"/>
      <c r="F4678" s="64"/>
      <c r="G4678" s="64"/>
      <c r="H4678" s="64"/>
      <c r="I4678" s="70"/>
      <c r="J4678" s="70"/>
      <c r="K4678" s="110" t="str">
        <f>IF(H4678="","",IF($C$29="간이법","",FPR(H4678,I4678,J4678)))</f>
        <v/>
      </c>
      <c r="L4678" s="111" t="str">
        <f>IF(H4678="","",IF($C$29="상세법",FPV(H4678,K4678),IF(H4678="EI",4,IF(H4678="EO",5.2,IF(H4678="EQ",3.9,IF(H4678="ILF",7.5,IF(H4678="EIF",5.4)))))))</f>
        <v/>
      </c>
      <c r="M4678" s="112" t="str">
        <f t="shared" si="76"/>
        <v/>
      </c>
      <c r="N4678" s="113"/>
    </row>
    <row r="4679" spans="2:14">
      <c r="B4679" s="105"/>
      <c r="C4679" s="106"/>
      <c r="D4679" s="107"/>
      <c r="E4679" s="65"/>
      <c r="F4679" s="64"/>
      <c r="G4679" s="64"/>
      <c r="H4679" s="64"/>
      <c r="I4679" s="70"/>
      <c r="J4679" s="70"/>
      <c r="K4679" s="110" t="str">
        <f>IF(H4679="","",IF($C$29="간이법","",FPR(H4679,I4679,J4679)))</f>
        <v/>
      </c>
      <c r="L4679" s="111" t="str">
        <f>IF(H4679="","",IF($C$29="상세법",FPV(H4679,K4679),IF(H4679="EI",4,IF(H4679="EO",5.2,IF(H4679="EQ",3.9,IF(H4679="ILF",7.5,IF(H4679="EIF",5.4)))))))</f>
        <v/>
      </c>
      <c r="M4679" s="112" t="str">
        <f t="shared" si="76"/>
        <v/>
      </c>
      <c r="N4679" s="113"/>
    </row>
    <row r="4680" spans="2:14">
      <c r="B4680" s="105"/>
      <c r="C4680" s="106"/>
      <c r="D4680" s="107"/>
      <c r="E4680" s="65"/>
      <c r="F4680" s="64"/>
      <c r="G4680" s="64"/>
      <c r="H4680" s="64"/>
      <c r="I4680" s="70"/>
      <c r="J4680" s="70"/>
      <c r="K4680" s="110" t="str">
        <f>IF(H4680="","",IF($C$29="간이법","",FPR(H4680,I4680,J4680)))</f>
        <v/>
      </c>
      <c r="L4680" s="111" t="str">
        <f>IF(H4680="","",IF($C$29="상세법",FPV(H4680,K4680),IF(H4680="EI",4,IF(H4680="EO",5.2,IF(H4680="EQ",3.9,IF(H4680="ILF",7.5,IF(H4680="EIF",5.4)))))))</f>
        <v/>
      </c>
      <c r="M4680" s="112" t="str">
        <f t="shared" si="76"/>
        <v/>
      </c>
      <c r="N4680" s="113"/>
    </row>
    <row r="4681" spans="2:14">
      <c r="B4681" s="105"/>
      <c r="C4681" s="106"/>
      <c r="D4681" s="107"/>
      <c r="E4681" s="65"/>
      <c r="F4681" s="64"/>
      <c r="G4681" s="64"/>
      <c r="H4681" s="64"/>
      <c r="I4681" s="70"/>
      <c r="J4681" s="70"/>
      <c r="K4681" s="110" t="str">
        <f>IF(H4681="","",IF($C$29="간이법","",FPR(H4681,I4681,J4681)))</f>
        <v/>
      </c>
      <c r="L4681" s="111" t="str">
        <f>IF(H4681="","",IF($C$29="상세법",FPV(H4681,K4681),IF(H4681="EI",4,IF(H4681="EO",5.2,IF(H4681="EQ",3.9,IF(H4681="ILF",7.5,IF(H4681="EIF",5.4)))))))</f>
        <v/>
      </c>
      <c r="M4681" s="112" t="str">
        <f t="shared" si="76"/>
        <v/>
      </c>
      <c r="N4681" s="113"/>
    </row>
    <row r="4682" spans="2:14">
      <c r="B4682" s="105"/>
      <c r="C4682" s="106"/>
      <c r="D4682" s="107"/>
      <c r="E4682" s="65"/>
      <c r="F4682" s="64"/>
      <c r="G4682" s="64"/>
      <c r="H4682" s="64"/>
      <c r="I4682" s="70"/>
      <c r="J4682" s="70"/>
      <c r="K4682" s="110" t="str">
        <f>IF(H4682="","",IF($C$29="간이법","",FPR(H4682,I4682,J4682)))</f>
        <v/>
      </c>
      <c r="L4682" s="111" t="str">
        <f>IF(H4682="","",IF($C$29="상세법",FPV(H4682,K4682),IF(H4682="EI",4,IF(H4682="EO",5.2,IF(H4682="EQ",3.9,IF(H4682="ILF",7.5,IF(H4682="EIF",5.4)))))))</f>
        <v/>
      </c>
      <c r="M4682" s="112" t="str">
        <f t="shared" si="76"/>
        <v/>
      </c>
      <c r="N4682" s="113"/>
    </row>
    <row r="4683" spans="2:14">
      <c r="B4683" s="105"/>
      <c r="C4683" s="106"/>
      <c r="D4683" s="107"/>
      <c r="E4683" s="65"/>
      <c r="F4683" s="64"/>
      <c r="G4683" s="64"/>
      <c r="H4683" s="64"/>
      <c r="I4683" s="70"/>
      <c r="J4683" s="70"/>
      <c r="K4683" s="110" t="str">
        <f>IF(H4683="","",IF($C$29="간이법","",FPR(H4683,I4683,J4683)))</f>
        <v/>
      </c>
      <c r="L4683" s="111" t="str">
        <f>IF(H4683="","",IF($C$29="상세법",FPV(H4683,K4683),IF(H4683="EI",4,IF(H4683="EO",5.2,IF(H4683="EQ",3.9,IF(H4683="ILF",7.5,IF(H4683="EIF",5.4)))))))</f>
        <v/>
      </c>
      <c r="M4683" s="112" t="str">
        <f t="shared" si="76"/>
        <v/>
      </c>
      <c r="N4683" s="113"/>
    </row>
    <row r="4684" spans="2:14">
      <c r="B4684" s="105"/>
      <c r="C4684" s="106"/>
      <c r="D4684" s="107"/>
      <c r="E4684" s="65"/>
      <c r="F4684" s="64"/>
      <c r="G4684" s="64"/>
      <c r="H4684" s="64"/>
      <c r="I4684" s="70"/>
      <c r="J4684" s="70"/>
      <c r="K4684" s="110" t="str">
        <f>IF(H4684="","",IF($C$29="간이법","",FPR(H4684,I4684,J4684)))</f>
        <v/>
      </c>
      <c r="L4684" s="111" t="str">
        <f>IF(H4684="","",IF($C$29="상세법",FPV(H4684,K4684),IF(H4684="EI",4,IF(H4684="EO",5.2,IF(H4684="EQ",3.9,IF(H4684="ILF",7.5,IF(H4684="EIF",5.4)))))))</f>
        <v/>
      </c>
      <c r="M4684" s="112" t="str">
        <f t="shared" si="76"/>
        <v/>
      </c>
      <c r="N4684" s="113"/>
    </row>
    <row r="4685" spans="2:14">
      <c r="B4685" s="105"/>
      <c r="C4685" s="106"/>
      <c r="D4685" s="107"/>
      <c r="E4685" s="65"/>
      <c r="F4685" s="64"/>
      <c r="G4685" s="64"/>
      <c r="H4685" s="64"/>
      <c r="I4685" s="70"/>
      <c r="J4685" s="70"/>
      <c r="K4685" s="110" t="str">
        <f>IF(H4685="","",IF($C$29="간이법","",FPR(H4685,I4685,J4685)))</f>
        <v/>
      </c>
      <c r="L4685" s="111" t="str">
        <f>IF(H4685="","",IF($C$29="상세법",FPV(H4685,K4685),IF(H4685="EI",4,IF(H4685="EO",5.2,IF(H4685="EQ",3.9,IF(H4685="ILF",7.5,IF(H4685="EIF",5.4)))))))</f>
        <v/>
      </c>
      <c r="M4685" s="112" t="str">
        <f t="shared" si="76"/>
        <v/>
      </c>
      <c r="N4685" s="113"/>
    </row>
    <row r="4686" spans="2:14">
      <c r="B4686" s="105"/>
      <c r="C4686" s="106"/>
      <c r="D4686" s="107"/>
      <c r="E4686" s="65"/>
      <c r="F4686" s="64"/>
      <c r="G4686" s="64"/>
      <c r="H4686" s="64"/>
      <c r="I4686" s="70"/>
      <c r="J4686" s="70"/>
      <c r="K4686" s="110" t="str">
        <f>IF(H4686="","",IF($C$29="간이법","",FPR(H4686,I4686,J4686)))</f>
        <v/>
      </c>
      <c r="L4686" s="111" t="str">
        <f>IF(H4686="","",IF($C$29="상세법",FPV(H4686,K4686),IF(H4686="EI",4,IF(H4686="EO",5.2,IF(H4686="EQ",3.9,IF(H4686="ILF",7.5,IF(H4686="EIF",5.4)))))))</f>
        <v/>
      </c>
      <c r="M4686" s="112" t="str">
        <f t="shared" si="76"/>
        <v/>
      </c>
      <c r="N4686" s="113"/>
    </row>
    <row r="4687" spans="2:14">
      <c r="B4687" s="105"/>
      <c r="C4687" s="106"/>
      <c r="D4687" s="107"/>
      <c r="E4687" s="65"/>
      <c r="F4687" s="64"/>
      <c r="G4687" s="64"/>
      <c r="H4687" s="64"/>
      <c r="I4687" s="70"/>
      <c r="J4687" s="70"/>
      <c r="K4687" s="110" t="str">
        <f>IF(H4687="","",IF($C$29="간이법","",FPR(H4687,I4687,J4687)))</f>
        <v/>
      </c>
      <c r="L4687" s="111" t="str">
        <f>IF(H4687="","",IF($C$29="상세법",FPV(H4687,K4687),IF(H4687="EI",4,IF(H4687="EO",5.2,IF(H4687="EQ",3.9,IF(H4687="ILF",7.5,IF(H4687="EIF",5.4)))))))</f>
        <v/>
      </c>
      <c r="M4687" s="112" t="str">
        <f t="shared" si="76"/>
        <v/>
      </c>
      <c r="N4687" s="113"/>
    </row>
    <row r="4688" spans="2:14">
      <c r="B4688" s="105"/>
      <c r="C4688" s="106"/>
      <c r="D4688" s="107"/>
      <c r="E4688" s="65"/>
      <c r="F4688" s="64"/>
      <c r="G4688" s="64"/>
      <c r="H4688" s="64"/>
      <c r="I4688" s="70"/>
      <c r="J4688" s="70"/>
      <c r="K4688" s="110" t="str">
        <f>IF(H4688="","",IF($C$29="간이법","",FPR(H4688,I4688,J4688)))</f>
        <v/>
      </c>
      <c r="L4688" s="111" t="str">
        <f>IF(H4688="","",IF($C$29="상세법",FPV(H4688,K4688),IF(H4688="EI",4,IF(H4688="EO",5.2,IF(H4688="EQ",3.9,IF(H4688="ILF",7.5,IF(H4688="EIF",5.4)))))))</f>
        <v/>
      </c>
      <c r="M4688" s="112" t="str">
        <f t="shared" si="76"/>
        <v/>
      </c>
      <c r="N4688" s="113"/>
    </row>
    <row r="4689" spans="2:14">
      <c r="B4689" s="105"/>
      <c r="C4689" s="106"/>
      <c r="D4689" s="107"/>
      <c r="E4689" s="65"/>
      <c r="F4689" s="64"/>
      <c r="G4689" s="64"/>
      <c r="H4689" s="64"/>
      <c r="I4689" s="70"/>
      <c r="J4689" s="70"/>
      <c r="K4689" s="110" t="str">
        <f>IF(H4689="","",IF($C$29="간이법","",FPR(H4689,I4689,J4689)))</f>
        <v/>
      </c>
      <c r="L4689" s="111" t="str">
        <f>IF(H4689="","",IF($C$29="상세법",FPV(H4689,K4689),IF(H4689="EI",4,IF(H4689="EO",5.2,IF(H4689="EQ",3.9,IF(H4689="ILF",7.5,IF(H4689="EIF",5.4)))))))</f>
        <v/>
      </c>
      <c r="M4689" s="112" t="str">
        <f t="shared" si="76"/>
        <v/>
      </c>
      <c r="N4689" s="113"/>
    </row>
    <row r="4690" spans="2:14">
      <c r="B4690" s="105"/>
      <c r="C4690" s="106"/>
      <c r="D4690" s="107"/>
      <c r="E4690" s="65"/>
      <c r="F4690" s="64"/>
      <c r="G4690" s="64"/>
      <c r="H4690" s="64"/>
      <c r="I4690" s="70"/>
      <c r="J4690" s="70"/>
      <c r="K4690" s="110" t="str">
        <f>IF(H4690="","",IF($C$29="간이법","",FPR(H4690,I4690,J4690)))</f>
        <v/>
      </c>
      <c r="L4690" s="111" t="str">
        <f>IF(H4690="","",IF($C$29="상세법",FPV(H4690,K4690),IF(H4690="EI",4,IF(H4690="EO",5.2,IF(H4690="EQ",3.9,IF(H4690="ILF",7.5,IF(H4690="EIF",5.4)))))))</f>
        <v/>
      </c>
      <c r="M4690" s="112" t="str">
        <f t="shared" si="76"/>
        <v/>
      </c>
      <c r="N4690" s="113"/>
    </row>
    <row r="4691" spans="2:14">
      <c r="B4691" s="105"/>
      <c r="C4691" s="106"/>
      <c r="D4691" s="107"/>
      <c r="E4691" s="65"/>
      <c r="F4691" s="64"/>
      <c r="G4691" s="64"/>
      <c r="H4691" s="64"/>
      <c r="I4691" s="70"/>
      <c r="J4691" s="70"/>
      <c r="K4691" s="110" t="str">
        <f>IF(H4691="","",IF($C$29="간이법","",FPR(H4691,I4691,J4691)))</f>
        <v/>
      </c>
      <c r="L4691" s="111" t="str">
        <f>IF(H4691="","",IF($C$29="상세법",FPV(H4691,K4691),IF(H4691="EI",4,IF(H4691="EO",5.2,IF(H4691="EQ",3.9,IF(H4691="ILF",7.5,IF(H4691="EIF",5.4)))))))</f>
        <v/>
      </c>
      <c r="M4691" s="112" t="str">
        <f t="shared" si="76"/>
        <v/>
      </c>
      <c r="N4691" s="113"/>
    </row>
    <row r="4692" spans="2:14">
      <c r="B4692" s="105"/>
      <c r="C4692" s="106"/>
      <c r="D4692" s="107"/>
      <c r="E4692" s="65"/>
      <c r="F4692" s="64"/>
      <c r="G4692" s="64"/>
      <c r="H4692" s="64"/>
      <c r="I4692" s="70"/>
      <c r="J4692" s="70"/>
      <c r="K4692" s="110" t="str">
        <f>IF(H4692="","",IF($C$29="간이법","",FPR(H4692,I4692,J4692)))</f>
        <v/>
      </c>
      <c r="L4692" s="111" t="str">
        <f>IF(H4692="","",IF($C$29="상세법",FPV(H4692,K4692),IF(H4692="EI",4,IF(H4692="EO",5.2,IF(H4692="EQ",3.9,IF(H4692="ILF",7.5,IF(H4692="EIF",5.4)))))))</f>
        <v/>
      </c>
      <c r="M4692" s="112" t="str">
        <f t="shared" si="76"/>
        <v/>
      </c>
      <c r="N4692" s="113"/>
    </row>
    <row r="4693" spans="2:14">
      <c r="B4693" s="105"/>
      <c r="C4693" s="106"/>
      <c r="D4693" s="107"/>
      <c r="E4693" s="65"/>
      <c r="F4693" s="64"/>
      <c r="G4693" s="64"/>
      <c r="H4693" s="64"/>
      <c r="I4693" s="70"/>
      <c r="J4693" s="70"/>
      <c r="K4693" s="110" t="str">
        <f>IF(H4693="","",IF($C$29="간이법","",FPR(H4693,I4693,J4693)))</f>
        <v/>
      </c>
      <c r="L4693" s="111" t="str">
        <f>IF(H4693="","",IF($C$29="상세법",FPV(H4693,K4693),IF(H4693="EI",4,IF(H4693="EO",5.2,IF(H4693="EQ",3.9,IF(H4693="ILF",7.5,IF(H4693="EIF",5.4)))))))</f>
        <v/>
      </c>
      <c r="M4693" s="112" t="str">
        <f t="shared" si="76"/>
        <v/>
      </c>
      <c r="N4693" s="113"/>
    </row>
    <row r="4694" spans="2:14">
      <c r="B4694" s="105"/>
      <c r="C4694" s="106"/>
      <c r="D4694" s="107"/>
      <c r="E4694" s="65"/>
      <c r="F4694" s="64"/>
      <c r="G4694" s="64"/>
      <c r="H4694" s="64"/>
      <c r="I4694" s="70"/>
      <c r="J4694" s="70"/>
      <c r="K4694" s="110" t="str">
        <f>IF(H4694="","",IF($C$29="간이법","",FPR(H4694,I4694,J4694)))</f>
        <v/>
      </c>
      <c r="L4694" s="111" t="str">
        <f>IF(H4694="","",IF($C$29="상세법",FPV(H4694,K4694),IF(H4694="EI",4,IF(H4694="EO",5.2,IF(H4694="EQ",3.9,IF(H4694="ILF",7.5,IF(H4694="EIF",5.4)))))))</f>
        <v/>
      </c>
      <c r="M4694" s="112" t="str">
        <f t="shared" si="76"/>
        <v/>
      </c>
      <c r="N4694" s="113"/>
    </row>
    <row r="4695" spans="2:14">
      <c r="B4695" s="105"/>
      <c r="C4695" s="106"/>
      <c r="D4695" s="107"/>
      <c r="E4695" s="65"/>
      <c r="F4695" s="64"/>
      <c r="G4695" s="64"/>
      <c r="H4695" s="64"/>
      <c r="I4695" s="70"/>
      <c r="J4695" s="70"/>
      <c r="K4695" s="110" t="str">
        <f>IF(H4695="","",IF($C$29="간이법","",FPR(H4695,I4695,J4695)))</f>
        <v/>
      </c>
      <c r="L4695" s="111" t="str">
        <f>IF(H4695="","",IF($C$29="상세법",FPV(H4695,K4695),IF(H4695="EI",4,IF(H4695="EO",5.2,IF(H4695="EQ",3.9,IF(H4695="ILF",7.5,IF(H4695="EIF",5.4)))))))</f>
        <v/>
      </c>
      <c r="M4695" s="112" t="str">
        <f t="shared" si="76"/>
        <v/>
      </c>
      <c r="N4695" s="113"/>
    </row>
    <row r="4696" spans="2:14">
      <c r="B4696" s="105"/>
      <c r="C4696" s="106"/>
      <c r="D4696" s="107"/>
      <c r="E4696" s="65"/>
      <c r="F4696" s="64"/>
      <c r="G4696" s="64"/>
      <c r="H4696" s="64"/>
      <c r="I4696" s="70"/>
      <c r="J4696" s="70"/>
      <c r="K4696" s="110" t="str">
        <f>IF(H4696="","",IF($C$29="간이법","",FPR(H4696,I4696,J4696)))</f>
        <v/>
      </c>
      <c r="L4696" s="111" t="str">
        <f>IF(H4696="","",IF($C$29="상세법",FPV(H4696,K4696),IF(H4696="EI",4,IF(H4696="EO",5.2,IF(H4696="EQ",3.9,IF(H4696="ILF",7.5,IF(H4696="EIF",5.4)))))))</f>
        <v/>
      </c>
      <c r="M4696" s="112" t="str">
        <f t="shared" si="76"/>
        <v/>
      </c>
      <c r="N4696" s="113"/>
    </row>
    <row r="4697" spans="2:14">
      <c r="B4697" s="105"/>
      <c r="C4697" s="106"/>
      <c r="D4697" s="107"/>
      <c r="E4697" s="65"/>
      <c r="F4697" s="64"/>
      <c r="G4697" s="64"/>
      <c r="H4697" s="64"/>
      <c r="I4697" s="70"/>
      <c r="J4697" s="70"/>
      <c r="K4697" s="110" t="str">
        <f>IF(H4697="","",IF($C$29="간이법","",FPR(H4697,I4697,J4697)))</f>
        <v/>
      </c>
      <c r="L4697" s="111" t="str">
        <f>IF(H4697="","",IF($C$29="상세법",FPV(H4697,K4697),IF(H4697="EI",4,IF(H4697="EO",5.2,IF(H4697="EQ",3.9,IF(H4697="ILF",7.5,IF(H4697="EIF",5.4)))))))</f>
        <v/>
      </c>
      <c r="M4697" s="112" t="str">
        <f t="shared" si="76"/>
        <v/>
      </c>
      <c r="N4697" s="113"/>
    </row>
    <row r="4698" spans="2:14">
      <c r="B4698" s="105"/>
      <c r="C4698" s="106"/>
      <c r="D4698" s="107"/>
      <c r="E4698" s="65"/>
      <c r="F4698" s="64"/>
      <c r="G4698" s="64"/>
      <c r="H4698" s="64"/>
      <c r="I4698" s="70"/>
      <c r="J4698" s="70"/>
      <c r="K4698" s="110" t="str">
        <f>IF(H4698="","",IF($C$29="간이법","",FPR(H4698,I4698,J4698)))</f>
        <v/>
      </c>
      <c r="L4698" s="111" t="str">
        <f>IF(H4698="","",IF($C$29="상세법",FPV(H4698,K4698),IF(H4698="EI",4,IF(H4698="EO",5.2,IF(H4698="EQ",3.9,IF(H4698="ILF",7.5,IF(H4698="EIF",5.4)))))))</f>
        <v/>
      </c>
      <c r="M4698" s="112" t="str">
        <f t="shared" si="76"/>
        <v/>
      </c>
      <c r="N4698" s="113"/>
    </row>
    <row r="4699" spans="2:14">
      <c r="B4699" s="105"/>
      <c r="C4699" s="106"/>
      <c r="D4699" s="107"/>
      <c r="E4699" s="65"/>
      <c r="F4699" s="64"/>
      <c r="G4699" s="64"/>
      <c r="H4699" s="64"/>
      <c r="I4699" s="70"/>
      <c r="J4699" s="70"/>
      <c r="K4699" s="110" t="str">
        <f>IF(H4699="","",IF($C$29="간이법","",FPR(H4699,I4699,J4699)))</f>
        <v/>
      </c>
      <c r="L4699" s="111" t="str">
        <f>IF(H4699="","",IF($C$29="상세법",FPV(H4699,K4699),IF(H4699="EI",4,IF(H4699="EO",5.2,IF(H4699="EQ",3.9,IF(H4699="ILF",7.5,IF(H4699="EIF",5.4)))))))</f>
        <v/>
      </c>
      <c r="M4699" s="112" t="str">
        <f t="shared" si="76"/>
        <v/>
      </c>
      <c r="N4699" s="113"/>
    </row>
    <row r="4700" spans="2:14">
      <c r="B4700" s="105"/>
      <c r="C4700" s="106"/>
      <c r="D4700" s="107"/>
      <c r="E4700" s="65"/>
      <c r="F4700" s="64"/>
      <c r="G4700" s="64"/>
      <c r="H4700" s="64"/>
      <c r="I4700" s="70"/>
      <c r="J4700" s="70"/>
      <c r="K4700" s="110" t="str">
        <f>IF(H4700="","",IF($C$29="간이법","",FPR(H4700,I4700,J4700)))</f>
        <v/>
      </c>
      <c r="L4700" s="111" t="str">
        <f>IF(H4700="","",IF($C$29="상세법",FPV(H4700,K4700),IF(H4700="EI",4,IF(H4700="EO",5.2,IF(H4700="EQ",3.9,IF(H4700="ILF",7.5,IF(H4700="EIF",5.4)))))))</f>
        <v/>
      </c>
      <c r="M4700" s="112" t="str">
        <f t="shared" si="76"/>
        <v/>
      </c>
      <c r="N4700" s="113"/>
    </row>
    <row r="4701" spans="2:14">
      <c r="B4701" s="105"/>
      <c r="C4701" s="106"/>
      <c r="D4701" s="107"/>
      <c r="E4701" s="65"/>
      <c r="F4701" s="64"/>
      <c r="G4701" s="64"/>
      <c r="H4701" s="64"/>
      <c r="I4701" s="70"/>
      <c r="J4701" s="70"/>
      <c r="K4701" s="110" t="str">
        <f>IF(H4701="","",IF($C$29="간이법","",FPR(H4701,I4701,J4701)))</f>
        <v/>
      </c>
      <c r="L4701" s="111" t="str">
        <f>IF(H4701="","",IF($C$29="상세법",FPV(H4701,K4701),IF(H4701="EI",4,IF(H4701="EO",5.2,IF(H4701="EQ",3.9,IF(H4701="ILF",7.5,IF(H4701="EIF",5.4)))))))</f>
        <v/>
      </c>
      <c r="M4701" s="112" t="str">
        <f t="shared" si="76"/>
        <v/>
      </c>
      <c r="N4701" s="113"/>
    </row>
    <row r="4702" spans="2:14">
      <c r="B4702" s="105"/>
      <c r="C4702" s="106"/>
      <c r="D4702" s="107"/>
      <c r="E4702" s="65"/>
      <c r="F4702" s="64"/>
      <c r="G4702" s="64"/>
      <c r="H4702" s="64"/>
      <c r="I4702" s="70"/>
      <c r="J4702" s="70"/>
      <c r="K4702" s="110" t="str">
        <f>IF(H4702="","",IF($C$29="간이법","",FPR(H4702,I4702,J4702)))</f>
        <v/>
      </c>
      <c r="L4702" s="111" t="str">
        <f>IF(H4702="","",IF($C$29="상세법",FPV(H4702,K4702),IF(H4702="EI",4,IF(H4702="EO",5.2,IF(H4702="EQ",3.9,IF(H4702="ILF",7.5,IF(H4702="EIF",5.4)))))))</f>
        <v/>
      </c>
      <c r="M4702" s="112" t="str">
        <f t="shared" si="76"/>
        <v/>
      </c>
      <c r="N4702" s="113"/>
    </row>
    <row r="4703" spans="2:14">
      <c r="B4703" s="105"/>
      <c r="C4703" s="106"/>
      <c r="D4703" s="107"/>
      <c r="E4703" s="65"/>
      <c r="F4703" s="64"/>
      <c r="G4703" s="64"/>
      <c r="H4703" s="64"/>
      <c r="I4703" s="70"/>
      <c r="J4703" s="70"/>
      <c r="K4703" s="110" t="str">
        <f>IF(H4703="","",IF($C$29="간이법","",FPR(H4703,I4703,J4703)))</f>
        <v/>
      </c>
      <c r="L4703" s="111" t="str">
        <f>IF(H4703="","",IF($C$29="상세법",FPV(H4703,K4703),IF(H4703="EI",4,IF(H4703="EO",5.2,IF(H4703="EQ",3.9,IF(H4703="ILF",7.5,IF(H4703="EIF",5.4)))))))</f>
        <v/>
      </c>
      <c r="M4703" s="112" t="str">
        <f t="shared" si="76"/>
        <v/>
      </c>
      <c r="N4703" s="113"/>
    </row>
    <row r="4704" spans="2:14">
      <c r="B4704" s="105"/>
      <c r="C4704" s="106"/>
      <c r="D4704" s="107"/>
      <c r="E4704" s="65"/>
      <c r="F4704" s="64"/>
      <c r="G4704" s="64"/>
      <c r="H4704" s="64"/>
      <c r="I4704" s="70"/>
      <c r="J4704" s="70"/>
      <c r="K4704" s="110" t="str">
        <f>IF(H4704="","",IF($C$29="간이법","",FPR(H4704,I4704,J4704)))</f>
        <v/>
      </c>
      <c r="L4704" s="111" t="str">
        <f>IF(H4704="","",IF($C$29="상세법",FPV(H4704,K4704),IF(H4704="EI",4,IF(H4704="EO",5.2,IF(H4704="EQ",3.9,IF(H4704="ILF",7.5,IF(H4704="EIF",5.4)))))))</f>
        <v/>
      </c>
      <c r="M4704" s="112" t="str">
        <f t="shared" si="76"/>
        <v/>
      </c>
      <c r="N4704" s="113"/>
    </row>
    <row r="4705" spans="2:14">
      <c r="B4705" s="105"/>
      <c r="C4705" s="106"/>
      <c r="D4705" s="107"/>
      <c r="E4705" s="65"/>
      <c r="F4705" s="64"/>
      <c r="G4705" s="64"/>
      <c r="H4705" s="64"/>
      <c r="I4705" s="70"/>
      <c r="J4705" s="70"/>
      <c r="K4705" s="110" t="str">
        <f>IF(H4705="","",IF($C$29="간이법","",FPR(H4705,I4705,J4705)))</f>
        <v/>
      </c>
      <c r="L4705" s="111" t="str">
        <f>IF(H4705="","",IF($C$29="상세법",FPV(H4705,K4705),IF(H4705="EI",4,IF(H4705="EO",5.2,IF(H4705="EQ",3.9,IF(H4705="ILF",7.5,IF(H4705="EIF",5.4)))))))</f>
        <v/>
      </c>
      <c r="M4705" s="112" t="str">
        <f t="shared" si="76"/>
        <v/>
      </c>
      <c r="N4705" s="113"/>
    </row>
    <row r="4706" spans="2:14">
      <c r="B4706" s="105"/>
      <c r="C4706" s="106"/>
      <c r="D4706" s="107"/>
      <c r="E4706" s="65"/>
      <c r="F4706" s="64"/>
      <c r="G4706" s="64"/>
      <c r="H4706" s="64"/>
      <c r="I4706" s="70"/>
      <c r="J4706" s="70"/>
      <c r="K4706" s="110" t="str">
        <f>IF(H4706="","",IF($C$29="간이법","",FPR(H4706,I4706,J4706)))</f>
        <v/>
      </c>
      <c r="L4706" s="111" t="str">
        <f>IF(H4706="","",IF($C$29="상세법",FPV(H4706,K4706),IF(H4706="EI",4,IF(H4706="EO",5.2,IF(H4706="EQ",3.9,IF(H4706="ILF",7.5,IF(H4706="EIF",5.4)))))))</f>
        <v/>
      </c>
      <c r="M4706" s="112" t="str">
        <f t="shared" si="76"/>
        <v/>
      </c>
      <c r="N4706" s="113"/>
    </row>
    <row r="4707" spans="2:14">
      <c r="B4707" s="105"/>
      <c r="C4707" s="106"/>
      <c r="D4707" s="107"/>
      <c r="E4707" s="65"/>
      <c r="F4707" s="64"/>
      <c r="G4707" s="64"/>
      <c r="H4707" s="64"/>
      <c r="I4707" s="70"/>
      <c r="J4707" s="70"/>
      <c r="K4707" s="110" t="str">
        <f>IF(H4707="","",IF($C$29="간이법","",FPR(H4707,I4707,J4707)))</f>
        <v/>
      </c>
      <c r="L4707" s="111" t="str">
        <f>IF(H4707="","",IF($C$29="상세법",FPV(H4707,K4707),IF(H4707="EI",4,IF(H4707="EO",5.2,IF(H4707="EQ",3.9,IF(H4707="ILF",7.5,IF(H4707="EIF",5.4)))))))</f>
        <v/>
      </c>
      <c r="M4707" s="112" t="str">
        <f t="shared" si="76"/>
        <v/>
      </c>
      <c r="N4707" s="113"/>
    </row>
    <row r="4708" spans="2:14">
      <c r="B4708" s="105"/>
      <c r="C4708" s="106"/>
      <c r="D4708" s="107"/>
      <c r="E4708" s="65"/>
      <c r="F4708" s="64"/>
      <c r="G4708" s="64"/>
      <c r="H4708" s="64"/>
      <c r="I4708" s="70"/>
      <c r="J4708" s="70"/>
      <c r="K4708" s="110" t="str">
        <f>IF(H4708="","",IF($C$29="간이법","",FPR(H4708,I4708,J4708)))</f>
        <v/>
      </c>
      <c r="L4708" s="111" t="str">
        <f>IF(H4708="","",IF($C$29="상세법",FPV(H4708,K4708),IF(H4708="EI",4,IF(H4708="EO",5.2,IF(H4708="EQ",3.9,IF(H4708="ILF",7.5,IF(H4708="EIF",5.4)))))))</f>
        <v/>
      </c>
      <c r="M4708" s="112" t="str">
        <f t="shared" si="76"/>
        <v/>
      </c>
      <c r="N4708" s="113"/>
    </row>
    <row r="4709" spans="2:14">
      <c r="B4709" s="105"/>
      <c r="C4709" s="106"/>
      <c r="D4709" s="107"/>
      <c r="E4709" s="65"/>
      <c r="F4709" s="64"/>
      <c r="G4709" s="64"/>
      <c r="H4709" s="64"/>
      <c r="I4709" s="70"/>
      <c r="J4709" s="70"/>
      <c r="K4709" s="110" t="str">
        <f>IF(H4709="","",IF($C$29="간이법","",FPR(H4709,I4709,J4709)))</f>
        <v/>
      </c>
      <c r="L4709" s="111" t="str">
        <f>IF(H4709="","",IF($C$29="상세법",FPV(H4709,K4709),IF(H4709="EI",4,IF(H4709="EO",5.2,IF(H4709="EQ",3.9,IF(H4709="ILF",7.5,IF(H4709="EIF",5.4)))))))</f>
        <v/>
      </c>
      <c r="M4709" s="112" t="str">
        <f t="shared" si="76"/>
        <v/>
      </c>
      <c r="N4709" s="113"/>
    </row>
    <row r="4710" spans="2:14">
      <c r="B4710" s="105"/>
      <c r="C4710" s="106"/>
      <c r="D4710" s="107"/>
      <c r="E4710" s="65"/>
      <c r="F4710" s="64"/>
      <c r="G4710" s="64"/>
      <c r="H4710" s="64"/>
      <c r="I4710" s="70"/>
      <c r="J4710" s="70"/>
      <c r="K4710" s="110" t="str">
        <f>IF(H4710="","",IF($C$29="간이법","",FPR(H4710,I4710,J4710)))</f>
        <v/>
      </c>
      <c r="L4710" s="111" t="str">
        <f>IF(H4710="","",IF($C$29="상세법",FPV(H4710,K4710),IF(H4710="EI",4,IF(H4710="EO",5.2,IF(H4710="EQ",3.9,IF(H4710="ILF",7.5,IF(H4710="EIF",5.4)))))))</f>
        <v/>
      </c>
      <c r="M4710" s="112" t="str">
        <f t="shared" si="76"/>
        <v/>
      </c>
      <c r="N4710" s="113"/>
    </row>
    <row r="4711" spans="2:14">
      <c r="B4711" s="105"/>
      <c r="C4711" s="106"/>
      <c r="D4711" s="107"/>
      <c r="E4711" s="65"/>
      <c r="F4711" s="64"/>
      <c r="G4711" s="64"/>
      <c r="H4711" s="64"/>
      <c r="I4711" s="70"/>
      <c r="J4711" s="70"/>
      <c r="K4711" s="110" t="str">
        <f>IF(H4711="","",IF($C$29="간이법","",FPR(H4711,I4711,J4711)))</f>
        <v/>
      </c>
      <c r="L4711" s="111" t="str">
        <f>IF(H4711="","",IF($C$29="상세법",FPV(H4711,K4711),IF(H4711="EI",4,IF(H4711="EO",5.2,IF(H4711="EQ",3.9,IF(H4711="ILF",7.5,IF(H4711="EIF",5.4)))))))</f>
        <v/>
      </c>
      <c r="M4711" s="112" t="str">
        <f t="shared" si="76"/>
        <v/>
      </c>
      <c r="N4711" s="113"/>
    </row>
    <row r="4712" spans="2:14">
      <c r="B4712" s="105"/>
      <c r="C4712" s="106"/>
      <c r="D4712" s="107"/>
      <c r="E4712" s="65"/>
      <c r="F4712" s="64"/>
      <c r="G4712" s="64"/>
      <c r="H4712" s="64"/>
      <c r="I4712" s="70"/>
      <c r="J4712" s="70"/>
      <c r="K4712" s="110" t="str">
        <f>IF(H4712="","",IF($C$29="간이법","",FPR(H4712,I4712,J4712)))</f>
        <v/>
      </c>
      <c r="L4712" s="111" t="str">
        <f>IF(H4712="","",IF($C$29="상세법",FPV(H4712,K4712),IF(H4712="EI",4,IF(H4712="EO",5.2,IF(H4712="EQ",3.9,IF(H4712="ILF",7.5,IF(H4712="EIF",5.4)))))))</f>
        <v/>
      </c>
      <c r="M4712" s="112" t="str">
        <f t="shared" si="76"/>
        <v/>
      </c>
      <c r="N4712" s="113"/>
    </row>
    <row r="4713" spans="2:14">
      <c r="B4713" s="105"/>
      <c r="C4713" s="106"/>
      <c r="D4713" s="107"/>
      <c r="E4713" s="65"/>
      <c r="F4713" s="64"/>
      <c r="G4713" s="64"/>
      <c r="H4713" s="64"/>
      <c r="I4713" s="70"/>
      <c r="J4713" s="70"/>
      <c r="K4713" s="110" t="str">
        <f>IF(H4713="","",IF($C$29="간이법","",FPR(H4713,I4713,J4713)))</f>
        <v/>
      </c>
      <c r="L4713" s="111" t="str">
        <f>IF(H4713="","",IF($C$29="상세법",FPV(H4713,K4713),IF(H4713="EI",4,IF(H4713="EO",5.2,IF(H4713="EQ",3.9,IF(H4713="ILF",7.5,IF(H4713="EIF",5.4)))))))</f>
        <v/>
      </c>
      <c r="M4713" s="112" t="str">
        <f t="shared" si="76"/>
        <v/>
      </c>
      <c r="N4713" s="113"/>
    </row>
    <row r="4714" spans="2:14">
      <c r="B4714" s="105"/>
      <c r="C4714" s="106"/>
      <c r="D4714" s="107"/>
      <c r="E4714" s="65"/>
      <c r="F4714" s="64"/>
      <c r="G4714" s="64"/>
      <c r="H4714" s="64"/>
      <c r="I4714" s="70"/>
      <c r="J4714" s="70"/>
      <c r="K4714" s="110" t="str">
        <f>IF(H4714="","",IF($C$29="간이법","",FPR(H4714,I4714,J4714)))</f>
        <v/>
      </c>
      <c r="L4714" s="111" t="str">
        <f>IF(H4714="","",IF($C$29="상세법",FPV(H4714,K4714),IF(H4714="EI",4,IF(H4714="EO",5.2,IF(H4714="EQ",3.9,IF(H4714="ILF",7.5,IF(H4714="EIF",5.4)))))))</f>
        <v/>
      </c>
      <c r="M4714" s="112" t="str">
        <f t="shared" si="76"/>
        <v/>
      </c>
      <c r="N4714" s="113"/>
    </row>
    <row r="4715" spans="2:14">
      <c r="B4715" s="105"/>
      <c r="C4715" s="106"/>
      <c r="D4715" s="107"/>
      <c r="E4715" s="65"/>
      <c r="F4715" s="64"/>
      <c r="G4715" s="64"/>
      <c r="H4715" s="64"/>
      <c r="I4715" s="70"/>
      <c r="J4715" s="70"/>
      <c r="K4715" s="110" t="str">
        <f>IF(H4715="","",IF($C$29="간이법","",FPR(H4715,I4715,J4715)))</f>
        <v/>
      </c>
      <c r="L4715" s="111" t="str">
        <f>IF(H4715="","",IF($C$29="상세법",FPV(H4715,K4715),IF(H4715="EI",4,IF(H4715="EO",5.2,IF(H4715="EQ",3.9,IF(H4715="ILF",7.5,IF(H4715="EIF",5.4)))))))</f>
        <v/>
      </c>
      <c r="M4715" s="112" t="str">
        <f t="shared" si="76"/>
        <v/>
      </c>
      <c r="N4715" s="113"/>
    </row>
    <row r="4716" spans="2:14">
      <c r="B4716" s="105"/>
      <c r="C4716" s="106"/>
      <c r="D4716" s="107"/>
      <c r="E4716" s="65"/>
      <c r="F4716" s="64"/>
      <c r="G4716" s="64"/>
      <c r="H4716" s="64"/>
      <c r="I4716" s="70"/>
      <c r="J4716" s="70"/>
      <c r="K4716" s="110" t="str">
        <f>IF(H4716="","",IF($C$29="간이법","",FPR(H4716,I4716,J4716)))</f>
        <v/>
      </c>
      <c r="L4716" s="111" t="str">
        <f>IF(H4716="","",IF($C$29="상세법",FPV(H4716,K4716),IF(H4716="EI",4,IF(H4716="EO",5.2,IF(H4716="EQ",3.9,IF(H4716="ILF",7.5,IF(H4716="EIF",5.4)))))))</f>
        <v/>
      </c>
      <c r="M4716" s="112" t="str">
        <f t="shared" si="76"/>
        <v/>
      </c>
      <c r="N4716" s="113"/>
    </row>
    <row r="4717" spans="2:14">
      <c r="B4717" s="105"/>
      <c r="C4717" s="106"/>
      <c r="D4717" s="107"/>
      <c r="E4717" s="65"/>
      <c r="F4717" s="64"/>
      <c r="G4717" s="64"/>
      <c r="H4717" s="64"/>
      <c r="I4717" s="70"/>
      <c r="J4717" s="70"/>
      <c r="K4717" s="110" t="str">
        <f>IF(H4717="","",IF($C$29="간이법","",FPR(H4717,I4717,J4717)))</f>
        <v/>
      </c>
      <c r="L4717" s="111" t="str">
        <f>IF(H4717="","",IF($C$29="상세법",FPV(H4717,K4717),IF(H4717="EI",4,IF(H4717="EO",5.2,IF(H4717="EQ",3.9,IF(H4717="ILF",7.5,IF(H4717="EIF",5.4)))))))</f>
        <v/>
      </c>
      <c r="M4717" s="112" t="str">
        <f t="shared" si="76"/>
        <v/>
      </c>
      <c r="N4717" s="113"/>
    </row>
    <row r="4718" spans="2:14">
      <c r="B4718" s="105"/>
      <c r="C4718" s="106"/>
      <c r="D4718" s="107"/>
      <c r="E4718" s="65"/>
      <c r="F4718" s="64"/>
      <c r="G4718" s="64"/>
      <c r="H4718" s="64"/>
      <c r="I4718" s="70"/>
      <c r="J4718" s="70"/>
      <c r="K4718" s="110" t="str">
        <f>IF(H4718="","",IF($C$29="간이법","",FPR(H4718,I4718,J4718)))</f>
        <v/>
      </c>
      <c r="L4718" s="111" t="str">
        <f>IF(H4718="","",IF($C$29="상세법",FPV(H4718,K4718),IF(H4718="EI",4,IF(H4718="EO",5.2,IF(H4718="EQ",3.9,IF(H4718="ILF",7.5,IF(H4718="EIF",5.4)))))))</f>
        <v/>
      </c>
      <c r="M4718" s="112" t="str">
        <f t="shared" si="76"/>
        <v/>
      </c>
      <c r="N4718" s="113"/>
    </row>
    <row r="4719" spans="2:14">
      <c r="B4719" s="105"/>
      <c r="C4719" s="106"/>
      <c r="D4719" s="107"/>
      <c r="E4719" s="65"/>
      <c r="F4719" s="64"/>
      <c r="G4719" s="64"/>
      <c r="H4719" s="64"/>
      <c r="I4719" s="70"/>
      <c r="J4719" s="70"/>
      <c r="K4719" s="110" t="str">
        <f>IF(H4719="","",IF($C$29="간이법","",FPR(H4719,I4719,J4719)))</f>
        <v/>
      </c>
      <c r="L4719" s="111" t="str">
        <f>IF(H4719="","",IF($C$29="상세법",FPV(H4719,K4719),IF(H4719="EI",4,IF(H4719="EO",5.2,IF(H4719="EQ",3.9,IF(H4719="ILF",7.5,IF(H4719="EIF",5.4)))))))</f>
        <v/>
      </c>
      <c r="M4719" s="112" t="str">
        <f t="shared" si="76"/>
        <v/>
      </c>
      <c r="N4719" s="113"/>
    </row>
    <row r="4720" spans="2:14">
      <c r="B4720" s="105"/>
      <c r="C4720" s="106"/>
      <c r="D4720" s="107"/>
      <c r="E4720" s="65"/>
      <c r="F4720" s="64"/>
      <c r="G4720" s="64"/>
      <c r="H4720" s="64"/>
      <c r="I4720" s="70"/>
      <c r="J4720" s="70"/>
      <c r="K4720" s="110" t="str">
        <f>IF(H4720="","",IF($C$29="간이법","",FPR(H4720,I4720,J4720)))</f>
        <v/>
      </c>
      <c r="L4720" s="111" t="str">
        <f>IF(H4720="","",IF($C$29="상세법",FPV(H4720,K4720),IF(H4720="EI",4,IF(H4720="EO",5.2,IF(H4720="EQ",3.9,IF(H4720="ILF",7.5,IF(H4720="EIF",5.4)))))))</f>
        <v/>
      </c>
      <c r="M4720" s="112" t="str">
        <f t="shared" si="76"/>
        <v/>
      </c>
      <c r="N4720" s="113"/>
    </row>
    <row r="4721" spans="2:14">
      <c r="B4721" s="105"/>
      <c r="C4721" s="106"/>
      <c r="D4721" s="107"/>
      <c r="E4721" s="65"/>
      <c r="F4721" s="64"/>
      <c r="G4721" s="64"/>
      <c r="H4721" s="64"/>
      <c r="I4721" s="70"/>
      <c r="J4721" s="70"/>
      <c r="K4721" s="110" t="str">
        <f>IF(H4721="","",IF($C$29="간이법","",FPR(H4721,I4721,J4721)))</f>
        <v/>
      </c>
      <c r="L4721" s="111" t="str">
        <f>IF(H4721="","",IF($C$29="상세법",FPV(H4721,K4721),IF(H4721="EI",4,IF(H4721="EO",5.2,IF(H4721="EQ",3.9,IF(H4721="ILF",7.5,IF(H4721="EIF",5.4)))))))</f>
        <v/>
      </c>
      <c r="M4721" s="112" t="str">
        <f t="shared" si="76"/>
        <v/>
      </c>
      <c r="N4721" s="113"/>
    </row>
    <row r="4722" spans="2:14">
      <c r="B4722" s="105"/>
      <c r="C4722" s="106"/>
      <c r="D4722" s="107"/>
      <c r="E4722" s="65"/>
      <c r="F4722" s="64"/>
      <c r="G4722" s="64"/>
      <c r="H4722" s="64"/>
      <c r="I4722" s="70"/>
      <c r="J4722" s="70"/>
      <c r="K4722" s="110" t="str">
        <f>IF(H4722="","",IF($C$29="간이법","",FPR(H4722,I4722,J4722)))</f>
        <v/>
      </c>
      <c r="L4722" s="111" t="str">
        <f>IF(H4722="","",IF($C$29="상세법",FPV(H4722,K4722),IF(H4722="EI",4,IF(H4722="EO",5.2,IF(H4722="EQ",3.9,IF(H4722="ILF",7.5,IF(H4722="EIF",5.4)))))))</f>
        <v/>
      </c>
      <c r="M4722" s="112" t="str">
        <f t="shared" si="76"/>
        <v/>
      </c>
      <c r="N4722" s="113"/>
    </row>
    <row r="4723" spans="2:14">
      <c r="B4723" s="105"/>
      <c r="C4723" s="106"/>
      <c r="D4723" s="107"/>
      <c r="E4723" s="65"/>
      <c r="F4723" s="64"/>
      <c r="G4723" s="64"/>
      <c r="H4723" s="64"/>
      <c r="I4723" s="70"/>
      <c r="J4723" s="70"/>
      <c r="K4723" s="110" t="str">
        <f>IF(H4723="","",IF($C$29="간이법","",FPR(H4723,I4723,J4723)))</f>
        <v/>
      </c>
      <c r="L4723" s="111" t="str">
        <f>IF(H4723="","",IF($C$29="상세법",FPV(H4723,K4723),IF(H4723="EI",4,IF(H4723="EO",5.2,IF(H4723="EQ",3.9,IF(H4723="ILF",7.5,IF(H4723="EIF",5.4)))))))</f>
        <v/>
      </c>
      <c r="M4723" s="112" t="str">
        <f t="shared" si="76"/>
        <v/>
      </c>
      <c r="N4723" s="113"/>
    </row>
    <row r="4724" spans="2:14">
      <c r="B4724" s="105"/>
      <c r="C4724" s="106"/>
      <c r="D4724" s="107"/>
      <c r="E4724" s="65"/>
      <c r="F4724" s="64"/>
      <c r="G4724" s="64"/>
      <c r="H4724" s="64"/>
      <c r="I4724" s="70"/>
      <c r="J4724" s="70"/>
      <c r="K4724" s="110" t="str">
        <f>IF(H4724="","",IF($C$29="간이법","",FPR(H4724,I4724,J4724)))</f>
        <v/>
      </c>
      <c r="L4724" s="111" t="str">
        <f>IF(H4724="","",IF($C$29="상세법",FPV(H4724,K4724),IF(H4724="EI",4,IF(H4724="EO",5.2,IF(H4724="EQ",3.9,IF(H4724="ILF",7.5,IF(H4724="EIF",5.4)))))))</f>
        <v/>
      </c>
      <c r="M4724" s="112" t="str">
        <f t="shared" si="76"/>
        <v/>
      </c>
      <c r="N4724" s="113"/>
    </row>
    <row r="4725" spans="2:14">
      <c r="B4725" s="105"/>
      <c r="C4725" s="106"/>
      <c r="D4725" s="107"/>
      <c r="E4725" s="65"/>
      <c r="F4725" s="64"/>
      <c r="G4725" s="64"/>
      <c r="H4725" s="64"/>
      <c r="I4725" s="70"/>
      <c r="J4725" s="70"/>
      <c r="K4725" s="110" t="str">
        <f>IF(H4725="","",IF($C$29="간이법","",FPR(H4725,I4725,J4725)))</f>
        <v/>
      </c>
      <c r="L4725" s="111" t="str">
        <f>IF(H4725="","",IF($C$29="상세법",FPV(H4725,K4725),IF(H4725="EI",4,IF(H4725="EO",5.2,IF(H4725="EQ",3.9,IF(H4725="ILF",7.5,IF(H4725="EIF",5.4)))))))</f>
        <v/>
      </c>
      <c r="M4725" s="112" t="str">
        <f t="shared" si="76"/>
        <v/>
      </c>
      <c r="N4725" s="113"/>
    </row>
    <row r="4726" spans="2:14">
      <c r="B4726" s="105"/>
      <c r="C4726" s="106"/>
      <c r="D4726" s="107"/>
      <c r="E4726" s="65"/>
      <c r="F4726" s="64"/>
      <c r="G4726" s="64"/>
      <c r="H4726" s="64"/>
      <c r="I4726" s="70"/>
      <c r="J4726" s="70"/>
      <c r="K4726" s="110" t="str">
        <f>IF(H4726="","",IF($C$29="간이법","",FPR(H4726,I4726,J4726)))</f>
        <v/>
      </c>
      <c r="L4726" s="111" t="str">
        <f>IF(H4726="","",IF($C$29="상세법",FPV(H4726,K4726),IF(H4726="EI",4,IF(H4726="EO",5.2,IF(H4726="EQ",3.9,IF(H4726="ILF",7.5,IF(H4726="EIF",5.4)))))))</f>
        <v/>
      </c>
      <c r="M4726" s="112" t="str">
        <f t="shared" si="76"/>
        <v/>
      </c>
      <c r="N4726" s="113"/>
    </row>
    <row r="4727" spans="2:14">
      <c r="B4727" s="105"/>
      <c r="C4727" s="106"/>
      <c r="D4727" s="107"/>
      <c r="E4727" s="65"/>
      <c r="F4727" s="64"/>
      <c r="G4727" s="64"/>
      <c r="H4727" s="64"/>
      <c r="I4727" s="70"/>
      <c r="J4727" s="70"/>
      <c r="K4727" s="110" t="str">
        <f>IF(H4727="","",IF($C$29="간이법","",FPR(H4727,I4727,J4727)))</f>
        <v/>
      </c>
      <c r="L4727" s="111" t="str">
        <f>IF(H4727="","",IF($C$29="상세법",FPV(H4727,K4727),IF(H4727="EI",4,IF(H4727="EO",5.2,IF(H4727="EQ",3.9,IF(H4727="ILF",7.5,IF(H4727="EIF",5.4)))))))</f>
        <v/>
      </c>
      <c r="M4727" s="112" t="str">
        <f t="shared" si="76"/>
        <v/>
      </c>
      <c r="N4727" s="113"/>
    </row>
    <row r="4728" spans="2:14">
      <c r="B4728" s="105"/>
      <c r="C4728" s="106"/>
      <c r="D4728" s="107"/>
      <c r="E4728" s="65"/>
      <c r="F4728" s="64"/>
      <c r="G4728" s="64"/>
      <c r="H4728" s="64"/>
      <c r="I4728" s="70"/>
      <c r="J4728" s="70"/>
      <c r="K4728" s="110" t="str">
        <f>IF(H4728="","",IF($C$29="간이법","",FPR(H4728,I4728,J4728)))</f>
        <v/>
      </c>
      <c r="L4728" s="111" t="str">
        <f>IF(H4728="","",IF($C$29="상세법",FPV(H4728,K4728),IF(H4728="EI",4,IF(H4728="EO",5.2,IF(H4728="EQ",3.9,IF(H4728="ILF",7.5,IF(H4728="EIF",5.4)))))))</f>
        <v/>
      </c>
      <c r="M4728" s="112" t="str">
        <f t="shared" si="76"/>
        <v/>
      </c>
      <c r="N4728" s="113"/>
    </row>
    <row r="4729" spans="2:14">
      <c r="B4729" s="105"/>
      <c r="C4729" s="106"/>
      <c r="D4729" s="107"/>
      <c r="E4729" s="65"/>
      <c r="F4729" s="64"/>
      <c r="G4729" s="64"/>
      <c r="H4729" s="64"/>
      <c r="I4729" s="70"/>
      <c r="J4729" s="70"/>
      <c r="K4729" s="110" t="str">
        <f>IF(H4729="","",IF($C$29="간이법","",FPR(H4729,I4729,J4729)))</f>
        <v/>
      </c>
      <c r="L4729" s="111" t="str">
        <f>IF(H4729="","",IF($C$29="상세법",FPV(H4729,K4729),IF(H4729="EI",4,IF(H4729="EO",5.2,IF(H4729="EQ",3.9,IF(H4729="ILF",7.5,IF(H4729="EIF",5.4)))))))</f>
        <v/>
      </c>
      <c r="M4729" s="112" t="str">
        <f t="shared" ref="M4729:M4792" si="77">IF(L4729="","",L4729*IF(G4729="상",0.7,IF(G4729="중",0.5,IF(G4729="하",0.2,1))))</f>
        <v/>
      </c>
      <c r="N4729" s="113"/>
    </row>
    <row r="4730" spans="2:14">
      <c r="B4730" s="105"/>
      <c r="C4730" s="106"/>
      <c r="D4730" s="107"/>
      <c r="E4730" s="65"/>
      <c r="F4730" s="64"/>
      <c r="G4730" s="64"/>
      <c r="H4730" s="64"/>
      <c r="I4730" s="70"/>
      <c r="J4730" s="70"/>
      <c r="K4730" s="110" t="str">
        <f>IF(H4730="","",IF($C$29="간이법","",FPR(H4730,I4730,J4730)))</f>
        <v/>
      </c>
      <c r="L4730" s="111" t="str">
        <f>IF(H4730="","",IF($C$29="상세법",FPV(H4730,K4730),IF(H4730="EI",4,IF(H4730="EO",5.2,IF(H4730="EQ",3.9,IF(H4730="ILF",7.5,IF(H4730="EIF",5.4)))))))</f>
        <v/>
      </c>
      <c r="M4730" s="112" t="str">
        <f t="shared" si="77"/>
        <v/>
      </c>
      <c r="N4730" s="113"/>
    </row>
    <row r="4731" spans="2:14">
      <c r="B4731" s="105"/>
      <c r="C4731" s="106"/>
      <c r="D4731" s="107"/>
      <c r="E4731" s="65"/>
      <c r="F4731" s="64"/>
      <c r="G4731" s="64"/>
      <c r="H4731" s="64"/>
      <c r="I4731" s="70"/>
      <c r="J4731" s="70"/>
      <c r="K4731" s="110" t="str">
        <f>IF(H4731="","",IF($C$29="간이법","",FPR(H4731,I4731,J4731)))</f>
        <v/>
      </c>
      <c r="L4731" s="111" t="str">
        <f>IF(H4731="","",IF($C$29="상세법",FPV(H4731,K4731),IF(H4731="EI",4,IF(H4731="EO",5.2,IF(H4731="EQ",3.9,IF(H4731="ILF",7.5,IF(H4731="EIF",5.4)))))))</f>
        <v/>
      </c>
      <c r="M4731" s="112" t="str">
        <f t="shared" si="77"/>
        <v/>
      </c>
      <c r="N4731" s="113"/>
    </row>
    <row r="4732" spans="2:14">
      <c r="B4732" s="105"/>
      <c r="C4732" s="106"/>
      <c r="D4732" s="107"/>
      <c r="E4732" s="65"/>
      <c r="F4732" s="64"/>
      <c r="G4732" s="64"/>
      <c r="H4732" s="64"/>
      <c r="I4732" s="70"/>
      <c r="J4732" s="70"/>
      <c r="K4732" s="110" t="str">
        <f>IF(H4732="","",IF($C$29="간이법","",FPR(H4732,I4732,J4732)))</f>
        <v/>
      </c>
      <c r="L4732" s="111" t="str">
        <f>IF(H4732="","",IF($C$29="상세법",FPV(H4732,K4732),IF(H4732="EI",4,IF(H4732="EO",5.2,IF(H4732="EQ",3.9,IF(H4732="ILF",7.5,IF(H4732="EIF",5.4)))))))</f>
        <v/>
      </c>
      <c r="M4732" s="112" t="str">
        <f t="shared" si="77"/>
        <v/>
      </c>
      <c r="N4732" s="113"/>
    </row>
    <row r="4733" spans="2:14">
      <c r="B4733" s="105"/>
      <c r="C4733" s="106"/>
      <c r="D4733" s="107"/>
      <c r="E4733" s="65"/>
      <c r="F4733" s="64"/>
      <c r="G4733" s="64"/>
      <c r="H4733" s="64"/>
      <c r="I4733" s="70"/>
      <c r="J4733" s="70"/>
      <c r="K4733" s="110" t="str">
        <f>IF(H4733="","",IF($C$29="간이법","",FPR(H4733,I4733,J4733)))</f>
        <v/>
      </c>
      <c r="L4733" s="111" t="str">
        <f>IF(H4733="","",IF($C$29="상세법",FPV(H4733,K4733),IF(H4733="EI",4,IF(H4733="EO",5.2,IF(H4733="EQ",3.9,IF(H4733="ILF",7.5,IF(H4733="EIF",5.4)))))))</f>
        <v/>
      </c>
      <c r="M4733" s="112" t="str">
        <f t="shared" si="77"/>
        <v/>
      </c>
      <c r="N4733" s="113"/>
    </row>
    <row r="4734" spans="2:14">
      <c r="B4734" s="105"/>
      <c r="C4734" s="106"/>
      <c r="D4734" s="107"/>
      <c r="E4734" s="65"/>
      <c r="F4734" s="64"/>
      <c r="G4734" s="64"/>
      <c r="H4734" s="64"/>
      <c r="I4734" s="70"/>
      <c r="J4734" s="70"/>
      <c r="K4734" s="110" t="str">
        <f>IF(H4734="","",IF($C$29="간이법","",FPR(H4734,I4734,J4734)))</f>
        <v/>
      </c>
      <c r="L4734" s="111" t="str">
        <f>IF(H4734="","",IF($C$29="상세법",FPV(H4734,K4734),IF(H4734="EI",4,IF(H4734="EO",5.2,IF(H4734="EQ",3.9,IF(H4734="ILF",7.5,IF(H4734="EIF",5.4)))))))</f>
        <v/>
      </c>
      <c r="M4734" s="112" t="str">
        <f t="shared" si="77"/>
        <v/>
      </c>
      <c r="N4734" s="113"/>
    </row>
    <row r="4735" spans="2:14">
      <c r="B4735" s="105"/>
      <c r="C4735" s="106"/>
      <c r="D4735" s="107"/>
      <c r="E4735" s="65"/>
      <c r="F4735" s="64"/>
      <c r="G4735" s="64"/>
      <c r="H4735" s="64"/>
      <c r="I4735" s="70"/>
      <c r="J4735" s="70"/>
      <c r="K4735" s="110" t="str">
        <f>IF(H4735="","",IF($C$29="간이법","",FPR(H4735,I4735,J4735)))</f>
        <v/>
      </c>
      <c r="L4735" s="111" t="str">
        <f>IF(H4735="","",IF($C$29="상세법",FPV(H4735,K4735),IF(H4735="EI",4,IF(H4735="EO",5.2,IF(H4735="EQ",3.9,IF(H4735="ILF",7.5,IF(H4735="EIF",5.4)))))))</f>
        <v/>
      </c>
      <c r="M4735" s="112" t="str">
        <f t="shared" si="77"/>
        <v/>
      </c>
      <c r="N4735" s="113"/>
    </row>
    <row r="4736" spans="2:14">
      <c r="B4736" s="105"/>
      <c r="C4736" s="106"/>
      <c r="D4736" s="107"/>
      <c r="E4736" s="65"/>
      <c r="F4736" s="64"/>
      <c r="G4736" s="64"/>
      <c r="H4736" s="64"/>
      <c r="I4736" s="70"/>
      <c r="J4736" s="70"/>
      <c r="K4736" s="110" t="str">
        <f>IF(H4736="","",IF($C$29="간이법","",FPR(H4736,I4736,J4736)))</f>
        <v/>
      </c>
      <c r="L4736" s="111" t="str">
        <f>IF(H4736="","",IF($C$29="상세법",FPV(H4736,K4736),IF(H4736="EI",4,IF(H4736="EO",5.2,IF(H4736="EQ",3.9,IF(H4736="ILF",7.5,IF(H4736="EIF",5.4)))))))</f>
        <v/>
      </c>
      <c r="M4736" s="112" t="str">
        <f t="shared" si="77"/>
        <v/>
      </c>
      <c r="N4736" s="113"/>
    </row>
    <row r="4737" spans="2:14">
      <c r="B4737" s="105"/>
      <c r="C4737" s="106"/>
      <c r="D4737" s="107"/>
      <c r="E4737" s="65"/>
      <c r="F4737" s="64"/>
      <c r="G4737" s="64"/>
      <c r="H4737" s="64"/>
      <c r="I4737" s="70"/>
      <c r="J4737" s="70"/>
      <c r="K4737" s="110" t="str">
        <f>IF(H4737="","",IF($C$29="간이법","",FPR(H4737,I4737,J4737)))</f>
        <v/>
      </c>
      <c r="L4737" s="111" t="str">
        <f>IF(H4737="","",IF($C$29="상세법",FPV(H4737,K4737),IF(H4737="EI",4,IF(H4737="EO",5.2,IF(H4737="EQ",3.9,IF(H4737="ILF",7.5,IF(H4737="EIF",5.4)))))))</f>
        <v/>
      </c>
      <c r="M4737" s="112" t="str">
        <f t="shared" si="77"/>
        <v/>
      </c>
      <c r="N4737" s="113"/>
    </row>
    <row r="4738" spans="2:14">
      <c r="B4738" s="105"/>
      <c r="C4738" s="106"/>
      <c r="D4738" s="107"/>
      <c r="E4738" s="65"/>
      <c r="F4738" s="64"/>
      <c r="G4738" s="64"/>
      <c r="H4738" s="64"/>
      <c r="I4738" s="70"/>
      <c r="J4738" s="70"/>
      <c r="K4738" s="110" t="str">
        <f>IF(H4738="","",IF($C$29="간이법","",FPR(H4738,I4738,J4738)))</f>
        <v/>
      </c>
      <c r="L4738" s="111" t="str">
        <f>IF(H4738="","",IF($C$29="상세법",FPV(H4738,K4738),IF(H4738="EI",4,IF(H4738="EO",5.2,IF(H4738="EQ",3.9,IF(H4738="ILF",7.5,IF(H4738="EIF",5.4)))))))</f>
        <v/>
      </c>
      <c r="M4738" s="112" t="str">
        <f t="shared" si="77"/>
        <v/>
      </c>
      <c r="N4738" s="113"/>
    </row>
    <row r="4739" spans="2:14">
      <c r="B4739" s="105"/>
      <c r="C4739" s="106"/>
      <c r="D4739" s="107"/>
      <c r="E4739" s="65"/>
      <c r="F4739" s="64"/>
      <c r="G4739" s="64"/>
      <c r="H4739" s="64"/>
      <c r="I4739" s="70"/>
      <c r="J4739" s="70"/>
      <c r="K4739" s="110" t="str">
        <f>IF(H4739="","",IF($C$29="간이법","",FPR(H4739,I4739,J4739)))</f>
        <v/>
      </c>
      <c r="L4739" s="111" t="str">
        <f>IF(H4739="","",IF($C$29="상세법",FPV(H4739,K4739),IF(H4739="EI",4,IF(H4739="EO",5.2,IF(H4739="EQ",3.9,IF(H4739="ILF",7.5,IF(H4739="EIF",5.4)))))))</f>
        <v/>
      </c>
      <c r="M4739" s="112" t="str">
        <f t="shared" si="77"/>
        <v/>
      </c>
      <c r="N4739" s="113"/>
    </row>
    <row r="4740" spans="2:14">
      <c r="B4740" s="105"/>
      <c r="C4740" s="106"/>
      <c r="D4740" s="107"/>
      <c r="E4740" s="65"/>
      <c r="F4740" s="64"/>
      <c r="G4740" s="64"/>
      <c r="H4740" s="64"/>
      <c r="I4740" s="70"/>
      <c r="J4740" s="70"/>
      <c r="K4740" s="110" t="str">
        <f>IF(H4740="","",IF($C$29="간이법","",FPR(H4740,I4740,J4740)))</f>
        <v/>
      </c>
      <c r="L4740" s="111" t="str">
        <f>IF(H4740="","",IF($C$29="상세법",FPV(H4740,K4740),IF(H4740="EI",4,IF(H4740="EO",5.2,IF(H4740="EQ",3.9,IF(H4740="ILF",7.5,IF(H4740="EIF",5.4)))))))</f>
        <v/>
      </c>
      <c r="M4740" s="112" t="str">
        <f t="shared" si="77"/>
        <v/>
      </c>
      <c r="N4740" s="113"/>
    </row>
    <row r="4741" spans="2:14">
      <c r="B4741" s="105"/>
      <c r="C4741" s="106"/>
      <c r="D4741" s="107"/>
      <c r="E4741" s="65"/>
      <c r="F4741" s="64"/>
      <c r="G4741" s="64"/>
      <c r="H4741" s="64"/>
      <c r="I4741" s="70"/>
      <c r="J4741" s="70"/>
      <c r="K4741" s="110" t="str">
        <f>IF(H4741="","",IF($C$29="간이법","",FPR(H4741,I4741,J4741)))</f>
        <v/>
      </c>
      <c r="L4741" s="111" t="str">
        <f>IF(H4741="","",IF($C$29="상세법",FPV(H4741,K4741),IF(H4741="EI",4,IF(H4741="EO",5.2,IF(H4741="EQ",3.9,IF(H4741="ILF",7.5,IF(H4741="EIF",5.4)))))))</f>
        <v/>
      </c>
      <c r="M4741" s="112" t="str">
        <f t="shared" si="77"/>
        <v/>
      </c>
      <c r="N4741" s="113"/>
    </row>
    <row r="4742" spans="2:14">
      <c r="B4742" s="105"/>
      <c r="C4742" s="106"/>
      <c r="D4742" s="107"/>
      <c r="E4742" s="65"/>
      <c r="F4742" s="64"/>
      <c r="G4742" s="64"/>
      <c r="H4742" s="64"/>
      <c r="I4742" s="70"/>
      <c r="J4742" s="70"/>
      <c r="K4742" s="110" t="str">
        <f>IF(H4742="","",IF($C$29="간이법","",FPR(H4742,I4742,J4742)))</f>
        <v/>
      </c>
      <c r="L4742" s="111" t="str">
        <f>IF(H4742="","",IF($C$29="상세법",FPV(H4742,K4742),IF(H4742="EI",4,IF(H4742="EO",5.2,IF(H4742="EQ",3.9,IF(H4742="ILF",7.5,IF(H4742="EIF",5.4)))))))</f>
        <v/>
      </c>
      <c r="M4742" s="112" t="str">
        <f t="shared" si="77"/>
        <v/>
      </c>
      <c r="N4742" s="113"/>
    </row>
    <row r="4743" spans="2:14">
      <c r="B4743" s="105"/>
      <c r="C4743" s="106"/>
      <c r="D4743" s="107"/>
      <c r="E4743" s="65"/>
      <c r="F4743" s="64"/>
      <c r="G4743" s="64"/>
      <c r="H4743" s="64"/>
      <c r="I4743" s="70"/>
      <c r="J4743" s="70"/>
      <c r="K4743" s="110" t="str">
        <f>IF(H4743="","",IF($C$29="간이법","",FPR(H4743,I4743,J4743)))</f>
        <v/>
      </c>
      <c r="L4743" s="111" t="str">
        <f>IF(H4743="","",IF($C$29="상세법",FPV(H4743,K4743),IF(H4743="EI",4,IF(H4743="EO",5.2,IF(H4743="EQ",3.9,IF(H4743="ILF",7.5,IF(H4743="EIF",5.4)))))))</f>
        <v/>
      </c>
      <c r="M4743" s="112" t="str">
        <f t="shared" si="77"/>
        <v/>
      </c>
      <c r="N4743" s="113"/>
    </row>
    <row r="4744" spans="2:14">
      <c r="B4744" s="105"/>
      <c r="C4744" s="106"/>
      <c r="D4744" s="107"/>
      <c r="E4744" s="65"/>
      <c r="F4744" s="64"/>
      <c r="G4744" s="64"/>
      <c r="H4744" s="64"/>
      <c r="I4744" s="70"/>
      <c r="J4744" s="70"/>
      <c r="K4744" s="110" t="str">
        <f>IF(H4744="","",IF($C$29="간이법","",FPR(H4744,I4744,J4744)))</f>
        <v/>
      </c>
      <c r="L4744" s="111" t="str">
        <f>IF(H4744="","",IF($C$29="상세법",FPV(H4744,K4744),IF(H4744="EI",4,IF(H4744="EO",5.2,IF(H4744="EQ",3.9,IF(H4744="ILF",7.5,IF(H4744="EIF",5.4)))))))</f>
        <v/>
      </c>
      <c r="M4744" s="112" t="str">
        <f t="shared" si="77"/>
        <v/>
      </c>
      <c r="N4744" s="113"/>
    </row>
    <row r="4745" spans="2:14">
      <c r="B4745" s="105"/>
      <c r="C4745" s="106"/>
      <c r="D4745" s="107"/>
      <c r="E4745" s="65"/>
      <c r="F4745" s="64"/>
      <c r="G4745" s="64"/>
      <c r="H4745" s="64"/>
      <c r="I4745" s="70"/>
      <c r="J4745" s="70"/>
      <c r="K4745" s="110" t="str">
        <f>IF(H4745="","",IF($C$29="간이법","",FPR(H4745,I4745,J4745)))</f>
        <v/>
      </c>
      <c r="L4745" s="111" t="str">
        <f>IF(H4745="","",IF($C$29="상세법",FPV(H4745,K4745),IF(H4745="EI",4,IF(H4745="EO",5.2,IF(H4745="EQ",3.9,IF(H4745="ILF",7.5,IF(H4745="EIF",5.4)))))))</f>
        <v/>
      </c>
      <c r="M4745" s="112" t="str">
        <f t="shared" si="77"/>
        <v/>
      </c>
      <c r="N4745" s="113"/>
    </row>
    <row r="4746" spans="2:14">
      <c r="B4746" s="105"/>
      <c r="C4746" s="106"/>
      <c r="D4746" s="107"/>
      <c r="E4746" s="65"/>
      <c r="F4746" s="64"/>
      <c r="G4746" s="64"/>
      <c r="H4746" s="64"/>
      <c r="I4746" s="70"/>
      <c r="J4746" s="70"/>
      <c r="K4746" s="110" t="str">
        <f>IF(H4746="","",IF($C$29="간이법","",FPR(H4746,I4746,J4746)))</f>
        <v/>
      </c>
      <c r="L4746" s="111" t="str">
        <f>IF(H4746="","",IF($C$29="상세법",FPV(H4746,K4746),IF(H4746="EI",4,IF(H4746="EO",5.2,IF(H4746="EQ",3.9,IF(H4746="ILF",7.5,IF(H4746="EIF",5.4)))))))</f>
        <v/>
      </c>
      <c r="M4746" s="112" t="str">
        <f t="shared" si="77"/>
        <v/>
      </c>
      <c r="N4746" s="113"/>
    </row>
    <row r="4747" spans="2:14">
      <c r="B4747" s="105"/>
      <c r="C4747" s="106"/>
      <c r="D4747" s="107"/>
      <c r="E4747" s="65"/>
      <c r="F4747" s="64"/>
      <c r="G4747" s="64"/>
      <c r="H4747" s="64"/>
      <c r="I4747" s="70"/>
      <c r="J4747" s="70"/>
      <c r="K4747" s="110" t="str">
        <f>IF(H4747="","",IF($C$29="간이법","",FPR(H4747,I4747,J4747)))</f>
        <v/>
      </c>
      <c r="L4747" s="111" t="str">
        <f>IF(H4747="","",IF($C$29="상세법",FPV(H4747,K4747),IF(H4747="EI",4,IF(H4747="EO",5.2,IF(H4747="EQ",3.9,IF(H4747="ILF",7.5,IF(H4747="EIF",5.4)))))))</f>
        <v/>
      </c>
      <c r="M4747" s="112" t="str">
        <f t="shared" si="77"/>
        <v/>
      </c>
      <c r="N4747" s="113"/>
    </row>
    <row r="4748" spans="2:14">
      <c r="B4748" s="105"/>
      <c r="C4748" s="106"/>
      <c r="D4748" s="107"/>
      <c r="E4748" s="65"/>
      <c r="F4748" s="64"/>
      <c r="G4748" s="64"/>
      <c r="H4748" s="64"/>
      <c r="I4748" s="70"/>
      <c r="J4748" s="70"/>
      <c r="K4748" s="110" t="str">
        <f>IF(H4748="","",IF($C$29="간이법","",FPR(H4748,I4748,J4748)))</f>
        <v/>
      </c>
      <c r="L4748" s="111" t="str">
        <f>IF(H4748="","",IF($C$29="상세법",FPV(H4748,K4748),IF(H4748="EI",4,IF(H4748="EO",5.2,IF(H4748="EQ",3.9,IF(H4748="ILF",7.5,IF(H4748="EIF",5.4)))))))</f>
        <v/>
      </c>
      <c r="M4748" s="112" t="str">
        <f t="shared" si="77"/>
        <v/>
      </c>
      <c r="N4748" s="113"/>
    </row>
    <row r="4749" spans="2:14">
      <c r="B4749" s="105"/>
      <c r="C4749" s="106"/>
      <c r="D4749" s="107"/>
      <c r="E4749" s="65"/>
      <c r="F4749" s="64"/>
      <c r="G4749" s="64"/>
      <c r="H4749" s="64"/>
      <c r="I4749" s="70"/>
      <c r="J4749" s="70"/>
      <c r="K4749" s="110" t="str">
        <f>IF(H4749="","",IF($C$29="간이법","",FPR(H4749,I4749,J4749)))</f>
        <v/>
      </c>
      <c r="L4749" s="111" t="str">
        <f>IF(H4749="","",IF($C$29="상세법",FPV(H4749,K4749),IF(H4749="EI",4,IF(H4749="EO",5.2,IF(H4749="EQ",3.9,IF(H4749="ILF",7.5,IF(H4749="EIF",5.4)))))))</f>
        <v/>
      </c>
      <c r="M4749" s="112" t="str">
        <f t="shared" si="77"/>
        <v/>
      </c>
      <c r="N4749" s="113"/>
    </row>
    <row r="4750" spans="2:14">
      <c r="B4750" s="105"/>
      <c r="C4750" s="106"/>
      <c r="D4750" s="107"/>
      <c r="E4750" s="65"/>
      <c r="F4750" s="64"/>
      <c r="G4750" s="64"/>
      <c r="H4750" s="64"/>
      <c r="I4750" s="70"/>
      <c r="J4750" s="70"/>
      <c r="K4750" s="110" t="str">
        <f>IF(H4750="","",IF($C$29="간이법","",FPR(H4750,I4750,J4750)))</f>
        <v/>
      </c>
      <c r="L4750" s="111" t="str">
        <f>IF(H4750="","",IF($C$29="상세법",FPV(H4750,K4750),IF(H4750="EI",4,IF(H4750="EO",5.2,IF(H4750="EQ",3.9,IF(H4750="ILF",7.5,IF(H4750="EIF",5.4)))))))</f>
        <v/>
      </c>
      <c r="M4750" s="112" t="str">
        <f t="shared" si="77"/>
        <v/>
      </c>
      <c r="N4750" s="113"/>
    </row>
    <row r="4751" spans="2:14">
      <c r="B4751" s="105"/>
      <c r="C4751" s="106"/>
      <c r="D4751" s="107"/>
      <c r="E4751" s="65"/>
      <c r="F4751" s="64"/>
      <c r="G4751" s="64"/>
      <c r="H4751" s="64"/>
      <c r="I4751" s="70"/>
      <c r="J4751" s="70"/>
      <c r="K4751" s="110" t="str">
        <f>IF(H4751="","",IF($C$29="간이법","",FPR(H4751,I4751,J4751)))</f>
        <v/>
      </c>
      <c r="L4751" s="111" t="str">
        <f>IF(H4751="","",IF($C$29="상세법",FPV(H4751,K4751),IF(H4751="EI",4,IF(H4751="EO",5.2,IF(H4751="EQ",3.9,IF(H4751="ILF",7.5,IF(H4751="EIF",5.4)))))))</f>
        <v/>
      </c>
      <c r="M4751" s="112" t="str">
        <f t="shared" si="77"/>
        <v/>
      </c>
      <c r="N4751" s="113"/>
    </row>
    <row r="4752" spans="2:14">
      <c r="B4752" s="105"/>
      <c r="C4752" s="106"/>
      <c r="D4752" s="107"/>
      <c r="E4752" s="65"/>
      <c r="F4752" s="64"/>
      <c r="G4752" s="64"/>
      <c r="H4752" s="64"/>
      <c r="I4752" s="70"/>
      <c r="J4752" s="70"/>
      <c r="K4752" s="110" t="str">
        <f>IF(H4752="","",IF($C$29="간이법","",FPR(H4752,I4752,J4752)))</f>
        <v/>
      </c>
      <c r="L4752" s="111" t="str">
        <f>IF(H4752="","",IF($C$29="상세법",FPV(H4752,K4752),IF(H4752="EI",4,IF(H4752="EO",5.2,IF(H4752="EQ",3.9,IF(H4752="ILF",7.5,IF(H4752="EIF",5.4)))))))</f>
        <v/>
      </c>
      <c r="M4752" s="112" t="str">
        <f t="shared" si="77"/>
        <v/>
      </c>
      <c r="N4752" s="113"/>
    </row>
    <row r="4753" spans="2:14">
      <c r="B4753" s="105"/>
      <c r="C4753" s="106"/>
      <c r="D4753" s="107"/>
      <c r="E4753" s="65"/>
      <c r="F4753" s="64"/>
      <c r="G4753" s="64"/>
      <c r="H4753" s="64"/>
      <c r="I4753" s="70"/>
      <c r="J4753" s="70"/>
      <c r="K4753" s="110" t="str">
        <f>IF(H4753="","",IF($C$29="간이법","",FPR(H4753,I4753,J4753)))</f>
        <v/>
      </c>
      <c r="L4753" s="111" t="str">
        <f>IF(H4753="","",IF($C$29="상세법",FPV(H4753,K4753),IF(H4753="EI",4,IF(H4753="EO",5.2,IF(H4753="EQ",3.9,IF(H4753="ILF",7.5,IF(H4753="EIF",5.4)))))))</f>
        <v/>
      </c>
      <c r="M4753" s="112" t="str">
        <f t="shared" si="77"/>
        <v/>
      </c>
      <c r="N4753" s="113"/>
    </row>
    <row r="4754" spans="2:14">
      <c r="B4754" s="105"/>
      <c r="C4754" s="106"/>
      <c r="D4754" s="107"/>
      <c r="E4754" s="65"/>
      <c r="F4754" s="64"/>
      <c r="G4754" s="64"/>
      <c r="H4754" s="64"/>
      <c r="I4754" s="70"/>
      <c r="J4754" s="70"/>
      <c r="K4754" s="110" t="str">
        <f>IF(H4754="","",IF($C$29="간이법","",FPR(H4754,I4754,J4754)))</f>
        <v/>
      </c>
      <c r="L4754" s="111" t="str">
        <f>IF(H4754="","",IF($C$29="상세법",FPV(H4754,K4754),IF(H4754="EI",4,IF(H4754="EO",5.2,IF(H4754="EQ",3.9,IF(H4754="ILF",7.5,IF(H4754="EIF",5.4)))))))</f>
        <v/>
      </c>
      <c r="M4754" s="112" t="str">
        <f t="shared" si="77"/>
        <v/>
      </c>
      <c r="N4754" s="113"/>
    </row>
    <row r="4755" spans="2:14">
      <c r="B4755" s="105"/>
      <c r="C4755" s="106"/>
      <c r="D4755" s="107"/>
      <c r="E4755" s="65"/>
      <c r="F4755" s="64"/>
      <c r="G4755" s="64"/>
      <c r="H4755" s="64"/>
      <c r="I4755" s="70"/>
      <c r="J4755" s="70"/>
      <c r="K4755" s="110" t="str">
        <f>IF(H4755="","",IF($C$29="간이법","",FPR(H4755,I4755,J4755)))</f>
        <v/>
      </c>
      <c r="L4755" s="111" t="str">
        <f>IF(H4755="","",IF($C$29="상세법",FPV(H4755,K4755),IF(H4755="EI",4,IF(H4755="EO",5.2,IF(H4755="EQ",3.9,IF(H4755="ILF",7.5,IF(H4755="EIF",5.4)))))))</f>
        <v/>
      </c>
      <c r="M4755" s="112" t="str">
        <f t="shared" si="77"/>
        <v/>
      </c>
      <c r="N4755" s="113"/>
    </row>
    <row r="4756" spans="2:14">
      <c r="B4756" s="105"/>
      <c r="C4756" s="106"/>
      <c r="D4756" s="107"/>
      <c r="E4756" s="65"/>
      <c r="F4756" s="64"/>
      <c r="G4756" s="64"/>
      <c r="H4756" s="64"/>
      <c r="I4756" s="70"/>
      <c r="J4756" s="70"/>
      <c r="K4756" s="110" t="str">
        <f>IF(H4756="","",IF($C$29="간이법","",FPR(H4756,I4756,J4756)))</f>
        <v/>
      </c>
      <c r="L4756" s="111" t="str">
        <f>IF(H4756="","",IF($C$29="상세법",FPV(H4756,K4756),IF(H4756="EI",4,IF(H4756="EO",5.2,IF(H4756="EQ",3.9,IF(H4756="ILF",7.5,IF(H4756="EIF",5.4)))))))</f>
        <v/>
      </c>
      <c r="M4756" s="112" t="str">
        <f t="shared" si="77"/>
        <v/>
      </c>
      <c r="N4756" s="113"/>
    </row>
    <row r="4757" spans="2:14">
      <c r="B4757" s="105"/>
      <c r="C4757" s="106"/>
      <c r="D4757" s="107"/>
      <c r="E4757" s="65"/>
      <c r="F4757" s="64"/>
      <c r="G4757" s="64"/>
      <c r="H4757" s="64"/>
      <c r="I4757" s="70"/>
      <c r="J4757" s="70"/>
      <c r="K4757" s="110" t="str">
        <f>IF(H4757="","",IF($C$29="간이법","",FPR(H4757,I4757,J4757)))</f>
        <v/>
      </c>
      <c r="L4757" s="111" t="str">
        <f>IF(H4757="","",IF($C$29="상세법",FPV(H4757,K4757),IF(H4757="EI",4,IF(H4757="EO",5.2,IF(H4757="EQ",3.9,IF(H4757="ILF",7.5,IF(H4757="EIF",5.4)))))))</f>
        <v/>
      </c>
      <c r="M4757" s="112" t="str">
        <f t="shared" si="77"/>
        <v/>
      </c>
      <c r="N4757" s="113"/>
    </row>
    <row r="4758" spans="2:14">
      <c r="B4758" s="105"/>
      <c r="C4758" s="106"/>
      <c r="D4758" s="107"/>
      <c r="E4758" s="65"/>
      <c r="F4758" s="64"/>
      <c r="G4758" s="64"/>
      <c r="H4758" s="64"/>
      <c r="I4758" s="70"/>
      <c r="J4758" s="70"/>
      <c r="K4758" s="110" t="str">
        <f>IF(H4758="","",IF($C$29="간이법","",FPR(H4758,I4758,J4758)))</f>
        <v/>
      </c>
      <c r="L4758" s="111" t="str">
        <f>IF(H4758="","",IF($C$29="상세법",FPV(H4758,K4758),IF(H4758="EI",4,IF(H4758="EO",5.2,IF(H4758="EQ",3.9,IF(H4758="ILF",7.5,IF(H4758="EIF",5.4)))))))</f>
        <v/>
      </c>
      <c r="M4758" s="112" t="str">
        <f t="shared" si="77"/>
        <v/>
      </c>
      <c r="N4758" s="113"/>
    </row>
    <row r="4759" spans="2:14">
      <c r="B4759" s="105"/>
      <c r="C4759" s="106"/>
      <c r="D4759" s="107"/>
      <c r="E4759" s="65"/>
      <c r="F4759" s="64"/>
      <c r="G4759" s="64"/>
      <c r="H4759" s="64"/>
      <c r="I4759" s="70"/>
      <c r="J4759" s="70"/>
      <c r="K4759" s="110" t="str">
        <f>IF(H4759="","",IF($C$29="간이법","",FPR(H4759,I4759,J4759)))</f>
        <v/>
      </c>
      <c r="L4759" s="111" t="str">
        <f>IF(H4759="","",IF($C$29="상세법",FPV(H4759,K4759),IF(H4759="EI",4,IF(H4759="EO",5.2,IF(H4759="EQ",3.9,IF(H4759="ILF",7.5,IF(H4759="EIF",5.4)))))))</f>
        <v/>
      </c>
      <c r="M4759" s="112" t="str">
        <f t="shared" si="77"/>
        <v/>
      </c>
      <c r="N4759" s="113"/>
    </row>
    <row r="4760" spans="2:14">
      <c r="B4760" s="105"/>
      <c r="C4760" s="106"/>
      <c r="D4760" s="107"/>
      <c r="E4760" s="65"/>
      <c r="F4760" s="64"/>
      <c r="G4760" s="64"/>
      <c r="H4760" s="64"/>
      <c r="I4760" s="70"/>
      <c r="J4760" s="70"/>
      <c r="K4760" s="110" t="str">
        <f>IF(H4760="","",IF($C$29="간이법","",FPR(H4760,I4760,J4760)))</f>
        <v/>
      </c>
      <c r="L4760" s="111" t="str">
        <f>IF(H4760="","",IF($C$29="상세법",FPV(H4760,K4760),IF(H4760="EI",4,IF(H4760="EO",5.2,IF(H4760="EQ",3.9,IF(H4760="ILF",7.5,IF(H4760="EIF",5.4)))))))</f>
        <v/>
      </c>
      <c r="M4760" s="112" t="str">
        <f t="shared" si="77"/>
        <v/>
      </c>
      <c r="N4760" s="113"/>
    </row>
    <row r="4761" spans="2:14">
      <c r="B4761" s="105"/>
      <c r="C4761" s="106"/>
      <c r="D4761" s="107"/>
      <c r="E4761" s="65"/>
      <c r="F4761" s="64"/>
      <c r="G4761" s="64"/>
      <c r="H4761" s="64"/>
      <c r="I4761" s="70"/>
      <c r="J4761" s="70"/>
      <c r="K4761" s="110" t="str">
        <f>IF(H4761="","",IF($C$29="간이법","",FPR(H4761,I4761,J4761)))</f>
        <v/>
      </c>
      <c r="L4761" s="111" t="str">
        <f>IF(H4761="","",IF($C$29="상세법",FPV(H4761,K4761),IF(H4761="EI",4,IF(H4761="EO",5.2,IF(H4761="EQ",3.9,IF(H4761="ILF",7.5,IF(H4761="EIF",5.4)))))))</f>
        <v/>
      </c>
      <c r="M4761" s="112" t="str">
        <f t="shared" si="77"/>
        <v/>
      </c>
      <c r="N4761" s="113"/>
    </row>
    <row r="4762" spans="2:14">
      <c r="B4762" s="105"/>
      <c r="C4762" s="106"/>
      <c r="D4762" s="107"/>
      <c r="E4762" s="65"/>
      <c r="F4762" s="64"/>
      <c r="G4762" s="64"/>
      <c r="H4762" s="64"/>
      <c r="I4762" s="70"/>
      <c r="J4762" s="70"/>
      <c r="K4762" s="110" t="str">
        <f>IF(H4762="","",IF($C$29="간이법","",FPR(H4762,I4762,J4762)))</f>
        <v/>
      </c>
      <c r="L4762" s="111" t="str">
        <f>IF(H4762="","",IF($C$29="상세법",FPV(H4762,K4762),IF(H4762="EI",4,IF(H4762="EO",5.2,IF(H4762="EQ",3.9,IF(H4762="ILF",7.5,IF(H4762="EIF",5.4)))))))</f>
        <v/>
      </c>
      <c r="M4762" s="112" t="str">
        <f t="shared" si="77"/>
        <v/>
      </c>
      <c r="N4762" s="113"/>
    </row>
    <row r="4763" spans="2:14">
      <c r="B4763" s="105"/>
      <c r="C4763" s="106"/>
      <c r="D4763" s="107"/>
      <c r="E4763" s="65"/>
      <c r="F4763" s="64"/>
      <c r="G4763" s="64"/>
      <c r="H4763" s="64"/>
      <c r="I4763" s="70"/>
      <c r="J4763" s="70"/>
      <c r="K4763" s="110" t="str">
        <f>IF(H4763="","",IF($C$29="간이법","",FPR(H4763,I4763,J4763)))</f>
        <v/>
      </c>
      <c r="L4763" s="111" t="str">
        <f>IF(H4763="","",IF($C$29="상세법",FPV(H4763,K4763),IF(H4763="EI",4,IF(H4763="EO",5.2,IF(H4763="EQ",3.9,IF(H4763="ILF",7.5,IF(H4763="EIF",5.4)))))))</f>
        <v/>
      </c>
      <c r="M4763" s="112" t="str">
        <f t="shared" si="77"/>
        <v/>
      </c>
      <c r="N4763" s="113"/>
    </row>
    <row r="4764" spans="2:14">
      <c r="B4764" s="105"/>
      <c r="C4764" s="106"/>
      <c r="D4764" s="107"/>
      <c r="E4764" s="65"/>
      <c r="F4764" s="64"/>
      <c r="G4764" s="64"/>
      <c r="H4764" s="64"/>
      <c r="I4764" s="70"/>
      <c r="J4764" s="70"/>
      <c r="K4764" s="110" t="str">
        <f>IF(H4764="","",IF($C$29="간이법","",FPR(H4764,I4764,J4764)))</f>
        <v/>
      </c>
      <c r="L4764" s="111" t="str">
        <f>IF(H4764="","",IF($C$29="상세법",FPV(H4764,K4764),IF(H4764="EI",4,IF(H4764="EO",5.2,IF(H4764="EQ",3.9,IF(H4764="ILF",7.5,IF(H4764="EIF",5.4)))))))</f>
        <v/>
      </c>
      <c r="M4764" s="112" t="str">
        <f t="shared" si="77"/>
        <v/>
      </c>
      <c r="N4764" s="113"/>
    </row>
    <row r="4765" spans="2:14">
      <c r="B4765" s="105"/>
      <c r="C4765" s="106"/>
      <c r="D4765" s="107"/>
      <c r="E4765" s="65"/>
      <c r="F4765" s="64"/>
      <c r="G4765" s="64"/>
      <c r="H4765" s="64"/>
      <c r="I4765" s="70"/>
      <c r="J4765" s="70"/>
      <c r="K4765" s="110" t="str">
        <f>IF(H4765="","",IF($C$29="간이법","",FPR(H4765,I4765,J4765)))</f>
        <v/>
      </c>
      <c r="L4765" s="111" t="str">
        <f>IF(H4765="","",IF($C$29="상세법",FPV(H4765,K4765),IF(H4765="EI",4,IF(H4765="EO",5.2,IF(H4765="EQ",3.9,IF(H4765="ILF",7.5,IF(H4765="EIF",5.4)))))))</f>
        <v/>
      </c>
      <c r="M4765" s="112" t="str">
        <f t="shared" si="77"/>
        <v/>
      </c>
      <c r="N4765" s="113"/>
    </row>
    <row r="4766" spans="2:14">
      <c r="B4766" s="105"/>
      <c r="C4766" s="106"/>
      <c r="D4766" s="107"/>
      <c r="E4766" s="65"/>
      <c r="F4766" s="64"/>
      <c r="G4766" s="64"/>
      <c r="H4766" s="64"/>
      <c r="I4766" s="70"/>
      <c r="J4766" s="70"/>
      <c r="K4766" s="110" t="str">
        <f>IF(H4766="","",IF($C$29="간이법","",FPR(H4766,I4766,J4766)))</f>
        <v/>
      </c>
      <c r="L4766" s="111" t="str">
        <f>IF(H4766="","",IF($C$29="상세법",FPV(H4766,K4766),IF(H4766="EI",4,IF(H4766="EO",5.2,IF(H4766="EQ",3.9,IF(H4766="ILF",7.5,IF(H4766="EIF",5.4)))))))</f>
        <v/>
      </c>
      <c r="M4766" s="112" t="str">
        <f t="shared" si="77"/>
        <v/>
      </c>
      <c r="N4766" s="113"/>
    </row>
    <row r="4767" spans="2:14">
      <c r="B4767" s="105"/>
      <c r="C4767" s="106"/>
      <c r="D4767" s="107"/>
      <c r="E4767" s="65"/>
      <c r="F4767" s="64"/>
      <c r="G4767" s="64"/>
      <c r="H4767" s="64"/>
      <c r="I4767" s="70"/>
      <c r="J4767" s="70"/>
      <c r="K4767" s="110" t="str">
        <f>IF(H4767="","",IF($C$29="간이법","",FPR(H4767,I4767,J4767)))</f>
        <v/>
      </c>
      <c r="L4767" s="111" t="str">
        <f>IF(H4767="","",IF($C$29="상세법",FPV(H4767,K4767),IF(H4767="EI",4,IF(H4767="EO",5.2,IF(H4767="EQ",3.9,IF(H4767="ILF",7.5,IF(H4767="EIF",5.4)))))))</f>
        <v/>
      </c>
      <c r="M4767" s="112" t="str">
        <f t="shared" si="77"/>
        <v/>
      </c>
      <c r="N4767" s="113"/>
    </row>
    <row r="4768" spans="2:14">
      <c r="B4768" s="105"/>
      <c r="C4768" s="106"/>
      <c r="D4768" s="107"/>
      <c r="E4768" s="65"/>
      <c r="F4768" s="64"/>
      <c r="G4768" s="64"/>
      <c r="H4768" s="64"/>
      <c r="I4768" s="70"/>
      <c r="J4768" s="70"/>
      <c r="K4768" s="110" t="str">
        <f>IF(H4768="","",IF($C$29="간이법","",FPR(H4768,I4768,J4768)))</f>
        <v/>
      </c>
      <c r="L4768" s="111" t="str">
        <f>IF(H4768="","",IF($C$29="상세법",FPV(H4768,K4768),IF(H4768="EI",4,IF(H4768="EO",5.2,IF(H4768="EQ",3.9,IF(H4768="ILF",7.5,IF(H4768="EIF",5.4)))))))</f>
        <v/>
      </c>
      <c r="M4768" s="112" t="str">
        <f t="shared" si="77"/>
        <v/>
      </c>
      <c r="N4768" s="113"/>
    </row>
    <row r="4769" spans="2:14">
      <c r="B4769" s="105"/>
      <c r="C4769" s="106"/>
      <c r="D4769" s="107"/>
      <c r="E4769" s="65"/>
      <c r="F4769" s="64"/>
      <c r="G4769" s="64"/>
      <c r="H4769" s="64"/>
      <c r="I4769" s="70"/>
      <c r="J4769" s="70"/>
      <c r="K4769" s="110" t="str">
        <f>IF(H4769="","",IF($C$29="간이법","",FPR(H4769,I4769,J4769)))</f>
        <v/>
      </c>
      <c r="L4769" s="111" t="str">
        <f>IF(H4769="","",IF($C$29="상세법",FPV(H4769,K4769),IF(H4769="EI",4,IF(H4769="EO",5.2,IF(H4769="EQ",3.9,IF(H4769="ILF",7.5,IF(H4769="EIF",5.4)))))))</f>
        <v/>
      </c>
      <c r="M4769" s="112" t="str">
        <f t="shared" si="77"/>
        <v/>
      </c>
      <c r="N4769" s="113"/>
    </row>
    <row r="4770" spans="2:14">
      <c r="B4770" s="105"/>
      <c r="C4770" s="106"/>
      <c r="D4770" s="107"/>
      <c r="E4770" s="65"/>
      <c r="F4770" s="64"/>
      <c r="G4770" s="64"/>
      <c r="H4770" s="64"/>
      <c r="I4770" s="70"/>
      <c r="J4770" s="70"/>
      <c r="K4770" s="110" t="str">
        <f>IF(H4770="","",IF($C$29="간이법","",FPR(H4770,I4770,J4770)))</f>
        <v/>
      </c>
      <c r="L4770" s="111" t="str">
        <f>IF(H4770="","",IF($C$29="상세법",FPV(H4770,K4770),IF(H4770="EI",4,IF(H4770="EO",5.2,IF(H4770="EQ",3.9,IF(H4770="ILF",7.5,IF(H4770="EIF",5.4)))))))</f>
        <v/>
      </c>
      <c r="M4770" s="112" t="str">
        <f t="shared" si="77"/>
        <v/>
      </c>
      <c r="N4770" s="113"/>
    </row>
    <row r="4771" spans="2:14">
      <c r="B4771" s="105"/>
      <c r="C4771" s="106"/>
      <c r="D4771" s="107"/>
      <c r="E4771" s="65"/>
      <c r="F4771" s="64"/>
      <c r="G4771" s="64"/>
      <c r="H4771" s="64"/>
      <c r="I4771" s="70"/>
      <c r="J4771" s="70"/>
      <c r="K4771" s="110" t="str">
        <f>IF(H4771="","",IF($C$29="간이법","",FPR(H4771,I4771,J4771)))</f>
        <v/>
      </c>
      <c r="L4771" s="111" t="str">
        <f>IF(H4771="","",IF($C$29="상세법",FPV(H4771,K4771),IF(H4771="EI",4,IF(H4771="EO",5.2,IF(H4771="EQ",3.9,IF(H4771="ILF",7.5,IF(H4771="EIF",5.4)))))))</f>
        <v/>
      </c>
      <c r="M4771" s="112" t="str">
        <f t="shared" si="77"/>
        <v/>
      </c>
      <c r="N4771" s="113"/>
    </row>
    <row r="4772" spans="2:14">
      <c r="B4772" s="105"/>
      <c r="C4772" s="106"/>
      <c r="D4772" s="107"/>
      <c r="E4772" s="65"/>
      <c r="F4772" s="64"/>
      <c r="G4772" s="64"/>
      <c r="H4772" s="64"/>
      <c r="I4772" s="70"/>
      <c r="J4772" s="70"/>
      <c r="K4772" s="110" t="str">
        <f>IF(H4772="","",IF($C$29="간이법","",FPR(H4772,I4772,J4772)))</f>
        <v/>
      </c>
      <c r="L4772" s="111" t="str">
        <f>IF(H4772="","",IF($C$29="상세법",FPV(H4772,K4772),IF(H4772="EI",4,IF(H4772="EO",5.2,IF(H4772="EQ",3.9,IF(H4772="ILF",7.5,IF(H4772="EIF",5.4)))))))</f>
        <v/>
      </c>
      <c r="M4772" s="112" t="str">
        <f t="shared" si="77"/>
        <v/>
      </c>
      <c r="N4772" s="113"/>
    </row>
    <row r="4773" spans="2:14">
      <c r="B4773" s="105"/>
      <c r="C4773" s="106"/>
      <c r="D4773" s="107"/>
      <c r="E4773" s="65"/>
      <c r="F4773" s="64"/>
      <c r="G4773" s="64"/>
      <c r="H4773" s="64"/>
      <c r="I4773" s="70"/>
      <c r="J4773" s="70"/>
      <c r="K4773" s="110" t="str">
        <f>IF(H4773="","",IF($C$29="간이법","",FPR(H4773,I4773,J4773)))</f>
        <v/>
      </c>
      <c r="L4773" s="111" t="str">
        <f>IF(H4773="","",IF($C$29="상세법",FPV(H4773,K4773),IF(H4773="EI",4,IF(H4773="EO",5.2,IF(H4773="EQ",3.9,IF(H4773="ILF",7.5,IF(H4773="EIF",5.4)))))))</f>
        <v/>
      </c>
      <c r="M4773" s="112" t="str">
        <f t="shared" si="77"/>
        <v/>
      </c>
      <c r="N4773" s="113"/>
    </row>
    <row r="4774" spans="2:14">
      <c r="B4774" s="105"/>
      <c r="C4774" s="106"/>
      <c r="D4774" s="107"/>
      <c r="E4774" s="65"/>
      <c r="F4774" s="64"/>
      <c r="G4774" s="64"/>
      <c r="H4774" s="64"/>
      <c r="I4774" s="70"/>
      <c r="J4774" s="70"/>
      <c r="K4774" s="110" t="str">
        <f>IF(H4774="","",IF($C$29="간이법","",FPR(H4774,I4774,J4774)))</f>
        <v/>
      </c>
      <c r="L4774" s="111" t="str">
        <f>IF(H4774="","",IF($C$29="상세법",FPV(H4774,K4774),IF(H4774="EI",4,IF(H4774="EO",5.2,IF(H4774="EQ",3.9,IF(H4774="ILF",7.5,IF(H4774="EIF",5.4)))))))</f>
        <v/>
      </c>
      <c r="M4774" s="112" t="str">
        <f t="shared" si="77"/>
        <v/>
      </c>
      <c r="N4774" s="113"/>
    </row>
    <row r="4775" spans="2:14">
      <c r="B4775" s="105"/>
      <c r="C4775" s="106"/>
      <c r="D4775" s="107"/>
      <c r="E4775" s="65"/>
      <c r="F4775" s="64"/>
      <c r="G4775" s="64"/>
      <c r="H4775" s="64"/>
      <c r="I4775" s="70"/>
      <c r="J4775" s="70"/>
      <c r="K4775" s="110" t="str">
        <f>IF(H4775="","",IF($C$29="간이법","",FPR(H4775,I4775,J4775)))</f>
        <v/>
      </c>
      <c r="L4775" s="111" t="str">
        <f>IF(H4775="","",IF($C$29="상세법",FPV(H4775,K4775),IF(H4775="EI",4,IF(H4775="EO",5.2,IF(H4775="EQ",3.9,IF(H4775="ILF",7.5,IF(H4775="EIF",5.4)))))))</f>
        <v/>
      </c>
      <c r="M4775" s="112" t="str">
        <f t="shared" si="77"/>
        <v/>
      </c>
      <c r="N4775" s="113"/>
    </row>
    <row r="4776" spans="2:14">
      <c r="B4776" s="105"/>
      <c r="C4776" s="106"/>
      <c r="D4776" s="107"/>
      <c r="E4776" s="65"/>
      <c r="F4776" s="64"/>
      <c r="G4776" s="64"/>
      <c r="H4776" s="64"/>
      <c r="I4776" s="70"/>
      <c r="J4776" s="70"/>
      <c r="K4776" s="110" t="str">
        <f>IF(H4776="","",IF($C$29="간이법","",FPR(H4776,I4776,J4776)))</f>
        <v/>
      </c>
      <c r="L4776" s="111" t="str">
        <f>IF(H4776="","",IF($C$29="상세법",FPV(H4776,K4776),IF(H4776="EI",4,IF(H4776="EO",5.2,IF(H4776="EQ",3.9,IF(H4776="ILF",7.5,IF(H4776="EIF",5.4)))))))</f>
        <v/>
      </c>
      <c r="M4776" s="112" t="str">
        <f t="shared" si="77"/>
        <v/>
      </c>
      <c r="N4776" s="113"/>
    </row>
    <row r="4777" spans="2:14">
      <c r="B4777" s="105"/>
      <c r="C4777" s="106"/>
      <c r="D4777" s="107"/>
      <c r="E4777" s="65"/>
      <c r="F4777" s="64"/>
      <c r="G4777" s="64"/>
      <c r="H4777" s="64"/>
      <c r="I4777" s="70"/>
      <c r="J4777" s="70"/>
      <c r="K4777" s="110" t="str">
        <f>IF(H4777="","",IF($C$29="간이법","",FPR(H4777,I4777,J4777)))</f>
        <v/>
      </c>
      <c r="L4777" s="111" t="str">
        <f>IF(H4777="","",IF($C$29="상세법",FPV(H4777,K4777),IF(H4777="EI",4,IF(H4777="EO",5.2,IF(H4777="EQ",3.9,IF(H4777="ILF",7.5,IF(H4777="EIF",5.4)))))))</f>
        <v/>
      </c>
      <c r="M4777" s="112" t="str">
        <f t="shared" si="77"/>
        <v/>
      </c>
      <c r="N4777" s="113"/>
    </row>
    <row r="4778" spans="2:14">
      <c r="B4778" s="105"/>
      <c r="C4778" s="106"/>
      <c r="D4778" s="107"/>
      <c r="E4778" s="65"/>
      <c r="F4778" s="64"/>
      <c r="G4778" s="64"/>
      <c r="H4778" s="64"/>
      <c r="I4778" s="70"/>
      <c r="J4778" s="70"/>
      <c r="K4778" s="110" t="str">
        <f>IF(H4778="","",IF($C$29="간이법","",FPR(H4778,I4778,J4778)))</f>
        <v/>
      </c>
      <c r="L4778" s="111" t="str">
        <f>IF(H4778="","",IF($C$29="상세법",FPV(H4778,K4778),IF(H4778="EI",4,IF(H4778="EO",5.2,IF(H4778="EQ",3.9,IF(H4778="ILF",7.5,IF(H4778="EIF",5.4)))))))</f>
        <v/>
      </c>
      <c r="M4778" s="112" t="str">
        <f t="shared" si="77"/>
        <v/>
      </c>
      <c r="N4778" s="113"/>
    </row>
    <row r="4779" spans="2:14">
      <c r="B4779" s="105"/>
      <c r="C4779" s="106"/>
      <c r="D4779" s="107"/>
      <c r="E4779" s="65"/>
      <c r="F4779" s="64"/>
      <c r="G4779" s="64"/>
      <c r="H4779" s="64"/>
      <c r="I4779" s="70"/>
      <c r="J4779" s="70"/>
      <c r="K4779" s="110" t="str">
        <f>IF(H4779="","",IF($C$29="간이법","",FPR(H4779,I4779,J4779)))</f>
        <v/>
      </c>
      <c r="L4779" s="111" t="str">
        <f>IF(H4779="","",IF($C$29="상세법",FPV(H4779,K4779),IF(H4779="EI",4,IF(H4779="EO",5.2,IF(H4779="EQ",3.9,IF(H4779="ILF",7.5,IF(H4779="EIF",5.4)))))))</f>
        <v/>
      </c>
      <c r="M4779" s="112" t="str">
        <f t="shared" si="77"/>
        <v/>
      </c>
      <c r="N4779" s="113"/>
    </row>
    <row r="4780" spans="2:14">
      <c r="B4780" s="105"/>
      <c r="C4780" s="106"/>
      <c r="D4780" s="107"/>
      <c r="E4780" s="65"/>
      <c r="F4780" s="64"/>
      <c r="G4780" s="64"/>
      <c r="H4780" s="64"/>
      <c r="I4780" s="70"/>
      <c r="J4780" s="70"/>
      <c r="K4780" s="110" t="str">
        <f>IF(H4780="","",IF($C$29="간이법","",FPR(H4780,I4780,J4780)))</f>
        <v/>
      </c>
      <c r="L4780" s="111" t="str">
        <f>IF(H4780="","",IF($C$29="상세법",FPV(H4780,K4780),IF(H4780="EI",4,IF(H4780="EO",5.2,IF(H4780="EQ",3.9,IF(H4780="ILF",7.5,IF(H4780="EIF",5.4)))))))</f>
        <v/>
      </c>
      <c r="M4780" s="112" t="str">
        <f t="shared" si="77"/>
        <v/>
      </c>
      <c r="N4780" s="113"/>
    </row>
    <row r="4781" spans="2:14">
      <c r="B4781" s="105"/>
      <c r="C4781" s="106"/>
      <c r="D4781" s="107"/>
      <c r="E4781" s="65"/>
      <c r="F4781" s="64"/>
      <c r="G4781" s="64"/>
      <c r="H4781" s="64"/>
      <c r="I4781" s="70"/>
      <c r="J4781" s="70"/>
      <c r="K4781" s="110" t="str">
        <f>IF(H4781="","",IF($C$29="간이법","",FPR(H4781,I4781,J4781)))</f>
        <v/>
      </c>
      <c r="L4781" s="111" t="str">
        <f>IF(H4781="","",IF($C$29="상세법",FPV(H4781,K4781),IF(H4781="EI",4,IF(H4781="EO",5.2,IF(H4781="EQ",3.9,IF(H4781="ILF",7.5,IF(H4781="EIF",5.4)))))))</f>
        <v/>
      </c>
      <c r="M4781" s="112" t="str">
        <f t="shared" si="77"/>
        <v/>
      </c>
      <c r="N4781" s="113"/>
    </row>
    <row r="4782" spans="2:14">
      <c r="B4782" s="105"/>
      <c r="C4782" s="106"/>
      <c r="D4782" s="107"/>
      <c r="E4782" s="65"/>
      <c r="F4782" s="64"/>
      <c r="G4782" s="64"/>
      <c r="H4782" s="64"/>
      <c r="I4782" s="70"/>
      <c r="J4782" s="70"/>
      <c r="K4782" s="110" t="str">
        <f>IF(H4782="","",IF($C$29="간이법","",FPR(H4782,I4782,J4782)))</f>
        <v/>
      </c>
      <c r="L4782" s="111" t="str">
        <f>IF(H4782="","",IF($C$29="상세법",FPV(H4782,K4782),IF(H4782="EI",4,IF(H4782="EO",5.2,IF(H4782="EQ",3.9,IF(H4782="ILF",7.5,IF(H4782="EIF",5.4)))))))</f>
        <v/>
      </c>
      <c r="M4782" s="112" t="str">
        <f t="shared" si="77"/>
        <v/>
      </c>
      <c r="N4782" s="113"/>
    </row>
    <row r="4783" spans="2:14">
      <c r="B4783" s="105"/>
      <c r="C4783" s="106"/>
      <c r="D4783" s="107"/>
      <c r="E4783" s="65"/>
      <c r="F4783" s="64"/>
      <c r="G4783" s="64"/>
      <c r="H4783" s="64"/>
      <c r="I4783" s="70"/>
      <c r="J4783" s="70"/>
      <c r="K4783" s="110" t="str">
        <f>IF(H4783="","",IF($C$29="간이법","",FPR(H4783,I4783,J4783)))</f>
        <v/>
      </c>
      <c r="L4783" s="111" t="str">
        <f>IF(H4783="","",IF($C$29="상세법",FPV(H4783,K4783),IF(H4783="EI",4,IF(H4783="EO",5.2,IF(H4783="EQ",3.9,IF(H4783="ILF",7.5,IF(H4783="EIF",5.4)))))))</f>
        <v/>
      </c>
      <c r="M4783" s="112" t="str">
        <f t="shared" si="77"/>
        <v/>
      </c>
      <c r="N4783" s="113"/>
    </row>
    <row r="4784" spans="2:14">
      <c r="B4784" s="105"/>
      <c r="C4784" s="106"/>
      <c r="D4784" s="107"/>
      <c r="E4784" s="65"/>
      <c r="F4784" s="64"/>
      <c r="G4784" s="64"/>
      <c r="H4784" s="64"/>
      <c r="I4784" s="70"/>
      <c r="J4784" s="70"/>
      <c r="K4784" s="110" t="str">
        <f>IF(H4784="","",IF($C$29="간이법","",FPR(H4784,I4784,J4784)))</f>
        <v/>
      </c>
      <c r="L4784" s="111" t="str">
        <f>IF(H4784="","",IF($C$29="상세법",FPV(H4784,K4784),IF(H4784="EI",4,IF(H4784="EO",5.2,IF(H4784="EQ",3.9,IF(H4784="ILF",7.5,IF(H4784="EIF",5.4)))))))</f>
        <v/>
      </c>
      <c r="M4784" s="112" t="str">
        <f t="shared" si="77"/>
        <v/>
      </c>
      <c r="N4784" s="113"/>
    </row>
    <row r="4785" spans="2:14">
      <c r="B4785" s="105"/>
      <c r="C4785" s="106"/>
      <c r="D4785" s="107"/>
      <c r="E4785" s="65"/>
      <c r="F4785" s="64"/>
      <c r="G4785" s="64"/>
      <c r="H4785" s="64"/>
      <c r="I4785" s="70"/>
      <c r="J4785" s="70"/>
      <c r="K4785" s="110" t="str">
        <f>IF(H4785="","",IF($C$29="간이법","",FPR(H4785,I4785,J4785)))</f>
        <v/>
      </c>
      <c r="L4785" s="111" t="str">
        <f>IF(H4785="","",IF($C$29="상세법",FPV(H4785,K4785),IF(H4785="EI",4,IF(H4785="EO",5.2,IF(H4785="EQ",3.9,IF(H4785="ILF",7.5,IF(H4785="EIF",5.4)))))))</f>
        <v/>
      </c>
      <c r="M4785" s="112" t="str">
        <f t="shared" si="77"/>
        <v/>
      </c>
      <c r="N4785" s="113"/>
    </row>
    <row r="4786" spans="2:14">
      <c r="B4786" s="105"/>
      <c r="C4786" s="106"/>
      <c r="D4786" s="107"/>
      <c r="E4786" s="65"/>
      <c r="F4786" s="64"/>
      <c r="G4786" s="64"/>
      <c r="H4786" s="64"/>
      <c r="I4786" s="70"/>
      <c r="J4786" s="70"/>
      <c r="K4786" s="110" t="str">
        <f>IF(H4786="","",IF($C$29="간이법","",FPR(H4786,I4786,J4786)))</f>
        <v/>
      </c>
      <c r="L4786" s="111" t="str">
        <f>IF(H4786="","",IF($C$29="상세법",FPV(H4786,K4786),IF(H4786="EI",4,IF(H4786="EO",5.2,IF(H4786="EQ",3.9,IF(H4786="ILF",7.5,IF(H4786="EIF",5.4)))))))</f>
        <v/>
      </c>
      <c r="M4786" s="112" t="str">
        <f t="shared" si="77"/>
        <v/>
      </c>
      <c r="N4786" s="113"/>
    </row>
    <row r="4787" spans="2:14">
      <c r="B4787" s="105"/>
      <c r="C4787" s="106"/>
      <c r="D4787" s="107"/>
      <c r="E4787" s="65"/>
      <c r="F4787" s="64"/>
      <c r="G4787" s="64"/>
      <c r="H4787" s="64"/>
      <c r="I4787" s="70"/>
      <c r="J4787" s="70"/>
      <c r="K4787" s="110" t="str">
        <f>IF(H4787="","",IF($C$29="간이법","",FPR(H4787,I4787,J4787)))</f>
        <v/>
      </c>
      <c r="L4787" s="111" t="str">
        <f>IF(H4787="","",IF($C$29="상세법",FPV(H4787,K4787),IF(H4787="EI",4,IF(H4787="EO",5.2,IF(H4787="EQ",3.9,IF(H4787="ILF",7.5,IF(H4787="EIF",5.4)))))))</f>
        <v/>
      </c>
      <c r="M4787" s="112" t="str">
        <f t="shared" si="77"/>
        <v/>
      </c>
      <c r="N4787" s="113"/>
    </row>
    <row r="4788" spans="2:14">
      <c r="B4788" s="105"/>
      <c r="C4788" s="106"/>
      <c r="D4788" s="107"/>
      <c r="E4788" s="65"/>
      <c r="F4788" s="64"/>
      <c r="G4788" s="64"/>
      <c r="H4788" s="64"/>
      <c r="I4788" s="70"/>
      <c r="J4788" s="70"/>
      <c r="K4788" s="110" t="str">
        <f>IF(H4788="","",IF($C$29="간이법","",FPR(H4788,I4788,J4788)))</f>
        <v/>
      </c>
      <c r="L4788" s="111" t="str">
        <f>IF(H4788="","",IF($C$29="상세법",FPV(H4788,K4788),IF(H4788="EI",4,IF(H4788="EO",5.2,IF(H4788="EQ",3.9,IF(H4788="ILF",7.5,IF(H4788="EIF",5.4)))))))</f>
        <v/>
      </c>
      <c r="M4788" s="112" t="str">
        <f t="shared" si="77"/>
        <v/>
      </c>
      <c r="N4788" s="113"/>
    </row>
    <row r="4789" spans="2:14">
      <c r="B4789" s="105"/>
      <c r="C4789" s="106"/>
      <c r="D4789" s="107"/>
      <c r="E4789" s="65"/>
      <c r="F4789" s="64"/>
      <c r="G4789" s="64"/>
      <c r="H4789" s="64"/>
      <c r="I4789" s="70"/>
      <c r="J4789" s="70"/>
      <c r="K4789" s="110" t="str">
        <f>IF(H4789="","",IF($C$29="간이법","",FPR(H4789,I4789,J4789)))</f>
        <v/>
      </c>
      <c r="L4789" s="111" t="str">
        <f>IF(H4789="","",IF($C$29="상세법",FPV(H4789,K4789),IF(H4789="EI",4,IF(H4789="EO",5.2,IF(H4789="EQ",3.9,IF(H4789="ILF",7.5,IF(H4789="EIF",5.4)))))))</f>
        <v/>
      </c>
      <c r="M4789" s="112" t="str">
        <f t="shared" si="77"/>
        <v/>
      </c>
      <c r="N4789" s="113"/>
    </row>
    <row r="4790" spans="2:14">
      <c r="B4790" s="105"/>
      <c r="C4790" s="106"/>
      <c r="D4790" s="107"/>
      <c r="E4790" s="65"/>
      <c r="F4790" s="64"/>
      <c r="G4790" s="64"/>
      <c r="H4790" s="64"/>
      <c r="I4790" s="70"/>
      <c r="J4790" s="70"/>
      <c r="K4790" s="110" t="str">
        <f>IF(H4790="","",IF($C$29="간이법","",FPR(H4790,I4790,J4790)))</f>
        <v/>
      </c>
      <c r="L4790" s="111" t="str">
        <f>IF(H4790="","",IF($C$29="상세법",FPV(H4790,K4790),IF(H4790="EI",4,IF(H4790="EO",5.2,IF(H4790="EQ",3.9,IF(H4790="ILF",7.5,IF(H4790="EIF",5.4)))))))</f>
        <v/>
      </c>
      <c r="M4790" s="112" t="str">
        <f t="shared" si="77"/>
        <v/>
      </c>
      <c r="N4790" s="113"/>
    </row>
    <row r="4791" spans="2:14">
      <c r="B4791" s="105"/>
      <c r="C4791" s="106"/>
      <c r="D4791" s="107"/>
      <c r="E4791" s="65"/>
      <c r="F4791" s="64"/>
      <c r="G4791" s="64"/>
      <c r="H4791" s="64"/>
      <c r="I4791" s="70"/>
      <c r="J4791" s="70"/>
      <c r="K4791" s="110" t="str">
        <f>IF(H4791="","",IF($C$29="간이법","",FPR(H4791,I4791,J4791)))</f>
        <v/>
      </c>
      <c r="L4791" s="111" t="str">
        <f>IF(H4791="","",IF($C$29="상세법",FPV(H4791,K4791),IF(H4791="EI",4,IF(H4791="EO",5.2,IF(H4791="EQ",3.9,IF(H4791="ILF",7.5,IF(H4791="EIF",5.4)))))))</f>
        <v/>
      </c>
      <c r="M4791" s="112" t="str">
        <f t="shared" si="77"/>
        <v/>
      </c>
      <c r="N4791" s="113"/>
    </row>
    <row r="4792" spans="2:14">
      <c r="B4792" s="105"/>
      <c r="C4792" s="106"/>
      <c r="D4792" s="107"/>
      <c r="E4792" s="65"/>
      <c r="F4792" s="64"/>
      <c r="G4792" s="64"/>
      <c r="H4792" s="64"/>
      <c r="I4792" s="70"/>
      <c r="J4792" s="70"/>
      <c r="K4792" s="110" t="str">
        <f>IF(H4792="","",IF($C$29="간이법","",FPR(H4792,I4792,J4792)))</f>
        <v/>
      </c>
      <c r="L4792" s="111" t="str">
        <f>IF(H4792="","",IF($C$29="상세법",FPV(H4792,K4792),IF(H4792="EI",4,IF(H4792="EO",5.2,IF(H4792="EQ",3.9,IF(H4792="ILF",7.5,IF(H4792="EIF",5.4)))))))</f>
        <v/>
      </c>
      <c r="M4792" s="112" t="str">
        <f t="shared" si="77"/>
        <v/>
      </c>
      <c r="N4792" s="113"/>
    </row>
    <row r="4793" spans="2:14">
      <c r="B4793" s="105"/>
      <c r="C4793" s="106"/>
      <c r="D4793" s="107"/>
      <c r="E4793" s="65"/>
      <c r="F4793" s="64"/>
      <c r="G4793" s="64"/>
      <c r="H4793" s="64"/>
      <c r="I4793" s="70"/>
      <c r="J4793" s="70"/>
      <c r="K4793" s="110" t="str">
        <f>IF(H4793="","",IF($C$29="간이법","",FPR(H4793,I4793,J4793)))</f>
        <v/>
      </c>
      <c r="L4793" s="111" t="str">
        <f>IF(H4793="","",IF($C$29="상세법",FPV(H4793,K4793),IF(H4793="EI",4,IF(H4793="EO",5.2,IF(H4793="EQ",3.9,IF(H4793="ILF",7.5,IF(H4793="EIF",5.4)))))))</f>
        <v/>
      </c>
      <c r="M4793" s="112" t="str">
        <f t="shared" ref="M4793:M4856" si="78">IF(L4793="","",L4793*IF(G4793="상",0.7,IF(G4793="중",0.5,IF(G4793="하",0.2,1))))</f>
        <v/>
      </c>
      <c r="N4793" s="113"/>
    </row>
    <row r="4794" spans="2:14">
      <c r="B4794" s="105"/>
      <c r="C4794" s="106"/>
      <c r="D4794" s="107"/>
      <c r="E4794" s="65"/>
      <c r="F4794" s="64"/>
      <c r="G4794" s="64"/>
      <c r="H4794" s="64"/>
      <c r="I4794" s="70"/>
      <c r="J4794" s="70"/>
      <c r="K4794" s="110" t="str">
        <f>IF(H4794="","",IF($C$29="간이법","",FPR(H4794,I4794,J4794)))</f>
        <v/>
      </c>
      <c r="L4794" s="111" t="str">
        <f>IF(H4794="","",IF($C$29="상세법",FPV(H4794,K4794),IF(H4794="EI",4,IF(H4794="EO",5.2,IF(H4794="EQ",3.9,IF(H4794="ILF",7.5,IF(H4794="EIF",5.4)))))))</f>
        <v/>
      </c>
      <c r="M4794" s="112" t="str">
        <f t="shared" si="78"/>
        <v/>
      </c>
      <c r="N4794" s="113"/>
    </row>
    <row r="4795" spans="2:14">
      <c r="B4795" s="105"/>
      <c r="C4795" s="106"/>
      <c r="D4795" s="107"/>
      <c r="E4795" s="65"/>
      <c r="F4795" s="64"/>
      <c r="G4795" s="64"/>
      <c r="H4795" s="64"/>
      <c r="I4795" s="70"/>
      <c r="J4795" s="70"/>
      <c r="K4795" s="110" t="str">
        <f>IF(H4795="","",IF($C$29="간이법","",FPR(H4795,I4795,J4795)))</f>
        <v/>
      </c>
      <c r="L4795" s="111" t="str">
        <f>IF(H4795="","",IF($C$29="상세법",FPV(H4795,K4795),IF(H4795="EI",4,IF(H4795="EO",5.2,IF(H4795="EQ",3.9,IF(H4795="ILF",7.5,IF(H4795="EIF",5.4)))))))</f>
        <v/>
      </c>
      <c r="M4795" s="112" t="str">
        <f t="shared" si="78"/>
        <v/>
      </c>
      <c r="N4795" s="113"/>
    </row>
    <row r="4796" spans="2:14">
      <c r="B4796" s="105"/>
      <c r="C4796" s="106"/>
      <c r="D4796" s="107"/>
      <c r="E4796" s="65"/>
      <c r="F4796" s="64"/>
      <c r="G4796" s="64"/>
      <c r="H4796" s="64"/>
      <c r="I4796" s="70"/>
      <c r="J4796" s="70"/>
      <c r="K4796" s="110" t="str">
        <f>IF(H4796="","",IF($C$29="간이법","",FPR(H4796,I4796,J4796)))</f>
        <v/>
      </c>
      <c r="L4796" s="111" t="str">
        <f>IF(H4796="","",IF($C$29="상세법",FPV(H4796,K4796),IF(H4796="EI",4,IF(H4796="EO",5.2,IF(H4796="EQ",3.9,IF(H4796="ILF",7.5,IF(H4796="EIF",5.4)))))))</f>
        <v/>
      </c>
      <c r="M4796" s="112" t="str">
        <f t="shared" si="78"/>
        <v/>
      </c>
      <c r="N4796" s="113"/>
    </row>
    <row r="4797" spans="2:14">
      <c r="B4797" s="105"/>
      <c r="C4797" s="106"/>
      <c r="D4797" s="107"/>
      <c r="E4797" s="65"/>
      <c r="F4797" s="64"/>
      <c r="G4797" s="64"/>
      <c r="H4797" s="64"/>
      <c r="I4797" s="70"/>
      <c r="J4797" s="70"/>
      <c r="K4797" s="110" t="str">
        <f>IF(H4797="","",IF($C$29="간이법","",FPR(H4797,I4797,J4797)))</f>
        <v/>
      </c>
      <c r="L4797" s="111" t="str">
        <f>IF(H4797="","",IF($C$29="상세법",FPV(H4797,K4797),IF(H4797="EI",4,IF(H4797="EO",5.2,IF(H4797="EQ",3.9,IF(H4797="ILF",7.5,IF(H4797="EIF",5.4)))))))</f>
        <v/>
      </c>
      <c r="M4797" s="112" t="str">
        <f t="shared" si="78"/>
        <v/>
      </c>
      <c r="N4797" s="113"/>
    </row>
    <row r="4798" spans="2:14">
      <c r="B4798" s="105"/>
      <c r="C4798" s="106"/>
      <c r="D4798" s="107"/>
      <c r="E4798" s="65"/>
      <c r="F4798" s="64"/>
      <c r="G4798" s="64"/>
      <c r="H4798" s="64"/>
      <c r="I4798" s="70"/>
      <c r="J4798" s="70"/>
      <c r="K4798" s="110" t="str">
        <f>IF(H4798="","",IF($C$29="간이법","",FPR(H4798,I4798,J4798)))</f>
        <v/>
      </c>
      <c r="L4798" s="111" t="str">
        <f>IF(H4798="","",IF($C$29="상세법",FPV(H4798,K4798),IF(H4798="EI",4,IF(H4798="EO",5.2,IF(H4798="EQ",3.9,IF(H4798="ILF",7.5,IF(H4798="EIF",5.4)))))))</f>
        <v/>
      </c>
      <c r="M4798" s="112" t="str">
        <f t="shared" si="78"/>
        <v/>
      </c>
      <c r="N4798" s="113"/>
    </row>
    <row r="4799" spans="2:14">
      <c r="B4799" s="105"/>
      <c r="C4799" s="106"/>
      <c r="D4799" s="107"/>
      <c r="E4799" s="65"/>
      <c r="F4799" s="64"/>
      <c r="G4799" s="64"/>
      <c r="H4799" s="64"/>
      <c r="I4799" s="70"/>
      <c r="J4799" s="70"/>
      <c r="K4799" s="110" t="str">
        <f>IF(H4799="","",IF($C$29="간이법","",FPR(H4799,I4799,J4799)))</f>
        <v/>
      </c>
      <c r="L4799" s="111" t="str">
        <f>IF(H4799="","",IF($C$29="상세법",FPV(H4799,K4799),IF(H4799="EI",4,IF(H4799="EO",5.2,IF(H4799="EQ",3.9,IF(H4799="ILF",7.5,IF(H4799="EIF",5.4)))))))</f>
        <v/>
      </c>
      <c r="M4799" s="112" t="str">
        <f t="shared" si="78"/>
        <v/>
      </c>
      <c r="N4799" s="113"/>
    </row>
    <row r="4800" spans="2:14">
      <c r="B4800" s="105"/>
      <c r="C4800" s="106"/>
      <c r="D4800" s="107"/>
      <c r="E4800" s="65"/>
      <c r="F4800" s="64"/>
      <c r="G4800" s="64"/>
      <c r="H4800" s="64"/>
      <c r="I4800" s="70"/>
      <c r="J4800" s="70"/>
      <c r="K4800" s="110" t="str">
        <f>IF(H4800="","",IF($C$29="간이법","",FPR(H4800,I4800,J4800)))</f>
        <v/>
      </c>
      <c r="L4800" s="111" t="str">
        <f>IF(H4800="","",IF($C$29="상세법",FPV(H4800,K4800),IF(H4800="EI",4,IF(H4800="EO",5.2,IF(H4800="EQ",3.9,IF(H4800="ILF",7.5,IF(H4800="EIF",5.4)))))))</f>
        <v/>
      </c>
      <c r="M4800" s="112" t="str">
        <f t="shared" si="78"/>
        <v/>
      </c>
      <c r="N4800" s="113"/>
    </row>
    <row r="4801" spans="2:14">
      <c r="B4801" s="105"/>
      <c r="C4801" s="106"/>
      <c r="D4801" s="107"/>
      <c r="E4801" s="65"/>
      <c r="F4801" s="64"/>
      <c r="G4801" s="64"/>
      <c r="H4801" s="64"/>
      <c r="I4801" s="70"/>
      <c r="J4801" s="70"/>
      <c r="K4801" s="110" t="str">
        <f>IF(H4801="","",IF($C$29="간이법","",FPR(H4801,I4801,J4801)))</f>
        <v/>
      </c>
      <c r="L4801" s="111" t="str">
        <f>IF(H4801="","",IF($C$29="상세법",FPV(H4801,K4801),IF(H4801="EI",4,IF(H4801="EO",5.2,IF(H4801="EQ",3.9,IF(H4801="ILF",7.5,IF(H4801="EIF",5.4)))))))</f>
        <v/>
      </c>
      <c r="M4801" s="112" t="str">
        <f t="shared" si="78"/>
        <v/>
      </c>
      <c r="N4801" s="113"/>
    </row>
    <row r="4802" spans="2:14">
      <c r="B4802" s="105"/>
      <c r="C4802" s="106"/>
      <c r="D4802" s="107"/>
      <c r="E4802" s="65"/>
      <c r="F4802" s="64"/>
      <c r="G4802" s="64"/>
      <c r="H4802" s="64"/>
      <c r="I4802" s="70"/>
      <c r="J4802" s="70"/>
      <c r="K4802" s="110" t="str">
        <f>IF(H4802="","",IF($C$29="간이법","",FPR(H4802,I4802,J4802)))</f>
        <v/>
      </c>
      <c r="L4802" s="111" t="str">
        <f>IF(H4802="","",IF($C$29="상세법",FPV(H4802,K4802),IF(H4802="EI",4,IF(H4802="EO",5.2,IF(H4802="EQ",3.9,IF(H4802="ILF",7.5,IF(H4802="EIF",5.4)))))))</f>
        <v/>
      </c>
      <c r="M4802" s="112" t="str">
        <f t="shared" si="78"/>
        <v/>
      </c>
      <c r="N4802" s="113"/>
    </row>
    <row r="4803" spans="2:14">
      <c r="B4803" s="105"/>
      <c r="C4803" s="106"/>
      <c r="D4803" s="107"/>
      <c r="E4803" s="65"/>
      <c r="F4803" s="64"/>
      <c r="G4803" s="64"/>
      <c r="H4803" s="64"/>
      <c r="I4803" s="70"/>
      <c r="J4803" s="70"/>
      <c r="K4803" s="110" t="str">
        <f>IF(H4803="","",IF($C$29="간이법","",FPR(H4803,I4803,J4803)))</f>
        <v/>
      </c>
      <c r="L4803" s="111" t="str">
        <f>IF(H4803="","",IF($C$29="상세법",FPV(H4803,K4803),IF(H4803="EI",4,IF(H4803="EO",5.2,IF(H4803="EQ",3.9,IF(H4803="ILF",7.5,IF(H4803="EIF",5.4)))))))</f>
        <v/>
      </c>
      <c r="M4803" s="112" t="str">
        <f t="shared" si="78"/>
        <v/>
      </c>
      <c r="N4803" s="113"/>
    </row>
    <row r="4804" spans="2:14">
      <c r="B4804" s="105"/>
      <c r="C4804" s="106"/>
      <c r="D4804" s="107"/>
      <c r="E4804" s="65"/>
      <c r="F4804" s="64"/>
      <c r="G4804" s="64"/>
      <c r="H4804" s="64"/>
      <c r="I4804" s="70"/>
      <c r="J4804" s="70"/>
      <c r="K4804" s="110" t="str">
        <f>IF(H4804="","",IF($C$29="간이법","",FPR(H4804,I4804,J4804)))</f>
        <v/>
      </c>
      <c r="L4804" s="111" t="str">
        <f>IF(H4804="","",IF($C$29="상세법",FPV(H4804,K4804),IF(H4804="EI",4,IF(H4804="EO",5.2,IF(H4804="EQ",3.9,IF(H4804="ILF",7.5,IF(H4804="EIF",5.4)))))))</f>
        <v/>
      </c>
      <c r="M4804" s="112" t="str">
        <f t="shared" si="78"/>
        <v/>
      </c>
      <c r="N4804" s="113"/>
    </row>
    <row r="4805" spans="2:14">
      <c r="B4805" s="105"/>
      <c r="C4805" s="106"/>
      <c r="D4805" s="107"/>
      <c r="E4805" s="65"/>
      <c r="F4805" s="64"/>
      <c r="G4805" s="64"/>
      <c r="H4805" s="64"/>
      <c r="I4805" s="70"/>
      <c r="J4805" s="70"/>
      <c r="K4805" s="110" t="str">
        <f>IF(H4805="","",IF($C$29="간이법","",FPR(H4805,I4805,J4805)))</f>
        <v/>
      </c>
      <c r="L4805" s="111" t="str">
        <f>IF(H4805="","",IF($C$29="상세법",FPV(H4805,K4805),IF(H4805="EI",4,IF(H4805="EO",5.2,IF(H4805="EQ",3.9,IF(H4805="ILF",7.5,IF(H4805="EIF",5.4)))))))</f>
        <v/>
      </c>
      <c r="M4805" s="112" t="str">
        <f t="shared" si="78"/>
        <v/>
      </c>
      <c r="N4805" s="113"/>
    </row>
    <row r="4806" spans="2:14">
      <c r="B4806" s="105"/>
      <c r="C4806" s="106"/>
      <c r="D4806" s="107"/>
      <c r="E4806" s="65"/>
      <c r="F4806" s="64"/>
      <c r="G4806" s="64"/>
      <c r="H4806" s="64"/>
      <c r="I4806" s="70"/>
      <c r="J4806" s="70"/>
      <c r="K4806" s="110" t="str">
        <f>IF(H4806="","",IF($C$29="간이법","",FPR(H4806,I4806,J4806)))</f>
        <v/>
      </c>
      <c r="L4806" s="111" t="str">
        <f>IF(H4806="","",IF($C$29="상세법",FPV(H4806,K4806),IF(H4806="EI",4,IF(H4806="EO",5.2,IF(H4806="EQ",3.9,IF(H4806="ILF",7.5,IF(H4806="EIF",5.4)))))))</f>
        <v/>
      </c>
      <c r="M4806" s="112" t="str">
        <f t="shared" si="78"/>
        <v/>
      </c>
      <c r="N4806" s="113"/>
    </row>
    <row r="4807" spans="2:14">
      <c r="B4807" s="105"/>
      <c r="C4807" s="106"/>
      <c r="D4807" s="107"/>
      <c r="E4807" s="65"/>
      <c r="F4807" s="64"/>
      <c r="G4807" s="64"/>
      <c r="H4807" s="64"/>
      <c r="I4807" s="70"/>
      <c r="J4807" s="70"/>
      <c r="K4807" s="110" t="str">
        <f>IF(H4807="","",IF($C$29="간이법","",FPR(H4807,I4807,J4807)))</f>
        <v/>
      </c>
      <c r="L4807" s="111" t="str">
        <f>IF(H4807="","",IF($C$29="상세법",FPV(H4807,K4807),IF(H4807="EI",4,IF(H4807="EO",5.2,IF(H4807="EQ",3.9,IF(H4807="ILF",7.5,IF(H4807="EIF",5.4)))))))</f>
        <v/>
      </c>
      <c r="M4807" s="112" t="str">
        <f t="shared" si="78"/>
        <v/>
      </c>
      <c r="N4807" s="113"/>
    </row>
    <row r="4808" spans="2:14">
      <c r="B4808" s="105"/>
      <c r="C4808" s="106"/>
      <c r="D4808" s="107"/>
      <c r="E4808" s="65"/>
      <c r="F4808" s="64"/>
      <c r="G4808" s="64"/>
      <c r="H4808" s="64"/>
      <c r="I4808" s="70"/>
      <c r="J4808" s="70"/>
      <c r="K4808" s="110" t="str">
        <f>IF(H4808="","",IF($C$29="간이법","",FPR(H4808,I4808,J4808)))</f>
        <v/>
      </c>
      <c r="L4808" s="111" t="str">
        <f>IF(H4808="","",IF($C$29="상세법",FPV(H4808,K4808),IF(H4808="EI",4,IF(H4808="EO",5.2,IF(H4808="EQ",3.9,IF(H4808="ILF",7.5,IF(H4808="EIF",5.4)))))))</f>
        <v/>
      </c>
      <c r="M4808" s="112" t="str">
        <f t="shared" si="78"/>
        <v/>
      </c>
      <c r="N4808" s="113"/>
    </row>
    <row r="4809" spans="2:14">
      <c r="B4809" s="105"/>
      <c r="C4809" s="106"/>
      <c r="D4809" s="107"/>
      <c r="E4809" s="65"/>
      <c r="F4809" s="64"/>
      <c r="G4809" s="64"/>
      <c r="H4809" s="64"/>
      <c r="I4809" s="70"/>
      <c r="J4809" s="70"/>
      <c r="K4809" s="110" t="str">
        <f>IF(H4809="","",IF($C$29="간이법","",FPR(H4809,I4809,J4809)))</f>
        <v/>
      </c>
      <c r="L4809" s="111" t="str">
        <f>IF(H4809="","",IF($C$29="상세법",FPV(H4809,K4809),IF(H4809="EI",4,IF(H4809="EO",5.2,IF(H4809="EQ",3.9,IF(H4809="ILF",7.5,IF(H4809="EIF",5.4)))))))</f>
        <v/>
      </c>
      <c r="M4809" s="112" t="str">
        <f t="shared" si="78"/>
        <v/>
      </c>
      <c r="N4809" s="113"/>
    </row>
    <row r="4810" spans="2:14">
      <c r="B4810" s="105"/>
      <c r="C4810" s="106"/>
      <c r="D4810" s="107"/>
      <c r="E4810" s="65"/>
      <c r="F4810" s="64"/>
      <c r="G4810" s="64"/>
      <c r="H4810" s="64"/>
      <c r="I4810" s="70"/>
      <c r="J4810" s="70"/>
      <c r="K4810" s="110" t="str">
        <f>IF(H4810="","",IF($C$29="간이법","",FPR(H4810,I4810,J4810)))</f>
        <v/>
      </c>
      <c r="L4810" s="111" t="str">
        <f>IF(H4810="","",IF($C$29="상세법",FPV(H4810,K4810),IF(H4810="EI",4,IF(H4810="EO",5.2,IF(H4810="EQ",3.9,IF(H4810="ILF",7.5,IF(H4810="EIF",5.4)))))))</f>
        <v/>
      </c>
      <c r="M4810" s="112" t="str">
        <f t="shared" si="78"/>
        <v/>
      </c>
      <c r="N4810" s="113"/>
    </row>
    <row r="4811" spans="2:14">
      <c r="B4811" s="105"/>
      <c r="C4811" s="106"/>
      <c r="D4811" s="107"/>
      <c r="E4811" s="65"/>
      <c r="F4811" s="64"/>
      <c r="G4811" s="64"/>
      <c r="H4811" s="64"/>
      <c r="I4811" s="70"/>
      <c r="J4811" s="70"/>
      <c r="K4811" s="110" t="str">
        <f>IF(H4811="","",IF($C$29="간이법","",FPR(H4811,I4811,J4811)))</f>
        <v/>
      </c>
      <c r="L4811" s="111" t="str">
        <f>IF(H4811="","",IF($C$29="상세법",FPV(H4811,K4811),IF(H4811="EI",4,IF(H4811="EO",5.2,IF(H4811="EQ",3.9,IF(H4811="ILF",7.5,IF(H4811="EIF",5.4)))))))</f>
        <v/>
      </c>
      <c r="M4811" s="112" t="str">
        <f t="shared" si="78"/>
        <v/>
      </c>
      <c r="N4811" s="113"/>
    </row>
    <row r="4812" spans="2:14">
      <c r="B4812" s="105"/>
      <c r="C4812" s="106"/>
      <c r="D4812" s="107"/>
      <c r="E4812" s="65"/>
      <c r="F4812" s="64"/>
      <c r="G4812" s="64"/>
      <c r="H4812" s="64"/>
      <c r="I4812" s="70"/>
      <c r="J4812" s="70"/>
      <c r="K4812" s="110" t="str">
        <f>IF(H4812="","",IF($C$29="간이법","",FPR(H4812,I4812,J4812)))</f>
        <v/>
      </c>
      <c r="L4812" s="111" t="str">
        <f>IF(H4812="","",IF($C$29="상세법",FPV(H4812,K4812),IF(H4812="EI",4,IF(H4812="EO",5.2,IF(H4812="EQ",3.9,IF(H4812="ILF",7.5,IF(H4812="EIF",5.4)))))))</f>
        <v/>
      </c>
      <c r="M4812" s="112" t="str">
        <f t="shared" si="78"/>
        <v/>
      </c>
      <c r="N4812" s="113"/>
    </row>
    <row r="4813" spans="2:14">
      <c r="B4813" s="105"/>
      <c r="C4813" s="106"/>
      <c r="D4813" s="107"/>
      <c r="E4813" s="65"/>
      <c r="F4813" s="64"/>
      <c r="G4813" s="64"/>
      <c r="H4813" s="64"/>
      <c r="I4813" s="70"/>
      <c r="J4813" s="70"/>
      <c r="K4813" s="110" t="str">
        <f>IF(H4813="","",IF($C$29="간이법","",FPR(H4813,I4813,J4813)))</f>
        <v/>
      </c>
      <c r="L4813" s="111" t="str">
        <f>IF(H4813="","",IF($C$29="상세법",FPV(H4813,K4813),IF(H4813="EI",4,IF(H4813="EO",5.2,IF(H4813="EQ",3.9,IF(H4813="ILF",7.5,IF(H4813="EIF",5.4)))))))</f>
        <v/>
      </c>
      <c r="M4813" s="112" t="str">
        <f t="shared" si="78"/>
        <v/>
      </c>
      <c r="N4813" s="113"/>
    </row>
    <row r="4814" spans="2:14">
      <c r="B4814" s="105"/>
      <c r="C4814" s="106"/>
      <c r="D4814" s="107"/>
      <c r="E4814" s="65"/>
      <c r="F4814" s="64"/>
      <c r="G4814" s="64"/>
      <c r="H4814" s="64"/>
      <c r="I4814" s="70"/>
      <c r="J4814" s="70"/>
      <c r="K4814" s="110" t="str">
        <f>IF(H4814="","",IF($C$29="간이법","",FPR(H4814,I4814,J4814)))</f>
        <v/>
      </c>
      <c r="L4814" s="111" t="str">
        <f>IF(H4814="","",IF($C$29="상세법",FPV(H4814,K4814),IF(H4814="EI",4,IF(H4814="EO",5.2,IF(H4814="EQ",3.9,IF(H4814="ILF",7.5,IF(H4814="EIF",5.4)))))))</f>
        <v/>
      </c>
      <c r="M4814" s="112" t="str">
        <f t="shared" si="78"/>
        <v/>
      </c>
      <c r="N4814" s="113"/>
    </row>
    <row r="4815" spans="2:14">
      <c r="B4815" s="105"/>
      <c r="C4815" s="106"/>
      <c r="D4815" s="107"/>
      <c r="E4815" s="65"/>
      <c r="F4815" s="64"/>
      <c r="G4815" s="64"/>
      <c r="H4815" s="64"/>
      <c r="I4815" s="70"/>
      <c r="J4815" s="70"/>
      <c r="K4815" s="110" t="str">
        <f>IF(H4815="","",IF($C$29="간이법","",FPR(H4815,I4815,J4815)))</f>
        <v/>
      </c>
      <c r="L4815" s="111" t="str">
        <f>IF(H4815="","",IF($C$29="상세법",FPV(H4815,K4815),IF(H4815="EI",4,IF(H4815="EO",5.2,IF(H4815="EQ",3.9,IF(H4815="ILF",7.5,IF(H4815="EIF",5.4)))))))</f>
        <v/>
      </c>
      <c r="M4815" s="112" t="str">
        <f t="shared" si="78"/>
        <v/>
      </c>
      <c r="N4815" s="113"/>
    </row>
    <row r="4816" spans="2:14">
      <c r="B4816" s="105"/>
      <c r="C4816" s="106"/>
      <c r="D4816" s="107"/>
      <c r="E4816" s="65"/>
      <c r="F4816" s="64"/>
      <c r="G4816" s="64"/>
      <c r="H4816" s="64"/>
      <c r="I4816" s="70"/>
      <c r="J4816" s="70"/>
      <c r="K4816" s="110" t="str">
        <f>IF(H4816="","",IF($C$29="간이법","",FPR(H4816,I4816,J4816)))</f>
        <v/>
      </c>
      <c r="L4816" s="111" t="str">
        <f>IF(H4816="","",IF($C$29="상세법",FPV(H4816,K4816),IF(H4816="EI",4,IF(H4816="EO",5.2,IF(H4816="EQ",3.9,IF(H4816="ILF",7.5,IF(H4816="EIF",5.4)))))))</f>
        <v/>
      </c>
      <c r="M4816" s="112" t="str">
        <f t="shared" si="78"/>
        <v/>
      </c>
      <c r="N4816" s="113"/>
    </row>
    <row r="4817" spans="2:14">
      <c r="B4817" s="105"/>
      <c r="C4817" s="106"/>
      <c r="D4817" s="107"/>
      <c r="E4817" s="65"/>
      <c r="F4817" s="64"/>
      <c r="G4817" s="64"/>
      <c r="H4817" s="64"/>
      <c r="I4817" s="70"/>
      <c r="J4817" s="70"/>
      <c r="K4817" s="110" t="str">
        <f>IF(H4817="","",IF($C$29="간이법","",FPR(H4817,I4817,J4817)))</f>
        <v/>
      </c>
      <c r="L4817" s="111" t="str">
        <f>IF(H4817="","",IF($C$29="상세법",FPV(H4817,K4817),IF(H4817="EI",4,IF(H4817="EO",5.2,IF(H4817="EQ",3.9,IF(H4817="ILF",7.5,IF(H4817="EIF",5.4)))))))</f>
        <v/>
      </c>
      <c r="M4817" s="112" t="str">
        <f t="shared" si="78"/>
        <v/>
      </c>
      <c r="N4817" s="113"/>
    </row>
    <row r="4818" spans="2:14">
      <c r="B4818" s="105"/>
      <c r="C4818" s="106"/>
      <c r="D4818" s="107"/>
      <c r="E4818" s="65"/>
      <c r="F4818" s="64"/>
      <c r="G4818" s="64"/>
      <c r="H4818" s="64"/>
      <c r="I4818" s="70"/>
      <c r="J4818" s="70"/>
      <c r="K4818" s="110" t="str">
        <f>IF(H4818="","",IF($C$29="간이법","",FPR(H4818,I4818,J4818)))</f>
        <v/>
      </c>
      <c r="L4818" s="111" t="str">
        <f>IF(H4818="","",IF($C$29="상세법",FPV(H4818,K4818),IF(H4818="EI",4,IF(H4818="EO",5.2,IF(H4818="EQ",3.9,IF(H4818="ILF",7.5,IF(H4818="EIF",5.4)))))))</f>
        <v/>
      </c>
      <c r="M4818" s="112" t="str">
        <f t="shared" si="78"/>
        <v/>
      </c>
      <c r="N4818" s="113"/>
    </row>
    <row r="4819" spans="2:14">
      <c r="B4819" s="105"/>
      <c r="C4819" s="106"/>
      <c r="D4819" s="107"/>
      <c r="E4819" s="65"/>
      <c r="F4819" s="64"/>
      <c r="G4819" s="64"/>
      <c r="H4819" s="64"/>
      <c r="I4819" s="70"/>
      <c r="J4819" s="70"/>
      <c r="K4819" s="110" t="str">
        <f>IF(H4819="","",IF($C$29="간이법","",FPR(H4819,I4819,J4819)))</f>
        <v/>
      </c>
      <c r="L4819" s="111" t="str">
        <f>IF(H4819="","",IF($C$29="상세법",FPV(H4819,K4819),IF(H4819="EI",4,IF(H4819="EO",5.2,IF(H4819="EQ",3.9,IF(H4819="ILF",7.5,IF(H4819="EIF",5.4)))))))</f>
        <v/>
      </c>
      <c r="M4819" s="112" t="str">
        <f t="shared" si="78"/>
        <v/>
      </c>
      <c r="N4819" s="113"/>
    </row>
    <row r="4820" spans="2:14">
      <c r="B4820" s="105"/>
      <c r="C4820" s="106"/>
      <c r="D4820" s="107"/>
      <c r="E4820" s="65"/>
      <c r="F4820" s="64"/>
      <c r="G4820" s="64"/>
      <c r="H4820" s="64"/>
      <c r="I4820" s="70"/>
      <c r="J4820" s="70"/>
      <c r="K4820" s="110" t="str">
        <f>IF(H4820="","",IF($C$29="간이법","",FPR(H4820,I4820,J4820)))</f>
        <v/>
      </c>
      <c r="L4820" s="111" t="str">
        <f>IF(H4820="","",IF($C$29="상세법",FPV(H4820,K4820),IF(H4820="EI",4,IF(H4820="EO",5.2,IF(H4820="EQ",3.9,IF(H4820="ILF",7.5,IF(H4820="EIF",5.4)))))))</f>
        <v/>
      </c>
      <c r="M4820" s="112" t="str">
        <f t="shared" si="78"/>
        <v/>
      </c>
      <c r="N4820" s="113"/>
    </row>
    <row r="4821" spans="2:14">
      <c r="B4821" s="105"/>
      <c r="C4821" s="106"/>
      <c r="D4821" s="107"/>
      <c r="E4821" s="65"/>
      <c r="F4821" s="64"/>
      <c r="G4821" s="64"/>
      <c r="H4821" s="64"/>
      <c r="I4821" s="70"/>
      <c r="J4821" s="70"/>
      <c r="K4821" s="110" t="str">
        <f>IF(H4821="","",IF($C$29="간이법","",FPR(H4821,I4821,J4821)))</f>
        <v/>
      </c>
      <c r="L4821" s="111" t="str">
        <f>IF(H4821="","",IF($C$29="상세법",FPV(H4821,K4821),IF(H4821="EI",4,IF(H4821="EO",5.2,IF(H4821="EQ",3.9,IF(H4821="ILF",7.5,IF(H4821="EIF",5.4)))))))</f>
        <v/>
      </c>
      <c r="M4821" s="112" t="str">
        <f t="shared" si="78"/>
        <v/>
      </c>
      <c r="N4821" s="113"/>
    </row>
    <row r="4822" spans="2:14">
      <c r="B4822" s="105"/>
      <c r="C4822" s="106"/>
      <c r="D4822" s="107"/>
      <c r="E4822" s="65"/>
      <c r="F4822" s="64"/>
      <c r="G4822" s="64"/>
      <c r="H4822" s="64"/>
      <c r="I4822" s="70"/>
      <c r="J4822" s="70"/>
      <c r="K4822" s="110" t="str">
        <f>IF(H4822="","",IF($C$29="간이법","",FPR(H4822,I4822,J4822)))</f>
        <v/>
      </c>
      <c r="L4822" s="111" t="str">
        <f>IF(H4822="","",IF($C$29="상세법",FPV(H4822,K4822),IF(H4822="EI",4,IF(H4822="EO",5.2,IF(H4822="EQ",3.9,IF(H4822="ILF",7.5,IF(H4822="EIF",5.4)))))))</f>
        <v/>
      </c>
      <c r="M4822" s="112" t="str">
        <f t="shared" si="78"/>
        <v/>
      </c>
      <c r="N4822" s="113"/>
    </row>
    <row r="4823" spans="2:14">
      <c r="B4823" s="105"/>
      <c r="C4823" s="106"/>
      <c r="D4823" s="107"/>
      <c r="E4823" s="65"/>
      <c r="F4823" s="64"/>
      <c r="G4823" s="64"/>
      <c r="H4823" s="64"/>
      <c r="I4823" s="70"/>
      <c r="J4823" s="70"/>
      <c r="K4823" s="110" t="str">
        <f>IF(H4823="","",IF($C$29="간이법","",FPR(H4823,I4823,J4823)))</f>
        <v/>
      </c>
      <c r="L4823" s="111" t="str">
        <f>IF(H4823="","",IF($C$29="상세법",FPV(H4823,K4823),IF(H4823="EI",4,IF(H4823="EO",5.2,IF(H4823="EQ",3.9,IF(H4823="ILF",7.5,IF(H4823="EIF",5.4)))))))</f>
        <v/>
      </c>
      <c r="M4823" s="112" t="str">
        <f t="shared" si="78"/>
        <v/>
      </c>
      <c r="N4823" s="113"/>
    </row>
    <row r="4824" spans="2:14">
      <c r="B4824" s="105"/>
      <c r="C4824" s="106"/>
      <c r="D4824" s="107"/>
      <c r="E4824" s="65"/>
      <c r="F4824" s="64"/>
      <c r="G4824" s="64"/>
      <c r="H4824" s="64"/>
      <c r="I4824" s="70"/>
      <c r="J4824" s="70"/>
      <c r="K4824" s="110" t="str">
        <f>IF(H4824="","",IF($C$29="간이법","",FPR(H4824,I4824,J4824)))</f>
        <v/>
      </c>
      <c r="L4824" s="111" t="str">
        <f>IF(H4824="","",IF($C$29="상세법",FPV(H4824,K4824),IF(H4824="EI",4,IF(H4824="EO",5.2,IF(H4824="EQ",3.9,IF(H4824="ILF",7.5,IF(H4824="EIF",5.4)))))))</f>
        <v/>
      </c>
      <c r="M4824" s="112" t="str">
        <f t="shared" si="78"/>
        <v/>
      </c>
      <c r="N4824" s="113"/>
    </row>
    <row r="4825" spans="2:14">
      <c r="B4825" s="105"/>
      <c r="C4825" s="106"/>
      <c r="D4825" s="107"/>
      <c r="E4825" s="65"/>
      <c r="F4825" s="64"/>
      <c r="G4825" s="64"/>
      <c r="H4825" s="64"/>
      <c r="I4825" s="70"/>
      <c r="J4825" s="70"/>
      <c r="K4825" s="110" t="str">
        <f>IF(H4825="","",IF($C$29="간이법","",FPR(H4825,I4825,J4825)))</f>
        <v/>
      </c>
      <c r="L4825" s="111" t="str">
        <f>IF(H4825="","",IF($C$29="상세법",FPV(H4825,K4825),IF(H4825="EI",4,IF(H4825="EO",5.2,IF(H4825="EQ",3.9,IF(H4825="ILF",7.5,IF(H4825="EIF",5.4)))))))</f>
        <v/>
      </c>
      <c r="M4825" s="112" t="str">
        <f t="shared" si="78"/>
        <v/>
      </c>
      <c r="N4825" s="113"/>
    </row>
    <row r="4826" spans="2:14">
      <c r="B4826" s="105"/>
      <c r="C4826" s="106"/>
      <c r="D4826" s="107"/>
      <c r="E4826" s="65"/>
      <c r="F4826" s="64"/>
      <c r="G4826" s="64"/>
      <c r="H4826" s="64"/>
      <c r="I4826" s="70"/>
      <c r="J4826" s="70"/>
      <c r="K4826" s="110" t="str">
        <f>IF(H4826="","",IF($C$29="간이법","",FPR(H4826,I4826,J4826)))</f>
        <v/>
      </c>
      <c r="L4826" s="111" t="str">
        <f>IF(H4826="","",IF($C$29="상세법",FPV(H4826,K4826),IF(H4826="EI",4,IF(H4826="EO",5.2,IF(H4826="EQ",3.9,IF(H4826="ILF",7.5,IF(H4826="EIF",5.4)))))))</f>
        <v/>
      </c>
      <c r="M4826" s="112" t="str">
        <f t="shared" si="78"/>
        <v/>
      </c>
      <c r="N4826" s="113"/>
    </row>
    <row r="4827" spans="2:14">
      <c r="B4827" s="105"/>
      <c r="C4827" s="106"/>
      <c r="D4827" s="107"/>
      <c r="E4827" s="65"/>
      <c r="F4827" s="64"/>
      <c r="G4827" s="64"/>
      <c r="H4827" s="64"/>
      <c r="I4827" s="70"/>
      <c r="J4827" s="70"/>
      <c r="K4827" s="110" t="str">
        <f>IF(H4827="","",IF($C$29="간이법","",FPR(H4827,I4827,J4827)))</f>
        <v/>
      </c>
      <c r="L4827" s="111" t="str">
        <f>IF(H4827="","",IF($C$29="상세법",FPV(H4827,K4827),IF(H4827="EI",4,IF(H4827="EO",5.2,IF(H4827="EQ",3.9,IF(H4827="ILF",7.5,IF(H4827="EIF",5.4)))))))</f>
        <v/>
      </c>
      <c r="M4827" s="112" t="str">
        <f t="shared" si="78"/>
        <v/>
      </c>
      <c r="N4827" s="113"/>
    </row>
    <row r="4828" spans="2:14">
      <c r="B4828" s="105"/>
      <c r="C4828" s="106"/>
      <c r="D4828" s="107"/>
      <c r="E4828" s="65"/>
      <c r="F4828" s="64"/>
      <c r="G4828" s="64"/>
      <c r="H4828" s="64"/>
      <c r="I4828" s="70"/>
      <c r="J4828" s="70"/>
      <c r="K4828" s="110" t="str">
        <f>IF(H4828="","",IF($C$29="간이법","",FPR(H4828,I4828,J4828)))</f>
        <v/>
      </c>
      <c r="L4828" s="111" t="str">
        <f>IF(H4828="","",IF($C$29="상세법",FPV(H4828,K4828),IF(H4828="EI",4,IF(H4828="EO",5.2,IF(H4828="EQ",3.9,IF(H4828="ILF",7.5,IF(H4828="EIF",5.4)))))))</f>
        <v/>
      </c>
      <c r="M4828" s="112" t="str">
        <f t="shared" si="78"/>
        <v/>
      </c>
      <c r="N4828" s="113"/>
    </row>
    <row r="4829" spans="2:14">
      <c r="B4829" s="105"/>
      <c r="C4829" s="106"/>
      <c r="D4829" s="107"/>
      <c r="E4829" s="65"/>
      <c r="F4829" s="64"/>
      <c r="G4829" s="64"/>
      <c r="H4829" s="64"/>
      <c r="I4829" s="70"/>
      <c r="J4829" s="70"/>
      <c r="K4829" s="110" t="str">
        <f>IF(H4829="","",IF($C$29="간이법","",FPR(H4829,I4829,J4829)))</f>
        <v/>
      </c>
      <c r="L4829" s="111" t="str">
        <f>IF(H4829="","",IF($C$29="상세법",FPV(H4829,K4829),IF(H4829="EI",4,IF(H4829="EO",5.2,IF(H4829="EQ",3.9,IF(H4829="ILF",7.5,IF(H4829="EIF",5.4)))))))</f>
        <v/>
      </c>
      <c r="M4829" s="112" t="str">
        <f t="shared" si="78"/>
        <v/>
      </c>
      <c r="N4829" s="113"/>
    </row>
    <row r="4830" spans="2:14">
      <c r="B4830" s="105"/>
      <c r="C4830" s="106"/>
      <c r="D4830" s="107"/>
      <c r="E4830" s="65"/>
      <c r="F4830" s="64"/>
      <c r="G4830" s="64"/>
      <c r="H4830" s="64"/>
      <c r="I4830" s="70"/>
      <c r="J4830" s="70"/>
      <c r="K4830" s="110" t="str">
        <f>IF(H4830="","",IF($C$29="간이법","",FPR(H4830,I4830,J4830)))</f>
        <v/>
      </c>
      <c r="L4830" s="111" t="str">
        <f>IF(H4830="","",IF($C$29="상세법",FPV(H4830,K4830),IF(H4830="EI",4,IF(H4830="EO",5.2,IF(H4830="EQ",3.9,IF(H4830="ILF",7.5,IF(H4830="EIF",5.4)))))))</f>
        <v/>
      </c>
      <c r="M4830" s="112" t="str">
        <f t="shared" si="78"/>
        <v/>
      </c>
      <c r="N4830" s="113"/>
    </row>
    <row r="4831" spans="2:14">
      <c r="B4831" s="105"/>
      <c r="C4831" s="106"/>
      <c r="D4831" s="107"/>
      <c r="E4831" s="65"/>
      <c r="F4831" s="64"/>
      <c r="G4831" s="64"/>
      <c r="H4831" s="64"/>
      <c r="I4831" s="70"/>
      <c r="J4831" s="70"/>
      <c r="K4831" s="110" t="str">
        <f>IF(H4831="","",IF($C$29="간이법","",FPR(H4831,I4831,J4831)))</f>
        <v/>
      </c>
      <c r="L4831" s="111" t="str">
        <f>IF(H4831="","",IF($C$29="상세법",FPV(H4831,K4831),IF(H4831="EI",4,IF(H4831="EO",5.2,IF(H4831="EQ",3.9,IF(H4831="ILF",7.5,IF(H4831="EIF",5.4)))))))</f>
        <v/>
      </c>
      <c r="M4831" s="112" t="str">
        <f t="shared" si="78"/>
        <v/>
      </c>
      <c r="N4831" s="113"/>
    </row>
    <row r="4832" spans="2:14">
      <c r="B4832" s="105"/>
      <c r="C4832" s="106"/>
      <c r="D4832" s="107"/>
      <c r="E4832" s="65"/>
      <c r="F4832" s="64"/>
      <c r="G4832" s="64"/>
      <c r="H4832" s="64"/>
      <c r="I4832" s="70"/>
      <c r="J4832" s="70"/>
      <c r="K4832" s="110" t="str">
        <f>IF(H4832="","",IF($C$29="간이법","",FPR(H4832,I4832,J4832)))</f>
        <v/>
      </c>
      <c r="L4832" s="111" t="str">
        <f>IF(H4832="","",IF($C$29="상세법",FPV(H4832,K4832),IF(H4832="EI",4,IF(H4832="EO",5.2,IF(H4832="EQ",3.9,IF(H4832="ILF",7.5,IF(H4832="EIF",5.4)))))))</f>
        <v/>
      </c>
      <c r="M4832" s="112" t="str">
        <f t="shared" si="78"/>
        <v/>
      </c>
      <c r="N4832" s="113"/>
    </row>
    <row r="4833" spans="2:14">
      <c r="B4833" s="105"/>
      <c r="C4833" s="106"/>
      <c r="D4833" s="107"/>
      <c r="E4833" s="65"/>
      <c r="F4833" s="64"/>
      <c r="G4833" s="64"/>
      <c r="H4833" s="64"/>
      <c r="I4833" s="70"/>
      <c r="J4833" s="70"/>
      <c r="K4833" s="110" t="str">
        <f>IF(H4833="","",IF($C$29="간이법","",FPR(H4833,I4833,J4833)))</f>
        <v/>
      </c>
      <c r="L4833" s="111" t="str">
        <f>IF(H4833="","",IF($C$29="상세법",FPV(H4833,K4833),IF(H4833="EI",4,IF(H4833="EO",5.2,IF(H4833="EQ",3.9,IF(H4833="ILF",7.5,IF(H4833="EIF",5.4)))))))</f>
        <v/>
      </c>
      <c r="M4833" s="112" t="str">
        <f t="shared" si="78"/>
        <v/>
      </c>
      <c r="N4833" s="113"/>
    </row>
    <row r="4834" spans="2:14">
      <c r="B4834" s="105"/>
      <c r="C4834" s="106"/>
      <c r="D4834" s="107"/>
      <c r="E4834" s="65"/>
      <c r="F4834" s="64"/>
      <c r="G4834" s="64"/>
      <c r="H4834" s="64"/>
      <c r="I4834" s="70"/>
      <c r="J4834" s="70"/>
      <c r="K4834" s="110" t="str">
        <f>IF(H4834="","",IF($C$29="간이법","",FPR(H4834,I4834,J4834)))</f>
        <v/>
      </c>
      <c r="L4834" s="111" t="str">
        <f>IF(H4834="","",IF($C$29="상세법",FPV(H4834,K4834),IF(H4834="EI",4,IF(H4834="EO",5.2,IF(H4834="EQ",3.9,IF(H4834="ILF",7.5,IF(H4834="EIF",5.4)))))))</f>
        <v/>
      </c>
      <c r="M4834" s="112" t="str">
        <f t="shared" si="78"/>
        <v/>
      </c>
      <c r="N4834" s="113"/>
    </row>
    <row r="4835" spans="2:14">
      <c r="B4835" s="105"/>
      <c r="C4835" s="106"/>
      <c r="D4835" s="107"/>
      <c r="E4835" s="65"/>
      <c r="F4835" s="64"/>
      <c r="G4835" s="64"/>
      <c r="H4835" s="64"/>
      <c r="I4835" s="70"/>
      <c r="J4835" s="70"/>
      <c r="K4835" s="110" t="str">
        <f>IF(H4835="","",IF($C$29="간이법","",FPR(H4835,I4835,J4835)))</f>
        <v/>
      </c>
      <c r="L4835" s="111" t="str">
        <f>IF(H4835="","",IF($C$29="상세법",FPV(H4835,K4835),IF(H4835="EI",4,IF(H4835="EO",5.2,IF(H4835="EQ",3.9,IF(H4835="ILF",7.5,IF(H4835="EIF",5.4)))))))</f>
        <v/>
      </c>
      <c r="M4835" s="112" t="str">
        <f t="shared" si="78"/>
        <v/>
      </c>
      <c r="N4835" s="113"/>
    </row>
    <row r="4836" spans="2:14">
      <c r="B4836" s="105"/>
      <c r="C4836" s="106"/>
      <c r="D4836" s="107"/>
      <c r="E4836" s="65"/>
      <c r="F4836" s="64"/>
      <c r="G4836" s="64"/>
      <c r="H4836" s="64"/>
      <c r="I4836" s="70"/>
      <c r="J4836" s="70"/>
      <c r="K4836" s="110" t="str">
        <f>IF(H4836="","",IF($C$29="간이법","",FPR(H4836,I4836,J4836)))</f>
        <v/>
      </c>
      <c r="L4836" s="111" t="str">
        <f>IF(H4836="","",IF($C$29="상세법",FPV(H4836,K4836),IF(H4836="EI",4,IF(H4836="EO",5.2,IF(H4836="EQ",3.9,IF(H4836="ILF",7.5,IF(H4836="EIF",5.4)))))))</f>
        <v/>
      </c>
      <c r="M4836" s="112" t="str">
        <f t="shared" si="78"/>
        <v/>
      </c>
      <c r="N4836" s="113"/>
    </row>
    <row r="4837" spans="2:14">
      <c r="B4837" s="105"/>
      <c r="C4837" s="106"/>
      <c r="D4837" s="107"/>
      <c r="E4837" s="65"/>
      <c r="F4837" s="64"/>
      <c r="G4837" s="64"/>
      <c r="H4837" s="64"/>
      <c r="I4837" s="70"/>
      <c r="J4837" s="70"/>
      <c r="K4837" s="110" t="str">
        <f>IF(H4837="","",IF($C$29="간이법","",FPR(H4837,I4837,J4837)))</f>
        <v/>
      </c>
      <c r="L4837" s="111" t="str">
        <f>IF(H4837="","",IF($C$29="상세법",FPV(H4837,K4837),IF(H4837="EI",4,IF(H4837="EO",5.2,IF(H4837="EQ",3.9,IF(H4837="ILF",7.5,IF(H4837="EIF",5.4)))))))</f>
        <v/>
      </c>
      <c r="M4837" s="112" t="str">
        <f t="shared" si="78"/>
        <v/>
      </c>
      <c r="N4837" s="113"/>
    </row>
    <row r="4838" spans="2:14">
      <c r="B4838" s="105"/>
      <c r="C4838" s="106"/>
      <c r="D4838" s="107"/>
      <c r="E4838" s="65"/>
      <c r="F4838" s="64"/>
      <c r="G4838" s="64"/>
      <c r="H4838" s="64"/>
      <c r="I4838" s="70"/>
      <c r="J4838" s="70"/>
      <c r="K4838" s="110" t="str">
        <f>IF(H4838="","",IF($C$29="간이법","",FPR(H4838,I4838,J4838)))</f>
        <v/>
      </c>
      <c r="L4838" s="111" t="str">
        <f>IF(H4838="","",IF($C$29="상세법",FPV(H4838,K4838),IF(H4838="EI",4,IF(H4838="EO",5.2,IF(H4838="EQ",3.9,IF(H4838="ILF",7.5,IF(H4838="EIF",5.4)))))))</f>
        <v/>
      </c>
      <c r="M4838" s="112" t="str">
        <f t="shared" si="78"/>
        <v/>
      </c>
      <c r="N4838" s="113"/>
    </row>
    <row r="4839" spans="2:14">
      <c r="B4839" s="105"/>
      <c r="C4839" s="106"/>
      <c r="D4839" s="107"/>
      <c r="E4839" s="65"/>
      <c r="F4839" s="64"/>
      <c r="G4839" s="64"/>
      <c r="H4839" s="64"/>
      <c r="I4839" s="70"/>
      <c r="J4839" s="70"/>
      <c r="K4839" s="110" t="str">
        <f>IF(H4839="","",IF($C$29="간이법","",FPR(H4839,I4839,J4839)))</f>
        <v/>
      </c>
      <c r="L4839" s="111" t="str">
        <f>IF(H4839="","",IF($C$29="상세법",FPV(H4839,K4839),IF(H4839="EI",4,IF(H4839="EO",5.2,IF(H4839="EQ",3.9,IF(H4839="ILF",7.5,IF(H4839="EIF",5.4)))))))</f>
        <v/>
      </c>
      <c r="M4839" s="112" t="str">
        <f t="shared" si="78"/>
        <v/>
      </c>
      <c r="N4839" s="113"/>
    </row>
    <row r="4840" spans="2:14">
      <c r="B4840" s="105"/>
      <c r="C4840" s="106"/>
      <c r="D4840" s="107"/>
      <c r="E4840" s="65"/>
      <c r="F4840" s="64"/>
      <c r="G4840" s="64"/>
      <c r="H4840" s="64"/>
      <c r="I4840" s="70"/>
      <c r="J4840" s="70"/>
      <c r="K4840" s="110" t="str">
        <f>IF(H4840="","",IF($C$29="간이법","",FPR(H4840,I4840,J4840)))</f>
        <v/>
      </c>
      <c r="L4840" s="111" t="str">
        <f>IF(H4840="","",IF($C$29="상세법",FPV(H4840,K4840),IF(H4840="EI",4,IF(H4840="EO",5.2,IF(H4840="EQ",3.9,IF(H4840="ILF",7.5,IF(H4840="EIF",5.4)))))))</f>
        <v/>
      </c>
      <c r="M4840" s="112" t="str">
        <f t="shared" si="78"/>
        <v/>
      </c>
      <c r="N4840" s="113"/>
    </row>
    <row r="4841" spans="2:14">
      <c r="B4841" s="105"/>
      <c r="C4841" s="106"/>
      <c r="D4841" s="107"/>
      <c r="E4841" s="65"/>
      <c r="F4841" s="64"/>
      <c r="G4841" s="64"/>
      <c r="H4841" s="64"/>
      <c r="I4841" s="70"/>
      <c r="J4841" s="70"/>
      <c r="K4841" s="110" t="str">
        <f>IF(H4841="","",IF($C$29="간이법","",FPR(H4841,I4841,J4841)))</f>
        <v/>
      </c>
      <c r="L4841" s="111" t="str">
        <f>IF(H4841="","",IF($C$29="상세법",FPV(H4841,K4841),IF(H4841="EI",4,IF(H4841="EO",5.2,IF(H4841="EQ",3.9,IF(H4841="ILF",7.5,IF(H4841="EIF",5.4)))))))</f>
        <v/>
      </c>
      <c r="M4841" s="112" t="str">
        <f t="shared" si="78"/>
        <v/>
      </c>
      <c r="N4841" s="113"/>
    </row>
    <row r="4842" spans="2:14">
      <c r="B4842" s="105"/>
      <c r="C4842" s="106"/>
      <c r="D4842" s="107"/>
      <c r="E4842" s="65"/>
      <c r="F4842" s="64"/>
      <c r="G4842" s="64"/>
      <c r="H4842" s="64"/>
      <c r="I4842" s="70"/>
      <c r="J4842" s="70"/>
      <c r="K4842" s="110" t="str">
        <f>IF(H4842="","",IF($C$29="간이법","",FPR(H4842,I4842,J4842)))</f>
        <v/>
      </c>
      <c r="L4842" s="111" t="str">
        <f>IF(H4842="","",IF($C$29="상세법",FPV(H4842,K4842),IF(H4842="EI",4,IF(H4842="EO",5.2,IF(H4842="EQ",3.9,IF(H4842="ILF",7.5,IF(H4842="EIF",5.4)))))))</f>
        <v/>
      </c>
      <c r="M4842" s="112" t="str">
        <f t="shared" si="78"/>
        <v/>
      </c>
      <c r="N4842" s="113"/>
    </row>
    <row r="4843" spans="2:14">
      <c r="B4843" s="105"/>
      <c r="C4843" s="106"/>
      <c r="D4843" s="107"/>
      <c r="E4843" s="65"/>
      <c r="F4843" s="64"/>
      <c r="G4843" s="64"/>
      <c r="H4843" s="64"/>
      <c r="I4843" s="70"/>
      <c r="J4843" s="70"/>
      <c r="K4843" s="110" t="str">
        <f>IF(H4843="","",IF($C$29="간이법","",FPR(H4843,I4843,J4843)))</f>
        <v/>
      </c>
      <c r="L4843" s="111" t="str">
        <f>IF(H4843="","",IF($C$29="상세법",FPV(H4843,K4843),IF(H4843="EI",4,IF(H4843="EO",5.2,IF(H4843="EQ",3.9,IF(H4843="ILF",7.5,IF(H4843="EIF",5.4)))))))</f>
        <v/>
      </c>
      <c r="M4843" s="112" t="str">
        <f t="shared" si="78"/>
        <v/>
      </c>
      <c r="N4843" s="113"/>
    </row>
    <row r="4844" spans="2:14">
      <c r="B4844" s="105"/>
      <c r="C4844" s="106"/>
      <c r="D4844" s="107"/>
      <c r="E4844" s="65"/>
      <c r="F4844" s="64"/>
      <c r="G4844" s="64"/>
      <c r="H4844" s="64"/>
      <c r="I4844" s="70"/>
      <c r="J4844" s="70"/>
      <c r="K4844" s="110" t="str">
        <f>IF(H4844="","",IF($C$29="간이법","",FPR(H4844,I4844,J4844)))</f>
        <v/>
      </c>
      <c r="L4844" s="111" t="str">
        <f>IF(H4844="","",IF($C$29="상세법",FPV(H4844,K4844),IF(H4844="EI",4,IF(H4844="EO",5.2,IF(H4844="EQ",3.9,IF(H4844="ILF",7.5,IF(H4844="EIF",5.4)))))))</f>
        <v/>
      </c>
      <c r="M4844" s="112" t="str">
        <f t="shared" si="78"/>
        <v/>
      </c>
      <c r="N4844" s="113"/>
    </row>
    <row r="4845" spans="2:14">
      <c r="B4845" s="105"/>
      <c r="C4845" s="106"/>
      <c r="D4845" s="107"/>
      <c r="E4845" s="65"/>
      <c r="F4845" s="64"/>
      <c r="G4845" s="64"/>
      <c r="H4845" s="64"/>
      <c r="I4845" s="70"/>
      <c r="J4845" s="70"/>
      <c r="K4845" s="110" t="str">
        <f>IF(H4845="","",IF($C$29="간이법","",FPR(H4845,I4845,J4845)))</f>
        <v/>
      </c>
      <c r="L4845" s="111" t="str">
        <f>IF(H4845="","",IF($C$29="상세법",FPV(H4845,K4845),IF(H4845="EI",4,IF(H4845="EO",5.2,IF(H4845="EQ",3.9,IF(H4845="ILF",7.5,IF(H4845="EIF",5.4)))))))</f>
        <v/>
      </c>
      <c r="M4845" s="112" t="str">
        <f t="shared" si="78"/>
        <v/>
      </c>
      <c r="N4845" s="113"/>
    </row>
    <row r="4846" spans="2:14">
      <c r="B4846" s="105"/>
      <c r="C4846" s="106"/>
      <c r="D4846" s="107"/>
      <c r="E4846" s="65"/>
      <c r="F4846" s="64"/>
      <c r="G4846" s="64"/>
      <c r="H4846" s="64"/>
      <c r="I4846" s="70"/>
      <c r="J4846" s="70"/>
      <c r="K4846" s="110" t="str">
        <f>IF(H4846="","",IF($C$29="간이법","",FPR(H4846,I4846,J4846)))</f>
        <v/>
      </c>
      <c r="L4846" s="111" t="str">
        <f>IF(H4846="","",IF($C$29="상세법",FPV(H4846,K4846),IF(H4846="EI",4,IF(H4846="EO",5.2,IF(H4846="EQ",3.9,IF(H4846="ILF",7.5,IF(H4846="EIF",5.4)))))))</f>
        <v/>
      </c>
      <c r="M4846" s="112" t="str">
        <f t="shared" si="78"/>
        <v/>
      </c>
      <c r="N4846" s="113"/>
    </row>
    <row r="4847" spans="2:14">
      <c r="B4847" s="105"/>
      <c r="C4847" s="106"/>
      <c r="D4847" s="107"/>
      <c r="E4847" s="65"/>
      <c r="F4847" s="64"/>
      <c r="G4847" s="64"/>
      <c r="H4847" s="64"/>
      <c r="I4847" s="70"/>
      <c r="J4847" s="70"/>
      <c r="K4847" s="110" t="str">
        <f>IF(H4847="","",IF($C$29="간이법","",FPR(H4847,I4847,J4847)))</f>
        <v/>
      </c>
      <c r="L4847" s="111" t="str">
        <f>IF(H4847="","",IF($C$29="상세법",FPV(H4847,K4847),IF(H4847="EI",4,IF(H4847="EO",5.2,IF(H4847="EQ",3.9,IF(H4847="ILF",7.5,IF(H4847="EIF",5.4)))))))</f>
        <v/>
      </c>
      <c r="M4847" s="112" t="str">
        <f t="shared" si="78"/>
        <v/>
      </c>
      <c r="N4847" s="113"/>
    </row>
    <row r="4848" spans="2:14">
      <c r="B4848" s="105"/>
      <c r="C4848" s="106"/>
      <c r="D4848" s="107"/>
      <c r="E4848" s="65"/>
      <c r="F4848" s="64"/>
      <c r="G4848" s="64"/>
      <c r="H4848" s="64"/>
      <c r="I4848" s="70"/>
      <c r="J4848" s="70"/>
      <c r="K4848" s="110" t="str">
        <f>IF(H4848="","",IF($C$29="간이법","",FPR(H4848,I4848,J4848)))</f>
        <v/>
      </c>
      <c r="L4848" s="111" t="str">
        <f>IF(H4848="","",IF($C$29="상세법",FPV(H4848,K4848),IF(H4848="EI",4,IF(H4848="EO",5.2,IF(H4848="EQ",3.9,IF(H4848="ILF",7.5,IF(H4848="EIF",5.4)))))))</f>
        <v/>
      </c>
      <c r="M4848" s="112" t="str">
        <f t="shared" si="78"/>
        <v/>
      </c>
      <c r="N4848" s="113"/>
    </row>
    <row r="4849" spans="2:14">
      <c r="B4849" s="105"/>
      <c r="C4849" s="106"/>
      <c r="D4849" s="107"/>
      <c r="E4849" s="65"/>
      <c r="F4849" s="64"/>
      <c r="G4849" s="64"/>
      <c r="H4849" s="64"/>
      <c r="I4849" s="70"/>
      <c r="J4849" s="70"/>
      <c r="K4849" s="110" t="str">
        <f>IF(H4849="","",IF($C$29="간이법","",FPR(H4849,I4849,J4849)))</f>
        <v/>
      </c>
      <c r="L4849" s="111" t="str">
        <f>IF(H4849="","",IF($C$29="상세법",FPV(H4849,K4849),IF(H4849="EI",4,IF(H4849="EO",5.2,IF(H4849="EQ",3.9,IF(H4849="ILF",7.5,IF(H4849="EIF",5.4)))))))</f>
        <v/>
      </c>
      <c r="M4849" s="112" t="str">
        <f t="shared" si="78"/>
        <v/>
      </c>
      <c r="N4849" s="113"/>
    </row>
    <row r="4850" spans="2:14">
      <c r="B4850" s="105"/>
      <c r="C4850" s="106"/>
      <c r="D4850" s="107"/>
      <c r="E4850" s="65"/>
      <c r="F4850" s="64"/>
      <c r="G4850" s="64"/>
      <c r="H4850" s="64"/>
      <c r="I4850" s="70"/>
      <c r="J4850" s="70"/>
      <c r="K4850" s="110" t="str">
        <f>IF(H4850="","",IF($C$29="간이법","",FPR(H4850,I4850,J4850)))</f>
        <v/>
      </c>
      <c r="L4850" s="111" t="str">
        <f>IF(H4850="","",IF($C$29="상세법",FPV(H4850,K4850),IF(H4850="EI",4,IF(H4850="EO",5.2,IF(H4850="EQ",3.9,IF(H4850="ILF",7.5,IF(H4850="EIF",5.4)))))))</f>
        <v/>
      </c>
      <c r="M4850" s="112" t="str">
        <f t="shared" si="78"/>
        <v/>
      </c>
      <c r="N4850" s="113"/>
    </row>
    <row r="4851" spans="2:14">
      <c r="B4851" s="105"/>
      <c r="C4851" s="106"/>
      <c r="D4851" s="107"/>
      <c r="E4851" s="65"/>
      <c r="F4851" s="64"/>
      <c r="G4851" s="64"/>
      <c r="H4851" s="64"/>
      <c r="I4851" s="70"/>
      <c r="J4851" s="70"/>
      <c r="K4851" s="110" t="str">
        <f>IF(H4851="","",IF($C$29="간이법","",FPR(H4851,I4851,J4851)))</f>
        <v/>
      </c>
      <c r="L4851" s="111" t="str">
        <f>IF(H4851="","",IF($C$29="상세법",FPV(H4851,K4851),IF(H4851="EI",4,IF(H4851="EO",5.2,IF(H4851="EQ",3.9,IF(H4851="ILF",7.5,IF(H4851="EIF",5.4)))))))</f>
        <v/>
      </c>
      <c r="M4851" s="112" t="str">
        <f t="shared" si="78"/>
        <v/>
      </c>
      <c r="N4851" s="113"/>
    </row>
    <row r="4852" spans="2:14">
      <c r="B4852" s="105"/>
      <c r="C4852" s="106"/>
      <c r="D4852" s="107"/>
      <c r="E4852" s="65"/>
      <c r="F4852" s="64"/>
      <c r="G4852" s="64"/>
      <c r="H4852" s="64"/>
      <c r="I4852" s="70"/>
      <c r="J4852" s="70"/>
      <c r="K4852" s="110" t="str">
        <f>IF(H4852="","",IF($C$29="간이법","",FPR(H4852,I4852,J4852)))</f>
        <v/>
      </c>
      <c r="L4852" s="111" t="str">
        <f>IF(H4852="","",IF($C$29="상세법",FPV(H4852,K4852),IF(H4852="EI",4,IF(H4852="EO",5.2,IF(H4852="EQ",3.9,IF(H4852="ILF",7.5,IF(H4852="EIF",5.4)))))))</f>
        <v/>
      </c>
      <c r="M4852" s="112" t="str">
        <f t="shared" si="78"/>
        <v/>
      </c>
      <c r="N4852" s="113"/>
    </row>
    <row r="4853" spans="2:14">
      <c r="B4853" s="105"/>
      <c r="C4853" s="106"/>
      <c r="D4853" s="107"/>
      <c r="E4853" s="65"/>
      <c r="F4853" s="64"/>
      <c r="G4853" s="64"/>
      <c r="H4853" s="64"/>
      <c r="I4853" s="70"/>
      <c r="J4853" s="70"/>
      <c r="K4853" s="110" t="str">
        <f>IF(H4853="","",IF($C$29="간이법","",FPR(H4853,I4853,J4853)))</f>
        <v/>
      </c>
      <c r="L4853" s="111" t="str">
        <f>IF(H4853="","",IF($C$29="상세법",FPV(H4853,K4853),IF(H4853="EI",4,IF(H4853="EO",5.2,IF(H4853="EQ",3.9,IF(H4853="ILF",7.5,IF(H4853="EIF",5.4)))))))</f>
        <v/>
      </c>
      <c r="M4853" s="112" t="str">
        <f t="shared" si="78"/>
        <v/>
      </c>
      <c r="N4853" s="113"/>
    </row>
    <row r="4854" spans="2:14">
      <c r="B4854" s="105"/>
      <c r="C4854" s="106"/>
      <c r="D4854" s="107"/>
      <c r="E4854" s="65"/>
      <c r="F4854" s="64"/>
      <c r="G4854" s="64"/>
      <c r="H4854" s="64"/>
      <c r="I4854" s="70"/>
      <c r="J4854" s="70"/>
      <c r="K4854" s="110" t="str">
        <f>IF(H4854="","",IF($C$29="간이법","",FPR(H4854,I4854,J4854)))</f>
        <v/>
      </c>
      <c r="L4854" s="111" t="str">
        <f>IF(H4854="","",IF($C$29="상세법",FPV(H4854,K4854),IF(H4854="EI",4,IF(H4854="EO",5.2,IF(H4854="EQ",3.9,IF(H4854="ILF",7.5,IF(H4854="EIF",5.4)))))))</f>
        <v/>
      </c>
      <c r="M4854" s="112" t="str">
        <f t="shared" si="78"/>
        <v/>
      </c>
      <c r="N4854" s="113"/>
    </row>
    <row r="4855" spans="2:14">
      <c r="B4855" s="105"/>
      <c r="C4855" s="106"/>
      <c r="D4855" s="107"/>
      <c r="E4855" s="65"/>
      <c r="F4855" s="64"/>
      <c r="G4855" s="64"/>
      <c r="H4855" s="64"/>
      <c r="I4855" s="70"/>
      <c r="J4855" s="70"/>
      <c r="K4855" s="110" t="str">
        <f>IF(H4855="","",IF($C$29="간이법","",FPR(H4855,I4855,J4855)))</f>
        <v/>
      </c>
      <c r="L4855" s="111" t="str">
        <f>IF(H4855="","",IF($C$29="상세법",FPV(H4855,K4855),IF(H4855="EI",4,IF(H4855="EO",5.2,IF(H4855="EQ",3.9,IF(H4855="ILF",7.5,IF(H4855="EIF",5.4)))))))</f>
        <v/>
      </c>
      <c r="M4855" s="112" t="str">
        <f t="shared" si="78"/>
        <v/>
      </c>
      <c r="N4855" s="113"/>
    </row>
    <row r="4856" spans="2:14">
      <c r="B4856" s="105"/>
      <c r="C4856" s="106"/>
      <c r="D4856" s="107"/>
      <c r="E4856" s="65"/>
      <c r="F4856" s="64"/>
      <c r="G4856" s="64"/>
      <c r="H4856" s="64"/>
      <c r="I4856" s="70"/>
      <c r="J4856" s="70"/>
      <c r="K4856" s="110" t="str">
        <f>IF(H4856="","",IF($C$29="간이법","",FPR(H4856,I4856,J4856)))</f>
        <v/>
      </c>
      <c r="L4856" s="111" t="str">
        <f>IF(H4856="","",IF($C$29="상세법",FPV(H4856,K4856),IF(H4856="EI",4,IF(H4856="EO",5.2,IF(H4856="EQ",3.9,IF(H4856="ILF",7.5,IF(H4856="EIF",5.4)))))))</f>
        <v/>
      </c>
      <c r="M4856" s="112" t="str">
        <f t="shared" si="78"/>
        <v/>
      </c>
      <c r="N4856" s="113"/>
    </row>
    <row r="4857" spans="2:14">
      <c r="B4857" s="105"/>
      <c r="C4857" s="106"/>
      <c r="D4857" s="107"/>
      <c r="E4857" s="65"/>
      <c r="F4857" s="64"/>
      <c r="G4857" s="64"/>
      <c r="H4857" s="64"/>
      <c r="I4857" s="70"/>
      <c r="J4857" s="70"/>
      <c r="K4857" s="110" t="str">
        <f>IF(H4857="","",IF($C$29="간이법","",FPR(H4857,I4857,J4857)))</f>
        <v/>
      </c>
      <c r="L4857" s="111" t="str">
        <f>IF(H4857="","",IF($C$29="상세법",FPV(H4857,K4857),IF(H4857="EI",4,IF(H4857="EO",5.2,IF(H4857="EQ",3.9,IF(H4857="ILF",7.5,IF(H4857="EIF",5.4)))))))</f>
        <v/>
      </c>
      <c r="M4857" s="112" t="str">
        <f t="shared" ref="M4857:M4920" si="79">IF(L4857="","",L4857*IF(G4857="상",0.7,IF(G4857="중",0.5,IF(G4857="하",0.2,1))))</f>
        <v/>
      </c>
      <c r="N4857" s="113"/>
    </row>
    <row r="4858" spans="2:14">
      <c r="B4858" s="105"/>
      <c r="C4858" s="106"/>
      <c r="D4858" s="107"/>
      <c r="E4858" s="65"/>
      <c r="F4858" s="64"/>
      <c r="G4858" s="64"/>
      <c r="H4858" s="64"/>
      <c r="I4858" s="70"/>
      <c r="J4858" s="70"/>
      <c r="K4858" s="110" t="str">
        <f>IF(H4858="","",IF($C$29="간이법","",FPR(H4858,I4858,J4858)))</f>
        <v/>
      </c>
      <c r="L4858" s="111" t="str">
        <f>IF(H4858="","",IF($C$29="상세법",FPV(H4858,K4858),IF(H4858="EI",4,IF(H4858="EO",5.2,IF(H4858="EQ",3.9,IF(H4858="ILF",7.5,IF(H4858="EIF",5.4)))))))</f>
        <v/>
      </c>
      <c r="M4858" s="112" t="str">
        <f t="shared" si="79"/>
        <v/>
      </c>
      <c r="N4858" s="113"/>
    </row>
    <row r="4859" spans="2:14">
      <c r="B4859" s="105"/>
      <c r="C4859" s="106"/>
      <c r="D4859" s="107"/>
      <c r="E4859" s="65"/>
      <c r="F4859" s="64"/>
      <c r="G4859" s="64"/>
      <c r="H4859" s="64"/>
      <c r="I4859" s="70"/>
      <c r="J4859" s="70"/>
      <c r="K4859" s="110" t="str">
        <f>IF(H4859="","",IF($C$29="간이법","",FPR(H4859,I4859,J4859)))</f>
        <v/>
      </c>
      <c r="L4859" s="111" t="str">
        <f>IF(H4859="","",IF($C$29="상세법",FPV(H4859,K4859),IF(H4859="EI",4,IF(H4859="EO",5.2,IF(H4859="EQ",3.9,IF(H4859="ILF",7.5,IF(H4859="EIF",5.4)))))))</f>
        <v/>
      </c>
      <c r="M4859" s="112" t="str">
        <f t="shared" si="79"/>
        <v/>
      </c>
      <c r="N4859" s="113"/>
    </row>
    <row r="4860" spans="2:14">
      <c r="B4860" s="105"/>
      <c r="C4860" s="106"/>
      <c r="D4860" s="107"/>
      <c r="E4860" s="65"/>
      <c r="F4860" s="64"/>
      <c r="G4860" s="64"/>
      <c r="H4860" s="64"/>
      <c r="I4860" s="70"/>
      <c r="J4860" s="70"/>
      <c r="K4860" s="110" t="str">
        <f>IF(H4860="","",IF($C$29="간이법","",FPR(H4860,I4860,J4860)))</f>
        <v/>
      </c>
      <c r="L4860" s="111" t="str">
        <f>IF(H4860="","",IF($C$29="상세법",FPV(H4860,K4860),IF(H4860="EI",4,IF(H4860="EO",5.2,IF(H4860="EQ",3.9,IF(H4860="ILF",7.5,IF(H4860="EIF",5.4)))))))</f>
        <v/>
      </c>
      <c r="M4860" s="112" t="str">
        <f t="shared" si="79"/>
        <v/>
      </c>
      <c r="N4860" s="113"/>
    </row>
    <row r="4861" spans="2:14">
      <c r="B4861" s="105"/>
      <c r="C4861" s="106"/>
      <c r="D4861" s="107"/>
      <c r="E4861" s="65"/>
      <c r="F4861" s="64"/>
      <c r="G4861" s="64"/>
      <c r="H4861" s="64"/>
      <c r="I4861" s="70"/>
      <c r="J4861" s="70"/>
      <c r="K4861" s="110" t="str">
        <f>IF(H4861="","",IF($C$29="간이법","",FPR(H4861,I4861,J4861)))</f>
        <v/>
      </c>
      <c r="L4861" s="111" t="str">
        <f>IF(H4861="","",IF($C$29="상세법",FPV(H4861,K4861),IF(H4861="EI",4,IF(H4861="EO",5.2,IF(H4861="EQ",3.9,IF(H4861="ILF",7.5,IF(H4861="EIF",5.4)))))))</f>
        <v/>
      </c>
      <c r="M4861" s="112" t="str">
        <f t="shared" si="79"/>
        <v/>
      </c>
      <c r="N4861" s="113"/>
    </row>
    <row r="4862" spans="2:14">
      <c r="B4862" s="105"/>
      <c r="C4862" s="106"/>
      <c r="D4862" s="107"/>
      <c r="E4862" s="65"/>
      <c r="F4862" s="64"/>
      <c r="G4862" s="64"/>
      <c r="H4862" s="64"/>
      <c r="I4862" s="70"/>
      <c r="J4862" s="70"/>
      <c r="K4862" s="110" t="str">
        <f>IF(H4862="","",IF($C$29="간이법","",FPR(H4862,I4862,J4862)))</f>
        <v/>
      </c>
      <c r="L4862" s="111" t="str">
        <f>IF(H4862="","",IF($C$29="상세법",FPV(H4862,K4862),IF(H4862="EI",4,IF(H4862="EO",5.2,IF(H4862="EQ",3.9,IF(H4862="ILF",7.5,IF(H4862="EIF",5.4)))))))</f>
        <v/>
      </c>
      <c r="M4862" s="112" t="str">
        <f t="shared" si="79"/>
        <v/>
      </c>
      <c r="N4862" s="113"/>
    </row>
    <row r="4863" spans="2:14">
      <c r="B4863" s="105"/>
      <c r="C4863" s="106"/>
      <c r="D4863" s="107"/>
      <c r="E4863" s="65"/>
      <c r="F4863" s="64"/>
      <c r="G4863" s="64"/>
      <c r="H4863" s="64"/>
      <c r="I4863" s="70"/>
      <c r="J4863" s="70"/>
      <c r="K4863" s="110" t="str">
        <f>IF(H4863="","",IF($C$29="간이법","",FPR(H4863,I4863,J4863)))</f>
        <v/>
      </c>
      <c r="L4863" s="111" t="str">
        <f>IF(H4863="","",IF($C$29="상세법",FPV(H4863,K4863),IF(H4863="EI",4,IF(H4863="EO",5.2,IF(H4863="EQ",3.9,IF(H4863="ILF",7.5,IF(H4863="EIF",5.4)))))))</f>
        <v/>
      </c>
      <c r="M4863" s="112" t="str">
        <f t="shared" si="79"/>
        <v/>
      </c>
      <c r="N4863" s="113"/>
    </row>
    <row r="4864" spans="2:14">
      <c r="B4864" s="105"/>
      <c r="C4864" s="106"/>
      <c r="D4864" s="107"/>
      <c r="E4864" s="65"/>
      <c r="F4864" s="64"/>
      <c r="G4864" s="64"/>
      <c r="H4864" s="64"/>
      <c r="I4864" s="70"/>
      <c r="J4864" s="70"/>
      <c r="K4864" s="110" t="str">
        <f>IF(H4864="","",IF($C$29="간이법","",FPR(H4864,I4864,J4864)))</f>
        <v/>
      </c>
      <c r="L4864" s="111" t="str">
        <f>IF(H4864="","",IF($C$29="상세법",FPV(H4864,K4864),IF(H4864="EI",4,IF(H4864="EO",5.2,IF(H4864="EQ",3.9,IF(H4864="ILF",7.5,IF(H4864="EIF",5.4)))))))</f>
        <v/>
      </c>
      <c r="M4864" s="112" t="str">
        <f t="shared" si="79"/>
        <v/>
      </c>
      <c r="N4864" s="113"/>
    </row>
    <row r="4865" spans="2:14">
      <c r="B4865" s="105"/>
      <c r="C4865" s="106"/>
      <c r="D4865" s="107"/>
      <c r="E4865" s="65"/>
      <c r="F4865" s="64"/>
      <c r="G4865" s="64"/>
      <c r="H4865" s="64"/>
      <c r="I4865" s="70"/>
      <c r="J4865" s="70"/>
      <c r="K4865" s="110" t="str">
        <f>IF(H4865="","",IF($C$29="간이법","",FPR(H4865,I4865,J4865)))</f>
        <v/>
      </c>
      <c r="L4865" s="111" t="str">
        <f>IF(H4865="","",IF($C$29="상세법",FPV(H4865,K4865),IF(H4865="EI",4,IF(H4865="EO",5.2,IF(H4865="EQ",3.9,IF(H4865="ILF",7.5,IF(H4865="EIF",5.4)))))))</f>
        <v/>
      </c>
      <c r="M4865" s="112" t="str">
        <f t="shared" si="79"/>
        <v/>
      </c>
      <c r="N4865" s="113"/>
    </row>
    <row r="4866" spans="2:14">
      <c r="B4866" s="105"/>
      <c r="C4866" s="106"/>
      <c r="D4866" s="107"/>
      <c r="E4866" s="65"/>
      <c r="F4866" s="64"/>
      <c r="G4866" s="64"/>
      <c r="H4866" s="64"/>
      <c r="I4866" s="70"/>
      <c r="J4866" s="70"/>
      <c r="K4866" s="110" t="str">
        <f>IF(H4866="","",IF($C$29="간이법","",FPR(H4866,I4866,J4866)))</f>
        <v/>
      </c>
      <c r="L4866" s="111" t="str">
        <f>IF(H4866="","",IF($C$29="상세법",FPV(H4866,K4866),IF(H4866="EI",4,IF(H4866="EO",5.2,IF(H4866="EQ",3.9,IF(H4866="ILF",7.5,IF(H4866="EIF",5.4)))))))</f>
        <v/>
      </c>
      <c r="M4866" s="112" t="str">
        <f t="shared" si="79"/>
        <v/>
      </c>
      <c r="N4866" s="113"/>
    </row>
    <row r="4867" spans="2:14">
      <c r="B4867" s="105"/>
      <c r="C4867" s="106"/>
      <c r="D4867" s="107"/>
      <c r="E4867" s="65"/>
      <c r="F4867" s="64"/>
      <c r="G4867" s="64"/>
      <c r="H4867" s="64"/>
      <c r="I4867" s="70"/>
      <c r="J4867" s="70"/>
      <c r="K4867" s="110" t="str">
        <f>IF(H4867="","",IF($C$29="간이법","",FPR(H4867,I4867,J4867)))</f>
        <v/>
      </c>
      <c r="L4867" s="111" t="str">
        <f>IF(H4867="","",IF($C$29="상세법",FPV(H4867,K4867),IF(H4867="EI",4,IF(H4867="EO",5.2,IF(H4867="EQ",3.9,IF(H4867="ILF",7.5,IF(H4867="EIF",5.4)))))))</f>
        <v/>
      </c>
      <c r="M4867" s="112" t="str">
        <f t="shared" si="79"/>
        <v/>
      </c>
      <c r="N4867" s="113"/>
    </row>
    <row r="4868" spans="2:14">
      <c r="B4868" s="105"/>
      <c r="C4868" s="106"/>
      <c r="D4868" s="107"/>
      <c r="E4868" s="65"/>
      <c r="F4868" s="64"/>
      <c r="G4868" s="64"/>
      <c r="H4868" s="64"/>
      <c r="I4868" s="70"/>
      <c r="J4868" s="70"/>
      <c r="K4868" s="110" t="str">
        <f>IF(H4868="","",IF($C$29="간이법","",FPR(H4868,I4868,J4868)))</f>
        <v/>
      </c>
      <c r="L4868" s="111" t="str">
        <f>IF(H4868="","",IF($C$29="상세법",FPV(H4868,K4868),IF(H4868="EI",4,IF(H4868="EO",5.2,IF(H4868="EQ",3.9,IF(H4868="ILF",7.5,IF(H4868="EIF",5.4)))))))</f>
        <v/>
      </c>
      <c r="M4868" s="112" t="str">
        <f t="shared" si="79"/>
        <v/>
      </c>
      <c r="N4868" s="113"/>
    </row>
    <row r="4869" spans="2:14">
      <c r="B4869" s="105"/>
      <c r="C4869" s="106"/>
      <c r="D4869" s="107"/>
      <c r="E4869" s="65"/>
      <c r="F4869" s="64"/>
      <c r="G4869" s="64"/>
      <c r="H4869" s="64"/>
      <c r="I4869" s="70"/>
      <c r="J4869" s="70"/>
      <c r="K4869" s="110" t="str">
        <f>IF(H4869="","",IF($C$29="간이법","",FPR(H4869,I4869,J4869)))</f>
        <v/>
      </c>
      <c r="L4869" s="111" t="str">
        <f>IF(H4869="","",IF($C$29="상세법",FPV(H4869,K4869),IF(H4869="EI",4,IF(H4869="EO",5.2,IF(H4869="EQ",3.9,IF(H4869="ILF",7.5,IF(H4869="EIF",5.4)))))))</f>
        <v/>
      </c>
      <c r="M4869" s="112" t="str">
        <f t="shared" si="79"/>
        <v/>
      </c>
      <c r="N4869" s="113"/>
    </row>
    <row r="4870" spans="2:14">
      <c r="B4870" s="105"/>
      <c r="C4870" s="106"/>
      <c r="D4870" s="107"/>
      <c r="E4870" s="65"/>
      <c r="F4870" s="64"/>
      <c r="G4870" s="64"/>
      <c r="H4870" s="64"/>
      <c r="I4870" s="70"/>
      <c r="J4870" s="70"/>
      <c r="K4870" s="110" t="str">
        <f>IF(H4870="","",IF($C$29="간이법","",FPR(H4870,I4870,J4870)))</f>
        <v/>
      </c>
      <c r="L4870" s="111" t="str">
        <f>IF(H4870="","",IF($C$29="상세법",FPV(H4870,K4870),IF(H4870="EI",4,IF(H4870="EO",5.2,IF(H4870="EQ",3.9,IF(H4870="ILF",7.5,IF(H4870="EIF",5.4)))))))</f>
        <v/>
      </c>
      <c r="M4870" s="112" t="str">
        <f t="shared" si="79"/>
        <v/>
      </c>
      <c r="N4870" s="113"/>
    </row>
    <row r="4871" spans="2:14">
      <c r="B4871" s="105"/>
      <c r="C4871" s="106"/>
      <c r="D4871" s="107"/>
      <c r="E4871" s="65"/>
      <c r="F4871" s="64"/>
      <c r="G4871" s="64"/>
      <c r="H4871" s="64"/>
      <c r="I4871" s="70"/>
      <c r="J4871" s="70"/>
      <c r="K4871" s="110" t="str">
        <f>IF(H4871="","",IF($C$29="간이법","",FPR(H4871,I4871,J4871)))</f>
        <v/>
      </c>
      <c r="L4871" s="111" t="str">
        <f>IF(H4871="","",IF($C$29="상세법",FPV(H4871,K4871),IF(H4871="EI",4,IF(H4871="EO",5.2,IF(H4871="EQ",3.9,IF(H4871="ILF",7.5,IF(H4871="EIF",5.4)))))))</f>
        <v/>
      </c>
      <c r="M4871" s="112" t="str">
        <f t="shared" si="79"/>
        <v/>
      </c>
      <c r="N4871" s="113"/>
    </row>
    <row r="4872" spans="2:14">
      <c r="B4872" s="105"/>
      <c r="C4872" s="106"/>
      <c r="D4872" s="107"/>
      <c r="E4872" s="65"/>
      <c r="F4872" s="64"/>
      <c r="G4872" s="64"/>
      <c r="H4872" s="64"/>
      <c r="I4872" s="70"/>
      <c r="J4872" s="70"/>
      <c r="K4872" s="110" t="str">
        <f>IF(H4872="","",IF($C$29="간이법","",FPR(H4872,I4872,J4872)))</f>
        <v/>
      </c>
      <c r="L4872" s="111" t="str">
        <f>IF(H4872="","",IF($C$29="상세법",FPV(H4872,K4872),IF(H4872="EI",4,IF(H4872="EO",5.2,IF(H4872="EQ",3.9,IF(H4872="ILF",7.5,IF(H4872="EIF",5.4)))))))</f>
        <v/>
      </c>
      <c r="M4872" s="112" t="str">
        <f t="shared" si="79"/>
        <v/>
      </c>
      <c r="N4872" s="113"/>
    </row>
    <row r="4873" spans="2:14">
      <c r="B4873" s="105"/>
      <c r="C4873" s="106"/>
      <c r="D4873" s="107"/>
      <c r="E4873" s="65"/>
      <c r="F4873" s="64"/>
      <c r="G4873" s="64"/>
      <c r="H4873" s="64"/>
      <c r="I4873" s="70"/>
      <c r="J4873" s="70"/>
      <c r="K4873" s="110" t="str">
        <f>IF(H4873="","",IF($C$29="간이법","",FPR(H4873,I4873,J4873)))</f>
        <v/>
      </c>
      <c r="L4873" s="111" t="str">
        <f>IF(H4873="","",IF($C$29="상세법",FPV(H4873,K4873),IF(H4873="EI",4,IF(H4873="EO",5.2,IF(H4873="EQ",3.9,IF(H4873="ILF",7.5,IF(H4873="EIF",5.4)))))))</f>
        <v/>
      </c>
      <c r="M4873" s="112" t="str">
        <f t="shared" si="79"/>
        <v/>
      </c>
      <c r="N4873" s="113"/>
    </row>
    <row r="4874" spans="2:14">
      <c r="B4874" s="105"/>
      <c r="C4874" s="106"/>
      <c r="D4874" s="107"/>
      <c r="E4874" s="65"/>
      <c r="F4874" s="64"/>
      <c r="G4874" s="64"/>
      <c r="H4874" s="64"/>
      <c r="I4874" s="70"/>
      <c r="J4874" s="70"/>
      <c r="K4874" s="110" t="str">
        <f>IF(H4874="","",IF($C$29="간이법","",FPR(H4874,I4874,J4874)))</f>
        <v/>
      </c>
      <c r="L4874" s="111" t="str">
        <f>IF(H4874="","",IF($C$29="상세법",FPV(H4874,K4874),IF(H4874="EI",4,IF(H4874="EO",5.2,IF(H4874="EQ",3.9,IF(H4874="ILF",7.5,IF(H4874="EIF",5.4)))))))</f>
        <v/>
      </c>
      <c r="M4874" s="112" t="str">
        <f t="shared" si="79"/>
        <v/>
      </c>
      <c r="N4874" s="113"/>
    </row>
    <row r="4875" spans="2:14">
      <c r="B4875" s="105"/>
      <c r="C4875" s="106"/>
      <c r="D4875" s="107"/>
      <c r="E4875" s="65"/>
      <c r="F4875" s="64"/>
      <c r="G4875" s="64"/>
      <c r="H4875" s="64"/>
      <c r="I4875" s="70"/>
      <c r="J4875" s="70"/>
      <c r="K4875" s="110" t="str">
        <f>IF(H4875="","",IF($C$29="간이법","",FPR(H4875,I4875,J4875)))</f>
        <v/>
      </c>
      <c r="L4875" s="111" t="str">
        <f>IF(H4875="","",IF($C$29="상세법",FPV(H4875,K4875),IF(H4875="EI",4,IF(H4875="EO",5.2,IF(H4875="EQ",3.9,IF(H4875="ILF",7.5,IF(H4875="EIF",5.4)))))))</f>
        <v/>
      </c>
      <c r="M4875" s="112" t="str">
        <f t="shared" si="79"/>
        <v/>
      </c>
      <c r="N4875" s="113"/>
    </row>
    <row r="4876" spans="2:14">
      <c r="B4876" s="105"/>
      <c r="C4876" s="106"/>
      <c r="D4876" s="107"/>
      <c r="E4876" s="65"/>
      <c r="F4876" s="64"/>
      <c r="G4876" s="64"/>
      <c r="H4876" s="64"/>
      <c r="I4876" s="70"/>
      <c r="J4876" s="70"/>
      <c r="K4876" s="110" t="str">
        <f>IF(H4876="","",IF($C$29="간이법","",FPR(H4876,I4876,J4876)))</f>
        <v/>
      </c>
      <c r="L4876" s="111" t="str">
        <f>IF(H4876="","",IF($C$29="상세법",FPV(H4876,K4876),IF(H4876="EI",4,IF(H4876="EO",5.2,IF(H4876="EQ",3.9,IF(H4876="ILF",7.5,IF(H4876="EIF",5.4)))))))</f>
        <v/>
      </c>
      <c r="M4876" s="112" t="str">
        <f t="shared" si="79"/>
        <v/>
      </c>
      <c r="N4876" s="113"/>
    </row>
    <row r="4877" spans="2:14">
      <c r="B4877" s="105"/>
      <c r="C4877" s="106"/>
      <c r="D4877" s="107"/>
      <c r="E4877" s="65"/>
      <c r="F4877" s="64"/>
      <c r="G4877" s="64"/>
      <c r="H4877" s="64"/>
      <c r="I4877" s="70"/>
      <c r="J4877" s="70"/>
      <c r="K4877" s="110" t="str">
        <f>IF(H4877="","",IF($C$29="간이법","",FPR(H4877,I4877,J4877)))</f>
        <v/>
      </c>
      <c r="L4877" s="111" t="str">
        <f>IF(H4877="","",IF($C$29="상세법",FPV(H4877,K4877),IF(H4877="EI",4,IF(H4877="EO",5.2,IF(H4877="EQ",3.9,IF(H4877="ILF",7.5,IF(H4877="EIF",5.4)))))))</f>
        <v/>
      </c>
      <c r="M4877" s="112" t="str">
        <f t="shared" si="79"/>
        <v/>
      </c>
      <c r="N4877" s="113"/>
    </row>
    <row r="4878" spans="2:14">
      <c r="B4878" s="105"/>
      <c r="C4878" s="106"/>
      <c r="D4878" s="107"/>
      <c r="E4878" s="65"/>
      <c r="F4878" s="64"/>
      <c r="G4878" s="64"/>
      <c r="H4878" s="64"/>
      <c r="I4878" s="70"/>
      <c r="J4878" s="70"/>
      <c r="K4878" s="110" t="str">
        <f>IF(H4878="","",IF($C$29="간이법","",FPR(H4878,I4878,J4878)))</f>
        <v/>
      </c>
      <c r="L4878" s="111" t="str">
        <f>IF(H4878="","",IF($C$29="상세법",FPV(H4878,K4878),IF(H4878="EI",4,IF(H4878="EO",5.2,IF(H4878="EQ",3.9,IF(H4878="ILF",7.5,IF(H4878="EIF",5.4)))))))</f>
        <v/>
      </c>
      <c r="M4878" s="112" t="str">
        <f t="shared" si="79"/>
        <v/>
      </c>
      <c r="N4878" s="113"/>
    </row>
    <row r="4879" spans="2:14">
      <c r="B4879" s="105"/>
      <c r="C4879" s="106"/>
      <c r="D4879" s="107"/>
      <c r="E4879" s="65"/>
      <c r="F4879" s="64"/>
      <c r="G4879" s="64"/>
      <c r="H4879" s="64"/>
      <c r="I4879" s="70"/>
      <c r="J4879" s="70"/>
      <c r="K4879" s="110" t="str">
        <f>IF(H4879="","",IF($C$29="간이법","",FPR(H4879,I4879,J4879)))</f>
        <v/>
      </c>
      <c r="L4879" s="111" t="str">
        <f>IF(H4879="","",IF($C$29="상세법",FPV(H4879,K4879),IF(H4879="EI",4,IF(H4879="EO",5.2,IF(H4879="EQ",3.9,IF(H4879="ILF",7.5,IF(H4879="EIF",5.4)))))))</f>
        <v/>
      </c>
      <c r="M4879" s="112" t="str">
        <f t="shared" si="79"/>
        <v/>
      </c>
      <c r="N4879" s="113"/>
    </row>
    <row r="4880" spans="2:14">
      <c r="B4880" s="105"/>
      <c r="C4880" s="106"/>
      <c r="D4880" s="107"/>
      <c r="E4880" s="65"/>
      <c r="F4880" s="64"/>
      <c r="G4880" s="64"/>
      <c r="H4880" s="64"/>
      <c r="I4880" s="70"/>
      <c r="J4880" s="70"/>
      <c r="K4880" s="110" t="str">
        <f>IF(H4880="","",IF($C$29="간이법","",FPR(H4880,I4880,J4880)))</f>
        <v/>
      </c>
      <c r="L4880" s="111" t="str">
        <f>IF(H4880="","",IF($C$29="상세법",FPV(H4880,K4880),IF(H4880="EI",4,IF(H4880="EO",5.2,IF(H4880="EQ",3.9,IF(H4880="ILF",7.5,IF(H4880="EIF",5.4)))))))</f>
        <v/>
      </c>
      <c r="M4880" s="112" t="str">
        <f t="shared" si="79"/>
        <v/>
      </c>
      <c r="N4880" s="113"/>
    </row>
    <row r="4881" spans="2:14">
      <c r="B4881" s="105"/>
      <c r="C4881" s="106"/>
      <c r="D4881" s="107"/>
      <c r="E4881" s="65"/>
      <c r="F4881" s="64"/>
      <c r="G4881" s="64"/>
      <c r="H4881" s="64"/>
      <c r="I4881" s="70"/>
      <c r="J4881" s="70"/>
      <c r="K4881" s="110" t="str">
        <f>IF(H4881="","",IF($C$29="간이법","",FPR(H4881,I4881,J4881)))</f>
        <v/>
      </c>
      <c r="L4881" s="111" t="str">
        <f>IF(H4881="","",IF($C$29="상세법",FPV(H4881,K4881),IF(H4881="EI",4,IF(H4881="EO",5.2,IF(H4881="EQ",3.9,IF(H4881="ILF",7.5,IF(H4881="EIF",5.4)))))))</f>
        <v/>
      </c>
      <c r="M4881" s="112" t="str">
        <f t="shared" si="79"/>
        <v/>
      </c>
      <c r="N4881" s="113"/>
    </row>
    <row r="4882" spans="2:14">
      <c r="B4882" s="105"/>
      <c r="C4882" s="106"/>
      <c r="D4882" s="107"/>
      <c r="E4882" s="65"/>
      <c r="F4882" s="64"/>
      <c r="G4882" s="64"/>
      <c r="H4882" s="64"/>
      <c r="I4882" s="70"/>
      <c r="J4882" s="70"/>
      <c r="K4882" s="110" t="str">
        <f>IF(H4882="","",IF($C$29="간이법","",FPR(H4882,I4882,J4882)))</f>
        <v/>
      </c>
      <c r="L4882" s="111" t="str">
        <f>IF(H4882="","",IF($C$29="상세법",FPV(H4882,K4882),IF(H4882="EI",4,IF(H4882="EO",5.2,IF(H4882="EQ",3.9,IF(H4882="ILF",7.5,IF(H4882="EIF",5.4)))))))</f>
        <v/>
      </c>
      <c r="M4882" s="112" t="str">
        <f t="shared" si="79"/>
        <v/>
      </c>
      <c r="N4882" s="113"/>
    </row>
    <row r="4883" spans="2:14">
      <c r="B4883" s="105"/>
      <c r="C4883" s="106"/>
      <c r="D4883" s="107"/>
      <c r="E4883" s="65"/>
      <c r="F4883" s="64"/>
      <c r="G4883" s="64"/>
      <c r="H4883" s="64"/>
      <c r="I4883" s="70"/>
      <c r="J4883" s="70"/>
      <c r="K4883" s="110" t="str">
        <f>IF(H4883="","",IF($C$29="간이법","",FPR(H4883,I4883,J4883)))</f>
        <v/>
      </c>
      <c r="L4883" s="111" t="str">
        <f>IF(H4883="","",IF($C$29="상세법",FPV(H4883,K4883),IF(H4883="EI",4,IF(H4883="EO",5.2,IF(H4883="EQ",3.9,IF(H4883="ILF",7.5,IF(H4883="EIF",5.4)))))))</f>
        <v/>
      </c>
      <c r="M4883" s="112" t="str">
        <f t="shared" si="79"/>
        <v/>
      </c>
      <c r="N4883" s="113"/>
    </row>
    <row r="4884" spans="2:14">
      <c r="B4884" s="105"/>
      <c r="C4884" s="106"/>
      <c r="D4884" s="107"/>
      <c r="E4884" s="65"/>
      <c r="F4884" s="64"/>
      <c r="G4884" s="64"/>
      <c r="H4884" s="64"/>
      <c r="I4884" s="70"/>
      <c r="J4884" s="70"/>
      <c r="K4884" s="110" t="str">
        <f>IF(H4884="","",IF($C$29="간이법","",FPR(H4884,I4884,J4884)))</f>
        <v/>
      </c>
      <c r="L4884" s="111" t="str">
        <f>IF(H4884="","",IF($C$29="상세법",FPV(H4884,K4884),IF(H4884="EI",4,IF(H4884="EO",5.2,IF(H4884="EQ",3.9,IF(H4884="ILF",7.5,IF(H4884="EIF",5.4)))))))</f>
        <v/>
      </c>
      <c r="M4884" s="112" t="str">
        <f t="shared" si="79"/>
        <v/>
      </c>
      <c r="N4884" s="113"/>
    </row>
    <row r="4885" spans="2:14">
      <c r="B4885" s="105"/>
      <c r="C4885" s="106"/>
      <c r="D4885" s="107"/>
      <c r="E4885" s="65"/>
      <c r="F4885" s="64"/>
      <c r="G4885" s="64"/>
      <c r="H4885" s="64"/>
      <c r="I4885" s="70"/>
      <c r="J4885" s="70"/>
      <c r="K4885" s="110" t="str">
        <f>IF(H4885="","",IF($C$29="간이법","",FPR(H4885,I4885,J4885)))</f>
        <v/>
      </c>
      <c r="L4885" s="111" t="str">
        <f>IF(H4885="","",IF($C$29="상세법",FPV(H4885,K4885),IF(H4885="EI",4,IF(H4885="EO",5.2,IF(H4885="EQ",3.9,IF(H4885="ILF",7.5,IF(H4885="EIF",5.4)))))))</f>
        <v/>
      </c>
      <c r="M4885" s="112" t="str">
        <f t="shared" si="79"/>
        <v/>
      </c>
      <c r="N4885" s="113"/>
    </row>
    <row r="4886" spans="2:14">
      <c r="B4886" s="105"/>
      <c r="C4886" s="106"/>
      <c r="D4886" s="107"/>
      <c r="E4886" s="65"/>
      <c r="F4886" s="64"/>
      <c r="G4886" s="64"/>
      <c r="H4886" s="64"/>
      <c r="I4886" s="70"/>
      <c r="J4886" s="70"/>
      <c r="K4886" s="110" t="str">
        <f>IF(H4886="","",IF($C$29="간이법","",FPR(H4886,I4886,J4886)))</f>
        <v/>
      </c>
      <c r="L4886" s="111" t="str">
        <f>IF(H4886="","",IF($C$29="상세법",FPV(H4886,K4886),IF(H4886="EI",4,IF(H4886="EO",5.2,IF(H4886="EQ",3.9,IF(H4886="ILF",7.5,IF(H4886="EIF",5.4)))))))</f>
        <v/>
      </c>
      <c r="M4886" s="112" t="str">
        <f t="shared" si="79"/>
        <v/>
      </c>
      <c r="N4886" s="113"/>
    </row>
    <row r="4887" spans="2:14">
      <c r="B4887" s="105"/>
      <c r="C4887" s="106"/>
      <c r="D4887" s="107"/>
      <c r="E4887" s="65"/>
      <c r="F4887" s="64"/>
      <c r="G4887" s="64"/>
      <c r="H4887" s="64"/>
      <c r="I4887" s="70"/>
      <c r="J4887" s="70"/>
      <c r="K4887" s="110" t="str">
        <f>IF(H4887="","",IF($C$29="간이법","",FPR(H4887,I4887,J4887)))</f>
        <v/>
      </c>
      <c r="L4887" s="111" t="str">
        <f>IF(H4887="","",IF($C$29="상세법",FPV(H4887,K4887),IF(H4887="EI",4,IF(H4887="EO",5.2,IF(H4887="EQ",3.9,IF(H4887="ILF",7.5,IF(H4887="EIF",5.4)))))))</f>
        <v/>
      </c>
      <c r="M4887" s="112" t="str">
        <f t="shared" si="79"/>
        <v/>
      </c>
      <c r="N4887" s="113"/>
    </row>
    <row r="4888" spans="2:14">
      <c r="B4888" s="105"/>
      <c r="C4888" s="106"/>
      <c r="D4888" s="107"/>
      <c r="E4888" s="65"/>
      <c r="F4888" s="64"/>
      <c r="G4888" s="64"/>
      <c r="H4888" s="64"/>
      <c r="I4888" s="70"/>
      <c r="J4888" s="70"/>
      <c r="K4888" s="110" t="str">
        <f>IF(H4888="","",IF($C$29="간이법","",FPR(H4888,I4888,J4888)))</f>
        <v/>
      </c>
      <c r="L4888" s="111" t="str">
        <f>IF(H4888="","",IF($C$29="상세법",FPV(H4888,K4888),IF(H4888="EI",4,IF(H4888="EO",5.2,IF(H4888="EQ",3.9,IF(H4888="ILF",7.5,IF(H4888="EIF",5.4)))))))</f>
        <v/>
      </c>
      <c r="M4888" s="112" t="str">
        <f t="shared" si="79"/>
        <v/>
      </c>
      <c r="N4888" s="113"/>
    </row>
    <row r="4889" spans="2:14">
      <c r="B4889" s="105"/>
      <c r="C4889" s="106"/>
      <c r="D4889" s="107"/>
      <c r="E4889" s="65"/>
      <c r="F4889" s="64"/>
      <c r="G4889" s="64"/>
      <c r="H4889" s="64"/>
      <c r="I4889" s="70"/>
      <c r="J4889" s="70"/>
      <c r="K4889" s="110" t="str">
        <f>IF(H4889="","",IF($C$29="간이법","",FPR(H4889,I4889,J4889)))</f>
        <v/>
      </c>
      <c r="L4889" s="111" t="str">
        <f>IF(H4889="","",IF($C$29="상세법",FPV(H4889,K4889),IF(H4889="EI",4,IF(H4889="EO",5.2,IF(H4889="EQ",3.9,IF(H4889="ILF",7.5,IF(H4889="EIF",5.4)))))))</f>
        <v/>
      </c>
      <c r="M4889" s="112" t="str">
        <f t="shared" si="79"/>
        <v/>
      </c>
      <c r="N4889" s="113"/>
    </row>
    <row r="4890" spans="2:14">
      <c r="B4890" s="105"/>
      <c r="C4890" s="106"/>
      <c r="D4890" s="107"/>
      <c r="E4890" s="65"/>
      <c r="F4890" s="64"/>
      <c r="G4890" s="64"/>
      <c r="H4890" s="64"/>
      <c r="I4890" s="70"/>
      <c r="J4890" s="70"/>
      <c r="K4890" s="110" t="str">
        <f>IF(H4890="","",IF($C$29="간이법","",FPR(H4890,I4890,J4890)))</f>
        <v/>
      </c>
      <c r="L4890" s="111" t="str">
        <f>IF(H4890="","",IF($C$29="상세법",FPV(H4890,K4890),IF(H4890="EI",4,IF(H4890="EO",5.2,IF(H4890="EQ",3.9,IF(H4890="ILF",7.5,IF(H4890="EIF",5.4)))))))</f>
        <v/>
      </c>
      <c r="M4890" s="112" t="str">
        <f t="shared" si="79"/>
        <v/>
      </c>
      <c r="N4890" s="113"/>
    </row>
    <row r="4891" spans="2:14">
      <c r="B4891" s="105"/>
      <c r="C4891" s="106"/>
      <c r="D4891" s="107"/>
      <c r="E4891" s="65"/>
      <c r="F4891" s="64"/>
      <c r="G4891" s="64"/>
      <c r="H4891" s="64"/>
      <c r="I4891" s="70"/>
      <c r="J4891" s="70"/>
      <c r="K4891" s="110" t="str">
        <f>IF(H4891="","",IF($C$29="간이법","",FPR(H4891,I4891,J4891)))</f>
        <v/>
      </c>
      <c r="L4891" s="111" t="str">
        <f>IF(H4891="","",IF($C$29="상세법",FPV(H4891,K4891),IF(H4891="EI",4,IF(H4891="EO",5.2,IF(H4891="EQ",3.9,IF(H4891="ILF",7.5,IF(H4891="EIF",5.4)))))))</f>
        <v/>
      </c>
      <c r="M4891" s="112" t="str">
        <f t="shared" si="79"/>
        <v/>
      </c>
      <c r="N4891" s="113"/>
    </row>
    <row r="4892" spans="2:14">
      <c r="B4892" s="105"/>
      <c r="C4892" s="106"/>
      <c r="D4892" s="107"/>
      <c r="E4892" s="65"/>
      <c r="F4892" s="64"/>
      <c r="G4892" s="64"/>
      <c r="H4892" s="64"/>
      <c r="I4892" s="70"/>
      <c r="J4892" s="70"/>
      <c r="K4892" s="110" t="str">
        <f>IF(H4892="","",IF($C$29="간이법","",FPR(H4892,I4892,J4892)))</f>
        <v/>
      </c>
      <c r="L4892" s="111" t="str">
        <f>IF(H4892="","",IF($C$29="상세법",FPV(H4892,K4892),IF(H4892="EI",4,IF(H4892="EO",5.2,IF(H4892="EQ",3.9,IF(H4892="ILF",7.5,IF(H4892="EIF",5.4)))))))</f>
        <v/>
      </c>
      <c r="M4892" s="112" t="str">
        <f t="shared" si="79"/>
        <v/>
      </c>
      <c r="N4892" s="113"/>
    </row>
    <row r="4893" spans="2:14">
      <c r="B4893" s="105"/>
      <c r="C4893" s="106"/>
      <c r="D4893" s="107"/>
      <c r="E4893" s="65"/>
      <c r="F4893" s="64"/>
      <c r="G4893" s="64"/>
      <c r="H4893" s="64"/>
      <c r="I4893" s="70"/>
      <c r="J4893" s="70"/>
      <c r="K4893" s="110" t="str">
        <f>IF(H4893="","",IF($C$29="간이법","",FPR(H4893,I4893,J4893)))</f>
        <v/>
      </c>
      <c r="L4893" s="111" t="str">
        <f>IF(H4893="","",IF($C$29="상세법",FPV(H4893,K4893),IF(H4893="EI",4,IF(H4893="EO",5.2,IF(H4893="EQ",3.9,IF(H4893="ILF",7.5,IF(H4893="EIF",5.4)))))))</f>
        <v/>
      </c>
      <c r="M4893" s="112" t="str">
        <f t="shared" si="79"/>
        <v/>
      </c>
      <c r="N4893" s="113"/>
    </row>
    <row r="4894" spans="2:14">
      <c r="B4894" s="105"/>
      <c r="C4894" s="106"/>
      <c r="D4894" s="107"/>
      <c r="E4894" s="65"/>
      <c r="F4894" s="64"/>
      <c r="G4894" s="64"/>
      <c r="H4894" s="64"/>
      <c r="I4894" s="70"/>
      <c r="J4894" s="70"/>
      <c r="K4894" s="110" t="str">
        <f>IF(H4894="","",IF($C$29="간이법","",FPR(H4894,I4894,J4894)))</f>
        <v/>
      </c>
      <c r="L4894" s="111" t="str">
        <f>IF(H4894="","",IF($C$29="상세법",FPV(H4894,K4894),IF(H4894="EI",4,IF(H4894="EO",5.2,IF(H4894="EQ",3.9,IF(H4894="ILF",7.5,IF(H4894="EIF",5.4)))))))</f>
        <v/>
      </c>
      <c r="M4894" s="112" t="str">
        <f t="shared" si="79"/>
        <v/>
      </c>
      <c r="N4894" s="113"/>
    </row>
    <row r="4895" spans="2:14">
      <c r="B4895" s="105"/>
      <c r="C4895" s="106"/>
      <c r="D4895" s="107"/>
      <c r="E4895" s="65"/>
      <c r="F4895" s="64"/>
      <c r="G4895" s="64"/>
      <c r="H4895" s="64"/>
      <c r="I4895" s="70"/>
      <c r="J4895" s="70"/>
      <c r="K4895" s="110" t="str">
        <f>IF(H4895="","",IF($C$29="간이법","",FPR(H4895,I4895,J4895)))</f>
        <v/>
      </c>
      <c r="L4895" s="111" t="str">
        <f>IF(H4895="","",IF($C$29="상세법",FPV(H4895,K4895),IF(H4895="EI",4,IF(H4895="EO",5.2,IF(H4895="EQ",3.9,IF(H4895="ILF",7.5,IF(H4895="EIF",5.4)))))))</f>
        <v/>
      </c>
      <c r="M4895" s="112" t="str">
        <f t="shared" si="79"/>
        <v/>
      </c>
      <c r="N4895" s="113"/>
    </row>
    <row r="4896" spans="2:14">
      <c r="B4896" s="105"/>
      <c r="C4896" s="106"/>
      <c r="D4896" s="107"/>
      <c r="E4896" s="65"/>
      <c r="F4896" s="64"/>
      <c r="G4896" s="64"/>
      <c r="H4896" s="64"/>
      <c r="I4896" s="70"/>
      <c r="J4896" s="70"/>
      <c r="K4896" s="110" t="str">
        <f>IF(H4896="","",IF($C$29="간이법","",FPR(H4896,I4896,J4896)))</f>
        <v/>
      </c>
      <c r="L4896" s="111" t="str">
        <f>IF(H4896="","",IF($C$29="상세법",FPV(H4896,K4896),IF(H4896="EI",4,IF(H4896="EO",5.2,IF(H4896="EQ",3.9,IF(H4896="ILF",7.5,IF(H4896="EIF",5.4)))))))</f>
        <v/>
      </c>
      <c r="M4896" s="112" t="str">
        <f t="shared" si="79"/>
        <v/>
      </c>
      <c r="N4896" s="113"/>
    </row>
    <row r="4897" spans="2:14">
      <c r="B4897" s="105"/>
      <c r="C4897" s="106"/>
      <c r="D4897" s="107"/>
      <c r="E4897" s="65"/>
      <c r="F4897" s="64"/>
      <c r="G4897" s="64"/>
      <c r="H4897" s="64"/>
      <c r="I4897" s="70"/>
      <c r="J4897" s="70"/>
      <c r="K4897" s="110" t="str">
        <f>IF(H4897="","",IF($C$29="간이법","",FPR(H4897,I4897,J4897)))</f>
        <v/>
      </c>
      <c r="L4897" s="111" t="str">
        <f>IF(H4897="","",IF($C$29="상세법",FPV(H4897,K4897),IF(H4897="EI",4,IF(H4897="EO",5.2,IF(H4897="EQ",3.9,IF(H4897="ILF",7.5,IF(H4897="EIF",5.4)))))))</f>
        <v/>
      </c>
      <c r="M4897" s="112" t="str">
        <f t="shared" si="79"/>
        <v/>
      </c>
      <c r="N4897" s="113"/>
    </row>
    <row r="4898" spans="2:14">
      <c r="B4898" s="105"/>
      <c r="C4898" s="106"/>
      <c r="D4898" s="107"/>
      <c r="E4898" s="65"/>
      <c r="F4898" s="64"/>
      <c r="G4898" s="64"/>
      <c r="H4898" s="64"/>
      <c r="I4898" s="70"/>
      <c r="J4898" s="70"/>
      <c r="K4898" s="110" t="str">
        <f>IF(H4898="","",IF($C$29="간이법","",FPR(H4898,I4898,J4898)))</f>
        <v/>
      </c>
      <c r="L4898" s="111" t="str">
        <f>IF(H4898="","",IF($C$29="상세법",FPV(H4898,K4898),IF(H4898="EI",4,IF(H4898="EO",5.2,IF(H4898="EQ",3.9,IF(H4898="ILF",7.5,IF(H4898="EIF",5.4)))))))</f>
        <v/>
      </c>
      <c r="M4898" s="112" t="str">
        <f t="shared" si="79"/>
        <v/>
      </c>
      <c r="N4898" s="113"/>
    </row>
    <row r="4899" spans="2:14">
      <c r="B4899" s="105"/>
      <c r="C4899" s="106"/>
      <c r="D4899" s="107"/>
      <c r="E4899" s="65"/>
      <c r="F4899" s="64"/>
      <c r="G4899" s="64"/>
      <c r="H4899" s="64"/>
      <c r="I4899" s="70"/>
      <c r="J4899" s="70"/>
      <c r="K4899" s="110" t="str">
        <f>IF(H4899="","",IF($C$29="간이법","",FPR(H4899,I4899,J4899)))</f>
        <v/>
      </c>
      <c r="L4899" s="111" t="str">
        <f>IF(H4899="","",IF($C$29="상세법",FPV(H4899,K4899),IF(H4899="EI",4,IF(H4899="EO",5.2,IF(H4899="EQ",3.9,IF(H4899="ILF",7.5,IF(H4899="EIF",5.4)))))))</f>
        <v/>
      </c>
      <c r="M4899" s="112" t="str">
        <f t="shared" si="79"/>
        <v/>
      </c>
      <c r="N4899" s="113"/>
    </row>
    <row r="4900" spans="2:14">
      <c r="B4900" s="105"/>
      <c r="C4900" s="106"/>
      <c r="D4900" s="107"/>
      <c r="E4900" s="65"/>
      <c r="F4900" s="64"/>
      <c r="G4900" s="64"/>
      <c r="H4900" s="64"/>
      <c r="I4900" s="70"/>
      <c r="J4900" s="70"/>
      <c r="K4900" s="110" t="str">
        <f>IF(H4900="","",IF($C$29="간이법","",FPR(H4900,I4900,J4900)))</f>
        <v/>
      </c>
      <c r="L4900" s="111" t="str">
        <f>IF(H4900="","",IF($C$29="상세법",FPV(H4900,K4900),IF(H4900="EI",4,IF(H4900="EO",5.2,IF(H4900="EQ",3.9,IF(H4900="ILF",7.5,IF(H4900="EIF",5.4)))))))</f>
        <v/>
      </c>
      <c r="M4900" s="112" t="str">
        <f t="shared" si="79"/>
        <v/>
      </c>
      <c r="N4900" s="113"/>
    </row>
    <row r="4901" spans="2:14">
      <c r="B4901" s="105"/>
      <c r="C4901" s="106"/>
      <c r="D4901" s="107"/>
      <c r="E4901" s="65"/>
      <c r="F4901" s="64"/>
      <c r="G4901" s="64"/>
      <c r="H4901" s="64"/>
      <c r="I4901" s="70"/>
      <c r="J4901" s="70"/>
      <c r="K4901" s="110" t="str">
        <f>IF(H4901="","",IF($C$29="간이법","",FPR(H4901,I4901,J4901)))</f>
        <v/>
      </c>
      <c r="L4901" s="111" t="str">
        <f>IF(H4901="","",IF($C$29="상세법",FPV(H4901,K4901),IF(H4901="EI",4,IF(H4901="EO",5.2,IF(H4901="EQ",3.9,IF(H4901="ILF",7.5,IF(H4901="EIF",5.4)))))))</f>
        <v/>
      </c>
      <c r="M4901" s="112" t="str">
        <f t="shared" si="79"/>
        <v/>
      </c>
      <c r="N4901" s="113"/>
    </row>
    <row r="4902" spans="2:14">
      <c r="B4902" s="105"/>
      <c r="C4902" s="106"/>
      <c r="D4902" s="107"/>
      <c r="E4902" s="65"/>
      <c r="F4902" s="64"/>
      <c r="G4902" s="64"/>
      <c r="H4902" s="64"/>
      <c r="I4902" s="70"/>
      <c r="J4902" s="70"/>
      <c r="K4902" s="110" t="str">
        <f>IF(H4902="","",IF($C$29="간이법","",FPR(H4902,I4902,J4902)))</f>
        <v/>
      </c>
      <c r="L4902" s="111" t="str">
        <f>IF(H4902="","",IF($C$29="상세법",FPV(H4902,K4902),IF(H4902="EI",4,IF(H4902="EO",5.2,IF(H4902="EQ",3.9,IF(H4902="ILF",7.5,IF(H4902="EIF",5.4)))))))</f>
        <v/>
      </c>
      <c r="M4902" s="112" t="str">
        <f t="shared" si="79"/>
        <v/>
      </c>
      <c r="N4902" s="113"/>
    </row>
    <row r="4903" spans="2:14">
      <c r="B4903" s="105"/>
      <c r="C4903" s="106"/>
      <c r="D4903" s="107"/>
      <c r="E4903" s="65"/>
      <c r="F4903" s="64"/>
      <c r="G4903" s="64"/>
      <c r="H4903" s="64"/>
      <c r="I4903" s="70"/>
      <c r="J4903" s="70"/>
      <c r="K4903" s="110" t="str">
        <f>IF(H4903="","",IF($C$29="간이법","",FPR(H4903,I4903,J4903)))</f>
        <v/>
      </c>
      <c r="L4903" s="111" t="str">
        <f>IF(H4903="","",IF($C$29="상세법",FPV(H4903,K4903),IF(H4903="EI",4,IF(H4903="EO",5.2,IF(H4903="EQ",3.9,IF(H4903="ILF",7.5,IF(H4903="EIF",5.4)))))))</f>
        <v/>
      </c>
      <c r="M4903" s="112" t="str">
        <f t="shared" si="79"/>
        <v/>
      </c>
      <c r="N4903" s="113"/>
    </row>
    <row r="4904" spans="2:14">
      <c r="B4904" s="105"/>
      <c r="C4904" s="106"/>
      <c r="D4904" s="107"/>
      <c r="E4904" s="65"/>
      <c r="F4904" s="64"/>
      <c r="G4904" s="64"/>
      <c r="H4904" s="64"/>
      <c r="I4904" s="70"/>
      <c r="J4904" s="70"/>
      <c r="K4904" s="110" t="str">
        <f>IF(H4904="","",IF($C$29="간이법","",FPR(H4904,I4904,J4904)))</f>
        <v/>
      </c>
      <c r="L4904" s="111" t="str">
        <f>IF(H4904="","",IF($C$29="상세법",FPV(H4904,K4904),IF(H4904="EI",4,IF(H4904="EO",5.2,IF(H4904="EQ",3.9,IF(H4904="ILF",7.5,IF(H4904="EIF",5.4)))))))</f>
        <v/>
      </c>
      <c r="M4904" s="112" t="str">
        <f t="shared" si="79"/>
        <v/>
      </c>
      <c r="N4904" s="113"/>
    </row>
    <row r="4905" spans="2:14">
      <c r="B4905" s="105"/>
      <c r="C4905" s="106"/>
      <c r="D4905" s="107"/>
      <c r="E4905" s="65"/>
      <c r="F4905" s="64"/>
      <c r="G4905" s="64"/>
      <c r="H4905" s="64"/>
      <c r="I4905" s="70"/>
      <c r="J4905" s="70"/>
      <c r="K4905" s="110" t="str">
        <f>IF(H4905="","",IF($C$29="간이법","",FPR(H4905,I4905,J4905)))</f>
        <v/>
      </c>
      <c r="L4905" s="111" t="str">
        <f>IF(H4905="","",IF($C$29="상세법",FPV(H4905,K4905),IF(H4905="EI",4,IF(H4905="EO",5.2,IF(H4905="EQ",3.9,IF(H4905="ILF",7.5,IF(H4905="EIF",5.4)))))))</f>
        <v/>
      </c>
      <c r="M4905" s="112" t="str">
        <f t="shared" si="79"/>
        <v/>
      </c>
      <c r="N4905" s="113"/>
    </row>
    <row r="4906" spans="2:14">
      <c r="B4906" s="105"/>
      <c r="C4906" s="106"/>
      <c r="D4906" s="107"/>
      <c r="E4906" s="65"/>
      <c r="F4906" s="64"/>
      <c r="G4906" s="64"/>
      <c r="H4906" s="64"/>
      <c r="I4906" s="70"/>
      <c r="J4906" s="70"/>
      <c r="K4906" s="110" t="str">
        <f>IF(H4906="","",IF($C$29="간이법","",FPR(H4906,I4906,J4906)))</f>
        <v/>
      </c>
      <c r="L4906" s="111" t="str">
        <f>IF(H4906="","",IF($C$29="상세법",FPV(H4906,K4906),IF(H4906="EI",4,IF(H4906="EO",5.2,IF(H4906="EQ",3.9,IF(H4906="ILF",7.5,IF(H4906="EIF",5.4)))))))</f>
        <v/>
      </c>
      <c r="M4906" s="112" t="str">
        <f t="shared" si="79"/>
        <v/>
      </c>
      <c r="N4906" s="113"/>
    </row>
    <row r="4907" spans="2:14">
      <c r="B4907" s="105"/>
      <c r="C4907" s="106"/>
      <c r="D4907" s="107"/>
      <c r="E4907" s="65"/>
      <c r="F4907" s="64"/>
      <c r="G4907" s="64"/>
      <c r="H4907" s="64"/>
      <c r="I4907" s="70"/>
      <c r="J4907" s="70"/>
      <c r="K4907" s="110" t="str">
        <f>IF(H4907="","",IF($C$29="간이법","",FPR(H4907,I4907,J4907)))</f>
        <v/>
      </c>
      <c r="L4907" s="111" t="str">
        <f>IF(H4907="","",IF($C$29="상세법",FPV(H4907,K4907),IF(H4907="EI",4,IF(H4907="EO",5.2,IF(H4907="EQ",3.9,IF(H4907="ILF",7.5,IF(H4907="EIF",5.4)))))))</f>
        <v/>
      </c>
      <c r="M4907" s="112" t="str">
        <f t="shared" si="79"/>
        <v/>
      </c>
      <c r="N4907" s="113"/>
    </row>
    <row r="4908" spans="2:14">
      <c r="B4908" s="105"/>
      <c r="C4908" s="106"/>
      <c r="D4908" s="107"/>
      <c r="E4908" s="65"/>
      <c r="F4908" s="64"/>
      <c r="G4908" s="64"/>
      <c r="H4908" s="64"/>
      <c r="I4908" s="70"/>
      <c r="J4908" s="70"/>
      <c r="K4908" s="110" t="str">
        <f>IF(H4908="","",IF($C$29="간이법","",FPR(H4908,I4908,J4908)))</f>
        <v/>
      </c>
      <c r="L4908" s="111" t="str">
        <f>IF(H4908="","",IF($C$29="상세법",FPV(H4908,K4908),IF(H4908="EI",4,IF(H4908="EO",5.2,IF(H4908="EQ",3.9,IF(H4908="ILF",7.5,IF(H4908="EIF",5.4)))))))</f>
        <v/>
      </c>
      <c r="M4908" s="112" t="str">
        <f t="shared" si="79"/>
        <v/>
      </c>
      <c r="N4908" s="113"/>
    </row>
    <row r="4909" spans="2:14">
      <c r="B4909" s="105"/>
      <c r="C4909" s="106"/>
      <c r="D4909" s="107"/>
      <c r="E4909" s="65"/>
      <c r="F4909" s="64"/>
      <c r="G4909" s="64"/>
      <c r="H4909" s="64"/>
      <c r="I4909" s="70"/>
      <c r="J4909" s="70"/>
      <c r="K4909" s="110" t="str">
        <f>IF(H4909="","",IF($C$29="간이법","",FPR(H4909,I4909,J4909)))</f>
        <v/>
      </c>
      <c r="L4909" s="111" t="str">
        <f>IF(H4909="","",IF($C$29="상세법",FPV(H4909,K4909),IF(H4909="EI",4,IF(H4909="EO",5.2,IF(H4909="EQ",3.9,IF(H4909="ILF",7.5,IF(H4909="EIF",5.4)))))))</f>
        <v/>
      </c>
      <c r="M4909" s="112" t="str">
        <f t="shared" si="79"/>
        <v/>
      </c>
      <c r="N4909" s="113"/>
    </row>
    <row r="4910" spans="2:14">
      <c r="B4910" s="105"/>
      <c r="C4910" s="106"/>
      <c r="D4910" s="107"/>
      <c r="E4910" s="65"/>
      <c r="F4910" s="64"/>
      <c r="G4910" s="64"/>
      <c r="H4910" s="64"/>
      <c r="I4910" s="70"/>
      <c r="J4910" s="70"/>
      <c r="K4910" s="110" t="str">
        <f>IF(H4910="","",IF($C$29="간이법","",FPR(H4910,I4910,J4910)))</f>
        <v/>
      </c>
      <c r="L4910" s="111" t="str">
        <f>IF(H4910="","",IF($C$29="상세법",FPV(H4910,K4910),IF(H4910="EI",4,IF(H4910="EO",5.2,IF(H4910="EQ",3.9,IF(H4910="ILF",7.5,IF(H4910="EIF",5.4)))))))</f>
        <v/>
      </c>
      <c r="M4910" s="112" t="str">
        <f t="shared" si="79"/>
        <v/>
      </c>
      <c r="N4910" s="113"/>
    </row>
    <row r="4911" spans="2:14">
      <c r="B4911" s="105"/>
      <c r="C4911" s="106"/>
      <c r="D4911" s="107"/>
      <c r="E4911" s="65"/>
      <c r="F4911" s="64"/>
      <c r="G4911" s="64"/>
      <c r="H4911" s="64"/>
      <c r="I4911" s="70"/>
      <c r="J4911" s="70"/>
      <c r="K4911" s="110" t="str">
        <f>IF(H4911="","",IF($C$29="간이법","",FPR(H4911,I4911,J4911)))</f>
        <v/>
      </c>
      <c r="L4911" s="111" t="str">
        <f>IF(H4911="","",IF($C$29="상세법",FPV(H4911,K4911),IF(H4911="EI",4,IF(H4911="EO",5.2,IF(H4911="EQ",3.9,IF(H4911="ILF",7.5,IF(H4911="EIF",5.4)))))))</f>
        <v/>
      </c>
      <c r="M4911" s="112" t="str">
        <f t="shared" si="79"/>
        <v/>
      </c>
      <c r="N4911" s="113"/>
    </row>
    <row r="4912" spans="2:14">
      <c r="B4912" s="105"/>
      <c r="C4912" s="106"/>
      <c r="D4912" s="107"/>
      <c r="E4912" s="65"/>
      <c r="F4912" s="64"/>
      <c r="G4912" s="64"/>
      <c r="H4912" s="64"/>
      <c r="I4912" s="70"/>
      <c r="J4912" s="70"/>
      <c r="K4912" s="110" t="str">
        <f>IF(H4912="","",IF($C$29="간이법","",FPR(H4912,I4912,J4912)))</f>
        <v/>
      </c>
      <c r="L4912" s="111" t="str">
        <f>IF(H4912="","",IF($C$29="상세법",FPV(H4912,K4912),IF(H4912="EI",4,IF(H4912="EO",5.2,IF(H4912="EQ",3.9,IF(H4912="ILF",7.5,IF(H4912="EIF",5.4)))))))</f>
        <v/>
      </c>
      <c r="M4912" s="112" t="str">
        <f t="shared" si="79"/>
        <v/>
      </c>
      <c r="N4912" s="113"/>
    </row>
    <row r="4913" spans="2:14">
      <c r="B4913" s="105"/>
      <c r="C4913" s="106"/>
      <c r="D4913" s="107"/>
      <c r="E4913" s="65"/>
      <c r="F4913" s="64"/>
      <c r="G4913" s="64"/>
      <c r="H4913" s="64"/>
      <c r="I4913" s="70"/>
      <c r="J4913" s="70"/>
      <c r="K4913" s="110" t="str">
        <f>IF(H4913="","",IF($C$29="간이법","",FPR(H4913,I4913,J4913)))</f>
        <v/>
      </c>
      <c r="L4913" s="111" t="str">
        <f>IF(H4913="","",IF($C$29="상세법",FPV(H4913,K4913),IF(H4913="EI",4,IF(H4913="EO",5.2,IF(H4913="EQ",3.9,IF(H4913="ILF",7.5,IF(H4913="EIF",5.4)))))))</f>
        <v/>
      </c>
      <c r="M4913" s="112" t="str">
        <f t="shared" si="79"/>
        <v/>
      </c>
      <c r="N4913" s="113"/>
    </row>
    <row r="4914" spans="2:14">
      <c r="B4914" s="105"/>
      <c r="C4914" s="106"/>
      <c r="D4914" s="107"/>
      <c r="E4914" s="65"/>
      <c r="F4914" s="64"/>
      <c r="G4914" s="64"/>
      <c r="H4914" s="64"/>
      <c r="I4914" s="70"/>
      <c r="J4914" s="70"/>
      <c r="K4914" s="110" t="str">
        <f>IF(H4914="","",IF($C$29="간이법","",FPR(H4914,I4914,J4914)))</f>
        <v/>
      </c>
      <c r="L4914" s="111" t="str">
        <f>IF(H4914="","",IF($C$29="상세법",FPV(H4914,K4914),IF(H4914="EI",4,IF(H4914="EO",5.2,IF(H4914="EQ",3.9,IF(H4914="ILF",7.5,IF(H4914="EIF",5.4)))))))</f>
        <v/>
      </c>
      <c r="M4914" s="112" t="str">
        <f t="shared" si="79"/>
        <v/>
      </c>
      <c r="N4914" s="113"/>
    </row>
    <row r="4915" spans="2:14">
      <c r="B4915" s="105"/>
      <c r="C4915" s="106"/>
      <c r="D4915" s="107"/>
      <c r="E4915" s="65"/>
      <c r="F4915" s="64"/>
      <c r="G4915" s="64"/>
      <c r="H4915" s="64"/>
      <c r="I4915" s="70"/>
      <c r="J4915" s="70"/>
      <c r="K4915" s="110" t="str">
        <f>IF(H4915="","",IF($C$29="간이법","",FPR(H4915,I4915,J4915)))</f>
        <v/>
      </c>
      <c r="L4915" s="111" t="str">
        <f>IF(H4915="","",IF($C$29="상세법",FPV(H4915,K4915),IF(H4915="EI",4,IF(H4915="EO",5.2,IF(H4915="EQ",3.9,IF(H4915="ILF",7.5,IF(H4915="EIF",5.4)))))))</f>
        <v/>
      </c>
      <c r="M4915" s="112" t="str">
        <f t="shared" si="79"/>
        <v/>
      </c>
      <c r="N4915" s="113"/>
    </row>
    <row r="4916" spans="2:14">
      <c r="B4916" s="105"/>
      <c r="C4916" s="106"/>
      <c r="D4916" s="107"/>
      <c r="E4916" s="65"/>
      <c r="F4916" s="64"/>
      <c r="G4916" s="64"/>
      <c r="H4916" s="64"/>
      <c r="I4916" s="70"/>
      <c r="J4916" s="70"/>
      <c r="K4916" s="110" t="str">
        <f>IF(H4916="","",IF($C$29="간이법","",FPR(H4916,I4916,J4916)))</f>
        <v/>
      </c>
      <c r="L4916" s="111" t="str">
        <f>IF(H4916="","",IF($C$29="상세법",FPV(H4916,K4916),IF(H4916="EI",4,IF(H4916="EO",5.2,IF(H4916="EQ",3.9,IF(H4916="ILF",7.5,IF(H4916="EIF",5.4)))))))</f>
        <v/>
      </c>
      <c r="M4916" s="112" t="str">
        <f t="shared" si="79"/>
        <v/>
      </c>
      <c r="N4916" s="113"/>
    </row>
    <row r="4917" spans="2:14">
      <c r="B4917" s="105"/>
      <c r="C4917" s="106"/>
      <c r="D4917" s="107"/>
      <c r="E4917" s="65"/>
      <c r="F4917" s="64"/>
      <c r="G4917" s="64"/>
      <c r="H4917" s="64"/>
      <c r="I4917" s="70"/>
      <c r="J4917" s="70"/>
      <c r="K4917" s="110" t="str">
        <f>IF(H4917="","",IF($C$29="간이법","",FPR(H4917,I4917,J4917)))</f>
        <v/>
      </c>
      <c r="L4917" s="111" t="str">
        <f>IF(H4917="","",IF($C$29="상세법",FPV(H4917,K4917),IF(H4917="EI",4,IF(H4917="EO",5.2,IF(H4917="EQ",3.9,IF(H4917="ILF",7.5,IF(H4917="EIF",5.4)))))))</f>
        <v/>
      </c>
      <c r="M4917" s="112" t="str">
        <f t="shared" si="79"/>
        <v/>
      </c>
      <c r="N4917" s="113"/>
    </row>
    <row r="4918" spans="2:14">
      <c r="B4918" s="105"/>
      <c r="C4918" s="106"/>
      <c r="D4918" s="107"/>
      <c r="E4918" s="65"/>
      <c r="F4918" s="64"/>
      <c r="G4918" s="64"/>
      <c r="H4918" s="64"/>
      <c r="I4918" s="70"/>
      <c r="J4918" s="70"/>
      <c r="K4918" s="110" t="str">
        <f>IF(H4918="","",IF($C$29="간이법","",FPR(H4918,I4918,J4918)))</f>
        <v/>
      </c>
      <c r="L4918" s="111" t="str">
        <f>IF(H4918="","",IF($C$29="상세법",FPV(H4918,K4918),IF(H4918="EI",4,IF(H4918="EO",5.2,IF(H4918="EQ",3.9,IF(H4918="ILF",7.5,IF(H4918="EIF",5.4)))))))</f>
        <v/>
      </c>
      <c r="M4918" s="112" t="str">
        <f t="shared" si="79"/>
        <v/>
      </c>
      <c r="N4918" s="113"/>
    </row>
    <row r="4919" spans="2:14">
      <c r="B4919" s="105"/>
      <c r="C4919" s="106"/>
      <c r="D4919" s="107"/>
      <c r="E4919" s="65"/>
      <c r="F4919" s="64"/>
      <c r="G4919" s="64"/>
      <c r="H4919" s="64"/>
      <c r="I4919" s="70"/>
      <c r="J4919" s="70"/>
      <c r="K4919" s="110" t="str">
        <f>IF(H4919="","",IF($C$29="간이법","",FPR(H4919,I4919,J4919)))</f>
        <v/>
      </c>
      <c r="L4919" s="111" t="str">
        <f>IF(H4919="","",IF($C$29="상세법",FPV(H4919,K4919),IF(H4919="EI",4,IF(H4919="EO",5.2,IF(H4919="EQ",3.9,IF(H4919="ILF",7.5,IF(H4919="EIF",5.4)))))))</f>
        <v/>
      </c>
      <c r="M4919" s="112" t="str">
        <f t="shared" si="79"/>
        <v/>
      </c>
      <c r="N4919" s="113"/>
    </row>
    <row r="4920" spans="2:14">
      <c r="B4920" s="105"/>
      <c r="C4920" s="106"/>
      <c r="D4920" s="107"/>
      <c r="E4920" s="65"/>
      <c r="F4920" s="64"/>
      <c r="G4920" s="64"/>
      <c r="H4920" s="64"/>
      <c r="I4920" s="70"/>
      <c r="J4920" s="70"/>
      <c r="K4920" s="110" t="str">
        <f>IF(H4920="","",IF($C$29="간이법","",FPR(H4920,I4920,J4920)))</f>
        <v/>
      </c>
      <c r="L4920" s="111" t="str">
        <f>IF(H4920="","",IF($C$29="상세법",FPV(H4920,K4920),IF(H4920="EI",4,IF(H4920="EO",5.2,IF(H4920="EQ",3.9,IF(H4920="ILF",7.5,IF(H4920="EIF",5.4)))))))</f>
        <v/>
      </c>
      <c r="M4920" s="112" t="str">
        <f t="shared" si="79"/>
        <v/>
      </c>
      <c r="N4920" s="113"/>
    </row>
    <row r="4921" spans="2:14">
      <c r="B4921" s="105"/>
      <c r="C4921" s="106"/>
      <c r="D4921" s="107"/>
      <c r="E4921" s="65"/>
      <c r="F4921" s="64"/>
      <c r="G4921" s="64"/>
      <c r="H4921" s="64"/>
      <c r="I4921" s="70"/>
      <c r="J4921" s="70"/>
      <c r="K4921" s="110" t="str">
        <f>IF(H4921="","",IF($C$29="간이법","",FPR(H4921,I4921,J4921)))</f>
        <v/>
      </c>
      <c r="L4921" s="111" t="str">
        <f>IF(H4921="","",IF($C$29="상세법",FPV(H4921,K4921),IF(H4921="EI",4,IF(H4921="EO",5.2,IF(H4921="EQ",3.9,IF(H4921="ILF",7.5,IF(H4921="EIF",5.4)))))))</f>
        <v/>
      </c>
      <c r="M4921" s="112" t="str">
        <f t="shared" ref="M4921:M4984" si="80">IF(L4921="","",L4921*IF(G4921="상",0.7,IF(G4921="중",0.5,IF(G4921="하",0.2,1))))</f>
        <v/>
      </c>
      <c r="N4921" s="113"/>
    </row>
    <row r="4922" spans="2:14">
      <c r="B4922" s="105"/>
      <c r="C4922" s="106"/>
      <c r="D4922" s="107"/>
      <c r="E4922" s="65"/>
      <c r="F4922" s="64"/>
      <c r="G4922" s="64"/>
      <c r="H4922" s="64"/>
      <c r="I4922" s="70"/>
      <c r="J4922" s="70"/>
      <c r="K4922" s="110" t="str">
        <f>IF(H4922="","",IF($C$29="간이법","",FPR(H4922,I4922,J4922)))</f>
        <v/>
      </c>
      <c r="L4922" s="111" t="str">
        <f>IF(H4922="","",IF($C$29="상세법",FPV(H4922,K4922),IF(H4922="EI",4,IF(H4922="EO",5.2,IF(H4922="EQ",3.9,IF(H4922="ILF",7.5,IF(H4922="EIF",5.4)))))))</f>
        <v/>
      </c>
      <c r="M4922" s="112" t="str">
        <f t="shared" si="80"/>
        <v/>
      </c>
      <c r="N4922" s="113"/>
    </row>
    <row r="4923" spans="2:14">
      <c r="B4923" s="105"/>
      <c r="C4923" s="106"/>
      <c r="D4923" s="107"/>
      <c r="E4923" s="65"/>
      <c r="F4923" s="64"/>
      <c r="G4923" s="64"/>
      <c r="H4923" s="64"/>
      <c r="I4923" s="70"/>
      <c r="J4923" s="70"/>
      <c r="K4923" s="110" t="str">
        <f>IF(H4923="","",IF($C$29="간이법","",FPR(H4923,I4923,J4923)))</f>
        <v/>
      </c>
      <c r="L4923" s="111" t="str">
        <f>IF(H4923="","",IF($C$29="상세법",FPV(H4923,K4923),IF(H4923="EI",4,IF(H4923="EO",5.2,IF(H4923="EQ",3.9,IF(H4923="ILF",7.5,IF(H4923="EIF",5.4)))))))</f>
        <v/>
      </c>
      <c r="M4923" s="112" t="str">
        <f t="shared" si="80"/>
        <v/>
      </c>
      <c r="N4923" s="113"/>
    </row>
    <row r="4924" spans="2:14">
      <c r="B4924" s="105"/>
      <c r="C4924" s="106"/>
      <c r="D4924" s="107"/>
      <c r="E4924" s="65"/>
      <c r="F4924" s="64"/>
      <c r="G4924" s="64"/>
      <c r="H4924" s="64"/>
      <c r="I4924" s="70"/>
      <c r="J4924" s="70"/>
      <c r="K4924" s="110" t="str">
        <f>IF(H4924="","",IF($C$29="간이법","",FPR(H4924,I4924,J4924)))</f>
        <v/>
      </c>
      <c r="L4924" s="111" t="str">
        <f>IF(H4924="","",IF($C$29="상세법",FPV(H4924,K4924),IF(H4924="EI",4,IF(H4924="EO",5.2,IF(H4924="EQ",3.9,IF(H4924="ILF",7.5,IF(H4924="EIF",5.4)))))))</f>
        <v/>
      </c>
      <c r="M4924" s="112" t="str">
        <f t="shared" si="80"/>
        <v/>
      </c>
      <c r="N4924" s="113"/>
    </row>
    <row r="4925" spans="2:14">
      <c r="B4925" s="105"/>
      <c r="C4925" s="106"/>
      <c r="D4925" s="107"/>
      <c r="E4925" s="65"/>
      <c r="F4925" s="64"/>
      <c r="G4925" s="64"/>
      <c r="H4925" s="64"/>
      <c r="I4925" s="70"/>
      <c r="J4925" s="70"/>
      <c r="K4925" s="110" t="str">
        <f>IF(H4925="","",IF($C$29="간이법","",FPR(H4925,I4925,J4925)))</f>
        <v/>
      </c>
      <c r="L4925" s="111" t="str">
        <f>IF(H4925="","",IF($C$29="상세법",FPV(H4925,K4925),IF(H4925="EI",4,IF(H4925="EO",5.2,IF(H4925="EQ",3.9,IF(H4925="ILF",7.5,IF(H4925="EIF",5.4)))))))</f>
        <v/>
      </c>
      <c r="M4925" s="112" t="str">
        <f t="shared" si="80"/>
        <v/>
      </c>
      <c r="N4925" s="113"/>
    </row>
    <row r="4926" spans="2:14">
      <c r="B4926" s="105"/>
      <c r="C4926" s="106"/>
      <c r="D4926" s="107"/>
      <c r="E4926" s="65"/>
      <c r="F4926" s="64"/>
      <c r="G4926" s="64"/>
      <c r="H4926" s="64"/>
      <c r="I4926" s="70"/>
      <c r="J4926" s="70"/>
      <c r="K4926" s="110" t="str">
        <f>IF(H4926="","",IF($C$29="간이법","",FPR(H4926,I4926,J4926)))</f>
        <v/>
      </c>
      <c r="L4926" s="111" t="str">
        <f>IF(H4926="","",IF($C$29="상세법",FPV(H4926,K4926),IF(H4926="EI",4,IF(H4926="EO",5.2,IF(H4926="EQ",3.9,IF(H4926="ILF",7.5,IF(H4926="EIF",5.4)))))))</f>
        <v/>
      </c>
      <c r="M4926" s="112" t="str">
        <f t="shared" si="80"/>
        <v/>
      </c>
      <c r="N4926" s="113"/>
    </row>
    <row r="4927" spans="2:14">
      <c r="B4927" s="105"/>
      <c r="C4927" s="106"/>
      <c r="D4927" s="107"/>
      <c r="E4927" s="65"/>
      <c r="F4927" s="64"/>
      <c r="G4927" s="64"/>
      <c r="H4927" s="64"/>
      <c r="I4927" s="70"/>
      <c r="J4927" s="70"/>
      <c r="K4927" s="110" t="str">
        <f>IF(H4927="","",IF($C$29="간이법","",FPR(H4927,I4927,J4927)))</f>
        <v/>
      </c>
      <c r="L4927" s="111" t="str">
        <f>IF(H4927="","",IF($C$29="상세법",FPV(H4927,K4927),IF(H4927="EI",4,IF(H4927="EO",5.2,IF(H4927="EQ",3.9,IF(H4927="ILF",7.5,IF(H4927="EIF",5.4)))))))</f>
        <v/>
      </c>
      <c r="M4927" s="112" t="str">
        <f t="shared" si="80"/>
        <v/>
      </c>
      <c r="N4927" s="113"/>
    </row>
    <row r="4928" spans="2:14">
      <c r="B4928" s="105"/>
      <c r="C4928" s="106"/>
      <c r="D4928" s="107"/>
      <c r="E4928" s="65"/>
      <c r="F4928" s="64"/>
      <c r="G4928" s="64"/>
      <c r="H4928" s="64"/>
      <c r="I4928" s="70"/>
      <c r="J4928" s="70"/>
      <c r="K4928" s="110" t="str">
        <f>IF(H4928="","",IF($C$29="간이법","",FPR(H4928,I4928,J4928)))</f>
        <v/>
      </c>
      <c r="L4928" s="111" t="str">
        <f>IF(H4928="","",IF($C$29="상세법",FPV(H4928,K4928),IF(H4928="EI",4,IF(H4928="EO",5.2,IF(H4928="EQ",3.9,IF(H4928="ILF",7.5,IF(H4928="EIF",5.4)))))))</f>
        <v/>
      </c>
      <c r="M4928" s="112" t="str">
        <f t="shared" si="80"/>
        <v/>
      </c>
      <c r="N4928" s="113"/>
    </row>
    <row r="4929" spans="2:14">
      <c r="B4929" s="105"/>
      <c r="C4929" s="106"/>
      <c r="D4929" s="107"/>
      <c r="E4929" s="65"/>
      <c r="F4929" s="64"/>
      <c r="G4929" s="64"/>
      <c r="H4929" s="64"/>
      <c r="I4929" s="70"/>
      <c r="J4929" s="70"/>
      <c r="K4929" s="110" t="str">
        <f>IF(H4929="","",IF($C$29="간이법","",FPR(H4929,I4929,J4929)))</f>
        <v/>
      </c>
      <c r="L4929" s="111" t="str">
        <f>IF(H4929="","",IF($C$29="상세법",FPV(H4929,K4929),IF(H4929="EI",4,IF(H4929="EO",5.2,IF(H4929="EQ",3.9,IF(H4929="ILF",7.5,IF(H4929="EIF",5.4)))))))</f>
        <v/>
      </c>
      <c r="M4929" s="112" t="str">
        <f t="shared" si="80"/>
        <v/>
      </c>
      <c r="N4929" s="113"/>
    </row>
    <row r="4930" spans="2:14">
      <c r="B4930" s="105"/>
      <c r="C4930" s="106"/>
      <c r="D4930" s="107"/>
      <c r="E4930" s="65"/>
      <c r="F4930" s="64"/>
      <c r="G4930" s="64"/>
      <c r="H4930" s="64"/>
      <c r="I4930" s="70"/>
      <c r="J4930" s="70"/>
      <c r="K4930" s="110" t="str">
        <f>IF(H4930="","",IF($C$29="간이법","",FPR(H4930,I4930,J4930)))</f>
        <v/>
      </c>
      <c r="L4930" s="111" t="str">
        <f>IF(H4930="","",IF($C$29="상세법",FPV(H4930,K4930),IF(H4930="EI",4,IF(H4930="EO",5.2,IF(H4930="EQ",3.9,IF(H4930="ILF",7.5,IF(H4930="EIF",5.4)))))))</f>
        <v/>
      </c>
      <c r="M4930" s="112" t="str">
        <f t="shared" si="80"/>
        <v/>
      </c>
      <c r="N4930" s="113"/>
    </row>
    <row r="4931" spans="2:14">
      <c r="B4931" s="105"/>
      <c r="C4931" s="106"/>
      <c r="D4931" s="107"/>
      <c r="E4931" s="65"/>
      <c r="F4931" s="64"/>
      <c r="G4931" s="64"/>
      <c r="H4931" s="64"/>
      <c r="I4931" s="70"/>
      <c r="J4931" s="70"/>
      <c r="K4931" s="110" t="str">
        <f>IF(H4931="","",IF($C$29="간이법","",FPR(H4931,I4931,J4931)))</f>
        <v/>
      </c>
      <c r="L4931" s="111" t="str">
        <f>IF(H4931="","",IF($C$29="상세법",FPV(H4931,K4931),IF(H4931="EI",4,IF(H4931="EO",5.2,IF(H4931="EQ",3.9,IF(H4931="ILF",7.5,IF(H4931="EIF",5.4)))))))</f>
        <v/>
      </c>
      <c r="M4931" s="112" t="str">
        <f t="shared" si="80"/>
        <v/>
      </c>
      <c r="N4931" s="113"/>
    </row>
    <row r="4932" spans="2:14">
      <c r="B4932" s="105"/>
      <c r="C4932" s="106"/>
      <c r="D4932" s="107"/>
      <c r="E4932" s="65"/>
      <c r="F4932" s="64"/>
      <c r="G4932" s="64"/>
      <c r="H4932" s="64"/>
      <c r="I4932" s="70"/>
      <c r="J4932" s="70"/>
      <c r="K4932" s="110" t="str">
        <f>IF(H4932="","",IF($C$29="간이법","",FPR(H4932,I4932,J4932)))</f>
        <v/>
      </c>
      <c r="L4932" s="111" t="str">
        <f>IF(H4932="","",IF($C$29="상세법",FPV(H4932,K4932),IF(H4932="EI",4,IF(H4932="EO",5.2,IF(H4932="EQ",3.9,IF(H4932="ILF",7.5,IF(H4932="EIF",5.4)))))))</f>
        <v/>
      </c>
      <c r="M4932" s="112" t="str">
        <f t="shared" si="80"/>
        <v/>
      </c>
      <c r="N4932" s="113"/>
    </row>
    <row r="4933" spans="2:14">
      <c r="B4933" s="105"/>
      <c r="C4933" s="106"/>
      <c r="D4933" s="107"/>
      <c r="E4933" s="65"/>
      <c r="F4933" s="64"/>
      <c r="G4933" s="64"/>
      <c r="H4933" s="64"/>
      <c r="I4933" s="70"/>
      <c r="J4933" s="70"/>
      <c r="K4933" s="110" t="str">
        <f>IF(H4933="","",IF($C$29="간이법","",FPR(H4933,I4933,J4933)))</f>
        <v/>
      </c>
      <c r="L4933" s="111" t="str">
        <f>IF(H4933="","",IF($C$29="상세법",FPV(H4933,K4933),IF(H4933="EI",4,IF(H4933="EO",5.2,IF(H4933="EQ",3.9,IF(H4933="ILF",7.5,IF(H4933="EIF",5.4)))))))</f>
        <v/>
      </c>
      <c r="M4933" s="112" t="str">
        <f t="shared" si="80"/>
        <v/>
      </c>
      <c r="N4933" s="113"/>
    </row>
    <row r="4934" spans="2:14">
      <c r="B4934" s="105"/>
      <c r="C4934" s="106"/>
      <c r="D4934" s="107"/>
      <c r="E4934" s="65"/>
      <c r="F4934" s="64"/>
      <c r="G4934" s="64"/>
      <c r="H4934" s="64"/>
      <c r="I4934" s="70"/>
      <c r="J4934" s="70"/>
      <c r="K4934" s="110" t="str">
        <f>IF(H4934="","",IF($C$29="간이법","",FPR(H4934,I4934,J4934)))</f>
        <v/>
      </c>
      <c r="L4934" s="111" t="str">
        <f>IF(H4934="","",IF($C$29="상세법",FPV(H4934,K4934),IF(H4934="EI",4,IF(H4934="EO",5.2,IF(H4934="EQ",3.9,IF(H4934="ILF",7.5,IF(H4934="EIF",5.4)))))))</f>
        <v/>
      </c>
      <c r="M4934" s="112" t="str">
        <f t="shared" si="80"/>
        <v/>
      </c>
      <c r="N4934" s="113"/>
    </row>
    <row r="4935" spans="2:14">
      <c r="B4935" s="105"/>
      <c r="C4935" s="106"/>
      <c r="D4935" s="107"/>
      <c r="E4935" s="65"/>
      <c r="F4935" s="64"/>
      <c r="G4935" s="64"/>
      <c r="H4935" s="64"/>
      <c r="I4935" s="70"/>
      <c r="J4935" s="70"/>
      <c r="K4935" s="110" t="str">
        <f>IF(H4935="","",IF($C$29="간이법","",FPR(H4935,I4935,J4935)))</f>
        <v/>
      </c>
      <c r="L4935" s="111" t="str">
        <f>IF(H4935="","",IF($C$29="상세법",FPV(H4935,K4935),IF(H4935="EI",4,IF(H4935="EO",5.2,IF(H4935="EQ",3.9,IF(H4935="ILF",7.5,IF(H4935="EIF",5.4)))))))</f>
        <v/>
      </c>
      <c r="M4935" s="112" t="str">
        <f t="shared" si="80"/>
        <v/>
      </c>
      <c r="N4935" s="113"/>
    </row>
    <row r="4936" spans="2:14">
      <c r="B4936" s="105"/>
      <c r="C4936" s="106"/>
      <c r="D4936" s="107"/>
      <c r="E4936" s="65"/>
      <c r="F4936" s="64"/>
      <c r="G4936" s="64"/>
      <c r="H4936" s="64"/>
      <c r="I4936" s="70"/>
      <c r="J4936" s="70"/>
      <c r="K4936" s="110" t="str">
        <f>IF(H4936="","",IF($C$29="간이법","",FPR(H4936,I4936,J4936)))</f>
        <v/>
      </c>
      <c r="L4936" s="111" t="str">
        <f>IF(H4936="","",IF($C$29="상세법",FPV(H4936,K4936),IF(H4936="EI",4,IF(H4936="EO",5.2,IF(H4936="EQ",3.9,IF(H4936="ILF",7.5,IF(H4936="EIF",5.4)))))))</f>
        <v/>
      </c>
      <c r="M4936" s="112" t="str">
        <f t="shared" si="80"/>
        <v/>
      </c>
      <c r="N4936" s="113"/>
    </row>
    <row r="4937" spans="2:14">
      <c r="B4937" s="105"/>
      <c r="C4937" s="106"/>
      <c r="D4937" s="107"/>
      <c r="E4937" s="65"/>
      <c r="F4937" s="64"/>
      <c r="G4937" s="64"/>
      <c r="H4937" s="64"/>
      <c r="I4937" s="70"/>
      <c r="J4937" s="70"/>
      <c r="K4937" s="110" t="str">
        <f>IF(H4937="","",IF($C$29="간이법","",FPR(H4937,I4937,J4937)))</f>
        <v/>
      </c>
      <c r="L4937" s="111" t="str">
        <f>IF(H4937="","",IF($C$29="상세법",FPV(H4937,K4937),IF(H4937="EI",4,IF(H4937="EO",5.2,IF(H4937="EQ",3.9,IF(H4937="ILF",7.5,IF(H4937="EIF",5.4)))))))</f>
        <v/>
      </c>
      <c r="M4937" s="112" t="str">
        <f t="shared" si="80"/>
        <v/>
      </c>
      <c r="N4937" s="113"/>
    </row>
    <row r="4938" spans="2:14">
      <c r="B4938" s="105"/>
      <c r="C4938" s="106"/>
      <c r="D4938" s="107"/>
      <c r="E4938" s="65"/>
      <c r="F4938" s="64"/>
      <c r="G4938" s="64"/>
      <c r="H4938" s="64"/>
      <c r="I4938" s="70"/>
      <c r="J4938" s="70"/>
      <c r="K4938" s="110" t="str">
        <f>IF(H4938="","",IF($C$29="간이법","",FPR(H4938,I4938,J4938)))</f>
        <v/>
      </c>
      <c r="L4938" s="111" t="str">
        <f>IF(H4938="","",IF($C$29="상세법",FPV(H4938,K4938),IF(H4938="EI",4,IF(H4938="EO",5.2,IF(H4938="EQ",3.9,IF(H4938="ILF",7.5,IF(H4938="EIF",5.4)))))))</f>
        <v/>
      </c>
      <c r="M4938" s="112" t="str">
        <f t="shared" si="80"/>
        <v/>
      </c>
      <c r="N4938" s="113"/>
    </row>
    <row r="4939" spans="2:14">
      <c r="B4939" s="105"/>
      <c r="C4939" s="106"/>
      <c r="D4939" s="107"/>
      <c r="E4939" s="65"/>
      <c r="F4939" s="64"/>
      <c r="G4939" s="64"/>
      <c r="H4939" s="64"/>
      <c r="I4939" s="70"/>
      <c r="J4939" s="70"/>
      <c r="K4939" s="110" t="str">
        <f>IF(H4939="","",IF($C$29="간이법","",FPR(H4939,I4939,J4939)))</f>
        <v/>
      </c>
      <c r="L4939" s="111" t="str">
        <f>IF(H4939="","",IF($C$29="상세법",FPV(H4939,K4939),IF(H4939="EI",4,IF(H4939="EO",5.2,IF(H4939="EQ",3.9,IF(H4939="ILF",7.5,IF(H4939="EIF",5.4)))))))</f>
        <v/>
      </c>
      <c r="M4939" s="112" t="str">
        <f t="shared" si="80"/>
        <v/>
      </c>
      <c r="N4939" s="113"/>
    </row>
    <row r="4940" spans="2:14">
      <c r="B4940" s="105"/>
      <c r="C4940" s="106"/>
      <c r="D4940" s="107"/>
      <c r="E4940" s="65"/>
      <c r="F4940" s="64"/>
      <c r="G4940" s="64"/>
      <c r="H4940" s="64"/>
      <c r="I4940" s="70"/>
      <c r="J4940" s="70"/>
      <c r="K4940" s="110" t="str">
        <f>IF(H4940="","",IF($C$29="간이법","",FPR(H4940,I4940,J4940)))</f>
        <v/>
      </c>
      <c r="L4940" s="111" t="str">
        <f>IF(H4940="","",IF($C$29="상세법",FPV(H4940,K4940),IF(H4940="EI",4,IF(H4940="EO",5.2,IF(H4940="EQ",3.9,IF(H4940="ILF",7.5,IF(H4940="EIF",5.4)))))))</f>
        <v/>
      </c>
      <c r="M4940" s="112" t="str">
        <f t="shared" si="80"/>
        <v/>
      </c>
      <c r="N4940" s="113"/>
    </row>
    <row r="4941" spans="2:14">
      <c r="B4941" s="105"/>
      <c r="C4941" s="106"/>
      <c r="D4941" s="107"/>
      <c r="E4941" s="65"/>
      <c r="F4941" s="64"/>
      <c r="G4941" s="64"/>
      <c r="H4941" s="64"/>
      <c r="I4941" s="70"/>
      <c r="J4941" s="70"/>
      <c r="K4941" s="110" t="str">
        <f>IF(H4941="","",IF($C$29="간이법","",FPR(H4941,I4941,J4941)))</f>
        <v/>
      </c>
      <c r="L4941" s="111" t="str">
        <f>IF(H4941="","",IF($C$29="상세법",FPV(H4941,K4941),IF(H4941="EI",4,IF(H4941="EO",5.2,IF(H4941="EQ",3.9,IF(H4941="ILF",7.5,IF(H4941="EIF",5.4)))))))</f>
        <v/>
      </c>
      <c r="M4941" s="112" t="str">
        <f t="shared" si="80"/>
        <v/>
      </c>
      <c r="N4941" s="113"/>
    </row>
    <row r="4942" spans="2:14">
      <c r="B4942" s="105"/>
      <c r="C4942" s="106"/>
      <c r="D4942" s="107"/>
      <c r="E4942" s="65"/>
      <c r="F4942" s="64"/>
      <c r="G4942" s="64"/>
      <c r="H4942" s="64"/>
      <c r="I4942" s="70"/>
      <c r="J4942" s="70"/>
      <c r="K4942" s="110" t="str">
        <f>IF(H4942="","",IF($C$29="간이법","",FPR(H4942,I4942,J4942)))</f>
        <v/>
      </c>
      <c r="L4942" s="111" t="str">
        <f>IF(H4942="","",IF($C$29="상세법",FPV(H4942,K4942),IF(H4942="EI",4,IF(H4942="EO",5.2,IF(H4942="EQ",3.9,IF(H4942="ILF",7.5,IF(H4942="EIF",5.4)))))))</f>
        <v/>
      </c>
      <c r="M4942" s="112" t="str">
        <f t="shared" si="80"/>
        <v/>
      </c>
      <c r="N4942" s="113"/>
    </row>
    <row r="4943" spans="2:14">
      <c r="B4943" s="105"/>
      <c r="C4943" s="106"/>
      <c r="D4943" s="107"/>
      <c r="E4943" s="65"/>
      <c r="F4943" s="64"/>
      <c r="G4943" s="64"/>
      <c r="H4943" s="64"/>
      <c r="I4943" s="70"/>
      <c r="J4943" s="70"/>
      <c r="K4943" s="110" t="str">
        <f>IF(H4943="","",IF($C$29="간이법","",FPR(H4943,I4943,J4943)))</f>
        <v/>
      </c>
      <c r="L4943" s="111" t="str">
        <f>IF(H4943="","",IF($C$29="상세법",FPV(H4943,K4943),IF(H4943="EI",4,IF(H4943="EO",5.2,IF(H4943="EQ",3.9,IF(H4943="ILF",7.5,IF(H4943="EIF",5.4)))))))</f>
        <v/>
      </c>
      <c r="M4943" s="112" t="str">
        <f t="shared" si="80"/>
        <v/>
      </c>
      <c r="N4943" s="113"/>
    </row>
    <row r="4944" spans="2:14">
      <c r="B4944" s="105"/>
      <c r="C4944" s="106"/>
      <c r="D4944" s="107"/>
      <c r="E4944" s="65"/>
      <c r="F4944" s="64"/>
      <c r="G4944" s="64"/>
      <c r="H4944" s="64"/>
      <c r="I4944" s="70"/>
      <c r="J4944" s="70"/>
      <c r="K4944" s="110" t="str">
        <f>IF(H4944="","",IF($C$29="간이법","",FPR(H4944,I4944,J4944)))</f>
        <v/>
      </c>
      <c r="L4944" s="111" t="str">
        <f>IF(H4944="","",IF($C$29="상세법",FPV(H4944,K4944),IF(H4944="EI",4,IF(H4944="EO",5.2,IF(H4944="EQ",3.9,IF(H4944="ILF",7.5,IF(H4944="EIF",5.4)))))))</f>
        <v/>
      </c>
      <c r="M4944" s="112" t="str">
        <f t="shared" si="80"/>
        <v/>
      </c>
      <c r="N4944" s="113"/>
    </row>
    <row r="4945" spans="2:14">
      <c r="B4945" s="105"/>
      <c r="C4945" s="106"/>
      <c r="D4945" s="107"/>
      <c r="E4945" s="65"/>
      <c r="F4945" s="64"/>
      <c r="G4945" s="64"/>
      <c r="H4945" s="64"/>
      <c r="I4945" s="70"/>
      <c r="J4945" s="70"/>
      <c r="K4945" s="110" t="str">
        <f>IF(H4945="","",IF($C$29="간이법","",FPR(H4945,I4945,J4945)))</f>
        <v/>
      </c>
      <c r="L4945" s="111" t="str">
        <f>IF(H4945="","",IF($C$29="상세법",FPV(H4945,K4945),IF(H4945="EI",4,IF(H4945="EO",5.2,IF(H4945="EQ",3.9,IF(H4945="ILF",7.5,IF(H4945="EIF",5.4)))))))</f>
        <v/>
      </c>
      <c r="M4945" s="112" t="str">
        <f t="shared" si="80"/>
        <v/>
      </c>
      <c r="N4945" s="113"/>
    </row>
    <row r="4946" spans="2:14">
      <c r="B4946" s="105"/>
      <c r="C4946" s="106"/>
      <c r="D4946" s="107"/>
      <c r="E4946" s="65"/>
      <c r="F4946" s="64"/>
      <c r="G4946" s="64"/>
      <c r="H4946" s="64"/>
      <c r="I4946" s="70"/>
      <c r="J4946" s="70"/>
      <c r="K4946" s="110" t="str">
        <f>IF(H4946="","",IF($C$29="간이법","",FPR(H4946,I4946,J4946)))</f>
        <v/>
      </c>
      <c r="L4946" s="111" t="str">
        <f>IF(H4946="","",IF($C$29="상세법",FPV(H4946,K4946),IF(H4946="EI",4,IF(H4946="EO",5.2,IF(H4946="EQ",3.9,IF(H4946="ILF",7.5,IF(H4946="EIF",5.4)))))))</f>
        <v/>
      </c>
      <c r="M4946" s="112" t="str">
        <f t="shared" si="80"/>
        <v/>
      </c>
      <c r="N4946" s="113"/>
    </row>
    <row r="4947" spans="2:14">
      <c r="B4947" s="105"/>
      <c r="C4947" s="106"/>
      <c r="D4947" s="107"/>
      <c r="E4947" s="65"/>
      <c r="F4947" s="64"/>
      <c r="G4947" s="64"/>
      <c r="H4947" s="64"/>
      <c r="I4947" s="70"/>
      <c r="J4947" s="70"/>
      <c r="K4947" s="110" t="str">
        <f>IF(H4947="","",IF($C$29="간이법","",FPR(H4947,I4947,J4947)))</f>
        <v/>
      </c>
      <c r="L4947" s="111" t="str">
        <f>IF(H4947="","",IF($C$29="상세법",FPV(H4947,K4947),IF(H4947="EI",4,IF(H4947="EO",5.2,IF(H4947="EQ",3.9,IF(H4947="ILF",7.5,IF(H4947="EIF",5.4)))))))</f>
        <v/>
      </c>
      <c r="M4947" s="112" t="str">
        <f t="shared" si="80"/>
        <v/>
      </c>
      <c r="N4947" s="113"/>
    </row>
    <row r="4948" spans="2:14">
      <c r="B4948" s="105"/>
      <c r="C4948" s="106"/>
      <c r="D4948" s="107"/>
      <c r="E4948" s="65"/>
      <c r="F4948" s="64"/>
      <c r="G4948" s="64"/>
      <c r="H4948" s="64"/>
      <c r="I4948" s="70"/>
      <c r="J4948" s="70"/>
      <c r="K4948" s="110" t="str">
        <f>IF(H4948="","",IF($C$29="간이법","",FPR(H4948,I4948,J4948)))</f>
        <v/>
      </c>
      <c r="L4948" s="111" t="str">
        <f>IF(H4948="","",IF($C$29="상세법",FPV(H4948,K4948),IF(H4948="EI",4,IF(H4948="EO",5.2,IF(H4948="EQ",3.9,IF(H4948="ILF",7.5,IF(H4948="EIF",5.4)))))))</f>
        <v/>
      </c>
      <c r="M4948" s="112" t="str">
        <f t="shared" si="80"/>
        <v/>
      </c>
      <c r="N4948" s="113"/>
    </row>
    <row r="4949" spans="2:14">
      <c r="B4949" s="105"/>
      <c r="C4949" s="106"/>
      <c r="D4949" s="107"/>
      <c r="E4949" s="65"/>
      <c r="F4949" s="64"/>
      <c r="G4949" s="64"/>
      <c r="H4949" s="64"/>
      <c r="I4949" s="70"/>
      <c r="J4949" s="70"/>
      <c r="K4949" s="110" t="str">
        <f>IF(H4949="","",IF($C$29="간이법","",FPR(H4949,I4949,J4949)))</f>
        <v/>
      </c>
      <c r="L4949" s="111" t="str">
        <f>IF(H4949="","",IF($C$29="상세법",FPV(H4949,K4949),IF(H4949="EI",4,IF(H4949="EO",5.2,IF(H4949="EQ",3.9,IF(H4949="ILF",7.5,IF(H4949="EIF",5.4)))))))</f>
        <v/>
      </c>
      <c r="M4949" s="112" t="str">
        <f t="shared" si="80"/>
        <v/>
      </c>
      <c r="N4949" s="113"/>
    </row>
    <row r="4950" spans="2:14">
      <c r="B4950" s="105"/>
      <c r="C4950" s="106"/>
      <c r="D4950" s="107"/>
      <c r="E4950" s="65"/>
      <c r="F4950" s="64"/>
      <c r="G4950" s="64"/>
      <c r="H4950" s="64"/>
      <c r="I4950" s="70"/>
      <c r="J4950" s="70"/>
      <c r="K4950" s="110" t="str">
        <f>IF(H4950="","",IF($C$29="간이법","",FPR(H4950,I4950,J4950)))</f>
        <v/>
      </c>
      <c r="L4950" s="111" t="str">
        <f>IF(H4950="","",IF($C$29="상세법",FPV(H4950,K4950),IF(H4950="EI",4,IF(H4950="EO",5.2,IF(H4950="EQ",3.9,IF(H4950="ILF",7.5,IF(H4950="EIF",5.4)))))))</f>
        <v/>
      </c>
      <c r="M4950" s="112" t="str">
        <f t="shared" si="80"/>
        <v/>
      </c>
      <c r="N4950" s="113"/>
    </row>
    <row r="4951" spans="2:14">
      <c r="B4951" s="105"/>
      <c r="C4951" s="106"/>
      <c r="D4951" s="107"/>
      <c r="E4951" s="65"/>
      <c r="F4951" s="64"/>
      <c r="G4951" s="64"/>
      <c r="H4951" s="64"/>
      <c r="I4951" s="70"/>
      <c r="J4951" s="70"/>
      <c r="K4951" s="110" t="str">
        <f>IF(H4951="","",IF($C$29="간이법","",FPR(H4951,I4951,J4951)))</f>
        <v/>
      </c>
      <c r="L4951" s="111" t="str">
        <f>IF(H4951="","",IF($C$29="상세법",FPV(H4951,K4951),IF(H4951="EI",4,IF(H4951="EO",5.2,IF(H4951="EQ",3.9,IF(H4951="ILF",7.5,IF(H4951="EIF",5.4)))))))</f>
        <v/>
      </c>
      <c r="M4951" s="112" t="str">
        <f t="shared" si="80"/>
        <v/>
      </c>
      <c r="N4951" s="113"/>
    </row>
    <row r="4952" spans="2:14">
      <c r="B4952" s="105"/>
      <c r="C4952" s="106"/>
      <c r="D4952" s="107"/>
      <c r="E4952" s="65"/>
      <c r="F4952" s="64"/>
      <c r="G4952" s="64"/>
      <c r="H4952" s="64"/>
      <c r="I4952" s="70"/>
      <c r="J4952" s="70"/>
      <c r="K4952" s="110" t="str">
        <f>IF(H4952="","",IF($C$29="간이법","",FPR(H4952,I4952,J4952)))</f>
        <v/>
      </c>
      <c r="L4952" s="111" t="str">
        <f>IF(H4952="","",IF($C$29="상세법",FPV(H4952,K4952),IF(H4952="EI",4,IF(H4952="EO",5.2,IF(H4952="EQ",3.9,IF(H4952="ILF",7.5,IF(H4952="EIF",5.4)))))))</f>
        <v/>
      </c>
      <c r="M4952" s="112" t="str">
        <f t="shared" si="80"/>
        <v/>
      </c>
      <c r="N4952" s="113"/>
    </row>
    <row r="4953" spans="2:14">
      <c r="B4953" s="105"/>
      <c r="C4953" s="106"/>
      <c r="D4953" s="107"/>
      <c r="E4953" s="65"/>
      <c r="F4953" s="64"/>
      <c r="G4953" s="64"/>
      <c r="H4953" s="64"/>
      <c r="I4953" s="70"/>
      <c r="J4953" s="70"/>
      <c r="K4953" s="110" t="str">
        <f>IF(H4953="","",IF($C$29="간이법","",FPR(H4953,I4953,J4953)))</f>
        <v/>
      </c>
      <c r="L4953" s="111" t="str">
        <f>IF(H4953="","",IF($C$29="상세법",FPV(H4953,K4953),IF(H4953="EI",4,IF(H4953="EO",5.2,IF(H4953="EQ",3.9,IF(H4953="ILF",7.5,IF(H4953="EIF",5.4)))))))</f>
        <v/>
      </c>
      <c r="M4953" s="112" t="str">
        <f t="shared" si="80"/>
        <v/>
      </c>
      <c r="N4953" s="113"/>
    </row>
    <row r="4954" spans="2:14">
      <c r="B4954" s="105"/>
      <c r="C4954" s="106"/>
      <c r="D4954" s="107"/>
      <c r="E4954" s="65"/>
      <c r="F4954" s="64"/>
      <c r="G4954" s="64"/>
      <c r="H4954" s="64"/>
      <c r="I4954" s="70"/>
      <c r="J4954" s="70"/>
      <c r="K4954" s="110" t="str">
        <f>IF(H4954="","",IF($C$29="간이법","",FPR(H4954,I4954,J4954)))</f>
        <v/>
      </c>
      <c r="L4954" s="111" t="str">
        <f>IF(H4954="","",IF($C$29="상세법",FPV(H4954,K4954),IF(H4954="EI",4,IF(H4954="EO",5.2,IF(H4954="EQ",3.9,IF(H4954="ILF",7.5,IF(H4954="EIF",5.4)))))))</f>
        <v/>
      </c>
      <c r="M4954" s="112" t="str">
        <f t="shared" si="80"/>
        <v/>
      </c>
      <c r="N4954" s="113"/>
    </row>
    <row r="4955" spans="2:14">
      <c r="B4955" s="105"/>
      <c r="C4955" s="106"/>
      <c r="D4955" s="107"/>
      <c r="E4955" s="65"/>
      <c r="F4955" s="64"/>
      <c r="G4955" s="64"/>
      <c r="H4955" s="64"/>
      <c r="I4955" s="70"/>
      <c r="J4955" s="70"/>
      <c r="K4955" s="110" t="str">
        <f>IF(H4955="","",IF($C$29="간이법","",FPR(H4955,I4955,J4955)))</f>
        <v/>
      </c>
      <c r="L4955" s="111" t="str">
        <f>IF(H4955="","",IF($C$29="상세법",FPV(H4955,K4955),IF(H4955="EI",4,IF(H4955="EO",5.2,IF(H4955="EQ",3.9,IF(H4955="ILF",7.5,IF(H4955="EIF",5.4)))))))</f>
        <v/>
      </c>
      <c r="M4955" s="112" t="str">
        <f t="shared" si="80"/>
        <v/>
      </c>
      <c r="N4955" s="113"/>
    </row>
    <row r="4956" spans="2:14">
      <c r="B4956" s="105"/>
      <c r="C4956" s="106"/>
      <c r="D4956" s="107"/>
      <c r="E4956" s="65"/>
      <c r="F4956" s="64"/>
      <c r="G4956" s="64"/>
      <c r="H4956" s="64"/>
      <c r="I4956" s="70"/>
      <c r="J4956" s="70"/>
      <c r="K4956" s="110" t="str">
        <f>IF(H4956="","",IF($C$29="간이법","",FPR(H4956,I4956,J4956)))</f>
        <v/>
      </c>
      <c r="L4956" s="111" t="str">
        <f>IF(H4956="","",IF($C$29="상세법",FPV(H4956,K4956),IF(H4956="EI",4,IF(H4956="EO",5.2,IF(H4956="EQ",3.9,IF(H4956="ILF",7.5,IF(H4956="EIF",5.4)))))))</f>
        <v/>
      </c>
      <c r="M4956" s="112" t="str">
        <f t="shared" si="80"/>
        <v/>
      </c>
      <c r="N4956" s="113"/>
    </row>
    <row r="4957" spans="2:14">
      <c r="B4957" s="105"/>
      <c r="C4957" s="106"/>
      <c r="D4957" s="107"/>
      <c r="E4957" s="65"/>
      <c r="F4957" s="64"/>
      <c r="G4957" s="64"/>
      <c r="H4957" s="64"/>
      <c r="I4957" s="70"/>
      <c r="J4957" s="70"/>
      <c r="K4957" s="110" t="str">
        <f>IF(H4957="","",IF($C$29="간이법","",FPR(H4957,I4957,J4957)))</f>
        <v/>
      </c>
      <c r="L4957" s="111" t="str">
        <f>IF(H4957="","",IF($C$29="상세법",FPV(H4957,K4957),IF(H4957="EI",4,IF(H4957="EO",5.2,IF(H4957="EQ",3.9,IF(H4957="ILF",7.5,IF(H4957="EIF",5.4)))))))</f>
        <v/>
      </c>
      <c r="M4957" s="112" t="str">
        <f t="shared" si="80"/>
        <v/>
      </c>
      <c r="N4957" s="113"/>
    </row>
    <row r="4958" spans="2:14">
      <c r="B4958" s="105"/>
      <c r="C4958" s="106"/>
      <c r="D4958" s="107"/>
      <c r="E4958" s="65"/>
      <c r="F4958" s="64"/>
      <c r="G4958" s="64"/>
      <c r="H4958" s="64"/>
      <c r="I4958" s="70"/>
      <c r="J4958" s="70"/>
      <c r="K4958" s="110" t="str">
        <f>IF(H4958="","",IF($C$29="간이법","",FPR(H4958,I4958,J4958)))</f>
        <v/>
      </c>
      <c r="L4958" s="111" t="str">
        <f>IF(H4958="","",IF($C$29="상세법",FPV(H4958,K4958),IF(H4958="EI",4,IF(H4958="EO",5.2,IF(H4958="EQ",3.9,IF(H4958="ILF",7.5,IF(H4958="EIF",5.4)))))))</f>
        <v/>
      </c>
      <c r="M4958" s="112" t="str">
        <f t="shared" si="80"/>
        <v/>
      </c>
      <c r="N4958" s="113"/>
    </row>
    <row r="4959" spans="2:14">
      <c r="B4959" s="105"/>
      <c r="C4959" s="106"/>
      <c r="D4959" s="107"/>
      <c r="E4959" s="65"/>
      <c r="F4959" s="64"/>
      <c r="G4959" s="64"/>
      <c r="H4959" s="64"/>
      <c r="I4959" s="70"/>
      <c r="J4959" s="70"/>
      <c r="K4959" s="110" t="str">
        <f>IF(H4959="","",IF($C$29="간이법","",FPR(H4959,I4959,J4959)))</f>
        <v/>
      </c>
      <c r="L4959" s="111" t="str">
        <f>IF(H4959="","",IF($C$29="상세법",FPV(H4959,K4959),IF(H4959="EI",4,IF(H4959="EO",5.2,IF(H4959="EQ",3.9,IF(H4959="ILF",7.5,IF(H4959="EIF",5.4)))))))</f>
        <v/>
      </c>
      <c r="M4959" s="112" t="str">
        <f t="shared" si="80"/>
        <v/>
      </c>
      <c r="N4959" s="113"/>
    </row>
    <row r="4960" spans="2:14">
      <c r="B4960" s="105"/>
      <c r="C4960" s="106"/>
      <c r="D4960" s="107"/>
      <c r="E4960" s="65"/>
      <c r="F4960" s="64"/>
      <c r="G4960" s="64"/>
      <c r="H4960" s="64"/>
      <c r="I4960" s="70"/>
      <c r="J4960" s="70"/>
      <c r="K4960" s="110" t="str">
        <f>IF(H4960="","",IF($C$29="간이법","",FPR(H4960,I4960,J4960)))</f>
        <v/>
      </c>
      <c r="L4960" s="111" t="str">
        <f>IF(H4960="","",IF($C$29="상세법",FPV(H4960,K4960),IF(H4960="EI",4,IF(H4960="EO",5.2,IF(H4960="EQ",3.9,IF(H4960="ILF",7.5,IF(H4960="EIF",5.4)))))))</f>
        <v/>
      </c>
      <c r="M4960" s="112" t="str">
        <f t="shared" si="80"/>
        <v/>
      </c>
      <c r="N4960" s="113"/>
    </row>
    <row r="4961" spans="2:14">
      <c r="B4961" s="105"/>
      <c r="C4961" s="106"/>
      <c r="D4961" s="107"/>
      <c r="E4961" s="65"/>
      <c r="F4961" s="64"/>
      <c r="G4961" s="64"/>
      <c r="H4961" s="64"/>
      <c r="I4961" s="70"/>
      <c r="J4961" s="70"/>
      <c r="K4961" s="110" t="str">
        <f>IF(H4961="","",IF($C$29="간이법","",FPR(H4961,I4961,J4961)))</f>
        <v/>
      </c>
      <c r="L4961" s="111" t="str">
        <f>IF(H4961="","",IF($C$29="상세법",FPV(H4961,K4961),IF(H4961="EI",4,IF(H4961="EO",5.2,IF(H4961="EQ",3.9,IF(H4961="ILF",7.5,IF(H4961="EIF",5.4)))))))</f>
        <v/>
      </c>
      <c r="M4961" s="112" t="str">
        <f t="shared" si="80"/>
        <v/>
      </c>
      <c r="N4961" s="113"/>
    </row>
    <row r="4962" spans="2:14">
      <c r="B4962" s="105"/>
      <c r="C4962" s="106"/>
      <c r="D4962" s="107"/>
      <c r="E4962" s="65"/>
      <c r="F4962" s="64"/>
      <c r="G4962" s="64"/>
      <c r="H4962" s="64"/>
      <c r="I4962" s="70"/>
      <c r="J4962" s="70"/>
      <c r="K4962" s="110" t="str">
        <f>IF(H4962="","",IF($C$29="간이법","",FPR(H4962,I4962,J4962)))</f>
        <v/>
      </c>
      <c r="L4962" s="111" t="str">
        <f>IF(H4962="","",IF($C$29="상세법",FPV(H4962,K4962),IF(H4962="EI",4,IF(H4962="EO",5.2,IF(H4962="EQ",3.9,IF(H4962="ILF",7.5,IF(H4962="EIF",5.4)))))))</f>
        <v/>
      </c>
      <c r="M4962" s="112" t="str">
        <f t="shared" si="80"/>
        <v/>
      </c>
      <c r="N4962" s="113"/>
    </row>
    <row r="4963" spans="2:14">
      <c r="B4963" s="105"/>
      <c r="C4963" s="106"/>
      <c r="D4963" s="107"/>
      <c r="E4963" s="65"/>
      <c r="F4963" s="64"/>
      <c r="G4963" s="64"/>
      <c r="H4963" s="64"/>
      <c r="I4963" s="70"/>
      <c r="J4963" s="70"/>
      <c r="K4963" s="110" t="str">
        <f>IF(H4963="","",IF($C$29="간이법","",FPR(H4963,I4963,J4963)))</f>
        <v/>
      </c>
      <c r="L4963" s="111" t="str">
        <f>IF(H4963="","",IF($C$29="상세법",FPV(H4963,K4963),IF(H4963="EI",4,IF(H4963="EO",5.2,IF(H4963="EQ",3.9,IF(H4963="ILF",7.5,IF(H4963="EIF",5.4)))))))</f>
        <v/>
      </c>
      <c r="M4963" s="112" t="str">
        <f t="shared" si="80"/>
        <v/>
      </c>
      <c r="N4963" s="113"/>
    </row>
    <row r="4964" spans="2:14">
      <c r="B4964" s="105"/>
      <c r="C4964" s="106"/>
      <c r="D4964" s="107"/>
      <c r="E4964" s="65"/>
      <c r="F4964" s="64"/>
      <c r="G4964" s="64"/>
      <c r="H4964" s="64"/>
      <c r="I4964" s="70"/>
      <c r="J4964" s="70"/>
      <c r="K4964" s="110" t="str">
        <f>IF(H4964="","",IF($C$29="간이법","",FPR(H4964,I4964,J4964)))</f>
        <v/>
      </c>
      <c r="L4964" s="111" t="str">
        <f>IF(H4964="","",IF($C$29="상세법",FPV(H4964,K4964),IF(H4964="EI",4,IF(H4964="EO",5.2,IF(H4964="EQ",3.9,IF(H4964="ILF",7.5,IF(H4964="EIF",5.4)))))))</f>
        <v/>
      </c>
      <c r="M4964" s="112" t="str">
        <f t="shared" si="80"/>
        <v/>
      </c>
      <c r="N4964" s="113"/>
    </row>
    <row r="4965" spans="2:14">
      <c r="B4965" s="105"/>
      <c r="C4965" s="106"/>
      <c r="D4965" s="107"/>
      <c r="E4965" s="65"/>
      <c r="F4965" s="64"/>
      <c r="G4965" s="64"/>
      <c r="H4965" s="64"/>
      <c r="I4965" s="70"/>
      <c r="J4965" s="70"/>
      <c r="K4965" s="110" t="str">
        <f>IF(H4965="","",IF($C$29="간이법","",FPR(H4965,I4965,J4965)))</f>
        <v/>
      </c>
      <c r="L4965" s="111" t="str">
        <f>IF(H4965="","",IF($C$29="상세법",FPV(H4965,K4965),IF(H4965="EI",4,IF(H4965="EO",5.2,IF(H4965="EQ",3.9,IF(H4965="ILF",7.5,IF(H4965="EIF",5.4)))))))</f>
        <v/>
      </c>
      <c r="M4965" s="112" t="str">
        <f t="shared" si="80"/>
        <v/>
      </c>
      <c r="N4965" s="113"/>
    </row>
    <row r="4966" spans="2:14">
      <c r="B4966" s="105"/>
      <c r="C4966" s="106"/>
      <c r="D4966" s="107"/>
      <c r="E4966" s="65"/>
      <c r="F4966" s="64"/>
      <c r="G4966" s="64"/>
      <c r="H4966" s="64"/>
      <c r="I4966" s="70"/>
      <c r="J4966" s="70"/>
      <c r="K4966" s="110" t="str">
        <f>IF(H4966="","",IF($C$29="간이법","",FPR(H4966,I4966,J4966)))</f>
        <v/>
      </c>
      <c r="L4966" s="111" t="str">
        <f>IF(H4966="","",IF($C$29="상세법",FPV(H4966,K4966),IF(H4966="EI",4,IF(H4966="EO",5.2,IF(H4966="EQ",3.9,IF(H4966="ILF",7.5,IF(H4966="EIF",5.4)))))))</f>
        <v/>
      </c>
      <c r="M4966" s="112" t="str">
        <f t="shared" si="80"/>
        <v/>
      </c>
      <c r="N4966" s="113"/>
    </row>
    <row r="4967" spans="2:14">
      <c r="B4967" s="105"/>
      <c r="C4967" s="106"/>
      <c r="D4967" s="107"/>
      <c r="E4967" s="65"/>
      <c r="F4967" s="64"/>
      <c r="G4967" s="64"/>
      <c r="H4967" s="64"/>
      <c r="I4967" s="70"/>
      <c r="J4967" s="70"/>
      <c r="K4967" s="110" t="str">
        <f>IF(H4967="","",IF($C$29="간이법","",FPR(H4967,I4967,J4967)))</f>
        <v/>
      </c>
      <c r="L4967" s="111" t="str">
        <f>IF(H4967="","",IF($C$29="상세법",FPV(H4967,K4967),IF(H4967="EI",4,IF(H4967="EO",5.2,IF(H4967="EQ",3.9,IF(H4967="ILF",7.5,IF(H4967="EIF",5.4)))))))</f>
        <v/>
      </c>
      <c r="M4967" s="112" t="str">
        <f t="shared" si="80"/>
        <v/>
      </c>
      <c r="N4967" s="113"/>
    </row>
    <row r="4968" spans="2:14">
      <c r="B4968" s="105"/>
      <c r="C4968" s="106"/>
      <c r="D4968" s="107"/>
      <c r="E4968" s="65"/>
      <c r="F4968" s="64"/>
      <c r="G4968" s="64"/>
      <c r="H4968" s="64"/>
      <c r="I4968" s="70"/>
      <c r="J4968" s="70"/>
      <c r="K4968" s="110" t="str">
        <f>IF(H4968="","",IF($C$29="간이법","",FPR(H4968,I4968,J4968)))</f>
        <v/>
      </c>
      <c r="L4968" s="111" t="str">
        <f>IF(H4968="","",IF($C$29="상세법",FPV(H4968,K4968),IF(H4968="EI",4,IF(H4968="EO",5.2,IF(H4968="EQ",3.9,IF(H4968="ILF",7.5,IF(H4968="EIF",5.4)))))))</f>
        <v/>
      </c>
      <c r="M4968" s="112" t="str">
        <f t="shared" si="80"/>
        <v/>
      </c>
      <c r="N4968" s="113"/>
    </row>
    <row r="4969" spans="2:14">
      <c r="B4969" s="105"/>
      <c r="C4969" s="106"/>
      <c r="D4969" s="107"/>
      <c r="E4969" s="65"/>
      <c r="F4969" s="64"/>
      <c r="G4969" s="64"/>
      <c r="H4969" s="64"/>
      <c r="I4969" s="70"/>
      <c r="J4969" s="70"/>
      <c r="K4969" s="110" t="str">
        <f>IF(H4969="","",IF($C$29="간이법","",FPR(H4969,I4969,J4969)))</f>
        <v/>
      </c>
      <c r="L4969" s="111" t="str">
        <f>IF(H4969="","",IF($C$29="상세법",FPV(H4969,K4969),IF(H4969="EI",4,IF(H4969="EO",5.2,IF(H4969="EQ",3.9,IF(H4969="ILF",7.5,IF(H4969="EIF",5.4)))))))</f>
        <v/>
      </c>
      <c r="M4969" s="112" t="str">
        <f t="shared" si="80"/>
        <v/>
      </c>
      <c r="N4969" s="113"/>
    </row>
    <row r="4970" spans="2:14">
      <c r="B4970" s="105"/>
      <c r="C4970" s="106"/>
      <c r="D4970" s="107"/>
      <c r="E4970" s="65"/>
      <c r="F4970" s="64"/>
      <c r="G4970" s="64"/>
      <c r="H4970" s="64"/>
      <c r="I4970" s="70"/>
      <c r="J4970" s="70"/>
      <c r="K4970" s="110" t="str">
        <f>IF(H4970="","",IF($C$29="간이법","",FPR(H4970,I4970,J4970)))</f>
        <v/>
      </c>
      <c r="L4970" s="111" t="str">
        <f>IF(H4970="","",IF($C$29="상세법",FPV(H4970,K4970),IF(H4970="EI",4,IF(H4970="EO",5.2,IF(H4970="EQ",3.9,IF(H4970="ILF",7.5,IF(H4970="EIF",5.4)))))))</f>
        <v/>
      </c>
      <c r="M4970" s="112" t="str">
        <f t="shared" si="80"/>
        <v/>
      </c>
      <c r="N4970" s="113"/>
    </row>
    <row r="4971" spans="2:14">
      <c r="B4971" s="105"/>
      <c r="C4971" s="106"/>
      <c r="D4971" s="107"/>
      <c r="E4971" s="65"/>
      <c r="F4971" s="64"/>
      <c r="G4971" s="64"/>
      <c r="H4971" s="64"/>
      <c r="I4971" s="70"/>
      <c r="J4971" s="70"/>
      <c r="K4971" s="110" t="str">
        <f>IF(H4971="","",IF($C$29="간이법","",FPR(H4971,I4971,J4971)))</f>
        <v/>
      </c>
      <c r="L4971" s="111" t="str">
        <f>IF(H4971="","",IF($C$29="상세법",FPV(H4971,K4971),IF(H4971="EI",4,IF(H4971="EO",5.2,IF(H4971="EQ",3.9,IF(H4971="ILF",7.5,IF(H4971="EIF",5.4)))))))</f>
        <v/>
      </c>
      <c r="M4971" s="112" t="str">
        <f t="shared" si="80"/>
        <v/>
      </c>
      <c r="N4971" s="113"/>
    </row>
    <row r="4972" spans="2:14">
      <c r="B4972" s="105"/>
      <c r="C4972" s="106"/>
      <c r="D4972" s="107"/>
      <c r="E4972" s="65"/>
      <c r="F4972" s="64"/>
      <c r="G4972" s="64"/>
      <c r="H4972" s="64"/>
      <c r="I4972" s="70"/>
      <c r="J4972" s="70"/>
      <c r="K4972" s="110" t="str">
        <f>IF(H4972="","",IF($C$29="간이법","",FPR(H4972,I4972,J4972)))</f>
        <v/>
      </c>
      <c r="L4972" s="111" t="str">
        <f>IF(H4972="","",IF($C$29="상세법",FPV(H4972,K4972),IF(H4972="EI",4,IF(H4972="EO",5.2,IF(H4972="EQ",3.9,IF(H4972="ILF",7.5,IF(H4972="EIF",5.4)))))))</f>
        <v/>
      </c>
      <c r="M4972" s="112" t="str">
        <f t="shared" si="80"/>
        <v/>
      </c>
      <c r="N4972" s="113"/>
    </row>
    <row r="4973" spans="2:14">
      <c r="B4973" s="105"/>
      <c r="C4973" s="106"/>
      <c r="D4973" s="107"/>
      <c r="E4973" s="65"/>
      <c r="F4973" s="64"/>
      <c r="G4973" s="64"/>
      <c r="H4973" s="64"/>
      <c r="I4973" s="70"/>
      <c r="J4973" s="70"/>
      <c r="K4973" s="110" t="str">
        <f>IF(H4973="","",IF($C$29="간이법","",FPR(H4973,I4973,J4973)))</f>
        <v/>
      </c>
      <c r="L4973" s="111" t="str">
        <f>IF(H4973="","",IF($C$29="상세법",FPV(H4973,K4973),IF(H4973="EI",4,IF(H4973="EO",5.2,IF(H4973="EQ",3.9,IF(H4973="ILF",7.5,IF(H4973="EIF",5.4)))))))</f>
        <v/>
      </c>
      <c r="M4973" s="112" t="str">
        <f t="shared" si="80"/>
        <v/>
      </c>
      <c r="N4973" s="113"/>
    </row>
    <row r="4974" spans="2:14">
      <c r="B4974" s="105"/>
      <c r="C4974" s="106"/>
      <c r="D4974" s="107"/>
      <c r="E4974" s="65"/>
      <c r="F4974" s="64"/>
      <c r="G4974" s="64"/>
      <c r="H4974" s="64"/>
      <c r="I4974" s="70"/>
      <c r="J4974" s="70"/>
      <c r="K4974" s="110" t="str">
        <f>IF(H4974="","",IF($C$29="간이법","",FPR(H4974,I4974,J4974)))</f>
        <v/>
      </c>
      <c r="L4974" s="111" t="str">
        <f>IF(H4974="","",IF($C$29="상세법",FPV(H4974,K4974),IF(H4974="EI",4,IF(H4974="EO",5.2,IF(H4974="EQ",3.9,IF(H4974="ILF",7.5,IF(H4974="EIF",5.4)))))))</f>
        <v/>
      </c>
      <c r="M4974" s="112" t="str">
        <f t="shared" si="80"/>
        <v/>
      </c>
      <c r="N4974" s="113"/>
    </row>
    <row r="4975" spans="2:14">
      <c r="B4975" s="105"/>
      <c r="C4975" s="106"/>
      <c r="D4975" s="107"/>
      <c r="E4975" s="65"/>
      <c r="F4975" s="64"/>
      <c r="G4975" s="64"/>
      <c r="H4975" s="64"/>
      <c r="I4975" s="70"/>
      <c r="J4975" s="70"/>
      <c r="K4975" s="110" t="str">
        <f>IF(H4975="","",IF($C$29="간이법","",FPR(H4975,I4975,J4975)))</f>
        <v/>
      </c>
      <c r="L4975" s="111" t="str">
        <f>IF(H4975="","",IF($C$29="상세법",FPV(H4975,K4975),IF(H4975="EI",4,IF(H4975="EO",5.2,IF(H4975="EQ",3.9,IF(H4975="ILF",7.5,IF(H4975="EIF",5.4)))))))</f>
        <v/>
      </c>
      <c r="M4975" s="112" t="str">
        <f t="shared" si="80"/>
        <v/>
      </c>
      <c r="N4975" s="113"/>
    </row>
    <row r="4976" spans="2:14">
      <c r="B4976" s="105"/>
      <c r="C4976" s="106"/>
      <c r="D4976" s="107"/>
      <c r="E4976" s="65"/>
      <c r="F4976" s="64"/>
      <c r="G4976" s="64"/>
      <c r="H4976" s="64"/>
      <c r="I4976" s="70"/>
      <c r="J4976" s="70"/>
      <c r="K4976" s="110" t="str">
        <f>IF(H4976="","",IF($C$29="간이법","",FPR(H4976,I4976,J4976)))</f>
        <v/>
      </c>
      <c r="L4976" s="111" t="str">
        <f>IF(H4976="","",IF($C$29="상세법",FPV(H4976,K4976),IF(H4976="EI",4,IF(H4976="EO",5.2,IF(H4976="EQ",3.9,IF(H4976="ILF",7.5,IF(H4976="EIF",5.4)))))))</f>
        <v/>
      </c>
      <c r="M4976" s="112" t="str">
        <f t="shared" si="80"/>
        <v/>
      </c>
      <c r="N4976" s="113"/>
    </row>
    <row r="4977" spans="2:14">
      <c r="B4977" s="105"/>
      <c r="C4977" s="106"/>
      <c r="D4977" s="107"/>
      <c r="E4977" s="65"/>
      <c r="F4977" s="64"/>
      <c r="G4977" s="64"/>
      <c r="H4977" s="64"/>
      <c r="I4977" s="70"/>
      <c r="J4977" s="70"/>
      <c r="K4977" s="110" t="str">
        <f>IF(H4977="","",IF($C$29="간이법","",FPR(H4977,I4977,J4977)))</f>
        <v/>
      </c>
      <c r="L4977" s="111" t="str">
        <f>IF(H4977="","",IF($C$29="상세법",FPV(H4977,K4977),IF(H4977="EI",4,IF(H4977="EO",5.2,IF(H4977="EQ",3.9,IF(H4977="ILF",7.5,IF(H4977="EIF",5.4)))))))</f>
        <v/>
      </c>
      <c r="M4977" s="112" t="str">
        <f t="shared" si="80"/>
        <v/>
      </c>
      <c r="N4977" s="113"/>
    </row>
    <row r="4978" spans="2:14">
      <c r="B4978" s="105"/>
      <c r="C4978" s="106"/>
      <c r="D4978" s="107"/>
      <c r="E4978" s="65"/>
      <c r="F4978" s="64"/>
      <c r="G4978" s="64"/>
      <c r="H4978" s="64"/>
      <c r="I4978" s="70"/>
      <c r="J4978" s="70"/>
      <c r="K4978" s="110" t="str">
        <f>IF(H4978="","",IF($C$29="간이법","",FPR(H4978,I4978,J4978)))</f>
        <v/>
      </c>
      <c r="L4978" s="111" t="str">
        <f>IF(H4978="","",IF($C$29="상세법",FPV(H4978,K4978),IF(H4978="EI",4,IF(H4978="EO",5.2,IF(H4978="EQ",3.9,IF(H4978="ILF",7.5,IF(H4978="EIF",5.4)))))))</f>
        <v/>
      </c>
      <c r="M4978" s="112" t="str">
        <f t="shared" si="80"/>
        <v/>
      </c>
      <c r="N4978" s="113"/>
    </row>
    <row r="4979" spans="2:14">
      <c r="B4979" s="105"/>
      <c r="C4979" s="106"/>
      <c r="D4979" s="107"/>
      <c r="E4979" s="65"/>
      <c r="F4979" s="64"/>
      <c r="G4979" s="64"/>
      <c r="H4979" s="64"/>
      <c r="I4979" s="70"/>
      <c r="J4979" s="70"/>
      <c r="K4979" s="110" t="str">
        <f>IF(H4979="","",IF($C$29="간이법","",FPR(H4979,I4979,J4979)))</f>
        <v/>
      </c>
      <c r="L4979" s="111" t="str">
        <f>IF(H4979="","",IF($C$29="상세법",FPV(H4979,K4979),IF(H4979="EI",4,IF(H4979="EO",5.2,IF(H4979="EQ",3.9,IF(H4979="ILF",7.5,IF(H4979="EIF",5.4)))))))</f>
        <v/>
      </c>
      <c r="M4979" s="112" t="str">
        <f t="shared" si="80"/>
        <v/>
      </c>
      <c r="N4979" s="113"/>
    </row>
    <row r="4980" spans="2:14">
      <c r="B4980" s="105"/>
      <c r="C4980" s="106"/>
      <c r="D4980" s="107"/>
      <c r="E4980" s="65"/>
      <c r="F4980" s="64"/>
      <c r="G4980" s="64"/>
      <c r="H4980" s="64"/>
      <c r="I4980" s="70"/>
      <c r="J4980" s="70"/>
      <c r="K4980" s="110" t="str">
        <f>IF(H4980="","",IF($C$29="간이법","",FPR(H4980,I4980,J4980)))</f>
        <v/>
      </c>
      <c r="L4980" s="111" t="str">
        <f>IF(H4980="","",IF($C$29="상세법",FPV(H4980,K4980),IF(H4980="EI",4,IF(H4980="EO",5.2,IF(H4980="EQ",3.9,IF(H4980="ILF",7.5,IF(H4980="EIF",5.4)))))))</f>
        <v/>
      </c>
      <c r="M4980" s="112" t="str">
        <f t="shared" si="80"/>
        <v/>
      </c>
      <c r="N4980" s="113"/>
    </row>
    <row r="4981" spans="2:14">
      <c r="B4981" s="105"/>
      <c r="C4981" s="106"/>
      <c r="D4981" s="107"/>
      <c r="E4981" s="65"/>
      <c r="F4981" s="64"/>
      <c r="G4981" s="64"/>
      <c r="H4981" s="64"/>
      <c r="I4981" s="70"/>
      <c r="J4981" s="70"/>
      <c r="K4981" s="110" t="str">
        <f>IF(H4981="","",IF($C$29="간이법","",FPR(H4981,I4981,J4981)))</f>
        <v/>
      </c>
      <c r="L4981" s="111" t="str">
        <f>IF(H4981="","",IF($C$29="상세법",FPV(H4981,K4981),IF(H4981="EI",4,IF(H4981="EO",5.2,IF(H4981="EQ",3.9,IF(H4981="ILF",7.5,IF(H4981="EIF",5.4)))))))</f>
        <v/>
      </c>
      <c r="M4981" s="112" t="str">
        <f t="shared" si="80"/>
        <v/>
      </c>
      <c r="N4981" s="113"/>
    </row>
    <row r="4982" spans="2:14">
      <c r="B4982" s="105"/>
      <c r="C4982" s="106"/>
      <c r="D4982" s="107"/>
      <c r="E4982" s="65"/>
      <c r="F4982" s="64"/>
      <c r="G4982" s="64"/>
      <c r="H4982" s="64"/>
      <c r="I4982" s="70"/>
      <c r="J4982" s="70"/>
      <c r="K4982" s="110" t="str">
        <f>IF(H4982="","",IF($C$29="간이법","",FPR(H4982,I4982,J4982)))</f>
        <v/>
      </c>
      <c r="L4982" s="111" t="str">
        <f>IF(H4982="","",IF($C$29="상세법",FPV(H4982,K4982),IF(H4982="EI",4,IF(H4982="EO",5.2,IF(H4982="EQ",3.9,IF(H4982="ILF",7.5,IF(H4982="EIF",5.4)))))))</f>
        <v/>
      </c>
      <c r="M4982" s="112" t="str">
        <f t="shared" si="80"/>
        <v/>
      </c>
      <c r="N4982" s="113"/>
    </row>
    <row r="4983" spans="2:14">
      <c r="B4983" s="105"/>
      <c r="C4983" s="106"/>
      <c r="D4983" s="107"/>
      <c r="E4983" s="65"/>
      <c r="F4983" s="64"/>
      <c r="G4983" s="64"/>
      <c r="H4983" s="64"/>
      <c r="I4983" s="70"/>
      <c r="J4983" s="70"/>
      <c r="K4983" s="110" t="str">
        <f>IF(H4983="","",IF($C$29="간이법","",FPR(H4983,I4983,J4983)))</f>
        <v/>
      </c>
      <c r="L4983" s="111" t="str">
        <f>IF(H4983="","",IF($C$29="상세법",FPV(H4983,K4983),IF(H4983="EI",4,IF(H4983="EO",5.2,IF(H4983="EQ",3.9,IF(H4983="ILF",7.5,IF(H4983="EIF",5.4)))))))</f>
        <v/>
      </c>
      <c r="M4983" s="112" t="str">
        <f t="shared" si="80"/>
        <v/>
      </c>
      <c r="N4983" s="113"/>
    </row>
    <row r="4984" spans="2:14">
      <c r="B4984" s="105"/>
      <c r="C4984" s="106"/>
      <c r="D4984" s="107"/>
      <c r="E4984" s="65"/>
      <c r="F4984" s="64"/>
      <c r="G4984" s="64"/>
      <c r="H4984" s="64"/>
      <c r="I4984" s="70"/>
      <c r="J4984" s="70"/>
      <c r="K4984" s="110" t="str">
        <f>IF(H4984="","",IF($C$29="간이법","",FPR(H4984,I4984,J4984)))</f>
        <v/>
      </c>
      <c r="L4984" s="111" t="str">
        <f>IF(H4984="","",IF($C$29="상세법",FPV(H4984,K4984),IF(H4984="EI",4,IF(H4984="EO",5.2,IF(H4984="EQ",3.9,IF(H4984="ILF",7.5,IF(H4984="EIF",5.4)))))))</f>
        <v/>
      </c>
      <c r="M4984" s="112" t="str">
        <f t="shared" si="80"/>
        <v/>
      </c>
      <c r="N4984" s="113"/>
    </row>
    <row r="4985" spans="2:14">
      <c r="B4985" s="105"/>
      <c r="C4985" s="106"/>
      <c r="D4985" s="107"/>
      <c r="E4985" s="65"/>
      <c r="F4985" s="64"/>
      <c r="G4985" s="64"/>
      <c r="H4985" s="64"/>
      <c r="I4985" s="70"/>
      <c r="J4985" s="70"/>
      <c r="K4985" s="110" t="str">
        <f>IF(H4985="","",IF($C$29="간이법","",FPR(H4985,I4985,J4985)))</f>
        <v/>
      </c>
      <c r="L4985" s="111" t="str">
        <f>IF(H4985="","",IF($C$29="상세법",FPV(H4985,K4985),IF(H4985="EI",4,IF(H4985="EO",5.2,IF(H4985="EQ",3.9,IF(H4985="ILF",7.5,IF(H4985="EIF",5.4)))))))</f>
        <v/>
      </c>
      <c r="M4985" s="112" t="str">
        <f t="shared" ref="M4985:M5048" si="81">IF(L4985="","",L4985*IF(G4985="상",0.7,IF(G4985="중",0.5,IF(G4985="하",0.2,1))))</f>
        <v/>
      </c>
      <c r="N4985" s="113"/>
    </row>
    <row r="4986" spans="2:14">
      <c r="B4986" s="105"/>
      <c r="C4986" s="106"/>
      <c r="D4986" s="107"/>
      <c r="E4986" s="65"/>
      <c r="F4986" s="64"/>
      <c r="G4986" s="64"/>
      <c r="H4986" s="64"/>
      <c r="I4986" s="70"/>
      <c r="J4986" s="70"/>
      <c r="K4986" s="110" t="str">
        <f>IF(H4986="","",IF($C$29="간이법","",FPR(H4986,I4986,J4986)))</f>
        <v/>
      </c>
      <c r="L4986" s="111" t="str">
        <f>IF(H4986="","",IF($C$29="상세법",FPV(H4986,K4986),IF(H4986="EI",4,IF(H4986="EO",5.2,IF(H4986="EQ",3.9,IF(H4986="ILF",7.5,IF(H4986="EIF",5.4)))))))</f>
        <v/>
      </c>
      <c r="M4986" s="112" t="str">
        <f t="shared" si="81"/>
        <v/>
      </c>
      <c r="N4986" s="113"/>
    </row>
    <row r="4987" spans="2:14">
      <c r="B4987" s="105"/>
      <c r="C4987" s="106"/>
      <c r="D4987" s="107"/>
      <c r="E4987" s="65"/>
      <c r="F4987" s="64"/>
      <c r="G4987" s="64"/>
      <c r="H4987" s="64"/>
      <c r="I4987" s="70"/>
      <c r="J4987" s="70"/>
      <c r="K4987" s="110" t="str">
        <f>IF(H4987="","",IF($C$29="간이법","",FPR(H4987,I4987,J4987)))</f>
        <v/>
      </c>
      <c r="L4987" s="111" t="str">
        <f>IF(H4987="","",IF($C$29="상세법",FPV(H4987,K4987),IF(H4987="EI",4,IF(H4987="EO",5.2,IF(H4987="EQ",3.9,IF(H4987="ILF",7.5,IF(H4987="EIF",5.4)))))))</f>
        <v/>
      </c>
      <c r="M4987" s="112" t="str">
        <f t="shared" si="81"/>
        <v/>
      </c>
      <c r="N4987" s="113"/>
    </row>
    <row r="4988" spans="2:14">
      <c r="B4988" s="105"/>
      <c r="C4988" s="106"/>
      <c r="D4988" s="107"/>
      <c r="E4988" s="65"/>
      <c r="F4988" s="64"/>
      <c r="G4988" s="64"/>
      <c r="H4988" s="64"/>
      <c r="I4988" s="70"/>
      <c r="J4988" s="70"/>
      <c r="K4988" s="110" t="str">
        <f>IF(H4988="","",IF($C$29="간이법","",FPR(H4988,I4988,J4988)))</f>
        <v/>
      </c>
      <c r="L4988" s="111" t="str">
        <f>IF(H4988="","",IF($C$29="상세법",FPV(H4988,K4988),IF(H4988="EI",4,IF(H4988="EO",5.2,IF(H4988="EQ",3.9,IF(H4988="ILF",7.5,IF(H4988="EIF",5.4)))))))</f>
        <v/>
      </c>
      <c r="M4988" s="112" t="str">
        <f t="shared" si="81"/>
        <v/>
      </c>
      <c r="N4988" s="113"/>
    </row>
    <row r="4989" spans="2:14">
      <c r="B4989" s="105"/>
      <c r="C4989" s="106"/>
      <c r="D4989" s="107"/>
      <c r="E4989" s="65"/>
      <c r="F4989" s="64"/>
      <c r="G4989" s="64"/>
      <c r="H4989" s="64"/>
      <c r="I4989" s="70"/>
      <c r="J4989" s="70"/>
      <c r="K4989" s="110" t="str">
        <f>IF(H4989="","",IF($C$29="간이법","",FPR(H4989,I4989,J4989)))</f>
        <v/>
      </c>
      <c r="L4989" s="111" t="str">
        <f>IF(H4989="","",IF($C$29="상세법",FPV(H4989,K4989),IF(H4989="EI",4,IF(H4989="EO",5.2,IF(H4989="EQ",3.9,IF(H4989="ILF",7.5,IF(H4989="EIF",5.4)))))))</f>
        <v/>
      </c>
      <c r="M4989" s="112" t="str">
        <f t="shared" si="81"/>
        <v/>
      </c>
      <c r="N4989" s="113"/>
    </row>
    <row r="4990" spans="2:14">
      <c r="B4990" s="105"/>
      <c r="C4990" s="106"/>
      <c r="D4990" s="107"/>
      <c r="E4990" s="65"/>
      <c r="F4990" s="64"/>
      <c r="G4990" s="64"/>
      <c r="H4990" s="64"/>
      <c r="I4990" s="70"/>
      <c r="J4990" s="70"/>
      <c r="K4990" s="110" t="str">
        <f>IF(H4990="","",IF($C$29="간이법","",FPR(H4990,I4990,J4990)))</f>
        <v/>
      </c>
      <c r="L4990" s="111" t="str">
        <f>IF(H4990="","",IF($C$29="상세법",FPV(H4990,K4990),IF(H4990="EI",4,IF(H4990="EO",5.2,IF(H4990="EQ",3.9,IF(H4990="ILF",7.5,IF(H4990="EIF",5.4)))))))</f>
        <v/>
      </c>
      <c r="M4990" s="112" t="str">
        <f t="shared" si="81"/>
        <v/>
      </c>
      <c r="N4990" s="113"/>
    </row>
    <row r="4991" spans="2:14">
      <c r="B4991" s="105"/>
      <c r="C4991" s="106"/>
      <c r="D4991" s="107"/>
      <c r="E4991" s="65"/>
      <c r="F4991" s="64"/>
      <c r="G4991" s="64"/>
      <c r="H4991" s="64"/>
      <c r="I4991" s="70"/>
      <c r="J4991" s="70"/>
      <c r="K4991" s="110" t="str">
        <f>IF(H4991="","",IF($C$29="간이법","",FPR(H4991,I4991,J4991)))</f>
        <v/>
      </c>
      <c r="L4991" s="111" t="str">
        <f>IF(H4991="","",IF($C$29="상세법",FPV(H4991,K4991),IF(H4991="EI",4,IF(H4991="EO",5.2,IF(H4991="EQ",3.9,IF(H4991="ILF",7.5,IF(H4991="EIF",5.4)))))))</f>
        <v/>
      </c>
      <c r="M4991" s="112" t="str">
        <f t="shared" si="81"/>
        <v/>
      </c>
      <c r="N4991" s="113"/>
    </row>
    <row r="4992" spans="2:14">
      <c r="B4992" s="105"/>
      <c r="C4992" s="106"/>
      <c r="D4992" s="107"/>
      <c r="E4992" s="65"/>
      <c r="F4992" s="64"/>
      <c r="G4992" s="64"/>
      <c r="H4992" s="64"/>
      <c r="I4992" s="70"/>
      <c r="J4992" s="70"/>
      <c r="K4992" s="110" t="str">
        <f>IF(H4992="","",IF($C$29="간이법","",FPR(H4992,I4992,J4992)))</f>
        <v/>
      </c>
      <c r="L4992" s="111" t="str">
        <f>IF(H4992="","",IF($C$29="상세법",FPV(H4992,K4992),IF(H4992="EI",4,IF(H4992="EO",5.2,IF(H4992="EQ",3.9,IF(H4992="ILF",7.5,IF(H4992="EIF",5.4)))))))</f>
        <v/>
      </c>
      <c r="M4992" s="112" t="str">
        <f t="shared" si="81"/>
        <v/>
      </c>
      <c r="N4992" s="113"/>
    </row>
    <row r="4993" spans="2:14">
      <c r="B4993" s="105"/>
      <c r="C4993" s="106"/>
      <c r="D4993" s="107"/>
      <c r="E4993" s="65"/>
      <c r="F4993" s="64"/>
      <c r="G4993" s="64"/>
      <c r="H4993" s="64"/>
      <c r="I4993" s="70"/>
      <c r="J4993" s="70"/>
      <c r="K4993" s="110" t="str">
        <f>IF(H4993="","",IF($C$29="간이법","",FPR(H4993,I4993,J4993)))</f>
        <v/>
      </c>
      <c r="L4993" s="111" t="str">
        <f>IF(H4993="","",IF($C$29="상세법",FPV(H4993,K4993),IF(H4993="EI",4,IF(H4993="EO",5.2,IF(H4993="EQ",3.9,IF(H4993="ILF",7.5,IF(H4993="EIF",5.4)))))))</f>
        <v/>
      </c>
      <c r="M4993" s="112" t="str">
        <f t="shared" si="81"/>
        <v/>
      </c>
      <c r="N4993" s="113"/>
    </row>
    <row r="4994" spans="2:14">
      <c r="B4994" s="105"/>
      <c r="C4994" s="106"/>
      <c r="D4994" s="107"/>
      <c r="E4994" s="65"/>
      <c r="F4994" s="64"/>
      <c r="G4994" s="64"/>
      <c r="H4994" s="64"/>
      <c r="I4994" s="70"/>
      <c r="J4994" s="70"/>
      <c r="K4994" s="110" t="str">
        <f>IF(H4994="","",IF($C$29="간이법","",FPR(H4994,I4994,J4994)))</f>
        <v/>
      </c>
      <c r="L4994" s="111" t="str">
        <f>IF(H4994="","",IF($C$29="상세법",FPV(H4994,K4994),IF(H4994="EI",4,IF(H4994="EO",5.2,IF(H4994="EQ",3.9,IF(H4994="ILF",7.5,IF(H4994="EIF",5.4)))))))</f>
        <v/>
      </c>
      <c r="M4994" s="112" t="str">
        <f t="shared" si="81"/>
        <v/>
      </c>
      <c r="N4994" s="113"/>
    </row>
    <row r="4995" spans="2:14">
      <c r="B4995" s="105"/>
      <c r="C4995" s="106"/>
      <c r="D4995" s="107"/>
      <c r="E4995" s="65"/>
      <c r="F4995" s="64"/>
      <c r="G4995" s="64"/>
      <c r="H4995" s="64"/>
      <c r="I4995" s="70"/>
      <c r="J4995" s="70"/>
      <c r="K4995" s="110" t="str">
        <f>IF(H4995="","",IF($C$29="간이법","",FPR(H4995,I4995,J4995)))</f>
        <v/>
      </c>
      <c r="L4995" s="111" t="str">
        <f>IF(H4995="","",IF($C$29="상세법",FPV(H4995,K4995),IF(H4995="EI",4,IF(H4995="EO",5.2,IF(H4995="EQ",3.9,IF(H4995="ILF",7.5,IF(H4995="EIF",5.4)))))))</f>
        <v/>
      </c>
      <c r="M4995" s="112" t="str">
        <f t="shared" si="81"/>
        <v/>
      </c>
      <c r="N4995" s="113"/>
    </row>
    <row r="4996" spans="2:14">
      <c r="B4996" s="105"/>
      <c r="C4996" s="106"/>
      <c r="D4996" s="107"/>
      <c r="E4996" s="65"/>
      <c r="F4996" s="64"/>
      <c r="G4996" s="64"/>
      <c r="H4996" s="64"/>
      <c r="I4996" s="70"/>
      <c r="J4996" s="70"/>
      <c r="K4996" s="110" t="str">
        <f>IF(H4996="","",IF($C$29="간이법","",FPR(H4996,I4996,J4996)))</f>
        <v/>
      </c>
      <c r="L4996" s="111" t="str">
        <f>IF(H4996="","",IF($C$29="상세법",FPV(H4996,K4996),IF(H4996="EI",4,IF(H4996="EO",5.2,IF(H4996="EQ",3.9,IF(H4996="ILF",7.5,IF(H4996="EIF",5.4)))))))</f>
        <v/>
      </c>
      <c r="M4996" s="112" t="str">
        <f t="shared" si="81"/>
        <v/>
      </c>
      <c r="N4996" s="113"/>
    </row>
    <row r="4997" spans="2:14">
      <c r="B4997" s="105"/>
      <c r="C4997" s="106"/>
      <c r="D4997" s="107"/>
      <c r="E4997" s="65"/>
      <c r="F4997" s="64"/>
      <c r="G4997" s="64"/>
      <c r="H4997" s="64"/>
      <c r="I4997" s="70"/>
      <c r="J4997" s="70"/>
      <c r="K4997" s="110" t="str">
        <f>IF(H4997="","",IF($C$29="간이법","",FPR(H4997,I4997,J4997)))</f>
        <v/>
      </c>
      <c r="L4997" s="111" t="str">
        <f>IF(H4997="","",IF($C$29="상세법",FPV(H4997,K4997),IF(H4997="EI",4,IF(H4997="EO",5.2,IF(H4997="EQ",3.9,IF(H4997="ILF",7.5,IF(H4997="EIF",5.4)))))))</f>
        <v/>
      </c>
      <c r="M4997" s="112" t="str">
        <f t="shared" si="81"/>
        <v/>
      </c>
      <c r="N4997" s="113"/>
    </row>
    <row r="4998" spans="2:14">
      <c r="B4998" s="105"/>
      <c r="C4998" s="106"/>
      <c r="D4998" s="107"/>
      <c r="E4998" s="65"/>
      <c r="F4998" s="64"/>
      <c r="G4998" s="64"/>
      <c r="H4998" s="64"/>
      <c r="I4998" s="70"/>
      <c r="J4998" s="70"/>
      <c r="K4998" s="110" t="str">
        <f>IF(H4998="","",IF($C$29="간이법","",FPR(H4998,I4998,J4998)))</f>
        <v/>
      </c>
      <c r="L4998" s="111" t="str">
        <f>IF(H4998="","",IF($C$29="상세법",FPV(H4998,K4998),IF(H4998="EI",4,IF(H4998="EO",5.2,IF(H4998="EQ",3.9,IF(H4998="ILF",7.5,IF(H4998="EIF",5.4)))))))</f>
        <v/>
      </c>
      <c r="M4998" s="112" t="str">
        <f t="shared" si="81"/>
        <v/>
      </c>
      <c r="N4998" s="113"/>
    </row>
    <row r="4999" spans="2:14">
      <c r="B4999" s="105"/>
      <c r="C4999" s="106"/>
      <c r="D4999" s="107"/>
      <c r="E4999" s="65"/>
      <c r="F4999" s="64"/>
      <c r="G4999" s="64"/>
      <c r="H4999" s="64"/>
      <c r="I4999" s="70"/>
      <c r="J4999" s="70"/>
      <c r="K4999" s="110" t="str">
        <f>IF(H4999="","",IF($C$29="간이법","",FPR(H4999,I4999,J4999)))</f>
        <v/>
      </c>
      <c r="L4999" s="111" t="str">
        <f>IF(H4999="","",IF($C$29="상세법",FPV(H4999,K4999),IF(H4999="EI",4,IF(H4999="EO",5.2,IF(H4999="EQ",3.9,IF(H4999="ILF",7.5,IF(H4999="EIF",5.4)))))))</f>
        <v/>
      </c>
      <c r="M4999" s="112" t="str">
        <f t="shared" si="81"/>
        <v/>
      </c>
      <c r="N4999" s="113"/>
    </row>
    <row r="5000" spans="2:14">
      <c r="B5000" s="105"/>
      <c r="C5000" s="106"/>
      <c r="D5000" s="107"/>
      <c r="E5000" s="65"/>
      <c r="F5000" s="64"/>
      <c r="G5000" s="64"/>
      <c r="H5000" s="64"/>
      <c r="I5000" s="70"/>
      <c r="J5000" s="70"/>
      <c r="K5000" s="110" t="str">
        <f>IF(H5000="","",IF($C$29="간이법","",FPR(H5000,I5000,J5000)))</f>
        <v/>
      </c>
      <c r="L5000" s="111" t="str">
        <f>IF(H5000="","",IF($C$29="상세법",FPV(H5000,K5000),IF(H5000="EI",4,IF(H5000="EO",5.2,IF(H5000="EQ",3.9,IF(H5000="ILF",7.5,IF(H5000="EIF",5.4)))))))</f>
        <v/>
      </c>
      <c r="M5000" s="112" t="str">
        <f t="shared" si="81"/>
        <v/>
      </c>
      <c r="N5000" s="113"/>
    </row>
    <row r="5001" spans="2:14">
      <c r="B5001" s="105"/>
      <c r="C5001" s="106"/>
      <c r="D5001" s="107"/>
      <c r="E5001" s="65"/>
      <c r="F5001" s="64"/>
      <c r="G5001" s="64"/>
      <c r="H5001" s="64"/>
      <c r="I5001" s="70"/>
      <c r="J5001" s="70"/>
      <c r="K5001" s="110" t="str">
        <f>IF(H5001="","",IF($C$29="간이법","",FPR(H5001,I5001,J5001)))</f>
        <v/>
      </c>
      <c r="L5001" s="111" t="str">
        <f>IF(H5001="","",IF($C$29="상세법",FPV(H5001,K5001),IF(H5001="EI",4,IF(H5001="EO",5.2,IF(H5001="EQ",3.9,IF(H5001="ILF",7.5,IF(H5001="EIF",5.4)))))))</f>
        <v/>
      </c>
      <c r="M5001" s="112" t="str">
        <f t="shared" si="81"/>
        <v/>
      </c>
      <c r="N5001" s="113"/>
    </row>
    <row r="5002" spans="2:14">
      <c r="B5002" s="105"/>
      <c r="C5002" s="106"/>
      <c r="D5002" s="107"/>
      <c r="E5002" s="65"/>
      <c r="F5002" s="64"/>
      <c r="G5002" s="64"/>
      <c r="H5002" s="64"/>
      <c r="I5002" s="70"/>
      <c r="J5002" s="70"/>
      <c r="K5002" s="110" t="str">
        <f>IF(H5002="","",IF($C$29="간이법","",FPR(H5002,I5002,J5002)))</f>
        <v/>
      </c>
      <c r="L5002" s="111" t="str">
        <f>IF(H5002="","",IF($C$29="상세법",FPV(H5002,K5002),IF(H5002="EI",4,IF(H5002="EO",5.2,IF(H5002="EQ",3.9,IF(H5002="ILF",7.5,IF(H5002="EIF",5.4)))))))</f>
        <v/>
      </c>
      <c r="M5002" s="112" t="str">
        <f t="shared" si="81"/>
        <v/>
      </c>
      <c r="N5002" s="113"/>
    </row>
    <row r="5003" spans="2:14">
      <c r="B5003" s="105"/>
      <c r="C5003" s="106"/>
      <c r="D5003" s="107"/>
      <c r="E5003" s="65"/>
      <c r="F5003" s="64"/>
      <c r="G5003" s="64"/>
      <c r="H5003" s="64"/>
      <c r="I5003" s="70"/>
      <c r="J5003" s="70"/>
      <c r="K5003" s="110" t="str">
        <f>IF(H5003="","",IF($C$29="간이법","",FPR(H5003,I5003,J5003)))</f>
        <v/>
      </c>
      <c r="L5003" s="111" t="str">
        <f>IF(H5003="","",IF($C$29="상세법",FPV(H5003,K5003),IF(H5003="EI",4,IF(H5003="EO",5.2,IF(H5003="EQ",3.9,IF(H5003="ILF",7.5,IF(H5003="EIF",5.4)))))))</f>
        <v/>
      </c>
      <c r="M5003" s="112" t="str">
        <f t="shared" si="81"/>
        <v/>
      </c>
      <c r="N5003" s="113"/>
    </row>
    <row r="5004" spans="2:14">
      <c r="B5004" s="105"/>
      <c r="C5004" s="106"/>
      <c r="D5004" s="107"/>
      <c r="E5004" s="65"/>
      <c r="F5004" s="64"/>
      <c r="G5004" s="64"/>
      <c r="H5004" s="64"/>
      <c r="I5004" s="70"/>
      <c r="J5004" s="70"/>
      <c r="K5004" s="110" t="str">
        <f>IF(H5004="","",IF($C$29="간이법","",FPR(H5004,I5004,J5004)))</f>
        <v/>
      </c>
      <c r="L5004" s="111" t="str">
        <f>IF(H5004="","",IF($C$29="상세법",FPV(H5004,K5004),IF(H5004="EI",4,IF(H5004="EO",5.2,IF(H5004="EQ",3.9,IF(H5004="ILF",7.5,IF(H5004="EIF",5.4)))))))</f>
        <v/>
      </c>
      <c r="M5004" s="112" t="str">
        <f t="shared" si="81"/>
        <v/>
      </c>
      <c r="N5004" s="113"/>
    </row>
    <row r="5005" spans="2:14">
      <c r="B5005" s="105"/>
      <c r="C5005" s="106"/>
      <c r="D5005" s="107"/>
      <c r="E5005" s="65"/>
      <c r="F5005" s="64"/>
      <c r="G5005" s="64"/>
      <c r="H5005" s="64"/>
      <c r="I5005" s="70"/>
      <c r="J5005" s="70"/>
      <c r="K5005" s="110" t="str">
        <f>IF(H5005="","",IF($C$29="간이법","",FPR(H5005,I5005,J5005)))</f>
        <v/>
      </c>
      <c r="L5005" s="111" t="str">
        <f>IF(H5005="","",IF($C$29="상세법",FPV(H5005,K5005),IF(H5005="EI",4,IF(H5005="EO",5.2,IF(H5005="EQ",3.9,IF(H5005="ILF",7.5,IF(H5005="EIF",5.4)))))))</f>
        <v/>
      </c>
      <c r="M5005" s="112" t="str">
        <f t="shared" si="81"/>
        <v/>
      </c>
      <c r="N5005" s="113"/>
    </row>
    <row r="5006" spans="2:14">
      <c r="B5006" s="105"/>
      <c r="C5006" s="106"/>
      <c r="D5006" s="107"/>
      <c r="E5006" s="65"/>
      <c r="F5006" s="64"/>
      <c r="G5006" s="64"/>
      <c r="H5006" s="64"/>
      <c r="I5006" s="70"/>
      <c r="J5006" s="70"/>
      <c r="K5006" s="110" t="str">
        <f>IF(H5006="","",IF($C$29="간이법","",FPR(H5006,I5006,J5006)))</f>
        <v/>
      </c>
      <c r="L5006" s="111" t="str">
        <f>IF(H5006="","",IF($C$29="상세법",FPV(H5006,K5006),IF(H5006="EI",4,IF(H5006="EO",5.2,IF(H5006="EQ",3.9,IF(H5006="ILF",7.5,IF(H5006="EIF",5.4)))))))</f>
        <v/>
      </c>
      <c r="M5006" s="112" t="str">
        <f t="shared" si="81"/>
        <v/>
      </c>
      <c r="N5006" s="113"/>
    </row>
    <row r="5007" spans="2:14">
      <c r="B5007" s="105"/>
      <c r="C5007" s="106"/>
      <c r="D5007" s="107"/>
      <c r="E5007" s="65"/>
      <c r="F5007" s="64"/>
      <c r="G5007" s="64"/>
      <c r="H5007" s="64"/>
      <c r="I5007" s="70"/>
      <c r="J5007" s="70"/>
      <c r="K5007" s="110" t="str">
        <f>IF(H5007="","",IF($C$29="간이법","",FPR(H5007,I5007,J5007)))</f>
        <v/>
      </c>
      <c r="L5007" s="111" t="str">
        <f>IF(H5007="","",IF($C$29="상세법",FPV(H5007,K5007),IF(H5007="EI",4,IF(H5007="EO",5.2,IF(H5007="EQ",3.9,IF(H5007="ILF",7.5,IF(H5007="EIF",5.4)))))))</f>
        <v/>
      </c>
      <c r="M5007" s="112" t="str">
        <f t="shared" si="81"/>
        <v/>
      </c>
      <c r="N5007" s="113"/>
    </row>
    <row r="5008" spans="2:14">
      <c r="B5008" s="105"/>
      <c r="C5008" s="106"/>
      <c r="D5008" s="107"/>
      <c r="E5008" s="65"/>
      <c r="F5008" s="64"/>
      <c r="G5008" s="64"/>
      <c r="H5008" s="64"/>
      <c r="I5008" s="70"/>
      <c r="J5008" s="70"/>
      <c r="K5008" s="110" t="str">
        <f>IF(H5008="","",IF($C$29="간이법","",FPR(H5008,I5008,J5008)))</f>
        <v/>
      </c>
      <c r="L5008" s="111" t="str">
        <f>IF(H5008="","",IF($C$29="상세법",FPV(H5008,K5008),IF(H5008="EI",4,IF(H5008="EO",5.2,IF(H5008="EQ",3.9,IF(H5008="ILF",7.5,IF(H5008="EIF",5.4)))))))</f>
        <v/>
      </c>
      <c r="M5008" s="112" t="str">
        <f t="shared" si="81"/>
        <v/>
      </c>
      <c r="N5008" s="113"/>
    </row>
    <row r="5009" spans="2:14">
      <c r="B5009" s="105"/>
      <c r="C5009" s="106"/>
      <c r="D5009" s="107"/>
      <c r="E5009" s="65"/>
      <c r="F5009" s="64"/>
      <c r="G5009" s="64"/>
      <c r="H5009" s="64"/>
      <c r="I5009" s="70"/>
      <c r="J5009" s="70"/>
      <c r="K5009" s="110" t="str">
        <f>IF(H5009="","",IF($C$29="간이법","",FPR(H5009,I5009,J5009)))</f>
        <v/>
      </c>
      <c r="L5009" s="111" t="str">
        <f>IF(H5009="","",IF($C$29="상세법",FPV(H5009,K5009),IF(H5009="EI",4,IF(H5009="EO",5.2,IF(H5009="EQ",3.9,IF(H5009="ILF",7.5,IF(H5009="EIF",5.4)))))))</f>
        <v/>
      </c>
      <c r="M5009" s="112" t="str">
        <f t="shared" si="81"/>
        <v/>
      </c>
      <c r="N5009" s="113"/>
    </row>
    <row r="5010" spans="2:14">
      <c r="B5010" s="105"/>
      <c r="C5010" s="106"/>
      <c r="D5010" s="107"/>
      <c r="E5010" s="65"/>
      <c r="F5010" s="64"/>
      <c r="G5010" s="64"/>
      <c r="H5010" s="64"/>
      <c r="I5010" s="70"/>
      <c r="J5010" s="70"/>
      <c r="K5010" s="110" t="str">
        <f>IF(H5010="","",IF($C$29="간이법","",FPR(H5010,I5010,J5010)))</f>
        <v/>
      </c>
      <c r="L5010" s="111" t="str">
        <f>IF(H5010="","",IF($C$29="상세법",FPV(H5010,K5010),IF(H5010="EI",4,IF(H5010="EO",5.2,IF(H5010="EQ",3.9,IF(H5010="ILF",7.5,IF(H5010="EIF",5.4)))))))</f>
        <v/>
      </c>
      <c r="M5010" s="112" t="str">
        <f t="shared" si="81"/>
        <v/>
      </c>
      <c r="N5010" s="113"/>
    </row>
    <row r="5011" spans="2:14">
      <c r="B5011" s="105"/>
      <c r="C5011" s="106"/>
      <c r="D5011" s="107"/>
      <c r="E5011" s="65"/>
      <c r="F5011" s="64"/>
      <c r="G5011" s="64"/>
      <c r="H5011" s="64"/>
      <c r="I5011" s="70"/>
      <c r="J5011" s="70"/>
      <c r="K5011" s="110" t="str">
        <f>IF(H5011="","",IF($C$29="간이법","",FPR(H5011,I5011,J5011)))</f>
        <v/>
      </c>
      <c r="L5011" s="111" t="str">
        <f>IF(H5011="","",IF($C$29="상세법",FPV(H5011,K5011),IF(H5011="EI",4,IF(H5011="EO",5.2,IF(H5011="EQ",3.9,IF(H5011="ILF",7.5,IF(H5011="EIF",5.4)))))))</f>
        <v/>
      </c>
      <c r="M5011" s="112" t="str">
        <f t="shared" si="81"/>
        <v/>
      </c>
      <c r="N5011" s="113"/>
    </row>
    <row r="5012" spans="2:14">
      <c r="B5012" s="105"/>
      <c r="C5012" s="106"/>
      <c r="D5012" s="107"/>
      <c r="E5012" s="65"/>
      <c r="F5012" s="64"/>
      <c r="G5012" s="64"/>
      <c r="H5012" s="64"/>
      <c r="I5012" s="70"/>
      <c r="J5012" s="70"/>
      <c r="K5012" s="110" t="str">
        <f>IF(H5012="","",IF($C$29="간이법","",FPR(H5012,I5012,J5012)))</f>
        <v/>
      </c>
      <c r="L5012" s="111" t="str">
        <f>IF(H5012="","",IF($C$29="상세법",FPV(H5012,K5012),IF(H5012="EI",4,IF(H5012="EO",5.2,IF(H5012="EQ",3.9,IF(H5012="ILF",7.5,IF(H5012="EIF",5.4)))))))</f>
        <v/>
      </c>
      <c r="M5012" s="112" t="str">
        <f t="shared" si="81"/>
        <v/>
      </c>
      <c r="N5012" s="113"/>
    </row>
    <row r="5013" spans="2:14">
      <c r="B5013" s="105"/>
      <c r="C5013" s="106"/>
      <c r="D5013" s="107"/>
      <c r="E5013" s="65"/>
      <c r="F5013" s="64"/>
      <c r="G5013" s="64"/>
      <c r="H5013" s="64"/>
      <c r="I5013" s="70"/>
      <c r="J5013" s="70"/>
      <c r="K5013" s="110" t="str">
        <f>IF(H5013="","",IF($C$29="간이법","",FPR(H5013,I5013,J5013)))</f>
        <v/>
      </c>
      <c r="L5013" s="111" t="str">
        <f>IF(H5013="","",IF($C$29="상세법",FPV(H5013,K5013),IF(H5013="EI",4,IF(H5013="EO",5.2,IF(H5013="EQ",3.9,IF(H5013="ILF",7.5,IF(H5013="EIF",5.4)))))))</f>
        <v/>
      </c>
      <c r="M5013" s="112" t="str">
        <f t="shared" si="81"/>
        <v/>
      </c>
      <c r="N5013" s="113"/>
    </row>
    <row r="5014" spans="2:14">
      <c r="B5014" s="105"/>
      <c r="C5014" s="106"/>
      <c r="D5014" s="107"/>
      <c r="E5014" s="65"/>
      <c r="F5014" s="64"/>
      <c r="G5014" s="64"/>
      <c r="H5014" s="64"/>
      <c r="I5014" s="70"/>
      <c r="J5014" s="70"/>
      <c r="K5014" s="110" t="str">
        <f>IF(H5014="","",IF($C$29="간이법","",FPR(H5014,I5014,J5014)))</f>
        <v/>
      </c>
      <c r="L5014" s="111" t="str">
        <f>IF(H5014="","",IF($C$29="상세법",FPV(H5014,K5014),IF(H5014="EI",4,IF(H5014="EO",5.2,IF(H5014="EQ",3.9,IF(H5014="ILF",7.5,IF(H5014="EIF",5.4)))))))</f>
        <v/>
      </c>
      <c r="M5014" s="112" t="str">
        <f t="shared" si="81"/>
        <v/>
      </c>
      <c r="N5014" s="113"/>
    </row>
    <row r="5015" spans="2:14">
      <c r="B5015" s="105"/>
      <c r="C5015" s="106"/>
      <c r="D5015" s="107"/>
      <c r="E5015" s="65"/>
      <c r="F5015" s="64"/>
      <c r="G5015" s="64"/>
      <c r="H5015" s="64"/>
      <c r="I5015" s="70"/>
      <c r="J5015" s="70"/>
      <c r="K5015" s="110" t="str">
        <f>IF(H5015="","",IF($C$29="간이법","",FPR(H5015,I5015,J5015)))</f>
        <v/>
      </c>
      <c r="L5015" s="111" t="str">
        <f>IF(H5015="","",IF($C$29="상세법",FPV(H5015,K5015),IF(H5015="EI",4,IF(H5015="EO",5.2,IF(H5015="EQ",3.9,IF(H5015="ILF",7.5,IF(H5015="EIF",5.4)))))))</f>
        <v/>
      </c>
      <c r="M5015" s="112" t="str">
        <f t="shared" si="81"/>
        <v/>
      </c>
      <c r="N5015" s="113"/>
    </row>
    <row r="5016" spans="2:14">
      <c r="B5016" s="105"/>
      <c r="C5016" s="106"/>
      <c r="D5016" s="107"/>
      <c r="E5016" s="65"/>
      <c r="F5016" s="64"/>
      <c r="G5016" s="64"/>
      <c r="H5016" s="64"/>
      <c r="I5016" s="70"/>
      <c r="J5016" s="70"/>
      <c r="K5016" s="110" t="str">
        <f>IF(H5016="","",IF($C$29="간이법","",FPR(H5016,I5016,J5016)))</f>
        <v/>
      </c>
      <c r="L5016" s="111" t="str">
        <f>IF(H5016="","",IF($C$29="상세법",FPV(H5016,K5016),IF(H5016="EI",4,IF(H5016="EO",5.2,IF(H5016="EQ",3.9,IF(H5016="ILF",7.5,IF(H5016="EIF",5.4)))))))</f>
        <v/>
      </c>
      <c r="M5016" s="112" t="str">
        <f t="shared" si="81"/>
        <v/>
      </c>
      <c r="N5016" s="113"/>
    </row>
    <row r="5017" spans="2:14">
      <c r="B5017" s="105"/>
      <c r="C5017" s="106"/>
      <c r="D5017" s="107"/>
      <c r="E5017" s="65"/>
      <c r="F5017" s="64"/>
      <c r="G5017" s="64"/>
      <c r="H5017" s="64"/>
      <c r="I5017" s="70"/>
      <c r="J5017" s="70"/>
      <c r="K5017" s="110" t="str">
        <f>IF(H5017="","",IF($C$29="간이법","",FPR(H5017,I5017,J5017)))</f>
        <v/>
      </c>
      <c r="L5017" s="111" t="str">
        <f>IF(H5017="","",IF($C$29="상세법",FPV(H5017,K5017),IF(H5017="EI",4,IF(H5017="EO",5.2,IF(H5017="EQ",3.9,IF(H5017="ILF",7.5,IF(H5017="EIF",5.4)))))))</f>
        <v/>
      </c>
      <c r="M5017" s="112" t="str">
        <f t="shared" si="81"/>
        <v/>
      </c>
      <c r="N5017" s="113"/>
    </row>
    <row r="5018" spans="2:14">
      <c r="B5018" s="105"/>
      <c r="C5018" s="106"/>
      <c r="D5018" s="107"/>
      <c r="E5018" s="65"/>
      <c r="F5018" s="64"/>
      <c r="G5018" s="64"/>
      <c r="H5018" s="64"/>
      <c r="I5018" s="70"/>
      <c r="J5018" s="70"/>
      <c r="K5018" s="110" t="str">
        <f>IF(H5018="","",IF($C$29="간이법","",FPR(H5018,I5018,J5018)))</f>
        <v/>
      </c>
      <c r="L5018" s="111" t="str">
        <f>IF(H5018="","",IF($C$29="상세법",FPV(H5018,K5018),IF(H5018="EI",4,IF(H5018="EO",5.2,IF(H5018="EQ",3.9,IF(H5018="ILF",7.5,IF(H5018="EIF",5.4)))))))</f>
        <v/>
      </c>
      <c r="M5018" s="112" t="str">
        <f t="shared" si="81"/>
        <v/>
      </c>
      <c r="N5018" s="113"/>
    </row>
    <row r="5019" spans="2:14">
      <c r="B5019" s="105"/>
      <c r="C5019" s="106"/>
      <c r="D5019" s="107"/>
      <c r="E5019" s="65"/>
      <c r="F5019" s="64"/>
      <c r="G5019" s="64"/>
      <c r="H5019" s="64"/>
      <c r="I5019" s="70"/>
      <c r="J5019" s="70"/>
      <c r="K5019" s="110" t="str">
        <f>IF(H5019="","",IF($C$29="간이법","",FPR(H5019,I5019,J5019)))</f>
        <v/>
      </c>
      <c r="L5019" s="111" t="str">
        <f>IF(H5019="","",IF($C$29="상세법",FPV(H5019,K5019),IF(H5019="EI",4,IF(H5019="EO",5.2,IF(H5019="EQ",3.9,IF(H5019="ILF",7.5,IF(H5019="EIF",5.4)))))))</f>
        <v/>
      </c>
      <c r="M5019" s="112" t="str">
        <f t="shared" si="81"/>
        <v/>
      </c>
      <c r="N5019" s="113"/>
    </row>
    <row r="5020" spans="2:14">
      <c r="B5020" s="105"/>
      <c r="C5020" s="106"/>
      <c r="D5020" s="107"/>
      <c r="E5020" s="65"/>
      <c r="F5020" s="64"/>
      <c r="G5020" s="64"/>
      <c r="H5020" s="64"/>
      <c r="I5020" s="70"/>
      <c r="J5020" s="70"/>
      <c r="K5020" s="110" t="str">
        <f>IF(H5020="","",IF($C$29="간이법","",FPR(H5020,I5020,J5020)))</f>
        <v/>
      </c>
      <c r="L5020" s="111" t="str">
        <f>IF(H5020="","",IF($C$29="상세법",FPV(H5020,K5020),IF(H5020="EI",4,IF(H5020="EO",5.2,IF(H5020="EQ",3.9,IF(H5020="ILF",7.5,IF(H5020="EIF",5.4)))))))</f>
        <v/>
      </c>
      <c r="M5020" s="112" t="str">
        <f t="shared" si="81"/>
        <v/>
      </c>
      <c r="N5020" s="113"/>
    </row>
    <row r="5021" spans="2:14">
      <c r="B5021" s="105"/>
      <c r="C5021" s="106"/>
      <c r="D5021" s="107"/>
      <c r="E5021" s="65"/>
      <c r="F5021" s="64"/>
      <c r="G5021" s="64"/>
      <c r="H5021" s="64"/>
      <c r="I5021" s="70"/>
      <c r="J5021" s="70"/>
      <c r="K5021" s="110" t="str">
        <f>IF(H5021="","",IF($C$29="간이법","",FPR(H5021,I5021,J5021)))</f>
        <v/>
      </c>
      <c r="L5021" s="111" t="str">
        <f>IF(H5021="","",IF($C$29="상세법",FPV(H5021,K5021),IF(H5021="EI",4,IF(H5021="EO",5.2,IF(H5021="EQ",3.9,IF(H5021="ILF",7.5,IF(H5021="EIF",5.4)))))))</f>
        <v/>
      </c>
      <c r="M5021" s="112" t="str">
        <f t="shared" si="81"/>
        <v/>
      </c>
      <c r="N5021" s="113"/>
    </row>
    <row r="5022" spans="2:14">
      <c r="B5022" s="105"/>
      <c r="C5022" s="106"/>
      <c r="D5022" s="107"/>
      <c r="E5022" s="65"/>
      <c r="F5022" s="64"/>
      <c r="G5022" s="64"/>
      <c r="H5022" s="64"/>
      <c r="I5022" s="70"/>
      <c r="J5022" s="70"/>
      <c r="K5022" s="110" t="str">
        <f>IF(H5022="","",IF($C$29="간이법","",FPR(H5022,I5022,J5022)))</f>
        <v/>
      </c>
      <c r="L5022" s="111" t="str">
        <f>IF(H5022="","",IF($C$29="상세법",FPV(H5022,K5022),IF(H5022="EI",4,IF(H5022="EO",5.2,IF(H5022="EQ",3.9,IF(H5022="ILF",7.5,IF(H5022="EIF",5.4)))))))</f>
        <v/>
      </c>
      <c r="M5022" s="112" t="str">
        <f t="shared" si="81"/>
        <v/>
      </c>
      <c r="N5022" s="113"/>
    </row>
    <row r="5023" spans="2:14">
      <c r="B5023" s="105"/>
      <c r="C5023" s="106"/>
      <c r="D5023" s="107"/>
      <c r="E5023" s="65"/>
      <c r="F5023" s="64"/>
      <c r="G5023" s="64"/>
      <c r="H5023" s="64"/>
      <c r="I5023" s="70"/>
      <c r="J5023" s="70"/>
      <c r="K5023" s="110" t="str">
        <f>IF(H5023="","",IF($C$29="간이법","",FPR(H5023,I5023,J5023)))</f>
        <v/>
      </c>
      <c r="L5023" s="111" t="str">
        <f>IF(H5023="","",IF($C$29="상세법",FPV(H5023,K5023),IF(H5023="EI",4,IF(H5023="EO",5.2,IF(H5023="EQ",3.9,IF(H5023="ILF",7.5,IF(H5023="EIF",5.4)))))))</f>
        <v/>
      </c>
      <c r="M5023" s="112" t="str">
        <f t="shared" si="81"/>
        <v/>
      </c>
      <c r="N5023" s="113"/>
    </row>
    <row r="5024" spans="2:14">
      <c r="B5024" s="105"/>
      <c r="C5024" s="106"/>
      <c r="D5024" s="107"/>
      <c r="E5024" s="65"/>
      <c r="F5024" s="64"/>
      <c r="G5024" s="64"/>
      <c r="H5024" s="64"/>
      <c r="I5024" s="70"/>
      <c r="J5024" s="70"/>
      <c r="K5024" s="110" t="str">
        <f>IF(H5024="","",IF($C$29="간이법","",FPR(H5024,I5024,J5024)))</f>
        <v/>
      </c>
      <c r="L5024" s="111" t="str">
        <f>IF(H5024="","",IF($C$29="상세법",FPV(H5024,K5024),IF(H5024="EI",4,IF(H5024="EO",5.2,IF(H5024="EQ",3.9,IF(H5024="ILF",7.5,IF(H5024="EIF",5.4)))))))</f>
        <v/>
      </c>
      <c r="M5024" s="112" t="str">
        <f t="shared" si="81"/>
        <v/>
      </c>
      <c r="N5024" s="113"/>
    </row>
    <row r="5025" spans="2:14">
      <c r="B5025" s="105"/>
      <c r="C5025" s="106"/>
      <c r="D5025" s="107"/>
      <c r="E5025" s="65"/>
      <c r="F5025" s="64"/>
      <c r="G5025" s="64"/>
      <c r="H5025" s="64"/>
      <c r="I5025" s="70"/>
      <c r="J5025" s="70"/>
      <c r="K5025" s="110" t="str">
        <f>IF(H5025="","",IF($C$29="간이법","",FPR(H5025,I5025,J5025)))</f>
        <v/>
      </c>
      <c r="L5025" s="111" t="str">
        <f>IF(H5025="","",IF($C$29="상세법",FPV(H5025,K5025),IF(H5025="EI",4,IF(H5025="EO",5.2,IF(H5025="EQ",3.9,IF(H5025="ILF",7.5,IF(H5025="EIF",5.4)))))))</f>
        <v/>
      </c>
      <c r="M5025" s="112" t="str">
        <f t="shared" si="81"/>
        <v/>
      </c>
      <c r="N5025" s="113"/>
    </row>
    <row r="5026" spans="2:14">
      <c r="B5026" s="105"/>
      <c r="C5026" s="106"/>
      <c r="D5026" s="107"/>
      <c r="E5026" s="65"/>
      <c r="F5026" s="64"/>
      <c r="G5026" s="64"/>
      <c r="H5026" s="64"/>
      <c r="I5026" s="70"/>
      <c r="J5026" s="70"/>
      <c r="K5026" s="110" t="str">
        <f>IF(H5026="","",IF($C$29="간이법","",FPR(H5026,I5026,J5026)))</f>
        <v/>
      </c>
      <c r="L5026" s="111" t="str">
        <f>IF(H5026="","",IF($C$29="상세법",FPV(H5026,K5026),IF(H5026="EI",4,IF(H5026="EO",5.2,IF(H5026="EQ",3.9,IF(H5026="ILF",7.5,IF(H5026="EIF",5.4)))))))</f>
        <v/>
      </c>
      <c r="M5026" s="112" t="str">
        <f t="shared" si="81"/>
        <v/>
      </c>
      <c r="N5026" s="113"/>
    </row>
    <row r="5027" spans="2:14">
      <c r="B5027" s="105"/>
      <c r="C5027" s="106"/>
      <c r="D5027" s="107"/>
      <c r="E5027" s="65"/>
      <c r="F5027" s="64"/>
      <c r="G5027" s="64"/>
      <c r="H5027" s="64"/>
      <c r="I5027" s="70"/>
      <c r="J5027" s="70"/>
      <c r="K5027" s="110" t="str">
        <f>IF(H5027="","",IF($C$29="간이법","",FPR(H5027,I5027,J5027)))</f>
        <v/>
      </c>
      <c r="L5027" s="111" t="str">
        <f>IF(H5027="","",IF($C$29="상세법",FPV(H5027,K5027),IF(H5027="EI",4,IF(H5027="EO",5.2,IF(H5027="EQ",3.9,IF(H5027="ILF",7.5,IF(H5027="EIF",5.4)))))))</f>
        <v/>
      </c>
      <c r="M5027" s="112" t="str">
        <f t="shared" si="81"/>
        <v/>
      </c>
      <c r="N5027" s="113"/>
    </row>
    <row r="5028" spans="2:14">
      <c r="B5028" s="105"/>
      <c r="C5028" s="106"/>
      <c r="D5028" s="107"/>
      <c r="E5028" s="65"/>
      <c r="F5028" s="64"/>
      <c r="G5028" s="64"/>
      <c r="H5028" s="64"/>
      <c r="I5028" s="70"/>
      <c r="J5028" s="70"/>
      <c r="K5028" s="110" t="str">
        <f>IF(H5028="","",IF($C$29="간이법","",FPR(H5028,I5028,J5028)))</f>
        <v/>
      </c>
      <c r="L5028" s="111" t="str">
        <f>IF(H5028="","",IF($C$29="상세법",FPV(H5028,K5028),IF(H5028="EI",4,IF(H5028="EO",5.2,IF(H5028="EQ",3.9,IF(H5028="ILF",7.5,IF(H5028="EIF",5.4)))))))</f>
        <v/>
      </c>
      <c r="M5028" s="112" t="str">
        <f t="shared" si="81"/>
        <v/>
      </c>
      <c r="N5028" s="113"/>
    </row>
    <row r="5029" spans="2:14">
      <c r="B5029" s="105"/>
      <c r="C5029" s="106"/>
      <c r="D5029" s="107"/>
      <c r="E5029" s="65"/>
      <c r="F5029" s="64"/>
      <c r="G5029" s="64"/>
      <c r="H5029" s="64"/>
      <c r="I5029" s="70"/>
      <c r="J5029" s="70"/>
      <c r="K5029" s="110" t="str">
        <f>IF(H5029="","",IF($C$29="간이법","",FPR(H5029,I5029,J5029)))</f>
        <v/>
      </c>
      <c r="L5029" s="111" t="str">
        <f>IF(H5029="","",IF($C$29="상세법",FPV(H5029,K5029),IF(H5029="EI",4,IF(H5029="EO",5.2,IF(H5029="EQ",3.9,IF(H5029="ILF",7.5,IF(H5029="EIF",5.4)))))))</f>
        <v/>
      </c>
      <c r="M5029" s="112" t="str">
        <f t="shared" si="81"/>
        <v/>
      </c>
      <c r="N5029" s="113"/>
    </row>
    <row r="5030" spans="2:14">
      <c r="B5030" s="105"/>
      <c r="C5030" s="106"/>
      <c r="D5030" s="107"/>
      <c r="E5030" s="65"/>
      <c r="F5030" s="64"/>
      <c r="G5030" s="64"/>
      <c r="H5030" s="64"/>
      <c r="I5030" s="70"/>
      <c r="J5030" s="70"/>
      <c r="K5030" s="110" t="str">
        <f>IF(H5030="","",IF($C$29="간이법","",FPR(H5030,I5030,J5030)))</f>
        <v/>
      </c>
      <c r="L5030" s="111" t="str">
        <f>IF(H5030="","",IF($C$29="상세법",FPV(H5030,K5030),IF(H5030="EI",4,IF(H5030="EO",5.2,IF(H5030="EQ",3.9,IF(H5030="ILF",7.5,IF(H5030="EIF",5.4)))))))</f>
        <v/>
      </c>
      <c r="M5030" s="112" t="str">
        <f t="shared" si="81"/>
        <v/>
      </c>
      <c r="N5030" s="113"/>
    </row>
    <row r="5031" spans="2:14">
      <c r="B5031" s="105"/>
      <c r="C5031" s="106"/>
      <c r="D5031" s="107"/>
      <c r="E5031" s="65"/>
      <c r="F5031" s="64"/>
      <c r="G5031" s="64"/>
      <c r="H5031" s="64"/>
      <c r="I5031" s="70"/>
      <c r="J5031" s="70"/>
      <c r="K5031" s="110" t="str">
        <f>IF(H5031="","",IF($C$29="간이법","",FPR(H5031,I5031,J5031)))</f>
        <v/>
      </c>
      <c r="L5031" s="111" t="str">
        <f>IF(H5031="","",IF($C$29="상세법",FPV(H5031,K5031),IF(H5031="EI",4,IF(H5031="EO",5.2,IF(H5031="EQ",3.9,IF(H5031="ILF",7.5,IF(H5031="EIF",5.4)))))))</f>
        <v/>
      </c>
      <c r="M5031" s="112" t="str">
        <f t="shared" si="81"/>
        <v/>
      </c>
      <c r="N5031" s="113"/>
    </row>
    <row r="5032" spans="2:14">
      <c r="B5032" s="105"/>
      <c r="C5032" s="106"/>
      <c r="D5032" s="107"/>
      <c r="E5032" s="65"/>
      <c r="F5032" s="64"/>
      <c r="G5032" s="64"/>
      <c r="H5032" s="64"/>
      <c r="I5032" s="70"/>
      <c r="J5032" s="70"/>
      <c r="K5032" s="110" t="str">
        <f>IF(H5032="","",IF($C$29="간이법","",FPR(H5032,I5032,J5032)))</f>
        <v/>
      </c>
      <c r="L5032" s="111" t="str">
        <f>IF(H5032="","",IF($C$29="상세법",FPV(H5032,K5032),IF(H5032="EI",4,IF(H5032="EO",5.2,IF(H5032="EQ",3.9,IF(H5032="ILF",7.5,IF(H5032="EIF",5.4)))))))</f>
        <v/>
      </c>
      <c r="M5032" s="112" t="str">
        <f t="shared" si="81"/>
        <v/>
      </c>
      <c r="N5032" s="113"/>
    </row>
    <row r="5033" spans="2:14">
      <c r="B5033" s="105"/>
      <c r="C5033" s="106"/>
      <c r="D5033" s="107"/>
      <c r="E5033" s="65"/>
      <c r="F5033" s="64"/>
      <c r="G5033" s="64"/>
      <c r="H5033" s="64"/>
      <c r="I5033" s="70"/>
      <c r="J5033" s="70"/>
      <c r="K5033" s="110" t="str">
        <f>IF(H5033="","",IF($C$29="간이법","",FPR(H5033,I5033,J5033)))</f>
        <v/>
      </c>
      <c r="L5033" s="111" t="str">
        <f>IF(H5033="","",IF($C$29="상세법",FPV(H5033,K5033),IF(H5033="EI",4,IF(H5033="EO",5.2,IF(H5033="EQ",3.9,IF(H5033="ILF",7.5,IF(H5033="EIF",5.4)))))))</f>
        <v/>
      </c>
      <c r="M5033" s="112" t="str">
        <f t="shared" si="81"/>
        <v/>
      </c>
      <c r="N5033" s="113"/>
    </row>
    <row r="5034" spans="2:14">
      <c r="B5034" s="105"/>
      <c r="C5034" s="106"/>
      <c r="D5034" s="107"/>
      <c r="E5034" s="65"/>
      <c r="F5034" s="64"/>
      <c r="G5034" s="64"/>
      <c r="H5034" s="64"/>
      <c r="I5034" s="70"/>
      <c r="J5034" s="70"/>
      <c r="K5034" s="110" t="str">
        <f>IF(H5034="","",IF($C$29="간이법","",FPR(H5034,I5034,J5034)))</f>
        <v/>
      </c>
      <c r="L5034" s="111" t="str">
        <f>IF(H5034="","",IF($C$29="상세법",FPV(H5034,K5034),IF(H5034="EI",4,IF(H5034="EO",5.2,IF(H5034="EQ",3.9,IF(H5034="ILF",7.5,IF(H5034="EIF",5.4)))))))</f>
        <v/>
      </c>
      <c r="M5034" s="112" t="str">
        <f t="shared" si="81"/>
        <v/>
      </c>
      <c r="N5034" s="113"/>
    </row>
    <row r="5035" spans="2:14">
      <c r="B5035" s="105"/>
      <c r="C5035" s="106"/>
      <c r="D5035" s="107"/>
      <c r="E5035" s="65"/>
      <c r="F5035" s="64"/>
      <c r="G5035" s="64"/>
      <c r="H5035" s="64"/>
      <c r="I5035" s="70"/>
      <c r="J5035" s="70"/>
      <c r="K5035" s="110" t="str">
        <f>IF(H5035="","",IF($C$29="간이법","",FPR(H5035,I5035,J5035)))</f>
        <v/>
      </c>
      <c r="L5035" s="111" t="str">
        <f>IF(H5035="","",IF($C$29="상세법",FPV(H5035,K5035),IF(H5035="EI",4,IF(H5035="EO",5.2,IF(H5035="EQ",3.9,IF(H5035="ILF",7.5,IF(H5035="EIF",5.4)))))))</f>
        <v/>
      </c>
      <c r="M5035" s="112" t="str">
        <f t="shared" si="81"/>
        <v/>
      </c>
      <c r="N5035" s="113"/>
    </row>
    <row r="5036" spans="2:14">
      <c r="B5036" s="105"/>
      <c r="C5036" s="106"/>
      <c r="D5036" s="107"/>
      <c r="E5036" s="65"/>
      <c r="F5036" s="64"/>
      <c r="G5036" s="64"/>
      <c r="H5036" s="64"/>
      <c r="I5036" s="70"/>
      <c r="J5036" s="70"/>
      <c r="K5036" s="110" t="str">
        <f>IF(H5036="","",IF($C$29="간이법","",FPR(H5036,I5036,J5036)))</f>
        <v/>
      </c>
      <c r="L5036" s="111" t="str">
        <f>IF(H5036="","",IF($C$29="상세법",FPV(H5036,K5036),IF(H5036="EI",4,IF(H5036="EO",5.2,IF(H5036="EQ",3.9,IF(H5036="ILF",7.5,IF(H5036="EIF",5.4)))))))</f>
        <v/>
      </c>
      <c r="M5036" s="112" t="str">
        <f t="shared" si="81"/>
        <v/>
      </c>
      <c r="N5036" s="113"/>
    </row>
    <row r="5037" spans="2:14">
      <c r="B5037" s="105"/>
      <c r="C5037" s="106"/>
      <c r="D5037" s="107"/>
      <c r="E5037" s="65"/>
      <c r="F5037" s="64"/>
      <c r="G5037" s="64"/>
      <c r="H5037" s="64"/>
      <c r="I5037" s="70"/>
      <c r="J5037" s="70"/>
      <c r="K5037" s="110" t="str">
        <f>IF(H5037="","",IF($C$29="간이법","",FPR(H5037,I5037,J5037)))</f>
        <v/>
      </c>
      <c r="L5037" s="111" t="str">
        <f>IF(H5037="","",IF($C$29="상세법",FPV(H5037,K5037),IF(H5037="EI",4,IF(H5037="EO",5.2,IF(H5037="EQ",3.9,IF(H5037="ILF",7.5,IF(H5037="EIF",5.4)))))))</f>
        <v/>
      </c>
      <c r="M5037" s="112" t="str">
        <f t="shared" si="81"/>
        <v/>
      </c>
      <c r="N5037" s="113"/>
    </row>
    <row r="5038" spans="2:14">
      <c r="B5038" s="105"/>
      <c r="C5038" s="106"/>
      <c r="D5038" s="107"/>
      <c r="E5038" s="65"/>
      <c r="F5038" s="64"/>
      <c r="G5038" s="64"/>
      <c r="H5038" s="64"/>
      <c r="I5038" s="70"/>
      <c r="J5038" s="70"/>
      <c r="K5038" s="110" t="str">
        <f>IF(H5038="","",IF($C$29="간이법","",FPR(H5038,I5038,J5038)))</f>
        <v/>
      </c>
      <c r="L5038" s="111" t="str">
        <f>IF(H5038="","",IF($C$29="상세법",FPV(H5038,K5038),IF(H5038="EI",4,IF(H5038="EO",5.2,IF(H5038="EQ",3.9,IF(H5038="ILF",7.5,IF(H5038="EIF",5.4)))))))</f>
        <v/>
      </c>
      <c r="M5038" s="112" t="str">
        <f t="shared" si="81"/>
        <v/>
      </c>
      <c r="N5038" s="113"/>
    </row>
    <row r="5039" spans="2:14">
      <c r="B5039" s="105"/>
      <c r="C5039" s="106"/>
      <c r="D5039" s="107"/>
      <c r="E5039" s="65"/>
      <c r="F5039" s="64"/>
      <c r="G5039" s="64"/>
      <c r="H5039" s="64"/>
      <c r="I5039" s="70"/>
      <c r="J5039" s="70"/>
      <c r="K5039" s="110" t="str">
        <f>IF(H5039="","",IF($C$29="간이법","",FPR(H5039,I5039,J5039)))</f>
        <v/>
      </c>
      <c r="L5039" s="111" t="str">
        <f>IF(H5039="","",IF($C$29="상세법",FPV(H5039,K5039),IF(H5039="EI",4,IF(H5039="EO",5.2,IF(H5039="EQ",3.9,IF(H5039="ILF",7.5,IF(H5039="EIF",5.4)))))))</f>
        <v/>
      </c>
      <c r="M5039" s="112" t="str">
        <f t="shared" si="81"/>
        <v/>
      </c>
      <c r="N5039" s="113"/>
    </row>
    <row r="5040" spans="2:14">
      <c r="B5040" s="105"/>
      <c r="C5040" s="106"/>
      <c r="D5040" s="107"/>
      <c r="E5040" s="65"/>
      <c r="F5040" s="64"/>
      <c r="G5040" s="64"/>
      <c r="H5040" s="64"/>
      <c r="I5040" s="70"/>
      <c r="J5040" s="70"/>
      <c r="K5040" s="110" t="str">
        <f>IF(H5040="","",IF($C$29="간이법","",FPR(H5040,I5040,J5040)))</f>
        <v/>
      </c>
      <c r="L5040" s="111" t="str">
        <f>IF(H5040="","",IF($C$29="상세법",FPV(H5040,K5040),IF(H5040="EI",4,IF(H5040="EO",5.2,IF(H5040="EQ",3.9,IF(H5040="ILF",7.5,IF(H5040="EIF",5.4)))))))</f>
        <v/>
      </c>
      <c r="M5040" s="112" t="str">
        <f t="shared" si="81"/>
        <v/>
      </c>
      <c r="N5040" s="113"/>
    </row>
    <row r="5041" spans="2:14">
      <c r="B5041" s="105"/>
      <c r="C5041" s="106"/>
      <c r="D5041" s="107"/>
      <c r="E5041" s="65"/>
      <c r="F5041" s="64"/>
      <c r="G5041" s="64"/>
      <c r="H5041" s="64"/>
      <c r="I5041" s="70"/>
      <c r="J5041" s="70"/>
      <c r="K5041" s="110" t="str">
        <f>IF(H5041="","",IF($C$29="간이법","",FPR(H5041,I5041,J5041)))</f>
        <v/>
      </c>
      <c r="L5041" s="111" t="str">
        <f>IF(H5041="","",IF($C$29="상세법",FPV(H5041,K5041),IF(H5041="EI",4,IF(H5041="EO",5.2,IF(H5041="EQ",3.9,IF(H5041="ILF",7.5,IF(H5041="EIF",5.4)))))))</f>
        <v/>
      </c>
      <c r="M5041" s="112" t="str">
        <f t="shared" si="81"/>
        <v/>
      </c>
      <c r="N5041" s="113"/>
    </row>
    <row r="5042" spans="2:14">
      <c r="B5042" s="105"/>
      <c r="C5042" s="106"/>
      <c r="D5042" s="107"/>
      <c r="E5042" s="65"/>
      <c r="F5042" s="64"/>
      <c r="G5042" s="64"/>
      <c r="H5042" s="64"/>
      <c r="I5042" s="70"/>
      <c r="J5042" s="70"/>
      <c r="K5042" s="110" t="str">
        <f>IF(H5042="","",IF($C$29="간이법","",FPR(H5042,I5042,J5042)))</f>
        <v/>
      </c>
      <c r="L5042" s="111" t="str">
        <f>IF(H5042="","",IF($C$29="상세법",FPV(H5042,K5042),IF(H5042="EI",4,IF(H5042="EO",5.2,IF(H5042="EQ",3.9,IF(H5042="ILF",7.5,IF(H5042="EIF",5.4)))))))</f>
        <v/>
      </c>
      <c r="M5042" s="112" t="str">
        <f t="shared" si="81"/>
        <v/>
      </c>
      <c r="N5042" s="113"/>
    </row>
    <row r="5043" spans="2:14">
      <c r="B5043" s="105"/>
      <c r="C5043" s="106"/>
      <c r="D5043" s="107"/>
      <c r="E5043" s="65"/>
      <c r="F5043" s="64"/>
      <c r="G5043" s="64"/>
      <c r="H5043" s="64"/>
      <c r="I5043" s="70"/>
      <c r="J5043" s="70"/>
      <c r="K5043" s="110" t="str">
        <f>IF(H5043="","",IF($C$29="간이법","",FPR(H5043,I5043,J5043)))</f>
        <v/>
      </c>
      <c r="L5043" s="111" t="str">
        <f>IF(H5043="","",IF($C$29="상세법",FPV(H5043,K5043),IF(H5043="EI",4,IF(H5043="EO",5.2,IF(H5043="EQ",3.9,IF(H5043="ILF",7.5,IF(H5043="EIF",5.4)))))))</f>
        <v/>
      </c>
      <c r="M5043" s="112" t="str">
        <f t="shared" si="81"/>
        <v/>
      </c>
      <c r="N5043" s="113"/>
    </row>
    <row r="5044" spans="2:14">
      <c r="B5044" s="105"/>
      <c r="C5044" s="106"/>
      <c r="D5044" s="107"/>
      <c r="E5044" s="65"/>
      <c r="F5044" s="64"/>
      <c r="G5044" s="64"/>
      <c r="H5044" s="64"/>
      <c r="I5044" s="70"/>
      <c r="J5044" s="70"/>
      <c r="K5044" s="110" t="str">
        <f>IF(H5044="","",IF($C$29="간이법","",FPR(H5044,I5044,J5044)))</f>
        <v/>
      </c>
      <c r="L5044" s="111" t="str">
        <f>IF(H5044="","",IF($C$29="상세법",FPV(H5044,K5044),IF(H5044="EI",4,IF(H5044="EO",5.2,IF(H5044="EQ",3.9,IF(H5044="ILF",7.5,IF(H5044="EIF",5.4)))))))</f>
        <v/>
      </c>
      <c r="M5044" s="112" t="str">
        <f t="shared" si="81"/>
        <v/>
      </c>
      <c r="N5044" s="113"/>
    </row>
    <row r="5045" spans="2:14">
      <c r="B5045" s="105"/>
      <c r="C5045" s="106"/>
      <c r="D5045" s="107"/>
      <c r="E5045" s="65"/>
      <c r="F5045" s="64"/>
      <c r="G5045" s="64"/>
      <c r="H5045" s="64"/>
      <c r="I5045" s="70"/>
      <c r="J5045" s="70"/>
      <c r="K5045" s="110" t="str">
        <f>IF(H5045="","",IF($C$29="간이법","",FPR(H5045,I5045,J5045)))</f>
        <v/>
      </c>
      <c r="L5045" s="111" t="str">
        <f>IF(H5045="","",IF($C$29="상세법",FPV(H5045,K5045),IF(H5045="EI",4,IF(H5045="EO",5.2,IF(H5045="EQ",3.9,IF(H5045="ILF",7.5,IF(H5045="EIF",5.4)))))))</f>
        <v/>
      </c>
      <c r="M5045" s="112" t="str">
        <f t="shared" si="81"/>
        <v/>
      </c>
      <c r="N5045" s="113"/>
    </row>
    <row r="5046" spans="2:14">
      <c r="B5046" s="105"/>
      <c r="C5046" s="106"/>
      <c r="D5046" s="107"/>
      <c r="E5046" s="65"/>
      <c r="F5046" s="64"/>
      <c r="G5046" s="64"/>
      <c r="H5046" s="64"/>
      <c r="I5046" s="70"/>
      <c r="J5046" s="70"/>
      <c r="K5046" s="110" t="str">
        <f>IF(H5046="","",IF($C$29="간이법","",FPR(H5046,I5046,J5046)))</f>
        <v/>
      </c>
      <c r="L5046" s="111" t="str">
        <f>IF(H5046="","",IF($C$29="상세법",FPV(H5046,K5046),IF(H5046="EI",4,IF(H5046="EO",5.2,IF(H5046="EQ",3.9,IF(H5046="ILF",7.5,IF(H5046="EIF",5.4)))))))</f>
        <v/>
      </c>
      <c r="M5046" s="112" t="str">
        <f t="shared" si="81"/>
        <v/>
      </c>
      <c r="N5046" s="113"/>
    </row>
    <row r="5047" spans="2:14">
      <c r="B5047" s="105"/>
      <c r="C5047" s="106"/>
      <c r="D5047" s="107"/>
      <c r="E5047" s="65"/>
      <c r="F5047" s="64"/>
      <c r="G5047" s="64"/>
      <c r="H5047" s="64"/>
      <c r="I5047" s="70"/>
      <c r="J5047" s="70"/>
      <c r="K5047" s="110" t="str">
        <f>IF(H5047="","",IF($C$29="간이법","",FPR(H5047,I5047,J5047)))</f>
        <v/>
      </c>
      <c r="L5047" s="111" t="str">
        <f>IF(H5047="","",IF($C$29="상세법",FPV(H5047,K5047),IF(H5047="EI",4,IF(H5047="EO",5.2,IF(H5047="EQ",3.9,IF(H5047="ILF",7.5,IF(H5047="EIF",5.4)))))))</f>
        <v/>
      </c>
      <c r="M5047" s="112" t="str">
        <f t="shared" si="81"/>
        <v/>
      </c>
      <c r="N5047" s="113"/>
    </row>
    <row r="5048" spans="2:14">
      <c r="B5048" s="105"/>
      <c r="C5048" s="106"/>
      <c r="D5048" s="107"/>
      <c r="E5048" s="65"/>
      <c r="F5048" s="64"/>
      <c r="G5048" s="64"/>
      <c r="H5048" s="64"/>
      <c r="I5048" s="70"/>
      <c r="J5048" s="70"/>
      <c r="K5048" s="110" t="str">
        <f>IF(H5048="","",IF($C$29="간이법","",FPR(H5048,I5048,J5048)))</f>
        <v/>
      </c>
      <c r="L5048" s="111" t="str">
        <f>IF(H5048="","",IF($C$29="상세법",FPV(H5048,K5048),IF(H5048="EI",4,IF(H5048="EO",5.2,IF(H5048="EQ",3.9,IF(H5048="ILF",7.5,IF(H5048="EIF",5.4)))))))</f>
        <v/>
      </c>
      <c r="M5048" s="112" t="str">
        <f t="shared" si="81"/>
        <v/>
      </c>
      <c r="N5048" s="113"/>
    </row>
    <row r="5049" spans="2:14">
      <c r="B5049" s="105"/>
      <c r="C5049" s="106"/>
      <c r="D5049" s="107"/>
      <c r="E5049" s="65"/>
      <c r="F5049" s="64"/>
      <c r="G5049" s="64"/>
      <c r="H5049" s="64"/>
      <c r="I5049" s="70"/>
      <c r="J5049" s="70"/>
      <c r="K5049" s="110" t="str">
        <f>IF(H5049="","",IF($C$29="간이법","",FPR(H5049,I5049,J5049)))</f>
        <v/>
      </c>
      <c r="L5049" s="111" t="str">
        <f>IF(H5049="","",IF($C$29="상세법",FPV(H5049,K5049),IF(H5049="EI",4,IF(H5049="EO",5.2,IF(H5049="EQ",3.9,IF(H5049="ILF",7.5,IF(H5049="EIF",5.4)))))))</f>
        <v/>
      </c>
      <c r="M5049" s="112" t="str">
        <f t="shared" ref="M5049:M5112" si="82">IF(L5049="","",L5049*IF(G5049="상",0.7,IF(G5049="중",0.5,IF(G5049="하",0.2,1))))</f>
        <v/>
      </c>
      <c r="N5049" s="113"/>
    </row>
    <row r="5050" spans="2:14">
      <c r="B5050" s="105"/>
      <c r="C5050" s="106"/>
      <c r="D5050" s="107"/>
      <c r="E5050" s="65"/>
      <c r="F5050" s="64"/>
      <c r="G5050" s="64"/>
      <c r="H5050" s="64"/>
      <c r="I5050" s="70"/>
      <c r="J5050" s="70"/>
      <c r="K5050" s="110" t="str">
        <f>IF(H5050="","",IF($C$29="간이법","",FPR(H5050,I5050,J5050)))</f>
        <v/>
      </c>
      <c r="L5050" s="111" t="str">
        <f>IF(H5050="","",IF($C$29="상세법",FPV(H5050,K5050),IF(H5050="EI",4,IF(H5050="EO",5.2,IF(H5050="EQ",3.9,IF(H5050="ILF",7.5,IF(H5050="EIF",5.4)))))))</f>
        <v/>
      </c>
      <c r="M5050" s="112" t="str">
        <f t="shared" si="82"/>
        <v/>
      </c>
      <c r="N5050" s="113"/>
    </row>
    <row r="5051" spans="2:14">
      <c r="B5051" s="105"/>
      <c r="C5051" s="106"/>
      <c r="D5051" s="107"/>
      <c r="E5051" s="65"/>
      <c r="F5051" s="64"/>
      <c r="G5051" s="64"/>
      <c r="H5051" s="64"/>
      <c r="I5051" s="70"/>
      <c r="J5051" s="70"/>
      <c r="K5051" s="110" t="str">
        <f>IF(H5051="","",IF($C$29="간이법","",FPR(H5051,I5051,J5051)))</f>
        <v/>
      </c>
      <c r="L5051" s="111" t="str">
        <f>IF(H5051="","",IF($C$29="상세법",FPV(H5051,K5051),IF(H5051="EI",4,IF(H5051="EO",5.2,IF(H5051="EQ",3.9,IF(H5051="ILF",7.5,IF(H5051="EIF",5.4)))))))</f>
        <v/>
      </c>
      <c r="M5051" s="112" t="str">
        <f t="shared" si="82"/>
        <v/>
      </c>
      <c r="N5051" s="113"/>
    </row>
    <row r="5052" spans="2:14">
      <c r="B5052" s="105"/>
      <c r="C5052" s="106"/>
      <c r="D5052" s="107"/>
      <c r="E5052" s="65"/>
      <c r="F5052" s="64"/>
      <c r="G5052" s="64"/>
      <c r="H5052" s="64"/>
      <c r="I5052" s="70"/>
      <c r="J5052" s="70"/>
      <c r="K5052" s="110" t="str">
        <f>IF(H5052="","",IF($C$29="간이법","",FPR(H5052,I5052,J5052)))</f>
        <v/>
      </c>
      <c r="L5052" s="111" t="str">
        <f>IF(H5052="","",IF($C$29="상세법",FPV(H5052,K5052),IF(H5052="EI",4,IF(H5052="EO",5.2,IF(H5052="EQ",3.9,IF(H5052="ILF",7.5,IF(H5052="EIF",5.4)))))))</f>
        <v/>
      </c>
      <c r="M5052" s="112" t="str">
        <f t="shared" si="82"/>
        <v/>
      </c>
      <c r="N5052" s="113"/>
    </row>
    <row r="5053" spans="2:14">
      <c r="B5053" s="105"/>
      <c r="C5053" s="106"/>
      <c r="D5053" s="107"/>
      <c r="E5053" s="65"/>
      <c r="F5053" s="64"/>
      <c r="G5053" s="64"/>
      <c r="H5053" s="64"/>
      <c r="I5053" s="70"/>
      <c r="J5053" s="70"/>
      <c r="K5053" s="110" t="str">
        <f>IF(H5053="","",IF($C$29="간이법","",FPR(H5053,I5053,J5053)))</f>
        <v/>
      </c>
      <c r="L5053" s="111" t="str">
        <f>IF(H5053="","",IF($C$29="상세법",FPV(H5053,K5053),IF(H5053="EI",4,IF(H5053="EO",5.2,IF(H5053="EQ",3.9,IF(H5053="ILF",7.5,IF(H5053="EIF",5.4)))))))</f>
        <v/>
      </c>
      <c r="M5053" s="112" t="str">
        <f t="shared" si="82"/>
        <v/>
      </c>
      <c r="N5053" s="113"/>
    </row>
    <row r="5054" spans="2:14">
      <c r="B5054" s="105"/>
      <c r="C5054" s="106"/>
      <c r="D5054" s="107"/>
      <c r="E5054" s="65"/>
      <c r="F5054" s="64"/>
      <c r="G5054" s="64"/>
      <c r="H5054" s="64"/>
      <c r="I5054" s="70"/>
      <c r="J5054" s="70"/>
      <c r="K5054" s="110" t="str">
        <f>IF(H5054="","",IF($C$29="간이법","",FPR(H5054,I5054,J5054)))</f>
        <v/>
      </c>
      <c r="L5054" s="111" t="str">
        <f>IF(H5054="","",IF($C$29="상세법",FPV(H5054,K5054),IF(H5054="EI",4,IF(H5054="EO",5.2,IF(H5054="EQ",3.9,IF(H5054="ILF",7.5,IF(H5054="EIF",5.4)))))))</f>
        <v/>
      </c>
      <c r="M5054" s="112" t="str">
        <f t="shared" si="82"/>
        <v/>
      </c>
      <c r="N5054" s="113"/>
    </row>
    <row r="5055" spans="2:14">
      <c r="B5055" s="105"/>
      <c r="C5055" s="106"/>
      <c r="D5055" s="107"/>
      <c r="E5055" s="65"/>
      <c r="F5055" s="64"/>
      <c r="G5055" s="64"/>
      <c r="H5055" s="64"/>
      <c r="I5055" s="70"/>
      <c r="J5055" s="70"/>
      <c r="K5055" s="110" t="str">
        <f>IF(H5055="","",IF($C$29="간이법","",FPR(H5055,I5055,J5055)))</f>
        <v/>
      </c>
      <c r="L5055" s="111" t="str">
        <f>IF(H5055="","",IF($C$29="상세법",FPV(H5055,K5055),IF(H5055="EI",4,IF(H5055="EO",5.2,IF(H5055="EQ",3.9,IF(H5055="ILF",7.5,IF(H5055="EIF",5.4)))))))</f>
        <v/>
      </c>
      <c r="M5055" s="112" t="str">
        <f t="shared" si="82"/>
        <v/>
      </c>
      <c r="N5055" s="113"/>
    </row>
    <row r="5056" spans="2:14">
      <c r="B5056" s="105"/>
      <c r="C5056" s="106"/>
      <c r="D5056" s="107"/>
      <c r="E5056" s="65"/>
      <c r="F5056" s="64"/>
      <c r="G5056" s="64"/>
      <c r="H5056" s="64"/>
      <c r="I5056" s="70"/>
      <c r="J5056" s="70"/>
      <c r="K5056" s="110" t="str">
        <f>IF(H5056="","",IF($C$29="간이법","",FPR(H5056,I5056,J5056)))</f>
        <v/>
      </c>
      <c r="L5056" s="111" t="str">
        <f>IF(H5056="","",IF($C$29="상세법",FPV(H5056,K5056),IF(H5056="EI",4,IF(H5056="EO",5.2,IF(H5056="EQ",3.9,IF(H5056="ILF",7.5,IF(H5056="EIF",5.4)))))))</f>
        <v/>
      </c>
      <c r="M5056" s="112" t="str">
        <f t="shared" si="82"/>
        <v/>
      </c>
      <c r="N5056" s="113"/>
    </row>
    <row r="5057" spans="2:14">
      <c r="B5057" s="105"/>
      <c r="C5057" s="106"/>
      <c r="D5057" s="107"/>
      <c r="E5057" s="65"/>
      <c r="F5057" s="64"/>
      <c r="G5057" s="64"/>
      <c r="H5057" s="64"/>
      <c r="I5057" s="70"/>
      <c r="J5057" s="70"/>
      <c r="K5057" s="110" t="str">
        <f>IF(H5057="","",IF($C$29="간이법","",FPR(H5057,I5057,J5057)))</f>
        <v/>
      </c>
      <c r="L5057" s="111" t="str">
        <f>IF(H5057="","",IF($C$29="상세법",FPV(H5057,K5057),IF(H5057="EI",4,IF(H5057="EO",5.2,IF(H5057="EQ",3.9,IF(H5057="ILF",7.5,IF(H5057="EIF",5.4)))))))</f>
        <v/>
      </c>
      <c r="M5057" s="112" t="str">
        <f t="shared" si="82"/>
        <v/>
      </c>
      <c r="N5057" s="113"/>
    </row>
    <row r="5058" spans="2:14">
      <c r="B5058" s="105"/>
      <c r="C5058" s="106"/>
      <c r="D5058" s="107"/>
      <c r="E5058" s="65"/>
      <c r="F5058" s="64"/>
      <c r="G5058" s="64"/>
      <c r="H5058" s="64"/>
      <c r="I5058" s="70"/>
      <c r="J5058" s="70"/>
      <c r="K5058" s="110" t="str">
        <f>IF(H5058="","",IF($C$29="간이법","",FPR(H5058,I5058,J5058)))</f>
        <v/>
      </c>
      <c r="L5058" s="111" t="str">
        <f>IF(H5058="","",IF($C$29="상세법",FPV(H5058,K5058),IF(H5058="EI",4,IF(H5058="EO",5.2,IF(H5058="EQ",3.9,IF(H5058="ILF",7.5,IF(H5058="EIF",5.4)))))))</f>
        <v/>
      </c>
      <c r="M5058" s="112" t="str">
        <f t="shared" si="82"/>
        <v/>
      </c>
      <c r="N5058" s="113"/>
    </row>
    <row r="5059" spans="2:14">
      <c r="B5059" s="105"/>
      <c r="C5059" s="106"/>
      <c r="D5059" s="107"/>
      <c r="E5059" s="65"/>
      <c r="F5059" s="64"/>
      <c r="G5059" s="64"/>
      <c r="H5059" s="64"/>
      <c r="I5059" s="70"/>
      <c r="J5059" s="70"/>
      <c r="K5059" s="110" t="str">
        <f>IF(H5059="","",IF($C$29="간이법","",FPR(H5059,I5059,J5059)))</f>
        <v/>
      </c>
      <c r="L5059" s="111" t="str">
        <f>IF(H5059="","",IF($C$29="상세법",FPV(H5059,K5059),IF(H5059="EI",4,IF(H5059="EO",5.2,IF(H5059="EQ",3.9,IF(H5059="ILF",7.5,IF(H5059="EIF",5.4)))))))</f>
        <v/>
      </c>
      <c r="M5059" s="112" t="str">
        <f t="shared" si="82"/>
        <v/>
      </c>
      <c r="N5059" s="113"/>
    </row>
    <row r="5060" spans="2:14">
      <c r="B5060" s="105"/>
      <c r="C5060" s="106"/>
      <c r="D5060" s="107"/>
      <c r="E5060" s="65"/>
      <c r="F5060" s="64"/>
      <c r="G5060" s="64"/>
      <c r="H5060" s="64"/>
      <c r="I5060" s="70"/>
      <c r="J5060" s="70"/>
      <c r="K5060" s="110" t="str">
        <f>IF(H5060="","",IF($C$29="간이법","",FPR(H5060,I5060,J5060)))</f>
        <v/>
      </c>
      <c r="L5060" s="111" t="str">
        <f>IF(H5060="","",IF($C$29="상세법",FPV(H5060,K5060),IF(H5060="EI",4,IF(H5060="EO",5.2,IF(H5060="EQ",3.9,IF(H5060="ILF",7.5,IF(H5060="EIF",5.4)))))))</f>
        <v/>
      </c>
      <c r="M5060" s="112" t="str">
        <f t="shared" si="82"/>
        <v/>
      </c>
      <c r="N5060" s="113"/>
    </row>
    <row r="5061" spans="2:14">
      <c r="B5061" s="105"/>
      <c r="C5061" s="106"/>
      <c r="D5061" s="107"/>
      <c r="E5061" s="65"/>
      <c r="F5061" s="64"/>
      <c r="G5061" s="64"/>
      <c r="H5061" s="64"/>
      <c r="I5061" s="70"/>
      <c r="J5061" s="70"/>
      <c r="K5061" s="110" t="str">
        <f>IF(H5061="","",IF($C$29="간이법","",FPR(H5061,I5061,J5061)))</f>
        <v/>
      </c>
      <c r="L5061" s="111" t="str">
        <f>IF(H5061="","",IF($C$29="상세법",FPV(H5061,K5061),IF(H5061="EI",4,IF(H5061="EO",5.2,IF(H5061="EQ",3.9,IF(H5061="ILF",7.5,IF(H5061="EIF",5.4)))))))</f>
        <v/>
      </c>
      <c r="M5061" s="112" t="str">
        <f t="shared" si="82"/>
        <v/>
      </c>
      <c r="N5061" s="113"/>
    </row>
    <row r="5062" spans="2:14">
      <c r="B5062" s="105"/>
      <c r="C5062" s="106"/>
      <c r="D5062" s="107"/>
      <c r="E5062" s="65"/>
      <c r="F5062" s="64"/>
      <c r="G5062" s="64"/>
      <c r="H5062" s="64"/>
      <c r="I5062" s="70"/>
      <c r="J5062" s="70"/>
      <c r="K5062" s="110" t="str">
        <f>IF(H5062="","",IF($C$29="간이법","",FPR(H5062,I5062,J5062)))</f>
        <v/>
      </c>
      <c r="L5062" s="111" t="str">
        <f>IF(H5062="","",IF($C$29="상세법",FPV(H5062,K5062),IF(H5062="EI",4,IF(H5062="EO",5.2,IF(H5062="EQ",3.9,IF(H5062="ILF",7.5,IF(H5062="EIF",5.4)))))))</f>
        <v/>
      </c>
      <c r="M5062" s="112" t="str">
        <f t="shared" si="82"/>
        <v/>
      </c>
      <c r="N5062" s="113"/>
    </row>
    <row r="5063" spans="2:14">
      <c r="B5063" s="105"/>
      <c r="C5063" s="106"/>
      <c r="D5063" s="107"/>
      <c r="E5063" s="65"/>
      <c r="F5063" s="64"/>
      <c r="G5063" s="64"/>
      <c r="H5063" s="64"/>
      <c r="I5063" s="70"/>
      <c r="J5063" s="70"/>
      <c r="K5063" s="110" t="str">
        <f>IF(H5063="","",IF($C$29="간이법","",FPR(H5063,I5063,J5063)))</f>
        <v/>
      </c>
      <c r="L5063" s="111" t="str">
        <f>IF(H5063="","",IF($C$29="상세법",FPV(H5063,K5063),IF(H5063="EI",4,IF(H5063="EO",5.2,IF(H5063="EQ",3.9,IF(H5063="ILF",7.5,IF(H5063="EIF",5.4)))))))</f>
        <v/>
      </c>
      <c r="M5063" s="112" t="str">
        <f t="shared" si="82"/>
        <v/>
      </c>
      <c r="N5063" s="113"/>
    </row>
    <row r="5064" spans="2:14">
      <c r="B5064" s="105"/>
      <c r="C5064" s="106"/>
      <c r="D5064" s="107"/>
      <c r="E5064" s="65"/>
      <c r="F5064" s="64"/>
      <c r="G5064" s="64"/>
      <c r="H5064" s="64"/>
      <c r="I5064" s="70"/>
      <c r="J5064" s="70"/>
      <c r="K5064" s="110" t="str">
        <f>IF(H5064="","",IF($C$29="간이법","",FPR(H5064,I5064,J5064)))</f>
        <v/>
      </c>
      <c r="L5064" s="111" t="str">
        <f>IF(H5064="","",IF($C$29="상세법",FPV(H5064,K5064),IF(H5064="EI",4,IF(H5064="EO",5.2,IF(H5064="EQ",3.9,IF(H5064="ILF",7.5,IF(H5064="EIF",5.4)))))))</f>
        <v/>
      </c>
      <c r="M5064" s="112" t="str">
        <f t="shared" si="82"/>
        <v/>
      </c>
      <c r="N5064" s="113"/>
    </row>
    <row r="5065" spans="2:14">
      <c r="B5065" s="105"/>
      <c r="C5065" s="106"/>
      <c r="D5065" s="107"/>
      <c r="E5065" s="65"/>
      <c r="F5065" s="64"/>
      <c r="G5065" s="64"/>
      <c r="H5065" s="64"/>
      <c r="I5065" s="70"/>
      <c r="J5065" s="70"/>
      <c r="K5065" s="110" t="str">
        <f>IF(H5065="","",IF($C$29="간이법","",FPR(H5065,I5065,J5065)))</f>
        <v/>
      </c>
      <c r="L5065" s="111" t="str">
        <f>IF(H5065="","",IF($C$29="상세법",FPV(H5065,K5065),IF(H5065="EI",4,IF(H5065="EO",5.2,IF(H5065="EQ",3.9,IF(H5065="ILF",7.5,IF(H5065="EIF",5.4)))))))</f>
        <v/>
      </c>
      <c r="M5065" s="112" t="str">
        <f t="shared" si="82"/>
        <v/>
      </c>
      <c r="N5065" s="113"/>
    </row>
    <row r="5066" spans="2:14">
      <c r="B5066" s="105"/>
      <c r="C5066" s="106"/>
      <c r="D5066" s="107"/>
      <c r="E5066" s="65"/>
      <c r="F5066" s="64"/>
      <c r="G5066" s="64"/>
      <c r="H5066" s="64"/>
      <c r="I5066" s="70"/>
      <c r="J5066" s="70"/>
      <c r="K5066" s="110" t="str">
        <f>IF(H5066="","",IF($C$29="간이법","",FPR(H5066,I5066,J5066)))</f>
        <v/>
      </c>
      <c r="L5066" s="111" t="str">
        <f>IF(H5066="","",IF($C$29="상세법",FPV(H5066,K5066),IF(H5066="EI",4,IF(H5066="EO",5.2,IF(H5066="EQ",3.9,IF(H5066="ILF",7.5,IF(H5066="EIF",5.4)))))))</f>
        <v/>
      </c>
      <c r="M5066" s="112" t="str">
        <f t="shared" si="82"/>
        <v/>
      </c>
      <c r="N5066" s="113"/>
    </row>
    <row r="5067" spans="2:14">
      <c r="B5067" s="105"/>
      <c r="C5067" s="106"/>
      <c r="D5067" s="107"/>
      <c r="E5067" s="65"/>
      <c r="F5067" s="64"/>
      <c r="G5067" s="64"/>
      <c r="H5067" s="64"/>
      <c r="I5067" s="70"/>
      <c r="J5067" s="70"/>
      <c r="K5067" s="110" t="str">
        <f>IF(H5067="","",IF($C$29="간이법","",FPR(H5067,I5067,J5067)))</f>
        <v/>
      </c>
      <c r="L5067" s="111" t="str">
        <f>IF(H5067="","",IF($C$29="상세법",FPV(H5067,K5067),IF(H5067="EI",4,IF(H5067="EO",5.2,IF(H5067="EQ",3.9,IF(H5067="ILF",7.5,IF(H5067="EIF",5.4)))))))</f>
        <v/>
      </c>
      <c r="M5067" s="112" t="str">
        <f t="shared" si="82"/>
        <v/>
      </c>
      <c r="N5067" s="113"/>
    </row>
    <row r="5068" spans="2:14">
      <c r="B5068" s="105"/>
      <c r="C5068" s="106"/>
      <c r="D5068" s="107"/>
      <c r="E5068" s="65"/>
      <c r="F5068" s="64"/>
      <c r="G5068" s="64"/>
      <c r="H5068" s="64"/>
      <c r="I5068" s="70"/>
      <c r="J5068" s="70"/>
      <c r="K5068" s="110" t="str">
        <f>IF(H5068="","",IF($C$29="간이법","",FPR(H5068,I5068,J5068)))</f>
        <v/>
      </c>
      <c r="L5068" s="111" t="str">
        <f>IF(H5068="","",IF($C$29="상세법",FPV(H5068,K5068),IF(H5068="EI",4,IF(H5068="EO",5.2,IF(H5068="EQ",3.9,IF(H5068="ILF",7.5,IF(H5068="EIF",5.4)))))))</f>
        <v/>
      </c>
      <c r="M5068" s="112" t="str">
        <f t="shared" si="82"/>
        <v/>
      </c>
      <c r="N5068" s="113"/>
    </row>
    <row r="5069" spans="2:14">
      <c r="B5069" s="105"/>
      <c r="C5069" s="106"/>
      <c r="D5069" s="107"/>
      <c r="E5069" s="65"/>
      <c r="F5069" s="64"/>
      <c r="G5069" s="64"/>
      <c r="H5069" s="64"/>
      <c r="I5069" s="70"/>
      <c r="J5069" s="70"/>
      <c r="K5069" s="110" t="str">
        <f>IF(H5069="","",IF($C$29="간이법","",FPR(H5069,I5069,J5069)))</f>
        <v/>
      </c>
      <c r="L5069" s="111" t="str">
        <f>IF(H5069="","",IF($C$29="상세법",FPV(H5069,K5069),IF(H5069="EI",4,IF(H5069="EO",5.2,IF(H5069="EQ",3.9,IF(H5069="ILF",7.5,IF(H5069="EIF",5.4)))))))</f>
        <v/>
      </c>
      <c r="M5069" s="112" t="str">
        <f t="shared" si="82"/>
        <v/>
      </c>
      <c r="N5069" s="113"/>
    </row>
    <row r="5070" spans="2:14">
      <c r="B5070" s="105"/>
      <c r="C5070" s="106"/>
      <c r="D5070" s="107"/>
      <c r="E5070" s="65"/>
      <c r="F5070" s="64"/>
      <c r="G5070" s="64"/>
      <c r="H5070" s="64"/>
      <c r="I5070" s="70"/>
      <c r="J5070" s="70"/>
      <c r="K5070" s="110" t="str">
        <f>IF(H5070="","",IF($C$29="간이법","",FPR(H5070,I5070,J5070)))</f>
        <v/>
      </c>
      <c r="L5070" s="111" t="str">
        <f>IF(H5070="","",IF($C$29="상세법",FPV(H5070,K5070),IF(H5070="EI",4,IF(H5070="EO",5.2,IF(H5070="EQ",3.9,IF(H5070="ILF",7.5,IF(H5070="EIF",5.4)))))))</f>
        <v/>
      </c>
      <c r="M5070" s="112" t="str">
        <f t="shared" si="82"/>
        <v/>
      </c>
      <c r="N5070" s="113"/>
    </row>
    <row r="5071" spans="2:14">
      <c r="B5071" s="105"/>
      <c r="C5071" s="106"/>
      <c r="D5071" s="107"/>
      <c r="E5071" s="65"/>
      <c r="F5071" s="64"/>
      <c r="G5071" s="64"/>
      <c r="H5071" s="64"/>
      <c r="I5071" s="70"/>
      <c r="J5071" s="70"/>
      <c r="K5071" s="110" t="str">
        <f>IF(H5071="","",IF($C$29="간이법","",FPR(H5071,I5071,J5071)))</f>
        <v/>
      </c>
      <c r="L5071" s="111" t="str">
        <f>IF(H5071="","",IF($C$29="상세법",FPV(H5071,K5071),IF(H5071="EI",4,IF(H5071="EO",5.2,IF(H5071="EQ",3.9,IF(H5071="ILF",7.5,IF(H5071="EIF",5.4)))))))</f>
        <v/>
      </c>
      <c r="M5071" s="112" t="str">
        <f t="shared" si="82"/>
        <v/>
      </c>
      <c r="N5071" s="113"/>
    </row>
    <row r="5072" spans="2:14">
      <c r="B5072" s="105"/>
      <c r="C5072" s="106"/>
      <c r="D5072" s="107"/>
      <c r="E5072" s="65"/>
      <c r="F5072" s="64"/>
      <c r="G5072" s="64"/>
      <c r="H5072" s="64"/>
      <c r="I5072" s="70"/>
      <c r="J5072" s="70"/>
      <c r="K5072" s="110" t="str">
        <f>IF(H5072="","",IF($C$29="간이법","",FPR(H5072,I5072,J5072)))</f>
        <v/>
      </c>
      <c r="L5072" s="111" t="str">
        <f>IF(H5072="","",IF($C$29="상세법",FPV(H5072,K5072),IF(H5072="EI",4,IF(H5072="EO",5.2,IF(H5072="EQ",3.9,IF(H5072="ILF",7.5,IF(H5072="EIF",5.4)))))))</f>
        <v/>
      </c>
      <c r="M5072" s="112" t="str">
        <f t="shared" si="82"/>
        <v/>
      </c>
      <c r="N5072" s="113"/>
    </row>
    <row r="5073" spans="2:14">
      <c r="B5073" s="105"/>
      <c r="C5073" s="106"/>
      <c r="D5073" s="107"/>
      <c r="E5073" s="65"/>
      <c r="F5073" s="64"/>
      <c r="G5073" s="64"/>
      <c r="H5073" s="64"/>
      <c r="I5073" s="70"/>
      <c r="J5073" s="70"/>
      <c r="K5073" s="110" t="str">
        <f>IF(H5073="","",IF($C$29="간이법","",FPR(H5073,I5073,J5073)))</f>
        <v/>
      </c>
      <c r="L5073" s="111" t="str">
        <f>IF(H5073="","",IF($C$29="상세법",FPV(H5073,K5073),IF(H5073="EI",4,IF(H5073="EO",5.2,IF(H5073="EQ",3.9,IF(H5073="ILF",7.5,IF(H5073="EIF",5.4)))))))</f>
        <v/>
      </c>
      <c r="M5073" s="112" t="str">
        <f t="shared" si="82"/>
        <v/>
      </c>
      <c r="N5073" s="113"/>
    </row>
    <row r="5074" spans="2:14">
      <c r="B5074" s="105"/>
      <c r="C5074" s="106"/>
      <c r="D5074" s="107"/>
      <c r="E5074" s="65"/>
      <c r="F5074" s="64"/>
      <c r="G5074" s="64"/>
      <c r="H5074" s="64"/>
      <c r="I5074" s="70"/>
      <c r="J5074" s="70"/>
      <c r="K5074" s="110" t="str">
        <f>IF(H5074="","",IF($C$29="간이법","",FPR(H5074,I5074,J5074)))</f>
        <v/>
      </c>
      <c r="L5074" s="111" t="str">
        <f>IF(H5074="","",IF($C$29="상세법",FPV(H5074,K5074),IF(H5074="EI",4,IF(H5074="EO",5.2,IF(H5074="EQ",3.9,IF(H5074="ILF",7.5,IF(H5074="EIF",5.4)))))))</f>
        <v/>
      </c>
      <c r="M5074" s="112" t="str">
        <f t="shared" si="82"/>
        <v/>
      </c>
      <c r="N5074" s="113"/>
    </row>
    <row r="5075" spans="2:14">
      <c r="B5075" s="105"/>
      <c r="C5075" s="106"/>
      <c r="D5075" s="107"/>
      <c r="E5075" s="65"/>
      <c r="F5075" s="64"/>
      <c r="G5075" s="64"/>
      <c r="H5075" s="64"/>
      <c r="I5075" s="70"/>
      <c r="J5075" s="70"/>
      <c r="K5075" s="110" t="str">
        <f>IF(H5075="","",IF($C$29="간이법","",FPR(H5075,I5075,J5075)))</f>
        <v/>
      </c>
      <c r="L5075" s="111" t="str">
        <f>IF(H5075="","",IF($C$29="상세법",FPV(H5075,K5075),IF(H5075="EI",4,IF(H5075="EO",5.2,IF(H5075="EQ",3.9,IF(H5075="ILF",7.5,IF(H5075="EIF",5.4)))))))</f>
        <v/>
      </c>
      <c r="M5075" s="112" t="str">
        <f t="shared" si="82"/>
        <v/>
      </c>
      <c r="N5075" s="113"/>
    </row>
    <row r="5076" spans="2:14">
      <c r="B5076" s="105"/>
      <c r="C5076" s="106"/>
      <c r="D5076" s="107"/>
      <c r="E5076" s="65"/>
      <c r="F5076" s="64"/>
      <c r="G5076" s="64"/>
      <c r="H5076" s="64"/>
      <c r="I5076" s="70"/>
      <c r="J5076" s="70"/>
      <c r="K5076" s="110" t="str">
        <f>IF(H5076="","",IF($C$29="간이법","",FPR(H5076,I5076,J5076)))</f>
        <v/>
      </c>
      <c r="L5076" s="111" t="str">
        <f>IF(H5076="","",IF($C$29="상세법",FPV(H5076,K5076),IF(H5076="EI",4,IF(H5076="EO",5.2,IF(H5076="EQ",3.9,IF(H5076="ILF",7.5,IF(H5076="EIF",5.4)))))))</f>
        <v/>
      </c>
      <c r="M5076" s="112" t="str">
        <f t="shared" si="82"/>
        <v/>
      </c>
      <c r="N5076" s="113"/>
    </row>
    <row r="5077" spans="2:14">
      <c r="B5077" s="105"/>
      <c r="C5077" s="106"/>
      <c r="D5077" s="107"/>
      <c r="E5077" s="65"/>
      <c r="F5077" s="64"/>
      <c r="G5077" s="64"/>
      <c r="H5077" s="64"/>
      <c r="I5077" s="70"/>
      <c r="J5077" s="70"/>
      <c r="K5077" s="110" t="str">
        <f>IF(H5077="","",IF($C$29="간이법","",FPR(H5077,I5077,J5077)))</f>
        <v/>
      </c>
      <c r="L5077" s="111" t="str">
        <f>IF(H5077="","",IF($C$29="상세법",FPV(H5077,K5077),IF(H5077="EI",4,IF(H5077="EO",5.2,IF(H5077="EQ",3.9,IF(H5077="ILF",7.5,IF(H5077="EIF",5.4)))))))</f>
        <v/>
      </c>
      <c r="M5077" s="112" t="str">
        <f t="shared" si="82"/>
        <v/>
      </c>
      <c r="N5077" s="113"/>
    </row>
    <row r="5078" spans="2:14">
      <c r="B5078" s="105"/>
      <c r="C5078" s="106"/>
      <c r="D5078" s="107"/>
      <c r="E5078" s="65"/>
      <c r="F5078" s="64"/>
      <c r="G5078" s="64"/>
      <c r="H5078" s="64"/>
      <c r="I5078" s="70"/>
      <c r="J5078" s="70"/>
      <c r="K5078" s="110" t="str">
        <f>IF(H5078="","",IF($C$29="간이법","",FPR(H5078,I5078,J5078)))</f>
        <v/>
      </c>
      <c r="L5078" s="111" t="str">
        <f>IF(H5078="","",IF($C$29="상세법",FPV(H5078,K5078),IF(H5078="EI",4,IF(H5078="EO",5.2,IF(H5078="EQ",3.9,IF(H5078="ILF",7.5,IF(H5078="EIF",5.4)))))))</f>
        <v/>
      </c>
      <c r="M5078" s="112" t="str">
        <f t="shared" si="82"/>
        <v/>
      </c>
      <c r="N5078" s="113"/>
    </row>
    <row r="5079" spans="2:14">
      <c r="B5079" s="105"/>
      <c r="C5079" s="106"/>
      <c r="D5079" s="107"/>
      <c r="E5079" s="65"/>
      <c r="F5079" s="64"/>
      <c r="G5079" s="64"/>
      <c r="H5079" s="64"/>
      <c r="I5079" s="70"/>
      <c r="J5079" s="70"/>
      <c r="K5079" s="110" t="str">
        <f>IF(H5079="","",IF($C$29="간이법","",FPR(H5079,I5079,J5079)))</f>
        <v/>
      </c>
      <c r="L5079" s="111" t="str">
        <f>IF(H5079="","",IF($C$29="상세법",FPV(H5079,K5079),IF(H5079="EI",4,IF(H5079="EO",5.2,IF(H5079="EQ",3.9,IF(H5079="ILF",7.5,IF(H5079="EIF",5.4)))))))</f>
        <v/>
      </c>
      <c r="M5079" s="112" t="str">
        <f t="shared" si="82"/>
        <v/>
      </c>
      <c r="N5079" s="113"/>
    </row>
    <row r="5080" spans="2:14">
      <c r="B5080" s="105"/>
      <c r="C5080" s="106"/>
      <c r="D5080" s="107"/>
      <c r="E5080" s="65"/>
      <c r="F5080" s="64"/>
      <c r="G5080" s="64"/>
      <c r="H5080" s="64"/>
      <c r="I5080" s="70"/>
      <c r="J5080" s="70"/>
      <c r="K5080" s="110" t="str">
        <f>IF(H5080="","",IF($C$29="간이법","",FPR(H5080,I5080,J5080)))</f>
        <v/>
      </c>
      <c r="L5080" s="111" t="str">
        <f>IF(H5080="","",IF($C$29="상세법",FPV(H5080,K5080),IF(H5080="EI",4,IF(H5080="EO",5.2,IF(H5080="EQ",3.9,IF(H5080="ILF",7.5,IF(H5080="EIF",5.4)))))))</f>
        <v/>
      </c>
      <c r="M5080" s="112" t="str">
        <f t="shared" si="82"/>
        <v/>
      </c>
      <c r="N5080" s="113"/>
    </row>
    <row r="5081" spans="2:14">
      <c r="B5081" s="105"/>
      <c r="C5081" s="106"/>
      <c r="D5081" s="107"/>
      <c r="E5081" s="65"/>
      <c r="F5081" s="64"/>
      <c r="G5081" s="64"/>
      <c r="H5081" s="64"/>
      <c r="I5081" s="70"/>
      <c r="J5081" s="70"/>
      <c r="K5081" s="110" t="str">
        <f>IF(H5081="","",IF($C$29="간이법","",FPR(H5081,I5081,J5081)))</f>
        <v/>
      </c>
      <c r="L5081" s="111" t="str">
        <f>IF(H5081="","",IF($C$29="상세법",FPV(H5081,K5081),IF(H5081="EI",4,IF(H5081="EO",5.2,IF(H5081="EQ",3.9,IF(H5081="ILF",7.5,IF(H5081="EIF",5.4)))))))</f>
        <v/>
      </c>
      <c r="M5081" s="112" t="str">
        <f t="shared" si="82"/>
        <v/>
      </c>
      <c r="N5081" s="113"/>
    </row>
    <row r="5082" spans="2:14">
      <c r="B5082" s="105"/>
      <c r="C5082" s="106"/>
      <c r="D5082" s="107"/>
      <c r="E5082" s="65"/>
      <c r="F5082" s="64"/>
      <c r="G5082" s="64"/>
      <c r="H5082" s="64"/>
      <c r="I5082" s="70"/>
      <c r="J5082" s="70"/>
      <c r="K5082" s="110" t="str">
        <f>IF(H5082="","",IF($C$29="간이법","",FPR(H5082,I5082,J5082)))</f>
        <v/>
      </c>
      <c r="L5082" s="111" t="str">
        <f>IF(H5082="","",IF($C$29="상세법",FPV(H5082,K5082),IF(H5082="EI",4,IF(H5082="EO",5.2,IF(H5082="EQ",3.9,IF(H5082="ILF",7.5,IF(H5082="EIF",5.4)))))))</f>
        <v/>
      </c>
      <c r="M5082" s="112" t="str">
        <f t="shared" si="82"/>
        <v/>
      </c>
      <c r="N5082" s="113"/>
    </row>
    <row r="5083" spans="2:14">
      <c r="B5083" s="105"/>
      <c r="C5083" s="106"/>
      <c r="D5083" s="107"/>
      <c r="E5083" s="65"/>
      <c r="F5083" s="64"/>
      <c r="G5083" s="64"/>
      <c r="H5083" s="64"/>
      <c r="I5083" s="70"/>
      <c r="J5083" s="70"/>
      <c r="K5083" s="110" t="str">
        <f>IF(H5083="","",IF($C$29="간이법","",FPR(H5083,I5083,J5083)))</f>
        <v/>
      </c>
      <c r="L5083" s="111" t="str">
        <f>IF(H5083="","",IF($C$29="상세법",FPV(H5083,K5083),IF(H5083="EI",4,IF(H5083="EO",5.2,IF(H5083="EQ",3.9,IF(H5083="ILF",7.5,IF(H5083="EIF",5.4)))))))</f>
        <v/>
      </c>
      <c r="M5083" s="112" t="str">
        <f t="shared" si="82"/>
        <v/>
      </c>
      <c r="N5083" s="113"/>
    </row>
    <row r="5084" spans="2:14">
      <c r="B5084" s="105"/>
      <c r="C5084" s="106"/>
      <c r="D5084" s="107"/>
      <c r="E5084" s="65"/>
      <c r="F5084" s="64"/>
      <c r="G5084" s="64"/>
      <c r="H5084" s="64"/>
      <c r="I5084" s="70"/>
      <c r="J5084" s="70"/>
      <c r="K5084" s="110" t="str">
        <f>IF(H5084="","",IF($C$29="간이법","",FPR(H5084,I5084,J5084)))</f>
        <v/>
      </c>
      <c r="L5084" s="111" t="str">
        <f>IF(H5084="","",IF($C$29="상세법",FPV(H5084,K5084),IF(H5084="EI",4,IF(H5084="EO",5.2,IF(H5084="EQ",3.9,IF(H5084="ILF",7.5,IF(H5084="EIF",5.4)))))))</f>
        <v/>
      </c>
      <c r="M5084" s="112" t="str">
        <f t="shared" si="82"/>
        <v/>
      </c>
      <c r="N5084" s="113"/>
    </row>
    <row r="5085" spans="2:14">
      <c r="B5085" s="105"/>
      <c r="C5085" s="106"/>
      <c r="D5085" s="107"/>
      <c r="E5085" s="65"/>
      <c r="F5085" s="64"/>
      <c r="G5085" s="64"/>
      <c r="H5085" s="64"/>
      <c r="I5085" s="70"/>
      <c r="J5085" s="70"/>
      <c r="K5085" s="110" t="str">
        <f>IF(H5085="","",IF($C$29="간이법","",FPR(H5085,I5085,J5085)))</f>
        <v/>
      </c>
      <c r="L5085" s="111" t="str">
        <f>IF(H5085="","",IF($C$29="상세법",FPV(H5085,K5085),IF(H5085="EI",4,IF(H5085="EO",5.2,IF(H5085="EQ",3.9,IF(H5085="ILF",7.5,IF(H5085="EIF",5.4)))))))</f>
        <v/>
      </c>
      <c r="M5085" s="112" t="str">
        <f t="shared" si="82"/>
        <v/>
      </c>
      <c r="N5085" s="113"/>
    </row>
    <row r="5086" spans="2:14">
      <c r="B5086" s="105"/>
      <c r="C5086" s="106"/>
      <c r="D5086" s="107"/>
      <c r="E5086" s="65"/>
      <c r="F5086" s="64"/>
      <c r="G5086" s="64"/>
      <c r="H5086" s="64"/>
      <c r="I5086" s="70"/>
      <c r="J5086" s="70"/>
      <c r="K5086" s="110" t="str">
        <f>IF(H5086="","",IF($C$29="간이법","",FPR(H5086,I5086,J5086)))</f>
        <v/>
      </c>
      <c r="L5086" s="111" t="str">
        <f>IF(H5086="","",IF($C$29="상세법",FPV(H5086,K5086),IF(H5086="EI",4,IF(H5086="EO",5.2,IF(H5086="EQ",3.9,IF(H5086="ILF",7.5,IF(H5086="EIF",5.4)))))))</f>
        <v/>
      </c>
      <c r="M5086" s="112" t="str">
        <f t="shared" si="82"/>
        <v/>
      </c>
      <c r="N5086" s="113"/>
    </row>
    <row r="5087" spans="2:14">
      <c r="B5087" s="105"/>
      <c r="C5087" s="106"/>
      <c r="D5087" s="107"/>
      <c r="E5087" s="65"/>
      <c r="F5087" s="64"/>
      <c r="G5087" s="64"/>
      <c r="H5087" s="64"/>
      <c r="I5087" s="70"/>
      <c r="J5087" s="70"/>
      <c r="K5087" s="110" t="str">
        <f>IF(H5087="","",IF($C$29="간이법","",FPR(H5087,I5087,J5087)))</f>
        <v/>
      </c>
      <c r="L5087" s="111" t="str">
        <f>IF(H5087="","",IF($C$29="상세법",FPV(H5087,K5087),IF(H5087="EI",4,IF(H5087="EO",5.2,IF(H5087="EQ",3.9,IF(H5087="ILF",7.5,IF(H5087="EIF",5.4)))))))</f>
        <v/>
      </c>
      <c r="M5087" s="112" t="str">
        <f t="shared" si="82"/>
        <v/>
      </c>
      <c r="N5087" s="113"/>
    </row>
    <row r="5088" spans="2:14">
      <c r="B5088" s="105"/>
      <c r="C5088" s="106"/>
      <c r="D5088" s="107"/>
      <c r="E5088" s="65"/>
      <c r="F5088" s="64"/>
      <c r="G5088" s="64"/>
      <c r="H5088" s="64"/>
      <c r="I5088" s="70"/>
      <c r="J5088" s="70"/>
      <c r="K5088" s="110" t="str">
        <f>IF(H5088="","",IF($C$29="간이법","",FPR(H5088,I5088,J5088)))</f>
        <v/>
      </c>
      <c r="L5088" s="111" t="str">
        <f>IF(H5088="","",IF($C$29="상세법",FPV(H5088,K5088),IF(H5088="EI",4,IF(H5088="EO",5.2,IF(H5088="EQ",3.9,IF(H5088="ILF",7.5,IF(H5088="EIF",5.4)))))))</f>
        <v/>
      </c>
      <c r="M5088" s="112" t="str">
        <f t="shared" si="82"/>
        <v/>
      </c>
      <c r="N5088" s="113"/>
    </row>
    <row r="5089" spans="2:14">
      <c r="B5089" s="105"/>
      <c r="C5089" s="106"/>
      <c r="D5089" s="107"/>
      <c r="E5089" s="65"/>
      <c r="F5089" s="64"/>
      <c r="G5089" s="64"/>
      <c r="H5089" s="64"/>
      <c r="I5089" s="70"/>
      <c r="J5089" s="70"/>
      <c r="K5089" s="110" t="str">
        <f>IF(H5089="","",IF($C$29="간이법","",FPR(H5089,I5089,J5089)))</f>
        <v/>
      </c>
      <c r="L5089" s="111" t="str">
        <f>IF(H5089="","",IF($C$29="상세법",FPV(H5089,K5089),IF(H5089="EI",4,IF(H5089="EO",5.2,IF(H5089="EQ",3.9,IF(H5089="ILF",7.5,IF(H5089="EIF",5.4)))))))</f>
        <v/>
      </c>
      <c r="M5089" s="112" t="str">
        <f t="shared" si="82"/>
        <v/>
      </c>
      <c r="N5089" s="113"/>
    </row>
    <row r="5090" spans="2:14">
      <c r="B5090" s="105"/>
      <c r="C5090" s="106"/>
      <c r="D5090" s="107"/>
      <c r="E5090" s="65"/>
      <c r="F5090" s="64"/>
      <c r="G5090" s="64"/>
      <c r="H5090" s="64"/>
      <c r="I5090" s="70"/>
      <c r="J5090" s="70"/>
      <c r="K5090" s="110" t="str">
        <f>IF(H5090="","",IF($C$29="간이법","",FPR(H5090,I5090,J5090)))</f>
        <v/>
      </c>
      <c r="L5090" s="111" t="str">
        <f>IF(H5090="","",IF($C$29="상세법",FPV(H5090,K5090),IF(H5090="EI",4,IF(H5090="EO",5.2,IF(H5090="EQ",3.9,IF(H5090="ILF",7.5,IF(H5090="EIF",5.4)))))))</f>
        <v/>
      </c>
      <c r="M5090" s="112" t="str">
        <f t="shared" si="82"/>
        <v/>
      </c>
      <c r="N5090" s="113"/>
    </row>
    <row r="5091" spans="2:14">
      <c r="B5091" s="105"/>
      <c r="C5091" s="106"/>
      <c r="D5091" s="107"/>
      <c r="E5091" s="65"/>
      <c r="F5091" s="64"/>
      <c r="G5091" s="64"/>
      <c r="H5091" s="64"/>
      <c r="I5091" s="70"/>
      <c r="J5091" s="70"/>
      <c r="K5091" s="110" t="str">
        <f>IF(H5091="","",IF($C$29="간이법","",FPR(H5091,I5091,J5091)))</f>
        <v/>
      </c>
      <c r="L5091" s="111" t="str">
        <f>IF(H5091="","",IF($C$29="상세법",FPV(H5091,K5091),IF(H5091="EI",4,IF(H5091="EO",5.2,IF(H5091="EQ",3.9,IF(H5091="ILF",7.5,IF(H5091="EIF",5.4)))))))</f>
        <v/>
      </c>
      <c r="M5091" s="112" t="str">
        <f t="shared" si="82"/>
        <v/>
      </c>
      <c r="N5091" s="113"/>
    </row>
    <row r="5092" spans="2:14">
      <c r="B5092" s="105"/>
      <c r="C5092" s="106"/>
      <c r="D5092" s="107"/>
      <c r="E5092" s="65"/>
      <c r="F5092" s="64"/>
      <c r="G5092" s="64"/>
      <c r="H5092" s="64"/>
      <c r="I5092" s="70"/>
      <c r="J5092" s="70"/>
      <c r="K5092" s="110" t="str">
        <f>IF(H5092="","",IF($C$29="간이법","",FPR(H5092,I5092,J5092)))</f>
        <v/>
      </c>
      <c r="L5092" s="111" t="str">
        <f>IF(H5092="","",IF($C$29="상세법",FPV(H5092,K5092),IF(H5092="EI",4,IF(H5092="EO",5.2,IF(H5092="EQ",3.9,IF(H5092="ILF",7.5,IF(H5092="EIF",5.4)))))))</f>
        <v/>
      </c>
      <c r="M5092" s="112" t="str">
        <f t="shared" si="82"/>
        <v/>
      </c>
      <c r="N5092" s="113"/>
    </row>
    <row r="5093" spans="2:14">
      <c r="B5093" s="105"/>
      <c r="C5093" s="106"/>
      <c r="D5093" s="107"/>
      <c r="E5093" s="65"/>
      <c r="F5093" s="64"/>
      <c r="G5093" s="64"/>
      <c r="H5093" s="64"/>
      <c r="I5093" s="70"/>
      <c r="J5093" s="70"/>
      <c r="K5093" s="110" t="str">
        <f>IF(H5093="","",IF($C$29="간이법","",FPR(H5093,I5093,J5093)))</f>
        <v/>
      </c>
      <c r="L5093" s="111" t="str">
        <f>IF(H5093="","",IF($C$29="상세법",FPV(H5093,K5093),IF(H5093="EI",4,IF(H5093="EO",5.2,IF(H5093="EQ",3.9,IF(H5093="ILF",7.5,IF(H5093="EIF",5.4)))))))</f>
        <v/>
      </c>
      <c r="M5093" s="112" t="str">
        <f t="shared" si="82"/>
        <v/>
      </c>
      <c r="N5093" s="113"/>
    </row>
    <row r="5094" spans="2:14">
      <c r="B5094" s="105"/>
      <c r="C5094" s="106"/>
      <c r="D5094" s="107"/>
      <c r="E5094" s="65"/>
      <c r="F5094" s="64"/>
      <c r="G5094" s="64"/>
      <c r="H5094" s="64"/>
      <c r="I5094" s="70"/>
      <c r="J5094" s="70"/>
      <c r="K5094" s="110" t="str">
        <f>IF(H5094="","",IF($C$29="간이법","",FPR(H5094,I5094,J5094)))</f>
        <v/>
      </c>
      <c r="L5094" s="111" t="str">
        <f>IF(H5094="","",IF($C$29="상세법",FPV(H5094,K5094),IF(H5094="EI",4,IF(H5094="EO",5.2,IF(H5094="EQ",3.9,IF(H5094="ILF",7.5,IF(H5094="EIF",5.4)))))))</f>
        <v/>
      </c>
      <c r="M5094" s="112" t="str">
        <f t="shared" si="82"/>
        <v/>
      </c>
      <c r="N5094" s="113"/>
    </row>
    <row r="5095" spans="2:14">
      <c r="B5095" s="105"/>
      <c r="C5095" s="106"/>
      <c r="D5095" s="107"/>
      <c r="E5095" s="65"/>
      <c r="F5095" s="64"/>
      <c r="G5095" s="64"/>
      <c r="H5095" s="64"/>
      <c r="I5095" s="70"/>
      <c r="J5095" s="70"/>
      <c r="K5095" s="110" t="str">
        <f>IF(H5095="","",IF($C$29="간이법","",FPR(H5095,I5095,J5095)))</f>
        <v/>
      </c>
      <c r="L5095" s="111" t="str">
        <f>IF(H5095="","",IF($C$29="상세법",FPV(H5095,K5095),IF(H5095="EI",4,IF(H5095="EO",5.2,IF(H5095="EQ",3.9,IF(H5095="ILF",7.5,IF(H5095="EIF",5.4)))))))</f>
        <v/>
      </c>
      <c r="M5095" s="112" t="str">
        <f t="shared" si="82"/>
        <v/>
      </c>
      <c r="N5095" s="113"/>
    </row>
    <row r="5096" spans="2:14">
      <c r="B5096" s="105"/>
      <c r="C5096" s="106"/>
      <c r="D5096" s="107"/>
      <c r="E5096" s="65"/>
      <c r="F5096" s="64"/>
      <c r="G5096" s="64"/>
      <c r="H5096" s="64"/>
      <c r="I5096" s="70"/>
      <c r="J5096" s="70"/>
      <c r="K5096" s="110" t="str">
        <f>IF(H5096="","",IF($C$29="간이법","",FPR(H5096,I5096,J5096)))</f>
        <v/>
      </c>
      <c r="L5096" s="111" t="str">
        <f>IF(H5096="","",IF($C$29="상세법",FPV(H5096,K5096),IF(H5096="EI",4,IF(H5096="EO",5.2,IF(H5096="EQ",3.9,IF(H5096="ILF",7.5,IF(H5096="EIF",5.4)))))))</f>
        <v/>
      </c>
      <c r="M5096" s="112" t="str">
        <f t="shared" si="82"/>
        <v/>
      </c>
      <c r="N5096" s="113"/>
    </row>
    <row r="5097" spans="2:14">
      <c r="B5097" s="105"/>
      <c r="C5097" s="106"/>
      <c r="D5097" s="107"/>
      <c r="E5097" s="65"/>
      <c r="F5097" s="64"/>
      <c r="G5097" s="64"/>
      <c r="H5097" s="64"/>
      <c r="I5097" s="70"/>
      <c r="J5097" s="70"/>
      <c r="K5097" s="110" t="str">
        <f>IF(H5097="","",IF($C$29="간이법","",FPR(H5097,I5097,J5097)))</f>
        <v/>
      </c>
      <c r="L5097" s="111" t="str">
        <f>IF(H5097="","",IF($C$29="상세법",FPV(H5097,K5097),IF(H5097="EI",4,IF(H5097="EO",5.2,IF(H5097="EQ",3.9,IF(H5097="ILF",7.5,IF(H5097="EIF",5.4)))))))</f>
        <v/>
      </c>
      <c r="M5097" s="112" t="str">
        <f t="shared" si="82"/>
        <v/>
      </c>
      <c r="N5097" s="113"/>
    </row>
    <row r="5098" spans="2:14">
      <c r="B5098" s="105"/>
      <c r="C5098" s="106"/>
      <c r="D5098" s="107"/>
      <c r="E5098" s="65"/>
      <c r="F5098" s="64"/>
      <c r="G5098" s="64"/>
      <c r="H5098" s="64"/>
      <c r="I5098" s="70"/>
      <c r="J5098" s="70"/>
      <c r="K5098" s="110" t="str">
        <f>IF(H5098="","",IF($C$29="간이법","",FPR(H5098,I5098,J5098)))</f>
        <v/>
      </c>
      <c r="L5098" s="111" t="str">
        <f>IF(H5098="","",IF($C$29="상세법",FPV(H5098,K5098),IF(H5098="EI",4,IF(H5098="EO",5.2,IF(H5098="EQ",3.9,IF(H5098="ILF",7.5,IF(H5098="EIF",5.4)))))))</f>
        <v/>
      </c>
      <c r="M5098" s="112" t="str">
        <f t="shared" si="82"/>
        <v/>
      </c>
      <c r="N5098" s="113"/>
    </row>
    <row r="5099" spans="2:14">
      <c r="B5099" s="105"/>
      <c r="C5099" s="106"/>
      <c r="D5099" s="107"/>
      <c r="E5099" s="65"/>
      <c r="F5099" s="64"/>
      <c r="G5099" s="64"/>
      <c r="H5099" s="64"/>
      <c r="I5099" s="70"/>
      <c r="J5099" s="70"/>
      <c r="K5099" s="110" t="str">
        <f>IF(H5099="","",IF($C$29="간이법","",FPR(H5099,I5099,J5099)))</f>
        <v/>
      </c>
      <c r="L5099" s="111" t="str">
        <f>IF(H5099="","",IF($C$29="상세법",FPV(H5099,K5099),IF(H5099="EI",4,IF(H5099="EO",5.2,IF(H5099="EQ",3.9,IF(H5099="ILF",7.5,IF(H5099="EIF",5.4)))))))</f>
        <v/>
      </c>
      <c r="M5099" s="112" t="str">
        <f t="shared" si="82"/>
        <v/>
      </c>
      <c r="N5099" s="113"/>
    </row>
    <row r="5100" spans="2:14">
      <c r="B5100" s="105"/>
      <c r="C5100" s="106"/>
      <c r="D5100" s="107"/>
      <c r="E5100" s="65"/>
      <c r="F5100" s="64"/>
      <c r="G5100" s="64"/>
      <c r="H5100" s="64"/>
      <c r="I5100" s="70"/>
      <c r="J5100" s="70"/>
      <c r="K5100" s="110" t="str">
        <f>IF(H5100="","",IF($C$29="간이법","",FPR(H5100,I5100,J5100)))</f>
        <v/>
      </c>
      <c r="L5100" s="111" t="str">
        <f>IF(H5100="","",IF($C$29="상세법",FPV(H5100,K5100),IF(H5100="EI",4,IF(H5100="EO",5.2,IF(H5100="EQ",3.9,IF(H5100="ILF",7.5,IF(H5100="EIF",5.4)))))))</f>
        <v/>
      </c>
      <c r="M5100" s="112" t="str">
        <f t="shared" si="82"/>
        <v/>
      </c>
      <c r="N5100" s="113"/>
    </row>
    <row r="5101" spans="2:14">
      <c r="B5101" s="105"/>
      <c r="C5101" s="106"/>
      <c r="D5101" s="107"/>
      <c r="E5101" s="65"/>
      <c r="F5101" s="64"/>
      <c r="G5101" s="64"/>
      <c r="H5101" s="64"/>
      <c r="I5101" s="70"/>
      <c r="J5101" s="70"/>
      <c r="K5101" s="110" t="str">
        <f>IF(H5101="","",IF($C$29="간이법","",FPR(H5101,I5101,J5101)))</f>
        <v/>
      </c>
      <c r="L5101" s="111" t="str">
        <f>IF(H5101="","",IF($C$29="상세법",FPV(H5101,K5101),IF(H5101="EI",4,IF(H5101="EO",5.2,IF(H5101="EQ",3.9,IF(H5101="ILF",7.5,IF(H5101="EIF",5.4)))))))</f>
        <v/>
      </c>
      <c r="M5101" s="112" t="str">
        <f t="shared" si="82"/>
        <v/>
      </c>
      <c r="N5101" s="113"/>
    </row>
    <row r="5102" spans="2:14">
      <c r="B5102" s="105"/>
      <c r="C5102" s="106"/>
      <c r="D5102" s="107"/>
      <c r="E5102" s="65"/>
      <c r="F5102" s="64"/>
      <c r="G5102" s="64"/>
      <c r="H5102" s="64"/>
      <c r="I5102" s="70"/>
      <c r="J5102" s="70"/>
      <c r="K5102" s="110" t="str">
        <f>IF(H5102="","",IF($C$29="간이법","",FPR(H5102,I5102,J5102)))</f>
        <v/>
      </c>
      <c r="L5102" s="111" t="str">
        <f>IF(H5102="","",IF($C$29="상세법",FPV(H5102,K5102),IF(H5102="EI",4,IF(H5102="EO",5.2,IF(H5102="EQ",3.9,IF(H5102="ILF",7.5,IF(H5102="EIF",5.4)))))))</f>
        <v/>
      </c>
      <c r="M5102" s="112" t="str">
        <f t="shared" si="82"/>
        <v/>
      </c>
      <c r="N5102" s="113"/>
    </row>
    <row r="5103" spans="2:14">
      <c r="B5103" s="105"/>
      <c r="C5103" s="106"/>
      <c r="D5103" s="107"/>
      <c r="E5103" s="65"/>
      <c r="F5103" s="64"/>
      <c r="G5103" s="64"/>
      <c r="H5103" s="64"/>
      <c r="I5103" s="70"/>
      <c r="J5103" s="70"/>
      <c r="K5103" s="110" t="str">
        <f>IF(H5103="","",IF($C$29="간이법","",FPR(H5103,I5103,J5103)))</f>
        <v/>
      </c>
      <c r="L5103" s="111" t="str">
        <f>IF(H5103="","",IF($C$29="상세법",FPV(H5103,K5103),IF(H5103="EI",4,IF(H5103="EO",5.2,IF(H5103="EQ",3.9,IF(H5103="ILF",7.5,IF(H5103="EIF",5.4)))))))</f>
        <v/>
      </c>
      <c r="M5103" s="112" t="str">
        <f t="shared" si="82"/>
        <v/>
      </c>
      <c r="N5103" s="113"/>
    </row>
    <row r="5104" spans="2:14">
      <c r="B5104" s="105"/>
      <c r="C5104" s="106"/>
      <c r="D5104" s="107"/>
      <c r="E5104" s="65"/>
      <c r="F5104" s="64"/>
      <c r="G5104" s="64"/>
      <c r="H5104" s="64"/>
      <c r="I5104" s="70"/>
      <c r="J5104" s="70"/>
      <c r="K5104" s="110" t="str">
        <f>IF(H5104="","",IF($C$29="간이법","",FPR(H5104,I5104,J5104)))</f>
        <v/>
      </c>
      <c r="L5104" s="111" t="str">
        <f>IF(H5104="","",IF($C$29="상세법",FPV(H5104,K5104),IF(H5104="EI",4,IF(H5104="EO",5.2,IF(H5104="EQ",3.9,IF(H5104="ILF",7.5,IF(H5104="EIF",5.4)))))))</f>
        <v/>
      </c>
      <c r="M5104" s="112" t="str">
        <f t="shared" si="82"/>
        <v/>
      </c>
      <c r="N5104" s="113"/>
    </row>
    <row r="5105" spans="2:14">
      <c r="B5105" s="105"/>
      <c r="C5105" s="106"/>
      <c r="D5105" s="107"/>
      <c r="E5105" s="65"/>
      <c r="F5105" s="64"/>
      <c r="G5105" s="64"/>
      <c r="H5105" s="64"/>
      <c r="I5105" s="70"/>
      <c r="J5105" s="70"/>
      <c r="K5105" s="110" t="str">
        <f>IF(H5105="","",IF($C$29="간이법","",FPR(H5105,I5105,J5105)))</f>
        <v/>
      </c>
      <c r="L5105" s="111" t="str">
        <f>IF(H5105="","",IF($C$29="상세법",FPV(H5105,K5105),IF(H5105="EI",4,IF(H5105="EO",5.2,IF(H5105="EQ",3.9,IF(H5105="ILF",7.5,IF(H5105="EIF",5.4)))))))</f>
        <v/>
      </c>
      <c r="M5105" s="112" t="str">
        <f t="shared" si="82"/>
        <v/>
      </c>
      <c r="N5105" s="113"/>
    </row>
    <row r="5106" spans="2:14">
      <c r="B5106" s="105"/>
      <c r="C5106" s="106"/>
      <c r="D5106" s="107"/>
      <c r="E5106" s="65"/>
      <c r="F5106" s="64"/>
      <c r="G5106" s="64"/>
      <c r="H5106" s="64"/>
      <c r="I5106" s="70"/>
      <c r="J5106" s="70"/>
      <c r="K5106" s="110" t="str">
        <f>IF(H5106="","",IF($C$29="간이법","",FPR(H5106,I5106,J5106)))</f>
        <v/>
      </c>
      <c r="L5106" s="111" t="str">
        <f>IF(H5106="","",IF($C$29="상세법",FPV(H5106,K5106),IF(H5106="EI",4,IF(H5106="EO",5.2,IF(H5106="EQ",3.9,IF(H5106="ILF",7.5,IF(H5106="EIF",5.4)))))))</f>
        <v/>
      </c>
      <c r="M5106" s="112" t="str">
        <f t="shared" si="82"/>
        <v/>
      </c>
      <c r="N5106" s="113"/>
    </row>
    <row r="5107" spans="2:14">
      <c r="B5107" s="105"/>
      <c r="C5107" s="106"/>
      <c r="D5107" s="107"/>
      <c r="E5107" s="65"/>
      <c r="F5107" s="64"/>
      <c r="G5107" s="64"/>
      <c r="H5107" s="64"/>
      <c r="I5107" s="70"/>
      <c r="J5107" s="70"/>
      <c r="K5107" s="110" t="str">
        <f>IF(H5107="","",IF($C$29="간이법","",FPR(H5107,I5107,J5107)))</f>
        <v/>
      </c>
      <c r="L5107" s="111" t="str">
        <f>IF(H5107="","",IF($C$29="상세법",FPV(H5107,K5107),IF(H5107="EI",4,IF(H5107="EO",5.2,IF(H5107="EQ",3.9,IF(H5107="ILF",7.5,IF(H5107="EIF",5.4)))))))</f>
        <v/>
      </c>
      <c r="M5107" s="112" t="str">
        <f t="shared" si="82"/>
        <v/>
      </c>
      <c r="N5107" s="113"/>
    </row>
    <row r="5108" spans="2:14">
      <c r="B5108" s="105"/>
      <c r="C5108" s="106"/>
      <c r="D5108" s="107"/>
      <c r="E5108" s="65"/>
      <c r="F5108" s="64"/>
      <c r="G5108" s="64"/>
      <c r="H5108" s="64"/>
      <c r="I5108" s="70"/>
      <c r="J5108" s="70"/>
      <c r="K5108" s="110" t="str">
        <f>IF(H5108="","",IF($C$29="간이법","",FPR(H5108,I5108,J5108)))</f>
        <v/>
      </c>
      <c r="L5108" s="111" t="str">
        <f>IF(H5108="","",IF($C$29="상세법",FPV(H5108,K5108),IF(H5108="EI",4,IF(H5108="EO",5.2,IF(H5108="EQ",3.9,IF(H5108="ILF",7.5,IF(H5108="EIF",5.4)))))))</f>
        <v/>
      </c>
      <c r="M5108" s="112" t="str">
        <f t="shared" si="82"/>
        <v/>
      </c>
      <c r="N5108" s="113"/>
    </row>
    <row r="5109" spans="2:14">
      <c r="B5109" s="105"/>
      <c r="C5109" s="106"/>
      <c r="D5109" s="107"/>
      <c r="E5109" s="65"/>
      <c r="F5109" s="64"/>
      <c r="G5109" s="64"/>
      <c r="H5109" s="64"/>
      <c r="I5109" s="70"/>
      <c r="J5109" s="70"/>
      <c r="K5109" s="110" t="str">
        <f>IF(H5109="","",IF($C$29="간이법","",FPR(H5109,I5109,J5109)))</f>
        <v/>
      </c>
      <c r="L5109" s="111" t="str">
        <f>IF(H5109="","",IF($C$29="상세법",FPV(H5109,K5109),IF(H5109="EI",4,IF(H5109="EO",5.2,IF(H5109="EQ",3.9,IF(H5109="ILF",7.5,IF(H5109="EIF",5.4)))))))</f>
        <v/>
      </c>
      <c r="M5109" s="112" t="str">
        <f t="shared" si="82"/>
        <v/>
      </c>
      <c r="N5109" s="113"/>
    </row>
    <row r="5110" spans="2:14">
      <c r="B5110" s="105"/>
      <c r="C5110" s="106"/>
      <c r="D5110" s="107"/>
      <c r="E5110" s="65"/>
      <c r="F5110" s="64"/>
      <c r="G5110" s="64"/>
      <c r="H5110" s="64"/>
      <c r="I5110" s="70"/>
      <c r="J5110" s="70"/>
      <c r="K5110" s="110" t="str">
        <f>IF(H5110="","",IF($C$29="간이법","",FPR(H5110,I5110,J5110)))</f>
        <v/>
      </c>
      <c r="L5110" s="111" t="str">
        <f>IF(H5110="","",IF($C$29="상세법",FPV(H5110,K5110),IF(H5110="EI",4,IF(H5110="EO",5.2,IF(H5110="EQ",3.9,IF(H5110="ILF",7.5,IF(H5110="EIF",5.4)))))))</f>
        <v/>
      </c>
      <c r="M5110" s="112" t="str">
        <f t="shared" si="82"/>
        <v/>
      </c>
      <c r="N5110" s="113"/>
    </row>
    <row r="5111" spans="2:14">
      <c r="B5111" s="105"/>
      <c r="C5111" s="106"/>
      <c r="D5111" s="107"/>
      <c r="E5111" s="65"/>
      <c r="F5111" s="64"/>
      <c r="G5111" s="64"/>
      <c r="H5111" s="64"/>
      <c r="I5111" s="70"/>
      <c r="J5111" s="70"/>
      <c r="K5111" s="110" t="str">
        <f>IF(H5111="","",IF($C$29="간이법","",FPR(H5111,I5111,J5111)))</f>
        <v/>
      </c>
      <c r="L5111" s="111" t="str">
        <f>IF(H5111="","",IF($C$29="상세법",FPV(H5111,K5111),IF(H5111="EI",4,IF(H5111="EO",5.2,IF(H5111="EQ",3.9,IF(H5111="ILF",7.5,IF(H5111="EIF",5.4)))))))</f>
        <v/>
      </c>
      <c r="M5111" s="112" t="str">
        <f t="shared" si="82"/>
        <v/>
      </c>
      <c r="N5111" s="113"/>
    </row>
    <row r="5112" spans="2:14">
      <c r="B5112" s="105"/>
      <c r="C5112" s="106"/>
      <c r="D5112" s="107"/>
      <c r="E5112" s="65"/>
      <c r="F5112" s="64"/>
      <c r="G5112" s="64"/>
      <c r="H5112" s="64"/>
      <c r="I5112" s="70"/>
      <c r="J5112" s="70"/>
      <c r="K5112" s="110" t="str">
        <f>IF(H5112="","",IF($C$29="간이법","",FPR(H5112,I5112,J5112)))</f>
        <v/>
      </c>
      <c r="L5112" s="111" t="str">
        <f>IF(H5112="","",IF($C$29="상세법",FPV(H5112,K5112),IF(H5112="EI",4,IF(H5112="EO",5.2,IF(H5112="EQ",3.9,IF(H5112="ILF",7.5,IF(H5112="EIF",5.4)))))))</f>
        <v/>
      </c>
      <c r="M5112" s="112" t="str">
        <f t="shared" si="82"/>
        <v/>
      </c>
      <c r="N5112" s="113"/>
    </row>
    <row r="5113" spans="2:14">
      <c r="B5113" s="105"/>
      <c r="C5113" s="106"/>
      <c r="D5113" s="107"/>
      <c r="E5113" s="65"/>
      <c r="F5113" s="64"/>
      <c r="G5113" s="64"/>
      <c r="H5113" s="64"/>
      <c r="I5113" s="70"/>
      <c r="J5113" s="70"/>
      <c r="K5113" s="110" t="str">
        <f>IF(H5113="","",IF($C$29="간이법","",FPR(H5113,I5113,J5113)))</f>
        <v/>
      </c>
      <c r="L5113" s="111" t="str">
        <f>IF(H5113="","",IF($C$29="상세법",FPV(H5113,K5113),IF(H5113="EI",4,IF(H5113="EO",5.2,IF(H5113="EQ",3.9,IF(H5113="ILF",7.5,IF(H5113="EIF",5.4)))))))</f>
        <v/>
      </c>
      <c r="M5113" s="112" t="str">
        <f t="shared" ref="M5113:M5176" si="83">IF(L5113="","",L5113*IF(G5113="상",0.7,IF(G5113="중",0.5,IF(G5113="하",0.2,1))))</f>
        <v/>
      </c>
      <c r="N5113" s="113"/>
    </row>
    <row r="5114" spans="2:14">
      <c r="B5114" s="105"/>
      <c r="C5114" s="106"/>
      <c r="D5114" s="107"/>
      <c r="E5114" s="65"/>
      <c r="F5114" s="64"/>
      <c r="G5114" s="64"/>
      <c r="H5114" s="64"/>
      <c r="I5114" s="70"/>
      <c r="J5114" s="70"/>
      <c r="K5114" s="110" t="str">
        <f>IF(H5114="","",IF($C$29="간이법","",FPR(H5114,I5114,J5114)))</f>
        <v/>
      </c>
      <c r="L5114" s="111" t="str">
        <f>IF(H5114="","",IF($C$29="상세법",FPV(H5114,K5114),IF(H5114="EI",4,IF(H5114="EO",5.2,IF(H5114="EQ",3.9,IF(H5114="ILF",7.5,IF(H5114="EIF",5.4)))))))</f>
        <v/>
      </c>
      <c r="M5114" s="112" t="str">
        <f t="shared" si="83"/>
        <v/>
      </c>
      <c r="N5114" s="113"/>
    </row>
    <row r="5115" spans="2:14">
      <c r="B5115" s="105"/>
      <c r="C5115" s="106"/>
      <c r="D5115" s="107"/>
      <c r="E5115" s="65"/>
      <c r="F5115" s="64"/>
      <c r="G5115" s="64"/>
      <c r="H5115" s="64"/>
      <c r="I5115" s="70"/>
      <c r="J5115" s="70"/>
      <c r="K5115" s="110" t="str">
        <f>IF(H5115="","",IF($C$29="간이법","",FPR(H5115,I5115,J5115)))</f>
        <v/>
      </c>
      <c r="L5115" s="111" t="str">
        <f>IF(H5115="","",IF($C$29="상세법",FPV(H5115,K5115),IF(H5115="EI",4,IF(H5115="EO",5.2,IF(H5115="EQ",3.9,IF(H5115="ILF",7.5,IF(H5115="EIF",5.4)))))))</f>
        <v/>
      </c>
      <c r="M5115" s="112" t="str">
        <f t="shared" si="83"/>
        <v/>
      </c>
      <c r="N5115" s="113"/>
    </row>
    <row r="5116" spans="2:14">
      <c r="B5116" s="105"/>
      <c r="C5116" s="106"/>
      <c r="D5116" s="107"/>
      <c r="E5116" s="65"/>
      <c r="F5116" s="64"/>
      <c r="G5116" s="64"/>
      <c r="H5116" s="64"/>
      <c r="I5116" s="70"/>
      <c r="J5116" s="70"/>
      <c r="K5116" s="110" t="str">
        <f>IF(H5116="","",IF($C$29="간이법","",FPR(H5116,I5116,J5116)))</f>
        <v/>
      </c>
      <c r="L5116" s="111" t="str">
        <f>IF(H5116="","",IF($C$29="상세법",FPV(H5116,K5116),IF(H5116="EI",4,IF(H5116="EO",5.2,IF(H5116="EQ",3.9,IF(H5116="ILF",7.5,IF(H5116="EIF",5.4)))))))</f>
        <v/>
      </c>
      <c r="M5116" s="112" t="str">
        <f t="shared" si="83"/>
        <v/>
      </c>
      <c r="N5116" s="113"/>
    </row>
    <row r="5117" spans="2:14">
      <c r="B5117" s="105"/>
      <c r="C5117" s="106"/>
      <c r="D5117" s="107"/>
      <c r="E5117" s="65"/>
      <c r="F5117" s="64"/>
      <c r="G5117" s="64"/>
      <c r="H5117" s="64"/>
      <c r="I5117" s="70"/>
      <c r="J5117" s="70"/>
      <c r="K5117" s="110" t="str">
        <f>IF(H5117="","",IF($C$29="간이법","",FPR(H5117,I5117,J5117)))</f>
        <v/>
      </c>
      <c r="L5117" s="111" t="str">
        <f>IF(H5117="","",IF($C$29="상세법",FPV(H5117,K5117),IF(H5117="EI",4,IF(H5117="EO",5.2,IF(H5117="EQ",3.9,IF(H5117="ILF",7.5,IF(H5117="EIF",5.4)))))))</f>
        <v/>
      </c>
      <c r="M5117" s="112" t="str">
        <f t="shared" si="83"/>
        <v/>
      </c>
      <c r="N5117" s="113"/>
    </row>
    <row r="5118" spans="2:14">
      <c r="B5118" s="105"/>
      <c r="C5118" s="106"/>
      <c r="D5118" s="107"/>
      <c r="E5118" s="65"/>
      <c r="F5118" s="64"/>
      <c r="G5118" s="64"/>
      <c r="H5118" s="64"/>
      <c r="I5118" s="70"/>
      <c r="J5118" s="70"/>
      <c r="K5118" s="110" t="str">
        <f>IF(H5118="","",IF($C$29="간이법","",FPR(H5118,I5118,J5118)))</f>
        <v/>
      </c>
      <c r="L5118" s="111" t="str">
        <f>IF(H5118="","",IF($C$29="상세법",FPV(H5118,K5118),IF(H5118="EI",4,IF(H5118="EO",5.2,IF(H5118="EQ",3.9,IF(H5118="ILF",7.5,IF(H5118="EIF",5.4)))))))</f>
        <v/>
      </c>
      <c r="M5118" s="112" t="str">
        <f t="shared" si="83"/>
        <v/>
      </c>
      <c r="N5118" s="113"/>
    </row>
    <row r="5119" spans="2:14">
      <c r="B5119" s="105"/>
      <c r="C5119" s="106"/>
      <c r="D5119" s="107"/>
      <c r="E5119" s="65"/>
      <c r="F5119" s="64"/>
      <c r="G5119" s="64"/>
      <c r="H5119" s="64"/>
      <c r="I5119" s="70"/>
      <c r="J5119" s="70"/>
      <c r="K5119" s="110" t="str">
        <f>IF(H5119="","",IF($C$29="간이법","",FPR(H5119,I5119,J5119)))</f>
        <v/>
      </c>
      <c r="L5119" s="111" t="str">
        <f>IF(H5119="","",IF($C$29="상세법",FPV(H5119,K5119),IF(H5119="EI",4,IF(H5119="EO",5.2,IF(H5119="EQ",3.9,IF(H5119="ILF",7.5,IF(H5119="EIF",5.4)))))))</f>
        <v/>
      </c>
      <c r="M5119" s="112" t="str">
        <f t="shared" si="83"/>
        <v/>
      </c>
      <c r="N5119" s="113"/>
    </row>
    <row r="5120" spans="2:14">
      <c r="B5120" s="105"/>
      <c r="C5120" s="106"/>
      <c r="D5120" s="107"/>
      <c r="E5120" s="65"/>
      <c r="F5120" s="64"/>
      <c r="G5120" s="64"/>
      <c r="H5120" s="64"/>
      <c r="I5120" s="70"/>
      <c r="J5120" s="70"/>
      <c r="K5120" s="110" t="str">
        <f>IF(H5120="","",IF($C$29="간이법","",FPR(H5120,I5120,J5120)))</f>
        <v/>
      </c>
      <c r="L5120" s="111" t="str">
        <f>IF(H5120="","",IF($C$29="상세법",FPV(H5120,K5120),IF(H5120="EI",4,IF(H5120="EO",5.2,IF(H5120="EQ",3.9,IF(H5120="ILF",7.5,IF(H5120="EIF",5.4)))))))</f>
        <v/>
      </c>
      <c r="M5120" s="112" t="str">
        <f t="shared" si="83"/>
        <v/>
      </c>
      <c r="N5120" s="113"/>
    </row>
    <row r="5121" spans="2:14">
      <c r="B5121" s="105"/>
      <c r="C5121" s="106"/>
      <c r="D5121" s="107"/>
      <c r="E5121" s="65"/>
      <c r="F5121" s="64"/>
      <c r="G5121" s="64"/>
      <c r="H5121" s="64"/>
      <c r="I5121" s="70"/>
      <c r="J5121" s="70"/>
      <c r="K5121" s="110" t="str">
        <f>IF(H5121="","",IF($C$29="간이법","",FPR(H5121,I5121,J5121)))</f>
        <v/>
      </c>
      <c r="L5121" s="111" t="str">
        <f>IF(H5121="","",IF($C$29="상세법",FPV(H5121,K5121),IF(H5121="EI",4,IF(H5121="EO",5.2,IF(H5121="EQ",3.9,IF(H5121="ILF",7.5,IF(H5121="EIF",5.4)))))))</f>
        <v/>
      </c>
      <c r="M5121" s="112" t="str">
        <f t="shared" si="83"/>
        <v/>
      </c>
      <c r="N5121" s="113"/>
    </row>
    <row r="5122" spans="2:14">
      <c r="B5122" s="105"/>
      <c r="C5122" s="106"/>
      <c r="D5122" s="107"/>
      <c r="E5122" s="65"/>
      <c r="F5122" s="64"/>
      <c r="G5122" s="64"/>
      <c r="H5122" s="64"/>
      <c r="I5122" s="70"/>
      <c r="J5122" s="70"/>
      <c r="K5122" s="110" t="str">
        <f>IF(H5122="","",IF($C$29="간이법","",FPR(H5122,I5122,J5122)))</f>
        <v/>
      </c>
      <c r="L5122" s="111" t="str">
        <f>IF(H5122="","",IF($C$29="상세법",FPV(H5122,K5122),IF(H5122="EI",4,IF(H5122="EO",5.2,IF(H5122="EQ",3.9,IF(H5122="ILF",7.5,IF(H5122="EIF",5.4)))))))</f>
        <v/>
      </c>
      <c r="M5122" s="112" t="str">
        <f t="shared" si="83"/>
        <v/>
      </c>
      <c r="N5122" s="113"/>
    </row>
    <row r="5123" spans="2:14">
      <c r="B5123" s="105"/>
      <c r="C5123" s="106"/>
      <c r="D5123" s="107"/>
      <c r="E5123" s="65"/>
      <c r="F5123" s="64"/>
      <c r="G5123" s="64"/>
      <c r="H5123" s="64"/>
      <c r="I5123" s="70"/>
      <c r="J5123" s="70"/>
      <c r="K5123" s="110" t="str">
        <f>IF(H5123="","",IF($C$29="간이법","",FPR(H5123,I5123,J5123)))</f>
        <v/>
      </c>
      <c r="L5123" s="111" t="str">
        <f>IF(H5123="","",IF($C$29="상세법",FPV(H5123,K5123),IF(H5123="EI",4,IF(H5123="EO",5.2,IF(H5123="EQ",3.9,IF(H5123="ILF",7.5,IF(H5123="EIF",5.4)))))))</f>
        <v/>
      </c>
      <c r="M5123" s="112" t="str">
        <f t="shared" si="83"/>
        <v/>
      </c>
      <c r="N5123" s="113"/>
    </row>
    <row r="5124" spans="2:14">
      <c r="B5124" s="105"/>
      <c r="C5124" s="106"/>
      <c r="D5124" s="107"/>
      <c r="E5124" s="65"/>
      <c r="F5124" s="64"/>
      <c r="G5124" s="64"/>
      <c r="H5124" s="64"/>
      <c r="I5124" s="70"/>
      <c r="J5124" s="70"/>
      <c r="K5124" s="110" t="str">
        <f>IF(H5124="","",IF($C$29="간이법","",FPR(H5124,I5124,J5124)))</f>
        <v/>
      </c>
      <c r="L5124" s="111" t="str">
        <f>IF(H5124="","",IF($C$29="상세법",FPV(H5124,K5124),IF(H5124="EI",4,IF(H5124="EO",5.2,IF(H5124="EQ",3.9,IF(H5124="ILF",7.5,IF(H5124="EIF",5.4)))))))</f>
        <v/>
      </c>
      <c r="M5124" s="112" t="str">
        <f t="shared" si="83"/>
        <v/>
      </c>
      <c r="N5124" s="113"/>
    </row>
    <row r="5125" spans="2:14">
      <c r="B5125" s="105"/>
      <c r="C5125" s="106"/>
      <c r="D5125" s="107"/>
      <c r="E5125" s="65"/>
      <c r="F5125" s="64"/>
      <c r="G5125" s="64"/>
      <c r="H5125" s="64"/>
      <c r="I5125" s="70"/>
      <c r="J5125" s="70"/>
      <c r="K5125" s="110" t="str">
        <f>IF(H5125="","",IF($C$29="간이법","",FPR(H5125,I5125,J5125)))</f>
        <v/>
      </c>
      <c r="L5125" s="111" t="str">
        <f>IF(H5125="","",IF($C$29="상세법",FPV(H5125,K5125),IF(H5125="EI",4,IF(H5125="EO",5.2,IF(H5125="EQ",3.9,IF(H5125="ILF",7.5,IF(H5125="EIF",5.4)))))))</f>
        <v/>
      </c>
      <c r="M5125" s="112" t="str">
        <f t="shared" si="83"/>
        <v/>
      </c>
      <c r="N5125" s="113"/>
    </row>
    <row r="5126" spans="2:14">
      <c r="B5126" s="105"/>
      <c r="C5126" s="106"/>
      <c r="D5126" s="107"/>
      <c r="E5126" s="65"/>
      <c r="F5126" s="64"/>
      <c r="G5126" s="64"/>
      <c r="H5126" s="64"/>
      <c r="I5126" s="70"/>
      <c r="J5126" s="70"/>
      <c r="K5126" s="110" t="str">
        <f>IF(H5126="","",IF($C$29="간이법","",FPR(H5126,I5126,J5126)))</f>
        <v/>
      </c>
      <c r="L5126" s="111" t="str">
        <f>IF(H5126="","",IF($C$29="상세법",FPV(H5126,K5126),IF(H5126="EI",4,IF(H5126="EO",5.2,IF(H5126="EQ",3.9,IF(H5126="ILF",7.5,IF(H5126="EIF",5.4)))))))</f>
        <v/>
      </c>
      <c r="M5126" s="112" t="str">
        <f t="shared" si="83"/>
        <v/>
      </c>
      <c r="N5126" s="113"/>
    </row>
    <row r="5127" spans="2:14">
      <c r="B5127" s="105"/>
      <c r="C5127" s="106"/>
      <c r="D5127" s="107"/>
      <c r="E5127" s="65"/>
      <c r="F5127" s="64"/>
      <c r="G5127" s="64"/>
      <c r="H5127" s="64"/>
      <c r="I5127" s="70"/>
      <c r="J5127" s="70"/>
      <c r="K5127" s="110" t="str">
        <f>IF(H5127="","",IF($C$29="간이법","",FPR(H5127,I5127,J5127)))</f>
        <v/>
      </c>
      <c r="L5127" s="111" t="str">
        <f>IF(H5127="","",IF($C$29="상세법",FPV(H5127,K5127),IF(H5127="EI",4,IF(H5127="EO",5.2,IF(H5127="EQ",3.9,IF(H5127="ILF",7.5,IF(H5127="EIF",5.4)))))))</f>
        <v/>
      </c>
      <c r="M5127" s="112" t="str">
        <f t="shared" si="83"/>
        <v/>
      </c>
      <c r="N5127" s="113"/>
    </row>
    <row r="5128" spans="2:14">
      <c r="B5128" s="105"/>
      <c r="C5128" s="106"/>
      <c r="D5128" s="107"/>
      <c r="E5128" s="65"/>
      <c r="F5128" s="64"/>
      <c r="G5128" s="64"/>
      <c r="H5128" s="64"/>
      <c r="I5128" s="70"/>
      <c r="J5128" s="70"/>
      <c r="K5128" s="110" t="str">
        <f>IF(H5128="","",IF($C$29="간이법","",FPR(H5128,I5128,J5128)))</f>
        <v/>
      </c>
      <c r="L5128" s="111" t="str">
        <f>IF(H5128="","",IF($C$29="상세법",FPV(H5128,K5128),IF(H5128="EI",4,IF(H5128="EO",5.2,IF(H5128="EQ",3.9,IF(H5128="ILF",7.5,IF(H5128="EIF",5.4)))))))</f>
        <v/>
      </c>
      <c r="M5128" s="112" t="str">
        <f t="shared" si="83"/>
        <v/>
      </c>
      <c r="N5128" s="113"/>
    </row>
    <row r="5129" spans="2:14">
      <c r="B5129" s="105"/>
      <c r="C5129" s="106"/>
      <c r="D5129" s="107"/>
      <c r="E5129" s="65"/>
      <c r="F5129" s="64"/>
      <c r="G5129" s="64"/>
      <c r="H5129" s="64"/>
      <c r="I5129" s="70"/>
      <c r="J5129" s="70"/>
      <c r="K5129" s="110" t="str">
        <f>IF(H5129="","",IF($C$29="간이법","",FPR(H5129,I5129,J5129)))</f>
        <v/>
      </c>
      <c r="L5129" s="111" t="str">
        <f>IF(H5129="","",IF($C$29="상세법",FPV(H5129,K5129),IF(H5129="EI",4,IF(H5129="EO",5.2,IF(H5129="EQ",3.9,IF(H5129="ILF",7.5,IF(H5129="EIF",5.4)))))))</f>
        <v/>
      </c>
      <c r="M5129" s="112" t="str">
        <f t="shared" si="83"/>
        <v/>
      </c>
      <c r="N5129" s="113"/>
    </row>
    <row r="5130" spans="2:14">
      <c r="B5130" s="105"/>
      <c r="C5130" s="106"/>
      <c r="D5130" s="107"/>
      <c r="E5130" s="65"/>
      <c r="F5130" s="64"/>
      <c r="G5130" s="64"/>
      <c r="H5130" s="64"/>
      <c r="I5130" s="70"/>
      <c r="J5130" s="70"/>
      <c r="K5130" s="110" t="str">
        <f>IF(H5130="","",IF($C$29="간이법","",FPR(H5130,I5130,J5130)))</f>
        <v/>
      </c>
      <c r="L5130" s="111" t="str">
        <f>IF(H5130="","",IF($C$29="상세법",FPV(H5130,K5130),IF(H5130="EI",4,IF(H5130="EO",5.2,IF(H5130="EQ",3.9,IF(H5130="ILF",7.5,IF(H5130="EIF",5.4)))))))</f>
        <v/>
      </c>
      <c r="M5130" s="112" t="str">
        <f t="shared" si="83"/>
        <v/>
      </c>
      <c r="N5130" s="113"/>
    </row>
    <row r="5131" spans="2:14">
      <c r="B5131" s="105"/>
      <c r="C5131" s="106"/>
      <c r="D5131" s="107"/>
      <c r="E5131" s="65"/>
      <c r="F5131" s="64"/>
      <c r="G5131" s="64"/>
      <c r="H5131" s="64"/>
      <c r="I5131" s="70"/>
      <c r="J5131" s="70"/>
      <c r="K5131" s="110" t="str">
        <f>IF(H5131="","",IF($C$29="간이법","",FPR(H5131,I5131,J5131)))</f>
        <v/>
      </c>
      <c r="L5131" s="111" t="str">
        <f>IF(H5131="","",IF($C$29="상세법",FPV(H5131,K5131),IF(H5131="EI",4,IF(H5131="EO",5.2,IF(H5131="EQ",3.9,IF(H5131="ILF",7.5,IF(H5131="EIF",5.4)))))))</f>
        <v/>
      </c>
      <c r="M5131" s="112" t="str">
        <f t="shared" si="83"/>
        <v/>
      </c>
      <c r="N5131" s="113"/>
    </row>
    <row r="5132" spans="2:14">
      <c r="B5132" s="105"/>
      <c r="C5132" s="106"/>
      <c r="D5132" s="107"/>
      <c r="E5132" s="65"/>
      <c r="F5132" s="64"/>
      <c r="G5132" s="64"/>
      <c r="H5132" s="64"/>
      <c r="I5132" s="70"/>
      <c r="J5132" s="70"/>
      <c r="K5132" s="110" t="str">
        <f>IF(H5132="","",IF($C$29="간이법","",FPR(H5132,I5132,J5132)))</f>
        <v/>
      </c>
      <c r="L5132" s="111" t="str">
        <f>IF(H5132="","",IF($C$29="상세법",FPV(H5132,K5132),IF(H5132="EI",4,IF(H5132="EO",5.2,IF(H5132="EQ",3.9,IF(H5132="ILF",7.5,IF(H5132="EIF",5.4)))))))</f>
        <v/>
      </c>
      <c r="M5132" s="112" t="str">
        <f t="shared" si="83"/>
        <v/>
      </c>
      <c r="N5132" s="113"/>
    </row>
    <row r="5133" spans="2:14">
      <c r="B5133" s="105"/>
      <c r="C5133" s="106"/>
      <c r="D5133" s="107"/>
      <c r="E5133" s="65"/>
      <c r="F5133" s="64"/>
      <c r="G5133" s="64"/>
      <c r="H5133" s="64"/>
      <c r="I5133" s="70"/>
      <c r="J5133" s="70"/>
      <c r="K5133" s="110" t="str">
        <f>IF(H5133="","",IF($C$29="간이법","",FPR(H5133,I5133,J5133)))</f>
        <v/>
      </c>
      <c r="L5133" s="111" t="str">
        <f>IF(H5133="","",IF($C$29="상세법",FPV(H5133,K5133),IF(H5133="EI",4,IF(H5133="EO",5.2,IF(H5133="EQ",3.9,IF(H5133="ILF",7.5,IF(H5133="EIF",5.4)))))))</f>
        <v/>
      </c>
      <c r="M5133" s="112" t="str">
        <f t="shared" si="83"/>
        <v/>
      </c>
      <c r="N5133" s="113"/>
    </row>
    <row r="5134" spans="2:14">
      <c r="B5134" s="105"/>
      <c r="C5134" s="106"/>
      <c r="D5134" s="107"/>
      <c r="E5134" s="65"/>
      <c r="F5134" s="64"/>
      <c r="G5134" s="64"/>
      <c r="H5134" s="64"/>
      <c r="I5134" s="70"/>
      <c r="J5134" s="70"/>
      <c r="K5134" s="110" t="str">
        <f>IF(H5134="","",IF($C$29="간이법","",FPR(H5134,I5134,J5134)))</f>
        <v/>
      </c>
      <c r="L5134" s="111" t="str">
        <f>IF(H5134="","",IF($C$29="상세법",FPV(H5134,K5134),IF(H5134="EI",4,IF(H5134="EO",5.2,IF(H5134="EQ",3.9,IF(H5134="ILF",7.5,IF(H5134="EIF",5.4)))))))</f>
        <v/>
      </c>
      <c r="M5134" s="112" t="str">
        <f t="shared" si="83"/>
        <v/>
      </c>
      <c r="N5134" s="113"/>
    </row>
    <row r="5135" spans="2:14">
      <c r="B5135" s="105"/>
      <c r="C5135" s="106"/>
      <c r="D5135" s="107"/>
      <c r="E5135" s="65"/>
      <c r="F5135" s="64"/>
      <c r="G5135" s="64"/>
      <c r="H5135" s="64"/>
      <c r="I5135" s="70"/>
      <c r="J5135" s="70"/>
      <c r="K5135" s="110" t="str">
        <f>IF(H5135="","",IF($C$29="간이법","",FPR(H5135,I5135,J5135)))</f>
        <v/>
      </c>
      <c r="L5135" s="111" t="str">
        <f>IF(H5135="","",IF($C$29="상세법",FPV(H5135,K5135),IF(H5135="EI",4,IF(H5135="EO",5.2,IF(H5135="EQ",3.9,IF(H5135="ILF",7.5,IF(H5135="EIF",5.4)))))))</f>
        <v/>
      </c>
      <c r="M5135" s="112" t="str">
        <f t="shared" si="83"/>
        <v/>
      </c>
      <c r="N5135" s="113"/>
    </row>
    <row r="5136" spans="2:14">
      <c r="B5136" s="105"/>
      <c r="C5136" s="106"/>
      <c r="D5136" s="107"/>
      <c r="E5136" s="65"/>
      <c r="F5136" s="64"/>
      <c r="G5136" s="64"/>
      <c r="H5136" s="64"/>
      <c r="I5136" s="70"/>
      <c r="J5136" s="70"/>
      <c r="K5136" s="110" t="str">
        <f>IF(H5136="","",IF($C$29="간이법","",FPR(H5136,I5136,J5136)))</f>
        <v/>
      </c>
      <c r="L5136" s="111" t="str">
        <f>IF(H5136="","",IF($C$29="상세법",FPV(H5136,K5136),IF(H5136="EI",4,IF(H5136="EO",5.2,IF(H5136="EQ",3.9,IF(H5136="ILF",7.5,IF(H5136="EIF",5.4)))))))</f>
        <v/>
      </c>
      <c r="M5136" s="112" t="str">
        <f t="shared" si="83"/>
        <v/>
      </c>
      <c r="N5136" s="113"/>
    </row>
    <row r="5137" spans="2:14">
      <c r="B5137" s="105"/>
      <c r="C5137" s="106"/>
      <c r="D5137" s="107"/>
      <c r="E5137" s="65"/>
      <c r="F5137" s="64"/>
      <c r="G5137" s="64"/>
      <c r="H5137" s="64"/>
      <c r="I5137" s="70"/>
      <c r="J5137" s="70"/>
      <c r="K5137" s="110" t="str">
        <f>IF(H5137="","",IF($C$29="간이법","",FPR(H5137,I5137,J5137)))</f>
        <v/>
      </c>
      <c r="L5137" s="111" t="str">
        <f>IF(H5137="","",IF($C$29="상세법",FPV(H5137,K5137),IF(H5137="EI",4,IF(H5137="EO",5.2,IF(H5137="EQ",3.9,IF(H5137="ILF",7.5,IF(H5137="EIF",5.4)))))))</f>
        <v/>
      </c>
      <c r="M5137" s="112" t="str">
        <f t="shared" si="83"/>
        <v/>
      </c>
      <c r="N5137" s="113"/>
    </row>
    <row r="5138" spans="2:14">
      <c r="B5138" s="105"/>
      <c r="C5138" s="106"/>
      <c r="D5138" s="107"/>
      <c r="E5138" s="65"/>
      <c r="F5138" s="64"/>
      <c r="G5138" s="64"/>
      <c r="H5138" s="64"/>
      <c r="I5138" s="70"/>
      <c r="J5138" s="70"/>
      <c r="K5138" s="110" t="str">
        <f>IF(H5138="","",IF($C$29="간이법","",FPR(H5138,I5138,J5138)))</f>
        <v/>
      </c>
      <c r="L5138" s="111" t="str">
        <f>IF(H5138="","",IF($C$29="상세법",FPV(H5138,K5138),IF(H5138="EI",4,IF(H5138="EO",5.2,IF(H5138="EQ",3.9,IF(H5138="ILF",7.5,IF(H5138="EIF",5.4)))))))</f>
        <v/>
      </c>
      <c r="M5138" s="112" t="str">
        <f t="shared" si="83"/>
        <v/>
      </c>
      <c r="N5138" s="113"/>
    </row>
    <row r="5139" spans="2:14">
      <c r="B5139" s="105"/>
      <c r="C5139" s="106"/>
      <c r="D5139" s="107"/>
      <c r="E5139" s="65"/>
      <c r="F5139" s="64"/>
      <c r="G5139" s="64"/>
      <c r="H5139" s="64"/>
      <c r="I5139" s="70"/>
      <c r="J5139" s="70"/>
      <c r="K5139" s="110" t="str">
        <f>IF(H5139="","",IF($C$29="간이법","",FPR(H5139,I5139,J5139)))</f>
        <v/>
      </c>
      <c r="L5139" s="111" t="str">
        <f>IF(H5139="","",IF($C$29="상세법",FPV(H5139,K5139),IF(H5139="EI",4,IF(H5139="EO",5.2,IF(H5139="EQ",3.9,IF(H5139="ILF",7.5,IF(H5139="EIF",5.4)))))))</f>
        <v/>
      </c>
      <c r="M5139" s="112" t="str">
        <f t="shared" si="83"/>
        <v/>
      </c>
      <c r="N5139" s="113"/>
    </row>
    <row r="5140" spans="2:14">
      <c r="B5140" s="105"/>
      <c r="C5140" s="106"/>
      <c r="D5140" s="107"/>
      <c r="E5140" s="65"/>
      <c r="F5140" s="64"/>
      <c r="G5140" s="64"/>
      <c r="H5140" s="64"/>
      <c r="I5140" s="70"/>
      <c r="J5140" s="70"/>
      <c r="K5140" s="110" t="str">
        <f>IF(H5140="","",IF($C$29="간이법","",FPR(H5140,I5140,J5140)))</f>
        <v/>
      </c>
      <c r="L5140" s="111" t="str">
        <f>IF(H5140="","",IF($C$29="상세법",FPV(H5140,K5140),IF(H5140="EI",4,IF(H5140="EO",5.2,IF(H5140="EQ",3.9,IF(H5140="ILF",7.5,IF(H5140="EIF",5.4)))))))</f>
        <v/>
      </c>
      <c r="M5140" s="112" t="str">
        <f t="shared" si="83"/>
        <v/>
      </c>
      <c r="N5140" s="113"/>
    </row>
    <row r="5141" spans="2:14">
      <c r="B5141" s="105"/>
      <c r="C5141" s="106"/>
      <c r="D5141" s="107"/>
      <c r="E5141" s="65"/>
      <c r="F5141" s="64"/>
      <c r="G5141" s="64"/>
      <c r="H5141" s="64"/>
      <c r="I5141" s="70"/>
      <c r="J5141" s="70"/>
      <c r="K5141" s="110" t="str">
        <f>IF(H5141="","",IF($C$29="간이법","",FPR(H5141,I5141,J5141)))</f>
        <v/>
      </c>
      <c r="L5141" s="111" t="str">
        <f>IF(H5141="","",IF($C$29="상세법",FPV(H5141,K5141),IF(H5141="EI",4,IF(H5141="EO",5.2,IF(H5141="EQ",3.9,IF(H5141="ILF",7.5,IF(H5141="EIF",5.4)))))))</f>
        <v/>
      </c>
      <c r="M5141" s="112" t="str">
        <f t="shared" si="83"/>
        <v/>
      </c>
      <c r="N5141" s="113"/>
    </row>
    <row r="5142" spans="2:14">
      <c r="B5142" s="105"/>
      <c r="C5142" s="106"/>
      <c r="D5142" s="107"/>
      <c r="E5142" s="65"/>
      <c r="F5142" s="64"/>
      <c r="G5142" s="64"/>
      <c r="H5142" s="64"/>
      <c r="I5142" s="70"/>
      <c r="J5142" s="70"/>
      <c r="K5142" s="110" t="str">
        <f>IF(H5142="","",IF($C$29="간이법","",FPR(H5142,I5142,J5142)))</f>
        <v/>
      </c>
      <c r="L5142" s="111" t="str">
        <f>IF(H5142="","",IF($C$29="상세법",FPV(H5142,K5142),IF(H5142="EI",4,IF(H5142="EO",5.2,IF(H5142="EQ",3.9,IF(H5142="ILF",7.5,IF(H5142="EIF",5.4)))))))</f>
        <v/>
      </c>
      <c r="M5142" s="112" t="str">
        <f t="shared" si="83"/>
        <v/>
      </c>
      <c r="N5142" s="113"/>
    </row>
    <row r="5143" spans="2:14">
      <c r="B5143" s="105"/>
      <c r="C5143" s="106"/>
      <c r="D5143" s="107"/>
      <c r="E5143" s="65"/>
      <c r="F5143" s="64"/>
      <c r="G5143" s="64"/>
      <c r="H5143" s="64"/>
      <c r="I5143" s="70"/>
      <c r="J5143" s="70"/>
      <c r="K5143" s="110" t="str">
        <f>IF(H5143="","",IF($C$29="간이법","",FPR(H5143,I5143,J5143)))</f>
        <v/>
      </c>
      <c r="L5143" s="111" t="str">
        <f>IF(H5143="","",IF($C$29="상세법",FPV(H5143,K5143),IF(H5143="EI",4,IF(H5143="EO",5.2,IF(H5143="EQ",3.9,IF(H5143="ILF",7.5,IF(H5143="EIF",5.4)))))))</f>
        <v/>
      </c>
      <c r="M5143" s="112" t="str">
        <f t="shared" si="83"/>
        <v/>
      </c>
      <c r="N5143" s="113"/>
    </row>
    <row r="5144" spans="2:14">
      <c r="B5144" s="105"/>
      <c r="C5144" s="106"/>
      <c r="D5144" s="107"/>
      <c r="E5144" s="65"/>
      <c r="F5144" s="64"/>
      <c r="G5144" s="64"/>
      <c r="H5144" s="64"/>
      <c r="I5144" s="70"/>
      <c r="J5144" s="70"/>
      <c r="K5144" s="110" t="str">
        <f>IF(H5144="","",IF($C$29="간이법","",FPR(H5144,I5144,J5144)))</f>
        <v/>
      </c>
      <c r="L5144" s="111" t="str">
        <f>IF(H5144="","",IF($C$29="상세법",FPV(H5144,K5144),IF(H5144="EI",4,IF(H5144="EO",5.2,IF(H5144="EQ",3.9,IF(H5144="ILF",7.5,IF(H5144="EIF",5.4)))))))</f>
        <v/>
      </c>
      <c r="M5144" s="112" t="str">
        <f t="shared" si="83"/>
        <v/>
      </c>
      <c r="N5144" s="113"/>
    </row>
    <row r="5145" spans="2:14">
      <c r="B5145" s="105"/>
      <c r="C5145" s="106"/>
      <c r="D5145" s="107"/>
      <c r="E5145" s="65"/>
      <c r="F5145" s="64"/>
      <c r="G5145" s="64"/>
      <c r="H5145" s="64"/>
      <c r="I5145" s="70"/>
      <c r="J5145" s="70"/>
      <c r="K5145" s="110" t="str">
        <f>IF(H5145="","",IF($C$29="간이법","",FPR(H5145,I5145,J5145)))</f>
        <v/>
      </c>
      <c r="L5145" s="111" t="str">
        <f>IF(H5145="","",IF($C$29="상세법",FPV(H5145,K5145),IF(H5145="EI",4,IF(H5145="EO",5.2,IF(H5145="EQ",3.9,IF(H5145="ILF",7.5,IF(H5145="EIF",5.4)))))))</f>
        <v/>
      </c>
      <c r="M5145" s="112" t="str">
        <f t="shared" si="83"/>
        <v/>
      </c>
      <c r="N5145" s="113"/>
    </row>
    <row r="5146" spans="2:14">
      <c r="B5146" s="105"/>
      <c r="C5146" s="106"/>
      <c r="D5146" s="107"/>
      <c r="E5146" s="65"/>
      <c r="F5146" s="64"/>
      <c r="G5146" s="64"/>
      <c r="H5146" s="64"/>
      <c r="I5146" s="70"/>
      <c r="J5146" s="70"/>
      <c r="K5146" s="110" t="str">
        <f>IF(H5146="","",IF($C$29="간이법","",FPR(H5146,I5146,J5146)))</f>
        <v/>
      </c>
      <c r="L5146" s="111" t="str">
        <f>IF(H5146="","",IF($C$29="상세법",FPV(H5146,K5146),IF(H5146="EI",4,IF(H5146="EO",5.2,IF(H5146="EQ",3.9,IF(H5146="ILF",7.5,IF(H5146="EIF",5.4)))))))</f>
        <v/>
      </c>
      <c r="M5146" s="112" t="str">
        <f t="shared" si="83"/>
        <v/>
      </c>
      <c r="N5146" s="113"/>
    </row>
    <row r="5147" spans="2:14">
      <c r="B5147" s="105"/>
      <c r="C5147" s="106"/>
      <c r="D5147" s="107"/>
      <c r="E5147" s="65"/>
      <c r="F5147" s="64"/>
      <c r="G5147" s="64"/>
      <c r="H5147" s="64"/>
      <c r="I5147" s="70"/>
      <c r="J5147" s="70"/>
      <c r="K5147" s="110" t="str">
        <f>IF(H5147="","",IF($C$29="간이법","",FPR(H5147,I5147,J5147)))</f>
        <v/>
      </c>
      <c r="L5147" s="111" t="str">
        <f>IF(H5147="","",IF($C$29="상세법",FPV(H5147,K5147),IF(H5147="EI",4,IF(H5147="EO",5.2,IF(H5147="EQ",3.9,IF(H5147="ILF",7.5,IF(H5147="EIF",5.4)))))))</f>
        <v/>
      </c>
      <c r="M5147" s="112" t="str">
        <f t="shared" si="83"/>
        <v/>
      </c>
      <c r="N5147" s="113"/>
    </row>
    <row r="5148" spans="2:14">
      <c r="B5148" s="105"/>
      <c r="C5148" s="106"/>
      <c r="D5148" s="107"/>
      <c r="E5148" s="65"/>
      <c r="F5148" s="64"/>
      <c r="G5148" s="64"/>
      <c r="H5148" s="64"/>
      <c r="I5148" s="70"/>
      <c r="J5148" s="70"/>
      <c r="K5148" s="110" t="str">
        <f>IF(H5148="","",IF($C$29="간이법","",FPR(H5148,I5148,J5148)))</f>
        <v/>
      </c>
      <c r="L5148" s="111" t="str">
        <f>IF(H5148="","",IF($C$29="상세법",FPV(H5148,K5148),IF(H5148="EI",4,IF(H5148="EO",5.2,IF(H5148="EQ",3.9,IF(H5148="ILF",7.5,IF(H5148="EIF",5.4)))))))</f>
        <v/>
      </c>
      <c r="M5148" s="112" t="str">
        <f t="shared" si="83"/>
        <v/>
      </c>
      <c r="N5148" s="113"/>
    </row>
    <row r="5149" spans="2:14">
      <c r="B5149" s="105"/>
      <c r="C5149" s="106"/>
      <c r="D5149" s="107"/>
      <c r="E5149" s="65"/>
      <c r="F5149" s="64"/>
      <c r="G5149" s="64"/>
      <c r="H5149" s="64"/>
      <c r="I5149" s="70"/>
      <c r="J5149" s="70"/>
      <c r="K5149" s="110" t="str">
        <f>IF(H5149="","",IF($C$29="간이법","",FPR(H5149,I5149,J5149)))</f>
        <v/>
      </c>
      <c r="L5149" s="111" t="str">
        <f>IF(H5149="","",IF($C$29="상세법",FPV(H5149,K5149),IF(H5149="EI",4,IF(H5149="EO",5.2,IF(H5149="EQ",3.9,IF(H5149="ILF",7.5,IF(H5149="EIF",5.4)))))))</f>
        <v/>
      </c>
      <c r="M5149" s="112" t="str">
        <f t="shared" si="83"/>
        <v/>
      </c>
      <c r="N5149" s="113"/>
    </row>
    <row r="5150" spans="2:14">
      <c r="B5150" s="105"/>
      <c r="C5150" s="106"/>
      <c r="D5150" s="107"/>
      <c r="E5150" s="65"/>
      <c r="F5150" s="64"/>
      <c r="G5150" s="64"/>
      <c r="H5150" s="64"/>
      <c r="I5150" s="70"/>
      <c r="J5150" s="70"/>
      <c r="K5150" s="110" t="str">
        <f>IF(H5150="","",IF($C$29="간이법","",FPR(H5150,I5150,J5150)))</f>
        <v/>
      </c>
      <c r="L5150" s="111" t="str">
        <f>IF(H5150="","",IF($C$29="상세법",FPV(H5150,K5150),IF(H5150="EI",4,IF(H5150="EO",5.2,IF(H5150="EQ",3.9,IF(H5150="ILF",7.5,IF(H5150="EIF",5.4)))))))</f>
        <v/>
      </c>
      <c r="M5150" s="112" t="str">
        <f t="shared" si="83"/>
        <v/>
      </c>
      <c r="N5150" s="113"/>
    </row>
    <row r="5151" spans="2:14">
      <c r="B5151" s="105"/>
      <c r="C5151" s="106"/>
      <c r="D5151" s="107"/>
      <c r="E5151" s="65"/>
      <c r="F5151" s="64"/>
      <c r="G5151" s="64"/>
      <c r="H5151" s="64"/>
      <c r="I5151" s="70"/>
      <c r="J5151" s="70"/>
      <c r="K5151" s="110" t="str">
        <f>IF(H5151="","",IF($C$29="간이법","",FPR(H5151,I5151,J5151)))</f>
        <v/>
      </c>
      <c r="L5151" s="111" t="str">
        <f>IF(H5151="","",IF($C$29="상세법",FPV(H5151,K5151),IF(H5151="EI",4,IF(H5151="EO",5.2,IF(H5151="EQ",3.9,IF(H5151="ILF",7.5,IF(H5151="EIF",5.4)))))))</f>
        <v/>
      </c>
      <c r="M5151" s="112" t="str">
        <f t="shared" si="83"/>
        <v/>
      </c>
      <c r="N5151" s="113"/>
    </row>
    <row r="5152" spans="2:14">
      <c r="B5152" s="105"/>
      <c r="C5152" s="106"/>
      <c r="D5152" s="107"/>
      <c r="E5152" s="65"/>
      <c r="F5152" s="64"/>
      <c r="G5152" s="64"/>
      <c r="H5152" s="64"/>
      <c r="I5152" s="70"/>
      <c r="J5152" s="70"/>
      <c r="K5152" s="110" t="str">
        <f>IF(H5152="","",IF($C$29="간이법","",FPR(H5152,I5152,J5152)))</f>
        <v/>
      </c>
      <c r="L5152" s="111" t="str">
        <f>IF(H5152="","",IF($C$29="상세법",FPV(H5152,K5152),IF(H5152="EI",4,IF(H5152="EO",5.2,IF(H5152="EQ",3.9,IF(H5152="ILF",7.5,IF(H5152="EIF",5.4)))))))</f>
        <v/>
      </c>
      <c r="M5152" s="112" t="str">
        <f t="shared" si="83"/>
        <v/>
      </c>
      <c r="N5152" s="113"/>
    </row>
    <row r="5153" spans="2:14">
      <c r="B5153" s="105"/>
      <c r="C5153" s="106"/>
      <c r="D5153" s="107"/>
      <c r="E5153" s="65"/>
      <c r="F5153" s="64"/>
      <c r="G5153" s="64"/>
      <c r="H5153" s="64"/>
      <c r="I5153" s="70"/>
      <c r="J5153" s="70"/>
      <c r="K5153" s="110" t="str">
        <f>IF(H5153="","",IF($C$29="간이법","",FPR(H5153,I5153,J5153)))</f>
        <v/>
      </c>
      <c r="L5153" s="111" t="str">
        <f>IF(H5153="","",IF($C$29="상세법",FPV(H5153,K5153),IF(H5153="EI",4,IF(H5153="EO",5.2,IF(H5153="EQ",3.9,IF(H5153="ILF",7.5,IF(H5153="EIF",5.4)))))))</f>
        <v/>
      </c>
      <c r="M5153" s="112" t="str">
        <f t="shared" si="83"/>
        <v/>
      </c>
      <c r="N5153" s="113"/>
    </row>
    <row r="5154" spans="2:14">
      <c r="B5154" s="105"/>
      <c r="C5154" s="106"/>
      <c r="D5154" s="107"/>
      <c r="E5154" s="65"/>
      <c r="F5154" s="64"/>
      <c r="G5154" s="64"/>
      <c r="H5154" s="64"/>
      <c r="I5154" s="70"/>
      <c r="J5154" s="70"/>
      <c r="K5154" s="110" t="str">
        <f>IF(H5154="","",IF($C$29="간이법","",FPR(H5154,I5154,J5154)))</f>
        <v/>
      </c>
      <c r="L5154" s="111" t="str">
        <f>IF(H5154="","",IF($C$29="상세법",FPV(H5154,K5154),IF(H5154="EI",4,IF(H5154="EO",5.2,IF(H5154="EQ",3.9,IF(H5154="ILF",7.5,IF(H5154="EIF",5.4)))))))</f>
        <v/>
      </c>
      <c r="M5154" s="112" t="str">
        <f t="shared" si="83"/>
        <v/>
      </c>
      <c r="N5154" s="113"/>
    </row>
    <row r="5155" spans="2:14">
      <c r="B5155" s="105"/>
      <c r="C5155" s="106"/>
      <c r="D5155" s="107"/>
      <c r="E5155" s="65"/>
      <c r="F5155" s="64"/>
      <c r="G5155" s="64"/>
      <c r="H5155" s="64"/>
      <c r="I5155" s="70"/>
      <c r="J5155" s="70"/>
      <c r="K5155" s="110" t="str">
        <f>IF(H5155="","",IF($C$29="간이법","",FPR(H5155,I5155,J5155)))</f>
        <v/>
      </c>
      <c r="L5155" s="111" t="str">
        <f>IF(H5155="","",IF($C$29="상세법",FPV(H5155,K5155),IF(H5155="EI",4,IF(H5155="EO",5.2,IF(H5155="EQ",3.9,IF(H5155="ILF",7.5,IF(H5155="EIF",5.4)))))))</f>
        <v/>
      </c>
      <c r="M5155" s="112" t="str">
        <f t="shared" si="83"/>
        <v/>
      </c>
      <c r="N5155" s="113"/>
    </row>
    <row r="5156" spans="2:14">
      <c r="B5156" s="105"/>
      <c r="C5156" s="106"/>
      <c r="D5156" s="107"/>
      <c r="E5156" s="65"/>
      <c r="F5156" s="64"/>
      <c r="G5156" s="64"/>
      <c r="H5156" s="64"/>
      <c r="I5156" s="70"/>
      <c r="J5156" s="70"/>
      <c r="K5156" s="110" t="str">
        <f>IF(H5156="","",IF($C$29="간이법","",FPR(H5156,I5156,J5156)))</f>
        <v/>
      </c>
      <c r="L5156" s="111" t="str">
        <f>IF(H5156="","",IF($C$29="상세법",FPV(H5156,K5156),IF(H5156="EI",4,IF(H5156="EO",5.2,IF(H5156="EQ",3.9,IF(H5156="ILF",7.5,IF(H5156="EIF",5.4)))))))</f>
        <v/>
      </c>
      <c r="M5156" s="112" t="str">
        <f t="shared" si="83"/>
        <v/>
      </c>
      <c r="N5156" s="113"/>
    </row>
    <row r="5157" spans="2:14">
      <c r="B5157" s="105"/>
      <c r="C5157" s="106"/>
      <c r="D5157" s="107"/>
      <c r="E5157" s="65"/>
      <c r="F5157" s="64"/>
      <c r="G5157" s="64"/>
      <c r="H5157" s="64"/>
      <c r="I5157" s="70"/>
      <c r="J5157" s="70"/>
      <c r="K5157" s="110" t="str">
        <f>IF(H5157="","",IF($C$29="간이법","",FPR(H5157,I5157,J5157)))</f>
        <v/>
      </c>
      <c r="L5157" s="111" t="str">
        <f>IF(H5157="","",IF($C$29="상세법",FPV(H5157,K5157),IF(H5157="EI",4,IF(H5157="EO",5.2,IF(H5157="EQ",3.9,IF(H5157="ILF",7.5,IF(H5157="EIF",5.4)))))))</f>
        <v/>
      </c>
      <c r="M5157" s="112" t="str">
        <f t="shared" si="83"/>
        <v/>
      </c>
      <c r="N5157" s="113"/>
    </row>
    <row r="5158" spans="2:14">
      <c r="B5158" s="105"/>
      <c r="C5158" s="106"/>
      <c r="D5158" s="107"/>
      <c r="E5158" s="65"/>
      <c r="F5158" s="64"/>
      <c r="G5158" s="64"/>
      <c r="H5158" s="64"/>
      <c r="I5158" s="70"/>
      <c r="J5158" s="70"/>
      <c r="K5158" s="110" t="str">
        <f>IF(H5158="","",IF($C$29="간이법","",FPR(H5158,I5158,J5158)))</f>
        <v/>
      </c>
      <c r="L5158" s="111" t="str">
        <f>IF(H5158="","",IF($C$29="상세법",FPV(H5158,K5158),IF(H5158="EI",4,IF(H5158="EO",5.2,IF(H5158="EQ",3.9,IF(H5158="ILF",7.5,IF(H5158="EIF",5.4)))))))</f>
        <v/>
      </c>
      <c r="M5158" s="112" t="str">
        <f t="shared" si="83"/>
        <v/>
      </c>
      <c r="N5158" s="113"/>
    </row>
    <row r="5159" spans="2:14">
      <c r="B5159" s="105"/>
      <c r="C5159" s="106"/>
      <c r="D5159" s="107"/>
      <c r="E5159" s="65"/>
      <c r="F5159" s="64"/>
      <c r="G5159" s="64"/>
      <c r="H5159" s="64"/>
      <c r="I5159" s="70"/>
      <c r="J5159" s="70"/>
      <c r="K5159" s="110" t="str">
        <f>IF(H5159="","",IF($C$29="간이법","",FPR(H5159,I5159,J5159)))</f>
        <v/>
      </c>
      <c r="L5159" s="111" t="str">
        <f>IF(H5159="","",IF($C$29="상세법",FPV(H5159,K5159),IF(H5159="EI",4,IF(H5159="EO",5.2,IF(H5159="EQ",3.9,IF(H5159="ILF",7.5,IF(H5159="EIF",5.4)))))))</f>
        <v/>
      </c>
      <c r="M5159" s="112" t="str">
        <f t="shared" si="83"/>
        <v/>
      </c>
      <c r="N5159" s="113"/>
    </row>
    <row r="5160" spans="2:14">
      <c r="B5160" s="105"/>
      <c r="C5160" s="106"/>
      <c r="D5160" s="107"/>
      <c r="E5160" s="65"/>
      <c r="F5160" s="64"/>
      <c r="G5160" s="64"/>
      <c r="H5160" s="64"/>
      <c r="I5160" s="70"/>
      <c r="J5160" s="70"/>
      <c r="K5160" s="110" t="str">
        <f>IF(H5160="","",IF($C$29="간이법","",FPR(H5160,I5160,J5160)))</f>
        <v/>
      </c>
      <c r="L5160" s="111" t="str">
        <f>IF(H5160="","",IF($C$29="상세법",FPV(H5160,K5160),IF(H5160="EI",4,IF(H5160="EO",5.2,IF(H5160="EQ",3.9,IF(H5160="ILF",7.5,IF(H5160="EIF",5.4)))))))</f>
        <v/>
      </c>
      <c r="M5160" s="112" t="str">
        <f t="shared" si="83"/>
        <v/>
      </c>
      <c r="N5160" s="113"/>
    </row>
    <row r="5161" spans="2:14">
      <c r="B5161" s="105"/>
      <c r="C5161" s="106"/>
      <c r="D5161" s="107"/>
      <c r="E5161" s="65"/>
      <c r="F5161" s="64"/>
      <c r="G5161" s="64"/>
      <c r="H5161" s="64"/>
      <c r="I5161" s="70"/>
      <c r="J5161" s="70"/>
      <c r="K5161" s="110" t="str">
        <f>IF(H5161="","",IF($C$29="간이법","",FPR(H5161,I5161,J5161)))</f>
        <v/>
      </c>
      <c r="L5161" s="111" t="str">
        <f>IF(H5161="","",IF($C$29="상세법",FPV(H5161,K5161),IF(H5161="EI",4,IF(H5161="EO",5.2,IF(H5161="EQ",3.9,IF(H5161="ILF",7.5,IF(H5161="EIF",5.4)))))))</f>
        <v/>
      </c>
      <c r="M5161" s="112" t="str">
        <f t="shared" si="83"/>
        <v/>
      </c>
      <c r="N5161" s="113"/>
    </row>
    <row r="5162" spans="2:14">
      <c r="B5162" s="105"/>
      <c r="C5162" s="106"/>
      <c r="D5162" s="107"/>
      <c r="E5162" s="65"/>
      <c r="F5162" s="64"/>
      <c r="G5162" s="64"/>
      <c r="H5162" s="64"/>
      <c r="I5162" s="70"/>
      <c r="J5162" s="70"/>
      <c r="K5162" s="110" t="str">
        <f>IF(H5162="","",IF($C$29="간이법","",FPR(H5162,I5162,J5162)))</f>
        <v/>
      </c>
      <c r="L5162" s="111" t="str">
        <f>IF(H5162="","",IF($C$29="상세법",FPV(H5162,K5162),IF(H5162="EI",4,IF(H5162="EO",5.2,IF(H5162="EQ",3.9,IF(H5162="ILF",7.5,IF(H5162="EIF",5.4)))))))</f>
        <v/>
      </c>
      <c r="M5162" s="112" t="str">
        <f t="shared" si="83"/>
        <v/>
      </c>
      <c r="N5162" s="113"/>
    </row>
    <row r="5163" spans="2:14">
      <c r="B5163" s="105"/>
      <c r="C5163" s="106"/>
      <c r="D5163" s="107"/>
      <c r="E5163" s="65"/>
      <c r="F5163" s="64"/>
      <c r="G5163" s="64"/>
      <c r="H5163" s="64"/>
      <c r="I5163" s="70"/>
      <c r="J5163" s="70"/>
      <c r="K5163" s="110" t="str">
        <f>IF(H5163="","",IF($C$29="간이법","",FPR(H5163,I5163,J5163)))</f>
        <v/>
      </c>
      <c r="L5163" s="111" t="str">
        <f>IF(H5163="","",IF($C$29="상세법",FPV(H5163,K5163),IF(H5163="EI",4,IF(H5163="EO",5.2,IF(H5163="EQ",3.9,IF(H5163="ILF",7.5,IF(H5163="EIF",5.4)))))))</f>
        <v/>
      </c>
      <c r="M5163" s="112" t="str">
        <f t="shared" si="83"/>
        <v/>
      </c>
      <c r="N5163" s="113"/>
    </row>
    <row r="5164" spans="2:14">
      <c r="B5164" s="105"/>
      <c r="C5164" s="106"/>
      <c r="D5164" s="107"/>
      <c r="E5164" s="65"/>
      <c r="F5164" s="64"/>
      <c r="G5164" s="64"/>
      <c r="H5164" s="64"/>
      <c r="I5164" s="70"/>
      <c r="J5164" s="70"/>
      <c r="K5164" s="110" t="str">
        <f>IF(H5164="","",IF($C$29="간이법","",FPR(H5164,I5164,J5164)))</f>
        <v/>
      </c>
      <c r="L5164" s="111" t="str">
        <f>IF(H5164="","",IF($C$29="상세법",FPV(H5164,K5164),IF(H5164="EI",4,IF(H5164="EO",5.2,IF(H5164="EQ",3.9,IF(H5164="ILF",7.5,IF(H5164="EIF",5.4)))))))</f>
        <v/>
      </c>
      <c r="M5164" s="112" t="str">
        <f t="shared" si="83"/>
        <v/>
      </c>
      <c r="N5164" s="113"/>
    </row>
    <row r="5165" spans="2:14">
      <c r="B5165" s="105"/>
      <c r="C5165" s="106"/>
      <c r="D5165" s="107"/>
      <c r="E5165" s="65"/>
      <c r="F5165" s="64"/>
      <c r="G5165" s="64"/>
      <c r="H5165" s="64"/>
      <c r="I5165" s="70"/>
      <c r="J5165" s="70"/>
      <c r="K5165" s="110" t="str">
        <f>IF(H5165="","",IF($C$29="간이법","",FPR(H5165,I5165,J5165)))</f>
        <v/>
      </c>
      <c r="L5165" s="111" t="str">
        <f>IF(H5165="","",IF($C$29="상세법",FPV(H5165,K5165),IF(H5165="EI",4,IF(H5165="EO",5.2,IF(H5165="EQ",3.9,IF(H5165="ILF",7.5,IF(H5165="EIF",5.4)))))))</f>
        <v/>
      </c>
      <c r="M5165" s="112" t="str">
        <f t="shared" si="83"/>
        <v/>
      </c>
      <c r="N5165" s="113"/>
    </row>
    <row r="5166" spans="2:14">
      <c r="B5166" s="105"/>
      <c r="C5166" s="106"/>
      <c r="D5166" s="107"/>
      <c r="E5166" s="65"/>
      <c r="F5166" s="64"/>
      <c r="G5166" s="64"/>
      <c r="H5166" s="64"/>
      <c r="I5166" s="70"/>
      <c r="J5166" s="70"/>
      <c r="K5166" s="110" t="str">
        <f>IF(H5166="","",IF($C$29="간이법","",FPR(H5166,I5166,J5166)))</f>
        <v/>
      </c>
      <c r="L5166" s="111" t="str">
        <f>IF(H5166="","",IF($C$29="상세법",FPV(H5166,K5166),IF(H5166="EI",4,IF(H5166="EO",5.2,IF(H5166="EQ",3.9,IF(H5166="ILF",7.5,IF(H5166="EIF",5.4)))))))</f>
        <v/>
      </c>
      <c r="M5166" s="112" t="str">
        <f t="shared" si="83"/>
        <v/>
      </c>
      <c r="N5166" s="113"/>
    </row>
    <row r="5167" spans="2:14">
      <c r="B5167" s="105"/>
      <c r="C5167" s="106"/>
      <c r="D5167" s="107"/>
      <c r="E5167" s="65"/>
      <c r="F5167" s="64"/>
      <c r="G5167" s="64"/>
      <c r="H5167" s="64"/>
      <c r="I5167" s="70"/>
      <c r="J5167" s="70"/>
      <c r="K5167" s="110" t="str">
        <f>IF(H5167="","",IF($C$29="간이법","",FPR(H5167,I5167,J5167)))</f>
        <v/>
      </c>
      <c r="L5167" s="111" t="str">
        <f>IF(H5167="","",IF($C$29="상세법",FPV(H5167,K5167),IF(H5167="EI",4,IF(H5167="EO",5.2,IF(H5167="EQ",3.9,IF(H5167="ILF",7.5,IF(H5167="EIF",5.4)))))))</f>
        <v/>
      </c>
      <c r="M5167" s="112" t="str">
        <f t="shared" si="83"/>
        <v/>
      </c>
      <c r="N5167" s="113"/>
    </row>
    <row r="5168" spans="2:14">
      <c r="B5168" s="105"/>
      <c r="C5168" s="106"/>
      <c r="D5168" s="107"/>
      <c r="E5168" s="65"/>
      <c r="F5168" s="64"/>
      <c r="G5168" s="64"/>
      <c r="H5168" s="64"/>
      <c r="I5168" s="70"/>
      <c r="J5168" s="70"/>
      <c r="K5168" s="110" t="str">
        <f>IF(H5168="","",IF($C$29="간이법","",FPR(H5168,I5168,J5168)))</f>
        <v/>
      </c>
      <c r="L5168" s="111" t="str">
        <f>IF(H5168="","",IF($C$29="상세법",FPV(H5168,K5168),IF(H5168="EI",4,IF(H5168="EO",5.2,IF(H5168="EQ",3.9,IF(H5168="ILF",7.5,IF(H5168="EIF",5.4)))))))</f>
        <v/>
      </c>
      <c r="M5168" s="112" t="str">
        <f t="shared" si="83"/>
        <v/>
      </c>
      <c r="N5168" s="113"/>
    </row>
    <row r="5169" spans="2:14">
      <c r="B5169" s="105"/>
      <c r="C5169" s="106"/>
      <c r="D5169" s="107"/>
      <c r="E5169" s="65"/>
      <c r="F5169" s="64"/>
      <c r="G5169" s="64"/>
      <c r="H5169" s="64"/>
      <c r="I5169" s="70"/>
      <c r="J5169" s="70"/>
      <c r="K5169" s="110" t="str">
        <f>IF(H5169="","",IF($C$29="간이법","",FPR(H5169,I5169,J5169)))</f>
        <v/>
      </c>
      <c r="L5169" s="111" t="str">
        <f>IF(H5169="","",IF($C$29="상세법",FPV(H5169,K5169),IF(H5169="EI",4,IF(H5169="EO",5.2,IF(H5169="EQ",3.9,IF(H5169="ILF",7.5,IF(H5169="EIF",5.4)))))))</f>
        <v/>
      </c>
      <c r="M5169" s="112" t="str">
        <f t="shared" si="83"/>
        <v/>
      </c>
      <c r="N5169" s="113"/>
    </row>
    <row r="5170" spans="2:14">
      <c r="B5170" s="105"/>
      <c r="C5170" s="106"/>
      <c r="D5170" s="107"/>
      <c r="E5170" s="65"/>
      <c r="F5170" s="64"/>
      <c r="G5170" s="64"/>
      <c r="H5170" s="64"/>
      <c r="I5170" s="70"/>
      <c r="J5170" s="70"/>
      <c r="K5170" s="110" t="str">
        <f>IF(H5170="","",IF($C$29="간이법","",FPR(H5170,I5170,J5170)))</f>
        <v/>
      </c>
      <c r="L5170" s="111" t="str">
        <f>IF(H5170="","",IF($C$29="상세법",FPV(H5170,K5170),IF(H5170="EI",4,IF(H5170="EO",5.2,IF(H5170="EQ",3.9,IF(H5170="ILF",7.5,IF(H5170="EIF",5.4)))))))</f>
        <v/>
      </c>
      <c r="M5170" s="112" t="str">
        <f t="shared" si="83"/>
        <v/>
      </c>
      <c r="N5170" s="113"/>
    </row>
    <row r="5171" spans="2:14">
      <c r="B5171" s="105"/>
      <c r="C5171" s="106"/>
      <c r="D5171" s="107"/>
      <c r="E5171" s="65"/>
      <c r="F5171" s="64"/>
      <c r="G5171" s="64"/>
      <c r="H5171" s="64"/>
      <c r="I5171" s="70"/>
      <c r="J5171" s="70"/>
      <c r="K5171" s="110" t="str">
        <f>IF(H5171="","",IF($C$29="간이법","",FPR(H5171,I5171,J5171)))</f>
        <v/>
      </c>
      <c r="L5171" s="111" t="str">
        <f>IF(H5171="","",IF($C$29="상세법",FPV(H5171,K5171),IF(H5171="EI",4,IF(H5171="EO",5.2,IF(H5171="EQ",3.9,IF(H5171="ILF",7.5,IF(H5171="EIF",5.4)))))))</f>
        <v/>
      </c>
      <c r="M5171" s="112" t="str">
        <f t="shared" si="83"/>
        <v/>
      </c>
      <c r="N5171" s="113"/>
    </row>
    <row r="5172" spans="2:14">
      <c r="B5172" s="105"/>
      <c r="C5172" s="106"/>
      <c r="D5172" s="107"/>
      <c r="E5172" s="65"/>
      <c r="F5172" s="64"/>
      <c r="G5172" s="64"/>
      <c r="H5172" s="64"/>
      <c r="I5172" s="70"/>
      <c r="J5172" s="70"/>
      <c r="K5172" s="110" t="str">
        <f>IF(H5172="","",IF($C$29="간이법","",FPR(H5172,I5172,J5172)))</f>
        <v/>
      </c>
      <c r="L5172" s="111" t="str">
        <f>IF(H5172="","",IF($C$29="상세법",FPV(H5172,K5172),IF(H5172="EI",4,IF(H5172="EO",5.2,IF(H5172="EQ",3.9,IF(H5172="ILF",7.5,IF(H5172="EIF",5.4)))))))</f>
        <v/>
      </c>
      <c r="M5172" s="112" t="str">
        <f t="shared" si="83"/>
        <v/>
      </c>
      <c r="N5172" s="113"/>
    </row>
    <row r="5173" spans="2:14">
      <c r="B5173" s="105"/>
      <c r="C5173" s="106"/>
      <c r="D5173" s="107"/>
      <c r="E5173" s="65"/>
      <c r="F5173" s="64"/>
      <c r="G5173" s="64"/>
      <c r="H5173" s="64"/>
      <c r="I5173" s="70"/>
      <c r="J5173" s="70"/>
      <c r="K5173" s="110" t="str">
        <f>IF(H5173="","",IF($C$29="간이법","",FPR(H5173,I5173,J5173)))</f>
        <v/>
      </c>
      <c r="L5173" s="111" t="str">
        <f>IF(H5173="","",IF($C$29="상세법",FPV(H5173,K5173),IF(H5173="EI",4,IF(H5173="EO",5.2,IF(H5173="EQ",3.9,IF(H5173="ILF",7.5,IF(H5173="EIF",5.4)))))))</f>
        <v/>
      </c>
      <c r="M5173" s="112" t="str">
        <f t="shared" si="83"/>
        <v/>
      </c>
      <c r="N5173" s="113"/>
    </row>
    <row r="5174" spans="2:14">
      <c r="B5174" s="105"/>
      <c r="C5174" s="106"/>
      <c r="D5174" s="107"/>
      <c r="E5174" s="65"/>
      <c r="F5174" s="64"/>
      <c r="G5174" s="64"/>
      <c r="H5174" s="64"/>
      <c r="I5174" s="70"/>
      <c r="J5174" s="70"/>
      <c r="K5174" s="110" t="str">
        <f>IF(H5174="","",IF($C$29="간이법","",FPR(H5174,I5174,J5174)))</f>
        <v/>
      </c>
      <c r="L5174" s="111" t="str">
        <f>IF(H5174="","",IF($C$29="상세법",FPV(H5174,K5174),IF(H5174="EI",4,IF(H5174="EO",5.2,IF(H5174="EQ",3.9,IF(H5174="ILF",7.5,IF(H5174="EIF",5.4)))))))</f>
        <v/>
      </c>
      <c r="M5174" s="112" t="str">
        <f t="shared" si="83"/>
        <v/>
      </c>
      <c r="N5174" s="113"/>
    </row>
    <row r="5175" spans="2:14">
      <c r="B5175" s="105"/>
      <c r="C5175" s="106"/>
      <c r="D5175" s="107"/>
      <c r="E5175" s="65"/>
      <c r="F5175" s="64"/>
      <c r="G5175" s="64"/>
      <c r="H5175" s="64"/>
      <c r="I5175" s="70"/>
      <c r="J5175" s="70"/>
      <c r="K5175" s="110" t="str">
        <f>IF(H5175="","",IF($C$29="간이법","",FPR(H5175,I5175,J5175)))</f>
        <v/>
      </c>
      <c r="L5175" s="111" t="str">
        <f>IF(H5175="","",IF($C$29="상세법",FPV(H5175,K5175),IF(H5175="EI",4,IF(H5175="EO",5.2,IF(H5175="EQ",3.9,IF(H5175="ILF",7.5,IF(H5175="EIF",5.4)))))))</f>
        <v/>
      </c>
      <c r="M5175" s="112" t="str">
        <f t="shared" si="83"/>
        <v/>
      </c>
      <c r="N5175" s="113"/>
    </row>
    <row r="5176" spans="2:14">
      <c r="B5176" s="105"/>
      <c r="C5176" s="106"/>
      <c r="D5176" s="107"/>
      <c r="E5176" s="65"/>
      <c r="F5176" s="64"/>
      <c r="G5176" s="64"/>
      <c r="H5176" s="64"/>
      <c r="I5176" s="70"/>
      <c r="J5176" s="70"/>
      <c r="K5176" s="110" t="str">
        <f>IF(H5176="","",IF($C$29="간이법","",FPR(H5176,I5176,J5176)))</f>
        <v/>
      </c>
      <c r="L5176" s="111" t="str">
        <f>IF(H5176="","",IF($C$29="상세법",FPV(H5176,K5176),IF(H5176="EI",4,IF(H5176="EO",5.2,IF(H5176="EQ",3.9,IF(H5176="ILF",7.5,IF(H5176="EIF",5.4)))))))</f>
        <v/>
      </c>
      <c r="M5176" s="112" t="str">
        <f t="shared" si="83"/>
        <v/>
      </c>
      <c r="N5176" s="113"/>
    </row>
    <row r="5177" spans="2:14">
      <c r="B5177" s="105"/>
      <c r="C5177" s="106"/>
      <c r="D5177" s="107"/>
      <c r="E5177" s="65"/>
      <c r="F5177" s="64"/>
      <c r="G5177" s="64"/>
      <c r="H5177" s="64"/>
      <c r="I5177" s="70"/>
      <c r="J5177" s="70"/>
      <c r="K5177" s="110" t="str">
        <f>IF(H5177="","",IF($C$29="간이법","",FPR(H5177,I5177,J5177)))</f>
        <v/>
      </c>
      <c r="L5177" s="111" t="str">
        <f>IF(H5177="","",IF($C$29="상세법",FPV(H5177,K5177),IF(H5177="EI",4,IF(H5177="EO",5.2,IF(H5177="EQ",3.9,IF(H5177="ILF",7.5,IF(H5177="EIF",5.4)))))))</f>
        <v/>
      </c>
      <c r="M5177" s="112" t="str">
        <f t="shared" ref="M5177:M5240" si="84">IF(L5177="","",L5177*IF(G5177="상",0.7,IF(G5177="중",0.5,IF(G5177="하",0.2,1))))</f>
        <v/>
      </c>
      <c r="N5177" s="113"/>
    </row>
    <row r="5178" spans="2:14">
      <c r="B5178" s="105"/>
      <c r="C5178" s="106"/>
      <c r="D5178" s="107"/>
      <c r="E5178" s="65"/>
      <c r="F5178" s="64"/>
      <c r="G5178" s="64"/>
      <c r="H5178" s="64"/>
      <c r="I5178" s="70"/>
      <c r="J5178" s="70"/>
      <c r="K5178" s="110" t="str">
        <f>IF(H5178="","",IF($C$29="간이법","",FPR(H5178,I5178,J5178)))</f>
        <v/>
      </c>
      <c r="L5178" s="111" t="str">
        <f>IF(H5178="","",IF($C$29="상세법",FPV(H5178,K5178),IF(H5178="EI",4,IF(H5178="EO",5.2,IF(H5178="EQ",3.9,IF(H5178="ILF",7.5,IF(H5178="EIF",5.4)))))))</f>
        <v/>
      </c>
      <c r="M5178" s="112" t="str">
        <f t="shared" si="84"/>
        <v/>
      </c>
      <c r="N5178" s="113"/>
    </row>
    <row r="5179" spans="2:14">
      <c r="B5179" s="105"/>
      <c r="C5179" s="106"/>
      <c r="D5179" s="107"/>
      <c r="E5179" s="65"/>
      <c r="F5179" s="64"/>
      <c r="G5179" s="64"/>
      <c r="H5179" s="64"/>
      <c r="I5179" s="70"/>
      <c r="J5179" s="70"/>
      <c r="K5179" s="110" t="str">
        <f>IF(H5179="","",IF($C$29="간이법","",FPR(H5179,I5179,J5179)))</f>
        <v/>
      </c>
      <c r="L5179" s="111" t="str">
        <f>IF(H5179="","",IF($C$29="상세법",FPV(H5179,K5179),IF(H5179="EI",4,IF(H5179="EO",5.2,IF(H5179="EQ",3.9,IF(H5179="ILF",7.5,IF(H5179="EIF",5.4)))))))</f>
        <v/>
      </c>
      <c r="M5179" s="112" t="str">
        <f t="shared" si="84"/>
        <v/>
      </c>
      <c r="N5179" s="113"/>
    </row>
    <row r="5180" spans="2:14">
      <c r="B5180" s="105"/>
      <c r="C5180" s="106"/>
      <c r="D5180" s="107"/>
      <c r="E5180" s="65"/>
      <c r="F5180" s="64"/>
      <c r="G5180" s="64"/>
      <c r="H5180" s="64"/>
      <c r="I5180" s="70"/>
      <c r="J5180" s="70"/>
      <c r="K5180" s="110" t="str">
        <f>IF(H5180="","",IF($C$29="간이법","",FPR(H5180,I5180,J5180)))</f>
        <v/>
      </c>
      <c r="L5180" s="111" t="str">
        <f>IF(H5180="","",IF($C$29="상세법",FPV(H5180,K5180),IF(H5180="EI",4,IF(H5180="EO",5.2,IF(H5180="EQ",3.9,IF(H5180="ILF",7.5,IF(H5180="EIF",5.4)))))))</f>
        <v/>
      </c>
      <c r="M5180" s="112" t="str">
        <f t="shared" si="84"/>
        <v/>
      </c>
      <c r="N5180" s="113"/>
    </row>
    <row r="5181" spans="2:14">
      <c r="B5181" s="105"/>
      <c r="C5181" s="106"/>
      <c r="D5181" s="107"/>
      <c r="E5181" s="65"/>
      <c r="F5181" s="64"/>
      <c r="G5181" s="64"/>
      <c r="H5181" s="64"/>
      <c r="I5181" s="70"/>
      <c r="J5181" s="70"/>
      <c r="K5181" s="110" t="str">
        <f>IF(H5181="","",IF($C$29="간이법","",FPR(H5181,I5181,J5181)))</f>
        <v/>
      </c>
      <c r="L5181" s="111" t="str">
        <f>IF(H5181="","",IF($C$29="상세법",FPV(H5181,K5181),IF(H5181="EI",4,IF(H5181="EO",5.2,IF(H5181="EQ",3.9,IF(H5181="ILF",7.5,IF(H5181="EIF",5.4)))))))</f>
        <v/>
      </c>
      <c r="M5181" s="112" t="str">
        <f t="shared" si="84"/>
        <v/>
      </c>
      <c r="N5181" s="113"/>
    </row>
    <row r="5182" spans="2:14">
      <c r="B5182" s="105"/>
      <c r="C5182" s="106"/>
      <c r="D5182" s="107"/>
      <c r="E5182" s="65"/>
      <c r="F5182" s="64"/>
      <c r="G5182" s="64"/>
      <c r="H5182" s="64"/>
      <c r="I5182" s="70"/>
      <c r="J5182" s="70"/>
      <c r="K5182" s="110" t="str">
        <f>IF(H5182="","",IF($C$29="간이법","",FPR(H5182,I5182,J5182)))</f>
        <v/>
      </c>
      <c r="L5182" s="111" t="str">
        <f>IF(H5182="","",IF($C$29="상세법",FPV(H5182,K5182),IF(H5182="EI",4,IF(H5182="EO",5.2,IF(H5182="EQ",3.9,IF(H5182="ILF",7.5,IF(H5182="EIF",5.4)))))))</f>
        <v/>
      </c>
      <c r="M5182" s="112" t="str">
        <f t="shared" si="84"/>
        <v/>
      </c>
      <c r="N5182" s="113"/>
    </row>
    <row r="5183" spans="2:14">
      <c r="B5183" s="105"/>
      <c r="C5183" s="106"/>
      <c r="D5183" s="107"/>
      <c r="E5183" s="65"/>
      <c r="F5183" s="64"/>
      <c r="G5183" s="64"/>
      <c r="H5183" s="64"/>
      <c r="I5183" s="70"/>
      <c r="J5183" s="70"/>
      <c r="K5183" s="110" t="str">
        <f>IF(H5183="","",IF($C$29="간이법","",FPR(H5183,I5183,J5183)))</f>
        <v/>
      </c>
      <c r="L5183" s="111" t="str">
        <f>IF(H5183="","",IF($C$29="상세법",FPV(H5183,K5183),IF(H5183="EI",4,IF(H5183="EO",5.2,IF(H5183="EQ",3.9,IF(H5183="ILF",7.5,IF(H5183="EIF",5.4)))))))</f>
        <v/>
      </c>
      <c r="M5183" s="112" t="str">
        <f t="shared" si="84"/>
        <v/>
      </c>
      <c r="N5183" s="113"/>
    </row>
    <row r="5184" spans="2:14">
      <c r="B5184" s="105"/>
      <c r="C5184" s="106"/>
      <c r="D5184" s="107"/>
      <c r="E5184" s="65"/>
      <c r="F5184" s="64"/>
      <c r="G5184" s="64"/>
      <c r="H5184" s="64"/>
      <c r="I5184" s="70"/>
      <c r="J5184" s="70"/>
      <c r="K5184" s="110" t="str">
        <f>IF(H5184="","",IF($C$29="간이법","",FPR(H5184,I5184,J5184)))</f>
        <v/>
      </c>
      <c r="L5184" s="111" t="str">
        <f>IF(H5184="","",IF($C$29="상세법",FPV(H5184,K5184),IF(H5184="EI",4,IF(H5184="EO",5.2,IF(H5184="EQ",3.9,IF(H5184="ILF",7.5,IF(H5184="EIF",5.4)))))))</f>
        <v/>
      </c>
      <c r="M5184" s="112" t="str">
        <f t="shared" si="84"/>
        <v/>
      </c>
      <c r="N5184" s="113"/>
    </row>
    <row r="5185" spans="2:14">
      <c r="B5185" s="105"/>
      <c r="C5185" s="106"/>
      <c r="D5185" s="107"/>
      <c r="E5185" s="65"/>
      <c r="F5185" s="64"/>
      <c r="G5185" s="64"/>
      <c r="H5185" s="64"/>
      <c r="I5185" s="70"/>
      <c r="J5185" s="70"/>
      <c r="K5185" s="110" t="str">
        <f>IF(H5185="","",IF($C$29="간이법","",FPR(H5185,I5185,J5185)))</f>
        <v/>
      </c>
      <c r="L5185" s="111" t="str">
        <f>IF(H5185="","",IF($C$29="상세법",FPV(H5185,K5185),IF(H5185="EI",4,IF(H5185="EO",5.2,IF(H5185="EQ",3.9,IF(H5185="ILF",7.5,IF(H5185="EIF",5.4)))))))</f>
        <v/>
      </c>
      <c r="M5185" s="112" t="str">
        <f t="shared" si="84"/>
        <v/>
      </c>
      <c r="N5185" s="113"/>
    </row>
    <row r="5186" spans="2:14">
      <c r="B5186" s="105"/>
      <c r="C5186" s="106"/>
      <c r="D5186" s="107"/>
      <c r="E5186" s="65"/>
      <c r="F5186" s="64"/>
      <c r="G5186" s="64"/>
      <c r="H5186" s="64"/>
      <c r="I5186" s="70"/>
      <c r="J5186" s="70"/>
      <c r="K5186" s="110" t="str">
        <f>IF(H5186="","",IF($C$29="간이법","",FPR(H5186,I5186,J5186)))</f>
        <v/>
      </c>
      <c r="L5186" s="111" t="str">
        <f>IF(H5186="","",IF($C$29="상세법",FPV(H5186,K5186),IF(H5186="EI",4,IF(H5186="EO",5.2,IF(H5186="EQ",3.9,IF(H5186="ILF",7.5,IF(H5186="EIF",5.4)))))))</f>
        <v/>
      </c>
      <c r="M5186" s="112" t="str">
        <f t="shared" si="84"/>
        <v/>
      </c>
      <c r="N5186" s="113"/>
    </row>
    <row r="5187" spans="2:14">
      <c r="B5187" s="105"/>
      <c r="C5187" s="106"/>
      <c r="D5187" s="107"/>
      <c r="E5187" s="65"/>
      <c r="F5187" s="64"/>
      <c r="G5187" s="64"/>
      <c r="H5187" s="64"/>
      <c r="I5187" s="70"/>
      <c r="J5187" s="70"/>
      <c r="K5187" s="110" t="str">
        <f>IF(H5187="","",IF($C$29="간이법","",FPR(H5187,I5187,J5187)))</f>
        <v/>
      </c>
      <c r="L5187" s="111" t="str">
        <f>IF(H5187="","",IF($C$29="상세법",FPV(H5187,K5187),IF(H5187="EI",4,IF(H5187="EO",5.2,IF(H5187="EQ",3.9,IF(H5187="ILF",7.5,IF(H5187="EIF",5.4)))))))</f>
        <v/>
      </c>
      <c r="M5187" s="112" t="str">
        <f t="shared" si="84"/>
        <v/>
      </c>
      <c r="N5187" s="113"/>
    </row>
    <row r="5188" spans="2:14">
      <c r="B5188" s="105"/>
      <c r="C5188" s="106"/>
      <c r="D5188" s="107"/>
      <c r="E5188" s="65"/>
      <c r="F5188" s="64"/>
      <c r="G5188" s="64"/>
      <c r="H5188" s="64"/>
      <c r="I5188" s="70"/>
      <c r="J5188" s="70"/>
      <c r="K5188" s="110" t="str">
        <f>IF(H5188="","",IF($C$29="간이법","",FPR(H5188,I5188,J5188)))</f>
        <v/>
      </c>
      <c r="L5188" s="111" t="str">
        <f>IF(H5188="","",IF($C$29="상세법",FPV(H5188,K5188),IF(H5188="EI",4,IF(H5188="EO",5.2,IF(H5188="EQ",3.9,IF(H5188="ILF",7.5,IF(H5188="EIF",5.4)))))))</f>
        <v/>
      </c>
      <c r="M5188" s="112" t="str">
        <f t="shared" si="84"/>
        <v/>
      </c>
      <c r="N5188" s="113"/>
    </row>
    <row r="5189" spans="2:14">
      <c r="B5189" s="105"/>
      <c r="C5189" s="106"/>
      <c r="D5189" s="107"/>
      <c r="E5189" s="65"/>
      <c r="F5189" s="64"/>
      <c r="G5189" s="64"/>
      <c r="H5189" s="64"/>
      <c r="I5189" s="70"/>
      <c r="J5189" s="70"/>
      <c r="K5189" s="110" t="str">
        <f>IF(H5189="","",IF($C$29="간이법","",FPR(H5189,I5189,J5189)))</f>
        <v/>
      </c>
      <c r="L5189" s="111" t="str">
        <f>IF(H5189="","",IF($C$29="상세법",FPV(H5189,K5189),IF(H5189="EI",4,IF(H5189="EO",5.2,IF(H5189="EQ",3.9,IF(H5189="ILF",7.5,IF(H5189="EIF",5.4)))))))</f>
        <v/>
      </c>
      <c r="M5189" s="112" t="str">
        <f t="shared" si="84"/>
        <v/>
      </c>
      <c r="N5189" s="113"/>
    </row>
    <row r="5190" spans="2:14">
      <c r="B5190" s="105"/>
      <c r="C5190" s="106"/>
      <c r="D5190" s="107"/>
      <c r="E5190" s="65"/>
      <c r="F5190" s="64"/>
      <c r="G5190" s="64"/>
      <c r="H5190" s="64"/>
      <c r="I5190" s="70"/>
      <c r="J5190" s="70"/>
      <c r="K5190" s="110" t="str">
        <f>IF(H5190="","",IF($C$29="간이법","",FPR(H5190,I5190,J5190)))</f>
        <v/>
      </c>
      <c r="L5190" s="111" t="str">
        <f>IF(H5190="","",IF($C$29="상세법",FPV(H5190,K5190),IF(H5190="EI",4,IF(H5190="EO",5.2,IF(H5190="EQ",3.9,IF(H5190="ILF",7.5,IF(H5190="EIF",5.4)))))))</f>
        <v/>
      </c>
      <c r="M5190" s="112" t="str">
        <f t="shared" si="84"/>
        <v/>
      </c>
      <c r="N5190" s="113"/>
    </row>
    <row r="5191" spans="2:14">
      <c r="B5191" s="105"/>
      <c r="C5191" s="106"/>
      <c r="D5191" s="107"/>
      <c r="E5191" s="65"/>
      <c r="F5191" s="64"/>
      <c r="G5191" s="64"/>
      <c r="H5191" s="64"/>
      <c r="I5191" s="70"/>
      <c r="J5191" s="70"/>
      <c r="K5191" s="110" t="str">
        <f>IF(H5191="","",IF($C$29="간이법","",FPR(H5191,I5191,J5191)))</f>
        <v/>
      </c>
      <c r="L5191" s="111" t="str">
        <f>IF(H5191="","",IF($C$29="상세법",FPV(H5191,K5191),IF(H5191="EI",4,IF(H5191="EO",5.2,IF(H5191="EQ",3.9,IF(H5191="ILF",7.5,IF(H5191="EIF",5.4)))))))</f>
        <v/>
      </c>
      <c r="M5191" s="112" t="str">
        <f t="shared" si="84"/>
        <v/>
      </c>
      <c r="N5191" s="113"/>
    </row>
    <row r="5192" spans="2:14">
      <c r="B5192" s="105"/>
      <c r="C5192" s="106"/>
      <c r="D5192" s="107"/>
      <c r="E5192" s="65"/>
      <c r="F5192" s="64"/>
      <c r="G5192" s="64"/>
      <c r="H5192" s="64"/>
      <c r="I5192" s="70"/>
      <c r="J5192" s="70"/>
      <c r="K5192" s="110" t="str">
        <f>IF(H5192="","",IF($C$29="간이법","",FPR(H5192,I5192,J5192)))</f>
        <v/>
      </c>
      <c r="L5192" s="111" t="str">
        <f>IF(H5192="","",IF($C$29="상세법",FPV(H5192,K5192),IF(H5192="EI",4,IF(H5192="EO",5.2,IF(H5192="EQ",3.9,IF(H5192="ILF",7.5,IF(H5192="EIF",5.4)))))))</f>
        <v/>
      </c>
      <c r="M5192" s="112" t="str">
        <f t="shared" si="84"/>
        <v/>
      </c>
      <c r="N5192" s="113"/>
    </row>
    <row r="5193" spans="2:14">
      <c r="B5193" s="105"/>
      <c r="C5193" s="106"/>
      <c r="D5193" s="107"/>
      <c r="E5193" s="65"/>
      <c r="F5193" s="64"/>
      <c r="G5193" s="64"/>
      <c r="H5193" s="64"/>
      <c r="I5193" s="70"/>
      <c r="J5193" s="70"/>
      <c r="K5193" s="110" t="str">
        <f>IF(H5193="","",IF($C$29="간이법","",FPR(H5193,I5193,J5193)))</f>
        <v/>
      </c>
      <c r="L5193" s="111" t="str">
        <f>IF(H5193="","",IF($C$29="상세법",FPV(H5193,K5193),IF(H5193="EI",4,IF(H5193="EO",5.2,IF(H5193="EQ",3.9,IF(H5193="ILF",7.5,IF(H5193="EIF",5.4)))))))</f>
        <v/>
      </c>
      <c r="M5193" s="112" t="str">
        <f t="shared" si="84"/>
        <v/>
      </c>
      <c r="N5193" s="113"/>
    </row>
    <row r="5194" spans="2:14">
      <c r="B5194" s="105"/>
      <c r="C5194" s="106"/>
      <c r="D5194" s="107"/>
      <c r="E5194" s="65"/>
      <c r="F5194" s="64"/>
      <c r="G5194" s="64"/>
      <c r="H5194" s="64"/>
      <c r="I5194" s="70"/>
      <c r="J5194" s="70"/>
      <c r="K5194" s="110" t="str">
        <f>IF(H5194="","",IF($C$29="간이법","",FPR(H5194,I5194,J5194)))</f>
        <v/>
      </c>
      <c r="L5194" s="111" t="str">
        <f>IF(H5194="","",IF($C$29="상세법",FPV(H5194,K5194),IF(H5194="EI",4,IF(H5194="EO",5.2,IF(H5194="EQ",3.9,IF(H5194="ILF",7.5,IF(H5194="EIF",5.4)))))))</f>
        <v/>
      </c>
      <c r="M5194" s="112" t="str">
        <f t="shared" si="84"/>
        <v/>
      </c>
      <c r="N5194" s="113"/>
    </row>
    <row r="5195" spans="2:14">
      <c r="B5195" s="105"/>
      <c r="C5195" s="106"/>
      <c r="D5195" s="107"/>
      <c r="E5195" s="65"/>
      <c r="F5195" s="64"/>
      <c r="G5195" s="64"/>
      <c r="H5195" s="64"/>
      <c r="I5195" s="70"/>
      <c r="J5195" s="70"/>
      <c r="K5195" s="110" t="str">
        <f>IF(H5195="","",IF($C$29="간이법","",FPR(H5195,I5195,J5195)))</f>
        <v/>
      </c>
      <c r="L5195" s="111" t="str">
        <f>IF(H5195="","",IF($C$29="상세법",FPV(H5195,K5195),IF(H5195="EI",4,IF(H5195="EO",5.2,IF(H5195="EQ",3.9,IF(H5195="ILF",7.5,IF(H5195="EIF",5.4)))))))</f>
        <v/>
      </c>
      <c r="M5195" s="112" t="str">
        <f t="shared" si="84"/>
        <v/>
      </c>
      <c r="N5195" s="113"/>
    </row>
    <row r="5196" spans="2:14">
      <c r="B5196" s="105"/>
      <c r="C5196" s="106"/>
      <c r="D5196" s="107"/>
      <c r="E5196" s="65"/>
      <c r="F5196" s="64"/>
      <c r="G5196" s="64"/>
      <c r="H5196" s="64"/>
      <c r="I5196" s="70"/>
      <c r="J5196" s="70"/>
      <c r="K5196" s="110" t="str">
        <f>IF(H5196="","",IF($C$29="간이법","",FPR(H5196,I5196,J5196)))</f>
        <v/>
      </c>
      <c r="L5196" s="111" t="str">
        <f>IF(H5196="","",IF($C$29="상세법",FPV(H5196,K5196),IF(H5196="EI",4,IF(H5196="EO",5.2,IF(H5196="EQ",3.9,IF(H5196="ILF",7.5,IF(H5196="EIF",5.4)))))))</f>
        <v/>
      </c>
      <c r="M5196" s="112" t="str">
        <f t="shared" si="84"/>
        <v/>
      </c>
      <c r="N5196" s="113"/>
    </row>
    <row r="5197" spans="2:14">
      <c r="B5197" s="105"/>
      <c r="C5197" s="106"/>
      <c r="D5197" s="107"/>
      <c r="E5197" s="65"/>
      <c r="F5197" s="64"/>
      <c r="G5197" s="64"/>
      <c r="H5197" s="64"/>
      <c r="I5197" s="70"/>
      <c r="J5197" s="70"/>
      <c r="K5197" s="110" t="str">
        <f>IF(H5197="","",IF($C$29="간이법","",FPR(H5197,I5197,J5197)))</f>
        <v/>
      </c>
      <c r="L5197" s="111" t="str">
        <f>IF(H5197="","",IF($C$29="상세법",FPV(H5197,K5197),IF(H5197="EI",4,IF(H5197="EO",5.2,IF(H5197="EQ",3.9,IF(H5197="ILF",7.5,IF(H5197="EIF",5.4)))))))</f>
        <v/>
      </c>
      <c r="M5197" s="112" t="str">
        <f t="shared" si="84"/>
        <v/>
      </c>
      <c r="N5197" s="113"/>
    </row>
    <row r="5198" spans="2:14">
      <c r="B5198" s="105"/>
      <c r="C5198" s="106"/>
      <c r="D5198" s="107"/>
      <c r="E5198" s="65"/>
      <c r="F5198" s="64"/>
      <c r="G5198" s="64"/>
      <c r="H5198" s="64"/>
      <c r="I5198" s="70"/>
      <c r="J5198" s="70"/>
      <c r="K5198" s="110" t="str">
        <f>IF(H5198="","",IF($C$29="간이법","",FPR(H5198,I5198,J5198)))</f>
        <v/>
      </c>
      <c r="L5198" s="111" t="str">
        <f>IF(H5198="","",IF($C$29="상세법",FPV(H5198,K5198),IF(H5198="EI",4,IF(H5198="EO",5.2,IF(H5198="EQ",3.9,IF(H5198="ILF",7.5,IF(H5198="EIF",5.4)))))))</f>
        <v/>
      </c>
      <c r="M5198" s="112" t="str">
        <f t="shared" si="84"/>
        <v/>
      </c>
      <c r="N5198" s="113"/>
    </row>
    <row r="5199" spans="2:14">
      <c r="B5199" s="105"/>
      <c r="C5199" s="106"/>
      <c r="D5199" s="107"/>
      <c r="E5199" s="65"/>
      <c r="F5199" s="64"/>
      <c r="G5199" s="64"/>
      <c r="H5199" s="64"/>
      <c r="I5199" s="70"/>
      <c r="J5199" s="70"/>
      <c r="K5199" s="110" t="str">
        <f>IF(H5199="","",IF($C$29="간이법","",FPR(H5199,I5199,J5199)))</f>
        <v/>
      </c>
      <c r="L5199" s="111" t="str">
        <f>IF(H5199="","",IF($C$29="상세법",FPV(H5199,K5199),IF(H5199="EI",4,IF(H5199="EO",5.2,IF(H5199="EQ",3.9,IF(H5199="ILF",7.5,IF(H5199="EIF",5.4)))))))</f>
        <v/>
      </c>
      <c r="M5199" s="112" t="str">
        <f t="shared" si="84"/>
        <v/>
      </c>
      <c r="N5199" s="113"/>
    </row>
    <row r="5200" spans="2:14">
      <c r="B5200" s="105"/>
      <c r="C5200" s="106"/>
      <c r="D5200" s="107"/>
      <c r="E5200" s="65"/>
      <c r="F5200" s="64"/>
      <c r="G5200" s="64"/>
      <c r="H5200" s="64"/>
      <c r="I5200" s="70"/>
      <c r="J5200" s="70"/>
      <c r="K5200" s="110" t="str">
        <f>IF(H5200="","",IF($C$29="간이법","",FPR(H5200,I5200,J5200)))</f>
        <v/>
      </c>
      <c r="L5200" s="111" t="str">
        <f>IF(H5200="","",IF($C$29="상세법",FPV(H5200,K5200),IF(H5200="EI",4,IF(H5200="EO",5.2,IF(H5200="EQ",3.9,IF(H5200="ILF",7.5,IF(H5200="EIF",5.4)))))))</f>
        <v/>
      </c>
      <c r="M5200" s="112" t="str">
        <f t="shared" si="84"/>
        <v/>
      </c>
      <c r="N5200" s="113"/>
    </row>
    <row r="5201" spans="2:14">
      <c r="B5201" s="105"/>
      <c r="C5201" s="106"/>
      <c r="D5201" s="107"/>
      <c r="E5201" s="65"/>
      <c r="F5201" s="64"/>
      <c r="G5201" s="64"/>
      <c r="H5201" s="64"/>
      <c r="I5201" s="70"/>
      <c r="J5201" s="70"/>
      <c r="K5201" s="110" t="str">
        <f>IF(H5201="","",IF($C$29="간이법","",FPR(H5201,I5201,J5201)))</f>
        <v/>
      </c>
      <c r="L5201" s="111" t="str">
        <f>IF(H5201="","",IF($C$29="상세법",FPV(H5201,K5201),IF(H5201="EI",4,IF(H5201="EO",5.2,IF(H5201="EQ",3.9,IF(H5201="ILF",7.5,IF(H5201="EIF",5.4)))))))</f>
        <v/>
      </c>
      <c r="M5201" s="112" t="str">
        <f t="shared" si="84"/>
        <v/>
      </c>
      <c r="N5201" s="113"/>
    </row>
    <row r="5202" spans="2:14">
      <c r="B5202" s="105"/>
      <c r="C5202" s="106"/>
      <c r="D5202" s="107"/>
      <c r="E5202" s="65"/>
      <c r="F5202" s="64"/>
      <c r="G5202" s="64"/>
      <c r="H5202" s="64"/>
      <c r="I5202" s="70"/>
      <c r="J5202" s="70"/>
      <c r="K5202" s="110" t="str">
        <f>IF(H5202="","",IF($C$29="간이법","",FPR(H5202,I5202,J5202)))</f>
        <v/>
      </c>
      <c r="L5202" s="111" t="str">
        <f>IF(H5202="","",IF($C$29="상세법",FPV(H5202,K5202),IF(H5202="EI",4,IF(H5202="EO",5.2,IF(H5202="EQ",3.9,IF(H5202="ILF",7.5,IF(H5202="EIF",5.4)))))))</f>
        <v/>
      </c>
      <c r="M5202" s="112" t="str">
        <f t="shared" si="84"/>
        <v/>
      </c>
      <c r="N5202" s="113"/>
    </row>
    <row r="5203" spans="2:14">
      <c r="B5203" s="105"/>
      <c r="C5203" s="106"/>
      <c r="D5203" s="107"/>
      <c r="E5203" s="65"/>
      <c r="F5203" s="64"/>
      <c r="G5203" s="64"/>
      <c r="H5203" s="64"/>
      <c r="I5203" s="70"/>
      <c r="J5203" s="70"/>
      <c r="K5203" s="110" t="str">
        <f>IF(H5203="","",IF($C$29="간이법","",FPR(H5203,I5203,J5203)))</f>
        <v/>
      </c>
      <c r="L5203" s="111" t="str">
        <f>IF(H5203="","",IF($C$29="상세법",FPV(H5203,K5203),IF(H5203="EI",4,IF(H5203="EO",5.2,IF(H5203="EQ",3.9,IF(H5203="ILF",7.5,IF(H5203="EIF",5.4)))))))</f>
        <v/>
      </c>
      <c r="M5203" s="112" t="str">
        <f t="shared" si="84"/>
        <v/>
      </c>
      <c r="N5203" s="113"/>
    </row>
    <row r="5204" spans="2:14">
      <c r="B5204" s="105"/>
      <c r="C5204" s="106"/>
      <c r="D5204" s="107"/>
      <c r="E5204" s="65"/>
      <c r="F5204" s="64"/>
      <c r="G5204" s="64"/>
      <c r="H5204" s="64"/>
      <c r="I5204" s="70"/>
      <c r="J5204" s="70"/>
      <c r="K5204" s="110" t="str">
        <f>IF(H5204="","",IF($C$29="간이법","",FPR(H5204,I5204,J5204)))</f>
        <v/>
      </c>
      <c r="L5204" s="111" t="str">
        <f>IF(H5204="","",IF($C$29="상세법",FPV(H5204,K5204),IF(H5204="EI",4,IF(H5204="EO",5.2,IF(H5204="EQ",3.9,IF(H5204="ILF",7.5,IF(H5204="EIF",5.4)))))))</f>
        <v/>
      </c>
      <c r="M5204" s="112" t="str">
        <f t="shared" si="84"/>
        <v/>
      </c>
      <c r="N5204" s="113"/>
    </row>
    <row r="5205" spans="2:14">
      <c r="B5205" s="105"/>
      <c r="C5205" s="106"/>
      <c r="D5205" s="107"/>
      <c r="E5205" s="65"/>
      <c r="F5205" s="64"/>
      <c r="G5205" s="64"/>
      <c r="H5205" s="64"/>
      <c r="I5205" s="70"/>
      <c r="J5205" s="70"/>
      <c r="K5205" s="110" t="str">
        <f>IF(H5205="","",IF($C$29="간이법","",FPR(H5205,I5205,J5205)))</f>
        <v/>
      </c>
      <c r="L5205" s="111" t="str">
        <f>IF(H5205="","",IF($C$29="상세법",FPV(H5205,K5205),IF(H5205="EI",4,IF(H5205="EO",5.2,IF(H5205="EQ",3.9,IF(H5205="ILF",7.5,IF(H5205="EIF",5.4)))))))</f>
        <v/>
      </c>
      <c r="M5205" s="112" t="str">
        <f t="shared" si="84"/>
        <v/>
      </c>
      <c r="N5205" s="113"/>
    </row>
    <row r="5206" spans="2:14">
      <c r="B5206" s="105"/>
      <c r="C5206" s="106"/>
      <c r="D5206" s="107"/>
      <c r="E5206" s="65"/>
      <c r="F5206" s="64"/>
      <c r="G5206" s="64"/>
      <c r="H5206" s="64"/>
      <c r="I5206" s="70"/>
      <c r="J5206" s="70"/>
      <c r="K5206" s="110" t="str">
        <f>IF(H5206="","",IF($C$29="간이법","",FPR(H5206,I5206,J5206)))</f>
        <v/>
      </c>
      <c r="L5206" s="111" t="str">
        <f>IF(H5206="","",IF($C$29="상세법",FPV(H5206,K5206),IF(H5206="EI",4,IF(H5206="EO",5.2,IF(H5206="EQ",3.9,IF(H5206="ILF",7.5,IF(H5206="EIF",5.4)))))))</f>
        <v/>
      </c>
      <c r="M5206" s="112" t="str">
        <f t="shared" si="84"/>
        <v/>
      </c>
      <c r="N5206" s="113"/>
    </row>
    <row r="5207" spans="2:14">
      <c r="B5207" s="105"/>
      <c r="C5207" s="106"/>
      <c r="D5207" s="107"/>
      <c r="E5207" s="65"/>
      <c r="F5207" s="64"/>
      <c r="G5207" s="64"/>
      <c r="H5207" s="64"/>
      <c r="I5207" s="70"/>
      <c r="J5207" s="70"/>
      <c r="K5207" s="110" t="str">
        <f>IF(H5207="","",IF($C$29="간이법","",FPR(H5207,I5207,J5207)))</f>
        <v/>
      </c>
      <c r="L5207" s="111" t="str">
        <f>IF(H5207="","",IF($C$29="상세법",FPV(H5207,K5207),IF(H5207="EI",4,IF(H5207="EO",5.2,IF(H5207="EQ",3.9,IF(H5207="ILF",7.5,IF(H5207="EIF",5.4)))))))</f>
        <v/>
      </c>
      <c r="M5207" s="112" t="str">
        <f t="shared" si="84"/>
        <v/>
      </c>
      <c r="N5207" s="113"/>
    </row>
    <row r="5208" spans="2:14">
      <c r="B5208" s="105"/>
      <c r="C5208" s="106"/>
      <c r="D5208" s="107"/>
      <c r="E5208" s="65"/>
      <c r="F5208" s="64"/>
      <c r="G5208" s="64"/>
      <c r="H5208" s="64"/>
      <c r="I5208" s="70"/>
      <c r="J5208" s="70"/>
      <c r="K5208" s="110" t="str">
        <f>IF(H5208="","",IF($C$29="간이법","",FPR(H5208,I5208,J5208)))</f>
        <v/>
      </c>
      <c r="L5208" s="111" t="str">
        <f>IF(H5208="","",IF($C$29="상세법",FPV(H5208,K5208),IF(H5208="EI",4,IF(H5208="EO",5.2,IF(H5208="EQ",3.9,IF(H5208="ILF",7.5,IF(H5208="EIF",5.4)))))))</f>
        <v/>
      </c>
      <c r="M5208" s="112" t="str">
        <f t="shared" si="84"/>
        <v/>
      </c>
      <c r="N5208" s="113"/>
    </row>
    <row r="5209" spans="2:14">
      <c r="B5209" s="105"/>
      <c r="C5209" s="106"/>
      <c r="D5209" s="107"/>
      <c r="E5209" s="65"/>
      <c r="F5209" s="64"/>
      <c r="G5209" s="64"/>
      <c r="H5209" s="64"/>
      <c r="I5209" s="70"/>
      <c r="J5209" s="70"/>
      <c r="K5209" s="110" t="str">
        <f>IF(H5209="","",IF($C$29="간이법","",FPR(H5209,I5209,J5209)))</f>
        <v/>
      </c>
      <c r="L5209" s="111" t="str">
        <f>IF(H5209="","",IF($C$29="상세법",FPV(H5209,K5209),IF(H5209="EI",4,IF(H5209="EO",5.2,IF(H5209="EQ",3.9,IF(H5209="ILF",7.5,IF(H5209="EIF",5.4)))))))</f>
        <v/>
      </c>
      <c r="M5209" s="112" t="str">
        <f t="shared" si="84"/>
        <v/>
      </c>
      <c r="N5209" s="113"/>
    </row>
    <row r="5210" spans="2:14">
      <c r="B5210" s="105"/>
      <c r="C5210" s="106"/>
      <c r="D5210" s="107"/>
      <c r="E5210" s="65"/>
      <c r="F5210" s="64"/>
      <c r="G5210" s="64"/>
      <c r="H5210" s="64"/>
      <c r="I5210" s="70"/>
      <c r="J5210" s="70"/>
      <c r="K5210" s="110" t="str">
        <f>IF(H5210="","",IF($C$29="간이법","",FPR(H5210,I5210,J5210)))</f>
        <v/>
      </c>
      <c r="L5210" s="111" t="str">
        <f>IF(H5210="","",IF($C$29="상세법",FPV(H5210,K5210),IF(H5210="EI",4,IF(H5210="EO",5.2,IF(H5210="EQ",3.9,IF(H5210="ILF",7.5,IF(H5210="EIF",5.4)))))))</f>
        <v/>
      </c>
      <c r="M5210" s="112" t="str">
        <f t="shared" si="84"/>
        <v/>
      </c>
      <c r="N5210" s="113"/>
    </row>
    <row r="5211" spans="2:14">
      <c r="B5211" s="105"/>
      <c r="C5211" s="106"/>
      <c r="D5211" s="107"/>
      <c r="E5211" s="65"/>
      <c r="F5211" s="64"/>
      <c r="G5211" s="64"/>
      <c r="H5211" s="64"/>
      <c r="I5211" s="70"/>
      <c r="J5211" s="70"/>
      <c r="K5211" s="110" t="str">
        <f>IF(H5211="","",IF($C$29="간이법","",FPR(H5211,I5211,J5211)))</f>
        <v/>
      </c>
      <c r="L5211" s="111" t="str">
        <f>IF(H5211="","",IF($C$29="상세법",FPV(H5211,K5211),IF(H5211="EI",4,IF(H5211="EO",5.2,IF(H5211="EQ",3.9,IF(H5211="ILF",7.5,IF(H5211="EIF",5.4)))))))</f>
        <v/>
      </c>
      <c r="M5211" s="112" t="str">
        <f t="shared" si="84"/>
        <v/>
      </c>
      <c r="N5211" s="113"/>
    </row>
    <row r="5212" spans="2:14">
      <c r="B5212" s="105"/>
      <c r="C5212" s="106"/>
      <c r="D5212" s="107"/>
      <c r="E5212" s="65"/>
      <c r="F5212" s="64"/>
      <c r="G5212" s="64"/>
      <c r="H5212" s="64"/>
      <c r="I5212" s="70"/>
      <c r="J5212" s="70"/>
      <c r="K5212" s="110" t="str">
        <f>IF(H5212="","",IF($C$29="간이법","",FPR(H5212,I5212,J5212)))</f>
        <v/>
      </c>
      <c r="L5212" s="111" t="str">
        <f>IF(H5212="","",IF($C$29="상세법",FPV(H5212,K5212),IF(H5212="EI",4,IF(H5212="EO",5.2,IF(H5212="EQ",3.9,IF(H5212="ILF",7.5,IF(H5212="EIF",5.4)))))))</f>
        <v/>
      </c>
      <c r="M5212" s="112" t="str">
        <f t="shared" si="84"/>
        <v/>
      </c>
      <c r="N5212" s="113"/>
    </row>
    <row r="5213" spans="2:14">
      <c r="B5213" s="105"/>
      <c r="C5213" s="106"/>
      <c r="D5213" s="107"/>
      <c r="E5213" s="65"/>
      <c r="F5213" s="64"/>
      <c r="G5213" s="64"/>
      <c r="H5213" s="64"/>
      <c r="I5213" s="70"/>
      <c r="J5213" s="70"/>
      <c r="K5213" s="110" t="str">
        <f>IF(H5213="","",IF($C$29="간이법","",FPR(H5213,I5213,J5213)))</f>
        <v/>
      </c>
      <c r="L5213" s="111" t="str">
        <f>IF(H5213="","",IF($C$29="상세법",FPV(H5213,K5213),IF(H5213="EI",4,IF(H5213="EO",5.2,IF(H5213="EQ",3.9,IF(H5213="ILF",7.5,IF(H5213="EIF",5.4)))))))</f>
        <v/>
      </c>
      <c r="M5213" s="112" t="str">
        <f t="shared" si="84"/>
        <v/>
      </c>
      <c r="N5213" s="113"/>
    </row>
    <row r="5214" spans="2:14">
      <c r="B5214" s="105"/>
      <c r="C5214" s="106"/>
      <c r="D5214" s="107"/>
      <c r="E5214" s="65"/>
      <c r="F5214" s="64"/>
      <c r="G5214" s="64"/>
      <c r="H5214" s="64"/>
      <c r="I5214" s="70"/>
      <c r="J5214" s="70"/>
      <c r="K5214" s="110" t="str">
        <f>IF(H5214="","",IF($C$29="간이법","",FPR(H5214,I5214,J5214)))</f>
        <v/>
      </c>
      <c r="L5214" s="111" t="str">
        <f>IF(H5214="","",IF($C$29="상세법",FPV(H5214,K5214),IF(H5214="EI",4,IF(H5214="EO",5.2,IF(H5214="EQ",3.9,IF(H5214="ILF",7.5,IF(H5214="EIF",5.4)))))))</f>
        <v/>
      </c>
      <c r="M5214" s="112" t="str">
        <f t="shared" si="84"/>
        <v/>
      </c>
      <c r="N5214" s="113"/>
    </row>
    <row r="5215" spans="2:14">
      <c r="B5215" s="105"/>
      <c r="C5215" s="106"/>
      <c r="D5215" s="107"/>
      <c r="E5215" s="65"/>
      <c r="F5215" s="64"/>
      <c r="G5215" s="64"/>
      <c r="H5215" s="64"/>
      <c r="I5215" s="70"/>
      <c r="J5215" s="70"/>
      <c r="K5215" s="110" t="str">
        <f>IF(H5215="","",IF($C$29="간이법","",FPR(H5215,I5215,J5215)))</f>
        <v/>
      </c>
      <c r="L5215" s="111" t="str">
        <f>IF(H5215="","",IF($C$29="상세법",FPV(H5215,K5215),IF(H5215="EI",4,IF(H5215="EO",5.2,IF(H5215="EQ",3.9,IF(H5215="ILF",7.5,IF(H5215="EIF",5.4)))))))</f>
        <v/>
      </c>
      <c r="M5215" s="112" t="str">
        <f t="shared" si="84"/>
        <v/>
      </c>
      <c r="N5215" s="113"/>
    </row>
    <row r="5216" spans="2:14">
      <c r="B5216" s="105"/>
      <c r="C5216" s="106"/>
      <c r="D5216" s="107"/>
      <c r="E5216" s="65"/>
      <c r="F5216" s="64"/>
      <c r="G5216" s="64"/>
      <c r="H5216" s="64"/>
      <c r="I5216" s="70"/>
      <c r="J5216" s="70"/>
      <c r="K5216" s="110" t="str">
        <f>IF(H5216="","",IF($C$29="간이법","",FPR(H5216,I5216,J5216)))</f>
        <v/>
      </c>
      <c r="L5216" s="111" t="str">
        <f>IF(H5216="","",IF($C$29="상세법",FPV(H5216,K5216),IF(H5216="EI",4,IF(H5216="EO",5.2,IF(H5216="EQ",3.9,IF(H5216="ILF",7.5,IF(H5216="EIF",5.4)))))))</f>
        <v/>
      </c>
      <c r="M5216" s="112" t="str">
        <f t="shared" si="84"/>
        <v/>
      </c>
      <c r="N5216" s="113"/>
    </row>
    <row r="5217" spans="2:14">
      <c r="B5217" s="105"/>
      <c r="C5217" s="106"/>
      <c r="D5217" s="107"/>
      <c r="E5217" s="65"/>
      <c r="F5217" s="64"/>
      <c r="G5217" s="64"/>
      <c r="H5217" s="64"/>
      <c r="I5217" s="70"/>
      <c r="J5217" s="70"/>
      <c r="K5217" s="110" t="str">
        <f>IF(H5217="","",IF($C$29="간이법","",FPR(H5217,I5217,J5217)))</f>
        <v/>
      </c>
      <c r="L5217" s="111" t="str">
        <f>IF(H5217="","",IF($C$29="상세법",FPV(H5217,K5217),IF(H5217="EI",4,IF(H5217="EO",5.2,IF(H5217="EQ",3.9,IF(H5217="ILF",7.5,IF(H5217="EIF",5.4)))))))</f>
        <v/>
      </c>
      <c r="M5217" s="112" t="str">
        <f t="shared" si="84"/>
        <v/>
      </c>
      <c r="N5217" s="113"/>
    </row>
    <row r="5218" spans="2:14">
      <c r="B5218" s="105"/>
      <c r="C5218" s="106"/>
      <c r="D5218" s="107"/>
      <c r="E5218" s="65"/>
      <c r="F5218" s="64"/>
      <c r="G5218" s="64"/>
      <c r="H5218" s="64"/>
      <c r="I5218" s="70"/>
      <c r="J5218" s="70"/>
      <c r="K5218" s="110" t="str">
        <f>IF(H5218="","",IF($C$29="간이법","",FPR(H5218,I5218,J5218)))</f>
        <v/>
      </c>
      <c r="L5218" s="111" t="str">
        <f>IF(H5218="","",IF($C$29="상세법",FPV(H5218,K5218),IF(H5218="EI",4,IF(H5218="EO",5.2,IF(H5218="EQ",3.9,IF(H5218="ILF",7.5,IF(H5218="EIF",5.4)))))))</f>
        <v/>
      </c>
      <c r="M5218" s="112" t="str">
        <f t="shared" si="84"/>
        <v/>
      </c>
      <c r="N5218" s="113"/>
    </row>
    <row r="5219" spans="2:14">
      <c r="B5219" s="105"/>
      <c r="C5219" s="106"/>
      <c r="D5219" s="107"/>
      <c r="E5219" s="65"/>
      <c r="F5219" s="64"/>
      <c r="G5219" s="64"/>
      <c r="H5219" s="64"/>
      <c r="I5219" s="70"/>
      <c r="J5219" s="70"/>
      <c r="K5219" s="110" t="str">
        <f>IF(H5219="","",IF($C$29="간이법","",FPR(H5219,I5219,J5219)))</f>
        <v/>
      </c>
      <c r="L5219" s="111" t="str">
        <f>IF(H5219="","",IF($C$29="상세법",FPV(H5219,K5219),IF(H5219="EI",4,IF(H5219="EO",5.2,IF(H5219="EQ",3.9,IF(H5219="ILF",7.5,IF(H5219="EIF",5.4)))))))</f>
        <v/>
      </c>
      <c r="M5219" s="112" t="str">
        <f t="shared" si="84"/>
        <v/>
      </c>
      <c r="N5219" s="113"/>
    </row>
    <row r="5220" spans="2:14">
      <c r="B5220" s="105"/>
      <c r="C5220" s="106"/>
      <c r="D5220" s="107"/>
      <c r="E5220" s="65"/>
      <c r="F5220" s="64"/>
      <c r="G5220" s="64"/>
      <c r="H5220" s="64"/>
      <c r="I5220" s="70"/>
      <c r="J5220" s="70"/>
      <c r="K5220" s="110" t="str">
        <f>IF(H5220="","",IF($C$29="간이법","",FPR(H5220,I5220,J5220)))</f>
        <v/>
      </c>
      <c r="L5220" s="111" t="str">
        <f>IF(H5220="","",IF($C$29="상세법",FPV(H5220,K5220),IF(H5220="EI",4,IF(H5220="EO",5.2,IF(H5220="EQ",3.9,IF(H5220="ILF",7.5,IF(H5220="EIF",5.4)))))))</f>
        <v/>
      </c>
      <c r="M5220" s="112" t="str">
        <f t="shared" si="84"/>
        <v/>
      </c>
      <c r="N5220" s="113"/>
    </row>
    <row r="5221" spans="2:14">
      <c r="B5221" s="105"/>
      <c r="C5221" s="106"/>
      <c r="D5221" s="107"/>
      <c r="E5221" s="65"/>
      <c r="F5221" s="64"/>
      <c r="G5221" s="64"/>
      <c r="H5221" s="64"/>
      <c r="I5221" s="70"/>
      <c r="J5221" s="70"/>
      <c r="K5221" s="110" t="str">
        <f>IF(H5221="","",IF($C$29="간이법","",FPR(H5221,I5221,J5221)))</f>
        <v/>
      </c>
      <c r="L5221" s="111" t="str">
        <f>IF(H5221="","",IF($C$29="상세법",FPV(H5221,K5221),IF(H5221="EI",4,IF(H5221="EO",5.2,IF(H5221="EQ",3.9,IF(H5221="ILF",7.5,IF(H5221="EIF",5.4)))))))</f>
        <v/>
      </c>
      <c r="M5221" s="112" t="str">
        <f t="shared" si="84"/>
        <v/>
      </c>
      <c r="N5221" s="113"/>
    </row>
    <row r="5222" spans="2:14">
      <c r="B5222" s="105"/>
      <c r="C5222" s="106"/>
      <c r="D5222" s="107"/>
      <c r="E5222" s="65"/>
      <c r="F5222" s="64"/>
      <c r="G5222" s="64"/>
      <c r="H5222" s="64"/>
      <c r="I5222" s="70"/>
      <c r="J5222" s="70"/>
      <c r="K5222" s="110" t="str">
        <f>IF(H5222="","",IF($C$29="간이법","",FPR(H5222,I5222,J5222)))</f>
        <v/>
      </c>
      <c r="L5222" s="111" t="str">
        <f>IF(H5222="","",IF($C$29="상세법",FPV(H5222,K5222),IF(H5222="EI",4,IF(H5222="EO",5.2,IF(H5222="EQ",3.9,IF(H5222="ILF",7.5,IF(H5222="EIF",5.4)))))))</f>
        <v/>
      </c>
      <c r="M5222" s="112" t="str">
        <f t="shared" si="84"/>
        <v/>
      </c>
      <c r="N5222" s="113"/>
    </row>
    <row r="5223" spans="2:14">
      <c r="B5223" s="105"/>
      <c r="C5223" s="106"/>
      <c r="D5223" s="107"/>
      <c r="E5223" s="65"/>
      <c r="F5223" s="64"/>
      <c r="G5223" s="64"/>
      <c r="H5223" s="64"/>
      <c r="I5223" s="70"/>
      <c r="J5223" s="70"/>
      <c r="K5223" s="110" t="str">
        <f>IF(H5223="","",IF($C$29="간이법","",FPR(H5223,I5223,J5223)))</f>
        <v/>
      </c>
      <c r="L5223" s="111" t="str">
        <f>IF(H5223="","",IF($C$29="상세법",FPV(H5223,K5223),IF(H5223="EI",4,IF(H5223="EO",5.2,IF(H5223="EQ",3.9,IF(H5223="ILF",7.5,IF(H5223="EIF",5.4)))))))</f>
        <v/>
      </c>
      <c r="M5223" s="112" t="str">
        <f t="shared" si="84"/>
        <v/>
      </c>
      <c r="N5223" s="113"/>
    </row>
    <row r="5224" spans="2:14">
      <c r="B5224" s="105"/>
      <c r="C5224" s="106"/>
      <c r="D5224" s="107"/>
      <c r="E5224" s="65"/>
      <c r="F5224" s="64"/>
      <c r="G5224" s="64"/>
      <c r="H5224" s="64"/>
      <c r="I5224" s="70"/>
      <c r="J5224" s="70"/>
      <c r="K5224" s="110" t="str">
        <f>IF(H5224="","",IF($C$29="간이법","",FPR(H5224,I5224,J5224)))</f>
        <v/>
      </c>
      <c r="L5224" s="111" t="str">
        <f>IF(H5224="","",IF($C$29="상세법",FPV(H5224,K5224),IF(H5224="EI",4,IF(H5224="EO",5.2,IF(H5224="EQ",3.9,IF(H5224="ILF",7.5,IF(H5224="EIF",5.4)))))))</f>
        <v/>
      </c>
      <c r="M5224" s="112" t="str">
        <f t="shared" si="84"/>
        <v/>
      </c>
      <c r="N5224" s="113"/>
    </row>
    <row r="5225" spans="2:14">
      <c r="B5225" s="105"/>
      <c r="C5225" s="106"/>
      <c r="D5225" s="107"/>
      <c r="E5225" s="65"/>
      <c r="F5225" s="64"/>
      <c r="G5225" s="64"/>
      <c r="H5225" s="64"/>
      <c r="I5225" s="70"/>
      <c r="J5225" s="70"/>
      <c r="K5225" s="110" t="str">
        <f>IF(H5225="","",IF($C$29="간이법","",FPR(H5225,I5225,J5225)))</f>
        <v/>
      </c>
      <c r="L5225" s="111" t="str">
        <f>IF(H5225="","",IF($C$29="상세법",FPV(H5225,K5225),IF(H5225="EI",4,IF(H5225="EO",5.2,IF(H5225="EQ",3.9,IF(H5225="ILF",7.5,IF(H5225="EIF",5.4)))))))</f>
        <v/>
      </c>
      <c r="M5225" s="112" t="str">
        <f t="shared" si="84"/>
        <v/>
      </c>
      <c r="N5225" s="113"/>
    </row>
    <row r="5226" spans="2:14">
      <c r="B5226" s="105"/>
      <c r="C5226" s="106"/>
      <c r="D5226" s="107"/>
      <c r="E5226" s="65"/>
      <c r="F5226" s="64"/>
      <c r="G5226" s="64"/>
      <c r="H5226" s="64"/>
      <c r="I5226" s="70"/>
      <c r="J5226" s="70"/>
      <c r="K5226" s="110" t="str">
        <f>IF(H5226="","",IF($C$29="간이법","",FPR(H5226,I5226,J5226)))</f>
        <v/>
      </c>
      <c r="L5226" s="111" t="str">
        <f>IF(H5226="","",IF($C$29="상세법",FPV(H5226,K5226),IF(H5226="EI",4,IF(H5226="EO",5.2,IF(H5226="EQ",3.9,IF(H5226="ILF",7.5,IF(H5226="EIF",5.4)))))))</f>
        <v/>
      </c>
      <c r="M5226" s="112" t="str">
        <f t="shared" si="84"/>
        <v/>
      </c>
      <c r="N5226" s="113"/>
    </row>
    <row r="5227" spans="2:14">
      <c r="B5227" s="105"/>
      <c r="C5227" s="106"/>
      <c r="D5227" s="107"/>
      <c r="E5227" s="65"/>
      <c r="F5227" s="64"/>
      <c r="G5227" s="64"/>
      <c r="H5227" s="64"/>
      <c r="I5227" s="70"/>
      <c r="J5227" s="70"/>
      <c r="K5227" s="110" t="str">
        <f>IF(H5227="","",IF($C$29="간이법","",FPR(H5227,I5227,J5227)))</f>
        <v/>
      </c>
      <c r="L5227" s="111" t="str">
        <f>IF(H5227="","",IF($C$29="상세법",FPV(H5227,K5227),IF(H5227="EI",4,IF(H5227="EO",5.2,IF(H5227="EQ",3.9,IF(H5227="ILF",7.5,IF(H5227="EIF",5.4)))))))</f>
        <v/>
      </c>
      <c r="M5227" s="112" t="str">
        <f t="shared" si="84"/>
        <v/>
      </c>
      <c r="N5227" s="113"/>
    </row>
    <row r="5228" spans="2:14">
      <c r="B5228" s="105"/>
      <c r="C5228" s="106"/>
      <c r="D5228" s="107"/>
      <c r="E5228" s="65"/>
      <c r="F5228" s="64"/>
      <c r="G5228" s="64"/>
      <c r="H5228" s="64"/>
      <c r="I5228" s="70"/>
      <c r="J5228" s="70"/>
      <c r="K5228" s="110" t="str">
        <f>IF(H5228="","",IF($C$29="간이법","",FPR(H5228,I5228,J5228)))</f>
        <v/>
      </c>
      <c r="L5228" s="111" t="str">
        <f>IF(H5228="","",IF($C$29="상세법",FPV(H5228,K5228),IF(H5228="EI",4,IF(H5228="EO",5.2,IF(H5228="EQ",3.9,IF(H5228="ILF",7.5,IF(H5228="EIF",5.4)))))))</f>
        <v/>
      </c>
      <c r="M5228" s="112" t="str">
        <f t="shared" si="84"/>
        <v/>
      </c>
      <c r="N5228" s="113"/>
    </row>
    <row r="5229" spans="2:14">
      <c r="B5229" s="105"/>
      <c r="C5229" s="106"/>
      <c r="D5229" s="107"/>
      <c r="E5229" s="65"/>
      <c r="F5229" s="64"/>
      <c r="G5229" s="64"/>
      <c r="H5229" s="64"/>
      <c r="I5229" s="70"/>
      <c r="J5229" s="70"/>
      <c r="K5229" s="110" t="str">
        <f>IF(H5229="","",IF($C$29="간이법","",FPR(H5229,I5229,J5229)))</f>
        <v/>
      </c>
      <c r="L5229" s="111" t="str">
        <f>IF(H5229="","",IF($C$29="상세법",FPV(H5229,K5229),IF(H5229="EI",4,IF(H5229="EO",5.2,IF(H5229="EQ",3.9,IF(H5229="ILF",7.5,IF(H5229="EIF",5.4)))))))</f>
        <v/>
      </c>
      <c r="M5229" s="112" t="str">
        <f t="shared" si="84"/>
        <v/>
      </c>
      <c r="N5229" s="113"/>
    </row>
    <row r="5230" spans="2:14">
      <c r="B5230" s="105"/>
      <c r="C5230" s="106"/>
      <c r="D5230" s="107"/>
      <c r="E5230" s="65"/>
      <c r="F5230" s="64"/>
      <c r="G5230" s="64"/>
      <c r="H5230" s="64"/>
      <c r="I5230" s="70"/>
      <c r="J5230" s="70"/>
      <c r="K5230" s="110" t="str">
        <f>IF(H5230="","",IF($C$29="간이법","",FPR(H5230,I5230,J5230)))</f>
        <v/>
      </c>
      <c r="L5230" s="111" t="str">
        <f>IF(H5230="","",IF($C$29="상세법",FPV(H5230,K5230),IF(H5230="EI",4,IF(H5230="EO",5.2,IF(H5230="EQ",3.9,IF(H5230="ILF",7.5,IF(H5230="EIF",5.4)))))))</f>
        <v/>
      </c>
      <c r="M5230" s="112" t="str">
        <f t="shared" si="84"/>
        <v/>
      </c>
      <c r="N5230" s="113"/>
    </row>
    <row r="5231" spans="2:14">
      <c r="B5231" s="105"/>
      <c r="C5231" s="106"/>
      <c r="D5231" s="107"/>
      <c r="E5231" s="65"/>
      <c r="F5231" s="64"/>
      <c r="G5231" s="64"/>
      <c r="H5231" s="64"/>
      <c r="I5231" s="70"/>
      <c r="J5231" s="70"/>
      <c r="K5231" s="110" t="str">
        <f>IF(H5231="","",IF($C$29="간이법","",FPR(H5231,I5231,J5231)))</f>
        <v/>
      </c>
      <c r="L5231" s="111" t="str">
        <f>IF(H5231="","",IF($C$29="상세법",FPV(H5231,K5231),IF(H5231="EI",4,IF(H5231="EO",5.2,IF(H5231="EQ",3.9,IF(H5231="ILF",7.5,IF(H5231="EIF",5.4)))))))</f>
        <v/>
      </c>
      <c r="M5231" s="112" t="str">
        <f t="shared" si="84"/>
        <v/>
      </c>
      <c r="N5231" s="113"/>
    </row>
    <row r="5232" spans="2:14">
      <c r="B5232" s="105"/>
      <c r="C5232" s="106"/>
      <c r="D5232" s="107"/>
      <c r="E5232" s="65"/>
      <c r="F5232" s="64"/>
      <c r="G5232" s="64"/>
      <c r="H5232" s="64"/>
      <c r="I5232" s="70"/>
      <c r="J5232" s="70"/>
      <c r="K5232" s="110" t="str">
        <f>IF(H5232="","",IF($C$29="간이법","",FPR(H5232,I5232,J5232)))</f>
        <v/>
      </c>
      <c r="L5232" s="111" t="str">
        <f>IF(H5232="","",IF($C$29="상세법",FPV(H5232,K5232),IF(H5232="EI",4,IF(H5232="EO",5.2,IF(H5232="EQ",3.9,IF(H5232="ILF",7.5,IF(H5232="EIF",5.4)))))))</f>
        <v/>
      </c>
      <c r="M5232" s="112" t="str">
        <f t="shared" si="84"/>
        <v/>
      </c>
      <c r="N5232" s="113"/>
    </row>
    <row r="5233" spans="2:14">
      <c r="B5233" s="105"/>
      <c r="C5233" s="106"/>
      <c r="D5233" s="107"/>
      <c r="E5233" s="65"/>
      <c r="F5233" s="64"/>
      <c r="G5233" s="64"/>
      <c r="H5233" s="64"/>
      <c r="I5233" s="70"/>
      <c r="J5233" s="70"/>
      <c r="K5233" s="110" t="str">
        <f>IF(H5233="","",IF($C$29="간이법","",FPR(H5233,I5233,J5233)))</f>
        <v/>
      </c>
      <c r="L5233" s="111" t="str">
        <f>IF(H5233="","",IF($C$29="상세법",FPV(H5233,K5233),IF(H5233="EI",4,IF(H5233="EO",5.2,IF(H5233="EQ",3.9,IF(H5233="ILF",7.5,IF(H5233="EIF",5.4)))))))</f>
        <v/>
      </c>
      <c r="M5233" s="112" t="str">
        <f t="shared" si="84"/>
        <v/>
      </c>
      <c r="N5233" s="113"/>
    </row>
    <row r="5234" spans="2:14">
      <c r="B5234" s="105"/>
      <c r="C5234" s="106"/>
      <c r="D5234" s="107"/>
      <c r="E5234" s="65"/>
      <c r="F5234" s="64"/>
      <c r="G5234" s="64"/>
      <c r="H5234" s="64"/>
      <c r="I5234" s="70"/>
      <c r="J5234" s="70"/>
      <c r="K5234" s="110" t="str">
        <f>IF(H5234="","",IF($C$29="간이법","",FPR(H5234,I5234,J5234)))</f>
        <v/>
      </c>
      <c r="L5234" s="111" t="str">
        <f>IF(H5234="","",IF($C$29="상세법",FPV(H5234,K5234),IF(H5234="EI",4,IF(H5234="EO",5.2,IF(H5234="EQ",3.9,IF(H5234="ILF",7.5,IF(H5234="EIF",5.4)))))))</f>
        <v/>
      </c>
      <c r="M5234" s="112" t="str">
        <f t="shared" si="84"/>
        <v/>
      </c>
      <c r="N5234" s="113"/>
    </row>
    <row r="5235" spans="2:14">
      <c r="B5235" s="105"/>
      <c r="C5235" s="106"/>
      <c r="D5235" s="107"/>
      <c r="E5235" s="65"/>
      <c r="F5235" s="64"/>
      <c r="G5235" s="64"/>
      <c r="H5235" s="64"/>
      <c r="I5235" s="70"/>
      <c r="J5235" s="70"/>
      <c r="K5235" s="110" t="str">
        <f>IF(H5235="","",IF($C$29="간이법","",FPR(H5235,I5235,J5235)))</f>
        <v/>
      </c>
      <c r="L5235" s="111" t="str">
        <f>IF(H5235="","",IF($C$29="상세법",FPV(H5235,K5235),IF(H5235="EI",4,IF(H5235="EO",5.2,IF(H5235="EQ",3.9,IF(H5235="ILF",7.5,IF(H5235="EIF",5.4)))))))</f>
        <v/>
      </c>
      <c r="M5235" s="112" t="str">
        <f t="shared" si="84"/>
        <v/>
      </c>
      <c r="N5235" s="113"/>
    </row>
    <row r="5236" spans="2:14">
      <c r="B5236" s="105"/>
      <c r="C5236" s="106"/>
      <c r="D5236" s="107"/>
      <c r="E5236" s="65"/>
      <c r="F5236" s="64"/>
      <c r="G5236" s="64"/>
      <c r="H5236" s="64"/>
      <c r="I5236" s="70"/>
      <c r="J5236" s="70"/>
      <c r="K5236" s="110" t="str">
        <f>IF(H5236="","",IF($C$29="간이법","",FPR(H5236,I5236,J5236)))</f>
        <v/>
      </c>
      <c r="L5236" s="111" t="str">
        <f>IF(H5236="","",IF($C$29="상세법",FPV(H5236,K5236),IF(H5236="EI",4,IF(H5236="EO",5.2,IF(H5236="EQ",3.9,IF(H5236="ILF",7.5,IF(H5236="EIF",5.4)))))))</f>
        <v/>
      </c>
      <c r="M5236" s="112" t="str">
        <f t="shared" si="84"/>
        <v/>
      </c>
      <c r="N5236" s="113"/>
    </row>
    <row r="5237" spans="2:14">
      <c r="B5237" s="105"/>
      <c r="C5237" s="106"/>
      <c r="D5237" s="107"/>
      <c r="E5237" s="65"/>
      <c r="F5237" s="64"/>
      <c r="G5237" s="64"/>
      <c r="H5237" s="64"/>
      <c r="I5237" s="70"/>
      <c r="J5237" s="70"/>
      <c r="K5237" s="110" t="str">
        <f>IF(H5237="","",IF($C$29="간이법","",FPR(H5237,I5237,J5237)))</f>
        <v/>
      </c>
      <c r="L5237" s="111" t="str">
        <f>IF(H5237="","",IF($C$29="상세법",FPV(H5237,K5237),IF(H5237="EI",4,IF(H5237="EO",5.2,IF(H5237="EQ",3.9,IF(H5237="ILF",7.5,IF(H5237="EIF",5.4)))))))</f>
        <v/>
      </c>
      <c r="M5237" s="112" t="str">
        <f t="shared" si="84"/>
        <v/>
      </c>
      <c r="N5237" s="113"/>
    </row>
    <row r="5238" spans="2:14">
      <c r="B5238" s="105"/>
      <c r="C5238" s="106"/>
      <c r="D5238" s="107"/>
      <c r="E5238" s="65"/>
      <c r="F5238" s="64"/>
      <c r="G5238" s="64"/>
      <c r="H5238" s="64"/>
      <c r="I5238" s="70"/>
      <c r="J5238" s="70"/>
      <c r="K5238" s="110" t="str">
        <f>IF(H5238="","",IF($C$29="간이법","",FPR(H5238,I5238,J5238)))</f>
        <v/>
      </c>
      <c r="L5238" s="111" t="str">
        <f>IF(H5238="","",IF($C$29="상세법",FPV(H5238,K5238),IF(H5238="EI",4,IF(H5238="EO",5.2,IF(H5238="EQ",3.9,IF(H5238="ILF",7.5,IF(H5238="EIF",5.4)))))))</f>
        <v/>
      </c>
      <c r="M5238" s="112" t="str">
        <f t="shared" si="84"/>
        <v/>
      </c>
      <c r="N5238" s="113"/>
    </row>
    <row r="5239" spans="2:14">
      <c r="B5239" s="105"/>
      <c r="C5239" s="106"/>
      <c r="D5239" s="107"/>
      <c r="E5239" s="65"/>
      <c r="F5239" s="64"/>
      <c r="G5239" s="64"/>
      <c r="H5239" s="64"/>
      <c r="I5239" s="70"/>
      <c r="J5239" s="70"/>
      <c r="K5239" s="110" t="str">
        <f>IF(H5239="","",IF($C$29="간이법","",FPR(H5239,I5239,J5239)))</f>
        <v/>
      </c>
      <c r="L5239" s="111" t="str">
        <f>IF(H5239="","",IF($C$29="상세법",FPV(H5239,K5239),IF(H5239="EI",4,IF(H5239="EO",5.2,IF(H5239="EQ",3.9,IF(H5239="ILF",7.5,IF(H5239="EIF",5.4)))))))</f>
        <v/>
      </c>
      <c r="M5239" s="112" t="str">
        <f t="shared" si="84"/>
        <v/>
      </c>
      <c r="N5239" s="113"/>
    </row>
    <row r="5240" spans="2:14">
      <c r="B5240" s="105"/>
      <c r="C5240" s="106"/>
      <c r="D5240" s="107"/>
      <c r="E5240" s="65"/>
      <c r="F5240" s="64"/>
      <c r="G5240" s="64"/>
      <c r="H5240" s="64"/>
      <c r="I5240" s="70"/>
      <c r="J5240" s="70"/>
      <c r="K5240" s="110" t="str">
        <f>IF(H5240="","",IF($C$29="간이법","",FPR(H5240,I5240,J5240)))</f>
        <v/>
      </c>
      <c r="L5240" s="111" t="str">
        <f>IF(H5240="","",IF($C$29="상세법",FPV(H5240,K5240),IF(H5240="EI",4,IF(H5240="EO",5.2,IF(H5240="EQ",3.9,IF(H5240="ILF",7.5,IF(H5240="EIF",5.4)))))))</f>
        <v/>
      </c>
      <c r="M5240" s="112" t="str">
        <f t="shared" si="84"/>
        <v/>
      </c>
      <c r="N5240" s="113"/>
    </row>
    <row r="5241" spans="2:14">
      <c r="B5241" s="105"/>
      <c r="C5241" s="106"/>
      <c r="D5241" s="107"/>
      <c r="E5241" s="65"/>
      <c r="F5241" s="64"/>
      <c r="G5241" s="64"/>
      <c r="H5241" s="64"/>
      <c r="I5241" s="70"/>
      <c r="J5241" s="70"/>
      <c r="K5241" s="110" t="str">
        <f>IF(H5241="","",IF($C$29="간이법","",FPR(H5241,I5241,J5241)))</f>
        <v/>
      </c>
      <c r="L5241" s="111" t="str">
        <f>IF(H5241="","",IF($C$29="상세법",FPV(H5241,K5241),IF(H5241="EI",4,IF(H5241="EO",5.2,IF(H5241="EQ",3.9,IF(H5241="ILF",7.5,IF(H5241="EIF",5.4)))))))</f>
        <v/>
      </c>
      <c r="M5241" s="112" t="str">
        <f t="shared" ref="M5241:M5304" si="85">IF(L5241="","",L5241*IF(G5241="상",0.7,IF(G5241="중",0.5,IF(G5241="하",0.2,1))))</f>
        <v/>
      </c>
      <c r="N5241" s="113"/>
    </row>
    <row r="5242" spans="2:14">
      <c r="B5242" s="105"/>
      <c r="C5242" s="106"/>
      <c r="D5242" s="107"/>
      <c r="E5242" s="65"/>
      <c r="F5242" s="64"/>
      <c r="G5242" s="64"/>
      <c r="H5242" s="64"/>
      <c r="I5242" s="70"/>
      <c r="J5242" s="70"/>
      <c r="K5242" s="110" t="str">
        <f>IF(H5242="","",IF($C$29="간이법","",FPR(H5242,I5242,J5242)))</f>
        <v/>
      </c>
      <c r="L5242" s="111" t="str">
        <f>IF(H5242="","",IF($C$29="상세법",FPV(H5242,K5242),IF(H5242="EI",4,IF(H5242="EO",5.2,IF(H5242="EQ",3.9,IF(H5242="ILF",7.5,IF(H5242="EIF",5.4)))))))</f>
        <v/>
      </c>
      <c r="M5242" s="112" t="str">
        <f t="shared" si="85"/>
        <v/>
      </c>
      <c r="N5242" s="113"/>
    </row>
    <row r="5243" spans="2:14">
      <c r="B5243" s="105"/>
      <c r="C5243" s="106"/>
      <c r="D5243" s="107"/>
      <c r="E5243" s="65"/>
      <c r="F5243" s="64"/>
      <c r="G5243" s="64"/>
      <c r="H5243" s="64"/>
      <c r="I5243" s="70"/>
      <c r="J5243" s="70"/>
      <c r="K5243" s="110" t="str">
        <f>IF(H5243="","",IF($C$29="간이법","",FPR(H5243,I5243,J5243)))</f>
        <v/>
      </c>
      <c r="L5243" s="111" t="str">
        <f>IF(H5243="","",IF($C$29="상세법",FPV(H5243,K5243),IF(H5243="EI",4,IF(H5243="EO",5.2,IF(H5243="EQ",3.9,IF(H5243="ILF",7.5,IF(H5243="EIF",5.4)))))))</f>
        <v/>
      </c>
      <c r="M5243" s="112" t="str">
        <f t="shared" si="85"/>
        <v/>
      </c>
      <c r="N5243" s="113"/>
    </row>
    <row r="5244" spans="2:14">
      <c r="B5244" s="105"/>
      <c r="C5244" s="106"/>
      <c r="D5244" s="107"/>
      <c r="E5244" s="65"/>
      <c r="F5244" s="64"/>
      <c r="G5244" s="64"/>
      <c r="H5244" s="64"/>
      <c r="I5244" s="70"/>
      <c r="J5244" s="70"/>
      <c r="K5244" s="110" t="str">
        <f>IF(H5244="","",IF($C$29="간이법","",FPR(H5244,I5244,J5244)))</f>
        <v/>
      </c>
      <c r="L5244" s="111" t="str">
        <f>IF(H5244="","",IF($C$29="상세법",FPV(H5244,K5244),IF(H5244="EI",4,IF(H5244="EO",5.2,IF(H5244="EQ",3.9,IF(H5244="ILF",7.5,IF(H5244="EIF",5.4)))))))</f>
        <v/>
      </c>
      <c r="M5244" s="112" t="str">
        <f t="shared" si="85"/>
        <v/>
      </c>
      <c r="N5244" s="113"/>
    </row>
    <row r="5245" spans="2:14">
      <c r="B5245" s="105"/>
      <c r="C5245" s="106"/>
      <c r="D5245" s="107"/>
      <c r="E5245" s="65"/>
      <c r="F5245" s="64"/>
      <c r="G5245" s="64"/>
      <c r="H5245" s="64"/>
      <c r="I5245" s="70"/>
      <c r="J5245" s="70"/>
      <c r="K5245" s="110" t="str">
        <f>IF(H5245="","",IF($C$29="간이법","",FPR(H5245,I5245,J5245)))</f>
        <v/>
      </c>
      <c r="L5245" s="111" t="str">
        <f>IF(H5245="","",IF($C$29="상세법",FPV(H5245,K5245),IF(H5245="EI",4,IF(H5245="EO",5.2,IF(H5245="EQ",3.9,IF(H5245="ILF",7.5,IF(H5245="EIF",5.4)))))))</f>
        <v/>
      </c>
      <c r="M5245" s="112" t="str">
        <f t="shared" si="85"/>
        <v/>
      </c>
      <c r="N5245" s="113"/>
    </row>
    <row r="5246" spans="2:14">
      <c r="B5246" s="105"/>
      <c r="C5246" s="106"/>
      <c r="D5246" s="107"/>
      <c r="E5246" s="65"/>
      <c r="F5246" s="64"/>
      <c r="G5246" s="64"/>
      <c r="H5246" s="64"/>
      <c r="I5246" s="70"/>
      <c r="J5246" s="70"/>
      <c r="K5246" s="110" t="str">
        <f>IF(H5246="","",IF($C$29="간이법","",FPR(H5246,I5246,J5246)))</f>
        <v/>
      </c>
      <c r="L5246" s="111" t="str">
        <f>IF(H5246="","",IF($C$29="상세법",FPV(H5246,K5246),IF(H5246="EI",4,IF(H5246="EO",5.2,IF(H5246="EQ",3.9,IF(H5246="ILF",7.5,IF(H5246="EIF",5.4)))))))</f>
        <v/>
      </c>
      <c r="M5246" s="112" t="str">
        <f t="shared" si="85"/>
        <v/>
      </c>
      <c r="N5246" s="113"/>
    </row>
    <row r="5247" spans="2:14">
      <c r="B5247" s="105"/>
      <c r="C5247" s="106"/>
      <c r="D5247" s="107"/>
      <c r="E5247" s="65"/>
      <c r="F5247" s="64"/>
      <c r="G5247" s="64"/>
      <c r="H5247" s="64"/>
      <c r="I5247" s="70"/>
      <c r="J5247" s="70"/>
      <c r="K5247" s="110" t="str">
        <f>IF(H5247="","",IF($C$29="간이법","",FPR(H5247,I5247,J5247)))</f>
        <v/>
      </c>
      <c r="L5247" s="111" t="str">
        <f>IF(H5247="","",IF($C$29="상세법",FPV(H5247,K5247),IF(H5247="EI",4,IF(H5247="EO",5.2,IF(H5247="EQ",3.9,IF(H5247="ILF",7.5,IF(H5247="EIF",5.4)))))))</f>
        <v/>
      </c>
      <c r="M5247" s="112" t="str">
        <f t="shared" si="85"/>
        <v/>
      </c>
      <c r="N5247" s="113"/>
    </row>
    <row r="5248" spans="2:14">
      <c r="B5248" s="105"/>
      <c r="C5248" s="106"/>
      <c r="D5248" s="107"/>
      <c r="E5248" s="65"/>
      <c r="F5248" s="64"/>
      <c r="G5248" s="64"/>
      <c r="H5248" s="64"/>
      <c r="I5248" s="70"/>
      <c r="J5248" s="70"/>
      <c r="K5248" s="110" t="str">
        <f>IF(H5248="","",IF($C$29="간이법","",FPR(H5248,I5248,J5248)))</f>
        <v/>
      </c>
      <c r="L5248" s="111" t="str">
        <f>IF(H5248="","",IF($C$29="상세법",FPV(H5248,K5248),IF(H5248="EI",4,IF(H5248="EO",5.2,IF(H5248="EQ",3.9,IF(H5248="ILF",7.5,IF(H5248="EIF",5.4)))))))</f>
        <v/>
      </c>
      <c r="M5248" s="112" t="str">
        <f t="shared" si="85"/>
        <v/>
      </c>
      <c r="N5248" s="113"/>
    </row>
    <row r="5249" spans="2:14">
      <c r="B5249" s="105"/>
      <c r="C5249" s="106"/>
      <c r="D5249" s="107"/>
      <c r="E5249" s="65"/>
      <c r="F5249" s="64"/>
      <c r="G5249" s="64"/>
      <c r="H5249" s="64"/>
      <c r="I5249" s="70"/>
      <c r="J5249" s="70"/>
      <c r="K5249" s="110" t="str">
        <f>IF(H5249="","",IF($C$29="간이법","",FPR(H5249,I5249,J5249)))</f>
        <v/>
      </c>
      <c r="L5249" s="111" t="str">
        <f>IF(H5249="","",IF($C$29="상세법",FPV(H5249,K5249),IF(H5249="EI",4,IF(H5249="EO",5.2,IF(H5249="EQ",3.9,IF(H5249="ILF",7.5,IF(H5249="EIF",5.4)))))))</f>
        <v/>
      </c>
      <c r="M5249" s="112" t="str">
        <f t="shared" si="85"/>
        <v/>
      </c>
      <c r="N5249" s="113"/>
    </row>
    <row r="5250" spans="2:14">
      <c r="B5250" s="105"/>
      <c r="C5250" s="106"/>
      <c r="D5250" s="107"/>
      <c r="E5250" s="65"/>
      <c r="F5250" s="64"/>
      <c r="G5250" s="64"/>
      <c r="H5250" s="64"/>
      <c r="I5250" s="70"/>
      <c r="J5250" s="70"/>
      <c r="K5250" s="110" t="str">
        <f>IF(H5250="","",IF($C$29="간이법","",FPR(H5250,I5250,J5250)))</f>
        <v/>
      </c>
      <c r="L5250" s="111" t="str">
        <f>IF(H5250="","",IF($C$29="상세법",FPV(H5250,K5250),IF(H5250="EI",4,IF(H5250="EO",5.2,IF(H5250="EQ",3.9,IF(H5250="ILF",7.5,IF(H5250="EIF",5.4)))))))</f>
        <v/>
      </c>
      <c r="M5250" s="112" t="str">
        <f t="shared" si="85"/>
        <v/>
      </c>
      <c r="N5250" s="113"/>
    </row>
    <row r="5251" spans="2:14">
      <c r="B5251" s="105"/>
      <c r="C5251" s="106"/>
      <c r="D5251" s="107"/>
      <c r="E5251" s="65"/>
      <c r="F5251" s="64"/>
      <c r="G5251" s="64"/>
      <c r="H5251" s="64"/>
      <c r="I5251" s="70"/>
      <c r="J5251" s="70"/>
      <c r="K5251" s="110" t="str">
        <f>IF(H5251="","",IF($C$29="간이법","",FPR(H5251,I5251,J5251)))</f>
        <v/>
      </c>
      <c r="L5251" s="111" t="str">
        <f>IF(H5251="","",IF($C$29="상세법",FPV(H5251,K5251),IF(H5251="EI",4,IF(H5251="EO",5.2,IF(H5251="EQ",3.9,IF(H5251="ILF",7.5,IF(H5251="EIF",5.4)))))))</f>
        <v/>
      </c>
      <c r="M5251" s="112" t="str">
        <f t="shared" si="85"/>
        <v/>
      </c>
      <c r="N5251" s="113"/>
    </row>
    <row r="5252" spans="2:14">
      <c r="B5252" s="105"/>
      <c r="C5252" s="106"/>
      <c r="D5252" s="107"/>
      <c r="E5252" s="65"/>
      <c r="F5252" s="64"/>
      <c r="G5252" s="64"/>
      <c r="H5252" s="64"/>
      <c r="I5252" s="70"/>
      <c r="J5252" s="70"/>
      <c r="K5252" s="110" t="str">
        <f>IF(H5252="","",IF($C$29="간이법","",FPR(H5252,I5252,J5252)))</f>
        <v/>
      </c>
      <c r="L5252" s="111" t="str">
        <f>IF(H5252="","",IF($C$29="상세법",FPV(H5252,K5252),IF(H5252="EI",4,IF(H5252="EO",5.2,IF(H5252="EQ",3.9,IF(H5252="ILF",7.5,IF(H5252="EIF",5.4)))))))</f>
        <v/>
      </c>
      <c r="M5252" s="112" t="str">
        <f t="shared" si="85"/>
        <v/>
      </c>
      <c r="N5252" s="113"/>
    </row>
    <row r="5253" spans="2:14">
      <c r="B5253" s="105"/>
      <c r="C5253" s="106"/>
      <c r="D5253" s="107"/>
      <c r="E5253" s="65"/>
      <c r="F5253" s="64"/>
      <c r="G5253" s="64"/>
      <c r="H5253" s="64"/>
      <c r="I5253" s="70"/>
      <c r="J5253" s="70"/>
      <c r="K5253" s="110" t="str">
        <f>IF(H5253="","",IF($C$29="간이법","",FPR(H5253,I5253,J5253)))</f>
        <v/>
      </c>
      <c r="L5253" s="111" t="str">
        <f>IF(H5253="","",IF($C$29="상세법",FPV(H5253,K5253),IF(H5253="EI",4,IF(H5253="EO",5.2,IF(H5253="EQ",3.9,IF(H5253="ILF",7.5,IF(H5253="EIF",5.4)))))))</f>
        <v/>
      </c>
      <c r="M5253" s="112" t="str">
        <f t="shared" si="85"/>
        <v/>
      </c>
      <c r="N5253" s="113"/>
    </row>
    <row r="5254" spans="2:14">
      <c r="B5254" s="105"/>
      <c r="C5254" s="106"/>
      <c r="D5254" s="107"/>
      <c r="E5254" s="65"/>
      <c r="F5254" s="64"/>
      <c r="G5254" s="64"/>
      <c r="H5254" s="64"/>
      <c r="I5254" s="70"/>
      <c r="J5254" s="70"/>
      <c r="K5254" s="110" t="str">
        <f>IF(H5254="","",IF($C$29="간이법","",FPR(H5254,I5254,J5254)))</f>
        <v/>
      </c>
      <c r="L5254" s="111" t="str">
        <f>IF(H5254="","",IF($C$29="상세법",FPV(H5254,K5254),IF(H5254="EI",4,IF(H5254="EO",5.2,IF(H5254="EQ",3.9,IF(H5254="ILF",7.5,IF(H5254="EIF",5.4)))))))</f>
        <v/>
      </c>
      <c r="M5254" s="112" t="str">
        <f t="shared" si="85"/>
        <v/>
      </c>
      <c r="N5254" s="113"/>
    </row>
    <row r="5255" spans="2:14">
      <c r="B5255" s="105"/>
      <c r="C5255" s="106"/>
      <c r="D5255" s="107"/>
      <c r="E5255" s="65"/>
      <c r="F5255" s="64"/>
      <c r="G5255" s="64"/>
      <c r="H5255" s="64"/>
      <c r="I5255" s="70"/>
      <c r="J5255" s="70"/>
      <c r="K5255" s="110" t="str">
        <f>IF(H5255="","",IF($C$29="간이법","",FPR(H5255,I5255,J5255)))</f>
        <v/>
      </c>
      <c r="L5255" s="111" t="str">
        <f>IF(H5255="","",IF($C$29="상세법",FPV(H5255,K5255),IF(H5255="EI",4,IF(H5255="EO",5.2,IF(H5255="EQ",3.9,IF(H5255="ILF",7.5,IF(H5255="EIF",5.4)))))))</f>
        <v/>
      </c>
      <c r="M5255" s="112" t="str">
        <f t="shared" si="85"/>
        <v/>
      </c>
      <c r="N5255" s="113"/>
    </row>
    <row r="5256" spans="2:14">
      <c r="B5256" s="105"/>
      <c r="C5256" s="106"/>
      <c r="D5256" s="107"/>
      <c r="E5256" s="65"/>
      <c r="F5256" s="64"/>
      <c r="G5256" s="64"/>
      <c r="H5256" s="64"/>
      <c r="I5256" s="70"/>
      <c r="J5256" s="70"/>
      <c r="K5256" s="110" t="str">
        <f>IF(H5256="","",IF($C$29="간이법","",FPR(H5256,I5256,J5256)))</f>
        <v/>
      </c>
      <c r="L5256" s="111" t="str">
        <f>IF(H5256="","",IF($C$29="상세법",FPV(H5256,K5256),IF(H5256="EI",4,IF(H5256="EO",5.2,IF(H5256="EQ",3.9,IF(H5256="ILF",7.5,IF(H5256="EIF",5.4)))))))</f>
        <v/>
      </c>
      <c r="M5256" s="112" t="str">
        <f t="shared" si="85"/>
        <v/>
      </c>
      <c r="N5256" s="113"/>
    </row>
    <row r="5257" spans="2:14">
      <c r="B5257" s="105"/>
      <c r="C5257" s="106"/>
      <c r="D5257" s="107"/>
      <c r="E5257" s="65"/>
      <c r="F5257" s="64"/>
      <c r="G5257" s="64"/>
      <c r="H5257" s="64"/>
      <c r="I5257" s="70"/>
      <c r="J5257" s="70"/>
      <c r="K5257" s="110" t="str">
        <f>IF(H5257="","",IF($C$29="간이법","",FPR(H5257,I5257,J5257)))</f>
        <v/>
      </c>
      <c r="L5257" s="111" t="str">
        <f>IF(H5257="","",IF($C$29="상세법",FPV(H5257,K5257),IF(H5257="EI",4,IF(H5257="EO",5.2,IF(H5257="EQ",3.9,IF(H5257="ILF",7.5,IF(H5257="EIF",5.4)))))))</f>
        <v/>
      </c>
      <c r="M5257" s="112" t="str">
        <f t="shared" si="85"/>
        <v/>
      </c>
      <c r="N5257" s="113"/>
    </row>
    <row r="5258" spans="2:14">
      <c r="B5258" s="105"/>
      <c r="C5258" s="106"/>
      <c r="D5258" s="107"/>
      <c r="E5258" s="65"/>
      <c r="F5258" s="64"/>
      <c r="G5258" s="64"/>
      <c r="H5258" s="64"/>
      <c r="I5258" s="70"/>
      <c r="J5258" s="70"/>
      <c r="K5258" s="110" t="str">
        <f>IF(H5258="","",IF($C$29="간이법","",FPR(H5258,I5258,J5258)))</f>
        <v/>
      </c>
      <c r="L5258" s="111" t="str">
        <f>IF(H5258="","",IF($C$29="상세법",FPV(H5258,K5258),IF(H5258="EI",4,IF(H5258="EO",5.2,IF(H5258="EQ",3.9,IF(H5258="ILF",7.5,IF(H5258="EIF",5.4)))))))</f>
        <v/>
      </c>
      <c r="M5258" s="112" t="str">
        <f t="shared" si="85"/>
        <v/>
      </c>
      <c r="N5258" s="113"/>
    </row>
    <row r="5259" spans="2:14">
      <c r="B5259" s="105"/>
      <c r="C5259" s="106"/>
      <c r="D5259" s="107"/>
      <c r="E5259" s="65"/>
      <c r="F5259" s="64"/>
      <c r="G5259" s="64"/>
      <c r="H5259" s="64"/>
      <c r="I5259" s="70"/>
      <c r="J5259" s="70"/>
      <c r="K5259" s="110" t="str">
        <f>IF(H5259="","",IF($C$29="간이법","",FPR(H5259,I5259,J5259)))</f>
        <v/>
      </c>
      <c r="L5259" s="111" t="str">
        <f>IF(H5259="","",IF($C$29="상세법",FPV(H5259,K5259),IF(H5259="EI",4,IF(H5259="EO",5.2,IF(H5259="EQ",3.9,IF(H5259="ILF",7.5,IF(H5259="EIF",5.4)))))))</f>
        <v/>
      </c>
      <c r="M5259" s="112" t="str">
        <f t="shared" si="85"/>
        <v/>
      </c>
      <c r="N5259" s="113"/>
    </row>
    <row r="5260" spans="2:14">
      <c r="B5260" s="105"/>
      <c r="C5260" s="106"/>
      <c r="D5260" s="107"/>
      <c r="E5260" s="65"/>
      <c r="F5260" s="64"/>
      <c r="G5260" s="64"/>
      <c r="H5260" s="64"/>
      <c r="I5260" s="70"/>
      <c r="J5260" s="70"/>
      <c r="K5260" s="110" t="str">
        <f>IF(H5260="","",IF($C$29="간이법","",FPR(H5260,I5260,J5260)))</f>
        <v/>
      </c>
      <c r="L5260" s="111" t="str">
        <f>IF(H5260="","",IF($C$29="상세법",FPV(H5260,K5260),IF(H5260="EI",4,IF(H5260="EO",5.2,IF(H5260="EQ",3.9,IF(H5260="ILF",7.5,IF(H5260="EIF",5.4)))))))</f>
        <v/>
      </c>
      <c r="M5260" s="112" t="str">
        <f t="shared" si="85"/>
        <v/>
      </c>
      <c r="N5260" s="113"/>
    </row>
    <row r="5261" spans="2:14">
      <c r="B5261" s="105"/>
      <c r="C5261" s="106"/>
      <c r="D5261" s="107"/>
      <c r="E5261" s="65"/>
      <c r="F5261" s="64"/>
      <c r="G5261" s="64"/>
      <c r="H5261" s="64"/>
      <c r="I5261" s="70"/>
      <c r="J5261" s="70"/>
      <c r="K5261" s="110" t="str">
        <f>IF(H5261="","",IF($C$29="간이법","",FPR(H5261,I5261,J5261)))</f>
        <v/>
      </c>
      <c r="L5261" s="111" t="str">
        <f>IF(H5261="","",IF($C$29="상세법",FPV(H5261,K5261),IF(H5261="EI",4,IF(H5261="EO",5.2,IF(H5261="EQ",3.9,IF(H5261="ILF",7.5,IF(H5261="EIF",5.4)))))))</f>
        <v/>
      </c>
      <c r="M5261" s="112" t="str">
        <f t="shared" si="85"/>
        <v/>
      </c>
      <c r="N5261" s="113"/>
    </row>
    <row r="5262" spans="2:14">
      <c r="B5262" s="105"/>
      <c r="C5262" s="106"/>
      <c r="D5262" s="107"/>
      <c r="E5262" s="65"/>
      <c r="F5262" s="64"/>
      <c r="G5262" s="64"/>
      <c r="H5262" s="64"/>
      <c r="I5262" s="70"/>
      <c r="J5262" s="70"/>
      <c r="K5262" s="110" t="str">
        <f>IF(H5262="","",IF($C$29="간이법","",FPR(H5262,I5262,J5262)))</f>
        <v/>
      </c>
      <c r="L5262" s="111" t="str">
        <f>IF(H5262="","",IF($C$29="상세법",FPV(H5262,K5262),IF(H5262="EI",4,IF(H5262="EO",5.2,IF(H5262="EQ",3.9,IF(H5262="ILF",7.5,IF(H5262="EIF",5.4)))))))</f>
        <v/>
      </c>
      <c r="M5262" s="112" t="str">
        <f t="shared" si="85"/>
        <v/>
      </c>
      <c r="N5262" s="113"/>
    </row>
    <row r="5263" spans="2:14">
      <c r="B5263" s="105"/>
      <c r="C5263" s="106"/>
      <c r="D5263" s="107"/>
      <c r="E5263" s="65"/>
      <c r="F5263" s="64"/>
      <c r="G5263" s="64"/>
      <c r="H5263" s="64"/>
      <c r="I5263" s="70"/>
      <c r="J5263" s="70"/>
      <c r="K5263" s="110" t="str">
        <f>IF(H5263="","",IF($C$29="간이법","",FPR(H5263,I5263,J5263)))</f>
        <v/>
      </c>
      <c r="L5263" s="111" t="str">
        <f>IF(H5263="","",IF($C$29="상세법",FPV(H5263,K5263),IF(H5263="EI",4,IF(H5263="EO",5.2,IF(H5263="EQ",3.9,IF(H5263="ILF",7.5,IF(H5263="EIF",5.4)))))))</f>
        <v/>
      </c>
      <c r="M5263" s="112" t="str">
        <f t="shared" si="85"/>
        <v/>
      </c>
      <c r="N5263" s="113"/>
    </row>
    <row r="5264" spans="2:14">
      <c r="B5264" s="105"/>
      <c r="C5264" s="106"/>
      <c r="D5264" s="107"/>
      <c r="E5264" s="65"/>
      <c r="F5264" s="64"/>
      <c r="G5264" s="64"/>
      <c r="H5264" s="64"/>
      <c r="I5264" s="70"/>
      <c r="J5264" s="70"/>
      <c r="K5264" s="110" t="str">
        <f>IF(H5264="","",IF($C$29="간이법","",FPR(H5264,I5264,J5264)))</f>
        <v/>
      </c>
      <c r="L5264" s="111" t="str">
        <f>IF(H5264="","",IF($C$29="상세법",FPV(H5264,K5264),IF(H5264="EI",4,IF(H5264="EO",5.2,IF(H5264="EQ",3.9,IF(H5264="ILF",7.5,IF(H5264="EIF",5.4)))))))</f>
        <v/>
      </c>
      <c r="M5264" s="112" t="str">
        <f t="shared" si="85"/>
        <v/>
      </c>
      <c r="N5264" s="113"/>
    </row>
    <row r="5265" spans="2:14">
      <c r="B5265" s="105"/>
      <c r="C5265" s="106"/>
      <c r="D5265" s="107"/>
      <c r="E5265" s="65"/>
      <c r="F5265" s="64"/>
      <c r="G5265" s="64"/>
      <c r="H5265" s="64"/>
      <c r="I5265" s="70"/>
      <c r="J5265" s="70"/>
      <c r="K5265" s="110" t="str">
        <f>IF(H5265="","",IF($C$29="간이법","",FPR(H5265,I5265,J5265)))</f>
        <v/>
      </c>
      <c r="L5265" s="111" t="str">
        <f>IF(H5265="","",IF($C$29="상세법",FPV(H5265,K5265),IF(H5265="EI",4,IF(H5265="EO",5.2,IF(H5265="EQ",3.9,IF(H5265="ILF",7.5,IF(H5265="EIF",5.4)))))))</f>
        <v/>
      </c>
      <c r="M5265" s="112" t="str">
        <f t="shared" si="85"/>
        <v/>
      </c>
      <c r="N5265" s="113"/>
    </row>
    <row r="5266" spans="2:14">
      <c r="B5266" s="105"/>
      <c r="C5266" s="106"/>
      <c r="D5266" s="107"/>
      <c r="E5266" s="65"/>
      <c r="F5266" s="64"/>
      <c r="G5266" s="64"/>
      <c r="H5266" s="64"/>
      <c r="I5266" s="70"/>
      <c r="J5266" s="70"/>
      <c r="K5266" s="110" t="str">
        <f>IF(H5266="","",IF($C$29="간이법","",FPR(H5266,I5266,J5266)))</f>
        <v/>
      </c>
      <c r="L5266" s="111" t="str">
        <f>IF(H5266="","",IF($C$29="상세법",FPV(H5266,K5266),IF(H5266="EI",4,IF(H5266="EO",5.2,IF(H5266="EQ",3.9,IF(H5266="ILF",7.5,IF(H5266="EIF",5.4)))))))</f>
        <v/>
      </c>
      <c r="M5266" s="112" t="str">
        <f t="shared" si="85"/>
        <v/>
      </c>
      <c r="N5266" s="113"/>
    </row>
    <row r="5267" spans="2:14">
      <c r="B5267" s="105"/>
      <c r="C5267" s="106"/>
      <c r="D5267" s="107"/>
      <c r="E5267" s="65"/>
      <c r="F5267" s="64"/>
      <c r="G5267" s="64"/>
      <c r="H5267" s="64"/>
      <c r="I5267" s="70"/>
      <c r="J5267" s="70"/>
      <c r="K5267" s="110" t="str">
        <f>IF(H5267="","",IF($C$29="간이법","",FPR(H5267,I5267,J5267)))</f>
        <v/>
      </c>
      <c r="L5267" s="111" t="str">
        <f>IF(H5267="","",IF($C$29="상세법",FPV(H5267,K5267),IF(H5267="EI",4,IF(H5267="EO",5.2,IF(H5267="EQ",3.9,IF(H5267="ILF",7.5,IF(H5267="EIF",5.4)))))))</f>
        <v/>
      </c>
      <c r="M5267" s="112" t="str">
        <f t="shared" si="85"/>
        <v/>
      </c>
      <c r="N5267" s="113"/>
    </row>
    <row r="5268" spans="2:14">
      <c r="B5268" s="105"/>
      <c r="C5268" s="106"/>
      <c r="D5268" s="107"/>
      <c r="E5268" s="65"/>
      <c r="F5268" s="64"/>
      <c r="G5268" s="64"/>
      <c r="H5268" s="64"/>
      <c r="I5268" s="70"/>
      <c r="J5268" s="70"/>
      <c r="K5268" s="110" t="str">
        <f>IF(H5268="","",IF($C$29="간이법","",FPR(H5268,I5268,J5268)))</f>
        <v/>
      </c>
      <c r="L5268" s="111" t="str">
        <f>IF(H5268="","",IF($C$29="상세법",FPV(H5268,K5268),IF(H5268="EI",4,IF(H5268="EO",5.2,IF(H5268="EQ",3.9,IF(H5268="ILF",7.5,IF(H5268="EIF",5.4)))))))</f>
        <v/>
      </c>
      <c r="M5268" s="112" t="str">
        <f t="shared" si="85"/>
        <v/>
      </c>
      <c r="N5268" s="113"/>
    </row>
    <row r="5269" spans="2:14">
      <c r="B5269" s="105"/>
      <c r="C5269" s="106"/>
      <c r="D5269" s="107"/>
      <c r="E5269" s="65"/>
      <c r="F5269" s="64"/>
      <c r="G5269" s="64"/>
      <c r="H5269" s="64"/>
      <c r="I5269" s="70"/>
      <c r="J5269" s="70"/>
      <c r="K5269" s="110" t="str">
        <f>IF(H5269="","",IF($C$29="간이법","",FPR(H5269,I5269,J5269)))</f>
        <v/>
      </c>
      <c r="L5269" s="111" t="str">
        <f>IF(H5269="","",IF($C$29="상세법",FPV(H5269,K5269),IF(H5269="EI",4,IF(H5269="EO",5.2,IF(H5269="EQ",3.9,IF(H5269="ILF",7.5,IF(H5269="EIF",5.4)))))))</f>
        <v/>
      </c>
      <c r="M5269" s="112" t="str">
        <f t="shared" si="85"/>
        <v/>
      </c>
      <c r="N5269" s="113"/>
    </row>
    <row r="5270" spans="2:14">
      <c r="B5270" s="105"/>
      <c r="C5270" s="106"/>
      <c r="D5270" s="107"/>
      <c r="E5270" s="65"/>
      <c r="F5270" s="64"/>
      <c r="G5270" s="64"/>
      <c r="H5270" s="64"/>
      <c r="I5270" s="70"/>
      <c r="J5270" s="70"/>
      <c r="K5270" s="110" t="str">
        <f>IF(H5270="","",IF($C$29="간이법","",FPR(H5270,I5270,J5270)))</f>
        <v/>
      </c>
      <c r="L5270" s="111" t="str">
        <f>IF(H5270="","",IF($C$29="상세법",FPV(H5270,K5270),IF(H5270="EI",4,IF(H5270="EO",5.2,IF(H5270="EQ",3.9,IF(H5270="ILF",7.5,IF(H5270="EIF",5.4)))))))</f>
        <v/>
      </c>
      <c r="M5270" s="112" t="str">
        <f t="shared" si="85"/>
        <v/>
      </c>
      <c r="N5270" s="113"/>
    </row>
    <row r="5271" spans="2:14">
      <c r="B5271" s="105"/>
      <c r="C5271" s="106"/>
      <c r="D5271" s="107"/>
      <c r="E5271" s="65"/>
      <c r="F5271" s="64"/>
      <c r="G5271" s="64"/>
      <c r="H5271" s="64"/>
      <c r="I5271" s="70"/>
      <c r="J5271" s="70"/>
      <c r="K5271" s="110" t="str">
        <f>IF(H5271="","",IF($C$29="간이법","",FPR(H5271,I5271,J5271)))</f>
        <v/>
      </c>
      <c r="L5271" s="111" t="str">
        <f>IF(H5271="","",IF($C$29="상세법",FPV(H5271,K5271),IF(H5271="EI",4,IF(H5271="EO",5.2,IF(H5271="EQ",3.9,IF(H5271="ILF",7.5,IF(H5271="EIF",5.4)))))))</f>
        <v/>
      </c>
      <c r="M5271" s="112" t="str">
        <f t="shared" si="85"/>
        <v/>
      </c>
      <c r="N5271" s="113"/>
    </row>
    <row r="5272" spans="2:14">
      <c r="B5272" s="105"/>
      <c r="C5272" s="106"/>
      <c r="D5272" s="107"/>
      <c r="E5272" s="65"/>
      <c r="F5272" s="64"/>
      <c r="G5272" s="64"/>
      <c r="H5272" s="64"/>
      <c r="I5272" s="70"/>
      <c r="J5272" s="70"/>
      <c r="K5272" s="110" t="str">
        <f>IF(H5272="","",IF($C$29="간이법","",FPR(H5272,I5272,J5272)))</f>
        <v/>
      </c>
      <c r="L5272" s="111" t="str">
        <f>IF(H5272="","",IF($C$29="상세법",FPV(H5272,K5272),IF(H5272="EI",4,IF(H5272="EO",5.2,IF(H5272="EQ",3.9,IF(H5272="ILF",7.5,IF(H5272="EIF",5.4)))))))</f>
        <v/>
      </c>
      <c r="M5272" s="112" t="str">
        <f t="shared" si="85"/>
        <v/>
      </c>
      <c r="N5272" s="113"/>
    </row>
    <row r="5273" spans="2:14">
      <c r="B5273" s="105"/>
      <c r="C5273" s="106"/>
      <c r="D5273" s="107"/>
      <c r="E5273" s="65"/>
      <c r="F5273" s="64"/>
      <c r="G5273" s="64"/>
      <c r="H5273" s="64"/>
      <c r="I5273" s="70"/>
      <c r="J5273" s="70"/>
      <c r="K5273" s="110" t="str">
        <f>IF(H5273="","",IF($C$29="간이법","",FPR(H5273,I5273,J5273)))</f>
        <v/>
      </c>
      <c r="L5273" s="111" t="str">
        <f>IF(H5273="","",IF($C$29="상세법",FPV(H5273,K5273),IF(H5273="EI",4,IF(H5273="EO",5.2,IF(H5273="EQ",3.9,IF(H5273="ILF",7.5,IF(H5273="EIF",5.4)))))))</f>
        <v/>
      </c>
      <c r="M5273" s="112" t="str">
        <f t="shared" si="85"/>
        <v/>
      </c>
      <c r="N5273" s="113"/>
    </row>
    <row r="5274" spans="2:14">
      <c r="B5274" s="105"/>
      <c r="C5274" s="106"/>
      <c r="D5274" s="107"/>
      <c r="E5274" s="65"/>
      <c r="F5274" s="64"/>
      <c r="G5274" s="64"/>
      <c r="H5274" s="64"/>
      <c r="I5274" s="70"/>
      <c r="J5274" s="70"/>
      <c r="K5274" s="110" t="str">
        <f>IF(H5274="","",IF($C$29="간이법","",FPR(H5274,I5274,J5274)))</f>
        <v/>
      </c>
      <c r="L5274" s="111" t="str">
        <f>IF(H5274="","",IF($C$29="상세법",FPV(H5274,K5274),IF(H5274="EI",4,IF(H5274="EO",5.2,IF(H5274="EQ",3.9,IF(H5274="ILF",7.5,IF(H5274="EIF",5.4)))))))</f>
        <v/>
      </c>
      <c r="M5274" s="112" t="str">
        <f t="shared" si="85"/>
        <v/>
      </c>
      <c r="N5274" s="113"/>
    </row>
    <row r="5275" spans="2:14">
      <c r="B5275" s="105"/>
      <c r="C5275" s="106"/>
      <c r="D5275" s="107"/>
      <c r="E5275" s="65"/>
      <c r="F5275" s="64"/>
      <c r="G5275" s="64"/>
      <c r="H5275" s="64"/>
      <c r="I5275" s="70"/>
      <c r="J5275" s="70"/>
      <c r="K5275" s="110" t="str">
        <f>IF(H5275="","",IF($C$29="간이법","",FPR(H5275,I5275,J5275)))</f>
        <v/>
      </c>
      <c r="L5275" s="111" t="str">
        <f>IF(H5275="","",IF($C$29="상세법",FPV(H5275,K5275),IF(H5275="EI",4,IF(H5275="EO",5.2,IF(H5275="EQ",3.9,IF(H5275="ILF",7.5,IF(H5275="EIF",5.4)))))))</f>
        <v/>
      </c>
      <c r="M5275" s="112" t="str">
        <f t="shared" si="85"/>
        <v/>
      </c>
      <c r="N5275" s="113"/>
    </row>
    <row r="5276" spans="2:14">
      <c r="B5276" s="105"/>
      <c r="C5276" s="106"/>
      <c r="D5276" s="107"/>
      <c r="E5276" s="65"/>
      <c r="F5276" s="64"/>
      <c r="G5276" s="64"/>
      <c r="H5276" s="64"/>
      <c r="I5276" s="70"/>
      <c r="J5276" s="70"/>
      <c r="K5276" s="110" t="str">
        <f>IF(H5276="","",IF($C$29="간이법","",FPR(H5276,I5276,J5276)))</f>
        <v/>
      </c>
      <c r="L5276" s="111" t="str">
        <f>IF(H5276="","",IF($C$29="상세법",FPV(H5276,K5276),IF(H5276="EI",4,IF(H5276="EO",5.2,IF(H5276="EQ",3.9,IF(H5276="ILF",7.5,IF(H5276="EIF",5.4)))))))</f>
        <v/>
      </c>
      <c r="M5276" s="112" t="str">
        <f t="shared" si="85"/>
        <v/>
      </c>
      <c r="N5276" s="113"/>
    </row>
    <row r="5277" spans="2:14">
      <c r="B5277" s="105"/>
      <c r="C5277" s="106"/>
      <c r="D5277" s="107"/>
      <c r="E5277" s="65"/>
      <c r="F5277" s="64"/>
      <c r="G5277" s="64"/>
      <c r="H5277" s="64"/>
      <c r="I5277" s="70"/>
      <c r="J5277" s="70"/>
      <c r="K5277" s="110" t="str">
        <f>IF(H5277="","",IF($C$29="간이법","",FPR(H5277,I5277,J5277)))</f>
        <v/>
      </c>
      <c r="L5277" s="111" t="str">
        <f>IF(H5277="","",IF($C$29="상세법",FPV(H5277,K5277),IF(H5277="EI",4,IF(H5277="EO",5.2,IF(H5277="EQ",3.9,IF(H5277="ILF",7.5,IF(H5277="EIF",5.4)))))))</f>
        <v/>
      </c>
      <c r="M5277" s="112" t="str">
        <f t="shared" si="85"/>
        <v/>
      </c>
      <c r="N5277" s="113"/>
    </row>
    <row r="5278" spans="2:14">
      <c r="B5278" s="105"/>
      <c r="C5278" s="106"/>
      <c r="D5278" s="107"/>
      <c r="E5278" s="65"/>
      <c r="F5278" s="64"/>
      <c r="G5278" s="64"/>
      <c r="H5278" s="64"/>
      <c r="I5278" s="70"/>
      <c r="J5278" s="70"/>
      <c r="K5278" s="110" t="str">
        <f>IF(H5278="","",IF($C$29="간이법","",FPR(H5278,I5278,J5278)))</f>
        <v/>
      </c>
      <c r="L5278" s="111" t="str">
        <f>IF(H5278="","",IF($C$29="상세법",FPV(H5278,K5278),IF(H5278="EI",4,IF(H5278="EO",5.2,IF(H5278="EQ",3.9,IF(H5278="ILF",7.5,IF(H5278="EIF",5.4)))))))</f>
        <v/>
      </c>
      <c r="M5278" s="112" t="str">
        <f t="shared" si="85"/>
        <v/>
      </c>
      <c r="N5278" s="113"/>
    </row>
    <row r="5279" spans="2:14">
      <c r="B5279" s="105"/>
      <c r="C5279" s="106"/>
      <c r="D5279" s="107"/>
      <c r="E5279" s="65"/>
      <c r="F5279" s="64"/>
      <c r="G5279" s="64"/>
      <c r="H5279" s="64"/>
      <c r="I5279" s="70"/>
      <c r="J5279" s="70"/>
      <c r="K5279" s="110" t="str">
        <f>IF(H5279="","",IF($C$29="간이법","",FPR(H5279,I5279,J5279)))</f>
        <v/>
      </c>
      <c r="L5279" s="111" t="str">
        <f>IF(H5279="","",IF($C$29="상세법",FPV(H5279,K5279),IF(H5279="EI",4,IF(H5279="EO",5.2,IF(H5279="EQ",3.9,IF(H5279="ILF",7.5,IF(H5279="EIF",5.4)))))))</f>
        <v/>
      </c>
      <c r="M5279" s="112" t="str">
        <f t="shared" si="85"/>
        <v/>
      </c>
      <c r="N5279" s="113"/>
    </row>
    <row r="5280" spans="2:14">
      <c r="B5280" s="105"/>
      <c r="C5280" s="106"/>
      <c r="D5280" s="107"/>
      <c r="E5280" s="65"/>
      <c r="F5280" s="64"/>
      <c r="G5280" s="64"/>
      <c r="H5280" s="64"/>
      <c r="I5280" s="70"/>
      <c r="J5280" s="70"/>
      <c r="K5280" s="110" t="str">
        <f>IF(H5280="","",IF($C$29="간이법","",FPR(H5280,I5280,J5280)))</f>
        <v/>
      </c>
      <c r="L5280" s="111" t="str">
        <f>IF(H5280="","",IF($C$29="상세법",FPV(H5280,K5280),IF(H5280="EI",4,IF(H5280="EO",5.2,IF(H5280="EQ",3.9,IF(H5280="ILF",7.5,IF(H5280="EIF",5.4)))))))</f>
        <v/>
      </c>
      <c r="M5280" s="112" t="str">
        <f t="shared" si="85"/>
        <v/>
      </c>
      <c r="N5280" s="113"/>
    </row>
    <row r="5281" spans="2:14">
      <c r="B5281" s="105"/>
      <c r="C5281" s="106"/>
      <c r="D5281" s="107"/>
      <c r="E5281" s="65"/>
      <c r="F5281" s="64"/>
      <c r="G5281" s="64"/>
      <c r="H5281" s="64"/>
      <c r="I5281" s="70"/>
      <c r="J5281" s="70"/>
      <c r="K5281" s="110" t="str">
        <f>IF(H5281="","",IF($C$29="간이법","",FPR(H5281,I5281,J5281)))</f>
        <v/>
      </c>
      <c r="L5281" s="111" t="str">
        <f>IF(H5281="","",IF($C$29="상세법",FPV(H5281,K5281),IF(H5281="EI",4,IF(H5281="EO",5.2,IF(H5281="EQ",3.9,IF(H5281="ILF",7.5,IF(H5281="EIF",5.4)))))))</f>
        <v/>
      </c>
      <c r="M5281" s="112" t="str">
        <f t="shared" si="85"/>
        <v/>
      </c>
      <c r="N5281" s="113"/>
    </row>
    <row r="5282" spans="2:14">
      <c r="B5282" s="105"/>
      <c r="C5282" s="106"/>
      <c r="D5282" s="107"/>
      <c r="E5282" s="65"/>
      <c r="F5282" s="64"/>
      <c r="G5282" s="64"/>
      <c r="H5282" s="64"/>
      <c r="I5282" s="70"/>
      <c r="J5282" s="70"/>
      <c r="K5282" s="110" t="str">
        <f>IF(H5282="","",IF($C$29="간이법","",FPR(H5282,I5282,J5282)))</f>
        <v/>
      </c>
      <c r="L5282" s="111" t="str">
        <f>IF(H5282="","",IF($C$29="상세법",FPV(H5282,K5282),IF(H5282="EI",4,IF(H5282="EO",5.2,IF(H5282="EQ",3.9,IF(H5282="ILF",7.5,IF(H5282="EIF",5.4)))))))</f>
        <v/>
      </c>
      <c r="M5282" s="112" t="str">
        <f t="shared" si="85"/>
        <v/>
      </c>
      <c r="N5282" s="113"/>
    </row>
    <row r="5283" spans="2:14">
      <c r="B5283" s="105"/>
      <c r="C5283" s="106"/>
      <c r="D5283" s="107"/>
      <c r="E5283" s="65"/>
      <c r="F5283" s="64"/>
      <c r="G5283" s="64"/>
      <c r="H5283" s="64"/>
      <c r="I5283" s="70"/>
      <c r="J5283" s="70"/>
      <c r="K5283" s="110" t="str">
        <f>IF(H5283="","",IF($C$29="간이법","",FPR(H5283,I5283,J5283)))</f>
        <v/>
      </c>
      <c r="L5283" s="111" t="str">
        <f>IF(H5283="","",IF($C$29="상세법",FPV(H5283,K5283),IF(H5283="EI",4,IF(H5283="EO",5.2,IF(H5283="EQ",3.9,IF(H5283="ILF",7.5,IF(H5283="EIF",5.4)))))))</f>
        <v/>
      </c>
      <c r="M5283" s="112" t="str">
        <f t="shared" si="85"/>
        <v/>
      </c>
      <c r="N5283" s="113"/>
    </row>
    <row r="5284" spans="2:14">
      <c r="B5284" s="105"/>
      <c r="C5284" s="106"/>
      <c r="D5284" s="107"/>
      <c r="E5284" s="65"/>
      <c r="F5284" s="64"/>
      <c r="G5284" s="64"/>
      <c r="H5284" s="64"/>
      <c r="I5284" s="70"/>
      <c r="J5284" s="70"/>
      <c r="K5284" s="110" t="str">
        <f>IF(H5284="","",IF($C$29="간이법","",FPR(H5284,I5284,J5284)))</f>
        <v/>
      </c>
      <c r="L5284" s="111" t="str">
        <f>IF(H5284="","",IF($C$29="상세법",FPV(H5284,K5284),IF(H5284="EI",4,IF(H5284="EO",5.2,IF(H5284="EQ",3.9,IF(H5284="ILF",7.5,IF(H5284="EIF",5.4)))))))</f>
        <v/>
      </c>
      <c r="M5284" s="112" t="str">
        <f t="shared" si="85"/>
        <v/>
      </c>
      <c r="N5284" s="113"/>
    </row>
    <row r="5285" spans="2:14">
      <c r="B5285" s="105"/>
      <c r="C5285" s="106"/>
      <c r="D5285" s="107"/>
      <c r="E5285" s="65"/>
      <c r="F5285" s="64"/>
      <c r="G5285" s="64"/>
      <c r="H5285" s="64"/>
      <c r="I5285" s="70"/>
      <c r="J5285" s="70"/>
      <c r="K5285" s="110" t="str">
        <f>IF(H5285="","",IF($C$29="간이법","",FPR(H5285,I5285,J5285)))</f>
        <v/>
      </c>
      <c r="L5285" s="111" t="str">
        <f>IF(H5285="","",IF($C$29="상세법",FPV(H5285,K5285),IF(H5285="EI",4,IF(H5285="EO",5.2,IF(H5285="EQ",3.9,IF(H5285="ILF",7.5,IF(H5285="EIF",5.4)))))))</f>
        <v/>
      </c>
      <c r="M5285" s="112" t="str">
        <f t="shared" si="85"/>
        <v/>
      </c>
      <c r="N5285" s="113"/>
    </row>
    <row r="5286" spans="2:14">
      <c r="B5286" s="105"/>
      <c r="C5286" s="106"/>
      <c r="D5286" s="107"/>
      <c r="E5286" s="65"/>
      <c r="F5286" s="64"/>
      <c r="G5286" s="64"/>
      <c r="H5286" s="64"/>
      <c r="I5286" s="70"/>
      <c r="J5286" s="70"/>
      <c r="K5286" s="110" t="str">
        <f>IF(H5286="","",IF($C$29="간이법","",FPR(H5286,I5286,J5286)))</f>
        <v/>
      </c>
      <c r="L5286" s="111" t="str">
        <f>IF(H5286="","",IF($C$29="상세법",FPV(H5286,K5286),IF(H5286="EI",4,IF(H5286="EO",5.2,IF(H5286="EQ",3.9,IF(H5286="ILF",7.5,IF(H5286="EIF",5.4)))))))</f>
        <v/>
      </c>
      <c r="M5286" s="112" t="str">
        <f t="shared" si="85"/>
        <v/>
      </c>
      <c r="N5286" s="113"/>
    </row>
    <row r="5287" spans="2:14">
      <c r="B5287" s="105"/>
      <c r="C5287" s="106"/>
      <c r="D5287" s="107"/>
      <c r="E5287" s="65"/>
      <c r="F5287" s="64"/>
      <c r="G5287" s="64"/>
      <c r="H5287" s="64"/>
      <c r="I5287" s="70"/>
      <c r="J5287" s="70"/>
      <c r="K5287" s="110" t="str">
        <f>IF(H5287="","",IF($C$29="간이법","",FPR(H5287,I5287,J5287)))</f>
        <v/>
      </c>
      <c r="L5287" s="111" t="str">
        <f>IF(H5287="","",IF($C$29="상세법",FPV(H5287,K5287),IF(H5287="EI",4,IF(H5287="EO",5.2,IF(H5287="EQ",3.9,IF(H5287="ILF",7.5,IF(H5287="EIF",5.4)))))))</f>
        <v/>
      </c>
      <c r="M5287" s="112" t="str">
        <f t="shared" si="85"/>
        <v/>
      </c>
      <c r="N5287" s="113"/>
    </row>
    <row r="5288" spans="2:14">
      <c r="B5288" s="105"/>
      <c r="C5288" s="106"/>
      <c r="D5288" s="107"/>
      <c r="E5288" s="65"/>
      <c r="F5288" s="64"/>
      <c r="G5288" s="64"/>
      <c r="H5288" s="64"/>
      <c r="I5288" s="70"/>
      <c r="J5288" s="70"/>
      <c r="K5288" s="110" t="str">
        <f>IF(H5288="","",IF($C$29="간이법","",FPR(H5288,I5288,J5288)))</f>
        <v/>
      </c>
      <c r="L5288" s="111" t="str">
        <f>IF(H5288="","",IF($C$29="상세법",FPV(H5288,K5288),IF(H5288="EI",4,IF(H5288="EO",5.2,IF(H5288="EQ",3.9,IF(H5288="ILF",7.5,IF(H5288="EIF",5.4)))))))</f>
        <v/>
      </c>
      <c r="M5288" s="112" t="str">
        <f t="shared" si="85"/>
        <v/>
      </c>
      <c r="N5288" s="113"/>
    </row>
    <row r="5289" spans="2:14">
      <c r="B5289" s="105"/>
      <c r="C5289" s="106"/>
      <c r="D5289" s="107"/>
      <c r="E5289" s="65"/>
      <c r="F5289" s="64"/>
      <c r="G5289" s="64"/>
      <c r="H5289" s="64"/>
      <c r="I5289" s="70"/>
      <c r="J5289" s="70"/>
      <c r="K5289" s="110" t="str">
        <f>IF(H5289="","",IF($C$29="간이법","",FPR(H5289,I5289,J5289)))</f>
        <v/>
      </c>
      <c r="L5289" s="111" t="str">
        <f>IF(H5289="","",IF($C$29="상세법",FPV(H5289,K5289),IF(H5289="EI",4,IF(H5289="EO",5.2,IF(H5289="EQ",3.9,IF(H5289="ILF",7.5,IF(H5289="EIF",5.4)))))))</f>
        <v/>
      </c>
      <c r="M5289" s="112" t="str">
        <f t="shared" si="85"/>
        <v/>
      </c>
      <c r="N5289" s="113"/>
    </row>
    <row r="5290" spans="2:14">
      <c r="B5290" s="105"/>
      <c r="C5290" s="106"/>
      <c r="D5290" s="107"/>
      <c r="E5290" s="65"/>
      <c r="F5290" s="64"/>
      <c r="G5290" s="64"/>
      <c r="H5290" s="64"/>
      <c r="I5290" s="70"/>
      <c r="J5290" s="70"/>
      <c r="K5290" s="110" t="str">
        <f>IF(H5290="","",IF($C$29="간이법","",FPR(H5290,I5290,J5290)))</f>
        <v/>
      </c>
      <c r="L5290" s="111" t="str">
        <f>IF(H5290="","",IF($C$29="상세법",FPV(H5290,K5290),IF(H5290="EI",4,IF(H5290="EO",5.2,IF(H5290="EQ",3.9,IF(H5290="ILF",7.5,IF(H5290="EIF",5.4)))))))</f>
        <v/>
      </c>
      <c r="M5290" s="112" t="str">
        <f t="shared" si="85"/>
        <v/>
      </c>
      <c r="N5290" s="113"/>
    </row>
    <row r="5291" spans="2:14">
      <c r="B5291" s="105"/>
      <c r="C5291" s="106"/>
      <c r="D5291" s="107"/>
      <c r="E5291" s="65"/>
      <c r="F5291" s="64"/>
      <c r="G5291" s="64"/>
      <c r="H5291" s="64"/>
      <c r="I5291" s="70"/>
      <c r="J5291" s="70"/>
      <c r="K5291" s="110" t="str">
        <f>IF(H5291="","",IF($C$29="간이법","",FPR(H5291,I5291,J5291)))</f>
        <v/>
      </c>
      <c r="L5291" s="111" t="str">
        <f>IF(H5291="","",IF($C$29="상세법",FPV(H5291,K5291),IF(H5291="EI",4,IF(H5291="EO",5.2,IF(H5291="EQ",3.9,IF(H5291="ILF",7.5,IF(H5291="EIF",5.4)))))))</f>
        <v/>
      </c>
      <c r="M5291" s="112" t="str">
        <f t="shared" si="85"/>
        <v/>
      </c>
      <c r="N5291" s="113"/>
    </row>
    <row r="5292" spans="2:14">
      <c r="B5292" s="105"/>
      <c r="C5292" s="106"/>
      <c r="D5292" s="107"/>
      <c r="E5292" s="65"/>
      <c r="F5292" s="64"/>
      <c r="G5292" s="64"/>
      <c r="H5292" s="64"/>
      <c r="I5292" s="70"/>
      <c r="J5292" s="70"/>
      <c r="K5292" s="110" t="str">
        <f>IF(H5292="","",IF($C$29="간이법","",FPR(H5292,I5292,J5292)))</f>
        <v/>
      </c>
      <c r="L5292" s="111" t="str">
        <f>IF(H5292="","",IF($C$29="상세법",FPV(H5292,K5292),IF(H5292="EI",4,IF(H5292="EO",5.2,IF(H5292="EQ",3.9,IF(H5292="ILF",7.5,IF(H5292="EIF",5.4)))))))</f>
        <v/>
      </c>
      <c r="M5292" s="112" t="str">
        <f t="shared" si="85"/>
        <v/>
      </c>
      <c r="N5292" s="113"/>
    </row>
    <row r="5293" spans="2:14">
      <c r="B5293" s="105"/>
      <c r="C5293" s="106"/>
      <c r="D5293" s="107"/>
      <c r="E5293" s="65"/>
      <c r="F5293" s="64"/>
      <c r="G5293" s="64"/>
      <c r="H5293" s="64"/>
      <c r="I5293" s="70"/>
      <c r="J5293" s="70"/>
      <c r="K5293" s="110" t="str">
        <f>IF(H5293="","",IF($C$29="간이법","",FPR(H5293,I5293,J5293)))</f>
        <v/>
      </c>
      <c r="L5293" s="111" t="str">
        <f>IF(H5293="","",IF($C$29="상세법",FPV(H5293,K5293),IF(H5293="EI",4,IF(H5293="EO",5.2,IF(H5293="EQ",3.9,IF(H5293="ILF",7.5,IF(H5293="EIF",5.4)))))))</f>
        <v/>
      </c>
      <c r="M5293" s="112" t="str">
        <f t="shared" si="85"/>
        <v/>
      </c>
      <c r="N5293" s="113"/>
    </row>
    <row r="5294" spans="2:14">
      <c r="B5294" s="105"/>
      <c r="C5294" s="106"/>
      <c r="D5294" s="107"/>
      <c r="E5294" s="65"/>
      <c r="F5294" s="64"/>
      <c r="G5294" s="64"/>
      <c r="H5294" s="64"/>
      <c r="I5294" s="70"/>
      <c r="J5294" s="70"/>
      <c r="K5294" s="110" t="str">
        <f>IF(H5294="","",IF($C$29="간이법","",FPR(H5294,I5294,J5294)))</f>
        <v/>
      </c>
      <c r="L5294" s="111" t="str">
        <f>IF(H5294="","",IF($C$29="상세법",FPV(H5294,K5294),IF(H5294="EI",4,IF(H5294="EO",5.2,IF(H5294="EQ",3.9,IF(H5294="ILF",7.5,IF(H5294="EIF",5.4)))))))</f>
        <v/>
      </c>
      <c r="M5294" s="112" t="str">
        <f t="shared" si="85"/>
        <v/>
      </c>
      <c r="N5294" s="113"/>
    </row>
    <row r="5295" spans="2:14">
      <c r="B5295" s="105"/>
      <c r="C5295" s="106"/>
      <c r="D5295" s="107"/>
      <c r="E5295" s="65"/>
      <c r="F5295" s="64"/>
      <c r="G5295" s="64"/>
      <c r="H5295" s="64"/>
      <c r="I5295" s="70"/>
      <c r="J5295" s="70"/>
      <c r="K5295" s="110" t="str">
        <f>IF(H5295="","",IF($C$29="간이법","",FPR(H5295,I5295,J5295)))</f>
        <v/>
      </c>
      <c r="L5295" s="111" t="str">
        <f>IF(H5295="","",IF($C$29="상세법",FPV(H5295,K5295),IF(H5295="EI",4,IF(H5295="EO",5.2,IF(H5295="EQ",3.9,IF(H5295="ILF",7.5,IF(H5295="EIF",5.4)))))))</f>
        <v/>
      </c>
      <c r="M5295" s="112" t="str">
        <f t="shared" si="85"/>
        <v/>
      </c>
      <c r="N5295" s="113"/>
    </row>
    <row r="5296" spans="2:14">
      <c r="B5296" s="105"/>
      <c r="C5296" s="106"/>
      <c r="D5296" s="107"/>
      <c r="E5296" s="65"/>
      <c r="F5296" s="64"/>
      <c r="G5296" s="64"/>
      <c r="H5296" s="64"/>
      <c r="I5296" s="70"/>
      <c r="J5296" s="70"/>
      <c r="K5296" s="110" t="str">
        <f>IF(H5296="","",IF($C$29="간이법","",FPR(H5296,I5296,J5296)))</f>
        <v/>
      </c>
      <c r="L5296" s="111" t="str">
        <f>IF(H5296="","",IF($C$29="상세법",FPV(H5296,K5296),IF(H5296="EI",4,IF(H5296="EO",5.2,IF(H5296="EQ",3.9,IF(H5296="ILF",7.5,IF(H5296="EIF",5.4)))))))</f>
        <v/>
      </c>
      <c r="M5296" s="112" t="str">
        <f t="shared" si="85"/>
        <v/>
      </c>
      <c r="N5296" s="113"/>
    </row>
    <row r="5297" spans="2:14">
      <c r="B5297" s="105"/>
      <c r="C5297" s="106"/>
      <c r="D5297" s="107"/>
      <c r="E5297" s="65"/>
      <c r="F5297" s="64"/>
      <c r="G5297" s="64"/>
      <c r="H5297" s="64"/>
      <c r="I5297" s="70"/>
      <c r="J5297" s="70"/>
      <c r="K5297" s="110" t="str">
        <f>IF(H5297="","",IF($C$29="간이법","",FPR(H5297,I5297,J5297)))</f>
        <v/>
      </c>
      <c r="L5297" s="111" t="str">
        <f>IF(H5297="","",IF($C$29="상세법",FPV(H5297,K5297),IF(H5297="EI",4,IF(H5297="EO",5.2,IF(H5297="EQ",3.9,IF(H5297="ILF",7.5,IF(H5297="EIF",5.4)))))))</f>
        <v/>
      </c>
      <c r="M5297" s="112" t="str">
        <f t="shared" si="85"/>
        <v/>
      </c>
      <c r="N5297" s="113"/>
    </row>
    <row r="5298" spans="2:14">
      <c r="B5298" s="105"/>
      <c r="C5298" s="106"/>
      <c r="D5298" s="107"/>
      <c r="E5298" s="65"/>
      <c r="F5298" s="64"/>
      <c r="G5298" s="64"/>
      <c r="H5298" s="64"/>
      <c r="I5298" s="70"/>
      <c r="J5298" s="70"/>
      <c r="K5298" s="110" t="str">
        <f>IF(H5298="","",IF($C$29="간이법","",FPR(H5298,I5298,J5298)))</f>
        <v/>
      </c>
      <c r="L5298" s="111" t="str">
        <f>IF(H5298="","",IF($C$29="상세법",FPV(H5298,K5298),IF(H5298="EI",4,IF(H5298="EO",5.2,IF(H5298="EQ",3.9,IF(H5298="ILF",7.5,IF(H5298="EIF",5.4)))))))</f>
        <v/>
      </c>
      <c r="M5298" s="112" t="str">
        <f t="shared" si="85"/>
        <v/>
      </c>
      <c r="N5298" s="113"/>
    </row>
    <row r="5299" spans="2:14">
      <c r="B5299" s="105"/>
      <c r="C5299" s="106"/>
      <c r="D5299" s="107"/>
      <c r="E5299" s="65"/>
      <c r="F5299" s="64"/>
      <c r="G5299" s="64"/>
      <c r="H5299" s="64"/>
      <c r="I5299" s="70"/>
      <c r="J5299" s="70"/>
      <c r="K5299" s="110" t="str">
        <f>IF(H5299="","",IF($C$29="간이법","",FPR(H5299,I5299,J5299)))</f>
        <v/>
      </c>
      <c r="L5299" s="111" t="str">
        <f>IF(H5299="","",IF($C$29="상세법",FPV(H5299,K5299),IF(H5299="EI",4,IF(H5299="EO",5.2,IF(H5299="EQ",3.9,IF(H5299="ILF",7.5,IF(H5299="EIF",5.4)))))))</f>
        <v/>
      </c>
      <c r="M5299" s="112" t="str">
        <f t="shared" si="85"/>
        <v/>
      </c>
      <c r="N5299" s="113"/>
    </row>
    <row r="5300" spans="2:14">
      <c r="B5300" s="105"/>
      <c r="C5300" s="106"/>
      <c r="D5300" s="107"/>
      <c r="E5300" s="65"/>
      <c r="F5300" s="64"/>
      <c r="G5300" s="64"/>
      <c r="H5300" s="64"/>
      <c r="I5300" s="70"/>
      <c r="J5300" s="70"/>
      <c r="K5300" s="110" t="str">
        <f>IF(H5300="","",IF($C$29="간이법","",FPR(H5300,I5300,J5300)))</f>
        <v/>
      </c>
      <c r="L5300" s="111" t="str">
        <f>IF(H5300="","",IF($C$29="상세법",FPV(H5300,K5300),IF(H5300="EI",4,IF(H5300="EO",5.2,IF(H5300="EQ",3.9,IF(H5300="ILF",7.5,IF(H5300="EIF",5.4)))))))</f>
        <v/>
      </c>
      <c r="M5300" s="112" t="str">
        <f t="shared" si="85"/>
        <v/>
      </c>
      <c r="N5300" s="113"/>
    </row>
    <row r="5301" spans="2:14">
      <c r="B5301" s="105"/>
      <c r="C5301" s="106"/>
      <c r="D5301" s="107"/>
      <c r="E5301" s="65"/>
      <c r="F5301" s="64"/>
      <c r="G5301" s="64"/>
      <c r="H5301" s="64"/>
      <c r="I5301" s="70"/>
      <c r="J5301" s="70"/>
      <c r="K5301" s="110" t="str">
        <f>IF(H5301="","",IF($C$29="간이법","",FPR(H5301,I5301,J5301)))</f>
        <v/>
      </c>
      <c r="L5301" s="111" t="str">
        <f>IF(H5301="","",IF($C$29="상세법",FPV(H5301,K5301),IF(H5301="EI",4,IF(H5301="EO",5.2,IF(H5301="EQ",3.9,IF(H5301="ILF",7.5,IF(H5301="EIF",5.4)))))))</f>
        <v/>
      </c>
      <c r="M5301" s="112" t="str">
        <f t="shared" si="85"/>
        <v/>
      </c>
      <c r="N5301" s="113"/>
    </row>
    <row r="5302" spans="2:14">
      <c r="B5302" s="105"/>
      <c r="C5302" s="106"/>
      <c r="D5302" s="107"/>
      <c r="E5302" s="65"/>
      <c r="F5302" s="64"/>
      <c r="G5302" s="64"/>
      <c r="H5302" s="64"/>
      <c r="I5302" s="70"/>
      <c r="J5302" s="70"/>
      <c r="K5302" s="110" t="str">
        <f>IF(H5302="","",IF($C$29="간이법","",FPR(H5302,I5302,J5302)))</f>
        <v/>
      </c>
      <c r="L5302" s="111" t="str">
        <f>IF(H5302="","",IF($C$29="상세법",FPV(H5302,K5302),IF(H5302="EI",4,IF(H5302="EO",5.2,IF(H5302="EQ",3.9,IF(H5302="ILF",7.5,IF(H5302="EIF",5.4)))))))</f>
        <v/>
      </c>
      <c r="M5302" s="112" t="str">
        <f t="shared" si="85"/>
        <v/>
      </c>
      <c r="N5302" s="113"/>
    </row>
    <row r="5303" spans="2:14">
      <c r="B5303" s="105"/>
      <c r="C5303" s="106"/>
      <c r="D5303" s="107"/>
      <c r="E5303" s="65"/>
      <c r="F5303" s="64"/>
      <c r="G5303" s="64"/>
      <c r="H5303" s="64"/>
      <c r="I5303" s="70"/>
      <c r="J5303" s="70"/>
      <c r="K5303" s="110" t="str">
        <f>IF(H5303="","",IF($C$29="간이법","",FPR(H5303,I5303,J5303)))</f>
        <v/>
      </c>
      <c r="L5303" s="111" t="str">
        <f>IF(H5303="","",IF($C$29="상세법",FPV(H5303,K5303),IF(H5303="EI",4,IF(H5303="EO",5.2,IF(H5303="EQ",3.9,IF(H5303="ILF",7.5,IF(H5303="EIF",5.4)))))))</f>
        <v/>
      </c>
      <c r="M5303" s="112" t="str">
        <f t="shared" si="85"/>
        <v/>
      </c>
      <c r="N5303" s="113"/>
    </row>
    <row r="5304" spans="2:14">
      <c r="B5304" s="105"/>
      <c r="C5304" s="106"/>
      <c r="D5304" s="107"/>
      <c r="E5304" s="65"/>
      <c r="F5304" s="64"/>
      <c r="G5304" s="64"/>
      <c r="H5304" s="64"/>
      <c r="I5304" s="70"/>
      <c r="J5304" s="70"/>
      <c r="K5304" s="110" t="str">
        <f>IF(H5304="","",IF($C$29="간이법","",FPR(H5304,I5304,J5304)))</f>
        <v/>
      </c>
      <c r="L5304" s="111" t="str">
        <f>IF(H5304="","",IF($C$29="상세법",FPV(H5304,K5304),IF(H5304="EI",4,IF(H5304="EO",5.2,IF(H5304="EQ",3.9,IF(H5304="ILF",7.5,IF(H5304="EIF",5.4)))))))</f>
        <v/>
      </c>
      <c r="M5304" s="112" t="str">
        <f t="shared" si="85"/>
        <v/>
      </c>
      <c r="N5304" s="113"/>
    </row>
    <row r="5305" spans="2:14">
      <c r="B5305" s="105"/>
      <c r="C5305" s="106"/>
      <c r="D5305" s="107"/>
      <c r="E5305" s="65"/>
      <c r="F5305" s="64"/>
      <c r="G5305" s="64"/>
      <c r="H5305" s="64"/>
      <c r="I5305" s="70"/>
      <c r="J5305" s="70"/>
      <c r="K5305" s="110" t="str">
        <f>IF(H5305="","",IF($C$29="간이법","",FPR(H5305,I5305,J5305)))</f>
        <v/>
      </c>
      <c r="L5305" s="111" t="str">
        <f>IF(H5305="","",IF($C$29="상세법",FPV(H5305,K5305),IF(H5305="EI",4,IF(H5305="EO",5.2,IF(H5305="EQ",3.9,IF(H5305="ILF",7.5,IF(H5305="EIF",5.4)))))))</f>
        <v/>
      </c>
      <c r="M5305" s="112" t="str">
        <f t="shared" ref="M5305:M5368" si="86">IF(L5305="","",L5305*IF(G5305="상",0.7,IF(G5305="중",0.5,IF(G5305="하",0.2,1))))</f>
        <v/>
      </c>
      <c r="N5305" s="113"/>
    </row>
    <row r="5306" spans="2:14">
      <c r="B5306" s="105"/>
      <c r="C5306" s="106"/>
      <c r="D5306" s="107"/>
      <c r="E5306" s="65"/>
      <c r="F5306" s="64"/>
      <c r="G5306" s="64"/>
      <c r="H5306" s="64"/>
      <c r="I5306" s="70"/>
      <c r="J5306" s="70"/>
      <c r="K5306" s="110" t="str">
        <f>IF(H5306="","",IF($C$29="간이법","",FPR(H5306,I5306,J5306)))</f>
        <v/>
      </c>
      <c r="L5306" s="111" t="str">
        <f>IF(H5306="","",IF($C$29="상세법",FPV(H5306,K5306),IF(H5306="EI",4,IF(H5306="EO",5.2,IF(H5306="EQ",3.9,IF(H5306="ILF",7.5,IF(H5306="EIF",5.4)))))))</f>
        <v/>
      </c>
      <c r="M5306" s="112" t="str">
        <f t="shared" si="86"/>
        <v/>
      </c>
      <c r="N5306" s="113"/>
    </row>
    <row r="5307" spans="2:14">
      <c r="B5307" s="105"/>
      <c r="C5307" s="106"/>
      <c r="D5307" s="107"/>
      <c r="E5307" s="65"/>
      <c r="F5307" s="64"/>
      <c r="G5307" s="64"/>
      <c r="H5307" s="64"/>
      <c r="I5307" s="70"/>
      <c r="J5307" s="70"/>
      <c r="K5307" s="110" t="str">
        <f>IF(H5307="","",IF($C$29="간이법","",FPR(H5307,I5307,J5307)))</f>
        <v/>
      </c>
      <c r="L5307" s="111" t="str">
        <f>IF(H5307="","",IF($C$29="상세법",FPV(H5307,K5307),IF(H5307="EI",4,IF(H5307="EO",5.2,IF(H5307="EQ",3.9,IF(H5307="ILF",7.5,IF(H5307="EIF",5.4)))))))</f>
        <v/>
      </c>
      <c r="M5307" s="112" t="str">
        <f t="shared" si="86"/>
        <v/>
      </c>
      <c r="N5307" s="113"/>
    </row>
    <row r="5308" spans="2:14">
      <c r="B5308" s="105"/>
      <c r="C5308" s="106"/>
      <c r="D5308" s="107"/>
      <c r="E5308" s="65"/>
      <c r="F5308" s="64"/>
      <c r="G5308" s="64"/>
      <c r="H5308" s="64"/>
      <c r="I5308" s="70"/>
      <c r="J5308" s="70"/>
      <c r="K5308" s="110" t="str">
        <f>IF(H5308="","",IF($C$29="간이법","",FPR(H5308,I5308,J5308)))</f>
        <v/>
      </c>
      <c r="L5308" s="111" t="str">
        <f>IF(H5308="","",IF($C$29="상세법",FPV(H5308,K5308),IF(H5308="EI",4,IF(H5308="EO",5.2,IF(H5308="EQ",3.9,IF(H5308="ILF",7.5,IF(H5308="EIF",5.4)))))))</f>
        <v/>
      </c>
      <c r="M5308" s="112" t="str">
        <f t="shared" si="86"/>
        <v/>
      </c>
      <c r="N5308" s="113"/>
    </row>
    <row r="5309" spans="2:14">
      <c r="B5309" s="105"/>
      <c r="C5309" s="106"/>
      <c r="D5309" s="107"/>
      <c r="E5309" s="65"/>
      <c r="F5309" s="64"/>
      <c r="G5309" s="64"/>
      <c r="H5309" s="64"/>
      <c r="I5309" s="70"/>
      <c r="J5309" s="70"/>
      <c r="K5309" s="110" t="str">
        <f>IF(H5309="","",IF($C$29="간이법","",FPR(H5309,I5309,J5309)))</f>
        <v/>
      </c>
      <c r="L5309" s="111" t="str">
        <f>IF(H5309="","",IF($C$29="상세법",FPV(H5309,K5309),IF(H5309="EI",4,IF(H5309="EO",5.2,IF(H5309="EQ",3.9,IF(H5309="ILF",7.5,IF(H5309="EIF",5.4)))))))</f>
        <v/>
      </c>
      <c r="M5309" s="112" t="str">
        <f t="shared" si="86"/>
        <v/>
      </c>
      <c r="N5309" s="113"/>
    </row>
    <row r="5310" spans="2:14">
      <c r="B5310" s="105"/>
      <c r="C5310" s="106"/>
      <c r="D5310" s="107"/>
      <c r="E5310" s="65"/>
      <c r="F5310" s="64"/>
      <c r="G5310" s="64"/>
      <c r="H5310" s="64"/>
      <c r="I5310" s="70"/>
      <c r="J5310" s="70"/>
      <c r="K5310" s="110" t="str">
        <f>IF(H5310="","",IF($C$29="간이법","",FPR(H5310,I5310,J5310)))</f>
        <v/>
      </c>
      <c r="L5310" s="111" t="str">
        <f>IF(H5310="","",IF($C$29="상세법",FPV(H5310,K5310),IF(H5310="EI",4,IF(H5310="EO",5.2,IF(H5310="EQ",3.9,IF(H5310="ILF",7.5,IF(H5310="EIF",5.4)))))))</f>
        <v/>
      </c>
      <c r="M5310" s="112" t="str">
        <f t="shared" si="86"/>
        <v/>
      </c>
      <c r="N5310" s="113"/>
    </row>
    <row r="5311" spans="2:14">
      <c r="B5311" s="105"/>
      <c r="C5311" s="106"/>
      <c r="D5311" s="107"/>
      <c r="E5311" s="65"/>
      <c r="F5311" s="64"/>
      <c r="G5311" s="64"/>
      <c r="H5311" s="64"/>
      <c r="I5311" s="70"/>
      <c r="J5311" s="70"/>
      <c r="K5311" s="110" t="str">
        <f>IF(H5311="","",IF($C$29="간이법","",FPR(H5311,I5311,J5311)))</f>
        <v/>
      </c>
      <c r="L5311" s="111" t="str">
        <f>IF(H5311="","",IF($C$29="상세법",FPV(H5311,K5311),IF(H5311="EI",4,IF(H5311="EO",5.2,IF(H5311="EQ",3.9,IF(H5311="ILF",7.5,IF(H5311="EIF",5.4)))))))</f>
        <v/>
      </c>
      <c r="M5311" s="112" t="str">
        <f t="shared" si="86"/>
        <v/>
      </c>
      <c r="N5311" s="113"/>
    </row>
    <row r="5312" spans="2:14">
      <c r="B5312" s="105"/>
      <c r="C5312" s="106"/>
      <c r="D5312" s="107"/>
      <c r="E5312" s="65"/>
      <c r="F5312" s="64"/>
      <c r="G5312" s="64"/>
      <c r="H5312" s="64"/>
      <c r="I5312" s="70"/>
      <c r="J5312" s="70"/>
      <c r="K5312" s="110" t="str">
        <f>IF(H5312="","",IF($C$29="간이법","",FPR(H5312,I5312,J5312)))</f>
        <v/>
      </c>
      <c r="L5312" s="111" t="str">
        <f>IF(H5312="","",IF($C$29="상세법",FPV(H5312,K5312),IF(H5312="EI",4,IF(H5312="EO",5.2,IF(H5312="EQ",3.9,IF(H5312="ILF",7.5,IF(H5312="EIF",5.4)))))))</f>
        <v/>
      </c>
      <c r="M5312" s="112" t="str">
        <f t="shared" si="86"/>
        <v/>
      </c>
      <c r="N5312" s="113"/>
    </row>
    <row r="5313" spans="2:14">
      <c r="B5313" s="105"/>
      <c r="C5313" s="106"/>
      <c r="D5313" s="107"/>
      <c r="E5313" s="65"/>
      <c r="F5313" s="64"/>
      <c r="G5313" s="64"/>
      <c r="H5313" s="64"/>
      <c r="I5313" s="70"/>
      <c r="J5313" s="70"/>
      <c r="K5313" s="110" t="str">
        <f>IF(H5313="","",IF($C$29="간이법","",FPR(H5313,I5313,J5313)))</f>
        <v/>
      </c>
      <c r="L5313" s="111" t="str">
        <f>IF(H5313="","",IF($C$29="상세법",FPV(H5313,K5313),IF(H5313="EI",4,IF(H5313="EO",5.2,IF(H5313="EQ",3.9,IF(H5313="ILF",7.5,IF(H5313="EIF",5.4)))))))</f>
        <v/>
      </c>
      <c r="M5313" s="112" t="str">
        <f t="shared" si="86"/>
        <v/>
      </c>
      <c r="N5313" s="113"/>
    </row>
    <row r="5314" spans="2:14">
      <c r="B5314" s="105"/>
      <c r="C5314" s="106"/>
      <c r="D5314" s="107"/>
      <c r="E5314" s="65"/>
      <c r="F5314" s="64"/>
      <c r="G5314" s="64"/>
      <c r="H5314" s="64"/>
      <c r="I5314" s="70"/>
      <c r="J5314" s="70"/>
      <c r="K5314" s="110" t="str">
        <f>IF(H5314="","",IF($C$29="간이법","",FPR(H5314,I5314,J5314)))</f>
        <v/>
      </c>
      <c r="L5314" s="111" t="str">
        <f>IF(H5314="","",IF($C$29="상세법",FPV(H5314,K5314),IF(H5314="EI",4,IF(H5314="EO",5.2,IF(H5314="EQ",3.9,IF(H5314="ILF",7.5,IF(H5314="EIF",5.4)))))))</f>
        <v/>
      </c>
      <c r="M5314" s="112" t="str">
        <f t="shared" si="86"/>
        <v/>
      </c>
      <c r="N5314" s="113"/>
    </row>
    <row r="5315" spans="2:14">
      <c r="B5315" s="105"/>
      <c r="C5315" s="106"/>
      <c r="D5315" s="107"/>
      <c r="E5315" s="65"/>
      <c r="F5315" s="64"/>
      <c r="G5315" s="64"/>
      <c r="H5315" s="64"/>
      <c r="I5315" s="70"/>
      <c r="J5315" s="70"/>
      <c r="K5315" s="110" t="str">
        <f>IF(H5315="","",IF($C$29="간이법","",FPR(H5315,I5315,J5315)))</f>
        <v/>
      </c>
      <c r="L5315" s="111" t="str">
        <f>IF(H5315="","",IF($C$29="상세법",FPV(H5315,K5315),IF(H5315="EI",4,IF(H5315="EO",5.2,IF(H5315="EQ",3.9,IF(H5315="ILF",7.5,IF(H5315="EIF",5.4)))))))</f>
        <v/>
      </c>
      <c r="M5315" s="112" t="str">
        <f t="shared" si="86"/>
        <v/>
      </c>
      <c r="N5315" s="113"/>
    </row>
    <row r="5316" spans="2:14">
      <c r="B5316" s="105"/>
      <c r="C5316" s="106"/>
      <c r="D5316" s="107"/>
      <c r="E5316" s="65"/>
      <c r="F5316" s="64"/>
      <c r="G5316" s="64"/>
      <c r="H5316" s="64"/>
      <c r="I5316" s="70"/>
      <c r="J5316" s="70"/>
      <c r="K5316" s="110" t="str">
        <f>IF(H5316="","",IF($C$29="간이법","",FPR(H5316,I5316,J5316)))</f>
        <v/>
      </c>
      <c r="L5316" s="111" t="str">
        <f>IF(H5316="","",IF($C$29="상세법",FPV(H5316,K5316),IF(H5316="EI",4,IF(H5316="EO",5.2,IF(H5316="EQ",3.9,IF(H5316="ILF",7.5,IF(H5316="EIF",5.4)))))))</f>
        <v/>
      </c>
      <c r="M5316" s="112" t="str">
        <f t="shared" si="86"/>
        <v/>
      </c>
      <c r="N5316" s="113"/>
    </row>
    <row r="5317" spans="2:14">
      <c r="B5317" s="105"/>
      <c r="C5317" s="106"/>
      <c r="D5317" s="107"/>
      <c r="E5317" s="65"/>
      <c r="F5317" s="64"/>
      <c r="G5317" s="64"/>
      <c r="H5317" s="64"/>
      <c r="I5317" s="70"/>
      <c r="J5317" s="70"/>
      <c r="K5317" s="110" t="str">
        <f>IF(H5317="","",IF($C$29="간이법","",FPR(H5317,I5317,J5317)))</f>
        <v/>
      </c>
      <c r="L5317" s="111" t="str">
        <f>IF(H5317="","",IF($C$29="상세법",FPV(H5317,K5317),IF(H5317="EI",4,IF(H5317="EO",5.2,IF(H5317="EQ",3.9,IF(H5317="ILF",7.5,IF(H5317="EIF",5.4)))))))</f>
        <v/>
      </c>
      <c r="M5317" s="112" t="str">
        <f t="shared" si="86"/>
        <v/>
      </c>
      <c r="N5317" s="113"/>
    </row>
    <row r="5318" spans="2:14">
      <c r="B5318" s="105"/>
      <c r="C5318" s="106"/>
      <c r="D5318" s="107"/>
      <c r="E5318" s="65"/>
      <c r="F5318" s="64"/>
      <c r="G5318" s="64"/>
      <c r="H5318" s="64"/>
      <c r="I5318" s="70"/>
      <c r="J5318" s="70"/>
      <c r="K5318" s="110" t="str">
        <f>IF(H5318="","",IF($C$29="간이법","",FPR(H5318,I5318,J5318)))</f>
        <v/>
      </c>
      <c r="L5318" s="111" t="str">
        <f>IF(H5318="","",IF($C$29="상세법",FPV(H5318,K5318),IF(H5318="EI",4,IF(H5318="EO",5.2,IF(H5318="EQ",3.9,IF(H5318="ILF",7.5,IF(H5318="EIF",5.4)))))))</f>
        <v/>
      </c>
      <c r="M5318" s="112" t="str">
        <f t="shared" si="86"/>
        <v/>
      </c>
      <c r="N5318" s="113"/>
    </row>
    <row r="5319" spans="2:14">
      <c r="B5319" s="105"/>
      <c r="C5319" s="106"/>
      <c r="D5319" s="107"/>
      <c r="E5319" s="65"/>
      <c r="F5319" s="64"/>
      <c r="G5319" s="64"/>
      <c r="H5319" s="64"/>
      <c r="I5319" s="70"/>
      <c r="J5319" s="70"/>
      <c r="K5319" s="110" t="str">
        <f>IF(H5319="","",IF($C$29="간이법","",FPR(H5319,I5319,J5319)))</f>
        <v/>
      </c>
      <c r="L5319" s="111" t="str">
        <f>IF(H5319="","",IF($C$29="상세법",FPV(H5319,K5319),IF(H5319="EI",4,IF(H5319="EO",5.2,IF(H5319="EQ",3.9,IF(H5319="ILF",7.5,IF(H5319="EIF",5.4)))))))</f>
        <v/>
      </c>
      <c r="M5319" s="112" t="str">
        <f t="shared" si="86"/>
        <v/>
      </c>
      <c r="N5319" s="113"/>
    </row>
    <row r="5320" spans="2:14">
      <c r="B5320" s="105"/>
      <c r="C5320" s="106"/>
      <c r="D5320" s="107"/>
      <c r="E5320" s="65"/>
      <c r="F5320" s="64"/>
      <c r="G5320" s="64"/>
      <c r="H5320" s="64"/>
      <c r="I5320" s="70"/>
      <c r="J5320" s="70"/>
      <c r="K5320" s="110" t="str">
        <f>IF(H5320="","",IF($C$29="간이법","",FPR(H5320,I5320,J5320)))</f>
        <v/>
      </c>
      <c r="L5320" s="111" t="str">
        <f>IF(H5320="","",IF($C$29="상세법",FPV(H5320,K5320),IF(H5320="EI",4,IF(H5320="EO",5.2,IF(H5320="EQ",3.9,IF(H5320="ILF",7.5,IF(H5320="EIF",5.4)))))))</f>
        <v/>
      </c>
      <c r="M5320" s="112" t="str">
        <f t="shared" si="86"/>
        <v/>
      </c>
      <c r="N5320" s="113"/>
    </row>
    <row r="5321" spans="2:14">
      <c r="B5321" s="105"/>
      <c r="C5321" s="106"/>
      <c r="D5321" s="107"/>
      <c r="E5321" s="65"/>
      <c r="F5321" s="64"/>
      <c r="G5321" s="64"/>
      <c r="H5321" s="64"/>
      <c r="I5321" s="70"/>
      <c r="J5321" s="70"/>
      <c r="K5321" s="110" t="str">
        <f>IF(H5321="","",IF($C$29="간이법","",FPR(H5321,I5321,J5321)))</f>
        <v/>
      </c>
      <c r="L5321" s="111" t="str">
        <f>IF(H5321="","",IF($C$29="상세법",FPV(H5321,K5321),IF(H5321="EI",4,IF(H5321="EO",5.2,IF(H5321="EQ",3.9,IF(H5321="ILF",7.5,IF(H5321="EIF",5.4)))))))</f>
        <v/>
      </c>
      <c r="M5321" s="112" t="str">
        <f t="shared" si="86"/>
        <v/>
      </c>
      <c r="N5321" s="113"/>
    </row>
    <row r="5322" spans="2:14">
      <c r="B5322" s="105"/>
      <c r="C5322" s="106"/>
      <c r="D5322" s="107"/>
      <c r="E5322" s="65"/>
      <c r="F5322" s="64"/>
      <c r="G5322" s="64"/>
      <c r="H5322" s="64"/>
      <c r="I5322" s="70"/>
      <c r="J5322" s="70"/>
      <c r="K5322" s="110" t="str">
        <f>IF(H5322="","",IF($C$29="간이법","",FPR(H5322,I5322,J5322)))</f>
        <v/>
      </c>
      <c r="L5322" s="111" t="str">
        <f>IF(H5322="","",IF($C$29="상세법",FPV(H5322,K5322),IF(H5322="EI",4,IF(H5322="EO",5.2,IF(H5322="EQ",3.9,IF(H5322="ILF",7.5,IF(H5322="EIF",5.4)))))))</f>
        <v/>
      </c>
      <c r="M5322" s="112" t="str">
        <f t="shared" si="86"/>
        <v/>
      </c>
      <c r="N5322" s="113"/>
    </row>
    <row r="5323" spans="2:14">
      <c r="B5323" s="105"/>
      <c r="C5323" s="106"/>
      <c r="D5323" s="107"/>
      <c r="E5323" s="65"/>
      <c r="F5323" s="64"/>
      <c r="G5323" s="64"/>
      <c r="H5323" s="64"/>
      <c r="I5323" s="70"/>
      <c r="J5323" s="70"/>
      <c r="K5323" s="110" t="str">
        <f>IF(H5323="","",IF($C$29="간이법","",FPR(H5323,I5323,J5323)))</f>
        <v/>
      </c>
      <c r="L5323" s="111" t="str">
        <f>IF(H5323="","",IF($C$29="상세법",FPV(H5323,K5323),IF(H5323="EI",4,IF(H5323="EO",5.2,IF(H5323="EQ",3.9,IF(H5323="ILF",7.5,IF(H5323="EIF",5.4)))))))</f>
        <v/>
      </c>
      <c r="M5323" s="112" t="str">
        <f t="shared" si="86"/>
        <v/>
      </c>
      <c r="N5323" s="113"/>
    </row>
    <row r="5324" spans="2:14">
      <c r="B5324" s="105"/>
      <c r="C5324" s="106"/>
      <c r="D5324" s="107"/>
      <c r="E5324" s="65"/>
      <c r="F5324" s="64"/>
      <c r="G5324" s="64"/>
      <c r="H5324" s="64"/>
      <c r="I5324" s="70"/>
      <c r="J5324" s="70"/>
      <c r="K5324" s="110" t="str">
        <f>IF(H5324="","",IF($C$29="간이법","",FPR(H5324,I5324,J5324)))</f>
        <v/>
      </c>
      <c r="L5324" s="111" t="str">
        <f>IF(H5324="","",IF($C$29="상세법",FPV(H5324,K5324),IF(H5324="EI",4,IF(H5324="EO",5.2,IF(H5324="EQ",3.9,IF(H5324="ILF",7.5,IF(H5324="EIF",5.4)))))))</f>
        <v/>
      </c>
      <c r="M5324" s="112" t="str">
        <f t="shared" si="86"/>
        <v/>
      </c>
      <c r="N5324" s="113"/>
    </row>
    <row r="5325" spans="2:14">
      <c r="B5325" s="105"/>
      <c r="C5325" s="106"/>
      <c r="D5325" s="107"/>
      <c r="E5325" s="65"/>
      <c r="F5325" s="64"/>
      <c r="G5325" s="64"/>
      <c r="H5325" s="64"/>
      <c r="I5325" s="70"/>
      <c r="J5325" s="70"/>
      <c r="K5325" s="110" t="str">
        <f>IF(H5325="","",IF($C$29="간이법","",FPR(H5325,I5325,J5325)))</f>
        <v/>
      </c>
      <c r="L5325" s="111" t="str">
        <f>IF(H5325="","",IF($C$29="상세법",FPV(H5325,K5325),IF(H5325="EI",4,IF(H5325="EO",5.2,IF(H5325="EQ",3.9,IF(H5325="ILF",7.5,IF(H5325="EIF",5.4)))))))</f>
        <v/>
      </c>
      <c r="M5325" s="112" t="str">
        <f t="shared" si="86"/>
        <v/>
      </c>
      <c r="N5325" s="113"/>
    </row>
    <row r="5326" spans="2:14">
      <c r="B5326" s="105"/>
      <c r="C5326" s="106"/>
      <c r="D5326" s="107"/>
      <c r="E5326" s="65"/>
      <c r="F5326" s="64"/>
      <c r="G5326" s="64"/>
      <c r="H5326" s="64"/>
      <c r="I5326" s="70"/>
      <c r="J5326" s="70"/>
      <c r="K5326" s="110" t="str">
        <f>IF(H5326="","",IF($C$29="간이법","",FPR(H5326,I5326,J5326)))</f>
        <v/>
      </c>
      <c r="L5326" s="111" t="str">
        <f>IF(H5326="","",IF($C$29="상세법",FPV(H5326,K5326),IF(H5326="EI",4,IF(H5326="EO",5.2,IF(H5326="EQ",3.9,IF(H5326="ILF",7.5,IF(H5326="EIF",5.4)))))))</f>
        <v/>
      </c>
      <c r="M5326" s="112" t="str">
        <f t="shared" si="86"/>
        <v/>
      </c>
      <c r="N5326" s="113"/>
    </row>
    <row r="5327" spans="2:14">
      <c r="B5327" s="105"/>
      <c r="C5327" s="106"/>
      <c r="D5327" s="107"/>
      <c r="E5327" s="65"/>
      <c r="F5327" s="64"/>
      <c r="G5327" s="64"/>
      <c r="H5327" s="64"/>
      <c r="I5327" s="70"/>
      <c r="J5327" s="70"/>
      <c r="K5327" s="110" t="str">
        <f>IF(H5327="","",IF($C$29="간이법","",FPR(H5327,I5327,J5327)))</f>
        <v/>
      </c>
      <c r="L5327" s="111" t="str">
        <f>IF(H5327="","",IF($C$29="상세법",FPV(H5327,K5327),IF(H5327="EI",4,IF(H5327="EO",5.2,IF(H5327="EQ",3.9,IF(H5327="ILF",7.5,IF(H5327="EIF",5.4)))))))</f>
        <v/>
      </c>
      <c r="M5327" s="112" t="str">
        <f t="shared" si="86"/>
        <v/>
      </c>
      <c r="N5327" s="113"/>
    </row>
    <row r="5328" spans="2:14">
      <c r="B5328" s="105"/>
      <c r="C5328" s="106"/>
      <c r="D5328" s="107"/>
      <c r="E5328" s="65"/>
      <c r="F5328" s="64"/>
      <c r="G5328" s="64"/>
      <c r="H5328" s="64"/>
      <c r="I5328" s="70"/>
      <c r="J5328" s="70"/>
      <c r="K5328" s="110" t="str">
        <f>IF(H5328="","",IF($C$29="간이법","",FPR(H5328,I5328,J5328)))</f>
        <v/>
      </c>
      <c r="L5328" s="111" t="str">
        <f>IF(H5328="","",IF($C$29="상세법",FPV(H5328,K5328),IF(H5328="EI",4,IF(H5328="EO",5.2,IF(H5328="EQ",3.9,IF(H5328="ILF",7.5,IF(H5328="EIF",5.4)))))))</f>
        <v/>
      </c>
      <c r="M5328" s="112" t="str">
        <f t="shared" si="86"/>
        <v/>
      </c>
      <c r="N5328" s="113"/>
    </row>
    <row r="5329" spans="2:14">
      <c r="B5329" s="105"/>
      <c r="C5329" s="106"/>
      <c r="D5329" s="107"/>
      <c r="E5329" s="65"/>
      <c r="F5329" s="64"/>
      <c r="G5329" s="64"/>
      <c r="H5329" s="64"/>
      <c r="I5329" s="70"/>
      <c r="J5329" s="70"/>
      <c r="K5329" s="110" t="str">
        <f>IF(H5329="","",IF($C$29="간이법","",FPR(H5329,I5329,J5329)))</f>
        <v/>
      </c>
      <c r="L5329" s="111" t="str">
        <f>IF(H5329="","",IF($C$29="상세법",FPV(H5329,K5329),IF(H5329="EI",4,IF(H5329="EO",5.2,IF(H5329="EQ",3.9,IF(H5329="ILF",7.5,IF(H5329="EIF",5.4)))))))</f>
        <v/>
      </c>
      <c r="M5329" s="112" t="str">
        <f t="shared" si="86"/>
        <v/>
      </c>
      <c r="N5329" s="113"/>
    </row>
    <row r="5330" spans="2:14">
      <c r="B5330" s="105"/>
      <c r="C5330" s="106"/>
      <c r="D5330" s="107"/>
      <c r="E5330" s="65"/>
      <c r="F5330" s="64"/>
      <c r="G5330" s="64"/>
      <c r="H5330" s="64"/>
      <c r="I5330" s="70"/>
      <c r="J5330" s="70"/>
      <c r="K5330" s="110" t="str">
        <f>IF(H5330="","",IF($C$29="간이법","",FPR(H5330,I5330,J5330)))</f>
        <v/>
      </c>
      <c r="L5330" s="111" t="str">
        <f>IF(H5330="","",IF($C$29="상세법",FPV(H5330,K5330),IF(H5330="EI",4,IF(H5330="EO",5.2,IF(H5330="EQ",3.9,IF(H5330="ILF",7.5,IF(H5330="EIF",5.4)))))))</f>
        <v/>
      </c>
      <c r="M5330" s="112" t="str">
        <f t="shared" si="86"/>
        <v/>
      </c>
      <c r="N5330" s="113"/>
    </row>
    <row r="5331" spans="2:14">
      <c r="B5331" s="105"/>
      <c r="C5331" s="106"/>
      <c r="D5331" s="107"/>
      <c r="E5331" s="65"/>
      <c r="F5331" s="64"/>
      <c r="G5331" s="64"/>
      <c r="H5331" s="64"/>
      <c r="I5331" s="70"/>
      <c r="J5331" s="70"/>
      <c r="K5331" s="110" t="str">
        <f>IF(H5331="","",IF($C$29="간이법","",FPR(H5331,I5331,J5331)))</f>
        <v/>
      </c>
      <c r="L5331" s="111" t="str">
        <f>IF(H5331="","",IF($C$29="상세법",FPV(H5331,K5331),IF(H5331="EI",4,IF(H5331="EO",5.2,IF(H5331="EQ",3.9,IF(H5331="ILF",7.5,IF(H5331="EIF",5.4)))))))</f>
        <v/>
      </c>
      <c r="M5331" s="112" t="str">
        <f t="shared" si="86"/>
        <v/>
      </c>
      <c r="N5331" s="113"/>
    </row>
    <row r="5332" spans="2:14">
      <c r="B5332" s="105"/>
      <c r="C5332" s="106"/>
      <c r="D5332" s="107"/>
      <c r="E5332" s="65"/>
      <c r="F5332" s="64"/>
      <c r="G5332" s="64"/>
      <c r="H5332" s="64"/>
      <c r="I5332" s="70"/>
      <c r="J5332" s="70"/>
      <c r="K5332" s="110" t="str">
        <f>IF(H5332="","",IF($C$29="간이법","",FPR(H5332,I5332,J5332)))</f>
        <v/>
      </c>
      <c r="L5332" s="111" t="str">
        <f>IF(H5332="","",IF($C$29="상세법",FPV(H5332,K5332),IF(H5332="EI",4,IF(H5332="EO",5.2,IF(H5332="EQ",3.9,IF(H5332="ILF",7.5,IF(H5332="EIF",5.4)))))))</f>
        <v/>
      </c>
      <c r="M5332" s="112" t="str">
        <f t="shared" si="86"/>
        <v/>
      </c>
      <c r="N5332" s="113"/>
    </row>
    <row r="5333" spans="2:14">
      <c r="B5333" s="105"/>
      <c r="C5333" s="106"/>
      <c r="D5333" s="107"/>
      <c r="E5333" s="65"/>
      <c r="F5333" s="64"/>
      <c r="G5333" s="64"/>
      <c r="H5333" s="64"/>
      <c r="I5333" s="70"/>
      <c r="J5333" s="70"/>
      <c r="K5333" s="110" t="str">
        <f>IF(H5333="","",IF($C$29="간이법","",FPR(H5333,I5333,J5333)))</f>
        <v/>
      </c>
      <c r="L5333" s="111" t="str">
        <f>IF(H5333="","",IF($C$29="상세법",FPV(H5333,K5333),IF(H5333="EI",4,IF(H5333="EO",5.2,IF(H5333="EQ",3.9,IF(H5333="ILF",7.5,IF(H5333="EIF",5.4)))))))</f>
        <v/>
      </c>
      <c r="M5333" s="112" t="str">
        <f t="shared" si="86"/>
        <v/>
      </c>
      <c r="N5333" s="113"/>
    </row>
    <row r="5334" spans="2:14">
      <c r="B5334" s="105"/>
      <c r="C5334" s="106"/>
      <c r="D5334" s="107"/>
      <c r="E5334" s="65"/>
      <c r="F5334" s="64"/>
      <c r="G5334" s="64"/>
      <c r="H5334" s="64"/>
      <c r="I5334" s="70"/>
      <c r="J5334" s="70"/>
      <c r="K5334" s="110" t="str">
        <f>IF(H5334="","",IF($C$29="간이법","",FPR(H5334,I5334,J5334)))</f>
        <v/>
      </c>
      <c r="L5334" s="111" t="str">
        <f>IF(H5334="","",IF($C$29="상세법",FPV(H5334,K5334),IF(H5334="EI",4,IF(H5334="EO",5.2,IF(H5334="EQ",3.9,IF(H5334="ILF",7.5,IF(H5334="EIF",5.4)))))))</f>
        <v/>
      </c>
      <c r="M5334" s="112" t="str">
        <f t="shared" si="86"/>
        <v/>
      </c>
      <c r="N5334" s="113"/>
    </row>
    <row r="5335" spans="2:14">
      <c r="B5335" s="105"/>
      <c r="C5335" s="106"/>
      <c r="D5335" s="107"/>
      <c r="E5335" s="65"/>
      <c r="F5335" s="64"/>
      <c r="G5335" s="64"/>
      <c r="H5335" s="64"/>
      <c r="I5335" s="70"/>
      <c r="J5335" s="70"/>
      <c r="K5335" s="110" t="str">
        <f>IF(H5335="","",IF($C$29="간이법","",FPR(H5335,I5335,J5335)))</f>
        <v/>
      </c>
      <c r="L5335" s="111" t="str">
        <f>IF(H5335="","",IF($C$29="상세법",FPV(H5335,K5335),IF(H5335="EI",4,IF(H5335="EO",5.2,IF(H5335="EQ",3.9,IF(H5335="ILF",7.5,IF(H5335="EIF",5.4)))))))</f>
        <v/>
      </c>
      <c r="M5335" s="112" t="str">
        <f t="shared" si="86"/>
        <v/>
      </c>
      <c r="N5335" s="113"/>
    </row>
    <row r="5336" spans="2:14">
      <c r="B5336" s="105"/>
      <c r="C5336" s="106"/>
      <c r="D5336" s="107"/>
      <c r="E5336" s="65"/>
      <c r="F5336" s="64"/>
      <c r="G5336" s="64"/>
      <c r="H5336" s="64"/>
      <c r="I5336" s="70"/>
      <c r="J5336" s="70"/>
      <c r="K5336" s="110" t="str">
        <f>IF(H5336="","",IF($C$29="간이법","",FPR(H5336,I5336,J5336)))</f>
        <v/>
      </c>
      <c r="L5336" s="111" t="str">
        <f>IF(H5336="","",IF($C$29="상세법",FPV(H5336,K5336),IF(H5336="EI",4,IF(H5336="EO",5.2,IF(H5336="EQ",3.9,IF(H5336="ILF",7.5,IF(H5336="EIF",5.4)))))))</f>
        <v/>
      </c>
      <c r="M5336" s="112" t="str">
        <f t="shared" si="86"/>
        <v/>
      </c>
      <c r="N5336" s="113"/>
    </row>
    <row r="5337" spans="2:14">
      <c r="B5337" s="105"/>
      <c r="C5337" s="106"/>
      <c r="D5337" s="107"/>
      <c r="E5337" s="65"/>
      <c r="F5337" s="64"/>
      <c r="G5337" s="64"/>
      <c r="H5337" s="64"/>
      <c r="I5337" s="70"/>
      <c r="J5337" s="70"/>
      <c r="K5337" s="110" t="str">
        <f>IF(H5337="","",IF($C$29="간이법","",FPR(H5337,I5337,J5337)))</f>
        <v/>
      </c>
      <c r="L5337" s="111" t="str">
        <f>IF(H5337="","",IF($C$29="상세법",FPV(H5337,K5337),IF(H5337="EI",4,IF(H5337="EO",5.2,IF(H5337="EQ",3.9,IF(H5337="ILF",7.5,IF(H5337="EIF",5.4)))))))</f>
        <v/>
      </c>
      <c r="M5337" s="112" t="str">
        <f t="shared" si="86"/>
        <v/>
      </c>
      <c r="N5337" s="113"/>
    </row>
    <row r="5338" spans="2:14">
      <c r="B5338" s="105"/>
      <c r="C5338" s="106"/>
      <c r="D5338" s="107"/>
      <c r="E5338" s="65"/>
      <c r="F5338" s="64"/>
      <c r="G5338" s="64"/>
      <c r="H5338" s="64"/>
      <c r="I5338" s="70"/>
      <c r="J5338" s="70"/>
      <c r="K5338" s="110" t="str">
        <f>IF(H5338="","",IF($C$29="간이법","",FPR(H5338,I5338,J5338)))</f>
        <v/>
      </c>
      <c r="L5338" s="111" t="str">
        <f>IF(H5338="","",IF($C$29="상세법",FPV(H5338,K5338),IF(H5338="EI",4,IF(H5338="EO",5.2,IF(H5338="EQ",3.9,IF(H5338="ILF",7.5,IF(H5338="EIF",5.4)))))))</f>
        <v/>
      </c>
      <c r="M5338" s="112" t="str">
        <f t="shared" si="86"/>
        <v/>
      </c>
      <c r="N5338" s="113"/>
    </row>
    <row r="5339" spans="2:14">
      <c r="B5339" s="105"/>
      <c r="C5339" s="106"/>
      <c r="D5339" s="107"/>
      <c r="E5339" s="65"/>
      <c r="F5339" s="64"/>
      <c r="G5339" s="64"/>
      <c r="H5339" s="64"/>
      <c r="I5339" s="70"/>
      <c r="J5339" s="70"/>
      <c r="K5339" s="110" t="str">
        <f>IF(H5339="","",IF($C$29="간이법","",FPR(H5339,I5339,J5339)))</f>
        <v/>
      </c>
      <c r="L5339" s="111" t="str">
        <f>IF(H5339="","",IF($C$29="상세법",FPV(H5339,K5339),IF(H5339="EI",4,IF(H5339="EO",5.2,IF(H5339="EQ",3.9,IF(H5339="ILF",7.5,IF(H5339="EIF",5.4)))))))</f>
        <v/>
      </c>
      <c r="M5339" s="112" t="str">
        <f t="shared" si="86"/>
        <v/>
      </c>
      <c r="N5339" s="113"/>
    </row>
    <row r="5340" spans="2:14">
      <c r="B5340" s="105"/>
      <c r="C5340" s="106"/>
      <c r="D5340" s="107"/>
      <c r="E5340" s="65"/>
      <c r="F5340" s="64"/>
      <c r="G5340" s="64"/>
      <c r="H5340" s="64"/>
      <c r="I5340" s="70"/>
      <c r="J5340" s="70"/>
      <c r="K5340" s="110" t="str">
        <f>IF(H5340="","",IF($C$29="간이법","",FPR(H5340,I5340,J5340)))</f>
        <v/>
      </c>
      <c r="L5340" s="111" t="str">
        <f>IF(H5340="","",IF($C$29="상세법",FPV(H5340,K5340),IF(H5340="EI",4,IF(H5340="EO",5.2,IF(H5340="EQ",3.9,IF(H5340="ILF",7.5,IF(H5340="EIF",5.4)))))))</f>
        <v/>
      </c>
      <c r="M5340" s="112" t="str">
        <f t="shared" si="86"/>
        <v/>
      </c>
      <c r="N5340" s="113"/>
    </row>
    <row r="5341" spans="2:14">
      <c r="B5341" s="105"/>
      <c r="C5341" s="106"/>
      <c r="D5341" s="107"/>
      <c r="E5341" s="65"/>
      <c r="F5341" s="64"/>
      <c r="G5341" s="64"/>
      <c r="H5341" s="64"/>
      <c r="I5341" s="70"/>
      <c r="J5341" s="70"/>
      <c r="K5341" s="110" t="str">
        <f>IF(H5341="","",IF($C$29="간이법","",FPR(H5341,I5341,J5341)))</f>
        <v/>
      </c>
      <c r="L5341" s="111" t="str">
        <f>IF(H5341="","",IF($C$29="상세법",FPV(H5341,K5341),IF(H5341="EI",4,IF(H5341="EO",5.2,IF(H5341="EQ",3.9,IF(H5341="ILF",7.5,IF(H5341="EIF",5.4)))))))</f>
        <v/>
      </c>
      <c r="M5341" s="112" t="str">
        <f t="shared" si="86"/>
        <v/>
      </c>
      <c r="N5341" s="113"/>
    </row>
    <row r="5342" spans="2:14">
      <c r="B5342" s="105"/>
      <c r="C5342" s="106"/>
      <c r="D5342" s="107"/>
      <c r="E5342" s="65"/>
      <c r="F5342" s="64"/>
      <c r="G5342" s="64"/>
      <c r="H5342" s="64"/>
      <c r="I5342" s="70"/>
      <c r="J5342" s="70"/>
      <c r="K5342" s="110" t="str">
        <f>IF(H5342="","",IF($C$29="간이법","",FPR(H5342,I5342,J5342)))</f>
        <v/>
      </c>
      <c r="L5342" s="111" t="str">
        <f>IF(H5342="","",IF($C$29="상세법",FPV(H5342,K5342),IF(H5342="EI",4,IF(H5342="EO",5.2,IF(H5342="EQ",3.9,IF(H5342="ILF",7.5,IF(H5342="EIF",5.4)))))))</f>
        <v/>
      </c>
      <c r="M5342" s="112" t="str">
        <f t="shared" si="86"/>
        <v/>
      </c>
      <c r="N5342" s="113"/>
    </row>
    <row r="5343" spans="2:14">
      <c r="B5343" s="105"/>
      <c r="C5343" s="106"/>
      <c r="D5343" s="107"/>
      <c r="E5343" s="65"/>
      <c r="F5343" s="64"/>
      <c r="G5343" s="64"/>
      <c r="H5343" s="64"/>
      <c r="I5343" s="70"/>
      <c r="J5343" s="70"/>
      <c r="K5343" s="110" t="str">
        <f>IF(H5343="","",IF($C$29="간이법","",FPR(H5343,I5343,J5343)))</f>
        <v/>
      </c>
      <c r="L5343" s="111" t="str">
        <f>IF(H5343="","",IF($C$29="상세법",FPV(H5343,K5343),IF(H5343="EI",4,IF(H5343="EO",5.2,IF(H5343="EQ",3.9,IF(H5343="ILF",7.5,IF(H5343="EIF",5.4)))))))</f>
        <v/>
      </c>
      <c r="M5343" s="112" t="str">
        <f t="shared" si="86"/>
        <v/>
      </c>
      <c r="N5343" s="113"/>
    </row>
    <row r="5344" spans="2:14">
      <c r="B5344" s="105"/>
      <c r="C5344" s="106"/>
      <c r="D5344" s="107"/>
      <c r="E5344" s="65"/>
      <c r="F5344" s="64"/>
      <c r="G5344" s="64"/>
      <c r="H5344" s="64"/>
      <c r="I5344" s="70"/>
      <c r="J5344" s="70"/>
      <c r="K5344" s="110" t="str">
        <f>IF(H5344="","",IF($C$29="간이법","",FPR(H5344,I5344,J5344)))</f>
        <v/>
      </c>
      <c r="L5344" s="111" t="str">
        <f>IF(H5344="","",IF($C$29="상세법",FPV(H5344,K5344),IF(H5344="EI",4,IF(H5344="EO",5.2,IF(H5344="EQ",3.9,IF(H5344="ILF",7.5,IF(H5344="EIF",5.4)))))))</f>
        <v/>
      </c>
      <c r="M5344" s="112" t="str">
        <f t="shared" si="86"/>
        <v/>
      </c>
      <c r="N5344" s="113"/>
    </row>
    <row r="5345" spans="2:14">
      <c r="B5345" s="105"/>
      <c r="C5345" s="106"/>
      <c r="D5345" s="107"/>
      <c r="E5345" s="65"/>
      <c r="F5345" s="64"/>
      <c r="G5345" s="64"/>
      <c r="H5345" s="64"/>
      <c r="I5345" s="70"/>
      <c r="J5345" s="70"/>
      <c r="K5345" s="110" t="str">
        <f>IF(H5345="","",IF($C$29="간이법","",FPR(H5345,I5345,J5345)))</f>
        <v/>
      </c>
      <c r="L5345" s="111" t="str">
        <f>IF(H5345="","",IF($C$29="상세법",FPV(H5345,K5345),IF(H5345="EI",4,IF(H5345="EO",5.2,IF(H5345="EQ",3.9,IF(H5345="ILF",7.5,IF(H5345="EIF",5.4)))))))</f>
        <v/>
      </c>
      <c r="M5345" s="112" t="str">
        <f t="shared" si="86"/>
        <v/>
      </c>
      <c r="N5345" s="113"/>
    </row>
    <row r="5346" spans="2:14">
      <c r="B5346" s="105"/>
      <c r="C5346" s="106"/>
      <c r="D5346" s="107"/>
      <c r="E5346" s="65"/>
      <c r="F5346" s="64"/>
      <c r="G5346" s="64"/>
      <c r="H5346" s="64"/>
      <c r="I5346" s="70"/>
      <c r="J5346" s="70"/>
      <c r="K5346" s="110" t="str">
        <f>IF(H5346="","",IF($C$29="간이법","",FPR(H5346,I5346,J5346)))</f>
        <v/>
      </c>
      <c r="L5346" s="111" t="str">
        <f>IF(H5346="","",IF($C$29="상세법",FPV(H5346,K5346),IF(H5346="EI",4,IF(H5346="EO",5.2,IF(H5346="EQ",3.9,IF(H5346="ILF",7.5,IF(H5346="EIF",5.4)))))))</f>
        <v/>
      </c>
      <c r="M5346" s="112" t="str">
        <f t="shared" si="86"/>
        <v/>
      </c>
      <c r="N5346" s="113"/>
    </row>
    <row r="5347" spans="2:14">
      <c r="B5347" s="105"/>
      <c r="C5347" s="106"/>
      <c r="D5347" s="107"/>
      <c r="E5347" s="65"/>
      <c r="F5347" s="64"/>
      <c r="G5347" s="64"/>
      <c r="H5347" s="64"/>
      <c r="I5347" s="70"/>
      <c r="J5347" s="70"/>
      <c r="K5347" s="110" t="str">
        <f>IF(H5347="","",IF($C$29="간이법","",FPR(H5347,I5347,J5347)))</f>
        <v/>
      </c>
      <c r="L5347" s="111" t="str">
        <f>IF(H5347="","",IF($C$29="상세법",FPV(H5347,K5347),IF(H5347="EI",4,IF(H5347="EO",5.2,IF(H5347="EQ",3.9,IF(H5347="ILF",7.5,IF(H5347="EIF",5.4)))))))</f>
        <v/>
      </c>
      <c r="M5347" s="112" t="str">
        <f t="shared" si="86"/>
        <v/>
      </c>
      <c r="N5347" s="113"/>
    </row>
    <row r="5348" spans="2:14">
      <c r="B5348" s="105"/>
      <c r="C5348" s="106"/>
      <c r="D5348" s="107"/>
      <c r="E5348" s="65"/>
      <c r="F5348" s="64"/>
      <c r="G5348" s="64"/>
      <c r="H5348" s="64"/>
      <c r="I5348" s="70"/>
      <c r="J5348" s="70"/>
      <c r="K5348" s="110" t="str">
        <f>IF(H5348="","",IF($C$29="간이법","",FPR(H5348,I5348,J5348)))</f>
        <v/>
      </c>
      <c r="L5348" s="111" t="str">
        <f>IF(H5348="","",IF($C$29="상세법",FPV(H5348,K5348),IF(H5348="EI",4,IF(H5348="EO",5.2,IF(H5348="EQ",3.9,IF(H5348="ILF",7.5,IF(H5348="EIF",5.4)))))))</f>
        <v/>
      </c>
      <c r="M5348" s="112" t="str">
        <f t="shared" si="86"/>
        <v/>
      </c>
      <c r="N5348" s="113"/>
    </row>
    <row r="5349" spans="2:14">
      <c r="B5349" s="105"/>
      <c r="C5349" s="106"/>
      <c r="D5349" s="107"/>
      <c r="E5349" s="65"/>
      <c r="F5349" s="64"/>
      <c r="G5349" s="64"/>
      <c r="H5349" s="64"/>
      <c r="I5349" s="70"/>
      <c r="J5349" s="70"/>
      <c r="K5349" s="110" t="str">
        <f>IF(H5349="","",IF($C$29="간이법","",FPR(H5349,I5349,J5349)))</f>
        <v/>
      </c>
      <c r="L5349" s="111" t="str">
        <f>IF(H5349="","",IF($C$29="상세법",FPV(H5349,K5349),IF(H5349="EI",4,IF(H5349="EO",5.2,IF(H5349="EQ",3.9,IF(H5349="ILF",7.5,IF(H5349="EIF",5.4)))))))</f>
        <v/>
      </c>
      <c r="M5349" s="112" t="str">
        <f t="shared" si="86"/>
        <v/>
      </c>
      <c r="N5349" s="113"/>
    </row>
    <row r="5350" spans="2:14">
      <c r="B5350" s="105"/>
      <c r="C5350" s="106"/>
      <c r="D5350" s="107"/>
      <c r="E5350" s="65"/>
      <c r="F5350" s="64"/>
      <c r="G5350" s="64"/>
      <c r="H5350" s="64"/>
      <c r="I5350" s="70"/>
      <c r="J5350" s="70"/>
      <c r="K5350" s="110" t="str">
        <f>IF(H5350="","",IF($C$29="간이법","",FPR(H5350,I5350,J5350)))</f>
        <v/>
      </c>
      <c r="L5350" s="111" t="str">
        <f>IF(H5350="","",IF($C$29="상세법",FPV(H5350,K5350),IF(H5350="EI",4,IF(H5350="EO",5.2,IF(H5350="EQ",3.9,IF(H5350="ILF",7.5,IF(H5350="EIF",5.4)))))))</f>
        <v/>
      </c>
      <c r="M5350" s="112" t="str">
        <f t="shared" si="86"/>
        <v/>
      </c>
      <c r="N5350" s="113"/>
    </row>
    <row r="5351" spans="2:14">
      <c r="B5351" s="105"/>
      <c r="C5351" s="106"/>
      <c r="D5351" s="107"/>
      <c r="E5351" s="65"/>
      <c r="F5351" s="64"/>
      <c r="G5351" s="64"/>
      <c r="H5351" s="64"/>
      <c r="I5351" s="70"/>
      <c r="J5351" s="70"/>
      <c r="K5351" s="110" t="str">
        <f>IF(H5351="","",IF($C$29="간이법","",FPR(H5351,I5351,J5351)))</f>
        <v/>
      </c>
      <c r="L5351" s="111" t="str">
        <f>IF(H5351="","",IF($C$29="상세법",FPV(H5351,K5351),IF(H5351="EI",4,IF(H5351="EO",5.2,IF(H5351="EQ",3.9,IF(H5351="ILF",7.5,IF(H5351="EIF",5.4)))))))</f>
        <v/>
      </c>
      <c r="M5351" s="112" t="str">
        <f t="shared" si="86"/>
        <v/>
      </c>
      <c r="N5351" s="113"/>
    </row>
    <row r="5352" spans="2:14">
      <c r="B5352" s="105"/>
      <c r="C5352" s="106"/>
      <c r="D5352" s="107"/>
      <c r="E5352" s="65"/>
      <c r="F5352" s="64"/>
      <c r="G5352" s="64"/>
      <c r="H5352" s="64"/>
      <c r="I5352" s="70"/>
      <c r="J5352" s="70"/>
      <c r="K5352" s="110" t="str">
        <f>IF(H5352="","",IF($C$29="간이법","",FPR(H5352,I5352,J5352)))</f>
        <v/>
      </c>
      <c r="L5352" s="111" t="str">
        <f>IF(H5352="","",IF($C$29="상세법",FPV(H5352,K5352),IF(H5352="EI",4,IF(H5352="EO",5.2,IF(H5352="EQ",3.9,IF(H5352="ILF",7.5,IF(H5352="EIF",5.4)))))))</f>
        <v/>
      </c>
      <c r="M5352" s="112" t="str">
        <f t="shared" si="86"/>
        <v/>
      </c>
      <c r="N5352" s="113"/>
    </row>
    <row r="5353" spans="2:14">
      <c r="B5353" s="105"/>
      <c r="C5353" s="106"/>
      <c r="D5353" s="107"/>
      <c r="E5353" s="65"/>
      <c r="F5353" s="64"/>
      <c r="G5353" s="64"/>
      <c r="H5353" s="64"/>
      <c r="I5353" s="70"/>
      <c r="J5353" s="70"/>
      <c r="K5353" s="110" t="str">
        <f>IF(H5353="","",IF($C$29="간이법","",FPR(H5353,I5353,J5353)))</f>
        <v/>
      </c>
      <c r="L5353" s="111" t="str">
        <f>IF(H5353="","",IF($C$29="상세법",FPV(H5353,K5353),IF(H5353="EI",4,IF(H5353="EO",5.2,IF(H5353="EQ",3.9,IF(H5353="ILF",7.5,IF(H5353="EIF",5.4)))))))</f>
        <v/>
      </c>
      <c r="M5353" s="112" t="str">
        <f t="shared" si="86"/>
        <v/>
      </c>
      <c r="N5353" s="113"/>
    </row>
    <row r="5354" spans="2:14">
      <c r="B5354" s="105"/>
      <c r="C5354" s="106"/>
      <c r="D5354" s="107"/>
      <c r="E5354" s="65"/>
      <c r="F5354" s="64"/>
      <c r="G5354" s="64"/>
      <c r="H5354" s="64"/>
      <c r="I5354" s="70"/>
      <c r="J5354" s="70"/>
      <c r="K5354" s="110" t="str">
        <f>IF(H5354="","",IF($C$29="간이법","",FPR(H5354,I5354,J5354)))</f>
        <v/>
      </c>
      <c r="L5354" s="111" t="str">
        <f>IF(H5354="","",IF($C$29="상세법",FPV(H5354,K5354),IF(H5354="EI",4,IF(H5354="EO",5.2,IF(H5354="EQ",3.9,IF(H5354="ILF",7.5,IF(H5354="EIF",5.4)))))))</f>
        <v/>
      </c>
      <c r="M5354" s="112" t="str">
        <f t="shared" si="86"/>
        <v/>
      </c>
      <c r="N5354" s="113"/>
    </row>
    <row r="5355" spans="2:14">
      <c r="B5355" s="105"/>
      <c r="C5355" s="106"/>
      <c r="D5355" s="107"/>
      <c r="E5355" s="65"/>
      <c r="F5355" s="64"/>
      <c r="G5355" s="64"/>
      <c r="H5355" s="64"/>
      <c r="I5355" s="70"/>
      <c r="J5355" s="70"/>
      <c r="K5355" s="110" t="str">
        <f>IF(H5355="","",IF($C$29="간이법","",FPR(H5355,I5355,J5355)))</f>
        <v/>
      </c>
      <c r="L5355" s="111" t="str">
        <f>IF(H5355="","",IF($C$29="상세법",FPV(H5355,K5355),IF(H5355="EI",4,IF(H5355="EO",5.2,IF(H5355="EQ",3.9,IF(H5355="ILF",7.5,IF(H5355="EIF",5.4)))))))</f>
        <v/>
      </c>
      <c r="M5355" s="112" t="str">
        <f t="shared" si="86"/>
        <v/>
      </c>
      <c r="N5355" s="113"/>
    </row>
    <row r="5356" spans="2:14">
      <c r="B5356" s="105"/>
      <c r="C5356" s="106"/>
      <c r="D5356" s="107"/>
      <c r="E5356" s="65"/>
      <c r="F5356" s="64"/>
      <c r="G5356" s="64"/>
      <c r="H5356" s="64"/>
      <c r="I5356" s="70"/>
      <c r="J5356" s="70"/>
      <c r="K5356" s="110" t="str">
        <f>IF(H5356="","",IF($C$29="간이법","",FPR(H5356,I5356,J5356)))</f>
        <v/>
      </c>
      <c r="L5356" s="111" t="str">
        <f>IF(H5356="","",IF($C$29="상세법",FPV(H5356,K5356),IF(H5356="EI",4,IF(H5356="EO",5.2,IF(H5356="EQ",3.9,IF(H5356="ILF",7.5,IF(H5356="EIF",5.4)))))))</f>
        <v/>
      </c>
      <c r="M5356" s="112" t="str">
        <f t="shared" si="86"/>
        <v/>
      </c>
      <c r="N5356" s="113"/>
    </row>
    <row r="5357" spans="2:14">
      <c r="B5357" s="105"/>
      <c r="C5357" s="106"/>
      <c r="D5357" s="107"/>
      <c r="E5357" s="65"/>
      <c r="F5357" s="64"/>
      <c r="G5357" s="64"/>
      <c r="H5357" s="64"/>
      <c r="I5357" s="70"/>
      <c r="J5357" s="70"/>
      <c r="K5357" s="110" t="str">
        <f>IF(H5357="","",IF($C$29="간이법","",FPR(H5357,I5357,J5357)))</f>
        <v/>
      </c>
      <c r="L5357" s="111" t="str">
        <f>IF(H5357="","",IF($C$29="상세법",FPV(H5357,K5357),IF(H5357="EI",4,IF(H5357="EO",5.2,IF(H5357="EQ",3.9,IF(H5357="ILF",7.5,IF(H5357="EIF",5.4)))))))</f>
        <v/>
      </c>
      <c r="M5357" s="112" t="str">
        <f t="shared" si="86"/>
        <v/>
      </c>
      <c r="N5357" s="113"/>
    </row>
    <row r="5358" spans="2:14">
      <c r="B5358" s="105"/>
      <c r="C5358" s="106"/>
      <c r="D5358" s="107"/>
      <c r="E5358" s="65"/>
      <c r="F5358" s="64"/>
      <c r="G5358" s="64"/>
      <c r="H5358" s="64"/>
      <c r="I5358" s="70"/>
      <c r="J5358" s="70"/>
      <c r="K5358" s="110" t="str">
        <f>IF(H5358="","",IF($C$29="간이법","",FPR(H5358,I5358,J5358)))</f>
        <v/>
      </c>
      <c r="L5358" s="111" t="str">
        <f>IF(H5358="","",IF($C$29="상세법",FPV(H5358,K5358),IF(H5358="EI",4,IF(H5358="EO",5.2,IF(H5358="EQ",3.9,IF(H5358="ILF",7.5,IF(H5358="EIF",5.4)))))))</f>
        <v/>
      </c>
      <c r="M5358" s="112" t="str">
        <f t="shared" si="86"/>
        <v/>
      </c>
      <c r="N5358" s="113"/>
    </row>
    <row r="5359" spans="2:14">
      <c r="B5359" s="105"/>
      <c r="C5359" s="106"/>
      <c r="D5359" s="107"/>
      <c r="E5359" s="65"/>
      <c r="F5359" s="64"/>
      <c r="G5359" s="64"/>
      <c r="H5359" s="64"/>
      <c r="I5359" s="70"/>
      <c r="J5359" s="70"/>
      <c r="K5359" s="110" t="str">
        <f>IF(H5359="","",IF($C$29="간이법","",FPR(H5359,I5359,J5359)))</f>
        <v/>
      </c>
      <c r="L5359" s="111" t="str">
        <f>IF(H5359="","",IF($C$29="상세법",FPV(H5359,K5359),IF(H5359="EI",4,IF(H5359="EO",5.2,IF(H5359="EQ",3.9,IF(H5359="ILF",7.5,IF(H5359="EIF",5.4)))))))</f>
        <v/>
      </c>
      <c r="M5359" s="112" t="str">
        <f t="shared" si="86"/>
        <v/>
      </c>
      <c r="N5359" s="113"/>
    </row>
    <row r="5360" spans="2:14">
      <c r="B5360" s="105"/>
      <c r="C5360" s="106"/>
      <c r="D5360" s="107"/>
      <c r="E5360" s="65"/>
      <c r="F5360" s="64"/>
      <c r="G5360" s="64"/>
      <c r="H5360" s="64"/>
      <c r="I5360" s="70"/>
      <c r="J5360" s="70"/>
      <c r="K5360" s="110" t="str">
        <f>IF(H5360="","",IF($C$29="간이법","",FPR(H5360,I5360,J5360)))</f>
        <v/>
      </c>
      <c r="L5360" s="111" t="str">
        <f>IF(H5360="","",IF($C$29="상세법",FPV(H5360,K5360),IF(H5360="EI",4,IF(H5360="EO",5.2,IF(H5360="EQ",3.9,IF(H5360="ILF",7.5,IF(H5360="EIF",5.4)))))))</f>
        <v/>
      </c>
      <c r="M5360" s="112" t="str">
        <f t="shared" si="86"/>
        <v/>
      </c>
      <c r="N5360" s="113"/>
    </row>
    <row r="5361" spans="2:14">
      <c r="B5361" s="105"/>
      <c r="C5361" s="106"/>
      <c r="D5361" s="107"/>
      <c r="E5361" s="65"/>
      <c r="F5361" s="64"/>
      <c r="G5361" s="64"/>
      <c r="H5361" s="64"/>
      <c r="I5361" s="70"/>
      <c r="J5361" s="70"/>
      <c r="K5361" s="110" t="str">
        <f>IF(H5361="","",IF($C$29="간이법","",FPR(H5361,I5361,J5361)))</f>
        <v/>
      </c>
      <c r="L5361" s="111" t="str">
        <f>IF(H5361="","",IF($C$29="상세법",FPV(H5361,K5361),IF(H5361="EI",4,IF(H5361="EO",5.2,IF(H5361="EQ",3.9,IF(H5361="ILF",7.5,IF(H5361="EIF",5.4)))))))</f>
        <v/>
      </c>
      <c r="M5361" s="112" t="str">
        <f t="shared" si="86"/>
        <v/>
      </c>
      <c r="N5361" s="113"/>
    </row>
    <row r="5362" spans="2:14">
      <c r="B5362" s="105"/>
      <c r="C5362" s="106"/>
      <c r="D5362" s="107"/>
      <c r="E5362" s="65"/>
      <c r="F5362" s="64"/>
      <c r="G5362" s="64"/>
      <c r="H5362" s="64"/>
      <c r="I5362" s="70"/>
      <c r="J5362" s="70"/>
      <c r="K5362" s="110" t="str">
        <f>IF(H5362="","",IF($C$29="간이법","",FPR(H5362,I5362,J5362)))</f>
        <v/>
      </c>
      <c r="L5362" s="111" t="str">
        <f>IF(H5362="","",IF($C$29="상세법",FPV(H5362,K5362),IF(H5362="EI",4,IF(H5362="EO",5.2,IF(H5362="EQ",3.9,IF(H5362="ILF",7.5,IF(H5362="EIF",5.4)))))))</f>
        <v/>
      </c>
      <c r="M5362" s="112" t="str">
        <f t="shared" si="86"/>
        <v/>
      </c>
      <c r="N5362" s="113"/>
    </row>
    <row r="5363" spans="2:14">
      <c r="B5363" s="105"/>
      <c r="C5363" s="106"/>
      <c r="D5363" s="107"/>
      <c r="E5363" s="65"/>
      <c r="F5363" s="64"/>
      <c r="G5363" s="64"/>
      <c r="H5363" s="64"/>
      <c r="I5363" s="70"/>
      <c r="J5363" s="70"/>
      <c r="K5363" s="110" t="str">
        <f>IF(H5363="","",IF($C$29="간이법","",FPR(H5363,I5363,J5363)))</f>
        <v/>
      </c>
      <c r="L5363" s="111" t="str">
        <f>IF(H5363="","",IF($C$29="상세법",FPV(H5363,K5363),IF(H5363="EI",4,IF(H5363="EO",5.2,IF(H5363="EQ",3.9,IF(H5363="ILF",7.5,IF(H5363="EIF",5.4)))))))</f>
        <v/>
      </c>
      <c r="M5363" s="112" t="str">
        <f t="shared" si="86"/>
        <v/>
      </c>
      <c r="N5363" s="113"/>
    </row>
    <row r="5364" spans="2:14">
      <c r="B5364" s="105"/>
      <c r="C5364" s="106"/>
      <c r="D5364" s="107"/>
      <c r="E5364" s="65"/>
      <c r="F5364" s="64"/>
      <c r="G5364" s="64"/>
      <c r="H5364" s="64"/>
      <c r="I5364" s="70"/>
      <c r="J5364" s="70"/>
      <c r="K5364" s="110" t="str">
        <f>IF(H5364="","",IF($C$29="간이법","",FPR(H5364,I5364,J5364)))</f>
        <v/>
      </c>
      <c r="L5364" s="111" t="str">
        <f>IF(H5364="","",IF($C$29="상세법",FPV(H5364,K5364),IF(H5364="EI",4,IF(H5364="EO",5.2,IF(H5364="EQ",3.9,IF(H5364="ILF",7.5,IF(H5364="EIF",5.4)))))))</f>
        <v/>
      </c>
      <c r="M5364" s="112" t="str">
        <f t="shared" si="86"/>
        <v/>
      </c>
      <c r="N5364" s="113"/>
    </row>
    <row r="5365" spans="2:14">
      <c r="B5365" s="105"/>
      <c r="C5365" s="106"/>
      <c r="D5365" s="107"/>
      <c r="E5365" s="65"/>
      <c r="F5365" s="64"/>
      <c r="G5365" s="64"/>
      <c r="H5365" s="64"/>
      <c r="I5365" s="70"/>
      <c r="J5365" s="70"/>
      <c r="K5365" s="110" t="str">
        <f>IF(H5365="","",IF($C$29="간이법","",FPR(H5365,I5365,J5365)))</f>
        <v/>
      </c>
      <c r="L5365" s="111" t="str">
        <f>IF(H5365="","",IF($C$29="상세법",FPV(H5365,K5365),IF(H5365="EI",4,IF(H5365="EO",5.2,IF(H5365="EQ",3.9,IF(H5365="ILF",7.5,IF(H5365="EIF",5.4)))))))</f>
        <v/>
      </c>
      <c r="M5365" s="112" t="str">
        <f t="shared" si="86"/>
        <v/>
      </c>
      <c r="N5365" s="113"/>
    </row>
    <row r="5366" spans="2:14">
      <c r="B5366" s="105"/>
      <c r="C5366" s="106"/>
      <c r="D5366" s="107"/>
      <c r="E5366" s="65"/>
      <c r="F5366" s="64"/>
      <c r="G5366" s="64"/>
      <c r="H5366" s="64"/>
      <c r="I5366" s="70"/>
      <c r="J5366" s="70"/>
      <c r="K5366" s="110" t="str">
        <f>IF(H5366="","",IF($C$29="간이법","",FPR(H5366,I5366,J5366)))</f>
        <v/>
      </c>
      <c r="L5366" s="111" t="str">
        <f>IF(H5366="","",IF($C$29="상세법",FPV(H5366,K5366),IF(H5366="EI",4,IF(H5366="EO",5.2,IF(H5366="EQ",3.9,IF(H5366="ILF",7.5,IF(H5366="EIF",5.4)))))))</f>
        <v/>
      </c>
      <c r="M5366" s="112" t="str">
        <f t="shared" si="86"/>
        <v/>
      </c>
      <c r="N5366" s="113"/>
    </row>
    <row r="5367" spans="2:14">
      <c r="B5367" s="105"/>
      <c r="C5367" s="106"/>
      <c r="D5367" s="107"/>
      <c r="E5367" s="65"/>
      <c r="F5367" s="64"/>
      <c r="G5367" s="64"/>
      <c r="H5367" s="64"/>
      <c r="I5367" s="70"/>
      <c r="J5367" s="70"/>
      <c r="K5367" s="110" t="str">
        <f>IF(H5367="","",IF($C$29="간이법","",FPR(H5367,I5367,J5367)))</f>
        <v/>
      </c>
      <c r="L5367" s="111" t="str">
        <f>IF(H5367="","",IF($C$29="상세법",FPV(H5367,K5367),IF(H5367="EI",4,IF(H5367="EO",5.2,IF(H5367="EQ",3.9,IF(H5367="ILF",7.5,IF(H5367="EIF",5.4)))))))</f>
        <v/>
      </c>
      <c r="M5367" s="112" t="str">
        <f t="shared" si="86"/>
        <v/>
      </c>
      <c r="N5367" s="113"/>
    </row>
    <row r="5368" spans="2:14">
      <c r="B5368" s="105"/>
      <c r="C5368" s="106"/>
      <c r="D5368" s="107"/>
      <c r="E5368" s="65"/>
      <c r="F5368" s="64"/>
      <c r="G5368" s="64"/>
      <c r="H5368" s="64"/>
      <c r="I5368" s="70"/>
      <c r="J5368" s="70"/>
      <c r="K5368" s="110" t="str">
        <f>IF(H5368="","",IF($C$29="간이법","",FPR(H5368,I5368,J5368)))</f>
        <v/>
      </c>
      <c r="L5368" s="111" t="str">
        <f>IF(H5368="","",IF($C$29="상세법",FPV(H5368,K5368),IF(H5368="EI",4,IF(H5368="EO",5.2,IF(H5368="EQ",3.9,IF(H5368="ILF",7.5,IF(H5368="EIF",5.4)))))))</f>
        <v/>
      </c>
      <c r="M5368" s="112" t="str">
        <f t="shared" si="86"/>
        <v/>
      </c>
      <c r="N5368" s="113"/>
    </row>
    <row r="5369" spans="2:14">
      <c r="B5369" s="105"/>
      <c r="C5369" s="106"/>
      <c r="D5369" s="107"/>
      <c r="E5369" s="65"/>
      <c r="F5369" s="64"/>
      <c r="G5369" s="64"/>
      <c r="H5369" s="64"/>
      <c r="I5369" s="70"/>
      <c r="J5369" s="70"/>
      <c r="K5369" s="110" t="str">
        <f>IF(H5369="","",IF($C$29="간이법","",FPR(H5369,I5369,J5369)))</f>
        <v/>
      </c>
      <c r="L5369" s="111" t="str">
        <f>IF(H5369="","",IF($C$29="상세법",FPV(H5369,K5369),IF(H5369="EI",4,IF(H5369="EO",5.2,IF(H5369="EQ",3.9,IF(H5369="ILF",7.5,IF(H5369="EIF",5.4)))))))</f>
        <v/>
      </c>
      <c r="M5369" s="112" t="str">
        <f t="shared" ref="M5369:M5432" si="87">IF(L5369="","",L5369*IF(G5369="상",0.7,IF(G5369="중",0.5,IF(G5369="하",0.2,1))))</f>
        <v/>
      </c>
      <c r="N5369" s="113"/>
    </row>
    <row r="5370" spans="2:14">
      <c r="B5370" s="105"/>
      <c r="C5370" s="106"/>
      <c r="D5370" s="107"/>
      <c r="E5370" s="65"/>
      <c r="F5370" s="64"/>
      <c r="G5370" s="64"/>
      <c r="H5370" s="64"/>
      <c r="I5370" s="70"/>
      <c r="J5370" s="70"/>
      <c r="K5370" s="110" t="str">
        <f>IF(H5370="","",IF($C$29="간이법","",FPR(H5370,I5370,J5370)))</f>
        <v/>
      </c>
      <c r="L5370" s="111" t="str">
        <f>IF(H5370="","",IF($C$29="상세법",FPV(H5370,K5370),IF(H5370="EI",4,IF(H5370="EO",5.2,IF(H5370="EQ",3.9,IF(H5370="ILF",7.5,IF(H5370="EIF",5.4)))))))</f>
        <v/>
      </c>
      <c r="M5370" s="112" t="str">
        <f t="shared" si="87"/>
        <v/>
      </c>
      <c r="N5370" s="113"/>
    </row>
    <row r="5371" spans="2:14">
      <c r="B5371" s="105"/>
      <c r="C5371" s="106"/>
      <c r="D5371" s="107"/>
      <c r="E5371" s="65"/>
      <c r="F5371" s="64"/>
      <c r="G5371" s="64"/>
      <c r="H5371" s="64"/>
      <c r="I5371" s="70"/>
      <c r="J5371" s="70"/>
      <c r="K5371" s="110" t="str">
        <f>IF(H5371="","",IF($C$29="간이법","",FPR(H5371,I5371,J5371)))</f>
        <v/>
      </c>
      <c r="L5371" s="111" t="str">
        <f>IF(H5371="","",IF($C$29="상세법",FPV(H5371,K5371),IF(H5371="EI",4,IF(H5371="EO",5.2,IF(H5371="EQ",3.9,IF(H5371="ILF",7.5,IF(H5371="EIF",5.4)))))))</f>
        <v/>
      </c>
      <c r="M5371" s="112" t="str">
        <f t="shared" si="87"/>
        <v/>
      </c>
      <c r="N5371" s="113"/>
    </row>
    <row r="5372" spans="2:14">
      <c r="B5372" s="105"/>
      <c r="C5372" s="106"/>
      <c r="D5372" s="107"/>
      <c r="E5372" s="65"/>
      <c r="F5372" s="64"/>
      <c r="G5372" s="64"/>
      <c r="H5372" s="64"/>
      <c r="I5372" s="70"/>
      <c r="J5372" s="70"/>
      <c r="K5372" s="110" t="str">
        <f>IF(H5372="","",IF($C$29="간이법","",FPR(H5372,I5372,J5372)))</f>
        <v/>
      </c>
      <c r="L5372" s="111" t="str">
        <f>IF(H5372="","",IF($C$29="상세법",FPV(H5372,K5372),IF(H5372="EI",4,IF(H5372="EO",5.2,IF(H5372="EQ",3.9,IF(H5372="ILF",7.5,IF(H5372="EIF",5.4)))))))</f>
        <v/>
      </c>
      <c r="M5372" s="112" t="str">
        <f t="shared" si="87"/>
        <v/>
      </c>
      <c r="N5372" s="113"/>
    </row>
    <row r="5373" spans="2:14">
      <c r="B5373" s="105"/>
      <c r="C5373" s="106"/>
      <c r="D5373" s="107"/>
      <c r="E5373" s="65"/>
      <c r="F5373" s="64"/>
      <c r="G5373" s="64"/>
      <c r="H5373" s="64"/>
      <c r="I5373" s="70"/>
      <c r="J5373" s="70"/>
      <c r="K5373" s="110" t="str">
        <f>IF(H5373="","",IF($C$29="간이법","",FPR(H5373,I5373,J5373)))</f>
        <v/>
      </c>
      <c r="L5373" s="111" t="str">
        <f>IF(H5373="","",IF($C$29="상세법",FPV(H5373,K5373),IF(H5373="EI",4,IF(H5373="EO",5.2,IF(H5373="EQ",3.9,IF(H5373="ILF",7.5,IF(H5373="EIF",5.4)))))))</f>
        <v/>
      </c>
      <c r="M5373" s="112" t="str">
        <f t="shared" si="87"/>
        <v/>
      </c>
      <c r="N5373" s="113"/>
    </row>
    <row r="5374" spans="2:14">
      <c r="B5374" s="105"/>
      <c r="C5374" s="106"/>
      <c r="D5374" s="107"/>
      <c r="E5374" s="65"/>
      <c r="F5374" s="64"/>
      <c r="G5374" s="64"/>
      <c r="H5374" s="64"/>
      <c r="I5374" s="70"/>
      <c r="J5374" s="70"/>
      <c r="K5374" s="110" t="str">
        <f>IF(H5374="","",IF($C$29="간이법","",FPR(H5374,I5374,J5374)))</f>
        <v/>
      </c>
      <c r="L5374" s="111" t="str">
        <f>IF(H5374="","",IF($C$29="상세법",FPV(H5374,K5374),IF(H5374="EI",4,IF(H5374="EO",5.2,IF(H5374="EQ",3.9,IF(H5374="ILF",7.5,IF(H5374="EIF",5.4)))))))</f>
        <v/>
      </c>
      <c r="M5374" s="112" t="str">
        <f t="shared" si="87"/>
        <v/>
      </c>
      <c r="N5374" s="113"/>
    </row>
    <row r="5375" spans="2:14">
      <c r="B5375" s="105"/>
      <c r="C5375" s="106"/>
      <c r="D5375" s="107"/>
      <c r="E5375" s="65"/>
      <c r="F5375" s="64"/>
      <c r="G5375" s="64"/>
      <c r="H5375" s="64"/>
      <c r="I5375" s="70"/>
      <c r="J5375" s="70"/>
      <c r="K5375" s="110" t="str">
        <f>IF(H5375="","",IF($C$29="간이법","",FPR(H5375,I5375,J5375)))</f>
        <v/>
      </c>
      <c r="L5375" s="111" t="str">
        <f>IF(H5375="","",IF($C$29="상세법",FPV(H5375,K5375),IF(H5375="EI",4,IF(H5375="EO",5.2,IF(H5375="EQ",3.9,IF(H5375="ILF",7.5,IF(H5375="EIF",5.4)))))))</f>
        <v/>
      </c>
      <c r="M5375" s="112" t="str">
        <f t="shared" si="87"/>
        <v/>
      </c>
      <c r="N5375" s="113"/>
    </row>
    <row r="5376" spans="2:14">
      <c r="B5376" s="105"/>
      <c r="C5376" s="106"/>
      <c r="D5376" s="107"/>
      <c r="E5376" s="65"/>
      <c r="F5376" s="64"/>
      <c r="G5376" s="64"/>
      <c r="H5376" s="64"/>
      <c r="I5376" s="70"/>
      <c r="J5376" s="70"/>
      <c r="K5376" s="110" t="str">
        <f>IF(H5376="","",IF($C$29="간이법","",FPR(H5376,I5376,J5376)))</f>
        <v/>
      </c>
      <c r="L5376" s="111" t="str">
        <f>IF(H5376="","",IF($C$29="상세법",FPV(H5376,K5376),IF(H5376="EI",4,IF(H5376="EO",5.2,IF(H5376="EQ",3.9,IF(H5376="ILF",7.5,IF(H5376="EIF",5.4)))))))</f>
        <v/>
      </c>
      <c r="M5376" s="112" t="str">
        <f t="shared" si="87"/>
        <v/>
      </c>
      <c r="N5376" s="113"/>
    </row>
    <row r="5377" spans="2:14">
      <c r="B5377" s="105"/>
      <c r="C5377" s="106"/>
      <c r="D5377" s="107"/>
      <c r="E5377" s="65"/>
      <c r="F5377" s="64"/>
      <c r="G5377" s="64"/>
      <c r="H5377" s="64"/>
      <c r="I5377" s="70"/>
      <c r="J5377" s="70"/>
      <c r="K5377" s="110" t="str">
        <f>IF(H5377="","",IF($C$29="간이법","",FPR(H5377,I5377,J5377)))</f>
        <v/>
      </c>
      <c r="L5377" s="111" t="str">
        <f>IF(H5377="","",IF($C$29="상세법",FPV(H5377,K5377),IF(H5377="EI",4,IF(H5377="EO",5.2,IF(H5377="EQ",3.9,IF(H5377="ILF",7.5,IF(H5377="EIF",5.4)))))))</f>
        <v/>
      </c>
      <c r="M5377" s="112" t="str">
        <f t="shared" si="87"/>
        <v/>
      </c>
      <c r="N5377" s="113"/>
    </row>
    <row r="5378" spans="2:14">
      <c r="B5378" s="105"/>
      <c r="C5378" s="106"/>
      <c r="D5378" s="107"/>
      <c r="E5378" s="65"/>
      <c r="F5378" s="64"/>
      <c r="G5378" s="64"/>
      <c r="H5378" s="64"/>
      <c r="I5378" s="70"/>
      <c r="J5378" s="70"/>
      <c r="K5378" s="110" t="str">
        <f>IF(H5378="","",IF($C$29="간이법","",FPR(H5378,I5378,J5378)))</f>
        <v/>
      </c>
      <c r="L5378" s="111" t="str">
        <f>IF(H5378="","",IF($C$29="상세법",FPV(H5378,K5378),IF(H5378="EI",4,IF(H5378="EO",5.2,IF(H5378="EQ",3.9,IF(H5378="ILF",7.5,IF(H5378="EIF",5.4)))))))</f>
        <v/>
      </c>
      <c r="M5378" s="112" t="str">
        <f t="shared" si="87"/>
        <v/>
      </c>
      <c r="N5378" s="113"/>
    </row>
    <row r="5379" spans="2:14">
      <c r="B5379" s="105"/>
      <c r="C5379" s="106"/>
      <c r="D5379" s="107"/>
      <c r="E5379" s="65"/>
      <c r="F5379" s="64"/>
      <c r="G5379" s="64"/>
      <c r="H5379" s="64"/>
      <c r="I5379" s="70"/>
      <c r="J5379" s="70"/>
      <c r="K5379" s="110" t="str">
        <f>IF(H5379="","",IF($C$29="간이법","",FPR(H5379,I5379,J5379)))</f>
        <v/>
      </c>
      <c r="L5379" s="111" t="str">
        <f>IF(H5379="","",IF($C$29="상세법",FPV(H5379,K5379),IF(H5379="EI",4,IF(H5379="EO",5.2,IF(H5379="EQ",3.9,IF(H5379="ILF",7.5,IF(H5379="EIF",5.4)))))))</f>
        <v/>
      </c>
      <c r="M5379" s="112" t="str">
        <f t="shared" si="87"/>
        <v/>
      </c>
      <c r="N5379" s="113"/>
    </row>
    <row r="5380" spans="2:14">
      <c r="B5380" s="105"/>
      <c r="C5380" s="106"/>
      <c r="D5380" s="107"/>
      <c r="E5380" s="65"/>
      <c r="F5380" s="64"/>
      <c r="G5380" s="64"/>
      <c r="H5380" s="64"/>
      <c r="I5380" s="70"/>
      <c r="J5380" s="70"/>
      <c r="K5380" s="110" t="str">
        <f>IF(H5380="","",IF($C$29="간이법","",FPR(H5380,I5380,J5380)))</f>
        <v/>
      </c>
      <c r="L5380" s="111" t="str">
        <f>IF(H5380="","",IF($C$29="상세법",FPV(H5380,K5380),IF(H5380="EI",4,IF(H5380="EO",5.2,IF(H5380="EQ",3.9,IF(H5380="ILF",7.5,IF(H5380="EIF",5.4)))))))</f>
        <v/>
      </c>
      <c r="M5380" s="112" t="str">
        <f t="shared" si="87"/>
        <v/>
      </c>
      <c r="N5380" s="113"/>
    </row>
    <row r="5381" spans="2:14">
      <c r="B5381" s="105"/>
      <c r="C5381" s="106"/>
      <c r="D5381" s="107"/>
      <c r="E5381" s="65"/>
      <c r="F5381" s="64"/>
      <c r="G5381" s="64"/>
      <c r="H5381" s="64"/>
      <c r="I5381" s="70"/>
      <c r="J5381" s="70"/>
      <c r="K5381" s="110" t="str">
        <f>IF(H5381="","",IF($C$29="간이법","",FPR(H5381,I5381,J5381)))</f>
        <v/>
      </c>
      <c r="L5381" s="111" t="str">
        <f>IF(H5381="","",IF($C$29="상세법",FPV(H5381,K5381),IF(H5381="EI",4,IF(H5381="EO",5.2,IF(H5381="EQ",3.9,IF(H5381="ILF",7.5,IF(H5381="EIF",5.4)))))))</f>
        <v/>
      </c>
      <c r="M5381" s="112" t="str">
        <f t="shared" si="87"/>
        <v/>
      </c>
      <c r="N5381" s="113"/>
    </row>
    <row r="5382" spans="2:14">
      <c r="B5382" s="105"/>
      <c r="C5382" s="106"/>
      <c r="D5382" s="107"/>
      <c r="E5382" s="65"/>
      <c r="F5382" s="64"/>
      <c r="G5382" s="64"/>
      <c r="H5382" s="64"/>
      <c r="I5382" s="70"/>
      <c r="J5382" s="70"/>
      <c r="K5382" s="110" t="str">
        <f>IF(H5382="","",IF($C$29="간이법","",FPR(H5382,I5382,J5382)))</f>
        <v/>
      </c>
      <c r="L5382" s="111" t="str">
        <f>IF(H5382="","",IF($C$29="상세법",FPV(H5382,K5382),IF(H5382="EI",4,IF(H5382="EO",5.2,IF(H5382="EQ",3.9,IF(H5382="ILF",7.5,IF(H5382="EIF",5.4)))))))</f>
        <v/>
      </c>
      <c r="M5382" s="112" t="str">
        <f t="shared" si="87"/>
        <v/>
      </c>
      <c r="N5382" s="113"/>
    </row>
    <row r="5383" spans="2:14">
      <c r="B5383" s="105"/>
      <c r="C5383" s="106"/>
      <c r="D5383" s="107"/>
      <c r="E5383" s="65"/>
      <c r="F5383" s="64"/>
      <c r="G5383" s="64"/>
      <c r="H5383" s="64"/>
      <c r="I5383" s="70"/>
      <c r="J5383" s="70"/>
      <c r="K5383" s="110" t="str">
        <f>IF(H5383="","",IF($C$29="간이법","",FPR(H5383,I5383,J5383)))</f>
        <v/>
      </c>
      <c r="L5383" s="111" t="str">
        <f>IF(H5383="","",IF($C$29="상세법",FPV(H5383,K5383),IF(H5383="EI",4,IF(H5383="EO",5.2,IF(H5383="EQ",3.9,IF(H5383="ILF",7.5,IF(H5383="EIF",5.4)))))))</f>
        <v/>
      </c>
      <c r="M5383" s="112" t="str">
        <f t="shared" si="87"/>
        <v/>
      </c>
      <c r="N5383" s="113"/>
    </row>
    <row r="5384" spans="2:14">
      <c r="B5384" s="105"/>
      <c r="C5384" s="106"/>
      <c r="D5384" s="107"/>
      <c r="E5384" s="65"/>
      <c r="F5384" s="64"/>
      <c r="G5384" s="64"/>
      <c r="H5384" s="64"/>
      <c r="I5384" s="70"/>
      <c r="J5384" s="70"/>
      <c r="K5384" s="110" t="str">
        <f>IF(H5384="","",IF($C$29="간이법","",FPR(H5384,I5384,J5384)))</f>
        <v/>
      </c>
      <c r="L5384" s="111" t="str">
        <f>IF(H5384="","",IF($C$29="상세법",FPV(H5384,K5384),IF(H5384="EI",4,IF(H5384="EO",5.2,IF(H5384="EQ",3.9,IF(H5384="ILF",7.5,IF(H5384="EIF",5.4)))))))</f>
        <v/>
      </c>
      <c r="M5384" s="112" t="str">
        <f t="shared" si="87"/>
        <v/>
      </c>
      <c r="N5384" s="113"/>
    </row>
    <row r="5385" spans="2:14">
      <c r="B5385" s="105"/>
      <c r="C5385" s="106"/>
      <c r="D5385" s="107"/>
      <c r="E5385" s="65"/>
      <c r="F5385" s="64"/>
      <c r="G5385" s="64"/>
      <c r="H5385" s="64"/>
      <c r="I5385" s="70"/>
      <c r="J5385" s="70"/>
      <c r="K5385" s="110" t="str">
        <f>IF(H5385="","",IF($C$29="간이법","",FPR(H5385,I5385,J5385)))</f>
        <v/>
      </c>
      <c r="L5385" s="111" t="str">
        <f>IF(H5385="","",IF($C$29="상세법",FPV(H5385,K5385),IF(H5385="EI",4,IF(H5385="EO",5.2,IF(H5385="EQ",3.9,IF(H5385="ILF",7.5,IF(H5385="EIF",5.4)))))))</f>
        <v/>
      </c>
      <c r="M5385" s="112" t="str">
        <f t="shared" si="87"/>
        <v/>
      </c>
      <c r="N5385" s="113"/>
    </row>
    <row r="5386" spans="2:14">
      <c r="B5386" s="105"/>
      <c r="C5386" s="106"/>
      <c r="D5386" s="107"/>
      <c r="E5386" s="65"/>
      <c r="F5386" s="64"/>
      <c r="G5386" s="64"/>
      <c r="H5386" s="64"/>
      <c r="I5386" s="70"/>
      <c r="J5386" s="70"/>
      <c r="K5386" s="110" t="str">
        <f>IF(H5386="","",IF($C$29="간이법","",FPR(H5386,I5386,J5386)))</f>
        <v/>
      </c>
      <c r="L5386" s="111" t="str">
        <f>IF(H5386="","",IF($C$29="상세법",FPV(H5386,K5386),IF(H5386="EI",4,IF(H5386="EO",5.2,IF(H5386="EQ",3.9,IF(H5386="ILF",7.5,IF(H5386="EIF",5.4)))))))</f>
        <v/>
      </c>
      <c r="M5386" s="112" t="str">
        <f t="shared" si="87"/>
        <v/>
      </c>
      <c r="N5386" s="113"/>
    </row>
    <row r="5387" spans="2:14">
      <c r="B5387" s="105"/>
      <c r="C5387" s="106"/>
      <c r="D5387" s="107"/>
      <c r="E5387" s="65"/>
      <c r="F5387" s="64"/>
      <c r="G5387" s="64"/>
      <c r="H5387" s="64"/>
      <c r="I5387" s="70"/>
      <c r="J5387" s="70"/>
      <c r="K5387" s="110" t="str">
        <f>IF(H5387="","",IF($C$29="간이법","",FPR(H5387,I5387,J5387)))</f>
        <v/>
      </c>
      <c r="L5387" s="111" t="str">
        <f>IF(H5387="","",IF($C$29="상세법",FPV(H5387,K5387),IF(H5387="EI",4,IF(H5387="EO",5.2,IF(H5387="EQ",3.9,IF(H5387="ILF",7.5,IF(H5387="EIF",5.4)))))))</f>
        <v/>
      </c>
      <c r="M5387" s="112" t="str">
        <f t="shared" si="87"/>
        <v/>
      </c>
      <c r="N5387" s="113"/>
    </row>
    <row r="5388" spans="2:14">
      <c r="B5388" s="105"/>
      <c r="C5388" s="106"/>
      <c r="D5388" s="107"/>
      <c r="E5388" s="65"/>
      <c r="F5388" s="64"/>
      <c r="G5388" s="64"/>
      <c r="H5388" s="64"/>
      <c r="I5388" s="70"/>
      <c r="J5388" s="70"/>
      <c r="K5388" s="110" t="str">
        <f>IF(H5388="","",IF($C$29="간이법","",FPR(H5388,I5388,J5388)))</f>
        <v/>
      </c>
      <c r="L5388" s="111" t="str">
        <f>IF(H5388="","",IF($C$29="상세법",FPV(H5388,K5388),IF(H5388="EI",4,IF(H5388="EO",5.2,IF(H5388="EQ",3.9,IF(H5388="ILF",7.5,IF(H5388="EIF",5.4)))))))</f>
        <v/>
      </c>
      <c r="M5388" s="112" t="str">
        <f t="shared" si="87"/>
        <v/>
      </c>
      <c r="N5388" s="113"/>
    </row>
    <row r="5389" spans="2:14">
      <c r="B5389" s="105"/>
      <c r="C5389" s="106"/>
      <c r="D5389" s="107"/>
      <c r="E5389" s="65"/>
      <c r="F5389" s="64"/>
      <c r="G5389" s="64"/>
      <c r="H5389" s="64"/>
      <c r="I5389" s="70"/>
      <c r="J5389" s="70"/>
      <c r="K5389" s="110" t="str">
        <f>IF(H5389="","",IF($C$29="간이법","",FPR(H5389,I5389,J5389)))</f>
        <v/>
      </c>
      <c r="L5389" s="111" t="str">
        <f>IF(H5389="","",IF($C$29="상세법",FPV(H5389,K5389),IF(H5389="EI",4,IF(H5389="EO",5.2,IF(H5389="EQ",3.9,IF(H5389="ILF",7.5,IF(H5389="EIF",5.4)))))))</f>
        <v/>
      </c>
      <c r="M5389" s="112" t="str">
        <f t="shared" si="87"/>
        <v/>
      </c>
      <c r="N5389" s="113"/>
    </row>
    <row r="5390" spans="2:14">
      <c r="B5390" s="105"/>
      <c r="C5390" s="106"/>
      <c r="D5390" s="107"/>
      <c r="E5390" s="65"/>
      <c r="F5390" s="64"/>
      <c r="G5390" s="64"/>
      <c r="H5390" s="64"/>
      <c r="I5390" s="70"/>
      <c r="J5390" s="70"/>
      <c r="K5390" s="110" t="str">
        <f>IF(H5390="","",IF($C$29="간이법","",FPR(H5390,I5390,J5390)))</f>
        <v/>
      </c>
      <c r="L5390" s="111" t="str">
        <f>IF(H5390="","",IF($C$29="상세법",FPV(H5390,K5390),IF(H5390="EI",4,IF(H5390="EO",5.2,IF(H5390="EQ",3.9,IF(H5390="ILF",7.5,IF(H5390="EIF",5.4)))))))</f>
        <v/>
      </c>
      <c r="M5390" s="112" t="str">
        <f t="shared" si="87"/>
        <v/>
      </c>
      <c r="N5390" s="113"/>
    </row>
    <row r="5391" spans="2:14">
      <c r="B5391" s="105"/>
      <c r="C5391" s="106"/>
      <c r="D5391" s="107"/>
      <c r="E5391" s="65"/>
      <c r="F5391" s="64"/>
      <c r="G5391" s="64"/>
      <c r="H5391" s="64"/>
      <c r="I5391" s="70"/>
      <c r="J5391" s="70"/>
      <c r="K5391" s="110" t="str">
        <f>IF(H5391="","",IF($C$29="간이법","",FPR(H5391,I5391,J5391)))</f>
        <v/>
      </c>
      <c r="L5391" s="111" t="str">
        <f>IF(H5391="","",IF($C$29="상세법",FPV(H5391,K5391),IF(H5391="EI",4,IF(H5391="EO",5.2,IF(H5391="EQ",3.9,IF(H5391="ILF",7.5,IF(H5391="EIF",5.4)))))))</f>
        <v/>
      </c>
      <c r="M5391" s="112" t="str">
        <f t="shared" si="87"/>
        <v/>
      </c>
      <c r="N5391" s="113"/>
    </row>
    <row r="5392" spans="2:14">
      <c r="B5392" s="105"/>
      <c r="C5392" s="106"/>
      <c r="D5392" s="107"/>
      <c r="E5392" s="65"/>
      <c r="F5392" s="64"/>
      <c r="G5392" s="64"/>
      <c r="H5392" s="64"/>
      <c r="I5392" s="70"/>
      <c r="J5392" s="70"/>
      <c r="K5392" s="110" t="str">
        <f>IF(H5392="","",IF($C$29="간이법","",FPR(H5392,I5392,J5392)))</f>
        <v/>
      </c>
      <c r="L5392" s="111" t="str">
        <f>IF(H5392="","",IF($C$29="상세법",FPV(H5392,K5392),IF(H5392="EI",4,IF(H5392="EO",5.2,IF(H5392="EQ",3.9,IF(H5392="ILF",7.5,IF(H5392="EIF",5.4)))))))</f>
        <v/>
      </c>
      <c r="M5392" s="112" t="str">
        <f t="shared" si="87"/>
        <v/>
      </c>
      <c r="N5392" s="113"/>
    </row>
    <row r="5393" spans="2:14">
      <c r="B5393" s="105"/>
      <c r="C5393" s="106"/>
      <c r="D5393" s="107"/>
      <c r="E5393" s="65"/>
      <c r="F5393" s="64"/>
      <c r="G5393" s="64"/>
      <c r="H5393" s="64"/>
      <c r="I5393" s="70"/>
      <c r="J5393" s="70"/>
      <c r="K5393" s="110" t="str">
        <f>IF(H5393="","",IF($C$29="간이법","",FPR(H5393,I5393,J5393)))</f>
        <v/>
      </c>
      <c r="L5393" s="111" t="str">
        <f>IF(H5393="","",IF($C$29="상세법",FPV(H5393,K5393),IF(H5393="EI",4,IF(H5393="EO",5.2,IF(H5393="EQ",3.9,IF(H5393="ILF",7.5,IF(H5393="EIF",5.4)))))))</f>
        <v/>
      </c>
      <c r="M5393" s="112" t="str">
        <f t="shared" si="87"/>
        <v/>
      </c>
      <c r="N5393" s="113"/>
    </row>
    <row r="5394" spans="2:14">
      <c r="B5394" s="105"/>
      <c r="C5394" s="106"/>
      <c r="D5394" s="107"/>
      <c r="E5394" s="65"/>
      <c r="F5394" s="64"/>
      <c r="G5394" s="64"/>
      <c r="H5394" s="64"/>
      <c r="I5394" s="70"/>
      <c r="J5394" s="70"/>
      <c r="K5394" s="110" t="str">
        <f>IF(H5394="","",IF($C$29="간이법","",FPR(H5394,I5394,J5394)))</f>
        <v/>
      </c>
      <c r="L5394" s="111" t="str">
        <f>IF(H5394="","",IF($C$29="상세법",FPV(H5394,K5394),IF(H5394="EI",4,IF(H5394="EO",5.2,IF(H5394="EQ",3.9,IF(H5394="ILF",7.5,IF(H5394="EIF",5.4)))))))</f>
        <v/>
      </c>
      <c r="M5394" s="112" t="str">
        <f t="shared" si="87"/>
        <v/>
      </c>
      <c r="N5394" s="113"/>
    </row>
    <row r="5395" spans="2:14">
      <c r="B5395" s="105"/>
      <c r="C5395" s="106"/>
      <c r="D5395" s="107"/>
      <c r="E5395" s="65"/>
      <c r="F5395" s="64"/>
      <c r="G5395" s="64"/>
      <c r="H5395" s="64"/>
      <c r="I5395" s="70"/>
      <c r="J5395" s="70"/>
      <c r="K5395" s="110" t="str">
        <f>IF(H5395="","",IF($C$29="간이법","",FPR(H5395,I5395,J5395)))</f>
        <v/>
      </c>
      <c r="L5395" s="111" t="str">
        <f>IF(H5395="","",IF($C$29="상세법",FPV(H5395,K5395),IF(H5395="EI",4,IF(H5395="EO",5.2,IF(H5395="EQ",3.9,IF(H5395="ILF",7.5,IF(H5395="EIF",5.4)))))))</f>
        <v/>
      </c>
      <c r="M5395" s="112" t="str">
        <f t="shared" si="87"/>
        <v/>
      </c>
      <c r="N5395" s="113"/>
    </row>
    <row r="5396" spans="2:14">
      <c r="B5396" s="105"/>
      <c r="C5396" s="106"/>
      <c r="D5396" s="107"/>
      <c r="E5396" s="65"/>
      <c r="F5396" s="64"/>
      <c r="G5396" s="64"/>
      <c r="H5396" s="64"/>
      <c r="I5396" s="70"/>
      <c r="J5396" s="70"/>
      <c r="K5396" s="110" t="str">
        <f>IF(H5396="","",IF($C$29="간이법","",FPR(H5396,I5396,J5396)))</f>
        <v/>
      </c>
      <c r="L5396" s="111" t="str">
        <f>IF(H5396="","",IF($C$29="상세법",FPV(H5396,K5396),IF(H5396="EI",4,IF(H5396="EO",5.2,IF(H5396="EQ",3.9,IF(H5396="ILF",7.5,IF(H5396="EIF",5.4)))))))</f>
        <v/>
      </c>
      <c r="M5396" s="112" t="str">
        <f t="shared" si="87"/>
        <v/>
      </c>
      <c r="N5396" s="113"/>
    </row>
    <row r="5397" spans="2:14">
      <c r="B5397" s="105"/>
      <c r="C5397" s="106"/>
      <c r="D5397" s="107"/>
      <c r="E5397" s="65"/>
      <c r="F5397" s="64"/>
      <c r="G5397" s="64"/>
      <c r="H5397" s="64"/>
      <c r="I5397" s="70"/>
      <c r="J5397" s="70"/>
      <c r="K5397" s="110" t="str">
        <f>IF(H5397="","",IF($C$29="간이법","",FPR(H5397,I5397,J5397)))</f>
        <v/>
      </c>
      <c r="L5397" s="111" t="str">
        <f>IF(H5397="","",IF($C$29="상세법",FPV(H5397,K5397),IF(H5397="EI",4,IF(H5397="EO",5.2,IF(H5397="EQ",3.9,IF(H5397="ILF",7.5,IF(H5397="EIF",5.4)))))))</f>
        <v/>
      </c>
      <c r="M5397" s="112" t="str">
        <f t="shared" si="87"/>
        <v/>
      </c>
      <c r="N5397" s="113"/>
    </row>
    <row r="5398" spans="2:14">
      <c r="B5398" s="105"/>
      <c r="C5398" s="106"/>
      <c r="D5398" s="107"/>
      <c r="E5398" s="65"/>
      <c r="F5398" s="64"/>
      <c r="G5398" s="64"/>
      <c r="H5398" s="64"/>
      <c r="I5398" s="70"/>
      <c r="J5398" s="70"/>
      <c r="K5398" s="110" t="str">
        <f>IF(H5398="","",IF($C$29="간이법","",FPR(H5398,I5398,J5398)))</f>
        <v/>
      </c>
      <c r="L5398" s="111" t="str">
        <f>IF(H5398="","",IF($C$29="상세법",FPV(H5398,K5398),IF(H5398="EI",4,IF(H5398="EO",5.2,IF(H5398="EQ",3.9,IF(H5398="ILF",7.5,IF(H5398="EIF",5.4)))))))</f>
        <v/>
      </c>
      <c r="M5398" s="112" t="str">
        <f t="shared" si="87"/>
        <v/>
      </c>
      <c r="N5398" s="113"/>
    </row>
    <row r="5399" spans="2:14">
      <c r="B5399" s="105"/>
      <c r="C5399" s="106"/>
      <c r="D5399" s="107"/>
      <c r="E5399" s="65"/>
      <c r="F5399" s="64"/>
      <c r="G5399" s="64"/>
      <c r="H5399" s="64"/>
      <c r="I5399" s="70"/>
      <c r="J5399" s="70"/>
      <c r="K5399" s="110" t="str">
        <f>IF(H5399="","",IF($C$29="간이법","",FPR(H5399,I5399,J5399)))</f>
        <v/>
      </c>
      <c r="L5399" s="111" t="str">
        <f>IF(H5399="","",IF($C$29="상세법",FPV(H5399,K5399),IF(H5399="EI",4,IF(H5399="EO",5.2,IF(H5399="EQ",3.9,IF(H5399="ILF",7.5,IF(H5399="EIF",5.4)))))))</f>
        <v/>
      </c>
      <c r="M5399" s="112" t="str">
        <f t="shared" si="87"/>
        <v/>
      </c>
      <c r="N5399" s="113"/>
    </row>
    <row r="5400" spans="2:14">
      <c r="B5400" s="105"/>
      <c r="C5400" s="106"/>
      <c r="D5400" s="107"/>
      <c r="E5400" s="65"/>
      <c r="F5400" s="64"/>
      <c r="G5400" s="64"/>
      <c r="H5400" s="64"/>
      <c r="I5400" s="70"/>
      <c r="J5400" s="70"/>
      <c r="K5400" s="110" t="str">
        <f>IF(H5400="","",IF($C$29="간이법","",FPR(H5400,I5400,J5400)))</f>
        <v/>
      </c>
      <c r="L5400" s="111" t="str">
        <f>IF(H5400="","",IF($C$29="상세법",FPV(H5400,K5400),IF(H5400="EI",4,IF(H5400="EO",5.2,IF(H5400="EQ",3.9,IF(H5400="ILF",7.5,IF(H5400="EIF",5.4)))))))</f>
        <v/>
      </c>
      <c r="M5400" s="112" t="str">
        <f t="shared" si="87"/>
        <v/>
      </c>
      <c r="N5400" s="113"/>
    </row>
    <row r="5401" spans="2:14">
      <c r="B5401" s="105"/>
      <c r="C5401" s="106"/>
      <c r="D5401" s="107"/>
      <c r="E5401" s="65"/>
      <c r="F5401" s="64"/>
      <c r="G5401" s="64"/>
      <c r="H5401" s="64"/>
      <c r="I5401" s="70"/>
      <c r="J5401" s="70"/>
      <c r="K5401" s="110" t="str">
        <f>IF(H5401="","",IF($C$29="간이법","",FPR(H5401,I5401,J5401)))</f>
        <v/>
      </c>
      <c r="L5401" s="111" t="str">
        <f>IF(H5401="","",IF($C$29="상세법",FPV(H5401,K5401),IF(H5401="EI",4,IF(H5401="EO",5.2,IF(H5401="EQ",3.9,IF(H5401="ILF",7.5,IF(H5401="EIF",5.4)))))))</f>
        <v/>
      </c>
      <c r="M5401" s="112" t="str">
        <f t="shared" si="87"/>
        <v/>
      </c>
      <c r="N5401" s="113"/>
    </row>
    <row r="5402" spans="2:14">
      <c r="B5402" s="105"/>
      <c r="C5402" s="106"/>
      <c r="D5402" s="107"/>
      <c r="E5402" s="65"/>
      <c r="F5402" s="64"/>
      <c r="G5402" s="64"/>
      <c r="H5402" s="64"/>
      <c r="I5402" s="70"/>
      <c r="J5402" s="70"/>
      <c r="K5402" s="110" t="str">
        <f>IF(H5402="","",IF($C$29="간이법","",FPR(H5402,I5402,J5402)))</f>
        <v/>
      </c>
      <c r="L5402" s="111" t="str">
        <f>IF(H5402="","",IF($C$29="상세법",FPV(H5402,K5402),IF(H5402="EI",4,IF(H5402="EO",5.2,IF(H5402="EQ",3.9,IF(H5402="ILF",7.5,IF(H5402="EIF",5.4)))))))</f>
        <v/>
      </c>
      <c r="M5402" s="112" t="str">
        <f t="shared" si="87"/>
        <v/>
      </c>
      <c r="N5402" s="113"/>
    </row>
    <row r="5403" spans="2:14">
      <c r="B5403" s="105"/>
      <c r="C5403" s="106"/>
      <c r="D5403" s="107"/>
      <c r="E5403" s="65"/>
      <c r="F5403" s="64"/>
      <c r="G5403" s="64"/>
      <c r="H5403" s="64"/>
      <c r="I5403" s="70"/>
      <c r="J5403" s="70"/>
      <c r="K5403" s="110" t="str">
        <f>IF(H5403="","",IF($C$29="간이법","",FPR(H5403,I5403,J5403)))</f>
        <v/>
      </c>
      <c r="L5403" s="111" t="str">
        <f>IF(H5403="","",IF($C$29="상세법",FPV(H5403,K5403),IF(H5403="EI",4,IF(H5403="EO",5.2,IF(H5403="EQ",3.9,IF(H5403="ILF",7.5,IF(H5403="EIF",5.4)))))))</f>
        <v/>
      </c>
      <c r="M5403" s="112" t="str">
        <f t="shared" si="87"/>
        <v/>
      </c>
      <c r="N5403" s="113"/>
    </row>
    <row r="5404" spans="2:14">
      <c r="B5404" s="105"/>
      <c r="C5404" s="106"/>
      <c r="D5404" s="107"/>
      <c r="E5404" s="65"/>
      <c r="F5404" s="64"/>
      <c r="G5404" s="64"/>
      <c r="H5404" s="64"/>
      <c r="I5404" s="70"/>
      <c r="J5404" s="70"/>
      <c r="K5404" s="110" t="str">
        <f>IF(H5404="","",IF($C$29="간이법","",FPR(H5404,I5404,J5404)))</f>
        <v/>
      </c>
      <c r="L5404" s="111" t="str">
        <f>IF(H5404="","",IF($C$29="상세법",FPV(H5404,K5404),IF(H5404="EI",4,IF(H5404="EO",5.2,IF(H5404="EQ",3.9,IF(H5404="ILF",7.5,IF(H5404="EIF",5.4)))))))</f>
        <v/>
      </c>
      <c r="M5404" s="112" t="str">
        <f t="shared" si="87"/>
        <v/>
      </c>
      <c r="N5404" s="113"/>
    </row>
    <row r="5405" spans="2:14">
      <c r="B5405" s="105"/>
      <c r="C5405" s="106"/>
      <c r="D5405" s="107"/>
      <c r="E5405" s="65"/>
      <c r="F5405" s="64"/>
      <c r="G5405" s="64"/>
      <c r="H5405" s="64"/>
      <c r="I5405" s="70"/>
      <c r="J5405" s="70"/>
      <c r="K5405" s="110" t="str">
        <f>IF(H5405="","",IF($C$29="간이법","",FPR(H5405,I5405,J5405)))</f>
        <v/>
      </c>
      <c r="L5405" s="111" t="str">
        <f>IF(H5405="","",IF($C$29="상세법",FPV(H5405,K5405),IF(H5405="EI",4,IF(H5405="EO",5.2,IF(H5405="EQ",3.9,IF(H5405="ILF",7.5,IF(H5405="EIF",5.4)))))))</f>
        <v/>
      </c>
      <c r="M5405" s="112" t="str">
        <f t="shared" si="87"/>
        <v/>
      </c>
      <c r="N5405" s="113"/>
    </row>
    <row r="5406" spans="2:14">
      <c r="B5406" s="105"/>
      <c r="C5406" s="106"/>
      <c r="D5406" s="107"/>
      <c r="E5406" s="65"/>
      <c r="F5406" s="64"/>
      <c r="G5406" s="64"/>
      <c r="H5406" s="64"/>
      <c r="I5406" s="70"/>
      <c r="J5406" s="70"/>
      <c r="K5406" s="110" t="str">
        <f>IF(H5406="","",IF($C$29="간이법","",FPR(H5406,I5406,J5406)))</f>
        <v/>
      </c>
      <c r="L5406" s="111" t="str">
        <f>IF(H5406="","",IF($C$29="상세법",FPV(H5406,K5406),IF(H5406="EI",4,IF(H5406="EO",5.2,IF(H5406="EQ",3.9,IF(H5406="ILF",7.5,IF(H5406="EIF",5.4)))))))</f>
        <v/>
      </c>
      <c r="M5406" s="112" t="str">
        <f t="shared" si="87"/>
        <v/>
      </c>
      <c r="N5406" s="113"/>
    </row>
    <row r="5407" spans="2:14">
      <c r="B5407" s="105"/>
      <c r="C5407" s="106"/>
      <c r="D5407" s="107"/>
      <c r="E5407" s="65"/>
      <c r="F5407" s="64"/>
      <c r="G5407" s="64"/>
      <c r="H5407" s="64"/>
      <c r="I5407" s="70"/>
      <c r="J5407" s="70"/>
      <c r="K5407" s="110" t="str">
        <f>IF(H5407="","",IF($C$29="간이법","",FPR(H5407,I5407,J5407)))</f>
        <v/>
      </c>
      <c r="L5407" s="111" t="str">
        <f>IF(H5407="","",IF($C$29="상세법",FPV(H5407,K5407),IF(H5407="EI",4,IF(H5407="EO",5.2,IF(H5407="EQ",3.9,IF(H5407="ILF",7.5,IF(H5407="EIF",5.4)))))))</f>
        <v/>
      </c>
      <c r="M5407" s="112" t="str">
        <f t="shared" si="87"/>
        <v/>
      </c>
      <c r="N5407" s="113"/>
    </row>
    <row r="5408" spans="2:14">
      <c r="B5408" s="105"/>
      <c r="C5408" s="106"/>
      <c r="D5408" s="107"/>
      <c r="E5408" s="65"/>
      <c r="F5408" s="64"/>
      <c r="G5408" s="64"/>
      <c r="H5408" s="64"/>
      <c r="I5408" s="70"/>
      <c r="J5408" s="70"/>
      <c r="K5408" s="110" t="str">
        <f>IF(H5408="","",IF($C$29="간이법","",FPR(H5408,I5408,J5408)))</f>
        <v/>
      </c>
      <c r="L5408" s="111" t="str">
        <f>IF(H5408="","",IF($C$29="상세법",FPV(H5408,K5408),IF(H5408="EI",4,IF(H5408="EO",5.2,IF(H5408="EQ",3.9,IF(H5408="ILF",7.5,IF(H5408="EIF",5.4)))))))</f>
        <v/>
      </c>
      <c r="M5408" s="112" t="str">
        <f t="shared" si="87"/>
        <v/>
      </c>
      <c r="N5408" s="113"/>
    </row>
    <row r="5409" spans="2:14">
      <c r="B5409" s="105"/>
      <c r="C5409" s="106"/>
      <c r="D5409" s="107"/>
      <c r="E5409" s="65"/>
      <c r="F5409" s="64"/>
      <c r="G5409" s="64"/>
      <c r="H5409" s="64"/>
      <c r="I5409" s="70"/>
      <c r="J5409" s="70"/>
      <c r="K5409" s="110" t="str">
        <f>IF(H5409="","",IF($C$29="간이법","",FPR(H5409,I5409,J5409)))</f>
        <v/>
      </c>
      <c r="L5409" s="111" t="str">
        <f>IF(H5409="","",IF($C$29="상세법",FPV(H5409,K5409),IF(H5409="EI",4,IF(H5409="EO",5.2,IF(H5409="EQ",3.9,IF(H5409="ILF",7.5,IF(H5409="EIF",5.4)))))))</f>
        <v/>
      </c>
      <c r="M5409" s="112" t="str">
        <f t="shared" si="87"/>
        <v/>
      </c>
      <c r="N5409" s="113"/>
    </row>
    <row r="5410" spans="2:14">
      <c r="B5410" s="105"/>
      <c r="C5410" s="106"/>
      <c r="D5410" s="107"/>
      <c r="E5410" s="65"/>
      <c r="F5410" s="64"/>
      <c r="G5410" s="64"/>
      <c r="H5410" s="64"/>
      <c r="I5410" s="70"/>
      <c r="J5410" s="70"/>
      <c r="K5410" s="110" t="str">
        <f>IF(H5410="","",IF($C$29="간이법","",FPR(H5410,I5410,J5410)))</f>
        <v/>
      </c>
      <c r="L5410" s="111" t="str">
        <f>IF(H5410="","",IF($C$29="상세법",FPV(H5410,K5410),IF(H5410="EI",4,IF(H5410="EO",5.2,IF(H5410="EQ",3.9,IF(H5410="ILF",7.5,IF(H5410="EIF",5.4)))))))</f>
        <v/>
      </c>
      <c r="M5410" s="112" t="str">
        <f t="shared" si="87"/>
        <v/>
      </c>
      <c r="N5410" s="113"/>
    </row>
    <row r="5411" spans="2:14">
      <c r="B5411" s="105"/>
      <c r="C5411" s="106"/>
      <c r="D5411" s="107"/>
      <c r="E5411" s="65"/>
      <c r="F5411" s="64"/>
      <c r="G5411" s="64"/>
      <c r="H5411" s="64"/>
      <c r="I5411" s="70"/>
      <c r="J5411" s="70"/>
      <c r="K5411" s="110" t="str">
        <f>IF(H5411="","",IF($C$29="간이법","",FPR(H5411,I5411,J5411)))</f>
        <v/>
      </c>
      <c r="L5411" s="111" t="str">
        <f>IF(H5411="","",IF($C$29="상세법",FPV(H5411,K5411),IF(H5411="EI",4,IF(H5411="EO",5.2,IF(H5411="EQ",3.9,IF(H5411="ILF",7.5,IF(H5411="EIF",5.4)))))))</f>
        <v/>
      </c>
      <c r="M5411" s="112" t="str">
        <f t="shared" si="87"/>
        <v/>
      </c>
      <c r="N5411" s="113"/>
    </row>
    <row r="5412" spans="2:14">
      <c r="B5412" s="105"/>
      <c r="C5412" s="106"/>
      <c r="D5412" s="107"/>
      <c r="E5412" s="65"/>
      <c r="F5412" s="64"/>
      <c r="G5412" s="64"/>
      <c r="H5412" s="64"/>
      <c r="I5412" s="70"/>
      <c r="J5412" s="70"/>
      <c r="K5412" s="110" t="str">
        <f>IF(H5412="","",IF($C$29="간이법","",FPR(H5412,I5412,J5412)))</f>
        <v/>
      </c>
      <c r="L5412" s="111" t="str">
        <f>IF(H5412="","",IF($C$29="상세법",FPV(H5412,K5412),IF(H5412="EI",4,IF(H5412="EO",5.2,IF(H5412="EQ",3.9,IF(H5412="ILF",7.5,IF(H5412="EIF",5.4)))))))</f>
        <v/>
      </c>
      <c r="M5412" s="112" t="str">
        <f t="shared" si="87"/>
        <v/>
      </c>
      <c r="N5412" s="113"/>
    </row>
    <row r="5413" spans="2:14">
      <c r="B5413" s="105"/>
      <c r="C5413" s="106"/>
      <c r="D5413" s="107"/>
      <c r="E5413" s="65"/>
      <c r="F5413" s="64"/>
      <c r="G5413" s="64"/>
      <c r="H5413" s="64"/>
      <c r="I5413" s="70"/>
      <c r="J5413" s="70"/>
      <c r="K5413" s="110" t="str">
        <f>IF(H5413="","",IF($C$29="간이법","",FPR(H5413,I5413,J5413)))</f>
        <v/>
      </c>
      <c r="L5413" s="111" t="str">
        <f>IF(H5413="","",IF($C$29="상세법",FPV(H5413,K5413),IF(H5413="EI",4,IF(H5413="EO",5.2,IF(H5413="EQ",3.9,IF(H5413="ILF",7.5,IF(H5413="EIF",5.4)))))))</f>
        <v/>
      </c>
      <c r="M5413" s="112" t="str">
        <f t="shared" si="87"/>
        <v/>
      </c>
      <c r="N5413" s="113"/>
    </row>
    <row r="5414" spans="2:14">
      <c r="B5414" s="105"/>
      <c r="C5414" s="106"/>
      <c r="D5414" s="107"/>
      <c r="E5414" s="65"/>
      <c r="F5414" s="64"/>
      <c r="G5414" s="64"/>
      <c r="H5414" s="64"/>
      <c r="I5414" s="70"/>
      <c r="J5414" s="70"/>
      <c r="K5414" s="110" t="str">
        <f>IF(H5414="","",IF($C$29="간이법","",FPR(H5414,I5414,J5414)))</f>
        <v/>
      </c>
      <c r="L5414" s="111" t="str">
        <f>IF(H5414="","",IF($C$29="상세법",FPV(H5414,K5414),IF(H5414="EI",4,IF(H5414="EO",5.2,IF(H5414="EQ",3.9,IF(H5414="ILF",7.5,IF(H5414="EIF",5.4)))))))</f>
        <v/>
      </c>
      <c r="M5414" s="112" t="str">
        <f t="shared" si="87"/>
        <v/>
      </c>
      <c r="N5414" s="113"/>
    </row>
    <row r="5415" spans="2:14">
      <c r="B5415" s="105"/>
      <c r="C5415" s="106"/>
      <c r="D5415" s="107"/>
      <c r="E5415" s="65"/>
      <c r="F5415" s="64"/>
      <c r="G5415" s="64"/>
      <c r="H5415" s="64"/>
      <c r="I5415" s="70"/>
      <c r="J5415" s="70"/>
      <c r="K5415" s="110" t="str">
        <f>IF(H5415="","",IF($C$29="간이법","",FPR(H5415,I5415,J5415)))</f>
        <v/>
      </c>
      <c r="L5415" s="111" t="str">
        <f>IF(H5415="","",IF($C$29="상세법",FPV(H5415,K5415),IF(H5415="EI",4,IF(H5415="EO",5.2,IF(H5415="EQ",3.9,IF(H5415="ILF",7.5,IF(H5415="EIF",5.4)))))))</f>
        <v/>
      </c>
      <c r="M5415" s="112" t="str">
        <f t="shared" si="87"/>
        <v/>
      </c>
      <c r="N5415" s="113"/>
    </row>
    <row r="5416" spans="2:14">
      <c r="B5416" s="105"/>
      <c r="C5416" s="106"/>
      <c r="D5416" s="107"/>
      <c r="E5416" s="65"/>
      <c r="F5416" s="64"/>
      <c r="G5416" s="64"/>
      <c r="H5416" s="64"/>
      <c r="I5416" s="70"/>
      <c r="J5416" s="70"/>
      <c r="K5416" s="110" t="str">
        <f>IF(H5416="","",IF($C$29="간이법","",FPR(H5416,I5416,J5416)))</f>
        <v/>
      </c>
      <c r="L5416" s="111" t="str">
        <f>IF(H5416="","",IF($C$29="상세법",FPV(H5416,K5416),IF(H5416="EI",4,IF(H5416="EO",5.2,IF(H5416="EQ",3.9,IF(H5416="ILF",7.5,IF(H5416="EIF",5.4)))))))</f>
        <v/>
      </c>
      <c r="M5416" s="112" t="str">
        <f t="shared" si="87"/>
        <v/>
      </c>
      <c r="N5416" s="113"/>
    </row>
    <row r="5417" spans="2:14">
      <c r="B5417" s="105"/>
      <c r="C5417" s="106"/>
      <c r="D5417" s="107"/>
      <c r="E5417" s="65"/>
      <c r="F5417" s="64"/>
      <c r="G5417" s="64"/>
      <c r="H5417" s="64"/>
      <c r="I5417" s="70"/>
      <c r="J5417" s="70"/>
      <c r="K5417" s="110" t="str">
        <f>IF(H5417="","",IF($C$29="간이법","",FPR(H5417,I5417,J5417)))</f>
        <v/>
      </c>
      <c r="L5417" s="111" t="str">
        <f>IF(H5417="","",IF($C$29="상세법",FPV(H5417,K5417),IF(H5417="EI",4,IF(H5417="EO",5.2,IF(H5417="EQ",3.9,IF(H5417="ILF",7.5,IF(H5417="EIF",5.4)))))))</f>
        <v/>
      </c>
      <c r="M5417" s="112" t="str">
        <f t="shared" si="87"/>
        <v/>
      </c>
      <c r="N5417" s="113"/>
    </row>
    <row r="5418" spans="2:14">
      <c r="B5418" s="105"/>
      <c r="C5418" s="106"/>
      <c r="D5418" s="107"/>
      <c r="E5418" s="65"/>
      <c r="F5418" s="64"/>
      <c r="G5418" s="64"/>
      <c r="H5418" s="64"/>
      <c r="I5418" s="70"/>
      <c r="J5418" s="70"/>
      <c r="K5418" s="110" t="str">
        <f>IF(H5418="","",IF($C$29="간이법","",FPR(H5418,I5418,J5418)))</f>
        <v/>
      </c>
      <c r="L5418" s="111" t="str">
        <f>IF(H5418="","",IF($C$29="상세법",FPV(H5418,K5418),IF(H5418="EI",4,IF(H5418="EO",5.2,IF(H5418="EQ",3.9,IF(H5418="ILF",7.5,IF(H5418="EIF",5.4)))))))</f>
        <v/>
      </c>
      <c r="M5418" s="112" t="str">
        <f t="shared" si="87"/>
        <v/>
      </c>
      <c r="N5418" s="113"/>
    </row>
    <row r="5419" spans="2:14">
      <c r="B5419" s="105"/>
      <c r="C5419" s="106"/>
      <c r="D5419" s="107"/>
      <c r="E5419" s="65"/>
      <c r="F5419" s="64"/>
      <c r="G5419" s="64"/>
      <c r="H5419" s="64"/>
      <c r="I5419" s="70"/>
      <c r="J5419" s="70"/>
      <c r="K5419" s="110" t="str">
        <f>IF(H5419="","",IF($C$29="간이법","",FPR(H5419,I5419,J5419)))</f>
        <v/>
      </c>
      <c r="L5419" s="111" t="str">
        <f>IF(H5419="","",IF($C$29="상세법",FPV(H5419,K5419),IF(H5419="EI",4,IF(H5419="EO",5.2,IF(H5419="EQ",3.9,IF(H5419="ILF",7.5,IF(H5419="EIF",5.4)))))))</f>
        <v/>
      </c>
      <c r="M5419" s="112" t="str">
        <f t="shared" si="87"/>
        <v/>
      </c>
      <c r="N5419" s="113"/>
    </row>
    <row r="5420" spans="2:14">
      <c r="B5420" s="105"/>
      <c r="C5420" s="106"/>
      <c r="D5420" s="107"/>
      <c r="E5420" s="65"/>
      <c r="F5420" s="64"/>
      <c r="G5420" s="64"/>
      <c r="H5420" s="64"/>
      <c r="I5420" s="70"/>
      <c r="J5420" s="70"/>
      <c r="K5420" s="110" t="str">
        <f>IF(H5420="","",IF($C$29="간이법","",FPR(H5420,I5420,J5420)))</f>
        <v/>
      </c>
      <c r="L5420" s="111" t="str">
        <f>IF(H5420="","",IF($C$29="상세법",FPV(H5420,K5420),IF(H5420="EI",4,IF(H5420="EO",5.2,IF(H5420="EQ",3.9,IF(H5420="ILF",7.5,IF(H5420="EIF",5.4)))))))</f>
        <v/>
      </c>
      <c r="M5420" s="112" t="str">
        <f t="shared" si="87"/>
        <v/>
      </c>
      <c r="N5420" s="113"/>
    </row>
    <row r="5421" spans="2:14">
      <c r="B5421" s="105"/>
      <c r="C5421" s="106"/>
      <c r="D5421" s="107"/>
      <c r="E5421" s="65"/>
      <c r="F5421" s="64"/>
      <c r="G5421" s="64"/>
      <c r="H5421" s="64"/>
      <c r="I5421" s="70"/>
      <c r="J5421" s="70"/>
      <c r="K5421" s="110" t="str">
        <f>IF(H5421="","",IF($C$29="간이법","",FPR(H5421,I5421,J5421)))</f>
        <v/>
      </c>
      <c r="L5421" s="111" t="str">
        <f>IF(H5421="","",IF($C$29="상세법",FPV(H5421,K5421),IF(H5421="EI",4,IF(H5421="EO",5.2,IF(H5421="EQ",3.9,IF(H5421="ILF",7.5,IF(H5421="EIF",5.4)))))))</f>
        <v/>
      </c>
      <c r="M5421" s="112" t="str">
        <f t="shared" si="87"/>
        <v/>
      </c>
      <c r="N5421" s="113"/>
    </row>
    <row r="5422" spans="2:14">
      <c r="B5422" s="105"/>
      <c r="C5422" s="106"/>
      <c r="D5422" s="107"/>
      <c r="E5422" s="65"/>
      <c r="F5422" s="64"/>
      <c r="G5422" s="64"/>
      <c r="H5422" s="64"/>
      <c r="I5422" s="70"/>
      <c r="J5422" s="70"/>
      <c r="K5422" s="110" t="str">
        <f>IF(H5422="","",IF($C$29="간이법","",FPR(H5422,I5422,J5422)))</f>
        <v/>
      </c>
      <c r="L5422" s="111" t="str">
        <f>IF(H5422="","",IF($C$29="상세법",FPV(H5422,K5422),IF(H5422="EI",4,IF(H5422="EO",5.2,IF(H5422="EQ",3.9,IF(H5422="ILF",7.5,IF(H5422="EIF",5.4)))))))</f>
        <v/>
      </c>
      <c r="M5422" s="112" t="str">
        <f t="shared" si="87"/>
        <v/>
      </c>
      <c r="N5422" s="113"/>
    </row>
    <row r="5423" spans="2:14">
      <c r="B5423" s="105"/>
      <c r="C5423" s="106"/>
      <c r="D5423" s="107"/>
      <c r="E5423" s="65"/>
      <c r="F5423" s="64"/>
      <c r="G5423" s="64"/>
      <c r="H5423" s="64"/>
      <c r="I5423" s="70"/>
      <c r="J5423" s="70"/>
      <c r="K5423" s="110" t="str">
        <f>IF(H5423="","",IF($C$29="간이법","",FPR(H5423,I5423,J5423)))</f>
        <v/>
      </c>
      <c r="L5423" s="111" t="str">
        <f>IF(H5423="","",IF($C$29="상세법",FPV(H5423,K5423),IF(H5423="EI",4,IF(H5423="EO",5.2,IF(H5423="EQ",3.9,IF(H5423="ILF",7.5,IF(H5423="EIF",5.4)))))))</f>
        <v/>
      </c>
      <c r="M5423" s="112" t="str">
        <f t="shared" si="87"/>
        <v/>
      </c>
      <c r="N5423" s="113"/>
    </row>
    <row r="5424" spans="2:14">
      <c r="B5424" s="105"/>
      <c r="C5424" s="106"/>
      <c r="D5424" s="107"/>
      <c r="E5424" s="65"/>
      <c r="F5424" s="64"/>
      <c r="G5424" s="64"/>
      <c r="H5424" s="64"/>
      <c r="I5424" s="70"/>
      <c r="J5424" s="70"/>
      <c r="K5424" s="110" t="str">
        <f>IF(H5424="","",IF($C$29="간이법","",FPR(H5424,I5424,J5424)))</f>
        <v/>
      </c>
      <c r="L5424" s="111" t="str">
        <f>IF(H5424="","",IF($C$29="상세법",FPV(H5424,K5424),IF(H5424="EI",4,IF(H5424="EO",5.2,IF(H5424="EQ",3.9,IF(H5424="ILF",7.5,IF(H5424="EIF",5.4)))))))</f>
        <v/>
      </c>
      <c r="M5424" s="112" t="str">
        <f t="shared" si="87"/>
        <v/>
      </c>
      <c r="N5424" s="113"/>
    </row>
    <row r="5425" spans="2:14">
      <c r="B5425" s="105"/>
      <c r="C5425" s="106"/>
      <c r="D5425" s="107"/>
      <c r="E5425" s="65"/>
      <c r="F5425" s="64"/>
      <c r="G5425" s="64"/>
      <c r="H5425" s="64"/>
      <c r="I5425" s="70"/>
      <c r="J5425" s="70"/>
      <c r="K5425" s="110" t="str">
        <f>IF(H5425="","",IF($C$29="간이법","",FPR(H5425,I5425,J5425)))</f>
        <v/>
      </c>
      <c r="L5425" s="111" t="str">
        <f>IF(H5425="","",IF($C$29="상세법",FPV(H5425,K5425),IF(H5425="EI",4,IF(H5425="EO",5.2,IF(H5425="EQ",3.9,IF(H5425="ILF",7.5,IF(H5425="EIF",5.4)))))))</f>
        <v/>
      </c>
      <c r="M5425" s="112" t="str">
        <f t="shared" si="87"/>
        <v/>
      </c>
      <c r="N5425" s="113"/>
    </row>
    <row r="5426" spans="2:14">
      <c r="B5426" s="105"/>
      <c r="C5426" s="106"/>
      <c r="D5426" s="107"/>
      <c r="E5426" s="65"/>
      <c r="F5426" s="64"/>
      <c r="G5426" s="64"/>
      <c r="H5426" s="64"/>
      <c r="I5426" s="70"/>
      <c r="J5426" s="70"/>
      <c r="K5426" s="110" t="str">
        <f>IF(H5426="","",IF($C$29="간이법","",FPR(H5426,I5426,J5426)))</f>
        <v/>
      </c>
      <c r="L5426" s="111" t="str">
        <f>IF(H5426="","",IF($C$29="상세법",FPV(H5426,K5426),IF(H5426="EI",4,IF(H5426="EO",5.2,IF(H5426="EQ",3.9,IF(H5426="ILF",7.5,IF(H5426="EIF",5.4)))))))</f>
        <v/>
      </c>
      <c r="M5426" s="112" t="str">
        <f t="shared" si="87"/>
        <v/>
      </c>
      <c r="N5426" s="113"/>
    </row>
    <row r="5427" spans="2:14">
      <c r="B5427" s="105"/>
      <c r="C5427" s="106"/>
      <c r="D5427" s="107"/>
      <c r="E5427" s="65"/>
      <c r="F5427" s="64"/>
      <c r="G5427" s="64"/>
      <c r="H5427" s="64"/>
      <c r="I5427" s="70"/>
      <c r="J5427" s="70"/>
      <c r="K5427" s="110" t="str">
        <f>IF(H5427="","",IF($C$29="간이법","",FPR(H5427,I5427,J5427)))</f>
        <v/>
      </c>
      <c r="L5427" s="111" t="str">
        <f>IF(H5427="","",IF($C$29="상세법",FPV(H5427,K5427),IF(H5427="EI",4,IF(H5427="EO",5.2,IF(H5427="EQ",3.9,IF(H5427="ILF",7.5,IF(H5427="EIF",5.4)))))))</f>
        <v/>
      </c>
      <c r="M5427" s="112" t="str">
        <f t="shared" si="87"/>
        <v/>
      </c>
      <c r="N5427" s="113"/>
    </row>
    <row r="5428" spans="2:14">
      <c r="B5428" s="105"/>
      <c r="C5428" s="106"/>
      <c r="D5428" s="107"/>
      <c r="E5428" s="65"/>
      <c r="F5428" s="64"/>
      <c r="G5428" s="64"/>
      <c r="H5428" s="64"/>
      <c r="I5428" s="70"/>
      <c r="J5428" s="70"/>
      <c r="K5428" s="110" t="str">
        <f>IF(H5428="","",IF($C$29="간이법","",FPR(H5428,I5428,J5428)))</f>
        <v/>
      </c>
      <c r="L5428" s="111" t="str">
        <f>IF(H5428="","",IF($C$29="상세법",FPV(H5428,K5428),IF(H5428="EI",4,IF(H5428="EO",5.2,IF(H5428="EQ",3.9,IF(H5428="ILF",7.5,IF(H5428="EIF",5.4)))))))</f>
        <v/>
      </c>
      <c r="M5428" s="112" t="str">
        <f t="shared" si="87"/>
        <v/>
      </c>
      <c r="N5428" s="113"/>
    </row>
    <row r="5429" spans="2:14">
      <c r="B5429" s="105"/>
      <c r="C5429" s="106"/>
      <c r="D5429" s="107"/>
      <c r="E5429" s="65"/>
      <c r="F5429" s="64"/>
      <c r="G5429" s="64"/>
      <c r="H5429" s="64"/>
      <c r="I5429" s="70"/>
      <c r="J5429" s="70"/>
      <c r="K5429" s="110" t="str">
        <f>IF(H5429="","",IF($C$29="간이법","",FPR(H5429,I5429,J5429)))</f>
        <v/>
      </c>
      <c r="L5429" s="111" t="str">
        <f>IF(H5429="","",IF($C$29="상세법",FPV(H5429,K5429),IF(H5429="EI",4,IF(H5429="EO",5.2,IF(H5429="EQ",3.9,IF(H5429="ILF",7.5,IF(H5429="EIF",5.4)))))))</f>
        <v/>
      </c>
      <c r="M5429" s="112" t="str">
        <f t="shared" si="87"/>
        <v/>
      </c>
      <c r="N5429" s="113"/>
    </row>
    <row r="5430" spans="2:14">
      <c r="B5430" s="105"/>
      <c r="C5430" s="106"/>
      <c r="D5430" s="107"/>
      <c r="E5430" s="65"/>
      <c r="F5430" s="64"/>
      <c r="G5430" s="64"/>
      <c r="H5430" s="64"/>
      <c r="I5430" s="70"/>
      <c r="J5430" s="70"/>
      <c r="K5430" s="110" t="str">
        <f>IF(H5430="","",IF($C$29="간이법","",FPR(H5430,I5430,J5430)))</f>
        <v/>
      </c>
      <c r="L5430" s="111" t="str">
        <f>IF(H5430="","",IF($C$29="상세법",FPV(H5430,K5430),IF(H5430="EI",4,IF(H5430="EO",5.2,IF(H5430="EQ",3.9,IF(H5430="ILF",7.5,IF(H5430="EIF",5.4)))))))</f>
        <v/>
      </c>
      <c r="M5430" s="112" t="str">
        <f t="shared" si="87"/>
        <v/>
      </c>
      <c r="N5430" s="113"/>
    </row>
    <row r="5431" spans="2:14">
      <c r="B5431" s="105"/>
      <c r="C5431" s="106"/>
      <c r="D5431" s="107"/>
      <c r="E5431" s="65"/>
      <c r="F5431" s="64"/>
      <c r="G5431" s="64"/>
      <c r="H5431" s="64"/>
      <c r="I5431" s="70"/>
      <c r="J5431" s="70"/>
      <c r="K5431" s="110" t="str">
        <f>IF(H5431="","",IF($C$29="간이법","",FPR(H5431,I5431,J5431)))</f>
        <v/>
      </c>
      <c r="L5431" s="111" t="str">
        <f>IF(H5431="","",IF($C$29="상세법",FPV(H5431,K5431),IF(H5431="EI",4,IF(H5431="EO",5.2,IF(H5431="EQ",3.9,IF(H5431="ILF",7.5,IF(H5431="EIF",5.4)))))))</f>
        <v/>
      </c>
      <c r="M5431" s="112" t="str">
        <f t="shared" si="87"/>
        <v/>
      </c>
      <c r="N5431" s="113"/>
    </row>
    <row r="5432" spans="2:14">
      <c r="B5432" s="105"/>
      <c r="C5432" s="106"/>
      <c r="D5432" s="107"/>
      <c r="E5432" s="65"/>
      <c r="F5432" s="64"/>
      <c r="G5432" s="64"/>
      <c r="H5432" s="64"/>
      <c r="I5432" s="70"/>
      <c r="J5432" s="70"/>
      <c r="K5432" s="110" t="str">
        <f>IF(H5432="","",IF($C$29="간이법","",FPR(H5432,I5432,J5432)))</f>
        <v/>
      </c>
      <c r="L5432" s="111" t="str">
        <f>IF(H5432="","",IF($C$29="상세법",FPV(H5432,K5432),IF(H5432="EI",4,IF(H5432="EO",5.2,IF(H5432="EQ",3.9,IF(H5432="ILF",7.5,IF(H5432="EIF",5.4)))))))</f>
        <v/>
      </c>
      <c r="M5432" s="112" t="str">
        <f t="shared" si="87"/>
        <v/>
      </c>
      <c r="N5432" s="113"/>
    </row>
    <row r="5433" spans="2:14">
      <c r="B5433" s="105"/>
      <c r="C5433" s="106"/>
      <c r="D5433" s="107"/>
      <c r="E5433" s="65"/>
      <c r="F5433" s="64"/>
      <c r="G5433" s="64"/>
      <c r="H5433" s="64"/>
      <c r="I5433" s="70"/>
      <c r="J5433" s="70"/>
      <c r="K5433" s="110" t="str">
        <f>IF(H5433="","",IF($C$29="간이법","",FPR(H5433,I5433,J5433)))</f>
        <v/>
      </c>
      <c r="L5433" s="111" t="str">
        <f>IF(H5433="","",IF($C$29="상세법",FPV(H5433,K5433),IF(H5433="EI",4,IF(H5433="EO",5.2,IF(H5433="EQ",3.9,IF(H5433="ILF",7.5,IF(H5433="EIF",5.4)))))))</f>
        <v/>
      </c>
      <c r="M5433" s="112" t="str">
        <f t="shared" ref="M5433:M5496" si="88">IF(L5433="","",L5433*IF(G5433="상",0.7,IF(G5433="중",0.5,IF(G5433="하",0.2,1))))</f>
        <v/>
      </c>
      <c r="N5433" s="113"/>
    </row>
    <row r="5434" spans="2:14">
      <c r="B5434" s="105"/>
      <c r="C5434" s="106"/>
      <c r="D5434" s="107"/>
      <c r="E5434" s="65"/>
      <c r="F5434" s="64"/>
      <c r="G5434" s="64"/>
      <c r="H5434" s="64"/>
      <c r="I5434" s="70"/>
      <c r="J5434" s="70"/>
      <c r="K5434" s="110" t="str">
        <f>IF(H5434="","",IF($C$29="간이법","",FPR(H5434,I5434,J5434)))</f>
        <v/>
      </c>
      <c r="L5434" s="111" t="str">
        <f>IF(H5434="","",IF($C$29="상세법",FPV(H5434,K5434),IF(H5434="EI",4,IF(H5434="EO",5.2,IF(H5434="EQ",3.9,IF(H5434="ILF",7.5,IF(H5434="EIF",5.4)))))))</f>
        <v/>
      </c>
      <c r="M5434" s="112" t="str">
        <f t="shared" si="88"/>
        <v/>
      </c>
      <c r="N5434" s="113"/>
    </row>
    <row r="5435" spans="2:14">
      <c r="B5435" s="105"/>
      <c r="C5435" s="106"/>
      <c r="D5435" s="107"/>
      <c r="E5435" s="65"/>
      <c r="F5435" s="64"/>
      <c r="G5435" s="64"/>
      <c r="H5435" s="64"/>
      <c r="I5435" s="70"/>
      <c r="J5435" s="70"/>
      <c r="K5435" s="110" t="str">
        <f>IF(H5435="","",IF($C$29="간이법","",FPR(H5435,I5435,J5435)))</f>
        <v/>
      </c>
      <c r="L5435" s="111" t="str">
        <f>IF(H5435="","",IF($C$29="상세법",FPV(H5435,K5435),IF(H5435="EI",4,IF(H5435="EO",5.2,IF(H5435="EQ",3.9,IF(H5435="ILF",7.5,IF(H5435="EIF",5.4)))))))</f>
        <v/>
      </c>
      <c r="M5435" s="112" t="str">
        <f t="shared" si="88"/>
        <v/>
      </c>
      <c r="N5435" s="113"/>
    </row>
    <row r="5436" spans="2:14">
      <c r="B5436" s="105"/>
      <c r="C5436" s="106"/>
      <c r="D5436" s="107"/>
      <c r="E5436" s="65"/>
      <c r="F5436" s="64"/>
      <c r="G5436" s="64"/>
      <c r="H5436" s="64"/>
      <c r="I5436" s="70"/>
      <c r="J5436" s="70"/>
      <c r="K5436" s="110" t="str">
        <f>IF(H5436="","",IF($C$29="간이법","",FPR(H5436,I5436,J5436)))</f>
        <v/>
      </c>
      <c r="L5436" s="111" t="str">
        <f>IF(H5436="","",IF($C$29="상세법",FPV(H5436,K5436),IF(H5436="EI",4,IF(H5436="EO",5.2,IF(H5436="EQ",3.9,IF(H5436="ILF",7.5,IF(H5436="EIF",5.4)))))))</f>
        <v/>
      </c>
      <c r="M5436" s="112" t="str">
        <f t="shared" si="88"/>
        <v/>
      </c>
      <c r="N5436" s="113"/>
    </row>
    <row r="5437" spans="2:14">
      <c r="B5437" s="105"/>
      <c r="C5437" s="106"/>
      <c r="D5437" s="107"/>
      <c r="E5437" s="65"/>
      <c r="F5437" s="64"/>
      <c r="G5437" s="64"/>
      <c r="H5437" s="64"/>
      <c r="I5437" s="70"/>
      <c r="J5437" s="70"/>
      <c r="K5437" s="110" t="str">
        <f>IF(H5437="","",IF($C$29="간이법","",FPR(H5437,I5437,J5437)))</f>
        <v/>
      </c>
      <c r="L5437" s="111" t="str">
        <f>IF(H5437="","",IF($C$29="상세법",FPV(H5437,K5437),IF(H5437="EI",4,IF(H5437="EO",5.2,IF(H5437="EQ",3.9,IF(H5437="ILF",7.5,IF(H5437="EIF",5.4)))))))</f>
        <v/>
      </c>
      <c r="M5437" s="112" t="str">
        <f t="shared" si="88"/>
        <v/>
      </c>
      <c r="N5437" s="113"/>
    </row>
    <row r="5438" spans="2:14">
      <c r="B5438" s="105"/>
      <c r="C5438" s="106"/>
      <c r="D5438" s="107"/>
      <c r="E5438" s="65"/>
      <c r="F5438" s="64"/>
      <c r="G5438" s="64"/>
      <c r="H5438" s="64"/>
      <c r="I5438" s="70"/>
      <c r="J5438" s="70"/>
      <c r="K5438" s="110" t="str">
        <f>IF(H5438="","",IF($C$29="간이법","",FPR(H5438,I5438,J5438)))</f>
        <v/>
      </c>
      <c r="L5438" s="111" t="str">
        <f>IF(H5438="","",IF($C$29="상세법",FPV(H5438,K5438),IF(H5438="EI",4,IF(H5438="EO",5.2,IF(H5438="EQ",3.9,IF(H5438="ILF",7.5,IF(H5438="EIF",5.4)))))))</f>
        <v/>
      </c>
      <c r="M5438" s="112" t="str">
        <f t="shared" si="88"/>
        <v/>
      </c>
      <c r="N5438" s="113"/>
    </row>
    <row r="5439" spans="2:14">
      <c r="B5439" s="105"/>
      <c r="C5439" s="106"/>
      <c r="D5439" s="107"/>
      <c r="E5439" s="65"/>
      <c r="F5439" s="64"/>
      <c r="G5439" s="64"/>
      <c r="H5439" s="64"/>
      <c r="I5439" s="70"/>
      <c r="J5439" s="70"/>
      <c r="K5439" s="110" t="str">
        <f>IF(H5439="","",IF($C$29="간이법","",FPR(H5439,I5439,J5439)))</f>
        <v/>
      </c>
      <c r="L5439" s="111" t="str">
        <f>IF(H5439="","",IF($C$29="상세법",FPV(H5439,K5439),IF(H5439="EI",4,IF(H5439="EO",5.2,IF(H5439="EQ",3.9,IF(H5439="ILF",7.5,IF(H5439="EIF",5.4)))))))</f>
        <v/>
      </c>
      <c r="M5439" s="112" t="str">
        <f t="shared" si="88"/>
        <v/>
      </c>
      <c r="N5439" s="113"/>
    </row>
    <row r="5440" spans="2:14">
      <c r="B5440" s="105"/>
      <c r="C5440" s="106"/>
      <c r="D5440" s="107"/>
      <c r="E5440" s="65"/>
      <c r="F5440" s="64"/>
      <c r="G5440" s="64"/>
      <c r="H5440" s="64"/>
      <c r="I5440" s="70"/>
      <c r="J5440" s="70"/>
      <c r="K5440" s="110" t="str">
        <f>IF(H5440="","",IF($C$29="간이법","",FPR(H5440,I5440,J5440)))</f>
        <v/>
      </c>
      <c r="L5440" s="111" t="str">
        <f>IF(H5440="","",IF($C$29="상세법",FPV(H5440,K5440),IF(H5440="EI",4,IF(H5440="EO",5.2,IF(H5440="EQ",3.9,IF(H5440="ILF",7.5,IF(H5440="EIF",5.4)))))))</f>
        <v/>
      </c>
      <c r="M5440" s="112" t="str">
        <f t="shared" si="88"/>
        <v/>
      </c>
      <c r="N5440" s="113"/>
    </row>
    <row r="5441" spans="2:14">
      <c r="B5441" s="105"/>
      <c r="C5441" s="106"/>
      <c r="D5441" s="107"/>
      <c r="E5441" s="65"/>
      <c r="F5441" s="64"/>
      <c r="G5441" s="64"/>
      <c r="H5441" s="64"/>
      <c r="I5441" s="70"/>
      <c r="J5441" s="70"/>
      <c r="K5441" s="110" t="str">
        <f>IF(H5441="","",IF($C$29="간이법","",FPR(H5441,I5441,J5441)))</f>
        <v/>
      </c>
      <c r="L5441" s="111" t="str">
        <f>IF(H5441="","",IF($C$29="상세법",FPV(H5441,K5441),IF(H5441="EI",4,IF(H5441="EO",5.2,IF(H5441="EQ",3.9,IF(H5441="ILF",7.5,IF(H5441="EIF",5.4)))))))</f>
        <v/>
      </c>
      <c r="M5441" s="112" t="str">
        <f t="shared" si="88"/>
        <v/>
      </c>
      <c r="N5441" s="113"/>
    </row>
    <row r="5442" spans="2:14">
      <c r="B5442" s="105"/>
      <c r="C5442" s="106"/>
      <c r="D5442" s="107"/>
      <c r="E5442" s="65"/>
      <c r="F5442" s="64"/>
      <c r="G5442" s="64"/>
      <c r="H5442" s="64"/>
      <c r="I5442" s="70"/>
      <c r="J5442" s="70"/>
      <c r="K5442" s="110" t="str">
        <f>IF(H5442="","",IF($C$29="간이법","",FPR(H5442,I5442,J5442)))</f>
        <v/>
      </c>
      <c r="L5442" s="111" t="str">
        <f>IF(H5442="","",IF($C$29="상세법",FPV(H5442,K5442),IF(H5442="EI",4,IF(H5442="EO",5.2,IF(H5442="EQ",3.9,IF(H5442="ILF",7.5,IF(H5442="EIF",5.4)))))))</f>
        <v/>
      </c>
      <c r="M5442" s="112" t="str">
        <f t="shared" si="88"/>
        <v/>
      </c>
      <c r="N5442" s="113"/>
    </row>
    <row r="5443" spans="2:14">
      <c r="B5443" s="105"/>
      <c r="C5443" s="106"/>
      <c r="D5443" s="107"/>
      <c r="E5443" s="65"/>
      <c r="F5443" s="64"/>
      <c r="G5443" s="64"/>
      <c r="H5443" s="64"/>
      <c r="I5443" s="70"/>
      <c r="J5443" s="70"/>
      <c r="K5443" s="110" t="str">
        <f>IF(H5443="","",IF($C$29="간이법","",FPR(H5443,I5443,J5443)))</f>
        <v/>
      </c>
      <c r="L5443" s="111" t="str">
        <f>IF(H5443="","",IF($C$29="상세법",FPV(H5443,K5443),IF(H5443="EI",4,IF(H5443="EO",5.2,IF(H5443="EQ",3.9,IF(H5443="ILF",7.5,IF(H5443="EIF",5.4)))))))</f>
        <v/>
      </c>
      <c r="M5443" s="112" t="str">
        <f t="shared" si="88"/>
        <v/>
      </c>
      <c r="N5443" s="113"/>
    </row>
    <row r="5444" spans="2:14">
      <c r="B5444" s="105"/>
      <c r="C5444" s="106"/>
      <c r="D5444" s="107"/>
      <c r="E5444" s="65"/>
      <c r="F5444" s="64"/>
      <c r="G5444" s="64"/>
      <c r="H5444" s="64"/>
      <c r="I5444" s="70"/>
      <c r="J5444" s="70"/>
      <c r="K5444" s="110" t="str">
        <f>IF(H5444="","",IF($C$29="간이법","",FPR(H5444,I5444,J5444)))</f>
        <v/>
      </c>
      <c r="L5444" s="111" t="str">
        <f>IF(H5444="","",IF($C$29="상세법",FPV(H5444,K5444),IF(H5444="EI",4,IF(H5444="EO",5.2,IF(H5444="EQ",3.9,IF(H5444="ILF",7.5,IF(H5444="EIF",5.4)))))))</f>
        <v/>
      </c>
      <c r="M5444" s="112" t="str">
        <f t="shared" si="88"/>
        <v/>
      </c>
      <c r="N5444" s="113"/>
    </row>
    <row r="5445" spans="2:14">
      <c r="B5445" s="105"/>
      <c r="C5445" s="106"/>
      <c r="D5445" s="107"/>
      <c r="E5445" s="65"/>
      <c r="F5445" s="64"/>
      <c r="G5445" s="64"/>
      <c r="H5445" s="64"/>
      <c r="I5445" s="70"/>
      <c r="J5445" s="70"/>
      <c r="K5445" s="110" t="str">
        <f>IF(H5445="","",IF($C$29="간이법","",FPR(H5445,I5445,J5445)))</f>
        <v/>
      </c>
      <c r="L5445" s="111" t="str">
        <f>IF(H5445="","",IF($C$29="상세법",FPV(H5445,K5445),IF(H5445="EI",4,IF(H5445="EO",5.2,IF(H5445="EQ",3.9,IF(H5445="ILF",7.5,IF(H5445="EIF",5.4)))))))</f>
        <v/>
      </c>
      <c r="M5445" s="112" t="str">
        <f t="shared" si="88"/>
        <v/>
      </c>
      <c r="N5445" s="113"/>
    </row>
    <row r="5446" spans="2:14">
      <c r="B5446" s="105"/>
      <c r="C5446" s="106"/>
      <c r="D5446" s="107"/>
      <c r="E5446" s="65"/>
      <c r="F5446" s="64"/>
      <c r="G5446" s="64"/>
      <c r="H5446" s="64"/>
      <c r="I5446" s="70"/>
      <c r="J5446" s="70"/>
      <c r="K5446" s="110" t="str">
        <f>IF(H5446="","",IF($C$29="간이법","",FPR(H5446,I5446,J5446)))</f>
        <v/>
      </c>
      <c r="L5446" s="111" t="str">
        <f>IF(H5446="","",IF($C$29="상세법",FPV(H5446,K5446),IF(H5446="EI",4,IF(H5446="EO",5.2,IF(H5446="EQ",3.9,IF(H5446="ILF",7.5,IF(H5446="EIF",5.4)))))))</f>
        <v/>
      </c>
      <c r="M5446" s="112" t="str">
        <f t="shared" si="88"/>
        <v/>
      </c>
      <c r="N5446" s="113"/>
    </row>
    <row r="5447" spans="2:14">
      <c r="B5447" s="105"/>
      <c r="C5447" s="106"/>
      <c r="D5447" s="107"/>
      <c r="E5447" s="65"/>
      <c r="F5447" s="64"/>
      <c r="G5447" s="64"/>
      <c r="H5447" s="64"/>
      <c r="I5447" s="70"/>
      <c r="J5447" s="70"/>
      <c r="K5447" s="110" t="str">
        <f>IF(H5447="","",IF($C$29="간이법","",FPR(H5447,I5447,J5447)))</f>
        <v/>
      </c>
      <c r="L5447" s="111" t="str">
        <f>IF(H5447="","",IF($C$29="상세법",FPV(H5447,K5447),IF(H5447="EI",4,IF(H5447="EO",5.2,IF(H5447="EQ",3.9,IF(H5447="ILF",7.5,IF(H5447="EIF",5.4)))))))</f>
        <v/>
      </c>
      <c r="M5447" s="112" t="str">
        <f t="shared" si="88"/>
        <v/>
      </c>
      <c r="N5447" s="113"/>
    </row>
    <row r="5448" spans="2:14">
      <c r="B5448" s="105"/>
      <c r="C5448" s="106"/>
      <c r="D5448" s="107"/>
      <c r="E5448" s="65"/>
      <c r="F5448" s="64"/>
      <c r="G5448" s="64"/>
      <c r="H5448" s="64"/>
      <c r="I5448" s="70"/>
      <c r="J5448" s="70"/>
      <c r="K5448" s="110" t="str">
        <f>IF(H5448="","",IF($C$29="간이법","",FPR(H5448,I5448,J5448)))</f>
        <v/>
      </c>
      <c r="L5448" s="111" t="str">
        <f>IF(H5448="","",IF($C$29="상세법",FPV(H5448,K5448),IF(H5448="EI",4,IF(H5448="EO",5.2,IF(H5448="EQ",3.9,IF(H5448="ILF",7.5,IF(H5448="EIF",5.4)))))))</f>
        <v/>
      </c>
      <c r="M5448" s="112" t="str">
        <f t="shared" si="88"/>
        <v/>
      </c>
      <c r="N5448" s="113"/>
    </row>
    <row r="5449" spans="2:14">
      <c r="B5449" s="105"/>
      <c r="C5449" s="106"/>
      <c r="D5449" s="107"/>
      <c r="E5449" s="65"/>
      <c r="F5449" s="64"/>
      <c r="G5449" s="64"/>
      <c r="H5449" s="64"/>
      <c r="I5449" s="70"/>
      <c r="J5449" s="70"/>
      <c r="K5449" s="110" t="str">
        <f>IF(H5449="","",IF($C$29="간이법","",FPR(H5449,I5449,J5449)))</f>
        <v/>
      </c>
      <c r="L5449" s="111" t="str">
        <f>IF(H5449="","",IF($C$29="상세법",FPV(H5449,K5449),IF(H5449="EI",4,IF(H5449="EO",5.2,IF(H5449="EQ",3.9,IF(H5449="ILF",7.5,IF(H5449="EIF",5.4)))))))</f>
        <v/>
      </c>
      <c r="M5449" s="112" t="str">
        <f t="shared" si="88"/>
        <v/>
      </c>
      <c r="N5449" s="113"/>
    </row>
    <row r="5450" spans="2:14">
      <c r="B5450" s="105"/>
      <c r="C5450" s="106"/>
      <c r="D5450" s="107"/>
      <c r="E5450" s="65"/>
      <c r="F5450" s="64"/>
      <c r="G5450" s="64"/>
      <c r="H5450" s="64"/>
      <c r="I5450" s="70"/>
      <c r="J5450" s="70"/>
      <c r="K5450" s="110" t="str">
        <f>IF(H5450="","",IF($C$29="간이법","",FPR(H5450,I5450,J5450)))</f>
        <v/>
      </c>
      <c r="L5450" s="111" t="str">
        <f>IF(H5450="","",IF($C$29="상세법",FPV(H5450,K5450),IF(H5450="EI",4,IF(H5450="EO",5.2,IF(H5450="EQ",3.9,IF(H5450="ILF",7.5,IF(H5450="EIF",5.4)))))))</f>
        <v/>
      </c>
      <c r="M5450" s="112" t="str">
        <f t="shared" si="88"/>
        <v/>
      </c>
      <c r="N5450" s="113"/>
    </row>
    <row r="5451" spans="2:14">
      <c r="B5451" s="105"/>
      <c r="C5451" s="106"/>
      <c r="D5451" s="107"/>
      <c r="E5451" s="65"/>
      <c r="F5451" s="64"/>
      <c r="G5451" s="64"/>
      <c r="H5451" s="64"/>
      <c r="I5451" s="70"/>
      <c r="J5451" s="70"/>
      <c r="K5451" s="110" t="str">
        <f>IF(H5451="","",IF($C$29="간이법","",FPR(H5451,I5451,J5451)))</f>
        <v/>
      </c>
      <c r="L5451" s="111" t="str">
        <f>IF(H5451="","",IF($C$29="상세법",FPV(H5451,K5451),IF(H5451="EI",4,IF(H5451="EO",5.2,IF(H5451="EQ",3.9,IF(H5451="ILF",7.5,IF(H5451="EIF",5.4)))))))</f>
        <v/>
      </c>
      <c r="M5451" s="112" t="str">
        <f t="shared" si="88"/>
        <v/>
      </c>
      <c r="N5451" s="113"/>
    </row>
    <row r="5452" spans="2:14">
      <c r="B5452" s="105"/>
      <c r="C5452" s="106"/>
      <c r="D5452" s="107"/>
      <c r="E5452" s="65"/>
      <c r="F5452" s="64"/>
      <c r="G5452" s="64"/>
      <c r="H5452" s="64"/>
      <c r="I5452" s="70"/>
      <c r="J5452" s="70"/>
      <c r="K5452" s="110" t="str">
        <f>IF(H5452="","",IF($C$29="간이법","",FPR(H5452,I5452,J5452)))</f>
        <v/>
      </c>
      <c r="L5452" s="111" t="str">
        <f>IF(H5452="","",IF($C$29="상세법",FPV(H5452,K5452),IF(H5452="EI",4,IF(H5452="EO",5.2,IF(H5452="EQ",3.9,IF(H5452="ILF",7.5,IF(H5452="EIF",5.4)))))))</f>
        <v/>
      </c>
      <c r="M5452" s="112" t="str">
        <f t="shared" si="88"/>
        <v/>
      </c>
      <c r="N5452" s="113"/>
    </row>
    <row r="5453" spans="2:14">
      <c r="B5453" s="105"/>
      <c r="C5453" s="106"/>
      <c r="D5453" s="107"/>
      <c r="E5453" s="65"/>
      <c r="F5453" s="64"/>
      <c r="G5453" s="64"/>
      <c r="H5453" s="64"/>
      <c r="I5453" s="70"/>
      <c r="J5453" s="70"/>
      <c r="K5453" s="110" t="str">
        <f>IF(H5453="","",IF($C$29="간이법","",FPR(H5453,I5453,J5453)))</f>
        <v/>
      </c>
      <c r="L5453" s="111" t="str">
        <f>IF(H5453="","",IF($C$29="상세법",FPV(H5453,K5453),IF(H5453="EI",4,IF(H5453="EO",5.2,IF(H5453="EQ",3.9,IF(H5453="ILF",7.5,IF(H5453="EIF",5.4)))))))</f>
        <v/>
      </c>
      <c r="M5453" s="112" t="str">
        <f t="shared" si="88"/>
        <v/>
      </c>
      <c r="N5453" s="113"/>
    </row>
    <row r="5454" spans="2:14">
      <c r="B5454" s="105"/>
      <c r="C5454" s="106"/>
      <c r="D5454" s="107"/>
      <c r="E5454" s="65"/>
      <c r="F5454" s="64"/>
      <c r="G5454" s="64"/>
      <c r="H5454" s="64"/>
      <c r="I5454" s="70"/>
      <c r="J5454" s="70"/>
      <c r="K5454" s="110" t="str">
        <f>IF(H5454="","",IF($C$29="간이법","",FPR(H5454,I5454,J5454)))</f>
        <v/>
      </c>
      <c r="L5454" s="111" t="str">
        <f>IF(H5454="","",IF($C$29="상세법",FPV(H5454,K5454),IF(H5454="EI",4,IF(H5454="EO",5.2,IF(H5454="EQ",3.9,IF(H5454="ILF",7.5,IF(H5454="EIF",5.4)))))))</f>
        <v/>
      </c>
      <c r="M5454" s="112" t="str">
        <f t="shared" si="88"/>
        <v/>
      </c>
      <c r="N5454" s="113"/>
    </row>
    <row r="5455" spans="2:14">
      <c r="B5455" s="105"/>
      <c r="C5455" s="106"/>
      <c r="D5455" s="107"/>
      <c r="E5455" s="65"/>
      <c r="F5455" s="64"/>
      <c r="G5455" s="64"/>
      <c r="H5455" s="64"/>
      <c r="I5455" s="70"/>
      <c r="J5455" s="70"/>
      <c r="K5455" s="110" t="str">
        <f>IF(H5455="","",IF($C$29="간이법","",FPR(H5455,I5455,J5455)))</f>
        <v/>
      </c>
      <c r="L5455" s="111" t="str">
        <f>IF(H5455="","",IF($C$29="상세법",FPV(H5455,K5455),IF(H5455="EI",4,IF(H5455="EO",5.2,IF(H5455="EQ",3.9,IF(H5455="ILF",7.5,IF(H5455="EIF",5.4)))))))</f>
        <v/>
      </c>
      <c r="M5455" s="112" t="str">
        <f t="shared" si="88"/>
        <v/>
      </c>
      <c r="N5455" s="113"/>
    </row>
    <row r="5456" spans="2:14">
      <c r="B5456" s="105"/>
      <c r="C5456" s="106"/>
      <c r="D5456" s="107"/>
      <c r="E5456" s="65"/>
      <c r="F5456" s="64"/>
      <c r="G5456" s="64"/>
      <c r="H5456" s="64"/>
      <c r="I5456" s="70"/>
      <c r="J5456" s="70"/>
      <c r="K5456" s="110" t="str">
        <f>IF(H5456="","",IF($C$29="간이법","",FPR(H5456,I5456,J5456)))</f>
        <v/>
      </c>
      <c r="L5456" s="111" t="str">
        <f>IF(H5456="","",IF($C$29="상세법",FPV(H5456,K5456),IF(H5456="EI",4,IF(H5456="EO",5.2,IF(H5456="EQ",3.9,IF(H5456="ILF",7.5,IF(H5456="EIF",5.4)))))))</f>
        <v/>
      </c>
      <c r="M5456" s="112" t="str">
        <f t="shared" si="88"/>
        <v/>
      </c>
      <c r="N5456" s="113"/>
    </row>
    <row r="5457" spans="2:14">
      <c r="B5457" s="105"/>
      <c r="C5457" s="106"/>
      <c r="D5457" s="107"/>
      <c r="E5457" s="65"/>
      <c r="F5457" s="64"/>
      <c r="G5457" s="64"/>
      <c r="H5457" s="64"/>
      <c r="I5457" s="70"/>
      <c r="J5457" s="70"/>
      <c r="K5457" s="110" t="str">
        <f>IF(H5457="","",IF($C$29="간이법","",FPR(H5457,I5457,J5457)))</f>
        <v/>
      </c>
      <c r="L5457" s="111" t="str">
        <f>IF(H5457="","",IF($C$29="상세법",FPV(H5457,K5457),IF(H5457="EI",4,IF(H5457="EO",5.2,IF(H5457="EQ",3.9,IF(H5457="ILF",7.5,IF(H5457="EIF",5.4)))))))</f>
        <v/>
      </c>
      <c r="M5457" s="112" t="str">
        <f t="shared" si="88"/>
        <v/>
      </c>
      <c r="N5457" s="113"/>
    </row>
    <row r="5458" spans="2:14">
      <c r="B5458" s="105"/>
      <c r="C5458" s="106"/>
      <c r="D5458" s="107"/>
      <c r="E5458" s="65"/>
      <c r="F5458" s="64"/>
      <c r="G5458" s="64"/>
      <c r="H5458" s="64"/>
      <c r="I5458" s="70"/>
      <c r="J5458" s="70"/>
      <c r="K5458" s="110" t="str">
        <f>IF(H5458="","",IF($C$29="간이법","",FPR(H5458,I5458,J5458)))</f>
        <v/>
      </c>
      <c r="L5458" s="111" t="str">
        <f>IF(H5458="","",IF($C$29="상세법",FPV(H5458,K5458),IF(H5458="EI",4,IF(H5458="EO",5.2,IF(H5458="EQ",3.9,IF(H5458="ILF",7.5,IF(H5458="EIF",5.4)))))))</f>
        <v/>
      </c>
      <c r="M5458" s="112" t="str">
        <f t="shared" si="88"/>
        <v/>
      </c>
      <c r="N5458" s="113"/>
    </row>
    <row r="5459" spans="2:14">
      <c r="B5459" s="105"/>
      <c r="C5459" s="106"/>
      <c r="D5459" s="107"/>
      <c r="E5459" s="65"/>
      <c r="F5459" s="64"/>
      <c r="G5459" s="64"/>
      <c r="H5459" s="64"/>
      <c r="I5459" s="70"/>
      <c r="J5459" s="70"/>
      <c r="K5459" s="110" t="str">
        <f>IF(H5459="","",IF($C$29="간이법","",FPR(H5459,I5459,J5459)))</f>
        <v/>
      </c>
      <c r="L5459" s="111" t="str">
        <f>IF(H5459="","",IF($C$29="상세법",FPV(H5459,K5459),IF(H5459="EI",4,IF(H5459="EO",5.2,IF(H5459="EQ",3.9,IF(H5459="ILF",7.5,IF(H5459="EIF",5.4)))))))</f>
        <v/>
      </c>
      <c r="M5459" s="112" t="str">
        <f t="shared" si="88"/>
        <v/>
      </c>
      <c r="N5459" s="113"/>
    </row>
    <row r="5460" spans="2:14">
      <c r="B5460" s="105"/>
      <c r="C5460" s="106"/>
      <c r="D5460" s="107"/>
      <c r="E5460" s="65"/>
      <c r="F5460" s="64"/>
      <c r="G5460" s="64"/>
      <c r="H5460" s="64"/>
      <c r="I5460" s="70"/>
      <c r="J5460" s="70"/>
      <c r="K5460" s="110" t="str">
        <f>IF(H5460="","",IF($C$29="간이법","",FPR(H5460,I5460,J5460)))</f>
        <v/>
      </c>
      <c r="L5460" s="111" t="str">
        <f>IF(H5460="","",IF($C$29="상세법",FPV(H5460,K5460),IF(H5460="EI",4,IF(H5460="EO",5.2,IF(H5460="EQ",3.9,IF(H5460="ILF",7.5,IF(H5460="EIF",5.4)))))))</f>
        <v/>
      </c>
      <c r="M5460" s="112" t="str">
        <f t="shared" si="88"/>
        <v/>
      </c>
      <c r="N5460" s="113"/>
    </row>
    <row r="5461" spans="2:14">
      <c r="B5461" s="105"/>
      <c r="C5461" s="106"/>
      <c r="D5461" s="107"/>
      <c r="E5461" s="65"/>
      <c r="F5461" s="64"/>
      <c r="G5461" s="64"/>
      <c r="H5461" s="64"/>
      <c r="I5461" s="70"/>
      <c r="J5461" s="70"/>
      <c r="K5461" s="110" t="str">
        <f>IF(H5461="","",IF($C$29="간이법","",FPR(H5461,I5461,J5461)))</f>
        <v/>
      </c>
      <c r="L5461" s="111" t="str">
        <f>IF(H5461="","",IF($C$29="상세법",FPV(H5461,K5461),IF(H5461="EI",4,IF(H5461="EO",5.2,IF(H5461="EQ",3.9,IF(H5461="ILF",7.5,IF(H5461="EIF",5.4)))))))</f>
        <v/>
      </c>
      <c r="M5461" s="112" t="str">
        <f t="shared" si="88"/>
        <v/>
      </c>
      <c r="N5461" s="113"/>
    </row>
    <row r="5462" spans="2:14">
      <c r="B5462" s="105"/>
      <c r="C5462" s="106"/>
      <c r="D5462" s="107"/>
      <c r="E5462" s="65"/>
      <c r="F5462" s="64"/>
      <c r="G5462" s="64"/>
      <c r="H5462" s="64"/>
      <c r="I5462" s="70"/>
      <c r="J5462" s="70"/>
      <c r="K5462" s="110" t="str">
        <f>IF(H5462="","",IF($C$29="간이법","",FPR(H5462,I5462,J5462)))</f>
        <v/>
      </c>
      <c r="L5462" s="111" t="str">
        <f>IF(H5462="","",IF($C$29="상세법",FPV(H5462,K5462),IF(H5462="EI",4,IF(H5462="EO",5.2,IF(H5462="EQ",3.9,IF(H5462="ILF",7.5,IF(H5462="EIF",5.4)))))))</f>
        <v/>
      </c>
      <c r="M5462" s="112" t="str">
        <f t="shared" si="88"/>
        <v/>
      </c>
      <c r="N5462" s="113"/>
    </row>
    <row r="5463" spans="2:14">
      <c r="B5463" s="105"/>
      <c r="C5463" s="106"/>
      <c r="D5463" s="107"/>
      <c r="E5463" s="65"/>
      <c r="F5463" s="64"/>
      <c r="G5463" s="64"/>
      <c r="H5463" s="64"/>
      <c r="I5463" s="70"/>
      <c r="J5463" s="70"/>
      <c r="K5463" s="110" t="str">
        <f>IF(H5463="","",IF($C$29="간이법","",FPR(H5463,I5463,J5463)))</f>
        <v/>
      </c>
      <c r="L5463" s="111" t="str">
        <f>IF(H5463="","",IF($C$29="상세법",FPV(H5463,K5463),IF(H5463="EI",4,IF(H5463="EO",5.2,IF(H5463="EQ",3.9,IF(H5463="ILF",7.5,IF(H5463="EIF",5.4)))))))</f>
        <v/>
      </c>
      <c r="M5463" s="112" t="str">
        <f t="shared" si="88"/>
        <v/>
      </c>
      <c r="N5463" s="113"/>
    </row>
    <row r="5464" spans="2:14">
      <c r="B5464" s="105"/>
      <c r="C5464" s="106"/>
      <c r="D5464" s="107"/>
      <c r="E5464" s="65"/>
      <c r="F5464" s="64"/>
      <c r="G5464" s="64"/>
      <c r="H5464" s="64"/>
      <c r="I5464" s="70"/>
      <c r="J5464" s="70"/>
      <c r="K5464" s="110" t="str">
        <f>IF(H5464="","",IF($C$29="간이법","",FPR(H5464,I5464,J5464)))</f>
        <v/>
      </c>
      <c r="L5464" s="111" t="str">
        <f>IF(H5464="","",IF($C$29="상세법",FPV(H5464,K5464),IF(H5464="EI",4,IF(H5464="EO",5.2,IF(H5464="EQ",3.9,IF(H5464="ILF",7.5,IF(H5464="EIF",5.4)))))))</f>
        <v/>
      </c>
      <c r="M5464" s="112" t="str">
        <f t="shared" si="88"/>
        <v/>
      </c>
      <c r="N5464" s="113"/>
    </row>
    <row r="5465" spans="2:14">
      <c r="B5465" s="105"/>
      <c r="C5465" s="106"/>
      <c r="D5465" s="107"/>
      <c r="E5465" s="65"/>
      <c r="F5465" s="64"/>
      <c r="G5465" s="64"/>
      <c r="H5465" s="64"/>
      <c r="I5465" s="70"/>
      <c r="J5465" s="70"/>
      <c r="K5465" s="110" t="str">
        <f>IF(H5465="","",IF($C$29="간이법","",FPR(H5465,I5465,J5465)))</f>
        <v/>
      </c>
      <c r="L5465" s="111" t="str">
        <f>IF(H5465="","",IF($C$29="상세법",FPV(H5465,K5465),IF(H5465="EI",4,IF(H5465="EO",5.2,IF(H5465="EQ",3.9,IF(H5465="ILF",7.5,IF(H5465="EIF",5.4)))))))</f>
        <v/>
      </c>
      <c r="M5465" s="112" t="str">
        <f t="shared" si="88"/>
        <v/>
      </c>
      <c r="N5465" s="113"/>
    </row>
    <row r="5466" spans="2:14">
      <c r="B5466" s="105"/>
      <c r="C5466" s="106"/>
      <c r="D5466" s="107"/>
      <c r="E5466" s="65"/>
      <c r="F5466" s="64"/>
      <c r="G5466" s="64"/>
      <c r="H5466" s="64"/>
      <c r="I5466" s="70"/>
      <c r="J5466" s="70"/>
      <c r="K5466" s="110" t="str">
        <f>IF(H5466="","",IF($C$29="간이법","",FPR(H5466,I5466,J5466)))</f>
        <v/>
      </c>
      <c r="L5466" s="111" t="str">
        <f>IF(H5466="","",IF($C$29="상세법",FPV(H5466,K5466),IF(H5466="EI",4,IF(H5466="EO",5.2,IF(H5466="EQ",3.9,IF(H5466="ILF",7.5,IF(H5466="EIF",5.4)))))))</f>
        <v/>
      </c>
      <c r="M5466" s="112" t="str">
        <f t="shared" si="88"/>
        <v/>
      </c>
      <c r="N5466" s="113"/>
    </row>
    <row r="5467" spans="2:14">
      <c r="B5467" s="105"/>
      <c r="C5467" s="106"/>
      <c r="D5467" s="107"/>
      <c r="E5467" s="65"/>
      <c r="F5467" s="64"/>
      <c r="G5467" s="64"/>
      <c r="H5467" s="64"/>
      <c r="I5467" s="70"/>
      <c r="J5467" s="70"/>
      <c r="K5467" s="110" t="str">
        <f>IF(H5467="","",IF($C$29="간이법","",FPR(H5467,I5467,J5467)))</f>
        <v/>
      </c>
      <c r="L5467" s="111" t="str">
        <f>IF(H5467="","",IF($C$29="상세법",FPV(H5467,K5467),IF(H5467="EI",4,IF(H5467="EO",5.2,IF(H5467="EQ",3.9,IF(H5467="ILF",7.5,IF(H5467="EIF",5.4)))))))</f>
        <v/>
      </c>
      <c r="M5467" s="112" t="str">
        <f t="shared" si="88"/>
        <v/>
      </c>
      <c r="N5467" s="113"/>
    </row>
    <row r="5468" spans="2:14">
      <c r="B5468" s="105"/>
      <c r="C5468" s="106"/>
      <c r="D5468" s="107"/>
      <c r="E5468" s="65"/>
      <c r="F5468" s="64"/>
      <c r="G5468" s="64"/>
      <c r="H5468" s="64"/>
      <c r="I5468" s="70"/>
      <c r="J5468" s="70"/>
      <c r="K5468" s="110" t="str">
        <f>IF(H5468="","",IF($C$29="간이법","",FPR(H5468,I5468,J5468)))</f>
        <v/>
      </c>
      <c r="L5468" s="111" t="str">
        <f>IF(H5468="","",IF($C$29="상세법",FPV(H5468,K5468),IF(H5468="EI",4,IF(H5468="EO",5.2,IF(H5468="EQ",3.9,IF(H5468="ILF",7.5,IF(H5468="EIF",5.4)))))))</f>
        <v/>
      </c>
      <c r="M5468" s="112" t="str">
        <f t="shared" si="88"/>
        <v/>
      </c>
      <c r="N5468" s="113"/>
    </row>
    <row r="5469" spans="2:14">
      <c r="B5469" s="105"/>
      <c r="C5469" s="106"/>
      <c r="D5469" s="107"/>
      <c r="E5469" s="65"/>
      <c r="F5469" s="64"/>
      <c r="G5469" s="64"/>
      <c r="H5469" s="64"/>
      <c r="I5469" s="70"/>
      <c r="J5469" s="70"/>
      <c r="K5469" s="110" t="str">
        <f>IF(H5469="","",IF($C$29="간이법","",FPR(H5469,I5469,J5469)))</f>
        <v/>
      </c>
      <c r="L5469" s="111" t="str">
        <f>IF(H5469="","",IF($C$29="상세법",FPV(H5469,K5469),IF(H5469="EI",4,IF(H5469="EO",5.2,IF(H5469="EQ",3.9,IF(H5469="ILF",7.5,IF(H5469="EIF",5.4)))))))</f>
        <v/>
      </c>
      <c r="M5469" s="112" t="str">
        <f t="shared" si="88"/>
        <v/>
      </c>
      <c r="N5469" s="113"/>
    </row>
    <row r="5470" spans="2:14">
      <c r="B5470" s="105"/>
      <c r="C5470" s="106"/>
      <c r="D5470" s="107"/>
      <c r="E5470" s="65"/>
      <c r="F5470" s="64"/>
      <c r="G5470" s="64"/>
      <c r="H5470" s="64"/>
      <c r="I5470" s="70"/>
      <c r="J5470" s="70"/>
      <c r="K5470" s="110" t="str">
        <f>IF(H5470="","",IF($C$29="간이법","",FPR(H5470,I5470,J5470)))</f>
        <v/>
      </c>
      <c r="L5470" s="111" t="str">
        <f>IF(H5470="","",IF($C$29="상세법",FPV(H5470,K5470),IF(H5470="EI",4,IF(H5470="EO",5.2,IF(H5470="EQ",3.9,IF(H5470="ILF",7.5,IF(H5470="EIF",5.4)))))))</f>
        <v/>
      </c>
      <c r="M5470" s="112" t="str">
        <f t="shared" si="88"/>
        <v/>
      </c>
      <c r="N5470" s="113"/>
    </row>
    <row r="5471" spans="2:14">
      <c r="B5471" s="105"/>
      <c r="C5471" s="106"/>
      <c r="D5471" s="107"/>
      <c r="E5471" s="65"/>
      <c r="F5471" s="64"/>
      <c r="G5471" s="64"/>
      <c r="H5471" s="64"/>
      <c r="I5471" s="70"/>
      <c r="J5471" s="70"/>
      <c r="K5471" s="110" t="str">
        <f>IF(H5471="","",IF($C$29="간이법","",FPR(H5471,I5471,J5471)))</f>
        <v/>
      </c>
      <c r="L5471" s="111" t="str">
        <f>IF(H5471="","",IF($C$29="상세법",FPV(H5471,K5471),IF(H5471="EI",4,IF(H5471="EO",5.2,IF(H5471="EQ",3.9,IF(H5471="ILF",7.5,IF(H5471="EIF",5.4)))))))</f>
        <v/>
      </c>
      <c r="M5471" s="112" t="str">
        <f t="shared" si="88"/>
        <v/>
      </c>
      <c r="N5471" s="113"/>
    </row>
    <row r="5472" spans="2:14">
      <c r="B5472" s="105"/>
      <c r="C5472" s="106"/>
      <c r="D5472" s="107"/>
      <c r="E5472" s="65"/>
      <c r="F5472" s="64"/>
      <c r="G5472" s="64"/>
      <c r="H5472" s="64"/>
      <c r="I5472" s="70"/>
      <c r="J5472" s="70"/>
      <c r="K5472" s="110" t="str">
        <f>IF(H5472="","",IF($C$29="간이법","",FPR(H5472,I5472,J5472)))</f>
        <v/>
      </c>
      <c r="L5472" s="111" t="str">
        <f>IF(H5472="","",IF($C$29="상세법",FPV(H5472,K5472),IF(H5472="EI",4,IF(H5472="EO",5.2,IF(H5472="EQ",3.9,IF(H5472="ILF",7.5,IF(H5472="EIF",5.4)))))))</f>
        <v/>
      </c>
      <c r="M5472" s="112" t="str">
        <f t="shared" si="88"/>
        <v/>
      </c>
      <c r="N5472" s="113"/>
    </row>
    <row r="5473" spans="2:14">
      <c r="B5473" s="105"/>
      <c r="C5473" s="106"/>
      <c r="D5473" s="107"/>
      <c r="E5473" s="65"/>
      <c r="F5473" s="64"/>
      <c r="G5473" s="64"/>
      <c r="H5473" s="64"/>
      <c r="I5473" s="70"/>
      <c r="J5473" s="70"/>
      <c r="K5473" s="110" t="str">
        <f>IF(H5473="","",IF($C$29="간이법","",FPR(H5473,I5473,J5473)))</f>
        <v/>
      </c>
      <c r="L5473" s="111" t="str">
        <f>IF(H5473="","",IF($C$29="상세법",FPV(H5473,K5473),IF(H5473="EI",4,IF(H5473="EO",5.2,IF(H5473="EQ",3.9,IF(H5473="ILF",7.5,IF(H5473="EIF",5.4)))))))</f>
        <v/>
      </c>
      <c r="M5473" s="112" t="str">
        <f t="shared" si="88"/>
        <v/>
      </c>
      <c r="N5473" s="113"/>
    </row>
    <row r="5474" spans="2:14">
      <c r="B5474" s="105"/>
      <c r="C5474" s="106"/>
      <c r="D5474" s="107"/>
      <c r="E5474" s="65"/>
      <c r="F5474" s="64"/>
      <c r="G5474" s="64"/>
      <c r="H5474" s="64"/>
      <c r="I5474" s="70"/>
      <c r="J5474" s="70"/>
      <c r="K5474" s="110" t="str">
        <f>IF(H5474="","",IF($C$29="간이법","",FPR(H5474,I5474,J5474)))</f>
        <v/>
      </c>
      <c r="L5474" s="111" t="str">
        <f>IF(H5474="","",IF($C$29="상세법",FPV(H5474,K5474),IF(H5474="EI",4,IF(H5474="EO",5.2,IF(H5474="EQ",3.9,IF(H5474="ILF",7.5,IF(H5474="EIF",5.4)))))))</f>
        <v/>
      </c>
      <c r="M5474" s="112" t="str">
        <f t="shared" si="88"/>
        <v/>
      </c>
      <c r="N5474" s="113"/>
    </row>
    <row r="5475" spans="2:14">
      <c r="B5475" s="105"/>
      <c r="C5475" s="106"/>
      <c r="D5475" s="107"/>
      <c r="E5475" s="65"/>
      <c r="F5475" s="64"/>
      <c r="G5475" s="64"/>
      <c r="H5475" s="64"/>
      <c r="I5475" s="70"/>
      <c r="J5475" s="70"/>
      <c r="K5475" s="110" t="str">
        <f>IF(H5475="","",IF($C$29="간이법","",FPR(H5475,I5475,J5475)))</f>
        <v/>
      </c>
      <c r="L5475" s="111" t="str">
        <f>IF(H5475="","",IF($C$29="상세법",FPV(H5475,K5475),IF(H5475="EI",4,IF(H5475="EO",5.2,IF(H5475="EQ",3.9,IF(H5475="ILF",7.5,IF(H5475="EIF",5.4)))))))</f>
        <v/>
      </c>
      <c r="M5475" s="112" t="str">
        <f t="shared" si="88"/>
        <v/>
      </c>
      <c r="N5475" s="113"/>
    </row>
    <row r="5476" spans="2:14">
      <c r="B5476" s="105"/>
      <c r="C5476" s="106"/>
      <c r="D5476" s="107"/>
      <c r="E5476" s="65"/>
      <c r="F5476" s="64"/>
      <c r="G5476" s="64"/>
      <c r="H5476" s="64"/>
      <c r="I5476" s="70"/>
      <c r="J5476" s="70"/>
      <c r="K5476" s="110" t="str">
        <f>IF(H5476="","",IF($C$29="간이법","",FPR(H5476,I5476,J5476)))</f>
        <v/>
      </c>
      <c r="L5476" s="111" t="str">
        <f>IF(H5476="","",IF($C$29="상세법",FPV(H5476,K5476),IF(H5476="EI",4,IF(H5476="EO",5.2,IF(H5476="EQ",3.9,IF(H5476="ILF",7.5,IF(H5476="EIF",5.4)))))))</f>
        <v/>
      </c>
      <c r="M5476" s="112" t="str">
        <f t="shared" si="88"/>
        <v/>
      </c>
      <c r="N5476" s="113"/>
    </row>
    <row r="5477" spans="2:14">
      <c r="B5477" s="105"/>
      <c r="C5477" s="106"/>
      <c r="D5477" s="107"/>
      <c r="E5477" s="65"/>
      <c r="F5477" s="64"/>
      <c r="G5477" s="64"/>
      <c r="H5477" s="64"/>
      <c r="I5477" s="70"/>
      <c r="J5477" s="70"/>
      <c r="K5477" s="110" t="str">
        <f>IF(H5477="","",IF($C$29="간이법","",FPR(H5477,I5477,J5477)))</f>
        <v/>
      </c>
      <c r="L5477" s="111" t="str">
        <f>IF(H5477="","",IF($C$29="상세법",FPV(H5477,K5477),IF(H5477="EI",4,IF(H5477="EO",5.2,IF(H5477="EQ",3.9,IF(H5477="ILF",7.5,IF(H5477="EIF",5.4)))))))</f>
        <v/>
      </c>
      <c r="M5477" s="112" t="str">
        <f t="shared" si="88"/>
        <v/>
      </c>
      <c r="N5477" s="113"/>
    </row>
    <row r="5478" spans="2:14">
      <c r="B5478" s="105"/>
      <c r="C5478" s="106"/>
      <c r="D5478" s="107"/>
      <c r="E5478" s="65"/>
      <c r="F5478" s="64"/>
      <c r="G5478" s="64"/>
      <c r="H5478" s="64"/>
      <c r="I5478" s="70"/>
      <c r="J5478" s="70"/>
      <c r="K5478" s="110" t="str">
        <f>IF(H5478="","",IF($C$29="간이법","",FPR(H5478,I5478,J5478)))</f>
        <v/>
      </c>
      <c r="L5478" s="111" t="str">
        <f>IF(H5478="","",IF($C$29="상세법",FPV(H5478,K5478),IF(H5478="EI",4,IF(H5478="EO",5.2,IF(H5478="EQ",3.9,IF(H5478="ILF",7.5,IF(H5478="EIF",5.4)))))))</f>
        <v/>
      </c>
      <c r="M5478" s="112" t="str">
        <f t="shared" si="88"/>
        <v/>
      </c>
      <c r="N5478" s="113"/>
    </row>
    <row r="5479" spans="2:14">
      <c r="B5479" s="105"/>
      <c r="C5479" s="106"/>
      <c r="D5479" s="107"/>
      <c r="E5479" s="65"/>
      <c r="F5479" s="64"/>
      <c r="G5479" s="64"/>
      <c r="H5479" s="64"/>
      <c r="I5479" s="70"/>
      <c r="J5479" s="70"/>
      <c r="K5479" s="110" t="str">
        <f>IF(H5479="","",IF($C$29="간이법","",FPR(H5479,I5479,J5479)))</f>
        <v/>
      </c>
      <c r="L5479" s="111" t="str">
        <f>IF(H5479="","",IF($C$29="상세법",FPV(H5479,K5479),IF(H5479="EI",4,IF(H5479="EO",5.2,IF(H5479="EQ",3.9,IF(H5479="ILF",7.5,IF(H5479="EIF",5.4)))))))</f>
        <v/>
      </c>
      <c r="M5479" s="112" t="str">
        <f t="shared" si="88"/>
        <v/>
      </c>
      <c r="N5479" s="113"/>
    </row>
    <row r="5480" spans="2:14">
      <c r="B5480" s="105"/>
      <c r="C5480" s="106"/>
      <c r="D5480" s="107"/>
      <c r="E5480" s="65"/>
      <c r="F5480" s="64"/>
      <c r="G5480" s="64"/>
      <c r="H5480" s="64"/>
      <c r="I5480" s="70"/>
      <c r="J5480" s="70"/>
      <c r="K5480" s="110" t="str">
        <f>IF(H5480="","",IF($C$29="간이법","",FPR(H5480,I5480,J5480)))</f>
        <v/>
      </c>
      <c r="L5480" s="111" t="str">
        <f>IF(H5480="","",IF($C$29="상세법",FPV(H5480,K5480),IF(H5480="EI",4,IF(H5480="EO",5.2,IF(H5480="EQ",3.9,IF(H5480="ILF",7.5,IF(H5480="EIF",5.4)))))))</f>
        <v/>
      </c>
      <c r="M5480" s="112" t="str">
        <f t="shared" si="88"/>
        <v/>
      </c>
      <c r="N5480" s="113"/>
    </row>
    <row r="5481" spans="2:14">
      <c r="B5481" s="105"/>
      <c r="C5481" s="106"/>
      <c r="D5481" s="107"/>
      <c r="E5481" s="65"/>
      <c r="F5481" s="64"/>
      <c r="G5481" s="64"/>
      <c r="H5481" s="64"/>
      <c r="I5481" s="70"/>
      <c r="J5481" s="70"/>
      <c r="K5481" s="110" t="str">
        <f>IF(H5481="","",IF($C$29="간이법","",FPR(H5481,I5481,J5481)))</f>
        <v/>
      </c>
      <c r="L5481" s="111" t="str">
        <f>IF(H5481="","",IF($C$29="상세법",FPV(H5481,K5481),IF(H5481="EI",4,IF(H5481="EO",5.2,IF(H5481="EQ",3.9,IF(H5481="ILF",7.5,IF(H5481="EIF",5.4)))))))</f>
        <v/>
      </c>
      <c r="M5481" s="112" t="str">
        <f t="shared" si="88"/>
        <v/>
      </c>
      <c r="N5481" s="113"/>
    </row>
    <row r="5482" spans="2:14">
      <c r="B5482" s="105"/>
      <c r="C5482" s="106"/>
      <c r="D5482" s="107"/>
      <c r="E5482" s="65"/>
      <c r="F5482" s="64"/>
      <c r="G5482" s="64"/>
      <c r="H5482" s="64"/>
      <c r="I5482" s="70"/>
      <c r="J5482" s="70"/>
      <c r="K5482" s="110" t="str">
        <f>IF(H5482="","",IF($C$29="간이법","",FPR(H5482,I5482,J5482)))</f>
        <v/>
      </c>
      <c r="L5482" s="111" t="str">
        <f>IF(H5482="","",IF($C$29="상세법",FPV(H5482,K5482),IF(H5482="EI",4,IF(H5482="EO",5.2,IF(H5482="EQ",3.9,IF(H5482="ILF",7.5,IF(H5482="EIF",5.4)))))))</f>
        <v/>
      </c>
      <c r="M5482" s="112" t="str">
        <f t="shared" si="88"/>
        <v/>
      </c>
      <c r="N5482" s="113"/>
    </row>
    <row r="5483" spans="2:14">
      <c r="B5483" s="105"/>
      <c r="C5483" s="106"/>
      <c r="D5483" s="107"/>
      <c r="E5483" s="65"/>
      <c r="F5483" s="64"/>
      <c r="G5483" s="64"/>
      <c r="H5483" s="64"/>
      <c r="I5483" s="70"/>
      <c r="J5483" s="70"/>
      <c r="K5483" s="110" t="str">
        <f>IF(H5483="","",IF($C$29="간이법","",FPR(H5483,I5483,J5483)))</f>
        <v/>
      </c>
      <c r="L5483" s="111" t="str">
        <f>IF(H5483="","",IF($C$29="상세법",FPV(H5483,K5483),IF(H5483="EI",4,IF(H5483="EO",5.2,IF(H5483="EQ",3.9,IF(H5483="ILF",7.5,IF(H5483="EIF",5.4)))))))</f>
        <v/>
      </c>
      <c r="M5483" s="112" t="str">
        <f t="shared" si="88"/>
        <v/>
      </c>
      <c r="N5483" s="113"/>
    </row>
    <row r="5484" spans="2:14">
      <c r="B5484" s="105"/>
      <c r="C5484" s="106"/>
      <c r="D5484" s="107"/>
      <c r="E5484" s="65"/>
      <c r="F5484" s="64"/>
      <c r="G5484" s="64"/>
      <c r="H5484" s="64"/>
      <c r="I5484" s="70"/>
      <c r="J5484" s="70"/>
      <c r="K5484" s="110" t="str">
        <f>IF(H5484="","",IF($C$29="간이법","",FPR(H5484,I5484,J5484)))</f>
        <v/>
      </c>
      <c r="L5484" s="111" t="str">
        <f>IF(H5484="","",IF($C$29="상세법",FPV(H5484,K5484),IF(H5484="EI",4,IF(H5484="EO",5.2,IF(H5484="EQ",3.9,IF(H5484="ILF",7.5,IF(H5484="EIF",5.4)))))))</f>
        <v/>
      </c>
      <c r="M5484" s="112" t="str">
        <f t="shared" si="88"/>
        <v/>
      </c>
      <c r="N5484" s="113"/>
    </row>
    <row r="5485" spans="2:14">
      <c r="B5485" s="105"/>
      <c r="C5485" s="106"/>
      <c r="D5485" s="107"/>
      <c r="E5485" s="65"/>
      <c r="F5485" s="64"/>
      <c r="G5485" s="64"/>
      <c r="H5485" s="64"/>
      <c r="I5485" s="70"/>
      <c r="J5485" s="70"/>
      <c r="K5485" s="110" t="str">
        <f>IF(H5485="","",IF($C$29="간이법","",FPR(H5485,I5485,J5485)))</f>
        <v/>
      </c>
      <c r="L5485" s="111" t="str">
        <f>IF(H5485="","",IF($C$29="상세법",FPV(H5485,K5485),IF(H5485="EI",4,IF(H5485="EO",5.2,IF(H5485="EQ",3.9,IF(H5485="ILF",7.5,IF(H5485="EIF",5.4)))))))</f>
        <v/>
      </c>
      <c r="M5485" s="112" t="str">
        <f t="shared" si="88"/>
        <v/>
      </c>
      <c r="N5485" s="113"/>
    </row>
    <row r="5486" spans="2:14">
      <c r="B5486" s="105"/>
      <c r="C5486" s="106"/>
      <c r="D5486" s="107"/>
      <c r="E5486" s="65"/>
      <c r="F5486" s="64"/>
      <c r="G5486" s="64"/>
      <c r="H5486" s="64"/>
      <c r="I5486" s="70"/>
      <c r="J5486" s="70"/>
      <c r="K5486" s="110" t="str">
        <f>IF(H5486="","",IF($C$29="간이법","",FPR(H5486,I5486,J5486)))</f>
        <v/>
      </c>
      <c r="L5486" s="111" t="str">
        <f>IF(H5486="","",IF($C$29="상세법",FPV(H5486,K5486),IF(H5486="EI",4,IF(H5486="EO",5.2,IF(H5486="EQ",3.9,IF(H5486="ILF",7.5,IF(H5486="EIF",5.4)))))))</f>
        <v/>
      </c>
      <c r="M5486" s="112" t="str">
        <f t="shared" si="88"/>
        <v/>
      </c>
      <c r="N5486" s="113"/>
    </row>
    <row r="5487" spans="2:14">
      <c r="B5487" s="105"/>
      <c r="C5487" s="106"/>
      <c r="D5487" s="107"/>
      <c r="E5487" s="65"/>
      <c r="F5487" s="64"/>
      <c r="G5487" s="64"/>
      <c r="H5487" s="64"/>
      <c r="I5487" s="70"/>
      <c r="J5487" s="70"/>
      <c r="K5487" s="110" t="str">
        <f>IF(H5487="","",IF($C$29="간이법","",FPR(H5487,I5487,J5487)))</f>
        <v/>
      </c>
      <c r="L5487" s="111" t="str">
        <f>IF(H5487="","",IF($C$29="상세법",FPV(H5487,K5487),IF(H5487="EI",4,IF(H5487="EO",5.2,IF(H5487="EQ",3.9,IF(H5487="ILF",7.5,IF(H5487="EIF",5.4)))))))</f>
        <v/>
      </c>
      <c r="M5487" s="112" t="str">
        <f t="shared" si="88"/>
        <v/>
      </c>
      <c r="N5487" s="113"/>
    </row>
    <row r="5488" spans="2:14">
      <c r="B5488" s="105"/>
      <c r="C5488" s="106"/>
      <c r="D5488" s="107"/>
      <c r="E5488" s="65"/>
      <c r="F5488" s="64"/>
      <c r="G5488" s="64"/>
      <c r="H5488" s="64"/>
      <c r="I5488" s="70"/>
      <c r="J5488" s="70"/>
      <c r="K5488" s="110" t="str">
        <f>IF(H5488="","",IF($C$29="간이법","",FPR(H5488,I5488,J5488)))</f>
        <v/>
      </c>
      <c r="L5488" s="111" t="str">
        <f>IF(H5488="","",IF($C$29="상세법",FPV(H5488,K5488),IF(H5488="EI",4,IF(H5488="EO",5.2,IF(H5488="EQ",3.9,IF(H5488="ILF",7.5,IF(H5488="EIF",5.4)))))))</f>
        <v/>
      </c>
      <c r="M5488" s="112" t="str">
        <f t="shared" si="88"/>
        <v/>
      </c>
      <c r="N5488" s="113"/>
    </row>
    <row r="5489" spans="2:14">
      <c r="B5489" s="105"/>
      <c r="C5489" s="106"/>
      <c r="D5489" s="107"/>
      <c r="E5489" s="65"/>
      <c r="F5489" s="64"/>
      <c r="G5489" s="64"/>
      <c r="H5489" s="64"/>
      <c r="I5489" s="70"/>
      <c r="J5489" s="70"/>
      <c r="K5489" s="110" t="str">
        <f>IF(H5489="","",IF($C$29="간이법","",FPR(H5489,I5489,J5489)))</f>
        <v/>
      </c>
      <c r="L5489" s="111" t="str">
        <f>IF(H5489="","",IF($C$29="상세법",FPV(H5489,K5489),IF(H5489="EI",4,IF(H5489="EO",5.2,IF(H5489="EQ",3.9,IF(H5489="ILF",7.5,IF(H5489="EIF",5.4)))))))</f>
        <v/>
      </c>
      <c r="M5489" s="112" t="str">
        <f t="shared" si="88"/>
        <v/>
      </c>
      <c r="N5489" s="113"/>
    </row>
    <row r="5490" spans="2:14">
      <c r="B5490" s="105"/>
      <c r="C5490" s="106"/>
      <c r="D5490" s="107"/>
      <c r="E5490" s="65"/>
      <c r="F5490" s="64"/>
      <c r="G5490" s="64"/>
      <c r="H5490" s="64"/>
      <c r="I5490" s="70"/>
      <c r="J5490" s="70"/>
      <c r="K5490" s="110" t="str">
        <f>IF(H5490="","",IF($C$29="간이법","",FPR(H5490,I5490,J5490)))</f>
        <v/>
      </c>
      <c r="L5490" s="111" t="str">
        <f>IF(H5490="","",IF($C$29="상세법",FPV(H5490,K5490),IF(H5490="EI",4,IF(H5490="EO",5.2,IF(H5490="EQ",3.9,IF(H5490="ILF",7.5,IF(H5490="EIF",5.4)))))))</f>
        <v/>
      </c>
      <c r="M5490" s="112" t="str">
        <f t="shared" si="88"/>
        <v/>
      </c>
      <c r="N5490" s="113"/>
    </row>
    <row r="5491" spans="2:14">
      <c r="B5491" s="105"/>
      <c r="C5491" s="106"/>
      <c r="D5491" s="107"/>
      <c r="E5491" s="65"/>
      <c r="F5491" s="64"/>
      <c r="G5491" s="64"/>
      <c r="H5491" s="64"/>
      <c r="I5491" s="70"/>
      <c r="J5491" s="70"/>
      <c r="K5491" s="110" t="str">
        <f>IF(H5491="","",IF($C$29="간이법","",FPR(H5491,I5491,J5491)))</f>
        <v/>
      </c>
      <c r="L5491" s="111" t="str">
        <f>IF(H5491="","",IF($C$29="상세법",FPV(H5491,K5491),IF(H5491="EI",4,IF(H5491="EO",5.2,IF(H5491="EQ",3.9,IF(H5491="ILF",7.5,IF(H5491="EIF",5.4)))))))</f>
        <v/>
      </c>
      <c r="M5491" s="112" t="str">
        <f t="shared" si="88"/>
        <v/>
      </c>
      <c r="N5491" s="113"/>
    </row>
    <row r="5492" spans="2:14">
      <c r="B5492" s="105"/>
      <c r="C5492" s="106"/>
      <c r="D5492" s="107"/>
      <c r="E5492" s="65"/>
      <c r="F5492" s="64"/>
      <c r="G5492" s="64"/>
      <c r="H5492" s="64"/>
      <c r="I5492" s="70"/>
      <c r="J5492" s="70"/>
      <c r="K5492" s="110" t="str">
        <f>IF(H5492="","",IF($C$29="간이법","",FPR(H5492,I5492,J5492)))</f>
        <v/>
      </c>
      <c r="L5492" s="111" t="str">
        <f>IF(H5492="","",IF($C$29="상세법",FPV(H5492,K5492),IF(H5492="EI",4,IF(H5492="EO",5.2,IF(H5492="EQ",3.9,IF(H5492="ILF",7.5,IF(H5492="EIF",5.4)))))))</f>
        <v/>
      </c>
      <c r="M5492" s="112" t="str">
        <f t="shared" si="88"/>
        <v/>
      </c>
      <c r="N5492" s="113"/>
    </row>
    <row r="5493" spans="2:14">
      <c r="B5493" s="105"/>
      <c r="C5493" s="106"/>
      <c r="D5493" s="107"/>
      <c r="E5493" s="65"/>
      <c r="F5493" s="64"/>
      <c r="G5493" s="64"/>
      <c r="H5493" s="64"/>
      <c r="I5493" s="70"/>
      <c r="J5493" s="70"/>
      <c r="K5493" s="110" t="str">
        <f>IF(H5493="","",IF($C$29="간이법","",FPR(H5493,I5493,J5493)))</f>
        <v/>
      </c>
      <c r="L5493" s="111" t="str">
        <f>IF(H5493="","",IF($C$29="상세법",FPV(H5493,K5493),IF(H5493="EI",4,IF(H5493="EO",5.2,IF(H5493="EQ",3.9,IF(H5493="ILF",7.5,IF(H5493="EIF",5.4)))))))</f>
        <v/>
      </c>
      <c r="M5493" s="112" t="str">
        <f t="shared" si="88"/>
        <v/>
      </c>
      <c r="N5493" s="113"/>
    </row>
    <row r="5494" spans="2:14">
      <c r="B5494" s="105"/>
      <c r="C5494" s="106"/>
      <c r="D5494" s="107"/>
      <c r="E5494" s="65"/>
      <c r="F5494" s="64"/>
      <c r="G5494" s="64"/>
      <c r="H5494" s="64"/>
      <c r="I5494" s="70"/>
      <c r="J5494" s="70"/>
      <c r="K5494" s="110" t="str">
        <f>IF(H5494="","",IF($C$29="간이법","",FPR(H5494,I5494,J5494)))</f>
        <v/>
      </c>
      <c r="L5494" s="111" t="str">
        <f>IF(H5494="","",IF($C$29="상세법",FPV(H5494,K5494),IF(H5494="EI",4,IF(H5494="EO",5.2,IF(H5494="EQ",3.9,IF(H5494="ILF",7.5,IF(H5494="EIF",5.4)))))))</f>
        <v/>
      </c>
      <c r="M5494" s="112" t="str">
        <f t="shared" si="88"/>
        <v/>
      </c>
      <c r="N5494" s="113"/>
    </row>
    <row r="5495" spans="2:14">
      <c r="B5495" s="105"/>
      <c r="C5495" s="106"/>
      <c r="D5495" s="107"/>
      <c r="E5495" s="65"/>
      <c r="F5495" s="64"/>
      <c r="G5495" s="64"/>
      <c r="H5495" s="64"/>
      <c r="I5495" s="70"/>
      <c r="J5495" s="70"/>
      <c r="K5495" s="110" t="str">
        <f>IF(H5495="","",IF($C$29="간이법","",FPR(H5495,I5495,J5495)))</f>
        <v/>
      </c>
      <c r="L5495" s="111" t="str">
        <f>IF(H5495="","",IF($C$29="상세법",FPV(H5495,K5495),IF(H5495="EI",4,IF(H5495="EO",5.2,IF(H5495="EQ",3.9,IF(H5495="ILF",7.5,IF(H5495="EIF",5.4)))))))</f>
        <v/>
      </c>
      <c r="M5495" s="112" t="str">
        <f t="shared" si="88"/>
        <v/>
      </c>
      <c r="N5495" s="113"/>
    </row>
    <row r="5496" spans="2:14">
      <c r="B5496" s="105"/>
      <c r="C5496" s="106"/>
      <c r="D5496" s="107"/>
      <c r="E5496" s="65"/>
      <c r="F5496" s="64"/>
      <c r="G5496" s="64"/>
      <c r="H5496" s="64"/>
      <c r="I5496" s="70"/>
      <c r="J5496" s="70"/>
      <c r="K5496" s="110" t="str">
        <f>IF(H5496="","",IF($C$29="간이법","",FPR(H5496,I5496,J5496)))</f>
        <v/>
      </c>
      <c r="L5496" s="111" t="str">
        <f>IF(H5496="","",IF($C$29="상세법",FPV(H5496,K5496),IF(H5496="EI",4,IF(H5496="EO",5.2,IF(H5496="EQ",3.9,IF(H5496="ILF",7.5,IF(H5496="EIF",5.4)))))))</f>
        <v/>
      </c>
      <c r="M5496" s="112" t="str">
        <f t="shared" si="88"/>
        <v/>
      </c>
      <c r="N5496" s="113"/>
    </row>
    <row r="5497" spans="2:14">
      <c r="B5497" s="105"/>
      <c r="C5497" s="106"/>
      <c r="D5497" s="107"/>
      <c r="E5497" s="65"/>
      <c r="F5497" s="64"/>
      <c r="G5497" s="64"/>
      <c r="H5497" s="64"/>
      <c r="I5497" s="70"/>
      <c r="J5497" s="70"/>
      <c r="K5497" s="110" t="str">
        <f>IF(H5497="","",IF($C$29="간이법","",FPR(H5497,I5497,J5497)))</f>
        <v/>
      </c>
      <c r="L5497" s="111" t="str">
        <f>IF(H5497="","",IF($C$29="상세법",FPV(H5497,K5497),IF(H5497="EI",4,IF(H5497="EO",5.2,IF(H5497="EQ",3.9,IF(H5497="ILF",7.5,IF(H5497="EIF",5.4)))))))</f>
        <v/>
      </c>
      <c r="M5497" s="112" t="str">
        <f t="shared" ref="M5497:M5560" si="89">IF(L5497="","",L5497*IF(G5497="상",0.7,IF(G5497="중",0.5,IF(G5497="하",0.2,1))))</f>
        <v/>
      </c>
      <c r="N5497" s="113"/>
    </row>
    <row r="5498" spans="2:14">
      <c r="B5498" s="105"/>
      <c r="C5498" s="106"/>
      <c r="D5498" s="107"/>
      <c r="E5498" s="65"/>
      <c r="F5498" s="64"/>
      <c r="G5498" s="64"/>
      <c r="H5498" s="64"/>
      <c r="I5498" s="70"/>
      <c r="J5498" s="70"/>
      <c r="K5498" s="110" t="str">
        <f>IF(H5498="","",IF($C$29="간이법","",FPR(H5498,I5498,J5498)))</f>
        <v/>
      </c>
      <c r="L5498" s="111" t="str">
        <f>IF(H5498="","",IF($C$29="상세법",FPV(H5498,K5498),IF(H5498="EI",4,IF(H5498="EO",5.2,IF(H5498="EQ",3.9,IF(H5498="ILF",7.5,IF(H5498="EIF",5.4)))))))</f>
        <v/>
      </c>
      <c r="M5498" s="112" t="str">
        <f t="shared" si="89"/>
        <v/>
      </c>
      <c r="N5498" s="113"/>
    </row>
    <row r="5499" spans="2:14">
      <c r="B5499" s="105"/>
      <c r="C5499" s="106"/>
      <c r="D5499" s="107"/>
      <c r="E5499" s="65"/>
      <c r="F5499" s="64"/>
      <c r="G5499" s="64"/>
      <c r="H5499" s="64"/>
      <c r="I5499" s="70"/>
      <c r="J5499" s="70"/>
      <c r="K5499" s="110" t="str">
        <f>IF(H5499="","",IF($C$29="간이법","",FPR(H5499,I5499,J5499)))</f>
        <v/>
      </c>
      <c r="L5499" s="111" t="str">
        <f>IF(H5499="","",IF($C$29="상세법",FPV(H5499,K5499),IF(H5499="EI",4,IF(H5499="EO",5.2,IF(H5499="EQ",3.9,IF(H5499="ILF",7.5,IF(H5499="EIF",5.4)))))))</f>
        <v/>
      </c>
      <c r="M5499" s="112" t="str">
        <f t="shared" si="89"/>
        <v/>
      </c>
      <c r="N5499" s="113"/>
    </row>
    <row r="5500" spans="2:14">
      <c r="B5500" s="105"/>
      <c r="C5500" s="106"/>
      <c r="D5500" s="107"/>
      <c r="E5500" s="65"/>
      <c r="F5500" s="64"/>
      <c r="G5500" s="64"/>
      <c r="H5500" s="64"/>
      <c r="I5500" s="70"/>
      <c r="J5500" s="70"/>
      <c r="K5500" s="110" t="str">
        <f>IF(H5500="","",IF($C$29="간이법","",FPR(H5500,I5500,J5500)))</f>
        <v/>
      </c>
      <c r="L5500" s="111" t="str">
        <f>IF(H5500="","",IF($C$29="상세법",FPV(H5500,K5500),IF(H5500="EI",4,IF(H5500="EO",5.2,IF(H5500="EQ",3.9,IF(H5500="ILF",7.5,IF(H5500="EIF",5.4)))))))</f>
        <v/>
      </c>
      <c r="M5500" s="112" t="str">
        <f t="shared" si="89"/>
        <v/>
      </c>
      <c r="N5500" s="113"/>
    </row>
    <row r="5501" spans="2:14">
      <c r="B5501" s="105"/>
      <c r="C5501" s="106"/>
      <c r="D5501" s="107"/>
      <c r="E5501" s="65"/>
      <c r="F5501" s="64"/>
      <c r="G5501" s="64"/>
      <c r="H5501" s="64"/>
      <c r="I5501" s="70"/>
      <c r="J5501" s="70"/>
      <c r="K5501" s="110" t="str">
        <f>IF(H5501="","",IF($C$29="간이법","",FPR(H5501,I5501,J5501)))</f>
        <v/>
      </c>
      <c r="L5501" s="111" t="str">
        <f>IF(H5501="","",IF($C$29="상세법",FPV(H5501,K5501),IF(H5501="EI",4,IF(H5501="EO",5.2,IF(H5501="EQ",3.9,IF(H5501="ILF",7.5,IF(H5501="EIF",5.4)))))))</f>
        <v/>
      </c>
      <c r="M5501" s="112" t="str">
        <f t="shared" si="89"/>
        <v/>
      </c>
      <c r="N5501" s="113"/>
    </row>
    <row r="5502" spans="2:14">
      <c r="B5502" s="105"/>
      <c r="C5502" s="106"/>
      <c r="D5502" s="107"/>
      <c r="E5502" s="65"/>
      <c r="F5502" s="64"/>
      <c r="G5502" s="64"/>
      <c r="H5502" s="64"/>
      <c r="I5502" s="70"/>
      <c r="J5502" s="70"/>
      <c r="K5502" s="110" t="str">
        <f>IF(H5502="","",IF($C$29="간이법","",FPR(H5502,I5502,J5502)))</f>
        <v/>
      </c>
      <c r="L5502" s="111" t="str">
        <f>IF(H5502="","",IF($C$29="상세법",FPV(H5502,K5502),IF(H5502="EI",4,IF(H5502="EO",5.2,IF(H5502="EQ",3.9,IF(H5502="ILF",7.5,IF(H5502="EIF",5.4)))))))</f>
        <v/>
      </c>
      <c r="M5502" s="112" t="str">
        <f t="shared" si="89"/>
        <v/>
      </c>
      <c r="N5502" s="113"/>
    </row>
    <row r="5503" spans="2:14">
      <c r="B5503" s="105"/>
      <c r="C5503" s="106"/>
      <c r="D5503" s="107"/>
      <c r="E5503" s="65"/>
      <c r="F5503" s="64"/>
      <c r="G5503" s="64"/>
      <c r="H5503" s="64"/>
      <c r="I5503" s="70"/>
      <c r="J5503" s="70"/>
      <c r="K5503" s="110" t="str">
        <f>IF(H5503="","",IF($C$29="간이법","",FPR(H5503,I5503,J5503)))</f>
        <v/>
      </c>
      <c r="L5503" s="111" t="str">
        <f>IF(H5503="","",IF($C$29="상세법",FPV(H5503,K5503),IF(H5503="EI",4,IF(H5503="EO",5.2,IF(H5503="EQ",3.9,IF(H5503="ILF",7.5,IF(H5503="EIF",5.4)))))))</f>
        <v/>
      </c>
      <c r="M5503" s="112" t="str">
        <f t="shared" si="89"/>
        <v/>
      </c>
      <c r="N5503" s="113"/>
    </row>
    <row r="5504" spans="2:14">
      <c r="B5504" s="105"/>
      <c r="C5504" s="106"/>
      <c r="D5504" s="107"/>
      <c r="E5504" s="65"/>
      <c r="F5504" s="64"/>
      <c r="G5504" s="64"/>
      <c r="H5504" s="64"/>
      <c r="I5504" s="70"/>
      <c r="J5504" s="70"/>
      <c r="K5504" s="110" t="str">
        <f>IF(H5504="","",IF($C$29="간이법","",FPR(H5504,I5504,J5504)))</f>
        <v/>
      </c>
      <c r="L5504" s="111" t="str">
        <f>IF(H5504="","",IF($C$29="상세법",FPV(H5504,K5504),IF(H5504="EI",4,IF(H5504="EO",5.2,IF(H5504="EQ",3.9,IF(H5504="ILF",7.5,IF(H5504="EIF",5.4)))))))</f>
        <v/>
      </c>
      <c r="M5504" s="112" t="str">
        <f t="shared" si="89"/>
        <v/>
      </c>
      <c r="N5504" s="113"/>
    </row>
    <row r="5505" spans="2:14">
      <c r="B5505" s="105"/>
      <c r="C5505" s="106"/>
      <c r="D5505" s="107"/>
      <c r="E5505" s="65"/>
      <c r="F5505" s="64"/>
      <c r="G5505" s="64"/>
      <c r="H5505" s="64"/>
      <c r="I5505" s="70"/>
      <c r="J5505" s="70"/>
      <c r="K5505" s="110" t="str">
        <f>IF(H5505="","",IF($C$29="간이법","",FPR(H5505,I5505,J5505)))</f>
        <v/>
      </c>
      <c r="L5505" s="111" t="str">
        <f>IF(H5505="","",IF($C$29="상세법",FPV(H5505,K5505),IF(H5505="EI",4,IF(H5505="EO",5.2,IF(H5505="EQ",3.9,IF(H5505="ILF",7.5,IF(H5505="EIF",5.4)))))))</f>
        <v/>
      </c>
      <c r="M5505" s="112" t="str">
        <f t="shared" si="89"/>
        <v/>
      </c>
      <c r="N5505" s="113"/>
    </row>
    <row r="5506" spans="2:14">
      <c r="B5506" s="105"/>
      <c r="C5506" s="106"/>
      <c r="D5506" s="107"/>
      <c r="E5506" s="65"/>
      <c r="F5506" s="64"/>
      <c r="G5506" s="64"/>
      <c r="H5506" s="64"/>
      <c r="I5506" s="70"/>
      <c r="J5506" s="70"/>
      <c r="K5506" s="110" t="str">
        <f>IF(H5506="","",IF($C$29="간이법","",FPR(H5506,I5506,J5506)))</f>
        <v/>
      </c>
      <c r="L5506" s="111" t="str">
        <f>IF(H5506="","",IF($C$29="상세법",FPV(H5506,K5506),IF(H5506="EI",4,IF(H5506="EO",5.2,IF(H5506="EQ",3.9,IF(H5506="ILF",7.5,IF(H5506="EIF",5.4)))))))</f>
        <v/>
      </c>
      <c r="M5506" s="112" t="str">
        <f t="shared" si="89"/>
        <v/>
      </c>
      <c r="N5506" s="113"/>
    </row>
    <row r="5507" spans="2:14">
      <c r="B5507" s="105"/>
      <c r="C5507" s="106"/>
      <c r="D5507" s="107"/>
      <c r="E5507" s="65"/>
      <c r="F5507" s="64"/>
      <c r="G5507" s="64"/>
      <c r="H5507" s="64"/>
      <c r="I5507" s="70"/>
      <c r="J5507" s="70"/>
      <c r="K5507" s="110" t="str">
        <f>IF(H5507="","",IF($C$29="간이법","",FPR(H5507,I5507,J5507)))</f>
        <v/>
      </c>
      <c r="L5507" s="111" t="str">
        <f>IF(H5507="","",IF($C$29="상세법",FPV(H5507,K5507),IF(H5507="EI",4,IF(H5507="EO",5.2,IF(H5507="EQ",3.9,IF(H5507="ILF",7.5,IF(H5507="EIF",5.4)))))))</f>
        <v/>
      </c>
      <c r="M5507" s="112" t="str">
        <f t="shared" si="89"/>
        <v/>
      </c>
      <c r="N5507" s="113"/>
    </row>
    <row r="5508" spans="2:14">
      <c r="B5508" s="105"/>
      <c r="C5508" s="106"/>
      <c r="D5508" s="107"/>
      <c r="E5508" s="65"/>
      <c r="F5508" s="64"/>
      <c r="G5508" s="64"/>
      <c r="H5508" s="64"/>
      <c r="I5508" s="70"/>
      <c r="J5508" s="70"/>
      <c r="K5508" s="110" t="str">
        <f>IF(H5508="","",IF($C$29="간이법","",FPR(H5508,I5508,J5508)))</f>
        <v/>
      </c>
      <c r="L5508" s="111" t="str">
        <f>IF(H5508="","",IF($C$29="상세법",FPV(H5508,K5508),IF(H5508="EI",4,IF(H5508="EO",5.2,IF(H5508="EQ",3.9,IF(H5508="ILF",7.5,IF(H5508="EIF",5.4)))))))</f>
        <v/>
      </c>
      <c r="M5508" s="112" t="str">
        <f t="shared" si="89"/>
        <v/>
      </c>
      <c r="N5508" s="113"/>
    </row>
    <row r="5509" spans="2:14">
      <c r="B5509" s="105"/>
      <c r="C5509" s="106"/>
      <c r="D5509" s="107"/>
      <c r="E5509" s="65"/>
      <c r="F5509" s="64"/>
      <c r="G5509" s="64"/>
      <c r="H5509" s="64"/>
      <c r="I5509" s="70"/>
      <c r="J5509" s="70"/>
      <c r="K5509" s="110" t="str">
        <f>IF(H5509="","",IF($C$29="간이법","",FPR(H5509,I5509,J5509)))</f>
        <v/>
      </c>
      <c r="L5509" s="111" t="str">
        <f>IF(H5509="","",IF($C$29="상세법",FPV(H5509,K5509),IF(H5509="EI",4,IF(H5509="EO",5.2,IF(H5509="EQ",3.9,IF(H5509="ILF",7.5,IF(H5509="EIF",5.4)))))))</f>
        <v/>
      </c>
      <c r="M5509" s="112" t="str">
        <f t="shared" si="89"/>
        <v/>
      </c>
      <c r="N5509" s="113"/>
    </row>
    <row r="5510" spans="2:14">
      <c r="B5510" s="105"/>
      <c r="C5510" s="106"/>
      <c r="D5510" s="107"/>
      <c r="E5510" s="65"/>
      <c r="F5510" s="64"/>
      <c r="G5510" s="64"/>
      <c r="H5510" s="64"/>
      <c r="I5510" s="70"/>
      <c r="J5510" s="70"/>
      <c r="K5510" s="110" t="str">
        <f>IF(H5510="","",IF($C$29="간이법","",FPR(H5510,I5510,J5510)))</f>
        <v/>
      </c>
      <c r="L5510" s="111" t="str">
        <f>IF(H5510="","",IF($C$29="상세법",FPV(H5510,K5510),IF(H5510="EI",4,IF(H5510="EO",5.2,IF(H5510="EQ",3.9,IF(H5510="ILF",7.5,IF(H5510="EIF",5.4)))))))</f>
        <v/>
      </c>
      <c r="M5510" s="112" t="str">
        <f t="shared" si="89"/>
        <v/>
      </c>
      <c r="N5510" s="113"/>
    </row>
    <row r="5511" spans="2:14">
      <c r="B5511" s="105"/>
      <c r="C5511" s="106"/>
      <c r="D5511" s="107"/>
      <c r="E5511" s="65"/>
      <c r="F5511" s="64"/>
      <c r="G5511" s="64"/>
      <c r="H5511" s="64"/>
      <c r="I5511" s="70"/>
      <c r="J5511" s="70"/>
      <c r="K5511" s="110" t="str">
        <f>IF(H5511="","",IF($C$29="간이법","",FPR(H5511,I5511,J5511)))</f>
        <v/>
      </c>
      <c r="L5511" s="111" t="str">
        <f>IF(H5511="","",IF($C$29="상세법",FPV(H5511,K5511),IF(H5511="EI",4,IF(H5511="EO",5.2,IF(H5511="EQ",3.9,IF(H5511="ILF",7.5,IF(H5511="EIF",5.4)))))))</f>
        <v/>
      </c>
      <c r="M5511" s="112" t="str">
        <f t="shared" si="89"/>
        <v/>
      </c>
      <c r="N5511" s="113"/>
    </row>
    <row r="5512" spans="2:14">
      <c r="B5512" s="105"/>
      <c r="C5512" s="106"/>
      <c r="D5512" s="107"/>
      <c r="E5512" s="65"/>
      <c r="F5512" s="64"/>
      <c r="G5512" s="64"/>
      <c r="H5512" s="64"/>
      <c r="I5512" s="70"/>
      <c r="J5512" s="70"/>
      <c r="K5512" s="110" t="str">
        <f>IF(H5512="","",IF($C$29="간이법","",FPR(H5512,I5512,J5512)))</f>
        <v/>
      </c>
      <c r="L5512" s="111" t="str">
        <f>IF(H5512="","",IF($C$29="상세법",FPV(H5512,K5512),IF(H5512="EI",4,IF(H5512="EO",5.2,IF(H5512="EQ",3.9,IF(H5512="ILF",7.5,IF(H5512="EIF",5.4)))))))</f>
        <v/>
      </c>
      <c r="M5512" s="112" t="str">
        <f t="shared" si="89"/>
        <v/>
      </c>
      <c r="N5512" s="113"/>
    </row>
    <row r="5513" spans="2:14">
      <c r="B5513" s="105"/>
      <c r="C5513" s="106"/>
      <c r="D5513" s="107"/>
      <c r="E5513" s="65"/>
      <c r="F5513" s="64"/>
      <c r="G5513" s="64"/>
      <c r="H5513" s="64"/>
      <c r="I5513" s="70"/>
      <c r="J5513" s="70"/>
      <c r="K5513" s="110" t="str">
        <f>IF(H5513="","",IF($C$29="간이법","",FPR(H5513,I5513,J5513)))</f>
        <v/>
      </c>
      <c r="L5513" s="111" t="str">
        <f>IF(H5513="","",IF($C$29="상세법",FPV(H5513,K5513),IF(H5513="EI",4,IF(H5513="EO",5.2,IF(H5513="EQ",3.9,IF(H5513="ILF",7.5,IF(H5513="EIF",5.4)))))))</f>
        <v/>
      </c>
      <c r="M5513" s="112" t="str">
        <f t="shared" si="89"/>
        <v/>
      </c>
      <c r="N5513" s="113"/>
    </row>
    <row r="5514" spans="2:14">
      <c r="B5514" s="105"/>
      <c r="C5514" s="106"/>
      <c r="D5514" s="107"/>
      <c r="E5514" s="65"/>
      <c r="F5514" s="64"/>
      <c r="G5514" s="64"/>
      <c r="H5514" s="64"/>
      <c r="I5514" s="70"/>
      <c r="J5514" s="70"/>
      <c r="K5514" s="110" t="str">
        <f>IF(H5514="","",IF($C$29="간이법","",FPR(H5514,I5514,J5514)))</f>
        <v/>
      </c>
      <c r="L5514" s="111" t="str">
        <f>IF(H5514="","",IF($C$29="상세법",FPV(H5514,K5514),IF(H5514="EI",4,IF(H5514="EO",5.2,IF(H5514="EQ",3.9,IF(H5514="ILF",7.5,IF(H5514="EIF",5.4)))))))</f>
        <v/>
      </c>
      <c r="M5514" s="112" t="str">
        <f t="shared" si="89"/>
        <v/>
      </c>
      <c r="N5514" s="113"/>
    </row>
    <row r="5515" spans="2:14">
      <c r="B5515" s="105"/>
      <c r="C5515" s="106"/>
      <c r="D5515" s="107"/>
      <c r="E5515" s="65"/>
      <c r="F5515" s="64"/>
      <c r="G5515" s="64"/>
      <c r="H5515" s="64"/>
      <c r="I5515" s="70"/>
      <c r="J5515" s="70"/>
      <c r="K5515" s="110" t="str">
        <f>IF(H5515="","",IF($C$29="간이법","",FPR(H5515,I5515,J5515)))</f>
        <v/>
      </c>
      <c r="L5515" s="111" t="str">
        <f>IF(H5515="","",IF($C$29="상세법",FPV(H5515,K5515),IF(H5515="EI",4,IF(H5515="EO",5.2,IF(H5515="EQ",3.9,IF(H5515="ILF",7.5,IF(H5515="EIF",5.4)))))))</f>
        <v/>
      </c>
      <c r="M5515" s="112" t="str">
        <f t="shared" si="89"/>
        <v/>
      </c>
      <c r="N5515" s="113"/>
    </row>
    <row r="5516" spans="2:14">
      <c r="B5516" s="105"/>
      <c r="C5516" s="106"/>
      <c r="D5516" s="107"/>
      <c r="E5516" s="65"/>
      <c r="F5516" s="64"/>
      <c r="G5516" s="64"/>
      <c r="H5516" s="64"/>
      <c r="I5516" s="70"/>
      <c r="J5516" s="70"/>
      <c r="K5516" s="110" t="str">
        <f>IF(H5516="","",IF($C$29="간이법","",FPR(H5516,I5516,J5516)))</f>
        <v/>
      </c>
      <c r="L5516" s="111" t="str">
        <f>IF(H5516="","",IF($C$29="상세법",FPV(H5516,K5516),IF(H5516="EI",4,IF(H5516="EO",5.2,IF(H5516="EQ",3.9,IF(H5516="ILF",7.5,IF(H5516="EIF",5.4)))))))</f>
        <v/>
      </c>
      <c r="M5516" s="112" t="str">
        <f t="shared" si="89"/>
        <v/>
      </c>
      <c r="N5516" s="113"/>
    </row>
    <row r="5517" spans="2:14">
      <c r="B5517" s="105"/>
      <c r="C5517" s="106"/>
      <c r="D5517" s="107"/>
      <c r="E5517" s="65"/>
      <c r="F5517" s="64"/>
      <c r="G5517" s="64"/>
      <c r="H5517" s="64"/>
      <c r="I5517" s="70"/>
      <c r="J5517" s="70"/>
      <c r="K5517" s="110" t="str">
        <f>IF(H5517="","",IF($C$29="간이법","",FPR(H5517,I5517,J5517)))</f>
        <v/>
      </c>
      <c r="L5517" s="111" t="str">
        <f>IF(H5517="","",IF($C$29="상세법",FPV(H5517,K5517),IF(H5517="EI",4,IF(H5517="EO",5.2,IF(H5517="EQ",3.9,IF(H5517="ILF",7.5,IF(H5517="EIF",5.4)))))))</f>
        <v/>
      </c>
      <c r="M5517" s="112" t="str">
        <f t="shared" si="89"/>
        <v/>
      </c>
      <c r="N5517" s="113"/>
    </row>
    <row r="5518" spans="2:14">
      <c r="B5518" s="105"/>
      <c r="C5518" s="106"/>
      <c r="D5518" s="107"/>
      <c r="E5518" s="65"/>
      <c r="F5518" s="64"/>
      <c r="G5518" s="64"/>
      <c r="H5518" s="64"/>
      <c r="I5518" s="70"/>
      <c r="J5518" s="70"/>
      <c r="K5518" s="110" t="str">
        <f>IF(H5518="","",IF($C$29="간이법","",FPR(H5518,I5518,J5518)))</f>
        <v/>
      </c>
      <c r="L5518" s="111" t="str">
        <f>IF(H5518="","",IF($C$29="상세법",FPV(H5518,K5518),IF(H5518="EI",4,IF(H5518="EO",5.2,IF(H5518="EQ",3.9,IF(H5518="ILF",7.5,IF(H5518="EIF",5.4)))))))</f>
        <v/>
      </c>
      <c r="M5518" s="112" t="str">
        <f t="shared" si="89"/>
        <v/>
      </c>
      <c r="N5518" s="113"/>
    </row>
    <row r="5519" spans="2:14">
      <c r="B5519" s="105"/>
      <c r="C5519" s="106"/>
      <c r="D5519" s="107"/>
      <c r="E5519" s="65"/>
      <c r="F5519" s="64"/>
      <c r="G5519" s="64"/>
      <c r="H5519" s="64"/>
      <c r="I5519" s="70"/>
      <c r="J5519" s="70"/>
      <c r="K5519" s="110" t="str">
        <f>IF(H5519="","",IF($C$29="간이법","",FPR(H5519,I5519,J5519)))</f>
        <v/>
      </c>
      <c r="L5519" s="111" t="str">
        <f>IF(H5519="","",IF($C$29="상세법",FPV(H5519,K5519),IF(H5519="EI",4,IF(H5519="EO",5.2,IF(H5519="EQ",3.9,IF(H5519="ILF",7.5,IF(H5519="EIF",5.4)))))))</f>
        <v/>
      </c>
      <c r="M5519" s="112" t="str">
        <f t="shared" si="89"/>
        <v/>
      </c>
      <c r="N5519" s="113"/>
    </row>
    <row r="5520" spans="2:14">
      <c r="B5520" s="105"/>
      <c r="C5520" s="106"/>
      <c r="D5520" s="107"/>
      <c r="E5520" s="65"/>
      <c r="F5520" s="64"/>
      <c r="G5520" s="64"/>
      <c r="H5520" s="64"/>
      <c r="I5520" s="70"/>
      <c r="J5520" s="70"/>
      <c r="K5520" s="110" t="str">
        <f>IF(H5520="","",IF($C$29="간이법","",FPR(H5520,I5520,J5520)))</f>
        <v/>
      </c>
      <c r="L5520" s="111" t="str">
        <f>IF(H5520="","",IF($C$29="상세법",FPV(H5520,K5520),IF(H5520="EI",4,IF(H5520="EO",5.2,IF(H5520="EQ",3.9,IF(H5520="ILF",7.5,IF(H5520="EIF",5.4)))))))</f>
        <v/>
      </c>
      <c r="M5520" s="112" t="str">
        <f t="shared" si="89"/>
        <v/>
      </c>
      <c r="N5520" s="113"/>
    </row>
    <row r="5521" spans="2:14">
      <c r="B5521" s="105"/>
      <c r="C5521" s="106"/>
      <c r="D5521" s="107"/>
      <c r="E5521" s="65"/>
      <c r="F5521" s="64"/>
      <c r="G5521" s="64"/>
      <c r="H5521" s="64"/>
      <c r="I5521" s="70"/>
      <c r="J5521" s="70"/>
      <c r="K5521" s="110" t="str">
        <f>IF(H5521="","",IF($C$29="간이법","",FPR(H5521,I5521,J5521)))</f>
        <v/>
      </c>
      <c r="L5521" s="111" t="str">
        <f>IF(H5521="","",IF($C$29="상세법",FPV(H5521,K5521),IF(H5521="EI",4,IF(H5521="EO",5.2,IF(H5521="EQ",3.9,IF(H5521="ILF",7.5,IF(H5521="EIF",5.4)))))))</f>
        <v/>
      </c>
      <c r="M5521" s="112" t="str">
        <f t="shared" si="89"/>
        <v/>
      </c>
      <c r="N5521" s="113"/>
    </row>
    <row r="5522" spans="2:14">
      <c r="B5522" s="105"/>
      <c r="C5522" s="106"/>
      <c r="D5522" s="107"/>
      <c r="E5522" s="65"/>
      <c r="F5522" s="64"/>
      <c r="G5522" s="64"/>
      <c r="H5522" s="64"/>
      <c r="I5522" s="70"/>
      <c r="J5522" s="70"/>
      <c r="K5522" s="110" t="str">
        <f>IF(H5522="","",IF($C$29="간이법","",FPR(H5522,I5522,J5522)))</f>
        <v/>
      </c>
      <c r="L5522" s="111" t="str">
        <f>IF(H5522="","",IF($C$29="상세법",FPV(H5522,K5522),IF(H5522="EI",4,IF(H5522="EO",5.2,IF(H5522="EQ",3.9,IF(H5522="ILF",7.5,IF(H5522="EIF",5.4)))))))</f>
        <v/>
      </c>
      <c r="M5522" s="112" t="str">
        <f t="shared" si="89"/>
        <v/>
      </c>
      <c r="N5522" s="113"/>
    </row>
    <row r="5523" spans="2:14">
      <c r="B5523" s="105"/>
      <c r="C5523" s="106"/>
      <c r="D5523" s="107"/>
      <c r="E5523" s="65"/>
      <c r="F5523" s="64"/>
      <c r="G5523" s="64"/>
      <c r="H5523" s="64"/>
      <c r="I5523" s="70"/>
      <c r="J5523" s="70"/>
      <c r="K5523" s="110" t="str">
        <f>IF(H5523="","",IF($C$29="간이법","",FPR(H5523,I5523,J5523)))</f>
        <v/>
      </c>
      <c r="L5523" s="111" t="str">
        <f>IF(H5523="","",IF($C$29="상세법",FPV(H5523,K5523),IF(H5523="EI",4,IF(H5523="EO",5.2,IF(H5523="EQ",3.9,IF(H5523="ILF",7.5,IF(H5523="EIF",5.4)))))))</f>
        <v/>
      </c>
      <c r="M5523" s="112" t="str">
        <f t="shared" si="89"/>
        <v/>
      </c>
      <c r="N5523" s="113"/>
    </row>
    <row r="5524" spans="2:14">
      <c r="B5524" s="105"/>
      <c r="C5524" s="106"/>
      <c r="D5524" s="107"/>
      <c r="E5524" s="65"/>
      <c r="F5524" s="64"/>
      <c r="G5524" s="64"/>
      <c r="H5524" s="64"/>
      <c r="I5524" s="70"/>
      <c r="J5524" s="70"/>
      <c r="K5524" s="110" t="str">
        <f>IF(H5524="","",IF($C$29="간이법","",FPR(H5524,I5524,J5524)))</f>
        <v/>
      </c>
      <c r="L5524" s="111" t="str">
        <f>IF(H5524="","",IF($C$29="상세법",FPV(H5524,K5524),IF(H5524="EI",4,IF(H5524="EO",5.2,IF(H5524="EQ",3.9,IF(H5524="ILF",7.5,IF(H5524="EIF",5.4)))))))</f>
        <v/>
      </c>
      <c r="M5524" s="112" t="str">
        <f t="shared" si="89"/>
        <v/>
      </c>
      <c r="N5524" s="113"/>
    </row>
    <row r="5525" spans="2:14">
      <c r="B5525" s="105"/>
      <c r="C5525" s="106"/>
      <c r="D5525" s="107"/>
      <c r="E5525" s="65"/>
      <c r="F5525" s="64"/>
      <c r="G5525" s="64"/>
      <c r="H5525" s="64"/>
      <c r="I5525" s="70"/>
      <c r="J5525" s="70"/>
      <c r="K5525" s="110" t="str">
        <f>IF(H5525="","",IF($C$29="간이법","",FPR(H5525,I5525,J5525)))</f>
        <v/>
      </c>
      <c r="L5525" s="111" t="str">
        <f>IF(H5525="","",IF($C$29="상세법",FPV(H5525,K5525),IF(H5525="EI",4,IF(H5525="EO",5.2,IF(H5525="EQ",3.9,IF(H5525="ILF",7.5,IF(H5525="EIF",5.4)))))))</f>
        <v/>
      </c>
      <c r="M5525" s="112" t="str">
        <f t="shared" si="89"/>
        <v/>
      </c>
      <c r="N5525" s="113"/>
    </row>
    <row r="5526" spans="2:14">
      <c r="B5526" s="105"/>
      <c r="C5526" s="106"/>
      <c r="D5526" s="107"/>
      <c r="E5526" s="65"/>
      <c r="F5526" s="64"/>
      <c r="G5526" s="64"/>
      <c r="H5526" s="64"/>
      <c r="I5526" s="70"/>
      <c r="J5526" s="70"/>
      <c r="K5526" s="110" t="str">
        <f>IF(H5526="","",IF($C$29="간이법","",FPR(H5526,I5526,J5526)))</f>
        <v/>
      </c>
      <c r="L5526" s="111" t="str">
        <f>IF(H5526="","",IF($C$29="상세법",FPV(H5526,K5526),IF(H5526="EI",4,IF(H5526="EO",5.2,IF(H5526="EQ",3.9,IF(H5526="ILF",7.5,IF(H5526="EIF",5.4)))))))</f>
        <v/>
      </c>
      <c r="M5526" s="112" t="str">
        <f t="shared" si="89"/>
        <v/>
      </c>
      <c r="N5526" s="113"/>
    </row>
    <row r="5527" spans="2:14">
      <c r="B5527" s="105"/>
      <c r="C5527" s="106"/>
      <c r="D5527" s="107"/>
      <c r="E5527" s="65"/>
      <c r="F5527" s="64"/>
      <c r="G5527" s="64"/>
      <c r="H5527" s="64"/>
      <c r="I5527" s="70"/>
      <c r="J5527" s="70"/>
      <c r="K5527" s="110" t="str">
        <f>IF(H5527="","",IF($C$29="간이법","",FPR(H5527,I5527,J5527)))</f>
        <v/>
      </c>
      <c r="L5527" s="111" t="str">
        <f>IF(H5527="","",IF($C$29="상세법",FPV(H5527,K5527),IF(H5527="EI",4,IF(H5527="EO",5.2,IF(H5527="EQ",3.9,IF(H5527="ILF",7.5,IF(H5527="EIF",5.4)))))))</f>
        <v/>
      </c>
      <c r="M5527" s="112" t="str">
        <f t="shared" si="89"/>
        <v/>
      </c>
      <c r="N5527" s="113"/>
    </row>
    <row r="5528" spans="2:14">
      <c r="B5528" s="105"/>
      <c r="C5528" s="106"/>
      <c r="D5528" s="107"/>
      <c r="E5528" s="65"/>
      <c r="F5528" s="64"/>
      <c r="G5528" s="64"/>
      <c r="H5528" s="64"/>
      <c r="I5528" s="70"/>
      <c r="J5528" s="70"/>
      <c r="K5528" s="110" t="str">
        <f>IF(H5528="","",IF($C$29="간이법","",FPR(H5528,I5528,J5528)))</f>
        <v/>
      </c>
      <c r="L5528" s="111" t="str">
        <f>IF(H5528="","",IF($C$29="상세법",FPV(H5528,K5528),IF(H5528="EI",4,IF(H5528="EO",5.2,IF(H5528="EQ",3.9,IF(H5528="ILF",7.5,IF(H5528="EIF",5.4)))))))</f>
        <v/>
      </c>
      <c r="M5528" s="112" t="str">
        <f t="shared" si="89"/>
        <v/>
      </c>
      <c r="N5528" s="113"/>
    </row>
    <row r="5529" spans="2:14">
      <c r="B5529" s="105"/>
      <c r="C5529" s="106"/>
      <c r="D5529" s="107"/>
      <c r="E5529" s="65"/>
      <c r="F5529" s="64"/>
      <c r="G5529" s="64"/>
      <c r="H5529" s="64"/>
      <c r="I5529" s="70"/>
      <c r="J5529" s="70"/>
      <c r="K5529" s="110" t="str">
        <f>IF(H5529="","",IF($C$29="간이법","",FPR(H5529,I5529,J5529)))</f>
        <v/>
      </c>
      <c r="L5529" s="111" t="str">
        <f>IF(H5529="","",IF($C$29="상세법",FPV(H5529,K5529),IF(H5529="EI",4,IF(H5529="EO",5.2,IF(H5529="EQ",3.9,IF(H5529="ILF",7.5,IF(H5529="EIF",5.4)))))))</f>
        <v/>
      </c>
      <c r="M5529" s="112" t="str">
        <f t="shared" si="89"/>
        <v/>
      </c>
      <c r="N5529" s="113"/>
    </row>
    <row r="5530" spans="2:14">
      <c r="B5530" s="105"/>
      <c r="C5530" s="106"/>
      <c r="D5530" s="107"/>
      <c r="E5530" s="65"/>
      <c r="F5530" s="64"/>
      <c r="G5530" s="64"/>
      <c r="H5530" s="64"/>
      <c r="I5530" s="70"/>
      <c r="J5530" s="70"/>
      <c r="K5530" s="110" t="str">
        <f>IF(H5530="","",IF($C$29="간이법","",FPR(H5530,I5530,J5530)))</f>
        <v/>
      </c>
      <c r="L5530" s="111" t="str">
        <f>IF(H5530="","",IF($C$29="상세법",FPV(H5530,K5530),IF(H5530="EI",4,IF(H5530="EO",5.2,IF(H5530="EQ",3.9,IF(H5530="ILF",7.5,IF(H5530="EIF",5.4)))))))</f>
        <v/>
      </c>
      <c r="M5530" s="112" t="str">
        <f t="shared" si="89"/>
        <v/>
      </c>
      <c r="N5530" s="113"/>
    </row>
    <row r="5531" spans="2:14">
      <c r="B5531" s="105"/>
      <c r="C5531" s="106"/>
      <c r="D5531" s="107"/>
      <c r="E5531" s="65"/>
      <c r="F5531" s="64"/>
      <c r="G5531" s="64"/>
      <c r="H5531" s="64"/>
      <c r="I5531" s="70"/>
      <c r="J5531" s="70"/>
      <c r="K5531" s="110" t="str">
        <f>IF(H5531="","",IF($C$29="간이법","",FPR(H5531,I5531,J5531)))</f>
        <v/>
      </c>
      <c r="L5531" s="111" t="str">
        <f>IF(H5531="","",IF($C$29="상세법",FPV(H5531,K5531),IF(H5531="EI",4,IF(H5531="EO",5.2,IF(H5531="EQ",3.9,IF(H5531="ILF",7.5,IF(H5531="EIF",5.4)))))))</f>
        <v/>
      </c>
      <c r="M5531" s="112" t="str">
        <f t="shared" si="89"/>
        <v/>
      </c>
      <c r="N5531" s="113"/>
    </row>
    <row r="5532" spans="2:14">
      <c r="B5532" s="105"/>
      <c r="C5532" s="106"/>
      <c r="D5532" s="107"/>
      <c r="E5532" s="65"/>
      <c r="F5532" s="64"/>
      <c r="G5532" s="64"/>
      <c r="H5532" s="64"/>
      <c r="I5532" s="70"/>
      <c r="J5532" s="70"/>
      <c r="K5532" s="110" t="str">
        <f>IF(H5532="","",IF($C$29="간이법","",FPR(H5532,I5532,J5532)))</f>
        <v/>
      </c>
      <c r="L5532" s="111" t="str">
        <f>IF(H5532="","",IF($C$29="상세법",FPV(H5532,K5532),IF(H5532="EI",4,IF(H5532="EO",5.2,IF(H5532="EQ",3.9,IF(H5532="ILF",7.5,IF(H5532="EIF",5.4)))))))</f>
        <v/>
      </c>
      <c r="M5532" s="112" t="str">
        <f t="shared" si="89"/>
        <v/>
      </c>
      <c r="N5532" s="113"/>
    </row>
    <row r="5533" spans="2:14">
      <c r="B5533" s="105"/>
      <c r="C5533" s="106"/>
      <c r="D5533" s="107"/>
      <c r="E5533" s="65"/>
      <c r="F5533" s="64"/>
      <c r="G5533" s="64"/>
      <c r="H5533" s="64"/>
      <c r="I5533" s="70"/>
      <c r="J5533" s="70"/>
      <c r="K5533" s="110" t="str">
        <f>IF(H5533="","",IF($C$29="간이법","",FPR(H5533,I5533,J5533)))</f>
        <v/>
      </c>
      <c r="L5533" s="111" t="str">
        <f>IF(H5533="","",IF($C$29="상세법",FPV(H5533,K5533),IF(H5533="EI",4,IF(H5533="EO",5.2,IF(H5533="EQ",3.9,IF(H5533="ILF",7.5,IF(H5533="EIF",5.4)))))))</f>
        <v/>
      </c>
      <c r="M5533" s="112" t="str">
        <f t="shared" si="89"/>
        <v/>
      </c>
      <c r="N5533" s="113"/>
    </row>
    <row r="5534" spans="2:14">
      <c r="B5534" s="105"/>
      <c r="C5534" s="106"/>
      <c r="D5534" s="107"/>
      <c r="E5534" s="65"/>
      <c r="F5534" s="64"/>
      <c r="G5534" s="64"/>
      <c r="H5534" s="64"/>
      <c r="I5534" s="70"/>
      <c r="J5534" s="70"/>
      <c r="K5534" s="110" t="str">
        <f>IF(H5534="","",IF($C$29="간이법","",FPR(H5534,I5534,J5534)))</f>
        <v/>
      </c>
      <c r="L5534" s="111" t="str">
        <f>IF(H5534="","",IF($C$29="상세법",FPV(H5534,K5534),IF(H5534="EI",4,IF(H5534="EO",5.2,IF(H5534="EQ",3.9,IF(H5534="ILF",7.5,IF(H5534="EIF",5.4)))))))</f>
        <v/>
      </c>
      <c r="M5534" s="112" t="str">
        <f t="shared" si="89"/>
        <v/>
      </c>
      <c r="N5534" s="113"/>
    </row>
    <row r="5535" spans="2:14">
      <c r="B5535" s="105"/>
      <c r="C5535" s="106"/>
      <c r="D5535" s="107"/>
      <c r="E5535" s="65"/>
      <c r="F5535" s="64"/>
      <c r="G5535" s="64"/>
      <c r="H5535" s="64"/>
      <c r="I5535" s="70"/>
      <c r="J5535" s="70"/>
      <c r="K5535" s="110" t="str">
        <f>IF(H5535="","",IF($C$29="간이법","",FPR(H5535,I5535,J5535)))</f>
        <v/>
      </c>
      <c r="L5535" s="111" t="str">
        <f>IF(H5535="","",IF($C$29="상세법",FPV(H5535,K5535),IF(H5535="EI",4,IF(H5535="EO",5.2,IF(H5535="EQ",3.9,IF(H5535="ILF",7.5,IF(H5535="EIF",5.4)))))))</f>
        <v/>
      </c>
      <c r="M5535" s="112" t="str">
        <f t="shared" si="89"/>
        <v/>
      </c>
      <c r="N5535" s="113"/>
    </row>
    <row r="5536" spans="2:14">
      <c r="B5536" s="105"/>
      <c r="C5536" s="106"/>
      <c r="D5536" s="107"/>
      <c r="E5536" s="65"/>
      <c r="F5536" s="64"/>
      <c r="G5536" s="64"/>
      <c r="H5536" s="64"/>
      <c r="I5536" s="70"/>
      <c r="J5536" s="70"/>
      <c r="K5536" s="110" t="str">
        <f>IF(H5536="","",IF($C$29="간이법","",FPR(H5536,I5536,J5536)))</f>
        <v/>
      </c>
      <c r="L5536" s="111" t="str">
        <f>IF(H5536="","",IF($C$29="상세법",FPV(H5536,K5536),IF(H5536="EI",4,IF(H5536="EO",5.2,IF(H5536="EQ",3.9,IF(H5536="ILF",7.5,IF(H5536="EIF",5.4)))))))</f>
        <v/>
      </c>
      <c r="M5536" s="112" t="str">
        <f t="shared" si="89"/>
        <v/>
      </c>
      <c r="N5536" s="113"/>
    </row>
    <row r="5537" spans="2:14">
      <c r="B5537" s="105"/>
      <c r="C5537" s="106"/>
      <c r="D5537" s="107"/>
      <c r="E5537" s="65"/>
      <c r="F5537" s="64"/>
      <c r="G5537" s="64"/>
      <c r="H5537" s="64"/>
      <c r="I5537" s="70"/>
      <c r="J5537" s="70"/>
      <c r="K5537" s="110" t="str">
        <f>IF(H5537="","",IF($C$29="간이법","",FPR(H5537,I5537,J5537)))</f>
        <v/>
      </c>
      <c r="L5537" s="111" t="str">
        <f>IF(H5537="","",IF($C$29="상세법",FPV(H5537,K5537),IF(H5537="EI",4,IF(H5537="EO",5.2,IF(H5537="EQ",3.9,IF(H5537="ILF",7.5,IF(H5537="EIF",5.4)))))))</f>
        <v/>
      </c>
      <c r="M5537" s="112" t="str">
        <f t="shared" si="89"/>
        <v/>
      </c>
      <c r="N5537" s="113"/>
    </row>
    <row r="5538" spans="2:14">
      <c r="B5538" s="105"/>
      <c r="C5538" s="106"/>
      <c r="D5538" s="107"/>
      <c r="E5538" s="65"/>
      <c r="F5538" s="64"/>
      <c r="G5538" s="64"/>
      <c r="H5538" s="64"/>
      <c r="I5538" s="70"/>
      <c r="J5538" s="70"/>
      <c r="K5538" s="110" t="str">
        <f>IF(H5538="","",IF($C$29="간이법","",FPR(H5538,I5538,J5538)))</f>
        <v/>
      </c>
      <c r="L5538" s="111" t="str">
        <f>IF(H5538="","",IF($C$29="상세법",FPV(H5538,K5538),IF(H5538="EI",4,IF(H5538="EO",5.2,IF(H5538="EQ",3.9,IF(H5538="ILF",7.5,IF(H5538="EIF",5.4)))))))</f>
        <v/>
      </c>
      <c r="M5538" s="112" t="str">
        <f t="shared" si="89"/>
        <v/>
      </c>
      <c r="N5538" s="113"/>
    </row>
    <row r="5539" spans="2:14">
      <c r="B5539" s="105"/>
      <c r="C5539" s="106"/>
      <c r="D5539" s="107"/>
      <c r="E5539" s="65"/>
      <c r="F5539" s="64"/>
      <c r="G5539" s="64"/>
      <c r="H5539" s="64"/>
      <c r="I5539" s="70"/>
      <c r="J5539" s="70"/>
      <c r="K5539" s="110" t="str">
        <f>IF(H5539="","",IF($C$29="간이법","",FPR(H5539,I5539,J5539)))</f>
        <v/>
      </c>
      <c r="L5539" s="111" t="str">
        <f>IF(H5539="","",IF($C$29="상세법",FPV(H5539,K5539),IF(H5539="EI",4,IF(H5539="EO",5.2,IF(H5539="EQ",3.9,IF(H5539="ILF",7.5,IF(H5539="EIF",5.4)))))))</f>
        <v/>
      </c>
      <c r="M5539" s="112" t="str">
        <f t="shared" si="89"/>
        <v/>
      </c>
      <c r="N5539" s="113"/>
    </row>
    <row r="5540" spans="2:14">
      <c r="B5540" s="105"/>
      <c r="C5540" s="106"/>
      <c r="D5540" s="107"/>
      <c r="E5540" s="65"/>
      <c r="F5540" s="64"/>
      <c r="G5540" s="64"/>
      <c r="H5540" s="64"/>
      <c r="I5540" s="70"/>
      <c r="J5540" s="70"/>
      <c r="K5540" s="110" t="str">
        <f>IF(H5540="","",IF($C$29="간이법","",FPR(H5540,I5540,J5540)))</f>
        <v/>
      </c>
      <c r="L5540" s="111" t="str">
        <f>IF(H5540="","",IF($C$29="상세법",FPV(H5540,K5540),IF(H5540="EI",4,IF(H5540="EO",5.2,IF(H5540="EQ",3.9,IF(H5540="ILF",7.5,IF(H5540="EIF",5.4)))))))</f>
        <v/>
      </c>
      <c r="M5540" s="112" t="str">
        <f t="shared" si="89"/>
        <v/>
      </c>
      <c r="N5540" s="113"/>
    </row>
    <row r="5541" spans="2:14">
      <c r="B5541" s="105"/>
      <c r="C5541" s="106"/>
      <c r="D5541" s="107"/>
      <c r="E5541" s="65"/>
      <c r="F5541" s="64"/>
      <c r="G5541" s="64"/>
      <c r="H5541" s="64"/>
      <c r="I5541" s="70"/>
      <c r="J5541" s="70"/>
      <c r="K5541" s="110" t="str">
        <f>IF(H5541="","",IF($C$29="간이법","",FPR(H5541,I5541,J5541)))</f>
        <v/>
      </c>
      <c r="L5541" s="111" t="str">
        <f>IF(H5541="","",IF($C$29="상세법",FPV(H5541,K5541),IF(H5541="EI",4,IF(H5541="EO",5.2,IF(H5541="EQ",3.9,IF(H5541="ILF",7.5,IF(H5541="EIF",5.4)))))))</f>
        <v/>
      </c>
      <c r="M5541" s="112" t="str">
        <f t="shared" si="89"/>
        <v/>
      </c>
      <c r="N5541" s="113"/>
    </row>
    <row r="5542" spans="2:14">
      <c r="B5542" s="105"/>
      <c r="C5542" s="106"/>
      <c r="D5542" s="107"/>
      <c r="E5542" s="65"/>
      <c r="F5542" s="64"/>
      <c r="G5542" s="64"/>
      <c r="H5542" s="64"/>
      <c r="I5542" s="70"/>
      <c r="J5542" s="70"/>
      <c r="K5542" s="110" t="str">
        <f>IF(H5542="","",IF($C$29="간이법","",FPR(H5542,I5542,J5542)))</f>
        <v/>
      </c>
      <c r="L5542" s="111" t="str">
        <f>IF(H5542="","",IF($C$29="상세법",FPV(H5542,K5542),IF(H5542="EI",4,IF(H5542="EO",5.2,IF(H5542="EQ",3.9,IF(H5542="ILF",7.5,IF(H5542="EIF",5.4)))))))</f>
        <v/>
      </c>
      <c r="M5542" s="112" t="str">
        <f t="shared" si="89"/>
        <v/>
      </c>
      <c r="N5542" s="113"/>
    </row>
    <row r="5543" spans="2:14">
      <c r="B5543" s="105"/>
      <c r="C5543" s="106"/>
      <c r="D5543" s="107"/>
      <c r="E5543" s="65"/>
      <c r="F5543" s="64"/>
      <c r="G5543" s="64"/>
      <c r="H5543" s="64"/>
      <c r="I5543" s="70"/>
      <c r="J5543" s="70"/>
      <c r="K5543" s="110" t="str">
        <f>IF(H5543="","",IF($C$29="간이법","",FPR(H5543,I5543,J5543)))</f>
        <v/>
      </c>
      <c r="L5543" s="111" t="str">
        <f>IF(H5543="","",IF($C$29="상세법",FPV(H5543,K5543),IF(H5543="EI",4,IF(H5543="EO",5.2,IF(H5543="EQ",3.9,IF(H5543="ILF",7.5,IF(H5543="EIF",5.4)))))))</f>
        <v/>
      </c>
      <c r="M5543" s="112" t="str">
        <f t="shared" si="89"/>
        <v/>
      </c>
      <c r="N5543" s="113"/>
    </row>
    <row r="5544" spans="2:14">
      <c r="B5544" s="105"/>
      <c r="C5544" s="106"/>
      <c r="D5544" s="107"/>
      <c r="E5544" s="65"/>
      <c r="F5544" s="64"/>
      <c r="G5544" s="64"/>
      <c r="H5544" s="64"/>
      <c r="I5544" s="70"/>
      <c r="J5544" s="70"/>
      <c r="K5544" s="110" t="str">
        <f>IF(H5544="","",IF($C$29="간이법","",FPR(H5544,I5544,J5544)))</f>
        <v/>
      </c>
      <c r="L5544" s="111" t="str">
        <f>IF(H5544="","",IF($C$29="상세법",FPV(H5544,K5544),IF(H5544="EI",4,IF(H5544="EO",5.2,IF(H5544="EQ",3.9,IF(H5544="ILF",7.5,IF(H5544="EIF",5.4)))))))</f>
        <v/>
      </c>
      <c r="M5544" s="112" t="str">
        <f t="shared" si="89"/>
        <v/>
      </c>
      <c r="N5544" s="113"/>
    </row>
    <row r="5545" spans="2:14">
      <c r="B5545" s="105"/>
      <c r="C5545" s="106"/>
      <c r="D5545" s="107"/>
      <c r="E5545" s="65"/>
      <c r="F5545" s="64"/>
      <c r="G5545" s="64"/>
      <c r="H5545" s="64"/>
      <c r="I5545" s="70"/>
      <c r="J5545" s="70"/>
      <c r="K5545" s="110" t="str">
        <f>IF(H5545="","",IF($C$29="간이법","",FPR(H5545,I5545,J5545)))</f>
        <v/>
      </c>
      <c r="L5545" s="111" t="str">
        <f>IF(H5545="","",IF($C$29="상세법",FPV(H5545,K5545),IF(H5545="EI",4,IF(H5545="EO",5.2,IF(H5545="EQ",3.9,IF(H5545="ILF",7.5,IF(H5545="EIF",5.4)))))))</f>
        <v/>
      </c>
      <c r="M5545" s="112" t="str">
        <f t="shared" si="89"/>
        <v/>
      </c>
      <c r="N5545" s="113"/>
    </row>
    <row r="5546" spans="2:14">
      <c r="B5546" s="105"/>
      <c r="C5546" s="106"/>
      <c r="D5546" s="107"/>
      <c r="E5546" s="65"/>
      <c r="F5546" s="64"/>
      <c r="G5546" s="64"/>
      <c r="H5546" s="64"/>
      <c r="I5546" s="70"/>
      <c r="J5546" s="70"/>
      <c r="K5546" s="110" t="str">
        <f>IF(H5546="","",IF($C$29="간이법","",FPR(H5546,I5546,J5546)))</f>
        <v/>
      </c>
      <c r="L5546" s="111" t="str">
        <f>IF(H5546="","",IF($C$29="상세법",FPV(H5546,K5546),IF(H5546="EI",4,IF(H5546="EO",5.2,IF(H5546="EQ",3.9,IF(H5546="ILF",7.5,IF(H5546="EIF",5.4)))))))</f>
        <v/>
      </c>
      <c r="M5546" s="112" t="str">
        <f t="shared" si="89"/>
        <v/>
      </c>
      <c r="N5546" s="113"/>
    </row>
    <row r="5547" spans="2:14">
      <c r="B5547" s="105"/>
      <c r="C5547" s="106"/>
      <c r="D5547" s="107"/>
      <c r="E5547" s="65"/>
      <c r="F5547" s="64"/>
      <c r="G5547" s="64"/>
      <c r="H5547" s="64"/>
      <c r="I5547" s="70"/>
      <c r="J5547" s="70"/>
      <c r="K5547" s="110" t="str">
        <f>IF(H5547="","",IF($C$29="간이법","",FPR(H5547,I5547,J5547)))</f>
        <v/>
      </c>
      <c r="L5547" s="111" t="str">
        <f>IF(H5547="","",IF($C$29="상세법",FPV(H5547,K5547),IF(H5547="EI",4,IF(H5547="EO",5.2,IF(H5547="EQ",3.9,IF(H5547="ILF",7.5,IF(H5547="EIF",5.4)))))))</f>
        <v/>
      </c>
      <c r="M5547" s="112" t="str">
        <f t="shared" si="89"/>
        <v/>
      </c>
      <c r="N5547" s="113"/>
    </row>
    <row r="5548" spans="2:14">
      <c r="B5548" s="105"/>
      <c r="C5548" s="106"/>
      <c r="D5548" s="107"/>
      <c r="E5548" s="65"/>
      <c r="F5548" s="64"/>
      <c r="G5548" s="64"/>
      <c r="H5548" s="64"/>
      <c r="I5548" s="70"/>
      <c r="J5548" s="70"/>
      <c r="K5548" s="110" t="str">
        <f>IF(H5548="","",IF($C$29="간이법","",FPR(H5548,I5548,J5548)))</f>
        <v/>
      </c>
      <c r="L5548" s="111" t="str">
        <f>IF(H5548="","",IF($C$29="상세법",FPV(H5548,K5548),IF(H5548="EI",4,IF(H5548="EO",5.2,IF(H5548="EQ",3.9,IF(H5548="ILF",7.5,IF(H5548="EIF",5.4)))))))</f>
        <v/>
      </c>
      <c r="M5548" s="112" t="str">
        <f t="shared" si="89"/>
        <v/>
      </c>
      <c r="N5548" s="113"/>
    </row>
    <row r="5549" spans="2:14">
      <c r="B5549" s="105"/>
      <c r="C5549" s="106"/>
      <c r="D5549" s="107"/>
      <c r="E5549" s="65"/>
      <c r="F5549" s="64"/>
      <c r="G5549" s="64"/>
      <c r="H5549" s="64"/>
      <c r="I5549" s="70"/>
      <c r="J5549" s="70"/>
      <c r="K5549" s="110" t="str">
        <f>IF(H5549="","",IF($C$29="간이법","",FPR(H5549,I5549,J5549)))</f>
        <v/>
      </c>
      <c r="L5549" s="111" t="str">
        <f>IF(H5549="","",IF($C$29="상세법",FPV(H5549,K5549),IF(H5549="EI",4,IF(H5549="EO",5.2,IF(H5549="EQ",3.9,IF(H5549="ILF",7.5,IF(H5549="EIF",5.4)))))))</f>
        <v/>
      </c>
      <c r="M5549" s="112" t="str">
        <f t="shared" si="89"/>
        <v/>
      </c>
      <c r="N5549" s="113"/>
    </row>
    <row r="5550" spans="2:14">
      <c r="B5550" s="105"/>
      <c r="C5550" s="106"/>
      <c r="D5550" s="107"/>
      <c r="E5550" s="65"/>
      <c r="F5550" s="64"/>
      <c r="G5550" s="64"/>
      <c r="H5550" s="64"/>
      <c r="I5550" s="70"/>
      <c r="J5550" s="70"/>
      <c r="K5550" s="110" t="str">
        <f>IF(H5550="","",IF($C$29="간이법","",FPR(H5550,I5550,J5550)))</f>
        <v/>
      </c>
      <c r="L5550" s="111" t="str">
        <f>IF(H5550="","",IF($C$29="상세법",FPV(H5550,K5550),IF(H5550="EI",4,IF(H5550="EO",5.2,IF(H5550="EQ",3.9,IF(H5550="ILF",7.5,IF(H5550="EIF",5.4)))))))</f>
        <v/>
      </c>
      <c r="M5550" s="112" t="str">
        <f t="shared" si="89"/>
        <v/>
      </c>
      <c r="N5550" s="113"/>
    </row>
    <row r="5551" spans="2:14">
      <c r="B5551" s="105"/>
      <c r="C5551" s="106"/>
      <c r="D5551" s="107"/>
      <c r="E5551" s="65"/>
      <c r="F5551" s="64"/>
      <c r="G5551" s="64"/>
      <c r="H5551" s="64"/>
      <c r="I5551" s="70"/>
      <c r="J5551" s="70"/>
      <c r="K5551" s="110" t="str">
        <f>IF(H5551="","",IF($C$29="간이법","",FPR(H5551,I5551,J5551)))</f>
        <v/>
      </c>
      <c r="L5551" s="111" t="str">
        <f>IF(H5551="","",IF($C$29="상세법",FPV(H5551,K5551),IF(H5551="EI",4,IF(H5551="EO",5.2,IF(H5551="EQ",3.9,IF(H5551="ILF",7.5,IF(H5551="EIF",5.4)))))))</f>
        <v/>
      </c>
      <c r="M5551" s="112" t="str">
        <f t="shared" si="89"/>
        <v/>
      </c>
      <c r="N5551" s="113"/>
    </row>
    <row r="5552" spans="2:14">
      <c r="B5552" s="105"/>
      <c r="C5552" s="106"/>
      <c r="D5552" s="107"/>
      <c r="E5552" s="65"/>
      <c r="F5552" s="64"/>
      <c r="G5552" s="64"/>
      <c r="H5552" s="64"/>
      <c r="I5552" s="70"/>
      <c r="J5552" s="70"/>
      <c r="K5552" s="110" t="str">
        <f>IF(H5552="","",IF($C$29="간이법","",FPR(H5552,I5552,J5552)))</f>
        <v/>
      </c>
      <c r="L5552" s="111" t="str">
        <f>IF(H5552="","",IF($C$29="상세법",FPV(H5552,K5552),IF(H5552="EI",4,IF(H5552="EO",5.2,IF(H5552="EQ",3.9,IF(H5552="ILF",7.5,IF(H5552="EIF",5.4)))))))</f>
        <v/>
      </c>
      <c r="M5552" s="112" t="str">
        <f t="shared" si="89"/>
        <v/>
      </c>
      <c r="N5552" s="113"/>
    </row>
    <row r="5553" spans="2:14">
      <c r="B5553" s="105"/>
      <c r="C5553" s="106"/>
      <c r="D5553" s="107"/>
      <c r="E5553" s="65"/>
      <c r="F5553" s="64"/>
      <c r="G5553" s="64"/>
      <c r="H5553" s="64"/>
      <c r="I5553" s="70"/>
      <c r="J5553" s="70"/>
      <c r="K5553" s="110" t="str">
        <f>IF(H5553="","",IF($C$29="간이법","",FPR(H5553,I5553,J5553)))</f>
        <v/>
      </c>
      <c r="L5553" s="111" t="str">
        <f>IF(H5553="","",IF($C$29="상세법",FPV(H5553,K5553),IF(H5553="EI",4,IF(H5553="EO",5.2,IF(H5553="EQ",3.9,IF(H5553="ILF",7.5,IF(H5553="EIF",5.4)))))))</f>
        <v/>
      </c>
      <c r="M5553" s="112" t="str">
        <f t="shared" si="89"/>
        <v/>
      </c>
      <c r="N5553" s="113"/>
    </row>
    <row r="5554" spans="2:14">
      <c r="B5554" s="105"/>
      <c r="C5554" s="106"/>
      <c r="D5554" s="107"/>
      <c r="E5554" s="65"/>
      <c r="F5554" s="64"/>
      <c r="G5554" s="64"/>
      <c r="H5554" s="64"/>
      <c r="I5554" s="70"/>
      <c r="J5554" s="70"/>
      <c r="K5554" s="110" t="str">
        <f>IF(H5554="","",IF($C$29="간이법","",FPR(H5554,I5554,J5554)))</f>
        <v/>
      </c>
      <c r="L5554" s="111" t="str">
        <f>IF(H5554="","",IF($C$29="상세법",FPV(H5554,K5554),IF(H5554="EI",4,IF(H5554="EO",5.2,IF(H5554="EQ",3.9,IF(H5554="ILF",7.5,IF(H5554="EIF",5.4)))))))</f>
        <v/>
      </c>
      <c r="M5554" s="112" t="str">
        <f t="shared" si="89"/>
        <v/>
      </c>
      <c r="N5554" s="113"/>
    </row>
    <row r="5555" spans="2:14">
      <c r="B5555" s="105"/>
      <c r="C5555" s="106"/>
      <c r="D5555" s="107"/>
      <c r="E5555" s="65"/>
      <c r="F5555" s="64"/>
      <c r="G5555" s="64"/>
      <c r="H5555" s="64"/>
      <c r="I5555" s="70"/>
      <c r="J5555" s="70"/>
      <c r="K5555" s="110" t="str">
        <f>IF(H5555="","",IF($C$29="간이법","",FPR(H5555,I5555,J5555)))</f>
        <v/>
      </c>
      <c r="L5555" s="111" t="str">
        <f>IF(H5555="","",IF($C$29="상세법",FPV(H5555,K5555),IF(H5555="EI",4,IF(H5555="EO",5.2,IF(H5555="EQ",3.9,IF(H5555="ILF",7.5,IF(H5555="EIF",5.4)))))))</f>
        <v/>
      </c>
      <c r="M5555" s="112" t="str">
        <f t="shared" si="89"/>
        <v/>
      </c>
      <c r="N5555" s="113"/>
    </row>
    <row r="5556" spans="2:14">
      <c r="B5556" s="105"/>
      <c r="C5556" s="106"/>
      <c r="D5556" s="107"/>
      <c r="E5556" s="65"/>
      <c r="F5556" s="64"/>
      <c r="G5556" s="64"/>
      <c r="H5556" s="64"/>
      <c r="I5556" s="70"/>
      <c r="J5556" s="70"/>
      <c r="K5556" s="110" t="str">
        <f>IF(H5556="","",IF($C$29="간이법","",FPR(H5556,I5556,J5556)))</f>
        <v/>
      </c>
      <c r="L5556" s="111" t="str">
        <f>IF(H5556="","",IF($C$29="상세법",FPV(H5556,K5556),IF(H5556="EI",4,IF(H5556="EO",5.2,IF(H5556="EQ",3.9,IF(H5556="ILF",7.5,IF(H5556="EIF",5.4)))))))</f>
        <v/>
      </c>
      <c r="M5556" s="112" t="str">
        <f t="shared" si="89"/>
        <v/>
      </c>
      <c r="N5556" s="113"/>
    </row>
    <row r="5557" spans="2:14">
      <c r="B5557" s="105"/>
      <c r="C5557" s="106"/>
      <c r="D5557" s="107"/>
      <c r="E5557" s="65"/>
      <c r="F5557" s="64"/>
      <c r="G5557" s="64"/>
      <c r="H5557" s="64"/>
      <c r="I5557" s="70"/>
      <c r="J5557" s="70"/>
      <c r="K5557" s="110" t="str">
        <f>IF(H5557="","",IF($C$29="간이법","",FPR(H5557,I5557,J5557)))</f>
        <v/>
      </c>
      <c r="L5557" s="111" t="str">
        <f>IF(H5557="","",IF($C$29="상세법",FPV(H5557,K5557),IF(H5557="EI",4,IF(H5557="EO",5.2,IF(H5557="EQ",3.9,IF(H5557="ILF",7.5,IF(H5557="EIF",5.4)))))))</f>
        <v/>
      </c>
      <c r="M5557" s="112" t="str">
        <f t="shared" si="89"/>
        <v/>
      </c>
      <c r="N5557" s="113"/>
    </row>
    <row r="5558" spans="2:14">
      <c r="B5558" s="105"/>
      <c r="C5558" s="106"/>
      <c r="D5558" s="107"/>
      <c r="E5558" s="65"/>
      <c r="F5558" s="64"/>
      <c r="G5558" s="64"/>
      <c r="H5558" s="64"/>
      <c r="I5558" s="70"/>
      <c r="J5558" s="70"/>
      <c r="K5558" s="110" t="str">
        <f>IF(H5558="","",IF($C$29="간이법","",FPR(H5558,I5558,J5558)))</f>
        <v/>
      </c>
      <c r="L5558" s="111" t="str">
        <f>IF(H5558="","",IF($C$29="상세법",FPV(H5558,K5558),IF(H5558="EI",4,IF(H5558="EO",5.2,IF(H5558="EQ",3.9,IF(H5558="ILF",7.5,IF(H5558="EIF",5.4)))))))</f>
        <v/>
      </c>
      <c r="M5558" s="112" t="str">
        <f t="shared" si="89"/>
        <v/>
      </c>
      <c r="N5558" s="113"/>
    </row>
    <row r="5559" spans="2:14">
      <c r="B5559" s="105"/>
      <c r="C5559" s="106"/>
      <c r="D5559" s="107"/>
      <c r="E5559" s="65"/>
      <c r="F5559" s="64"/>
      <c r="G5559" s="64"/>
      <c r="H5559" s="64"/>
      <c r="I5559" s="70"/>
      <c r="J5559" s="70"/>
      <c r="K5559" s="110" t="str">
        <f>IF(H5559="","",IF($C$29="간이법","",FPR(H5559,I5559,J5559)))</f>
        <v/>
      </c>
      <c r="L5559" s="111" t="str">
        <f>IF(H5559="","",IF($C$29="상세법",FPV(H5559,K5559),IF(H5559="EI",4,IF(H5559="EO",5.2,IF(H5559="EQ",3.9,IF(H5559="ILF",7.5,IF(H5559="EIF",5.4)))))))</f>
        <v/>
      </c>
      <c r="M5559" s="112" t="str">
        <f t="shared" si="89"/>
        <v/>
      </c>
      <c r="N5559" s="113"/>
    </row>
    <row r="5560" spans="2:14">
      <c r="B5560" s="105"/>
      <c r="C5560" s="106"/>
      <c r="D5560" s="107"/>
      <c r="E5560" s="65"/>
      <c r="F5560" s="64"/>
      <c r="G5560" s="64"/>
      <c r="H5560" s="64"/>
      <c r="I5560" s="70"/>
      <c r="J5560" s="70"/>
      <c r="K5560" s="110" t="str">
        <f>IF(H5560="","",IF($C$29="간이법","",FPR(H5560,I5560,J5560)))</f>
        <v/>
      </c>
      <c r="L5560" s="111" t="str">
        <f>IF(H5560="","",IF($C$29="상세법",FPV(H5560,K5560),IF(H5560="EI",4,IF(H5560="EO",5.2,IF(H5560="EQ",3.9,IF(H5560="ILF",7.5,IF(H5560="EIF",5.4)))))))</f>
        <v/>
      </c>
      <c r="M5560" s="112" t="str">
        <f t="shared" si="89"/>
        <v/>
      </c>
      <c r="N5560" s="113"/>
    </row>
    <row r="5561" spans="2:14">
      <c r="B5561" s="105"/>
      <c r="C5561" s="106"/>
      <c r="D5561" s="107"/>
      <c r="E5561" s="65"/>
      <c r="F5561" s="64"/>
      <c r="G5561" s="64"/>
      <c r="H5561" s="64"/>
      <c r="I5561" s="70"/>
      <c r="J5561" s="70"/>
      <c r="K5561" s="110" t="str">
        <f>IF(H5561="","",IF($C$29="간이법","",FPR(H5561,I5561,J5561)))</f>
        <v/>
      </c>
      <c r="L5561" s="111" t="str">
        <f>IF(H5561="","",IF($C$29="상세법",FPV(H5561,K5561),IF(H5561="EI",4,IF(H5561="EO",5.2,IF(H5561="EQ",3.9,IF(H5561="ILF",7.5,IF(H5561="EIF",5.4)))))))</f>
        <v/>
      </c>
      <c r="M5561" s="112" t="str">
        <f t="shared" ref="M5561:M5624" si="90">IF(L5561="","",L5561*IF(G5561="상",0.7,IF(G5561="중",0.5,IF(G5561="하",0.2,1))))</f>
        <v/>
      </c>
      <c r="N5561" s="113"/>
    </row>
    <row r="5562" spans="2:14">
      <c r="B5562" s="105"/>
      <c r="C5562" s="106"/>
      <c r="D5562" s="107"/>
      <c r="E5562" s="65"/>
      <c r="F5562" s="64"/>
      <c r="G5562" s="64"/>
      <c r="H5562" s="64"/>
      <c r="I5562" s="70"/>
      <c r="J5562" s="70"/>
      <c r="K5562" s="110" t="str">
        <f>IF(H5562="","",IF($C$29="간이법","",FPR(H5562,I5562,J5562)))</f>
        <v/>
      </c>
      <c r="L5562" s="111" t="str">
        <f>IF(H5562="","",IF($C$29="상세법",FPV(H5562,K5562),IF(H5562="EI",4,IF(H5562="EO",5.2,IF(H5562="EQ",3.9,IF(H5562="ILF",7.5,IF(H5562="EIF",5.4)))))))</f>
        <v/>
      </c>
      <c r="M5562" s="112" t="str">
        <f t="shared" si="90"/>
        <v/>
      </c>
      <c r="N5562" s="113"/>
    </row>
    <row r="5563" spans="2:14">
      <c r="B5563" s="105"/>
      <c r="C5563" s="106"/>
      <c r="D5563" s="107"/>
      <c r="E5563" s="65"/>
      <c r="F5563" s="64"/>
      <c r="G5563" s="64"/>
      <c r="H5563" s="64"/>
      <c r="I5563" s="70"/>
      <c r="J5563" s="70"/>
      <c r="K5563" s="110" t="str">
        <f>IF(H5563="","",IF($C$29="간이법","",FPR(H5563,I5563,J5563)))</f>
        <v/>
      </c>
      <c r="L5563" s="111" t="str">
        <f>IF(H5563="","",IF($C$29="상세법",FPV(H5563,K5563),IF(H5563="EI",4,IF(H5563="EO",5.2,IF(H5563="EQ",3.9,IF(H5563="ILF",7.5,IF(H5563="EIF",5.4)))))))</f>
        <v/>
      </c>
      <c r="M5563" s="112" t="str">
        <f t="shared" si="90"/>
        <v/>
      </c>
      <c r="N5563" s="113"/>
    </row>
    <row r="5564" spans="2:14">
      <c r="B5564" s="105"/>
      <c r="C5564" s="106"/>
      <c r="D5564" s="107"/>
      <c r="E5564" s="65"/>
      <c r="F5564" s="64"/>
      <c r="G5564" s="64"/>
      <c r="H5564" s="64"/>
      <c r="I5564" s="70"/>
      <c r="J5564" s="70"/>
      <c r="K5564" s="110" t="str">
        <f>IF(H5564="","",IF($C$29="간이법","",FPR(H5564,I5564,J5564)))</f>
        <v/>
      </c>
      <c r="L5564" s="111" t="str">
        <f>IF(H5564="","",IF($C$29="상세법",FPV(H5564,K5564),IF(H5564="EI",4,IF(H5564="EO",5.2,IF(H5564="EQ",3.9,IF(H5564="ILF",7.5,IF(H5564="EIF",5.4)))))))</f>
        <v/>
      </c>
      <c r="M5564" s="112" t="str">
        <f t="shared" si="90"/>
        <v/>
      </c>
      <c r="N5564" s="113"/>
    </row>
    <row r="5565" spans="2:14">
      <c r="B5565" s="105"/>
      <c r="C5565" s="106"/>
      <c r="D5565" s="107"/>
      <c r="E5565" s="65"/>
      <c r="F5565" s="64"/>
      <c r="G5565" s="64"/>
      <c r="H5565" s="64"/>
      <c r="I5565" s="70"/>
      <c r="J5565" s="70"/>
      <c r="K5565" s="110" t="str">
        <f>IF(H5565="","",IF($C$29="간이법","",FPR(H5565,I5565,J5565)))</f>
        <v/>
      </c>
      <c r="L5565" s="111" t="str">
        <f>IF(H5565="","",IF($C$29="상세법",FPV(H5565,K5565),IF(H5565="EI",4,IF(H5565="EO",5.2,IF(H5565="EQ",3.9,IF(H5565="ILF",7.5,IF(H5565="EIF",5.4)))))))</f>
        <v/>
      </c>
      <c r="M5565" s="112" t="str">
        <f t="shared" si="90"/>
        <v/>
      </c>
      <c r="N5565" s="113"/>
    </row>
    <row r="5566" spans="2:14">
      <c r="B5566" s="105"/>
      <c r="C5566" s="106"/>
      <c r="D5566" s="107"/>
      <c r="E5566" s="65"/>
      <c r="F5566" s="64"/>
      <c r="G5566" s="64"/>
      <c r="H5566" s="64"/>
      <c r="I5566" s="70"/>
      <c r="J5566" s="70"/>
      <c r="K5566" s="110" t="str">
        <f>IF(H5566="","",IF($C$29="간이법","",FPR(H5566,I5566,J5566)))</f>
        <v/>
      </c>
      <c r="L5566" s="111" t="str">
        <f>IF(H5566="","",IF($C$29="상세법",FPV(H5566,K5566),IF(H5566="EI",4,IF(H5566="EO",5.2,IF(H5566="EQ",3.9,IF(H5566="ILF",7.5,IF(H5566="EIF",5.4)))))))</f>
        <v/>
      </c>
      <c r="M5566" s="112" t="str">
        <f t="shared" si="90"/>
        <v/>
      </c>
      <c r="N5566" s="113"/>
    </row>
    <row r="5567" spans="2:14">
      <c r="B5567" s="105"/>
      <c r="C5567" s="106"/>
      <c r="D5567" s="107"/>
      <c r="E5567" s="65"/>
      <c r="F5567" s="64"/>
      <c r="G5567" s="64"/>
      <c r="H5567" s="64"/>
      <c r="I5567" s="70"/>
      <c r="J5567" s="70"/>
      <c r="K5567" s="110" t="str">
        <f>IF(H5567="","",IF($C$29="간이법","",FPR(H5567,I5567,J5567)))</f>
        <v/>
      </c>
      <c r="L5567" s="111" t="str">
        <f>IF(H5567="","",IF($C$29="상세법",FPV(H5567,K5567),IF(H5567="EI",4,IF(H5567="EO",5.2,IF(H5567="EQ",3.9,IF(H5567="ILF",7.5,IF(H5567="EIF",5.4)))))))</f>
        <v/>
      </c>
      <c r="M5567" s="112" t="str">
        <f t="shared" si="90"/>
        <v/>
      </c>
      <c r="N5567" s="113"/>
    </row>
    <row r="5568" spans="2:14">
      <c r="B5568" s="105"/>
      <c r="C5568" s="106"/>
      <c r="D5568" s="107"/>
      <c r="E5568" s="65"/>
      <c r="F5568" s="64"/>
      <c r="G5568" s="64"/>
      <c r="H5568" s="64"/>
      <c r="I5568" s="70"/>
      <c r="J5568" s="70"/>
      <c r="K5568" s="110" t="str">
        <f>IF(H5568="","",IF($C$29="간이법","",FPR(H5568,I5568,J5568)))</f>
        <v/>
      </c>
      <c r="L5568" s="111" t="str">
        <f>IF(H5568="","",IF($C$29="상세법",FPV(H5568,K5568),IF(H5568="EI",4,IF(H5568="EO",5.2,IF(H5568="EQ",3.9,IF(H5568="ILF",7.5,IF(H5568="EIF",5.4)))))))</f>
        <v/>
      </c>
      <c r="M5568" s="112" t="str">
        <f t="shared" si="90"/>
        <v/>
      </c>
      <c r="N5568" s="113"/>
    </row>
    <row r="5569" spans="2:14">
      <c r="B5569" s="105"/>
      <c r="C5569" s="106"/>
      <c r="D5569" s="107"/>
      <c r="E5569" s="65"/>
      <c r="F5569" s="64"/>
      <c r="G5569" s="64"/>
      <c r="H5569" s="64"/>
      <c r="I5569" s="70"/>
      <c r="J5569" s="70"/>
      <c r="K5569" s="110" t="str">
        <f>IF(H5569="","",IF($C$29="간이법","",FPR(H5569,I5569,J5569)))</f>
        <v/>
      </c>
      <c r="L5569" s="111" t="str">
        <f>IF(H5569="","",IF($C$29="상세법",FPV(H5569,K5569),IF(H5569="EI",4,IF(H5569="EO",5.2,IF(H5569="EQ",3.9,IF(H5569="ILF",7.5,IF(H5569="EIF",5.4)))))))</f>
        <v/>
      </c>
      <c r="M5569" s="112" t="str">
        <f t="shared" si="90"/>
        <v/>
      </c>
      <c r="N5569" s="113"/>
    </row>
    <row r="5570" spans="2:14">
      <c r="B5570" s="105"/>
      <c r="C5570" s="106"/>
      <c r="D5570" s="107"/>
      <c r="E5570" s="65"/>
      <c r="F5570" s="64"/>
      <c r="G5570" s="64"/>
      <c r="H5570" s="64"/>
      <c r="I5570" s="70"/>
      <c r="J5570" s="70"/>
      <c r="K5570" s="110" t="str">
        <f>IF(H5570="","",IF($C$29="간이법","",FPR(H5570,I5570,J5570)))</f>
        <v/>
      </c>
      <c r="L5570" s="111" t="str">
        <f>IF(H5570="","",IF($C$29="상세법",FPV(H5570,K5570),IF(H5570="EI",4,IF(H5570="EO",5.2,IF(H5570="EQ",3.9,IF(H5570="ILF",7.5,IF(H5570="EIF",5.4)))))))</f>
        <v/>
      </c>
      <c r="M5570" s="112" t="str">
        <f t="shared" si="90"/>
        <v/>
      </c>
      <c r="N5570" s="113"/>
    </row>
    <row r="5571" spans="2:14">
      <c r="B5571" s="105"/>
      <c r="C5571" s="106"/>
      <c r="D5571" s="107"/>
      <c r="E5571" s="65"/>
      <c r="F5571" s="64"/>
      <c r="G5571" s="64"/>
      <c r="H5571" s="64"/>
      <c r="I5571" s="70"/>
      <c r="J5571" s="70"/>
      <c r="K5571" s="110" t="str">
        <f>IF(H5571="","",IF($C$29="간이법","",FPR(H5571,I5571,J5571)))</f>
        <v/>
      </c>
      <c r="L5571" s="111" t="str">
        <f>IF(H5571="","",IF($C$29="상세법",FPV(H5571,K5571),IF(H5571="EI",4,IF(H5571="EO",5.2,IF(H5571="EQ",3.9,IF(H5571="ILF",7.5,IF(H5571="EIF",5.4)))))))</f>
        <v/>
      </c>
      <c r="M5571" s="112" t="str">
        <f t="shared" si="90"/>
        <v/>
      </c>
      <c r="N5571" s="113"/>
    </row>
    <row r="5572" spans="2:14">
      <c r="B5572" s="105"/>
      <c r="C5572" s="106"/>
      <c r="D5572" s="107"/>
      <c r="E5572" s="65"/>
      <c r="F5572" s="64"/>
      <c r="G5572" s="64"/>
      <c r="H5572" s="64"/>
      <c r="I5572" s="70"/>
      <c r="J5572" s="70"/>
      <c r="K5572" s="110" t="str">
        <f>IF(H5572="","",IF($C$29="간이법","",FPR(H5572,I5572,J5572)))</f>
        <v/>
      </c>
      <c r="L5572" s="111" t="str">
        <f>IF(H5572="","",IF($C$29="상세법",FPV(H5572,K5572),IF(H5572="EI",4,IF(H5572="EO",5.2,IF(H5572="EQ",3.9,IF(H5572="ILF",7.5,IF(H5572="EIF",5.4)))))))</f>
        <v/>
      </c>
      <c r="M5572" s="112" t="str">
        <f t="shared" si="90"/>
        <v/>
      </c>
      <c r="N5572" s="113"/>
    </row>
    <row r="5573" spans="2:14">
      <c r="B5573" s="105"/>
      <c r="C5573" s="106"/>
      <c r="D5573" s="107"/>
      <c r="E5573" s="65"/>
      <c r="F5573" s="64"/>
      <c r="G5573" s="64"/>
      <c r="H5573" s="64"/>
      <c r="I5573" s="70"/>
      <c r="J5573" s="70"/>
      <c r="K5573" s="110" t="str">
        <f>IF(H5573="","",IF($C$29="간이법","",FPR(H5573,I5573,J5573)))</f>
        <v/>
      </c>
      <c r="L5573" s="111" t="str">
        <f>IF(H5573="","",IF($C$29="상세법",FPV(H5573,K5573),IF(H5573="EI",4,IF(H5573="EO",5.2,IF(H5573="EQ",3.9,IF(H5573="ILF",7.5,IF(H5573="EIF",5.4)))))))</f>
        <v/>
      </c>
      <c r="M5573" s="112" t="str">
        <f t="shared" si="90"/>
        <v/>
      </c>
      <c r="N5573" s="113"/>
    </row>
    <row r="5574" spans="2:14">
      <c r="B5574" s="105"/>
      <c r="C5574" s="106"/>
      <c r="D5574" s="107"/>
      <c r="E5574" s="65"/>
      <c r="F5574" s="64"/>
      <c r="G5574" s="64"/>
      <c r="H5574" s="64"/>
      <c r="I5574" s="70"/>
      <c r="J5574" s="70"/>
      <c r="K5574" s="110" t="str">
        <f>IF(H5574="","",IF($C$29="간이법","",FPR(H5574,I5574,J5574)))</f>
        <v/>
      </c>
      <c r="L5574" s="111" t="str">
        <f>IF(H5574="","",IF($C$29="상세법",FPV(H5574,K5574),IF(H5574="EI",4,IF(H5574="EO",5.2,IF(H5574="EQ",3.9,IF(H5574="ILF",7.5,IF(H5574="EIF",5.4)))))))</f>
        <v/>
      </c>
      <c r="M5574" s="112" t="str">
        <f t="shared" si="90"/>
        <v/>
      </c>
      <c r="N5574" s="113"/>
    </row>
    <row r="5575" spans="2:14">
      <c r="B5575" s="105"/>
      <c r="C5575" s="106"/>
      <c r="D5575" s="107"/>
      <c r="E5575" s="65"/>
      <c r="F5575" s="64"/>
      <c r="G5575" s="64"/>
      <c r="H5575" s="64"/>
      <c r="I5575" s="70"/>
      <c r="J5575" s="70"/>
      <c r="K5575" s="110" t="str">
        <f>IF(H5575="","",IF($C$29="간이법","",FPR(H5575,I5575,J5575)))</f>
        <v/>
      </c>
      <c r="L5575" s="111" t="str">
        <f>IF(H5575="","",IF($C$29="상세법",FPV(H5575,K5575),IF(H5575="EI",4,IF(H5575="EO",5.2,IF(H5575="EQ",3.9,IF(H5575="ILF",7.5,IF(H5575="EIF",5.4)))))))</f>
        <v/>
      </c>
      <c r="M5575" s="112" t="str">
        <f t="shared" si="90"/>
        <v/>
      </c>
      <c r="N5575" s="113"/>
    </row>
    <row r="5576" spans="2:14">
      <c r="B5576" s="105"/>
      <c r="C5576" s="106"/>
      <c r="D5576" s="107"/>
      <c r="E5576" s="65"/>
      <c r="F5576" s="64"/>
      <c r="G5576" s="64"/>
      <c r="H5576" s="64"/>
      <c r="I5576" s="70"/>
      <c r="J5576" s="70"/>
      <c r="K5576" s="110" t="str">
        <f>IF(H5576="","",IF($C$29="간이법","",FPR(H5576,I5576,J5576)))</f>
        <v/>
      </c>
      <c r="L5576" s="111" t="str">
        <f>IF(H5576="","",IF($C$29="상세법",FPV(H5576,K5576),IF(H5576="EI",4,IF(H5576="EO",5.2,IF(H5576="EQ",3.9,IF(H5576="ILF",7.5,IF(H5576="EIF",5.4)))))))</f>
        <v/>
      </c>
      <c r="M5576" s="112" t="str">
        <f t="shared" si="90"/>
        <v/>
      </c>
      <c r="N5576" s="113"/>
    </row>
    <row r="5577" spans="2:14">
      <c r="B5577" s="105"/>
      <c r="C5577" s="106"/>
      <c r="D5577" s="107"/>
      <c r="E5577" s="65"/>
      <c r="F5577" s="64"/>
      <c r="G5577" s="64"/>
      <c r="H5577" s="64"/>
      <c r="I5577" s="70"/>
      <c r="J5577" s="70"/>
      <c r="K5577" s="110" t="str">
        <f>IF(H5577="","",IF($C$29="간이법","",FPR(H5577,I5577,J5577)))</f>
        <v/>
      </c>
      <c r="L5577" s="111" t="str">
        <f>IF(H5577="","",IF($C$29="상세법",FPV(H5577,K5577),IF(H5577="EI",4,IF(H5577="EO",5.2,IF(H5577="EQ",3.9,IF(H5577="ILF",7.5,IF(H5577="EIF",5.4)))))))</f>
        <v/>
      </c>
      <c r="M5577" s="112" t="str">
        <f t="shared" si="90"/>
        <v/>
      </c>
      <c r="N5577" s="113"/>
    </row>
    <row r="5578" spans="2:14">
      <c r="B5578" s="105"/>
      <c r="C5578" s="106"/>
      <c r="D5578" s="107"/>
      <c r="E5578" s="65"/>
      <c r="F5578" s="64"/>
      <c r="G5578" s="64"/>
      <c r="H5578" s="64"/>
      <c r="I5578" s="70"/>
      <c r="J5578" s="70"/>
      <c r="K5578" s="110" t="str">
        <f>IF(H5578="","",IF($C$29="간이법","",FPR(H5578,I5578,J5578)))</f>
        <v/>
      </c>
      <c r="L5578" s="111" t="str">
        <f>IF(H5578="","",IF($C$29="상세법",FPV(H5578,K5578),IF(H5578="EI",4,IF(H5578="EO",5.2,IF(H5578="EQ",3.9,IF(H5578="ILF",7.5,IF(H5578="EIF",5.4)))))))</f>
        <v/>
      </c>
      <c r="M5578" s="112" t="str">
        <f t="shared" si="90"/>
        <v/>
      </c>
      <c r="N5578" s="113"/>
    </row>
    <row r="5579" spans="2:14">
      <c r="B5579" s="105"/>
      <c r="C5579" s="106"/>
      <c r="D5579" s="107"/>
      <c r="E5579" s="65"/>
      <c r="F5579" s="64"/>
      <c r="G5579" s="64"/>
      <c r="H5579" s="64"/>
      <c r="I5579" s="70"/>
      <c r="J5579" s="70"/>
      <c r="K5579" s="110" t="str">
        <f>IF(H5579="","",IF($C$29="간이법","",FPR(H5579,I5579,J5579)))</f>
        <v/>
      </c>
      <c r="L5579" s="111" t="str">
        <f>IF(H5579="","",IF($C$29="상세법",FPV(H5579,K5579),IF(H5579="EI",4,IF(H5579="EO",5.2,IF(H5579="EQ",3.9,IF(H5579="ILF",7.5,IF(H5579="EIF",5.4)))))))</f>
        <v/>
      </c>
      <c r="M5579" s="112" t="str">
        <f t="shared" si="90"/>
        <v/>
      </c>
      <c r="N5579" s="113"/>
    </row>
    <row r="5580" spans="2:14">
      <c r="B5580" s="105"/>
      <c r="C5580" s="106"/>
      <c r="D5580" s="107"/>
      <c r="E5580" s="65"/>
      <c r="F5580" s="64"/>
      <c r="G5580" s="64"/>
      <c r="H5580" s="64"/>
      <c r="I5580" s="70"/>
      <c r="J5580" s="70"/>
      <c r="K5580" s="110" t="str">
        <f>IF(H5580="","",IF($C$29="간이법","",FPR(H5580,I5580,J5580)))</f>
        <v/>
      </c>
      <c r="L5580" s="111" t="str">
        <f>IF(H5580="","",IF($C$29="상세법",FPV(H5580,K5580),IF(H5580="EI",4,IF(H5580="EO",5.2,IF(H5580="EQ",3.9,IF(H5580="ILF",7.5,IF(H5580="EIF",5.4)))))))</f>
        <v/>
      </c>
      <c r="M5580" s="112" t="str">
        <f t="shared" si="90"/>
        <v/>
      </c>
      <c r="N5580" s="113"/>
    </row>
    <row r="5581" spans="2:14">
      <c r="B5581" s="105"/>
      <c r="C5581" s="106"/>
      <c r="D5581" s="107"/>
      <c r="E5581" s="65"/>
      <c r="F5581" s="64"/>
      <c r="G5581" s="64"/>
      <c r="H5581" s="64"/>
      <c r="I5581" s="70"/>
      <c r="J5581" s="70"/>
      <c r="K5581" s="110" t="str">
        <f>IF(H5581="","",IF($C$29="간이법","",FPR(H5581,I5581,J5581)))</f>
        <v/>
      </c>
      <c r="L5581" s="111" t="str">
        <f>IF(H5581="","",IF($C$29="상세법",FPV(H5581,K5581),IF(H5581="EI",4,IF(H5581="EO",5.2,IF(H5581="EQ",3.9,IF(H5581="ILF",7.5,IF(H5581="EIF",5.4)))))))</f>
        <v/>
      </c>
      <c r="M5581" s="112" t="str">
        <f t="shared" si="90"/>
        <v/>
      </c>
      <c r="N5581" s="113"/>
    </row>
    <row r="5582" spans="2:14">
      <c r="B5582" s="105"/>
      <c r="C5582" s="106"/>
      <c r="D5582" s="107"/>
      <c r="E5582" s="65"/>
      <c r="F5582" s="64"/>
      <c r="G5582" s="64"/>
      <c r="H5582" s="64"/>
      <c r="I5582" s="70"/>
      <c r="J5582" s="70"/>
      <c r="K5582" s="110" t="str">
        <f>IF(H5582="","",IF($C$29="간이법","",FPR(H5582,I5582,J5582)))</f>
        <v/>
      </c>
      <c r="L5582" s="111" t="str">
        <f>IF(H5582="","",IF($C$29="상세법",FPV(H5582,K5582),IF(H5582="EI",4,IF(H5582="EO",5.2,IF(H5582="EQ",3.9,IF(H5582="ILF",7.5,IF(H5582="EIF",5.4)))))))</f>
        <v/>
      </c>
      <c r="M5582" s="112" t="str">
        <f t="shared" si="90"/>
        <v/>
      </c>
      <c r="N5582" s="113"/>
    </row>
    <row r="5583" spans="2:14">
      <c r="B5583" s="105"/>
      <c r="C5583" s="106"/>
      <c r="D5583" s="107"/>
      <c r="E5583" s="65"/>
      <c r="F5583" s="64"/>
      <c r="G5583" s="64"/>
      <c r="H5583" s="64"/>
      <c r="I5583" s="70"/>
      <c r="J5583" s="70"/>
      <c r="K5583" s="110" t="str">
        <f>IF(H5583="","",IF($C$29="간이법","",FPR(H5583,I5583,J5583)))</f>
        <v/>
      </c>
      <c r="L5583" s="111" t="str">
        <f>IF(H5583="","",IF($C$29="상세법",FPV(H5583,K5583),IF(H5583="EI",4,IF(H5583="EO",5.2,IF(H5583="EQ",3.9,IF(H5583="ILF",7.5,IF(H5583="EIF",5.4)))))))</f>
        <v/>
      </c>
      <c r="M5583" s="112" t="str">
        <f t="shared" si="90"/>
        <v/>
      </c>
      <c r="N5583" s="113"/>
    </row>
    <row r="5584" spans="2:14">
      <c r="B5584" s="105"/>
      <c r="C5584" s="106"/>
      <c r="D5584" s="107"/>
      <c r="E5584" s="65"/>
      <c r="F5584" s="64"/>
      <c r="G5584" s="64"/>
      <c r="H5584" s="64"/>
      <c r="I5584" s="70"/>
      <c r="J5584" s="70"/>
      <c r="K5584" s="110" t="str">
        <f>IF(H5584="","",IF($C$29="간이법","",FPR(H5584,I5584,J5584)))</f>
        <v/>
      </c>
      <c r="L5584" s="111" t="str">
        <f>IF(H5584="","",IF($C$29="상세법",FPV(H5584,K5584),IF(H5584="EI",4,IF(H5584="EO",5.2,IF(H5584="EQ",3.9,IF(H5584="ILF",7.5,IF(H5584="EIF",5.4)))))))</f>
        <v/>
      </c>
      <c r="M5584" s="112" t="str">
        <f t="shared" si="90"/>
        <v/>
      </c>
      <c r="N5584" s="113"/>
    </row>
    <row r="5585" spans="2:14">
      <c r="B5585" s="105"/>
      <c r="C5585" s="106"/>
      <c r="D5585" s="107"/>
      <c r="E5585" s="65"/>
      <c r="F5585" s="64"/>
      <c r="G5585" s="64"/>
      <c r="H5585" s="64"/>
      <c r="I5585" s="70"/>
      <c r="J5585" s="70"/>
      <c r="K5585" s="110" t="str">
        <f>IF(H5585="","",IF($C$29="간이법","",FPR(H5585,I5585,J5585)))</f>
        <v/>
      </c>
      <c r="L5585" s="111" t="str">
        <f>IF(H5585="","",IF($C$29="상세법",FPV(H5585,K5585),IF(H5585="EI",4,IF(H5585="EO",5.2,IF(H5585="EQ",3.9,IF(H5585="ILF",7.5,IF(H5585="EIF",5.4)))))))</f>
        <v/>
      </c>
      <c r="M5585" s="112" t="str">
        <f t="shared" si="90"/>
        <v/>
      </c>
      <c r="N5585" s="113"/>
    </row>
    <row r="5586" spans="2:14">
      <c r="B5586" s="105"/>
      <c r="C5586" s="106"/>
      <c r="D5586" s="107"/>
      <c r="E5586" s="65"/>
      <c r="F5586" s="64"/>
      <c r="G5586" s="64"/>
      <c r="H5586" s="64"/>
      <c r="I5586" s="70"/>
      <c r="J5586" s="70"/>
      <c r="K5586" s="110" t="str">
        <f>IF(H5586="","",IF($C$29="간이법","",FPR(H5586,I5586,J5586)))</f>
        <v/>
      </c>
      <c r="L5586" s="111" t="str">
        <f>IF(H5586="","",IF($C$29="상세법",FPV(H5586,K5586),IF(H5586="EI",4,IF(H5586="EO",5.2,IF(H5586="EQ",3.9,IF(H5586="ILF",7.5,IF(H5586="EIF",5.4)))))))</f>
        <v/>
      </c>
      <c r="M5586" s="112" t="str">
        <f t="shared" si="90"/>
        <v/>
      </c>
      <c r="N5586" s="113"/>
    </row>
    <row r="5587" spans="2:14">
      <c r="B5587" s="105"/>
      <c r="C5587" s="106"/>
      <c r="D5587" s="107"/>
      <c r="E5587" s="65"/>
      <c r="F5587" s="64"/>
      <c r="G5587" s="64"/>
      <c r="H5587" s="64"/>
      <c r="I5587" s="70"/>
      <c r="J5587" s="70"/>
      <c r="K5587" s="110" t="str">
        <f>IF(H5587="","",IF($C$29="간이법","",FPR(H5587,I5587,J5587)))</f>
        <v/>
      </c>
      <c r="L5587" s="111" t="str">
        <f>IF(H5587="","",IF($C$29="상세법",FPV(H5587,K5587),IF(H5587="EI",4,IF(H5587="EO",5.2,IF(H5587="EQ",3.9,IF(H5587="ILF",7.5,IF(H5587="EIF",5.4)))))))</f>
        <v/>
      </c>
      <c r="M5587" s="112" t="str">
        <f t="shared" si="90"/>
        <v/>
      </c>
      <c r="N5587" s="113"/>
    </row>
    <row r="5588" spans="2:14">
      <c r="B5588" s="105"/>
      <c r="C5588" s="106"/>
      <c r="D5588" s="107"/>
      <c r="E5588" s="65"/>
      <c r="F5588" s="64"/>
      <c r="G5588" s="64"/>
      <c r="H5588" s="64"/>
      <c r="I5588" s="70"/>
      <c r="J5588" s="70"/>
      <c r="K5588" s="110" t="str">
        <f>IF(H5588="","",IF($C$29="간이법","",FPR(H5588,I5588,J5588)))</f>
        <v/>
      </c>
      <c r="L5588" s="111" t="str">
        <f>IF(H5588="","",IF($C$29="상세법",FPV(H5588,K5588),IF(H5588="EI",4,IF(H5588="EO",5.2,IF(H5588="EQ",3.9,IF(H5588="ILF",7.5,IF(H5588="EIF",5.4)))))))</f>
        <v/>
      </c>
      <c r="M5588" s="112" t="str">
        <f t="shared" si="90"/>
        <v/>
      </c>
      <c r="N5588" s="113"/>
    </row>
    <row r="5589" spans="2:14">
      <c r="B5589" s="105"/>
      <c r="C5589" s="106"/>
      <c r="D5589" s="107"/>
      <c r="E5589" s="65"/>
      <c r="F5589" s="64"/>
      <c r="G5589" s="64"/>
      <c r="H5589" s="64"/>
      <c r="I5589" s="70"/>
      <c r="J5589" s="70"/>
      <c r="K5589" s="110" t="str">
        <f>IF(H5589="","",IF($C$29="간이법","",FPR(H5589,I5589,J5589)))</f>
        <v/>
      </c>
      <c r="L5589" s="111" t="str">
        <f>IF(H5589="","",IF($C$29="상세법",FPV(H5589,K5589),IF(H5589="EI",4,IF(H5589="EO",5.2,IF(H5589="EQ",3.9,IF(H5589="ILF",7.5,IF(H5589="EIF",5.4)))))))</f>
        <v/>
      </c>
      <c r="M5589" s="112" t="str">
        <f t="shared" si="90"/>
        <v/>
      </c>
      <c r="N5589" s="113"/>
    </row>
    <row r="5590" spans="2:14">
      <c r="B5590" s="105"/>
      <c r="C5590" s="106"/>
      <c r="D5590" s="107"/>
      <c r="E5590" s="65"/>
      <c r="F5590" s="64"/>
      <c r="G5590" s="64"/>
      <c r="H5590" s="64"/>
      <c r="I5590" s="70"/>
      <c r="J5590" s="70"/>
      <c r="K5590" s="110" t="str">
        <f>IF(H5590="","",IF($C$29="간이법","",FPR(H5590,I5590,J5590)))</f>
        <v/>
      </c>
      <c r="L5590" s="111" t="str">
        <f>IF(H5590="","",IF($C$29="상세법",FPV(H5590,K5590),IF(H5590="EI",4,IF(H5590="EO",5.2,IF(H5590="EQ",3.9,IF(H5590="ILF",7.5,IF(H5590="EIF",5.4)))))))</f>
        <v/>
      </c>
      <c r="M5590" s="112" t="str">
        <f t="shared" si="90"/>
        <v/>
      </c>
      <c r="N5590" s="113"/>
    </row>
    <row r="5591" spans="2:14">
      <c r="B5591" s="105"/>
      <c r="C5591" s="106"/>
      <c r="D5591" s="107"/>
      <c r="E5591" s="65"/>
      <c r="F5591" s="64"/>
      <c r="G5591" s="64"/>
      <c r="H5591" s="64"/>
      <c r="I5591" s="70"/>
      <c r="J5591" s="70"/>
      <c r="K5591" s="110" t="str">
        <f>IF(H5591="","",IF($C$29="간이법","",FPR(H5591,I5591,J5591)))</f>
        <v/>
      </c>
      <c r="L5591" s="111" t="str">
        <f>IF(H5591="","",IF($C$29="상세법",FPV(H5591,K5591),IF(H5591="EI",4,IF(H5591="EO",5.2,IF(H5591="EQ",3.9,IF(H5591="ILF",7.5,IF(H5591="EIF",5.4)))))))</f>
        <v/>
      </c>
      <c r="M5591" s="112" t="str">
        <f t="shared" si="90"/>
        <v/>
      </c>
      <c r="N5591" s="113"/>
    </row>
    <row r="5592" spans="2:14">
      <c r="B5592" s="105"/>
      <c r="C5592" s="106"/>
      <c r="D5592" s="107"/>
      <c r="E5592" s="65"/>
      <c r="F5592" s="64"/>
      <c r="G5592" s="64"/>
      <c r="H5592" s="64"/>
      <c r="I5592" s="70"/>
      <c r="J5592" s="70"/>
      <c r="K5592" s="110" t="str">
        <f>IF(H5592="","",IF($C$29="간이법","",FPR(H5592,I5592,J5592)))</f>
        <v/>
      </c>
      <c r="L5592" s="111" t="str">
        <f>IF(H5592="","",IF($C$29="상세법",FPV(H5592,K5592),IF(H5592="EI",4,IF(H5592="EO",5.2,IF(H5592="EQ",3.9,IF(H5592="ILF",7.5,IF(H5592="EIF",5.4)))))))</f>
        <v/>
      </c>
      <c r="M5592" s="112" t="str">
        <f t="shared" si="90"/>
        <v/>
      </c>
      <c r="N5592" s="113"/>
    </row>
    <row r="5593" spans="2:14">
      <c r="B5593" s="105"/>
      <c r="C5593" s="106"/>
      <c r="D5593" s="107"/>
      <c r="E5593" s="65"/>
      <c r="F5593" s="64"/>
      <c r="G5593" s="64"/>
      <c r="H5593" s="64"/>
      <c r="I5593" s="70"/>
      <c r="J5593" s="70"/>
      <c r="K5593" s="110" t="str">
        <f>IF(H5593="","",IF($C$29="간이법","",FPR(H5593,I5593,J5593)))</f>
        <v/>
      </c>
      <c r="L5593" s="111" t="str">
        <f>IF(H5593="","",IF($C$29="상세법",FPV(H5593,K5593),IF(H5593="EI",4,IF(H5593="EO",5.2,IF(H5593="EQ",3.9,IF(H5593="ILF",7.5,IF(H5593="EIF",5.4)))))))</f>
        <v/>
      </c>
      <c r="M5593" s="112" t="str">
        <f t="shared" si="90"/>
        <v/>
      </c>
      <c r="N5593" s="113"/>
    </row>
    <row r="5594" spans="2:14">
      <c r="B5594" s="105"/>
      <c r="C5594" s="106"/>
      <c r="D5594" s="107"/>
      <c r="E5594" s="65"/>
      <c r="F5594" s="64"/>
      <c r="G5594" s="64"/>
      <c r="H5594" s="64"/>
      <c r="I5594" s="70"/>
      <c r="J5594" s="70"/>
      <c r="K5594" s="110" t="str">
        <f>IF(H5594="","",IF($C$29="간이법","",FPR(H5594,I5594,J5594)))</f>
        <v/>
      </c>
      <c r="L5594" s="111" t="str">
        <f>IF(H5594="","",IF($C$29="상세법",FPV(H5594,K5594),IF(H5594="EI",4,IF(H5594="EO",5.2,IF(H5594="EQ",3.9,IF(H5594="ILF",7.5,IF(H5594="EIF",5.4)))))))</f>
        <v/>
      </c>
      <c r="M5594" s="112" t="str">
        <f t="shared" si="90"/>
        <v/>
      </c>
      <c r="N5594" s="113"/>
    </row>
    <row r="5595" spans="2:14">
      <c r="B5595" s="105"/>
      <c r="C5595" s="106"/>
      <c r="D5595" s="107"/>
      <c r="E5595" s="65"/>
      <c r="F5595" s="64"/>
      <c r="G5595" s="64"/>
      <c r="H5595" s="64"/>
      <c r="I5595" s="70"/>
      <c r="J5595" s="70"/>
      <c r="K5595" s="110" t="str">
        <f>IF(H5595="","",IF($C$29="간이법","",FPR(H5595,I5595,J5595)))</f>
        <v/>
      </c>
      <c r="L5595" s="111" t="str">
        <f>IF(H5595="","",IF($C$29="상세법",FPV(H5595,K5595),IF(H5595="EI",4,IF(H5595="EO",5.2,IF(H5595="EQ",3.9,IF(H5595="ILF",7.5,IF(H5595="EIF",5.4)))))))</f>
        <v/>
      </c>
      <c r="M5595" s="112" t="str">
        <f t="shared" si="90"/>
        <v/>
      </c>
      <c r="N5595" s="113"/>
    </row>
    <row r="5596" spans="2:14">
      <c r="B5596" s="105"/>
      <c r="C5596" s="106"/>
      <c r="D5596" s="107"/>
      <c r="E5596" s="65"/>
      <c r="F5596" s="64"/>
      <c r="G5596" s="64"/>
      <c r="H5596" s="64"/>
      <c r="I5596" s="70"/>
      <c r="J5596" s="70"/>
      <c r="K5596" s="110" t="str">
        <f>IF(H5596="","",IF($C$29="간이법","",FPR(H5596,I5596,J5596)))</f>
        <v/>
      </c>
      <c r="L5596" s="111" t="str">
        <f>IF(H5596="","",IF($C$29="상세법",FPV(H5596,K5596),IF(H5596="EI",4,IF(H5596="EO",5.2,IF(H5596="EQ",3.9,IF(H5596="ILF",7.5,IF(H5596="EIF",5.4)))))))</f>
        <v/>
      </c>
      <c r="M5596" s="112" t="str">
        <f t="shared" si="90"/>
        <v/>
      </c>
      <c r="N5596" s="113"/>
    </row>
    <row r="5597" spans="2:14">
      <c r="B5597" s="105"/>
      <c r="C5597" s="106"/>
      <c r="D5597" s="107"/>
      <c r="E5597" s="65"/>
      <c r="F5597" s="64"/>
      <c r="G5597" s="64"/>
      <c r="H5597" s="64"/>
      <c r="I5597" s="70"/>
      <c r="J5597" s="70"/>
      <c r="K5597" s="110" t="str">
        <f>IF(H5597="","",IF($C$29="간이법","",FPR(H5597,I5597,J5597)))</f>
        <v/>
      </c>
      <c r="L5597" s="111" t="str">
        <f>IF(H5597="","",IF($C$29="상세법",FPV(H5597,K5597),IF(H5597="EI",4,IF(H5597="EO",5.2,IF(H5597="EQ",3.9,IF(H5597="ILF",7.5,IF(H5597="EIF",5.4)))))))</f>
        <v/>
      </c>
      <c r="M5597" s="112" t="str">
        <f t="shared" si="90"/>
        <v/>
      </c>
      <c r="N5597" s="113"/>
    </row>
    <row r="5598" spans="2:14">
      <c r="B5598" s="105"/>
      <c r="C5598" s="106"/>
      <c r="D5598" s="107"/>
      <c r="E5598" s="65"/>
      <c r="F5598" s="64"/>
      <c r="G5598" s="64"/>
      <c r="H5598" s="64"/>
      <c r="I5598" s="70"/>
      <c r="J5598" s="70"/>
      <c r="K5598" s="110" t="str">
        <f>IF(H5598="","",IF($C$29="간이법","",FPR(H5598,I5598,J5598)))</f>
        <v/>
      </c>
      <c r="L5598" s="111" t="str">
        <f>IF(H5598="","",IF($C$29="상세법",FPV(H5598,K5598),IF(H5598="EI",4,IF(H5598="EO",5.2,IF(H5598="EQ",3.9,IF(H5598="ILF",7.5,IF(H5598="EIF",5.4)))))))</f>
        <v/>
      </c>
      <c r="M5598" s="112" t="str">
        <f t="shared" si="90"/>
        <v/>
      </c>
      <c r="N5598" s="113"/>
    </row>
    <row r="5599" spans="2:14">
      <c r="B5599" s="105"/>
      <c r="C5599" s="106"/>
      <c r="D5599" s="107"/>
      <c r="E5599" s="65"/>
      <c r="F5599" s="64"/>
      <c r="G5599" s="64"/>
      <c r="H5599" s="64"/>
      <c r="I5599" s="70"/>
      <c r="J5599" s="70"/>
      <c r="K5599" s="110" t="str">
        <f>IF(H5599="","",IF($C$29="간이법","",FPR(H5599,I5599,J5599)))</f>
        <v/>
      </c>
      <c r="L5599" s="111" t="str">
        <f>IF(H5599="","",IF($C$29="상세법",FPV(H5599,K5599),IF(H5599="EI",4,IF(H5599="EO",5.2,IF(H5599="EQ",3.9,IF(H5599="ILF",7.5,IF(H5599="EIF",5.4)))))))</f>
        <v/>
      </c>
      <c r="M5599" s="112" t="str">
        <f t="shared" si="90"/>
        <v/>
      </c>
      <c r="N5599" s="113"/>
    </row>
    <row r="5600" spans="2:14">
      <c r="B5600" s="105"/>
      <c r="C5600" s="106"/>
      <c r="D5600" s="107"/>
      <c r="E5600" s="65"/>
      <c r="F5600" s="64"/>
      <c r="G5600" s="64"/>
      <c r="H5600" s="64"/>
      <c r="I5600" s="70"/>
      <c r="J5600" s="70"/>
      <c r="K5600" s="110" t="str">
        <f>IF(H5600="","",IF($C$29="간이법","",FPR(H5600,I5600,J5600)))</f>
        <v/>
      </c>
      <c r="L5600" s="111" t="str">
        <f>IF(H5600="","",IF($C$29="상세법",FPV(H5600,K5600),IF(H5600="EI",4,IF(H5600="EO",5.2,IF(H5600="EQ",3.9,IF(H5600="ILF",7.5,IF(H5600="EIF",5.4)))))))</f>
        <v/>
      </c>
      <c r="M5600" s="112" t="str">
        <f t="shared" si="90"/>
        <v/>
      </c>
      <c r="N5600" s="113"/>
    </row>
    <row r="5601" spans="2:14">
      <c r="B5601" s="105"/>
      <c r="C5601" s="106"/>
      <c r="D5601" s="107"/>
      <c r="E5601" s="65"/>
      <c r="F5601" s="64"/>
      <c r="G5601" s="64"/>
      <c r="H5601" s="64"/>
      <c r="I5601" s="70"/>
      <c r="J5601" s="70"/>
      <c r="K5601" s="110" t="str">
        <f>IF(H5601="","",IF($C$29="간이법","",FPR(H5601,I5601,J5601)))</f>
        <v/>
      </c>
      <c r="L5601" s="111" t="str">
        <f>IF(H5601="","",IF($C$29="상세법",FPV(H5601,K5601),IF(H5601="EI",4,IF(H5601="EO",5.2,IF(H5601="EQ",3.9,IF(H5601="ILF",7.5,IF(H5601="EIF",5.4)))))))</f>
        <v/>
      </c>
      <c r="M5601" s="112" t="str">
        <f t="shared" si="90"/>
        <v/>
      </c>
      <c r="N5601" s="113"/>
    </row>
    <row r="5602" spans="2:14">
      <c r="B5602" s="105"/>
      <c r="C5602" s="106"/>
      <c r="D5602" s="107"/>
      <c r="E5602" s="65"/>
      <c r="F5602" s="64"/>
      <c r="G5602" s="64"/>
      <c r="H5602" s="64"/>
      <c r="I5602" s="70"/>
      <c r="J5602" s="70"/>
      <c r="K5602" s="110" t="str">
        <f>IF(H5602="","",IF($C$29="간이법","",FPR(H5602,I5602,J5602)))</f>
        <v/>
      </c>
      <c r="L5602" s="111" t="str">
        <f>IF(H5602="","",IF($C$29="상세법",FPV(H5602,K5602),IF(H5602="EI",4,IF(H5602="EO",5.2,IF(H5602="EQ",3.9,IF(H5602="ILF",7.5,IF(H5602="EIF",5.4)))))))</f>
        <v/>
      </c>
      <c r="M5602" s="112" t="str">
        <f t="shared" si="90"/>
        <v/>
      </c>
      <c r="N5602" s="113"/>
    </row>
    <row r="5603" spans="2:14">
      <c r="B5603" s="105"/>
      <c r="C5603" s="106"/>
      <c r="D5603" s="107"/>
      <c r="E5603" s="65"/>
      <c r="F5603" s="64"/>
      <c r="G5603" s="64"/>
      <c r="H5603" s="64"/>
      <c r="I5603" s="70"/>
      <c r="J5603" s="70"/>
      <c r="K5603" s="110" t="str">
        <f>IF(H5603="","",IF($C$29="간이법","",FPR(H5603,I5603,J5603)))</f>
        <v/>
      </c>
      <c r="L5603" s="111" t="str">
        <f>IF(H5603="","",IF($C$29="상세법",FPV(H5603,K5603),IF(H5603="EI",4,IF(H5603="EO",5.2,IF(H5603="EQ",3.9,IF(H5603="ILF",7.5,IF(H5603="EIF",5.4)))))))</f>
        <v/>
      </c>
      <c r="M5603" s="112" t="str">
        <f t="shared" si="90"/>
        <v/>
      </c>
      <c r="N5603" s="113"/>
    </row>
    <row r="5604" spans="2:14">
      <c r="B5604" s="105"/>
      <c r="C5604" s="106"/>
      <c r="D5604" s="107"/>
      <c r="E5604" s="65"/>
      <c r="F5604" s="64"/>
      <c r="G5604" s="64"/>
      <c r="H5604" s="64"/>
      <c r="I5604" s="70"/>
      <c r="J5604" s="70"/>
      <c r="K5604" s="110" t="str">
        <f>IF(H5604="","",IF($C$29="간이법","",FPR(H5604,I5604,J5604)))</f>
        <v/>
      </c>
      <c r="L5604" s="111" t="str">
        <f>IF(H5604="","",IF($C$29="상세법",FPV(H5604,K5604),IF(H5604="EI",4,IF(H5604="EO",5.2,IF(H5604="EQ",3.9,IF(H5604="ILF",7.5,IF(H5604="EIF",5.4)))))))</f>
        <v/>
      </c>
      <c r="M5604" s="112" t="str">
        <f t="shared" si="90"/>
        <v/>
      </c>
      <c r="N5604" s="113"/>
    </row>
    <row r="5605" spans="2:14">
      <c r="B5605" s="105"/>
      <c r="C5605" s="106"/>
      <c r="D5605" s="107"/>
      <c r="E5605" s="65"/>
      <c r="F5605" s="64"/>
      <c r="G5605" s="64"/>
      <c r="H5605" s="64"/>
      <c r="I5605" s="70"/>
      <c r="J5605" s="70"/>
      <c r="K5605" s="110" t="str">
        <f>IF(H5605="","",IF($C$29="간이법","",FPR(H5605,I5605,J5605)))</f>
        <v/>
      </c>
      <c r="L5605" s="111" t="str">
        <f>IF(H5605="","",IF($C$29="상세법",FPV(H5605,K5605),IF(H5605="EI",4,IF(H5605="EO",5.2,IF(H5605="EQ",3.9,IF(H5605="ILF",7.5,IF(H5605="EIF",5.4)))))))</f>
        <v/>
      </c>
      <c r="M5605" s="112" t="str">
        <f t="shared" si="90"/>
        <v/>
      </c>
      <c r="N5605" s="113"/>
    </row>
    <row r="5606" spans="2:14">
      <c r="B5606" s="105"/>
      <c r="C5606" s="106"/>
      <c r="D5606" s="107"/>
      <c r="E5606" s="65"/>
      <c r="F5606" s="64"/>
      <c r="G5606" s="64"/>
      <c r="H5606" s="64"/>
      <c r="I5606" s="70"/>
      <c r="J5606" s="70"/>
      <c r="K5606" s="110" t="str">
        <f>IF(H5606="","",IF($C$29="간이법","",FPR(H5606,I5606,J5606)))</f>
        <v/>
      </c>
      <c r="L5606" s="111" t="str">
        <f>IF(H5606="","",IF($C$29="상세법",FPV(H5606,K5606),IF(H5606="EI",4,IF(H5606="EO",5.2,IF(H5606="EQ",3.9,IF(H5606="ILF",7.5,IF(H5606="EIF",5.4)))))))</f>
        <v/>
      </c>
      <c r="M5606" s="112" t="str">
        <f t="shared" si="90"/>
        <v/>
      </c>
      <c r="N5606" s="113"/>
    </row>
    <row r="5607" spans="2:14">
      <c r="B5607" s="105"/>
      <c r="C5607" s="106"/>
      <c r="D5607" s="107"/>
      <c r="E5607" s="65"/>
      <c r="F5607" s="64"/>
      <c r="G5607" s="64"/>
      <c r="H5607" s="64"/>
      <c r="I5607" s="70"/>
      <c r="J5607" s="70"/>
      <c r="K5607" s="110" t="str">
        <f>IF(H5607="","",IF($C$29="간이법","",FPR(H5607,I5607,J5607)))</f>
        <v/>
      </c>
      <c r="L5607" s="111" t="str">
        <f>IF(H5607="","",IF($C$29="상세법",FPV(H5607,K5607),IF(H5607="EI",4,IF(H5607="EO",5.2,IF(H5607="EQ",3.9,IF(H5607="ILF",7.5,IF(H5607="EIF",5.4)))))))</f>
        <v/>
      </c>
      <c r="M5607" s="112" t="str">
        <f t="shared" si="90"/>
        <v/>
      </c>
      <c r="N5607" s="113"/>
    </row>
    <row r="5608" spans="2:14">
      <c r="B5608" s="105"/>
      <c r="C5608" s="106"/>
      <c r="D5608" s="107"/>
      <c r="E5608" s="65"/>
      <c r="F5608" s="64"/>
      <c r="G5608" s="64"/>
      <c r="H5608" s="64"/>
      <c r="I5608" s="70"/>
      <c r="J5608" s="70"/>
      <c r="K5608" s="110" t="str">
        <f>IF(H5608="","",IF($C$29="간이법","",FPR(H5608,I5608,J5608)))</f>
        <v/>
      </c>
      <c r="L5608" s="111" t="str">
        <f>IF(H5608="","",IF($C$29="상세법",FPV(H5608,K5608),IF(H5608="EI",4,IF(H5608="EO",5.2,IF(H5608="EQ",3.9,IF(H5608="ILF",7.5,IF(H5608="EIF",5.4)))))))</f>
        <v/>
      </c>
      <c r="M5608" s="112" t="str">
        <f t="shared" si="90"/>
        <v/>
      </c>
      <c r="N5608" s="113"/>
    </row>
    <row r="5609" spans="2:14">
      <c r="B5609" s="105"/>
      <c r="C5609" s="106"/>
      <c r="D5609" s="107"/>
      <c r="E5609" s="65"/>
      <c r="F5609" s="64"/>
      <c r="G5609" s="64"/>
      <c r="H5609" s="64"/>
      <c r="I5609" s="70"/>
      <c r="J5609" s="70"/>
      <c r="K5609" s="110" t="str">
        <f>IF(H5609="","",IF($C$29="간이법","",FPR(H5609,I5609,J5609)))</f>
        <v/>
      </c>
      <c r="L5609" s="111" t="str">
        <f>IF(H5609="","",IF($C$29="상세법",FPV(H5609,K5609),IF(H5609="EI",4,IF(H5609="EO",5.2,IF(H5609="EQ",3.9,IF(H5609="ILF",7.5,IF(H5609="EIF",5.4)))))))</f>
        <v/>
      </c>
      <c r="M5609" s="112" t="str">
        <f t="shared" si="90"/>
        <v/>
      </c>
      <c r="N5609" s="113"/>
    </row>
    <row r="5610" spans="2:14">
      <c r="B5610" s="105"/>
      <c r="C5610" s="106"/>
      <c r="D5610" s="107"/>
      <c r="E5610" s="65"/>
      <c r="F5610" s="64"/>
      <c r="G5610" s="64"/>
      <c r="H5610" s="64"/>
      <c r="I5610" s="70"/>
      <c r="J5610" s="70"/>
      <c r="K5610" s="110" t="str">
        <f>IF(H5610="","",IF($C$29="간이법","",FPR(H5610,I5610,J5610)))</f>
        <v/>
      </c>
      <c r="L5610" s="111" t="str">
        <f>IF(H5610="","",IF($C$29="상세법",FPV(H5610,K5610),IF(H5610="EI",4,IF(H5610="EO",5.2,IF(H5610="EQ",3.9,IF(H5610="ILF",7.5,IF(H5610="EIF",5.4)))))))</f>
        <v/>
      </c>
      <c r="M5610" s="112" t="str">
        <f t="shared" si="90"/>
        <v/>
      </c>
      <c r="N5610" s="113"/>
    </row>
    <row r="5611" spans="2:14">
      <c r="B5611" s="105"/>
      <c r="C5611" s="106"/>
      <c r="D5611" s="107"/>
      <c r="E5611" s="65"/>
      <c r="F5611" s="64"/>
      <c r="G5611" s="64"/>
      <c r="H5611" s="64"/>
      <c r="I5611" s="70"/>
      <c r="J5611" s="70"/>
      <c r="K5611" s="110" t="str">
        <f>IF(H5611="","",IF($C$29="간이법","",FPR(H5611,I5611,J5611)))</f>
        <v/>
      </c>
      <c r="L5611" s="111" t="str">
        <f>IF(H5611="","",IF($C$29="상세법",FPV(H5611,K5611),IF(H5611="EI",4,IF(H5611="EO",5.2,IF(H5611="EQ",3.9,IF(H5611="ILF",7.5,IF(H5611="EIF",5.4)))))))</f>
        <v/>
      </c>
      <c r="M5611" s="112" t="str">
        <f t="shared" si="90"/>
        <v/>
      </c>
      <c r="N5611" s="113"/>
    </row>
    <row r="5612" spans="2:14">
      <c r="B5612" s="105"/>
      <c r="C5612" s="106"/>
      <c r="D5612" s="107"/>
      <c r="E5612" s="65"/>
      <c r="F5612" s="64"/>
      <c r="G5612" s="64"/>
      <c r="H5612" s="64"/>
      <c r="I5612" s="70"/>
      <c r="J5612" s="70"/>
      <c r="K5612" s="110" t="str">
        <f>IF(H5612="","",IF($C$29="간이법","",FPR(H5612,I5612,J5612)))</f>
        <v/>
      </c>
      <c r="L5612" s="111" t="str">
        <f>IF(H5612="","",IF($C$29="상세법",FPV(H5612,K5612),IF(H5612="EI",4,IF(H5612="EO",5.2,IF(H5612="EQ",3.9,IF(H5612="ILF",7.5,IF(H5612="EIF",5.4)))))))</f>
        <v/>
      </c>
      <c r="M5612" s="112" t="str">
        <f t="shared" si="90"/>
        <v/>
      </c>
      <c r="N5612" s="113"/>
    </row>
    <row r="5613" spans="2:14">
      <c r="B5613" s="105"/>
      <c r="C5613" s="106"/>
      <c r="D5613" s="107"/>
      <c r="E5613" s="65"/>
      <c r="F5613" s="64"/>
      <c r="G5613" s="64"/>
      <c r="H5613" s="64"/>
      <c r="I5613" s="70"/>
      <c r="J5613" s="70"/>
      <c r="K5613" s="110" t="str">
        <f>IF(H5613="","",IF($C$29="간이법","",FPR(H5613,I5613,J5613)))</f>
        <v/>
      </c>
      <c r="L5613" s="111" t="str">
        <f>IF(H5613="","",IF($C$29="상세법",FPV(H5613,K5613),IF(H5613="EI",4,IF(H5613="EO",5.2,IF(H5613="EQ",3.9,IF(H5613="ILF",7.5,IF(H5613="EIF",5.4)))))))</f>
        <v/>
      </c>
      <c r="M5613" s="112" t="str">
        <f t="shared" si="90"/>
        <v/>
      </c>
      <c r="N5613" s="113"/>
    </row>
    <row r="5614" spans="2:14">
      <c r="B5614" s="105"/>
      <c r="C5614" s="106"/>
      <c r="D5614" s="107"/>
      <c r="E5614" s="65"/>
      <c r="F5614" s="64"/>
      <c r="G5614" s="64"/>
      <c r="H5614" s="64"/>
      <c r="I5614" s="70"/>
      <c r="J5614" s="70"/>
      <c r="K5614" s="110" t="str">
        <f>IF(H5614="","",IF($C$29="간이법","",FPR(H5614,I5614,J5614)))</f>
        <v/>
      </c>
      <c r="L5614" s="111" t="str">
        <f>IF(H5614="","",IF($C$29="상세법",FPV(H5614,K5614),IF(H5614="EI",4,IF(H5614="EO",5.2,IF(H5614="EQ",3.9,IF(H5614="ILF",7.5,IF(H5614="EIF",5.4)))))))</f>
        <v/>
      </c>
      <c r="M5614" s="112" t="str">
        <f t="shared" si="90"/>
        <v/>
      </c>
      <c r="N5614" s="113"/>
    </row>
    <row r="5615" spans="2:14">
      <c r="B5615" s="105"/>
      <c r="C5615" s="106"/>
      <c r="D5615" s="107"/>
      <c r="E5615" s="65"/>
      <c r="F5615" s="64"/>
      <c r="G5615" s="64"/>
      <c r="H5615" s="64"/>
      <c r="I5615" s="70"/>
      <c r="J5615" s="70"/>
      <c r="K5615" s="110" t="str">
        <f>IF(H5615="","",IF($C$29="간이법","",FPR(H5615,I5615,J5615)))</f>
        <v/>
      </c>
      <c r="L5615" s="111" t="str">
        <f>IF(H5615="","",IF($C$29="상세법",FPV(H5615,K5615),IF(H5615="EI",4,IF(H5615="EO",5.2,IF(H5615="EQ",3.9,IF(H5615="ILF",7.5,IF(H5615="EIF",5.4)))))))</f>
        <v/>
      </c>
      <c r="M5615" s="112" t="str">
        <f t="shared" si="90"/>
        <v/>
      </c>
      <c r="N5615" s="113"/>
    </row>
    <row r="5616" spans="2:14">
      <c r="B5616" s="105"/>
      <c r="C5616" s="106"/>
      <c r="D5616" s="107"/>
      <c r="E5616" s="65"/>
      <c r="F5616" s="64"/>
      <c r="G5616" s="64"/>
      <c r="H5616" s="64"/>
      <c r="I5616" s="70"/>
      <c r="J5616" s="70"/>
      <c r="K5616" s="110" t="str">
        <f>IF(H5616="","",IF($C$29="간이법","",FPR(H5616,I5616,J5616)))</f>
        <v/>
      </c>
      <c r="L5616" s="111" t="str">
        <f>IF(H5616="","",IF($C$29="상세법",FPV(H5616,K5616),IF(H5616="EI",4,IF(H5616="EO",5.2,IF(H5616="EQ",3.9,IF(H5616="ILF",7.5,IF(H5616="EIF",5.4)))))))</f>
        <v/>
      </c>
      <c r="M5616" s="112" t="str">
        <f t="shared" si="90"/>
        <v/>
      </c>
      <c r="N5616" s="113"/>
    </row>
    <row r="5617" spans="2:14">
      <c r="B5617" s="105"/>
      <c r="C5617" s="106"/>
      <c r="D5617" s="107"/>
      <c r="E5617" s="65"/>
      <c r="F5617" s="64"/>
      <c r="G5617" s="64"/>
      <c r="H5617" s="64"/>
      <c r="I5617" s="70"/>
      <c r="J5617" s="70"/>
      <c r="K5617" s="110" t="str">
        <f>IF(H5617="","",IF($C$29="간이법","",FPR(H5617,I5617,J5617)))</f>
        <v/>
      </c>
      <c r="L5617" s="111" t="str">
        <f>IF(H5617="","",IF($C$29="상세법",FPV(H5617,K5617),IF(H5617="EI",4,IF(H5617="EO",5.2,IF(H5617="EQ",3.9,IF(H5617="ILF",7.5,IF(H5617="EIF",5.4)))))))</f>
        <v/>
      </c>
      <c r="M5617" s="112" t="str">
        <f t="shared" si="90"/>
        <v/>
      </c>
      <c r="N5617" s="113"/>
    </row>
    <row r="5618" spans="2:14">
      <c r="B5618" s="105"/>
      <c r="C5618" s="106"/>
      <c r="D5618" s="107"/>
      <c r="E5618" s="65"/>
      <c r="F5618" s="64"/>
      <c r="G5618" s="64"/>
      <c r="H5618" s="64"/>
      <c r="I5618" s="70"/>
      <c r="J5618" s="70"/>
      <c r="K5618" s="110" t="str">
        <f>IF(H5618="","",IF($C$29="간이법","",FPR(H5618,I5618,J5618)))</f>
        <v/>
      </c>
      <c r="L5618" s="111" t="str">
        <f>IF(H5618="","",IF($C$29="상세법",FPV(H5618,K5618),IF(H5618="EI",4,IF(H5618="EO",5.2,IF(H5618="EQ",3.9,IF(H5618="ILF",7.5,IF(H5618="EIF",5.4)))))))</f>
        <v/>
      </c>
      <c r="M5618" s="112" t="str">
        <f t="shared" si="90"/>
        <v/>
      </c>
      <c r="N5618" s="113"/>
    </row>
    <row r="5619" spans="2:14">
      <c r="B5619" s="105"/>
      <c r="C5619" s="106"/>
      <c r="D5619" s="107"/>
      <c r="E5619" s="65"/>
      <c r="F5619" s="64"/>
      <c r="G5619" s="64"/>
      <c r="H5619" s="64"/>
      <c r="I5619" s="70"/>
      <c r="J5619" s="70"/>
      <c r="K5619" s="110" t="str">
        <f>IF(H5619="","",IF($C$29="간이법","",FPR(H5619,I5619,J5619)))</f>
        <v/>
      </c>
      <c r="L5619" s="111" t="str">
        <f>IF(H5619="","",IF($C$29="상세법",FPV(H5619,K5619),IF(H5619="EI",4,IF(H5619="EO",5.2,IF(H5619="EQ",3.9,IF(H5619="ILF",7.5,IF(H5619="EIF",5.4)))))))</f>
        <v/>
      </c>
      <c r="M5619" s="112" t="str">
        <f t="shared" si="90"/>
        <v/>
      </c>
      <c r="N5619" s="113"/>
    </row>
    <row r="5620" spans="2:14">
      <c r="B5620" s="105"/>
      <c r="C5620" s="106"/>
      <c r="D5620" s="107"/>
      <c r="E5620" s="65"/>
      <c r="F5620" s="64"/>
      <c r="G5620" s="64"/>
      <c r="H5620" s="64"/>
      <c r="I5620" s="70"/>
      <c r="J5620" s="70"/>
      <c r="K5620" s="110" t="str">
        <f>IF(H5620="","",IF($C$29="간이법","",FPR(H5620,I5620,J5620)))</f>
        <v/>
      </c>
      <c r="L5620" s="111" t="str">
        <f>IF(H5620="","",IF($C$29="상세법",FPV(H5620,K5620),IF(H5620="EI",4,IF(H5620="EO",5.2,IF(H5620="EQ",3.9,IF(H5620="ILF",7.5,IF(H5620="EIF",5.4)))))))</f>
        <v/>
      </c>
      <c r="M5620" s="112" t="str">
        <f t="shared" si="90"/>
        <v/>
      </c>
      <c r="N5620" s="113"/>
    </row>
    <row r="5621" spans="2:14">
      <c r="B5621" s="105"/>
      <c r="C5621" s="106"/>
      <c r="D5621" s="107"/>
      <c r="E5621" s="65"/>
      <c r="F5621" s="64"/>
      <c r="G5621" s="64"/>
      <c r="H5621" s="64"/>
      <c r="I5621" s="70"/>
      <c r="J5621" s="70"/>
      <c r="K5621" s="110" t="str">
        <f>IF(H5621="","",IF($C$29="간이법","",FPR(H5621,I5621,J5621)))</f>
        <v/>
      </c>
      <c r="L5621" s="111" t="str">
        <f>IF(H5621="","",IF($C$29="상세법",FPV(H5621,K5621),IF(H5621="EI",4,IF(H5621="EO",5.2,IF(H5621="EQ",3.9,IF(H5621="ILF",7.5,IF(H5621="EIF",5.4)))))))</f>
        <v/>
      </c>
      <c r="M5621" s="112" t="str">
        <f t="shared" si="90"/>
        <v/>
      </c>
      <c r="N5621" s="113"/>
    </row>
    <row r="5622" spans="2:14">
      <c r="B5622" s="105"/>
      <c r="C5622" s="106"/>
      <c r="D5622" s="107"/>
      <c r="E5622" s="65"/>
      <c r="F5622" s="64"/>
      <c r="G5622" s="64"/>
      <c r="H5622" s="64"/>
      <c r="I5622" s="70"/>
      <c r="J5622" s="70"/>
      <c r="K5622" s="110" t="str">
        <f>IF(H5622="","",IF($C$29="간이법","",FPR(H5622,I5622,J5622)))</f>
        <v/>
      </c>
      <c r="L5622" s="111" t="str">
        <f>IF(H5622="","",IF($C$29="상세법",FPV(H5622,K5622),IF(H5622="EI",4,IF(H5622="EO",5.2,IF(H5622="EQ",3.9,IF(H5622="ILF",7.5,IF(H5622="EIF",5.4)))))))</f>
        <v/>
      </c>
      <c r="M5622" s="112" t="str">
        <f t="shared" si="90"/>
        <v/>
      </c>
      <c r="N5622" s="113"/>
    </row>
    <row r="5623" spans="2:14">
      <c r="B5623" s="105"/>
      <c r="C5623" s="106"/>
      <c r="D5623" s="107"/>
      <c r="E5623" s="65"/>
      <c r="F5623" s="64"/>
      <c r="G5623" s="64"/>
      <c r="H5623" s="64"/>
      <c r="I5623" s="70"/>
      <c r="J5623" s="70"/>
      <c r="K5623" s="110" t="str">
        <f>IF(H5623="","",IF($C$29="간이법","",FPR(H5623,I5623,J5623)))</f>
        <v/>
      </c>
      <c r="L5623" s="111" t="str">
        <f>IF(H5623="","",IF($C$29="상세법",FPV(H5623,K5623),IF(H5623="EI",4,IF(H5623="EO",5.2,IF(H5623="EQ",3.9,IF(H5623="ILF",7.5,IF(H5623="EIF",5.4)))))))</f>
        <v/>
      </c>
      <c r="M5623" s="112" t="str">
        <f t="shared" si="90"/>
        <v/>
      </c>
      <c r="N5623" s="113"/>
    </row>
    <row r="5624" spans="2:14">
      <c r="B5624" s="105"/>
      <c r="C5624" s="106"/>
      <c r="D5624" s="107"/>
      <c r="E5624" s="65"/>
      <c r="F5624" s="64"/>
      <c r="G5624" s="64"/>
      <c r="H5624" s="64"/>
      <c r="I5624" s="70"/>
      <c r="J5624" s="70"/>
      <c r="K5624" s="110" t="str">
        <f>IF(H5624="","",IF($C$29="간이법","",FPR(H5624,I5624,J5624)))</f>
        <v/>
      </c>
      <c r="L5624" s="111" t="str">
        <f>IF(H5624="","",IF($C$29="상세법",FPV(H5624,K5624),IF(H5624="EI",4,IF(H5624="EO",5.2,IF(H5624="EQ",3.9,IF(H5624="ILF",7.5,IF(H5624="EIF",5.4)))))))</f>
        <v/>
      </c>
      <c r="M5624" s="112" t="str">
        <f t="shared" si="90"/>
        <v/>
      </c>
      <c r="N5624" s="113"/>
    </row>
    <row r="5625" spans="2:14">
      <c r="B5625" s="105"/>
      <c r="C5625" s="106"/>
      <c r="D5625" s="107"/>
      <c r="E5625" s="65"/>
      <c r="F5625" s="64"/>
      <c r="G5625" s="64"/>
      <c r="H5625" s="64"/>
      <c r="I5625" s="70"/>
      <c r="J5625" s="70"/>
      <c r="K5625" s="110" t="str">
        <f>IF(H5625="","",IF($C$29="간이법","",FPR(H5625,I5625,J5625)))</f>
        <v/>
      </c>
      <c r="L5625" s="111" t="str">
        <f>IF(H5625="","",IF($C$29="상세법",FPV(H5625,K5625),IF(H5625="EI",4,IF(H5625="EO",5.2,IF(H5625="EQ",3.9,IF(H5625="ILF",7.5,IF(H5625="EIF",5.4)))))))</f>
        <v/>
      </c>
      <c r="M5625" s="112" t="str">
        <f t="shared" ref="M5625:M5688" si="91">IF(L5625="","",L5625*IF(G5625="상",0.7,IF(G5625="중",0.5,IF(G5625="하",0.2,1))))</f>
        <v/>
      </c>
      <c r="N5625" s="113"/>
    </row>
    <row r="5626" spans="2:14">
      <c r="B5626" s="105"/>
      <c r="C5626" s="106"/>
      <c r="D5626" s="107"/>
      <c r="E5626" s="65"/>
      <c r="F5626" s="64"/>
      <c r="G5626" s="64"/>
      <c r="H5626" s="64"/>
      <c r="I5626" s="70"/>
      <c r="J5626" s="70"/>
      <c r="K5626" s="110" t="str">
        <f>IF(H5626="","",IF($C$29="간이법","",FPR(H5626,I5626,J5626)))</f>
        <v/>
      </c>
      <c r="L5626" s="111" t="str">
        <f>IF(H5626="","",IF($C$29="상세법",FPV(H5626,K5626),IF(H5626="EI",4,IF(H5626="EO",5.2,IF(H5626="EQ",3.9,IF(H5626="ILF",7.5,IF(H5626="EIF",5.4)))))))</f>
        <v/>
      </c>
      <c r="M5626" s="112" t="str">
        <f t="shared" si="91"/>
        <v/>
      </c>
      <c r="N5626" s="113"/>
    </row>
    <row r="5627" spans="2:14">
      <c r="B5627" s="105"/>
      <c r="C5627" s="106"/>
      <c r="D5627" s="107"/>
      <c r="E5627" s="65"/>
      <c r="F5627" s="64"/>
      <c r="G5627" s="64"/>
      <c r="H5627" s="64"/>
      <c r="I5627" s="70"/>
      <c r="J5627" s="70"/>
      <c r="K5627" s="110" t="str">
        <f>IF(H5627="","",IF($C$29="간이법","",FPR(H5627,I5627,J5627)))</f>
        <v/>
      </c>
      <c r="L5627" s="111" t="str">
        <f>IF(H5627="","",IF($C$29="상세법",FPV(H5627,K5627),IF(H5627="EI",4,IF(H5627="EO",5.2,IF(H5627="EQ",3.9,IF(H5627="ILF",7.5,IF(H5627="EIF",5.4)))))))</f>
        <v/>
      </c>
      <c r="M5627" s="112" t="str">
        <f t="shared" si="91"/>
        <v/>
      </c>
      <c r="N5627" s="113"/>
    </row>
    <row r="5628" spans="2:14">
      <c r="B5628" s="105"/>
      <c r="C5628" s="106"/>
      <c r="D5628" s="107"/>
      <c r="E5628" s="65"/>
      <c r="F5628" s="64"/>
      <c r="G5628" s="64"/>
      <c r="H5628" s="64"/>
      <c r="I5628" s="70"/>
      <c r="J5628" s="70"/>
      <c r="K5628" s="110" t="str">
        <f>IF(H5628="","",IF($C$29="간이법","",FPR(H5628,I5628,J5628)))</f>
        <v/>
      </c>
      <c r="L5628" s="111" t="str">
        <f>IF(H5628="","",IF($C$29="상세법",FPV(H5628,K5628),IF(H5628="EI",4,IF(H5628="EO",5.2,IF(H5628="EQ",3.9,IF(H5628="ILF",7.5,IF(H5628="EIF",5.4)))))))</f>
        <v/>
      </c>
      <c r="M5628" s="112" t="str">
        <f t="shared" si="91"/>
        <v/>
      </c>
      <c r="N5628" s="113"/>
    </row>
    <row r="5629" spans="2:14">
      <c r="B5629" s="105"/>
      <c r="C5629" s="106"/>
      <c r="D5629" s="107"/>
      <c r="E5629" s="65"/>
      <c r="F5629" s="64"/>
      <c r="G5629" s="64"/>
      <c r="H5629" s="64"/>
      <c r="I5629" s="70"/>
      <c r="J5629" s="70"/>
      <c r="K5629" s="110" t="str">
        <f>IF(H5629="","",IF($C$29="간이법","",FPR(H5629,I5629,J5629)))</f>
        <v/>
      </c>
      <c r="L5629" s="111" t="str">
        <f>IF(H5629="","",IF($C$29="상세법",FPV(H5629,K5629),IF(H5629="EI",4,IF(H5629="EO",5.2,IF(H5629="EQ",3.9,IF(H5629="ILF",7.5,IF(H5629="EIF",5.4)))))))</f>
        <v/>
      </c>
      <c r="M5629" s="112" t="str">
        <f t="shared" si="91"/>
        <v/>
      </c>
      <c r="N5629" s="113"/>
    </row>
    <row r="5630" spans="2:14">
      <c r="B5630" s="105"/>
      <c r="C5630" s="106"/>
      <c r="D5630" s="107"/>
      <c r="E5630" s="65"/>
      <c r="F5630" s="64"/>
      <c r="G5630" s="64"/>
      <c r="H5630" s="64"/>
      <c r="I5630" s="70"/>
      <c r="J5630" s="70"/>
      <c r="K5630" s="110" t="str">
        <f>IF(H5630="","",IF($C$29="간이법","",FPR(H5630,I5630,J5630)))</f>
        <v/>
      </c>
      <c r="L5630" s="111" t="str">
        <f>IF(H5630="","",IF($C$29="상세법",FPV(H5630,K5630),IF(H5630="EI",4,IF(H5630="EO",5.2,IF(H5630="EQ",3.9,IF(H5630="ILF",7.5,IF(H5630="EIF",5.4)))))))</f>
        <v/>
      </c>
      <c r="M5630" s="112" t="str">
        <f t="shared" si="91"/>
        <v/>
      </c>
      <c r="N5630" s="113"/>
    </row>
    <row r="5631" spans="2:14">
      <c r="B5631" s="105"/>
      <c r="C5631" s="106"/>
      <c r="D5631" s="107"/>
      <c r="E5631" s="65"/>
      <c r="F5631" s="64"/>
      <c r="G5631" s="64"/>
      <c r="H5631" s="64"/>
      <c r="I5631" s="70"/>
      <c r="J5631" s="70"/>
      <c r="K5631" s="110" t="str">
        <f>IF(H5631="","",IF($C$29="간이법","",FPR(H5631,I5631,J5631)))</f>
        <v/>
      </c>
      <c r="L5631" s="111" t="str">
        <f>IF(H5631="","",IF($C$29="상세법",FPV(H5631,K5631),IF(H5631="EI",4,IF(H5631="EO",5.2,IF(H5631="EQ",3.9,IF(H5631="ILF",7.5,IF(H5631="EIF",5.4)))))))</f>
        <v/>
      </c>
      <c r="M5631" s="112" t="str">
        <f t="shared" si="91"/>
        <v/>
      </c>
      <c r="N5631" s="113"/>
    </row>
    <row r="5632" spans="2:14">
      <c r="B5632" s="105"/>
      <c r="C5632" s="106"/>
      <c r="D5632" s="107"/>
      <c r="E5632" s="65"/>
      <c r="F5632" s="64"/>
      <c r="G5632" s="64"/>
      <c r="H5632" s="64"/>
      <c r="I5632" s="70"/>
      <c r="J5632" s="70"/>
      <c r="K5632" s="110" t="str">
        <f>IF(H5632="","",IF($C$29="간이법","",FPR(H5632,I5632,J5632)))</f>
        <v/>
      </c>
      <c r="L5632" s="111" t="str">
        <f>IF(H5632="","",IF($C$29="상세법",FPV(H5632,K5632),IF(H5632="EI",4,IF(H5632="EO",5.2,IF(H5632="EQ",3.9,IF(H5632="ILF",7.5,IF(H5632="EIF",5.4)))))))</f>
        <v/>
      </c>
      <c r="M5632" s="112" t="str">
        <f t="shared" si="91"/>
        <v/>
      </c>
      <c r="N5632" s="113"/>
    </row>
    <row r="5633" spans="2:14">
      <c r="B5633" s="105"/>
      <c r="C5633" s="106"/>
      <c r="D5633" s="107"/>
      <c r="E5633" s="65"/>
      <c r="F5633" s="64"/>
      <c r="G5633" s="64"/>
      <c r="H5633" s="64"/>
      <c r="I5633" s="70"/>
      <c r="J5633" s="70"/>
      <c r="K5633" s="110" t="str">
        <f>IF(H5633="","",IF($C$29="간이법","",FPR(H5633,I5633,J5633)))</f>
        <v/>
      </c>
      <c r="L5633" s="111" t="str">
        <f>IF(H5633="","",IF($C$29="상세법",FPV(H5633,K5633),IF(H5633="EI",4,IF(H5633="EO",5.2,IF(H5633="EQ",3.9,IF(H5633="ILF",7.5,IF(H5633="EIF",5.4)))))))</f>
        <v/>
      </c>
      <c r="M5633" s="112" t="str">
        <f t="shared" si="91"/>
        <v/>
      </c>
      <c r="N5633" s="113"/>
    </row>
    <row r="5634" spans="2:14">
      <c r="B5634" s="105"/>
      <c r="C5634" s="106"/>
      <c r="D5634" s="107"/>
      <c r="E5634" s="65"/>
      <c r="F5634" s="64"/>
      <c r="G5634" s="64"/>
      <c r="H5634" s="64"/>
      <c r="I5634" s="70"/>
      <c r="J5634" s="70"/>
      <c r="K5634" s="110" t="str">
        <f>IF(H5634="","",IF($C$29="간이법","",FPR(H5634,I5634,J5634)))</f>
        <v/>
      </c>
      <c r="L5634" s="111" t="str">
        <f>IF(H5634="","",IF($C$29="상세법",FPV(H5634,K5634),IF(H5634="EI",4,IF(H5634="EO",5.2,IF(H5634="EQ",3.9,IF(H5634="ILF",7.5,IF(H5634="EIF",5.4)))))))</f>
        <v/>
      </c>
      <c r="M5634" s="112" t="str">
        <f t="shared" si="91"/>
        <v/>
      </c>
      <c r="N5634" s="113"/>
    </row>
    <row r="5635" spans="2:14">
      <c r="B5635" s="105"/>
      <c r="C5635" s="106"/>
      <c r="D5635" s="107"/>
      <c r="E5635" s="65"/>
      <c r="F5635" s="64"/>
      <c r="G5635" s="64"/>
      <c r="H5635" s="64"/>
      <c r="I5635" s="70"/>
      <c r="J5635" s="70"/>
      <c r="K5635" s="110" t="str">
        <f>IF(H5635="","",IF($C$29="간이법","",FPR(H5635,I5635,J5635)))</f>
        <v/>
      </c>
      <c r="L5635" s="111" t="str">
        <f>IF(H5635="","",IF($C$29="상세법",FPV(H5635,K5635),IF(H5635="EI",4,IF(H5635="EO",5.2,IF(H5635="EQ",3.9,IF(H5635="ILF",7.5,IF(H5635="EIF",5.4)))))))</f>
        <v/>
      </c>
      <c r="M5635" s="112" t="str">
        <f t="shared" si="91"/>
        <v/>
      </c>
      <c r="N5635" s="113"/>
    </row>
    <row r="5636" spans="2:14">
      <c r="B5636" s="105"/>
      <c r="C5636" s="106"/>
      <c r="D5636" s="107"/>
      <c r="E5636" s="65"/>
      <c r="F5636" s="64"/>
      <c r="G5636" s="64"/>
      <c r="H5636" s="64"/>
      <c r="I5636" s="70"/>
      <c r="J5636" s="70"/>
      <c r="K5636" s="110" t="str">
        <f>IF(H5636="","",IF($C$29="간이법","",FPR(H5636,I5636,J5636)))</f>
        <v/>
      </c>
      <c r="L5636" s="111" t="str">
        <f>IF(H5636="","",IF($C$29="상세법",FPV(H5636,K5636),IF(H5636="EI",4,IF(H5636="EO",5.2,IF(H5636="EQ",3.9,IF(H5636="ILF",7.5,IF(H5636="EIF",5.4)))))))</f>
        <v/>
      </c>
      <c r="M5636" s="112" t="str">
        <f t="shared" si="91"/>
        <v/>
      </c>
      <c r="N5636" s="113"/>
    </row>
    <row r="5637" spans="2:14">
      <c r="B5637" s="105"/>
      <c r="C5637" s="106"/>
      <c r="D5637" s="107"/>
      <c r="E5637" s="65"/>
      <c r="F5637" s="64"/>
      <c r="G5637" s="64"/>
      <c r="H5637" s="64"/>
      <c r="I5637" s="70"/>
      <c r="J5637" s="70"/>
      <c r="K5637" s="110" t="str">
        <f>IF(H5637="","",IF($C$29="간이법","",FPR(H5637,I5637,J5637)))</f>
        <v/>
      </c>
      <c r="L5637" s="111" t="str">
        <f>IF(H5637="","",IF($C$29="상세법",FPV(H5637,K5637),IF(H5637="EI",4,IF(H5637="EO",5.2,IF(H5637="EQ",3.9,IF(H5637="ILF",7.5,IF(H5637="EIF",5.4)))))))</f>
        <v/>
      </c>
      <c r="M5637" s="112" t="str">
        <f t="shared" si="91"/>
        <v/>
      </c>
      <c r="N5637" s="113"/>
    </row>
    <row r="5638" spans="2:14">
      <c r="B5638" s="105"/>
      <c r="C5638" s="106"/>
      <c r="D5638" s="107"/>
      <c r="E5638" s="65"/>
      <c r="F5638" s="64"/>
      <c r="G5638" s="64"/>
      <c r="H5638" s="64"/>
      <c r="I5638" s="70"/>
      <c r="J5638" s="70"/>
      <c r="K5638" s="110" t="str">
        <f>IF(H5638="","",IF($C$29="간이법","",FPR(H5638,I5638,J5638)))</f>
        <v/>
      </c>
      <c r="L5638" s="111" t="str">
        <f>IF(H5638="","",IF($C$29="상세법",FPV(H5638,K5638),IF(H5638="EI",4,IF(H5638="EO",5.2,IF(H5638="EQ",3.9,IF(H5638="ILF",7.5,IF(H5638="EIF",5.4)))))))</f>
        <v/>
      </c>
      <c r="M5638" s="112" t="str">
        <f t="shared" si="91"/>
        <v/>
      </c>
      <c r="N5638" s="113"/>
    </row>
    <row r="5639" spans="2:14">
      <c r="B5639" s="105"/>
      <c r="C5639" s="106"/>
      <c r="D5639" s="107"/>
      <c r="E5639" s="65"/>
      <c r="F5639" s="64"/>
      <c r="G5639" s="64"/>
      <c r="H5639" s="64"/>
      <c r="I5639" s="70"/>
      <c r="J5639" s="70"/>
      <c r="K5639" s="110" t="str">
        <f>IF(H5639="","",IF($C$29="간이법","",FPR(H5639,I5639,J5639)))</f>
        <v/>
      </c>
      <c r="L5639" s="111" t="str">
        <f>IF(H5639="","",IF($C$29="상세법",FPV(H5639,K5639),IF(H5639="EI",4,IF(H5639="EO",5.2,IF(H5639="EQ",3.9,IF(H5639="ILF",7.5,IF(H5639="EIF",5.4)))))))</f>
        <v/>
      </c>
      <c r="M5639" s="112" t="str">
        <f t="shared" si="91"/>
        <v/>
      </c>
      <c r="N5639" s="113"/>
    </row>
    <row r="5640" spans="2:14">
      <c r="B5640" s="105"/>
      <c r="C5640" s="106"/>
      <c r="D5640" s="107"/>
      <c r="E5640" s="65"/>
      <c r="F5640" s="64"/>
      <c r="G5640" s="64"/>
      <c r="H5640" s="64"/>
      <c r="I5640" s="70"/>
      <c r="J5640" s="70"/>
      <c r="K5640" s="110" t="str">
        <f>IF(H5640="","",IF($C$29="간이법","",FPR(H5640,I5640,J5640)))</f>
        <v/>
      </c>
      <c r="L5640" s="111" t="str">
        <f>IF(H5640="","",IF($C$29="상세법",FPV(H5640,K5640),IF(H5640="EI",4,IF(H5640="EO",5.2,IF(H5640="EQ",3.9,IF(H5640="ILF",7.5,IF(H5640="EIF",5.4)))))))</f>
        <v/>
      </c>
      <c r="M5640" s="112" t="str">
        <f t="shared" si="91"/>
        <v/>
      </c>
      <c r="N5640" s="113"/>
    </row>
    <row r="5641" spans="2:14">
      <c r="B5641" s="105"/>
      <c r="C5641" s="106"/>
      <c r="D5641" s="107"/>
      <c r="E5641" s="65"/>
      <c r="F5641" s="64"/>
      <c r="G5641" s="64"/>
      <c r="H5641" s="64"/>
      <c r="I5641" s="70"/>
      <c r="J5641" s="70"/>
      <c r="K5641" s="110" t="str">
        <f>IF(H5641="","",IF($C$29="간이법","",FPR(H5641,I5641,J5641)))</f>
        <v/>
      </c>
      <c r="L5641" s="111" t="str">
        <f>IF(H5641="","",IF($C$29="상세법",FPV(H5641,K5641),IF(H5641="EI",4,IF(H5641="EO",5.2,IF(H5641="EQ",3.9,IF(H5641="ILF",7.5,IF(H5641="EIF",5.4)))))))</f>
        <v/>
      </c>
      <c r="M5641" s="112" t="str">
        <f t="shared" si="91"/>
        <v/>
      </c>
      <c r="N5641" s="113"/>
    </row>
    <row r="5642" spans="2:14">
      <c r="B5642" s="105"/>
      <c r="C5642" s="106"/>
      <c r="D5642" s="107"/>
      <c r="E5642" s="65"/>
      <c r="F5642" s="64"/>
      <c r="G5642" s="64"/>
      <c r="H5642" s="64"/>
      <c r="I5642" s="70"/>
      <c r="J5642" s="70"/>
      <c r="K5642" s="110" t="str">
        <f>IF(H5642="","",IF($C$29="간이법","",FPR(H5642,I5642,J5642)))</f>
        <v/>
      </c>
      <c r="L5642" s="111" t="str">
        <f>IF(H5642="","",IF($C$29="상세법",FPV(H5642,K5642),IF(H5642="EI",4,IF(H5642="EO",5.2,IF(H5642="EQ",3.9,IF(H5642="ILF",7.5,IF(H5642="EIF",5.4)))))))</f>
        <v/>
      </c>
      <c r="M5642" s="112" t="str">
        <f t="shared" si="91"/>
        <v/>
      </c>
      <c r="N5642" s="113"/>
    </row>
    <row r="5643" spans="2:14">
      <c r="B5643" s="105"/>
      <c r="C5643" s="106"/>
      <c r="D5643" s="107"/>
      <c r="E5643" s="65"/>
      <c r="F5643" s="64"/>
      <c r="G5643" s="64"/>
      <c r="H5643" s="64"/>
      <c r="I5643" s="70"/>
      <c r="J5643" s="70"/>
      <c r="K5643" s="110" t="str">
        <f>IF(H5643="","",IF($C$29="간이법","",FPR(H5643,I5643,J5643)))</f>
        <v/>
      </c>
      <c r="L5643" s="111" t="str">
        <f>IF(H5643="","",IF($C$29="상세법",FPV(H5643,K5643),IF(H5643="EI",4,IF(H5643="EO",5.2,IF(H5643="EQ",3.9,IF(H5643="ILF",7.5,IF(H5643="EIF",5.4)))))))</f>
        <v/>
      </c>
      <c r="M5643" s="112" t="str">
        <f t="shared" si="91"/>
        <v/>
      </c>
      <c r="N5643" s="113"/>
    </row>
    <row r="5644" spans="2:14">
      <c r="B5644" s="105"/>
      <c r="C5644" s="106"/>
      <c r="D5644" s="107"/>
      <c r="E5644" s="65"/>
      <c r="F5644" s="64"/>
      <c r="G5644" s="64"/>
      <c r="H5644" s="64"/>
      <c r="I5644" s="70"/>
      <c r="J5644" s="70"/>
      <c r="K5644" s="110" t="str">
        <f>IF(H5644="","",IF($C$29="간이법","",FPR(H5644,I5644,J5644)))</f>
        <v/>
      </c>
      <c r="L5644" s="111" t="str">
        <f>IF(H5644="","",IF($C$29="상세법",FPV(H5644,K5644),IF(H5644="EI",4,IF(H5644="EO",5.2,IF(H5644="EQ",3.9,IF(H5644="ILF",7.5,IF(H5644="EIF",5.4)))))))</f>
        <v/>
      </c>
      <c r="M5644" s="112" t="str">
        <f t="shared" si="91"/>
        <v/>
      </c>
      <c r="N5644" s="113"/>
    </row>
    <row r="5645" spans="2:14">
      <c r="B5645" s="105"/>
      <c r="C5645" s="106"/>
      <c r="D5645" s="107"/>
      <c r="E5645" s="65"/>
      <c r="F5645" s="64"/>
      <c r="G5645" s="64"/>
      <c r="H5645" s="64"/>
      <c r="I5645" s="70"/>
      <c r="J5645" s="70"/>
      <c r="K5645" s="110" t="str">
        <f>IF(H5645="","",IF($C$29="간이법","",FPR(H5645,I5645,J5645)))</f>
        <v/>
      </c>
      <c r="L5645" s="111" t="str">
        <f>IF(H5645="","",IF($C$29="상세법",FPV(H5645,K5645),IF(H5645="EI",4,IF(H5645="EO",5.2,IF(H5645="EQ",3.9,IF(H5645="ILF",7.5,IF(H5645="EIF",5.4)))))))</f>
        <v/>
      </c>
      <c r="M5645" s="112" t="str">
        <f t="shared" si="91"/>
        <v/>
      </c>
      <c r="N5645" s="113"/>
    </row>
    <row r="5646" spans="2:14">
      <c r="B5646" s="105"/>
      <c r="C5646" s="106"/>
      <c r="D5646" s="107"/>
      <c r="E5646" s="65"/>
      <c r="F5646" s="64"/>
      <c r="G5646" s="64"/>
      <c r="H5646" s="64"/>
      <c r="I5646" s="70"/>
      <c r="J5646" s="70"/>
      <c r="K5646" s="110" t="str">
        <f>IF(H5646="","",IF($C$29="간이법","",FPR(H5646,I5646,J5646)))</f>
        <v/>
      </c>
      <c r="L5646" s="111" t="str">
        <f>IF(H5646="","",IF($C$29="상세법",FPV(H5646,K5646),IF(H5646="EI",4,IF(H5646="EO",5.2,IF(H5646="EQ",3.9,IF(H5646="ILF",7.5,IF(H5646="EIF",5.4)))))))</f>
        <v/>
      </c>
      <c r="M5646" s="112" t="str">
        <f t="shared" si="91"/>
        <v/>
      </c>
      <c r="N5646" s="113"/>
    </row>
    <row r="5647" spans="2:14">
      <c r="B5647" s="105"/>
      <c r="C5647" s="106"/>
      <c r="D5647" s="107"/>
      <c r="E5647" s="65"/>
      <c r="F5647" s="64"/>
      <c r="G5647" s="64"/>
      <c r="H5647" s="64"/>
      <c r="I5647" s="70"/>
      <c r="J5647" s="70"/>
      <c r="K5647" s="110" t="str">
        <f>IF(H5647="","",IF($C$29="간이법","",FPR(H5647,I5647,J5647)))</f>
        <v/>
      </c>
      <c r="L5647" s="111" t="str">
        <f>IF(H5647="","",IF($C$29="상세법",FPV(H5647,K5647),IF(H5647="EI",4,IF(H5647="EO",5.2,IF(H5647="EQ",3.9,IF(H5647="ILF",7.5,IF(H5647="EIF",5.4)))))))</f>
        <v/>
      </c>
      <c r="M5647" s="112" t="str">
        <f t="shared" si="91"/>
        <v/>
      </c>
      <c r="N5647" s="113"/>
    </row>
    <row r="5648" spans="2:14">
      <c r="B5648" s="105"/>
      <c r="C5648" s="106"/>
      <c r="D5648" s="107"/>
      <c r="E5648" s="65"/>
      <c r="F5648" s="64"/>
      <c r="G5648" s="64"/>
      <c r="H5648" s="64"/>
      <c r="I5648" s="70"/>
      <c r="J5648" s="70"/>
      <c r="K5648" s="110" t="str">
        <f>IF(H5648="","",IF($C$29="간이법","",FPR(H5648,I5648,J5648)))</f>
        <v/>
      </c>
      <c r="L5648" s="111" t="str">
        <f>IF(H5648="","",IF($C$29="상세법",FPV(H5648,K5648),IF(H5648="EI",4,IF(H5648="EO",5.2,IF(H5648="EQ",3.9,IF(H5648="ILF",7.5,IF(H5648="EIF",5.4)))))))</f>
        <v/>
      </c>
      <c r="M5648" s="112" t="str">
        <f t="shared" si="91"/>
        <v/>
      </c>
      <c r="N5648" s="113"/>
    </row>
    <row r="5649" spans="2:14">
      <c r="B5649" s="105"/>
      <c r="C5649" s="106"/>
      <c r="D5649" s="107"/>
      <c r="E5649" s="65"/>
      <c r="F5649" s="64"/>
      <c r="G5649" s="64"/>
      <c r="H5649" s="64"/>
      <c r="I5649" s="70"/>
      <c r="J5649" s="70"/>
      <c r="K5649" s="110" t="str">
        <f>IF(H5649="","",IF($C$29="간이법","",FPR(H5649,I5649,J5649)))</f>
        <v/>
      </c>
      <c r="L5649" s="111" t="str">
        <f>IF(H5649="","",IF($C$29="상세법",FPV(H5649,K5649),IF(H5649="EI",4,IF(H5649="EO",5.2,IF(H5649="EQ",3.9,IF(H5649="ILF",7.5,IF(H5649="EIF",5.4)))))))</f>
        <v/>
      </c>
      <c r="M5649" s="112" t="str">
        <f t="shared" si="91"/>
        <v/>
      </c>
      <c r="N5649" s="113"/>
    </row>
    <row r="5650" spans="2:14">
      <c r="B5650" s="105"/>
      <c r="C5650" s="106"/>
      <c r="D5650" s="107"/>
      <c r="E5650" s="65"/>
      <c r="F5650" s="64"/>
      <c r="G5650" s="64"/>
      <c r="H5650" s="64"/>
      <c r="I5650" s="70"/>
      <c r="J5650" s="70"/>
      <c r="K5650" s="110" t="str">
        <f>IF(H5650="","",IF($C$29="간이법","",FPR(H5650,I5650,J5650)))</f>
        <v/>
      </c>
      <c r="L5650" s="111" t="str">
        <f>IF(H5650="","",IF($C$29="상세법",FPV(H5650,K5650),IF(H5650="EI",4,IF(H5650="EO",5.2,IF(H5650="EQ",3.9,IF(H5650="ILF",7.5,IF(H5650="EIF",5.4)))))))</f>
        <v/>
      </c>
      <c r="M5650" s="112" t="str">
        <f t="shared" si="91"/>
        <v/>
      </c>
      <c r="N5650" s="113"/>
    </row>
    <row r="5651" spans="2:14">
      <c r="B5651" s="105"/>
      <c r="C5651" s="106"/>
      <c r="D5651" s="107"/>
      <c r="E5651" s="65"/>
      <c r="F5651" s="64"/>
      <c r="G5651" s="64"/>
      <c r="H5651" s="64"/>
      <c r="I5651" s="70"/>
      <c r="J5651" s="70"/>
      <c r="K5651" s="110" t="str">
        <f>IF(H5651="","",IF($C$29="간이법","",FPR(H5651,I5651,J5651)))</f>
        <v/>
      </c>
      <c r="L5651" s="111" t="str">
        <f>IF(H5651="","",IF($C$29="상세법",FPV(H5651,K5651),IF(H5651="EI",4,IF(H5651="EO",5.2,IF(H5651="EQ",3.9,IF(H5651="ILF",7.5,IF(H5651="EIF",5.4)))))))</f>
        <v/>
      </c>
      <c r="M5651" s="112" t="str">
        <f t="shared" si="91"/>
        <v/>
      </c>
      <c r="N5651" s="113"/>
    </row>
    <row r="5652" spans="2:14">
      <c r="B5652" s="105"/>
      <c r="C5652" s="106"/>
      <c r="D5652" s="107"/>
      <c r="E5652" s="65"/>
      <c r="F5652" s="64"/>
      <c r="G5652" s="64"/>
      <c r="H5652" s="64"/>
      <c r="I5652" s="70"/>
      <c r="J5652" s="70"/>
      <c r="K5652" s="110" t="str">
        <f>IF(H5652="","",IF($C$29="간이법","",FPR(H5652,I5652,J5652)))</f>
        <v/>
      </c>
      <c r="L5652" s="111" t="str">
        <f>IF(H5652="","",IF($C$29="상세법",FPV(H5652,K5652),IF(H5652="EI",4,IF(H5652="EO",5.2,IF(H5652="EQ",3.9,IF(H5652="ILF",7.5,IF(H5652="EIF",5.4)))))))</f>
        <v/>
      </c>
      <c r="M5652" s="112" t="str">
        <f t="shared" si="91"/>
        <v/>
      </c>
      <c r="N5652" s="113"/>
    </row>
    <row r="5653" spans="2:14">
      <c r="B5653" s="105"/>
      <c r="C5653" s="106"/>
      <c r="D5653" s="107"/>
      <c r="E5653" s="65"/>
      <c r="F5653" s="64"/>
      <c r="G5653" s="64"/>
      <c r="H5653" s="64"/>
      <c r="I5653" s="70"/>
      <c r="J5653" s="70"/>
      <c r="K5653" s="110" t="str">
        <f>IF(H5653="","",IF($C$29="간이법","",FPR(H5653,I5653,J5653)))</f>
        <v/>
      </c>
      <c r="L5653" s="111" t="str">
        <f>IF(H5653="","",IF($C$29="상세법",FPV(H5653,K5653),IF(H5653="EI",4,IF(H5653="EO",5.2,IF(H5653="EQ",3.9,IF(H5653="ILF",7.5,IF(H5653="EIF",5.4)))))))</f>
        <v/>
      </c>
      <c r="M5653" s="112" t="str">
        <f t="shared" si="91"/>
        <v/>
      </c>
      <c r="N5653" s="113"/>
    </row>
    <row r="5654" spans="2:14">
      <c r="B5654" s="105"/>
      <c r="C5654" s="106"/>
      <c r="D5654" s="107"/>
      <c r="E5654" s="65"/>
      <c r="F5654" s="64"/>
      <c r="G5654" s="64"/>
      <c r="H5654" s="64"/>
      <c r="I5654" s="70"/>
      <c r="J5654" s="70"/>
      <c r="K5654" s="110" t="str">
        <f>IF(H5654="","",IF($C$29="간이법","",FPR(H5654,I5654,J5654)))</f>
        <v/>
      </c>
      <c r="L5654" s="111" t="str">
        <f>IF(H5654="","",IF($C$29="상세법",FPV(H5654,K5654),IF(H5654="EI",4,IF(H5654="EO",5.2,IF(H5654="EQ",3.9,IF(H5654="ILF",7.5,IF(H5654="EIF",5.4)))))))</f>
        <v/>
      </c>
      <c r="M5654" s="112" t="str">
        <f t="shared" si="91"/>
        <v/>
      </c>
      <c r="N5654" s="113"/>
    </row>
    <row r="5655" spans="2:14">
      <c r="B5655" s="105"/>
      <c r="C5655" s="106"/>
      <c r="D5655" s="107"/>
      <c r="E5655" s="65"/>
      <c r="F5655" s="64"/>
      <c r="G5655" s="64"/>
      <c r="H5655" s="64"/>
      <c r="I5655" s="70"/>
      <c r="J5655" s="70"/>
      <c r="K5655" s="110" t="str">
        <f>IF(H5655="","",IF($C$29="간이법","",FPR(H5655,I5655,J5655)))</f>
        <v/>
      </c>
      <c r="L5655" s="111" t="str">
        <f>IF(H5655="","",IF($C$29="상세법",FPV(H5655,K5655),IF(H5655="EI",4,IF(H5655="EO",5.2,IF(H5655="EQ",3.9,IF(H5655="ILF",7.5,IF(H5655="EIF",5.4)))))))</f>
        <v/>
      </c>
      <c r="M5655" s="112" t="str">
        <f t="shared" si="91"/>
        <v/>
      </c>
      <c r="N5655" s="113"/>
    </row>
    <row r="5656" spans="2:14">
      <c r="B5656" s="105"/>
      <c r="C5656" s="106"/>
      <c r="D5656" s="107"/>
      <c r="E5656" s="65"/>
      <c r="F5656" s="64"/>
      <c r="G5656" s="64"/>
      <c r="H5656" s="64"/>
      <c r="I5656" s="70"/>
      <c r="J5656" s="70"/>
      <c r="K5656" s="110" t="str">
        <f>IF(H5656="","",IF($C$29="간이법","",FPR(H5656,I5656,J5656)))</f>
        <v/>
      </c>
      <c r="L5656" s="111" t="str">
        <f>IF(H5656="","",IF($C$29="상세법",FPV(H5656,K5656),IF(H5656="EI",4,IF(H5656="EO",5.2,IF(H5656="EQ",3.9,IF(H5656="ILF",7.5,IF(H5656="EIF",5.4)))))))</f>
        <v/>
      </c>
      <c r="M5656" s="112" t="str">
        <f t="shared" si="91"/>
        <v/>
      </c>
      <c r="N5656" s="113"/>
    </row>
    <row r="5657" spans="2:14">
      <c r="B5657" s="105"/>
      <c r="C5657" s="106"/>
      <c r="D5657" s="107"/>
      <c r="E5657" s="65"/>
      <c r="F5657" s="64"/>
      <c r="G5657" s="64"/>
      <c r="H5657" s="64"/>
      <c r="I5657" s="70"/>
      <c r="J5657" s="70"/>
      <c r="K5657" s="110" t="str">
        <f>IF(H5657="","",IF($C$29="간이법","",FPR(H5657,I5657,J5657)))</f>
        <v/>
      </c>
      <c r="L5657" s="111" t="str">
        <f>IF(H5657="","",IF($C$29="상세법",FPV(H5657,K5657),IF(H5657="EI",4,IF(H5657="EO",5.2,IF(H5657="EQ",3.9,IF(H5657="ILF",7.5,IF(H5657="EIF",5.4)))))))</f>
        <v/>
      </c>
      <c r="M5657" s="112" t="str">
        <f t="shared" si="91"/>
        <v/>
      </c>
      <c r="N5657" s="113"/>
    </row>
    <row r="5658" spans="2:14">
      <c r="B5658" s="105"/>
      <c r="C5658" s="106"/>
      <c r="D5658" s="107"/>
      <c r="E5658" s="65"/>
      <c r="F5658" s="64"/>
      <c r="G5658" s="64"/>
      <c r="H5658" s="64"/>
      <c r="I5658" s="70"/>
      <c r="J5658" s="70"/>
      <c r="K5658" s="110" t="str">
        <f>IF(H5658="","",IF($C$29="간이법","",FPR(H5658,I5658,J5658)))</f>
        <v/>
      </c>
      <c r="L5658" s="111" t="str">
        <f>IF(H5658="","",IF($C$29="상세법",FPV(H5658,K5658),IF(H5658="EI",4,IF(H5658="EO",5.2,IF(H5658="EQ",3.9,IF(H5658="ILF",7.5,IF(H5658="EIF",5.4)))))))</f>
        <v/>
      </c>
      <c r="M5658" s="112" t="str">
        <f t="shared" si="91"/>
        <v/>
      </c>
      <c r="N5658" s="113"/>
    </row>
    <row r="5659" spans="2:14">
      <c r="B5659" s="105"/>
      <c r="C5659" s="106"/>
      <c r="D5659" s="107"/>
      <c r="E5659" s="65"/>
      <c r="F5659" s="64"/>
      <c r="G5659" s="64"/>
      <c r="H5659" s="64"/>
      <c r="I5659" s="70"/>
      <c r="J5659" s="70"/>
      <c r="K5659" s="110" t="str">
        <f>IF(H5659="","",IF($C$29="간이법","",FPR(H5659,I5659,J5659)))</f>
        <v/>
      </c>
      <c r="L5659" s="111" t="str">
        <f>IF(H5659="","",IF($C$29="상세법",FPV(H5659,K5659),IF(H5659="EI",4,IF(H5659="EO",5.2,IF(H5659="EQ",3.9,IF(H5659="ILF",7.5,IF(H5659="EIF",5.4)))))))</f>
        <v/>
      </c>
      <c r="M5659" s="112" t="str">
        <f t="shared" si="91"/>
        <v/>
      </c>
      <c r="N5659" s="113"/>
    </row>
    <row r="5660" spans="2:14">
      <c r="B5660" s="105"/>
      <c r="C5660" s="106"/>
      <c r="D5660" s="107"/>
      <c r="E5660" s="65"/>
      <c r="F5660" s="64"/>
      <c r="G5660" s="64"/>
      <c r="H5660" s="64"/>
      <c r="I5660" s="70"/>
      <c r="J5660" s="70"/>
      <c r="K5660" s="110" t="str">
        <f>IF(H5660="","",IF($C$29="간이법","",FPR(H5660,I5660,J5660)))</f>
        <v/>
      </c>
      <c r="L5660" s="111" t="str">
        <f>IF(H5660="","",IF($C$29="상세법",FPV(H5660,K5660),IF(H5660="EI",4,IF(H5660="EO",5.2,IF(H5660="EQ",3.9,IF(H5660="ILF",7.5,IF(H5660="EIF",5.4)))))))</f>
        <v/>
      </c>
      <c r="M5660" s="112" t="str">
        <f t="shared" si="91"/>
        <v/>
      </c>
      <c r="N5660" s="113"/>
    </row>
    <row r="5661" spans="2:14">
      <c r="B5661" s="105"/>
      <c r="C5661" s="106"/>
      <c r="D5661" s="107"/>
      <c r="E5661" s="65"/>
      <c r="F5661" s="64"/>
      <c r="G5661" s="64"/>
      <c r="H5661" s="64"/>
      <c r="I5661" s="70"/>
      <c r="J5661" s="70"/>
      <c r="K5661" s="110" t="str">
        <f>IF(H5661="","",IF($C$29="간이법","",FPR(H5661,I5661,J5661)))</f>
        <v/>
      </c>
      <c r="L5661" s="111" t="str">
        <f>IF(H5661="","",IF($C$29="상세법",FPV(H5661,K5661),IF(H5661="EI",4,IF(H5661="EO",5.2,IF(H5661="EQ",3.9,IF(H5661="ILF",7.5,IF(H5661="EIF",5.4)))))))</f>
        <v/>
      </c>
      <c r="M5661" s="112" t="str">
        <f t="shared" si="91"/>
        <v/>
      </c>
      <c r="N5661" s="113"/>
    </row>
    <row r="5662" spans="2:14">
      <c r="B5662" s="105"/>
      <c r="C5662" s="106"/>
      <c r="D5662" s="107"/>
      <c r="E5662" s="65"/>
      <c r="F5662" s="64"/>
      <c r="G5662" s="64"/>
      <c r="H5662" s="64"/>
      <c r="I5662" s="70"/>
      <c r="J5662" s="70"/>
      <c r="K5662" s="110" t="str">
        <f>IF(H5662="","",IF($C$29="간이법","",FPR(H5662,I5662,J5662)))</f>
        <v/>
      </c>
      <c r="L5662" s="111" t="str">
        <f>IF(H5662="","",IF($C$29="상세법",FPV(H5662,K5662),IF(H5662="EI",4,IF(H5662="EO",5.2,IF(H5662="EQ",3.9,IF(H5662="ILF",7.5,IF(H5662="EIF",5.4)))))))</f>
        <v/>
      </c>
      <c r="M5662" s="112" t="str">
        <f t="shared" si="91"/>
        <v/>
      </c>
      <c r="N5662" s="113"/>
    </row>
    <row r="5663" spans="2:14">
      <c r="B5663" s="105"/>
      <c r="C5663" s="106"/>
      <c r="D5663" s="107"/>
      <c r="E5663" s="65"/>
      <c r="F5663" s="64"/>
      <c r="G5663" s="64"/>
      <c r="H5663" s="64"/>
      <c r="I5663" s="70"/>
      <c r="J5663" s="70"/>
      <c r="K5663" s="110" t="str">
        <f>IF(H5663="","",IF($C$29="간이법","",FPR(H5663,I5663,J5663)))</f>
        <v/>
      </c>
      <c r="L5663" s="111" t="str">
        <f>IF(H5663="","",IF($C$29="상세법",FPV(H5663,K5663),IF(H5663="EI",4,IF(H5663="EO",5.2,IF(H5663="EQ",3.9,IF(H5663="ILF",7.5,IF(H5663="EIF",5.4)))))))</f>
        <v/>
      </c>
      <c r="M5663" s="112" t="str">
        <f t="shared" si="91"/>
        <v/>
      </c>
      <c r="N5663" s="113"/>
    </row>
    <row r="5664" spans="2:14">
      <c r="B5664" s="105"/>
      <c r="C5664" s="106"/>
      <c r="D5664" s="107"/>
      <c r="E5664" s="65"/>
      <c r="F5664" s="64"/>
      <c r="G5664" s="64"/>
      <c r="H5664" s="64"/>
      <c r="I5664" s="70"/>
      <c r="J5664" s="70"/>
      <c r="K5664" s="110" t="str">
        <f>IF(H5664="","",IF($C$29="간이법","",FPR(H5664,I5664,J5664)))</f>
        <v/>
      </c>
      <c r="L5664" s="111" t="str">
        <f>IF(H5664="","",IF($C$29="상세법",FPV(H5664,K5664),IF(H5664="EI",4,IF(H5664="EO",5.2,IF(H5664="EQ",3.9,IF(H5664="ILF",7.5,IF(H5664="EIF",5.4)))))))</f>
        <v/>
      </c>
      <c r="M5664" s="112" t="str">
        <f t="shared" si="91"/>
        <v/>
      </c>
      <c r="N5664" s="113"/>
    </row>
    <row r="5665" spans="2:14">
      <c r="B5665" s="105"/>
      <c r="C5665" s="106"/>
      <c r="D5665" s="107"/>
      <c r="E5665" s="65"/>
      <c r="F5665" s="64"/>
      <c r="G5665" s="64"/>
      <c r="H5665" s="64"/>
      <c r="I5665" s="70"/>
      <c r="J5665" s="70"/>
      <c r="K5665" s="110" t="str">
        <f>IF(H5665="","",IF($C$29="간이법","",FPR(H5665,I5665,J5665)))</f>
        <v/>
      </c>
      <c r="L5665" s="111" t="str">
        <f>IF(H5665="","",IF($C$29="상세법",FPV(H5665,K5665),IF(H5665="EI",4,IF(H5665="EO",5.2,IF(H5665="EQ",3.9,IF(H5665="ILF",7.5,IF(H5665="EIF",5.4)))))))</f>
        <v/>
      </c>
      <c r="M5665" s="112" t="str">
        <f t="shared" si="91"/>
        <v/>
      </c>
      <c r="N5665" s="113"/>
    </row>
    <row r="5666" spans="2:14">
      <c r="B5666" s="105"/>
      <c r="C5666" s="106"/>
      <c r="D5666" s="107"/>
      <c r="E5666" s="65"/>
      <c r="F5666" s="64"/>
      <c r="G5666" s="64"/>
      <c r="H5666" s="64"/>
      <c r="I5666" s="70"/>
      <c r="J5666" s="70"/>
      <c r="K5666" s="110" t="str">
        <f>IF(H5666="","",IF($C$29="간이법","",FPR(H5666,I5666,J5666)))</f>
        <v/>
      </c>
      <c r="L5666" s="111" t="str">
        <f>IF(H5666="","",IF($C$29="상세법",FPV(H5666,K5666),IF(H5666="EI",4,IF(H5666="EO",5.2,IF(H5666="EQ",3.9,IF(H5666="ILF",7.5,IF(H5666="EIF",5.4)))))))</f>
        <v/>
      </c>
      <c r="M5666" s="112" t="str">
        <f t="shared" si="91"/>
        <v/>
      </c>
      <c r="N5666" s="113"/>
    </row>
    <row r="5667" spans="2:14">
      <c r="B5667" s="105"/>
      <c r="C5667" s="106"/>
      <c r="D5667" s="107"/>
      <c r="E5667" s="65"/>
      <c r="F5667" s="64"/>
      <c r="G5667" s="64"/>
      <c r="H5667" s="64"/>
      <c r="I5667" s="70"/>
      <c r="J5667" s="70"/>
      <c r="K5667" s="110" t="str">
        <f>IF(H5667="","",IF($C$29="간이법","",FPR(H5667,I5667,J5667)))</f>
        <v/>
      </c>
      <c r="L5667" s="111" t="str">
        <f>IF(H5667="","",IF($C$29="상세법",FPV(H5667,K5667),IF(H5667="EI",4,IF(H5667="EO",5.2,IF(H5667="EQ",3.9,IF(H5667="ILF",7.5,IF(H5667="EIF",5.4)))))))</f>
        <v/>
      </c>
      <c r="M5667" s="112" t="str">
        <f t="shared" si="91"/>
        <v/>
      </c>
      <c r="N5667" s="113"/>
    </row>
    <row r="5668" spans="2:14">
      <c r="B5668" s="105"/>
      <c r="C5668" s="106"/>
      <c r="D5668" s="107"/>
      <c r="E5668" s="65"/>
      <c r="F5668" s="64"/>
      <c r="G5668" s="64"/>
      <c r="H5668" s="64"/>
      <c r="I5668" s="70"/>
      <c r="J5668" s="70"/>
      <c r="K5668" s="110" t="str">
        <f>IF(H5668="","",IF($C$29="간이법","",FPR(H5668,I5668,J5668)))</f>
        <v/>
      </c>
      <c r="L5668" s="111" t="str">
        <f>IF(H5668="","",IF($C$29="상세법",FPV(H5668,K5668),IF(H5668="EI",4,IF(H5668="EO",5.2,IF(H5668="EQ",3.9,IF(H5668="ILF",7.5,IF(H5668="EIF",5.4)))))))</f>
        <v/>
      </c>
      <c r="M5668" s="112" t="str">
        <f t="shared" si="91"/>
        <v/>
      </c>
      <c r="N5668" s="113"/>
    </row>
    <row r="5669" spans="2:14">
      <c r="B5669" s="105"/>
      <c r="C5669" s="106"/>
      <c r="D5669" s="107"/>
      <c r="E5669" s="65"/>
      <c r="F5669" s="64"/>
      <c r="G5669" s="64"/>
      <c r="H5669" s="64"/>
      <c r="I5669" s="70"/>
      <c r="J5669" s="70"/>
      <c r="K5669" s="110" t="str">
        <f>IF(H5669="","",IF($C$29="간이법","",FPR(H5669,I5669,J5669)))</f>
        <v/>
      </c>
      <c r="L5669" s="111" t="str">
        <f>IF(H5669="","",IF($C$29="상세법",FPV(H5669,K5669),IF(H5669="EI",4,IF(H5669="EO",5.2,IF(H5669="EQ",3.9,IF(H5669="ILF",7.5,IF(H5669="EIF",5.4)))))))</f>
        <v/>
      </c>
      <c r="M5669" s="112" t="str">
        <f t="shared" si="91"/>
        <v/>
      </c>
      <c r="N5669" s="113"/>
    </row>
    <row r="5670" spans="2:14">
      <c r="B5670" s="105"/>
      <c r="C5670" s="106"/>
      <c r="D5670" s="107"/>
      <c r="E5670" s="65"/>
      <c r="F5670" s="64"/>
      <c r="G5670" s="64"/>
      <c r="H5670" s="64"/>
      <c r="I5670" s="70"/>
      <c r="J5670" s="70"/>
      <c r="K5670" s="110" t="str">
        <f>IF(H5670="","",IF($C$29="간이법","",FPR(H5670,I5670,J5670)))</f>
        <v/>
      </c>
      <c r="L5670" s="111" t="str">
        <f>IF(H5670="","",IF($C$29="상세법",FPV(H5670,K5670),IF(H5670="EI",4,IF(H5670="EO",5.2,IF(H5670="EQ",3.9,IF(H5670="ILF",7.5,IF(H5670="EIF",5.4)))))))</f>
        <v/>
      </c>
      <c r="M5670" s="112" t="str">
        <f t="shared" si="91"/>
        <v/>
      </c>
      <c r="N5670" s="113"/>
    </row>
    <row r="5671" spans="2:14">
      <c r="B5671" s="105"/>
      <c r="C5671" s="106"/>
      <c r="D5671" s="107"/>
      <c r="E5671" s="65"/>
      <c r="F5671" s="64"/>
      <c r="G5671" s="64"/>
      <c r="H5671" s="64"/>
      <c r="I5671" s="70"/>
      <c r="J5671" s="70"/>
      <c r="K5671" s="110" t="str">
        <f>IF(H5671="","",IF($C$29="간이법","",FPR(H5671,I5671,J5671)))</f>
        <v/>
      </c>
      <c r="L5671" s="111" t="str">
        <f>IF(H5671="","",IF($C$29="상세법",FPV(H5671,K5671),IF(H5671="EI",4,IF(H5671="EO",5.2,IF(H5671="EQ",3.9,IF(H5671="ILF",7.5,IF(H5671="EIF",5.4)))))))</f>
        <v/>
      </c>
      <c r="M5671" s="112" t="str">
        <f t="shared" si="91"/>
        <v/>
      </c>
      <c r="N5671" s="113"/>
    </row>
    <row r="5672" spans="2:14">
      <c r="B5672" s="105"/>
      <c r="C5672" s="106"/>
      <c r="D5672" s="107"/>
      <c r="E5672" s="65"/>
      <c r="F5672" s="64"/>
      <c r="G5672" s="64"/>
      <c r="H5672" s="64"/>
      <c r="I5672" s="70"/>
      <c r="J5672" s="70"/>
      <c r="K5672" s="110" t="str">
        <f>IF(H5672="","",IF($C$29="간이법","",FPR(H5672,I5672,J5672)))</f>
        <v/>
      </c>
      <c r="L5672" s="111" t="str">
        <f>IF(H5672="","",IF($C$29="상세법",FPV(H5672,K5672),IF(H5672="EI",4,IF(H5672="EO",5.2,IF(H5672="EQ",3.9,IF(H5672="ILF",7.5,IF(H5672="EIF",5.4)))))))</f>
        <v/>
      </c>
      <c r="M5672" s="112" t="str">
        <f t="shared" si="91"/>
        <v/>
      </c>
      <c r="N5672" s="113"/>
    </row>
    <row r="5673" spans="2:14">
      <c r="B5673" s="105"/>
      <c r="C5673" s="106"/>
      <c r="D5673" s="107"/>
      <c r="E5673" s="65"/>
      <c r="F5673" s="64"/>
      <c r="G5673" s="64"/>
      <c r="H5673" s="64"/>
      <c r="I5673" s="70"/>
      <c r="J5673" s="70"/>
      <c r="K5673" s="110" t="str">
        <f>IF(H5673="","",IF($C$29="간이법","",FPR(H5673,I5673,J5673)))</f>
        <v/>
      </c>
      <c r="L5673" s="111" t="str">
        <f>IF(H5673="","",IF($C$29="상세법",FPV(H5673,K5673),IF(H5673="EI",4,IF(H5673="EO",5.2,IF(H5673="EQ",3.9,IF(H5673="ILF",7.5,IF(H5673="EIF",5.4)))))))</f>
        <v/>
      </c>
      <c r="M5673" s="112" t="str">
        <f t="shared" si="91"/>
        <v/>
      </c>
      <c r="N5673" s="113"/>
    </row>
    <row r="5674" spans="2:14">
      <c r="B5674" s="105"/>
      <c r="C5674" s="106"/>
      <c r="D5674" s="107"/>
      <c r="E5674" s="65"/>
      <c r="F5674" s="64"/>
      <c r="G5674" s="64"/>
      <c r="H5674" s="64"/>
      <c r="I5674" s="70"/>
      <c r="J5674" s="70"/>
      <c r="K5674" s="110" t="str">
        <f>IF(H5674="","",IF($C$29="간이법","",FPR(H5674,I5674,J5674)))</f>
        <v/>
      </c>
      <c r="L5674" s="111" t="str">
        <f>IF(H5674="","",IF($C$29="상세법",FPV(H5674,K5674),IF(H5674="EI",4,IF(H5674="EO",5.2,IF(H5674="EQ",3.9,IF(H5674="ILF",7.5,IF(H5674="EIF",5.4)))))))</f>
        <v/>
      </c>
      <c r="M5674" s="112" t="str">
        <f t="shared" si="91"/>
        <v/>
      </c>
      <c r="N5674" s="113"/>
    </row>
    <row r="5675" spans="2:14">
      <c r="B5675" s="105"/>
      <c r="C5675" s="106"/>
      <c r="D5675" s="107"/>
      <c r="E5675" s="65"/>
      <c r="F5675" s="64"/>
      <c r="G5675" s="64"/>
      <c r="H5675" s="64"/>
      <c r="I5675" s="70"/>
      <c r="J5675" s="70"/>
      <c r="K5675" s="110" t="str">
        <f>IF(H5675="","",IF($C$29="간이법","",FPR(H5675,I5675,J5675)))</f>
        <v/>
      </c>
      <c r="L5675" s="111" t="str">
        <f>IF(H5675="","",IF($C$29="상세법",FPV(H5675,K5675),IF(H5675="EI",4,IF(H5675="EO",5.2,IF(H5675="EQ",3.9,IF(H5675="ILF",7.5,IF(H5675="EIF",5.4)))))))</f>
        <v/>
      </c>
      <c r="M5675" s="112" t="str">
        <f t="shared" si="91"/>
        <v/>
      </c>
      <c r="N5675" s="113"/>
    </row>
    <row r="5676" spans="2:14">
      <c r="B5676" s="105"/>
      <c r="C5676" s="106"/>
      <c r="D5676" s="107"/>
      <c r="E5676" s="65"/>
      <c r="F5676" s="64"/>
      <c r="G5676" s="64"/>
      <c r="H5676" s="64"/>
      <c r="I5676" s="70"/>
      <c r="J5676" s="70"/>
      <c r="K5676" s="110" t="str">
        <f>IF(H5676="","",IF($C$29="간이법","",FPR(H5676,I5676,J5676)))</f>
        <v/>
      </c>
      <c r="L5676" s="111" t="str">
        <f>IF(H5676="","",IF($C$29="상세법",FPV(H5676,K5676),IF(H5676="EI",4,IF(H5676="EO",5.2,IF(H5676="EQ",3.9,IF(H5676="ILF",7.5,IF(H5676="EIF",5.4)))))))</f>
        <v/>
      </c>
      <c r="M5676" s="112" t="str">
        <f t="shared" si="91"/>
        <v/>
      </c>
      <c r="N5676" s="113"/>
    </row>
    <row r="5677" spans="2:14">
      <c r="B5677" s="105"/>
      <c r="C5677" s="106"/>
      <c r="D5677" s="107"/>
      <c r="E5677" s="65"/>
      <c r="F5677" s="64"/>
      <c r="G5677" s="64"/>
      <c r="H5677" s="64"/>
      <c r="I5677" s="70"/>
      <c r="J5677" s="70"/>
      <c r="K5677" s="110" t="str">
        <f>IF(H5677="","",IF($C$29="간이법","",FPR(H5677,I5677,J5677)))</f>
        <v/>
      </c>
      <c r="L5677" s="111" t="str">
        <f>IF(H5677="","",IF($C$29="상세법",FPV(H5677,K5677),IF(H5677="EI",4,IF(H5677="EO",5.2,IF(H5677="EQ",3.9,IF(H5677="ILF",7.5,IF(H5677="EIF",5.4)))))))</f>
        <v/>
      </c>
      <c r="M5677" s="112" t="str">
        <f t="shared" si="91"/>
        <v/>
      </c>
      <c r="N5677" s="113"/>
    </row>
    <row r="5678" spans="2:14">
      <c r="B5678" s="105"/>
      <c r="C5678" s="106"/>
      <c r="D5678" s="107"/>
      <c r="E5678" s="65"/>
      <c r="F5678" s="64"/>
      <c r="G5678" s="64"/>
      <c r="H5678" s="64"/>
      <c r="I5678" s="70"/>
      <c r="J5678" s="70"/>
      <c r="K5678" s="110" t="str">
        <f>IF(H5678="","",IF($C$29="간이법","",FPR(H5678,I5678,J5678)))</f>
        <v/>
      </c>
      <c r="L5678" s="111" t="str">
        <f>IF(H5678="","",IF($C$29="상세법",FPV(H5678,K5678),IF(H5678="EI",4,IF(H5678="EO",5.2,IF(H5678="EQ",3.9,IF(H5678="ILF",7.5,IF(H5678="EIF",5.4)))))))</f>
        <v/>
      </c>
      <c r="M5678" s="112" t="str">
        <f t="shared" si="91"/>
        <v/>
      </c>
      <c r="N5678" s="113"/>
    </row>
    <row r="5679" spans="2:14">
      <c r="B5679" s="105"/>
      <c r="C5679" s="106"/>
      <c r="D5679" s="107"/>
      <c r="E5679" s="65"/>
      <c r="F5679" s="64"/>
      <c r="G5679" s="64"/>
      <c r="H5679" s="64"/>
      <c r="I5679" s="70"/>
      <c r="J5679" s="70"/>
      <c r="K5679" s="110" t="str">
        <f>IF(H5679="","",IF($C$29="간이법","",FPR(H5679,I5679,J5679)))</f>
        <v/>
      </c>
      <c r="L5679" s="111" t="str">
        <f>IF(H5679="","",IF($C$29="상세법",FPV(H5679,K5679),IF(H5679="EI",4,IF(H5679="EO",5.2,IF(H5679="EQ",3.9,IF(H5679="ILF",7.5,IF(H5679="EIF",5.4)))))))</f>
        <v/>
      </c>
      <c r="M5679" s="112" t="str">
        <f t="shared" si="91"/>
        <v/>
      </c>
      <c r="N5679" s="113"/>
    </row>
    <row r="5680" spans="2:14">
      <c r="B5680" s="105"/>
      <c r="C5680" s="106"/>
      <c r="D5680" s="107"/>
      <c r="E5680" s="65"/>
      <c r="F5680" s="64"/>
      <c r="G5680" s="64"/>
      <c r="H5680" s="64"/>
      <c r="I5680" s="70"/>
      <c r="J5680" s="70"/>
      <c r="K5680" s="110" t="str">
        <f>IF(H5680="","",IF($C$29="간이법","",FPR(H5680,I5680,J5680)))</f>
        <v/>
      </c>
      <c r="L5680" s="111" t="str">
        <f>IF(H5680="","",IF($C$29="상세법",FPV(H5680,K5680),IF(H5680="EI",4,IF(H5680="EO",5.2,IF(H5680="EQ",3.9,IF(H5680="ILF",7.5,IF(H5680="EIF",5.4)))))))</f>
        <v/>
      </c>
      <c r="M5680" s="112" t="str">
        <f t="shared" si="91"/>
        <v/>
      </c>
      <c r="N5680" s="113"/>
    </row>
    <row r="5681" spans="2:14">
      <c r="B5681" s="105"/>
      <c r="C5681" s="106"/>
      <c r="D5681" s="107"/>
      <c r="E5681" s="65"/>
      <c r="F5681" s="64"/>
      <c r="G5681" s="64"/>
      <c r="H5681" s="64"/>
      <c r="I5681" s="70"/>
      <c r="J5681" s="70"/>
      <c r="K5681" s="110" t="str">
        <f>IF(H5681="","",IF($C$29="간이법","",FPR(H5681,I5681,J5681)))</f>
        <v/>
      </c>
      <c r="L5681" s="111" t="str">
        <f>IF(H5681="","",IF($C$29="상세법",FPV(H5681,K5681),IF(H5681="EI",4,IF(H5681="EO",5.2,IF(H5681="EQ",3.9,IF(H5681="ILF",7.5,IF(H5681="EIF",5.4)))))))</f>
        <v/>
      </c>
      <c r="M5681" s="112" t="str">
        <f t="shared" si="91"/>
        <v/>
      </c>
      <c r="N5681" s="113"/>
    </row>
    <row r="5682" spans="2:14">
      <c r="B5682" s="105"/>
      <c r="C5682" s="106"/>
      <c r="D5682" s="107"/>
      <c r="E5682" s="65"/>
      <c r="F5682" s="64"/>
      <c r="G5682" s="64"/>
      <c r="H5682" s="64"/>
      <c r="I5682" s="70"/>
      <c r="J5682" s="70"/>
      <c r="K5682" s="110" t="str">
        <f>IF(H5682="","",IF($C$29="간이법","",FPR(H5682,I5682,J5682)))</f>
        <v/>
      </c>
      <c r="L5682" s="111" t="str">
        <f>IF(H5682="","",IF($C$29="상세법",FPV(H5682,K5682),IF(H5682="EI",4,IF(H5682="EO",5.2,IF(H5682="EQ",3.9,IF(H5682="ILF",7.5,IF(H5682="EIF",5.4)))))))</f>
        <v/>
      </c>
      <c r="M5682" s="112" t="str">
        <f t="shared" si="91"/>
        <v/>
      </c>
      <c r="N5682" s="113"/>
    </row>
    <row r="5683" spans="2:14">
      <c r="B5683" s="105"/>
      <c r="C5683" s="106"/>
      <c r="D5683" s="107"/>
      <c r="E5683" s="65"/>
      <c r="F5683" s="64"/>
      <c r="G5683" s="64"/>
      <c r="H5683" s="64"/>
      <c r="I5683" s="70"/>
      <c r="J5683" s="70"/>
      <c r="K5683" s="110" t="str">
        <f>IF(H5683="","",IF($C$29="간이법","",FPR(H5683,I5683,J5683)))</f>
        <v/>
      </c>
      <c r="L5683" s="111" t="str">
        <f>IF(H5683="","",IF($C$29="상세법",FPV(H5683,K5683),IF(H5683="EI",4,IF(H5683="EO",5.2,IF(H5683="EQ",3.9,IF(H5683="ILF",7.5,IF(H5683="EIF",5.4)))))))</f>
        <v/>
      </c>
      <c r="M5683" s="112" t="str">
        <f t="shared" si="91"/>
        <v/>
      </c>
      <c r="N5683" s="113"/>
    </row>
    <row r="5684" spans="2:14">
      <c r="B5684" s="105"/>
      <c r="C5684" s="106"/>
      <c r="D5684" s="107"/>
      <c r="E5684" s="65"/>
      <c r="F5684" s="64"/>
      <c r="G5684" s="64"/>
      <c r="H5684" s="64"/>
      <c r="I5684" s="70"/>
      <c r="J5684" s="70"/>
      <c r="K5684" s="110" t="str">
        <f>IF(H5684="","",IF($C$29="간이법","",FPR(H5684,I5684,J5684)))</f>
        <v/>
      </c>
      <c r="L5684" s="111" t="str">
        <f>IF(H5684="","",IF($C$29="상세법",FPV(H5684,K5684),IF(H5684="EI",4,IF(H5684="EO",5.2,IF(H5684="EQ",3.9,IF(H5684="ILF",7.5,IF(H5684="EIF",5.4)))))))</f>
        <v/>
      </c>
      <c r="M5684" s="112" t="str">
        <f t="shared" si="91"/>
        <v/>
      </c>
      <c r="N5684" s="113"/>
    </row>
    <row r="5685" spans="2:14">
      <c r="B5685" s="105"/>
      <c r="C5685" s="106"/>
      <c r="D5685" s="107"/>
      <c r="E5685" s="65"/>
      <c r="F5685" s="64"/>
      <c r="G5685" s="64"/>
      <c r="H5685" s="64"/>
      <c r="I5685" s="70"/>
      <c r="J5685" s="70"/>
      <c r="K5685" s="110" t="str">
        <f>IF(H5685="","",IF($C$29="간이법","",FPR(H5685,I5685,J5685)))</f>
        <v/>
      </c>
      <c r="L5685" s="111" t="str">
        <f>IF(H5685="","",IF($C$29="상세법",FPV(H5685,K5685),IF(H5685="EI",4,IF(H5685="EO",5.2,IF(H5685="EQ",3.9,IF(H5685="ILF",7.5,IF(H5685="EIF",5.4)))))))</f>
        <v/>
      </c>
      <c r="M5685" s="112" t="str">
        <f t="shared" si="91"/>
        <v/>
      </c>
      <c r="N5685" s="113"/>
    </row>
    <row r="5686" spans="2:14">
      <c r="B5686" s="105"/>
      <c r="C5686" s="106"/>
      <c r="D5686" s="107"/>
      <c r="E5686" s="65"/>
      <c r="F5686" s="64"/>
      <c r="G5686" s="64"/>
      <c r="H5686" s="64"/>
      <c r="I5686" s="70"/>
      <c r="J5686" s="70"/>
      <c r="K5686" s="110" t="str">
        <f>IF(H5686="","",IF($C$29="간이법","",FPR(H5686,I5686,J5686)))</f>
        <v/>
      </c>
      <c r="L5686" s="111" t="str">
        <f>IF(H5686="","",IF($C$29="상세법",FPV(H5686,K5686),IF(H5686="EI",4,IF(H5686="EO",5.2,IF(H5686="EQ",3.9,IF(H5686="ILF",7.5,IF(H5686="EIF",5.4)))))))</f>
        <v/>
      </c>
      <c r="M5686" s="112" t="str">
        <f t="shared" si="91"/>
        <v/>
      </c>
      <c r="N5686" s="113"/>
    </row>
    <row r="5687" spans="2:14">
      <c r="B5687" s="105"/>
      <c r="C5687" s="106"/>
      <c r="D5687" s="107"/>
      <c r="E5687" s="65"/>
      <c r="F5687" s="64"/>
      <c r="G5687" s="64"/>
      <c r="H5687" s="64"/>
      <c r="I5687" s="70"/>
      <c r="J5687" s="70"/>
      <c r="K5687" s="110" t="str">
        <f>IF(H5687="","",IF($C$29="간이법","",FPR(H5687,I5687,J5687)))</f>
        <v/>
      </c>
      <c r="L5687" s="111" t="str">
        <f>IF(H5687="","",IF($C$29="상세법",FPV(H5687,K5687),IF(H5687="EI",4,IF(H5687="EO",5.2,IF(H5687="EQ",3.9,IF(H5687="ILF",7.5,IF(H5687="EIF",5.4)))))))</f>
        <v/>
      </c>
      <c r="M5687" s="112" t="str">
        <f t="shared" si="91"/>
        <v/>
      </c>
      <c r="N5687" s="113"/>
    </row>
    <row r="5688" spans="2:14">
      <c r="B5688" s="105"/>
      <c r="C5688" s="106"/>
      <c r="D5688" s="107"/>
      <c r="E5688" s="65"/>
      <c r="F5688" s="64"/>
      <c r="G5688" s="64"/>
      <c r="H5688" s="64"/>
      <c r="I5688" s="70"/>
      <c r="J5688" s="70"/>
      <c r="K5688" s="110" t="str">
        <f>IF(H5688="","",IF($C$29="간이법","",FPR(H5688,I5688,J5688)))</f>
        <v/>
      </c>
      <c r="L5688" s="111" t="str">
        <f>IF(H5688="","",IF($C$29="상세법",FPV(H5688,K5688),IF(H5688="EI",4,IF(H5688="EO",5.2,IF(H5688="EQ",3.9,IF(H5688="ILF",7.5,IF(H5688="EIF",5.4)))))))</f>
        <v/>
      </c>
      <c r="M5688" s="112" t="str">
        <f t="shared" si="91"/>
        <v/>
      </c>
      <c r="N5688" s="113"/>
    </row>
    <row r="5689" spans="2:14">
      <c r="B5689" s="105"/>
      <c r="C5689" s="106"/>
      <c r="D5689" s="107"/>
      <c r="E5689" s="65"/>
      <c r="F5689" s="64"/>
      <c r="G5689" s="64"/>
      <c r="H5689" s="64"/>
      <c r="I5689" s="70"/>
      <c r="J5689" s="70"/>
      <c r="K5689" s="110" t="str">
        <f>IF(H5689="","",IF($C$29="간이법","",FPR(H5689,I5689,J5689)))</f>
        <v/>
      </c>
      <c r="L5689" s="111" t="str">
        <f>IF(H5689="","",IF($C$29="상세법",FPV(H5689,K5689),IF(H5689="EI",4,IF(H5689="EO",5.2,IF(H5689="EQ",3.9,IF(H5689="ILF",7.5,IF(H5689="EIF",5.4)))))))</f>
        <v/>
      </c>
      <c r="M5689" s="112" t="str">
        <f t="shared" ref="M5689:M5752" si="92">IF(L5689="","",L5689*IF(G5689="상",0.7,IF(G5689="중",0.5,IF(G5689="하",0.2,1))))</f>
        <v/>
      </c>
      <c r="N5689" s="113"/>
    </row>
    <row r="5690" spans="2:14">
      <c r="B5690" s="105"/>
      <c r="C5690" s="106"/>
      <c r="D5690" s="107"/>
      <c r="E5690" s="65"/>
      <c r="F5690" s="64"/>
      <c r="G5690" s="64"/>
      <c r="H5690" s="64"/>
      <c r="I5690" s="70"/>
      <c r="J5690" s="70"/>
      <c r="K5690" s="110" t="str">
        <f>IF(H5690="","",IF($C$29="간이법","",FPR(H5690,I5690,J5690)))</f>
        <v/>
      </c>
      <c r="L5690" s="111" t="str">
        <f>IF(H5690="","",IF($C$29="상세법",FPV(H5690,K5690),IF(H5690="EI",4,IF(H5690="EO",5.2,IF(H5690="EQ",3.9,IF(H5690="ILF",7.5,IF(H5690="EIF",5.4)))))))</f>
        <v/>
      </c>
      <c r="M5690" s="112" t="str">
        <f t="shared" si="92"/>
        <v/>
      </c>
      <c r="N5690" s="113"/>
    </row>
    <row r="5691" spans="2:14">
      <c r="B5691" s="105"/>
      <c r="C5691" s="106"/>
      <c r="D5691" s="107"/>
      <c r="E5691" s="65"/>
      <c r="F5691" s="64"/>
      <c r="G5691" s="64"/>
      <c r="H5691" s="64"/>
      <c r="I5691" s="70"/>
      <c r="J5691" s="70"/>
      <c r="K5691" s="110" t="str">
        <f>IF(H5691="","",IF($C$29="간이법","",FPR(H5691,I5691,J5691)))</f>
        <v/>
      </c>
      <c r="L5691" s="111" t="str">
        <f>IF(H5691="","",IF($C$29="상세법",FPV(H5691,K5691),IF(H5691="EI",4,IF(H5691="EO",5.2,IF(H5691="EQ",3.9,IF(H5691="ILF",7.5,IF(H5691="EIF",5.4)))))))</f>
        <v/>
      </c>
      <c r="M5691" s="112" t="str">
        <f t="shared" si="92"/>
        <v/>
      </c>
      <c r="N5691" s="113"/>
    </row>
    <row r="5692" spans="2:14">
      <c r="B5692" s="105"/>
      <c r="C5692" s="106"/>
      <c r="D5692" s="107"/>
      <c r="E5692" s="65"/>
      <c r="F5692" s="64"/>
      <c r="G5692" s="64"/>
      <c r="H5692" s="64"/>
      <c r="I5692" s="70"/>
      <c r="J5692" s="70"/>
      <c r="K5692" s="110" t="str">
        <f>IF(H5692="","",IF($C$29="간이법","",FPR(H5692,I5692,J5692)))</f>
        <v/>
      </c>
      <c r="L5692" s="111" t="str">
        <f>IF(H5692="","",IF($C$29="상세법",FPV(H5692,K5692),IF(H5692="EI",4,IF(H5692="EO",5.2,IF(H5692="EQ",3.9,IF(H5692="ILF",7.5,IF(H5692="EIF",5.4)))))))</f>
        <v/>
      </c>
      <c r="M5692" s="112" t="str">
        <f t="shared" si="92"/>
        <v/>
      </c>
      <c r="N5692" s="113"/>
    </row>
    <row r="5693" spans="2:14">
      <c r="B5693" s="105"/>
      <c r="C5693" s="106"/>
      <c r="D5693" s="107"/>
      <c r="E5693" s="65"/>
      <c r="F5693" s="64"/>
      <c r="G5693" s="64"/>
      <c r="H5693" s="64"/>
      <c r="I5693" s="70"/>
      <c r="J5693" s="70"/>
      <c r="K5693" s="110" t="str">
        <f>IF(H5693="","",IF($C$29="간이법","",FPR(H5693,I5693,J5693)))</f>
        <v/>
      </c>
      <c r="L5693" s="111" t="str">
        <f>IF(H5693="","",IF($C$29="상세법",FPV(H5693,K5693),IF(H5693="EI",4,IF(H5693="EO",5.2,IF(H5693="EQ",3.9,IF(H5693="ILF",7.5,IF(H5693="EIF",5.4)))))))</f>
        <v/>
      </c>
      <c r="M5693" s="112" t="str">
        <f t="shared" si="92"/>
        <v/>
      </c>
      <c r="N5693" s="113"/>
    </row>
    <row r="5694" spans="2:14">
      <c r="B5694" s="105"/>
      <c r="C5694" s="106"/>
      <c r="D5694" s="107"/>
      <c r="E5694" s="65"/>
      <c r="F5694" s="64"/>
      <c r="G5694" s="64"/>
      <c r="H5694" s="64"/>
      <c r="I5694" s="70"/>
      <c r="J5694" s="70"/>
      <c r="K5694" s="110" t="str">
        <f>IF(H5694="","",IF($C$29="간이법","",FPR(H5694,I5694,J5694)))</f>
        <v/>
      </c>
      <c r="L5694" s="111" t="str">
        <f>IF(H5694="","",IF($C$29="상세법",FPV(H5694,K5694),IF(H5694="EI",4,IF(H5694="EO",5.2,IF(H5694="EQ",3.9,IF(H5694="ILF",7.5,IF(H5694="EIF",5.4)))))))</f>
        <v/>
      </c>
      <c r="M5694" s="112" t="str">
        <f t="shared" si="92"/>
        <v/>
      </c>
      <c r="N5694" s="113"/>
    </row>
    <row r="5695" spans="2:14">
      <c r="B5695" s="105"/>
      <c r="C5695" s="106"/>
      <c r="D5695" s="107"/>
      <c r="E5695" s="65"/>
      <c r="F5695" s="64"/>
      <c r="G5695" s="64"/>
      <c r="H5695" s="64"/>
      <c r="I5695" s="70"/>
      <c r="J5695" s="70"/>
      <c r="K5695" s="110" t="str">
        <f>IF(H5695="","",IF($C$29="간이법","",FPR(H5695,I5695,J5695)))</f>
        <v/>
      </c>
      <c r="L5695" s="111" t="str">
        <f>IF(H5695="","",IF($C$29="상세법",FPV(H5695,K5695),IF(H5695="EI",4,IF(H5695="EO",5.2,IF(H5695="EQ",3.9,IF(H5695="ILF",7.5,IF(H5695="EIF",5.4)))))))</f>
        <v/>
      </c>
      <c r="M5695" s="112" t="str">
        <f t="shared" si="92"/>
        <v/>
      </c>
      <c r="N5695" s="113"/>
    </row>
    <row r="5696" spans="2:14">
      <c r="B5696" s="105"/>
      <c r="C5696" s="106"/>
      <c r="D5696" s="107"/>
      <c r="E5696" s="65"/>
      <c r="F5696" s="64"/>
      <c r="G5696" s="64"/>
      <c r="H5696" s="64"/>
      <c r="I5696" s="70"/>
      <c r="J5696" s="70"/>
      <c r="K5696" s="110" t="str">
        <f>IF(H5696="","",IF($C$29="간이법","",FPR(H5696,I5696,J5696)))</f>
        <v/>
      </c>
      <c r="L5696" s="111" t="str">
        <f>IF(H5696="","",IF($C$29="상세법",FPV(H5696,K5696),IF(H5696="EI",4,IF(H5696="EO",5.2,IF(H5696="EQ",3.9,IF(H5696="ILF",7.5,IF(H5696="EIF",5.4)))))))</f>
        <v/>
      </c>
      <c r="M5696" s="112" t="str">
        <f t="shared" si="92"/>
        <v/>
      </c>
      <c r="N5696" s="113"/>
    </row>
    <row r="5697" spans="2:14">
      <c r="B5697" s="105"/>
      <c r="C5697" s="106"/>
      <c r="D5697" s="107"/>
      <c r="E5697" s="65"/>
      <c r="F5697" s="64"/>
      <c r="G5697" s="64"/>
      <c r="H5697" s="64"/>
      <c r="I5697" s="70"/>
      <c r="J5697" s="70"/>
      <c r="K5697" s="110" t="str">
        <f>IF(H5697="","",IF($C$29="간이법","",FPR(H5697,I5697,J5697)))</f>
        <v/>
      </c>
      <c r="L5697" s="111" t="str">
        <f>IF(H5697="","",IF($C$29="상세법",FPV(H5697,K5697),IF(H5697="EI",4,IF(H5697="EO",5.2,IF(H5697="EQ",3.9,IF(H5697="ILF",7.5,IF(H5697="EIF",5.4)))))))</f>
        <v/>
      </c>
      <c r="M5697" s="112" t="str">
        <f t="shared" si="92"/>
        <v/>
      </c>
      <c r="N5697" s="113"/>
    </row>
    <row r="5698" spans="2:14">
      <c r="B5698" s="105"/>
      <c r="C5698" s="106"/>
      <c r="D5698" s="107"/>
      <c r="E5698" s="65"/>
      <c r="F5698" s="64"/>
      <c r="G5698" s="64"/>
      <c r="H5698" s="64"/>
      <c r="I5698" s="70"/>
      <c r="J5698" s="70"/>
      <c r="K5698" s="110" t="str">
        <f>IF(H5698="","",IF($C$29="간이법","",FPR(H5698,I5698,J5698)))</f>
        <v/>
      </c>
      <c r="L5698" s="111" t="str">
        <f>IF(H5698="","",IF($C$29="상세법",FPV(H5698,K5698),IF(H5698="EI",4,IF(H5698="EO",5.2,IF(H5698="EQ",3.9,IF(H5698="ILF",7.5,IF(H5698="EIF",5.4)))))))</f>
        <v/>
      </c>
      <c r="M5698" s="112" t="str">
        <f t="shared" si="92"/>
        <v/>
      </c>
      <c r="N5698" s="113"/>
    </row>
    <row r="5699" spans="2:14">
      <c r="B5699" s="105"/>
      <c r="C5699" s="106"/>
      <c r="D5699" s="107"/>
      <c r="E5699" s="65"/>
      <c r="F5699" s="64"/>
      <c r="G5699" s="64"/>
      <c r="H5699" s="64"/>
      <c r="I5699" s="70"/>
      <c r="J5699" s="70"/>
      <c r="K5699" s="110" t="str">
        <f>IF(H5699="","",IF($C$29="간이법","",FPR(H5699,I5699,J5699)))</f>
        <v/>
      </c>
      <c r="L5699" s="111" t="str">
        <f>IF(H5699="","",IF($C$29="상세법",FPV(H5699,K5699),IF(H5699="EI",4,IF(H5699="EO",5.2,IF(H5699="EQ",3.9,IF(H5699="ILF",7.5,IF(H5699="EIF",5.4)))))))</f>
        <v/>
      </c>
      <c r="M5699" s="112" t="str">
        <f t="shared" si="92"/>
        <v/>
      </c>
      <c r="N5699" s="113"/>
    </row>
    <row r="5700" spans="2:14">
      <c r="B5700" s="105"/>
      <c r="C5700" s="106"/>
      <c r="D5700" s="107"/>
      <c r="E5700" s="65"/>
      <c r="F5700" s="64"/>
      <c r="G5700" s="64"/>
      <c r="H5700" s="64"/>
      <c r="I5700" s="70"/>
      <c r="J5700" s="70"/>
      <c r="K5700" s="110" t="str">
        <f>IF(H5700="","",IF($C$29="간이법","",FPR(H5700,I5700,J5700)))</f>
        <v/>
      </c>
      <c r="L5700" s="111" t="str">
        <f>IF(H5700="","",IF($C$29="상세법",FPV(H5700,K5700),IF(H5700="EI",4,IF(H5700="EO",5.2,IF(H5700="EQ",3.9,IF(H5700="ILF",7.5,IF(H5700="EIF",5.4)))))))</f>
        <v/>
      </c>
      <c r="M5700" s="112" t="str">
        <f t="shared" si="92"/>
        <v/>
      </c>
      <c r="N5700" s="113"/>
    </row>
    <row r="5701" spans="2:14">
      <c r="B5701" s="105"/>
      <c r="C5701" s="106"/>
      <c r="D5701" s="107"/>
      <c r="E5701" s="65"/>
      <c r="F5701" s="64"/>
      <c r="G5701" s="64"/>
      <c r="H5701" s="64"/>
      <c r="I5701" s="70"/>
      <c r="J5701" s="70"/>
      <c r="K5701" s="110" t="str">
        <f>IF(H5701="","",IF($C$29="간이법","",FPR(H5701,I5701,J5701)))</f>
        <v/>
      </c>
      <c r="L5701" s="111" t="str">
        <f>IF(H5701="","",IF($C$29="상세법",FPV(H5701,K5701),IF(H5701="EI",4,IF(H5701="EO",5.2,IF(H5701="EQ",3.9,IF(H5701="ILF",7.5,IF(H5701="EIF",5.4)))))))</f>
        <v/>
      </c>
      <c r="M5701" s="112" t="str">
        <f t="shared" si="92"/>
        <v/>
      </c>
      <c r="N5701" s="113"/>
    </row>
    <row r="5702" spans="2:14">
      <c r="B5702" s="105"/>
      <c r="C5702" s="106"/>
      <c r="D5702" s="107"/>
      <c r="E5702" s="65"/>
      <c r="F5702" s="64"/>
      <c r="G5702" s="64"/>
      <c r="H5702" s="64"/>
      <c r="I5702" s="70"/>
      <c r="J5702" s="70"/>
      <c r="K5702" s="110" t="str">
        <f>IF(H5702="","",IF($C$29="간이법","",FPR(H5702,I5702,J5702)))</f>
        <v/>
      </c>
      <c r="L5702" s="111" t="str">
        <f>IF(H5702="","",IF($C$29="상세법",FPV(H5702,K5702),IF(H5702="EI",4,IF(H5702="EO",5.2,IF(H5702="EQ",3.9,IF(H5702="ILF",7.5,IF(H5702="EIF",5.4)))))))</f>
        <v/>
      </c>
      <c r="M5702" s="112" t="str">
        <f t="shared" si="92"/>
        <v/>
      </c>
      <c r="N5702" s="113"/>
    </row>
    <row r="5703" spans="2:14">
      <c r="B5703" s="105"/>
      <c r="C5703" s="106"/>
      <c r="D5703" s="107"/>
      <c r="E5703" s="65"/>
      <c r="F5703" s="64"/>
      <c r="G5703" s="64"/>
      <c r="H5703" s="64"/>
      <c r="I5703" s="70"/>
      <c r="J5703" s="70"/>
      <c r="K5703" s="110" t="str">
        <f>IF(H5703="","",IF($C$29="간이법","",FPR(H5703,I5703,J5703)))</f>
        <v/>
      </c>
      <c r="L5703" s="111" t="str">
        <f>IF(H5703="","",IF($C$29="상세법",FPV(H5703,K5703),IF(H5703="EI",4,IF(H5703="EO",5.2,IF(H5703="EQ",3.9,IF(H5703="ILF",7.5,IF(H5703="EIF",5.4)))))))</f>
        <v/>
      </c>
      <c r="M5703" s="112" t="str">
        <f t="shared" si="92"/>
        <v/>
      </c>
      <c r="N5703" s="113"/>
    </row>
    <row r="5704" spans="2:14">
      <c r="B5704" s="105"/>
      <c r="C5704" s="106"/>
      <c r="D5704" s="107"/>
      <c r="E5704" s="65"/>
      <c r="F5704" s="64"/>
      <c r="G5704" s="64"/>
      <c r="H5704" s="64"/>
      <c r="I5704" s="70"/>
      <c r="J5704" s="70"/>
      <c r="K5704" s="110" t="str">
        <f>IF(H5704="","",IF($C$29="간이법","",FPR(H5704,I5704,J5704)))</f>
        <v/>
      </c>
      <c r="L5704" s="111" t="str">
        <f>IF(H5704="","",IF($C$29="상세법",FPV(H5704,K5704),IF(H5704="EI",4,IF(H5704="EO",5.2,IF(H5704="EQ",3.9,IF(H5704="ILF",7.5,IF(H5704="EIF",5.4)))))))</f>
        <v/>
      </c>
      <c r="M5704" s="112" t="str">
        <f t="shared" si="92"/>
        <v/>
      </c>
      <c r="N5704" s="113"/>
    </row>
    <row r="5705" spans="2:14">
      <c r="B5705" s="105"/>
      <c r="C5705" s="106"/>
      <c r="D5705" s="107"/>
      <c r="E5705" s="65"/>
      <c r="F5705" s="64"/>
      <c r="G5705" s="64"/>
      <c r="H5705" s="64"/>
      <c r="I5705" s="70"/>
      <c r="J5705" s="70"/>
      <c r="K5705" s="110" t="str">
        <f>IF(H5705="","",IF($C$29="간이법","",FPR(H5705,I5705,J5705)))</f>
        <v/>
      </c>
      <c r="L5705" s="111" t="str">
        <f>IF(H5705="","",IF($C$29="상세법",FPV(H5705,K5705),IF(H5705="EI",4,IF(H5705="EO",5.2,IF(H5705="EQ",3.9,IF(H5705="ILF",7.5,IF(H5705="EIF",5.4)))))))</f>
        <v/>
      </c>
      <c r="M5705" s="112" t="str">
        <f t="shared" si="92"/>
        <v/>
      </c>
      <c r="N5705" s="113"/>
    </row>
    <row r="5706" spans="2:14">
      <c r="B5706" s="105"/>
      <c r="C5706" s="106"/>
      <c r="D5706" s="107"/>
      <c r="E5706" s="65"/>
      <c r="F5706" s="64"/>
      <c r="G5706" s="64"/>
      <c r="H5706" s="64"/>
      <c r="I5706" s="70"/>
      <c r="J5706" s="70"/>
      <c r="K5706" s="110" t="str">
        <f>IF(H5706="","",IF($C$29="간이법","",FPR(H5706,I5706,J5706)))</f>
        <v/>
      </c>
      <c r="L5706" s="111" t="str">
        <f>IF(H5706="","",IF($C$29="상세법",FPV(H5706,K5706),IF(H5706="EI",4,IF(H5706="EO",5.2,IF(H5706="EQ",3.9,IF(H5706="ILF",7.5,IF(H5706="EIF",5.4)))))))</f>
        <v/>
      </c>
      <c r="M5706" s="112" t="str">
        <f t="shared" si="92"/>
        <v/>
      </c>
      <c r="N5706" s="113"/>
    </row>
    <row r="5707" spans="2:14">
      <c r="B5707" s="105"/>
      <c r="C5707" s="106"/>
      <c r="D5707" s="107"/>
      <c r="E5707" s="65"/>
      <c r="F5707" s="64"/>
      <c r="G5707" s="64"/>
      <c r="H5707" s="64"/>
      <c r="I5707" s="70"/>
      <c r="J5707" s="70"/>
      <c r="K5707" s="110" t="str">
        <f>IF(H5707="","",IF($C$29="간이법","",FPR(H5707,I5707,J5707)))</f>
        <v/>
      </c>
      <c r="L5707" s="111" t="str">
        <f>IF(H5707="","",IF($C$29="상세법",FPV(H5707,K5707),IF(H5707="EI",4,IF(H5707="EO",5.2,IF(H5707="EQ",3.9,IF(H5707="ILF",7.5,IF(H5707="EIF",5.4)))))))</f>
        <v/>
      </c>
      <c r="M5707" s="112" t="str">
        <f t="shared" si="92"/>
        <v/>
      </c>
      <c r="N5707" s="113"/>
    </row>
    <row r="5708" spans="2:14">
      <c r="B5708" s="105"/>
      <c r="C5708" s="106"/>
      <c r="D5708" s="107"/>
      <c r="E5708" s="65"/>
      <c r="F5708" s="64"/>
      <c r="G5708" s="64"/>
      <c r="H5708" s="64"/>
      <c r="I5708" s="70"/>
      <c r="J5708" s="70"/>
      <c r="K5708" s="110" t="str">
        <f>IF(H5708="","",IF($C$29="간이법","",FPR(H5708,I5708,J5708)))</f>
        <v/>
      </c>
      <c r="L5708" s="111" t="str">
        <f>IF(H5708="","",IF($C$29="상세법",FPV(H5708,K5708),IF(H5708="EI",4,IF(H5708="EO",5.2,IF(H5708="EQ",3.9,IF(H5708="ILF",7.5,IF(H5708="EIF",5.4)))))))</f>
        <v/>
      </c>
      <c r="M5708" s="112" t="str">
        <f t="shared" si="92"/>
        <v/>
      </c>
      <c r="N5708" s="113"/>
    </row>
    <row r="5709" spans="2:14">
      <c r="B5709" s="105"/>
      <c r="C5709" s="106"/>
      <c r="D5709" s="107"/>
      <c r="E5709" s="65"/>
      <c r="F5709" s="64"/>
      <c r="G5709" s="64"/>
      <c r="H5709" s="64"/>
      <c r="I5709" s="70"/>
      <c r="J5709" s="70"/>
      <c r="K5709" s="110" t="str">
        <f>IF(H5709="","",IF($C$29="간이법","",FPR(H5709,I5709,J5709)))</f>
        <v/>
      </c>
      <c r="L5709" s="111" t="str">
        <f>IF(H5709="","",IF($C$29="상세법",FPV(H5709,K5709),IF(H5709="EI",4,IF(H5709="EO",5.2,IF(H5709="EQ",3.9,IF(H5709="ILF",7.5,IF(H5709="EIF",5.4)))))))</f>
        <v/>
      </c>
      <c r="M5709" s="112" t="str">
        <f t="shared" si="92"/>
        <v/>
      </c>
      <c r="N5709" s="113"/>
    </row>
    <row r="5710" spans="2:14">
      <c r="B5710" s="105"/>
      <c r="C5710" s="106"/>
      <c r="D5710" s="107"/>
      <c r="E5710" s="65"/>
      <c r="F5710" s="64"/>
      <c r="G5710" s="64"/>
      <c r="H5710" s="64"/>
      <c r="I5710" s="70"/>
      <c r="J5710" s="70"/>
      <c r="K5710" s="110" t="str">
        <f>IF(H5710="","",IF($C$29="간이법","",FPR(H5710,I5710,J5710)))</f>
        <v/>
      </c>
      <c r="L5710" s="111" t="str">
        <f>IF(H5710="","",IF($C$29="상세법",FPV(H5710,K5710),IF(H5710="EI",4,IF(H5710="EO",5.2,IF(H5710="EQ",3.9,IF(H5710="ILF",7.5,IF(H5710="EIF",5.4)))))))</f>
        <v/>
      </c>
      <c r="M5710" s="112" t="str">
        <f t="shared" si="92"/>
        <v/>
      </c>
      <c r="N5710" s="113"/>
    </row>
    <row r="5711" spans="2:14">
      <c r="B5711" s="105"/>
      <c r="C5711" s="106"/>
      <c r="D5711" s="107"/>
      <c r="E5711" s="65"/>
      <c r="F5711" s="64"/>
      <c r="G5711" s="64"/>
      <c r="H5711" s="64"/>
      <c r="I5711" s="70"/>
      <c r="J5711" s="70"/>
      <c r="K5711" s="110" t="str">
        <f>IF(H5711="","",IF($C$29="간이법","",FPR(H5711,I5711,J5711)))</f>
        <v/>
      </c>
      <c r="L5711" s="111" t="str">
        <f>IF(H5711="","",IF($C$29="상세법",FPV(H5711,K5711),IF(H5711="EI",4,IF(H5711="EO",5.2,IF(H5711="EQ",3.9,IF(H5711="ILF",7.5,IF(H5711="EIF",5.4)))))))</f>
        <v/>
      </c>
      <c r="M5711" s="112" t="str">
        <f t="shared" si="92"/>
        <v/>
      </c>
      <c r="N5711" s="113"/>
    </row>
    <row r="5712" spans="2:14">
      <c r="B5712" s="105"/>
      <c r="C5712" s="106"/>
      <c r="D5712" s="107"/>
      <c r="E5712" s="65"/>
      <c r="F5712" s="64"/>
      <c r="G5712" s="64"/>
      <c r="H5712" s="64"/>
      <c r="I5712" s="70"/>
      <c r="J5712" s="70"/>
      <c r="K5712" s="110" t="str">
        <f>IF(H5712="","",IF($C$29="간이법","",FPR(H5712,I5712,J5712)))</f>
        <v/>
      </c>
      <c r="L5712" s="111" t="str">
        <f>IF(H5712="","",IF($C$29="상세법",FPV(H5712,K5712),IF(H5712="EI",4,IF(H5712="EO",5.2,IF(H5712="EQ",3.9,IF(H5712="ILF",7.5,IF(H5712="EIF",5.4)))))))</f>
        <v/>
      </c>
      <c r="M5712" s="112" t="str">
        <f t="shared" si="92"/>
        <v/>
      </c>
      <c r="N5712" s="113"/>
    </row>
    <row r="5713" spans="2:14">
      <c r="B5713" s="105"/>
      <c r="C5713" s="106"/>
      <c r="D5713" s="107"/>
      <c r="E5713" s="65"/>
      <c r="F5713" s="64"/>
      <c r="G5713" s="64"/>
      <c r="H5713" s="64"/>
      <c r="I5713" s="70"/>
      <c r="J5713" s="70"/>
      <c r="K5713" s="110" t="str">
        <f>IF(H5713="","",IF($C$29="간이법","",FPR(H5713,I5713,J5713)))</f>
        <v/>
      </c>
      <c r="L5713" s="111" t="str">
        <f>IF(H5713="","",IF($C$29="상세법",FPV(H5713,K5713),IF(H5713="EI",4,IF(H5713="EO",5.2,IF(H5713="EQ",3.9,IF(H5713="ILF",7.5,IF(H5713="EIF",5.4)))))))</f>
        <v/>
      </c>
      <c r="M5713" s="112" t="str">
        <f t="shared" si="92"/>
        <v/>
      </c>
      <c r="N5713" s="113"/>
    </row>
    <row r="5714" spans="2:14">
      <c r="B5714" s="105"/>
      <c r="C5714" s="106"/>
      <c r="D5714" s="107"/>
      <c r="E5714" s="65"/>
      <c r="F5714" s="64"/>
      <c r="G5714" s="64"/>
      <c r="H5714" s="64"/>
      <c r="I5714" s="70"/>
      <c r="J5714" s="70"/>
      <c r="K5714" s="110" t="str">
        <f>IF(H5714="","",IF($C$29="간이법","",FPR(H5714,I5714,J5714)))</f>
        <v/>
      </c>
      <c r="L5714" s="111" t="str">
        <f>IF(H5714="","",IF($C$29="상세법",FPV(H5714,K5714),IF(H5714="EI",4,IF(H5714="EO",5.2,IF(H5714="EQ",3.9,IF(H5714="ILF",7.5,IF(H5714="EIF",5.4)))))))</f>
        <v/>
      </c>
      <c r="M5714" s="112" t="str">
        <f t="shared" si="92"/>
        <v/>
      </c>
      <c r="N5714" s="113"/>
    </row>
    <row r="5715" spans="2:14">
      <c r="B5715" s="105"/>
      <c r="C5715" s="106"/>
      <c r="D5715" s="107"/>
      <c r="E5715" s="65"/>
      <c r="F5715" s="64"/>
      <c r="G5715" s="64"/>
      <c r="H5715" s="64"/>
      <c r="I5715" s="70"/>
      <c r="J5715" s="70"/>
      <c r="K5715" s="110" t="str">
        <f>IF(H5715="","",IF($C$29="간이법","",FPR(H5715,I5715,J5715)))</f>
        <v/>
      </c>
      <c r="L5715" s="111" t="str">
        <f>IF(H5715="","",IF($C$29="상세법",FPV(H5715,K5715),IF(H5715="EI",4,IF(H5715="EO",5.2,IF(H5715="EQ",3.9,IF(H5715="ILF",7.5,IF(H5715="EIF",5.4)))))))</f>
        <v/>
      </c>
      <c r="M5715" s="112" t="str">
        <f t="shared" si="92"/>
        <v/>
      </c>
      <c r="N5715" s="113"/>
    </row>
    <row r="5716" spans="2:14">
      <c r="B5716" s="105"/>
      <c r="C5716" s="106"/>
      <c r="D5716" s="107"/>
      <c r="E5716" s="65"/>
      <c r="F5716" s="64"/>
      <c r="G5716" s="64"/>
      <c r="H5716" s="64"/>
      <c r="I5716" s="70"/>
      <c r="J5716" s="70"/>
      <c r="K5716" s="110" t="str">
        <f>IF(H5716="","",IF($C$29="간이법","",FPR(H5716,I5716,J5716)))</f>
        <v/>
      </c>
      <c r="L5716" s="111" t="str">
        <f>IF(H5716="","",IF($C$29="상세법",FPV(H5716,K5716),IF(H5716="EI",4,IF(H5716="EO",5.2,IF(H5716="EQ",3.9,IF(H5716="ILF",7.5,IF(H5716="EIF",5.4)))))))</f>
        <v/>
      </c>
      <c r="M5716" s="112" t="str">
        <f t="shared" si="92"/>
        <v/>
      </c>
      <c r="N5716" s="113"/>
    </row>
    <row r="5717" spans="2:14">
      <c r="B5717" s="105"/>
      <c r="C5717" s="106"/>
      <c r="D5717" s="107"/>
      <c r="E5717" s="65"/>
      <c r="F5717" s="64"/>
      <c r="G5717" s="64"/>
      <c r="H5717" s="64"/>
      <c r="I5717" s="70"/>
      <c r="J5717" s="70"/>
      <c r="K5717" s="110" t="str">
        <f>IF(H5717="","",IF($C$29="간이법","",FPR(H5717,I5717,J5717)))</f>
        <v/>
      </c>
      <c r="L5717" s="111" t="str">
        <f>IF(H5717="","",IF($C$29="상세법",FPV(H5717,K5717),IF(H5717="EI",4,IF(H5717="EO",5.2,IF(H5717="EQ",3.9,IF(H5717="ILF",7.5,IF(H5717="EIF",5.4)))))))</f>
        <v/>
      </c>
      <c r="M5717" s="112" t="str">
        <f t="shared" si="92"/>
        <v/>
      </c>
      <c r="N5717" s="113"/>
    </row>
    <row r="5718" spans="2:14">
      <c r="B5718" s="105"/>
      <c r="C5718" s="106"/>
      <c r="D5718" s="107"/>
      <c r="E5718" s="65"/>
      <c r="F5718" s="64"/>
      <c r="G5718" s="64"/>
      <c r="H5718" s="64"/>
      <c r="I5718" s="70"/>
      <c r="J5718" s="70"/>
      <c r="K5718" s="110" t="str">
        <f>IF(H5718="","",IF($C$29="간이법","",FPR(H5718,I5718,J5718)))</f>
        <v/>
      </c>
      <c r="L5718" s="111" t="str">
        <f>IF(H5718="","",IF($C$29="상세법",FPV(H5718,K5718),IF(H5718="EI",4,IF(H5718="EO",5.2,IF(H5718="EQ",3.9,IF(H5718="ILF",7.5,IF(H5718="EIF",5.4)))))))</f>
        <v/>
      </c>
      <c r="M5718" s="112" t="str">
        <f t="shared" si="92"/>
        <v/>
      </c>
      <c r="N5718" s="113"/>
    </row>
    <row r="5719" spans="2:14">
      <c r="B5719" s="105"/>
      <c r="C5719" s="106"/>
      <c r="D5719" s="107"/>
      <c r="E5719" s="65"/>
      <c r="F5719" s="64"/>
      <c r="G5719" s="64"/>
      <c r="H5719" s="64"/>
      <c r="I5719" s="70"/>
      <c r="J5719" s="70"/>
      <c r="K5719" s="110" t="str">
        <f>IF(H5719="","",IF($C$29="간이법","",FPR(H5719,I5719,J5719)))</f>
        <v/>
      </c>
      <c r="L5719" s="111" t="str">
        <f>IF(H5719="","",IF($C$29="상세법",FPV(H5719,K5719),IF(H5719="EI",4,IF(H5719="EO",5.2,IF(H5719="EQ",3.9,IF(H5719="ILF",7.5,IF(H5719="EIF",5.4)))))))</f>
        <v/>
      </c>
      <c r="M5719" s="112" t="str">
        <f t="shared" si="92"/>
        <v/>
      </c>
      <c r="N5719" s="113"/>
    </row>
    <row r="5720" spans="2:14">
      <c r="B5720" s="105"/>
      <c r="C5720" s="106"/>
      <c r="D5720" s="107"/>
      <c r="E5720" s="65"/>
      <c r="F5720" s="64"/>
      <c r="G5720" s="64"/>
      <c r="H5720" s="64"/>
      <c r="I5720" s="70"/>
      <c r="J5720" s="70"/>
      <c r="K5720" s="110" t="str">
        <f>IF(H5720="","",IF($C$29="간이법","",FPR(H5720,I5720,J5720)))</f>
        <v/>
      </c>
      <c r="L5720" s="111" t="str">
        <f>IF(H5720="","",IF($C$29="상세법",FPV(H5720,K5720),IF(H5720="EI",4,IF(H5720="EO",5.2,IF(H5720="EQ",3.9,IF(H5720="ILF",7.5,IF(H5720="EIF",5.4)))))))</f>
        <v/>
      </c>
      <c r="M5720" s="112" t="str">
        <f t="shared" si="92"/>
        <v/>
      </c>
      <c r="N5720" s="113"/>
    </row>
    <row r="5721" spans="2:14">
      <c r="B5721" s="105"/>
      <c r="C5721" s="106"/>
      <c r="D5721" s="107"/>
      <c r="E5721" s="65"/>
      <c r="F5721" s="64"/>
      <c r="G5721" s="64"/>
      <c r="H5721" s="64"/>
      <c r="I5721" s="70"/>
      <c r="J5721" s="70"/>
      <c r="K5721" s="110" t="str">
        <f>IF(H5721="","",IF($C$29="간이법","",FPR(H5721,I5721,J5721)))</f>
        <v/>
      </c>
      <c r="L5721" s="111" t="str">
        <f>IF(H5721="","",IF($C$29="상세법",FPV(H5721,K5721),IF(H5721="EI",4,IF(H5721="EO",5.2,IF(H5721="EQ",3.9,IF(H5721="ILF",7.5,IF(H5721="EIF",5.4)))))))</f>
        <v/>
      </c>
      <c r="M5721" s="112" t="str">
        <f t="shared" si="92"/>
        <v/>
      </c>
      <c r="N5721" s="113"/>
    </row>
    <row r="5722" spans="2:14">
      <c r="B5722" s="105"/>
      <c r="C5722" s="106"/>
      <c r="D5722" s="107"/>
      <c r="E5722" s="65"/>
      <c r="F5722" s="64"/>
      <c r="G5722" s="64"/>
      <c r="H5722" s="64"/>
      <c r="I5722" s="70"/>
      <c r="J5722" s="70"/>
      <c r="K5722" s="110" t="str">
        <f>IF(H5722="","",IF($C$29="간이법","",FPR(H5722,I5722,J5722)))</f>
        <v/>
      </c>
      <c r="L5722" s="111" t="str">
        <f>IF(H5722="","",IF($C$29="상세법",FPV(H5722,K5722),IF(H5722="EI",4,IF(H5722="EO",5.2,IF(H5722="EQ",3.9,IF(H5722="ILF",7.5,IF(H5722="EIF",5.4)))))))</f>
        <v/>
      </c>
      <c r="M5722" s="112" t="str">
        <f t="shared" si="92"/>
        <v/>
      </c>
      <c r="N5722" s="113"/>
    </row>
    <row r="5723" spans="2:14">
      <c r="B5723" s="105"/>
      <c r="C5723" s="106"/>
      <c r="D5723" s="107"/>
      <c r="E5723" s="65"/>
      <c r="F5723" s="64"/>
      <c r="G5723" s="64"/>
      <c r="H5723" s="64"/>
      <c r="I5723" s="70"/>
      <c r="J5723" s="70"/>
      <c r="K5723" s="110" t="str">
        <f>IF(H5723="","",IF($C$29="간이법","",FPR(H5723,I5723,J5723)))</f>
        <v/>
      </c>
      <c r="L5723" s="111" t="str">
        <f>IF(H5723="","",IF($C$29="상세법",FPV(H5723,K5723),IF(H5723="EI",4,IF(H5723="EO",5.2,IF(H5723="EQ",3.9,IF(H5723="ILF",7.5,IF(H5723="EIF",5.4)))))))</f>
        <v/>
      </c>
      <c r="M5723" s="112" t="str">
        <f t="shared" si="92"/>
        <v/>
      </c>
      <c r="N5723" s="113"/>
    </row>
    <row r="5724" spans="2:14">
      <c r="B5724" s="105"/>
      <c r="C5724" s="106"/>
      <c r="D5724" s="107"/>
      <c r="E5724" s="65"/>
      <c r="F5724" s="64"/>
      <c r="G5724" s="64"/>
      <c r="H5724" s="64"/>
      <c r="I5724" s="70"/>
      <c r="J5724" s="70"/>
      <c r="K5724" s="110" t="str">
        <f>IF(H5724="","",IF($C$29="간이법","",FPR(H5724,I5724,J5724)))</f>
        <v/>
      </c>
      <c r="L5724" s="111" t="str">
        <f>IF(H5724="","",IF($C$29="상세법",FPV(H5724,K5724),IF(H5724="EI",4,IF(H5724="EO",5.2,IF(H5724="EQ",3.9,IF(H5724="ILF",7.5,IF(H5724="EIF",5.4)))))))</f>
        <v/>
      </c>
      <c r="M5724" s="112" t="str">
        <f t="shared" si="92"/>
        <v/>
      </c>
      <c r="N5724" s="113"/>
    </row>
    <row r="5725" spans="2:14">
      <c r="B5725" s="105"/>
      <c r="C5725" s="106"/>
      <c r="D5725" s="107"/>
      <c r="E5725" s="65"/>
      <c r="F5725" s="64"/>
      <c r="G5725" s="64"/>
      <c r="H5725" s="64"/>
      <c r="I5725" s="70"/>
      <c r="J5725" s="70"/>
      <c r="K5725" s="110" t="str">
        <f>IF(H5725="","",IF($C$29="간이법","",FPR(H5725,I5725,J5725)))</f>
        <v/>
      </c>
      <c r="L5725" s="111" t="str">
        <f>IF(H5725="","",IF($C$29="상세법",FPV(H5725,K5725),IF(H5725="EI",4,IF(H5725="EO",5.2,IF(H5725="EQ",3.9,IF(H5725="ILF",7.5,IF(H5725="EIF",5.4)))))))</f>
        <v/>
      </c>
      <c r="M5725" s="112" t="str">
        <f t="shared" si="92"/>
        <v/>
      </c>
      <c r="N5725" s="113"/>
    </row>
    <row r="5726" spans="2:14">
      <c r="B5726" s="105"/>
      <c r="C5726" s="106"/>
      <c r="D5726" s="107"/>
      <c r="E5726" s="65"/>
      <c r="F5726" s="64"/>
      <c r="G5726" s="64"/>
      <c r="H5726" s="64"/>
      <c r="I5726" s="70"/>
      <c r="J5726" s="70"/>
      <c r="K5726" s="110" t="str">
        <f>IF(H5726="","",IF($C$29="간이법","",FPR(H5726,I5726,J5726)))</f>
        <v/>
      </c>
      <c r="L5726" s="111" t="str">
        <f>IF(H5726="","",IF($C$29="상세법",FPV(H5726,K5726),IF(H5726="EI",4,IF(H5726="EO",5.2,IF(H5726="EQ",3.9,IF(H5726="ILF",7.5,IF(H5726="EIF",5.4)))))))</f>
        <v/>
      </c>
      <c r="M5726" s="112" t="str">
        <f t="shared" si="92"/>
        <v/>
      </c>
      <c r="N5726" s="113"/>
    </row>
    <row r="5727" spans="2:14">
      <c r="B5727" s="105"/>
      <c r="C5727" s="106"/>
      <c r="D5727" s="107"/>
      <c r="E5727" s="65"/>
      <c r="F5727" s="64"/>
      <c r="G5727" s="64"/>
      <c r="H5727" s="64"/>
      <c r="I5727" s="70"/>
      <c r="J5727" s="70"/>
      <c r="K5727" s="110" t="str">
        <f>IF(H5727="","",IF($C$29="간이법","",FPR(H5727,I5727,J5727)))</f>
        <v/>
      </c>
      <c r="L5727" s="111" t="str">
        <f>IF(H5727="","",IF($C$29="상세법",FPV(H5727,K5727),IF(H5727="EI",4,IF(H5727="EO",5.2,IF(H5727="EQ",3.9,IF(H5727="ILF",7.5,IF(H5727="EIF",5.4)))))))</f>
        <v/>
      </c>
      <c r="M5727" s="112" t="str">
        <f t="shared" si="92"/>
        <v/>
      </c>
      <c r="N5727" s="113"/>
    </row>
    <row r="5728" spans="2:14">
      <c r="B5728" s="105"/>
      <c r="C5728" s="106"/>
      <c r="D5728" s="107"/>
      <c r="E5728" s="65"/>
      <c r="F5728" s="64"/>
      <c r="G5728" s="64"/>
      <c r="H5728" s="64"/>
      <c r="I5728" s="70"/>
      <c r="J5728" s="70"/>
      <c r="K5728" s="110" t="str">
        <f>IF(H5728="","",IF($C$29="간이법","",FPR(H5728,I5728,J5728)))</f>
        <v/>
      </c>
      <c r="L5728" s="111" t="str">
        <f>IF(H5728="","",IF($C$29="상세법",FPV(H5728,K5728),IF(H5728="EI",4,IF(H5728="EO",5.2,IF(H5728="EQ",3.9,IF(H5728="ILF",7.5,IF(H5728="EIF",5.4)))))))</f>
        <v/>
      </c>
      <c r="M5728" s="112" t="str">
        <f t="shared" si="92"/>
        <v/>
      </c>
      <c r="N5728" s="113"/>
    </row>
    <row r="5729" spans="2:14">
      <c r="B5729" s="105"/>
      <c r="C5729" s="106"/>
      <c r="D5729" s="107"/>
      <c r="E5729" s="65"/>
      <c r="F5729" s="64"/>
      <c r="G5729" s="64"/>
      <c r="H5729" s="64"/>
      <c r="I5729" s="70"/>
      <c r="J5729" s="70"/>
      <c r="K5729" s="110" t="str">
        <f>IF(H5729="","",IF($C$29="간이법","",FPR(H5729,I5729,J5729)))</f>
        <v/>
      </c>
      <c r="L5729" s="111" t="str">
        <f>IF(H5729="","",IF($C$29="상세법",FPV(H5729,K5729),IF(H5729="EI",4,IF(H5729="EO",5.2,IF(H5729="EQ",3.9,IF(H5729="ILF",7.5,IF(H5729="EIF",5.4)))))))</f>
        <v/>
      </c>
      <c r="M5729" s="112" t="str">
        <f t="shared" si="92"/>
        <v/>
      </c>
      <c r="N5729" s="113"/>
    </row>
    <row r="5730" spans="2:14">
      <c r="B5730" s="105"/>
      <c r="C5730" s="106"/>
      <c r="D5730" s="107"/>
      <c r="E5730" s="65"/>
      <c r="F5730" s="64"/>
      <c r="G5730" s="64"/>
      <c r="H5730" s="64"/>
      <c r="I5730" s="70"/>
      <c r="J5730" s="70"/>
      <c r="K5730" s="110" t="str">
        <f>IF(H5730="","",IF($C$29="간이법","",FPR(H5730,I5730,J5730)))</f>
        <v/>
      </c>
      <c r="L5730" s="111" t="str">
        <f>IF(H5730="","",IF($C$29="상세법",FPV(H5730,K5730),IF(H5730="EI",4,IF(H5730="EO",5.2,IF(H5730="EQ",3.9,IF(H5730="ILF",7.5,IF(H5730="EIF",5.4)))))))</f>
        <v/>
      </c>
      <c r="M5730" s="112" t="str">
        <f t="shared" si="92"/>
        <v/>
      </c>
      <c r="N5730" s="113"/>
    </row>
    <row r="5731" spans="2:14">
      <c r="B5731" s="105"/>
      <c r="C5731" s="106"/>
      <c r="D5731" s="107"/>
      <c r="E5731" s="65"/>
      <c r="F5731" s="64"/>
      <c r="G5731" s="64"/>
      <c r="H5731" s="64"/>
      <c r="I5731" s="70"/>
      <c r="J5731" s="70"/>
      <c r="K5731" s="110" t="str">
        <f>IF(H5731="","",IF($C$29="간이법","",FPR(H5731,I5731,J5731)))</f>
        <v/>
      </c>
      <c r="L5731" s="111" t="str">
        <f>IF(H5731="","",IF($C$29="상세법",FPV(H5731,K5731),IF(H5731="EI",4,IF(H5731="EO",5.2,IF(H5731="EQ",3.9,IF(H5731="ILF",7.5,IF(H5731="EIF",5.4)))))))</f>
        <v/>
      </c>
      <c r="M5731" s="112" t="str">
        <f t="shared" si="92"/>
        <v/>
      </c>
      <c r="N5731" s="113"/>
    </row>
    <row r="5732" spans="2:14">
      <c r="B5732" s="105"/>
      <c r="C5732" s="106"/>
      <c r="D5732" s="107"/>
      <c r="E5732" s="65"/>
      <c r="F5732" s="64"/>
      <c r="G5732" s="64"/>
      <c r="H5732" s="64"/>
      <c r="I5732" s="70"/>
      <c r="J5732" s="70"/>
      <c r="K5732" s="110" t="str">
        <f>IF(H5732="","",IF($C$29="간이법","",FPR(H5732,I5732,J5732)))</f>
        <v/>
      </c>
      <c r="L5732" s="111" t="str">
        <f>IF(H5732="","",IF($C$29="상세법",FPV(H5732,K5732),IF(H5732="EI",4,IF(H5732="EO",5.2,IF(H5732="EQ",3.9,IF(H5732="ILF",7.5,IF(H5732="EIF",5.4)))))))</f>
        <v/>
      </c>
      <c r="M5732" s="112" t="str">
        <f t="shared" si="92"/>
        <v/>
      </c>
      <c r="N5732" s="113"/>
    </row>
    <row r="5733" spans="2:14">
      <c r="B5733" s="105"/>
      <c r="C5733" s="106"/>
      <c r="D5733" s="107"/>
      <c r="E5733" s="65"/>
      <c r="F5733" s="64"/>
      <c r="G5733" s="64"/>
      <c r="H5733" s="64"/>
      <c r="I5733" s="70"/>
      <c r="J5733" s="70"/>
      <c r="K5733" s="110" t="str">
        <f>IF(H5733="","",IF($C$29="간이법","",FPR(H5733,I5733,J5733)))</f>
        <v/>
      </c>
      <c r="L5733" s="111" t="str">
        <f>IF(H5733="","",IF($C$29="상세법",FPV(H5733,K5733),IF(H5733="EI",4,IF(H5733="EO",5.2,IF(H5733="EQ",3.9,IF(H5733="ILF",7.5,IF(H5733="EIF",5.4)))))))</f>
        <v/>
      </c>
      <c r="M5733" s="112" t="str">
        <f t="shared" si="92"/>
        <v/>
      </c>
      <c r="N5733" s="113"/>
    </row>
    <row r="5734" spans="2:14">
      <c r="B5734" s="105"/>
      <c r="C5734" s="106"/>
      <c r="D5734" s="107"/>
      <c r="E5734" s="65"/>
      <c r="F5734" s="64"/>
      <c r="G5734" s="64"/>
      <c r="H5734" s="64"/>
      <c r="I5734" s="70"/>
      <c r="J5734" s="70"/>
      <c r="K5734" s="110" t="str">
        <f>IF(H5734="","",IF($C$29="간이법","",FPR(H5734,I5734,J5734)))</f>
        <v/>
      </c>
      <c r="L5734" s="111" t="str">
        <f>IF(H5734="","",IF($C$29="상세법",FPV(H5734,K5734),IF(H5734="EI",4,IF(H5734="EO",5.2,IF(H5734="EQ",3.9,IF(H5734="ILF",7.5,IF(H5734="EIF",5.4)))))))</f>
        <v/>
      </c>
      <c r="M5734" s="112" t="str">
        <f t="shared" si="92"/>
        <v/>
      </c>
      <c r="N5734" s="113"/>
    </row>
    <row r="5735" spans="2:14">
      <c r="B5735" s="105"/>
      <c r="C5735" s="106"/>
      <c r="D5735" s="107"/>
      <c r="E5735" s="65"/>
      <c r="F5735" s="64"/>
      <c r="G5735" s="64"/>
      <c r="H5735" s="64"/>
      <c r="I5735" s="70"/>
      <c r="J5735" s="70"/>
      <c r="K5735" s="110" t="str">
        <f>IF(H5735="","",IF($C$29="간이법","",FPR(H5735,I5735,J5735)))</f>
        <v/>
      </c>
      <c r="L5735" s="111" t="str">
        <f>IF(H5735="","",IF($C$29="상세법",FPV(H5735,K5735),IF(H5735="EI",4,IF(H5735="EO",5.2,IF(H5735="EQ",3.9,IF(H5735="ILF",7.5,IF(H5735="EIF",5.4)))))))</f>
        <v/>
      </c>
      <c r="M5735" s="112" t="str">
        <f t="shared" si="92"/>
        <v/>
      </c>
      <c r="N5735" s="113"/>
    </row>
    <row r="5736" spans="2:14">
      <c r="B5736" s="105"/>
      <c r="C5736" s="106"/>
      <c r="D5736" s="107"/>
      <c r="E5736" s="65"/>
      <c r="F5736" s="64"/>
      <c r="G5736" s="64"/>
      <c r="H5736" s="64"/>
      <c r="I5736" s="70"/>
      <c r="J5736" s="70"/>
      <c r="K5736" s="110" t="str">
        <f>IF(H5736="","",IF($C$29="간이법","",FPR(H5736,I5736,J5736)))</f>
        <v/>
      </c>
      <c r="L5736" s="111" t="str">
        <f>IF(H5736="","",IF($C$29="상세법",FPV(H5736,K5736),IF(H5736="EI",4,IF(H5736="EO",5.2,IF(H5736="EQ",3.9,IF(H5736="ILF",7.5,IF(H5736="EIF",5.4)))))))</f>
        <v/>
      </c>
      <c r="M5736" s="112" t="str">
        <f t="shared" si="92"/>
        <v/>
      </c>
      <c r="N5736" s="113"/>
    </row>
    <row r="5737" spans="2:14">
      <c r="B5737" s="105"/>
      <c r="C5737" s="106"/>
      <c r="D5737" s="107"/>
      <c r="E5737" s="65"/>
      <c r="F5737" s="64"/>
      <c r="G5737" s="64"/>
      <c r="H5737" s="64"/>
      <c r="I5737" s="70"/>
      <c r="J5737" s="70"/>
      <c r="K5737" s="110" t="str">
        <f>IF(H5737="","",IF($C$29="간이법","",FPR(H5737,I5737,J5737)))</f>
        <v/>
      </c>
      <c r="L5737" s="111" t="str">
        <f>IF(H5737="","",IF($C$29="상세법",FPV(H5737,K5737),IF(H5737="EI",4,IF(H5737="EO",5.2,IF(H5737="EQ",3.9,IF(H5737="ILF",7.5,IF(H5737="EIF",5.4)))))))</f>
        <v/>
      </c>
      <c r="M5737" s="112" t="str">
        <f t="shared" si="92"/>
        <v/>
      </c>
      <c r="N5737" s="113"/>
    </row>
    <row r="5738" spans="2:14">
      <c r="B5738" s="105"/>
      <c r="C5738" s="106"/>
      <c r="D5738" s="107"/>
      <c r="E5738" s="65"/>
      <c r="F5738" s="64"/>
      <c r="G5738" s="64"/>
      <c r="H5738" s="64"/>
      <c r="I5738" s="70"/>
      <c r="J5738" s="70"/>
      <c r="K5738" s="110" t="str">
        <f>IF(H5738="","",IF($C$29="간이법","",FPR(H5738,I5738,J5738)))</f>
        <v/>
      </c>
      <c r="L5738" s="111" t="str">
        <f>IF(H5738="","",IF($C$29="상세법",FPV(H5738,K5738),IF(H5738="EI",4,IF(H5738="EO",5.2,IF(H5738="EQ",3.9,IF(H5738="ILF",7.5,IF(H5738="EIF",5.4)))))))</f>
        <v/>
      </c>
      <c r="M5738" s="112" t="str">
        <f t="shared" si="92"/>
        <v/>
      </c>
      <c r="N5738" s="113"/>
    </row>
    <row r="5739" spans="2:14">
      <c r="B5739" s="105"/>
      <c r="C5739" s="106"/>
      <c r="D5739" s="107"/>
      <c r="E5739" s="65"/>
      <c r="F5739" s="64"/>
      <c r="G5739" s="64"/>
      <c r="H5739" s="64"/>
      <c r="I5739" s="70"/>
      <c r="J5739" s="70"/>
      <c r="K5739" s="110" t="str">
        <f>IF(H5739="","",IF($C$29="간이법","",FPR(H5739,I5739,J5739)))</f>
        <v/>
      </c>
      <c r="L5739" s="111" t="str">
        <f>IF(H5739="","",IF($C$29="상세법",FPV(H5739,K5739),IF(H5739="EI",4,IF(H5739="EO",5.2,IF(H5739="EQ",3.9,IF(H5739="ILF",7.5,IF(H5739="EIF",5.4)))))))</f>
        <v/>
      </c>
      <c r="M5739" s="112" t="str">
        <f t="shared" si="92"/>
        <v/>
      </c>
      <c r="N5739" s="113"/>
    </row>
    <row r="5740" spans="2:14">
      <c r="B5740" s="105"/>
      <c r="C5740" s="106"/>
      <c r="D5740" s="107"/>
      <c r="E5740" s="65"/>
      <c r="F5740" s="64"/>
      <c r="G5740" s="64"/>
      <c r="H5740" s="64"/>
      <c r="I5740" s="70"/>
      <c r="J5740" s="70"/>
      <c r="K5740" s="110" t="str">
        <f>IF(H5740="","",IF($C$29="간이법","",FPR(H5740,I5740,J5740)))</f>
        <v/>
      </c>
      <c r="L5740" s="111" t="str">
        <f>IF(H5740="","",IF($C$29="상세법",FPV(H5740,K5740),IF(H5740="EI",4,IF(H5740="EO",5.2,IF(H5740="EQ",3.9,IF(H5740="ILF",7.5,IF(H5740="EIF",5.4)))))))</f>
        <v/>
      </c>
      <c r="M5740" s="112" t="str">
        <f t="shared" si="92"/>
        <v/>
      </c>
      <c r="N5740" s="113"/>
    </row>
    <row r="5741" spans="2:14">
      <c r="B5741" s="105"/>
      <c r="C5741" s="106"/>
      <c r="D5741" s="107"/>
      <c r="E5741" s="65"/>
      <c r="F5741" s="64"/>
      <c r="G5741" s="64"/>
      <c r="H5741" s="64"/>
      <c r="I5741" s="70"/>
      <c r="J5741" s="70"/>
      <c r="K5741" s="110" t="str">
        <f>IF(H5741="","",IF($C$29="간이법","",FPR(H5741,I5741,J5741)))</f>
        <v/>
      </c>
      <c r="L5741" s="111" t="str">
        <f>IF(H5741="","",IF($C$29="상세법",FPV(H5741,K5741),IF(H5741="EI",4,IF(H5741="EO",5.2,IF(H5741="EQ",3.9,IF(H5741="ILF",7.5,IF(H5741="EIF",5.4)))))))</f>
        <v/>
      </c>
      <c r="M5741" s="112" t="str">
        <f t="shared" si="92"/>
        <v/>
      </c>
      <c r="N5741" s="113"/>
    </row>
    <row r="5742" spans="2:14">
      <c r="B5742" s="105"/>
      <c r="C5742" s="106"/>
      <c r="D5742" s="107"/>
      <c r="E5742" s="65"/>
      <c r="F5742" s="64"/>
      <c r="G5742" s="64"/>
      <c r="H5742" s="64"/>
      <c r="I5742" s="70"/>
      <c r="J5742" s="70"/>
      <c r="K5742" s="110" t="str">
        <f>IF(H5742="","",IF($C$29="간이법","",FPR(H5742,I5742,J5742)))</f>
        <v/>
      </c>
      <c r="L5742" s="111" t="str">
        <f>IF(H5742="","",IF($C$29="상세법",FPV(H5742,K5742),IF(H5742="EI",4,IF(H5742="EO",5.2,IF(H5742="EQ",3.9,IF(H5742="ILF",7.5,IF(H5742="EIF",5.4)))))))</f>
        <v/>
      </c>
      <c r="M5742" s="112" t="str">
        <f t="shared" si="92"/>
        <v/>
      </c>
      <c r="N5742" s="113"/>
    </row>
    <row r="5743" spans="2:14">
      <c r="B5743" s="105"/>
      <c r="C5743" s="106"/>
      <c r="D5743" s="107"/>
      <c r="E5743" s="65"/>
      <c r="F5743" s="64"/>
      <c r="G5743" s="64"/>
      <c r="H5743" s="64"/>
      <c r="I5743" s="70"/>
      <c r="J5743" s="70"/>
      <c r="K5743" s="110" t="str">
        <f>IF(H5743="","",IF($C$29="간이법","",FPR(H5743,I5743,J5743)))</f>
        <v/>
      </c>
      <c r="L5743" s="111" t="str">
        <f>IF(H5743="","",IF($C$29="상세법",FPV(H5743,K5743),IF(H5743="EI",4,IF(H5743="EO",5.2,IF(H5743="EQ",3.9,IF(H5743="ILF",7.5,IF(H5743="EIF",5.4)))))))</f>
        <v/>
      </c>
      <c r="M5743" s="112" t="str">
        <f t="shared" si="92"/>
        <v/>
      </c>
      <c r="N5743" s="113"/>
    </row>
    <row r="5744" spans="2:14">
      <c r="B5744" s="105"/>
      <c r="C5744" s="106"/>
      <c r="D5744" s="107"/>
      <c r="E5744" s="65"/>
      <c r="F5744" s="64"/>
      <c r="G5744" s="64"/>
      <c r="H5744" s="64"/>
      <c r="I5744" s="70"/>
      <c r="J5744" s="70"/>
      <c r="K5744" s="110" t="str">
        <f>IF(H5744="","",IF($C$29="간이법","",FPR(H5744,I5744,J5744)))</f>
        <v/>
      </c>
      <c r="L5744" s="111" t="str">
        <f>IF(H5744="","",IF($C$29="상세법",FPV(H5744,K5744),IF(H5744="EI",4,IF(H5744="EO",5.2,IF(H5744="EQ",3.9,IF(H5744="ILF",7.5,IF(H5744="EIF",5.4)))))))</f>
        <v/>
      </c>
      <c r="M5744" s="112" t="str">
        <f t="shared" si="92"/>
        <v/>
      </c>
      <c r="N5744" s="113"/>
    </row>
    <row r="5745" spans="2:14">
      <c r="B5745" s="105"/>
      <c r="C5745" s="106"/>
      <c r="D5745" s="107"/>
      <c r="E5745" s="65"/>
      <c r="F5745" s="64"/>
      <c r="G5745" s="64"/>
      <c r="H5745" s="64"/>
      <c r="I5745" s="70"/>
      <c r="J5745" s="70"/>
      <c r="K5745" s="110" t="str">
        <f>IF(H5745="","",IF($C$29="간이법","",FPR(H5745,I5745,J5745)))</f>
        <v/>
      </c>
      <c r="L5745" s="111" t="str">
        <f>IF(H5745="","",IF($C$29="상세법",FPV(H5745,K5745),IF(H5745="EI",4,IF(H5745="EO",5.2,IF(H5745="EQ",3.9,IF(H5745="ILF",7.5,IF(H5745="EIF",5.4)))))))</f>
        <v/>
      </c>
      <c r="M5745" s="112" t="str">
        <f t="shared" si="92"/>
        <v/>
      </c>
      <c r="N5745" s="113"/>
    </row>
    <row r="5746" spans="2:14">
      <c r="B5746" s="105"/>
      <c r="C5746" s="106"/>
      <c r="D5746" s="107"/>
      <c r="E5746" s="65"/>
      <c r="F5746" s="64"/>
      <c r="G5746" s="64"/>
      <c r="H5746" s="64"/>
      <c r="I5746" s="70"/>
      <c r="J5746" s="70"/>
      <c r="K5746" s="110" t="str">
        <f>IF(H5746="","",IF($C$29="간이법","",FPR(H5746,I5746,J5746)))</f>
        <v/>
      </c>
      <c r="L5746" s="111" t="str">
        <f>IF(H5746="","",IF($C$29="상세법",FPV(H5746,K5746),IF(H5746="EI",4,IF(H5746="EO",5.2,IF(H5746="EQ",3.9,IF(H5746="ILF",7.5,IF(H5746="EIF",5.4)))))))</f>
        <v/>
      </c>
      <c r="M5746" s="112" t="str">
        <f t="shared" si="92"/>
        <v/>
      </c>
      <c r="N5746" s="113"/>
    </row>
    <row r="5747" spans="2:14">
      <c r="B5747" s="105"/>
      <c r="C5747" s="106"/>
      <c r="D5747" s="107"/>
      <c r="E5747" s="65"/>
      <c r="F5747" s="64"/>
      <c r="G5747" s="64"/>
      <c r="H5747" s="64"/>
      <c r="I5747" s="70"/>
      <c r="J5747" s="70"/>
      <c r="K5747" s="110" t="str">
        <f>IF(H5747="","",IF($C$29="간이법","",FPR(H5747,I5747,J5747)))</f>
        <v/>
      </c>
      <c r="L5747" s="111" t="str">
        <f>IF(H5747="","",IF($C$29="상세법",FPV(H5747,K5747),IF(H5747="EI",4,IF(H5747="EO",5.2,IF(H5747="EQ",3.9,IF(H5747="ILF",7.5,IF(H5747="EIF",5.4)))))))</f>
        <v/>
      </c>
      <c r="M5747" s="112" t="str">
        <f t="shared" si="92"/>
        <v/>
      </c>
      <c r="N5747" s="113"/>
    </row>
    <row r="5748" spans="2:14">
      <c r="B5748" s="105"/>
      <c r="C5748" s="106"/>
      <c r="D5748" s="107"/>
      <c r="E5748" s="65"/>
      <c r="F5748" s="64"/>
      <c r="G5748" s="64"/>
      <c r="H5748" s="64"/>
      <c r="I5748" s="70"/>
      <c r="J5748" s="70"/>
      <c r="K5748" s="110" t="str">
        <f>IF(H5748="","",IF($C$29="간이법","",FPR(H5748,I5748,J5748)))</f>
        <v/>
      </c>
      <c r="L5748" s="111" t="str">
        <f>IF(H5748="","",IF($C$29="상세법",FPV(H5748,K5748),IF(H5748="EI",4,IF(H5748="EO",5.2,IF(H5748="EQ",3.9,IF(H5748="ILF",7.5,IF(H5748="EIF",5.4)))))))</f>
        <v/>
      </c>
      <c r="M5748" s="112" t="str">
        <f t="shared" si="92"/>
        <v/>
      </c>
      <c r="N5748" s="113"/>
    </row>
    <row r="5749" spans="2:14">
      <c r="B5749" s="105"/>
      <c r="C5749" s="106"/>
      <c r="D5749" s="107"/>
      <c r="E5749" s="65"/>
      <c r="F5749" s="64"/>
      <c r="G5749" s="64"/>
      <c r="H5749" s="64"/>
      <c r="I5749" s="70"/>
      <c r="J5749" s="70"/>
      <c r="K5749" s="110" t="str">
        <f>IF(H5749="","",IF($C$29="간이법","",FPR(H5749,I5749,J5749)))</f>
        <v/>
      </c>
      <c r="L5749" s="111" t="str">
        <f>IF(H5749="","",IF($C$29="상세법",FPV(H5749,K5749),IF(H5749="EI",4,IF(H5749="EO",5.2,IF(H5749="EQ",3.9,IF(H5749="ILF",7.5,IF(H5749="EIF",5.4)))))))</f>
        <v/>
      </c>
      <c r="M5749" s="112" t="str">
        <f t="shared" si="92"/>
        <v/>
      </c>
      <c r="N5749" s="113"/>
    </row>
    <row r="5750" spans="2:14">
      <c r="B5750" s="105"/>
      <c r="C5750" s="106"/>
      <c r="D5750" s="107"/>
      <c r="E5750" s="65"/>
      <c r="F5750" s="64"/>
      <c r="G5750" s="64"/>
      <c r="H5750" s="64"/>
      <c r="I5750" s="70"/>
      <c r="J5750" s="70"/>
      <c r="K5750" s="110" t="str">
        <f>IF(H5750="","",IF($C$29="간이법","",FPR(H5750,I5750,J5750)))</f>
        <v/>
      </c>
      <c r="L5750" s="111" t="str">
        <f>IF(H5750="","",IF($C$29="상세법",FPV(H5750,K5750),IF(H5750="EI",4,IF(H5750="EO",5.2,IF(H5750="EQ",3.9,IF(H5750="ILF",7.5,IF(H5750="EIF",5.4)))))))</f>
        <v/>
      </c>
      <c r="M5750" s="112" t="str">
        <f t="shared" si="92"/>
        <v/>
      </c>
      <c r="N5750" s="113"/>
    </row>
    <row r="5751" spans="2:14">
      <c r="B5751" s="105"/>
      <c r="C5751" s="106"/>
      <c r="D5751" s="107"/>
      <c r="E5751" s="65"/>
      <c r="F5751" s="64"/>
      <c r="G5751" s="64"/>
      <c r="H5751" s="64"/>
      <c r="I5751" s="70"/>
      <c r="J5751" s="70"/>
      <c r="K5751" s="110" t="str">
        <f>IF(H5751="","",IF($C$29="간이법","",FPR(H5751,I5751,J5751)))</f>
        <v/>
      </c>
      <c r="L5751" s="111" t="str">
        <f>IF(H5751="","",IF($C$29="상세법",FPV(H5751,K5751),IF(H5751="EI",4,IF(H5751="EO",5.2,IF(H5751="EQ",3.9,IF(H5751="ILF",7.5,IF(H5751="EIF",5.4)))))))</f>
        <v/>
      </c>
      <c r="M5751" s="112" t="str">
        <f t="shared" si="92"/>
        <v/>
      </c>
      <c r="N5751" s="113"/>
    </row>
    <row r="5752" spans="2:14">
      <c r="B5752" s="105"/>
      <c r="C5752" s="106"/>
      <c r="D5752" s="107"/>
      <c r="E5752" s="65"/>
      <c r="F5752" s="64"/>
      <c r="G5752" s="64"/>
      <c r="H5752" s="64"/>
      <c r="I5752" s="70"/>
      <c r="J5752" s="70"/>
      <c r="K5752" s="110" t="str">
        <f>IF(H5752="","",IF($C$29="간이법","",FPR(H5752,I5752,J5752)))</f>
        <v/>
      </c>
      <c r="L5752" s="111" t="str">
        <f>IF(H5752="","",IF($C$29="상세법",FPV(H5752,K5752),IF(H5752="EI",4,IF(H5752="EO",5.2,IF(H5752="EQ",3.9,IF(H5752="ILF",7.5,IF(H5752="EIF",5.4)))))))</f>
        <v/>
      </c>
      <c r="M5752" s="112" t="str">
        <f t="shared" si="92"/>
        <v/>
      </c>
      <c r="N5752" s="113"/>
    </row>
    <row r="5753" spans="2:14">
      <c r="B5753" s="105"/>
      <c r="C5753" s="106"/>
      <c r="D5753" s="107"/>
      <c r="E5753" s="65"/>
      <c r="F5753" s="64"/>
      <c r="G5753" s="64"/>
      <c r="H5753" s="64"/>
      <c r="I5753" s="70"/>
      <c r="J5753" s="70"/>
      <c r="K5753" s="110" t="str">
        <f>IF(H5753="","",IF($C$29="간이법","",FPR(H5753,I5753,J5753)))</f>
        <v/>
      </c>
      <c r="L5753" s="111" t="str">
        <f>IF(H5753="","",IF($C$29="상세법",FPV(H5753,K5753),IF(H5753="EI",4,IF(H5753="EO",5.2,IF(H5753="EQ",3.9,IF(H5753="ILF",7.5,IF(H5753="EIF",5.4)))))))</f>
        <v/>
      </c>
      <c r="M5753" s="112" t="str">
        <f t="shared" ref="M5753:M5816" si="93">IF(L5753="","",L5753*IF(G5753="상",0.7,IF(G5753="중",0.5,IF(G5753="하",0.2,1))))</f>
        <v/>
      </c>
      <c r="N5753" s="113"/>
    </row>
    <row r="5754" spans="2:14">
      <c r="B5754" s="105"/>
      <c r="C5754" s="106"/>
      <c r="D5754" s="107"/>
      <c r="E5754" s="65"/>
      <c r="F5754" s="64"/>
      <c r="G5754" s="64"/>
      <c r="H5754" s="64"/>
      <c r="I5754" s="70"/>
      <c r="J5754" s="70"/>
      <c r="K5754" s="110" t="str">
        <f>IF(H5754="","",IF($C$29="간이법","",FPR(H5754,I5754,J5754)))</f>
        <v/>
      </c>
      <c r="L5754" s="111" t="str">
        <f>IF(H5754="","",IF($C$29="상세법",FPV(H5754,K5754),IF(H5754="EI",4,IF(H5754="EO",5.2,IF(H5754="EQ",3.9,IF(H5754="ILF",7.5,IF(H5754="EIF",5.4)))))))</f>
        <v/>
      </c>
      <c r="M5754" s="112" t="str">
        <f t="shared" si="93"/>
        <v/>
      </c>
      <c r="N5754" s="113"/>
    </row>
    <row r="5755" spans="2:14">
      <c r="B5755" s="105"/>
      <c r="C5755" s="106"/>
      <c r="D5755" s="107"/>
      <c r="E5755" s="65"/>
      <c r="F5755" s="64"/>
      <c r="G5755" s="64"/>
      <c r="H5755" s="64"/>
      <c r="I5755" s="70"/>
      <c r="J5755" s="70"/>
      <c r="K5755" s="110" t="str">
        <f>IF(H5755="","",IF($C$29="간이법","",FPR(H5755,I5755,J5755)))</f>
        <v/>
      </c>
      <c r="L5755" s="111" t="str">
        <f>IF(H5755="","",IF($C$29="상세법",FPV(H5755,K5755),IF(H5755="EI",4,IF(H5755="EO",5.2,IF(H5755="EQ",3.9,IF(H5755="ILF",7.5,IF(H5755="EIF",5.4)))))))</f>
        <v/>
      </c>
      <c r="M5755" s="112" t="str">
        <f t="shared" si="93"/>
        <v/>
      </c>
      <c r="N5755" s="113"/>
    </row>
    <row r="5756" spans="2:14">
      <c r="B5756" s="105"/>
      <c r="C5756" s="106"/>
      <c r="D5756" s="107"/>
      <c r="E5756" s="65"/>
      <c r="F5756" s="64"/>
      <c r="G5756" s="64"/>
      <c r="H5756" s="64"/>
      <c r="I5756" s="70"/>
      <c r="J5756" s="70"/>
      <c r="K5756" s="110" t="str">
        <f>IF(H5756="","",IF($C$29="간이법","",FPR(H5756,I5756,J5756)))</f>
        <v/>
      </c>
      <c r="L5756" s="111" t="str">
        <f>IF(H5756="","",IF($C$29="상세법",FPV(H5756,K5756),IF(H5756="EI",4,IF(H5756="EO",5.2,IF(H5756="EQ",3.9,IF(H5756="ILF",7.5,IF(H5756="EIF",5.4)))))))</f>
        <v/>
      </c>
      <c r="M5756" s="112" t="str">
        <f t="shared" si="93"/>
        <v/>
      </c>
      <c r="N5756" s="113"/>
    </row>
    <row r="5757" spans="2:14">
      <c r="B5757" s="105"/>
      <c r="C5757" s="106"/>
      <c r="D5757" s="107"/>
      <c r="E5757" s="65"/>
      <c r="F5757" s="64"/>
      <c r="G5757" s="64"/>
      <c r="H5757" s="64"/>
      <c r="I5757" s="70"/>
      <c r="J5757" s="70"/>
      <c r="K5757" s="110" t="str">
        <f>IF(H5757="","",IF($C$29="간이법","",FPR(H5757,I5757,J5757)))</f>
        <v/>
      </c>
      <c r="L5757" s="111" t="str">
        <f>IF(H5757="","",IF($C$29="상세법",FPV(H5757,K5757),IF(H5757="EI",4,IF(H5757="EO",5.2,IF(H5757="EQ",3.9,IF(H5757="ILF",7.5,IF(H5757="EIF",5.4)))))))</f>
        <v/>
      </c>
      <c r="M5757" s="112" t="str">
        <f t="shared" si="93"/>
        <v/>
      </c>
      <c r="N5757" s="113"/>
    </row>
    <row r="5758" spans="2:14">
      <c r="B5758" s="105"/>
      <c r="C5758" s="106"/>
      <c r="D5758" s="107"/>
      <c r="E5758" s="65"/>
      <c r="F5758" s="64"/>
      <c r="G5758" s="64"/>
      <c r="H5758" s="64"/>
      <c r="I5758" s="70"/>
      <c r="J5758" s="70"/>
      <c r="K5758" s="110" t="str">
        <f>IF(H5758="","",IF($C$29="간이법","",FPR(H5758,I5758,J5758)))</f>
        <v/>
      </c>
      <c r="L5758" s="111" t="str">
        <f>IF(H5758="","",IF($C$29="상세법",FPV(H5758,K5758),IF(H5758="EI",4,IF(H5758="EO",5.2,IF(H5758="EQ",3.9,IF(H5758="ILF",7.5,IF(H5758="EIF",5.4)))))))</f>
        <v/>
      </c>
      <c r="M5758" s="112" t="str">
        <f t="shared" si="93"/>
        <v/>
      </c>
      <c r="N5758" s="113"/>
    </row>
    <row r="5759" spans="2:14">
      <c r="B5759" s="105"/>
      <c r="C5759" s="106"/>
      <c r="D5759" s="107"/>
      <c r="E5759" s="65"/>
      <c r="F5759" s="64"/>
      <c r="G5759" s="64"/>
      <c r="H5759" s="64"/>
      <c r="I5759" s="70"/>
      <c r="J5759" s="70"/>
      <c r="K5759" s="110" t="str">
        <f>IF(H5759="","",IF($C$29="간이법","",FPR(H5759,I5759,J5759)))</f>
        <v/>
      </c>
      <c r="L5759" s="111" t="str">
        <f>IF(H5759="","",IF($C$29="상세법",FPV(H5759,K5759),IF(H5759="EI",4,IF(H5759="EO",5.2,IF(H5759="EQ",3.9,IF(H5759="ILF",7.5,IF(H5759="EIF",5.4)))))))</f>
        <v/>
      </c>
      <c r="M5759" s="112" t="str">
        <f t="shared" si="93"/>
        <v/>
      </c>
      <c r="N5759" s="113"/>
    </row>
    <row r="5760" spans="2:14">
      <c r="B5760" s="105"/>
      <c r="C5760" s="106"/>
      <c r="D5760" s="107"/>
      <c r="E5760" s="65"/>
      <c r="F5760" s="64"/>
      <c r="G5760" s="64"/>
      <c r="H5760" s="64"/>
      <c r="I5760" s="70"/>
      <c r="J5760" s="70"/>
      <c r="K5760" s="110" t="str">
        <f>IF(H5760="","",IF($C$29="간이법","",FPR(H5760,I5760,J5760)))</f>
        <v/>
      </c>
      <c r="L5760" s="111" t="str">
        <f>IF(H5760="","",IF($C$29="상세법",FPV(H5760,K5760),IF(H5760="EI",4,IF(H5760="EO",5.2,IF(H5760="EQ",3.9,IF(H5760="ILF",7.5,IF(H5760="EIF",5.4)))))))</f>
        <v/>
      </c>
      <c r="M5760" s="112" t="str">
        <f t="shared" si="93"/>
        <v/>
      </c>
      <c r="N5760" s="113"/>
    </row>
    <row r="5761" spans="2:14">
      <c r="B5761" s="105"/>
      <c r="C5761" s="106"/>
      <c r="D5761" s="107"/>
      <c r="E5761" s="65"/>
      <c r="F5761" s="64"/>
      <c r="G5761" s="64"/>
      <c r="H5761" s="64"/>
      <c r="I5761" s="70"/>
      <c r="J5761" s="70"/>
      <c r="K5761" s="110" t="str">
        <f>IF(H5761="","",IF($C$29="간이법","",FPR(H5761,I5761,J5761)))</f>
        <v/>
      </c>
      <c r="L5761" s="111" t="str">
        <f>IF(H5761="","",IF($C$29="상세법",FPV(H5761,K5761),IF(H5761="EI",4,IF(H5761="EO",5.2,IF(H5761="EQ",3.9,IF(H5761="ILF",7.5,IF(H5761="EIF",5.4)))))))</f>
        <v/>
      </c>
      <c r="M5761" s="112" t="str">
        <f t="shared" si="93"/>
        <v/>
      </c>
      <c r="N5761" s="113"/>
    </row>
    <row r="5762" spans="2:14">
      <c r="B5762" s="105"/>
      <c r="C5762" s="106"/>
      <c r="D5762" s="107"/>
      <c r="E5762" s="65"/>
      <c r="F5762" s="64"/>
      <c r="G5762" s="64"/>
      <c r="H5762" s="64"/>
      <c r="I5762" s="70"/>
      <c r="J5762" s="70"/>
      <c r="K5762" s="110" t="str">
        <f>IF(H5762="","",IF($C$29="간이법","",FPR(H5762,I5762,J5762)))</f>
        <v/>
      </c>
      <c r="L5762" s="111" t="str">
        <f>IF(H5762="","",IF($C$29="상세법",FPV(H5762,K5762),IF(H5762="EI",4,IF(H5762="EO",5.2,IF(H5762="EQ",3.9,IF(H5762="ILF",7.5,IF(H5762="EIF",5.4)))))))</f>
        <v/>
      </c>
      <c r="M5762" s="112" t="str">
        <f t="shared" si="93"/>
        <v/>
      </c>
      <c r="N5762" s="113"/>
    </row>
    <row r="5763" spans="2:14">
      <c r="B5763" s="105"/>
      <c r="C5763" s="106"/>
      <c r="D5763" s="107"/>
      <c r="E5763" s="65"/>
      <c r="F5763" s="64"/>
      <c r="G5763" s="64"/>
      <c r="H5763" s="64"/>
      <c r="I5763" s="70"/>
      <c r="J5763" s="70"/>
      <c r="K5763" s="110" t="str">
        <f>IF(H5763="","",IF($C$29="간이법","",FPR(H5763,I5763,J5763)))</f>
        <v/>
      </c>
      <c r="L5763" s="111" t="str">
        <f>IF(H5763="","",IF($C$29="상세법",FPV(H5763,K5763),IF(H5763="EI",4,IF(H5763="EO",5.2,IF(H5763="EQ",3.9,IF(H5763="ILF",7.5,IF(H5763="EIF",5.4)))))))</f>
        <v/>
      </c>
      <c r="M5763" s="112" t="str">
        <f t="shared" si="93"/>
        <v/>
      </c>
      <c r="N5763" s="113"/>
    </row>
    <row r="5764" spans="2:14">
      <c r="B5764" s="105"/>
      <c r="C5764" s="106"/>
      <c r="D5764" s="107"/>
      <c r="E5764" s="65"/>
      <c r="F5764" s="64"/>
      <c r="G5764" s="64"/>
      <c r="H5764" s="64"/>
      <c r="I5764" s="70"/>
      <c r="J5764" s="70"/>
      <c r="K5764" s="110" t="str">
        <f>IF(H5764="","",IF($C$29="간이법","",FPR(H5764,I5764,J5764)))</f>
        <v/>
      </c>
      <c r="L5764" s="111" t="str">
        <f>IF(H5764="","",IF($C$29="상세법",FPV(H5764,K5764),IF(H5764="EI",4,IF(H5764="EO",5.2,IF(H5764="EQ",3.9,IF(H5764="ILF",7.5,IF(H5764="EIF",5.4)))))))</f>
        <v/>
      </c>
      <c r="M5764" s="112" t="str">
        <f t="shared" si="93"/>
        <v/>
      </c>
      <c r="N5764" s="113"/>
    </row>
    <row r="5765" spans="2:14">
      <c r="B5765" s="105"/>
      <c r="C5765" s="106"/>
      <c r="D5765" s="107"/>
      <c r="E5765" s="65"/>
      <c r="F5765" s="64"/>
      <c r="G5765" s="64"/>
      <c r="H5765" s="64"/>
      <c r="I5765" s="70"/>
      <c r="J5765" s="70"/>
      <c r="K5765" s="110" t="str">
        <f>IF(H5765="","",IF($C$29="간이법","",FPR(H5765,I5765,J5765)))</f>
        <v/>
      </c>
      <c r="L5765" s="111" t="str">
        <f>IF(H5765="","",IF($C$29="상세법",FPV(H5765,K5765),IF(H5765="EI",4,IF(H5765="EO",5.2,IF(H5765="EQ",3.9,IF(H5765="ILF",7.5,IF(H5765="EIF",5.4)))))))</f>
        <v/>
      </c>
      <c r="M5765" s="112" t="str">
        <f t="shared" si="93"/>
        <v/>
      </c>
      <c r="N5765" s="113"/>
    </row>
    <row r="5766" spans="2:14">
      <c r="B5766" s="105"/>
      <c r="C5766" s="106"/>
      <c r="D5766" s="107"/>
      <c r="E5766" s="65"/>
      <c r="F5766" s="64"/>
      <c r="G5766" s="64"/>
      <c r="H5766" s="64"/>
      <c r="I5766" s="70"/>
      <c r="J5766" s="70"/>
      <c r="K5766" s="110" t="str">
        <f>IF(H5766="","",IF($C$29="간이법","",FPR(H5766,I5766,J5766)))</f>
        <v/>
      </c>
      <c r="L5766" s="111" t="str">
        <f>IF(H5766="","",IF($C$29="상세법",FPV(H5766,K5766),IF(H5766="EI",4,IF(H5766="EO",5.2,IF(H5766="EQ",3.9,IF(H5766="ILF",7.5,IF(H5766="EIF",5.4)))))))</f>
        <v/>
      </c>
      <c r="M5766" s="112" t="str">
        <f t="shared" si="93"/>
        <v/>
      </c>
      <c r="N5766" s="113"/>
    </row>
    <row r="5767" spans="2:14">
      <c r="B5767" s="105"/>
      <c r="C5767" s="106"/>
      <c r="D5767" s="107"/>
      <c r="E5767" s="65"/>
      <c r="F5767" s="64"/>
      <c r="G5767" s="64"/>
      <c r="H5767" s="64"/>
      <c r="I5767" s="70"/>
      <c r="J5767" s="70"/>
      <c r="K5767" s="110" t="str">
        <f>IF(H5767="","",IF($C$29="간이법","",FPR(H5767,I5767,J5767)))</f>
        <v/>
      </c>
      <c r="L5767" s="111" t="str">
        <f>IF(H5767="","",IF($C$29="상세법",FPV(H5767,K5767),IF(H5767="EI",4,IF(H5767="EO",5.2,IF(H5767="EQ",3.9,IF(H5767="ILF",7.5,IF(H5767="EIF",5.4)))))))</f>
        <v/>
      </c>
      <c r="M5767" s="112" t="str">
        <f t="shared" si="93"/>
        <v/>
      </c>
      <c r="N5767" s="113"/>
    </row>
    <row r="5768" spans="2:14">
      <c r="B5768" s="105"/>
      <c r="C5768" s="106"/>
      <c r="D5768" s="107"/>
      <c r="E5768" s="65"/>
      <c r="F5768" s="64"/>
      <c r="G5768" s="64"/>
      <c r="H5768" s="64"/>
      <c r="I5768" s="70"/>
      <c r="J5768" s="70"/>
      <c r="K5768" s="110" t="str">
        <f>IF(H5768="","",IF($C$29="간이법","",FPR(H5768,I5768,J5768)))</f>
        <v/>
      </c>
      <c r="L5768" s="111" t="str">
        <f>IF(H5768="","",IF($C$29="상세법",FPV(H5768,K5768),IF(H5768="EI",4,IF(H5768="EO",5.2,IF(H5768="EQ",3.9,IF(H5768="ILF",7.5,IF(H5768="EIF",5.4)))))))</f>
        <v/>
      </c>
      <c r="M5768" s="112" t="str">
        <f t="shared" si="93"/>
        <v/>
      </c>
      <c r="N5768" s="113"/>
    </row>
    <row r="5769" spans="2:14">
      <c r="B5769" s="105"/>
      <c r="C5769" s="106"/>
      <c r="D5769" s="107"/>
      <c r="E5769" s="65"/>
      <c r="F5769" s="64"/>
      <c r="G5769" s="64"/>
      <c r="H5769" s="64"/>
      <c r="I5769" s="70"/>
      <c r="J5769" s="70"/>
      <c r="K5769" s="110" t="str">
        <f>IF(H5769="","",IF($C$29="간이법","",FPR(H5769,I5769,J5769)))</f>
        <v/>
      </c>
      <c r="L5769" s="111" t="str">
        <f>IF(H5769="","",IF($C$29="상세법",FPV(H5769,K5769),IF(H5769="EI",4,IF(H5769="EO",5.2,IF(H5769="EQ",3.9,IF(H5769="ILF",7.5,IF(H5769="EIF",5.4)))))))</f>
        <v/>
      </c>
      <c r="M5769" s="112" t="str">
        <f t="shared" si="93"/>
        <v/>
      </c>
      <c r="N5769" s="113"/>
    </row>
    <row r="5770" spans="2:14">
      <c r="B5770" s="105"/>
      <c r="C5770" s="106"/>
      <c r="D5770" s="107"/>
      <c r="E5770" s="65"/>
      <c r="F5770" s="64"/>
      <c r="G5770" s="64"/>
      <c r="H5770" s="64"/>
      <c r="I5770" s="70"/>
      <c r="J5770" s="70"/>
      <c r="K5770" s="110" t="str">
        <f>IF(H5770="","",IF($C$29="간이법","",FPR(H5770,I5770,J5770)))</f>
        <v/>
      </c>
      <c r="L5770" s="111" t="str">
        <f>IF(H5770="","",IF($C$29="상세법",FPV(H5770,K5770),IF(H5770="EI",4,IF(H5770="EO",5.2,IF(H5770="EQ",3.9,IF(H5770="ILF",7.5,IF(H5770="EIF",5.4)))))))</f>
        <v/>
      </c>
      <c r="M5770" s="112" t="str">
        <f t="shared" si="93"/>
        <v/>
      </c>
      <c r="N5770" s="113"/>
    </row>
    <row r="5771" spans="2:14">
      <c r="B5771" s="105"/>
      <c r="C5771" s="106"/>
      <c r="D5771" s="107"/>
      <c r="E5771" s="65"/>
      <c r="F5771" s="64"/>
      <c r="G5771" s="64"/>
      <c r="H5771" s="64"/>
      <c r="I5771" s="70"/>
      <c r="J5771" s="70"/>
      <c r="K5771" s="110" t="str">
        <f>IF(H5771="","",IF($C$29="간이법","",FPR(H5771,I5771,J5771)))</f>
        <v/>
      </c>
      <c r="L5771" s="111" t="str">
        <f>IF(H5771="","",IF($C$29="상세법",FPV(H5771,K5771),IF(H5771="EI",4,IF(H5771="EO",5.2,IF(H5771="EQ",3.9,IF(H5771="ILF",7.5,IF(H5771="EIF",5.4)))))))</f>
        <v/>
      </c>
      <c r="M5771" s="112" t="str">
        <f t="shared" si="93"/>
        <v/>
      </c>
      <c r="N5771" s="113"/>
    </row>
    <row r="5772" spans="2:14">
      <c r="B5772" s="105"/>
      <c r="C5772" s="106"/>
      <c r="D5772" s="107"/>
      <c r="E5772" s="65"/>
      <c r="F5772" s="64"/>
      <c r="G5772" s="64"/>
      <c r="H5772" s="64"/>
      <c r="I5772" s="70"/>
      <c r="J5772" s="70"/>
      <c r="K5772" s="110" t="str">
        <f>IF(H5772="","",IF($C$29="간이법","",FPR(H5772,I5772,J5772)))</f>
        <v/>
      </c>
      <c r="L5772" s="111" t="str">
        <f>IF(H5772="","",IF($C$29="상세법",FPV(H5772,K5772),IF(H5772="EI",4,IF(H5772="EO",5.2,IF(H5772="EQ",3.9,IF(H5772="ILF",7.5,IF(H5772="EIF",5.4)))))))</f>
        <v/>
      </c>
      <c r="M5772" s="112" t="str">
        <f t="shared" si="93"/>
        <v/>
      </c>
      <c r="N5772" s="113"/>
    </row>
    <row r="5773" spans="2:14">
      <c r="B5773" s="105"/>
      <c r="C5773" s="106"/>
      <c r="D5773" s="107"/>
      <c r="E5773" s="65"/>
      <c r="F5773" s="64"/>
      <c r="G5773" s="64"/>
      <c r="H5773" s="64"/>
      <c r="I5773" s="70"/>
      <c r="J5773" s="70"/>
      <c r="K5773" s="110" t="str">
        <f>IF(H5773="","",IF($C$29="간이법","",FPR(H5773,I5773,J5773)))</f>
        <v/>
      </c>
      <c r="L5773" s="111" t="str">
        <f>IF(H5773="","",IF($C$29="상세법",FPV(H5773,K5773),IF(H5773="EI",4,IF(H5773="EO",5.2,IF(H5773="EQ",3.9,IF(H5773="ILF",7.5,IF(H5773="EIF",5.4)))))))</f>
        <v/>
      </c>
      <c r="M5773" s="112" t="str">
        <f t="shared" si="93"/>
        <v/>
      </c>
      <c r="N5773" s="113"/>
    </row>
    <row r="5774" spans="2:14">
      <c r="B5774" s="105"/>
      <c r="C5774" s="106"/>
      <c r="D5774" s="107"/>
      <c r="E5774" s="65"/>
      <c r="F5774" s="64"/>
      <c r="G5774" s="64"/>
      <c r="H5774" s="64"/>
      <c r="I5774" s="70"/>
      <c r="J5774" s="70"/>
      <c r="K5774" s="110" t="str">
        <f>IF(H5774="","",IF($C$29="간이법","",FPR(H5774,I5774,J5774)))</f>
        <v/>
      </c>
      <c r="L5774" s="111" t="str">
        <f>IF(H5774="","",IF($C$29="상세법",FPV(H5774,K5774),IF(H5774="EI",4,IF(H5774="EO",5.2,IF(H5774="EQ",3.9,IF(H5774="ILF",7.5,IF(H5774="EIF",5.4)))))))</f>
        <v/>
      </c>
      <c r="M5774" s="112" t="str">
        <f t="shared" si="93"/>
        <v/>
      </c>
      <c r="N5774" s="113"/>
    </row>
    <row r="5775" spans="2:14">
      <c r="B5775" s="105"/>
      <c r="C5775" s="106"/>
      <c r="D5775" s="107"/>
      <c r="E5775" s="65"/>
      <c r="F5775" s="64"/>
      <c r="G5775" s="64"/>
      <c r="H5775" s="64"/>
      <c r="I5775" s="70"/>
      <c r="J5775" s="70"/>
      <c r="K5775" s="110" t="str">
        <f>IF(H5775="","",IF($C$29="간이법","",FPR(H5775,I5775,J5775)))</f>
        <v/>
      </c>
      <c r="L5775" s="111" t="str">
        <f>IF(H5775="","",IF($C$29="상세법",FPV(H5775,K5775),IF(H5775="EI",4,IF(H5775="EO",5.2,IF(H5775="EQ",3.9,IF(H5775="ILF",7.5,IF(H5775="EIF",5.4)))))))</f>
        <v/>
      </c>
      <c r="M5775" s="112" t="str">
        <f t="shared" si="93"/>
        <v/>
      </c>
      <c r="N5775" s="113"/>
    </row>
    <row r="5776" spans="2:14">
      <c r="B5776" s="105"/>
      <c r="C5776" s="106"/>
      <c r="D5776" s="107"/>
      <c r="E5776" s="65"/>
      <c r="F5776" s="64"/>
      <c r="G5776" s="64"/>
      <c r="H5776" s="64"/>
      <c r="I5776" s="70"/>
      <c r="J5776" s="70"/>
      <c r="K5776" s="110" t="str">
        <f>IF(H5776="","",IF($C$29="간이법","",FPR(H5776,I5776,J5776)))</f>
        <v/>
      </c>
      <c r="L5776" s="111" t="str">
        <f>IF(H5776="","",IF($C$29="상세법",FPV(H5776,K5776),IF(H5776="EI",4,IF(H5776="EO",5.2,IF(H5776="EQ",3.9,IF(H5776="ILF",7.5,IF(H5776="EIF",5.4)))))))</f>
        <v/>
      </c>
      <c r="M5776" s="112" t="str">
        <f t="shared" si="93"/>
        <v/>
      </c>
      <c r="N5776" s="113"/>
    </row>
    <row r="5777" spans="2:14">
      <c r="B5777" s="105"/>
      <c r="C5777" s="106"/>
      <c r="D5777" s="107"/>
      <c r="E5777" s="65"/>
      <c r="F5777" s="64"/>
      <c r="G5777" s="64"/>
      <c r="H5777" s="64"/>
      <c r="I5777" s="70"/>
      <c r="J5777" s="70"/>
      <c r="K5777" s="110" t="str">
        <f>IF(H5777="","",IF($C$29="간이법","",FPR(H5777,I5777,J5777)))</f>
        <v/>
      </c>
      <c r="L5777" s="111" t="str">
        <f>IF(H5777="","",IF($C$29="상세법",FPV(H5777,K5777),IF(H5777="EI",4,IF(H5777="EO",5.2,IF(H5777="EQ",3.9,IF(H5777="ILF",7.5,IF(H5777="EIF",5.4)))))))</f>
        <v/>
      </c>
      <c r="M5777" s="112" t="str">
        <f t="shared" si="93"/>
        <v/>
      </c>
      <c r="N5777" s="113"/>
    </row>
    <row r="5778" spans="2:14">
      <c r="B5778" s="105"/>
      <c r="C5778" s="106"/>
      <c r="D5778" s="107"/>
      <c r="E5778" s="65"/>
      <c r="F5778" s="64"/>
      <c r="G5778" s="64"/>
      <c r="H5778" s="64"/>
      <c r="I5778" s="70"/>
      <c r="J5778" s="70"/>
      <c r="K5778" s="110" t="str">
        <f>IF(H5778="","",IF($C$29="간이법","",FPR(H5778,I5778,J5778)))</f>
        <v/>
      </c>
      <c r="L5778" s="111" t="str">
        <f>IF(H5778="","",IF($C$29="상세법",FPV(H5778,K5778),IF(H5778="EI",4,IF(H5778="EO",5.2,IF(H5778="EQ",3.9,IF(H5778="ILF",7.5,IF(H5778="EIF",5.4)))))))</f>
        <v/>
      </c>
      <c r="M5778" s="112" t="str">
        <f t="shared" si="93"/>
        <v/>
      </c>
      <c r="N5778" s="113"/>
    </row>
    <row r="5779" spans="2:14">
      <c r="B5779" s="105"/>
      <c r="C5779" s="106"/>
      <c r="D5779" s="107"/>
      <c r="E5779" s="65"/>
      <c r="F5779" s="64"/>
      <c r="G5779" s="64"/>
      <c r="H5779" s="64"/>
      <c r="I5779" s="70"/>
      <c r="J5779" s="70"/>
      <c r="K5779" s="110" t="str">
        <f>IF(H5779="","",IF($C$29="간이법","",FPR(H5779,I5779,J5779)))</f>
        <v/>
      </c>
      <c r="L5779" s="111" t="str">
        <f>IF(H5779="","",IF($C$29="상세법",FPV(H5779,K5779),IF(H5779="EI",4,IF(H5779="EO",5.2,IF(H5779="EQ",3.9,IF(H5779="ILF",7.5,IF(H5779="EIF",5.4)))))))</f>
        <v/>
      </c>
      <c r="M5779" s="112" t="str">
        <f t="shared" si="93"/>
        <v/>
      </c>
      <c r="N5779" s="113"/>
    </row>
    <row r="5780" spans="2:14">
      <c r="B5780" s="105"/>
      <c r="C5780" s="106"/>
      <c r="D5780" s="107"/>
      <c r="E5780" s="65"/>
      <c r="F5780" s="64"/>
      <c r="G5780" s="64"/>
      <c r="H5780" s="64"/>
      <c r="I5780" s="70"/>
      <c r="J5780" s="70"/>
      <c r="K5780" s="110" t="str">
        <f>IF(H5780="","",IF($C$29="간이법","",FPR(H5780,I5780,J5780)))</f>
        <v/>
      </c>
      <c r="L5780" s="111" t="str">
        <f>IF(H5780="","",IF($C$29="상세법",FPV(H5780,K5780),IF(H5780="EI",4,IF(H5780="EO",5.2,IF(H5780="EQ",3.9,IF(H5780="ILF",7.5,IF(H5780="EIF",5.4)))))))</f>
        <v/>
      </c>
      <c r="M5780" s="112" t="str">
        <f t="shared" si="93"/>
        <v/>
      </c>
      <c r="N5780" s="113"/>
    </row>
    <row r="5781" spans="2:14">
      <c r="B5781" s="105"/>
      <c r="C5781" s="106"/>
      <c r="D5781" s="107"/>
      <c r="E5781" s="65"/>
      <c r="F5781" s="64"/>
      <c r="G5781" s="64"/>
      <c r="H5781" s="64"/>
      <c r="I5781" s="70"/>
      <c r="J5781" s="70"/>
      <c r="K5781" s="110" t="str">
        <f>IF(H5781="","",IF($C$29="간이법","",FPR(H5781,I5781,J5781)))</f>
        <v/>
      </c>
      <c r="L5781" s="111" t="str">
        <f>IF(H5781="","",IF($C$29="상세법",FPV(H5781,K5781),IF(H5781="EI",4,IF(H5781="EO",5.2,IF(H5781="EQ",3.9,IF(H5781="ILF",7.5,IF(H5781="EIF",5.4)))))))</f>
        <v/>
      </c>
      <c r="M5781" s="112" t="str">
        <f t="shared" si="93"/>
        <v/>
      </c>
      <c r="N5781" s="113"/>
    </row>
    <row r="5782" spans="2:14">
      <c r="B5782" s="105"/>
      <c r="C5782" s="106"/>
      <c r="D5782" s="107"/>
      <c r="E5782" s="65"/>
      <c r="F5782" s="64"/>
      <c r="G5782" s="64"/>
      <c r="H5782" s="64"/>
      <c r="I5782" s="70"/>
      <c r="J5782" s="70"/>
      <c r="K5782" s="110" t="str">
        <f>IF(H5782="","",IF($C$29="간이법","",FPR(H5782,I5782,J5782)))</f>
        <v/>
      </c>
      <c r="L5782" s="111" t="str">
        <f>IF(H5782="","",IF($C$29="상세법",FPV(H5782,K5782),IF(H5782="EI",4,IF(H5782="EO",5.2,IF(H5782="EQ",3.9,IF(H5782="ILF",7.5,IF(H5782="EIF",5.4)))))))</f>
        <v/>
      </c>
      <c r="M5782" s="112" t="str">
        <f t="shared" si="93"/>
        <v/>
      </c>
      <c r="N5782" s="113"/>
    </row>
    <row r="5783" spans="2:14">
      <c r="B5783" s="105"/>
      <c r="C5783" s="106"/>
      <c r="D5783" s="107"/>
      <c r="E5783" s="65"/>
      <c r="F5783" s="64"/>
      <c r="G5783" s="64"/>
      <c r="H5783" s="64"/>
      <c r="I5783" s="70"/>
      <c r="J5783" s="70"/>
      <c r="K5783" s="110" t="str">
        <f>IF(H5783="","",IF($C$29="간이법","",FPR(H5783,I5783,J5783)))</f>
        <v/>
      </c>
      <c r="L5783" s="111" t="str">
        <f>IF(H5783="","",IF($C$29="상세법",FPV(H5783,K5783),IF(H5783="EI",4,IF(H5783="EO",5.2,IF(H5783="EQ",3.9,IF(H5783="ILF",7.5,IF(H5783="EIF",5.4)))))))</f>
        <v/>
      </c>
      <c r="M5783" s="112" t="str">
        <f t="shared" si="93"/>
        <v/>
      </c>
      <c r="N5783" s="113"/>
    </row>
    <row r="5784" spans="2:14">
      <c r="B5784" s="105"/>
      <c r="C5784" s="106"/>
      <c r="D5784" s="107"/>
      <c r="E5784" s="65"/>
      <c r="F5784" s="64"/>
      <c r="G5784" s="64"/>
      <c r="H5784" s="64"/>
      <c r="I5784" s="70"/>
      <c r="J5784" s="70"/>
      <c r="K5784" s="110" t="str">
        <f>IF(H5784="","",IF($C$29="간이법","",FPR(H5784,I5784,J5784)))</f>
        <v/>
      </c>
      <c r="L5784" s="111" t="str">
        <f>IF(H5784="","",IF($C$29="상세법",FPV(H5784,K5784),IF(H5784="EI",4,IF(H5784="EO",5.2,IF(H5784="EQ",3.9,IF(H5784="ILF",7.5,IF(H5784="EIF",5.4)))))))</f>
        <v/>
      </c>
      <c r="M5784" s="112" t="str">
        <f t="shared" si="93"/>
        <v/>
      </c>
      <c r="N5784" s="113"/>
    </row>
    <row r="5785" spans="2:14">
      <c r="B5785" s="105"/>
      <c r="C5785" s="106"/>
      <c r="D5785" s="107"/>
      <c r="E5785" s="65"/>
      <c r="F5785" s="64"/>
      <c r="G5785" s="64"/>
      <c r="H5785" s="64"/>
      <c r="I5785" s="70"/>
      <c r="J5785" s="70"/>
      <c r="K5785" s="110" t="str">
        <f>IF(H5785="","",IF($C$29="간이법","",FPR(H5785,I5785,J5785)))</f>
        <v/>
      </c>
      <c r="L5785" s="111" t="str">
        <f>IF(H5785="","",IF($C$29="상세법",FPV(H5785,K5785),IF(H5785="EI",4,IF(H5785="EO",5.2,IF(H5785="EQ",3.9,IF(H5785="ILF",7.5,IF(H5785="EIF",5.4)))))))</f>
        <v/>
      </c>
      <c r="M5785" s="112" t="str">
        <f t="shared" si="93"/>
        <v/>
      </c>
      <c r="N5785" s="113"/>
    </row>
    <row r="5786" spans="2:14">
      <c r="B5786" s="105"/>
      <c r="C5786" s="106"/>
      <c r="D5786" s="107"/>
      <c r="E5786" s="65"/>
      <c r="F5786" s="64"/>
      <c r="G5786" s="64"/>
      <c r="H5786" s="64"/>
      <c r="I5786" s="70"/>
      <c r="J5786" s="70"/>
      <c r="K5786" s="110" t="str">
        <f>IF(H5786="","",IF($C$29="간이법","",FPR(H5786,I5786,J5786)))</f>
        <v/>
      </c>
      <c r="L5786" s="111" t="str">
        <f>IF(H5786="","",IF($C$29="상세법",FPV(H5786,K5786),IF(H5786="EI",4,IF(H5786="EO",5.2,IF(H5786="EQ",3.9,IF(H5786="ILF",7.5,IF(H5786="EIF",5.4)))))))</f>
        <v/>
      </c>
      <c r="M5786" s="112" t="str">
        <f t="shared" si="93"/>
        <v/>
      </c>
      <c r="N5786" s="113"/>
    </row>
    <row r="5787" spans="2:14">
      <c r="B5787" s="105"/>
      <c r="C5787" s="106"/>
      <c r="D5787" s="107"/>
      <c r="E5787" s="65"/>
      <c r="F5787" s="64"/>
      <c r="G5787" s="64"/>
      <c r="H5787" s="64"/>
      <c r="I5787" s="70"/>
      <c r="J5787" s="70"/>
      <c r="K5787" s="110" t="str">
        <f>IF(H5787="","",IF($C$29="간이법","",FPR(H5787,I5787,J5787)))</f>
        <v/>
      </c>
      <c r="L5787" s="111" t="str">
        <f>IF(H5787="","",IF($C$29="상세법",FPV(H5787,K5787),IF(H5787="EI",4,IF(H5787="EO",5.2,IF(H5787="EQ",3.9,IF(H5787="ILF",7.5,IF(H5787="EIF",5.4)))))))</f>
        <v/>
      </c>
      <c r="M5787" s="112" t="str">
        <f t="shared" si="93"/>
        <v/>
      </c>
      <c r="N5787" s="113"/>
    </row>
    <row r="5788" spans="2:14">
      <c r="B5788" s="105"/>
      <c r="C5788" s="106"/>
      <c r="D5788" s="107"/>
      <c r="E5788" s="65"/>
      <c r="F5788" s="64"/>
      <c r="G5788" s="64"/>
      <c r="H5788" s="64"/>
      <c r="I5788" s="70"/>
      <c r="J5788" s="70"/>
      <c r="K5788" s="110" t="str">
        <f>IF(H5788="","",IF($C$29="간이법","",FPR(H5788,I5788,J5788)))</f>
        <v/>
      </c>
      <c r="L5788" s="111" t="str">
        <f>IF(H5788="","",IF($C$29="상세법",FPV(H5788,K5788),IF(H5788="EI",4,IF(H5788="EO",5.2,IF(H5788="EQ",3.9,IF(H5788="ILF",7.5,IF(H5788="EIF",5.4)))))))</f>
        <v/>
      </c>
      <c r="M5788" s="112" t="str">
        <f t="shared" si="93"/>
        <v/>
      </c>
      <c r="N5788" s="113"/>
    </row>
    <row r="5789" spans="2:14">
      <c r="B5789" s="105"/>
      <c r="C5789" s="106"/>
      <c r="D5789" s="107"/>
      <c r="E5789" s="65"/>
      <c r="F5789" s="64"/>
      <c r="G5789" s="64"/>
      <c r="H5789" s="64"/>
      <c r="I5789" s="70"/>
      <c r="J5789" s="70"/>
      <c r="K5789" s="110" t="str">
        <f>IF(H5789="","",IF($C$29="간이법","",FPR(H5789,I5789,J5789)))</f>
        <v/>
      </c>
      <c r="L5789" s="111" t="str">
        <f>IF(H5789="","",IF($C$29="상세법",FPV(H5789,K5789),IF(H5789="EI",4,IF(H5789="EO",5.2,IF(H5789="EQ",3.9,IF(H5789="ILF",7.5,IF(H5789="EIF",5.4)))))))</f>
        <v/>
      </c>
      <c r="M5789" s="112" t="str">
        <f t="shared" si="93"/>
        <v/>
      </c>
      <c r="N5789" s="113"/>
    </row>
    <row r="5790" spans="2:14">
      <c r="B5790" s="105"/>
      <c r="C5790" s="106"/>
      <c r="D5790" s="107"/>
      <c r="E5790" s="65"/>
      <c r="F5790" s="64"/>
      <c r="G5790" s="64"/>
      <c r="H5790" s="64"/>
      <c r="I5790" s="70"/>
      <c r="J5790" s="70"/>
      <c r="K5790" s="110" t="str">
        <f>IF(H5790="","",IF($C$29="간이법","",FPR(H5790,I5790,J5790)))</f>
        <v/>
      </c>
      <c r="L5790" s="111" t="str">
        <f>IF(H5790="","",IF($C$29="상세법",FPV(H5790,K5790),IF(H5790="EI",4,IF(H5790="EO",5.2,IF(H5790="EQ",3.9,IF(H5790="ILF",7.5,IF(H5790="EIF",5.4)))))))</f>
        <v/>
      </c>
      <c r="M5790" s="112" t="str">
        <f t="shared" si="93"/>
        <v/>
      </c>
      <c r="N5790" s="113"/>
    </row>
    <row r="5791" spans="2:14">
      <c r="B5791" s="105"/>
      <c r="C5791" s="106"/>
      <c r="D5791" s="107"/>
      <c r="E5791" s="65"/>
      <c r="F5791" s="64"/>
      <c r="G5791" s="64"/>
      <c r="H5791" s="64"/>
      <c r="I5791" s="70"/>
      <c r="J5791" s="70"/>
      <c r="K5791" s="110" t="str">
        <f>IF(H5791="","",IF($C$29="간이법","",FPR(H5791,I5791,J5791)))</f>
        <v/>
      </c>
      <c r="L5791" s="111" t="str">
        <f>IF(H5791="","",IF($C$29="상세법",FPV(H5791,K5791),IF(H5791="EI",4,IF(H5791="EO",5.2,IF(H5791="EQ",3.9,IF(H5791="ILF",7.5,IF(H5791="EIF",5.4)))))))</f>
        <v/>
      </c>
      <c r="M5791" s="112" t="str">
        <f t="shared" si="93"/>
        <v/>
      </c>
      <c r="N5791" s="113"/>
    </row>
    <row r="5792" spans="2:14">
      <c r="B5792" s="105"/>
      <c r="C5792" s="106"/>
      <c r="D5792" s="107"/>
      <c r="E5792" s="65"/>
      <c r="F5792" s="64"/>
      <c r="G5792" s="64"/>
      <c r="H5792" s="64"/>
      <c r="I5792" s="70"/>
      <c r="J5792" s="70"/>
      <c r="K5792" s="110" t="str">
        <f>IF(H5792="","",IF($C$29="간이법","",FPR(H5792,I5792,J5792)))</f>
        <v/>
      </c>
      <c r="L5792" s="111" t="str">
        <f>IF(H5792="","",IF($C$29="상세법",FPV(H5792,K5792),IF(H5792="EI",4,IF(H5792="EO",5.2,IF(H5792="EQ",3.9,IF(H5792="ILF",7.5,IF(H5792="EIF",5.4)))))))</f>
        <v/>
      </c>
      <c r="M5792" s="112" t="str">
        <f t="shared" si="93"/>
        <v/>
      </c>
      <c r="N5792" s="113"/>
    </row>
    <row r="5793" spans="2:14">
      <c r="B5793" s="105"/>
      <c r="C5793" s="106"/>
      <c r="D5793" s="107"/>
      <c r="E5793" s="65"/>
      <c r="F5793" s="64"/>
      <c r="G5793" s="64"/>
      <c r="H5793" s="64"/>
      <c r="I5793" s="70"/>
      <c r="J5793" s="70"/>
      <c r="K5793" s="110" t="str">
        <f>IF(H5793="","",IF($C$29="간이법","",FPR(H5793,I5793,J5793)))</f>
        <v/>
      </c>
      <c r="L5793" s="111" t="str">
        <f>IF(H5793="","",IF($C$29="상세법",FPV(H5793,K5793),IF(H5793="EI",4,IF(H5793="EO",5.2,IF(H5793="EQ",3.9,IF(H5793="ILF",7.5,IF(H5793="EIF",5.4)))))))</f>
        <v/>
      </c>
      <c r="M5793" s="112" t="str">
        <f t="shared" si="93"/>
        <v/>
      </c>
      <c r="N5793" s="113"/>
    </row>
    <row r="5794" spans="2:14">
      <c r="B5794" s="105"/>
      <c r="C5794" s="106"/>
      <c r="D5794" s="107"/>
      <c r="E5794" s="65"/>
      <c r="F5794" s="64"/>
      <c r="G5794" s="64"/>
      <c r="H5794" s="64"/>
      <c r="I5794" s="70"/>
      <c r="J5794" s="70"/>
      <c r="K5794" s="110" t="str">
        <f>IF(H5794="","",IF($C$29="간이법","",FPR(H5794,I5794,J5794)))</f>
        <v/>
      </c>
      <c r="L5794" s="111" t="str">
        <f>IF(H5794="","",IF($C$29="상세법",FPV(H5794,K5794),IF(H5794="EI",4,IF(H5794="EO",5.2,IF(H5794="EQ",3.9,IF(H5794="ILF",7.5,IF(H5794="EIF",5.4)))))))</f>
        <v/>
      </c>
      <c r="M5794" s="112" t="str">
        <f t="shared" si="93"/>
        <v/>
      </c>
      <c r="N5794" s="113"/>
    </row>
    <row r="5795" spans="2:14">
      <c r="B5795" s="105"/>
      <c r="C5795" s="106"/>
      <c r="D5795" s="107"/>
      <c r="E5795" s="65"/>
      <c r="F5795" s="64"/>
      <c r="G5795" s="64"/>
      <c r="H5795" s="64"/>
      <c r="I5795" s="70"/>
      <c r="J5795" s="70"/>
      <c r="K5795" s="110" t="str">
        <f>IF(H5795="","",IF($C$29="간이법","",FPR(H5795,I5795,J5795)))</f>
        <v/>
      </c>
      <c r="L5795" s="111" t="str">
        <f>IF(H5795="","",IF($C$29="상세법",FPV(H5795,K5795),IF(H5795="EI",4,IF(H5795="EO",5.2,IF(H5795="EQ",3.9,IF(H5795="ILF",7.5,IF(H5795="EIF",5.4)))))))</f>
        <v/>
      </c>
      <c r="M5795" s="112" t="str">
        <f t="shared" si="93"/>
        <v/>
      </c>
      <c r="N5795" s="113"/>
    </row>
    <row r="5796" spans="2:14">
      <c r="B5796" s="105"/>
      <c r="C5796" s="106"/>
      <c r="D5796" s="107"/>
      <c r="E5796" s="65"/>
      <c r="F5796" s="64"/>
      <c r="G5796" s="64"/>
      <c r="H5796" s="64"/>
      <c r="I5796" s="70"/>
      <c r="J5796" s="70"/>
      <c r="K5796" s="110" t="str">
        <f>IF(H5796="","",IF($C$29="간이법","",FPR(H5796,I5796,J5796)))</f>
        <v/>
      </c>
      <c r="L5796" s="111" t="str">
        <f>IF(H5796="","",IF($C$29="상세법",FPV(H5796,K5796),IF(H5796="EI",4,IF(H5796="EO",5.2,IF(H5796="EQ",3.9,IF(H5796="ILF",7.5,IF(H5796="EIF",5.4)))))))</f>
        <v/>
      </c>
      <c r="M5796" s="112" t="str">
        <f t="shared" si="93"/>
        <v/>
      </c>
      <c r="N5796" s="113"/>
    </row>
    <row r="5797" spans="2:14">
      <c r="B5797" s="105"/>
      <c r="C5797" s="106"/>
      <c r="D5797" s="107"/>
      <c r="E5797" s="65"/>
      <c r="F5797" s="64"/>
      <c r="G5797" s="64"/>
      <c r="H5797" s="64"/>
      <c r="I5797" s="70"/>
      <c r="J5797" s="70"/>
      <c r="K5797" s="110" t="str">
        <f>IF(H5797="","",IF($C$29="간이법","",FPR(H5797,I5797,J5797)))</f>
        <v/>
      </c>
      <c r="L5797" s="111" t="str">
        <f>IF(H5797="","",IF($C$29="상세법",FPV(H5797,K5797),IF(H5797="EI",4,IF(H5797="EO",5.2,IF(H5797="EQ",3.9,IF(H5797="ILF",7.5,IF(H5797="EIF",5.4)))))))</f>
        <v/>
      </c>
      <c r="M5797" s="112" t="str">
        <f t="shared" si="93"/>
        <v/>
      </c>
      <c r="N5797" s="113"/>
    </row>
    <row r="5798" spans="2:14">
      <c r="B5798" s="105"/>
      <c r="C5798" s="106"/>
      <c r="D5798" s="107"/>
      <c r="E5798" s="65"/>
      <c r="F5798" s="64"/>
      <c r="G5798" s="64"/>
      <c r="H5798" s="64"/>
      <c r="I5798" s="70"/>
      <c r="J5798" s="70"/>
      <c r="K5798" s="110" t="str">
        <f>IF(H5798="","",IF($C$29="간이법","",FPR(H5798,I5798,J5798)))</f>
        <v/>
      </c>
      <c r="L5798" s="111" t="str">
        <f>IF(H5798="","",IF($C$29="상세법",FPV(H5798,K5798),IF(H5798="EI",4,IF(H5798="EO",5.2,IF(H5798="EQ",3.9,IF(H5798="ILF",7.5,IF(H5798="EIF",5.4)))))))</f>
        <v/>
      </c>
      <c r="M5798" s="112" t="str">
        <f t="shared" si="93"/>
        <v/>
      </c>
      <c r="N5798" s="113"/>
    </row>
    <row r="5799" spans="2:14">
      <c r="B5799" s="105"/>
      <c r="C5799" s="106"/>
      <c r="D5799" s="107"/>
      <c r="E5799" s="65"/>
      <c r="F5799" s="64"/>
      <c r="G5799" s="64"/>
      <c r="H5799" s="64"/>
      <c r="I5799" s="70"/>
      <c r="J5799" s="70"/>
      <c r="K5799" s="110" t="str">
        <f>IF(H5799="","",IF($C$29="간이법","",FPR(H5799,I5799,J5799)))</f>
        <v/>
      </c>
      <c r="L5799" s="111" t="str">
        <f>IF(H5799="","",IF($C$29="상세법",FPV(H5799,K5799),IF(H5799="EI",4,IF(H5799="EO",5.2,IF(H5799="EQ",3.9,IF(H5799="ILF",7.5,IF(H5799="EIF",5.4)))))))</f>
        <v/>
      </c>
      <c r="M5799" s="112" t="str">
        <f t="shared" si="93"/>
        <v/>
      </c>
      <c r="N5799" s="113"/>
    </row>
    <row r="5800" spans="2:14">
      <c r="B5800" s="105"/>
      <c r="C5800" s="106"/>
      <c r="D5800" s="107"/>
      <c r="E5800" s="65"/>
      <c r="F5800" s="64"/>
      <c r="G5800" s="64"/>
      <c r="H5800" s="64"/>
      <c r="I5800" s="70"/>
      <c r="J5800" s="70"/>
      <c r="K5800" s="110" t="str">
        <f>IF(H5800="","",IF($C$29="간이법","",FPR(H5800,I5800,J5800)))</f>
        <v/>
      </c>
      <c r="L5800" s="111" t="str">
        <f>IF(H5800="","",IF($C$29="상세법",FPV(H5800,K5800),IF(H5800="EI",4,IF(H5800="EO",5.2,IF(H5800="EQ",3.9,IF(H5800="ILF",7.5,IF(H5800="EIF",5.4)))))))</f>
        <v/>
      </c>
      <c r="M5800" s="112" t="str">
        <f t="shared" si="93"/>
        <v/>
      </c>
      <c r="N5800" s="113"/>
    </row>
    <row r="5801" spans="2:14">
      <c r="B5801" s="105"/>
      <c r="C5801" s="106"/>
      <c r="D5801" s="107"/>
      <c r="E5801" s="65"/>
      <c r="F5801" s="64"/>
      <c r="G5801" s="64"/>
      <c r="H5801" s="64"/>
      <c r="I5801" s="70"/>
      <c r="J5801" s="70"/>
      <c r="K5801" s="110" t="str">
        <f>IF(H5801="","",IF($C$29="간이법","",FPR(H5801,I5801,J5801)))</f>
        <v/>
      </c>
      <c r="L5801" s="111" t="str">
        <f>IF(H5801="","",IF($C$29="상세법",FPV(H5801,K5801),IF(H5801="EI",4,IF(H5801="EO",5.2,IF(H5801="EQ",3.9,IF(H5801="ILF",7.5,IF(H5801="EIF",5.4)))))))</f>
        <v/>
      </c>
      <c r="M5801" s="112" t="str">
        <f t="shared" si="93"/>
        <v/>
      </c>
      <c r="N5801" s="113"/>
    </row>
    <row r="5802" spans="2:14">
      <c r="B5802" s="105"/>
      <c r="C5802" s="106"/>
      <c r="D5802" s="107"/>
      <c r="E5802" s="65"/>
      <c r="F5802" s="64"/>
      <c r="G5802" s="64"/>
      <c r="H5802" s="64"/>
      <c r="I5802" s="70"/>
      <c r="J5802" s="70"/>
      <c r="K5802" s="110" t="str">
        <f>IF(H5802="","",IF($C$29="간이법","",FPR(H5802,I5802,J5802)))</f>
        <v/>
      </c>
      <c r="L5802" s="111" t="str">
        <f>IF(H5802="","",IF($C$29="상세법",FPV(H5802,K5802),IF(H5802="EI",4,IF(H5802="EO",5.2,IF(H5802="EQ",3.9,IF(H5802="ILF",7.5,IF(H5802="EIF",5.4)))))))</f>
        <v/>
      </c>
      <c r="M5802" s="112" t="str">
        <f t="shared" si="93"/>
        <v/>
      </c>
      <c r="N5802" s="113"/>
    </row>
    <row r="5803" spans="2:14">
      <c r="B5803" s="105"/>
      <c r="C5803" s="106"/>
      <c r="D5803" s="107"/>
      <c r="E5803" s="65"/>
      <c r="F5803" s="64"/>
      <c r="G5803" s="64"/>
      <c r="H5803" s="64"/>
      <c r="I5803" s="70"/>
      <c r="J5803" s="70"/>
      <c r="K5803" s="110" t="str">
        <f>IF(H5803="","",IF($C$29="간이법","",FPR(H5803,I5803,J5803)))</f>
        <v/>
      </c>
      <c r="L5803" s="111" t="str">
        <f>IF(H5803="","",IF($C$29="상세법",FPV(H5803,K5803),IF(H5803="EI",4,IF(H5803="EO",5.2,IF(H5803="EQ",3.9,IF(H5803="ILF",7.5,IF(H5803="EIF",5.4)))))))</f>
        <v/>
      </c>
      <c r="M5803" s="112" t="str">
        <f t="shared" si="93"/>
        <v/>
      </c>
      <c r="N5803" s="113"/>
    </row>
    <row r="5804" spans="2:14">
      <c r="B5804" s="105"/>
      <c r="C5804" s="106"/>
      <c r="D5804" s="107"/>
      <c r="E5804" s="65"/>
      <c r="F5804" s="64"/>
      <c r="G5804" s="64"/>
      <c r="H5804" s="64"/>
      <c r="I5804" s="70"/>
      <c r="J5804" s="70"/>
      <c r="K5804" s="110" t="str">
        <f>IF(H5804="","",IF($C$29="간이법","",FPR(H5804,I5804,J5804)))</f>
        <v/>
      </c>
      <c r="L5804" s="111" t="str">
        <f>IF(H5804="","",IF($C$29="상세법",FPV(H5804,K5804),IF(H5804="EI",4,IF(H5804="EO",5.2,IF(H5804="EQ",3.9,IF(H5804="ILF",7.5,IF(H5804="EIF",5.4)))))))</f>
        <v/>
      </c>
      <c r="M5804" s="112" t="str">
        <f t="shared" si="93"/>
        <v/>
      </c>
      <c r="N5804" s="113"/>
    </row>
    <row r="5805" spans="2:14">
      <c r="B5805" s="105"/>
      <c r="C5805" s="106"/>
      <c r="D5805" s="107"/>
      <c r="E5805" s="65"/>
      <c r="F5805" s="64"/>
      <c r="G5805" s="64"/>
      <c r="H5805" s="64"/>
      <c r="I5805" s="70"/>
      <c r="J5805" s="70"/>
      <c r="K5805" s="110" t="str">
        <f>IF(H5805="","",IF($C$29="간이법","",FPR(H5805,I5805,J5805)))</f>
        <v/>
      </c>
      <c r="L5805" s="111" t="str">
        <f>IF(H5805="","",IF($C$29="상세법",FPV(H5805,K5805),IF(H5805="EI",4,IF(H5805="EO",5.2,IF(H5805="EQ",3.9,IF(H5805="ILF",7.5,IF(H5805="EIF",5.4)))))))</f>
        <v/>
      </c>
      <c r="M5805" s="112" t="str">
        <f t="shared" si="93"/>
        <v/>
      </c>
      <c r="N5805" s="113"/>
    </row>
    <row r="5806" spans="2:14">
      <c r="B5806" s="105"/>
      <c r="C5806" s="106"/>
      <c r="D5806" s="107"/>
      <c r="E5806" s="65"/>
      <c r="F5806" s="64"/>
      <c r="G5806" s="64"/>
      <c r="H5806" s="64"/>
      <c r="I5806" s="70"/>
      <c r="J5806" s="70"/>
      <c r="K5806" s="110" t="str">
        <f>IF(H5806="","",IF($C$29="간이법","",FPR(H5806,I5806,J5806)))</f>
        <v/>
      </c>
      <c r="L5806" s="111" t="str">
        <f>IF(H5806="","",IF($C$29="상세법",FPV(H5806,K5806),IF(H5806="EI",4,IF(H5806="EO",5.2,IF(H5806="EQ",3.9,IF(H5806="ILF",7.5,IF(H5806="EIF",5.4)))))))</f>
        <v/>
      </c>
      <c r="M5806" s="112" t="str">
        <f t="shared" si="93"/>
        <v/>
      </c>
      <c r="N5806" s="113"/>
    </row>
    <row r="5807" spans="2:14">
      <c r="B5807" s="105"/>
      <c r="C5807" s="106"/>
      <c r="D5807" s="107"/>
      <c r="E5807" s="65"/>
      <c r="F5807" s="64"/>
      <c r="G5807" s="64"/>
      <c r="H5807" s="64"/>
      <c r="I5807" s="70"/>
      <c r="J5807" s="70"/>
      <c r="K5807" s="110" t="str">
        <f>IF(H5807="","",IF($C$29="간이법","",FPR(H5807,I5807,J5807)))</f>
        <v/>
      </c>
      <c r="L5807" s="111" t="str">
        <f>IF(H5807="","",IF($C$29="상세법",FPV(H5807,K5807),IF(H5807="EI",4,IF(H5807="EO",5.2,IF(H5807="EQ",3.9,IF(H5807="ILF",7.5,IF(H5807="EIF",5.4)))))))</f>
        <v/>
      </c>
      <c r="M5807" s="112" t="str">
        <f t="shared" si="93"/>
        <v/>
      </c>
      <c r="N5807" s="113"/>
    </row>
    <row r="5808" spans="2:14">
      <c r="B5808" s="105"/>
      <c r="C5808" s="106"/>
      <c r="D5808" s="107"/>
      <c r="E5808" s="65"/>
      <c r="F5808" s="64"/>
      <c r="G5808" s="64"/>
      <c r="H5808" s="64"/>
      <c r="I5808" s="70"/>
      <c r="J5808" s="70"/>
      <c r="K5808" s="110" t="str">
        <f>IF(H5808="","",IF($C$29="간이법","",FPR(H5808,I5808,J5808)))</f>
        <v/>
      </c>
      <c r="L5808" s="111" t="str">
        <f>IF(H5808="","",IF($C$29="상세법",FPV(H5808,K5808),IF(H5808="EI",4,IF(H5808="EO",5.2,IF(H5808="EQ",3.9,IF(H5808="ILF",7.5,IF(H5808="EIF",5.4)))))))</f>
        <v/>
      </c>
      <c r="M5808" s="112" t="str">
        <f t="shared" si="93"/>
        <v/>
      </c>
      <c r="N5808" s="113"/>
    </row>
    <row r="5809" spans="2:14">
      <c r="B5809" s="105"/>
      <c r="C5809" s="106"/>
      <c r="D5809" s="107"/>
      <c r="E5809" s="65"/>
      <c r="F5809" s="64"/>
      <c r="G5809" s="64"/>
      <c r="H5809" s="64"/>
      <c r="I5809" s="70"/>
      <c r="J5809" s="70"/>
      <c r="K5809" s="110" t="str">
        <f>IF(H5809="","",IF($C$29="간이법","",FPR(H5809,I5809,J5809)))</f>
        <v/>
      </c>
      <c r="L5809" s="111" t="str">
        <f>IF(H5809="","",IF($C$29="상세법",FPV(H5809,K5809),IF(H5809="EI",4,IF(H5809="EO",5.2,IF(H5809="EQ",3.9,IF(H5809="ILF",7.5,IF(H5809="EIF",5.4)))))))</f>
        <v/>
      </c>
      <c r="M5809" s="112" t="str">
        <f t="shared" si="93"/>
        <v/>
      </c>
      <c r="N5809" s="113"/>
    </row>
    <row r="5810" spans="2:14">
      <c r="B5810" s="105"/>
      <c r="C5810" s="106"/>
      <c r="D5810" s="107"/>
      <c r="E5810" s="65"/>
      <c r="F5810" s="64"/>
      <c r="G5810" s="64"/>
      <c r="H5810" s="64"/>
      <c r="I5810" s="70"/>
      <c r="J5810" s="70"/>
      <c r="K5810" s="110" t="str">
        <f>IF(H5810="","",IF($C$29="간이법","",FPR(H5810,I5810,J5810)))</f>
        <v/>
      </c>
      <c r="L5810" s="111" t="str">
        <f>IF(H5810="","",IF($C$29="상세법",FPV(H5810,K5810),IF(H5810="EI",4,IF(H5810="EO",5.2,IF(H5810="EQ",3.9,IF(H5810="ILF",7.5,IF(H5810="EIF",5.4)))))))</f>
        <v/>
      </c>
      <c r="M5810" s="112" t="str">
        <f t="shared" si="93"/>
        <v/>
      </c>
      <c r="N5810" s="113"/>
    </row>
    <row r="5811" spans="2:14">
      <c r="B5811" s="105"/>
      <c r="C5811" s="106"/>
      <c r="D5811" s="107"/>
      <c r="E5811" s="65"/>
      <c r="F5811" s="64"/>
      <c r="G5811" s="64"/>
      <c r="H5811" s="64"/>
      <c r="I5811" s="70"/>
      <c r="J5811" s="70"/>
      <c r="K5811" s="110" t="str">
        <f>IF(H5811="","",IF($C$29="간이법","",FPR(H5811,I5811,J5811)))</f>
        <v/>
      </c>
      <c r="L5811" s="111" t="str">
        <f>IF(H5811="","",IF($C$29="상세법",FPV(H5811,K5811),IF(H5811="EI",4,IF(H5811="EO",5.2,IF(H5811="EQ",3.9,IF(H5811="ILF",7.5,IF(H5811="EIF",5.4)))))))</f>
        <v/>
      </c>
      <c r="M5811" s="112" t="str">
        <f t="shared" si="93"/>
        <v/>
      </c>
      <c r="N5811" s="113"/>
    </row>
    <row r="5812" spans="2:14">
      <c r="B5812" s="105"/>
      <c r="C5812" s="106"/>
      <c r="D5812" s="107"/>
      <c r="E5812" s="65"/>
      <c r="F5812" s="64"/>
      <c r="G5812" s="64"/>
      <c r="H5812" s="64"/>
      <c r="I5812" s="70"/>
      <c r="J5812" s="70"/>
      <c r="K5812" s="110" t="str">
        <f>IF(H5812="","",IF($C$29="간이법","",FPR(H5812,I5812,J5812)))</f>
        <v/>
      </c>
      <c r="L5812" s="111" t="str">
        <f>IF(H5812="","",IF($C$29="상세법",FPV(H5812,K5812),IF(H5812="EI",4,IF(H5812="EO",5.2,IF(H5812="EQ",3.9,IF(H5812="ILF",7.5,IF(H5812="EIF",5.4)))))))</f>
        <v/>
      </c>
      <c r="M5812" s="112" t="str">
        <f t="shared" si="93"/>
        <v/>
      </c>
      <c r="N5812" s="113"/>
    </row>
    <row r="5813" spans="2:14">
      <c r="B5813" s="105"/>
      <c r="C5813" s="106"/>
      <c r="D5813" s="107"/>
      <c r="E5813" s="65"/>
      <c r="F5813" s="64"/>
      <c r="G5813" s="64"/>
      <c r="H5813" s="64"/>
      <c r="I5813" s="70"/>
      <c r="J5813" s="70"/>
      <c r="K5813" s="110" t="str">
        <f>IF(H5813="","",IF($C$29="간이법","",FPR(H5813,I5813,J5813)))</f>
        <v/>
      </c>
      <c r="L5813" s="111" t="str">
        <f>IF(H5813="","",IF($C$29="상세법",FPV(H5813,K5813),IF(H5813="EI",4,IF(H5813="EO",5.2,IF(H5813="EQ",3.9,IF(H5813="ILF",7.5,IF(H5813="EIF",5.4)))))))</f>
        <v/>
      </c>
      <c r="M5813" s="112" t="str">
        <f t="shared" si="93"/>
        <v/>
      </c>
      <c r="N5813" s="113"/>
    </row>
    <row r="5814" spans="2:14">
      <c r="B5814" s="105"/>
      <c r="C5814" s="106"/>
      <c r="D5814" s="107"/>
      <c r="E5814" s="65"/>
      <c r="F5814" s="64"/>
      <c r="G5814" s="64"/>
      <c r="H5814" s="64"/>
      <c r="I5814" s="70"/>
      <c r="J5814" s="70"/>
      <c r="K5814" s="110" t="str">
        <f>IF(H5814="","",IF($C$29="간이법","",FPR(H5814,I5814,J5814)))</f>
        <v/>
      </c>
      <c r="L5814" s="111" t="str">
        <f>IF(H5814="","",IF($C$29="상세법",FPV(H5814,K5814),IF(H5814="EI",4,IF(H5814="EO",5.2,IF(H5814="EQ",3.9,IF(H5814="ILF",7.5,IF(H5814="EIF",5.4)))))))</f>
        <v/>
      </c>
      <c r="M5814" s="112" t="str">
        <f t="shared" si="93"/>
        <v/>
      </c>
      <c r="N5814" s="113"/>
    </row>
    <row r="5815" spans="2:14">
      <c r="B5815" s="105"/>
      <c r="C5815" s="106"/>
      <c r="D5815" s="107"/>
      <c r="E5815" s="65"/>
      <c r="F5815" s="64"/>
      <c r="G5815" s="64"/>
      <c r="H5815" s="64"/>
      <c r="I5815" s="70"/>
      <c r="J5815" s="70"/>
      <c r="K5815" s="110" t="str">
        <f>IF(H5815="","",IF($C$29="간이법","",FPR(H5815,I5815,J5815)))</f>
        <v/>
      </c>
      <c r="L5815" s="111" t="str">
        <f>IF(H5815="","",IF($C$29="상세법",FPV(H5815,K5815),IF(H5815="EI",4,IF(H5815="EO",5.2,IF(H5815="EQ",3.9,IF(H5815="ILF",7.5,IF(H5815="EIF",5.4)))))))</f>
        <v/>
      </c>
      <c r="M5815" s="112" t="str">
        <f t="shared" si="93"/>
        <v/>
      </c>
      <c r="N5815" s="113"/>
    </row>
    <row r="5816" spans="2:14">
      <c r="B5816" s="105"/>
      <c r="C5816" s="106"/>
      <c r="D5816" s="107"/>
      <c r="E5816" s="65"/>
      <c r="F5816" s="64"/>
      <c r="G5816" s="64"/>
      <c r="H5816" s="64"/>
      <c r="I5816" s="70"/>
      <c r="J5816" s="70"/>
      <c r="K5816" s="110" t="str">
        <f>IF(H5816="","",IF($C$29="간이법","",FPR(H5816,I5816,J5816)))</f>
        <v/>
      </c>
      <c r="L5816" s="111" t="str">
        <f>IF(H5816="","",IF($C$29="상세법",FPV(H5816,K5816),IF(H5816="EI",4,IF(H5816="EO",5.2,IF(H5816="EQ",3.9,IF(H5816="ILF",7.5,IF(H5816="EIF",5.4)))))))</f>
        <v/>
      </c>
      <c r="M5816" s="112" t="str">
        <f t="shared" si="93"/>
        <v/>
      </c>
      <c r="N5816" s="113"/>
    </row>
    <row r="5817" spans="2:14">
      <c r="B5817" s="105"/>
      <c r="C5817" s="106"/>
      <c r="D5817" s="107"/>
      <c r="E5817" s="65"/>
      <c r="F5817" s="64"/>
      <c r="G5817" s="64"/>
      <c r="H5817" s="64"/>
      <c r="I5817" s="70"/>
      <c r="J5817" s="70"/>
      <c r="K5817" s="110" t="str">
        <f>IF(H5817="","",IF($C$29="간이법","",FPR(H5817,I5817,J5817)))</f>
        <v/>
      </c>
      <c r="L5817" s="111" t="str">
        <f>IF(H5817="","",IF($C$29="상세법",FPV(H5817,K5817),IF(H5817="EI",4,IF(H5817="EO",5.2,IF(H5817="EQ",3.9,IF(H5817="ILF",7.5,IF(H5817="EIF",5.4)))))))</f>
        <v/>
      </c>
      <c r="M5817" s="112" t="str">
        <f t="shared" ref="M5817:M5880" si="94">IF(L5817="","",L5817*IF(G5817="상",0.7,IF(G5817="중",0.5,IF(G5817="하",0.2,1))))</f>
        <v/>
      </c>
      <c r="N5817" s="113"/>
    </row>
    <row r="5818" spans="2:14">
      <c r="B5818" s="105"/>
      <c r="C5818" s="106"/>
      <c r="D5818" s="107"/>
      <c r="E5818" s="65"/>
      <c r="F5818" s="64"/>
      <c r="G5818" s="64"/>
      <c r="H5818" s="64"/>
      <c r="I5818" s="70"/>
      <c r="J5818" s="70"/>
      <c r="K5818" s="110" t="str">
        <f>IF(H5818="","",IF($C$29="간이법","",FPR(H5818,I5818,J5818)))</f>
        <v/>
      </c>
      <c r="L5818" s="111" t="str">
        <f>IF(H5818="","",IF($C$29="상세법",FPV(H5818,K5818),IF(H5818="EI",4,IF(H5818="EO",5.2,IF(H5818="EQ",3.9,IF(H5818="ILF",7.5,IF(H5818="EIF",5.4)))))))</f>
        <v/>
      </c>
      <c r="M5818" s="112" t="str">
        <f t="shared" si="94"/>
        <v/>
      </c>
      <c r="N5818" s="113"/>
    </row>
    <row r="5819" spans="2:14">
      <c r="B5819" s="105"/>
      <c r="C5819" s="106"/>
      <c r="D5819" s="107"/>
      <c r="E5819" s="65"/>
      <c r="F5819" s="64"/>
      <c r="G5819" s="64"/>
      <c r="H5819" s="64"/>
      <c r="I5819" s="70"/>
      <c r="J5819" s="70"/>
      <c r="K5819" s="110" t="str">
        <f>IF(H5819="","",IF($C$29="간이법","",FPR(H5819,I5819,J5819)))</f>
        <v/>
      </c>
      <c r="L5819" s="111" t="str">
        <f>IF(H5819="","",IF($C$29="상세법",FPV(H5819,K5819),IF(H5819="EI",4,IF(H5819="EO",5.2,IF(H5819="EQ",3.9,IF(H5819="ILF",7.5,IF(H5819="EIF",5.4)))))))</f>
        <v/>
      </c>
      <c r="M5819" s="112" t="str">
        <f t="shared" si="94"/>
        <v/>
      </c>
      <c r="N5819" s="113"/>
    </row>
    <row r="5820" spans="2:14">
      <c r="B5820" s="105"/>
      <c r="C5820" s="106"/>
      <c r="D5820" s="107"/>
      <c r="E5820" s="65"/>
      <c r="F5820" s="64"/>
      <c r="G5820" s="64"/>
      <c r="H5820" s="64"/>
      <c r="I5820" s="70"/>
      <c r="J5820" s="70"/>
      <c r="K5820" s="110" t="str">
        <f>IF(H5820="","",IF($C$29="간이법","",FPR(H5820,I5820,J5820)))</f>
        <v/>
      </c>
      <c r="L5820" s="111" t="str">
        <f>IF(H5820="","",IF($C$29="상세법",FPV(H5820,K5820),IF(H5820="EI",4,IF(H5820="EO",5.2,IF(H5820="EQ",3.9,IF(H5820="ILF",7.5,IF(H5820="EIF",5.4)))))))</f>
        <v/>
      </c>
      <c r="M5820" s="112" t="str">
        <f t="shared" si="94"/>
        <v/>
      </c>
      <c r="N5820" s="113"/>
    </row>
    <row r="5821" spans="2:14">
      <c r="B5821" s="105"/>
      <c r="C5821" s="106"/>
      <c r="D5821" s="107"/>
      <c r="E5821" s="65"/>
      <c r="F5821" s="64"/>
      <c r="G5821" s="64"/>
      <c r="H5821" s="64"/>
      <c r="I5821" s="70"/>
      <c r="J5821" s="70"/>
      <c r="K5821" s="110" t="str">
        <f>IF(H5821="","",IF($C$29="간이법","",FPR(H5821,I5821,J5821)))</f>
        <v/>
      </c>
      <c r="L5821" s="111" t="str">
        <f>IF(H5821="","",IF($C$29="상세법",FPV(H5821,K5821),IF(H5821="EI",4,IF(H5821="EO",5.2,IF(H5821="EQ",3.9,IF(H5821="ILF",7.5,IF(H5821="EIF",5.4)))))))</f>
        <v/>
      </c>
      <c r="M5821" s="112" t="str">
        <f t="shared" si="94"/>
        <v/>
      </c>
      <c r="N5821" s="113"/>
    </row>
    <row r="5822" spans="2:14">
      <c r="B5822" s="105"/>
      <c r="C5822" s="106"/>
      <c r="D5822" s="107"/>
      <c r="E5822" s="65"/>
      <c r="F5822" s="64"/>
      <c r="G5822" s="64"/>
      <c r="H5822" s="64"/>
      <c r="I5822" s="70"/>
      <c r="J5822" s="70"/>
      <c r="K5822" s="110" t="str">
        <f>IF(H5822="","",IF($C$29="간이법","",FPR(H5822,I5822,J5822)))</f>
        <v/>
      </c>
      <c r="L5822" s="111" t="str">
        <f>IF(H5822="","",IF($C$29="상세법",FPV(H5822,K5822),IF(H5822="EI",4,IF(H5822="EO",5.2,IF(H5822="EQ",3.9,IF(H5822="ILF",7.5,IF(H5822="EIF",5.4)))))))</f>
        <v/>
      </c>
      <c r="M5822" s="112" t="str">
        <f t="shared" si="94"/>
        <v/>
      </c>
      <c r="N5822" s="113"/>
    </row>
    <row r="5823" spans="2:14">
      <c r="B5823" s="105"/>
      <c r="C5823" s="106"/>
      <c r="D5823" s="107"/>
      <c r="E5823" s="65"/>
      <c r="F5823" s="64"/>
      <c r="G5823" s="64"/>
      <c r="H5823" s="64"/>
      <c r="I5823" s="70"/>
      <c r="J5823" s="70"/>
      <c r="K5823" s="110" t="str">
        <f>IF(H5823="","",IF($C$29="간이법","",FPR(H5823,I5823,J5823)))</f>
        <v/>
      </c>
      <c r="L5823" s="111" t="str">
        <f>IF(H5823="","",IF($C$29="상세법",FPV(H5823,K5823),IF(H5823="EI",4,IF(H5823="EO",5.2,IF(H5823="EQ",3.9,IF(H5823="ILF",7.5,IF(H5823="EIF",5.4)))))))</f>
        <v/>
      </c>
      <c r="M5823" s="112" t="str">
        <f t="shared" si="94"/>
        <v/>
      </c>
      <c r="N5823" s="113"/>
    </row>
    <row r="5824" spans="2:14">
      <c r="B5824" s="105"/>
      <c r="C5824" s="106"/>
      <c r="D5824" s="107"/>
      <c r="E5824" s="65"/>
      <c r="F5824" s="64"/>
      <c r="G5824" s="64"/>
      <c r="H5824" s="64"/>
      <c r="I5824" s="70"/>
      <c r="J5824" s="70"/>
      <c r="K5824" s="110" t="str">
        <f>IF(H5824="","",IF($C$29="간이법","",FPR(H5824,I5824,J5824)))</f>
        <v/>
      </c>
      <c r="L5824" s="111" t="str">
        <f>IF(H5824="","",IF($C$29="상세법",FPV(H5824,K5824),IF(H5824="EI",4,IF(H5824="EO",5.2,IF(H5824="EQ",3.9,IF(H5824="ILF",7.5,IF(H5824="EIF",5.4)))))))</f>
        <v/>
      </c>
      <c r="M5824" s="112" t="str">
        <f t="shared" si="94"/>
        <v/>
      </c>
      <c r="N5824" s="113"/>
    </row>
    <row r="5825" spans="2:14">
      <c r="B5825" s="105"/>
      <c r="C5825" s="106"/>
      <c r="D5825" s="107"/>
      <c r="E5825" s="65"/>
      <c r="F5825" s="64"/>
      <c r="G5825" s="64"/>
      <c r="H5825" s="64"/>
      <c r="I5825" s="70"/>
      <c r="J5825" s="70"/>
      <c r="K5825" s="110" t="str">
        <f>IF(H5825="","",IF($C$29="간이법","",FPR(H5825,I5825,J5825)))</f>
        <v/>
      </c>
      <c r="L5825" s="111" t="str">
        <f>IF(H5825="","",IF($C$29="상세법",FPV(H5825,K5825),IF(H5825="EI",4,IF(H5825="EO",5.2,IF(H5825="EQ",3.9,IF(H5825="ILF",7.5,IF(H5825="EIF",5.4)))))))</f>
        <v/>
      </c>
      <c r="M5825" s="112" t="str">
        <f t="shared" si="94"/>
        <v/>
      </c>
      <c r="N5825" s="113"/>
    </row>
    <row r="5826" spans="2:14">
      <c r="B5826" s="105"/>
      <c r="C5826" s="106"/>
      <c r="D5826" s="107"/>
      <c r="E5826" s="65"/>
      <c r="F5826" s="64"/>
      <c r="G5826" s="64"/>
      <c r="H5826" s="64"/>
      <c r="I5826" s="70"/>
      <c r="J5826" s="70"/>
      <c r="K5826" s="110" t="str">
        <f>IF(H5826="","",IF($C$29="간이법","",FPR(H5826,I5826,J5826)))</f>
        <v/>
      </c>
      <c r="L5826" s="111" t="str">
        <f>IF(H5826="","",IF($C$29="상세법",FPV(H5826,K5826),IF(H5826="EI",4,IF(H5826="EO",5.2,IF(H5826="EQ",3.9,IF(H5826="ILF",7.5,IF(H5826="EIF",5.4)))))))</f>
        <v/>
      </c>
      <c r="M5826" s="112" t="str">
        <f t="shared" si="94"/>
        <v/>
      </c>
      <c r="N5826" s="113"/>
    </row>
    <row r="5827" spans="2:14">
      <c r="B5827" s="105"/>
      <c r="C5827" s="106"/>
      <c r="D5827" s="107"/>
      <c r="E5827" s="65"/>
      <c r="F5827" s="64"/>
      <c r="G5827" s="64"/>
      <c r="H5827" s="64"/>
      <c r="I5827" s="70"/>
      <c r="J5827" s="70"/>
      <c r="K5827" s="110" t="str">
        <f>IF(H5827="","",IF($C$29="간이법","",FPR(H5827,I5827,J5827)))</f>
        <v/>
      </c>
      <c r="L5827" s="111" t="str">
        <f>IF(H5827="","",IF($C$29="상세법",FPV(H5827,K5827),IF(H5827="EI",4,IF(H5827="EO",5.2,IF(H5827="EQ",3.9,IF(H5827="ILF",7.5,IF(H5827="EIF",5.4)))))))</f>
        <v/>
      </c>
      <c r="M5827" s="112" t="str">
        <f t="shared" si="94"/>
        <v/>
      </c>
      <c r="N5827" s="113"/>
    </row>
    <row r="5828" spans="2:14">
      <c r="B5828" s="105"/>
      <c r="C5828" s="106"/>
      <c r="D5828" s="107"/>
      <c r="E5828" s="65"/>
      <c r="F5828" s="64"/>
      <c r="G5828" s="64"/>
      <c r="H5828" s="64"/>
      <c r="I5828" s="70"/>
      <c r="J5828" s="70"/>
      <c r="K5828" s="110" t="str">
        <f>IF(H5828="","",IF($C$29="간이법","",FPR(H5828,I5828,J5828)))</f>
        <v/>
      </c>
      <c r="L5828" s="111" t="str">
        <f>IF(H5828="","",IF($C$29="상세법",FPV(H5828,K5828),IF(H5828="EI",4,IF(H5828="EO",5.2,IF(H5828="EQ",3.9,IF(H5828="ILF",7.5,IF(H5828="EIF",5.4)))))))</f>
        <v/>
      </c>
      <c r="M5828" s="112" t="str">
        <f t="shared" si="94"/>
        <v/>
      </c>
      <c r="N5828" s="113"/>
    </row>
    <row r="5829" spans="2:14">
      <c r="B5829" s="105"/>
      <c r="C5829" s="106"/>
      <c r="D5829" s="107"/>
      <c r="E5829" s="65"/>
      <c r="F5829" s="64"/>
      <c r="G5829" s="64"/>
      <c r="H5829" s="64"/>
      <c r="I5829" s="70"/>
      <c r="J5829" s="70"/>
      <c r="K5829" s="110" t="str">
        <f>IF(H5829="","",IF($C$29="간이법","",FPR(H5829,I5829,J5829)))</f>
        <v/>
      </c>
      <c r="L5829" s="111" t="str">
        <f>IF(H5829="","",IF($C$29="상세법",FPV(H5829,K5829),IF(H5829="EI",4,IF(H5829="EO",5.2,IF(H5829="EQ",3.9,IF(H5829="ILF",7.5,IF(H5829="EIF",5.4)))))))</f>
        <v/>
      </c>
      <c r="M5829" s="112" t="str">
        <f t="shared" si="94"/>
        <v/>
      </c>
      <c r="N5829" s="113"/>
    </row>
    <row r="5830" spans="2:14">
      <c r="B5830" s="105"/>
      <c r="C5830" s="106"/>
      <c r="D5830" s="107"/>
      <c r="E5830" s="65"/>
      <c r="F5830" s="64"/>
      <c r="G5830" s="64"/>
      <c r="H5830" s="64"/>
      <c r="I5830" s="70"/>
      <c r="J5830" s="70"/>
      <c r="K5830" s="110" t="str">
        <f>IF(H5830="","",IF($C$29="간이법","",FPR(H5830,I5830,J5830)))</f>
        <v/>
      </c>
      <c r="L5830" s="111" t="str">
        <f>IF(H5830="","",IF($C$29="상세법",FPV(H5830,K5830),IF(H5830="EI",4,IF(H5830="EO",5.2,IF(H5830="EQ",3.9,IF(H5830="ILF",7.5,IF(H5830="EIF",5.4)))))))</f>
        <v/>
      </c>
      <c r="M5830" s="112" t="str">
        <f t="shared" si="94"/>
        <v/>
      </c>
      <c r="N5830" s="113"/>
    </row>
    <row r="5831" spans="2:14">
      <c r="B5831" s="105"/>
      <c r="C5831" s="106"/>
      <c r="D5831" s="107"/>
      <c r="E5831" s="65"/>
      <c r="F5831" s="64"/>
      <c r="G5831" s="64"/>
      <c r="H5831" s="64"/>
      <c r="I5831" s="70"/>
      <c r="J5831" s="70"/>
      <c r="K5831" s="110" t="str">
        <f>IF(H5831="","",IF($C$29="간이법","",FPR(H5831,I5831,J5831)))</f>
        <v/>
      </c>
      <c r="L5831" s="111" t="str">
        <f>IF(H5831="","",IF($C$29="상세법",FPV(H5831,K5831),IF(H5831="EI",4,IF(H5831="EO",5.2,IF(H5831="EQ",3.9,IF(H5831="ILF",7.5,IF(H5831="EIF",5.4)))))))</f>
        <v/>
      </c>
      <c r="M5831" s="112" t="str">
        <f t="shared" si="94"/>
        <v/>
      </c>
      <c r="N5831" s="113"/>
    </row>
    <row r="5832" spans="2:14">
      <c r="B5832" s="105"/>
      <c r="C5832" s="106"/>
      <c r="D5832" s="107"/>
      <c r="E5832" s="65"/>
      <c r="F5832" s="64"/>
      <c r="G5832" s="64"/>
      <c r="H5832" s="64"/>
      <c r="I5832" s="70"/>
      <c r="J5832" s="70"/>
      <c r="K5832" s="110" t="str">
        <f>IF(H5832="","",IF($C$29="간이법","",FPR(H5832,I5832,J5832)))</f>
        <v/>
      </c>
      <c r="L5832" s="111" t="str">
        <f>IF(H5832="","",IF($C$29="상세법",FPV(H5832,K5832),IF(H5832="EI",4,IF(H5832="EO",5.2,IF(H5832="EQ",3.9,IF(H5832="ILF",7.5,IF(H5832="EIF",5.4)))))))</f>
        <v/>
      </c>
      <c r="M5832" s="112" t="str">
        <f t="shared" si="94"/>
        <v/>
      </c>
      <c r="N5832" s="113"/>
    </row>
    <row r="5833" spans="2:14">
      <c r="B5833" s="105"/>
      <c r="C5833" s="106"/>
      <c r="D5833" s="107"/>
      <c r="E5833" s="65"/>
      <c r="F5833" s="64"/>
      <c r="G5833" s="64"/>
      <c r="H5833" s="64"/>
      <c r="I5833" s="70"/>
      <c r="J5833" s="70"/>
      <c r="K5833" s="110" t="str">
        <f>IF(H5833="","",IF($C$29="간이법","",FPR(H5833,I5833,J5833)))</f>
        <v/>
      </c>
      <c r="L5833" s="111" t="str">
        <f>IF(H5833="","",IF($C$29="상세법",FPV(H5833,K5833),IF(H5833="EI",4,IF(H5833="EO",5.2,IF(H5833="EQ",3.9,IF(H5833="ILF",7.5,IF(H5833="EIF",5.4)))))))</f>
        <v/>
      </c>
      <c r="M5833" s="112" t="str">
        <f t="shared" si="94"/>
        <v/>
      </c>
      <c r="N5833" s="113"/>
    </row>
    <row r="5834" spans="2:14">
      <c r="B5834" s="105"/>
      <c r="C5834" s="106"/>
      <c r="D5834" s="107"/>
      <c r="E5834" s="65"/>
      <c r="F5834" s="64"/>
      <c r="G5834" s="64"/>
      <c r="H5834" s="64"/>
      <c r="I5834" s="70"/>
      <c r="J5834" s="70"/>
      <c r="K5834" s="110" t="str">
        <f>IF(H5834="","",IF($C$29="간이법","",FPR(H5834,I5834,J5834)))</f>
        <v/>
      </c>
      <c r="L5834" s="111" t="str">
        <f>IF(H5834="","",IF($C$29="상세법",FPV(H5834,K5834),IF(H5834="EI",4,IF(H5834="EO",5.2,IF(H5834="EQ",3.9,IF(H5834="ILF",7.5,IF(H5834="EIF",5.4)))))))</f>
        <v/>
      </c>
      <c r="M5834" s="112" t="str">
        <f t="shared" si="94"/>
        <v/>
      </c>
      <c r="N5834" s="113"/>
    </row>
    <row r="5835" spans="2:14">
      <c r="B5835" s="105"/>
      <c r="C5835" s="106"/>
      <c r="D5835" s="107"/>
      <c r="E5835" s="65"/>
      <c r="F5835" s="64"/>
      <c r="G5835" s="64"/>
      <c r="H5835" s="64"/>
      <c r="I5835" s="70"/>
      <c r="J5835" s="70"/>
      <c r="K5835" s="110" t="str">
        <f>IF(H5835="","",IF($C$29="간이법","",FPR(H5835,I5835,J5835)))</f>
        <v/>
      </c>
      <c r="L5835" s="111" t="str">
        <f>IF(H5835="","",IF($C$29="상세법",FPV(H5835,K5835),IF(H5835="EI",4,IF(H5835="EO",5.2,IF(H5835="EQ",3.9,IF(H5835="ILF",7.5,IF(H5835="EIF",5.4)))))))</f>
        <v/>
      </c>
      <c r="M5835" s="112" t="str">
        <f t="shared" si="94"/>
        <v/>
      </c>
      <c r="N5835" s="113"/>
    </row>
    <row r="5836" spans="2:14">
      <c r="B5836" s="105"/>
      <c r="C5836" s="106"/>
      <c r="D5836" s="107"/>
      <c r="E5836" s="65"/>
      <c r="F5836" s="64"/>
      <c r="G5836" s="64"/>
      <c r="H5836" s="64"/>
      <c r="I5836" s="70"/>
      <c r="J5836" s="70"/>
      <c r="K5836" s="110" t="str">
        <f>IF(H5836="","",IF($C$29="간이법","",FPR(H5836,I5836,J5836)))</f>
        <v/>
      </c>
      <c r="L5836" s="111" t="str">
        <f>IF(H5836="","",IF($C$29="상세법",FPV(H5836,K5836),IF(H5836="EI",4,IF(H5836="EO",5.2,IF(H5836="EQ",3.9,IF(H5836="ILF",7.5,IF(H5836="EIF",5.4)))))))</f>
        <v/>
      </c>
      <c r="M5836" s="112" t="str">
        <f t="shared" si="94"/>
        <v/>
      </c>
      <c r="N5836" s="113"/>
    </row>
    <row r="5837" spans="2:14">
      <c r="B5837" s="105"/>
      <c r="C5837" s="106"/>
      <c r="D5837" s="107"/>
      <c r="E5837" s="65"/>
      <c r="F5837" s="64"/>
      <c r="G5837" s="64"/>
      <c r="H5837" s="64"/>
      <c r="I5837" s="70"/>
      <c r="J5837" s="70"/>
      <c r="K5837" s="110" t="str">
        <f>IF(H5837="","",IF($C$29="간이법","",FPR(H5837,I5837,J5837)))</f>
        <v/>
      </c>
      <c r="L5837" s="111" t="str">
        <f>IF(H5837="","",IF($C$29="상세법",FPV(H5837,K5837),IF(H5837="EI",4,IF(H5837="EO",5.2,IF(H5837="EQ",3.9,IF(H5837="ILF",7.5,IF(H5837="EIF",5.4)))))))</f>
        <v/>
      </c>
      <c r="M5837" s="112" t="str">
        <f t="shared" si="94"/>
        <v/>
      </c>
      <c r="N5837" s="113"/>
    </row>
    <row r="5838" spans="2:14">
      <c r="B5838" s="105"/>
      <c r="C5838" s="106"/>
      <c r="D5838" s="107"/>
      <c r="E5838" s="65"/>
      <c r="F5838" s="64"/>
      <c r="G5838" s="64"/>
      <c r="H5838" s="64"/>
      <c r="I5838" s="70"/>
      <c r="J5838" s="70"/>
      <c r="K5838" s="110" t="str">
        <f>IF(H5838="","",IF($C$29="간이법","",FPR(H5838,I5838,J5838)))</f>
        <v/>
      </c>
      <c r="L5838" s="111" t="str">
        <f>IF(H5838="","",IF($C$29="상세법",FPV(H5838,K5838),IF(H5838="EI",4,IF(H5838="EO",5.2,IF(H5838="EQ",3.9,IF(H5838="ILF",7.5,IF(H5838="EIF",5.4)))))))</f>
        <v/>
      </c>
      <c r="M5838" s="112" t="str">
        <f t="shared" si="94"/>
        <v/>
      </c>
      <c r="N5838" s="113"/>
    </row>
    <row r="5839" spans="2:14">
      <c r="B5839" s="105"/>
      <c r="C5839" s="106"/>
      <c r="D5839" s="107"/>
      <c r="E5839" s="65"/>
      <c r="F5839" s="64"/>
      <c r="G5839" s="64"/>
      <c r="H5839" s="64"/>
      <c r="I5839" s="70"/>
      <c r="J5839" s="70"/>
      <c r="K5839" s="110" t="str">
        <f>IF(H5839="","",IF($C$29="간이법","",FPR(H5839,I5839,J5839)))</f>
        <v/>
      </c>
      <c r="L5839" s="111" t="str">
        <f>IF(H5839="","",IF($C$29="상세법",FPV(H5839,K5839),IF(H5839="EI",4,IF(H5839="EO",5.2,IF(H5839="EQ",3.9,IF(H5839="ILF",7.5,IF(H5839="EIF",5.4)))))))</f>
        <v/>
      </c>
      <c r="M5839" s="112" t="str">
        <f t="shared" si="94"/>
        <v/>
      </c>
      <c r="N5839" s="113"/>
    </row>
    <row r="5840" spans="2:14">
      <c r="B5840" s="105"/>
      <c r="C5840" s="106"/>
      <c r="D5840" s="107"/>
      <c r="E5840" s="65"/>
      <c r="F5840" s="64"/>
      <c r="G5840" s="64"/>
      <c r="H5840" s="64"/>
      <c r="I5840" s="70"/>
      <c r="J5840" s="70"/>
      <c r="K5840" s="110" t="str">
        <f>IF(H5840="","",IF($C$29="간이법","",FPR(H5840,I5840,J5840)))</f>
        <v/>
      </c>
      <c r="L5840" s="111" t="str">
        <f>IF(H5840="","",IF($C$29="상세법",FPV(H5840,K5840),IF(H5840="EI",4,IF(H5840="EO",5.2,IF(H5840="EQ",3.9,IF(H5840="ILF",7.5,IF(H5840="EIF",5.4)))))))</f>
        <v/>
      </c>
      <c r="M5840" s="112" t="str">
        <f t="shared" si="94"/>
        <v/>
      </c>
      <c r="N5840" s="113"/>
    </row>
    <row r="5841" spans="2:14">
      <c r="B5841" s="105"/>
      <c r="C5841" s="106"/>
      <c r="D5841" s="107"/>
      <c r="E5841" s="65"/>
      <c r="F5841" s="64"/>
      <c r="G5841" s="64"/>
      <c r="H5841" s="64"/>
      <c r="I5841" s="70"/>
      <c r="J5841" s="70"/>
      <c r="K5841" s="110" t="str">
        <f>IF(H5841="","",IF($C$29="간이법","",FPR(H5841,I5841,J5841)))</f>
        <v/>
      </c>
      <c r="L5841" s="111" t="str">
        <f>IF(H5841="","",IF($C$29="상세법",FPV(H5841,K5841),IF(H5841="EI",4,IF(H5841="EO",5.2,IF(H5841="EQ",3.9,IF(H5841="ILF",7.5,IF(H5841="EIF",5.4)))))))</f>
        <v/>
      </c>
      <c r="M5841" s="112" t="str">
        <f t="shared" si="94"/>
        <v/>
      </c>
      <c r="N5841" s="113"/>
    </row>
    <row r="5842" spans="2:14">
      <c r="B5842" s="105"/>
      <c r="C5842" s="106"/>
      <c r="D5842" s="107"/>
      <c r="E5842" s="65"/>
      <c r="F5842" s="64"/>
      <c r="G5842" s="64"/>
      <c r="H5842" s="64"/>
      <c r="I5842" s="70"/>
      <c r="J5842" s="70"/>
      <c r="K5842" s="110" t="str">
        <f>IF(H5842="","",IF($C$29="간이법","",FPR(H5842,I5842,J5842)))</f>
        <v/>
      </c>
      <c r="L5842" s="111" t="str">
        <f>IF(H5842="","",IF($C$29="상세법",FPV(H5842,K5842),IF(H5842="EI",4,IF(H5842="EO",5.2,IF(H5842="EQ",3.9,IF(H5842="ILF",7.5,IF(H5842="EIF",5.4)))))))</f>
        <v/>
      </c>
      <c r="M5842" s="112" t="str">
        <f t="shared" si="94"/>
        <v/>
      </c>
      <c r="N5842" s="113"/>
    </row>
    <row r="5843" spans="2:14">
      <c r="B5843" s="105"/>
      <c r="C5843" s="106"/>
      <c r="D5843" s="107"/>
      <c r="E5843" s="65"/>
      <c r="F5843" s="64"/>
      <c r="G5843" s="64"/>
      <c r="H5843" s="64"/>
      <c r="I5843" s="70"/>
      <c r="J5843" s="70"/>
      <c r="K5843" s="110" t="str">
        <f>IF(H5843="","",IF($C$29="간이법","",FPR(H5843,I5843,J5843)))</f>
        <v/>
      </c>
      <c r="L5843" s="111" t="str">
        <f>IF(H5843="","",IF($C$29="상세법",FPV(H5843,K5843),IF(H5843="EI",4,IF(H5843="EO",5.2,IF(H5843="EQ",3.9,IF(H5843="ILF",7.5,IF(H5843="EIF",5.4)))))))</f>
        <v/>
      </c>
      <c r="M5843" s="112" t="str">
        <f t="shared" si="94"/>
        <v/>
      </c>
      <c r="N5843" s="113"/>
    </row>
    <row r="5844" spans="2:14">
      <c r="B5844" s="105"/>
      <c r="C5844" s="106"/>
      <c r="D5844" s="107"/>
      <c r="E5844" s="65"/>
      <c r="F5844" s="64"/>
      <c r="G5844" s="64"/>
      <c r="H5844" s="64"/>
      <c r="I5844" s="70"/>
      <c r="J5844" s="70"/>
      <c r="K5844" s="110" t="str">
        <f>IF(H5844="","",IF($C$29="간이법","",FPR(H5844,I5844,J5844)))</f>
        <v/>
      </c>
      <c r="L5844" s="111" t="str">
        <f>IF(H5844="","",IF($C$29="상세법",FPV(H5844,K5844),IF(H5844="EI",4,IF(H5844="EO",5.2,IF(H5844="EQ",3.9,IF(H5844="ILF",7.5,IF(H5844="EIF",5.4)))))))</f>
        <v/>
      </c>
      <c r="M5844" s="112" t="str">
        <f t="shared" si="94"/>
        <v/>
      </c>
      <c r="N5844" s="113"/>
    </row>
    <row r="5845" spans="2:14">
      <c r="B5845" s="105"/>
      <c r="C5845" s="106"/>
      <c r="D5845" s="107"/>
      <c r="E5845" s="65"/>
      <c r="F5845" s="64"/>
      <c r="G5845" s="64"/>
      <c r="H5845" s="64"/>
      <c r="I5845" s="70"/>
      <c r="J5845" s="70"/>
      <c r="K5845" s="110" t="str">
        <f>IF(H5845="","",IF($C$29="간이법","",FPR(H5845,I5845,J5845)))</f>
        <v/>
      </c>
      <c r="L5845" s="111" t="str">
        <f>IF(H5845="","",IF($C$29="상세법",FPV(H5845,K5845),IF(H5845="EI",4,IF(H5845="EO",5.2,IF(H5845="EQ",3.9,IF(H5845="ILF",7.5,IF(H5845="EIF",5.4)))))))</f>
        <v/>
      </c>
      <c r="M5845" s="112" t="str">
        <f t="shared" si="94"/>
        <v/>
      </c>
      <c r="N5845" s="113"/>
    </row>
    <row r="5846" spans="2:14">
      <c r="B5846" s="105"/>
      <c r="C5846" s="106"/>
      <c r="D5846" s="107"/>
      <c r="E5846" s="65"/>
      <c r="F5846" s="64"/>
      <c r="G5846" s="64"/>
      <c r="H5846" s="64"/>
      <c r="I5846" s="70"/>
      <c r="J5846" s="70"/>
      <c r="K5846" s="110" t="str">
        <f>IF(H5846="","",IF($C$29="간이법","",FPR(H5846,I5846,J5846)))</f>
        <v/>
      </c>
      <c r="L5846" s="111" t="str">
        <f>IF(H5846="","",IF($C$29="상세법",FPV(H5846,K5846),IF(H5846="EI",4,IF(H5846="EO",5.2,IF(H5846="EQ",3.9,IF(H5846="ILF",7.5,IF(H5846="EIF",5.4)))))))</f>
        <v/>
      </c>
      <c r="M5846" s="112" t="str">
        <f t="shared" si="94"/>
        <v/>
      </c>
      <c r="N5846" s="113"/>
    </row>
    <row r="5847" spans="2:14">
      <c r="B5847" s="105"/>
      <c r="C5847" s="106"/>
      <c r="D5847" s="107"/>
      <c r="E5847" s="65"/>
      <c r="F5847" s="64"/>
      <c r="G5847" s="64"/>
      <c r="H5847" s="64"/>
      <c r="I5847" s="70"/>
      <c r="J5847" s="70"/>
      <c r="K5847" s="110" t="str">
        <f>IF(H5847="","",IF($C$29="간이법","",FPR(H5847,I5847,J5847)))</f>
        <v/>
      </c>
      <c r="L5847" s="111" t="str">
        <f>IF(H5847="","",IF($C$29="상세법",FPV(H5847,K5847),IF(H5847="EI",4,IF(H5847="EO",5.2,IF(H5847="EQ",3.9,IF(H5847="ILF",7.5,IF(H5847="EIF",5.4)))))))</f>
        <v/>
      </c>
      <c r="M5847" s="112" t="str">
        <f t="shared" si="94"/>
        <v/>
      </c>
      <c r="N5847" s="113"/>
    </row>
    <row r="5848" spans="2:14">
      <c r="B5848" s="105"/>
      <c r="C5848" s="106"/>
      <c r="D5848" s="107"/>
      <c r="E5848" s="65"/>
      <c r="F5848" s="64"/>
      <c r="G5848" s="64"/>
      <c r="H5848" s="64"/>
      <c r="I5848" s="70"/>
      <c r="J5848" s="70"/>
      <c r="K5848" s="110" t="str">
        <f>IF(H5848="","",IF($C$29="간이법","",FPR(H5848,I5848,J5848)))</f>
        <v/>
      </c>
      <c r="L5848" s="111" t="str">
        <f>IF(H5848="","",IF($C$29="상세법",FPV(H5848,K5848),IF(H5848="EI",4,IF(H5848="EO",5.2,IF(H5848="EQ",3.9,IF(H5848="ILF",7.5,IF(H5848="EIF",5.4)))))))</f>
        <v/>
      </c>
      <c r="M5848" s="112" t="str">
        <f t="shared" si="94"/>
        <v/>
      </c>
      <c r="N5848" s="113"/>
    </row>
    <row r="5849" spans="2:14">
      <c r="B5849" s="105"/>
      <c r="C5849" s="106"/>
      <c r="D5849" s="107"/>
      <c r="E5849" s="65"/>
      <c r="F5849" s="64"/>
      <c r="G5849" s="64"/>
      <c r="H5849" s="64"/>
      <c r="I5849" s="70"/>
      <c r="J5849" s="70"/>
      <c r="K5849" s="110" t="str">
        <f>IF(H5849="","",IF($C$29="간이법","",FPR(H5849,I5849,J5849)))</f>
        <v/>
      </c>
      <c r="L5849" s="111" t="str">
        <f>IF(H5849="","",IF($C$29="상세법",FPV(H5849,K5849),IF(H5849="EI",4,IF(H5849="EO",5.2,IF(H5849="EQ",3.9,IF(H5849="ILF",7.5,IF(H5849="EIF",5.4)))))))</f>
        <v/>
      </c>
      <c r="M5849" s="112" t="str">
        <f t="shared" si="94"/>
        <v/>
      </c>
      <c r="N5849" s="113"/>
    </row>
    <row r="5850" spans="2:14">
      <c r="B5850" s="105"/>
      <c r="C5850" s="106"/>
      <c r="D5850" s="107"/>
      <c r="E5850" s="65"/>
      <c r="F5850" s="64"/>
      <c r="G5850" s="64"/>
      <c r="H5850" s="64"/>
      <c r="I5850" s="70"/>
      <c r="J5850" s="70"/>
      <c r="K5850" s="110" t="str">
        <f>IF(H5850="","",IF($C$29="간이법","",FPR(H5850,I5850,J5850)))</f>
        <v/>
      </c>
      <c r="L5850" s="111" t="str">
        <f>IF(H5850="","",IF($C$29="상세법",FPV(H5850,K5850),IF(H5850="EI",4,IF(H5850="EO",5.2,IF(H5850="EQ",3.9,IF(H5850="ILF",7.5,IF(H5850="EIF",5.4)))))))</f>
        <v/>
      </c>
      <c r="M5850" s="112" t="str">
        <f t="shared" si="94"/>
        <v/>
      </c>
      <c r="N5850" s="113"/>
    </row>
    <row r="5851" spans="2:14">
      <c r="B5851" s="105"/>
      <c r="C5851" s="106"/>
      <c r="D5851" s="107"/>
      <c r="E5851" s="65"/>
      <c r="F5851" s="64"/>
      <c r="G5851" s="64"/>
      <c r="H5851" s="64"/>
      <c r="I5851" s="70"/>
      <c r="J5851" s="70"/>
      <c r="K5851" s="110" t="str">
        <f>IF(H5851="","",IF($C$29="간이법","",FPR(H5851,I5851,J5851)))</f>
        <v/>
      </c>
      <c r="L5851" s="111" t="str">
        <f>IF(H5851="","",IF($C$29="상세법",FPV(H5851,K5851),IF(H5851="EI",4,IF(H5851="EO",5.2,IF(H5851="EQ",3.9,IF(H5851="ILF",7.5,IF(H5851="EIF",5.4)))))))</f>
        <v/>
      </c>
      <c r="M5851" s="112" t="str">
        <f t="shared" si="94"/>
        <v/>
      </c>
      <c r="N5851" s="113"/>
    </row>
    <row r="5852" spans="2:14">
      <c r="B5852" s="105"/>
      <c r="C5852" s="106"/>
      <c r="D5852" s="107"/>
      <c r="E5852" s="65"/>
      <c r="F5852" s="64"/>
      <c r="G5852" s="64"/>
      <c r="H5852" s="64"/>
      <c r="I5852" s="70"/>
      <c r="J5852" s="70"/>
      <c r="K5852" s="110" t="str">
        <f>IF(H5852="","",IF($C$29="간이법","",FPR(H5852,I5852,J5852)))</f>
        <v/>
      </c>
      <c r="L5852" s="111" t="str">
        <f>IF(H5852="","",IF($C$29="상세법",FPV(H5852,K5852),IF(H5852="EI",4,IF(H5852="EO",5.2,IF(H5852="EQ",3.9,IF(H5852="ILF",7.5,IF(H5852="EIF",5.4)))))))</f>
        <v/>
      </c>
      <c r="M5852" s="112" t="str">
        <f t="shared" si="94"/>
        <v/>
      </c>
      <c r="N5852" s="113"/>
    </row>
    <row r="5853" spans="2:14">
      <c r="B5853" s="105"/>
      <c r="C5853" s="106"/>
      <c r="D5853" s="107"/>
      <c r="E5853" s="65"/>
      <c r="F5853" s="64"/>
      <c r="G5853" s="64"/>
      <c r="H5853" s="64"/>
      <c r="I5853" s="70"/>
      <c r="J5853" s="70"/>
      <c r="K5853" s="110" t="str">
        <f>IF(H5853="","",IF($C$29="간이법","",FPR(H5853,I5853,J5853)))</f>
        <v/>
      </c>
      <c r="L5853" s="111" t="str">
        <f>IF(H5853="","",IF($C$29="상세법",FPV(H5853,K5853),IF(H5853="EI",4,IF(H5853="EO",5.2,IF(H5853="EQ",3.9,IF(H5853="ILF",7.5,IF(H5853="EIF",5.4)))))))</f>
        <v/>
      </c>
      <c r="M5853" s="112" t="str">
        <f t="shared" si="94"/>
        <v/>
      </c>
      <c r="N5853" s="113"/>
    </row>
    <row r="5854" spans="2:14">
      <c r="B5854" s="105"/>
      <c r="C5854" s="106"/>
      <c r="D5854" s="107"/>
      <c r="E5854" s="65"/>
      <c r="F5854" s="64"/>
      <c r="G5854" s="64"/>
      <c r="H5854" s="64"/>
      <c r="I5854" s="70"/>
      <c r="J5854" s="70"/>
      <c r="K5854" s="110" t="str">
        <f>IF(H5854="","",IF($C$29="간이법","",FPR(H5854,I5854,J5854)))</f>
        <v/>
      </c>
      <c r="L5854" s="111" t="str">
        <f>IF(H5854="","",IF($C$29="상세법",FPV(H5854,K5854),IF(H5854="EI",4,IF(H5854="EO",5.2,IF(H5854="EQ",3.9,IF(H5854="ILF",7.5,IF(H5854="EIF",5.4)))))))</f>
        <v/>
      </c>
      <c r="M5854" s="112" t="str">
        <f t="shared" si="94"/>
        <v/>
      </c>
      <c r="N5854" s="113"/>
    </row>
    <row r="5855" spans="2:14">
      <c r="B5855" s="105"/>
      <c r="C5855" s="106"/>
      <c r="D5855" s="107"/>
      <c r="E5855" s="65"/>
      <c r="F5855" s="64"/>
      <c r="G5855" s="64"/>
      <c r="H5855" s="64"/>
      <c r="I5855" s="70"/>
      <c r="J5855" s="70"/>
      <c r="K5855" s="110" t="str">
        <f>IF(H5855="","",IF($C$29="간이법","",FPR(H5855,I5855,J5855)))</f>
        <v/>
      </c>
      <c r="L5855" s="111" t="str">
        <f>IF(H5855="","",IF($C$29="상세법",FPV(H5855,K5855),IF(H5855="EI",4,IF(H5855="EO",5.2,IF(H5855="EQ",3.9,IF(H5855="ILF",7.5,IF(H5855="EIF",5.4)))))))</f>
        <v/>
      </c>
      <c r="M5855" s="112" t="str">
        <f t="shared" si="94"/>
        <v/>
      </c>
      <c r="N5855" s="113"/>
    </row>
    <row r="5856" spans="2:14">
      <c r="B5856" s="105"/>
      <c r="C5856" s="106"/>
      <c r="D5856" s="107"/>
      <c r="E5856" s="65"/>
      <c r="F5856" s="64"/>
      <c r="G5856" s="64"/>
      <c r="H5856" s="64"/>
      <c r="I5856" s="70"/>
      <c r="J5856" s="70"/>
      <c r="K5856" s="110" t="str">
        <f>IF(H5856="","",IF($C$29="간이법","",FPR(H5856,I5856,J5856)))</f>
        <v/>
      </c>
      <c r="L5856" s="111" t="str">
        <f>IF(H5856="","",IF($C$29="상세법",FPV(H5856,K5856),IF(H5856="EI",4,IF(H5856="EO",5.2,IF(H5856="EQ",3.9,IF(H5856="ILF",7.5,IF(H5856="EIF",5.4)))))))</f>
        <v/>
      </c>
      <c r="M5856" s="112" t="str">
        <f t="shared" si="94"/>
        <v/>
      </c>
      <c r="N5856" s="113"/>
    </row>
    <row r="5857" spans="2:14">
      <c r="B5857" s="105"/>
      <c r="C5857" s="106"/>
      <c r="D5857" s="107"/>
      <c r="E5857" s="65"/>
      <c r="F5857" s="64"/>
      <c r="G5857" s="64"/>
      <c r="H5857" s="64"/>
      <c r="I5857" s="70"/>
      <c r="J5857" s="70"/>
      <c r="K5857" s="110" t="str">
        <f>IF(H5857="","",IF($C$29="간이법","",FPR(H5857,I5857,J5857)))</f>
        <v/>
      </c>
      <c r="L5857" s="111" t="str">
        <f>IF(H5857="","",IF($C$29="상세법",FPV(H5857,K5857),IF(H5857="EI",4,IF(H5857="EO",5.2,IF(H5857="EQ",3.9,IF(H5857="ILF",7.5,IF(H5857="EIF",5.4)))))))</f>
        <v/>
      </c>
      <c r="M5857" s="112" t="str">
        <f t="shared" si="94"/>
        <v/>
      </c>
      <c r="N5857" s="113"/>
    </row>
    <row r="5858" spans="2:14">
      <c r="B5858" s="105"/>
      <c r="C5858" s="106"/>
      <c r="D5858" s="107"/>
      <c r="E5858" s="65"/>
      <c r="F5858" s="64"/>
      <c r="G5858" s="64"/>
      <c r="H5858" s="64"/>
      <c r="I5858" s="70"/>
      <c r="J5858" s="70"/>
      <c r="K5858" s="110" t="str">
        <f>IF(H5858="","",IF($C$29="간이법","",FPR(H5858,I5858,J5858)))</f>
        <v/>
      </c>
      <c r="L5858" s="111" t="str">
        <f>IF(H5858="","",IF($C$29="상세법",FPV(H5858,K5858),IF(H5858="EI",4,IF(H5858="EO",5.2,IF(H5858="EQ",3.9,IF(H5858="ILF",7.5,IF(H5858="EIF",5.4)))))))</f>
        <v/>
      </c>
      <c r="M5858" s="112" t="str">
        <f t="shared" si="94"/>
        <v/>
      </c>
      <c r="N5858" s="113"/>
    </row>
    <row r="5859" spans="2:14">
      <c r="B5859" s="105"/>
      <c r="C5859" s="106"/>
      <c r="D5859" s="107"/>
      <c r="E5859" s="65"/>
      <c r="F5859" s="64"/>
      <c r="G5859" s="64"/>
      <c r="H5859" s="64"/>
      <c r="I5859" s="70"/>
      <c r="J5859" s="70"/>
      <c r="K5859" s="110" t="str">
        <f>IF(H5859="","",IF($C$29="간이법","",FPR(H5859,I5859,J5859)))</f>
        <v/>
      </c>
      <c r="L5859" s="111" t="str">
        <f>IF(H5859="","",IF($C$29="상세법",FPV(H5859,K5859),IF(H5859="EI",4,IF(H5859="EO",5.2,IF(H5859="EQ",3.9,IF(H5859="ILF",7.5,IF(H5859="EIF",5.4)))))))</f>
        <v/>
      </c>
      <c r="M5859" s="112" t="str">
        <f t="shared" si="94"/>
        <v/>
      </c>
      <c r="N5859" s="113"/>
    </row>
    <row r="5860" spans="2:14">
      <c r="B5860" s="105"/>
      <c r="C5860" s="106"/>
      <c r="D5860" s="107"/>
      <c r="E5860" s="65"/>
      <c r="F5860" s="64"/>
      <c r="G5860" s="64"/>
      <c r="H5860" s="64"/>
      <c r="I5860" s="70"/>
      <c r="J5860" s="70"/>
      <c r="K5860" s="110" t="str">
        <f>IF(H5860="","",IF($C$29="간이법","",FPR(H5860,I5860,J5860)))</f>
        <v/>
      </c>
      <c r="L5860" s="111" t="str">
        <f>IF(H5860="","",IF($C$29="상세법",FPV(H5860,K5860),IF(H5860="EI",4,IF(H5860="EO",5.2,IF(H5860="EQ",3.9,IF(H5860="ILF",7.5,IF(H5860="EIF",5.4)))))))</f>
        <v/>
      </c>
      <c r="M5860" s="112" t="str">
        <f t="shared" si="94"/>
        <v/>
      </c>
      <c r="N5860" s="113"/>
    </row>
    <row r="5861" spans="2:14">
      <c r="B5861" s="105"/>
      <c r="C5861" s="106"/>
      <c r="D5861" s="107"/>
      <c r="E5861" s="65"/>
      <c r="F5861" s="64"/>
      <c r="G5861" s="64"/>
      <c r="H5861" s="64"/>
      <c r="I5861" s="70"/>
      <c r="J5861" s="70"/>
      <c r="K5861" s="110" t="str">
        <f>IF(H5861="","",IF($C$29="간이법","",FPR(H5861,I5861,J5861)))</f>
        <v/>
      </c>
      <c r="L5861" s="111" t="str">
        <f>IF(H5861="","",IF($C$29="상세법",FPV(H5861,K5861),IF(H5861="EI",4,IF(H5861="EO",5.2,IF(H5861="EQ",3.9,IF(H5861="ILF",7.5,IF(H5861="EIF",5.4)))))))</f>
        <v/>
      </c>
      <c r="M5861" s="112" t="str">
        <f t="shared" si="94"/>
        <v/>
      </c>
      <c r="N5861" s="113"/>
    </row>
    <row r="5862" spans="2:14">
      <c r="B5862" s="105"/>
      <c r="C5862" s="106"/>
      <c r="D5862" s="107"/>
      <c r="E5862" s="65"/>
      <c r="F5862" s="64"/>
      <c r="G5862" s="64"/>
      <c r="H5862" s="64"/>
      <c r="I5862" s="70"/>
      <c r="J5862" s="70"/>
      <c r="K5862" s="110" t="str">
        <f>IF(H5862="","",IF($C$29="간이법","",FPR(H5862,I5862,J5862)))</f>
        <v/>
      </c>
      <c r="L5862" s="111" t="str">
        <f>IF(H5862="","",IF($C$29="상세법",FPV(H5862,K5862),IF(H5862="EI",4,IF(H5862="EO",5.2,IF(H5862="EQ",3.9,IF(H5862="ILF",7.5,IF(H5862="EIF",5.4)))))))</f>
        <v/>
      </c>
      <c r="M5862" s="112" t="str">
        <f t="shared" si="94"/>
        <v/>
      </c>
      <c r="N5862" s="113"/>
    </row>
    <row r="5863" spans="2:14">
      <c r="B5863" s="105"/>
      <c r="C5863" s="106"/>
      <c r="D5863" s="107"/>
      <c r="E5863" s="65"/>
      <c r="F5863" s="64"/>
      <c r="G5863" s="64"/>
      <c r="H5863" s="64"/>
      <c r="I5863" s="70"/>
      <c r="J5863" s="70"/>
      <c r="K5863" s="110" t="str">
        <f>IF(H5863="","",IF($C$29="간이법","",FPR(H5863,I5863,J5863)))</f>
        <v/>
      </c>
      <c r="L5863" s="111" t="str">
        <f>IF(H5863="","",IF($C$29="상세법",FPV(H5863,K5863),IF(H5863="EI",4,IF(H5863="EO",5.2,IF(H5863="EQ",3.9,IF(H5863="ILF",7.5,IF(H5863="EIF",5.4)))))))</f>
        <v/>
      </c>
      <c r="M5863" s="112" t="str">
        <f t="shared" si="94"/>
        <v/>
      </c>
      <c r="N5863" s="113"/>
    </row>
    <row r="5864" spans="2:14">
      <c r="B5864" s="105"/>
      <c r="C5864" s="106"/>
      <c r="D5864" s="107"/>
      <c r="E5864" s="65"/>
      <c r="F5864" s="64"/>
      <c r="G5864" s="64"/>
      <c r="H5864" s="64"/>
      <c r="I5864" s="70"/>
      <c r="J5864" s="70"/>
      <c r="K5864" s="110" t="str">
        <f>IF(H5864="","",IF($C$29="간이법","",FPR(H5864,I5864,J5864)))</f>
        <v/>
      </c>
      <c r="L5864" s="111" t="str">
        <f>IF(H5864="","",IF($C$29="상세법",FPV(H5864,K5864),IF(H5864="EI",4,IF(H5864="EO",5.2,IF(H5864="EQ",3.9,IF(H5864="ILF",7.5,IF(H5864="EIF",5.4)))))))</f>
        <v/>
      </c>
      <c r="M5864" s="112" t="str">
        <f t="shared" si="94"/>
        <v/>
      </c>
      <c r="N5864" s="113"/>
    </row>
    <row r="5865" spans="2:14">
      <c r="B5865" s="105"/>
      <c r="C5865" s="106"/>
      <c r="D5865" s="107"/>
      <c r="E5865" s="65"/>
      <c r="F5865" s="64"/>
      <c r="G5865" s="64"/>
      <c r="H5865" s="64"/>
      <c r="I5865" s="70"/>
      <c r="J5865" s="70"/>
      <c r="K5865" s="110" t="str">
        <f>IF(H5865="","",IF($C$29="간이법","",FPR(H5865,I5865,J5865)))</f>
        <v/>
      </c>
      <c r="L5865" s="111" t="str">
        <f>IF(H5865="","",IF($C$29="상세법",FPV(H5865,K5865),IF(H5865="EI",4,IF(H5865="EO",5.2,IF(H5865="EQ",3.9,IF(H5865="ILF",7.5,IF(H5865="EIF",5.4)))))))</f>
        <v/>
      </c>
      <c r="M5865" s="112" t="str">
        <f t="shared" si="94"/>
        <v/>
      </c>
      <c r="N5865" s="113"/>
    </row>
    <row r="5866" spans="2:14">
      <c r="B5866" s="105"/>
      <c r="C5866" s="106"/>
      <c r="D5866" s="107"/>
      <c r="E5866" s="65"/>
      <c r="F5866" s="64"/>
      <c r="G5866" s="64"/>
      <c r="H5866" s="64"/>
      <c r="I5866" s="70"/>
      <c r="J5866" s="70"/>
      <c r="K5866" s="110" t="str">
        <f>IF(H5866="","",IF($C$29="간이법","",FPR(H5866,I5866,J5866)))</f>
        <v/>
      </c>
      <c r="L5866" s="111" t="str">
        <f>IF(H5866="","",IF($C$29="상세법",FPV(H5866,K5866),IF(H5866="EI",4,IF(H5866="EO",5.2,IF(H5866="EQ",3.9,IF(H5866="ILF",7.5,IF(H5866="EIF",5.4)))))))</f>
        <v/>
      </c>
      <c r="M5866" s="112" t="str">
        <f t="shared" si="94"/>
        <v/>
      </c>
      <c r="N5866" s="113"/>
    </row>
    <row r="5867" spans="2:14">
      <c r="B5867" s="105"/>
      <c r="C5867" s="106"/>
      <c r="D5867" s="107"/>
      <c r="E5867" s="65"/>
      <c r="F5867" s="64"/>
      <c r="G5867" s="64"/>
      <c r="H5867" s="64"/>
      <c r="I5867" s="70"/>
      <c r="J5867" s="70"/>
      <c r="K5867" s="110" t="str">
        <f>IF(H5867="","",IF($C$29="간이법","",FPR(H5867,I5867,J5867)))</f>
        <v/>
      </c>
      <c r="L5867" s="111" t="str">
        <f>IF(H5867="","",IF($C$29="상세법",FPV(H5867,K5867),IF(H5867="EI",4,IF(H5867="EO",5.2,IF(H5867="EQ",3.9,IF(H5867="ILF",7.5,IF(H5867="EIF",5.4)))))))</f>
        <v/>
      </c>
      <c r="M5867" s="112" t="str">
        <f t="shared" si="94"/>
        <v/>
      </c>
      <c r="N5867" s="113"/>
    </row>
    <row r="5868" spans="2:14">
      <c r="B5868" s="105"/>
      <c r="C5868" s="106"/>
      <c r="D5868" s="107"/>
      <c r="E5868" s="65"/>
      <c r="F5868" s="64"/>
      <c r="G5868" s="64"/>
      <c r="H5868" s="64"/>
      <c r="I5868" s="70"/>
      <c r="J5868" s="70"/>
      <c r="K5868" s="110" t="str">
        <f>IF(H5868="","",IF($C$29="간이법","",FPR(H5868,I5868,J5868)))</f>
        <v/>
      </c>
      <c r="L5868" s="111" t="str">
        <f>IF(H5868="","",IF($C$29="상세법",FPV(H5868,K5868),IF(H5868="EI",4,IF(H5868="EO",5.2,IF(H5868="EQ",3.9,IF(H5868="ILF",7.5,IF(H5868="EIF",5.4)))))))</f>
        <v/>
      </c>
      <c r="M5868" s="112" t="str">
        <f t="shared" si="94"/>
        <v/>
      </c>
      <c r="N5868" s="113"/>
    </row>
    <row r="5869" spans="2:14">
      <c r="B5869" s="105"/>
      <c r="C5869" s="106"/>
      <c r="D5869" s="107"/>
      <c r="E5869" s="65"/>
      <c r="F5869" s="64"/>
      <c r="G5869" s="64"/>
      <c r="H5869" s="64"/>
      <c r="I5869" s="70"/>
      <c r="J5869" s="70"/>
      <c r="K5869" s="110" t="str">
        <f>IF(H5869="","",IF($C$29="간이법","",FPR(H5869,I5869,J5869)))</f>
        <v/>
      </c>
      <c r="L5869" s="111" t="str">
        <f>IF(H5869="","",IF($C$29="상세법",FPV(H5869,K5869),IF(H5869="EI",4,IF(H5869="EO",5.2,IF(H5869="EQ",3.9,IF(H5869="ILF",7.5,IF(H5869="EIF",5.4)))))))</f>
        <v/>
      </c>
      <c r="M5869" s="112" t="str">
        <f t="shared" si="94"/>
        <v/>
      </c>
      <c r="N5869" s="113"/>
    </row>
    <row r="5870" spans="2:14">
      <c r="B5870" s="105"/>
      <c r="C5870" s="106"/>
      <c r="D5870" s="107"/>
      <c r="E5870" s="65"/>
      <c r="F5870" s="64"/>
      <c r="G5870" s="64"/>
      <c r="H5870" s="64"/>
      <c r="I5870" s="70"/>
      <c r="J5870" s="70"/>
      <c r="K5870" s="110" t="str">
        <f>IF(H5870="","",IF($C$29="간이법","",FPR(H5870,I5870,J5870)))</f>
        <v/>
      </c>
      <c r="L5870" s="111" t="str">
        <f>IF(H5870="","",IF($C$29="상세법",FPV(H5870,K5870),IF(H5870="EI",4,IF(H5870="EO",5.2,IF(H5870="EQ",3.9,IF(H5870="ILF",7.5,IF(H5870="EIF",5.4)))))))</f>
        <v/>
      </c>
      <c r="M5870" s="112" t="str">
        <f t="shared" si="94"/>
        <v/>
      </c>
      <c r="N5870" s="113"/>
    </row>
    <row r="5871" spans="2:14">
      <c r="B5871" s="105"/>
      <c r="C5871" s="106"/>
      <c r="D5871" s="107"/>
      <c r="E5871" s="65"/>
      <c r="F5871" s="64"/>
      <c r="G5871" s="64"/>
      <c r="H5871" s="64"/>
      <c r="I5871" s="70"/>
      <c r="J5871" s="70"/>
      <c r="K5871" s="110" t="str">
        <f>IF(H5871="","",IF($C$29="간이법","",FPR(H5871,I5871,J5871)))</f>
        <v/>
      </c>
      <c r="L5871" s="111" t="str">
        <f>IF(H5871="","",IF($C$29="상세법",FPV(H5871,K5871),IF(H5871="EI",4,IF(H5871="EO",5.2,IF(H5871="EQ",3.9,IF(H5871="ILF",7.5,IF(H5871="EIF",5.4)))))))</f>
        <v/>
      </c>
      <c r="M5871" s="112" t="str">
        <f t="shared" si="94"/>
        <v/>
      </c>
      <c r="N5871" s="113"/>
    </row>
    <row r="5872" spans="2:14">
      <c r="B5872" s="105"/>
      <c r="C5872" s="106"/>
      <c r="D5872" s="107"/>
      <c r="E5872" s="65"/>
      <c r="F5872" s="64"/>
      <c r="G5872" s="64"/>
      <c r="H5872" s="64"/>
      <c r="I5872" s="70"/>
      <c r="J5872" s="70"/>
      <c r="K5872" s="110" t="str">
        <f>IF(H5872="","",IF($C$29="간이법","",FPR(H5872,I5872,J5872)))</f>
        <v/>
      </c>
      <c r="L5872" s="111" t="str">
        <f>IF(H5872="","",IF($C$29="상세법",FPV(H5872,K5872),IF(H5872="EI",4,IF(H5872="EO",5.2,IF(H5872="EQ",3.9,IF(H5872="ILF",7.5,IF(H5872="EIF",5.4)))))))</f>
        <v/>
      </c>
      <c r="M5872" s="112" t="str">
        <f t="shared" si="94"/>
        <v/>
      </c>
      <c r="N5872" s="113"/>
    </row>
    <row r="5873" spans="2:14">
      <c r="B5873" s="105"/>
      <c r="C5873" s="106"/>
      <c r="D5873" s="107"/>
      <c r="E5873" s="65"/>
      <c r="F5873" s="64"/>
      <c r="G5873" s="64"/>
      <c r="H5873" s="64"/>
      <c r="I5873" s="70"/>
      <c r="J5873" s="70"/>
      <c r="K5873" s="110" t="str">
        <f>IF(H5873="","",IF($C$29="간이법","",FPR(H5873,I5873,J5873)))</f>
        <v/>
      </c>
      <c r="L5873" s="111" t="str">
        <f>IF(H5873="","",IF($C$29="상세법",FPV(H5873,K5873),IF(H5873="EI",4,IF(H5873="EO",5.2,IF(H5873="EQ",3.9,IF(H5873="ILF",7.5,IF(H5873="EIF",5.4)))))))</f>
        <v/>
      </c>
      <c r="M5873" s="112" t="str">
        <f t="shared" si="94"/>
        <v/>
      </c>
      <c r="N5873" s="113"/>
    </row>
    <row r="5874" spans="2:14">
      <c r="B5874" s="105"/>
      <c r="C5874" s="106"/>
      <c r="D5874" s="107"/>
      <c r="E5874" s="65"/>
      <c r="F5874" s="64"/>
      <c r="G5874" s="64"/>
      <c r="H5874" s="64"/>
      <c r="I5874" s="70"/>
      <c r="J5874" s="70"/>
      <c r="K5874" s="110" t="str">
        <f>IF(H5874="","",IF($C$29="간이법","",FPR(H5874,I5874,J5874)))</f>
        <v/>
      </c>
      <c r="L5874" s="111" t="str">
        <f>IF(H5874="","",IF($C$29="상세법",FPV(H5874,K5874),IF(H5874="EI",4,IF(H5874="EO",5.2,IF(H5874="EQ",3.9,IF(H5874="ILF",7.5,IF(H5874="EIF",5.4)))))))</f>
        <v/>
      </c>
      <c r="M5874" s="112" t="str">
        <f t="shared" si="94"/>
        <v/>
      </c>
      <c r="N5874" s="113"/>
    </row>
    <row r="5875" spans="2:14">
      <c r="B5875" s="105"/>
      <c r="C5875" s="106"/>
      <c r="D5875" s="107"/>
      <c r="E5875" s="65"/>
      <c r="F5875" s="64"/>
      <c r="G5875" s="64"/>
      <c r="H5875" s="64"/>
      <c r="I5875" s="70"/>
      <c r="J5875" s="70"/>
      <c r="K5875" s="110" t="str">
        <f>IF(H5875="","",IF($C$29="간이법","",FPR(H5875,I5875,J5875)))</f>
        <v/>
      </c>
      <c r="L5875" s="111" t="str">
        <f>IF(H5875="","",IF($C$29="상세법",FPV(H5875,K5875),IF(H5875="EI",4,IF(H5875="EO",5.2,IF(H5875="EQ",3.9,IF(H5875="ILF",7.5,IF(H5875="EIF",5.4)))))))</f>
        <v/>
      </c>
      <c r="M5875" s="112" t="str">
        <f t="shared" si="94"/>
        <v/>
      </c>
      <c r="N5875" s="113"/>
    </row>
    <row r="5876" spans="2:14">
      <c r="B5876" s="105"/>
      <c r="C5876" s="106"/>
      <c r="D5876" s="107"/>
      <c r="E5876" s="65"/>
      <c r="F5876" s="64"/>
      <c r="G5876" s="64"/>
      <c r="H5876" s="64"/>
      <c r="I5876" s="70"/>
      <c r="J5876" s="70"/>
      <c r="K5876" s="110" t="str">
        <f>IF(H5876="","",IF($C$29="간이법","",FPR(H5876,I5876,J5876)))</f>
        <v/>
      </c>
      <c r="L5876" s="111" t="str">
        <f>IF(H5876="","",IF($C$29="상세법",FPV(H5876,K5876),IF(H5876="EI",4,IF(H5876="EO",5.2,IF(H5876="EQ",3.9,IF(H5876="ILF",7.5,IF(H5876="EIF",5.4)))))))</f>
        <v/>
      </c>
      <c r="M5876" s="112" t="str">
        <f t="shared" si="94"/>
        <v/>
      </c>
      <c r="N5876" s="113"/>
    </row>
    <row r="5877" spans="2:14">
      <c r="B5877" s="105"/>
      <c r="C5877" s="106"/>
      <c r="D5877" s="107"/>
      <c r="E5877" s="65"/>
      <c r="F5877" s="64"/>
      <c r="G5877" s="64"/>
      <c r="H5877" s="64"/>
      <c r="I5877" s="70"/>
      <c r="J5877" s="70"/>
      <c r="K5877" s="110" t="str">
        <f>IF(H5877="","",IF($C$29="간이법","",FPR(H5877,I5877,J5877)))</f>
        <v/>
      </c>
      <c r="L5877" s="111" t="str">
        <f>IF(H5877="","",IF($C$29="상세법",FPV(H5877,K5877),IF(H5877="EI",4,IF(H5877="EO",5.2,IF(H5877="EQ",3.9,IF(H5877="ILF",7.5,IF(H5877="EIF",5.4)))))))</f>
        <v/>
      </c>
      <c r="M5877" s="112" t="str">
        <f t="shared" si="94"/>
        <v/>
      </c>
      <c r="N5877" s="113"/>
    </row>
    <row r="5878" spans="2:14">
      <c r="B5878" s="105"/>
      <c r="C5878" s="106"/>
      <c r="D5878" s="107"/>
      <c r="E5878" s="65"/>
      <c r="F5878" s="64"/>
      <c r="G5878" s="64"/>
      <c r="H5878" s="64"/>
      <c r="I5878" s="70"/>
      <c r="J5878" s="70"/>
      <c r="K5878" s="110" t="str">
        <f>IF(H5878="","",IF($C$29="간이법","",FPR(H5878,I5878,J5878)))</f>
        <v/>
      </c>
      <c r="L5878" s="111" t="str">
        <f>IF(H5878="","",IF($C$29="상세법",FPV(H5878,K5878),IF(H5878="EI",4,IF(H5878="EO",5.2,IF(H5878="EQ",3.9,IF(H5878="ILF",7.5,IF(H5878="EIF",5.4)))))))</f>
        <v/>
      </c>
      <c r="M5878" s="112" t="str">
        <f t="shared" si="94"/>
        <v/>
      </c>
      <c r="N5878" s="113"/>
    </row>
    <row r="5879" spans="2:14">
      <c r="B5879" s="105"/>
      <c r="C5879" s="106"/>
      <c r="D5879" s="107"/>
      <c r="E5879" s="65"/>
      <c r="F5879" s="64"/>
      <c r="G5879" s="64"/>
      <c r="H5879" s="64"/>
      <c r="I5879" s="70"/>
      <c r="J5879" s="70"/>
      <c r="K5879" s="110" t="str">
        <f>IF(H5879="","",IF($C$29="간이법","",FPR(H5879,I5879,J5879)))</f>
        <v/>
      </c>
      <c r="L5879" s="111" t="str">
        <f>IF(H5879="","",IF($C$29="상세법",FPV(H5879,K5879),IF(H5879="EI",4,IF(H5879="EO",5.2,IF(H5879="EQ",3.9,IF(H5879="ILF",7.5,IF(H5879="EIF",5.4)))))))</f>
        <v/>
      </c>
      <c r="M5879" s="112" t="str">
        <f t="shared" si="94"/>
        <v/>
      </c>
      <c r="N5879" s="113"/>
    </row>
    <row r="5880" spans="2:14">
      <c r="B5880" s="105"/>
      <c r="C5880" s="106"/>
      <c r="D5880" s="107"/>
      <c r="E5880" s="65"/>
      <c r="F5880" s="64"/>
      <c r="G5880" s="64"/>
      <c r="H5880" s="64"/>
      <c r="I5880" s="70"/>
      <c r="J5880" s="70"/>
      <c r="K5880" s="110" t="str">
        <f>IF(H5880="","",IF($C$29="간이법","",FPR(H5880,I5880,J5880)))</f>
        <v/>
      </c>
      <c r="L5880" s="111" t="str">
        <f>IF(H5880="","",IF($C$29="상세법",FPV(H5880,K5880),IF(H5880="EI",4,IF(H5880="EO",5.2,IF(H5880="EQ",3.9,IF(H5880="ILF",7.5,IF(H5880="EIF",5.4)))))))</f>
        <v/>
      </c>
      <c r="M5880" s="112" t="str">
        <f t="shared" si="94"/>
        <v/>
      </c>
      <c r="N5880" s="113"/>
    </row>
    <row r="5881" spans="2:14">
      <c r="B5881" s="105"/>
      <c r="C5881" s="106"/>
      <c r="D5881" s="107"/>
      <c r="E5881" s="65"/>
      <c r="F5881" s="64"/>
      <c r="G5881" s="64"/>
      <c r="H5881" s="64"/>
      <c r="I5881" s="70"/>
      <c r="J5881" s="70"/>
      <c r="K5881" s="110" t="str">
        <f>IF(H5881="","",IF($C$29="간이법","",FPR(H5881,I5881,J5881)))</f>
        <v/>
      </c>
      <c r="L5881" s="111" t="str">
        <f>IF(H5881="","",IF($C$29="상세법",FPV(H5881,K5881),IF(H5881="EI",4,IF(H5881="EO",5.2,IF(H5881="EQ",3.9,IF(H5881="ILF",7.5,IF(H5881="EIF",5.4)))))))</f>
        <v/>
      </c>
      <c r="M5881" s="112" t="str">
        <f t="shared" ref="M5881:M5944" si="95">IF(L5881="","",L5881*IF(G5881="상",0.7,IF(G5881="중",0.5,IF(G5881="하",0.2,1))))</f>
        <v/>
      </c>
      <c r="N5881" s="113"/>
    </row>
    <row r="5882" spans="2:14">
      <c r="B5882" s="105"/>
      <c r="C5882" s="106"/>
      <c r="D5882" s="107"/>
      <c r="E5882" s="65"/>
      <c r="F5882" s="64"/>
      <c r="G5882" s="64"/>
      <c r="H5882" s="64"/>
      <c r="I5882" s="70"/>
      <c r="J5882" s="70"/>
      <c r="K5882" s="110" t="str">
        <f>IF(H5882="","",IF($C$29="간이법","",FPR(H5882,I5882,J5882)))</f>
        <v/>
      </c>
      <c r="L5882" s="111" t="str">
        <f>IF(H5882="","",IF($C$29="상세법",FPV(H5882,K5882),IF(H5882="EI",4,IF(H5882="EO",5.2,IF(H5882="EQ",3.9,IF(H5882="ILF",7.5,IF(H5882="EIF",5.4)))))))</f>
        <v/>
      </c>
      <c r="M5882" s="112" t="str">
        <f t="shared" si="95"/>
        <v/>
      </c>
      <c r="N5882" s="113"/>
    </row>
    <row r="5883" spans="2:14">
      <c r="B5883" s="105"/>
      <c r="C5883" s="106"/>
      <c r="D5883" s="107"/>
      <c r="E5883" s="65"/>
      <c r="F5883" s="64"/>
      <c r="G5883" s="64"/>
      <c r="H5883" s="64"/>
      <c r="I5883" s="70"/>
      <c r="J5883" s="70"/>
      <c r="K5883" s="110" t="str">
        <f>IF(H5883="","",IF($C$29="간이법","",FPR(H5883,I5883,J5883)))</f>
        <v/>
      </c>
      <c r="L5883" s="111" t="str">
        <f>IF(H5883="","",IF($C$29="상세법",FPV(H5883,K5883),IF(H5883="EI",4,IF(H5883="EO",5.2,IF(H5883="EQ",3.9,IF(H5883="ILF",7.5,IF(H5883="EIF",5.4)))))))</f>
        <v/>
      </c>
      <c r="M5883" s="112" t="str">
        <f t="shared" si="95"/>
        <v/>
      </c>
      <c r="N5883" s="113"/>
    </row>
    <row r="5884" spans="2:14">
      <c r="B5884" s="105"/>
      <c r="C5884" s="106"/>
      <c r="D5884" s="107"/>
      <c r="E5884" s="65"/>
      <c r="F5884" s="64"/>
      <c r="G5884" s="64"/>
      <c r="H5884" s="64"/>
      <c r="I5884" s="70"/>
      <c r="J5884" s="70"/>
      <c r="K5884" s="110" t="str">
        <f>IF(H5884="","",IF($C$29="간이법","",FPR(H5884,I5884,J5884)))</f>
        <v/>
      </c>
      <c r="L5884" s="111" t="str">
        <f>IF(H5884="","",IF($C$29="상세법",FPV(H5884,K5884),IF(H5884="EI",4,IF(H5884="EO",5.2,IF(H5884="EQ",3.9,IF(H5884="ILF",7.5,IF(H5884="EIF",5.4)))))))</f>
        <v/>
      </c>
      <c r="M5884" s="112" t="str">
        <f t="shared" si="95"/>
        <v/>
      </c>
      <c r="N5884" s="113"/>
    </row>
    <row r="5885" spans="2:14">
      <c r="B5885" s="105"/>
      <c r="C5885" s="106"/>
      <c r="D5885" s="107"/>
      <c r="E5885" s="65"/>
      <c r="F5885" s="64"/>
      <c r="G5885" s="64"/>
      <c r="H5885" s="64"/>
      <c r="I5885" s="70"/>
      <c r="J5885" s="70"/>
      <c r="K5885" s="110" t="str">
        <f>IF(H5885="","",IF($C$29="간이법","",FPR(H5885,I5885,J5885)))</f>
        <v/>
      </c>
      <c r="L5885" s="111" t="str">
        <f>IF(H5885="","",IF($C$29="상세법",FPV(H5885,K5885),IF(H5885="EI",4,IF(H5885="EO",5.2,IF(H5885="EQ",3.9,IF(H5885="ILF",7.5,IF(H5885="EIF",5.4)))))))</f>
        <v/>
      </c>
      <c r="M5885" s="112" t="str">
        <f t="shared" si="95"/>
        <v/>
      </c>
      <c r="N5885" s="113"/>
    </row>
    <row r="5886" spans="2:14">
      <c r="B5886" s="105"/>
      <c r="C5886" s="106"/>
      <c r="D5886" s="107"/>
      <c r="E5886" s="65"/>
      <c r="F5886" s="64"/>
      <c r="G5886" s="64"/>
      <c r="H5886" s="64"/>
      <c r="I5886" s="70"/>
      <c r="J5886" s="70"/>
      <c r="K5886" s="110" t="str">
        <f>IF(H5886="","",IF($C$29="간이법","",FPR(H5886,I5886,J5886)))</f>
        <v/>
      </c>
      <c r="L5886" s="111" t="str">
        <f>IF(H5886="","",IF($C$29="상세법",FPV(H5886,K5886),IF(H5886="EI",4,IF(H5886="EO",5.2,IF(H5886="EQ",3.9,IF(H5886="ILF",7.5,IF(H5886="EIF",5.4)))))))</f>
        <v/>
      </c>
      <c r="M5886" s="112" t="str">
        <f t="shared" si="95"/>
        <v/>
      </c>
      <c r="N5886" s="113"/>
    </row>
    <row r="5887" spans="2:14">
      <c r="B5887" s="105"/>
      <c r="C5887" s="106"/>
      <c r="D5887" s="107"/>
      <c r="E5887" s="65"/>
      <c r="F5887" s="64"/>
      <c r="G5887" s="64"/>
      <c r="H5887" s="64"/>
      <c r="I5887" s="70"/>
      <c r="J5887" s="70"/>
      <c r="K5887" s="110" t="str">
        <f>IF(H5887="","",IF($C$29="간이법","",FPR(H5887,I5887,J5887)))</f>
        <v/>
      </c>
      <c r="L5887" s="111" t="str">
        <f>IF(H5887="","",IF($C$29="상세법",FPV(H5887,K5887),IF(H5887="EI",4,IF(H5887="EO",5.2,IF(H5887="EQ",3.9,IF(H5887="ILF",7.5,IF(H5887="EIF",5.4)))))))</f>
        <v/>
      </c>
      <c r="M5887" s="112" t="str">
        <f t="shared" si="95"/>
        <v/>
      </c>
      <c r="N5887" s="113"/>
    </row>
    <row r="5888" spans="2:14">
      <c r="B5888" s="105"/>
      <c r="C5888" s="106"/>
      <c r="D5888" s="107"/>
      <c r="E5888" s="65"/>
      <c r="F5888" s="64"/>
      <c r="G5888" s="64"/>
      <c r="H5888" s="64"/>
      <c r="I5888" s="70"/>
      <c r="J5888" s="70"/>
      <c r="K5888" s="110" t="str">
        <f>IF(H5888="","",IF($C$29="간이법","",FPR(H5888,I5888,J5888)))</f>
        <v/>
      </c>
      <c r="L5888" s="111" t="str">
        <f>IF(H5888="","",IF($C$29="상세법",FPV(H5888,K5888),IF(H5888="EI",4,IF(H5888="EO",5.2,IF(H5888="EQ",3.9,IF(H5888="ILF",7.5,IF(H5888="EIF",5.4)))))))</f>
        <v/>
      </c>
      <c r="M5888" s="112" t="str">
        <f t="shared" si="95"/>
        <v/>
      </c>
      <c r="N5888" s="113"/>
    </row>
    <row r="5889" spans="2:14">
      <c r="B5889" s="105"/>
      <c r="C5889" s="106"/>
      <c r="D5889" s="107"/>
      <c r="E5889" s="65"/>
      <c r="F5889" s="64"/>
      <c r="G5889" s="64"/>
      <c r="H5889" s="64"/>
      <c r="I5889" s="70"/>
      <c r="J5889" s="70"/>
      <c r="K5889" s="110" t="str">
        <f>IF(H5889="","",IF($C$29="간이법","",FPR(H5889,I5889,J5889)))</f>
        <v/>
      </c>
      <c r="L5889" s="111" t="str">
        <f>IF(H5889="","",IF($C$29="상세법",FPV(H5889,K5889),IF(H5889="EI",4,IF(H5889="EO",5.2,IF(H5889="EQ",3.9,IF(H5889="ILF",7.5,IF(H5889="EIF",5.4)))))))</f>
        <v/>
      </c>
      <c r="M5889" s="112" t="str">
        <f t="shared" si="95"/>
        <v/>
      </c>
      <c r="N5889" s="113"/>
    </row>
    <row r="5890" spans="2:14">
      <c r="B5890" s="105"/>
      <c r="C5890" s="106"/>
      <c r="D5890" s="107"/>
      <c r="E5890" s="65"/>
      <c r="F5890" s="64"/>
      <c r="G5890" s="64"/>
      <c r="H5890" s="64"/>
      <c r="I5890" s="70"/>
      <c r="J5890" s="70"/>
      <c r="K5890" s="110" t="str">
        <f>IF(H5890="","",IF($C$29="간이법","",FPR(H5890,I5890,J5890)))</f>
        <v/>
      </c>
      <c r="L5890" s="111" t="str">
        <f>IF(H5890="","",IF($C$29="상세법",FPV(H5890,K5890),IF(H5890="EI",4,IF(H5890="EO",5.2,IF(H5890="EQ",3.9,IF(H5890="ILF",7.5,IF(H5890="EIF",5.4)))))))</f>
        <v/>
      </c>
      <c r="M5890" s="112" t="str">
        <f t="shared" si="95"/>
        <v/>
      </c>
      <c r="N5890" s="113"/>
    </row>
    <row r="5891" spans="2:14">
      <c r="B5891" s="105"/>
      <c r="C5891" s="106"/>
      <c r="D5891" s="107"/>
      <c r="E5891" s="65"/>
      <c r="F5891" s="64"/>
      <c r="G5891" s="64"/>
      <c r="H5891" s="64"/>
      <c r="I5891" s="70"/>
      <c r="J5891" s="70"/>
      <c r="K5891" s="110" t="str">
        <f>IF(H5891="","",IF($C$29="간이법","",FPR(H5891,I5891,J5891)))</f>
        <v/>
      </c>
      <c r="L5891" s="111" t="str">
        <f>IF(H5891="","",IF($C$29="상세법",FPV(H5891,K5891),IF(H5891="EI",4,IF(H5891="EO",5.2,IF(H5891="EQ",3.9,IF(H5891="ILF",7.5,IF(H5891="EIF",5.4)))))))</f>
        <v/>
      </c>
      <c r="M5891" s="112" t="str">
        <f t="shared" si="95"/>
        <v/>
      </c>
      <c r="N5891" s="113"/>
    </row>
    <row r="5892" spans="2:14">
      <c r="B5892" s="105"/>
      <c r="C5892" s="106"/>
      <c r="D5892" s="107"/>
      <c r="E5892" s="65"/>
      <c r="F5892" s="64"/>
      <c r="G5892" s="64"/>
      <c r="H5892" s="64"/>
      <c r="I5892" s="70"/>
      <c r="J5892" s="70"/>
      <c r="K5892" s="110" t="str">
        <f>IF(H5892="","",IF($C$29="간이법","",FPR(H5892,I5892,J5892)))</f>
        <v/>
      </c>
      <c r="L5892" s="111" t="str">
        <f>IF(H5892="","",IF($C$29="상세법",FPV(H5892,K5892),IF(H5892="EI",4,IF(H5892="EO",5.2,IF(H5892="EQ",3.9,IF(H5892="ILF",7.5,IF(H5892="EIF",5.4)))))))</f>
        <v/>
      </c>
      <c r="M5892" s="112" t="str">
        <f t="shared" si="95"/>
        <v/>
      </c>
      <c r="N5892" s="113"/>
    </row>
    <row r="5893" spans="2:14">
      <c r="B5893" s="105"/>
      <c r="C5893" s="106"/>
      <c r="D5893" s="107"/>
      <c r="E5893" s="65"/>
      <c r="F5893" s="64"/>
      <c r="G5893" s="64"/>
      <c r="H5893" s="64"/>
      <c r="I5893" s="70"/>
      <c r="J5893" s="70"/>
      <c r="K5893" s="110" t="str">
        <f>IF(H5893="","",IF($C$29="간이법","",FPR(H5893,I5893,J5893)))</f>
        <v/>
      </c>
      <c r="L5893" s="111" t="str">
        <f>IF(H5893="","",IF($C$29="상세법",FPV(H5893,K5893),IF(H5893="EI",4,IF(H5893="EO",5.2,IF(H5893="EQ",3.9,IF(H5893="ILF",7.5,IF(H5893="EIF",5.4)))))))</f>
        <v/>
      </c>
      <c r="M5893" s="112" t="str">
        <f t="shared" si="95"/>
        <v/>
      </c>
      <c r="N5893" s="113"/>
    </row>
    <row r="5894" spans="2:14">
      <c r="B5894" s="105"/>
      <c r="C5894" s="106"/>
      <c r="D5894" s="107"/>
      <c r="E5894" s="65"/>
      <c r="F5894" s="64"/>
      <c r="G5894" s="64"/>
      <c r="H5894" s="64"/>
      <c r="I5894" s="70"/>
      <c r="J5894" s="70"/>
      <c r="K5894" s="110" t="str">
        <f>IF(H5894="","",IF($C$29="간이법","",FPR(H5894,I5894,J5894)))</f>
        <v/>
      </c>
      <c r="L5894" s="111" t="str">
        <f>IF(H5894="","",IF($C$29="상세법",FPV(H5894,K5894),IF(H5894="EI",4,IF(H5894="EO",5.2,IF(H5894="EQ",3.9,IF(H5894="ILF",7.5,IF(H5894="EIF",5.4)))))))</f>
        <v/>
      </c>
      <c r="M5894" s="112" t="str">
        <f t="shared" si="95"/>
        <v/>
      </c>
      <c r="N5894" s="113"/>
    </row>
    <row r="5895" spans="2:14">
      <c r="B5895" s="105"/>
      <c r="C5895" s="106"/>
      <c r="D5895" s="107"/>
      <c r="E5895" s="65"/>
      <c r="F5895" s="64"/>
      <c r="G5895" s="64"/>
      <c r="H5895" s="64"/>
      <c r="I5895" s="70"/>
      <c r="J5895" s="70"/>
      <c r="K5895" s="110" t="str">
        <f>IF(H5895="","",IF($C$29="간이법","",FPR(H5895,I5895,J5895)))</f>
        <v/>
      </c>
      <c r="L5895" s="111" t="str">
        <f>IF(H5895="","",IF($C$29="상세법",FPV(H5895,K5895),IF(H5895="EI",4,IF(H5895="EO",5.2,IF(H5895="EQ",3.9,IF(H5895="ILF",7.5,IF(H5895="EIF",5.4)))))))</f>
        <v/>
      </c>
      <c r="M5895" s="112" t="str">
        <f t="shared" si="95"/>
        <v/>
      </c>
      <c r="N5895" s="113"/>
    </row>
    <row r="5896" spans="2:14">
      <c r="B5896" s="105"/>
      <c r="C5896" s="106"/>
      <c r="D5896" s="107"/>
      <c r="E5896" s="65"/>
      <c r="F5896" s="64"/>
      <c r="G5896" s="64"/>
      <c r="H5896" s="64"/>
      <c r="I5896" s="70"/>
      <c r="J5896" s="70"/>
      <c r="K5896" s="110" t="str">
        <f>IF(H5896="","",IF($C$29="간이법","",FPR(H5896,I5896,J5896)))</f>
        <v/>
      </c>
      <c r="L5896" s="111" t="str">
        <f>IF(H5896="","",IF($C$29="상세법",FPV(H5896,K5896),IF(H5896="EI",4,IF(H5896="EO",5.2,IF(H5896="EQ",3.9,IF(H5896="ILF",7.5,IF(H5896="EIF",5.4)))))))</f>
        <v/>
      </c>
      <c r="M5896" s="112" t="str">
        <f t="shared" si="95"/>
        <v/>
      </c>
      <c r="N5896" s="113"/>
    </row>
    <row r="5897" spans="2:14">
      <c r="B5897" s="105"/>
      <c r="C5897" s="106"/>
      <c r="D5897" s="107"/>
      <c r="E5897" s="65"/>
      <c r="F5897" s="64"/>
      <c r="G5897" s="64"/>
      <c r="H5897" s="64"/>
      <c r="I5897" s="70"/>
      <c r="J5897" s="70"/>
      <c r="K5897" s="110" t="str">
        <f>IF(H5897="","",IF($C$29="간이법","",FPR(H5897,I5897,J5897)))</f>
        <v/>
      </c>
      <c r="L5897" s="111" t="str">
        <f>IF(H5897="","",IF($C$29="상세법",FPV(H5897,K5897),IF(H5897="EI",4,IF(H5897="EO",5.2,IF(H5897="EQ",3.9,IF(H5897="ILF",7.5,IF(H5897="EIF",5.4)))))))</f>
        <v/>
      </c>
      <c r="M5897" s="112" t="str">
        <f t="shared" si="95"/>
        <v/>
      </c>
      <c r="N5897" s="113"/>
    </row>
    <row r="5898" spans="2:14">
      <c r="B5898" s="105"/>
      <c r="C5898" s="106"/>
      <c r="D5898" s="107"/>
      <c r="E5898" s="65"/>
      <c r="F5898" s="64"/>
      <c r="G5898" s="64"/>
      <c r="H5898" s="64"/>
      <c r="I5898" s="70"/>
      <c r="J5898" s="70"/>
      <c r="K5898" s="110" t="str">
        <f>IF(H5898="","",IF($C$29="간이법","",FPR(H5898,I5898,J5898)))</f>
        <v/>
      </c>
      <c r="L5898" s="111" t="str">
        <f>IF(H5898="","",IF($C$29="상세법",FPV(H5898,K5898),IF(H5898="EI",4,IF(H5898="EO",5.2,IF(H5898="EQ",3.9,IF(H5898="ILF",7.5,IF(H5898="EIF",5.4)))))))</f>
        <v/>
      </c>
      <c r="M5898" s="112" t="str">
        <f t="shared" si="95"/>
        <v/>
      </c>
      <c r="N5898" s="113"/>
    </row>
    <row r="5899" spans="2:14">
      <c r="B5899" s="105"/>
      <c r="C5899" s="106"/>
      <c r="D5899" s="107"/>
      <c r="E5899" s="65"/>
      <c r="F5899" s="64"/>
      <c r="G5899" s="64"/>
      <c r="H5899" s="64"/>
      <c r="I5899" s="70"/>
      <c r="J5899" s="70"/>
      <c r="K5899" s="110" t="str">
        <f>IF(H5899="","",IF($C$29="간이법","",FPR(H5899,I5899,J5899)))</f>
        <v/>
      </c>
      <c r="L5899" s="111" t="str">
        <f>IF(H5899="","",IF($C$29="상세법",FPV(H5899,K5899),IF(H5899="EI",4,IF(H5899="EO",5.2,IF(H5899="EQ",3.9,IF(H5899="ILF",7.5,IF(H5899="EIF",5.4)))))))</f>
        <v/>
      </c>
      <c r="M5899" s="112" t="str">
        <f t="shared" si="95"/>
        <v/>
      </c>
      <c r="N5899" s="113"/>
    </row>
    <row r="5900" spans="2:14">
      <c r="B5900" s="105"/>
      <c r="C5900" s="106"/>
      <c r="D5900" s="107"/>
      <c r="E5900" s="65"/>
      <c r="F5900" s="64"/>
      <c r="G5900" s="64"/>
      <c r="H5900" s="64"/>
      <c r="I5900" s="70"/>
      <c r="J5900" s="70"/>
      <c r="K5900" s="110" t="str">
        <f>IF(H5900="","",IF($C$29="간이법","",FPR(H5900,I5900,J5900)))</f>
        <v/>
      </c>
      <c r="L5900" s="111" t="str">
        <f>IF(H5900="","",IF($C$29="상세법",FPV(H5900,K5900),IF(H5900="EI",4,IF(H5900="EO",5.2,IF(H5900="EQ",3.9,IF(H5900="ILF",7.5,IF(H5900="EIF",5.4)))))))</f>
        <v/>
      </c>
      <c r="M5900" s="112" t="str">
        <f t="shared" si="95"/>
        <v/>
      </c>
      <c r="N5900" s="113"/>
    </row>
    <row r="5901" spans="2:14">
      <c r="B5901" s="105"/>
      <c r="C5901" s="106"/>
      <c r="D5901" s="107"/>
      <c r="E5901" s="65"/>
      <c r="F5901" s="64"/>
      <c r="G5901" s="64"/>
      <c r="H5901" s="64"/>
      <c r="I5901" s="70"/>
      <c r="J5901" s="70"/>
      <c r="K5901" s="110" t="str">
        <f>IF(H5901="","",IF($C$29="간이법","",FPR(H5901,I5901,J5901)))</f>
        <v/>
      </c>
      <c r="L5901" s="111" t="str">
        <f>IF(H5901="","",IF($C$29="상세법",FPV(H5901,K5901),IF(H5901="EI",4,IF(H5901="EO",5.2,IF(H5901="EQ",3.9,IF(H5901="ILF",7.5,IF(H5901="EIF",5.4)))))))</f>
        <v/>
      </c>
      <c r="M5901" s="112" t="str">
        <f t="shared" si="95"/>
        <v/>
      </c>
      <c r="N5901" s="113"/>
    </row>
    <row r="5902" spans="2:14">
      <c r="B5902" s="105"/>
      <c r="C5902" s="106"/>
      <c r="D5902" s="107"/>
      <c r="E5902" s="65"/>
      <c r="F5902" s="64"/>
      <c r="G5902" s="64"/>
      <c r="H5902" s="64"/>
      <c r="I5902" s="70"/>
      <c r="J5902" s="70"/>
      <c r="K5902" s="110" t="str">
        <f>IF(H5902="","",IF($C$29="간이법","",FPR(H5902,I5902,J5902)))</f>
        <v/>
      </c>
      <c r="L5902" s="111" t="str">
        <f>IF(H5902="","",IF($C$29="상세법",FPV(H5902,K5902),IF(H5902="EI",4,IF(H5902="EO",5.2,IF(H5902="EQ",3.9,IF(H5902="ILF",7.5,IF(H5902="EIF",5.4)))))))</f>
        <v/>
      </c>
      <c r="M5902" s="112" t="str">
        <f t="shared" si="95"/>
        <v/>
      </c>
      <c r="N5902" s="113"/>
    </row>
    <row r="5903" spans="2:14">
      <c r="B5903" s="105"/>
      <c r="C5903" s="106"/>
      <c r="D5903" s="107"/>
      <c r="E5903" s="65"/>
      <c r="F5903" s="64"/>
      <c r="G5903" s="64"/>
      <c r="H5903" s="64"/>
      <c r="I5903" s="70"/>
      <c r="J5903" s="70"/>
      <c r="K5903" s="110" t="str">
        <f>IF(H5903="","",IF($C$29="간이법","",FPR(H5903,I5903,J5903)))</f>
        <v/>
      </c>
      <c r="L5903" s="111" t="str">
        <f>IF(H5903="","",IF($C$29="상세법",FPV(H5903,K5903),IF(H5903="EI",4,IF(H5903="EO",5.2,IF(H5903="EQ",3.9,IF(H5903="ILF",7.5,IF(H5903="EIF",5.4)))))))</f>
        <v/>
      </c>
      <c r="M5903" s="112" t="str">
        <f t="shared" si="95"/>
        <v/>
      </c>
      <c r="N5903" s="113"/>
    </row>
    <row r="5904" spans="2:14">
      <c r="B5904" s="105"/>
      <c r="C5904" s="106"/>
      <c r="D5904" s="107"/>
      <c r="E5904" s="65"/>
      <c r="F5904" s="64"/>
      <c r="G5904" s="64"/>
      <c r="H5904" s="64"/>
      <c r="I5904" s="70"/>
      <c r="J5904" s="70"/>
      <c r="K5904" s="110" t="str">
        <f>IF(H5904="","",IF($C$29="간이법","",FPR(H5904,I5904,J5904)))</f>
        <v/>
      </c>
      <c r="L5904" s="111" t="str">
        <f>IF(H5904="","",IF($C$29="상세법",FPV(H5904,K5904),IF(H5904="EI",4,IF(H5904="EO",5.2,IF(H5904="EQ",3.9,IF(H5904="ILF",7.5,IF(H5904="EIF",5.4)))))))</f>
        <v/>
      </c>
      <c r="M5904" s="112" t="str">
        <f t="shared" si="95"/>
        <v/>
      </c>
      <c r="N5904" s="113"/>
    </row>
    <row r="5905" spans="2:14">
      <c r="B5905" s="105"/>
      <c r="C5905" s="106"/>
      <c r="D5905" s="107"/>
      <c r="E5905" s="65"/>
      <c r="F5905" s="64"/>
      <c r="G5905" s="64"/>
      <c r="H5905" s="64"/>
      <c r="I5905" s="70"/>
      <c r="J5905" s="70"/>
      <c r="K5905" s="110" t="str">
        <f>IF(H5905="","",IF($C$29="간이법","",FPR(H5905,I5905,J5905)))</f>
        <v/>
      </c>
      <c r="L5905" s="111" t="str">
        <f>IF(H5905="","",IF($C$29="상세법",FPV(H5905,K5905),IF(H5905="EI",4,IF(H5905="EO",5.2,IF(H5905="EQ",3.9,IF(H5905="ILF",7.5,IF(H5905="EIF",5.4)))))))</f>
        <v/>
      </c>
      <c r="M5905" s="112" t="str">
        <f t="shared" si="95"/>
        <v/>
      </c>
      <c r="N5905" s="113"/>
    </row>
    <row r="5906" spans="2:14">
      <c r="B5906" s="105"/>
      <c r="C5906" s="106"/>
      <c r="D5906" s="107"/>
      <c r="E5906" s="65"/>
      <c r="F5906" s="64"/>
      <c r="G5906" s="64"/>
      <c r="H5906" s="64"/>
      <c r="I5906" s="70"/>
      <c r="J5906" s="70"/>
      <c r="K5906" s="110" t="str">
        <f>IF(H5906="","",IF($C$29="간이법","",FPR(H5906,I5906,J5906)))</f>
        <v/>
      </c>
      <c r="L5906" s="111" t="str">
        <f>IF(H5906="","",IF($C$29="상세법",FPV(H5906,K5906),IF(H5906="EI",4,IF(H5906="EO",5.2,IF(H5906="EQ",3.9,IF(H5906="ILF",7.5,IF(H5906="EIF",5.4)))))))</f>
        <v/>
      </c>
      <c r="M5906" s="112" t="str">
        <f t="shared" si="95"/>
        <v/>
      </c>
      <c r="N5906" s="113"/>
    </row>
    <row r="5907" spans="2:14">
      <c r="B5907" s="105"/>
      <c r="C5907" s="106"/>
      <c r="D5907" s="107"/>
      <c r="E5907" s="65"/>
      <c r="F5907" s="64"/>
      <c r="G5907" s="64"/>
      <c r="H5907" s="64"/>
      <c r="I5907" s="70"/>
      <c r="J5907" s="70"/>
      <c r="K5907" s="110" t="str">
        <f>IF(H5907="","",IF($C$29="간이법","",FPR(H5907,I5907,J5907)))</f>
        <v/>
      </c>
      <c r="L5907" s="111" t="str">
        <f>IF(H5907="","",IF($C$29="상세법",FPV(H5907,K5907),IF(H5907="EI",4,IF(H5907="EO",5.2,IF(H5907="EQ",3.9,IF(H5907="ILF",7.5,IF(H5907="EIF",5.4)))))))</f>
        <v/>
      </c>
      <c r="M5907" s="112" t="str">
        <f t="shared" si="95"/>
        <v/>
      </c>
      <c r="N5907" s="113"/>
    </row>
    <row r="5908" spans="2:14">
      <c r="B5908" s="105"/>
      <c r="C5908" s="106"/>
      <c r="D5908" s="107"/>
      <c r="E5908" s="65"/>
      <c r="F5908" s="64"/>
      <c r="G5908" s="64"/>
      <c r="H5908" s="64"/>
      <c r="I5908" s="70"/>
      <c r="J5908" s="70"/>
      <c r="K5908" s="110" t="str">
        <f>IF(H5908="","",IF($C$29="간이법","",FPR(H5908,I5908,J5908)))</f>
        <v/>
      </c>
      <c r="L5908" s="111" t="str">
        <f>IF(H5908="","",IF($C$29="상세법",FPV(H5908,K5908),IF(H5908="EI",4,IF(H5908="EO",5.2,IF(H5908="EQ",3.9,IF(H5908="ILF",7.5,IF(H5908="EIF",5.4)))))))</f>
        <v/>
      </c>
      <c r="M5908" s="112" t="str">
        <f t="shared" si="95"/>
        <v/>
      </c>
      <c r="N5908" s="113"/>
    </row>
    <row r="5909" spans="2:14">
      <c r="B5909" s="105"/>
      <c r="C5909" s="106"/>
      <c r="D5909" s="107"/>
      <c r="E5909" s="65"/>
      <c r="F5909" s="64"/>
      <c r="G5909" s="64"/>
      <c r="H5909" s="64"/>
      <c r="I5909" s="70"/>
      <c r="J5909" s="70"/>
      <c r="K5909" s="110" t="str">
        <f>IF(H5909="","",IF($C$29="간이법","",FPR(H5909,I5909,J5909)))</f>
        <v/>
      </c>
      <c r="L5909" s="111" t="str">
        <f>IF(H5909="","",IF($C$29="상세법",FPV(H5909,K5909),IF(H5909="EI",4,IF(H5909="EO",5.2,IF(H5909="EQ",3.9,IF(H5909="ILF",7.5,IF(H5909="EIF",5.4)))))))</f>
        <v/>
      </c>
      <c r="M5909" s="112" t="str">
        <f t="shared" si="95"/>
        <v/>
      </c>
      <c r="N5909" s="113"/>
    </row>
    <row r="5910" spans="2:14">
      <c r="B5910" s="105"/>
      <c r="C5910" s="106"/>
      <c r="D5910" s="107"/>
      <c r="E5910" s="65"/>
      <c r="F5910" s="64"/>
      <c r="G5910" s="64"/>
      <c r="H5910" s="64"/>
      <c r="I5910" s="70"/>
      <c r="J5910" s="70"/>
      <c r="K5910" s="110" t="str">
        <f>IF(H5910="","",IF($C$29="간이법","",FPR(H5910,I5910,J5910)))</f>
        <v/>
      </c>
      <c r="L5910" s="111" t="str">
        <f>IF(H5910="","",IF($C$29="상세법",FPV(H5910,K5910),IF(H5910="EI",4,IF(H5910="EO",5.2,IF(H5910="EQ",3.9,IF(H5910="ILF",7.5,IF(H5910="EIF",5.4)))))))</f>
        <v/>
      </c>
      <c r="M5910" s="112" t="str">
        <f t="shared" si="95"/>
        <v/>
      </c>
      <c r="N5910" s="113"/>
    </row>
    <row r="5911" spans="2:14">
      <c r="B5911" s="105"/>
      <c r="C5911" s="106"/>
      <c r="D5911" s="107"/>
      <c r="E5911" s="65"/>
      <c r="F5911" s="64"/>
      <c r="G5911" s="64"/>
      <c r="H5911" s="64"/>
      <c r="I5911" s="70"/>
      <c r="J5911" s="70"/>
      <c r="K5911" s="110" t="str">
        <f>IF(H5911="","",IF($C$29="간이법","",FPR(H5911,I5911,J5911)))</f>
        <v/>
      </c>
      <c r="L5911" s="111" t="str">
        <f>IF(H5911="","",IF($C$29="상세법",FPV(H5911,K5911),IF(H5911="EI",4,IF(H5911="EO",5.2,IF(H5911="EQ",3.9,IF(H5911="ILF",7.5,IF(H5911="EIF",5.4)))))))</f>
        <v/>
      </c>
      <c r="M5911" s="112" t="str">
        <f t="shared" si="95"/>
        <v/>
      </c>
      <c r="N5911" s="113"/>
    </row>
    <row r="5912" spans="2:14">
      <c r="B5912" s="105"/>
      <c r="C5912" s="106"/>
      <c r="D5912" s="107"/>
      <c r="E5912" s="65"/>
      <c r="F5912" s="64"/>
      <c r="G5912" s="64"/>
      <c r="H5912" s="64"/>
      <c r="I5912" s="70"/>
      <c r="J5912" s="70"/>
      <c r="K5912" s="110" t="str">
        <f>IF(H5912="","",IF($C$29="간이법","",FPR(H5912,I5912,J5912)))</f>
        <v/>
      </c>
      <c r="L5912" s="111" t="str">
        <f>IF(H5912="","",IF($C$29="상세법",FPV(H5912,K5912),IF(H5912="EI",4,IF(H5912="EO",5.2,IF(H5912="EQ",3.9,IF(H5912="ILF",7.5,IF(H5912="EIF",5.4)))))))</f>
        <v/>
      </c>
      <c r="M5912" s="112" t="str">
        <f t="shared" si="95"/>
        <v/>
      </c>
      <c r="N5912" s="113"/>
    </row>
    <row r="5913" spans="2:14">
      <c r="B5913" s="105"/>
      <c r="C5913" s="106"/>
      <c r="D5913" s="107"/>
      <c r="E5913" s="65"/>
      <c r="F5913" s="64"/>
      <c r="G5913" s="64"/>
      <c r="H5913" s="64"/>
      <c r="I5913" s="70"/>
      <c r="J5913" s="70"/>
      <c r="K5913" s="110" t="str">
        <f>IF(H5913="","",IF($C$29="간이법","",FPR(H5913,I5913,J5913)))</f>
        <v/>
      </c>
      <c r="L5913" s="111" t="str">
        <f>IF(H5913="","",IF($C$29="상세법",FPV(H5913,K5913),IF(H5913="EI",4,IF(H5913="EO",5.2,IF(H5913="EQ",3.9,IF(H5913="ILF",7.5,IF(H5913="EIF",5.4)))))))</f>
        <v/>
      </c>
      <c r="M5913" s="112" t="str">
        <f t="shared" si="95"/>
        <v/>
      </c>
      <c r="N5913" s="113"/>
    </row>
    <row r="5914" spans="2:14">
      <c r="B5914" s="105"/>
      <c r="C5914" s="106"/>
      <c r="D5914" s="107"/>
      <c r="E5914" s="65"/>
      <c r="F5914" s="64"/>
      <c r="G5914" s="64"/>
      <c r="H5914" s="64"/>
      <c r="I5914" s="70"/>
      <c r="J5914" s="70"/>
      <c r="K5914" s="110" t="str">
        <f>IF(H5914="","",IF($C$29="간이법","",FPR(H5914,I5914,J5914)))</f>
        <v/>
      </c>
      <c r="L5914" s="111" t="str">
        <f>IF(H5914="","",IF($C$29="상세법",FPV(H5914,K5914),IF(H5914="EI",4,IF(H5914="EO",5.2,IF(H5914="EQ",3.9,IF(H5914="ILF",7.5,IF(H5914="EIF",5.4)))))))</f>
        <v/>
      </c>
      <c r="M5914" s="112" t="str">
        <f t="shared" si="95"/>
        <v/>
      </c>
      <c r="N5914" s="113"/>
    </row>
    <row r="5915" spans="2:14">
      <c r="B5915" s="105"/>
      <c r="C5915" s="106"/>
      <c r="D5915" s="107"/>
      <c r="E5915" s="65"/>
      <c r="F5915" s="64"/>
      <c r="G5915" s="64"/>
      <c r="H5915" s="64"/>
      <c r="I5915" s="70"/>
      <c r="J5915" s="70"/>
      <c r="K5915" s="110" t="str">
        <f>IF(H5915="","",IF($C$29="간이법","",FPR(H5915,I5915,J5915)))</f>
        <v/>
      </c>
      <c r="L5915" s="111" t="str">
        <f>IF(H5915="","",IF($C$29="상세법",FPV(H5915,K5915),IF(H5915="EI",4,IF(H5915="EO",5.2,IF(H5915="EQ",3.9,IF(H5915="ILF",7.5,IF(H5915="EIF",5.4)))))))</f>
        <v/>
      </c>
      <c r="M5915" s="112" t="str">
        <f t="shared" si="95"/>
        <v/>
      </c>
      <c r="N5915" s="113"/>
    </row>
    <row r="5916" spans="2:14">
      <c r="B5916" s="105"/>
      <c r="C5916" s="106"/>
      <c r="D5916" s="107"/>
      <c r="E5916" s="65"/>
      <c r="F5916" s="64"/>
      <c r="G5916" s="64"/>
      <c r="H5916" s="64"/>
      <c r="I5916" s="70"/>
      <c r="J5916" s="70"/>
      <c r="K5916" s="110" t="str">
        <f>IF(H5916="","",IF($C$29="간이법","",FPR(H5916,I5916,J5916)))</f>
        <v/>
      </c>
      <c r="L5916" s="111" t="str">
        <f>IF(H5916="","",IF($C$29="상세법",FPV(H5916,K5916),IF(H5916="EI",4,IF(H5916="EO",5.2,IF(H5916="EQ",3.9,IF(H5916="ILF",7.5,IF(H5916="EIF",5.4)))))))</f>
        <v/>
      </c>
      <c r="M5916" s="112" t="str">
        <f t="shared" si="95"/>
        <v/>
      </c>
      <c r="N5916" s="113"/>
    </row>
    <row r="5917" spans="2:14">
      <c r="B5917" s="105"/>
      <c r="C5917" s="106"/>
      <c r="D5917" s="107"/>
      <c r="E5917" s="65"/>
      <c r="F5917" s="64"/>
      <c r="G5917" s="64"/>
      <c r="H5917" s="64"/>
      <c r="I5917" s="70"/>
      <c r="J5917" s="70"/>
      <c r="K5917" s="110" t="str">
        <f>IF(H5917="","",IF($C$29="간이법","",FPR(H5917,I5917,J5917)))</f>
        <v/>
      </c>
      <c r="L5917" s="111" t="str">
        <f>IF(H5917="","",IF($C$29="상세법",FPV(H5917,K5917),IF(H5917="EI",4,IF(H5917="EO",5.2,IF(H5917="EQ",3.9,IF(H5917="ILF",7.5,IF(H5917="EIF",5.4)))))))</f>
        <v/>
      </c>
      <c r="M5917" s="112" t="str">
        <f t="shared" si="95"/>
        <v/>
      </c>
      <c r="N5917" s="113"/>
    </row>
    <row r="5918" spans="2:14">
      <c r="B5918" s="105"/>
      <c r="C5918" s="106"/>
      <c r="D5918" s="107"/>
      <c r="E5918" s="65"/>
      <c r="F5918" s="64"/>
      <c r="G5918" s="64"/>
      <c r="H5918" s="64"/>
      <c r="I5918" s="70"/>
      <c r="J5918" s="70"/>
      <c r="K5918" s="110" t="str">
        <f>IF(H5918="","",IF($C$29="간이법","",FPR(H5918,I5918,J5918)))</f>
        <v/>
      </c>
      <c r="L5918" s="111" t="str">
        <f>IF(H5918="","",IF($C$29="상세법",FPV(H5918,K5918),IF(H5918="EI",4,IF(H5918="EO",5.2,IF(H5918="EQ",3.9,IF(H5918="ILF",7.5,IF(H5918="EIF",5.4)))))))</f>
        <v/>
      </c>
      <c r="M5918" s="112" t="str">
        <f t="shared" si="95"/>
        <v/>
      </c>
      <c r="N5918" s="113"/>
    </row>
    <row r="5919" spans="2:14">
      <c r="B5919" s="105"/>
      <c r="C5919" s="106"/>
      <c r="D5919" s="107"/>
      <c r="E5919" s="65"/>
      <c r="F5919" s="64"/>
      <c r="G5919" s="64"/>
      <c r="H5919" s="64"/>
      <c r="I5919" s="70"/>
      <c r="J5919" s="70"/>
      <c r="K5919" s="110" t="str">
        <f>IF(H5919="","",IF($C$29="간이법","",FPR(H5919,I5919,J5919)))</f>
        <v/>
      </c>
      <c r="L5919" s="111" t="str">
        <f>IF(H5919="","",IF($C$29="상세법",FPV(H5919,K5919),IF(H5919="EI",4,IF(H5919="EO",5.2,IF(H5919="EQ",3.9,IF(H5919="ILF",7.5,IF(H5919="EIF",5.4)))))))</f>
        <v/>
      </c>
      <c r="M5919" s="112" t="str">
        <f t="shared" si="95"/>
        <v/>
      </c>
      <c r="N5919" s="113"/>
    </row>
    <row r="5920" spans="2:14">
      <c r="B5920" s="105"/>
      <c r="C5920" s="106"/>
      <c r="D5920" s="107"/>
      <c r="E5920" s="65"/>
      <c r="F5920" s="64"/>
      <c r="G5920" s="64"/>
      <c r="H5920" s="64"/>
      <c r="I5920" s="70"/>
      <c r="J5920" s="70"/>
      <c r="K5920" s="110" t="str">
        <f>IF(H5920="","",IF($C$29="간이법","",FPR(H5920,I5920,J5920)))</f>
        <v/>
      </c>
      <c r="L5920" s="111" t="str">
        <f>IF(H5920="","",IF($C$29="상세법",FPV(H5920,K5920),IF(H5920="EI",4,IF(H5920="EO",5.2,IF(H5920="EQ",3.9,IF(H5920="ILF",7.5,IF(H5920="EIF",5.4)))))))</f>
        <v/>
      </c>
      <c r="M5920" s="112" t="str">
        <f t="shared" si="95"/>
        <v/>
      </c>
      <c r="N5920" s="113"/>
    </row>
    <row r="5921" spans="2:14">
      <c r="B5921" s="105"/>
      <c r="C5921" s="106"/>
      <c r="D5921" s="107"/>
      <c r="E5921" s="65"/>
      <c r="F5921" s="64"/>
      <c r="G5921" s="64"/>
      <c r="H5921" s="64"/>
      <c r="I5921" s="70"/>
      <c r="J5921" s="70"/>
      <c r="K5921" s="110" t="str">
        <f>IF(H5921="","",IF($C$29="간이법","",FPR(H5921,I5921,J5921)))</f>
        <v/>
      </c>
      <c r="L5921" s="111" t="str">
        <f>IF(H5921="","",IF($C$29="상세법",FPV(H5921,K5921),IF(H5921="EI",4,IF(H5921="EO",5.2,IF(H5921="EQ",3.9,IF(H5921="ILF",7.5,IF(H5921="EIF",5.4)))))))</f>
        <v/>
      </c>
      <c r="M5921" s="112" t="str">
        <f t="shared" si="95"/>
        <v/>
      </c>
      <c r="N5921" s="113"/>
    </row>
    <row r="5922" spans="2:14">
      <c r="B5922" s="105"/>
      <c r="C5922" s="106"/>
      <c r="D5922" s="107"/>
      <c r="E5922" s="65"/>
      <c r="F5922" s="64"/>
      <c r="G5922" s="64"/>
      <c r="H5922" s="64"/>
      <c r="I5922" s="70"/>
      <c r="J5922" s="70"/>
      <c r="K5922" s="110" t="str">
        <f>IF(H5922="","",IF($C$29="간이법","",FPR(H5922,I5922,J5922)))</f>
        <v/>
      </c>
      <c r="L5922" s="111" t="str">
        <f>IF(H5922="","",IF($C$29="상세법",FPV(H5922,K5922),IF(H5922="EI",4,IF(H5922="EO",5.2,IF(H5922="EQ",3.9,IF(H5922="ILF",7.5,IF(H5922="EIF",5.4)))))))</f>
        <v/>
      </c>
      <c r="M5922" s="112" t="str">
        <f t="shared" si="95"/>
        <v/>
      </c>
      <c r="N5922" s="113"/>
    </row>
    <row r="5923" spans="2:14">
      <c r="B5923" s="105"/>
      <c r="C5923" s="106"/>
      <c r="D5923" s="107"/>
      <c r="E5923" s="65"/>
      <c r="F5923" s="64"/>
      <c r="G5923" s="64"/>
      <c r="H5923" s="64"/>
      <c r="I5923" s="70"/>
      <c r="J5923" s="70"/>
      <c r="K5923" s="110" t="str">
        <f>IF(H5923="","",IF($C$29="간이법","",FPR(H5923,I5923,J5923)))</f>
        <v/>
      </c>
      <c r="L5923" s="111" t="str">
        <f>IF(H5923="","",IF($C$29="상세법",FPV(H5923,K5923),IF(H5923="EI",4,IF(H5923="EO",5.2,IF(H5923="EQ",3.9,IF(H5923="ILF",7.5,IF(H5923="EIF",5.4)))))))</f>
        <v/>
      </c>
      <c r="M5923" s="112" t="str">
        <f t="shared" si="95"/>
        <v/>
      </c>
      <c r="N5923" s="113"/>
    </row>
    <row r="5924" spans="2:14">
      <c r="B5924" s="105"/>
      <c r="C5924" s="106"/>
      <c r="D5924" s="107"/>
      <c r="E5924" s="65"/>
      <c r="F5924" s="64"/>
      <c r="G5924" s="64"/>
      <c r="H5924" s="64"/>
      <c r="I5924" s="70"/>
      <c r="J5924" s="70"/>
      <c r="K5924" s="110" t="str">
        <f>IF(H5924="","",IF($C$29="간이법","",FPR(H5924,I5924,J5924)))</f>
        <v/>
      </c>
      <c r="L5924" s="111" t="str">
        <f>IF(H5924="","",IF($C$29="상세법",FPV(H5924,K5924),IF(H5924="EI",4,IF(H5924="EO",5.2,IF(H5924="EQ",3.9,IF(H5924="ILF",7.5,IF(H5924="EIF",5.4)))))))</f>
        <v/>
      </c>
      <c r="M5924" s="112" t="str">
        <f t="shared" si="95"/>
        <v/>
      </c>
      <c r="N5924" s="113"/>
    </row>
    <row r="5925" spans="2:14">
      <c r="B5925" s="105"/>
      <c r="C5925" s="106"/>
      <c r="D5925" s="107"/>
      <c r="E5925" s="65"/>
      <c r="F5925" s="64"/>
      <c r="G5925" s="64"/>
      <c r="H5925" s="64"/>
      <c r="I5925" s="70"/>
      <c r="J5925" s="70"/>
      <c r="K5925" s="110" t="str">
        <f>IF(H5925="","",IF($C$29="간이법","",FPR(H5925,I5925,J5925)))</f>
        <v/>
      </c>
      <c r="L5925" s="111" t="str">
        <f>IF(H5925="","",IF($C$29="상세법",FPV(H5925,K5925),IF(H5925="EI",4,IF(H5925="EO",5.2,IF(H5925="EQ",3.9,IF(H5925="ILF",7.5,IF(H5925="EIF",5.4)))))))</f>
        <v/>
      </c>
      <c r="M5925" s="112" t="str">
        <f t="shared" si="95"/>
        <v/>
      </c>
      <c r="N5925" s="113"/>
    </row>
    <row r="5926" spans="2:14">
      <c r="B5926" s="105"/>
      <c r="C5926" s="106"/>
      <c r="D5926" s="107"/>
      <c r="E5926" s="65"/>
      <c r="F5926" s="64"/>
      <c r="G5926" s="64"/>
      <c r="H5926" s="64"/>
      <c r="I5926" s="70"/>
      <c r="J5926" s="70"/>
      <c r="K5926" s="110" t="str">
        <f>IF(H5926="","",IF($C$29="간이법","",FPR(H5926,I5926,J5926)))</f>
        <v/>
      </c>
      <c r="L5926" s="111" t="str">
        <f>IF(H5926="","",IF($C$29="상세법",FPV(H5926,K5926),IF(H5926="EI",4,IF(H5926="EO",5.2,IF(H5926="EQ",3.9,IF(H5926="ILF",7.5,IF(H5926="EIF",5.4)))))))</f>
        <v/>
      </c>
      <c r="M5926" s="112" t="str">
        <f t="shared" si="95"/>
        <v/>
      </c>
      <c r="N5926" s="113"/>
    </row>
    <row r="5927" spans="2:14">
      <c r="B5927" s="105"/>
      <c r="C5927" s="106"/>
      <c r="D5927" s="107"/>
      <c r="E5927" s="65"/>
      <c r="F5927" s="64"/>
      <c r="G5927" s="64"/>
      <c r="H5927" s="64"/>
      <c r="I5927" s="70"/>
      <c r="J5927" s="70"/>
      <c r="K5927" s="110" t="str">
        <f>IF(H5927="","",IF($C$29="간이법","",FPR(H5927,I5927,J5927)))</f>
        <v/>
      </c>
      <c r="L5927" s="111" t="str">
        <f>IF(H5927="","",IF($C$29="상세법",FPV(H5927,K5927),IF(H5927="EI",4,IF(H5927="EO",5.2,IF(H5927="EQ",3.9,IF(H5927="ILF",7.5,IF(H5927="EIF",5.4)))))))</f>
        <v/>
      </c>
      <c r="M5927" s="112" t="str">
        <f t="shared" si="95"/>
        <v/>
      </c>
      <c r="N5927" s="113"/>
    </row>
    <row r="5928" spans="2:14">
      <c r="B5928" s="105"/>
      <c r="C5928" s="106"/>
      <c r="D5928" s="107"/>
      <c r="E5928" s="65"/>
      <c r="F5928" s="64"/>
      <c r="G5928" s="64"/>
      <c r="H5928" s="64"/>
      <c r="I5928" s="70"/>
      <c r="J5928" s="70"/>
      <c r="K5928" s="110" t="str">
        <f>IF(H5928="","",IF($C$29="간이법","",FPR(H5928,I5928,J5928)))</f>
        <v/>
      </c>
      <c r="L5928" s="111" t="str">
        <f>IF(H5928="","",IF($C$29="상세법",FPV(H5928,K5928),IF(H5928="EI",4,IF(H5928="EO",5.2,IF(H5928="EQ",3.9,IF(H5928="ILF",7.5,IF(H5928="EIF",5.4)))))))</f>
        <v/>
      </c>
      <c r="M5928" s="112" t="str">
        <f t="shared" si="95"/>
        <v/>
      </c>
      <c r="N5928" s="113"/>
    </row>
    <row r="5929" spans="2:14">
      <c r="B5929" s="105"/>
      <c r="C5929" s="106"/>
      <c r="D5929" s="107"/>
      <c r="E5929" s="65"/>
      <c r="F5929" s="64"/>
      <c r="G5929" s="64"/>
      <c r="H5929" s="64"/>
      <c r="I5929" s="70"/>
      <c r="J5929" s="70"/>
      <c r="K5929" s="110" t="str">
        <f>IF(H5929="","",IF($C$29="간이법","",FPR(H5929,I5929,J5929)))</f>
        <v/>
      </c>
      <c r="L5929" s="111" t="str">
        <f>IF(H5929="","",IF($C$29="상세법",FPV(H5929,K5929),IF(H5929="EI",4,IF(H5929="EO",5.2,IF(H5929="EQ",3.9,IF(H5929="ILF",7.5,IF(H5929="EIF",5.4)))))))</f>
        <v/>
      </c>
      <c r="M5929" s="112" t="str">
        <f t="shared" si="95"/>
        <v/>
      </c>
      <c r="N5929" s="113"/>
    </row>
    <row r="5930" spans="2:14">
      <c r="B5930" s="105"/>
      <c r="C5930" s="106"/>
      <c r="D5930" s="107"/>
      <c r="E5930" s="65"/>
      <c r="F5930" s="64"/>
      <c r="G5930" s="64"/>
      <c r="H5930" s="64"/>
      <c r="I5930" s="70"/>
      <c r="J5930" s="70"/>
      <c r="K5930" s="110" t="str">
        <f>IF(H5930="","",IF($C$29="간이법","",FPR(H5930,I5930,J5930)))</f>
        <v/>
      </c>
      <c r="L5930" s="111" t="str">
        <f>IF(H5930="","",IF($C$29="상세법",FPV(H5930,K5930),IF(H5930="EI",4,IF(H5930="EO",5.2,IF(H5930="EQ",3.9,IF(H5930="ILF",7.5,IF(H5930="EIF",5.4)))))))</f>
        <v/>
      </c>
      <c r="M5930" s="112" t="str">
        <f t="shared" si="95"/>
        <v/>
      </c>
      <c r="N5930" s="113"/>
    </row>
    <row r="5931" spans="2:14">
      <c r="B5931" s="105"/>
      <c r="C5931" s="106"/>
      <c r="D5931" s="107"/>
      <c r="E5931" s="65"/>
      <c r="F5931" s="64"/>
      <c r="G5931" s="64"/>
      <c r="H5931" s="64"/>
      <c r="I5931" s="70"/>
      <c r="J5931" s="70"/>
      <c r="K5931" s="110" t="str">
        <f>IF(H5931="","",IF($C$29="간이법","",FPR(H5931,I5931,J5931)))</f>
        <v/>
      </c>
      <c r="L5931" s="111" t="str">
        <f>IF(H5931="","",IF($C$29="상세법",FPV(H5931,K5931),IF(H5931="EI",4,IF(H5931="EO",5.2,IF(H5931="EQ",3.9,IF(H5931="ILF",7.5,IF(H5931="EIF",5.4)))))))</f>
        <v/>
      </c>
      <c r="M5931" s="112" t="str">
        <f t="shared" si="95"/>
        <v/>
      </c>
      <c r="N5931" s="113"/>
    </row>
    <row r="5932" spans="2:14">
      <c r="B5932" s="105"/>
      <c r="C5932" s="106"/>
      <c r="D5932" s="107"/>
      <c r="E5932" s="65"/>
      <c r="F5932" s="64"/>
      <c r="G5932" s="64"/>
      <c r="H5932" s="64"/>
      <c r="I5932" s="70"/>
      <c r="J5932" s="70"/>
      <c r="K5932" s="110" t="str">
        <f>IF(H5932="","",IF($C$29="간이법","",FPR(H5932,I5932,J5932)))</f>
        <v/>
      </c>
      <c r="L5932" s="111" t="str">
        <f>IF(H5932="","",IF($C$29="상세법",FPV(H5932,K5932),IF(H5932="EI",4,IF(H5932="EO",5.2,IF(H5932="EQ",3.9,IF(H5932="ILF",7.5,IF(H5932="EIF",5.4)))))))</f>
        <v/>
      </c>
      <c r="M5932" s="112" t="str">
        <f t="shared" si="95"/>
        <v/>
      </c>
      <c r="N5932" s="113"/>
    </row>
    <row r="5933" spans="2:14">
      <c r="B5933" s="105"/>
      <c r="C5933" s="106"/>
      <c r="D5933" s="107"/>
      <c r="E5933" s="65"/>
      <c r="F5933" s="64"/>
      <c r="G5933" s="64"/>
      <c r="H5933" s="64"/>
      <c r="I5933" s="70"/>
      <c r="J5933" s="70"/>
      <c r="K5933" s="110" t="str">
        <f>IF(H5933="","",IF($C$29="간이법","",FPR(H5933,I5933,J5933)))</f>
        <v/>
      </c>
      <c r="L5933" s="111" t="str">
        <f>IF(H5933="","",IF($C$29="상세법",FPV(H5933,K5933),IF(H5933="EI",4,IF(H5933="EO",5.2,IF(H5933="EQ",3.9,IF(H5933="ILF",7.5,IF(H5933="EIF",5.4)))))))</f>
        <v/>
      </c>
      <c r="M5933" s="112" t="str">
        <f t="shared" si="95"/>
        <v/>
      </c>
      <c r="N5933" s="113"/>
    </row>
    <row r="5934" spans="2:14">
      <c r="B5934" s="105"/>
      <c r="C5934" s="106"/>
      <c r="D5934" s="107"/>
      <c r="E5934" s="65"/>
      <c r="F5934" s="64"/>
      <c r="G5934" s="64"/>
      <c r="H5934" s="64"/>
      <c r="I5934" s="70"/>
      <c r="J5934" s="70"/>
      <c r="K5934" s="110" t="str">
        <f>IF(H5934="","",IF($C$29="간이법","",FPR(H5934,I5934,J5934)))</f>
        <v/>
      </c>
      <c r="L5934" s="111" t="str">
        <f>IF(H5934="","",IF($C$29="상세법",FPV(H5934,K5934),IF(H5934="EI",4,IF(H5934="EO",5.2,IF(H5934="EQ",3.9,IF(H5934="ILF",7.5,IF(H5934="EIF",5.4)))))))</f>
        <v/>
      </c>
      <c r="M5934" s="112" t="str">
        <f t="shared" si="95"/>
        <v/>
      </c>
      <c r="N5934" s="113"/>
    </row>
    <row r="5935" spans="2:14">
      <c r="B5935" s="105"/>
      <c r="C5935" s="106"/>
      <c r="D5935" s="107"/>
      <c r="E5935" s="65"/>
      <c r="F5935" s="64"/>
      <c r="G5935" s="64"/>
      <c r="H5935" s="64"/>
      <c r="I5935" s="70"/>
      <c r="J5935" s="70"/>
      <c r="K5935" s="110" t="str">
        <f>IF(H5935="","",IF($C$29="간이법","",FPR(H5935,I5935,J5935)))</f>
        <v/>
      </c>
      <c r="L5935" s="111" t="str">
        <f>IF(H5935="","",IF($C$29="상세법",FPV(H5935,K5935),IF(H5935="EI",4,IF(H5935="EO",5.2,IF(H5935="EQ",3.9,IF(H5935="ILF",7.5,IF(H5935="EIF",5.4)))))))</f>
        <v/>
      </c>
      <c r="M5935" s="112" t="str">
        <f t="shared" si="95"/>
        <v/>
      </c>
      <c r="N5935" s="113"/>
    </row>
    <row r="5936" spans="2:14">
      <c r="B5936" s="105"/>
      <c r="C5936" s="106"/>
      <c r="D5936" s="107"/>
      <c r="E5936" s="65"/>
      <c r="F5936" s="64"/>
      <c r="G5936" s="64"/>
      <c r="H5936" s="64"/>
      <c r="I5936" s="70"/>
      <c r="J5936" s="70"/>
      <c r="K5936" s="110" t="str">
        <f>IF(H5936="","",IF($C$29="간이법","",FPR(H5936,I5936,J5936)))</f>
        <v/>
      </c>
      <c r="L5936" s="111" t="str">
        <f>IF(H5936="","",IF($C$29="상세법",FPV(H5936,K5936),IF(H5936="EI",4,IF(H5936="EO",5.2,IF(H5936="EQ",3.9,IF(H5936="ILF",7.5,IF(H5936="EIF",5.4)))))))</f>
        <v/>
      </c>
      <c r="M5936" s="112" t="str">
        <f t="shared" si="95"/>
        <v/>
      </c>
      <c r="N5936" s="113"/>
    </row>
    <row r="5937" spans="2:14">
      <c r="B5937" s="105"/>
      <c r="C5937" s="106"/>
      <c r="D5937" s="107"/>
      <c r="E5937" s="65"/>
      <c r="F5937" s="64"/>
      <c r="G5937" s="64"/>
      <c r="H5937" s="64"/>
      <c r="I5937" s="70"/>
      <c r="J5937" s="70"/>
      <c r="K5937" s="110" t="str">
        <f>IF(H5937="","",IF($C$29="간이법","",FPR(H5937,I5937,J5937)))</f>
        <v/>
      </c>
      <c r="L5937" s="111" t="str">
        <f>IF(H5937="","",IF($C$29="상세법",FPV(H5937,K5937),IF(H5937="EI",4,IF(H5937="EO",5.2,IF(H5937="EQ",3.9,IF(H5937="ILF",7.5,IF(H5937="EIF",5.4)))))))</f>
        <v/>
      </c>
      <c r="M5937" s="112" t="str">
        <f t="shared" si="95"/>
        <v/>
      </c>
      <c r="N5937" s="113"/>
    </row>
    <row r="5938" spans="2:14">
      <c r="B5938" s="105"/>
      <c r="C5938" s="106"/>
      <c r="D5938" s="107"/>
      <c r="E5938" s="65"/>
      <c r="F5938" s="64"/>
      <c r="G5938" s="64"/>
      <c r="H5938" s="64"/>
      <c r="I5938" s="70"/>
      <c r="J5938" s="70"/>
      <c r="K5938" s="110" t="str">
        <f>IF(H5938="","",IF($C$29="간이법","",FPR(H5938,I5938,J5938)))</f>
        <v/>
      </c>
      <c r="L5938" s="111" t="str">
        <f>IF(H5938="","",IF($C$29="상세법",FPV(H5938,K5938),IF(H5938="EI",4,IF(H5938="EO",5.2,IF(H5938="EQ",3.9,IF(H5938="ILF",7.5,IF(H5938="EIF",5.4)))))))</f>
        <v/>
      </c>
      <c r="M5938" s="112" t="str">
        <f t="shared" si="95"/>
        <v/>
      </c>
      <c r="N5938" s="113"/>
    </row>
    <row r="5939" spans="2:14">
      <c r="B5939" s="105"/>
      <c r="C5939" s="106"/>
      <c r="D5939" s="107"/>
      <c r="E5939" s="65"/>
      <c r="F5939" s="64"/>
      <c r="G5939" s="64"/>
      <c r="H5939" s="64"/>
      <c r="I5939" s="70"/>
      <c r="J5939" s="70"/>
      <c r="K5939" s="110" t="str">
        <f>IF(H5939="","",IF($C$29="간이법","",FPR(H5939,I5939,J5939)))</f>
        <v/>
      </c>
      <c r="L5939" s="111" t="str">
        <f>IF(H5939="","",IF($C$29="상세법",FPV(H5939,K5939),IF(H5939="EI",4,IF(H5939="EO",5.2,IF(H5939="EQ",3.9,IF(H5939="ILF",7.5,IF(H5939="EIF",5.4)))))))</f>
        <v/>
      </c>
      <c r="M5939" s="112" t="str">
        <f t="shared" si="95"/>
        <v/>
      </c>
      <c r="N5939" s="113"/>
    </row>
    <row r="5940" spans="2:14">
      <c r="B5940" s="105"/>
      <c r="C5940" s="106"/>
      <c r="D5940" s="107"/>
      <c r="E5940" s="65"/>
      <c r="F5940" s="64"/>
      <c r="G5940" s="64"/>
      <c r="H5940" s="64"/>
      <c r="I5940" s="70"/>
      <c r="J5940" s="70"/>
      <c r="K5940" s="110" t="str">
        <f>IF(H5940="","",IF($C$29="간이법","",FPR(H5940,I5940,J5940)))</f>
        <v/>
      </c>
      <c r="L5940" s="111" t="str">
        <f>IF(H5940="","",IF($C$29="상세법",FPV(H5940,K5940),IF(H5940="EI",4,IF(H5940="EO",5.2,IF(H5940="EQ",3.9,IF(H5940="ILF",7.5,IF(H5940="EIF",5.4)))))))</f>
        <v/>
      </c>
      <c r="M5940" s="112" t="str">
        <f t="shared" si="95"/>
        <v/>
      </c>
      <c r="N5940" s="113"/>
    </row>
    <row r="5941" spans="2:14">
      <c r="B5941" s="105"/>
      <c r="C5941" s="106"/>
      <c r="D5941" s="107"/>
      <c r="E5941" s="65"/>
      <c r="F5941" s="64"/>
      <c r="G5941" s="64"/>
      <c r="H5941" s="64"/>
      <c r="I5941" s="70"/>
      <c r="J5941" s="70"/>
      <c r="K5941" s="110" t="str">
        <f>IF(H5941="","",IF($C$29="간이법","",FPR(H5941,I5941,J5941)))</f>
        <v/>
      </c>
      <c r="L5941" s="111" t="str">
        <f>IF(H5941="","",IF($C$29="상세법",FPV(H5941,K5941),IF(H5941="EI",4,IF(H5941="EO",5.2,IF(H5941="EQ",3.9,IF(H5941="ILF",7.5,IF(H5941="EIF",5.4)))))))</f>
        <v/>
      </c>
      <c r="M5941" s="112" t="str">
        <f t="shared" si="95"/>
        <v/>
      </c>
      <c r="N5941" s="113"/>
    </row>
    <row r="5942" spans="2:14">
      <c r="B5942" s="105"/>
      <c r="C5942" s="106"/>
      <c r="D5942" s="107"/>
      <c r="E5942" s="65"/>
      <c r="F5942" s="64"/>
      <c r="G5942" s="64"/>
      <c r="H5942" s="64"/>
      <c r="I5942" s="70"/>
      <c r="J5942" s="70"/>
      <c r="K5942" s="110" t="str">
        <f>IF(H5942="","",IF($C$29="간이법","",FPR(H5942,I5942,J5942)))</f>
        <v/>
      </c>
      <c r="L5942" s="111" t="str">
        <f>IF(H5942="","",IF($C$29="상세법",FPV(H5942,K5942),IF(H5942="EI",4,IF(H5942="EO",5.2,IF(H5942="EQ",3.9,IF(H5942="ILF",7.5,IF(H5942="EIF",5.4)))))))</f>
        <v/>
      </c>
      <c r="M5942" s="112" t="str">
        <f t="shared" si="95"/>
        <v/>
      </c>
      <c r="N5942" s="113"/>
    </row>
    <row r="5943" spans="2:14">
      <c r="B5943" s="105"/>
      <c r="C5943" s="106"/>
      <c r="D5943" s="107"/>
      <c r="E5943" s="65"/>
      <c r="F5943" s="64"/>
      <c r="G5943" s="64"/>
      <c r="H5943" s="64"/>
      <c r="I5943" s="70"/>
      <c r="J5943" s="70"/>
      <c r="K5943" s="110" t="str">
        <f>IF(H5943="","",IF($C$29="간이법","",FPR(H5943,I5943,J5943)))</f>
        <v/>
      </c>
      <c r="L5943" s="111" t="str">
        <f>IF(H5943="","",IF($C$29="상세법",FPV(H5943,K5943),IF(H5943="EI",4,IF(H5943="EO",5.2,IF(H5943="EQ",3.9,IF(H5943="ILF",7.5,IF(H5943="EIF",5.4)))))))</f>
        <v/>
      </c>
      <c r="M5943" s="112" t="str">
        <f t="shared" si="95"/>
        <v/>
      </c>
      <c r="N5943" s="113"/>
    </row>
    <row r="5944" spans="2:14">
      <c r="B5944" s="105"/>
      <c r="C5944" s="106"/>
      <c r="D5944" s="107"/>
      <c r="E5944" s="65"/>
      <c r="F5944" s="64"/>
      <c r="G5944" s="64"/>
      <c r="H5944" s="64"/>
      <c r="I5944" s="70"/>
      <c r="J5944" s="70"/>
      <c r="K5944" s="110" t="str">
        <f>IF(H5944="","",IF($C$29="간이법","",FPR(H5944,I5944,J5944)))</f>
        <v/>
      </c>
      <c r="L5944" s="111" t="str">
        <f>IF(H5944="","",IF($C$29="상세법",FPV(H5944,K5944),IF(H5944="EI",4,IF(H5944="EO",5.2,IF(H5944="EQ",3.9,IF(H5944="ILF",7.5,IF(H5944="EIF",5.4)))))))</f>
        <v/>
      </c>
      <c r="M5944" s="112" t="str">
        <f t="shared" si="95"/>
        <v/>
      </c>
      <c r="N5944" s="113"/>
    </row>
    <row r="5945" spans="2:14">
      <c r="B5945" s="105"/>
      <c r="C5945" s="106"/>
      <c r="D5945" s="107"/>
      <c r="E5945" s="65"/>
      <c r="F5945" s="64"/>
      <c r="G5945" s="64"/>
      <c r="H5945" s="64"/>
      <c r="I5945" s="70"/>
      <c r="J5945" s="70"/>
      <c r="K5945" s="110" t="str">
        <f>IF(H5945="","",IF($C$29="간이법","",FPR(H5945,I5945,J5945)))</f>
        <v/>
      </c>
      <c r="L5945" s="111" t="str">
        <f>IF(H5945="","",IF($C$29="상세법",FPV(H5945,K5945),IF(H5945="EI",4,IF(H5945="EO",5.2,IF(H5945="EQ",3.9,IF(H5945="ILF",7.5,IF(H5945="EIF",5.4)))))))</f>
        <v/>
      </c>
      <c r="M5945" s="112" t="str">
        <f t="shared" ref="M5945:M6008" si="96">IF(L5945="","",L5945*IF(G5945="상",0.7,IF(G5945="중",0.5,IF(G5945="하",0.2,1))))</f>
        <v/>
      </c>
      <c r="N5945" s="113"/>
    </row>
    <row r="5946" spans="2:14">
      <c r="B5946" s="105"/>
      <c r="C5946" s="106"/>
      <c r="D5946" s="107"/>
      <c r="E5946" s="65"/>
      <c r="F5946" s="64"/>
      <c r="G5946" s="64"/>
      <c r="H5946" s="64"/>
      <c r="I5946" s="70"/>
      <c r="J5946" s="70"/>
      <c r="K5946" s="110" t="str">
        <f>IF(H5946="","",IF($C$29="간이법","",FPR(H5946,I5946,J5946)))</f>
        <v/>
      </c>
      <c r="L5946" s="111" t="str">
        <f>IF(H5946="","",IF($C$29="상세법",FPV(H5946,K5946),IF(H5946="EI",4,IF(H5946="EO",5.2,IF(H5946="EQ",3.9,IF(H5946="ILF",7.5,IF(H5946="EIF",5.4)))))))</f>
        <v/>
      </c>
      <c r="M5946" s="112" t="str">
        <f t="shared" si="96"/>
        <v/>
      </c>
      <c r="N5946" s="113"/>
    </row>
    <row r="5947" spans="2:14">
      <c r="B5947" s="105"/>
      <c r="C5947" s="106"/>
      <c r="D5947" s="107"/>
      <c r="E5947" s="65"/>
      <c r="F5947" s="64"/>
      <c r="G5947" s="64"/>
      <c r="H5947" s="64"/>
      <c r="I5947" s="70"/>
      <c r="J5947" s="70"/>
      <c r="K5947" s="110" t="str">
        <f>IF(H5947="","",IF($C$29="간이법","",FPR(H5947,I5947,J5947)))</f>
        <v/>
      </c>
      <c r="L5947" s="111" t="str">
        <f>IF(H5947="","",IF($C$29="상세법",FPV(H5947,K5947),IF(H5947="EI",4,IF(H5947="EO",5.2,IF(H5947="EQ",3.9,IF(H5947="ILF",7.5,IF(H5947="EIF",5.4)))))))</f>
        <v/>
      </c>
      <c r="M5947" s="112" t="str">
        <f t="shared" si="96"/>
        <v/>
      </c>
      <c r="N5947" s="113"/>
    </row>
    <row r="5948" spans="2:14">
      <c r="B5948" s="105"/>
      <c r="C5948" s="106"/>
      <c r="D5948" s="107"/>
      <c r="E5948" s="65"/>
      <c r="F5948" s="64"/>
      <c r="G5948" s="64"/>
      <c r="H5948" s="64"/>
      <c r="I5948" s="70"/>
      <c r="J5948" s="70"/>
      <c r="K5948" s="110" t="str">
        <f>IF(H5948="","",IF($C$29="간이법","",FPR(H5948,I5948,J5948)))</f>
        <v/>
      </c>
      <c r="L5948" s="111" t="str">
        <f>IF(H5948="","",IF($C$29="상세법",FPV(H5948,K5948),IF(H5948="EI",4,IF(H5948="EO",5.2,IF(H5948="EQ",3.9,IF(H5948="ILF",7.5,IF(H5948="EIF",5.4)))))))</f>
        <v/>
      </c>
      <c r="M5948" s="112" t="str">
        <f t="shared" si="96"/>
        <v/>
      </c>
      <c r="N5948" s="113"/>
    </row>
    <row r="5949" spans="2:14">
      <c r="B5949" s="105"/>
      <c r="C5949" s="106"/>
      <c r="D5949" s="107"/>
      <c r="E5949" s="65"/>
      <c r="F5949" s="64"/>
      <c r="G5949" s="64"/>
      <c r="H5949" s="64"/>
      <c r="I5949" s="70"/>
      <c r="J5949" s="70"/>
      <c r="K5949" s="110" t="str">
        <f>IF(H5949="","",IF($C$29="간이법","",FPR(H5949,I5949,J5949)))</f>
        <v/>
      </c>
      <c r="L5949" s="111" t="str">
        <f>IF(H5949="","",IF($C$29="상세법",FPV(H5949,K5949),IF(H5949="EI",4,IF(H5949="EO",5.2,IF(H5949="EQ",3.9,IF(H5949="ILF",7.5,IF(H5949="EIF",5.4)))))))</f>
        <v/>
      </c>
      <c r="M5949" s="112" t="str">
        <f t="shared" si="96"/>
        <v/>
      </c>
      <c r="N5949" s="113"/>
    </row>
    <row r="5950" spans="2:14">
      <c r="B5950" s="105"/>
      <c r="C5950" s="106"/>
      <c r="D5950" s="107"/>
      <c r="E5950" s="65"/>
      <c r="F5950" s="64"/>
      <c r="G5950" s="64"/>
      <c r="H5950" s="64"/>
      <c r="I5950" s="70"/>
      <c r="J5950" s="70"/>
      <c r="K5950" s="110" t="str">
        <f>IF(H5950="","",IF($C$29="간이법","",FPR(H5950,I5950,J5950)))</f>
        <v/>
      </c>
      <c r="L5950" s="111" t="str">
        <f>IF(H5950="","",IF($C$29="상세법",FPV(H5950,K5950),IF(H5950="EI",4,IF(H5950="EO",5.2,IF(H5950="EQ",3.9,IF(H5950="ILF",7.5,IF(H5950="EIF",5.4)))))))</f>
        <v/>
      </c>
      <c r="M5950" s="112" t="str">
        <f t="shared" si="96"/>
        <v/>
      </c>
      <c r="N5950" s="113"/>
    </row>
    <row r="5951" spans="2:14">
      <c r="B5951" s="105"/>
      <c r="C5951" s="106"/>
      <c r="D5951" s="107"/>
      <c r="E5951" s="65"/>
      <c r="F5951" s="64"/>
      <c r="G5951" s="64"/>
      <c r="H5951" s="64"/>
      <c r="I5951" s="70"/>
      <c r="J5951" s="70"/>
      <c r="K5951" s="110" t="str">
        <f>IF(H5951="","",IF($C$29="간이법","",FPR(H5951,I5951,J5951)))</f>
        <v/>
      </c>
      <c r="L5951" s="111" t="str">
        <f>IF(H5951="","",IF($C$29="상세법",FPV(H5951,K5951),IF(H5951="EI",4,IF(H5951="EO",5.2,IF(H5951="EQ",3.9,IF(H5951="ILF",7.5,IF(H5951="EIF",5.4)))))))</f>
        <v/>
      </c>
      <c r="M5951" s="112" t="str">
        <f t="shared" si="96"/>
        <v/>
      </c>
      <c r="N5951" s="113"/>
    </row>
    <row r="5952" spans="2:14">
      <c r="B5952" s="105"/>
      <c r="C5952" s="106"/>
      <c r="D5952" s="107"/>
      <c r="E5952" s="65"/>
      <c r="F5952" s="64"/>
      <c r="G5952" s="64"/>
      <c r="H5952" s="64"/>
      <c r="I5952" s="70"/>
      <c r="J5952" s="70"/>
      <c r="K5952" s="110" t="str">
        <f>IF(H5952="","",IF($C$29="간이법","",FPR(H5952,I5952,J5952)))</f>
        <v/>
      </c>
      <c r="L5952" s="111" t="str">
        <f>IF(H5952="","",IF($C$29="상세법",FPV(H5952,K5952),IF(H5952="EI",4,IF(H5952="EO",5.2,IF(H5952="EQ",3.9,IF(H5952="ILF",7.5,IF(H5952="EIF",5.4)))))))</f>
        <v/>
      </c>
      <c r="M5952" s="112" t="str">
        <f t="shared" si="96"/>
        <v/>
      </c>
      <c r="N5952" s="113"/>
    </row>
    <row r="5953" spans="2:14">
      <c r="B5953" s="105"/>
      <c r="C5953" s="106"/>
      <c r="D5953" s="107"/>
      <c r="E5953" s="65"/>
      <c r="F5953" s="64"/>
      <c r="G5953" s="64"/>
      <c r="H5953" s="64"/>
      <c r="I5953" s="70"/>
      <c r="J5953" s="70"/>
      <c r="K5953" s="110" t="str">
        <f>IF(H5953="","",IF($C$29="간이법","",FPR(H5953,I5953,J5953)))</f>
        <v/>
      </c>
      <c r="L5953" s="111" t="str">
        <f>IF(H5953="","",IF($C$29="상세법",FPV(H5953,K5953),IF(H5953="EI",4,IF(H5953="EO",5.2,IF(H5953="EQ",3.9,IF(H5953="ILF",7.5,IF(H5953="EIF",5.4)))))))</f>
        <v/>
      </c>
      <c r="M5953" s="112" t="str">
        <f t="shared" si="96"/>
        <v/>
      </c>
      <c r="N5953" s="113"/>
    </row>
    <row r="5954" spans="2:14">
      <c r="B5954" s="105"/>
      <c r="C5954" s="106"/>
      <c r="D5954" s="107"/>
      <c r="E5954" s="65"/>
      <c r="F5954" s="64"/>
      <c r="G5954" s="64"/>
      <c r="H5954" s="64"/>
      <c r="I5954" s="70"/>
      <c r="J5954" s="70"/>
      <c r="K5954" s="110" t="str">
        <f>IF(H5954="","",IF($C$29="간이법","",FPR(H5954,I5954,J5954)))</f>
        <v/>
      </c>
      <c r="L5954" s="111" t="str">
        <f>IF(H5954="","",IF($C$29="상세법",FPV(H5954,K5954),IF(H5954="EI",4,IF(H5954="EO",5.2,IF(H5954="EQ",3.9,IF(H5954="ILF",7.5,IF(H5954="EIF",5.4)))))))</f>
        <v/>
      </c>
      <c r="M5954" s="112" t="str">
        <f t="shared" si="96"/>
        <v/>
      </c>
      <c r="N5954" s="113"/>
    </row>
    <row r="5955" spans="2:14">
      <c r="B5955" s="105"/>
      <c r="C5955" s="106"/>
      <c r="D5955" s="107"/>
      <c r="E5955" s="65"/>
      <c r="F5955" s="64"/>
      <c r="G5955" s="64"/>
      <c r="H5955" s="64"/>
      <c r="I5955" s="70"/>
      <c r="J5955" s="70"/>
      <c r="K5955" s="110" t="str">
        <f>IF(H5955="","",IF($C$29="간이법","",FPR(H5955,I5955,J5955)))</f>
        <v/>
      </c>
      <c r="L5955" s="111" t="str">
        <f>IF(H5955="","",IF($C$29="상세법",FPV(H5955,K5955),IF(H5955="EI",4,IF(H5955="EO",5.2,IF(H5955="EQ",3.9,IF(H5955="ILF",7.5,IF(H5955="EIF",5.4)))))))</f>
        <v/>
      </c>
      <c r="M5955" s="112" t="str">
        <f t="shared" si="96"/>
        <v/>
      </c>
      <c r="N5955" s="113"/>
    </row>
    <row r="5956" spans="2:14">
      <c r="B5956" s="105"/>
      <c r="C5956" s="106"/>
      <c r="D5956" s="107"/>
      <c r="E5956" s="65"/>
      <c r="F5956" s="64"/>
      <c r="G5956" s="64"/>
      <c r="H5956" s="64"/>
      <c r="I5956" s="70"/>
      <c r="J5956" s="70"/>
      <c r="K5956" s="110" t="str">
        <f>IF(H5956="","",IF($C$29="간이법","",FPR(H5956,I5956,J5956)))</f>
        <v/>
      </c>
      <c r="L5956" s="111" t="str">
        <f>IF(H5956="","",IF($C$29="상세법",FPV(H5956,K5956),IF(H5956="EI",4,IF(H5956="EO",5.2,IF(H5956="EQ",3.9,IF(H5956="ILF",7.5,IF(H5956="EIF",5.4)))))))</f>
        <v/>
      </c>
      <c r="M5956" s="112" t="str">
        <f t="shared" si="96"/>
        <v/>
      </c>
      <c r="N5956" s="113"/>
    </row>
    <row r="5957" spans="2:14">
      <c r="B5957" s="105"/>
      <c r="C5957" s="106"/>
      <c r="D5957" s="107"/>
      <c r="E5957" s="65"/>
      <c r="F5957" s="64"/>
      <c r="G5957" s="64"/>
      <c r="H5957" s="64"/>
      <c r="I5957" s="70"/>
      <c r="J5957" s="70"/>
      <c r="K5957" s="110" t="str">
        <f>IF(H5957="","",IF($C$29="간이법","",FPR(H5957,I5957,J5957)))</f>
        <v/>
      </c>
      <c r="L5957" s="111" t="str">
        <f>IF(H5957="","",IF($C$29="상세법",FPV(H5957,K5957),IF(H5957="EI",4,IF(H5957="EO",5.2,IF(H5957="EQ",3.9,IF(H5957="ILF",7.5,IF(H5957="EIF",5.4)))))))</f>
        <v/>
      </c>
      <c r="M5957" s="112" t="str">
        <f t="shared" si="96"/>
        <v/>
      </c>
      <c r="N5957" s="113"/>
    </row>
    <row r="5958" spans="2:14">
      <c r="B5958" s="105"/>
      <c r="C5958" s="106"/>
      <c r="D5958" s="107"/>
      <c r="E5958" s="65"/>
      <c r="F5958" s="64"/>
      <c r="G5958" s="64"/>
      <c r="H5958" s="64"/>
      <c r="I5958" s="70"/>
      <c r="J5958" s="70"/>
      <c r="K5958" s="110" t="str">
        <f>IF(H5958="","",IF($C$29="간이법","",FPR(H5958,I5958,J5958)))</f>
        <v/>
      </c>
      <c r="L5958" s="111" t="str">
        <f>IF(H5958="","",IF($C$29="상세법",FPV(H5958,K5958),IF(H5958="EI",4,IF(H5958="EO",5.2,IF(H5958="EQ",3.9,IF(H5958="ILF",7.5,IF(H5958="EIF",5.4)))))))</f>
        <v/>
      </c>
      <c r="M5958" s="112" t="str">
        <f t="shared" si="96"/>
        <v/>
      </c>
      <c r="N5958" s="113"/>
    </row>
    <row r="5959" spans="2:14">
      <c r="B5959" s="105"/>
      <c r="C5959" s="106"/>
      <c r="D5959" s="107"/>
      <c r="E5959" s="65"/>
      <c r="F5959" s="64"/>
      <c r="G5959" s="64"/>
      <c r="H5959" s="64"/>
      <c r="I5959" s="70"/>
      <c r="J5959" s="70"/>
      <c r="K5959" s="110" t="str">
        <f>IF(H5959="","",IF($C$29="간이법","",FPR(H5959,I5959,J5959)))</f>
        <v/>
      </c>
      <c r="L5959" s="111" t="str">
        <f>IF(H5959="","",IF($C$29="상세법",FPV(H5959,K5959),IF(H5959="EI",4,IF(H5959="EO",5.2,IF(H5959="EQ",3.9,IF(H5959="ILF",7.5,IF(H5959="EIF",5.4)))))))</f>
        <v/>
      </c>
      <c r="M5959" s="112" t="str">
        <f t="shared" si="96"/>
        <v/>
      </c>
      <c r="N5959" s="113"/>
    </row>
    <row r="5960" spans="2:14">
      <c r="B5960" s="105"/>
      <c r="C5960" s="106"/>
      <c r="D5960" s="107"/>
      <c r="E5960" s="65"/>
      <c r="F5960" s="64"/>
      <c r="G5960" s="64"/>
      <c r="H5960" s="64"/>
      <c r="I5960" s="70"/>
      <c r="J5960" s="70"/>
      <c r="K5960" s="110" t="str">
        <f>IF(H5960="","",IF($C$29="간이법","",FPR(H5960,I5960,J5960)))</f>
        <v/>
      </c>
      <c r="L5960" s="111" t="str">
        <f>IF(H5960="","",IF($C$29="상세법",FPV(H5960,K5960),IF(H5960="EI",4,IF(H5960="EO",5.2,IF(H5960="EQ",3.9,IF(H5960="ILF",7.5,IF(H5960="EIF",5.4)))))))</f>
        <v/>
      </c>
      <c r="M5960" s="112" t="str">
        <f t="shared" si="96"/>
        <v/>
      </c>
      <c r="N5960" s="113"/>
    </row>
    <row r="5961" spans="2:14">
      <c r="B5961" s="105"/>
      <c r="C5961" s="106"/>
      <c r="D5961" s="107"/>
      <c r="E5961" s="65"/>
      <c r="F5961" s="64"/>
      <c r="G5961" s="64"/>
      <c r="H5961" s="64"/>
      <c r="I5961" s="70"/>
      <c r="J5961" s="70"/>
      <c r="K5961" s="110" t="str">
        <f>IF(H5961="","",IF($C$29="간이법","",FPR(H5961,I5961,J5961)))</f>
        <v/>
      </c>
      <c r="L5961" s="111" t="str">
        <f>IF(H5961="","",IF($C$29="상세법",FPV(H5961,K5961),IF(H5961="EI",4,IF(H5961="EO",5.2,IF(H5961="EQ",3.9,IF(H5961="ILF",7.5,IF(H5961="EIF",5.4)))))))</f>
        <v/>
      </c>
      <c r="M5961" s="112" t="str">
        <f t="shared" si="96"/>
        <v/>
      </c>
      <c r="N5961" s="113"/>
    </row>
    <row r="5962" spans="2:14">
      <c r="B5962" s="105"/>
      <c r="C5962" s="106"/>
      <c r="D5962" s="107"/>
      <c r="E5962" s="65"/>
      <c r="F5962" s="64"/>
      <c r="G5962" s="64"/>
      <c r="H5962" s="64"/>
      <c r="I5962" s="70"/>
      <c r="J5962" s="70"/>
      <c r="K5962" s="110" t="str">
        <f>IF(H5962="","",IF($C$29="간이법","",FPR(H5962,I5962,J5962)))</f>
        <v/>
      </c>
      <c r="L5962" s="111" t="str">
        <f>IF(H5962="","",IF($C$29="상세법",FPV(H5962,K5962),IF(H5962="EI",4,IF(H5962="EO",5.2,IF(H5962="EQ",3.9,IF(H5962="ILF",7.5,IF(H5962="EIF",5.4)))))))</f>
        <v/>
      </c>
      <c r="M5962" s="112" t="str">
        <f t="shared" si="96"/>
        <v/>
      </c>
      <c r="N5962" s="113"/>
    </row>
    <row r="5963" spans="2:14">
      <c r="B5963" s="105"/>
      <c r="C5963" s="106"/>
      <c r="D5963" s="107"/>
      <c r="E5963" s="65"/>
      <c r="F5963" s="64"/>
      <c r="G5963" s="64"/>
      <c r="H5963" s="64"/>
      <c r="I5963" s="70"/>
      <c r="J5963" s="70"/>
      <c r="K5963" s="110" t="str">
        <f>IF(H5963="","",IF($C$29="간이법","",FPR(H5963,I5963,J5963)))</f>
        <v/>
      </c>
      <c r="L5963" s="111" t="str">
        <f>IF(H5963="","",IF($C$29="상세법",FPV(H5963,K5963),IF(H5963="EI",4,IF(H5963="EO",5.2,IF(H5963="EQ",3.9,IF(H5963="ILF",7.5,IF(H5963="EIF",5.4)))))))</f>
        <v/>
      </c>
      <c r="M5963" s="112" t="str">
        <f t="shared" si="96"/>
        <v/>
      </c>
      <c r="N5963" s="113"/>
    </row>
    <row r="5964" spans="2:14">
      <c r="B5964" s="105"/>
      <c r="C5964" s="106"/>
      <c r="D5964" s="107"/>
      <c r="E5964" s="65"/>
      <c r="F5964" s="64"/>
      <c r="G5964" s="64"/>
      <c r="H5964" s="64"/>
      <c r="I5964" s="70"/>
      <c r="J5964" s="70"/>
      <c r="K5964" s="110" t="str">
        <f>IF(H5964="","",IF($C$29="간이법","",FPR(H5964,I5964,J5964)))</f>
        <v/>
      </c>
      <c r="L5964" s="111" t="str">
        <f>IF(H5964="","",IF($C$29="상세법",FPV(H5964,K5964),IF(H5964="EI",4,IF(H5964="EO",5.2,IF(H5964="EQ",3.9,IF(H5964="ILF",7.5,IF(H5964="EIF",5.4)))))))</f>
        <v/>
      </c>
      <c r="M5964" s="112" t="str">
        <f t="shared" si="96"/>
        <v/>
      </c>
      <c r="N5964" s="113"/>
    </row>
    <row r="5965" spans="2:14">
      <c r="B5965" s="105"/>
      <c r="C5965" s="106"/>
      <c r="D5965" s="107"/>
      <c r="E5965" s="65"/>
      <c r="F5965" s="64"/>
      <c r="G5965" s="64"/>
      <c r="H5965" s="64"/>
      <c r="I5965" s="70"/>
      <c r="J5965" s="70"/>
      <c r="K5965" s="110" t="str">
        <f>IF(H5965="","",IF($C$29="간이법","",FPR(H5965,I5965,J5965)))</f>
        <v/>
      </c>
      <c r="L5965" s="111" t="str">
        <f>IF(H5965="","",IF($C$29="상세법",FPV(H5965,K5965),IF(H5965="EI",4,IF(H5965="EO",5.2,IF(H5965="EQ",3.9,IF(H5965="ILF",7.5,IF(H5965="EIF",5.4)))))))</f>
        <v/>
      </c>
      <c r="M5965" s="112" t="str">
        <f t="shared" si="96"/>
        <v/>
      </c>
      <c r="N5965" s="113"/>
    </row>
    <row r="5966" spans="2:14">
      <c r="B5966" s="105"/>
      <c r="C5966" s="106"/>
      <c r="D5966" s="107"/>
      <c r="E5966" s="65"/>
      <c r="F5966" s="64"/>
      <c r="G5966" s="64"/>
      <c r="H5966" s="64"/>
      <c r="I5966" s="70"/>
      <c r="J5966" s="70"/>
      <c r="K5966" s="110" t="str">
        <f>IF(H5966="","",IF($C$29="간이법","",FPR(H5966,I5966,J5966)))</f>
        <v/>
      </c>
      <c r="L5966" s="111" t="str">
        <f>IF(H5966="","",IF($C$29="상세법",FPV(H5966,K5966),IF(H5966="EI",4,IF(H5966="EO",5.2,IF(H5966="EQ",3.9,IF(H5966="ILF",7.5,IF(H5966="EIF",5.4)))))))</f>
        <v/>
      </c>
      <c r="M5966" s="112" t="str">
        <f t="shared" si="96"/>
        <v/>
      </c>
      <c r="N5966" s="113"/>
    </row>
    <row r="5967" spans="2:14">
      <c r="B5967" s="105"/>
      <c r="C5967" s="106"/>
      <c r="D5967" s="107"/>
      <c r="E5967" s="65"/>
      <c r="F5967" s="64"/>
      <c r="G5967" s="64"/>
      <c r="H5967" s="64"/>
      <c r="I5967" s="70"/>
      <c r="J5967" s="70"/>
      <c r="K5967" s="110" t="str">
        <f>IF(H5967="","",IF($C$29="간이법","",FPR(H5967,I5967,J5967)))</f>
        <v/>
      </c>
      <c r="L5967" s="111" t="str">
        <f>IF(H5967="","",IF($C$29="상세법",FPV(H5967,K5967),IF(H5967="EI",4,IF(H5967="EO",5.2,IF(H5967="EQ",3.9,IF(H5967="ILF",7.5,IF(H5967="EIF",5.4)))))))</f>
        <v/>
      </c>
      <c r="M5967" s="112" t="str">
        <f t="shared" si="96"/>
        <v/>
      </c>
      <c r="N5967" s="113"/>
    </row>
    <row r="5968" spans="2:14">
      <c r="B5968" s="105"/>
      <c r="C5968" s="106"/>
      <c r="D5968" s="107"/>
      <c r="E5968" s="65"/>
      <c r="F5968" s="64"/>
      <c r="G5968" s="64"/>
      <c r="H5968" s="64"/>
      <c r="I5968" s="70"/>
      <c r="J5968" s="70"/>
      <c r="K5968" s="110" t="str">
        <f>IF(H5968="","",IF($C$29="간이법","",FPR(H5968,I5968,J5968)))</f>
        <v/>
      </c>
      <c r="L5968" s="111" t="str">
        <f>IF(H5968="","",IF($C$29="상세법",FPV(H5968,K5968),IF(H5968="EI",4,IF(H5968="EO",5.2,IF(H5968="EQ",3.9,IF(H5968="ILF",7.5,IF(H5968="EIF",5.4)))))))</f>
        <v/>
      </c>
      <c r="M5968" s="112" t="str">
        <f t="shared" si="96"/>
        <v/>
      </c>
      <c r="N5968" s="113"/>
    </row>
    <row r="5969" spans="2:14">
      <c r="B5969" s="105"/>
      <c r="C5969" s="106"/>
      <c r="D5969" s="107"/>
      <c r="E5969" s="65"/>
      <c r="F5969" s="64"/>
      <c r="G5969" s="64"/>
      <c r="H5969" s="64"/>
      <c r="I5969" s="70"/>
      <c r="J5969" s="70"/>
      <c r="K5969" s="110" t="str">
        <f>IF(H5969="","",IF($C$29="간이법","",FPR(H5969,I5969,J5969)))</f>
        <v/>
      </c>
      <c r="L5969" s="111" t="str">
        <f>IF(H5969="","",IF($C$29="상세법",FPV(H5969,K5969),IF(H5969="EI",4,IF(H5969="EO",5.2,IF(H5969="EQ",3.9,IF(H5969="ILF",7.5,IF(H5969="EIF",5.4)))))))</f>
        <v/>
      </c>
      <c r="M5969" s="112" t="str">
        <f t="shared" si="96"/>
        <v/>
      </c>
      <c r="N5969" s="113"/>
    </row>
    <row r="5970" spans="2:14">
      <c r="B5970" s="105"/>
      <c r="C5970" s="106"/>
      <c r="D5970" s="107"/>
      <c r="E5970" s="65"/>
      <c r="F5970" s="64"/>
      <c r="G5970" s="64"/>
      <c r="H5970" s="64"/>
      <c r="I5970" s="70"/>
      <c r="J5970" s="70"/>
      <c r="K5970" s="110" t="str">
        <f>IF(H5970="","",IF($C$29="간이법","",FPR(H5970,I5970,J5970)))</f>
        <v/>
      </c>
      <c r="L5970" s="111" t="str">
        <f>IF(H5970="","",IF($C$29="상세법",FPV(H5970,K5970),IF(H5970="EI",4,IF(H5970="EO",5.2,IF(H5970="EQ",3.9,IF(H5970="ILF",7.5,IF(H5970="EIF",5.4)))))))</f>
        <v/>
      </c>
      <c r="M5970" s="112" t="str">
        <f t="shared" si="96"/>
        <v/>
      </c>
      <c r="N5970" s="113"/>
    </row>
    <row r="5971" spans="2:14">
      <c r="B5971" s="105"/>
      <c r="C5971" s="106"/>
      <c r="D5971" s="107"/>
      <c r="E5971" s="65"/>
      <c r="F5971" s="64"/>
      <c r="G5971" s="64"/>
      <c r="H5971" s="64"/>
      <c r="I5971" s="70"/>
      <c r="J5971" s="70"/>
      <c r="K5971" s="110" t="str">
        <f>IF(H5971="","",IF($C$29="간이법","",FPR(H5971,I5971,J5971)))</f>
        <v/>
      </c>
      <c r="L5971" s="111" t="str">
        <f>IF(H5971="","",IF($C$29="상세법",FPV(H5971,K5971),IF(H5971="EI",4,IF(H5971="EO",5.2,IF(H5971="EQ",3.9,IF(H5971="ILF",7.5,IF(H5971="EIF",5.4)))))))</f>
        <v/>
      </c>
      <c r="M5971" s="112" t="str">
        <f t="shared" si="96"/>
        <v/>
      </c>
      <c r="N5971" s="113"/>
    </row>
    <row r="5972" spans="2:14">
      <c r="B5972" s="105"/>
      <c r="C5972" s="106"/>
      <c r="D5972" s="107"/>
      <c r="E5972" s="65"/>
      <c r="F5972" s="64"/>
      <c r="G5972" s="64"/>
      <c r="H5972" s="64"/>
      <c r="I5972" s="70"/>
      <c r="J5972" s="70"/>
      <c r="K5972" s="110" t="str">
        <f>IF(H5972="","",IF($C$29="간이법","",FPR(H5972,I5972,J5972)))</f>
        <v/>
      </c>
      <c r="L5972" s="111" t="str">
        <f>IF(H5972="","",IF($C$29="상세법",FPV(H5972,K5972),IF(H5972="EI",4,IF(H5972="EO",5.2,IF(H5972="EQ",3.9,IF(H5972="ILF",7.5,IF(H5972="EIF",5.4)))))))</f>
        <v/>
      </c>
      <c r="M5972" s="112" t="str">
        <f t="shared" si="96"/>
        <v/>
      </c>
      <c r="N5972" s="113"/>
    </row>
    <row r="5973" spans="2:14">
      <c r="B5973" s="105"/>
      <c r="C5973" s="106"/>
      <c r="D5973" s="107"/>
      <c r="E5973" s="65"/>
      <c r="F5973" s="64"/>
      <c r="G5973" s="64"/>
      <c r="H5973" s="64"/>
      <c r="I5973" s="70"/>
      <c r="J5973" s="70"/>
      <c r="K5973" s="110" t="str">
        <f>IF(H5973="","",IF($C$29="간이법","",FPR(H5973,I5973,J5973)))</f>
        <v/>
      </c>
      <c r="L5973" s="111" t="str">
        <f>IF(H5973="","",IF($C$29="상세법",FPV(H5973,K5973),IF(H5973="EI",4,IF(H5973="EO",5.2,IF(H5973="EQ",3.9,IF(H5973="ILF",7.5,IF(H5973="EIF",5.4)))))))</f>
        <v/>
      </c>
      <c r="M5973" s="112" t="str">
        <f t="shared" si="96"/>
        <v/>
      </c>
      <c r="N5973" s="113"/>
    </row>
    <row r="5974" spans="2:14">
      <c r="B5974" s="105"/>
      <c r="C5974" s="106"/>
      <c r="D5974" s="107"/>
      <c r="E5974" s="65"/>
      <c r="F5974" s="64"/>
      <c r="G5974" s="64"/>
      <c r="H5974" s="64"/>
      <c r="I5974" s="70"/>
      <c r="J5974" s="70"/>
      <c r="K5974" s="110" t="str">
        <f>IF(H5974="","",IF($C$29="간이법","",FPR(H5974,I5974,J5974)))</f>
        <v/>
      </c>
      <c r="L5974" s="111" t="str">
        <f>IF(H5974="","",IF($C$29="상세법",FPV(H5974,K5974),IF(H5974="EI",4,IF(H5974="EO",5.2,IF(H5974="EQ",3.9,IF(H5974="ILF",7.5,IF(H5974="EIF",5.4)))))))</f>
        <v/>
      </c>
      <c r="M5974" s="112" t="str">
        <f t="shared" si="96"/>
        <v/>
      </c>
      <c r="N5974" s="113"/>
    </row>
    <row r="5975" spans="2:14">
      <c r="B5975" s="105"/>
      <c r="C5975" s="106"/>
      <c r="D5975" s="107"/>
      <c r="E5975" s="65"/>
      <c r="F5975" s="64"/>
      <c r="G5975" s="64"/>
      <c r="H5975" s="64"/>
      <c r="I5975" s="70"/>
      <c r="J5975" s="70"/>
      <c r="K5975" s="110" t="str">
        <f>IF(H5975="","",IF($C$29="간이법","",FPR(H5975,I5975,J5975)))</f>
        <v/>
      </c>
      <c r="L5975" s="111" t="str">
        <f>IF(H5975="","",IF($C$29="상세법",FPV(H5975,K5975),IF(H5975="EI",4,IF(H5975="EO",5.2,IF(H5975="EQ",3.9,IF(H5975="ILF",7.5,IF(H5975="EIF",5.4)))))))</f>
        <v/>
      </c>
      <c r="M5975" s="112" t="str">
        <f t="shared" si="96"/>
        <v/>
      </c>
      <c r="N5975" s="113"/>
    </row>
    <row r="5976" spans="2:14">
      <c r="B5976" s="105"/>
      <c r="C5976" s="106"/>
      <c r="D5976" s="107"/>
      <c r="E5976" s="65"/>
      <c r="F5976" s="64"/>
      <c r="G5976" s="64"/>
      <c r="H5976" s="64"/>
      <c r="I5976" s="70"/>
      <c r="J5976" s="70"/>
      <c r="K5976" s="110" t="str">
        <f>IF(H5976="","",IF($C$29="간이법","",FPR(H5976,I5976,J5976)))</f>
        <v/>
      </c>
      <c r="L5976" s="111" t="str">
        <f>IF(H5976="","",IF($C$29="상세법",FPV(H5976,K5976),IF(H5976="EI",4,IF(H5976="EO",5.2,IF(H5976="EQ",3.9,IF(H5976="ILF",7.5,IF(H5976="EIF",5.4)))))))</f>
        <v/>
      </c>
      <c r="M5976" s="112" t="str">
        <f t="shared" si="96"/>
        <v/>
      </c>
      <c r="N5976" s="113"/>
    </row>
    <row r="5977" spans="2:14">
      <c r="B5977" s="105"/>
      <c r="C5977" s="106"/>
      <c r="D5977" s="107"/>
      <c r="E5977" s="65"/>
      <c r="F5977" s="64"/>
      <c r="G5977" s="64"/>
      <c r="H5977" s="64"/>
      <c r="I5977" s="70"/>
      <c r="J5977" s="70"/>
      <c r="K5977" s="110" t="str">
        <f>IF(H5977="","",IF($C$29="간이법","",FPR(H5977,I5977,J5977)))</f>
        <v/>
      </c>
      <c r="L5977" s="111" t="str">
        <f>IF(H5977="","",IF($C$29="상세법",FPV(H5977,K5977),IF(H5977="EI",4,IF(H5977="EO",5.2,IF(H5977="EQ",3.9,IF(H5977="ILF",7.5,IF(H5977="EIF",5.4)))))))</f>
        <v/>
      </c>
      <c r="M5977" s="112" t="str">
        <f t="shared" si="96"/>
        <v/>
      </c>
      <c r="N5977" s="113"/>
    </row>
    <row r="5978" spans="2:14">
      <c r="B5978" s="105"/>
      <c r="C5978" s="106"/>
      <c r="D5978" s="107"/>
      <c r="E5978" s="65"/>
      <c r="F5978" s="64"/>
      <c r="G5978" s="64"/>
      <c r="H5978" s="64"/>
      <c r="I5978" s="70"/>
      <c r="J5978" s="70"/>
      <c r="K5978" s="110" t="str">
        <f>IF(H5978="","",IF($C$29="간이법","",FPR(H5978,I5978,J5978)))</f>
        <v/>
      </c>
      <c r="L5978" s="111" t="str">
        <f>IF(H5978="","",IF($C$29="상세법",FPV(H5978,K5978),IF(H5978="EI",4,IF(H5978="EO",5.2,IF(H5978="EQ",3.9,IF(H5978="ILF",7.5,IF(H5978="EIF",5.4)))))))</f>
        <v/>
      </c>
      <c r="M5978" s="112" t="str">
        <f t="shared" si="96"/>
        <v/>
      </c>
      <c r="N5978" s="113"/>
    </row>
    <row r="5979" spans="2:14">
      <c r="B5979" s="105"/>
      <c r="C5979" s="106"/>
      <c r="D5979" s="107"/>
      <c r="E5979" s="65"/>
      <c r="F5979" s="64"/>
      <c r="G5979" s="64"/>
      <c r="H5979" s="64"/>
      <c r="I5979" s="70"/>
      <c r="J5979" s="70"/>
      <c r="K5979" s="110" t="str">
        <f>IF(H5979="","",IF($C$29="간이법","",FPR(H5979,I5979,J5979)))</f>
        <v/>
      </c>
      <c r="L5979" s="111" t="str">
        <f>IF(H5979="","",IF($C$29="상세법",FPV(H5979,K5979),IF(H5979="EI",4,IF(H5979="EO",5.2,IF(H5979="EQ",3.9,IF(H5979="ILF",7.5,IF(H5979="EIF",5.4)))))))</f>
        <v/>
      </c>
      <c r="M5979" s="112" t="str">
        <f t="shared" si="96"/>
        <v/>
      </c>
      <c r="N5979" s="113"/>
    </row>
    <row r="5980" spans="2:14">
      <c r="B5980" s="105"/>
      <c r="C5980" s="106"/>
      <c r="D5980" s="107"/>
      <c r="E5980" s="65"/>
      <c r="F5980" s="64"/>
      <c r="G5980" s="64"/>
      <c r="H5980" s="64"/>
      <c r="I5980" s="70"/>
      <c r="J5980" s="70"/>
      <c r="K5980" s="110" t="str">
        <f>IF(H5980="","",IF($C$29="간이법","",FPR(H5980,I5980,J5980)))</f>
        <v/>
      </c>
      <c r="L5980" s="111" t="str">
        <f>IF(H5980="","",IF($C$29="상세법",FPV(H5980,K5980),IF(H5980="EI",4,IF(H5980="EO",5.2,IF(H5980="EQ",3.9,IF(H5980="ILF",7.5,IF(H5980="EIF",5.4)))))))</f>
        <v/>
      </c>
      <c r="M5980" s="112" t="str">
        <f t="shared" si="96"/>
        <v/>
      </c>
      <c r="N5980" s="113"/>
    </row>
    <row r="5981" spans="2:14">
      <c r="B5981" s="105"/>
      <c r="C5981" s="106"/>
      <c r="D5981" s="107"/>
      <c r="E5981" s="65"/>
      <c r="F5981" s="64"/>
      <c r="G5981" s="64"/>
      <c r="H5981" s="64"/>
      <c r="I5981" s="70"/>
      <c r="J5981" s="70"/>
      <c r="K5981" s="110" t="str">
        <f>IF(H5981="","",IF($C$29="간이법","",FPR(H5981,I5981,J5981)))</f>
        <v/>
      </c>
      <c r="L5981" s="111" t="str">
        <f>IF(H5981="","",IF($C$29="상세법",FPV(H5981,K5981),IF(H5981="EI",4,IF(H5981="EO",5.2,IF(H5981="EQ",3.9,IF(H5981="ILF",7.5,IF(H5981="EIF",5.4)))))))</f>
        <v/>
      </c>
      <c r="M5981" s="112" t="str">
        <f t="shared" si="96"/>
        <v/>
      </c>
      <c r="N5981" s="113"/>
    </row>
    <row r="5982" spans="2:14">
      <c r="B5982" s="105"/>
      <c r="C5982" s="106"/>
      <c r="D5982" s="107"/>
      <c r="E5982" s="65"/>
      <c r="F5982" s="64"/>
      <c r="G5982" s="64"/>
      <c r="H5982" s="64"/>
      <c r="I5982" s="70"/>
      <c r="J5982" s="70"/>
      <c r="K5982" s="110" t="str">
        <f>IF(H5982="","",IF($C$29="간이법","",FPR(H5982,I5982,J5982)))</f>
        <v/>
      </c>
      <c r="L5982" s="111" t="str">
        <f>IF(H5982="","",IF($C$29="상세법",FPV(H5982,K5982),IF(H5982="EI",4,IF(H5982="EO",5.2,IF(H5982="EQ",3.9,IF(H5982="ILF",7.5,IF(H5982="EIF",5.4)))))))</f>
        <v/>
      </c>
      <c r="M5982" s="112" t="str">
        <f t="shared" si="96"/>
        <v/>
      </c>
      <c r="N5982" s="113"/>
    </row>
    <row r="5983" spans="2:14">
      <c r="B5983" s="105"/>
      <c r="C5983" s="106"/>
      <c r="D5983" s="107"/>
      <c r="E5983" s="65"/>
      <c r="F5983" s="64"/>
      <c r="G5983" s="64"/>
      <c r="H5983" s="64"/>
      <c r="I5983" s="70"/>
      <c r="J5983" s="70"/>
      <c r="K5983" s="110" t="str">
        <f>IF(H5983="","",IF($C$29="간이법","",FPR(H5983,I5983,J5983)))</f>
        <v/>
      </c>
      <c r="L5983" s="111" t="str">
        <f>IF(H5983="","",IF($C$29="상세법",FPV(H5983,K5983),IF(H5983="EI",4,IF(H5983="EO",5.2,IF(H5983="EQ",3.9,IF(H5983="ILF",7.5,IF(H5983="EIF",5.4)))))))</f>
        <v/>
      </c>
      <c r="M5983" s="112" t="str">
        <f t="shared" si="96"/>
        <v/>
      </c>
      <c r="N5983" s="113"/>
    </row>
    <row r="5984" spans="2:14">
      <c r="B5984" s="105"/>
      <c r="C5984" s="106"/>
      <c r="D5984" s="107"/>
      <c r="E5984" s="65"/>
      <c r="F5984" s="64"/>
      <c r="G5984" s="64"/>
      <c r="H5984" s="64"/>
      <c r="I5984" s="70"/>
      <c r="J5984" s="70"/>
      <c r="K5984" s="110" t="str">
        <f>IF(H5984="","",IF($C$29="간이법","",FPR(H5984,I5984,J5984)))</f>
        <v/>
      </c>
      <c r="L5984" s="111" t="str">
        <f>IF(H5984="","",IF($C$29="상세법",FPV(H5984,K5984),IF(H5984="EI",4,IF(H5984="EO",5.2,IF(H5984="EQ",3.9,IF(H5984="ILF",7.5,IF(H5984="EIF",5.4)))))))</f>
        <v/>
      </c>
      <c r="M5984" s="112" t="str">
        <f t="shared" si="96"/>
        <v/>
      </c>
      <c r="N5984" s="113"/>
    </row>
    <row r="5985" spans="2:14">
      <c r="B5985" s="105"/>
      <c r="C5985" s="106"/>
      <c r="D5985" s="107"/>
      <c r="E5985" s="65"/>
      <c r="F5985" s="64"/>
      <c r="G5985" s="64"/>
      <c r="H5985" s="64"/>
      <c r="I5985" s="70"/>
      <c r="J5985" s="70"/>
      <c r="K5985" s="110" t="str">
        <f>IF(H5985="","",IF($C$29="간이법","",FPR(H5985,I5985,J5985)))</f>
        <v/>
      </c>
      <c r="L5985" s="111" t="str">
        <f>IF(H5985="","",IF($C$29="상세법",FPV(H5985,K5985),IF(H5985="EI",4,IF(H5985="EO",5.2,IF(H5985="EQ",3.9,IF(H5985="ILF",7.5,IF(H5985="EIF",5.4)))))))</f>
        <v/>
      </c>
      <c r="M5985" s="112" t="str">
        <f t="shared" si="96"/>
        <v/>
      </c>
      <c r="N5985" s="113"/>
    </row>
    <row r="5986" spans="2:14">
      <c r="B5986" s="105"/>
      <c r="C5986" s="106"/>
      <c r="D5986" s="107"/>
      <c r="E5986" s="65"/>
      <c r="F5986" s="64"/>
      <c r="G5986" s="64"/>
      <c r="H5986" s="64"/>
      <c r="I5986" s="70"/>
      <c r="J5986" s="70"/>
      <c r="K5986" s="110" t="str">
        <f>IF(H5986="","",IF($C$29="간이법","",FPR(H5986,I5986,J5986)))</f>
        <v/>
      </c>
      <c r="L5986" s="111" t="str">
        <f>IF(H5986="","",IF($C$29="상세법",FPV(H5986,K5986),IF(H5986="EI",4,IF(H5986="EO",5.2,IF(H5986="EQ",3.9,IF(H5986="ILF",7.5,IF(H5986="EIF",5.4)))))))</f>
        <v/>
      </c>
      <c r="M5986" s="112" t="str">
        <f t="shared" si="96"/>
        <v/>
      </c>
      <c r="N5986" s="113"/>
    </row>
    <row r="5987" spans="2:14">
      <c r="B5987" s="105"/>
      <c r="C5987" s="106"/>
      <c r="D5987" s="107"/>
      <c r="E5987" s="65"/>
      <c r="F5987" s="64"/>
      <c r="G5987" s="64"/>
      <c r="H5987" s="64"/>
      <c r="I5987" s="70"/>
      <c r="J5987" s="70"/>
      <c r="K5987" s="110" t="str">
        <f>IF(H5987="","",IF($C$29="간이법","",FPR(H5987,I5987,J5987)))</f>
        <v/>
      </c>
      <c r="L5987" s="111" t="str">
        <f>IF(H5987="","",IF($C$29="상세법",FPV(H5987,K5987),IF(H5987="EI",4,IF(H5987="EO",5.2,IF(H5987="EQ",3.9,IF(H5987="ILF",7.5,IF(H5987="EIF",5.4)))))))</f>
        <v/>
      </c>
      <c r="M5987" s="112" t="str">
        <f t="shared" si="96"/>
        <v/>
      </c>
      <c r="N5987" s="113"/>
    </row>
    <row r="5988" spans="2:14">
      <c r="B5988" s="105"/>
      <c r="C5988" s="106"/>
      <c r="D5988" s="107"/>
      <c r="E5988" s="65"/>
      <c r="F5988" s="64"/>
      <c r="G5988" s="64"/>
      <c r="H5988" s="64"/>
      <c r="I5988" s="70"/>
      <c r="J5988" s="70"/>
      <c r="K5988" s="110" t="str">
        <f>IF(H5988="","",IF($C$29="간이법","",FPR(H5988,I5988,J5988)))</f>
        <v/>
      </c>
      <c r="L5988" s="111" t="str">
        <f>IF(H5988="","",IF($C$29="상세법",FPV(H5988,K5988),IF(H5988="EI",4,IF(H5988="EO",5.2,IF(H5988="EQ",3.9,IF(H5988="ILF",7.5,IF(H5988="EIF",5.4)))))))</f>
        <v/>
      </c>
      <c r="M5988" s="112" t="str">
        <f t="shared" si="96"/>
        <v/>
      </c>
      <c r="N5988" s="113"/>
    </row>
    <row r="5989" spans="2:14">
      <c r="B5989" s="105"/>
      <c r="C5989" s="106"/>
      <c r="D5989" s="107"/>
      <c r="E5989" s="65"/>
      <c r="F5989" s="64"/>
      <c r="G5989" s="64"/>
      <c r="H5989" s="64"/>
      <c r="I5989" s="70"/>
      <c r="J5989" s="70"/>
      <c r="K5989" s="110" t="str">
        <f>IF(H5989="","",IF($C$29="간이법","",FPR(H5989,I5989,J5989)))</f>
        <v/>
      </c>
      <c r="L5989" s="111" t="str">
        <f>IF(H5989="","",IF($C$29="상세법",FPV(H5989,K5989),IF(H5989="EI",4,IF(H5989="EO",5.2,IF(H5989="EQ",3.9,IF(H5989="ILF",7.5,IF(H5989="EIF",5.4)))))))</f>
        <v/>
      </c>
      <c r="M5989" s="112" t="str">
        <f t="shared" si="96"/>
        <v/>
      </c>
      <c r="N5989" s="113"/>
    </row>
    <row r="5990" spans="2:14">
      <c r="B5990" s="105"/>
      <c r="C5990" s="106"/>
      <c r="D5990" s="107"/>
      <c r="E5990" s="65"/>
      <c r="F5990" s="64"/>
      <c r="G5990" s="64"/>
      <c r="H5990" s="64"/>
      <c r="I5990" s="70"/>
      <c r="J5990" s="70"/>
      <c r="K5990" s="110" t="str">
        <f>IF(H5990="","",IF($C$29="간이법","",FPR(H5990,I5990,J5990)))</f>
        <v/>
      </c>
      <c r="L5990" s="111" t="str">
        <f>IF(H5990="","",IF($C$29="상세법",FPV(H5990,K5990),IF(H5990="EI",4,IF(H5990="EO",5.2,IF(H5990="EQ",3.9,IF(H5990="ILF",7.5,IF(H5990="EIF",5.4)))))))</f>
        <v/>
      </c>
      <c r="M5990" s="112" t="str">
        <f t="shared" si="96"/>
        <v/>
      </c>
      <c r="N5990" s="113"/>
    </row>
    <row r="5991" spans="2:14">
      <c r="B5991" s="105"/>
      <c r="C5991" s="106"/>
      <c r="D5991" s="107"/>
      <c r="E5991" s="65"/>
      <c r="F5991" s="64"/>
      <c r="G5991" s="64"/>
      <c r="H5991" s="64"/>
      <c r="I5991" s="70"/>
      <c r="J5991" s="70"/>
      <c r="K5991" s="110" t="str">
        <f>IF(H5991="","",IF($C$29="간이법","",FPR(H5991,I5991,J5991)))</f>
        <v/>
      </c>
      <c r="L5991" s="111" t="str">
        <f>IF(H5991="","",IF($C$29="상세법",FPV(H5991,K5991),IF(H5991="EI",4,IF(H5991="EO",5.2,IF(H5991="EQ",3.9,IF(H5991="ILF",7.5,IF(H5991="EIF",5.4)))))))</f>
        <v/>
      </c>
      <c r="M5991" s="112" t="str">
        <f t="shared" si="96"/>
        <v/>
      </c>
      <c r="N5991" s="113"/>
    </row>
    <row r="5992" spans="2:14">
      <c r="B5992" s="105"/>
      <c r="C5992" s="106"/>
      <c r="D5992" s="107"/>
      <c r="E5992" s="65"/>
      <c r="F5992" s="64"/>
      <c r="G5992" s="64"/>
      <c r="H5992" s="64"/>
      <c r="I5992" s="70"/>
      <c r="J5992" s="70"/>
      <c r="K5992" s="110" t="str">
        <f>IF(H5992="","",IF($C$29="간이법","",FPR(H5992,I5992,J5992)))</f>
        <v/>
      </c>
      <c r="L5992" s="111" t="str">
        <f>IF(H5992="","",IF($C$29="상세법",FPV(H5992,K5992),IF(H5992="EI",4,IF(H5992="EO",5.2,IF(H5992="EQ",3.9,IF(H5992="ILF",7.5,IF(H5992="EIF",5.4)))))))</f>
        <v/>
      </c>
      <c r="M5992" s="112" t="str">
        <f t="shared" si="96"/>
        <v/>
      </c>
      <c r="N5992" s="113"/>
    </row>
    <row r="5993" spans="2:14">
      <c r="B5993" s="105"/>
      <c r="C5993" s="106"/>
      <c r="D5993" s="107"/>
      <c r="E5993" s="65"/>
      <c r="F5993" s="64"/>
      <c r="G5993" s="64"/>
      <c r="H5993" s="64"/>
      <c r="I5993" s="70"/>
      <c r="J5993" s="70"/>
      <c r="K5993" s="110" t="str">
        <f>IF(H5993="","",IF($C$29="간이법","",FPR(H5993,I5993,J5993)))</f>
        <v/>
      </c>
      <c r="L5993" s="111" t="str">
        <f>IF(H5993="","",IF($C$29="상세법",FPV(H5993,K5993),IF(H5993="EI",4,IF(H5993="EO",5.2,IF(H5993="EQ",3.9,IF(H5993="ILF",7.5,IF(H5993="EIF",5.4)))))))</f>
        <v/>
      </c>
      <c r="M5993" s="112" t="str">
        <f t="shared" si="96"/>
        <v/>
      </c>
      <c r="N5993" s="113"/>
    </row>
    <row r="5994" spans="2:14">
      <c r="B5994" s="105"/>
      <c r="C5994" s="106"/>
      <c r="D5994" s="107"/>
      <c r="E5994" s="65"/>
      <c r="F5994" s="64"/>
      <c r="G5994" s="64"/>
      <c r="H5994" s="64"/>
      <c r="I5994" s="70"/>
      <c r="J5994" s="70"/>
      <c r="K5994" s="110" t="str">
        <f>IF(H5994="","",IF($C$29="간이법","",FPR(H5994,I5994,J5994)))</f>
        <v/>
      </c>
      <c r="L5994" s="111" t="str">
        <f>IF(H5994="","",IF($C$29="상세법",FPV(H5994,K5994),IF(H5994="EI",4,IF(H5994="EO",5.2,IF(H5994="EQ",3.9,IF(H5994="ILF",7.5,IF(H5994="EIF",5.4)))))))</f>
        <v/>
      </c>
      <c r="M5994" s="112" t="str">
        <f t="shared" si="96"/>
        <v/>
      </c>
      <c r="N5994" s="113"/>
    </row>
    <row r="5995" spans="2:14">
      <c r="B5995" s="105"/>
      <c r="C5995" s="106"/>
      <c r="D5995" s="107"/>
      <c r="E5995" s="65"/>
      <c r="F5995" s="64"/>
      <c r="G5995" s="64"/>
      <c r="H5995" s="64"/>
      <c r="I5995" s="70"/>
      <c r="J5995" s="70"/>
      <c r="K5995" s="110" t="str">
        <f>IF(H5995="","",IF($C$29="간이법","",FPR(H5995,I5995,J5995)))</f>
        <v/>
      </c>
      <c r="L5995" s="111" t="str">
        <f>IF(H5995="","",IF($C$29="상세법",FPV(H5995,K5995),IF(H5995="EI",4,IF(H5995="EO",5.2,IF(H5995="EQ",3.9,IF(H5995="ILF",7.5,IF(H5995="EIF",5.4)))))))</f>
        <v/>
      </c>
      <c r="M5995" s="112" t="str">
        <f t="shared" si="96"/>
        <v/>
      </c>
      <c r="N5995" s="113"/>
    </row>
    <row r="5996" spans="2:14">
      <c r="B5996" s="105"/>
      <c r="C5996" s="106"/>
      <c r="D5996" s="107"/>
      <c r="E5996" s="65"/>
      <c r="F5996" s="64"/>
      <c r="G5996" s="64"/>
      <c r="H5996" s="64"/>
      <c r="I5996" s="70"/>
      <c r="J5996" s="70"/>
      <c r="K5996" s="110" t="str">
        <f>IF(H5996="","",IF($C$29="간이법","",FPR(H5996,I5996,J5996)))</f>
        <v/>
      </c>
      <c r="L5996" s="111" t="str">
        <f>IF(H5996="","",IF($C$29="상세법",FPV(H5996,K5996),IF(H5996="EI",4,IF(H5996="EO",5.2,IF(H5996="EQ",3.9,IF(H5996="ILF",7.5,IF(H5996="EIF",5.4)))))))</f>
        <v/>
      </c>
      <c r="M5996" s="112" t="str">
        <f t="shared" si="96"/>
        <v/>
      </c>
      <c r="N5996" s="113"/>
    </row>
    <row r="5997" spans="2:14">
      <c r="B5997" s="105"/>
      <c r="C5997" s="106"/>
      <c r="D5997" s="107"/>
      <c r="E5997" s="65"/>
      <c r="F5997" s="64"/>
      <c r="G5997" s="64"/>
      <c r="H5997" s="64"/>
      <c r="I5997" s="70"/>
      <c r="J5997" s="70"/>
      <c r="K5997" s="110" t="str">
        <f>IF(H5997="","",IF($C$29="간이법","",FPR(H5997,I5997,J5997)))</f>
        <v/>
      </c>
      <c r="L5997" s="111" t="str">
        <f>IF(H5997="","",IF($C$29="상세법",FPV(H5997,K5997),IF(H5997="EI",4,IF(H5997="EO",5.2,IF(H5997="EQ",3.9,IF(H5997="ILF",7.5,IF(H5997="EIF",5.4)))))))</f>
        <v/>
      </c>
      <c r="M5997" s="112" t="str">
        <f t="shared" si="96"/>
        <v/>
      </c>
      <c r="N5997" s="113"/>
    </row>
    <row r="5998" spans="2:14">
      <c r="B5998" s="105"/>
      <c r="C5998" s="106"/>
      <c r="D5998" s="107"/>
      <c r="E5998" s="65"/>
      <c r="F5998" s="64"/>
      <c r="G5998" s="64"/>
      <c r="H5998" s="64"/>
      <c r="I5998" s="70"/>
      <c r="J5998" s="70"/>
      <c r="K5998" s="110" t="str">
        <f>IF(H5998="","",IF($C$29="간이법","",FPR(H5998,I5998,J5998)))</f>
        <v/>
      </c>
      <c r="L5998" s="111" t="str">
        <f>IF(H5998="","",IF($C$29="상세법",FPV(H5998,K5998),IF(H5998="EI",4,IF(H5998="EO",5.2,IF(H5998="EQ",3.9,IF(H5998="ILF",7.5,IF(H5998="EIF",5.4)))))))</f>
        <v/>
      </c>
      <c r="M5998" s="112" t="str">
        <f t="shared" si="96"/>
        <v/>
      </c>
      <c r="N5998" s="113"/>
    </row>
    <row r="5999" spans="2:14">
      <c r="B5999" s="105"/>
      <c r="C5999" s="106"/>
      <c r="D5999" s="107"/>
      <c r="E5999" s="65"/>
      <c r="F5999" s="64"/>
      <c r="G5999" s="64"/>
      <c r="H5999" s="64"/>
      <c r="I5999" s="70"/>
      <c r="J5999" s="70"/>
      <c r="K5999" s="110" t="str">
        <f>IF(H5999="","",IF($C$29="간이법","",FPR(H5999,I5999,J5999)))</f>
        <v/>
      </c>
      <c r="L5999" s="111" t="str">
        <f>IF(H5999="","",IF($C$29="상세법",FPV(H5999,K5999),IF(H5999="EI",4,IF(H5999="EO",5.2,IF(H5999="EQ",3.9,IF(H5999="ILF",7.5,IF(H5999="EIF",5.4)))))))</f>
        <v/>
      </c>
      <c r="M5999" s="112" t="str">
        <f t="shared" si="96"/>
        <v/>
      </c>
      <c r="N5999" s="113"/>
    </row>
    <row r="6000" spans="2:14">
      <c r="B6000" s="105"/>
      <c r="C6000" s="106"/>
      <c r="D6000" s="107"/>
      <c r="E6000" s="65"/>
      <c r="F6000" s="64"/>
      <c r="G6000" s="64"/>
      <c r="H6000" s="64"/>
      <c r="I6000" s="70"/>
      <c r="J6000" s="70"/>
      <c r="K6000" s="110" t="str">
        <f>IF(H6000="","",IF($C$29="간이법","",FPR(H6000,I6000,J6000)))</f>
        <v/>
      </c>
      <c r="L6000" s="111" t="str">
        <f>IF(H6000="","",IF($C$29="상세법",FPV(H6000,K6000),IF(H6000="EI",4,IF(H6000="EO",5.2,IF(H6000="EQ",3.9,IF(H6000="ILF",7.5,IF(H6000="EIF",5.4)))))))</f>
        <v/>
      </c>
      <c r="M6000" s="112" t="str">
        <f t="shared" si="96"/>
        <v/>
      </c>
      <c r="N6000" s="113"/>
    </row>
    <row r="6001" spans="2:14">
      <c r="B6001" s="105"/>
      <c r="C6001" s="106"/>
      <c r="D6001" s="107"/>
      <c r="E6001" s="65"/>
      <c r="F6001" s="64"/>
      <c r="G6001" s="64"/>
      <c r="H6001" s="64"/>
      <c r="I6001" s="70"/>
      <c r="J6001" s="70"/>
      <c r="K6001" s="110" t="str">
        <f>IF(H6001="","",IF($C$29="간이법","",FPR(H6001,I6001,J6001)))</f>
        <v/>
      </c>
      <c r="L6001" s="111" t="str">
        <f>IF(H6001="","",IF($C$29="상세법",FPV(H6001,K6001),IF(H6001="EI",4,IF(H6001="EO",5.2,IF(H6001="EQ",3.9,IF(H6001="ILF",7.5,IF(H6001="EIF",5.4)))))))</f>
        <v/>
      </c>
      <c r="M6001" s="112" t="str">
        <f t="shared" si="96"/>
        <v/>
      </c>
      <c r="N6001" s="113"/>
    </row>
    <row r="6002" spans="2:14">
      <c r="B6002" s="105"/>
      <c r="C6002" s="106"/>
      <c r="D6002" s="107"/>
      <c r="E6002" s="65"/>
      <c r="F6002" s="64"/>
      <c r="G6002" s="64"/>
      <c r="H6002" s="64"/>
      <c r="I6002" s="70"/>
      <c r="J6002" s="70"/>
      <c r="K6002" s="110" t="str">
        <f>IF(H6002="","",IF($C$29="간이법","",FPR(H6002,I6002,J6002)))</f>
        <v/>
      </c>
      <c r="L6002" s="111" t="str">
        <f>IF(H6002="","",IF($C$29="상세법",FPV(H6002,K6002),IF(H6002="EI",4,IF(H6002="EO",5.2,IF(H6002="EQ",3.9,IF(H6002="ILF",7.5,IF(H6002="EIF",5.4)))))))</f>
        <v/>
      </c>
      <c r="M6002" s="112" t="str">
        <f t="shared" si="96"/>
        <v/>
      </c>
      <c r="N6002" s="113"/>
    </row>
    <row r="6003" spans="2:14">
      <c r="B6003" s="105"/>
      <c r="C6003" s="106"/>
      <c r="D6003" s="107"/>
      <c r="E6003" s="65"/>
      <c r="F6003" s="64"/>
      <c r="G6003" s="64"/>
      <c r="H6003" s="64"/>
      <c r="I6003" s="70"/>
      <c r="J6003" s="70"/>
      <c r="K6003" s="110" t="str">
        <f>IF(H6003="","",IF($C$29="간이법","",FPR(H6003,I6003,J6003)))</f>
        <v/>
      </c>
      <c r="L6003" s="111" t="str">
        <f>IF(H6003="","",IF($C$29="상세법",FPV(H6003,K6003),IF(H6003="EI",4,IF(H6003="EO",5.2,IF(H6003="EQ",3.9,IF(H6003="ILF",7.5,IF(H6003="EIF",5.4)))))))</f>
        <v/>
      </c>
      <c r="M6003" s="112" t="str">
        <f t="shared" si="96"/>
        <v/>
      </c>
      <c r="N6003" s="113"/>
    </row>
    <row r="6004" spans="2:14">
      <c r="B6004" s="105"/>
      <c r="C6004" s="106"/>
      <c r="D6004" s="107"/>
      <c r="E6004" s="65"/>
      <c r="F6004" s="64"/>
      <c r="G6004" s="64"/>
      <c r="H6004" s="64"/>
      <c r="I6004" s="70"/>
      <c r="J6004" s="70"/>
      <c r="K6004" s="110" t="str">
        <f>IF(H6004="","",IF($C$29="간이법","",FPR(H6004,I6004,J6004)))</f>
        <v/>
      </c>
      <c r="L6004" s="111" t="str">
        <f>IF(H6004="","",IF($C$29="상세법",FPV(H6004,K6004),IF(H6004="EI",4,IF(H6004="EO",5.2,IF(H6004="EQ",3.9,IF(H6004="ILF",7.5,IF(H6004="EIF",5.4)))))))</f>
        <v/>
      </c>
      <c r="M6004" s="112" t="str">
        <f t="shared" si="96"/>
        <v/>
      </c>
      <c r="N6004" s="113"/>
    </row>
    <row r="6005" spans="2:14">
      <c r="B6005" s="105"/>
      <c r="C6005" s="106"/>
      <c r="D6005" s="107"/>
      <c r="E6005" s="65"/>
      <c r="F6005" s="64"/>
      <c r="G6005" s="64"/>
      <c r="H6005" s="64"/>
      <c r="I6005" s="70"/>
      <c r="J6005" s="70"/>
      <c r="K6005" s="110" t="str">
        <f>IF(H6005="","",IF($C$29="간이법","",FPR(H6005,I6005,J6005)))</f>
        <v/>
      </c>
      <c r="L6005" s="111" t="str">
        <f>IF(H6005="","",IF($C$29="상세법",FPV(H6005,K6005),IF(H6005="EI",4,IF(H6005="EO",5.2,IF(H6005="EQ",3.9,IF(H6005="ILF",7.5,IF(H6005="EIF",5.4)))))))</f>
        <v/>
      </c>
      <c r="M6005" s="112" t="str">
        <f t="shared" si="96"/>
        <v/>
      </c>
      <c r="N6005" s="113"/>
    </row>
    <row r="6006" spans="2:14">
      <c r="B6006" s="105"/>
      <c r="C6006" s="106"/>
      <c r="D6006" s="107"/>
      <c r="E6006" s="65"/>
      <c r="F6006" s="64"/>
      <c r="G6006" s="64"/>
      <c r="H6006" s="64"/>
      <c r="I6006" s="70"/>
      <c r="J6006" s="70"/>
      <c r="K6006" s="110" t="str">
        <f>IF(H6006="","",IF($C$29="간이법","",FPR(H6006,I6006,J6006)))</f>
        <v/>
      </c>
      <c r="L6006" s="111" t="str">
        <f>IF(H6006="","",IF($C$29="상세법",FPV(H6006,K6006),IF(H6006="EI",4,IF(H6006="EO",5.2,IF(H6006="EQ",3.9,IF(H6006="ILF",7.5,IF(H6006="EIF",5.4)))))))</f>
        <v/>
      </c>
      <c r="M6006" s="112" t="str">
        <f t="shared" si="96"/>
        <v/>
      </c>
      <c r="N6006" s="113"/>
    </row>
    <row r="6007" spans="2:14">
      <c r="B6007" s="105"/>
      <c r="C6007" s="106"/>
      <c r="D6007" s="107"/>
      <c r="E6007" s="65"/>
      <c r="F6007" s="64"/>
      <c r="G6007" s="64"/>
      <c r="H6007" s="64"/>
      <c r="I6007" s="70"/>
      <c r="J6007" s="70"/>
      <c r="K6007" s="110" t="str">
        <f>IF(H6007="","",IF($C$29="간이법","",FPR(H6007,I6007,J6007)))</f>
        <v/>
      </c>
      <c r="L6007" s="111" t="str">
        <f>IF(H6007="","",IF($C$29="상세법",FPV(H6007,K6007),IF(H6007="EI",4,IF(H6007="EO",5.2,IF(H6007="EQ",3.9,IF(H6007="ILF",7.5,IF(H6007="EIF",5.4)))))))</f>
        <v/>
      </c>
      <c r="M6007" s="112" t="str">
        <f t="shared" si="96"/>
        <v/>
      </c>
      <c r="N6007" s="113"/>
    </row>
    <row r="6008" spans="2:14">
      <c r="B6008" s="105"/>
      <c r="C6008" s="106"/>
      <c r="D6008" s="107"/>
      <c r="E6008" s="65"/>
      <c r="F6008" s="64"/>
      <c r="G6008" s="64"/>
      <c r="H6008" s="64"/>
      <c r="I6008" s="70"/>
      <c r="J6008" s="70"/>
      <c r="K6008" s="110" t="str">
        <f>IF(H6008="","",IF($C$29="간이법","",FPR(H6008,I6008,J6008)))</f>
        <v/>
      </c>
      <c r="L6008" s="111" t="str">
        <f>IF(H6008="","",IF($C$29="상세법",FPV(H6008,K6008),IF(H6008="EI",4,IF(H6008="EO",5.2,IF(H6008="EQ",3.9,IF(H6008="ILF",7.5,IF(H6008="EIF",5.4)))))))</f>
        <v/>
      </c>
      <c r="M6008" s="112" t="str">
        <f t="shared" si="96"/>
        <v/>
      </c>
      <c r="N6008" s="113"/>
    </row>
    <row r="6009" spans="2:14">
      <c r="B6009" s="105"/>
      <c r="C6009" s="106"/>
      <c r="D6009" s="107"/>
      <c r="E6009" s="65"/>
      <c r="F6009" s="64"/>
      <c r="G6009" s="64"/>
      <c r="H6009" s="64"/>
      <c r="I6009" s="70"/>
      <c r="J6009" s="70"/>
      <c r="K6009" s="110" t="str">
        <f>IF(H6009="","",IF($C$29="간이법","",FPR(H6009,I6009,J6009)))</f>
        <v/>
      </c>
      <c r="L6009" s="111" t="str">
        <f>IF(H6009="","",IF($C$29="상세법",FPV(H6009,K6009),IF(H6009="EI",4,IF(H6009="EO",5.2,IF(H6009="EQ",3.9,IF(H6009="ILF",7.5,IF(H6009="EIF",5.4)))))))</f>
        <v/>
      </c>
      <c r="M6009" s="112" t="str">
        <f t="shared" ref="M6009:M6072" si="97">IF(L6009="","",L6009*IF(G6009="상",0.7,IF(G6009="중",0.5,IF(G6009="하",0.2,1))))</f>
        <v/>
      </c>
      <c r="N6009" s="113"/>
    </row>
    <row r="6010" spans="2:14">
      <c r="B6010" s="105"/>
      <c r="C6010" s="106"/>
      <c r="D6010" s="107"/>
      <c r="E6010" s="65"/>
      <c r="F6010" s="64"/>
      <c r="G6010" s="64"/>
      <c r="H6010" s="64"/>
      <c r="I6010" s="70"/>
      <c r="J6010" s="70"/>
      <c r="K6010" s="110" t="str">
        <f>IF(H6010="","",IF($C$29="간이법","",FPR(H6010,I6010,J6010)))</f>
        <v/>
      </c>
      <c r="L6010" s="111" t="str">
        <f>IF(H6010="","",IF($C$29="상세법",FPV(H6010,K6010),IF(H6010="EI",4,IF(H6010="EO",5.2,IF(H6010="EQ",3.9,IF(H6010="ILF",7.5,IF(H6010="EIF",5.4)))))))</f>
        <v/>
      </c>
      <c r="M6010" s="112" t="str">
        <f t="shared" si="97"/>
        <v/>
      </c>
      <c r="N6010" s="113"/>
    </row>
    <row r="6011" spans="2:14">
      <c r="B6011" s="105"/>
      <c r="C6011" s="106"/>
      <c r="D6011" s="107"/>
      <c r="E6011" s="65"/>
      <c r="F6011" s="64"/>
      <c r="G6011" s="64"/>
      <c r="H6011" s="64"/>
      <c r="I6011" s="70"/>
      <c r="J6011" s="70"/>
      <c r="K6011" s="110" t="str">
        <f>IF(H6011="","",IF($C$29="간이법","",FPR(H6011,I6011,J6011)))</f>
        <v/>
      </c>
      <c r="L6011" s="111" t="str">
        <f>IF(H6011="","",IF($C$29="상세법",FPV(H6011,K6011),IF(H6011="EI",4,IF(H6011="EO",5.2,IF(H6011="EQ",3.9,IF(H6011="ILF",7.5,IF(H6011="EIF",5.4)))))))</f>
        <v/>
      </c>
      <c r="M6011" s="112" t="str">
        <f t="shared" si="97"/>
        <v/>
      </c>
      <c r="N6011" s="113"/>
    </row>
    <row r="6012" spans="2:14">
      <c r="B6012" s="105"/>
      <c r="C6012" s="106"/>
      <c r="D6012" s="107"/>
      <c r="E6012" s="65"/>
      <c r="F6012" s="64"/>
      <c r="G6012" s="64"/>
      <c r="H6012" s="64"/>
      <c r="I6012" s="70"/>
      <c r="J6012" s="70"/>
      <c r="K6012" s="110" t="str">
        <f>IF(H6012="","",IF($C$29="간이법","",FPR(H6012,I6012,J6012)))</f>
        <v/>
      </c>
      <c r="L6012" s="111" t="str">
        <f>IF(H6012="","",IF($C$29="상세법",FPV(H6012,K6012),IF(H6012="EI",4,IF(H6012="EO",5.2,IF(H6012="EQ",3.9,IF(H6012="ILF",7.5,IF(H6012="EIF",5.4)))))))</f>
        <v/>
      </c>
      <c r="M6012" s="112" t="str">
        <f t="shared" si="97"/>
        <v/>
      </c>
      <c r="N6012" s="113"/>
    </row>
    <row r="6013" spans="2:14">
      <c r="B6013" s="105"/>
      <c r="C6013" s="106"/>
      <c r="D6013" s="107"/>
      <c r="E6013" s="65"/>
      <c r="F6013" s="64"/>
      <c r="G6013" s="64"/>
      <c r="H6013" s="64"/>
      <c r="I6013" s="70"/>
      <c r="J6013" s="70"/>
      <c r="K6013" s="110" t="str">
        <f>IF(H6013="","",IF($C$29="간이법","",FPR(H6013,I6013,J6013)))</f>
        <v/>
      </c>
      <c r="L6013" s="111" t="str">
        <f>IF(H6013="","",IF($C$29="상세법",FPV(H6013,K6013),IF(H6013="EI",4,IF(H6013="EO",5.2,IF(H6013="EQ",3.9,IF(H6013="ILF",7.5,IF(H6013="EIF",5.4)))))))</f>
        <v/>
      </c>
      <c r="M6013" s="112" t="str">
        <f t="shared" si="97"/>
        <v/>
      </c>
      <c r="N6013" s="113"/>
    </row>
    <row r="6014" spans="2:14">
      <c r="B6014" s="105"/>
      <c r="C6014" s="106"/>
      <c r="D6014" s="107"/>
      <c r="E6014" s="65"/>
      <c r="F6014" s="64"/>
      <c r="G6014" s="64"/>
      <c r="H6014" s="64"/>
      <c r="I6014" s="70"/>
      <c r="J6014" s="70"/>
      <c r="K6014" s="110" t="str">
        <f>IF(H6014="","",IF($C$29="간이법","",FPR(H6014,I6014,J6014)))</f>
        <v/>
      </c>
      <c r="L6014" s="111" t="str">
        <f>IF(H6014="","",IF($C$29="상세법",FPV(H6014,K6014),IF(H6014="EI",4,IF(H6014="EO",5.2,IF(H6014="EQ",3.9,IF(H6014="ILF",7.5,IF(H6014="EIF",5.4)))))))</f>
        <v/>
      </c>
      <c r="M6014" s="112" t="str">
        <f t="shared" si="97"/>
        <v/>
      </c>
      <c r="N6014" s="113"/>
    </row>
    <row r="6015" spans="2:14">
      <c r="B6015" s="105"/>
      <c r="C6015" s="106"/>
      <c r="D6015" s="107"/>
      <c r="E6015" s="65"/>
      <c r="F6015" s="64"/>
      <c r="G6015" s="64"/>
      <c r="H6015" s="64"/>
      <c r="I6015" s="70"/>
      <c r="J6015" s="70"/>
      <c r="K6015" s="110" t="str">
        <f>IF(H6015="","",IF($C$29="간이법","",FPR(H6015,I6015,J6015)))</f>
        <v/>
      </c>
      <c r="L6015" s="111" t="str">
        <f>IF(H6015="","",IF($C$29="상세법",FPV(H6015,K6015),IF(H6015="EI",4,IF(H6015="EO",5.2,IF(H6015="EQ",3.9,IF(H6015="ILF",7.5,IF(H6015="EIF",5.4)))))))</f>
        <v/>
      </c>
      <c r="M6015" s="112" t="str">
        <f t="shared" si="97"/>
        <v/>
      </c>
      <c r="N6015" s="113"/>
    </row>
    <row r="6016" spans="2:14">
      <c r="B6016" s="105"/>
      <c r="C6016" s="106"/>
      <c r="D6016" s="107"/>
      <c r="E6016" s="65"/>
      <c r="F6016" s="64"/>
      <c r="G6016" s="64"/>
      <c r="H6016" s="64"/>
      <c r="I6016" s="70"/>
      <c r="J6016" s="70"/>
      <c r="K6016" s="110" t="str">
        <f>IF(H6016="","",IF($C$29="간이법","",FPR(H6016,I6016,J6016)))</f>
        <v/>
      </c>
      <c r="L6016" s="111" t="str">
        <f>IF(H6016="","",IF($C$29="상세법",FPV(H6016,K6016),IF(H6016="EI",4,IF(H6016="EO",5.2,IF(H6016="EQ",3.9,IF(H6016="ILF",7.5,IF(H6016="EIF",5.4)))))))</f>
        <v/>
      </c>
      <c r="M6016" s="112" t="str">
        <f t="shared" si="97"/>
        <v/>
      </c>
      <c r="N6016" s="113"/>
    </row>
    <row r="6017" spans="2:14">
      <c r="B6017" s="105"/>
      <c r="C6017" s="106"/>
      <c r="D6017" s="107"/>
      <c r="E6017" s="65"/>
      <c r="F6017" s="64"/>
      <c r="G6017" s="64"/>
      <c r="H6017" s="64"/>
      <c r="I6017" s="70"/>
      <c r="J6017" s="70"/>
      <c r="K6017" s="110" t="str">
        <f>IF(H6017="","",IF($C$29="간이법","",FPR(H6017,I6017,J6017)))</f>
        <v/>
      </c>
      <c r="L6017" s="111" t="str">
        <f>IF(H6017="","",IF($C$29="상세법",FPV(H6017,K6017),IF(H6017="EI",4,IF(H6017="EO",5.2,IF(H6017="EQ",3.9,IF(H6017="ILF",7.5,IF(H6017="EIF",5.4)))))))</f>
        <v/>
      </c>
      <c r="M6017" s="112" t="str">
        <f t="shared" si="97"/>
        <v/>
      </c>
      <c r="N6017" s="113"/>
    </row>
    <row r="6018" spans="2:14">
      <c r="B6018" s="105"/>
      <c r="C6018" s="106"/>
      <c r="D6018" s="107"/>
      <c r="E6018" s="65"/>
      <c r="F6018" s="64"/>
      <c r="G6018" s="64"/>
      <c r="H6018" s="64"/>
      <c r="I6018" s="70"/>
      <c r="J6018" s="70"/>
      <c r="K6018" s="110" t="str">
        <f>IF(H6018="","",IF($C$29="간이법","",FPR(H6018,I6018,J6018)))</f>
        <v/>
      </c>
      <c r="L6018" s="111" t="str">
        <f>IF(H6018="","",IF($C$29="상세법",FPV(H6018,K6018),IF(H6018="EI",4,IF(H6018="EO",5.2,IF(H6018="EQ",3.9,IF(H6018="ILF",7.5,IF(H6018="EIF",5.4)))))))</f>
        <v/>
      </c>
      <c r="M6018" s="112" t="str">
        <f t="shared" si="97"/>
        <v/>
      </c>
      <c r="N6018" s="113"/>
    </row>
    <row r="6019" spans="2:14">
      <c r="B6019" s="105"/>
      <c r="C6019" s="106"/>
      <c r="D6019" s="107"/>
      <c r="E6019" s="65"/>
      <c r="F6019" s="64"/>
      <c r="G6019" s="64"/>
      <c r="H6019" s="64"/>
      <c r="I6019" s="70"/>
      <c r="J6019" s="70"/>
      <c r="K6019" s="110" t="str">
        <f>IF(H6019="","",IF($C$29="간이법","",FPR(H6019,I6019,J6019)))</f>
        <v/>
      </c>
      <c r="L6019" s="111" t="str">
        <f>IF(H6019="","",IF($C$29="상세법",FPV(H6019,K6019),IF(H6019="EI",4,IF(H6019="EO",5.2,IF(H6019="EQ",3.9,IF(H6019="ILF",7.5,IF(H6019="EIF",5.4)))))))</f>
        <v/>
      </c>
      <c r="M6019" s="112" t="str">
        <f t="shared" si="97"/>
        <v/>
      </c>
      <c r="N6019" s="113"/>
    </row>
    <row r="6020" spans="2:14">
      <c r="B6020" s="105"/>
      <c r="C6020" s="106"/>
      <c r="D6020" s="107"/>
      <c r="E6020" s="65"/>
      <c r="F6020" s="64"/>
      <c r="G6020" s="64"/>
      <c r="H6020" s="64"/>
      <c r="I6020" s="70"/>
      <c r="J6020" s="70"/>
      <c r="K6020" s="110" t="str">
        <f>IF(H6020="","",IF($C$29="간이법","",FPR(H6020,I6020,J6020)))</f>
        <v/>
      </c>
      <c r="L6020" s="111" t="str">
        <f>IF(H6020="","",IF($C$29="상세법",FPV(H6020,K6020),IF(H6020="EI",4,IF(H6020="EO",5.2,IF(H6020="EQ",3.9,IF(H6020="ILF",7.5,IF(H6020="EIF",5.4)))))))</f>
        <v/>
      </c>
      <c r="M6020" s="112" t="str">
        <f t="shared" si="97"/>
        <v/>
      </c>
      <c r="N6020" s="113"/>
    </row>
    <row r="6021" spans="2:14">
      <c r="B6021" s="105"/>
      <c r="C6021" s="106"/>
      <c r="D6021" s="107"/>
      <c r="E6021" s="65"/>
      <c r="F6021" s="64"/>
      <c r="G6021" s="64"/>
      <c r="H6021" s="64"/>
      <c r="I6021" s="70"/>
      <c r="J6021" s="70"/>
      <c r="K6021" s="110" t="str">
        <f>IF(H6021="","",IF($C$29="간이법","",FPR(H6021,I6021,J6021)))</f>
        <v/>
      </c>
      <c r="L6021" s="111" t="str">
        <f>IF(H6021="","",IF($C$29="상세법",FPV(H6021,K6021),IF(H6021="EI",4,IF(H6021="EO",5.2,IF(H6021="EQ",3.9,IF(H6021="ILF",7.5,IF(H6021="EIF",5.4)))))))</f>
        <v/>
      </c>
      <c r="M6021" s="112" t="str">
        <f t="shared" si="97"/>
        <v/>
      </c>
      <c r="N6021" s="113"/>
    </row>
    <row r="6022" spans="2:14">
      <c r="B6022" s="105"/>
      <c r="C6022" s="106"/>
      <c r="D6022" s="107"/>
      <c r="E6022" s="65"/>
      <c r="F6022" s="64"/>
      <c r="G6022" s="64"/>
      <c r="H6022" s="64"/>
      <c r="I6022" s="70"/>
      <c r="J6022" s="70"/>
      <c r="K6022" s="110" t="str">
        <f>IF(H6022="","",IF($C$29="간이법","",FPR(H6022,I6022,J6022)))</f>
        <v/>
      </c>
      <c r="L6022" s="111" t="str">
        <f>IF(H6022="","",IF($C$29="상세법",FPV(H6022,K6022),IF(H6022="EI",4,IF(H6022="EO",5.2,IF(H6022="EQ",3.9,IF(H6022="ILF",7.5,IF(H6022="EIF",5.4)))))))</f>
        <v/>
      </c>
      <c r="M6022" s="112" t="str">
        <f t="shared" si="97"/>
        <v/>
      </c>
      <c r="N6022" s="113"/>
    </row>
    <row r="6023" spans="2:14">
      <c r="B6023" s="105"/>
      <c r="C6023" s="106"/>
      <c r="D6023" s="107"/>
      <c r="E6023" s="65"/>
      <c r="F6023" s="64"/>
      <c r="G6023" s="64"/>
      <c r="H6023" s="64"/>
      <c r="I6023" s="70"/>
      <c r="J6023" s="70"/>
      <c r="K6023" s="110" t="str">
        <f>IF(H6023="","",IF($C$29="간이법","",FPR(H6023,I6023,J6023)))</f>
        <v/>
      </c>
      <c r="L6023" s="111" t="str">
        <f>IF(H6023="","",IF($C$29="상세법",FPV(H6023,K6023),IF(H6023="EI",4,IF(H6023="EO",5.2,IF(H6023="EQ",3.9,IF(H6023="ILF",7.5,IF(H6023="EIF",5.4)))))))</f>
        <v/>
      </c>
      <c r="M6023" s="112" t="str">
        <f t="shared" si="97"/>
        <v/>
      </c>
      <c r="N6023" s="113"/>
    </row>
    <row r="6024" spans="2:14">
      <c r="B6024" s="105"/>
      <c r="C6024" s="106"/>
      <c r="D6024" s="107"/>
      <c r="E6024" s="65"/>
      <c r="F6024" s="64"/>
      <c r="G6024" s="64"/>
      <c r="H6024" s="64"/>
      <c r="I6024" s="70"/>
      <c r="J6024" s="70"/>
      <c r="K6024" s="110" t="str">
        <f>IF(H6024="","",IF($C$29="간이법","",FPR(H6024,I6024,J6024)))</f>
        <v/>
      </c>
      <c r="L6024" s="111" t="str">
        <f>IF(H6024="","",IF($C$29="상세법",FPV(H6024,K6024),IF(H6024="EI",4,IF(H6024="EO",5.2,IF(H6024="EQ",3.9,IF(H6024="ILF",7.5,IF(H6024="EIF",5.4)))))))</f>
        <v/>
      </c>
      <c r="M6024" s="112" t="str">
        <f t="shared" si="97"/>
        <v/>
      </c>
      <c r="N6024" s="113"/>
    </row>
    <row r="6025" spans="2:14">
      <c r="B6025" s="105"/>
      <c r="C6025" s="106"/>
      <c r="D6025" s="107"/>
      <c r="E6025" s="65"/>
      <c r="F6025" s="64"/>
      <c r="G6025" s="64"/>
      <c r="H6025" s="64"/>
      <c r="I6025" s="70"/>
      <c r="J6025" s="70"/>
      <c r="K6025" s="110" t="str">
        <f>IF(H6025="","",IF($C$29="간이법","",FPR(H6025,I6025,J6025)))</f>
        <v/>
      </c>
      <c r="L6025" s="111" t="str">
        <f>IF(H6025="","",IF($C$29="상세법",FPV(H6025,K6025),IF(H6025="EI",4,IF(H6025="EO",5.2,IF(H6025="EQ",3.9,IF(H6025="ILF",7.5,IF(H6025="EIF",5.4)))))))</f>
        <v/>
      </c>
      <c r="M6025" s="112" t="str">
        <f t="shared" si="97"/>
        <v/>
      </c>
      <c r="N6025" s="113"/>
    </row>
    <row r="6026" spans="2:14">
      <c r="B6026" s="105"/>
      <c r="C6026" s="106"/>
      <c r="D6026" s="107"/>
      <c r="E6026" s="65"/>
      <c r="F6026" s="64"/>
      <c r="G6026" s="64"/>
      <c r="H6026" s="64"/>
      <c r="I6026" s="70"/>
      <c r="J6026" s="70"/>
      <c r="K6026" s="110" t="str">
        <f>IF(H6026="","",IF($C$29="간이법","",FPR(H6026,I6026,J6026)))</f>
        <v/>
      </c>
      <c r="L6026" s="111" t="str">
        <f>IF(H6026="","",IF($C$29="상세법",FPV(H6026,K6026),IF(H6026="EI",4,IF(H6026="EO",5.2,IF(H6026="EQ",3.9,IF(H6026="ILF",7.5,IF(H6026="EIF",5.4)))))))</f>
        <v/>
      </c>
      <c r="M6026" s="112" t="str">
        <f t="shared" si="97"/>
        <v/>
      </c>
      <c r="N6026" s="113"/>
    </row>
    <row r="6027" spans="2:14">
      <c r="B6027" s="105"/>
      <c r="C6027" s="106"/>
      <c r="D6027" s="107"/>
      <c r="E6027" s="65"/>
      <c r="F6027" s="64"/>
      <c r="G6027" s="64"/>
      <c r="H6027" s="64"/>
      <c r="I6027" s="70"/>
      <c r="J6027" s="70"/>
      <c r="K6027" s="110" t="str">
        <f>IF(H6027="","",IF($C$29="간이법","",FPR(H6027,I6027,J6027)))</f>
        <v/>
      </c>
      <c r="L6027" s="111" t="str">
        <f>IF(H6027="","",IF($C$29="상세법",FPV(H6027,K6027),IF(H6027="EI",4,IF(H6027="EO",5.2,IF(H6027="EQ",3.9,IF(H6027="ILF",7.5,IF(H6027="EIF",5.4)))))))</f>
        <v/>
      </c>
      <c r="M6027" s="112" t="str">
        <f t="shared" si="97"/>
        <v/>
      </c>
      <c r="N6027" s="113"/>
    </row>
    <row r="6028" spans="2:14">
      <c r="B6028" s="105"/>
      <c r="C6028" s="106"/>
      <c r="D6028" s="107"/>
      <c r="E6028" s="65"/>
      <c r="F6028" s="64"/>
      <c r="G6028" s="64"/>
      <c r="H6028" s="64"/>
      <c r="I6028" s="70"/>
      <c r="J6028" s="70"/>
      <c r="K6028" s="110" t="str">
        <f>IF(H6028="","",IF($C$29="간이법","",FPR(H6028,I6028,J6028)))</f>
        <v/>
      </c>
      <c r="L6028" s="111" t="str">
        <f>IF(H6028="","",IF($C$29="상세법",FPV(H6028,K6028),IF(H6028="EI",4,IF(H6028="EO",5.2,IF(H6028="EQ",3.9,IF(H6028="ILF",7.5,IF(H6028="EIF",5.4)))))))</f>
        <v/>
      </c>
      <c r="M6028" s="112" t="str">
        <f t="shared" si="97"/>
        <v/>
      </c>
      <c r="N6028" s="113"/>
    </row>
    <row r="6029" spans="2:14">
      <c r="B6029" s="105"/>
      <c r="C6029" s="106"/>
      <c r="D6029" s="107"/>
      <c r="E6029" s="65"/>
      <c r="F6029" s="64"/>
      <c r="G6029" s="64"/>
      <c r="H6029" s="64"/>
      <c r="I6029" s="70"/>
      <c r="J6029" s="70"/>
      <c r="K6029" s="110" t="str">
        <f>IF(H6029="","",IF($C$29="간이법","",FPR(H6029,I6029,J6029)))</f>
        <v/>
      </c>
      <c r="L6029" s="111" t="str">
        <f>IF(H6029="","",IF($C$29="상세법",FPV(H6029,K6029),IF(H6029="EI",4,IF(H6029="EO",5.2,IF(H6029="EQ",3.9,IF(H6029="ILF",7.5,IF(H6029="EIF",5.4)))))))</f>
        <v/>
      </c>
      <c r="M6029" s="112" t="str">
        <f t="shared" si="97"/>
        <v/>
      </c>
      <c r="N6029" s="113"/>
    </row>
    <row r="6030" spans="2:14">
      <c r="B6030" s="105"/>
      <c r="C6030" s="106"/>
      <c r="D6030" s="107"/>
      <c r="E6030" s="65"/>
      <c r="F6030" s="64"/>
      <c r="G6030" s="64"/>
      <c r="H6030" s="64"/>
      <c r="I6030" s="70"/>
      <c r="J6030" s="70"/>
      <c r="K6030" s="110" t="str">
        <f>IF(H6030="","",IF($C$29="간이법","",FPR(H6030,I6030,J6030)))</f>
        <v/>
      </c>
      <c r="L6030" s="111" t="str">
        <f>IF(H6030="","",IF($C$29="상세법",FPV(H6030,K6030),IF(H6030="EI",4,IF(H6030="EO",5.2,IF(H6030="EQ",3.9,IF(H6030="ILF",7.5,IF(H6030="EIF",5.4)))))))</f>
        <v/>
      </c>
      <c r="M6030" s="112" t="str">
        <f t="shared" si="97"/>
        <v/>
      </c>
      <c r="N6030" s="113"/>
    </row>
    <row r="6031" spans="2:14">
      <c r="B6031" s="105"/>
      <c r="C6031" s="106"/>
      <c r="D6031" s="107"/>
      <c r="E6031" s="65"/>
      <c r="F6031" s="64"/>
      <c r="G6031" s="64"/>
      <c r="H6031" s="64"/>
      <c r="I6031" s="70"/>
      <c r="J6031" s="70"/>
      <c r="K6031" s="110" t="str">
        <f>IF(H6031="","",IF($C$29="간이법","",FPR(H6031,I6031,J6031)))</f>
        <v/>
      </c>
      <c r="L6031" s="111" t="str">
        <f>IF(H6031="","",IF($C$29="상세법",FPV(H6031,K6031),IF(H6031="EI",4,IF(H6031="EO",5.2,IF(H6031="EQ",3.9,IF(H6031="ILF",7.5,IF(H6031="EIF",5.4)))))))</f>
        <v/>
      </c>
      <c r="M6031" s="112" t="str">
        <f t="shared" si="97"/>
        <v/>
      </c>
      <c r="N6031" s="113"/>
    </row>
    <row r="6032" spans="2:14">
      <c r="B6032" s="105"/>
      <c r="C6032" s="106"/>
      <c r="D6032" s="107"/>
      <c r="E6032" s="65"/>
      <c r="F6032" s="64"/>
      <c r="G6032" s="64"/>
      <c r="H6032" s="64"/>
      <c r="I6032" s="70"/>
      <c r="J6032" s="70"/>
      <c r="K6032" s="110" t="str">
        <f>IF(H6032="","",IF($C$29="간이법","",FPR(H6032,I6032,J6032)))</f>
        <v/>
      </c>
      <c r="L6032" s="111" t="str">
        <f>IF(H6032="","",IF($C$29="상세법",FPV(H6032,K6032),IF(H6032="EI",4,IF(H6032="EO",5.2,IF(H6032="EQ",3.9,IF(H6032="ILF",7.5,IF(H6032="EIF",5.4)))))))</f>
        <v/>
      </c>
      <c r="M6032" s="112" t="str">
        <f t="shared" si="97"/>
        <v/>
      </c>
      <c r="N6032" s="113"/>
    </row>
    <row r="6033" spans="2:14">
      <c r="B6033" s="105"/>
      <c r="C6033" s="106"/>
      <c r="D6033" s="107"/>
      <c r="E6033" s="65"/>
      <c r="F6033" s="64"/>
      <c r="G6033" s="64"/>
      <c r="H6033" s="64"/>
      <c r="I6033" s="70"/>
      <c r="J6033" s="70"/>
      <c r="K6033" s="110" t="str">
        <f>IF(H6033="","",IF($C$29="간이법","",FPR(H6033,I6033,J6033)))</f>
        <v/>
      </c>
      <c r="L6033" s="111" t="str">
        <f>IF(H6033="","",IF($C$29="상세법",FPV(H6033,K6033),IF(H6033="EI",4,IF(H6033="EO",5.2,IF(H6033="EQ",3.9,IF(H6033="ILF",7.5,IF(H6033="EIF",5.4)))))))</f>
        <v/>
      </c>
      <c r="M6033" s="112" t="str">
        <f t="shared" si="97"/>
        <v/>
      </c>
      <c r="N6033" s="113"/>
    </row>
    <row r="6034" spans="2:14">
      <c r="B6034" s="105"/>
      <c r="C6034" s="106"/>
      <c r="D6034" s="107"/>
      <c r="E6034" s="65"/>
      <c r="F6034" s="64"/>
      <c r="G6034" s="64"/>
      <c r="H6034" s="64"/>
      <c r="I6034" s="70"/>
      <c r="J6034" s="70"/>
      <c r="K6034" s="110" t="str">
        <f>IF(H6034="","",IF($C$29="간이법","",FPR(H6034,I6034,J6034)))</f>
        <v/>
      </c>
      <c r="L6034" s="111" t="str">
        <f>IF(H6034="","",IF($C$29="상세법",FPV(H6034,K6034),IF(H6034="EI",4,IF(H6034="EO",5.2,IF(H6034="EQ",3.9,IF(H6034="ILF",7.5,IF(H6034="EIF",5.4)))))))</f>
        <v/>
      </c>
      <c r="M6034" s="112" t="str">
        <f t="shared" si="97"/>
        <v/>
      </c>
      <c r="N6034" s="113"/>
    </row>
    <row r="6035" spans="2:14">
      <c r="B6035" s="105"/>
      <c r="C6035" s="106"/>
      <c r="D6035" s="107"/>
      <c r="E6035" s="65"/>
      <c r="F6035" s="64"/>
      <c r="G6035" s="64"/>
      <c r="H6035" s="64"/>
      <c r="I6035" s="70"/>
      <c r="J6035" s="70"/>
      <c r="K6035" s="110" t="str">
        <f>IF(H6035="","",IF($C$29="간이법","",FPR(H6035,I6035,J6035)))</f>
        <v/>
      </c>
      <c r="L6035" s="111" t="str">
        <f>IF(H6035="","",IF($C$29="상세법",FPV(H6035,K6035),IF(H6035="EI",4,IF(H6035="EO",5.2,IF(H6035="EQ",3.9,IF(H6035="ILF",7.5,IF(H6035="EIF",5.4)))))))</f>
        <v/>
      </c>
      <c r="M6035" s="112" t="str">
        <f t="shared" si="97"/>
        <v/>
      </c>
      <c r="N6035" s="113"/>
    </row>
    <row r="6036" spans="2:14">
      <c r="B6036" s="105"/>
      <c r="C6036" s="106"/>
      <c r="D6036" s="107"/>
      <c r="E6036" s="65"/>
      <c r="F6036" s="64"/>
      <c r="G6036" s="64"/>
      <c r="H6036" s="64"/>
      <c r="I6036" s="70"/>
      <c r="J6036" s="70"/>
      <c r="K6036" s="110" t="str">
        <f>IF(H6036="","",IF($C$29="간이법","",FPR(H6036,I6036,J6036)))</f>
        <v/>
      </c>
      <c r="L6036" s="111" t="str">
        <f>IF(H6036="","",IF($C$29="상세법",FPV(H6036,K6036),IF(H6036="EI",4,IF(H6036="EO",5.2,IF(H6036="EQ",3.9,IF(H6036="ILF",7.5,IF(H6036="EIF",5.4)))))))</f>
        <v/>
      </c>
      <c r="M6036" s="112" t="str">
        <f t="shared" si="97"/>
        <v/>
      </c>
      <c r="N6036" s="113"/>
    </row>
    <row r="6037" spans="2:14">
      <c r="B6037" s="105"/>
      <c r="C6037" s="106"/>
      <c r="D6037" s="107"/>
      <c r="E6037" s="65"/>
      <c r="F6037" s="64"/>
      <c r="G6037" s="64"/>
      <c r="H6037" s="64"/>
      <c r="I6037" s="70"/>
      <c r="J6037" s="70"/>
      <c r="K6037" s="110" t="str">
        <f>IF(H6037="","",IF($C$29="간이법","",FPR(H6037,I6037,J6037)))</f>
        <v/>
      </c>
      <c r="L6037" s="111" t="str">
        <f>IF(H6037="","",IF($C$29="상세법",FPV(H6037,K6037),IF(H6037="EI",4,IF(H6037="EO",5.2,IF(H6037="EQ",3.9,IF(H6037="ILF",7.5,IF(H6037="EIF",5.4)))))))</f>
        <v/>
      </c>
      <c r="M6037" s="112" t="str">
        <f t="shared" si="97"/>
        <v/>
      </c>
      <c r="N6037" s="113"/>
    </row>
    <row r="6038" spans="2:14">
      <c r="B6038" s="105"/>
      <c r="C6038" s="106"/>
      <c r="D6038" s="107"/>
      <c r="E6038" s="65"/>
      <c r="F6038" s="64"/>
      <c r="G6038" s="64"/>
      <c r="H6038" s="64"/>
      <c r="I6038" s="70"/>
      <c r="J6038" s="70"/>
      <c r="K6038" s="110" t="str">
        <f>IF(H6038="","",IF($C$29="간이법","",FPR(H6038,I6038,J6038)))</f>
        <v/>
      </c>
      <c r="L6038" s="111" t="str">
        <f>IF(H6038="","",IF($C$29="상세법",FPV(H6038,K6038),IF(H6038="EI",4,IF(H6038="EO",5.2,IF(H6038="EQ",3.9,IF(H6038="ILF",7.5,IF(H6038="EIF",5.4)))))))</f>
        <v/>
      </c>
      <c r="M6038" s="112" t="str">
        <f t="shared" si="97"/>
        <v/>
      </c>
      <c r="N6038" s="113"/>
    </row>
    <row r="6039" spans="2:14">
      <c r="B6039" s="105"/>
      <c r="C6039" s="106"/>
      <c r="D6039" s="107"/>
      <c r="E6039" s="65"/>
      <c r="F6039" s="64"/>
      <c r="G6039" s="64"/>
      <c r="H6039" s="64"/>
      <c r="I6039" s="70"/>
      <c r="J6039" s="70"/>
      <c r="K6039" s="110" t="str">
        <f>IF(H6039="","",IF($C$29="간이법","",FPR(H6039,I6039,J6039)))</f>
        <v/>
      </c>
      <c r="L6039" s="111" t="str">
        <f>IF(H6039="","",IF($C$29="상세법",FPV(H6039,K6039),IF(H6039="EI",4,IF(H6039="EO",5.2,IF(H6039="EQ",3.9,IF(H6039="ILF",7.5,IF(H6039="EIF",5.4)))))))</f>
        <v/>
      </c>
      <c r="M6039" s="112" t="str">
        <f t="shared" si="97"/>
        <v/>
      </c>
      <c r="N6039" s="113"/>
    </row>
    <row r="6040" spans="2:14">
      <c r="B6040" s="105"/>
      <c r="C6040" s="106"/>
      <c r="D6040" s="107"/>
      <c r="E6040" s="65"/>
      <c r="F6040" s="64"/>
      <c r="G6040" s="64"/>
      <c r="H6040" s="64"/>
      <c r="I6040" s="70"/>
      <c r="J6040" s="70"/>
      <c r="K6040" s="110" t="str">
        <f>IF(H6040="","",IF($C$29="간이법","",FPR(H6040,I6040,J6040)))</f>
        <v/>
      </c>
      <c r="L6040" s="111" t="str">
        <f>IF(H6040="","",IF($C$29="상세법",FPV(H6040,K6040),IF(H6040="EI",4,IF(H6040="EO",5.2,IF(H6040="EQ",3.9,IF(H6040="ILF",7.5,IF(H6040="EIF",5.4)))))))</f>
        <v/>
      </c>
      <c r="M6040" s="112" t="str">
        <f t="shared" si="97"/>
        <v/>
      </c>
      <c r="N6040" s="113"/>
    </row>
    <row r="6041" spans="2:14">
      <c r="B6041" s="105"/>
      <c r="C6041" s="106"/>
      <c r="D6041" s="107"/>
      <c r="E6041" s="65"/>
      <c r="F6041" s="64"/>
      <c r="G6041" s="64"/>
      <c r="H6041" s="64"/>
      <c r="I6041" s="70"/>
      <c r="J6041" s="70"/>
      <c r="K6041" s="110" t="str">
        <f>IF(H6041="","",IF($C$29="간이법","",FPR(H6041,I6041,J6041)))</f>
        <v/>
      </c>
      <c r="L6041" s="111" t="str">
        <f>IF(H6041="","",IF($C$29="상세법",FPV(H6041,K6041),IF(H6041="EI",4,IF(H6041="EO",5.2,IF(H6041="EQ",3.9,IF(H6041="ILF",7.5,IF(H6041="EIF",5.4)))))))</f>
        <v/>
      </c>
      <c r="M6041" s="112" t="str">
        <f t="shared" si="97"/>
        <v/>
      </c>
      <c r="N6041" s="113"/>
    </row>
    <row r="6042" spans="2:14">
      <c r="B6042" s="105"/>
      <c r="C6042" s="106"/>
      <c r="D6042" s="107"/>
      <c r="E6042" s="65"/>
      <c r="F6042" s="64"/>
      <c r="G6042" s="64"/>
      <c r="H6042" s="64"/>
      <c r="I6042" s="70"/>
      <c r="J6042" s="70"/>
      <c r="K6042" s="110" t="str">
        <f>IF(H6042="","",IF($C$29="간이법","",FPR(H6042,I6042,J6042)))</f>
        <v/>
      </c>
      <c r="L6042" s="111" t="str">
        <f>IF(H6042="","",IF($C$29="상세법",FPV(H6042,K6042),IF(H6042="EI",4,IF(H6042="EO",5.2,IF(H6042="EQ",3.9,IF(H6042="ILF",7.5,IF(H6042="EIF",5.4)))))))</f>
        <v/>
      </c>
      <c r="M6042" s="112" t="str">
        <f t="shared" si="97"/>
        <v/>
      </c>
      <c r="N6042" s="113"/>
    </row>
    <row r="6043" spans="2:14">
      <c r="B6043" s="105"/>
      <c r="C6043" s="106"/>
      <c r="D6043" s="107"/>
      <c r="E6043" s="65"/>
      <c r="F6043" s="64"/>
      <c r="G6043" s="64"/>
      <c r="H6043" s="64"/>
      <c r="I6043" s="70"/>
      <c r="J6043" s="70"/>
      <c r="K6043" s="110" t="str">
        <f>IF(H6043="","",IF($C$29="간이법","",FPR(H6043,I6043,J6043)))</f>
        <v/>
      </c>
      <c r="L6043" s="111" t="str">
        <f>IF(H6043="","",IF($C$29="상세법",FPV(H6043,K6043),IF(H6043="EI",4,IF(H6043="EO",5.2,IF(H6043="EQ",3.9,IF(H6043="ILF",7.5,IF(H6043="EIF",5.4)))))))</f>
        <v/>
      </c>
      <c r="M6043" s="112" t="str">
        <f t="shared" si="97"/>
        <v/>
      </c>
      <c r="N6043" s="113"/>
    </row>
    <row r="6044" spans="2:14">
      <c r="B6044" s="105"/>
      <c r="C6044" s="106"/>
      <c r="D6044" s="107"/>
      <c r="E6044" s="65"/>
      <c r="F6044" s="64"/>
      <c r="G6044" s="64"/>
      <c r="H6044" s="64"/>
      <c r="I6044" s="70"/>
      <c r="J6044" s="70"/>
      <c r="K6044" s="110" t="str">
        <f>IF(H6044="","",IF($C$29="간이법","",FPR(H6044,I6044,J6044)))</f>
        <v/>
      </c>
      <c r="L6044" s="111" t="str">
        <f>IF(H6044="","",IF($C$29="상세법",FPV(H6044,K6044),IF(H6044="EI",4,IF(H6044="EO",5.2,IF(H6044="EQ",3.9,IF(H6044="ILF",7.5,IF(H6044="EIF",5.4)))))))</f>
        <v/>
      </c>
      <c r="M6044" s="112" t="str">
        <f t="shared" si="97"/>
        <v/>
      </c>
      <c r="N6044" s="113"/>
    </row>
    <row r="6045" spans="2:14">
      <c r="B6045" s="105"/>
      <c r="C6045" s="106"/>
      <c r="D6045" s="107"/>
      <c r="E6045" s="65"/>
      <c r="F6045" s="64"/>
      <c r="G6045" s="64"/>
      <c r="H6045" s="64"/>
      <c r="I6045" s="70"/>
      <c r="J6045" s="70"/>
      <c r="K6045" s="110" t="str">
        <f>IF(H6045="","",IF($C$29="간이법","",FPR(H6045,I6045,J6045)))</f>
        <v/>
      </c>
      <c r="L6045" s="111" t="str">
        <f>IF(H6045="","",IF($C$29="상세법",FPV(H6045,K6045),IF(H6045="EI",4,IF(H6045="EO",5.2,IF(H6045="EQ",3.9,IF(H6045="ILF",7.5,IF(H6045="EIF",5.4)))))))</f>
        <v/>
      </c>
      <c r="M6045" s="112" t="str">
        <f t="shared" si="97"/>
        <v/>
      </c>
      <c r="N6045" s="113"/>
    </row>
    <row r="6046" spans="2:14">
      <c r="B6046" s="105"/>
      <c r="C6046" s="106"/>
      <c r="D6046" s="107"/>
      <c r="E6046" s="65"/>
      <c r="F6046" s="64"/>
      <c r="G6046" s="64"/>
      <c r="H6046" s="64"/>
      <c r="I6046" s="70"/>
      <c r="J6046" s="70"/>
      <c r="K6046" s="110" t="str">
        <f>IF(H6046="","",IF($C$29="간이법","",FPR(H6046,I6046,J6046)))</f>
        <v/>
      </c>
      <c r="L6046" s="111" t="str">
        <f>IF(H6046="","",IF($C$29="상세법",FPV(H6046,K6046),IF(H6046="EI",4,IF(H6046="EO",5.2,IF(H6046="EQ",3.9,IF(H6046="ILF",7.5,IF(H6046="EIF",5.4)))))))</f>
        <v/>
      </c>
      <c r="M6046" s="112" t="str">
        <f t="shared" si="97"/>
        <v/>
      </c>
      <c r="N6046" s="113"/>
    </row>
    <row r="6047" spans="2:14">
      <c r="B6047" s="105"/>
      <c r="C6047" s="106"/>
      <c r="D6047" s="107"/>
      <c r="E6047" s="65"/>
      <c r="F6047" s="64"/>
      <c r="G6047" s="64"/>
      <c r="H6047" s="64"/>
      <c r="I6047" s="70"/>
      <c r="J6047" s="70"/>
      <c r="K6047" s="110" t="str">
        <f>IF(H6047="","",IF($C$29="간이법","",FPR(H6047,I6047,J6047)))</f>
        <v/>
      </c>
      <c r="L6047" s="111" t="str">
        <f>IF(H6047="","",IF($C$29="상세법",FPV(H6047,K6047),IF(H6047="EI",4,IF(H6047="EO",5.2,IF(H6047="EQ",3.9,IF(H6047="ILF",7.5,IF(H6047="EIF",5.4)))))))</f>
        <v/>
      </c>
      <c r="M6047" s="112" t="str">
        <f t="shared" si="97"/>
        <v/>
      </c>
      <c r="N6047" s="113"/>
    </row>
    <row r="6048" spans="2:14">
      <c r="B6048" s="105"/>
      <c r="C6048" s="106"/>
      <c r="D6048" s="107"/>
      <c r="E6048" s="65"/>
      <c r="F6048" s="64"/>
      <c r="G6048" s="64"/>
      <c r="H6048" s="64"/>
      <c r="I6048" s="70"/>
      <c r="J6048" s="70"/>
      <c r="K6048" s="110" t="str">
        <f>IF(H6048="","",IF($C$29="간이법","",FPR(H6048,I6048,J6048)))</f>
        <v/>
      </c>
      <c r="L6048" s="111" t="str">
        <f>IF(H6048="","",IF($C$29="상세법",FPV(H6048,K6048),IF(H6048="EI",4,IF(H6048="EO",5.2,IF(H6048="EQ",3.9,IF(H6048="ILF",7.5,IF(H6048="EIF",5.4)))))))</f>
        <v/>
      </c>
      <c r="M6048" s="112" t="str">
        <f t="shared" si="97"/>
        <v/>
      </c>
      <c r="N6048" s="113"/>
    </row>
    <row r="6049" spans="2:14">
      <c r="B6049" s="105"/>
      <c r="C6049" s="106"/>
      <c r="D6049" s="107"/>
      <c r="E6049" s="65"/>
      <c r="F6049" s="64"/>
      <c r="G6049" s="64"/>
      <c r="H6049" s="64"/>
      <c r="I6049" s="70"/>
      <c r="J6049" s="70"/>
      <c r="K6049" s="110" t="str">
        <f>IF(H6049="","",IF($C$29="간이법","",FPR(H6049,I6049,J6049)))</f>
        <v/>
      </c>
      <c r="L6049" s="111" t="str">
        <f>IF(H6049="","",IF($C$29="상세법",FPV(H6049,K6049),IF(H6049="EI",4,IF(H6049="EO",5.2,IF(H6049="EQ",3.9,IF(H6049="ILF",7.5,IF(H6049="EIF",5.4)))))))</f>
        <v/>
      </c>
      <c r="M6049" s="112" t="str">
        <f t="shared" si="97"/>
        <v/>
      </c>
      <c r="N6049" s="113"/>
    </row>
    <row r="6050" spans="2:14">
      <c r="B6050" s="105"/>
      <c r="C6050" s="106"/>
      <c r="D6050" s="107"/>
      <c r="E6050" s="65"/>
      <c r="F6050" s="64"/>
      <c r="G6050" s="64"/>
      <c r="H6050" s="64"/>
      <c r="I6050" s="70"/>
      <c r="J6050" s="70"/>
      <c r="K6050" s="110" t="str">
        <f>IF(H6050="","",IF($C$29="간이법","",FPR(H6050,I6050,J6050)))</f>
        <v/>
      </c>
      <c r="L6050" s="111" t="str">
        <f>IF(H6050="","",IF($C$29="상세법",FPV(H6050,K6050),IF(H6050="EI",4,IF(H6050="EO",5.2,IF(H6050="EQ",3.9,IF(H6050="ILF",7.5,IF(H6050="EIF",5.4)))))))</f>
        <v/>
      </c>
      <c r="M6050" s="112" t="str">
        <f t="shared" si="97"/>
        <v/>
      </c>
      <c r="N6050" s="113"/>
    </row>
    <row r="6051" spans="2:14">
      <c r="B6051" s="105"/>
      <c r="C6051" s="106"/>
      <c r="D6051" s="107"/>
      <c r="E6051" s="65"/>
      <c r="F6051" s="64"/>
      <c r="G6051" s="64"/>
      <c r="H6051" s="64"/>
      <c r="I6051" s="70"/>
      <c r="J6051" s="70"/>
      <c r="K6051" s="110" t="str">
        <f>IF(H6051="","",IF($C$29="간이법","",FPR(H6051,I6051,J6051)))</f>
        <v/>
      </c>
      <c r="L6051" s="111" t="str">
        <f>IF(H6051="","",IF($C$29="상세법",FPV(H6051,K6051),IF(H6051="EI",4,IF(H6051="EO",5.2,IF(H6051="EQ",3.9,IF(H6051="ILF",7.5,IF(H6051="EIF",5.4)))))))</f>
        <v/>
      </c>
      <c r="M6051" s="112" t="str">
        <f t="shared" si="97"/>
        <v/>
      </c>
      <c r="N6051" s="113"/>
    </row>
    <row r="6052" spans="2:14">
      <c r="B6052" s="105"/>
      <c r="C6052" s="106"/>
      <c r="D6052" s="107"/>
      <c r="E6052" s="65"/>
      <c r="F6052" s="64"/>
      <c r="G6052" s="64"/>
      <c r="H6052" s="64"/>
      <c r="I6052" s="70"/>
      <c r="J6052" s="70"/>
      <c r="K6052" s="110" t="str">
        <f>IF(H6052="","",IF($C$29="간이법","",FPR(H6052,I6052,J6052)))</f>
        <v/>
      </c>
      <c r="L6052" s="111" t="str">
        <f>IF(H6052="","",IF($C$29="상세법",FPV(H6052,K6052),IF(H6052="EI",4,IF(H6052="EO",5.2,IF(H6052="EQ",3.9,IF(H6052="ILF",7.5,IF(H6052="EIF",5.4)))))))</f>
        <v/>
      </c>
      <c r="M6052" s="112" t="str">
        <f t="shared" si="97"/>
        <v/>
      </c>
      <c r="N6052" s="113"/>
    </row>
    <row r="6053" spans="2:14">
      <c r="B6053" s="105"/>
      <c r="C6053" s="106"/>
      <c r="D6053" s="107"/>
      <c r="E6053" s="65"/>
      <c r="F6053" s="64"/>
      <c r="G6053" s="64"/>
      <c r="H6053" s="64"/>
      <c r="I6053" s="70"/>
      <c r="J6053" s="70"/>
      <c r="K6053" s="110" t="str">
        <f>IF(H6053="","",IF($C$29="간이법","",FPR(H6053,I6053,J6053)))</f>
        <v/>
      </c>
      <c r="L6053" s="111" t="str">
        <f>IF(H6053="","",IF($C$29="상세법",FPV(H6053,K6053),IF(H6053="EI",4,IF(H6053="EO",5.2,IF(H6053="EQ",3.9,IF(H6053="ILF",7.5,IF(H6053="EIF",5.4)))))))</f>
        <v/>
      </c>
      <c r="M6053" s="112" t="str">
        <f t="shared" si="97"/>
        <v/>
      </c>
      <c r="N6053" s="113"/>
    </row>
    <row r="6054" spans="2:14">
      <c r="B6054" s="105"/>
      <c r="C6054" s="106"/>
      <c r="D6054" s="107"/>
      <c r="E6054" s="65"/>
      <c r="F6054" s="64"/>
      <c r="G6054" s="64"/>
      <c r="H6054" s="64"/>
      <c r="I6054" s="70"/>
      <c r="J6054" s="70"/>
      <c r="K6054" s="110" t="str">
        <f>IF(H6054="","",IF($C$29="간이법","",FPR(H6054,I6054,J6054)))</f>
        <v/>
      </c>
      <c r="L6054" s="111" t="str">
        <f>IF(H6054="","",IF($C$29="상세법",FPV(H6054,K6054),IF(H6054="EI",4,IF(H6054="EO",5.2,IF(H6054="EQ",3.9,IF(H6054="ILF",7.5,IF(H6054="EIF",5.4)))))))</f>
        <v/>
      </c>
      <c r="M6054" s="112" t="str">
        <f t="shared" si="97"/>
        <v/>
      </c>
      <c r="N6054" s="113"/>
    </row>
    <row r="6055" spans="2:14">
      <c r="B6055" s="105"/>
      <c r="C6055" s="106"/>
      <c r="D6055" s="107"/>
      <c r="E6055" s="65"/>
      <c r="F6055" s="64"/>
      <c r="G6055" s="64"/>
      <c r="H6055" s="64"/>
      <c r="I6055" s="70"/>
      <c r="J6055" s="70"/>
      <c r="K6055" s="110" t="str">
        <f>IF(H6055="","",IF($C$29="간이법","",FPR(H6055,I6055,J6055)))</f>
        <v/>
      </c>
      <c r="L6055" s="111" t="str">
        <f>IF(H6055="","",IF($C$29="상세법",FPV(H6055,K6055),IF(H6055="EI",4,IF(H6055="EO",5.2,IF(H6055="EQ",3.9,IF(H6055="ILF",7.5,IF(H6055="EIF",5.4)))))))</f>
        <v/>
      </c>
      <c r="M6055" s="112" t="str">
        <f t="shared" si="97"/>
        <v/>
      </c>
      <c r="N6055" s="113"/>
    </row>
    <row r="6056" spans="2:14">
      <c r="B6056" s="105"/>
      <c r="C6056" s="106"/>
      <c r="D6056" s="107"/>
      <c r="E6056" s="65"/>
      <c r="F6056" s="64"/>
      <c r="G6056" s="64"/>
      <c r="H6056" s="64"/>
      <c r="I6056" s="70"/>
      <c r="J6056" s="70"/>
      <c r="K6056" s="110" t="str">
        <f>IF(H6056="","",IF($C$29="간이법","",FPR(H6056,I6056,J6056)))</f>
        <v/>
      </c>
      <c r="L6056" s="111" t="str">
        <f>IF(H6056="","",IF($C$29="상세법",FPV(H6056,K6056),IF(H6056="EI",4,IF(H6056="EO",5.2,IF(H6056="EQ",3.9,IF(H6056="ILF",7.5,IF(H6056="EIF",5.4)))))))</f>
        <v/>
      </c>
      <c r="M6056" s="112" t="str">
        <f t="shared" si="97"/>
        <v/>
      </c>
      <c r="N6056" s="113"/>
    </row>
    <row r="6057" spans="2:14">
      <c r="B6057" s="105"/>
      <c r="C6057" s="106"/>
      <c r="D6057" s="107"/>
      <c r="E6057" s="65"/>
      <c r="F6057" s="64"/>
      <c r="G6057" s="64"/>
      <c r="H6057" s="64"/>
      <c r="I6057" s="70"/>
      <c r="J6057" s="70"/>
      <c r="K6057" s="110" t="str">
        <f>IF(H6057="","",IF($C$29="간이법","",FPR(H6057,I6057,J6057)))</f>
        <v/>
      </c>
      <c r="L6057" s="111" t="str">
        <f>IF(H6057="","",IF($C$29="상세법",FPV(H6057,K6057),IF(H6057="EI",4,IF(H6057="EO",5.2,IF(H6057="EQ",3.9,IF(H6057="ILF",7.5,IF(H6057="EIF",5.4)))))))</f>
        <v/>
      </c>
      <c r="M6057" s="112" t="str">
        <f t="shared" si="97"/>
        <v/>
      </c>
      <c r="N6057" s="113"/>
    </row>
    <row r="6058" spans="2:14">
      <c r="B6058" s="105"/>
      <c r="C6058" s="106"/>
      <c r="D6058" s="107"/>
      <c r="E6058" s="65"/>
      <c r="F6058" s="64"/>
      <c r="G6058" s="64"/>
      <c r="H6058" s="64"/>
      <c r="I6058" s="70"/>
      <c r="J6058" s="70"/>
      <c r="K6058" s="110" t="str">
        <f>IF(H6058="","",IF($C$29="간이법","",FPR(H6058,I6058,J6058)))</f>
        <v/>
      </c>
      <c r="L6058" s="111" t="str">
        <f>IF(H6058="","",IF($C$29="상세법",FPV(H6058,K6058),IF(H6058="EI",4,IF(H6058="EO",5.2,IF(H6058="EQ",3.9,IF(H6058="ILF",7.5,IF(H6058="EIF",5.4)))))))</f>
        <v/>
      </c>
      <c r="M6058" s="112" t="str">
        <f t="shared" si="97"/>
        <v/>
      </c>
      <c r="N6058" s="113"/>
    </row>
    <row r="6059" spans="2:14">
      <c r="B6059" s="105"/>
      <c r="C6059" s="106"/>
      <c r="D6059" s="107"/>
      <c r="E6059" s="65"/>
      <c r="F6059" s="64"/>
      <c r="G6059" s="64"/>
      <c r="H6059" s="64"/>
      <c r="I6059" s="70"/>
      <c r="J6059" s="70"/>
      <c r="K6059" s="110" t="str">
        <f>IF(H6059="","",IF($C$29="간이법","",FPR(H6059,I6059,J6059)))</f>
        <v/>
      </c>
      <c r="L6059" s="111" t="str">
        <f>IF(H6059="","",IF($C$29="상세법",FPV(H6059,K6059),IF(H6059="EI",4,IF(H6059="EO",5.2,IF(H6059="EQ",3.9,IF(H6059="ILF",7.5,IF(H6059="EIF",5.4)))))))</f>
        <v/>
      </c>
      <c r="M6059" s="112" t="str">
        <f t="shared" si="97"/>
        <v/>
      </c>
      <c r="N6059" s="113"/>
    </row>
    <row r="6060" spans="2:14">
      <c r="B6060" s="105"/>
      <c r="C6060" s="106"/>
      <c r="D6060" s="107"/>
      <c r="E6060" s="65"/>
      <c r="F6060" s="64"/>
      <c r="G6060" s="64"/>
      <c r="H6060" s="64"/>
      <c r="I6060" s="70"/>
      <c r="J6060" s="70"/>
      <c r="K6060" s="110" t="str">
        <f>IF(H6060="","",IF($C$29="간이법","",FPR(H6060,I6060,J6060)))</f>
        <v/>
      </c>
      <c r="L6060" s="111" t="str">
        <f>IF(H6060="","",IF($C$29="상세법",FPV(H6060,K6060),IF(H6060="EI",4,IF(H6060="EO",5.2,IF(H6060="EQ",3.9,IF(H6060="ILF",7.5,IF(H6060="EIF",5.4)))))))</f>
        <v/>
      </c>
      <c r="M6060" s="112" t="str">
        <f t="shared" si="97"/>
        <v/>
      </c>
      <c r="N6060" s="113"/>
    </row>
    <row r="6061" spans="2:14">
      <c r="B6061" s="105"/>
      <c r="C6061" s="106"/>
      <c r="D6061" s="107"/>
      <c r="E6061" s="65"/>
      <c r="F6061" s="64"/>
      <c r="G6061" s="64"/>
      <c r="H6061" s="64"/>
      <c r="I6061" s="70"/>
      <c r="J6061" s="70"/>
      <c r="K6061" s="110" t="str">
        <f>IF(H6061="","",IF($C$29="간이법","",FPR(H6061,I6061,J6061)))</f>
        <v/>
      </c>
      <c r="L6061" s="111" t="str">
        <f>IF(H6061="","",IF($C$29="상세법",FPV(H6061,K6061),IF(H6061="EI",4,IF(H6061="EO",5.2,IF(H6061="EQ",3.9,IF(H6061="ILF",7.5,IF(H6061="EIF",5.4)))))))</f>
        <v/>
      </c>
      <c r="M6061" s="112" t="str">
        <f t="shared" si="97"/>
        <v/>
      </c>
      <c r="N6061" s="113"/>
    </row>
    <row r="6062" spans="2:14">
      <c r="B6062" s="105"/>
      <c r="C6062" s="106"/>
      <c r="D6062" s="107"/>
      <c r="E6062" s="65"/>
      <c r="F6062" s="64"/>
      <c r="G6062" s="64"/>
      <c r="H6062" s="64"/>
      <c r="I6062" s="70"/>
      <c r="J6062" s="70"/>
      <c r="K6062" s="110" t="str">
        <f>IF(H6062="","",IF($C$29="간이법","",FPR(H6062,I6062,J6062)))</f>
        <v/>
      </c>
      <c r="L6062" s="111" t="str">
        <f>IF(H6062="","",IF($C$29="상세법",FPV(H6062,K6062),IF(H6062="EI",4,IF(H6062="EO",5.2,IF(H6062="EQ",3.9,IF(H6062="ILF",7.5,IF(H6062="EIF",5.4)))))))</f>
        <v/>
      </c>
      <c r="M6062" s="112" t="str">
        <f t="shared" si="97"/>
        <v/>
      </c>
      <c r="N6062" s="113"/>
    </row>
    <row r="6063" spans="2:14">
      <c r="B6063" s="105"/>
      <c r="C6063" s="106"/>
      <c r="D6063" s="107"/>
      <c r="E6063" s="65"/>
      <c r="F6063" s="64"/>
      <c r="G6063" s="64"/>
      <c r="H6063" s="64"/>
      <c r="I6063" s="70"/>
      <c r="J6063" s="70"/>
      <c r="K6063" s="110" t="str">
        <f>IF(H6063="","",IF($C$29="간이법","",FPR(H6063,I6063,J6063)))</f>
        <v/>
      </c>
      <c r="L6063" s="111" t="str">
        <f>IF(H6063="","",IF($C$29="상세법",FPV(H6063,K6063),IF(H6063="EI",4,IF(H6063="EO",5.2,IF(H6063="EQ",3.9,IF(H6063="ILF",7.5,IF(H6063="EIF",5.4)))))))</f>
        <v/>
      </c>
      <c r="M6063" s="112" t="str">
        <f t="shared" si="97"/>
        <v/>
      </c>
      <c r="N6063" s="113"/>
    </row>
    <row r="6064" spans="2:14">
      <c r="B6064" s="105"/>
      <c r="C6064" s="106"/>
      <c r="D6064" s="107"/>
      <c r="E6064" s="65"/>
      <c r="F6064" s="64"/>
      <c r="G6064" s="64"/>
      <c r="H6064" s="64"/>
      <c r="I6064" s="70"/>
      <c r="J6064" s="70"/>
      <c r="K6064" s="110" t="str">
        <f>IF(H6064="","",IF($C$29="간이법","",FPR(H6064,I6064,J6064)))</f>
        <v/>
      </c>
      <c r="L6064" s="111" t="str">
        <f>IF(H6064="","",IF($C$29="상세법",FPV(H6064,K6064),IF(H6064="EI",4,IF(H6064="EO",5.2,IF(H6064="EQ",3.9,IF(H6064="ILF",7.5,IF(H6064="EIF",5.4)))))))</f>
        <v/>
      </c>
      <c r="M6064" s="112" t="str">
        <f t="shared" si="97"/>
        <v/>
      </c>
      <c r="N6064" s="113"/>
    </row>
    <row r="6065" spans="2:14">
      <c r="B6065" s="105"/>
      <c r="C6065" s="106"/>
      <c r="D6065" s="107"/>
      <c r="E6065" s="65"/>
      <c r="F6065" s="64"/>
      <c r="G6065" s="64"/>
      <c r="H6065" s="64"/>
      <c r="I6065" s="70"/>
      <c r="J6065" s="70"/>
      <c r="K6065" s="110" t="str">
        <f>IF(H6065="","",IF($C$29="간이법","",FPR(H6065,I6065,J6065)))</f>
        <v/>
      </c>
      <c r="L6065" s="111" t="str">
        <f>IF(H6065="","",IF($C$29="상세법",FPV(H6065,K6065),IF(H6065="EI",4,IF(H6065="EO",5.2,IF(H6065="EQ",3.9,IF(H6065="ILF",7.5,IF(H6065="EIF",5.4)))))))</f>
        <v/>
      </c>
      <c r="M6065" s="112" t="str">
        <f t="shared" si="97"/>
        <v/>
      </c>
      <c r="N6065" s="113"/>
    </row>
    <row r="6066" spans="2:14">
      <c r="B6066" s="105"/>
      <c r="C6066" s="106"/>
      <c r="D6066" s="107"/>
      <c r="E6066" s="65"/>
      <c r="F6066" s="64"/>
      <c r="G6066" s="64"/>
      <c r="H6066" s="64"/>
      <c r="I6066" s="70"/>
      <c r="J6066" s="70"/>
      <c r="K6066" s="110" t="str">
        <f>IF(H6066="","",IF($C$29="간이법","",FPR(H6066,I6066,J6066)))</f>
        <v/>
      </c>
      <c r="L6066" s="111" t="str">
        <f>IF(H6066="","",IF($C$29="상세법",FPV(H6066,K6066),IF(H6066="EI",4,IF(H6066="EO",5.2,IF(H6066="EQ",3.9,IF(H6066="ILF",7.5,IF(H6066="EIF",5.4)))))))</f>
        <v/>
      </c>
      <c r="M6066" s="112" t="str">
        <f t="shared" si="97"/>
        <v/>
      </c>
      <c r="N6066" s="113"/>
    </row>
    <row r="6067" spans="2:14">
      <c r="B6067" s="105"/>
      <c r="C6067" s="106"/>
      <c r="D6067" s="107"/>
      <c r="E6067" s="65"/>
      <c r="F6067" s="64"/>
      <c r="G6067" s="64"/>
      <c r="H6067" s="64"/>
      <c r="I6067" s="70"/>
      <c r="J6067" s="70"/>
      <c r="K6067" s="110" t="str">
        <f>IF(H6067="","",IF($C$29="간이법","",FPR(H6067,I6067,J6067)))</f>
        <v/>
      </c>
      <c r="L6067" s="111" t="str">
        <f>IF(H6067="","",IF($C$29="상세법",FPV(H6067,K6067),IF(H6067="EI",4,IF(H6067="EO",5.2,IF(H6067="EQ",3.9,IF(H6067="ILF",7.5,IF(H6067="EIF",5.4)))))))</f>
        <v/>
      </c>
      <c r="M6067" s="112" t="str">
        <f t="shared" si="97"/>
        <v/>
      </c>
      <c r="N6067" s="113"/>
    </row>
    <row r="6068" spans="2:14">
      <c r="B6068" s="105"/>
      <c r="C6068" s="106"/>
      <c r="D6068" s="107"/>
      <c r="E6068" s="65"/>
      <c r="F6068" s="64"/>
      <c r="G6068" s="64"/>
      <c r="H6068" s="64"/>
      <c r="I6068" s="70"/>
      <c r="J6068" s="70"/>
      <c r="K6068" s="110" t="str">
        <f>IF(H6068="","",IF($C$29="간이법","",FPR(H6068,I6068,J6068)))</f>
        <v/>
      </c>
      <c r="L6068" s="111" t="str">
        <f>IF(H6068="","",IF($C$29="상세법",FPV(H6068,K6068),IF(H6068="EI",4,IF(H6068="EO",5.2,IF(H6068="EQ",3.9,IF(H6068="ILF",7.5,IF(H6068="EIF",5.4)))))))</f>
        <v/>
      </c>
      <c r="M6068" s="112" t="str">
        <f t="shared" si="97"/>
        <v/>
      </c>
      <c r="N6068" s="113"/>
    </row>
    <row r="6069" spans="2:14">
      <c r="B6069" s="105"/>
      <c r="C6069" s="106"/>
      <c r="D6069" s="107"/>
      <c r="E6069" s="65"/>
      <c r="F6069" s="64"/>
      <c r="G6069" s="64"/>
      <c r="H6069" s="64"/>
      <c r="I6069" s="70"/>
      <c r="J6069" s="70"/>
      <c r="K6069" s="110" t="str">
        <f>IF(H6069="","",IF($C$29="간이법","",FPR(H6069,I6069,J6069)))</f>
        <v/>
      </c>
      <c r="L6069" s="111" t="str">
        <f>IF(H6069="","",IF($C$29="상세법",FPV(H6069,K6069),IF(H6069="EI",4,IF(H6069="EO",5.2,IF(H6069="EQ",3.9,IF(H6069="ILF",7.5,IF(H6069="EIF",5.4)))))))</f>
        <v/>
      </c>
      <c r="M6069" s="112" t="str">
        <f t="shared" si="97"/>
        <v/>
      </c>
      <c r="N6069" s="113"/>
    </row>
    <row r="6070" spans="2:14">
      <c r="B6070" s="105"/>
      <c r="C6070" s="106"/>
      <c r="D6070" s="107"/>
      <c r="E6070" s="65"/>
      <c r="F6070" s="64"/>
      <c r="G6070" s="64"/>
      <c r="H6070" s="64"/>
      <c r="I6070" s="70"/>
      <c r="J6070" s="70"/>
      <c r="K6070" s="110" t="str">
        <f>IF(H6070="","",IF($C$29="간이법","",FPR(H6070,I6070,J6070)))</f>
        <v/>
      </c>
      <c r="L6070" s="111" t="str">
        <f>IF(H6070="","",IF($C$29="상세법",FPV(H6070,K6070),IF(H6070="EI",4,IF(H6070="EO",5.2,IF(H6070="EQ",3.9,IF(H6070="ILF",7.5,IF(H6070="EIF",5.4)))))))</f>
        <v/>
      </c>
      <c r="M6070" s="112" t="str">
        <f t="shared" si="97"/>
        <v/>
      </c>
      <c r="N6070" s="113"/>
    </row>
    <row r="6071" spans="2:14">
      <c r="B6071" s="105"/>
      <c r="C6071" s="106"/>
      <c r="D6071" s="107"/>
      <c r="E6071" s="65"/>
      <c r="F6071" s="64"/>
      <c r="G6071" s="64"/>
      <c r="H6071" s="64"/>
      <c r="I6071" s="70"/>
      <c r="J6071" s="70"/>
      <c r="K6071" s="110" t="str">
        <f>IF(H6071="","",IF($C$29="간이법","",FPR(H6071,I6071,J6071)))</f>
        <v/>
      </c>
      <c r="L6071" s="111" t="str">
        <f>IF(H6071="","",IF($C$29="상세법",FPV(H6071,K6071),IF(H6071="EI",4,IF(H6071="EO",5.2,IF(H6071="EQ",3.9,IF(H6071="ILF",7.5,IF(H6071="EIF",5.4)))))))</f>
        <v/>
      </c>
      <c r="M6071" s="112" t="str">
        <f t="shared" si="97"/>
        <v/>
      </c>
      <c r="N6071" s="113"/>
    </row>
    <row r="6072" spans="2:14">
      <c r="B6072" s="105"/>
      <c r="C6072" s="106"/>
      <c r="D6072" s="107"/>
      <c r="E6072" s="65"/>
      <c r="F6072" s="64"/>
      <c r="G6072" s="64"/>
      <c r="H6072" s="64"/>
      <c r="I6072" s="70"/>
      <c r="J6072" s="70"/>
      <c r="K6072" s="110" t="str">
        <f>IF(H6072="","",IF($C$29="간이법","",FPR(H6072,I6072,J6072)))</f>
        <v/>
      </c>
      <c r="L6072" s="111" t="str">
        <f>IF(H6072="","",IF($C$29="상세법",FPV(H6072,K6072),IF(H6072="EI",4,IF(H6072="EO",5.2,IF(H6072="EQ",3.9,IF(H6072="ILF",7.5,IF(H6072="EIF",5.4)))))))</f>
        <v/>
      </c>
      <c r="M6072" s="112" t="str">
        <f t="shared" si="97"/>
        <v/>
      </c>
      <c r="N6072" s="113"/>
    </row>
    <row r="6073" spans="2:14">
      <c r="B6073" s="105"/>
      <c r="C6073" s="106"/>
      <c r="D6073" s="107"/>
      <c r="E6073" s="65"/>
      <c r="F6073" s="64"/>
      <c r="G6073" s="64"/>
      <c r="H6073" s="64"/>
      <c r="I6073" s="70"/>
      <c r="J6073" s="70"/>
      <c r="K6073" s="110" t="str">
        <f>IF(H6073="","",IF($C$29="간이법","",FPR(H6073,I6073,J6073)))</f>
        <v/>
      </c>
      <c r="L6073" s="111" t="str">
        <f>IF(H6073="","",IF($C$29="상세법",FPV(H6073,K6073),IF(H6073="EI",4,IF(H6073="EO",5.2,IF(H6073="EQ",3.9,IF(H6073="ILF",7.5,IF(H6073="EIF",5.4)))))))</f>
        <v/>
      </c>
      <c r="M6073" s="112" t="str">
        <f t="shared" ref="M6073:M6136" si="98">IF(L6073="","",L6073*IF(G6073="상",0.7,IF(G6073="중",0.5,IF(G6073="하",0.2,1))))</f>
        <v/>
      </c>
      <c r="N6073" s="113"/>
    </row>
    <row r="6074" spans="2:14">
      <c r="B6074" s="105"/>
      <c r="C6074" s="106"/>
      <c r="D6074" s="107"/>
      <c r="E6074" s="65"/>
      <c r="F6074" s="64"/>
      <c r="G6074" s="64"/>
      <c r="H6074" s="64"/>
      <c r="I6074" s="70"/>
      <c r="J6074" s="70"/>
      <c r="K6074" s="110" t="str">
        <f>IF(H6074="","",IF($C$29="간이법","",FPR(H6074,I6074,J6074)))</f>
        <v/>
      </c>
      <c r="L6074" s="111" t="str">
        <f>IF(H6074="","",IF($C$29="상세법",FPV(H6074,K6074),IF(H6074="EI",4,IF(H6074="EO",5.2,IF(H6074="EQ",3.9,IF(H6074="ILF",7.5,IF(H6074="EIF",5.4)))))))</f>
        <v/>
      </c>
      <c r="M6074" s="112" t="str">
        <f t="shared" si="98"/>
        <v/>
      </c>
      <c r="N6074" s="113"/>
    </row>
    <row r="6075" spans="2:14">
      <c r="B6075" s="105"/>
      <c r="C6075" s="106"/>
      <c r="D6075" s="107"/>
      <c r="E6075" s="65"/>
      <c r="F6075" s="64"/>
      <c r="G6075" s="64"/>
      <c r="H6075" s="64"/>
      <c r="I6075" s="70"/>
      <c r="J6075" s="70"/>
      <c r="K6075" s="110" t="str">
        <f>IF(H6075="","",IF($C$29="간이법","",FPR(H6075,I6075,J6075)))</f>
        <v/>
      </c>
      <c r="L6075" s="111" t="str">
        <f>IF(H6075="","",IF($C$29="상세법",FPV(H6075,K6075),IF(H6075="EI",4,IF(H6075="EO",5.2,IF(H6075="EQ",3.9,IF(H6075="ILF",7.5,IF(H6075="EIF",5.4)))))))</f>
        <v/>
      </c>
      <c r="M6075" s="112" t="str">
        <f t="shared" si="98"/>
        <v/>
      </c>
      <c r="N6075" s="113"/>
    </row>
    <row r="6076" spans="2:14">
      <c r="B6076" s="105"/>
      <c r="C6076" s="106"/>
      <c r="D6076" s="107"/>
      <c r="E6076" s="65"/>
      <c r="F6076" s="64"/>
      <c r="G6076" s="64"/>
      <c r="H6076" s="64"/>
      <c r="I6076" s="70"/>
      <c r="J6076" s="70"/>
      <c r="K6076" s="110" t="str">
        <f>IF(H6076="","",IF($C$29="간이법","",FPR(H6076,I6076,J6076)))</f>
        <v/>
      </c>
      <c r="L6076" s="111" t="str">
        <f>IF(H6076="","",IF($C$29="상세법",FPV(H6076,K6076),IF(H6076="EI",4,IF(H6076="EO",5.2,IF(H6076="EQ",3.9,IF(H6076="ILF",7.5,IF(H6076="EIF",5.4)))))))</f>
        <v/>
      </c>
      <c r="M6076" s="112" t="str">
        <f t="shared" si="98"/>
        <v/>
      </c>
      <c r="N6076" s="113"/>
    </row>
    <row r="6077" spans="2:14">
      <c r="B6077" s="105"/>
      <c r="C6077" s="106"/>
      <c r="D6077" s="107"/>
      <c r="E6077" s="65"/>
      <c r="F6077" s="64"/>
      <c r="G6077" s="64"/>
      <c r="H6077" s="64"/>
      <c r="I6077" s="70"/>
      <c r="J6077" s="70"/>
      <c r="K6077" s="110" t="str">
        <f>IF(H6077="","",IF($C$29="간이법","",FPR(H6077,I6077,J6077)))</f>
        <v/>
      </c>
      <c r="L6077" s="111" t="str">
        <f>IF(H6077="","",IF($C$29="상세법",FPV(H6077,K6077),IF(H6077="EI",4,IF(H6077="EO",5.2,IF(H6077="EQ",3.9,IF(H6077="ILF",7.5,IF(H6077="EIF",5.4)))))))</f>
        <v/>
      </c>
      <c r="M6077" s="112" t="str">
        <f t="shared" si="98"/>
        <v/>
      </c>
      <c r="N6077" s="113"/>
    </row>
    <row r="6078" spans="2:14">
      <c r="B6078" s="105"/>
      <c r="C6078" s="106"/>
      <c r="D6078" s="107"/>
      <c r="E6078" s="65"/>
      <c r="F6078" s="64"/>
      <c r="G6078" s="64"/>
      <c r="H6078" s="64"/>
      <c r="I6078" s="70"/>
      <c r="J6078" s="70"/>
      <c r="K6078" s="110" t="str">
        <f>IF(H6078="","",IF($C$29="간이법","",FPR(H6078,I6078,J6078)))</f>
        <v/>
      </c>
      <c r="L6078" s="111" t="str">
        <f>IF(H6078="","",IF($C$29="상세법",FPV(H6078,K6078),IF(H6078="EI",4,IF(H6078="EO",5.2,IF(H6078="EQ",3.9,IF(H6078="ILF",7.5,IF(H6078="EIF",5.4)))))))</f>
        <v/>
      </c>
      <c r="M6078" s="112" t="str">
        <f t="shared" si="98"/>
        <v/>
      </c>
      <c r="N6078" s="113"/>
    </row>
    <row r="6079" spans="2:14">
      <c r="B6079" s="105"/>
      <c r="C6079" s="106"/>
      <c r="D6079" s="107"/>
      <c r="E6079" s="65"/>
      <c r="F6079" s="64"/>
      <c r="G6079" s="64"/>
      <c r="H6079" s="64"/>
      <c r="I6079" s="70"/>
      <c r="J6079" s="70"/>
      <c r="K6079" s="110" t="str">
        <f>IF(H6079="","",IF($C$29="간이법","",FPR(H6079,I6079,J6079)))</f>
        <v/>
      </c>
      <c r="L6079" s="111" t="str">
        <f>IF(H6079="","",IF($C$29="상세법",FPV(H6079,K6079),IF(H6079="EI",4,IF(H6079="EO",5.2,IF(H6079="EQ",3.9,IF(H6079="ILF",7.5,IF(H6079="EIF",5.4)))))))</f>
        <v/>
      </c>
      <c r="M6079" s="112" t="str">
        <f t="shared" si="98"/>
        <v/>
      </c>
      <c r="N6079" s="113"/>
    </row>
    <row r="6080" spans="2:14">
      <c r="B6080" s="105"/>
      <c r="C6080" s="106"/>
      <c r="D6080" s="107"/>
      <c r="E6080" s="65"/>
      <c r="F6080" s="64"/>
      <c r="G6080" s="64"/>
      <c r="H6080" s="64"/>
      <c r="I6080" s="70"/>
      <c r="J6080" s="70"/>
      <c r="K6080" s="110" t="str">
        <f>IF(H6080="","",IF($C$29="간이법","",FPR(H6080,I6080,J6080)))</f>
        <v/>
      </c>
      <c r="L6080" s="111" t="str">
        <f>IF(H6080="","",IF($C$29="상세법",FPV(H6080,K6080),IF(H6080="EI",4,IF(H6080="EO",5.2,IF(H6080="EQ",3.9,IF(H6080="ILF",7.5,IF(H6080="EIF",5.4)))))))</f>
        <v/>
      </c>
      <c r="M6080" s="112" t="str">
        <f t="shared" si="98"/>
        <v/>
      </c>
      <c r="N6080" s="113"/>
    </row>
    <row r="6081" spans="2:14">
      <c r="B6081" s="105"/>
      <c r="C6081" s="106"/>
      <c r="D6081" s="107"/>
      <c r="E6081" s="65"/>
      <c r="F6081" s="64"/>
      <c r="G6081" s="64"/>
      <c r="H6081" s="64"/>
      <c r="I6081" s="70"/>
      <c r="J6081" s="70"/>
      <c r="K6081" s="110" t="str">
        <f>IF(H6081="","",IF($C$29="간이법","",FPR(H6081,I6081,J6081)))</f>
        <v/>
      </c>
      <c r="L6081" s="111" t="str">
        <f>IF(H6081="","",IF($C$29="상세법",FPV(H6081,K6081),IF(H6081="EI",4,IF(H6081="EO",5.2,IF(H6081="EQ",3.9,IF(H6081="ILF",7.5,IF(H6081="EIF",5.4)))))))</f>
        <v/>
      </c>
      <c r="M6081" s="112" t="str">
        <f t="shared" si="98"/>
        <v/>
      </c>
      <c r="N6081" s="113"/>
    </row>
    <row r="6082" spans="2:14">
      <c r="B6082" s="105"/>
      <c r="C6082" s="106"/>
      <c r="D6082" s="107"/>
      <c r="E6082" s="65"/>
      <c r="F6082" s="64"/>
      <c r="G6082" s="64"/>
      <c r="H6082" s="64"/>
      <c r="I6082" s="70"/>
      <c r="J6082" s="70"/>
      <c r="K6082" s="110" t="str">
        <f>IF(H6082="","",IF($C$29="간이법","",FPR(H6082,I6082,J6082)))</f>
        <v/>
      </c>
      <c r="L6082" s="111" t="str">
        <f>IF(H6082="","",IF($C$29="상세법",FPV(H6082,K6082),IF(H6082="EI",4,IF(H6082="EO",5.2,IF(H6082="EQ",3.9,IF(H6082="ILF",7.5,IF(H6082="EIF",5.4)))))))</f>
        <v/>
      </c>
      <c r="M6082" s="112" t="str">
        <f t="shared" si="98"/>
        <v/>
      </c>
      <c r="N6082" s="113"/>
    </row>
    <row r="6083" spans="2:14">
      <c r="B6083" s="105"/>
      <c r="C6083" s="106"/>
      <c r="D6083" s="107"/>
      <c r="E6083" s="65"/>
      <c r="F6083" s="64"/>
      <c r="G6083" s="64"/>
      <c r="H6083" s="64"/>
      <c r="I6083" s="70"/>
      <c r="J6083" s="70"/>
      <c r="K6083" s="110" t="str">
        <f>IF(H6083="","",IF($C$29="간이법","",FPR(H6083,I6083,J6083)))</f>
        <v/>
      </c>
      <c r="L6083" s="111" t="str">
        <f>IF(H6083="","",IF($C$29="상세법",FPV(H6083,K6083),IF(H6083="EI",4,IF(H6083="EO",5.2,IF(H6083="EQ",3.9,IF(H6083="ILF",7.5,IF(H6083="EIF",5.4)))))))</f>
        <v/>
      </c>
      <c r="M6083" s="112" t="str">
        <f t="shared" si="98"/>
        <v/>
      </c>
      <c r="N6083" s="113"/>
    </row>
    <row r="6084" spans="2:14">
      <c r="B6084" s="105"/>
      <c r="C6084" s="106"/>
      <c r="D6084" s="107"/>
      <c r="E6084" s="65"/>
      <c r="F6084" s="64"/>
      <c r="G6084" s="64"/>
      <c r="H6084" s="64"/>
      <c r="I6084" s="70"/>
      <c r="J6084" s="70"/>
      <c r="K6084" s="110" t="str">
        <f>IF(H6084="","",IF($C$29="간이법","",FPR(H6084,I6084,J6084)))</f>
        <v/>
      </c>
      <c r="L6084" s="111" t="str">
        <f>IF(H6084="","",IF($C$29="상세법",FPV(H6084,K6084),IF(H6084="EI",4,IF(H6084="EO",5.2,IF(H6084="EQ",3.9,IF(H6084="ILF",7.5,IF(H6084="EIF",5.4)))))))</f>
        <v/>
      </c>
      <c r="M6084" s="112" t="str">
        <f t="shared" si="98"/>
        <v/>
      </c>
      <c r="N6084" s="113"/>
    </row>
    <row r="6085" spans="2:14">
      <c r="B6085" s="105"/>
      <c r="C6085" s="106"/>
      <c r="D6085" s="107"/>
      <c r="E6085" s="65"/>
      <c r="F6085" s="64"/>
      <c r="G6085" s="64"/>
      <c r="H6085" s="64"/>
      <c r="I6085" s="70"/>
      <c r="J6085" s="70"/>
      <c r="K6085" s="110" t="str">
        <f>IF(H6085="","",IF($C$29="간이법","",FPR(H6085,I6085,J6085)))</f>
        <v/>
      </c>
      <c r="L6085" s="111" t="str">
        <f>IF(H6085="","",IF($C$29="상세법",FPV(H6085,K6085),IF(H6085="EI",4,IF(H6085="EO",5.2,IF(H6085="EQ",3.9,IF(H6085="ILF",7.5,IF(H6085="EIF",5.4)))))))</f>
        <v/>
      </c>
      <c r="M6085" s="112" t="str">
        <f t="shared" si="98"/>
        <v/>
      </c>
      <c r="N6085" s="113"/>
    </row>
    <row r="6086" spans="2:14">
      <c r="B6086" s="105"/>
      <c r="C6086" s="106"/>
      <c r="D6086" s="107"/>
      <c r="E6086" s="65"/>
      <c r="F6086" s="64"/>
      <c r="G6086" s="64"/>
      <c r="H6086" s="64"/>
      <c r="I6086" s="70"/>
      <c r="J6086" s="70"/>
      <c r="K6086" s="110" t="str">
        <f>IF(H6086="","",IF($C$29="간이법","",FPR(H6086,I6086,J6086)))</f>
        <v/>
      </c>
      <c r="L6086" s="111" t="str">
        <f>IF(H6086="","",IF($C$29="상세법",FPV(H6086,K6086),IF(H6086="EI",4,IF(H6086="EO",5.2,IF(H6086="EQ",3.9,IF(H6086="ILF",7.5,IF(H6086="EIF",5.4)))))))</f>
        <v/>
      </c>
      <c r="M6086" s="112" t="str">
        <f t="shared" si="98"/>
        <v/>
      </c>
      <c r="N6086" s="113"/>
    </row>
    <row r="6087" spans="2:14">
      <c r="B6087" s="105"/>
      <c r="C6087" s="106"/>
      <c r="D6087" s="107"/>
      <c r="E6087" s="65"/>
      <c r="F6087" s="64"/>
      <c r="G6087" s="64"/>
      <c r="H6087" s="64"/>
      <c r="I6087" s="70"/>
      <c r="J6087" s="70"/>
      <c r="K6087" s="110" t="str">
        <f>IF(H6087="","",IF($C$29="간이법","",FPR(H6087,I6087,J6087)))</f>
        <v/>
      </c>
      <c r="L6087" s="111" t="str">
        <f>IF(H6087="","",IF($C$29="상세법",FPV(H6087,K6087),IF(H6087="EI",4,IF(H6087="EO",5.2,IF(H6087="EQ",3.9,IF(H6087="ILF",7.5,IF(H6087="EIF",5.4)))))))</f>
        <v/>
      </c>
      <c r="M6087" s="112" t="str">
        <f t="shared" si="98"/>
        <v/>
      </c>
      <c r="N6087" s="113"/>
    </row>
    <row r="6088" spans="2:14">
      <c r="B6088" s="105"/>
      <c r="C6088" s="106"/>
      <c r="D6088" s="107"/>
      <c r="E6088" s="65"/>
      <c r="F6088" s="64"/>
      <c r="G6088" s="64"/>
      <c r="H6088" s="64"/>
      <c r="I6088" s="70"/>
      <c r="J6088" s="70"/>
      <c r="K6088" s="110" t="str">
        <f>IF(H6088="","",IF($C$29="간이법","",FPR(H6088,I6088,J6088)))</f>
        <v/>
      </c>
      <c r="L6088" s="111" t="str">
        <f>IF(H6088="","",IF($C$29="상세법",FPV(H6088,K6088),IF(H6088="EI",4,IF(H6088="EO",5.2,IF(H6088="EQ",3.9,IF(H6088="ILF",7.5,IF(H6088="EIF",5.4)))))))</f>
        <v/>
      </c>
      <c r="M6088" s="112" t="str">
        <f t="shared" si="98"/>
        <v/>
      </c>
      <c r="N6088" s="113"/>
    </row>
    <row r="6089" spans="2:14">
      <c r="B6089" s="105"/>
      <c r="C6089" s="106"/>
      <c r="D6089" s="107"/>
      <c r="E6089" s="65"/>
      <c r="F6089" s="64"/>
      <c r="G6089" s="64"/>
      <c r="H6089" s="64"/>
      <c r="I6089" s="70"/>
      <c r="J6089" s="70"/>
      <c r="K6089" s="110" t="str">
        <f>IF(H6089="","",IF($C$29="간이법","",FPR(H6089,I6089,J6089)))</f>
        <v/>
      </c>
      <c r="L6089" s="111" t="str">
        <f>IF(H6089="","",IF($C$29="상세법",FPV(H6089,K6089),IF(H6089="EI",4,IF(H6089="EO",5.2,IF(H6089="EQ",3.9,IF(H6089="ILF",7.5,IF(H6089="EIF",5.4)))))))</f>
        <v/>
      </c>
      <c r="M6089" s="112" t="str">
        <f t="shared" si="98"/>
        <v/>
      </c>
      <c r="N6089" s="113"/>
    </row>
    <row r="6090" spans="2:14">
      <c r="B6090" s="105"/>
      <c r="C6090" s="106"/>
      <c r="D6090" s="107"/>
      <c r="E6090" s="65"/>
      <c r="F6090" s="64"/>
      <c r="G6090" s="64"/>
      <c r="H6090" s="64"/>
      <c r="I6090" s="70"/>
      <c r="J6090" s="70"/>
      <c r="K6090" s="110" t="str">
        <f>IF(H6090="","",IF($C$29="간이법","",FPR(H6090,I6090,J6090)))</f>
        <v/>
      </c>
      <c r="L6090" s="111" t="str">
        <f>IF(H6090="","",IF($C$29="상세법",FPV(H6090,K6090),IF(H6090="EI",4,IF(H6090="EO",5.2,IF(H6090="EQ",3.9,IF(H6090="ILF",7.5,IF(H6090="EIF",5.4)))))))</f>
        <v/>
      </c>
      <c r="M6090" s="112" t="str">
        <f t="shared" si="98"/>
        <v/>
      </c>
      <c r="N6090" s="113"/>
    </row>
    <row r="6091" spans="2:14">
      <c r="B6091" s="105"/>
      <c r="C6091" s="106"/>
      <c r="D6091" s="107"/>
      <c r="E6091" s="65"/>
      <c r="F6091" s="64"/>
      <c r="G6091" s="64"/>
      <c r="H6091" s="64"/>
      <c r="I6091" s="70"/>
      <c r="J6091" s="70"/>
      <c r="K6091" s="110" t="str">
        <f>IF(H6091="","",IF($C$29="간이법","",FPR(H6091,I6091,J6091)))</f>
        <v/>
      </c>
      <c r="L6091" s="111" t="str">
        <f>IF(H6091="","",IF($C$29="상세법",FPV(H6091,K6091),IF(H6091="EI",4,IF(H6091="EO",5.2,IF(H6091="EQ",3.9,IF(H6091="ILF",7.5,IF(H6091="EIF",5.4)))))))</f>
        <v/>
      </c>
      <c r="M6091" s="112" t="str">
        <f t="shared" si="98"/>
        <v/>
      </c>
      <c r="N6091" s="113"/>
    </row>
    <row r="6092" spans="2:14">
      <c r="B6092" s="105"/>
      <c r="C6092" s="106"/>
      <c r="D6092" s="107"/>
      <c r="E6092" s="65"/>
      <c r="F6092" s="64"/>
      <c r="G6092" s="64"/>
      <c r="H6092" s="64"/>
      <c r="I6092" s="70"/>
      <c r="J6092" s="70"/>
      <c r="K6092" s="110" t="str">
        <f>IF(H6092="","",IF($C$29="간이법","",FPR(H6092,I6092,J6092)))</f>
        <v/>
      </c>
      <c r="L6092" s="111" t="str">
        <f>IF(H6092="","",IF($C$29="상세법",FPV(H6092,K6092),IF(H6092="EI",4,IF(H6092="EO",5.2,IF(H6092="EQ",3.9,IF(H6092="ILF",7.5,IF(H6092="EIF",5.4)))))))</f>
        <v/>
      </c>
      <c r="M6092" s="112" t="str">
        <f t="shared" si="98"/>
        <v/>
      </c>
      <c r="N6092" s="113"/>
    </row>
    <row r="6093" spans="2:14">
      <c r="B6093" s="105"/>
      <c r="C6093" s="106"/>
      <c r="D6093" s="107"/>
      <c r="E6093" s="65"/>
      <c r="F6093" s="64"/>
      <c r="G6093" s="64"/>
      <c r="H6093" s="64"/>
      <c r="I6093" s="70"/>
      <c r="J6093" s="70"/>
      <c r="K6093" s="110" t="str">
        <f>IF(H6093="","",IF($C$29="간이법","",FPR(H6093,I6093,J6093)))</f>
        <v/>
      </c>
      <c r="L6093" s="111" t="str">
        <f>IF(H6093="","",IF($C$29="상세법",FPV(H6093,K6093),IF(H6093="EI",4,IF(H6093="EO",5.2,IF(H6093="EQ",3.9,IF(H6093="ILF",7.5,IF(H6093="EIF",5.4)))))))</f>
        <v/>
      </c>
      <c r="M6093" s="112" t="str">
        <f t="shared" si="98"/>
        <v/>
      </c>
      <c r="N6093" s="113"/>
    </row>
    <row r="6094" spans="2:14">
      <c r="B6094" s="105"/>
      <c r="C6094" s="106"/>
      <c r="D6094" s="107"/>
      <c r="E6094" s="65"/>
      <c r="F6094" s="64"/>
      <c r="G6094" s="64"/>
      <c r="H6094" s="64"/>
      <c r="I6094" s="70"/>
      <c r="J6094" s="70"/>
      <c r="K6094" s="110" t="str">
        <f>IF(H6094="","",IF($C$29="간이법","",FPR(H6094,I6094,J6094)))</f>
        <v/>
      </c>
      <c r="L6094" s="111" t="str">
        <f>IF(H6094="","",IF($C$29="상세법",FPV(H6094,K6094),IF(H6094="EI",4,IF(H6094="EO",5.2,IF(H6094="EQ",3.9,IF(H6094="ILF",7.5,IF(H6094="EIF",5.4)))))))</f>
        <v/>
      </c>
      <c r="M6094" s="112" t="str">
        <f t="shared" si="98"/>
        <v/>
      </c>
      <c r="N6094" s="113"/>
    </row>
    <row r="6095" spans="2:14">
      <c r="B6095" s="105"/>
      <c r="C6095" s="106"/>
      <c r="D6095" s="107"/>
      <c r="E6095" s="65"/>
      <c r="F6095" s="64"/>
      <c r="G6095" s="64"/>
      <c r="H6095" s="64"/>
      <c r="I6095" s="70"/>
      <c r="J6095" s="70"/>
      <c r="K6095" s="110" t="str">
        <f>IF(H6095="","",IF($C$29="간이법","",FPR(H6095,I6095,J6095)))</f>
        <v/>
      </c>
      <c r="L6095" s="111" t="str">
        <f>IF(H6095="","",IF($C$29="상세법",FPV(H6095,K6095),IF(H6095="EI",4,IF(H6095="EO",5.2,IF(H6095="EQ",3.9,IF(H6095="ILF",7.5,IF(H6095="EIF",5.4)))))))</f>
        <v/>
      </c>
      <c r="M6095" s="112" t="str">
        <f t="shared" si="98"/>
        <v/>
      </c>
      <c r="N6095" s="113"/>
    </row>
    <row r="6096" spans="2:14">
      <c r="B6096" s="105"/>
      <c r="C6096" s="106"/>
      <c r="D6096" s="107"/>
      <c r="E6096" s="65"/>
      <c r="F6096" s="64"/>
      <c r="G6096" s="64"/>
      <c r="H6096" s="64"/>
      <c r="I6096" s="70"/>
      <c r="J6096" s="70"/>
      <c r="K6096" s="110" t="str">
        <f>IF(H6096="","",IF($C$29="간이법","",FPR(H6096,I6096,J6096)))</f>
        <v/>
      </c>
      <c r="L6096" s="111" t="str">
        <f>IF(H6096="","",IF($C$29="상세법",FPV(H6096,K6096),IF(H6096="EI",4,IF(H6096="EO",5.2,IF(H6096="EQ",3.9,IF(H6096="ILF",7.5,IF(H6096="EIF",5.4)))))))</f>
        <v/>
      </c>
      <c r="M6096" s="112" t="str">
        <f t="shared" si="98"/>
        <v/>
      </c>
      <c r="N6096" s="113"/>
    </row>
    <row r="6097" spans="2:14">
      <c r="B6097" s="105"/>
      <c r="C6097" s="106"/>
      <c r="D6097" s="107"/>
      <c r="E6097" s="65"/>
      <c r="F6097" s="64"/>
      <c r="G6097" s="64"/>
      <c r="H6097" s="64"/>
      <c r="I6097" s="70"/>
      <c r="J6097" s="70"/>
      <c r="K6097" s="110" t="str">
        <f>IF(H6097="","",IF($C$29="간이법","",FPR(H6097,I6097,J6097)))</f>
        <v/>
      </c>
      <c r="L6097" s="111" t="str">
        <f>IF(H6097="","",IF($C$29="상세법",FPV(H6097,K6097),IF(H6097="EI",4,IF(H6097="EO",5.2,IF(H6097="EQ",3.9,IF(H6097="ILF",7.5,IF(H6097="EIF",5.4)))))))</f>
        <v/>
      </c>
      <c r="M6097" s="112" t="str">
        <f t="shared" si="98"/>
        <v/>
      </c>
      <c r="N6097" s="113"/>
    </row>
    <row r="6098" spans="2:14">
      <c r="B6098" s="105"/>
      <c r="C6098" s="106"/>
      <c r="D6098" s="107"/>
      <c r="E6098" s="65"/>
      <c r="F6098" s="64"/>
      <c r="G6098" s="64"/>
      <c r="H6098" s="64"/>
      <c r="I6098" s="70"/>
      <c r="J6098" s="70"/>
      <c r="K6098" s="110" t="str">
        <f>IF(H6098="","",IF($C$29="간이법","",FPR(H6098,I6098,J6098)))</f>
        <v/>
      </c>
      <c r="L6098" s="111" t="str">
        <f>IF(H6098="","",IF($C$29="상세법",FPV(H6098,K6098),IF(H6098="EI",4,IF(H6098="EO",5.2,IF(H6098="EQ",3.9,IF(H6098="ILF",7.5,IF(H6098="EIF",5.4)))))))</f>
        <v/>
      </c>
      <c r="M6098" s="112" t="str">
        <f t="shared" si="98"/>
        <v/>
      </c>
      <c r="N6098" s="113"/>
    </row>
    <row r="6099" spans="2:14">
      <c r="B6099" s="105"/>
      <c r="C6099" s="106"/>
      <c r="D6099" s="107"/>
      <c r="E6099" s="65"/>
      <c r="F6099" s="64"/>
      <c r="G6099" s="64"/>
      <c r="H6099" s="64"/>
      <c r="I6099" s="70"/>
      <c r="J6099" s="70"/>
      <c r="K6099" s="110" t="str">
        <f>IF(H6099="","",IF($C$29="간이법","",FPR(H6099,I6099,J6099)))</f>
        <v/>
      </c>
      <c r="L6099" s="111" t="str">
        <f>IF(H6099="","",IF($C$29="상세법",FPV(H6099,K6099),IF(H6099="EI",4,IF(H6099="EO",5.2,IF(H6099="EQ",3.9,IF(H6099="ILF",7.5,IF(H6099="EIF",5.4)))))))</f>
        <v/>
      </c>
      <c r="M6099" s="112" t="str">
        <f t="shared" si="98"/>
        <v/>
      </c>
      <c r="N6099" s="113"/>
    </row>
    <row r="6100" spans="2:14">
      <c r="B6100" s="105"/>
      <c r="C6100" s="106"/>
      <c r="D6100" s="107"/>
      <c r="E6100" s="65"/>
      <c r="F6100" s="64"/>
      <c r="G6100" s="64"/>
      <c r="H6100" s="64"/>
      <c r="I6100" s="70"/>
      <c r="J6100" s="70"/>
      <c r="K6100" s="110" t="str">
        <f>IF(H6100="","",IF($C$29="간이법","",FPR(H6100,I6100,J6100)))</f>
        <v/>
      </c>
      <c r="L6100" s="111" t="str">
        <f>IF(H6100="","",IF($C$29="상세법",FPV(H6100,K6100),IF(H6100="EI",4,IF(H6100="EO",5.2,IF(H6100="EQ",3.9,IF(H6100="ILF",7.5,IF(H6100="EIF",5.4)))))))</f>
        <v/>
      </c>
      <c r="M6100" s="112" t="str">
        <f t="shared" si="98"/>
        <v/>
      </c>
      <c r="N6100" s="113"/>
    </row>
    <row r="6101" spans="2:14">
      <c r="B6101" s="105"/>
      <c r="C6101" s="106"/>
      <c r="D6101" s="107"/>
      <c r="E6101" s="65"/>
      <c r="F6101" s="64"/>
      <c r="G6101" s="64"/>
      <c r="H6101" s="64"/>
      <c r="I6101" s="70"/>
      <c r="J6101" s="70"/>
      <c r="K6101" s="110" t="str">
        <f>IF(H6101="","",IF($C$29="간이법","",FPR(H6101,I6101,J6101)))</f>
        <v/>
      </c>
      <c r="L6101" s="111" t="str">
        <f>IF(H6101="","",IF($C$29="상세법",FPV(H6101,K6101),IF(H6101="EI",4,IF(H6101="EO",5.2,IF(H6101="EQ",3.9,IF(H6101="ILF",7.5,IF(H6101="EIF",5.4)))))))</f>
        <v/>
      </c>
      <c r="M6101" s="112" t="str">
        <f t="shared" si="98"/>
        <v/>
      </c>
      <c r="N6101" s="113"/>
    </row>
    <row r="6102" spans="2:14">
      <c r="B6102" s="105"/>
      <c r="C6102" s="106"/>
      <c r="D6102" s="107"/>
      <c r="E6102" s="65"/>
      <c r="F6102" s="64"/>
      <c r="G6102" s="64"/>
      <c r="H6102" s="64"/>
      <c r="I6102" s="70"/>
      <c r="J6102" s="70"/>
      <c r="K6102" s="110" t="str">
        <f>IF(H6102="","",IF($C$29="간이법","",FPR(H6102,I6102,J6102)))</f>
        <v/>
      </c>
      <c r="L6102" s="111" t="str">
        <f>IF(H6102="","",IF($C$29="상세법",FPV(H6102,K6102),IF(H6102="EI",4,IF(H6102="EO",5.2,IF(H6102="EQ",3.9,IF(H6102="ILF",7.5,IF(H6102="EIF",5.4)))))))</f>
        <v/>
      </c>
      <c r="M6102" s="112" t="str">
        <f t="shared" si="98"/>
        <v/>
      </c>
      <c r="N6102" s="113"/>
    </row>
    <row r="6103" spans="2:14">
      <c r="B6103" s="105"/>
      <c r="C6103" s="106"/>
      <c r="D6103" s="107"/>
      <c r="E6103" s="65"/>
      <c r="F6103" s="64"/>
      <c r="G6103" s="64"/>
      <c r="H6103" s="64"/>
      <c r="I6103" s="70"/>
      <c r="J6103" s="70"/>
      <c r="K6103" s="110" t="str">
        <f>IF(H6103="","",IF($C$29="간이법","",FPR(H6103,I6103,J6103)))</f>
        <v/>
      </c>
      <c r="L6103" s="111" t="str">
        <f>IF(H6103="","",IF($C$29="상세법",FPV(H6103,K6103),IF(H6103="EI",4,IF(H6103="EO",5.2,IF(H6103="EQ",3.9,IF(H6103="ILF",7.5,IF(H6103="EIF",5.4)))))))</f>
        <v/>
      </c>
      <c r="M6103" s="112" t="str">
        <f t="shared" si="98"/>
        <v/>
      </c>
      <c r="N6103" s="113"/>
    </row>
    <row r="6104" spans="2:14">
      <c r="B6104" s="105"/>
      <c r="C6104" s="106"/>
      <c r="D6104" s="107"/>
      <c r="E6104" s="65"/>
      <c r="F6104" s="64"/>
      <c r="G6104" s="64"/>
      <c r="H6104" s="64"/>
      <c r="I6104" s="70"/>
      <c r="J6104" s="70"/>
      <c r="K6104" s="110" t="str">
        <f>IF(H6104="","",IF($C$29="간이법","",FPR(H6104,I6104,J6104)))</f>
        <v/>
      </c>
      <c r="L6104" s="111" t="str">
        <f>IF(H6104="","",IF($C$29="상세법",FPV(H6104,K6104),IF(H6104="EI",4,IF(H6104="EO",5.2,IF(H6104="EQ",3.9,IF(H6104="ILF",7.5,IF(H6104="EIF",5.4)))))))</f>
        <v/>
      </c>
      <c r="M6104" s="112" t="str">
        <f t="shared" si="98"/>
        <v/>
      </c>
      <c r="N6104" s="113"/>
    </row>
    <row r="6105" spans="2:14">
      <c r="B6105" s="105"/>
      <c r="C6105" s="106"/>
      <c r="D6105" s="107"/>
      <c r="E6105" s="65"/>
      <c r="F6105" s="64"/>
      <c r="G6105" s="64"/>
      <c r="H6105" s="64"/>
      <c r="I6105" s="70"/>
      <c r="J6105" s="70"/>
      <c r="K6105" s="110" t="str">
        <f>IF(H6105="","",IF($C$29="간이법","",FPR(H6105,I6105,J6105)))</f>
        <v/>
      </c>
      <c r="L6105" s="111" t="str">
        <f>IF(H6105="","",IF($C$29="상세법",FPV(H6105,K6105),IF(H6105="EI",4,IF(H6105="EO",5.2,IF(H6105="EQ",3.9,IF(H6105="ILF",7.5,IF(H6105="EIF",5.4)))))))</f>
        <v/>
      </c>
      <c r="M6105" s="112" t="str">
        <f t="shared" si="98"/>
        <v/>
      </c>
      <c r="N6105" s="113"/>
    </row>
    <row r="6106" spans="2:14">
      <c r="B6106" s="105"/>
      <c r="C6106" s="106"/>
      <c r="D6106" s="107"/>
      <c r="E6106" s="65"/>
      <c r="F6106" s="64"/>
      <c r="G6106" s="64"/>
      <c r="H6106" s="64"/>
      <c r="I6106" s="70"/>
      <c r="J6106" s="70"/>
      <c r="K6106" s="110" t="str">
        <f>IF(H6106="","",IF($C$29="간이법","",FPR(H6106,I6106,J6106)))</f>
        <v/>
      </c>
      <c r="L6106" s="111" t="str">
        <f>IF(H6106="","",IF($C$29="상세법",FPV(H6106,K6106),IF(H6106="EI",4,IF(H6106="EO",5.2,IF(H6106="EQ",3.9,IF(H6106="ILF",7.5,IF(H6106="EIF",5.4)))))))</f>
        <v/>
      </c>
      <c r="M6106" s="112" t="str">
        <f t="shared" si="98"/>
        <v/>
      </c>
      <c r="N6106" s="113"/>
    </row>
    <row r="6107" spans="2:14">
      <c r="B6107" s="105"/>
      <c r="C6107" s="106"/>
      <c r="D6107" s="107"/>
      <c r="E6107" s="65"/>
      <c r="F6107" s="64"/>
      <c r="G6107" s="64"/>
      <c r="H6107" s="64"/>
      <c r="I6107" s="70"/>
      <c r="J6107" s="70"/>
      <c r="K6107" s="110" t="str">
        <f>IF(H6107="","",IF($C$29="간이법","",FPR(H6107,I6107,J6107)))</f>
        <v/>
      </c>
      <c r="L6107" s="111" t="str">
        <f>IF(H6107="","",IF($C$29="상세법",FPV(H6107,K6107),IF(H6107="EI",4,IF(H6107="EO",5.2,IF(H6107="EQ",3.9,IF(H6107="ILF",7.5,IF(H6107="EIF",5.4)))))))</f>
        <v/>
      </c>
      <c r="M6107" s="112" t="str">
        <f t="shared" si="98"/>
        <v/>
      </c>
      <c r="N6107" s="113"/>
    </row>
    <row r="6108" spans="2:14">
      <c r="B6108" s="105"/>
      <c r="C6108" s="106"/>
      <c r="D6108" s="107"/>
      <c r="E6108" s="65"/>
      <c r="F6108" s="64"/>
      <c r="G6108" s="64"/>
      <c r="H6108" s="64"/>
      <c r="I6108" s="70"/>
      <c r="J6108" s="70"/>
      <c r="K6108" s="110" t="str">
        <f>IF(H6108="","",IF($C$29="간이법","",FPR(H6108,I6108,J6108)))</f>
        <v/>
      </c>
      <c r="L6108" s="111" t="str">
        <f>IF(H6108="","",IF($C$29="상세법",FPV(H6108,K6108),IF(H6108="EI",4,IF(H6108="EO",5.2,IF(H6108="EQ",3.9,IF(H6108="ILF",7.5,IF(H6108="EIF",5.4)))))))</f>
        <v/>
      </c>
      <c r="M6108" s="112" t="str">
        <f t="shared" si="98"/>
        <v/>
      </c>
      <c r="N6108" s="113"/>
    </row>
    <row r="6109" spans="2:14">
      <c r="B6109" s="105"/>
      <c r="C6109" s="106"/>
      <c r="D6109" s="107"/>
      <c r="E6109" s="65"/>
      <c r="F6109" s="64"/>
      <c r="G6109" s="64"/>
      <c r="H6109" s="64"/>
      <c r="I6109" s="70"/>
      <c r="J6109" s="70"/>
      <c r="K6109" s="110" t="str">
        <f>IF(H6109="","",IF($C$29="간이법","",FPR(H6109,I6109,J6109)))</f>
        <v/>
      </c>
      <c r="L6109" s="111" t="str">
        <f>IF(H6109="","",IF($C$29="상세법",FPV(H6109,K6109),IF(H6109="EI",4,IF(H6109="EO",5.2,IF(H6109="EQ",3.9,IF(H6109="ILF",7.5,IF(H6109="EIF",5.4)))))))</f>
        <v/>
      </c>
      <c r="M6109" s="112" t="str">
        <f t="shared" si="98"/>
        <v/>
      </c>
      <c r="N6109" s="113"/>
    </row>
    <row r="6110" spans="2:14">
      <c r="B6110" s="105"/>
      <c r="C6110" s="106"/>
      <c r="D6110" s="107"/>
      <c r="E6110" s="65"/>
      <c r="F6110" s="64"/>
      <c r="G6110" s="64"/>
      <c r="H6110" s="64"/>
      <c r="I6110" s="70"/>
      <c r="J6110" s="70"/>
      <c r="K6110" s="110" t="str">
        <f>IF(H6110="","",IF($C$29="간이법","",FPR(H6110,I6110,J6110)))</f>
        <v/>
      </c>
      <c r="L6110" s="111" t="str">
        <f>IF(H6110="","",IF($C$29="상세법",FPV(H6110,K6110),IF(H6110="EI",4,IF(H6110="EO",5.2,IF(H6110="EQ",3.9,IF(H6110="ILF",7.5,IF(H6110="EIF",5.4)))))))</f>
        <v/>
      </c>
      <c r="M6110" s="112" t="str">
        <f t="shared" si="98"/>
        <v/>
      </c>
      <c r="N6110" s="113"/>
    </row>
    <row r="6111" spans="2:14">
      <c r="B6111" s="105"/>
      <c r="C6111" s="106"/>
      <c r="D6111" s="107"/>
      <c r="E6111" s="65"/>
      <c r="F6111" s="64"/>
      <c r="G6111" s="64"/>
      <c r="H6111" s="64"/>
      <c r="I6111" s="70"/>
      <c r="J6111" s="70"/>
      <c r="K6111" s="110" t="str">
        <f>IF(H6111="","",IF($C$29="간이법","",FPR(H6111,I6111,J6111)))</f>
        <v/>
      </c>
      <c r="L6111" s="111" t="str">
        <f>IF(H6111="","",IF($C$29="상세법",FPV(H6111,K6111),IF(H6111="EI",4,IF(H6111="EO",5.2,IF(H6111="EQ",3.9,IF(H6111="ILF",7.5,IF(H6111="EIF",5.4)))))))</f>
        <v/>
      </c>
      <c r="M6111" s="112" t="str">
        <f t="shared" si="98"/>
        <v/>
      </c>
      <c r="N6111" s="113"/>
    </row>
    <row r="6112" spans="2:14">
      <c r="B6112" s="105"/>
      <c r="C6112" s="106"/>
      <c r="D6112" s="107"/>
      <c r="E6112" s="65"/>
      <c r="F6112" s="64"/>
      <c r="G6112" s="64"/>
      <c r="H6112" s="64"/>
      <c r="I6112" s="70"/>
      <c r="J6112" s="70"/>
      <c r="K6112" s="110" t="str">
        <f>IF(H6112="","",IF($C$29="간이법","",FPR(H6112,I6112,J6112)))</f>
        <v/>
      </c>
      <c r="L6112" s="111" t="str">
        <f>IF(H6112="","",IF($C$29="상세법",FPV(H6112,K6112),IF(H6112="EI",4,IF(H6112="EO",5.2,IF(H6112="EQ",3.9,IF(H6112="ILF",7.5,IF(H6112="EIF",5.4)))))))</f>
        <v/>
      </c>
      <c r="M6112" s="112" t="str">
        <f t="shared" si="98"/>
        <v/>
      </c>
      <c r="N6112" s="113"/>
    </row>
    <row r="6113" spans="2:14">
      <c r="B6113" s="105"/>
      <c r="C6113" s="106"/>
      <c r="D6113" s="107"/>
      <c r="E6113" s="65"/>
      <c r="F6113" s="64"/>
      <c r="G6113" s="64"/>
      <c r="H6113" s="64"/>
      <c r="I6113" s="70"/>
      <c r="J6113" s="70"/>
      <c r="K6113" s="110" t="str">
        <f>IF(H6113="","",IF($C$29="간이법","",FPR(H6113,I6113,J6113)))</f>
        <v/>
      </c>
      <c r="L6113" s="111" t="str">
        <f>IF(H6113="","",IF($C$29="상세법",FPV(H6113,K6113),IF(H6113="EI",4,IF(H6113="EO",5.2,IF(H6113="EQ",3.9,IF(H6113="ILF",7.5,IF(H6113="EIF",5.4)))))))</f>
        <v/>
      </c>
      <c r="M6113" s="112" t="str">
        <f t="shared" si="98"/>
        <v/>
      </c>
      <c r="N6113" s="113"/>
    </row>
    <row r="6114" spans="2:14">
      <c r="B6114" s="105"/>
      <c r="C6114" s="106"/>
      <c r="D6114" s="107"/>
      <c r="E6114" s="65"/>
      <c r="F6114" s="64"/>
      <c r="G6114" s="64"/>
      <c r="H6114" s="64"/>
      <c r="I6114" s="70"/>
      <c r="J6114" s="70"/>
      <c r="K6114" s="110" t="str">
        <f>IF(H6114="","",IF($C$29="간이법","",FPR(H6114,I6114,J6114)))</f>
        <v/>
      </c>
      <c r="L6114" s="111" t="str">
        <f>IF(H6114="","",IF($C$29="상세법",FPV(H6114,K6114),IF(H6114="EI",4,IF(H6114="EO",5.2,IF(H6114="EQ",3.9,IF(H6114="ILF",7.5,IF(H6114="EIF",5.4)))))))</f>
        <v/>
      </c>
      <c r="M6114" s="112" t="str">
        <f t="shared" si="98"/>
        <v/>
      </c>
      <c r="N6114" s="113"/>
    </row>
    <row r="6115" spans="2:14">
      <c r="B6115" s="105"/>
      <c r="C6115" s="106"/>
      <c r="D6115" s="107"/>
      <c r="E6115" s="65"/>
      <c r="F6115" s="64"/>
      <c r="G6115" s="64"/>
      <c r="H6115" s="64"/>
      <c r="I6115" s="70"/>
      <c r="J6115" s="70"/>
      <c r="K6115" s="110" t="str">
        <f>IF(H6115="","",IF($C$29="간이법","",FPR(H6115,I6115,J6115)))</f>
        <v/>
      </c>
      <c r="L6115" s="111" t="str">
        <f>IF(H6115="","",IF($C$29="상세법",FPV(H6115,K6115),IF(H6115="EI",4,IF(H6115="EO",5.2,IF(H6115="EQ",3.9,IF(H6115="ILF",7.5,IF(H6115="EIF",5.4)))))))</f>
        <v/>
      </c>
      <c r="M6115" s="112" t="str">
        <f t="shared" si="98"/>
        <v/>
      </c>
      <c r="N6115" s="113"/>
    </row>
    <row r="6116" spans="2:14">
      <c r="B6116" s="105"/>
      <c r="C6116" s="106"/>
      <c r="D6116" s="107"/>
      <c r="E6116" s="65"/>
      <c r="F6116" s="64"/>
      <c r="G6116" s="64"/>
      <c r="H6116" s="64"/>
      <c r="I6116" s="70"/>
      <c r="J6116" s="70"/>
      <c r="K6116" s="110" t="str">
        <f>IF(H6116="","",IF($C$29="간이법","",FPR(H6116,I6116,J6116)))</f>
        <v/>
      </c>
      <c r="L6116" s="111" t="str">
        <f>IF(H6116="","",IF($C$29="상세법",FPV(H6116,K6116),IF(H6116="EI",4,IF(H6116="EO",5.2,IF(H6116="EQ",3.9,IF(H6116="ILF",7.5,IF(H6116="EIF",5.4)))))))</f>
        <v/>
      </c>
      <c r="M6116" s="112" t="str">
        <f t="shared" si="98"/>
        <v/>
      </c>
      <c r="N6116" s="113"/>
    </row>
    <row r="6117" spans="2:14">
      <c r="B6117" s="105"/>
      <c r="C6117" s="106"/>
      <c r="D6117" s="107"/>
      <c r="E6117" s="65"/>
      <c r="F6117" s="64"/>
      <c r="G6117" s="64"/>
      <c r="H6117" s="64"/>
      <c r="I6117" s="70"/>
      <c r="J6117" s="70"/>
      <c r="K6117" s="110" t="str">
        <f>IF(H6117="","",IF($C$29="간이법","",FPR(H6117,I6117,J6117)))</f>
        <v/>
      </c>
      <c r="L6117" s="111" t="str">
        <f>IF(H6117="","",IF($C$29="상세법",FPV(H6117,K6117),IF(H6117="EI",4,IF(H6117="EO",5.2,IF(H6117="EQ",3.9,IF(H6117="ILF",7.5,IF(H6117="EIF",5.4)))))))</f>
        <v/>
      </c>
      <c r="M6117" s="112" t="str">
        <f t="shared" si="98"/>
        <v/>
      </c>
      <c r="N6117" s="113"/>
    </row>
    <row r="6118" spans="2:14">
      <c r="B6118" s="105"/>
      <c r="C6118" s="106"/>
      <c r="D6118" s="107"/>
      <c r="E6118" s="65"/>
      <c r="F6118" s="64"/>
      <c r="G6118" s="64"/>
      <c r="H6118" s="64"/>
      <c r="I6118" s="70"/>
      <c r="J6118" s="70"/>
      <c r="K6118" s="110" t="str">
        <f>IF(H6118="","",IF($C$29="간이법","",FPR(H6118,I6118,J6118)))</f>
        <v/>
      </c>
      <c r="L6118" s="111" t="str">
        <f>IF(H6118="","",IF($C$29="상세법",FPV(H6118,K6118),IF(H6118="EI",4,IF(H6118="EO",5.2,IF(H6118="EQ",3.9,IF(H6118="ILF",7.5,IF(H6118="EIF",5.4)))))))</f>
        <v/>
      </c>
      <c r="M6118" s="112" t="str">
        <f t="shared" si="98"/>
        <v/>
      </c>
      <c r="N6118" s="113"/>
    </row>
    <row r="6119" spans="2:14">
      <c r="B6119" s="105"/>
      <c r="C6119" s="106"/>
      <c r="D6119" s="107"/>
      <c r="E6119" s="65"/>
      <c r="F6119" s="64"/>
      <c r="G6119" s="64"/>
      <c r="H6119" s="64"/>
      <c r="I6119" s="70"/>
      <c r="J6119" s="70"/>
      <c r="K6119" s="110" t="str">
        <f>IF(H6119="","",IF($C$29="간이법","",FPR(H6119,I6119,J6119)))</f>
        <v/>
      </c>
      <c r="L6119" s="111" t="str">
        <f>IF(H6119="","",IF($C$29="상세법",FPV(H6119,K6119),IF(H6119="EI",4,IF(H6119="EO",5.2,IF(H6119="EQ",3.9,IF(H6119="ILF",7.5,IF(H6119="EIF",5.4)))))))</f>
        <v/>
      </c>
      <c r="M6119" s="112" t="str">
        <f t="shared" si="98"/>
        <v/>
      </c>
      <c r="N6119" s="113"/>
    </row>
    <row r="6120" spans="2:14">
      <c r="B6120" s="105"/>
      <c r="C6120" s="106"/>
      <c r="D6120" s="107"/>
      <c r="E6120" s="65"/>
      <c r="F6120" s="64"/>
      <c r="G6120" s="64"/>
      <c r="H6120" s="64"/>
      <c r="I6120" s="70"/>
      <c r="J6120" s="70"/>
      <c r="K6120" s="110" t="str">
        <f>IF(H6120="","",IF($C$29="간이법","",FPR(H6120,I6120,J6120)))</f>
        <v/>
      </c>
      <c r="L6120" s="111" t="str">
        <f>IF(H6120="","",IF($C$29="상세법",FPV(H6120,K6120),IF(H6120="EI",4,IF(H6120="EO",5.2,IF(H6120="EQ",3.9,IF(H6120="ILF",7.5,IF(H6120="EIF",5.4)))))))</f>
        <v/>
      </c>
      <c r="M6120" s="112" t="str">
        <f t="shared" si="98"/>
        <v/>
      </c>
      <c r="N6120" s="113"/>
    </row>
    <row r="6121" spans="2:14">
      <c r="B6121" s="105"/>
      <c r="C6121" s="106"/>
      <c r="D6121" s="107"/>
      <c r="E6121" s="65"/>
      <c r="F6121" s="64"/>
      <c r="G6121" s="64"/>
      <c r="H6121" s="64"/>
      <c r="I6121" s="70"/>
      <c r="J6121" s="70"/>
      <c r="K6121" s="110" t="str">
        <f>IF(H6121="","",IF($C$29="간이법","",FPR(H6121,I6121,J6121)))</f>
        <v/>
      </c>
      <c r="L6121" s="111" t="str">
        <f>IF(H6121="","",IF($C$29="상세법",FPV(H6121,K6121),IF(H6121="EI",4,IF(H6121="EO",5.2,IF(H6121="EQ",3.9,IF(H6121="ILF",7.5,IF(H6121="EIF",5.4)))))))</f>
        <v/>
      </c>
      <c r="M6121" s="112" t="str">
        <f t="shared" si="98"/>
        <v/>
      </c>
      <c r="N6121" s="113"/>
    </row>
    <row r="6122" spans="2:14">
      <c r="B6122" s="105"/>
      <c r="C6122" s="106"/>
      <c r="D6122" s="107"/>
      <c r="E6122" s="65"/>
      <c r="F6122" s="64"/>
      <c r="G6122" s="64"/>
      <c r="H6122" s="64"/>
      <c r="I6122" s="70"/>
      <c r="J6122" s="70"/>
      <c r="K6122" s="110" t="str">
        <f>IF(H6122="","",IF($C$29="간이법","",FPR(H6122,I6122,J6122)))</f>
        <v/>
      </c>
      <c r="L6122" s="111" t="str">
        <f>IF(H6122="","",IF($C$29="상세법",FPV(H6122,K6122),IF(H6122="EI",4,IF(H6122="EO",5.2,IF(H6122="EQ",3.9,IF(H6122="ILF",7.5,IF(H6122="EIF",5.4)))))))</f>
        <v/>
      </c>
      <c r="M6122" s="112" t="str">
        <f t="shared" si="98"/>
        <v/>
      </c>
      <c r="N6122" s="113"/>
    </row>
    <row r="6123" spans="2:14">
      <c r="B6123" s="105"/>
      <c r="C6123" s="106"/>
      <c r="D6123" s="107"/>
      <c r="E6123" s="65"/>
      <c r="F6123" s="64"/>
      <c r="G6123" s="64"/>
      <c r="H6123" s="64"/>
      <c r="I6123" s="70"/>
      <c r="J6123" s="70"/>
      <c r="K6123" s="110" t="str">
        <f>IF(H6123="","",IF($C$29="간이법","",FPR(H6123,I6123,J6123)))</f>
        <v/>
      </c>
      <c r="L6123" s="111" t="str">
        <f>IF(H6123="","",IF($C$29="상세법",FPV(H6123,K6123),IF(H6123="EI",4,IF(H6123="EO",5.2,IF(H6123="EQ",3.9,IF(H6123="ILF",7.5,IF(H6123="EIF",5.4)))))))</f>
        <v/>
      </c>
      <c r="M6123" s="112" t="str">
        <f t="shared" si="98"/>
        <v/>
      </c>
      <c r="N6123" s="113"/>
    </row>
    <row r="6124" spans="2:14">
      <c r="B6124" s="105"/>
      <c r="C6124" s="106"/>
      <c r="D6124" s="107"/>
      <c r="E6124" s="65"/>
      <c r="F6124" s="64"/>
      <c r="G6124" s="64"/>
      <c r="H6124" s="64"/>
      <c r="I6124" s="70"/>
      <c r="J6124" s="70"/>
      <c r="K6124" s="110" t="str">
        <f>IF(H6124="","",IF($C$29="간이법","",FPR(H6124,I6124,J6124)))</f>
        <v/>
      </c>
      <c r="L6124" s="111" t="str">
        <f>IF(H6124="","",IF($C$29="상세법",FPV(H6124,K6124),IF(H6124="EI",4,IF(H6124="EO",5.2,IF(H6124="EQ",3.9,IF(H6124="ILF",7.5,IF(H6124="EIF",5.4)))))))</f>
        <v/>
      </c>
      <c r="M6124" s="112" t="str">
        <f t="shared" si="98"/>
        <v/>
      </c>
      <c r="N6124" s="113"/>
    </row>
    <row r="6125" spans="2:14">
      <c r="B6125" s="105"/>
      <c r="C6125" s="106"/>
      <c r="D6125" s="107"/>
      <c r="E6125" s="65"/>
      <c r="F6125" s="64"/>
      <c r="G6125" s="64"/>
      <c r="H6125" s="64"/>
      <c r="I6125" s="70"/>
      <c r="J6125" s="70"/>
      <c r="K6125" s="110" t="str">
        <f>IF(H6125="","",IF($C$29="간이법","",FPR(H6125,I6125,J6125)))</f>
        <v/>
      </c>
      <c r="L6125" s="111" t="str">
        <f>IF(H6125="","",IF($C$29="상세법",FPV(H6125,K6125),IF(H6125="EI",4,IF(H6125="EO",5.2,IF(H6125="EQ",3.9,IF(H6125="ILF",7.5,IF(H6125="EIF",5.4)))))))</f>
        <v/>
      </c>
      <c r="M6125" s="112" t="str">
        <f t="shared" si="98"/>
        <v/>
      </c>
      <c r="N6125" s="113"/>
    </row>
    <row r="6126" spans="2:14">
      <c r="B6126" s="105"/>
      <c r="C6126" s="106"/>
      <c r="D6126" s="107"/>
      <c r="E6126" s="65"/>
      <c r="F6126" s="64"/>
      <c r="G6126" s="64"/>
      <c r="H6126" s="64"/>
      <c r="I6126" s="70"/>
      <c r="J6126" s="70"/>
      <c r="K6126" s="110" t="str">
        <f>IF(H6126="","",IF($C$29="간이법","",FPR(H6126,I6126,J6126)))</f>
        <v/>
      </c>
      <c r="L6126" s="111" t="str">
        <f>IF(H6126="","",IF($C$29="상세법",FPV(H6126,K6126),IF(H6126="EI",4,IF(H6126="EO",5.2,IF(H6126="EQ",3.9,IF(H6126="ILF",7.5,IF(H6126="EIF",5.4)))))))</f>
        <v/>
      </c>
      <c r="M6126" s="112" t="str">
        <f t="shared" si="98"/>
        <v/>
      </c>
      <c r="N6126" s="113"/>
    </row>
    <row r="6127" spans="2:14">
      <c r="B6127" s="105"/>
      <c r="C6127" s="106"/>
      <c r="D6127" s="107"/>
      <c r="E6127" s="65"/>
      <c r="F6127" s="64"/>
      <c r="G6127" s="64"/>
      <c r="H6127" s="64"/>
      <c r="I6127" s="70"/>
      <c r="J6127" s="70"/>
      <c r="K6127" s="110" t="str">
        <f>IF(H6127="","",IF($C$29="간이법","",FPR(H6127,I6127,J6127)))</f>
        <v/>
      </c>
      <c r="L6127" s="111" t="str">
        <f>IF(H6127="","",IF($C$29="상세법",FPV(H6127,K6127),IF(H6127="EI",4,IF(H6127="EO",5.2,IF(H6127="EQ",3.9,IF(H6127="ILF",7.5,IF(H6127="EIF",5.4)))))))</f>
        <v/>
      </c>
      <c r="M6127" s="112" t="str">
        <f t="shared" si="98"/>
        <v/>
      </c>
      <c r="N6127" s="113"/>
    </row>
    <row r="6128" spans="2:14">
      <c r="B6128" s="105"/>
      <c r="C6128" s="106"/>
      <c r="D6128" s="107"/>
      <c r="E6128" s="65"/>
      <c r="F6128" s="64"/>
      <c r="G6128" s="64"/>
      <c r="H6128" s="64"/>
      <c r="I6128" s="70"/>
      <c r="J6128" s="70"/>
      <c r="K6128" s="110" t="str">
        <f>IF(H6128="","",IF($C$29="간이법","",FPR(H6128,I6128,J6128)))</f>
        <v/>
      </c>
      <c r="L6128" s="111" t="str">
        <f>IF(H6128="","",IF($C$29="상세법",FPV(H6128,K6128),IF(H6128="EI",4,IF(H6128="EO",5.2,IF(H6128="EQ",3.9,IF(H6128="ILF",7.5,IF(H6128="EIF",5.4)))))))</f>
        <v/>
      </c>
      <c r="M6128" s="112" t="str">
        <f t="shared" si="98"/>
        <v/>
      </c>
      <c r="N6128" s="113"/>
    </row>
    <row r="6129" spans="2:14">
      <c r="B6129" s="105"/>
      <c r="C6129" s="106"/>
      <c r="D6129" s="107"/>
      <c r="E6129" s="65"/>
      <c r="F6129" s="64"/>
      <c r="G6129" s="64"/>
      <c r="H6129" s="64"/>
      <c r="I6129" s="70"/>
      <c r="J6129" s="70"/>
      <c r="K6129" s="110" t="str">
        <f>IF(H6129="","",IF($C$29="간이법","",FPR(H6129,I6129,J6129)))</f>
        <v/>
      </c>
      <c r="L6129" s="111" t="str">
        <f>IF(H6129="","",IF($C$29="상세법",FPV(H6129,K6129),IF(H6129="EI",4,IF(H6129="EO",5.2,IF(H6129="EQ",3.9,IF(H6129="ILF",7.5,IF(H6129="EIF",5.4)))))))</f>
        <v/>
      </c>
      <c r="M6129" s="112" t="str">
        <f t="shared" si="98"/>
        <v/>
      </c>
      <c r="N6129" s="113"/>
    </row>
    <row r="6130" spans="2:14">
      <c r="B6130" s="105"/>
      <c r="C6130" s="106"/>
      <c r="D6130" s="107"/>
      <c r="E6130" s="65"/>
      <c r="F6130" s="64"/>
      <c r="G6130" s="64"/>
      <c r="H6130" s="64"/>
      <c r="I6130" s="70"/>
      <c r="J6130" s="70"/>
      <c r="K6130" s="110" t="str">
        <f>IF(H6130="","",IF($C$29="간이법","",FPR(H6130,I6130,J6130)))</f>
        <v/>
      </c>
      <c r="L6130" s="111" t="str">
        <f>IF(H6130="","",IF($C$29="상세법",FPV(H6130,K6130),IF(H6130="EI",4,IF(H6130="EO",5.2,IF(H6130="EQ",3.9,IF(H6130="ILF",7.5,IF(H6130="EIF",5.4)))))))</f>
        <v/>
      </c>
      <c r="M6130" s="112" t="str">
        <f t="shared" si="98"/>
        <v/>
      </c>
      <c r="N6130" s="113"/>
    </row>
    <row r="6131" spans="2:14">
      <c r="B6131" s="105"/>
      <c r="C6131" s="106"/>
      <c r="D6131" s="107"/>
      <c r="E6131" s="65"/>
      <c r="F6131" s="64"/>
      <c r="G6131" s="64"/>
      <c r="H6131" s="64"/>
      <c r="I6131" s="70"/>
      <c r="J6131" s="70"/>
      <c r="K6131" s="110" t="str">
        <f>IF(H6131="","",IF($C$29="간이법","",FPR(H6131,I6131,J6131)))</f>
        <v/>
      </c>
      <c r="L6131" s="111" t="str">
        <f>IF(H6131="","",IF($C$29="상세법",FPV(H6131,K6131),IF(H6131="EI",4,IF(H6131="EO",5.2,IF(H6131="EQ",3.9,IF(H6131="ILF",7.5,IF(H6131="EIF",5.4)))))))</f>
        <v/>
      </c>
      <c r="M6131" s="112" t="str">
        <f t="shared" si="98"/>
        <v/>
      </c>
      <c r="N6131" s="113"/>
    </row>
    <row r="6132" spans="2:14">
      <c r="B6132" s="105"/>
      <c r="C6132" s="106"/>
      <c r="D6132" s="107"/>
      <c r="E6132" s="65"/>
      <c r="F6132" s="64"/>
      <c r="G6132" s="64"/>
      <c r="H6132" s="64"/>
      <c r="I6132" s="70"/>
      <c r="J6132" s="70"/>
      <c r="K6132" s="110" t="str">
        <f>IF(H6132="","",IF($C$29="간이법","",FPR(H6132,I6132,J6132)))</f>
        <v/>
      </c>
      <c r="L6132" s="111" t="str">
        <f>IF(H6132="","",IF($C$29="상세법",FPV(H6132,K6132),IF(H6132="EI",4,IF(H6132="EO",5.2,IF(H6132="EQ",3.9,IF(H6132="ILF",7.5,IF(H6132="EIF",5.4)))))))</f>
        <v/>
      </c>
      <c r="M6132" s="112" t="str">
        <f t="shared" si="98"/>
        <v/>
      </c>
      <c r="N6132" s="113"/>
    </row>
    <row r="6133" spans="2:14">
      <c r="B6133" s="105"/>
      <c r="C6133" s="106"/>
      <c r="D6133" s="107"/>
      <c r="E6133" s="65"/>
      <c r="F6133" s="64"/>
      <c r="G6133" s="64"/>
      <c r="H6133" s="64"/>
      <c r="I6133" s="70"/>
      <c r="J6133" s="70"/>
      <c r="K6133" s="110" t="str">
        <f>IF(H6133="","",IF($C$29="간이법","",FPR(H6133,I6133,J6133)))</f>
        <v/>
      </c>
      <c r="L6133" s="111" t="str">
        <f>IF(H6133="","",IF($C$29="상세법",FPV(H6133,K6133),IF(H6133="EI",4,IF(H6133="EO",5.2,IF(H6133="EQ",3.9,IF(H6133="ILF",7.5,IF(H6133="EIF",5.4)))))))</f>
        <v/>
      </c>
      <c r="M6133" s="112" t="str">
        <f t="shared" si="98"/>
        <v/>
      </c>
      <c r="N6133" s="113"/>
    </row>
    <row r="6134" spans="2:14">
      <c r="B6134" s="105"/>
      <c r="C6134" s="106"/>
      <c r="D6134" s="107"/>
      <c r="E6134" s="65"/>
      <c r="F6134" s="64"/>
      <c r="G6134" s="64"/>
      <c r="H6134" s="64"/>
      <c r="I6134" s="70"/>
      <c r="J6134" s="70"/>
      <c r="K6134" s="110" t="str">
        <f>IF(H6134="","",IF($C$29="간이법","",FPR(H6134,I6134,J6134)))</f>
        <v/>
      </c>
      <c r="L6134" s="111" t="str">
        <f>IF(H6134="","",IF($C$29="상세법",FPV(H6134,K6134),IF(H6134="EI",4,IF(H6134="EO",5.2,IF(H6134="EQ",3.9,IF(H6134="ILF",7.5,IF(H6134="EIF",5.4)))))))</f>
        <v/>
      </c>
      <c r="M6134" s="112" t="str">
        <f t="shared" si="98"/>
        <v/>
      </c>
      <c r="N6134" s="113"/>
    </row>
    <row r="6135" spans="2:14">
      <c r="B6135" s="105"/>
      <c r="C6135" s="106"/>
      <c r="D6135" s="107"/>
      <c r="E6135" s="65"/>
      <c r="F6135" s="64"/>
      <c r="G6135" s="64"/>
      <c r="H6135" s="64"/>
      <c r="I6135" s="70"/>
      <c r="J6135" s="70"/>
      <c r="K6135" s="110" t="str">
        <f>IF(H6135="","",IF($C$29="간이법","",FPR(H6135,I6135,J6135)))</f>
        <v/>
      </c>
      <c r="L6135" s="111" t="str">
        <f>IF(H6135="","",IF($C$29="상세법",FPV(H6135,K6135),IF(H6135="EI",4,IF(H6135="EO",5.2,IF(H6135="EQ",3.9,IF(H6135="ILF",7.5,IF(H6135="EIF",5.4)))))))</f>
        <v/>
      </c>
      <c r="M6135" s="112" t="str">
        <f t="shared" si="98"/>
        <v/>
      </c>
      <c r="N6135" s="113"/>
    </row>
    <row r="6136" spans="2:14">
      <c r="B6136" s="105"/>
      <c r="C6136" s="106"/>
      <c r="D6136" s="107"/>
      <c r="E6136" s="65"/>
      <c r="F6136" s="64"/>
      <c r="G6136" s="64"/>
      <c r="H6136" s="64"/>
      <c r="I6136" s="70"/>
      <c r="J6136" s="70"/>
      <c r="K6136" s="110" t="str">
        <f>IF(H6136="","",IF($C$29="간이법","",FPR(H6136,I6136,J6136)))</f>
        <v/>
      </c>
      <c r="L6136" s="111" t="str">
        <f>IF(H6136="","",IF($C$29="상세법",FPV(H6136,K6136),IF(H6136="EI",4,IF(H6136="EO",5.2,IF(H6136="EQ",3.9,IF(H6136="ILF",7.5,IF(H6136="EIF",5.4)))))))</f>
        <v/>
      </c>
      <c r="M6136" s="112" t="str">
        <f t="shared" si="98"/>
        <v/>
      </c>
      <c r="N6136" s="113"/>
    </row>
    <row r="6137" spans="2:14">
      <c r="B6137" s="105"/>
      <c r="C6137" s="106"/>
      <c r="D6137" s="107"/>
      <c r="E6137" s="65"/>
      <c r="F6137" s="64"/>
      <c r="G6137" s="64"/>
      <c r="H6137" s="64"/>
      <c r="I6137" s="70"/>
      <c r="J6137" s="70"/>
      <c r="K6137" s="110" t="str">
        <f>IF(H6137="","",IF($C$29="간이법","",FPR(H6137,I6137,J6137)))</f>
        <v/>
      </c>
      <c r="L6137" s="111" t="str">
        <f>IF(H6137="","",IF($C$29="상세법",FPV(H6137,K6137),IF(H6137="EI",4,IF(H6137="EO",5.2,IF(H6137="EQ",3.9,IF(H6137="ILF",7.5,IF(H6137="EIF",5.4)))))))</f>
        <v/>
      </c>
      <c r="M6137" s="112" t="str">
        <f t="shared" ref="M6137:M6200" si="99">IF(L6137="","",L6137*IF(G6137="상",0.7,IF(G6137="중",0.5,IF(G6137="하",0.2,1))))</f>
        <v/>
      </c>
      <c r="N6137" s="113"/>
    </row>
    <row r="6138" spans="2:14">
      <c r="B6138" s="105"/>
      <c r="C6138" s="106"/>
      <c r="D6138" s="107"/>
      <c r="E6138" s="65"/>
      <c r="F6138" s="64"/>
      <c r="G6138" s="64"/>
      <c r="H6138" s="64"/>
      <c r="I6138" s="70"/>
      <c r="J6138" s="70"/>
      <c r="K6138" s="110" t="str">
        <f>IF(H6138="","",IF($C$29="간이법","",FPR(H6138,I6138,J6138)))</f>
        <v/>
      </c>
      <c r="L6138" s="111" t="str">
        <f>IF(H6138="","",IF($C$29="상세법",FPV(H6138,K6138),IF(H6138="EI",4,IF(H6138="EO",5.2,IF(H6138="EQ",3.9,IF(H6138="ILF",7.5,IF(H6138="EIF",5.4)))))))</f>
        <v/>
      </c>
      <c r="M6138" s="112" t="str">
        <f t="shared" si="99"/>
        <v/>
      </c>
      <c r="N6138" s="113"/>
    </row>
    <row r="6139" spans="2:14">
      <c r="B6139" s="105"/>
      <c r="C6139" s="106"/>
      <c r="D6139" s="107"/>
      <c r="E6139" s="65"/>
      <c r="F6139" s="64"/>
      <c r="G6139" s="64"/>
      <c r="H6139" s="64"/>
      <c r="I6139" s="70"/>
      <c r="J6139" s="70"/>
      <c r="K6139" s="110" t="str">
        <f>IF(H6139="","",IF($C$29="간이법","",FPR(H6139,I6139,J6139)))</f>
        <v/>
      </c>
      <c r="L6139" s="111" t="str">
        <f>IF(H6139="","",IF($C$29="상세법",FPV(H6139,K6139),IF(H6139="EI",4,IF(H6139="EO",5.2,IF(H6139="EQ",3.9,IF(H6139="ILF",7.5,IF(H6139="EIF",5.4)))))))</f>
        <v/>
      </c>
      <c r="M6139" s="112" t="str">
        <f t="shared" si="99"/>
        <v/>
      </c>
      <c r="N6139" s="113"/>
    </row>
    <row r="6140" spans="2:14">
      <c r="B6140" s="105"/>
      <c r="C6140" s="106"/>
      <c r="D6140" s="107"/>
      <c r="E6140" s="65"/>
      <c r="F6140" s="64"/>
      <c r="G6140" s="64"/>
      <c r="H6140" s="64"/>
      <c r="I6140" s="70"/>
      <c r="J6140" s="70"/>
      <c r="K6140" s="110" t="str">
        <f>IF(H6140="","",IF($C$29="간이법","",FPR(H6140,I6140,J6140)))</f>
        <v/>
      </c>
      <c r="L6140" s="111" t="str">
        <f>IF(H6140="","",IF($C$29="상세법",FPV(H6140,K6140),IF(H6140="EI",4,IF(H6140="EO",5.2,IF(H6140="EQ",3.9,IF(H6140="ILF",7.5,IF(H6140="EIF",5.4)))))))</f>
        <v/>
      </c>
      <c r="M6140" s="112" t="str">
        <f t="shared" si="99"/>
        <v/>
      </c>
      <c r="N6140" s="113"/>
    </row>
    <row r="6141" spans="2:14">
      <c r="B6141" s="105"/>
      <c r="C6141" s="106"/>
      <c r="D6141" s="107"/>
      <c r="E6141" s="65"/>
      <c r="F6141" s="64"/>
      <c r="G6141" s="64"/>
      <c r="H6141" s="64"/>
      <c r="I6141" s="70"/>
      <c r="J6141" s="70"/>
      <c r="K6141" s="110" t="str">
        <f>IF(H6141="","",IF($C$29="간이법","",FPR(H6141,I6141,J6141)))</f>
        <v/>
      </c>
      <c r="L6141" s="111" t="str">
        <f>IF(H6141="","",IF($C$29="상세법",FPV(H6141,K6141),IF(H6141="EI",4,IF(H6141="EO",5.2,IF(H6141="EQ",3.9,IF(H6141="ILF",7.5,IF(H6141="EIF",5.4)))))))</f>
        <v/>
      </c>
      <c r="M6141" s="112" t="str">
        <f t="shared" si="99"/>
        <v/>
      </c>
      <c r="N6141" s="113"/>
    </row>
    <row r="6142" spans="2:14">
      <c r="B6142" s="105"/>
      <c r="C6142" s="106"/>
      <c r="D6142" s="107"/>
      <c r="E6142" s="65"/>
      <c r="F6142" s="64"/>
      <c r="G6142" s="64"/>
      <c r="H6142" s="64"/>
      <c r="I6142" s="70"/>
      <c r="J6142" s="70"/>
      <c r="K6142" s="110" t="str">
        <f>IF(H6142="","",IF($C$29="간이법","",FPR(H6142,I6142,J6142)))</f>
        <v/>
      </c>
      <c r="L6142" s="111" t="str">
        <f>IF(H6142="","",IF($C$29="상세법",FPV(H6142,K6142),IF(H6142="EI",4,IF(H6142="EO",5.2,IF(H6142="EQ",3.9,IF(H6142="ILF",7.5,IF(H6142="EIF",5.4)))))))</f>
        <v/>
      </c>
      <c r="M6142" s="112" t="str">
        <f t="shared" si="99"/>
        <v/>
      </c>
      <c r="N6142" s="113"/>
    </row>
    <row r="6143" spans="2:14">
      <c r="B6143" s="105"/>
      <c r="C6143" s="106"/>
      <c r="D6143" s="107"/>
      <c r="E6143" s="65"/>
      <c r="F6143" s="64"/>
      <c r="G6143" s="64"/>
      <c r="H6143" s="64"/>
      <c r="I6143" s="70"/>
      <c r="J6143" s="70"/>
      <c r="K6143" s="110" t="str">
        <f>IF(H6143="","",IF($C$29="간이법","",FPR(H6143,I6143,J6143)))</f>
        <v/>
      </c>
      <c r="L6143" s="111" t="str">
        <f>IF(H6143="","",IF($C$29="상세법",FPV(H6143,K6143),IF(H6143="EI",4,IF(H6143="EO",5.2,IF(H6143="EQ",3.9,IF(H6143="ILF",7.5,IF(H6143="EIF",5.4)))))))</f>
        <v/>
      </c>
      <c r="M6143" s="112" t="str">
        <f t="shared" si="99"/>
        <v/>
      </c>
      <c r="N6143" s="113"/>
    </row>
    <row r="6144" spans="2:14">
      <c r="B6144" s="105"/>
      <c r="C6144" s="106"/>
      <c r="D6144" s="107"/>
      <c r="E6144" s="65"/>
      <c r="F6144" s="64"/>
      <c r="G6144" s="64"/>
      <c r="H6144" s="64"/>
      <c r="I6144" s="70"/>
      <c r="J6144" s="70"/>
      <c r="K6144" s="110" t="str">
        <f>IF(H6144="","",IF($C$29="간이법","",FPR(H6144,I6144,J6144)))</f>
        <v/>
      </c>
      <c r="L6144" s="111" t="str">
        <f>IF(H6144="","",IF($C$29="상세법",FPV(H6144,K6144),IF(H6144="EI",4,IF(H6144="EO",5.2,IF(H6144="EQ",3.9,IF(H6144="ILF",7.5,IF(H6144="EIF",5.4)))))))</f>
        <v/>
      </c>
      <c r="M6144" s="112" t="str">
        <f t="shared" si="99"/>
        <v/>
      </c>
      <c r="N6144" s="113"/>
    </row>
    <row r="6145" spans="2:14">
      <c r="B6145" s="105"/>
      <c r="C6145" s="106"/>
      <c r="D6145" s="107"/>
      <c r="E6145" s="65"/>
      <c r="F6145" s="64"/>
      <c r="G6145" s="64"/>
      <c r="H6145" s="64"/>
      <c r="I6145" s="70"/>
      <c r="J6145" s="70"/>
      <c r="K6145" s="110" t="str">
        <f>IF(H6145="","",IF($C$29="간이법","",FPR(H6145,I6145,J6145)))</f>
        <v/>
      </c>
      <c r="L6145" s="111" t="str">
        <f>IF(H6145="","",IF($C$29="상세법",FPV(H6145,K6145),IF(H6145="EI",4,IF(H6145="EO",5.2,IF(H6145="EQ",3.9,IF(H6145="ILF",7.5,IF(H6145="EIF",5.4)))))))</f>
        <v/>
      </c>
      <c r="M6145" s="112" t="str">
        <f t="shared" si="99"/>
        <v/>
      </c>
      <c r="N6145" s="113"/>
    </row>
    <row r="6146" spans="2:14">
      <c r="B6146" s="105"/>
      <c r="C6146" s="106"/>
      <c r="D6146" s="107"/>
      <c r="E6146" s="65"/>
      <c r="F6146" s="64"/>
      <c r="G6146" s="64"/>
      <c r="H6146" s="64"/>
      <c r="I6146" s="70"/>
      <c r="J6146" s="70"/>
      <c r="K6146" s="110" t="str">
        <f>IF(H6146="","",IF($C$29="간이법","",FPR(H6146,I6146,J6146)))</f>
        <v/>
      </c>
      <c r="L6146" s="111" t="str">
        <f>IF(H6146="","",IF($C$29="상세법",FPV(H6146,K6146),IF(H6146="EI",4,IF(H6146="EO",5.2,IF(H6146="EQ",3.9,IF(H6146="ILF",7.5,IF(H6146="EIF",5.4)))))))</f>
        <v/>
      </c>
      <c r="M6146" s="112" t="str">
        <f t="shared" si="99"/>
        <v/>
      </c>
      <c r="N6146" s="113"/>
    </row>
    <row r="6147" spans="2:14">
      <c r="B6147" s="105"/>
      <c r="C6147" s="106"/>
      <c r="D6147" s="107"/>
      <c r="E6147" s="65"/>
      <c r="F6147" s="64"/>
      <c r="G6147" s="64"/>
      <c r="H6147" s="64"/>
      <c r="I6147" s="70"/>
      <c r="J6147" s="70"/>
      <c r="K6147" s="110" t="str">
        <f>IF(H6147="","",IF($C$29="간이법","",FPR(H6147,I6147,J6147)))</f>
        <v/>
      </c>
      <c r="L6147" s="111" t="str">
        <f>IF(H6147="","",IF($C$29="상세법",FPV(H6147,K6147),IF(H6147="EI",4,IF(H6147="EO",5.2,IF(H6147="EQ",3.9,IF(H6147="ILF",7.5,IF(H6147="EIF",5.4)))))))</f>
        <v/>
      </c>
      <c r="M6147" s="112" t="str">
        <f t="shared" si="99"/>
        <v/>
      </c>
      <c r="N6147" s="113"/>
    </row>
    <row r="6148" spans="2:14">
      <c r="B6148" s="105"/>
      <c r="C6148" s="106"/>
      <c r="D6148" s="107"/>
      <c r="E6148" s="65"/>
      <c r="F6148" s="64"/>
      <c r="G6148" s="64"/>
      <c r="H6148" s="64"/>
      <c r="I6148" s="70"/>
      <c r="J6148" s="70"/>
      <c r="K6148" s="110" t="str">
        <f>IF(H6148="","",IF($C$29="간이법","",FPR(H6148,I6148,J6148)))</f>
        <v/>
      </c>
      <c r="L6148" s="111" t="str">
        <f>IF(H6148="","",IF($C$29="상세법",FPV(H6148,K6148),IF(H6148="EI",4,IF(H6148="EO",5.2,IF(H6148="EQ",3.9,IF(H6148="ILF",7.5,IF(H6148="EIF",5.4)))))))</f>
        <v/>
      </c>
      <c r="M6148" s="112" t="str">
        <f t="shared" si="99"/>
        <v/>
      </c>
      <c r="N6148" s="113"/>
    </row>
    <row r="6149" spans="2:14">
      <c r="B6149" s="105"/>
      <c r="C6149" s="106"/>
      <c r="D6149" s="107"/>
      <c r="E6149" s="65"/>
      <c r="F6149" s="64"/>
      <c r="G6149" s="64"/>
      <c r="H6149" s="64"/>
      <c r="I6149" s="70"/>
      <c r="J6149" s="70"/>
      <c r="K6149" s="110" t="str">
        <f>IF(H6149="","",IF($C$29="간이법","",FPR(H6149,I6149,J6149)))</f>
        <v/>
      </c>
      <c r="L6149" s="111" t="str">
        <f>IF(H6149="","",IF($C$29="상세법",FPV(H6149,K6149),IF(H6149="EI",4,IF(H6149="EO",5.2,IF(H6149="EQ",3.9,IF(H6149="ILF",7.5,IF(H6149="EIF",5.4)))))))</f>
        <v/>
      </c>
      <c r="M6149" s="112" t="str">
        <f t="shared" si="99"/>
        <v/>
      </c>
      <c r="N6149" s="113"/>
    </row>
    <row r="6150" spans="2:14">
      <c r="B6150" s="105"/>
      <c r="C6150" s="106"/>
      <c r="D6150" s="107"/>
      <c r="E6150" s="65"/>
      <c r="F6150" s="64"/>
      <c r="G6150" s="64"/>
      <c r="H6150" s="64"/>
      <c r="I6150" s="70"/>
      <c r="J6150" s="70"/>
      <c r="K6150" s="110" t="str">
        <f>IF(H6150="","",IF($C$29="간이법","",FPR(H6150,I6150,J6150)))</f>
        <v/>
      </c>
      <c r="L6150" s="111" t="str">
        <f>IF(H6150="","",IF($C$29="상세법",FPV(H6150,K6150),IF(H6150="EI",4,IF(H6150="EO",5.2,IF(H6150="EQ",3.9,IF(H6150="ILF",7.5,IF(H6150="EIF",5.4)))))))</f>
        <v/>
      </c>
      <c r="M6150" s="112" t="str">
        <f t="shared" si="99"/>
        <v/>
      </c>
      <c r="N6150" s="113"/>
    </row>
    <row r="6151" spans="2:14">
      <c r="B6151" s="105"/>
      <c r="C6151" s="106"/>
      <c r="D6151" s="107"/>
      <c r="E6151" s="65"/>
      <c r="F6151" s="64"/>
      <c r="G6151" s="64"/>
      <c r="H6151" s="64"/>
      <c r="I6151" s="70"/>
      <c r="J6151" s="70"/>
      <c r="K6151" s="110" t="str">
        <f>IF(H6151="","",IF($C$29="간이법","",FPR(H6151,I6151,J6151)))</f>
        <v/>
      </c>
      <c r="L6151" s="111" t="str">
        <f>IF(H6151="","",IF($C$29="상세법",FPV(H6151,K6151),IF(H6151="EI",4,IF(H6151="EO",5.2,IF(H6151="EQ",3.9,IF(H6151="ILF",7.5,IF(H6151="EIF",5.4)))))))</f>
        <v/>
      </c>
      <c r="M6151" s="112" t="str">
        <f t="shared" si="99"/>
        <v/>
      </c>
      <c r="N6151" s="113"/>
    </row>
    <row r="6152" spans="2:14">
      <c r="B6152" s="105"/>
      <c r="C6152" s="106"/>
      <c r="D6152" s="107"/>
      <c r="E6152" s="65"/>
      <c r="F6152" s="64"/>
      <c r="G6152" s="64"/>
      <c r="H6152" s="64"/>
      <c r="I6152" s="70"/>
      <c r="J6152" s="70"/>
      <c r="K6152" s="110" t="str">
        <f>IF(H6152="","",IF($C$29="간이법","",FPR(H6152,I6152,J6152)))</f>
        <v/>
      </c>
      <c r="L6152" s="111" t="str">
        <f>IF(H6152="","",IF($C$29="상세법",FPV(H6152,K6152),IF(H6152="EI",4,IF(H6152="EO",5.2,IF(H6152="EQ",3.9,IF(H6152="ILF",7.5,IF(H6152="EIF",5.4)))))))</f>
        <v/>
      </c>
      <c r="M6152" s="112" t="str">
        <f t="shared" si="99"/>
        <v/>
      </c>
      <c r="N6152" s="113"/>
    </row>
    <row r="6153" spans="2:14">
      <c r="B6153" s="105"/>
      <c r="C6153" s="106"/>
      <c r="D6153" s="107"/>
      <c r="E6153" s="65"/>
      <c r="F6153" s="64"/>
      <c r="G6153" s="64"/>
      <c r="H6153" s="64"/>
      <c r="I6153" s="70"/>
      <c r="J6153" s="70"/>
      <c r="K6153" s="110" t="str">
        <f>IF(H6153="","",IF($C$29="간이법","",FPR(H6153,I6153,J6153)))</f>
        <v/>
      </c>
      <c r="L6153" s="111" t="str">
        <f>IF(H6153="","",IF($C$29="상세법",FPV(H6153,K6153),IF(H6153="EI",4,IF(H6153="EO",5.2,IF(H6153="EQ",3.9,IF(H6153="ILF",7.5,IF(H6153="EIF",5.4)))))))</f>
        <v/>
      </c>
      <c r="M6153" s="112" t="str">
        <f t="shared" si="99"/>
        <v/>
      </c>
      <c r="N6153" s="113"/>
    </row>
    <row r="6154" spans="2:14">
      <c r="B6154" s="105"/>
      <c r="C6154" s="106"/>
      <c r="D6154" s="107"/>
      <c r="E6154" s="65"/>
      <c r="F6154" s="64"/>
      <c r="G6154" s="64"/>
      <c r="H6154" s="64"/>
      <c r="I6154" s="70"/>
      <c r="J6154" s="70"/>
      <c r="K6154" s="110" t="str">
        <f>IF(H6154="","",IF($C$29="간이법","",FPR(H6154,I6154,J6154)))</f>
        <v/>
      </c>
      <c r="L6154" s="111" t="str">
        <f>IF(H6154="","",IF($C$29="상세법",FPV(H6154,K6154),IF(H6154="EI",4,IF(H6154="EO",5.2,IF(H6154="EQ",3.9,IF(H6154="ILF",7.5,IF(H6154="EIF",5.4)))))))</f>
        <v/>
      </c>
      <c r="M6154" s="112" t="str">
        <f t="shared" si="99"/>
        <v/>
      </c>
      <c r="N6154" s="113"/>
    </row>
    <row r="6155" spans="2:14">
      <c r="B6155" s="105"/>
      <c r="C6155" s="106"/>
      <c r="D6155" s="107"/>
      <c r="E6155" s="65"/>
      <c r="F6155" s="64"/>
      <c r="G6155" s="64"/>
      <c r="H6155" s="64"/>
      <c r="I6155" s="70"/>
      <c r="J6155" s="70"/>
      <c r="K6155" s="110" t="str">
        <f>IF(H6155="","",IF($C$29="간이법","",FPR(H6155,I6155,J6155)))</f>
        <v/>
      </c>
      <c r="L6155" s="111" t="str">
        <f>IF(H6155="","",IF($C$29="상세법",FPV(H6155,K6155),IF(H6155="EI",4,IF(H6155="EO",5.2,IF(H6155="EQ",3.9,IF(H6155="ILF",7.5,IF(H6155="EIF",5.4)))))))</f>
        <v/>
      </c>
      <c r="M6155" s="112" t="str">
        <f t="shared" si="99"/>
        <v/>
      </c>
      <c r="N6155" s="113"/>
    </row>
    <row r="6156" spans="2:14">
      <c r="B6156" s="105"/>
      <c r="C6156" s="106"/>
      <c r="D6156" s="107"/>
      <c r="E6156" s="65"/>
      <c r="F6156" s="64"/>
      <c r="G6156" s="64"/>
      <c r="H6156" s="64"/>
      <c r="I6156" s="70"/>
      <c r="J6156" s="70"/>
      <c r="K6156" s="110" t="str">
        <f>IF(H6156="","",IF($C$29="간이법","",FPR(H6156,I6156,J6156)))</f>
        <v/>
      </c>
      <c r="L6156" s="111" t="str">
        <f>IF(H6156="","",IF($C$29="상세법",FPV(H6156,K6156),IF(H6156="EI",4,IF(H6156="EO",5.2,IF(H6156="EQ",3.9,IF(H6156="ILF",7.5,IF(H6156="EIF",5.4)))))))</f>
        <v/>
      </c>
      <c r="M6156" s="112" t="str">
        <f t="shared" si="99"/>
        <v/>
      </c>
      <c r="N6156" s="113"/>
    </row>
    <row r="6157" spans="2:14">
      <c r="B6157" s="105"/>
      <c r="C6157" s="106"/>
      <c r="D6157" s="107"/>
      <c r="E6157" s="65"/>
      <c r="F6157" s="64"/>
      <c r="G6157" s="64"/>
      <c r="H6157" s="64"/>
      <c r="I6157" s="70"/>
      <c r="J6157" s="70"/>
      <c r="K6157" s="110" t="str">
        <f>IF(H6157="","",IF($C$29="간이법","",FPR(H6157,I6157,J6157)))</f>
        <v/>
      </c>
      <c r="L6157" s="111" t="str">
        <f>IF(H6157="","",IF($C$29="상세법",FPV(H6157,K6157),IF(H6157="EI",4,IF(H6157="EO",5.2,IF(H6157="EQ",3.9,IF(H6157="ILF",7.5,IF(H6157="EIF",5.4)))))))</f>
        <v/>
      </c>
      <c r="M6157" s="112" t="str">
        <f t="shared" si="99"/>
        <v/>
      </c>
      <c r="N6157" s="113"/>
    </row>
    <row r="6158" spans="2:14">
      <c r="B6158" s="105"/>
      <c r="C6158" s="106"/>
      <c r="D6158" s="107"/>
      <c r="E6158" s="65"/>
      <c r="F6158" s="64"/>
      <c r="G6158" s="64"/>
      <c r="H6158" s="64"/>
      <c r="I6158" s="70"/>
      <c r="J6158" s="70"/>
      <c r="K6158" s="110" t="str">
        <f>IF(H6158="","",IF($C$29="간이법","",FPR(H6158,I6158,J6158)))</f>
        <v/>
      </c>
      <c r="L6158" s="111" t="str">
        <f>IF(H6158="","",IF($C$29="상세법",FPV(H6158,K6158),IF(H6158="EI",4,IF(H6158="EO",5.2,IF(H6158="EQ",3.9,IF(H6158="ILF",7.5,IF(H6158="EIF",5.4)))))))</f>
        <v/>
      </c>
      <c r="M6158" s="112" t="str">
        <f t="shared" si="99"/>
        <v/>
      </c>
      <c r="N6158" s="113"/>
    </row>
    <row r="6159" spans="2:14">
      <c r="B6159" s="105"/>
      <c r="C6159" s="106"/>
      <c r="D6159" s="107"/>
      <c r="E6159" s="65"/>
      <c r="F6159" s="64"/>
      <c r="G6159" s="64"/>
      <c r="H6159" s="64"/>
      <c r="I6159" s="70"/>
      <c r="J6159" s="70"/>
      <c r="K6159" s="110" t="str">
        <f>IF(H6159="","",IF($C$29="간이법","",FPR(H6159,I6159,J6159)))</f>
        <v/>
      </c>
      <c r="L6159" s="111" t="str">
        <f>IF(H6159="","",IF($C$29="상세법",FPV(H6159,K6159),IF(H6159="EI",4,IF(H6159="EO",5.2,IF(H6159="EQ",3.9,IF(H6159="ILF",7.5,IF(H6159="EIF",5.4)))))))</f>
        <v/>
      </c>
      <c r="M6159" s="112" t="str">
        <f t="shared" si="99"/>
        <v/>
      </c>
      <c r="N6159" s="113"/>
    </row>
    <row r="6160" spans="2:14">
      <c r="B6160" s="105"/>
      <c r="C6160" s="106"/>
      <c r="D6160" s="107"/>
      <c r="E6160" s="65"/>
      <c r="F6160" s="64"/>
      <c r="G6160" s="64"/>
      <c r="H6160" s="64"/>
      <c r="I6160" s="70"/>
      <c r="J6160" s="70"/>
      <c r="K6160" s="110" t="str">
        <f>IF(H6160="","",IF($C$29="간이법","",FPR(H6160,I6160,J6160)))</f>
        <v/>
      </c>
      <c r="L6160" s="111" t="str">
        <f>IF(H6160="","",IF($C$29="상세법",FPV(H6160,K6160),IF(H6160="EI",4,IF(H6160="EO",5.2,IF(H6160="EQ",3.9,IF(H6160="ILF",7.5,IF(H6160="EIF",5.4)))))))</f>
        <v/>
      </c>
      <c r="M6160" s="112" t="str">
        <f t="shared" si="99"/>
        <v/>
      </c>
      <c r="N6160" s="113"/>
    </row>
    <row r="6161" spans="2:14">
      <c r="B6161" s="105"/>
      <c r="C6161" s="106"/>
      <c r="D6161" s="107"/>
      <c r="E6161" s="65"/>
      <c r="F6161" s="64"/>
      <c r="G6161" s="64"/>
      <c r="H6161" s="64"/>
      <c r="I6161" s="70"/>
      <c r="J6161" s="70"/>
      <c r="K6161" s="110" t="str">
        <f>IF(H6161="","",IF($C$29="간이법","",FPR(H6161,I6161,J6161)))</f>
        <v/>
      </c>
      <c r="L6161" s="111" t="str">
        <f>IF(H6161="","",IF($C$29="상세법",FPV(H6161,K6161),IF(H6161="EI",4,IF(H6161="EO",5.2,IF(H6161="EQ",3.9,IF(H6161="ILF",7.5,IF(H6161="EIF",5.4)))))))</f>
        <v/>
      </c>
      <c r="M6161" s="112" t="str">
        <f t="shared" si="99"/>
        <v/>
      </c>
      <c r="N6161" s="113"/>
    </row>
    <row r="6162" spans="2:14">
      <c r="B6162" s="105"/>
      <c r="C6162" s="106"/>
      <c r="D6162" s="107"/>
      <c r="E6162" s="65"/>
      <c r="F6162" s="64"/>
      <c r="G6162" s="64"/>
      <c r="H6162" s="64"/>
      <c r="I6162" s="70"/>
      <c r="J6162" s="70"/>
      <c r="K6162" s="110" t="str">
        <f>IF(H6162="","",IF($C$29="간이법","",FPR(H6162,I6162,J6162)))</f>
        <v/>
      </c>
      <c r="L6162" s="111" t="str">
        <f>IF(H6162="","",IF($C$29="상세법",FPV(H6162,K6162),IF(H6162="EI",4,IF(H6162="EO",5.2,IF(H6162="EQ",3.9,IF(H6162="ILF",7.5,IF(H6162="EIF",5.4)))))))</f>
        <v/>
      </c>
      <c r="M6162" s="112" t="str">
        <f t="shared" si="99"/>
        <v/>
      </c>
      <c r="N6162" s="113"/>
    </row>
    <row r="6163" spans="2:14">
      <c r="B6163" s="105"/>
      <c r="C6163" s="106"/>
      <c r="D6163" s="107"/>
      <c r="E6163" s="65"/>
      <c r="F6163" s="64"/>
      <c r="G6163" s="64"/>
      <c r="H6163" s="64"/>
      <c r="I6163" s="70"/>
      <c r="J6163" s="70"/>
      <c r="K6163" s="110" t="str">
        <f>IF(H6163="","",IF($C$29="간이법","",FPR(H6163,I6163,J6163)))</f>
        <v/>
      </c>
      <c r="L6163" s="111" t="str">
        <f>IF(H6163="","",IF($C$29="상세법",FPV(H6163,K6163),IF(H6163="EI",4,IF(H6163="EO",5.2,IF(H6163="EQ",3.9,IF(H6163="ILF",7.5,IF(H6163="EIF",5.4)))))))</f>
        <v/>
      </c>
      <c r="M6163" s="112" t="str">
        <f t="shared" si="99"/>
        <v/>
      </c>
      <c r="N6163" s="113"/>
    </row>
    <row r="6164" spans="2:14">
      <c r="B6164" s="105"/>
      <c r="C6164" s="106"/>
      <c r="D6164" s="107"/>
      <c r="E6164" s="65"/>
      <c r="F6164" s="64"/>
      <c r="G6164" s="64"/>
      <c r="H6164" s="64"/>
      <c r="I6164" s="70"/>
      <c r="J6164" s="70"/>
      <c r="K6164" s="110" t="str">
        <f>IF(H6164="","",IF($C$29="간이법","",FPR(H6164,I6164,J6164)))</f>
        <v/>
      </c>
      <c r="L6164" s="111" t="str">
        <f>IF(H6164="","",IF($C$29="상세법",FPV(H6164,K6164),IF(H6164="EI",4,IF(H6164="EO",5.2,IF(H6164="EQ",3.9,IF(H6164="ILF",7.5,IF(H6164="EIF",5.4)))))))</f>
        <v/>
      </c>
      <c r="M6164" s="112" t="str">
        <f t="shared" si="99"/>
        <v/>
      </c>
      <c r="N6164" s="113"/>
    </row>
    <row r="6165" spans="2:14">
      <c r="B6165" s="105"/>
      <c r="C6165" s="106"/>
      <c r="D6165" s="107"/>
      <c r="E6165" s="65"/>
      <c r="F6165" s="64"/>
      <c r="G6165" s="64"/>
      <c r="H6165" s="64"/>
      <c r="I6165" s="70"/>
      <c r="J6165" s="70"/>
      <c r="K6165" s="110" t="str">
        <f>IF(H6165="","",IF($C$29="간이법","",FPR(H6165,I6165,J6165)))</f>
        <v/>
      </c>
      <c r="L6165" s="111" t="str">
        <f>IF(H6165="","",IF($C$29="상세법",FPV(H6165,K6165),IF(H6165="EI",4,IF(H6165="EO",5.2,IF(H6165="EQ",3.9,IF(H6165="ILF",7.5,IF(H6165="EIF",5.4)))))))</f>
        <v/>
      </c>
      <c r="M6165" s="112" t="str">
        <f t="shared" si="99"/>
        <v/>
      </c>
      <c r="N6165" s="113"/>
    </row>
    <row r="6166" spans="2:14">
      <c r="B6166" s="105"/>
      <c r="C6166" s="106"/>
      <c r="D6166" s="107"/>
      <c r="E6166" s="65"/>
      <c r="F6166" s="64"/>
      <c r="G6166" s="64"/>
      <c r="H6166" s="64"/>
      <c r="I6166" s="70"/>
      <c r="J6166" s="70"/>
      <c r="K6166" s="110" t="str">
        <f>IF(H6166="","",IF($C$29="간이법","",FPR(H6166,I6166,J6166)))</f>
        <v/>
      </c>
      <c r="L6166" s="111" t="str">
        <f>IF(H6166="","",IF($C$29="상세법",FPV(H6166,K6166),IF(H6166="EI",4,IF(H6166="EO",5.2,IF(H6166="EQ",3.9,IF(H6166="ILF",7.5,IF(H6166="EIF",5.4)))))))</f>
        <v/>
      </c>
      <c r="M6166" s="112" t="str">
        <f t="shared" si="99"/>
        <v/>
      </c>
      <c r="N6166" s="113"/>
    </row>
    <row r="6167" spans="2:14">
      <c r="B6167" s="105"/>
      <c r="C6167" s="106"/>
      <c r="D6167" s="107"/>
      <c r="E6167" s="65"/>
      <c r="F6167" s="64"/>
      <c r="G6167" s="64"/>
      <c r="H6167" s="64"/>
      <c r="I6167" s="70"/>
      <c r="J6167" s="70"/>
      <c r="K6167" s="110" t="str">
        <f>IF(H6167="","",IF($C$29="간이법","",FPR(H6167,I6167,J6167)))</f>
        <v/>
      </c>
      <c r="L6167" s="111" t="str">
        <f>IF(H6167="","",IF($C$29="상세법",FPV(H6167,K6167),IF(H6167="EI",4,IF(H6167="EO",5.2,IF(H6167="EQ",3.9,IF(H6167="ILF",7.5,IF(H6167="EIF",5.4)))))))</f>
        <v/>
      </c>
      <c r="M6167" s="112" t="str">
        <f t="shared" si="99"/>
        <v/>
      </c>
      <c r="N6167" s="113"/>
    </row>
    <row r="6168" spans="2:14">
      <c r="B6168" s="105"/>
      <c r="C6168" s="106"/>
      <c r="D6168" s="107"/>
      <c r="E6168" s="65"/>
      <c r="F6168" s="64"/>
      <c r="G6168" s="64"/>
      <c r="H6168" s="64"/>
      <c r="I6168" s="70"/>
      <c r="J6168" s="70"/>
      <c r="K6168" s="110" t="str">
        <f>IF(H6168="","",IF($C$29="간이법","",FPR(H6168,I6168,J6168)))</f>
        <v/>
      </c>
      <c r="L6168" s="111" t="str">
        <f>IF(H6168="","",IF($C$29="상세법",FPV(H6168,K6168),IF(H6168="EI",4,IF(H6168="EO",5.2,IF(H6168="EQ",3.9,IF(H6168="ILF",7.5,IF(H6168="EIF",5.4)))))))</f>
        <v/>
      </c>
      <c r="M6168" s="112" t="str">
        <f t="shared" si="99"/>
        <v/>
      </c>
      <c r="N6168" s="113"/>
    </row>
    <row r="6169" spans="2:14">
      <c r="B6169" s="105"/>
      <c r="C6169" s="106"/>
      <c r="D6169" s="107"/>
      <c r="E6169" s="65"/>
      <c r="F6169" s="64"/>
      <c r="G6169" s="64"/>
      <c r="H6169" s="64"/>
      <c r="I6169" s="70"/>
      <c r="J6169" s="70"/>
      <c r="K6169" s="110" t="str">
        <f>IF(H6169="","",IF($C$29="간이법","",FPR(H6169,I6169,J6169)))</f>
        <v/>
      </c>
      <c r="L6169" s="111" t="str">
        <f>IF(H6169="","",IF($C$29="상세법",FPV(H6169,K6169),IF(H6169="EI",4,IF(H6169="EO",5.2,IF(H6169="EQ",3.9,IF(H6169="ILF",7.5,IF(H6169="EIF",5.4)))))))</f>
        <v/>
      </c>
      <c r="M6169" s="112" t="str">
        <f t="shared" si="99"/>
        <v/>
      </c>
      <c r="N6169" s="113"/>
    </row>
    <row r="6170" spans="2:14">
      <c r="B6170" s="105"/>
      <c r="C6170" s="106"/>
      <c r="D6170" s="107"/>
      <c r="E6170" s="65"/>
      <c r="F6170" s="64"/>
      <c r="G6170" s="64"/>
      <c r="H6170" s="64"/>
      <c r="I6170" s="70"/>
      <c r="J6170" s="70"/>
      <c r="K6170" s="110" t="str">
        <f>IF(H6170="","",IF($C$29="간이법","",FPR(H6170,I6170,J6170)))</f>
        <v/>
      </c>
      <c r="L6170" s="111" t="str">
        <f>IF(H6170="","",IF($C$29="상세법",FPV(H6170,K6170),IF(H6170="EI",4,IF(H6170="EO",5.2,IF(H6170="EQ",3.9,IF(H6170="ILF",7.5,IF(H6170="EIF",5.4)))))))</f>
        <v/>
      </c>
      <c r="M6170" s="112" t="str">
        <f t="shared" si="99"/>
        <v/>
      </c>
      <c r="N6170" s="113"/>
    </row>
    <row r="6171" spans="2:14">
      <c r="B6171" s="105"/>
      <c r="C6171" s="106"/>
      <c r="D6171" s="107"/>
      <c r="E6171" s="65"/>
      <c r="F6171" s="64"/>
      <c r="G6171" s="64"/>
      <c r="H6171" s="64"/>
      <c r="I6171" s="70"/>
      <c r="J6171" s="70"/>
      <c r="K6171" s="110" t="str">
        <f>IF(H6171="","",IF($C$29="간이법","",FPR(H6171,I6171,J6171)))</f>
        <v/>
      </c>
      <c r="L6171" s="111" t="str">
        <f>IF(H6171="","",IF($C$29="상세법",FPV(H6171,K6171),IF(H6171="EI",4,IF(H6171="EO",5.2,IF(H6171="EQ",3.9,IF(H6171="ILF",7.5,IF(H6171="EIF",5.4)))))))</f>
        <v/>
      </c>
      <c r="M6171" s="112" t="str">
        <f t="shared" si="99"/>
        <v/>
      </c>
      <c r="N6171" s="113"/>
    </row>
    <row r="6172" spans="2:14">
      <c r="B6172" s="105"/>
      <c r="C6172" s="106"/>
      <c r="D6172" s="107"/>
      <c r="E6172" s="65"/>
      <c r="F6172" s="64"/>
      <c r="G6172" s="64"/>
      <c r="H6172" s="64"/>
      <c r="I6172" s="70"/>
      <c r="J6172" s="70"/>
      <c r="K6172" s="110" t="str">
        <f>IF(H6172="","",IF($C$29="간이법","",FPR(H6172,I6172,J6172)))</f>
        <v/>
      </c>
      <c r="L6172" s="111" t="str">
        <f>IF(H6172="","",IF($C$29="상세법",FPV(H6172,K6172),IF(H6172="EI",4,IF(H6172="EO",5.2,IF(H6172="EQ",3.9,IF(H6172="ILF",7.5,IF(H6172="EIF",5.4)))))))</f>
        <v/>
      </c>
      <c r="M6172" s="112" t="str">
        <f t="shared" si="99"/>
        <v/>
      </c>
      <c r="N6172" s="113"/>
    </row>
    <row r="6173" spans="2:14">
      <c r="B6173" s="105"/>
      <c r="C6173" s="106"/>
      <c r="D6173" s="107"/>
      <c r="E6173" s="65"/>
      <c r="F6173" s="64"/>
      <c r="G6173" s="64"/>
      <c r="H6173" s="64"/>
      <c r="I6173" s="70"/>
      <c r="J6173" s="70"/>
      <c r="K6173" s="110" t="str">
        <f>IF(H6173="","",IF($C$29="간이법","",FPR(H6173,I6173,J6173)))</f>
        <v/>
      </c>
      <c r="L6173" s="111" t="str">
        <f>IF(H6173="","",IF($C$29="상세법",FPV(H6173,K6173),IF(H6173="EI",4,IF(H6173="EO",5.2,IF(H6173="EQ",3.9,IF(H6173="ILF",7.5,IF(H6173="EIF",5.4)))))))</f>
        <v/>
      </c>
      <c r="M6173" s="112" t="str">
        <f t="shared" si="99"/>
        <v/>
      </c>
      <c r="N6173" s="113"/>
    </row>
    <row r="6174" spans="2:14">
      <c r="B6174" s="105"/>
      <c r="C6174" s="106"/>
      <c r="D6174" s="107"/>
      <c r="E6174" s="65"/>
      <c r="F6174" s="64"/>
      <c r="G6174" s="64"/>
      <c r="H6174" s="64"/>
      <c r="I6174" s="70"/>
      <c r="J6174" s="70"/>
      <c r="K6174" s="110" t="str">
        <f>IF(H6174="","",IF($C$29="간이법","",FPR(H6174,I6174,J6174)))</f>
        <v/>
      </c>
      <c r="L6174" s="111" t="str">
        <f>IF(H6174="","",IF($C$29="상세법",FPV(H6174,K6174),IF(H6174="EI",4,IF(H6174="EO",5.2,IF(H6174="EQ",3.9,IF(H6174="ILF",7.5,IF(H6174="EIF",5.4)))))))</f>
        <v/>
      </c>
      <c r="M6174" s="112" t="str">
        <f t="shared" si="99"/>
        <v/>
      </c>
      <c r="N6174" s="113"/>
    </row>
    <row r="6175" spans="2:14">
      <c r="B6175" s="105"/>
      <c r="C6175" s="106"/>
      <c r="D6175" s="107"/>
      <c r="E6175" s="65"/>
      <c r="F6175" s="64"/>
      <c r="G6175" s="64"/>
      <c r="H6175" s="64"/>
      <c r="I6175" s="70"/>
      <c r="J6175" s="70"/>
      <c r="K6175" s="110" t="str">
        <f>IF(H6175="","",IF($C$29="간이법","",FPR(H6175,I6175,J6175)))</f>
        <v/>
      </c>
      <c r="L6175" s="111" t="str">
        <f>IF(H6175="","",IF($C$29="상세법",FPV(H6175,K6175),IF(H6175="EI",4,IF(H6175="EO",5.2,IF(H6175="EQ",3.9,IF(H6175="ILF",7.5,IF(H6175="EIF",5.4)))))))</f>
        <v/>
      </c>
      <c r="M6175" s="112" t="str">
        <f t="shared" si="99"/>
        <v/>
      </c>
      <c r="N6175" s="113"/>
    </row>
    <row r="6176" spans="2:14">
      <c r="B6176" s="105"/>
      <c r="C6176" s="106"/>
      <c r="D6176" s="107"/>
      <c r="E6176" s="65"/>
      <c r="F6176" s="64"/>
      <c r="G6176" s="64"/>
      <c r="H6176" s="64"/>
      <c r="I6176" s="70"/>
      <c r="J6176" s="70"/>
      <c r="K6176" s="110" t="str">
        <f>IF(H6176="","",IF($C$29="간이법","",FPR(H6176,I6176,J6176)))</f>
        <v/>
      </c>
      <c r="L6176" s="111" t="str">
        <f>IF(H6176="","",IF($C$29="상세법",FPV(H6176,K6176),IF(H6176="EI",4,IF(H6176="EO",5.2,IF(H6176="EQ",3.9,IF(H6176="ILF",7.5,IF(H6176="EIF",5.4)))))))</f>
        <v/>
      </c>
      <c r="M6176" s="112" t="str">
        <f t="shared" si="99"/>
        <v/>
      </c>
      <c r="N6176" s="113"/>
    </row>
    <row r="6177" spans="2:14">
      <c r="B6177" s="105"/>
      <c r="C6177" s="106"/>
      <c r="D6177" s="107"/>
      <c r="E6177" s="65"/>
      <c r="F6177" s="64"/>
      <c r="G6177" s="64"/>
      <c r="H6177" s="64"/>
      <c r="I6177" s="70"/>
      <c r="J6177" s="70"/>
      <c r="K6177" s="110" t="str">
        <f>IF(H6177="","",IF($C$29="간이법","",FPR(H6177,I6177,J6177)))</f>
        <v/>
      </c>
      <c r="L6177" s="111" t="str">
        <f>IF(H6177="","",IF($C$29="상세법",FPV(H6177,K6177),IF(H6177="EI",4,IF(H6177="EO",5.2,IF(H6177="EQ",3.9,IF(H6177="ILF",7.5,IF(H6177="EIF",5.4)))))))</f>
        <v/>
      </c>
      <c r="M6177" s="112" t="str">
        <f t="shared" si="99"/>
        <v/>
      </c>
      <c r="N6177" s="113"/>
    </row>
    <row r="6178" spans="2:14">
      <c r="B6178" s="105"/>
      <c r="C6178" s="106"/>
      <c r="D6178" s="107"/>
      <c r="E6178" s="65"/>
      <c r="F6178" s="64"/>
      <c r="G6178" s="64"/>
      <c r="H6178" s="64"/>
      <c r="I6178" s="70"/>
      <c r="J6178" s="70"/>
      <c r="K6178" s="110" t="str">
        <f>IF(H6178="","",IF($C$29="간이법","",FPR(H6178,I6178,J6178)))</f>
        <v/>
      </c>
      <c r="L6178" s="111" t="str">
        <f>IF(H6178="","",IF($C$29="상세법",FPV(H6178,K6178),IF(H6178="EI",4,IF(H6178="EO",5.2,IF(H6178="EQ",3.9,IF(H6178="ILF",7.5,IF(H6178="EIF",5.4)))))))</f>
        <v/>
      </c>
      <c r="M6178" s="112" t="str">
        <f t="shared" si="99"/>
        <v/>
      </c>
      <c r="N6178" s="113"/>
    </row>
    <row r="6179" spans="2:14">
      <c r="B6179" s="105"/>
      <c r="C6179" s="106"/>
      <c r="D6179" s="107"/>
      <c r="E6179" s="65"/>
      <c r="F6179" s="64"/>
      <c r="G6179" s="64"/>
      <c r="H6179" s="64"/>
      <c r="I6179" s="70"/>
      <c r="J6179" s="70"/>
      <c r="K6179" s="110" t="str">
        <f>IF(H6179="","",IF($C$29="간이법","",FPR(H6179,I6179,J6179)))</f>
        <v/>
      </c>
      <c r="L6179" s="111" t="str">
        <f>IF(H6179="","",IF($C$29="상세법",FPV(H6179,K6179),IF(H6179="EI",4,IF(H6179="EO",5.2,IF(H6179="EQ",3.9,IF(H6179="ILF",7.5,IF(H6179="EIF",5.4)))))))</f>
        <v/>
      </c>
      <c r="M6179" s="112" t="str">
        <f t="shared" si="99"/>
        <v/>
      </c>
      <c r="N6179" s="113"/>
    </row>
    <row r="6180" spans="2:14">
      <c r="B6180" s="105"/>
      <c r="C6180" s="106"/>
      <c r="D6180" s="107"/>
      <c r="E6180" s="65"/>
      <c r="F6180" s="64"/>
      <c r="G6180" s="64"/>
      <c r="H6180" s="64"/>
      <c r="I6180" s="70"/>
      <c r="J6180" s="70"/>
      <c r="K6180" s="110" t="str">
        <f>IF(H6180="","",IF($C$29="간이법","",FPR(H6180,I6180,J6180)))</f>
        <v/>
      </c>
      <c r="L6180" s="111" t="str">
        <f>IF(H6180="","",IF($C$29="상세법",FPV(H6180,K6180),IF(H6180="EI",4,IF(H6180="EO",5.2,IF(H6180="EQ",3.9,IF(H6180="ILF",7.5,IF(H6180="EIF",5.4)))))))</f>
        <v/>
      </c>
      <c r="M6180" s="112" t="str">
        <f t="shared" si="99"/>
        <v/>
      </c>
      <c r="N6180" s="113"/>
    </row>
    <row r="6181" spans="2:14">
      <c r="B6181" s="105"/>
      <c r="C6181" s="106"/>
      <c r="D6181" s="107"/>
      <c r="E6181" s="65"/>
      <c r="F6181" s="64"/>
      <c r="G6181" s="64"/>
      <c r="H6181" s="64"/>
      <c r="I6181" s="70"/>
      <c r="J6181" s="70"/>
      <c r="K6181" s="110" t="str">
        <f>IF(H6181="","",IF($C$29="간이법","",FPR(H6181,I6181,J6181)))</f>
        <v/>
      </c>
      <c r="L6181" s="111" t="str">
        <f>IF(H6181="","",IF($C$29="상세법",FPV(H6181,K6181),IF(H6181="EI",4,IF(H6181="EO",5.2,IF(H6181="EQ",3.9,IF(H6181="ILF",7.5,IF(H6181="EIF",5.4)))))))</f>
        <v/>
      </c>
      <c r="M6181" s="112" t="str">
        <f t="shared" si="99"/>
        <v/>
      </c>
      <c r="N6181" s="113"/>
    </row>
    <row r="6182" spans="2:14">
      <c r="B6182" s="105"/>
      <c r="C6182" s="106"/>
      <c r="D6182" s="107"/>
      <c r="E6182" s="65"/>
      <c r="F6182" s="64"/>
      <c r="G6182" s="64"/>
      <c r="H6182" s="64"/>
      <c r="I6182" s="70"/>
      <c r="J6182" s="70"/>
      <c r="K6182" s="110" t="str">
        <f>IF(H6182="","",IF($C$29="간이법","",FPR(H6182,I6182,J6182)))</f>
        <v/>
      </c>
      <c r="L6182" s="111" t="str">
        <f>IF(H6182="","",IF($C$29="상세법",FPV(H6182,K6182),IF(H6182="EI",4,IF(H6182="EO",5.2,IF(H6182="EQ",3.9,IF(H6182="ILF",7.5,IF(H6182="EIF",5.4)))))))</f>
        <v/>
      </c>
      <c r="M6182" s="112" t="str">
        <f t="shared" si="99"/>
        <v/>
      </c>
      <c r="N6182" s="113"/>
    </row>
    <row r="6183" spans="2:14">
      <c r="B6183" s="105"/>
      <c r="C6183" s="106"/>
      <c r="D6183" s="107"/>
      <c r="E6183" s="65"/>
      <c r="F6183" s="64"/>
      <c r="G6183" s="64"/>
      <c r="H6183" s="64"/>
      <c r="I6183" s="70"/>
      <c r="J6183" s="70"/>
      <c r="K6183" s="110" t="str">
        <f>IF(H6183="","",IF($C$29="간이법","",FPR(H6183,I6183,J6183)))</f>
        <v/>
      </c>
      <c r="L6183" s="111" t="str">
        <f>IF(H6183="","",IF($C$29="상세법",FPV(H6183,K6183),IF(H6183="EI",4,IF(H6183="EO",5.2,IF(H6183="EQ",3.9,IF(H6183="ILF",7.5,IF(H6183="EIF",5.4)))))))</f>
        <v/>
      </c>
      <c r="M6183" s="112" t="str">
        <f t="shared" si="99"/>
        <v/>
      </c>
      <c r="N6183" s="113"/>
    </row>
    <row r="6184" spans="2:14">
      <c r="B6184" s="105"/>
      <c r="C6184" s="106"/>
      <c r="D6184" s="107"/>
      <c r="E6184" s="65"/>
      <c r="F6184" s="64"/>
      <c r="G6184" s="64"/>
      <c r="H6184" s="64"/>
      <c r="I6184" s="70"/>
      <c r="J6184" s="70"/>
      <c r="K6184" s="110" t="str">
        <f>IF(H6184="","",IF($C$29="간이법","",FPR(H6184,I6184,J6184)))</f>
        <v/>
      </c>
      <c r="L6184" s="111" t="str">
        <f>IF(H6184="","",IF($C$29="상세법",FPV(H6184,K6184),IF(H6184="EI",4,IF(H6184="EO",5.2,IF(H6184="EQ",3.9,IF(H6184="ILF",7.5,IF(H6184="EIF",5.4)))))))</f>
        <v/>
      </c>
      <c r="M6184" s="112" t="str">
        <f t="shared" si="99"/>
        <v/>
      </c>
      <c r="N6184" s="113"/>
    </row>
    <row r="6185" spans="2:14">
      <c r="B6185" s="105"/>
      <c r="C6185" s="106"/>
      <c r="D6185" s="107"/>
      <c r="E6185" s="65"/>
      <c r="F6185" s="64"/>
      <c r="G6185" s="64"/>
      <c r="H6185" s="64"/>
      <c r="I6185" s="70"/>
      <c r="J6185" s="70"/>
      <c r="K6185" s="110" t="str">
        <f>IF(H6185="","",IF($C$29="간이법","",FPR(H6185,I6185,J6185)))</f>
        <v/>
      </c>
      <c r="L6185" s="111" t="str">
        <f>IF(H6185="","",IF($C$29="상세법",FPV(H6185,K6185),IF(H6185="EI",4,IF(H6185="EO",5.2,IF(H6185="EQ",3.9,IF(H6185="ILF",7.5,IF(H6185="EIF",5.4)))))))</f>
        <v/>
      </c>
      <c r="M6185" s="112" t="str">
        <f t="shared" si="99"/>
        <v/>
      </c>
      <c r="N6185" s="113"/>
    </row>
    <row r="6186" spans="2:14">
      <c r="B6186" s="105"/>
      <c r="C6186" s="106"/>
      <c r="D6186" s="107"/>
      <c r="E6186" s="65"/>
      <c r="F6186" s="64"/>
      <c r="G6186" s="64"/>
      <c r="H6186" s="64"/>
      <c r="I6186" s="70"/>
      <c r="J6186" s="70"/>
      <c r="K6186" s="110" t="str">
        <f>IF(H6186="","",IF($C$29="간이법","",FPR(H6186,I6186,J6186)))</f>
        <v/>
      </c>
      <c r="L6186" s="111" t="str">
        <f>IF(H6186="","",IF($C$29="상세법",FPV(H6186,K6186),IF(H6186="EI",4,IF(H6186="EO",5.2,IF(H6186="EQ",3.9,IF(H6186="ILF",7.5,IF(H6186="EIF",5.4)))))))</f>
        <v/>
      </c>
      <c r="M6186" s="112" t="str">
        <f t="shared" si="99"/>
        <v/>
      </c>
      <c r="N6186" s="113"/>
    </row>
    <row r="6187" spans="2:14">
      <c r="B6187" s="105"/>
      <c r="C6187" s="106"/>
      <c r="D6187" s="107"/>
      <c r="E6187" s="65"/>
      <c r="F6187" s="64"/>
      <c r="G6187" s="64"/>
      <c r="H6187" s="64"/>
      <c r="I6187" s="70"/>
      <c r="J6187" s="70"/>
      <c r="K6187" s="110" t="str">
        <f>IF(H6187="","",IF($C$29="간이법","",FPR(H6187,I6187,J6187)))</f>
        <v/>
      </c>
      <c r="L6187" s="111" t="str">
        <f>IF(H6187="","",IF($C$29="상세법",FPV(H6187,K6187),IF(H6187="EI",4,IF(H6187="EO",5.2,IF(H6187="EQ",3.9,IF(H6187="ILF",7.5,IF(H6187="EIF",5.4)))))))</f>
        <v/>
      </c>
      <c r="M6187" s="112" t="str">
        <f t="shared" si="99"/>
        <v/>
      </c>
      <c r="N6187" s="113"/>
    </row>
    <row r="6188" spans="2:14">
      <c r="B6188" s="105"/>
      <c r="C6188" s="106"/>
      <c r="D6188" s="107"/>
      <c r="E6188" s="65"/>
      <c r="F6188" s="64"/>
      <c r="G6188" s="64"/>
      <c r="H6188" s="64"/>
      <c r="I6188" s="70"/>
      <c r="J6188" s="70"/>
      <c r="K6188" s="110" t="str">
        <f>IF(H6188="","",IF($C$29="간이법","",FPR(H6188,I6188,J6188)))</f>
        <v/>
      </c>
      <c r="L6188" s="111" t="str">
        <f>IF(H6188="","",IF($C$29="상세법",FPV(H6188,K6188),IF(H6188="EI",4,IF(H6188="EO",5.2,IF(H6188="EQ",3.9,IF(H6188="ILF",7.5,IF(H6188="EIF",5.4)))))))</f>
        <v/>
      </c>
      <c r="M6188" s="112" t="str">
        <f t="shared" si="99"/>
        <v/>
      </c>
      <c r="N6188" s="113"/>
    </row>
    <row r="6189" spans="2:14">
      <c r="B6189" s="105"/>
      <c r="C6189" s="106"/>
      <c r="D6189" s="107"/>
      <c r="E6189" s="65"/>
      <c r="F6189" s="64"/>
      <c r="G6189" s="64"/>
      <c r="H6189" s="64"/>
      <c r="I6189" s="70"/>
      <c r="J6189" s="70"/>
      <c r="K6189" s="110" t="str">
        <f>IF(H6189="","",IF($C$29="간이법","",FPR(H6189,I6189,J6189)))</f>
        <v/>
      </c>
      <c r="L6189" s="111" t="str">
        <f>IF(H6189="","",IF($C$29="상세법",FPV(H6189,K6189),IF(H6189="EI",4,IF(H6189="EO",5.2,IF(H6189="EQ",3.9,IF(H6189="ILF",7.5,IF(H6189="EIF",5.4)))))))</f>
        <v/>
      </c>
      <c r="M6189" s="112" t="str">
        <f t="shared" si="99"/>
        <v/>
      </c>
      <c r="N6189" s="113"/>
    </row>
    <row r="6190" spans="2:14">
      <c r="B6190" s="105"/>
      <c r="C6190" s="106"/>
      <c r="D6190" s="107"/>
      <c r="E6190" s="65"/>
      <c r="F6190" s="64"/>
      <c r="G6190" s="64"/>
      <c r="H6190" s="64"/>
      <c r="I6190" s="70"/>
      <c r="J6190" s="70"/>
      <c r="K6190" s="110" t="str">
        <f>IF(H6190="","",IF($C$29="간이법","",FPR(H6190,I6190,J6190)))</f>
        <v/>
      </c>
      <c r="L6190" s="111" t="str">
        <f>IF(H6190="","",IF($C$29="상세법",FPV(H6190,K6190),IF(H6190="EI",4,IF(H6190="EO",5.2,IF(H6190="EQ",3.9,IF(H6190="ILF",7.5,IF(H6190="EIF",5.4)))))))</f>
        <v/>
      </c>
      <c r="M6190" s="112" t="str">
        <f t="shared" si="99"/>
        <v/>
      </c>
      <c r="N6190" s="113"/>
    </row>
    <row r="6191" spans="2:14">
      <c r="B6191" s="105"/>
      <c r="C6191" s="106"/>
      <c r="D6191" s="107"/>
      <c r="E6191" s="65"/>
      <c r="F6191" s="64"/>
      <c r="G6191" s="64"/>
      <c r="H6191" s="64"/>
      <c r="I6191" s="70"/>
      <c r="J6191" s="70"/>
      <c r="K6191" s="110" t="str">
        <f>IF(H6191="","",IF($C$29="간이법","",FPR(H6191,I6191,J6191)))</f>
        <v/>
      </c>
      <c r="L6191" s="111" t="str">
        <f>IF(H6191="","",IF($C$29="상세법",FPV(H6191,K6191),IF(H6191="EI",4,IF(H6191="EO",5.2,IF(H6191="EQ",3.9,IF(H6191="ILF",7.5,IF(H6191="EIF",5.4)))))))</f>
        <v/>
      </c>
      <c r="M6191" s="112" t="str">
        <f t="shared" si="99"/>
        <v/>
      </c>
      <c r="N6191" s="113"/>
    </row>
    <row r="6192" spans="2:14">
      <c r="B6192" s="105"/>
      <c r="C6192" s="106"/>
      <c r="D6192" s="107"/>
      <c r="E6192" s="65"/>
      <c r="F6192" s="64"/>
      <c r="G6192" s="64"/>
      <c r="H6192" s="64"/>
      <c r="I6192" s="70"/>
      <c r="J6192" s="70"/>
      <c r="K6192" s="110" t="str">
        <f>IF(H6192="","",IF($C$29="간이법","",FPR(H6192,I6192,J6192)))</f>
        <v/>
      </c>
      <c r="L6192" s="111" t="str">
        <f>IF(H6192="","",IF($C$29="상세법",FPV(H6192,K6192),IF(H6192="EI",4,IF(H6192="EO",5.2,IF(H6192="EQ",3.9,IF(H6192="ILF",7.5,IF(H6192="EIF",5.4)))))))</f>
        <v/>
      </c>
      <c r="M6192" s="112" t="str">
        <f t="shared" si="99"/>
        <v/>
      </c>
      <c r="N6192" s="113"/>
    </row>
    <row r="6193" spans="2:14">
      <c r="B6193" s="105"/>
      <c r="C6193" s="106"/>
      <c r="D6193" s="107"/>
      <c r="E6193" s="65"/>
      <c r="F6193" s="64"/>
      <c r="G6193" s="64"/>
      <c r="H6193" s="64"/>
      <c r="I6193" s="70"/>
      <c r="J6193" s="70"/>
      <c r="K6193" s="110" t="str">
        <f>IF(H6193="","",IF($C$29="간이법","",FPR(H6193,I6193,J6193)))</f>
        <v/>
      </c>
      <c r="L6193" s="111" t="str">
        <f>IF(H6193="","",IF($C$29="상세법",FPV(H6193,K6193),IF(H6193="EI",4,IF(H6193="EO",5.2,IF(H6193="EQ",3.9,IF(H6193="ILF",7.5,IF(H6193="EIF",5.4)))))))</f>
        <v/>
      </c>
      <c r="M6193" s="112" t="str">
        <f t="shared" si="99"/>
        <v/>
      </c>
      <c r="N6193" s="113"/>
    </row>
    <row r="6194" spans="2:14">
      <c r="B6194" s="105"/>
      <c r="C6194" s="106"/>
      <c r="D6194" s="107"/>
      <c r="E6194" s="65"/>
      <c r="F6194" s="64"/>
      <c r="G6194" s="64"/>
      <c r="H6194" s="64"/>
      <c r="I6194" s="70"/>
      <c r="J6194" s="70"/>
      <c r="K6194" s="110" t="str">
        <f>IF(H6194="","",IF($C$29="간이법","",FPR(H6194,I6194,J6194)))</f>
        <v/>
      </c>
      <c r="L6194" s="111" t="str">
        <f>IF(H6194="","",IF($C$29="상세법",FPV(H6194,K6194),IF(H6194="EI",4,IF(H6194="EO",5.2,IF(H6194="EQ",3.9,IF(H6194="ILF",7.5,IF(H6194="EIF",5.4)))))))</f>
        <v/>
      </c>
      <c r="M6194" s="112" t="str">
        <f t="shared" si="99"/>
        <v/>
      </c>
      <c r="N6194" s="113"/>
    </row>
    <row r="6195" spans="2:14">
      <c r="B6195" s="105"/>
      <c r="C6195" s="106"/>
      <c r="D6195" s="107"/>
      <c r="E6195" s="65"/>
      <c r="F6195" s="64"/>
      <c r="G6195" s="64"/>
      <c r="H6195" s="64"/>
      <c r="I6195" s="70"/>
      <c r="J6195" s="70"/>
      <c r="K6195" s="110" t="str">
        <f>IF(H6195="","",IF($C$29="간이법","",FPR(H6195,I6195,J6195)))</f>
        <v/>
      </c>
      <c r="L6195" s="111" t="str">
        <f>IF(H6195="","",IF($C$29="상세법",FPV(H6195,K6195),IF(H6195="EI",4,IF(H6195="EO",5.2,IF(H6195="EQ",3.9,IF(H6195="ILF",7.5,IF(H6195="EIF",5.4)))))))</f>
        <v/>
      </c>
      <c r="M6195" s="112" t="str">
        <f t="shared" si="99"/>
        <v/>
      </c>
      <c r="N6195" s="113"/>
    </row>
    <row r="6196" spans="2:14">
      <c r="B6196" s="105"/>
      <c r="C6196" s="106"/>
      <c r="D6196" s="107"/>
      <c r="E6196" s="65"/>
      <c r="F6196" s="64"/>
      <c r="G6196" s="64"/>
      <c r="H6196" s="64"/>
      <c r="I6196" s="70"/>
      <c r="J6196" s="70"/>
      <c r="K6196" s="110" t="str">
        <f>IF(H6196="","",IF($C$29="간이법","",FPR(H6196,I6196,J6196)))</f>
        <v/>
      </c>
      <c r="L6196" s="111" t="str">
        <f>IF(H6196="","",IF($C$29="상세법",FPV(H6196,K6196),IF(H6196="EI",4,IF(H6196="EO",5.2,IF(H6196="EQ",3.9,IF(H6196="ILF",7.5,IF(H6196="EIF",5.4)))))))</f>
        <v/>
      </c>
      <c r="M6196" s="112" t="str">
        <f t="shared" si="99"/>
        <v/>
      </c>
      <c r="N6196" s="113"/>
    </row>
    <row r="6197" spans="2:14">
      <c r="B6197" s="105"/>
      <c r="C6197" s="106"/>
      <c r="D6197" s="107"/>
      <c r="E6197" s="65"/>
      <c r="F6197" s="64"/>
      <c r="G6197" s="64"/>
      <c r="H6197" s="64"/>
      <c r="I6197" s="70"/>
      <c r="J6197" s="70"/>
      <c r="K6197" s="110" t="str">
        <f>IF(H6197="","",IF($C$29="간이법","",FPR(H6197,I6197,J6197)))</f>
        <v/>
      </c>
      <c r="L6197" s="111" t="str">
        <f>IF(H6197="","",IF($C$29="상세법",FPV(H6197,K6197),IF(H6197="EI",4,IF(H6197="EO",5.2,IF(H6197="EQ",3.9,IF(H6197="ILF",7.5,IF(H6197="EIF",5.4)))))))</f>
        <v/>
      </c>
      <c r="M6197" s="112" t="str">
        <f t="shared" si="99"/>
        <v/>
      </c>
      <c r="N6197" s="113"/>
    </row>
    <row r="6198" spans="2:14">
      <c r="B6198" s="105"/>
      <c r="C6198" s="106"/>
      <c r="D6198" s="107"/>
      <c r="E6198" s="65"/>
      <c r="F6198" s="64"/>
      <c r="G6198" s="64"/>
      <c r="H6198" s="64"/>
      <c r="I6198" s="70"/>
      <c r="J6198" s="70"/>
      <c r="K6198" s="110" t="str">
        <f>IF(H6198="","",IF($C$29="간이법","",FPR(H6198,I6198,J6198)))</f>
        <v/>
      </c>
      <c r="L6198" s="111" t="str">
        <f>IF(H6198="","",IF($C$29="상세법",FPV(H6198,K6198),IF(H6198="EI",4,IF(H6198="EO",5.2,IF(H6198="EQ",3.9,IF(H6198="ILF",7.5,IF(H6198="EIF",5.4)))))))</f>
        <v/>
      </c>
      <c r="M6198" s="112" t="str">
        <f t="shared" si="99"/>
        <v/>
      </c>
      <c r="N6198" s="113"/>
    </row>
    <row r="6199" spans="2:14">
      <c r="B6199" s="105"/>
      <c r="C6199" s="106"/>
      <c r="D6199" s="107"/>
      <c r="E6199" s="65"/>
      <c r="F6199" s="64"/>
      <c r="G6199" s="64"/>
      <c r="H6199" s="64"/>
      <c r="I6199" s="70"/>
      <c r="J6199" s="70"/>
      <c r="K6199" s="110" t="str">
        <f>IF(H6199="","",IF($C$29="간이법","",FPR(H6199,I6199,J6199)))</f>
        <v/>
      </c>
      <c r="L6199" s="111" t="str">
        <f>IF(H6199="","",IF($C$29="상세법",FPV(H6199,K6199),IF(H6199="EI",4,IF(H6199="EO",5.2,IF(H6199="EQ",3.9,IF(H6199="ILF",7.5,IF(H6199="EIF",5.4)))))))</f>
        <v/>
      </c>
      <c r="M6199" s="112" t="str">
        <f t="shared" si="99"/>
        <v/>
      </c>
      <c r="N6199" s="113"/>
    </row>
    <row r="6200" spans="2:14">
      <c r="B6200" s="105"/>
      <c r="C6200" s="106"/>
      <c r="D6200" s="107"/>
      <c r="E6200" s="65"/>
      <c r="F6200" s="64"/>
      <c r="G6200" s="64"/>
      <c r="H6200" s="64"/>
      <c r="I6200" s="70"/>
      <c r="J6200" s="70"/>
      <c r="K6200" s="110" t="str">
        <f>IF(H6200="","",IF($C$29="간이법","",FPR(H6200,I6200,J6200)))</f>
        <v/>
      </c>
      <c r="L6200" s="111" t="str">
        <f>IF(H6200="","",IF($C$29="상세법",FPV(H6200,K6200),IF(H6200="EI",4,IF(H6200="EO",5.2,IF(H6200="EQ",3.9,IF(H6200="ILF",7.5,IF(H6200="EIF",5.4)))))))</f>
        <v/>
      </c>
      <c r="M6200" s="112" t="str">
        <f t="shared" si="99"/>
        <v/>
      </c>
      <c r="N6200" s="113"/>
    </row>
    <row r="6201" spans="2:14">
      <c r="B6201" s="105"/>
      <c r="C6201" s="106"/>
      <c r="D6201" s="107"/>
      <c r="E6201" s="65"/>
      <c r="F6201" s="64"/>
      <c r="G6201" s="64"/>
      <c r="H6201" s="64"/>
      <c r="I6201" s="70"/>
      <c r="J6201" s="70"/>
      <c r="K6201" s="110" t="str">
        <f>IF(H6201="","",IF($C$29="간이법","",FPR(H6201,I6201,J6201)))</f>
        <v/>
      </c>
      <c r="L6201" s="111" t="str">
        <f>IF(H6201="","",IF($C$29="상세법",FPV(H6201,K6201),IF(H6201="EI",4,IF(H6201="EO",5.2,IF(H6201="EQ",3.9,IF(H6201="ILF",7.5,IF(H6201="EIF",5.4)))))))</f>
        <v/>
      </c>
      <c r="M6201" s="112" t="str">
        <f t="shared" ref="M6201:M6264" si="100">IF(L6201="","",L6201*IF(G6201="상",0.7,IF(G6201="중",0.5,IF(G6201="하",0.2,1))))</f>
        <v/>
      </c>
      <c r="N6201" s="113"/>
    </row>
    <row r="6202" spans="2:14">
      <c r="B6202" s="105"/>
      <c r="C6202" s="106"/>
      <c r="D6202" s="107"/>
      <c r="E6202" s="65"/>
      <c r="F6202" s="64"/>
      <c r="G6202" s="64"/>
      <c r="H6202" s="64"/>
      <c r="I6202" s="70"/>
      <c r="J6202" s="70"/>
      <c r="K6202" s="110" t="str">
        <f>IF(H6202="","",IF($C$29="간이법","",FPR(H6202,I6202,J6202)))</f>
        <v/>
      </c>
      <c r="L6202" s="111" t="str">
        <f>IF(H6202="","",IF($C$29="상세법",FPV(H6202,K6202),IF(H6202="EI",4,IF(H6202="EO",5.2,IF(H6202="EQ",3.9,IF(H6202="ILF",7.5,IF(H6202="EIF",5.4)))))))</f>
        <v/>
      </c>
      <c r="M6202" s="112" t="str">
        <f t="shared" si="100"/>
        <v/>
      </c>
      <c r="N6202" s="113"/>
    </row>
    <row r="6203" spans="2:14">
      <c r="B6203" s="105"/>
      <c r="C6203" s="106"/>
      <c r="D6203" s="107"/>
      <c r="E6203" s="65"/>
      <c r="F6203" s="64"/>
      <c r="G6203" s="64"/>
      <c r="H6203" s="64"/>
      <c r="I6203" s="70"/>
      <c r="J6203" s="70"/>
      <c r="K6203" s="110" t="str">
        <f>IF(H6203="","",IF($C$29="간이법","",FPR(H6203,I6203,J6203)))</f>
        <v/>
      </c>
      <c r="L6203" s="111" t="str">
        <f>IF(H6203="","",IF($C$29="상세법",FPV(H6203,K6203),IF(H6203="EI",4,IF(H6203="EO",5.2,IF(H6203="EQ",3.9,IF(H6203="ILF",7.5,IF(H6203="EIF",5.4)))))))</f>
        <v/>
      </c>
      <c r="M6203" s="112" t="str">
        <f t="shared" si="100"/>
        <v/>
      </c>
      <c r="N6203" s="113"/>
    </row>
    <row r="6204" spans="2:14">
      <c r="B6204" s="105"/>
      <c r="C6204" s="106"/>
      <c r="D6204" s="107"/>
      <c r="E6204" s="65"/>
      <c r="F6204" s="64"/>
      <c r="G6204" s="64"/>
      <c r="H6204" s="64"/>
      <c r="I6204" s="70"/>
      <c r="J6204" s="70"/>
      <c r="K6204" s="110" t="str">
        <f>IF(H6204="","",IF($C$29="간이법","",FPR(H6204,I6204,J6204)))</f>
        <v/>
      </c>
      <c r="L6204" s="111" t="str">
        <f>IF(H6204="","",IF($C$29="상세법",FPV(H6204,K6204),IF(H6204="EI",4,IF(H6204="EO",5.2,IF(H6204="EQ",3.9,IF(H6204="ILF",7.5,IF(H6204="EIF",5.4)))))))</f>
        <v/>
      </c>
      <c r="M6204" s="112" t="str">
        <f t="shared" si="100"/>
        <v/>
      </c>
      <c r="N6204" s="113"/>
    </row>
    <row r="6205" spans="2:14">
      <c r="B6205" s="105"/>
      <c r="C6205" s="106"/>
      <c r="D6205" s="107"/>
      <c r="E6205" s="65"/>
      <c r="F6205" s="64"/>
      <c r="G6205" s="64"/>
      <c r="H6205" s="64"/>
      <c r="I6205" s="70"/>
      <c r="J6205" s="70"/>
      <c r="K6205" s="110" t="str">
        <f>IF(H6205="","",IF($C$29="간이법","",FPR(H6205,I6205,J6205)))</f>
        <v/>
      </c>
      <c r="L6205" s="111" t="str">
        <f>IF(H6205="","",IF($C$29="상세법",FPV(H6205,K6205),IF(H6205="EI",4,IF(H6205="EO",5.2,IF(H6205="EQ",3.9,IF(H6205="ILF",7.5,IF(H6205="EIF",5.4)))))))</f>
        <v/>
      </c>
      <c r="M6205" s="112" t="str">
        <f t="shared" si="100"/>
        <v/>
      </c>
      <c r="N6205" s="113"/>
    </row>
    <row r="6206" spans="2:14">
      <c r="B6206" s="105"/>
      <c r="C6206" s="106"/>
      <c r="D6206" s="107"/>
      <c r="E6206" s="65"/>
      <c r="F6206" s="64"/>
      <c r="G6206" s="64"/>
      <c r="H6206" s="64"/>
      <c r="I6206" s="70"/>
      <c r="J6206" s="70"/>
      <c r="K6206" s="110" t="str">
        <f>IF(H6206="","",IF($C$29="간이법","",FPR(H6206,I6206,J6206)))</f>
        <v/>
      </c>
      <c r="L6206" s="111" t="str">
        <f>IF(H6206="","",IF($C$29="상세법",FPV(H6206,K6206),IF(H6206="EI",4,IF(H6206="EO",5.2,IF(H6206="EQ",3.9,IF(H6206="ILF",7.5,IF(H6206="EIF",5.4)))))))</f>
        <v/>
      </c>
      <c r="M6206" s="112" t="str">
        <f t="shared" si="100"/>
        <v/>
      </c>
      <c r="N6206" s="113"/>
    </row>
    <row r="6207" spans="2:14">
      <c r="B6207" s="105"/>
      <c r="C6207" s="106"/>
      <c r="D6207" s="107"/>
      <c r="E6207" s="65"/>
      <c r="F6207" s="64"/>
      <c r="G6207" s="64"/>
      <c r="H6207" s="64"/>
      <c r="I6207" s="70"/>
      <c r="J6207" s="70"/>
      <c r="K6207" s="110" t="str">
        <f>IF(H6207="","",IF($C$29="간이법","",FPR(H6207,I6207,J6207)))</f>
        <v/>
      </c>
      <c r="L6207" s="111" t="str">
        <f>IF(H6207="","",IF($C$29="상세법",FPV(H6207,K6207),IF(H6207="EI",4,IF(H6207="EO",5.2,IF(H6207="EQ",3.9,IF(H6207="ILF",7.5,IF(H6207="EIF",5.4)))))))</f>
        <v/>
      </c>
      <c r="M6207" s="112" t="str">
        <f t="shared" si="100"/>
        <v/>
      </c>
      <c r="N6207" s="113"/>
    </row>
    <row r="6208" spans="2:14">
      <c r="B6208" s="105"/>
      <c r="C6208" s="106"/>
      <c r="D6208" s="107"/>
      <c r="E6208" s="65"/>
      <c r="F6208" s="64"/>
      <c r="G6208" s="64"/>
      <c r="H6208" s="64"/>
      <c r="I6208" s="70"/>
      <c r="J6208" s="70"/>
      <c r="K6208" s="110" t="str">
        <f>IF(H6208="","",IF($C$29="간이법","",FPR(H6208,I6208,J6208)))</f>
        <v/>
      </c>
      <c r="L6208" s="111" t="str">
        <f>IF(H6208="","",IF($C$29="상세법",FPV(H6208,K6208),IF(H6208="EI",4,IF(H6208="EO",5.2,IF(H6208="EQ",3.9,IF(H6208="ILF",7.5,IF(H6208="EIF",5.4)))))))</f>
        <v/>
      </c>
      <c r="M6208" s="112" t="str">
        <f t="shared" si="100"/>
        <v/>
      </c>
      <c r="N6208" s="113"/>
    </row>
    <row r="6209" spans="2:14">
      <c r="B6209" s="105"/>
      <c r="C6209" s="106"/>
      <c r="D6209" s="107"/>
      <c r="E6209" s="65"/>
      <c r="F6209" s="64"/>
      <c r="G6209" s="64"/>
      <c r="H6209" s="64"/>
      <c r="I6209" s="70"/>
      <c r="J6209" s="70"/>
      <c r="K6209" s="110" t="str">
        <f>IF(H6209="","",IF($C$29="간이법","",FPR(H6209,I6209,J6209)))</f>
        <v/>
      </c>
      <c r="L6209" s="111" t="str">
        <f>IF(H6209="","",IF($C$29="상세법",FPV(H6209,K6209),IF(H6209="EI",4,IF(H6209="EO",5.2,IF(H6209="EQ",3.9,IF(H6209="ILF",7.5,IF(H6209="EIF",5.4)))))))</f>
        <v/>
      </c>
      <c r="M6209" s="112" t="str">
        <f t="shared" si="100"/>
        <v/>
      </c>
      <c r="N6209" s="113"/>
    </row>
    <row r="6210" spans="2:14">
      <c r="B6210" s="105"/>
      <c r="C6210" s="106"/>
      <c r="D6210" s="107"/>
      <c r="E6210" s="65"/>
      <c r="F6210" s="64"/>
      <c r="G6210" s="64"/>
      <c r="H6210" s="64"/>
      <c r="I6210" s="70"/>
      <c r="J6210" s="70"/>
      <c r="K6210" s="110" t="str">
        <f>IF(H6210="","",IF($C$29="간이법","",FPR(H6210,I6210,J6210)))</f>
        <v/>
      </c>
      <c r="L6210" s="111" t="str">
        <f>IF(H6210="","",IF($C$29="상세법",FPV(H6210,K6210),IF(H6210="EI",4,IF(H6210="EO",5.2,IF(H6210="EQ",3.9,IF(H6210="ILF",7.5,IF(H6210="EIF",5.4)))))))</f>
        <v/>
      </c>
      <c r="M6210" s="112" t="str">
        <f t="shared" si="100"/>
        <v/>
      </c>
      <c r="N6210" s="113"/>
    </row>
    <row r="6211" spans="2:14">
      <c r="B6211" s="105"/>
      <c r="C6211" s="106"/>
      <c r="D6211" s="107"/>
      <c r="E6211" s="65"/>
      <c r="F6211" s="64"/>
      <c r="G6211" s="64"/>
      <c r="H6211" s="64"/>
      <c r="I6211" s="70"/>
      <c r="J6211" s="70"/>
      <c r="K6211" s="110" t="str">
        <f>IF(H6211="","",IF($C$29="간이법","",FPR(H6211,I6211,J6211)))</f>
        <v/>
      </c>
      <c r="L6211" s="111" t="str">
        <f>IF(H6211="","",IF($C$29="상세법",FPV(H6211,K6211),IF(H6211="EI",4,IF(H6211="EO",5.2,IF(H6211="EQ",3.9,IF(H6211="ILF",7.5,IF(H6211="EIF",5.4)))))))</f>
        <v/>
      </c>
      <c r="M6211" s="112" t="str">
        <f t="shared" si="100"/>
        <v/>
      </c>
      <c r="N6211" s="113"/>
    </row>
    <row r="6212" spans="2:14">
      <c r="B6212" s="105"/>
      <c r="C6212" s="106"/>
      <c r="D6212" s="107"/>
      <c r="E6212" s="65"/>
      <c r="F6212" s="64"/>
      <c r="G6212" s="64"/>
      <c r="H6212" s="64"/>
      <c r="I6212" s="70"/>
      <c r="J6212" s="70"/>
      <c r="K6212" s="110" t="str">
        <f>IF(H6212="","",IF($C$29="간이법","",FPR(H6212,I6212,J6212)))</f>
        <v/>
      </c>
      <c r="L6212" s="111" t="str">
        <f>IF(H6212="","",IF($C$29="상세법",FPV(H6212,K6212),IF(H6212="EI",4,IF(H6212="EO",5.2,IF(H6212="EQ",3.9,IF(H6212="ILF",7.5,IF(H6212="EIF",5.4)))))))</f>
        <v/>
      </c>
      <c r="M6212" s="112" t="str">
        <f t="shared" si="100"/>
        <v/>
      </c>
      <c r="N6212" s="113"/>
    </row>
    <row r="6213" spans="2:14">
      <c r="B6213" s="105"/>
      <c r="C6213" s="106"/>
      <c r="D6213" s="107"/>
      <c r="E6213" s="65"/>
      <c r="F6213" s="64"/>
      <c r="G6213" s="64"/>
      <c r="H6213" s="64"/>
      <c r="I6213" s="70"/>
      <c r="J6213" s="70"/>
      <c r="K6213" s="110" t="str">
        <f>IF(H6213="","",IF($C$29="간이법","",FPR(H6213,I6213,J6213)))</f>
        <v/>
      </c>
      <c r="L6213" s="111" t="str">
        <f>IF(H6213="","",IF($C$29="상세법",FPV(H6213,K6213),IF(H6213="EI",4,IF(H6213="EO",5.2,IF(H6213="EQ",3.9,IF(H6213="ILF",7.5,IF(H6213="EIF",5.4)))))))</f>
        <v/>
      </c>
      <c r="M6213" s="112" t="str">
        <f t="shared" si="100"/>
        <v/>
      </c>
      <c r="N6213" s="113"/>
    </row>
    <row r="6214" spans="2:14">
      <c r="B6214" s="105"/>
      <c r="C6214" s="106"/>
      <c r="D6214" s="107"/>
      <c r="E6214" s="65"/>
      <c r="F6214" s="64"/>
      <c r="G6214" s="64"/>
      <c r="H6214" s="64"/>
      <c r="I6214" s="70"/>
      <c r="J6214" s="70"/>
      <c r="K6214" s="110" t="str">
        <f>IF(H6214="","",IF($C$29="간이법","",FPR(H6214,I6214,J6214)))</f>
        <v/>
      </c>
      <c r="L6214" s="111" t="str">
        <f>IF(H6214="","",IF($C$29="상세법",FPV(H6214,K6214),IF(H6214="EI",4,IF(H6214="EO",5.2,IF(H6214="EQ",3.9,IF(H6214="ILF",7.5,IF(H6214="EIF",5.4)))))))</f>
        <v/>
      </c>
      <c r="M6214" s="112" t="str">
        <f t="shared" si="100"/>
        <v/>
      </c>
      <c r="N6214" s="113"/>
    </row>
    <row r="6215" spans="2:14">
      <c r="B6215" s="105"/>
      <c r="C6215" s="106"/>
      <c r="D6215" s="107"/>
      <c r="E6215" s="65"/>
      <c r="F6215" s="64"/>
      <c r="G6215" s="64"/>
      <c r="H6215" s="64"/>
      <c r="I6215" s="70"/>
      <c r="J6215" s="70"/>
      <c r="K6215" s="110" t="str">
        <f>IF(H6215="","",IF($C$29="간이법","",FPR(H6215,I6215,J6215)))</f>
        <v/>
      </c>
      <c r="L6215" s="111" t="str">
        <f>IF(H6215="","",IF($C$29="상세법",FPV(H6215,K6215),IF(H6215="EI",4,IF(H6215="EO",5.2,IF(H6215="EQ",3.9,IF(H6215="ILF",7.5,IF(H6215="EIF",5.4)))))))</f>
        <v/>
      </c>
      <c r="M6215" s="112" t="str">
        <f t="shared" si="100"/>
        <v/>
      </c>
      <c r="N6215" s="113"/>
    </row>
    <row r="6216" spans="2:14">
      <c r="B6216" s="105"/>
      <c r="C6216" s="106"/>
      <c r="D6216" s="107"/>
      <c r="E6216" s="65"/>
      <c r="F6216" s="64"/>
      <c r="G6216" s="64"/>
      <c r="H6216" s="64"/>
      <c r="I6216" s="70"/>
      <c r="J6216" s="70"/>
      <c r="K6216" s="110" t="str">
        <f>IF(H6216="","",IF($C$29="간이법","",FPR(H6216,I6216,J6216)))</f>
        <v/>
      </c>
      <c r="L6216" s="111" t="str">
        <f>IF(H6216="","",IF($C$29="상세법",FPV(H6216,K6216),IF(H6216="EI",4,IF(H6216="EO",5.2,IF(H6216="EQ",3.9,IF(H6216="ILF",7.5,IF(H6216="EIF",5.4)))))))</f>
        <v/>
      </c>
      <c r="M6216" s="112" t="str">
        <f t="shared" si="100"/>
        <v/>
      </c>
      <c r="N6216" s="113"/>
    </row>
    <row r="6217" spans="2:14">
      <c r="B6217" s="105"/>
      <c r="C6217" s="106"/>
      <c r="D6217" s="107"/>
      <c r="E6217" s="65"/>
      <c r="F6217" s="64"/>
      <c r="G6217" s="64"/>
      <c r="H6217" s="64"/>
      <c r="I6217" s="70"/>
      <c r="J6217" s="70"/>
      <c r="K6217" s="110" t="str">
        <f>IF(H6217="","",IF($C$29="간이법","",FPR(H6217,I6217,J6217)))</f>
        <v/>
      </c>
      <c r="L6217" s="111" t="str">
        <f>IF(H6217="","",IF($C$29="상세법",FPV(H6217,K6217),IF(H6217="EI",4,IF(H6217="EO",5.2,IF(H6217="EQ",3.9,IF(H6217="ILF",7.5,IF(H6217="EIF",5.4)))))))</f>
        <v/>
      </c>
      <c r="M6217" s="112" t="str">
        <f t="shared" si="100"/>
        <v/>
      </c>
      <c r="N6217" s="113"/>
    </row>
    <row r="6218" spans="2:14">
      <c r="B6218" s="105"/>
      <c r="C6218" s="106"/>
      <c r="D6218" s="107"/>
      <c r="E6218" s="65"/>
      <c r="F6218" s="64"/>
      <c r="G6218" s="64"/>
      <c r="H6218" s="64"/>
      <c r="I6218" s="70"/>
      <c r="J6218" s="70"/>
      <c r="K6218" s="110" t="str">
        <f>IF(H6218="","",IF($C$29="간이법","",FPR(H6218,I6218,J6218)))</f>
        <v/>
      </c>
      <c r="L6218" s="111" t="str">
        <f>IF(H6218="","",IF($C$29="상세법",FPV(H6218,K6218),IF(H6218="EI",4,IF(H6218="EO",5.2,IF(H6218="EQ",3.9,IF(H6218="ILF",7.5,IF(H6218="EIF",5.4)))))))</f>
        <v/>
      </c>
      <c r="M6218" s="112" t="str">
        <f t="shared" si="100"/>
        <v/>
      </c>
      <c r="N6218" s="113"/>
    </row>
    <row r="6219" spans="2:14">
      <c r="B6219" s="105"/>
      <c r="C6219" s="106"/>
      <c r="D6219" s="107"/>
      <c r="E6219" s="65"/>
      <c r="F6219" s="64"/>
      <c r="G6219" s="64"/>
      <c r="H6219" s="64"/>
      <c r="I6219" s="70"/>
      <c r="J6219" s="70"/>
      <c r="K6219" s="110" t="str">
        <f>IF(H6219="","",IF($C$29="간이법","",FPR(H6219,I6219,J6219)))</f>
        <v/>
      </c>
      <c r="L6219" s="111" t="str">
        <f>IF(H6219="","",IF($C$29="상세법",FPV(H6219,K6219),IF(H6219="EI",4,IF(H6219="EO",5.2,IF(H6219="EQ",3.9,IF(H6219="ILF",7.5,IF(H6219="EIF",5.4)))))))</f>
        <v/>
      </c>
      <c r="M6219" s="112" t="str">
        <f t="shared" si="100"/>
        <v/>
      </c>
      <c r="N6219" s="113"/>
    </row>
    <row r="6220" spans="2:14">
      <c r="B6220" s="105"/>
      <c r="C6220" s="106"/>
      <c r="D6220" s="107"/>
      <c r="E6220" s="65"/>
      <c r="F6220" s="64"/>
      <c r="G6220" s="64"/>
      <c r="H6220" s="64"/>
      <c r="I6220" s="70"/>
      <c r="J6220" s="70"/>
      <c r="K6220" s="110" t="str">
        <f>IF(H6220="","",IF($C$29="간이법","",FPR(H6220,I6220,J6220)))</f>
        <v/>
      </c>
      <c r="L6220" s="111" t="str">
        <f>IF(H6220="","",IF($C$29="상세법",FPV(H6220,K6220),IF(H6220="EI",4,IF(H6220="EO",5.2,IF(H6220="EQ",3.9,IF(H6220="ILF",7.5,IF(H6220="EIF",5.4)))))))</f>
        <v/>
      </c>
      <c r="M6220" s="112" t="str">
        <f t="shared" si="100"/>
        <v/>
      </c>
      <c r="N6220" s="113"/>
    </row>
    <row r="6221" spans="2:14">
      <c r="B6221" s="105"/>
      <c r="C6221" s="106"/>
      <c r="D6221" s="107"/>
      <c r="E6221" s="65"/>
      <c r="F6221" s="64"/>
      <c r="G6221" s="64"/>
      <c r="H6221" s="64"/>
      <c r="I6221" s="70"/>
      <c r="J6221" s="70"/>
      <c r="K6221" s="110" t="str">
        <f>IF(H6221="","",IF($C$29="간이법","",FPR(H6221,I6221,J6221)))</f>
        <v/>
      </c>
      <c r="L6221" s="111" t="str">
        <f>IF(H6221="","",IF($C$29="상세법",FPV(H6221,K6221),IF(H6221="EI",4,IF(H6221="EO",5.2,IF(H6221="EQ",3.9,IF(H6221="ILF",7.5,IF(H6221="EIF",5.4)))))))</f>
        <v/>
      </c>
      <c r="M6221" s="112" t="str">
        <f t="shared" si="100"/>
        <v/>
      </c>
      <c r="N6221" s="113"/>
    </row>
    <row r="6222" spans="2:14">
      <c r="B6222" s="105"/>
      <c r="C6222" s="106"/>
      <c r="D6222" s="107"/>
      <c r="E6222" s="65"/>
      <c r="F6222" s="64"/>
      <c r="G6222" s="64"/>
      <c r="H6222" s="64"/>
      <c r="I6222" s="70"/>
      <c r="J6222" s="70"/>
      <c r="K6222" s="110" t="str">
        <f>IF(H6222="","",IF($C$29="간이법","",FPR(H6222,I6222,J6222)))</f>
        <v/>
      </c>
      <c r="L6222" s="111" t="str">
        <f>IF(H6222="","",IF($C$29="상세법",FPV(H6222,K6222),IF(H6222="EI",4,IF(H6222="EO",5.2,IF(H6222="EQ",3.9,IF(H6222="ILF",7.5,IF(H6222="EIF",5.4)))))))</f>
        <v/>
      </c>
      <c r="M6222" s="112" t="str">
        <f t="shared" si="100"/>
        <v/>
      </c>
      <c r="N6222" s="113"/>
    </row>
    <row r="6223" spans="2:14">
      <c r="B6223" s="105"/>
      <c r="C6223" s="106"/>
      <c r="D6223" s="107"/>
      <c r="E6223" s="65"/>
      <c r="F6223" s="64"/>
      <c r="G6223" s="64"/>
      <c r="H6223" s="64"/>
      <c r="I6223" s="70"/>
      <c r="J6223" s="70"/>
      <c r="K6223" s="110" t="str">
        <f>IF(H6223="","",IF($C$29="간이법","",FPR(H6223,I6223,J6223)))</f>
        <v/>
      </c>
      <c r="L6223" s="111" t="str">
        <f>IF(H6223="","",IF($C$29="상세법",FPV(H6223,K6223),IF(H6223="EI",4,IF(H6223="EO",5.2,IF(H6223="EQ",3.9,IF(H6223="ILF",7.5,IF(H6223="EIF",5.4)))))))</f>
        <v/>
      </c>
      <c r="M6223" s="112" t="str">
        <f t="shared" si="100"/>
        <v/>
      </c>
      <c r="N6223" s="113"/>
    </row>
    <row r="6224" spans="2:14">
      <c r="B6224" s="105"/>
      <c r="C6224" s="106"/>
      <c r="D6224" s="107"/>
      <c r="E6224" s="65"/>
      <c r="F6224" s="64"/>
      <c r="G6224" s="64"/>
      <c r="H6224" s="64"/>
      <c r="I6224" s="70"/>
      <c r="J6224" s="70"/>
      <c r="K6224" s="110" t="str">
        <f>IF(H6224="","",IF($C$29="간이법","",FPR(H6224,I6224,J6224)))</f>
        <v/>
      </c>
      <c r="L6224" s="111" t="str">
        <f>IF(H6224="","",IF($C$29="상세법",FPV(H6224,K6224),IF(H6224="EI",4,IF(H6224="EO",5.2,IF(H6224="EQ",3.9,IF(H6224="ILF",7.5,IF(H6224="EIF",5.4)))))))</f>
        <v/>
      </c>
      <c r="M6224" s="112" t="str">
        <f t="shared" si="100"/>
        <v/>
      </c>
      <c r="N6224" s="113"/>
    </row>
    <row r="6225" spans="2:14">
      <c r="B6225" s="105"/>
      <c r="C6225" s="106"/>
      <c r="D6225" s="107"/>
      <c r="E6225" s="65"/>
      <c r="F6225" s="64"/>
      <c r="G6225" s="64"/>
      <c r="H6225" s="64"/>
      <c r="I6225" s="70"/>
      <c r="J6225" s="70"/>
      <c r="K6225" s="110" t="str">
        <f>IF(H6225="","",IF($C$29="간이법","",FPR(H6225,I6225,J6225)))</f>
        <v/>
      </c>
      <c r="L6225" s="111" t="str">
        <f>IF(H6225="","",IF($C$29="상세법",FPV(H6225,K6225),IF(H6225="EI",4,IF(H6225="EO",5.2,IF(H6225="EQ",3.9,IF(H6225="ILF",7.5,IF(H6225="EIF",5.4)))))))</f>
        <v/>
      </c>
      <c r="M6225" s="112" t="str">
        <f t="shared" si="100"/>
        <v/>
      </c>
      <c r="N6225" s="113"/>
    </row>
    <row r="6226" spans="2:14">
      <c r="B6226" s="105"/>
      <c r="C6226" s="106"/>
      <c r="D6226" s="107"/>
      <c r="E6226" s="65"/>
      <c r="F6226" s="64"/>
      <c r="G6226" s="64"/>
      <c r="H6226" s="64"/>
      <c r="I6226" s="70"/>
      <c r="J6226" s="70"/>
      <c r="K6226" s="110" t="str">
        <f>IF(H6226="","",IF($C$29="간이법","",FPR(H6226,I6226,J6226)))</f>
        <v/>
      </c>
      <c r="L6226" s="111" t="str">
        <f>IF(H6226="","",IF($C$29="상세법",FPV(H6226,K6226),IF(H6226="EI",4,IF(H6226="EO",5.2,IF(H6226="EQ",3.9,IF(H6226="ILF",7.5,IF(H6226="EIF",5.4)))))))</f>
        <v/>
      </c>
      <c r="M6226" s="112" t="str">
        <f t="shared" si="100"/>
        <v/>
      </c>
      <c r="N6226" s="113"/>
    </row>
    <row r="6227" spans="2:14">
      <c r="B6227" s="105"/>
      <c r="C6227" s="106"/>
      <c r="D6227" s="107"/>
      <c r="E6227" s="65"/>
      <c r="F6227" s="64"/>
      <c r="G6227" s="64"/>
      <c r="H6227" s="64"/>
      <c r="I6227" s="70"/>
      <c r="J6227" s="70"/>
      <c r="K6227" s="110" t="str">
        <f>IF(H6227="","",IF($C$29="간이법","",FPR(H6227,I6227,J6227)))</f>
        <v/>
      </c>
      <c r="L6227" s="111" t="str">
        <f>IF(H6227="","",IF($C$29="상세법",FPV(H6227,K6227),IF(H6227="EI",4,IF(H6227="EO",5.2,IF(H6227="EQ",3.9,IF(H6227="ILF",7.5,IF(H6227="EIF",5.4)))))))</f>
        <v/>
      </c>
      <c r="M6227" s="112" t="str">
        <f t="shared" si="100"/>
        <v/>
      </c>
      <c r="N6227" s="113"/>
    </row>
    <row r="6228" spans="2:14">
      <c r="B6228" s="105"/>
      <c r="C6228" s="106"/>
      <c r="D6228" s="107"/>
      <c r="E6228" s="65"/>
      <c r="F6228" s="64"/>
      <c r="G6228" s="64"/>
      <c r="H6228" s="64"/>
      <c r="I6228" s="70"/>
      <c r="J6228" s="70"/>
      <c r="K6228" s="110" t="str">
        <f>IF(H6228="","",IF($C$29="간이법","",FPR(H6228,I6228,J6228)))</f>
        <v/>
      </c>
      <c r="L6228" s="111" t="str">
        <f>IF(H6228="","",IF($C$29="상세법",FPV(H6228,K6228),IF(H6228="EI",4,IF(H6228="EO",5.2,IF(H6228="EQ",3.9,IF(H6228="ILF",7.5,IF(H6228="EIF",5.4)))))))</f>
        <v/>
      </c>
      <c r="M6228" s="112" t="str">
        <f t="shared" si="100"/>
        <v/>
      </c>
      <c r="N6228" s="113"/>
    </row>
    <row r="6229" spans="2:14">
      <c r="B6229" s="105"/>
      <c r="C6229" s="106"/>
      <c r="D6229" s="107"/>
      <c r="E6229" s="65"/>
      <c r="F6229" s="64"/>
      <c r="G6229" s="64"/>
      <c r="H6229" s="64"/>
      <c r="I6229" s="70"/>
      <c r="J6229" s="70"/>
      <c r="K6229" s="110" t="str">
        <f>IF(H6229="","",IF($C$29="간이법","",FPR(H6229,I6229,J6229)))</f>
        <v/>
      </c>
      <c r="L6229" s="111" t="str">
        <f>IF(H6229="","",IF($C$29="상세법",FPV(H6229,K6229),IF(H6229="EI",4,IF(H6229="EO",5.2,IF(H6229="EQ",3.9,IF(H6229="ILF",7.5,IF(H6229="EIF",5.4)))))))</f>
        <v/>
      </c>
      <c r="M6229" s="112" t="str">
        <f t="shared" si="100"/>
        <v/>
      </c>
      <c r="N6229" s="113"/>
    </row>
    <row r="6230" spans="2:14">
      <c r="B6230" s="105"/>
      <c r="C6230" s="106"/>
      <c r="D6230" s="107"/>
      <c r="E6230" s="65"/>
      <c r="F6230" s="64"/>
      <c r="G6230" s="64"/>
      <c r="H6230" s="64"/>
      <c r="I6230" s="70"/>
      <c r="J6230" s="70"/>
      <c r="K6230" s="110" t="str">
        <f>IF(H6230="","",IF($C$29="간이법","",FPR(H6230,I6230,J6230)))</f>
        <v/>
      </c>
      <c r="L6230" s="111" t="str">
        <f>IF(H6230="","",IF($C$29="상세법",FPV(H6230,K6230),IF(H6230="EI",4,IF(H6230="EO",5.2,IF(H6230="EQ",3.9,IF(H6230="ILF",7.5,IF(H6230="EIF",5.4)))))))</f>
        <v/>
      </c>
      <c r="M6230" s="112" t="str">
        <f t="shared" si="100"/>
        <v/>
      </c>
      <c r="N6230" s="113"/>
    </row>
    <row r="6231" spans="2:14">
      <c r="B6231" s="105"/>
      <c r="C6231" s="106"/>
      <c r="D6231" s="107"/>
      <c r="E6231" s="65"/>
      <c r="F6231" s="64"/>
      <c r="G6231" s="64"/>
      <c r="H6231" s="64"/>
      <c r="I6231" s="70"/>
      <c r="J6231" s="70"/>
      <c r="K6231" s="110" t="str">
        <f>IF(H6231="","",IF($C$29="간이법","",FPR(H6231,I6231,J6231)))</f>
        <v/>
      </c>
      <c r="L6231" s="111" t="str">
        <f>IF(H6231="","",IF($C$29="상세법",FPV(H6231,K6231),IF(H6231="EI",4,IF(H6231="EO",5.2,IF(H6231="EQ",3.9,IF(H6231="ILF",7.5,IF(H6231="EIF",5.4)))))))</f>
        <v/>
      </c>
      <c r="M6231" s="112" t="str">
        <f t="shared" si="100"/>
        <v/>
      </c>
      <c r="N6231" s="113"/>
    </row>
    <row r="6232" spans="2:14">
      <c r="B6232" s="105"/>
      <c r="C6232" s="106"/>
      <c r="D6232" s="107"/>
      <c r="E6232" s="65"/>
      <c r="F6232" s="64"/>
      <c r="G6232" s="64"/>
      <c r="H6232" s="64"/>
      <c r="I6232" s="70"/>
      <c r="J6232" s="70"/>
      <c r="K6232" s="110" t="str">
        <f>IF(H6232="","",IF($C$29="간이법","",FPR(H6232,I6232,J6232)))</f>
        <v/>
      </c>
      <c r="L6232" s="111" t="str">
        <f>IF(H6232="","",IF($C$29="상세법",FPV(H6232,K6232),IF(H6232="EI",4,IF(H6232="EO",5.2,IF(H6232="EQ",3.9,IF(H6232="ILF",7.5,IF(H6232="EIF",5.4)))))))</f>
        <v/>
      </c>
      <c r="M6232" s="112" t="str">
        <f t="shared" si="100"/>
        <v/>
      </c>
      <c r="N6232" s="113"/>
    </row>
    <row r="6233" spans="2:14">
      <c r="B6233" s="105"/>
      <c r="C6233" s="106"/>
      <c r="D6233" s="107"/>
      <c r="E6233" s="65"/>
      <c r="F6233" s="64"/>
      <c r="G6233" s="64"/>
      <c r="H6233" s="64"/>
      <c r="I6233" s="70"/>
      <c r="J6233" s="70"/>
      <c r="K6233" s="110" t="str">
        <f>IF(H6233="","",IF($C$29="간이법","",FPR(H6233,I6233,J6233)))</f>
        <v/>
      </c>
      <c r="L6233" s="111" t="str">
        <f>IF(H6233="","",IF($C$29="상세법",FPV(H6233,K6233),IF(H6233="EI",4,IF(H6233="EO",5.2,IF(H6233="EQ",3.9,IF(H6233="ILF",7.5,IF(H6233="EIF",5.4)))))))</f>
        <v/>
      </c>
      <c r="M6233" s="112" t="str">
        <f t="shared" si="100"/>
        <v/>
      </c>
      <c r="N6233" s="113"/>
    </row>
    <row r="6234" spans="2:14">
      <c r="B6234" s="105"/>
      <c r="C6234" s="106"/>
      <c r="D6234" s="107"/>
      <c r="E6234" s="65"/>
      <c r="F6234" s="64"/>
      <c r="G6234" s="64"/>
      <c r="H6234" s="64"/>
      <c r="I6234" s="70"/>
      <c r="J6234" s="70"/>
      <c r="K6234" s="110" t="str">
        <f>IF(H6234="","",IF($C$29="간이법","",FPR(H6234,I6234,J6234)))</f>
        <v/>
      </c>
      <c r="L6234" s="111" t="str">
        <f>IF(H6234="","",IF($C$29="상세법",FPV(H6234,K6234),IF(H6234="EI",4,IF(H6234="EO",5.2,IF(H6234="EQ",3.9,IF(H6234="ILF",7.5,IF(H6234="EIF",5.4)))))))</f>
        <v/>
      </c>
      <c r="M6234" s="112" t="str">
        <f t="shared" si="100"/>
        <v/>
      </c>
      <c r="N6234" s="113"/>
    </row>
    <row r="6235" spans="2:14">
      <c r="B6235" s="105"/>
      <c r="C6235" s="106"/>
      <c r="D6235" s="107"/>
      <c r="E6235" s="65"/>
      <c r="F6235" s="64"/>
      <c r="G6235" s="64"/>
      <c r="H6235" s="64"/>
      <c r="I6235" s="70"/>
      <c r="J6235" s="70"/>
      <c r="K6235" s="110" t="str">
        <f>IF(H6235="","",IF($C$29="간이법","",FPR(H6235,I6235,J6235)))</f>
        <v/>
      </c>
      <c r="L6235" s="111" t="str">
        <f>IF(H6235="","",IF($C$29="상세법",FPV(H6235,K6235),IF(H6235="EI",4,IF(H6235="EO",5.2,IF(H6235="EQ",3.9,IF(H6235="ILF",7.5,IF(H6235="EIF",5.4)))))))</f>
        <v/>
      </c>
      <c r="M6235" s="112" t="str">
        <f t="shared" si="100"/>
        <v/>
      </c>
      <c r="N6235" s="113"/>
    </row>
    <row r="6236" spans="2:14">
      <c r="B6236" s="105"/>
      <c r="C6236" s="106"/>
      <c r="D6236" s="107"/>
      <c r="E6236" s="65"/>
      <c r="F6236" s="64"/>
      <c r="G6236" s="64"/>
      <c r="H6236" s="64"/>
      <c r="I6236" s="70"/>
      <c r="J6236" s="70"/>
      <c r="K6236" s="110" t="str">
        <f>IF(H6236="","",IF($C$29="간이법","",FPR(H6236,I6236,J6236)))</f>
        <v/>
      </c>
      <c r="L6236" s="111" t="str">
        <f>IF(H6236="","",IF($C$29="상세법",FPV(H6236,K6236),IF(H6236="EI",4,IF(H6236="EO",5.2,IF(H6236="EQ",3.9,IF(H6236="ILF",7.5,IF(H6236="EIF",5.4)))))))</f>
        <v/>
      </c>
      <c r="M6236" s="112" t="str">
        <f t="shared" si="100"/>
        <v/>
      </c>
      <c r="N6236" s="113"/>
    </row>
    <row r="6237" spans="2:14">
      <c r="B6237" s="105"/>
      <c r="C6237" s="106"/>
      <c r="D6237" s="107"/>
      <c r="E6237" s="65"/>
      <c r="F6237" s="64"/>
      <c r="G6237" s="64"/>
      <c r="H6237" s="64"/>
      <c r="I6237" s="70"/>
      <c r="J6237" s="70"/>
      <c r="K6237" s="110" t="str">
        <f>IF(H6237="","",IF($C$29="간이법","",FPR(H6237,I6237,J6237)))</f>
        <v/>
      </c>
      <c r="L6237" s="111" t="str">
        <f>IF(H6237="","",IF($C$29="상세법",FPV(H6237,K6237),IF(H6237="EI",4,IF(H6237="EO",5.2,IF(H6237="EQ",3.9,IF(H6237="ILF",7.5,IF(H6237="EIF",5.4)))))))</f>
        <v/>
      </c>
      <c r="M6237" s="112" t="str">
        <f t="shared" si="100"/>
        <v/>
      </c>
      <c r="N6237" s="113"/>
    </row>
    <row r="6238" spans="2:14">
      <c r="B6238" s="105"/>
      <c r="C6238" s="106"/>
      <c r="D6238" s="107"/>
      <c r="E6238" s="65"/>
      <c r="F6238" s="64"/>
      <c r="G6238" s="64"/>
      <c r="H6238" s="64"/>
      <c r="I6238" s="70"/>
      <c r="J6238" s="70"/>
      <c r="K6238" s="110" t="str">
        <f>IF(H6238="","",IF($C$29="간이법","",FPR(H6238,I6238,J6238)))</f>
        <v/>
      </c>
      <c r="L6238" s="111" t="str">
        <f>IF(H6238="","",IF($C$29="상세법",FPV(H6238,K6238),IF(H6238="EI",4,IF(H6238="EO",5.2,IF(H6238="EQ",3.9,IF(H6238="ILF",7.5,IF(H6238="EIF",5.4)))))))</f>
        <v/>
      </c>
      <c r="M6238" s="112" t="str">
        <f t="shared" si="100"/>
        <v/>
      </c>
      <c r="N6238" s="113"/>
    </row>
    <row r="6239" spans="2:14">
      <c r="B6239" s="105"/>
      <c r="C6239" s="106"/>
      <c r="D6239" s="107"/>
      <c r="E6239" s="65"/>
      <c r="F6239" s="64"/>
      <c r="G6239" s="64"/>
      <c r="H6239" s="64"/>
      <c r="I6239" s="70"/>
      <c r="J6239" s="70"/>
      <c r="K6239" s="110" t="str">
        <f>IF(H6239="","",IF($C$29="간이법","",FPR(H6239,I6239,J6239)))</f>
        <v/>
      </c>
      <c r="L6239" s="111" t="str">
        <f>IF(H6239="","",IF($C$29="상세법",FPV(H6239,K6239),IF(H6239="EI",4,IF(H6239="EO",5.2,IF(H6239="EQ",3.9,IF(H6239="ILF",7.5,IF(H6239="EIF",5.4)))))))</f>
        <v/>
      </c>
      <c r="M6239" s="112" t="str">
        <f t="shared" si="100"/>
        <v/>
      </c>
      <c r="N6239" s="113"/>
    </row>
    <row r="6240" spans="2:14">
      <c r="B6240" s="105"/>
      <c r="C6240" s="106"/>
      <c r="D6240" s="107"/>
      <c r="E6240" s="65"/>
      <c r="F6240" s="64"/>
      <c r="G6240" s="64"/>
      <c r="H6240" s="64"/>
      <c r="I6240" s="70"/>
      <c r="J6240" s="70"/>
      <c r="K6240" s="110" t="str">
        <f>IF(H6240="","",IF($C$29="간이법","",FPR(H6240,I6240,J6240)))</f>
        <v/>
      </c>
      <c r="L6240" s="111" t="str">
        <f>IF(H6240="","",IF($C$29="상세법",FPV(H6240,K6240),IF(H6240="EI",4,IF(H6240="EO",5.2,IF(H6240="EQ",3.9,IF(H6240="ILF",7.5,IF(H6240="EIF",5.4)))))))</f>
        <v/>
      </c>
      <c r="M6240" s="112" t="str">
        <f t="shared" si="100"/>
        <v/>
      </c>
      <c r="N6240" s="113"/>
    </row>
    <row r="6241" spans="2:14">
      <c r="B6241" s="105"/>
      <c r="C6241" s="106"/>
      <c r="D6241" s="107"/>
      <c r="E6241" s="65"/>
      <c r="F6241" s="64"/>
      <c r="G6241" s="64"/>
      <c r="H6241" s="64"/>
      <c r="I6241" s="70"/>
      <c r="J6241" s="70"/>
      <c r="K6241" s="110" t="str">
        <f>IF(H6241="","",IF($C$29="간이법","",FPR(H6241,I6241,J6241)))</f>
        <v/>
      </c>
      <c r="L6241" s="111" t="str">
        <f>IF(H6241="","",IF($C$29="상세법",FPV(H6241,K6241),IF(H6241="EI",4,IF(H6241="EO",5.2,IF(H6241="EQ",3.9,IF(H6241="ILF",7.5,IF(H6241="EIF",5.4)))))))</f>
        <v/>
      </c>
      <c r="M6241" s="112" t="str">
        <f t="shared" si="100"/>
        <v/>
      </c>
      <c r="N6241" s="113"/>
    </row>
    <row r="6242" spans="2:14">
      <c r="B6242" s="105"/>
      <c r="C6242" s="106"/>
      <c r="D6242" s="107"/>
      <c r="E6242" s="65"/>
      <c r="F6242" s="64"/>
      <c r="G6242" s="64"/>
      <c r="H6242" s="64"/>
      <c r="I6242" s="70"/>
      <c r="J6242" s="70"/>
      <c r="K6242" s="110" t="str">
        <f>IF(H6242="","",IF($C$29="간이법","",FPR(H6242,I6242,J6242)))</f>
        <v/>
      </c>
      <c r="L6242" s="111" t="str">
        <f>IF(H6242="","",IF($C$29="상세법",FPV(H6242,K6242),IF(H6242="EI",4,IF(H6242="EO",5.2,IF(H6242="EQ",3.9,IF(H6242="ILF",7.5,IF(H6242="EIF",5.4)))))))</f>
        <v/>
      </c>
      <c r="M6242" s="112" t="str">
        <f t="shared" si="100"/>
        <v/>
      </c>
      <c r="N6242" s="113"/>
    </row>
    <row r="6243" spans="2:14">
      <c r="B6243" s="105"/>
      <c r="C6243" s="106"/>
      <c r="D6243" s="107"/>
      <c r="E6243" s="65"/>
      <c r="F6243" s="64"/>
      <c r="G6243" s="64"/>
      <c r="H6243" s="64"/>
      <c r="I6243" s="70"/>
      <c r="J6243" s="70"/>
      <c r="K6243" s="110" t="str">
        <f>IF(H6243="","",IF($C$29="간이법","",FPR(H6243,I6243,J6243)))</f>
        <v/>
      </c>
      <c r="L6243" s="111" t="str">
        <f>IF(H6243="","",IF($C$29="상세법",FPV(H6243,K6243),IF(H6243="EI",4,IF(H6243="EO",5.2,IF(H6243="EQ",3.9,IF(H6243="ILF",7.5,IF(H6243="EIF",5.4)))))))</f>
        <v/>
      </c>
      <c r="M6243" s="112" t="str">
        <f t="shared" si="100"/>
        <v/>
      </c>
      <c r="N6243" s="113"/>
    </row>
    <row r="6244" spans="2:14">
      <c r="B6244" s="105"/>
      <c r="C6244" s="106"/>
      <c r="D6244" s="107"/>
      <c r="E6244" s="65"/>
      <c r="F6244" s="64"/>
      <c r="G6244" s="64"/>
      <c r="H6244" s="64"/>
      <c r="I6244" s="70"/>
      <c r="J6244" s="70"/>
      <c r="K6244" s="110" t="str">
        <f>IF(H6244="","",IF($C$29="간이법","",FPR(H6244,I6244,J6244)))</f>
        <v/>
      </c>
      <c r="L6244" s="111" t="str">
        <f>IF(H6244="","",IF($C$29="상세법",FPV(H6244,K6244),IF(H6244="EI",4,IF(H6244="EO",5.2,IF(H6244="EQ",3.9,IF(H6244="ILF",7.5,IF(H6244="EIF",5.4)))))))</f>
        <v/>
      </c>
      <c r="M6244" s="112" t="str">
        <f t="shared" si="100"/>
        <v/>
      </c>
      <c r="N6244" s="113"/>
    </row>
    <row r="6245" spans="2:14">
      <c r="B6245" s="105"/>
      <c r="C6245" s="106"/>
      <c r="D6245" s="107"/>
      <c r="E6245" s="65"/>
      <c r="F6245" s="64"/>
      <c r="G6245" s="64"/>
      <c r="H6245" s="64"/>
      <c r="I6245" s="70"/>
      <c r="J6245" s="70"/>
      <c r="K6245" s="110" t="str">
        <f>IF(H6245="","",IF($C$29="간이법","",FPR(H6245,I6245,J6245)))</f>
        <v/>
      </c>
      <c r="L6245" s="111" t="str">
        <f>IF(H6245="","",IF($C$29="상세법",FPV(H6245,K6245),IF(H6245="EI",4,IF(H6245="EO",5.2,IF(H6245="EQ",3.9,IF(H6245="ILF",7.5,IF(H6245="EIF",5.4)))))))</f>
        <v/>
      </c>
      <c r="M6245" s="112" t="str">
        <f t="shared" si="100"/>
        <v/>
      </c>
      <c r="N6245" s="113"/>
    </row>
    <row r="6246" spans="2:14">
      <c r="B6246" s="105"/>
      <c r="C6246" s="106"/>
      <c r="D6246" s="107"/>
      <c r="E6246" s="65"/>
      <c r="F6246" s="64"/>
      <c r="G6246" s="64"/>
      <c r="H6246" s="64"/>
      <c r="I6246" s="70"/>
      <c r="J6246" s="70"/>
      <c r="K6246" s="110" t="str">
        <f>IF(H6246="","",IF($C$29="간이법","",FPR(H6246,I6246,J6246)))</f>
        <v/>
      </c>
      <c r="L6246" s="111" t="str">
        <f>IF(H6246="","",IF($C$29="상세법",FPV(H6246,K6246),IF(H6246="EI",4,IF(H6246="EO",5.2,IF(H6246="EQ",3.9,IF(H6246="ILF",7.5,IF(H6246="EIF",5.4)))))))</f>
        <v/>
      </c>
      <c r="M6246" s="112" t="str">
        <f t="shared" si="100"/>
        <v/>
      </c>
      <c r="N6246" s="113"/>
    </row>
    <row r="6247" spans="2:14">
      <c r="B6247" s="105"/>
      <c r="C6247" s="106"/>
      <c r="D6247" s="107"/>
      <c r="E6247" s="65"/>
      <c r="F6247" s="64"/>
      <c r="G6247" s="64"/>
      <c r="H6247" s="64"/>
      <c r="I6247" s="70"/>
      <c r="J6247" s="70"/>
      <c r="K6247" s="110" t="str">
        <f>IF(H6247="","",IF($C$29="간이법","",FPR(H6247,I6247,J6247)))</f>
        <v/>
      </c>
      <c r="L6247" s="111" t="str">
        <f>IF(H6247="","",IF($C$29="상세법",FPV(H6247,K6247),IF(H6247="EI",4,IF(H6247="EO",5.2,IF(H6247="EQ",3.9,IF(H6247="ILF",7.5,IF(H6247="EIF",5.4)))))))</f>
        <v/>
      </c>
      <c r="M6247" s="112" t="str">
        <f t="shared" si="100"/>
        <v/>
      </c>
      <c r="N6247" s="113"/>
    </row>
    <row r="6248" spans="2:14">
      <c r="B6248" s="105"/>
      <c r="C6248" s="106"/>
      <c r="D6248" s="107"/>
      <c r="E6248" s="65"/>
      <c r="F6248" s="64"/>
      <c r="G6248" s="64"/>
      <c r="H6248" s="64"/>
      <c r="I6248" s="70"/>
      <c r="J6248" s="70"/>
      <c r="K6248" s="110" t="str">
        <f>IF(H6248="","",IF($C$29="간이법","",FPR(H6248,I6248,J6248)))</f>
        <v/>
      </c>
      <c r="L6248" s="111" t="str">
        <f>IF(H6248="","",IF($C$29="상세법",FPV(H6248,K6248),IF(H6248="EI",4,IF(H6248="EO",5.2,IF(H6248="EQ",3.9,IF(H6248="ILF",7.5,IF(H6248="EIF",5.4)))))))</f>
        <v/>
      </c>
      <c r="M6248" s="112" t="str">
        <f t="shared" si="100"/>
        <v/>
      </c>
      <c r="N6248" s="113"/>
    </row>
    <row r="6249" spans="2:14">
      <c r="B6249" s="105"/>
      <c r="C6249" s="106"/>
      <c r="D6249" s="107"/>
      <c r="E6249" s="65"/>
      <c r="F6249" s="64"/>
      <c r="G6249" s="64"/>
      <c r="H6249" s="64"/>
      <c r="I6249" s="70"/>
      <c r="J6249" s="70"/>
      <c r="K6249" s="110" t="str">
        <f>IF(H6249="","",IF($C$29="간이법","",FPR(H6249,I6249,J6249)))</f>
        <v/>
      </c>
      <c r="L6249" s="111" t="str">
        <f>IF(H6249="","",IF($C$29="상세법",FPV(H6249,K6249),IF(H6249="EI",4,IF(H6249="EO",5.2,IF(H6249="EQ",3.9,IF(H6249="ILF",7.5,IF(H6249="EIF",5.4)))))))</f>
        <v/>
      </c>
      <c r="M6249" s="112" t="str">
        <f t="shared" si="100"/>
        <v/>
      </c>
      <c r="N6249" s="113"/>
    </row>
    <row r="6250" spans="2:14">
      <c r="B6250" s="105"/>
      <c r="C6250" s="106"/>
      <c r="D6250" s="107"/>
      <c r="E6250" s="65"/>
      <c r="F6250" s="64"/>
      <c r="G6250" s="64"/>
      <c r="H6250" s="64"/>
      <c r="I6250" s="70"/>
      <c r="J6250" s="70"/>
      <c r="K6250" s="110" t="str">
        <f>IF(H6250="","",IF($C$29="간이법","",FPR(H6250,I6250,J6250)))</f>
        <v/>
      </c>
      <c r="L6250" s="111" t="str">
        <f>IF(H6250="","",IF($C$29="상세법",FPV(H6250,K6250),IF(H6250="EI",4,IF(H6250="EO",5.2,IF(H6250="EQ",3.9,IF(H6250="ILF",7.5,IF(H6250="EIF",5.4)))))))</f>
        <v/>
      </c>
      <c r="M6250" s="112" t="str">
        <f t="shared" si="100"/>
        <v/>
      </c>
      <c r="N6250" s="113"/>
    </row>
    <row r="6251" spans="2:14">
      <c r="B6251" s="105"/>
      <c r="C6251" s="106"/>
      <c r="D6251" s="107"/>
      <c r="E6251" s="65"/>
      <c r="F6251" s="64"/>
      <c r="G6251" s="64"/>
      <c r="H6251" s="64"/>
      <c r="I6251" s="70"/>
      <c r="J6251" s="70"/>
      <c r="K6251" s="110" t="str">
        <f>IF(H6251="","",IF($C$29="간이법","",FPR(H6251,I6251,J6251)))</f>
        <v/>
      </c>
      <c r="L6251" s="111" t="str">
        <f>IF(H6251="","",IF($C$29="상세법",FPV(H6251,K6251),IF(H6251="EI",4,IF(H6251="EO",5.2,IF(H6251="EQ",3.9,IF(H6251="ILF",7.5,IF(H6251="EIF",5.4)))))))</f>
        <v/>
      </c>
      <c r="M6251" s="112" t="str">
        <f t="shared" si="100"/>
        <v/>
      </c>
      <c r="N6251" s="113"/>
    </row>
    <row r="6252" spans="2:14">
      <c r="B6252" s="105"/>
      <c r="C6252" s="106"/>
      <c r="D6252" s="107"/>
      <c r="E6252" s="65"/>
      <c r="F6252" s="64"/>
      <c r="G6252" s="64"/>
      <c r="H6252" s="64"/>
      <c r="I6252" s="70"/>
      <c r="J6252" s="70"/>
      <c r="K6252" s="110" t="str">
        <f>IF(H6252="","",IF($C$29="간이법","",FPR(H6252,I6252,J6252)))</f>
        <v/>
      </c>
      <c r="L6252" s="111" t="str">
        <f>IF(H6252="","",IF($C$29="상세법",FPV(H6252,K6252),IF(H6252="EI",4,IF(H6252="EO",5.2,IF(H6252="EQ",3.9,IF(H6252="ILF",7.5,IF(H6252="EIF",5.4)))))))</f>
        <v/>
      </c>
      <c r="M6252" s="112" t="str">
        <f t="shared" si="100"/>
        <v/>
      </c>
      <c r="N6252" s="113"/>
    </row>
    <row r="6253" spans="2:14">
      <c r="B6253" s="105"/>
      <c r="C6253" s="106"/>
      <c r="D6253" s="107"/>
      <c r="E6253" s="65"/>
      <c r="F6253" s="64"/>
      <c r="G6253" s="64"/>
      <c r="H6253" s="64"/>
      <c r="I6253" s="70"/>
      <c r="J6253" s="70"/>
      <c r="K6253" s="110" t="str">
        <f>IF(H6253="","",IF($C$29="간이법","",FPR(H6253,I6253,J6253)))</f>
        <v/>
      </c>
      <c r="L6253" s="111" t="str">
        <f>IF(H6253="","",IF($C$29="상세법",FPV(H6253,K6253),IF(H6253="EI",4,IF(H6253="EO",5.2,IF(H6253="EQ",3.9,IF(H6253="ILF",7.5,IF(H6253="EIF",5.4)))))))</f>
        <v/>
      </c>
      <c r="M6253" s="112" t="str">
        <f t="shared" si="100"/>
        <v/>
      </c>
      <c r="N6253" s="113"/>
    </row>
    <row r="6254" spans="2:14">
      <c r="B6254" s="105"/>
      <c r="C6254" s="106"/>
      <c r="D6254" s="107"/>
      <c r="E6254" s="65"/>
      <c r="F6254" s="64"/>
      <c r="G6254" s="64"/>
      <c r="H6254" s="64"/>
      <c r="I6254" s="70"/>
      <c r="J6254" s="70"/>
      <c r="K6254" s="110" t="str">
        <f>IF(H6254="","",IF($C$29="간이법","",FPR(H6254,I6254,J6254)))</f>
        <v/>
      </c>
      <c r="L6254" s="111" t="str">
        <f>IF(H6254="","",IF($C$29="상세법",FPV(H6254,K6254),IF(H6254="EI",4,IF(H6254="EO",5.2,IF(H6254="EQ",3.9,IF(H6254="ILF",7.5,IF(H6254="EIF",5.4)))))))</f>
        <v/>
      </c>
      <c r="M6254" s="112" t="str">
        <f t="shared" si="100"/>
        <v/>
      </c>
      <c r="N6254" s="113"/>
    </row>
    <row r="6255" spans="2:14">
      <c r="B6255" s="105"/>
      <c r="C6255" s="106"/>
      <c r="D6255" s="107"/>
      <c r="E6255" s="65"/>
      <c r="F6255" s="64"/>
      <c r="G6255" s="64"/>
      <c r="H6255" s="64"/>
      <c r="I6255" s="70"/>
      <c r="J6255" s="70"/>
      <c r="K6255" s="110" t="str">
        <f>IF(H6255="","",IF($C$29="간이법","",FPR(H6255,I6255,J6255)))</f>
        <v/>
      </c>
      <c r="L6255" s="111" t="str">
        <f>IF(H6255="","",IF($C$29="상세법",FPV(H6255,K6255),IF(H6255="EI",4,IF(H6255="EO",5.2,IF(H6255="EQ",3.9,IF(H6255="ILF",7.5,IF(H6255="EIF",5.4)))))))</f>
        <v/>
      </c>
      <c r="M6255" s="112" t="str">
        <f t="shared" si="100"/>
        <v/>
      </c>
      <c r="N6255" s="113"/>
    </row>
    <row r="6256" spans="2:14">
      <c r="B6256" s="105"/>
      <c r="C6256" s="106"/>
      <c r="D6256" s="107"/>
      <c r="E6256" s="65"/>
      <c r="F6256" s="64"/>
      <c r="G6256" s="64"/>
      <c r="H6256" s="64"/>
      <c r="I6256" s="70"/>
      <c r="J6256" s="70"/>
      <c r="K6256" s="110" t="str">
        <f>IF(H6256="","",IF($C$29="간이법","",FPR(H6256,I6256,J6256)))</f>
        <v/>
      </c>
      <c r="L6256" s="111" t="str">
        <f>IF(H6256="","",IF($C$29="상세법",FPV(H6256,K6256),IF(H6256="EI",4,IF(H6256="EO",5.2,IF(H6256="EQ",3.9,IF(H6256="ILF",7.5,IF(H6256="EIF",5.4)))))))</f>
        <v/>
      </c>
      <c r="M6256" s="112" t="str">
        <f t="shared" si="100"/>
        <v/>
      </c>
      <c r="N6256" s="113"/>
    </row>
    <row r="6257" spans="2:14">
      <c r="B6257" s="105"/>
      <c r="C6257" s="106"/>
      <c r="D6257" s="107"/>
      <c r="E6257" s="65"/>
      <c r="F6257" s="64"/>
      <c r="G6257" s="64"/>
      <c r="H6257" s="64"/>
      <c r="I6257" s="70"/>
      <c r="J6257" s="70"/>
      <c r="K6257" s="110" t="str">
        <f>IF(H6257="","",IF($C$29="간이법","",FPR(H6257,I6257,J6257)))</f>
        <v/>
      </c>
      <c r="L6257" s="111" t="str">
        <f>IF(H6257="","",IF($C$29="상세법",FPV(H6257,K6257),IF(H6257="EI",4,IF(H6257="EO",5.2,IF(H6257="EQ",3.9,IF(H6257="ILF",7.5,IF(H6257="EIF",5.4)))))))</f>
        <v/>
      </c>
      <c r="M6257" s="112" t="str">
        <f t="shared" si="100"/>
        <v/>
      </c>
      <c r="N6257" s="113"/>
    </row>
    <row r="6258" spans="2:14">
      <c r="B6258" s="105"/>
      <c r="C6258" s="106"/>
      <c r="D6258" s="107"/>
      <c r="E6258" s="65"/>
      <c r="F6258" s="64"/>
      <c r="G6258" s="64"/>
      <c r="H6258" s="64"/>
      <c r="I6258" s="70"/>
      <c r="J6258" s="70"/>
      <c r="K6258" s="110" t="str">
        <f>IF(H6258="","",IF($C$29="간이법","",FPR(H6258,I6258,J6258)))</f>
        <v/>
      </c>
      <c r="L6258" s="111" t="str">
        <f>IF(H6258="","",IF($C$29="상세법",FPV(H6258,K6258),IF(H6258="EI",4,IF(H6258="EO",5.2,IF(H6258="EQ",3.9,IF(H6258="ILF",7.5,IF(H6258="EIF",5.4)))))))</f>
        <v/>
      </c>
      <c r="M6258" s="112" t="str">
        <f t="shared" si="100"/>
        <v/>
      </c>
      <c r="N6258" s="113"/>
    </row>
    <row r="6259" spans="2:14">
      <c r="B6259" s="105"/>
      <c r="C6259" s="106"/>
      <c r="D6259" s="107"/>
      <c r="E6259" s="65"/>
      <c r="F6259" s="64"/>
      <c r="G6259" s="64"/>
      <c r="H6259" s="64"/>
      <c r="I6259" s="70"/>
      <c r="J6259" s="70"/>
      <c r="K6259" s="110" t="str">
        <f>IF(H6259="","",IF($C$29="간이법","",FPR(H6259,I6259,J6259)))</f>
        <v/>
      </c>
      <c r="L6259" s="111" t="str">
        <f>IF(H6259="","",IF($C$29="상세법",FPV(H6259,K6259),IF(H6259="EI",4,IF(H6259="EO",5.2,IF(H6259="EQ",3.9,IF(H6259="ILF",7.5,IF(H6259="EIF",5.4)))))))</f>
        <v/>
      </c>
      <c r="M6259" s="112" t="str">
        <f t="shared" si="100"/>
        <v/>
      </c>
      <c r="N6259" s="113"/>
    </row>
    <row r="6260" spans="2:14">
      <c r="B6260" s="105"/>
      <c r="C6260" s="106"/>
      <c r="D6260" s="107"/>
      <c r="E6260" s="65"/>
      <c r="F6260" s="64"/>
      <c r="G6260" s="64"/>
      <c r="H6260" s="64"/>
      <c r="I6260" s="70"/>
      <c r="J6260" s="70"/>
      <c r="K6260" s="110" t="str">
        <f>IF(H6260="","",IF($C$29="간이법","",FPR(H6260,I6260,J6260)))</f>
        <v/>
      </c>
      <c r="L6260" s="111" t="str">
        <f>IF(H6260="","",IF($C$29="상세법",FPV(H6260,K6260),IF(H6260="EI",4,IF(H6260="EO",5.2,IF(H6260="EQ",3.9,IF(H6260="ILF",7.5,IF(H6260="EIF",5.4)))))))</f>
        <v/>
      </c>
      <c r="M6260" s="112" t="str">
        <f t="shared" si="100"/>
        <v/>
      </c>
      <c r="N6260" s="113"/>
    </row>
    <row r="6261" spans="2:14">
      <c r="B6261" s="105"/>
      <c r="C6261" s="106"/>
      <c r="D6261" s="107"/>
      <c r="E6261" s="65"/>
      <c r="F6261" s="64"/>
      <c r="G6261" s="64"/>
      <c r="H6261" s="64"/>
      <c r="I6261" s="70"/>
      <c r="J6261" s="70"/>
      <c r="K6261" s="110" t="str">
        <f>IF(H6261="","",IF($C$29="간이법","",FPR(H6261,I6261,J6261)))</f>
        <v/>
      </c>
      <c r="L6261" s="111" t="str">
        <f>IF(H6261="","",IF($C$29="상세법",FPV(H6261,K6261),IF(H6261="EI",4,IF(H6261="EO",5.2,IF(H6261="EQ",3.9,IF(H6261="ILF",7.5,IF(H6261="EIF",5.4)))))))</f>
        <v/>
      </c>
      <c r="M6261" s="112" t="str">
        <f t="shared" si="100"/>
        <v/>
      </c>
      <c r="N6261" s="113"/>
    </row>
    <row r="6262" spans="2:14">
      <c r="B6262" s="105"/>
      <c r="C6262" s="106"/>
      <c r="D6262" s="107"/>
      <c r="E6262" s="65"/>
      <c r="F6262" s="64"/>
      <c r="G6262" s="64"/>
      <c r="H6262" s="64"/>
      <c r="I6262" s="70"/>
      <c r="J6262" s="70"/>
      <c r="K6262" s="110" t="str">
        <f>IF(H6262="","",IF($C$29="간이법","",FPR(H6262,I6262,J6262)))</f>
        <v/>
      </c>
      <c r="L6262" s="111" t="str">
        <f>IF(H6262="","",IF($C$29="상세법",FPV(H6262,K6262),IF(H6262="EI",4,IF(H6262="EO",5.2,IF(H6262="EQ",3.9,IF(H6262="ILF",7.5,IF(H6262="EIF",5.4)))))))</f>
        <v/>
      </c>
      <c r="M6262" s="112" t="str">
        <f t="shared" si="100"/>
        <v/>
      </c>
      <c r="N6262" s="113"/>
    </row>
    <row r="6263" spans="2:14">
      <c r="B6263" s="105"/>
      <c r="C6263" s="106"/>
      <c r="D6263" s="107"/>
      <c r="E6263" s="65"/>
      <c r="F6263" s="64"/>
      <c r="G6263" s="64"/>
      <c r="H6263" s="64"/>
      <c r="I6263" s="70"/>
      <c r="J6263" s="70"/>
      <c r="K6263" s="110" t="str">
        <f>IF(H6263="","",IF($C$29="간이법","",FPR(H6263,I6263,J6263)))</f>
        <v/>
      </c>
      <c r="L6263" s="111" t="str">
        <f>IF(H6263="","",IF($C$29="상세법",FPV(H6263,K6263),IF(H6263="EI",4,IF(H6263="EO",5.2,IF(H6263="EQ",3.9,IF(H6263="ILF",7.5,IF(H6263="EIF",5.4)))))))</f>
        <v/>
      </c>
      <c r="M6263" s="112" t="str">
        <f t="shared" si="100"/>
        <v/>
      </c>
      <c r="N6263" s="113"/>
    </row>
    <row r="6264" spans="2:14">
      <c r="B6264" s="105"/>
      <c r="C6264" s="106"/>
      <c r="D6264" s="107"/>
      <c r="E6264" s="65"/>
      <c r="F6264" s="64"/>
      <c r="G6264" s="64"/>
      <c r="H6264" s="64"/>
      <c r="I6264" s="70"/>
      <c r="J6264" s="70"/>
      <c r="K6264" s="110" t="str">
        <f>IF(H6264="","",IF($C$29="간이법","",FPR(H6264,I6264,J6264)))</f>
        <v/>
      </c>
      <c r="L6264" s="111" t="str">
        <f>IF(H6264="","",IF($C$29="상세법",FPV(H6264,K6264),IF(H6264="EI",4,IF(H6264="EO",5.2,IF(H6264="EQ",3.9,IF(H6264="ILF",7.5,IF(H6264="EIF",5.4)))))))</f>
        <v/>
      </c>
      <c r="M6264" s="112" t="str">
        <f t="shared" si="100"/>
        <v/>
      </c>
      <c r="N6264" s="113"/>
    </row>
    <row r="6265" spans="2:14">
      <c r="B6265" s="105"/>
      <c r="C6265" s="106"/>
      <c r="D6265" s="107"/>
      <c r="E6265" s="65"/>
      <c r="F6265" s="64"/>
      <c r="G6265" s="64"/>
      <c r="H6265" s="64"/>
      <c r="I6265" s="70"/>
      <c r="J6265" s="70"/>
      <c r="K6265" s="110" t="str">
        <f>IF(H6265="","",IF($C$29="간이법","",FPR(H6265,I6265,J6265)))</f>
        <v/>
      </c>
      <c r="L6265" s="111" t="str">
        <f>IF(H6265="","",IF($C$29="상세법",FPV(H6265,K6265),IF(H6265="EI",4,IF(H6265="EO",5.2,IF(H6265="EQ",3.9,IF(H6265="ILF",7.5,IF(H6265="EIF",5.4)))))))</f>
        <v/>
      </c>
      <c r="M6265" s="112" t="str">
        <f t="shared" ref="M6265:M6328" si="101">IF(L6265="","",L6265*IF(G6265="상",0.7,IF(G6265="중",0.5,IF(G6265="하",0.2,1))))</f>
        <v/>
      </c>
      <c r="N6265" s="113"/>
    </row>
    <row r="6266" spans="2:14">
      <c r="B6266" s="105"/>
      <c r="C6266" s="106"/>
      <c r="D6266" s="107"/>
      <c r="E6266" s="65"/>
      <c r="F6266" s="64"/>
      <c r="G6266" s="64"/>
      <c r="H6266" s="64"/>
      <c r="I6266" s="70"/>
      <c r="J6266" s="70"/>
      <c r="K6266" s="110" t="str">
        <f>IF(H6266="","",IF($C$29="간이법","",FPR(H6266,I6266,J6266)))</f>
        <v/>
      </c>
      <c r="L6266" s="111" t="str">
        <f>IF(H6266="","",IF($C$29="상세법",FPV(H6266,K6266),IF(H6266="EI",4,IF(H6266="EO",5.2,IF(H6266="EQ",3.9,IF(H6266="ILF",7.5,IF(H6266="EIF",5.4)))))))</f>
        <v/>
      </c>
      <c r="M6266" s="112" t="str">
        <f t="shared" si="101"/>
        <v/>
      </c>
      <c r="N6266" s="113"/>
    </row>
    <row r="6267" spans="2:14">
      <c r="B6267" s="105"/>
      <c r="C6267" s="106"/>
      <c r="D6267" s="107"/>
      <c r="E6267" s="65"/>
      <c r="F6267" s="64"/>
      <c r="G6267" s="64"/>
      <c r="H6267" s="64"/>
      <c r="I6267" s="70"/>
      <c r="J6267" s="70"/>
      <c r="K6267" s="110" t="str">
        <f>IF(H6267="","",IF($C$29="간이법","",FPR(H6267,I6267,J6267)))</f>
        <v/>
      </c>
      <c r="L6267" s="111" t="str">
        <f>IF(H6267="","",IF($C$29="상세법",FPV(H6267,K6267),IF(H6267="EI",4,IF(H6267="EO",5.2,IF(H6267="EQ",3.9,IF(H6267="ILF",7.5,IF(H6267="EIF",5.4)))))))</f>
        <v/>
      </c>
      <c r="M6267" s="112" t="str">
        <f t="shared" si="101"/>
        <v/>
      </c>
      <c r="N6267" s="113"/>
    </row>
    <row r="6268" spans="2:14">
      <c r="B6268" s="105"/>
      <c r="C6268" s="106"/>
      <c r="D6268" s="107"/>
      <c r="E6268" s="65"/>
      <c r="F6268" s="64"/>
      <c r="G6268" s="64"/>
      <c r="H6268" s="64"/>
      <c r="I6268" s="70"/>
      <c r="J6268" s="70"/>
      <c r="K6268" s="110" t="str">
        <f>IF(H6268="","",IF($C$29="간이법","",FPR(H6268,I6268,J6268)))</f>
        <v/>
      </c>
      <c r="L6268" s="111" t="str">
        <f>IF(H6268="","",IF($C$29="상세법",FPV(H6268,K6268),IF(H6268="EI",4,IF(H6268="EO",5.2,IF(H6268="EQ",3.9,IF(H6268="ILF",7.5,IF(H6268="EIF",5.4)))))))</f>
        <v/>
      </c>
      <c r="M6268" s="112" t="str">
        <f t="shared" si="101"/>
        <v/>
      </c>
      <c r="N6268" s="113"/>
    </row>
    <row r="6269" spans="2:14">
      <c r="B6269" s="105"/>
      <c r="C6269" s="106"/>
      <c r="D6269" s="107"/>
      <c r="E6269" s="65"/>
      <c r="F6269" s="64"/>
      <c r="G6269" s="64"/>
      <c r="H6269" s="64"/>
      <c r="I6269" s="70"/>
      <c r="J6269" s="70"/>
      <c r="K6269" s="110" t="str">
        <f>IF(H6269="","",IF($C$29="간이법","",FPR(H6269,I6269,J6269)))</f>
        <v/>
      </c>
      <c r="L6269" s="111" t="str">
        <f>IF(H6269="","",IF($C$29="상세법",FPV(H6269,K6269),IF(H6269="EI",4,IF(H6269="EO",5.2,IF(H6269="EQ",3.9,IF(H6269="ILF",7.5,IF(H6269="EIF",5.4)))))))</f>
        <v/>
      </c>
      <c r="M6269" s="112" t="str">
        <f t="shared" si="101"/>
        <v/>
      </c>
      <c r="N6269" s="113"/>
    </row>
    <row r="6270" spans="2:14">
      <c r="B6270" s="105"/>
      <c r="C6270" s="106"/>
      <c r="D6270" s="107"/>
      <c r="E6270" s="65"/>
      <c r="F6270" s="64"/>
      <c r="G6270" s="64"/>
      <c r="H6270" s="64"/>
      <c r="I6270" s="70"/>
      <c r="J6270" s="70"/>
      <c r="K6270" s="110" t="str">
        <f>IF(H6270="","",IF($C$29="간이법","",FPR(H6270,I6270,J6270)))</f>
        <v/>
      </c>
      <c r="L6270" s="111" t="str">
        <f>IF(H6270="","",IF($C$29="상세법",FPV(H6270,K6270),IF(H6270="EI",4,IF(H6270="EO",5.2,IF(H6270="EQ",3.9,IF(H6270="ILF",7.5,IF(H6270="EIF",5.4)))))))</f>
        <v/>
      </c>
      <c r="M6270" s="112" t="str">
        <f t="shared" si="101"/>
        <v/>
      </c>
      <c r="N6270" s="113"/>
    </row>
    <row r="6271" spans="2:14">
      <c r="B6271" s="105"/>
      <c r="C6271" s="106"/>
      <c r="D6271" s="107"/>
      <c r="E6271" s="65"/>
      <c r="F6271" s="64"/>
      <c r="G6271" s="64"/>
      <c r="H6271" s="64"/>
      <c r="I6271" s="70"/>
      <c r="J6271" s="70"/>
      <c r="K6271" s="110" t="str">
        <f>IF(H6271="","",IF($C$29="간이법","",FPR(H6271,I6271,J6271)))</f>
        <v/>
      </c>
      <c r="L6271" s="111" t="str">
        <f>IF(H6271="","",IF($C$29="상세법",FPV(H6271,K6271),IF(H6271="EI",4,IF(H6271="EO",5.2,IF(H6271="EQ",3.9,IF(H6271="ILF",7.5,IF(H6271="EIF",5.4)))))))</f>
        <v/>
      </c>
      <c r="M6271" s="112" t="str">
        <f t="shared" si="101"/>
        <v/>
      </c>
      <c r="N6271" s="113"/>
    </row>
    <row r="6272" spans="2:14">
      <c r="B6272" s="105"/>
      <c r="C6272" s="106"/>
      <c r="D6272" s="107"/>
      <c r="E6272" s="65"/>
      <c r="F6272" s="64"/>
      <c r="G6272" s="64"/>
      <c r="H6272" s="64"/>
      <c r="I6272" s="70"/>
      <c r="J6272" s="70"/>
      <c r="K6272" s="110" t="str">
        <f>IF(H6272="","",IF($C$29="간이법","",FPR(H6272,I6272,J6272)))</f>
        <v/>
      </c>
      <c r="L6272" s="111" t="str">
        <f>IF(H6272="","",IF($C$29="상세법",FPV(H6272,K6272),IF(H6272="EI",4,IF(H6272="EO",5.2,IF(H6272="EQ",3.9,IF(H6272="ILF",7.5,IF(H6272="EIF",5.4)))))))</f>
        <v/>
      </c>
      <c r="M6272" s="112" t="str">
        <f t="shared" si="101"/>
        <v/>
      </c>
      <c r="N6272" s="113"/>
    </row>
    <row r="6273" spans="2:14">
      <c r="B6273" s="105"/>
      <c r="C6273" s="106"/>
      <c r="D6273" s="107"/>
      <c r="E6273" s="65"/>
      <c r="F6273" s="64"/>
      <c r="G6273" s="64"/>
      <c r="H6273" s="64"/>
      <c r="I6273" s="70"/>
      <c r="J6273" s="70"/>
      <c r="K6273" s="110" t="str">
        <f>IF(H6273="","",IF($C$29="간이법","",FPR(H6273,I6273,J6273)))</f>
        <v/>
      </c>
      <c r="L6273" s="111" t="str">
        <f>IF(H6273="","",IF($C$29="상세법",FPV(H6273,K6273),IF(H6273="EI",4,IF(H6273="EO",5.2,IF(H6273="EQ",3.9,IF(H6273="ILF",7.5,IF(H6273="EIF",5.4)))))))</f>
        <v/>
      </c>
      <c r="M6273" s="112" t="str">
        <f t="shared" si="101"/>
        <v/>
      </c>
      <c r="N6273" s="113"/>
    </row>
    <row r="6274" spans="2:14">
      <c r="B6274" s="105"/>
      <c r="C6274" s="106"/>
      <c r="D6274" s="107"/>
      <c r="E6274" s="65"/>
      <c r="F6274" s="64"/>
      <c r="G6274" s="64"/>
      <c r="H6274" s="64"/>
      <c r="I6274" s="70"/>
      <c r="J6274" s="70"/>
      <c r="K6274" s="110" t="str">
        <f>IF(H6274="","",IF($C$29="간이법","",FPR(H6274,I6274,J6274)))</f>
        <v/>
      </c>
      <c r="L6274" s="111" t="str">
        <f>IF(H6274="","",IF($C$29="상세법",FPV(H6274,K6274),IF(H6274="EI",4,IF(H6274="EO",5.2,IF(H6274="EQ",3.9,IF(H6274="ILF",7.5,IF(H6274="EIF",5.4)))))))</f>
        <v/>
      </c>
      <c r="M6274" s="112" t="str">
        <f t="shared" si="101"/>
        <v/>
      </c>
      <c r="N6274" s="113"/>
    </row>
    <row r="6275" spans="2:14">
      <c r="B6275" s="105"/>
      <c r="C6275" s="106"/>
      <c r="D6275" s="107"/>
      <c r="E6275" s="65"/>
      <c r="F6275" s="64"/>
      <c r="G6275" s="64"/>
      <c r="H6275" s="64"/>
      <c r="I6275" s="70"/>
      <c r="J6275" s="70"/>
      <c r="K6275" s="110" t="str">
        <f>IF(H6275="","",IF($C$29="간이법","",FPR(H6275,I6275,J6275)))</f>
        <v/>
      </c>
      <c r="L6275" s="111" t="str">
        <f>IF(H6275="","",IF($C$29="상세법",FPV(H6275,K6275),IF(H6275="EI",4,IF(H6275="EO",5.2,IF(H6275="EQ",3.9,IF(H6275="ILF",7.5,IF(H6275="EIF",5.4)))))))</f>
        <v/>
      </c>
      <c r="M6275" s="112" t="str">
        <f t="shared" si="101"/>
        <v/>
      </c>
      <c r="N6275" s="113"/>
    </row>
    <row r="6276" spans="2:14">
      <c r="B6276" s="105"/>
      <c r="C6276" s="106"/>
      <c r="D6276" s="107"/>
      <c r="E6276" s="65"/>
      <c r="F6276" s="64"/>
      <c r="G6276" s="64"/>
      <c r="H6276" s="64"/>
      <c r="I6276" s="70"/>
      <c r="J6276" s="70"/>
      <c r="K6276" s="110" t="str">
        <f>IF(H6276="","",IF($C$29="간이법","",FPR(H6276,I6276,J6276)))</f>
        <v/>
      </c>
      <c r="L6276" s="111" t="str">
        <f>IF(H6276="","",IF($C$29="상세법",FPV(H6276,K6276),IF(H6276="EI",4,IF(H6276="EO",5.2,IF(H6276="EQ",3.9,IF(H6276="ILF",7.5,IF(H6276="EIF",5.4)))))))</f>
        <v/>
      </c>
      <c r="M6276" s="112" t="str">
        <f t="shared" si="101"/>
        <v/>
      </c>
      <c r="N6276" s="113"/>
    </row>
    <row r="6277" spans="2:14">
      <c r="B6277" s="105"/>
      <c r="C6277" s="106"/>
      <c r="D6277" s="107"/>
      <c r="E6277" s="65"/>
      <c r="F6277" s="64"/>
      <c r="G6277" s="64"/>
      <c r="H6277" s="64"/>
      <c r="I6277" s="70"/>
      <c r="J6277" s="70"/>
      <c r="K6277" s="110" t="str">
        <f>IF(H6277="","",IF($C$29="간이법","",FPR(H6277,I6277,J6277)))</f>
        <v/>
      </c>
      <c r="L6277" s="111" t="str">
        <f>IF(H6277="","",IF($C$29="상세법",FPV(H6277,K6277),IF(H6277="EI",4,IF(H6277="EO",5.2,IF(H6277="EQ",3.9,IF(H6277="ILF",7.5,IF(H6277="EIF",5.4)))))))</f>
        <v/>
      </c>
      <c r="M6277" s="112" t="str">
        <f t="shared" si="101"/>
        <v/>
      </c>
      <c r="N6277" s="113"/>
    </row>
    <row r="6278" spans="2:14">
      <c r="B6278" s="105"/>
      <c r="C6278" s="106"/>
      <c r="D6278" s="107"/>
      <c r="E6278" s="65"/>
      <c r="F6278" s="64"/>
      <c r="G6278" s="64"/>
      <c r="H6278" s="64"/>
      <c r="I6278" s="70"/>
      <c r="J6278" s="70"/>
      <c r="K6278" s="110" t="str">
        <f>IF(H6278="","",IF($C$29="간이법","",FPR(H6278,I6278,J6278)))</f>
        <v/>
      </c>
      <c r="L6278" s="111" t="str">
        <f>IF(H6278="","",IF($C$29="상세법",FPV(H6278,K6278),IF(H6278="EI",4,IF(H6278="EO",5.2,IF(H6278="EQ",3.9,IF(H6278="ILF",7.5,IF(H6278="EIF",5.4)))))))</f>
        <v/>
      </c>
      <c r="M6278" s="112" t="str">
        <f t="shared" si="101"/>
        <v/>
      </c>
      <c r="N6278" s="113"/>
    </row>
    <row r="6279" spans="2:14">
      <c r="B6279" s="105"/>
      <c r="C6279" s="106"/>
      <c r="D6279" s="107"/>
      <c r="E6279" s="65"/>
      <c r="F6279" s="64"/>
      <c r="G6279" s="64"/>
      <c r="H6279" s="64"/>
      <c r="I6279" s="70"/>
      <c r="J6279" s="70"/>
      <c r="K6279" s="110" t="str">
        <f>IF(H6279="","",IF($C$29="간이법","",FPR(H6279,I6279,J6279)))</f>
        <v/>
      </c>
      <c r="L6279" s="111" t="str">
        <f>IF(H6279="","",IF($C$29="상세법",FPV(H6279,K6279),IF(H6279="EI",4,IF(H6279="EO",5.2,IF(H6279="EQ",3.9,IF(H6279="ILF",7.5,IF(H6279="EIF",5.4)))))))</f>
        <v/>
      </c>
      <c r="M6279" s="112" t="str">
        <f t="shared" si="101"/>
        <v/>
      </c>
      <c r="N6279" s="113"/>
    </row>
    <row r="6280" spans="2:14">
      <c r="B6280" s="105"/>
      <c r="C6280" s="106"/>
      <c r="D6280" s="107"/>
      <c r="E6280" s="65"/>
      <c r="F6280" s="64"/>
      <c r="G6280" s="64"/>
      <c r="H6280" s="64"/>
      <c r="I6280" s="70"/>
      <c r="J6280" s="70"/>
      <c r="K6280" s="110" t="str">
        <f>IF(H6280="","",IF($C$29="간이법","",FPR(H6280,I6280,J6280)))</f>
        <v/>
      </c>
      <c r="L6280" s="111" t="str">
        <f>IF(H6280="","",IF($C$29="상세법",FPV(H6280,K6280),IF(H6280="EI",4,IF(H6280="EO",5.2,IF(H6280="EQ",3.9,IF(H6280="ILF",7.5,IF(H6280="EIF",5.4)))))))</f>
        <v/>
      </c>
      <c r="M6280" s="112" t="str">
        <f t="shared" si="101"/>
        <v/>
      </c>
      <c r="N6280" s="113"/>
    </row>
    <row r="6281" spans="2:14">
      <c r="B6281" s="105"/>
      <c r="C6281" s="106"/>
      <c r="D6281" s="107"/>
      <c r="E6281" s="65"/>
      <c r="F6281" s="64"/>
      <c r="G6281" s="64"/>
      <c r="H6281" s="64"/>
      <c r="I6281" s="70"/>
      <c r="J6281" s="70"/>
      <c r="K6281" s="110" t="str">
        <f>IF(H6281="","",IF($C$29="간이법","",FPR(H6281,I6281,J6281)))</f>
        <v/>
      </c>
      <c r="L6281" s="111" t="str">
        <f>IF(H6281="","",IF($C$29="상세법",FPV(H6281,K6281),IF(H6281="EI",4,IF(H6281="EO",5.2,IF(H6281="EQ",3.9,IF(H6281="ILF",7.5,IF(H6281="EIF",5.4)))))))</f>
        <v/>
      </c>
      <c r="M6281" s="112" t="str">
        <f t="shared" si="101"/>
        <v/>
      </c>
      <c r="N6281" s="113"/>
    </row>
    <row r="6282" spans="2:14">
      <c r="B6282" s="105"/>
      <c r="C6282" s="106"/>
      <c r="D6282" s="107"/>
      <c r="E6282" s="65"/>
      <c r="F6282" s="64"/>
      <c r="G6282" s="64"/>
      <c r="H6282" s="64"/>
      <c r="I6282" s="70"/>
      <c r="J6282" s="70"/>
      <c r="K6282" s="110" t="str">
        <f>IF(H6282="","",IF($C$29="간이법","",FPR(H6282,I6282,J6282)))</f>
        <v/>
      </c>
      <c r="L6282" s="111" t="str">
        <f>IF(H6282="","",IF($C$29="상세법",FPV(H6282,K6282),IF(H6282="EI",4,IF(H6282="EO",5.2,IF(H6282="EQ",3.9,IF(H6282="ILF",7.5,IF(H6282="EIF",5.4)))))))</f>
        <v/>
      </c>
      <c r="M6282" s="112" t="str">
        <f t="shared" si="101"/>
        <v/>
      </c>
      <c r="N6282" s="113"/>
    </row>
    <row r="6283" spans="2:14">
      <c r="B6283" s="105"/>
      <c r="C6283" s="106"/>
      <c r="D6283" s="107"/>
      <c r="E6283" s="65"/>
      <c r="F6283" s="64"/>
      <c r="G6283" s="64"/>
      <c r="H6283" s="64"/>
      <c r="I6283" s="70"/>
      <c r="J6283" s="70"/>
      <c r="K6283" s="110" t="str">
        <f>IF(H6283="","",IF($C$29="간이법","",FPR(H6283,I6283,J6283)))</f>
        <v/>
      </c>
      <c r="L6283" s="111" t="str">
        <f>IF(H6283="","",IF($C$29="상세법",FPV(H6283,K6283),IF(H6283="EI",4,IF(H6283="EO",5.2,IF(H6283="EQ",3.9,IF(H6283="ILF",7.5,IF(H6283="EIF",5.4)))))))</f>
        <v/>
      </c>
      <c r="M6283" s="112" t="str">
        <f t="shared" si="101"/>
        <v/>
      </c>
      <c r="N6283" s="113"/>
    </row>
    <row r="6284" spans="2:14">
      <c r="B6284" s="105"/>
      <c r="C6284" s="106"/>
      <c r="D6284" s="107"/>
      <c r="E6284" s="65"/>
      <c r="F6284" s="64"/>
      <c r="G6284" s="64"/>
      <c r="H6284" s="64"/>
      <c r="I6284" s="70"/>
      <c r="J6284" s="70"/>
      <c r="K6284" s="110" t="str">
        <f>IF(H6284="","",IF($C$29="간이법","",FPR(H6284,I6284,J6284)))</f>
        <v/>
      </c>
      <c r="L6284" s="111" t="str">
        <f>IF(H6284="","",IF($C$29="상세법",FPV(H6284,K6284),IF(H6284="EI",4,IF(H6284="EO",5.2,IF(H6284="EQ",3.9,IF(H6284="ILF",7.5,IF(H6284="EIF",5.4)))))))</f>
        <v/>
      </c>
      <c r="M6284" s="112" t="str">
        <f t="shared" si="101"/>
        <v/>
      </c>
      <c r="N6284" s="113"/>
    </row>
    <row r="6285" spans="2:14">
      <c r="B6285" s="105"/>
      <c r="C6285" s="106"/>
      <c r="D6285" s="107"/>
      <c r="E6285" s="65"/>
      <c r="F6285" s="64"/>
      <c r="G6285" s="64"/>
      <c r="H6285" s="64"/>
      <c r="I6285" s="70"/>
      <c r="J6285" s="70"/>
      <c r="K6285" s="110" t="str">
        <f>IF(H6285="","",IF($C$29="간이법","",FPR(H6285,I6285,J6285)))</f>
        <v/>
      </c>
      <c r="L6285" s="111" t="str">
        <f>IF(H6285="","",IF($C$29="상세법",FPV(H6285,K6285),IF(H6285="EI",4,IF(H6285="EO",5.2,IF(H6285="EQ",3.9,IF(H6285="ILF",7.5,IF(H6285="EIF",5.4)))))))</f>
        <v/>
      </c>
      <c r="M6285" s="112" t="str">
        <f t="shared" si="101"/>
        <v/>
      </c>
      <c r="N6285" s="113"/>
    </row>
    <row r="6286" spans="2:14">
      <c r="B6286" s="105"/>
      <c r="C6286" s="106"/>
      <c r="D6286" s="107"/>
      <c r="E6286" s="65"/>
      <c r="F6286" s="64"/>
      <c r="G6286" s="64"/>
      <c r="H6286" s="64"/>
      <c r="I6286" s="70"/>
      <c r="J6286" s="70"/>
      <c r="K6286" s="110" t="str">
        <f>IF(H6286="","",IF($C$29="간이법","",FPR(H6286,I6286,J6286)))</f>
        <v/>
      </c>
      <c r="L6286" s="111" t="str">
        <f>IF(H6286="","",IF($C$29="상세법",FPV(H6286,K6286),IF(H6286="EI",4,IF(H6286="EO",5.2,IF(H6286="EQ",3.9,IF(H6286="ILF",7.5,IF(H6286="EIF",5.4)))))))</f>
        <v/>
      </c>
      <c r="M6286" s="112" t="str">
        <f t="shared" si="101"/>
        <v/>
      </c>
      <c r="N6286" s="113"/>
    </row>
    <row r="6287" spans="2:14">
      <c r="B6287" s="105"/>
      <c r="C6287" s="106"/>
      <c r="D6287" s="107"/>
      <c r="E6287" s="65"/>
      <c r="F6287" s="64"/>
      <c r="G6287" s="64"/>
      <c r="H6287" s="64"/>
      <c r="I6287" s="70"/>
      <c r="J6287" s="70"/>
      <c r="K6287" s="110" t="str">
        <f>IF(H6287="","",IF($C$29="간이법","",FPR(H6287,I6287,J6287)))</f>
        <v/>
      </c>
      <c r="L6287" s="111" t="str">
        <f>IF(H6287="","",IF($C$29="상세법",FPV(H6287,K6287),IF(H6287="EI",4,IF(H6287="EO",5.2,IF(H6287="EQ",3.9,IF(H6287="ILF",7.5,IF(H6287="EIF",5.4)))))))</f>
        <v/>
      </c>
      <c r="M6287" s="112" t="str">
        <f t="shared" si="101"/>
        <v/>
      </c>
      <c r="N6287" s="113"/>
    </row>
    <row r="6288" spans="2:14">
      <c r="B6288" s="105"/>
      <c r="C6288" s="106"/>
      <c r="D6288" s="107"/>
      <c r="E6288" s="65"/>
      <c r="F6288" s="64"/>
      <c r="G6288" s="64"/>
      <c r="H6288" s="64"/>
      <c r="I6288" s="70"/>
      <c r="J6288" s="70"/>
      <c r="K6288" s="110" t="str">
        <f>IF(H6288="","",IF($C$29="간이법","",FPR(H6288,I6288,J6288)))</f>
        <v/>
      </c>
      <c r="L6288" s="111" t="str">
        <f>IF(H6288="","",IF($C$29="상세법",FPV(H6288,K6288),IF(H6288="EI",4,IF(H6288="EO",5.2,IF(H6288="EQ",3.9,IF(H6288="ILF",7.5,IF(H6288="EIF",5.4)))))))</f>
        <v/>
      </c>
      <c r="M6288" s="112" t="str">
        <f t="shared" si="101"/>
        <v/>
      </c>
      <c r="N6288" s="113"/>
    </row>
    <row r="6289" spans="2:14">
      <c r="B6289" s="105"/>
      <c r="C6289" s="106"/>
      <c r="D6289" s="107"/>
      <c r="E6289" s="65"/>
      <c r="F6289" s="64"/>
      <c r="G6289" s="64"/>
      <c r="H6289" s="64"/>
      <c r="I6289" s="70"/>
      <c r="J6289" s="70"/>
      <c r="K6289" s="110" t="str">
        <f>IF(H6289="","",IF($C$29="간이법","",FPR(H6289,I6289,J6289)))</f>
        <v/>
      </c>
      <c r="L6289" s="111" t="str">
        <f>IF(H6289="","",IF($C$29="상세법",FPV(H6289,K6289),IF(H6289="EI",4,IF(H6289="EO",5.2,IF(H6289="EQ",3.9,IF(H6289="ILF",7.5,IF(H6289="EIF",5.4)))))))</f>
        <v/>
      </c>
      <c r="M6289" s="112" t="str">
        <f t="shared" si="101"/>
        <v/>
      </c>
      <c r="N6289" s="113"/>
    </row>
    <row r="6290" spans="2:14">
      <c r="B6290" s="105"/>
      <c r="C6290" s="106"/>
      <c r="D6290" s="107"/>
      <c r="E6290" s="65"/>
      <c r="F6290" s="64"/>
      <c r="G6290" s="64"/>
      <c r="H6290" s="64"/>
      <c r="I6290" s="70"/>
      <c r="J6290" s="70"/>
      <c r="K6290" s="110" t="str">
        <f>IF(H6290="","",IF($C$29="간이법","",FPR(H6290,I6290,J6290)))</f>
        <v/>
      </c>
      <c r="L6290" s="111" t="str">
        <f>IF(H6290="","",IF($C$29="상세법",FPV(H6290,K6290),IF(H6290="EI",4,IF(H6290="EO",5.2,IF(H6290="EQ",3.9,IF(H6290="ILF",7.5,IF(H6290="EIF",5.4)))))))</f>
        <v/>
      </c>
      <c r="M6290" s="112" t="str">
        <f t="shared" si="101"/>
        <v/>
      </c>
      <c r="N6290" s="113"/>
    </row>
    <row r="6291" spans="2:14">
      <c r="B6291" s="105"/>
      <c r="C6291" s="106"/>
      <c r="D6291" s="107"/>
      <c r="E6291" s="65"/>
      <c r="F6291" s="64"/>
      <c r="G6291" s="64"/>
      <c r="H6291" s="64"/>
      <c r="I6291" s="70"/>
      <c r="J6291" s="70"/>
      <c r="K6291" s="110" t="str">
        <f>IF(H6291="","",IF($C$29="간이법","",FPR(H6291,I6291,J6291)))</f>
        <v/>
      </c>
      <c r="L6291" s="111" t="str">
        <f>IF(H6291="","",IF($C$29="상세법",FPV(H6291,K6291),IF(H6291="EI",4,IF(H6291="EO",5.2,IF(H6291="EQ",3.9,IF(H6291="ILF",7.5,IF(H6291="EIF",5.4)))))))</f>
        <v/>
      </c>
      <c r="M6291" s="112" t="str">
        <f t="shared" si="101"/>
        <v/>
      </c>
      <c r="N6291" s="113"/>
    </row>
    <row r="6292" spans="2:14">
      <c r="B6292" s="105"/>
      <c r="C6292" s="106"/>
      <c r="D6292" s="107"/>
      <c r="E6292" s="65"/>
      <c r="F6292" s="64"/>
      <c r="G6292" s="64"/>
      <c r="H6292" s="64"/>
      <c r="I6292" s="70"/>
      <c r="J6292" s="70"/>
      <c r="K6292" s="110" t="str">
        <f>IF(H6292="","",IF($C$29="간이법","",FPR(H6292,I6292,J6292)))</f>
        <v/>
      </c>
      <c r="L6292" s="111" t="str">
        <f>IF(H6292="","",IF($C$29="상세법",FPV(H6292,K6292),IF(H6292="EI",4,IF(H6292="EO",5.2,IF(H6292="EQ",3.9,IF(H6292="ILF",7.5,IF(H6292="EIF",5.4)))))))</f>
        <v/>
      </c>
      <c r="M6292" s="112" t="str">
        <f t="shared" si="101"/>
        <v/>
      </c>
      <c r="N6292" s="113"/>
    </row>
    <row r="6293" spans="2:14">
      <c r="B6293" s="105"/>
      <c r="C6293" s="106"/>
      <c r="D6293" s="107"/>
      <c r="E6293" s="65"/>
      <c r="F6293" s="64"/>
      <c r="G6293" s="64"/>
      <c r="H6293" s="64"/>
      <c r="I6293" s="70"/>
      <c r="J6293" s="70"/>
      <c r="K6293" s="110" t="str">
        <f>IF(H6293="","",IF($C$29="간이법","",FPR(H6293,I6293,J6293)))</f>
        <v/>
      </c>
      <c r="L6293" s="111" t="str">
        <f>IF(H6293="","",IF($C$29="상세법",FPV(H6293,K6293),IF(H6293="EI",4,IF(H6293="EO",5.2,IF(H6293="EQ",3.9,IF(H6293="ILF",7.5,IF(H6293="EIF",5.4)))))))</f>
        <v/>
      </c>
      <c r="M6293" s="112" t="str">
        <f t="shared" si="101"/>
        <v/>
      </c>
      <c r="N6293" s="113"/>
    </row>
    <row r="6294" spans="2:14">
      <c r="B6294" s="105"/>
      <c r="C6294" s="106"/>
      <c r="D6294" s="107"/>
      <c r="E6294" s="65"/>
      <c r="F6294" s="64"/>
      <c r="G6294" s="64"/>
      <c r="H6294" s="64"/>
      <c r="I6294" s="70"/>
      <c r="J6294" s="70"/>
      <c r="K6294" s="110" t="str">
        <f>IF(H6294="","",IF($C$29="간이법","",FPR(H6294,I6294,J6294)))</f>
        <v/>
      </c>
      <c r="L6294" s="111" t="str">
        <f>IF(H6294="","",IF($C$29="상세법",FPV(H6294,K6294),IF(H6294="EI",4,IF(H6294="EO",5.2,IF(H6294="EQ",3.9,IF(H6294="ILF",7.5,IF(H6294="EIF",5.4)))))))</f>
        <v/>
      </c>
      <c r="M6294" s="112" t="str">
        <f t="shared" si="101"/>
        <v/>
      </c>
      <c r="N6294" s="113"/>
    </row>
    <row r="6295" spans="2:14">
      <c r="B6295" s="105"/>
      <c r="C6295" s="106"/>
      <c r="D6295" s="107"/>
      <c r="E6295" s="65"/>
      <c r="F6295" s="64"/>
      <c r="G6295" s="64"/>
      <c r="H6295" s="64"/>
      <c r="I6295" s="70"/>
      <c r="J6295" s="70"/>
      <c r="K6295" s="110" t="str">
        <f>IF(H6295="","",IF($C$29="간이법","",FPR(H6295,I6295,J6295)))</f>
        <v/>
      </c>
      <c r="L6295" s="111" t="str">
        <f>IF(H6295="","",IF($C$29="상세법",FPV(H6295,K6295),IF(H6295="EI",4,IF(H6295="EO",5.2,IF(H6295="EQ",3.9,IF(H6295="ILF",7.5,IF(H6295="EIF",5.4)))))))</f>
        <v/>
      </c>
      <c r="M6295" s="112" t="str">
        <f t="shared" si="101"/>
        <v/>
      </c>
      <c r="N6295" s="113"/>
    </row>
    <row r="6296" spans="2:14">
      <c r="B6296" s="105"/>
      <c r="C6296" s="106"/>
      <c r="D6296" s="107"/>
      <c r="E6296" s="65"/>
      <c r="F6296" s="64"/>
      <c r="G6296" s="64"/>
      <c r="H6296" s="64"/>
      <c r="I6296" s="70"/>
      <c r="J6296" s="70"/>
      <c r="K6296" s="110" t="str">
        <f>IF(H6296="","",IF($C$29="간이법","",FPR(H6296,I6296,J6296)))</f>
        <v/>
      </c>
      <c r="L6296" s="111" t="str">
        <f>IF(H6296="","",IF($C$29="상세법",FPV(H6296,K6296),IF(H6296="EI",4,IF(H6296="EO",5.2,IF(H6296="EQ",3.9,IF(H6296="ILF",7.5,IF(H6296="EIF",5.4)))))))</f>
        <v/>
      </c>
      <c r="M6296" s="112" t="str">
        <f t="shared" si="101"/>
        <v/>
      </c>
      <c r="N6296" s="113"/>
    </row>
    <row r="6297" spans="2:14">
      <c r="B6297" s="105"/>
      <c r="C6297" s="106"/>
      <c r="D6297" s="107"/>
      <c r="E6297" s="65"/>
      <c r="F6297" s="64"/>
      <c r="G6297" s="64"/>
      <c r="H6297" s="64"/>
      <c r="I6297" s="70"/>
      <c r="J6297" s="70"/>
      <c r="K6297" s="110" t="str">
        <f>IF(H6297="","",IF($C$29="간이법","",FPR(H6297,I6297,J6297)))</f>
        <v/>
      </c>
      <c r="L6297" s="111" t="str">
        <f>IF(H6297="","",IF($C$29="상세법",FPV(H6297,K6297),IF(H6297="EI",4,IF(H6297="EO",5.2,IF(H6297="EQ",3.9,IF(H6297="ILF",7.5,IF(H6297="EIF",5.4)))))))</f>
        <v/>
      </c>
      <c r="M6297" s="112" t="str">
        <f t="shared" si="101"/>
        <v/>
      </c>
      <c r="N6297" s="113"/>
    </row>
    <row r="6298" spans="2:14">
      <c r="B6298" s="105"/>
      <c r="C6298" s="106"/>
      <c r="D6298" s="107"/>
      <c r="E6298" s="65"/>
      <c r="F6298" s="64"/>
      <c r="G6298" s="64"/>
      <c r="H6298" s="64"/>
      <c r="I6298" s="70"/>
      <c r="J6298" s="70"/>
      <c r="K6298" s="110" t="str">
        <f>IF(H6298="","",IF($C$29="간이법","",FPR(H6298,I6298,J6298)))</f>
        <v/>
      </c>
      <c r="L6298" s="111" t="str">
        <f>IF(H6298="","",IF($C$29="상세법",FPV(H6298,K6298),IF(H6298="EI",4,IF(H6298="EO",5.2,IF(H6298="EQ",3.9,IF(H6298="ILF",7.5,IF(H6298="EIF",5.4)))))))</f>
        <v/>
      </c>
      <c r="M6298" s="112" t="str">
        <f t="shared" si="101"/>
        <v/>
      </c>
      <c r="N6298" s="113"/>
    </row>
    <row r="6299" spans="2:14">
      <c r="B6299" s="105"/>
      <c r="C6299" s="106"/>
      <c r="D6299" s="107"/>
      <c r="E6299" s="65"/>
      <c r="F6299" s="64"/>
      <c r="G6299" s="64"/>
      <c r="H6299" s="64"/>
      <c r="I6299" s="70"/>
      <c r="J6299" s="70"/>
      <c r="K6299" s="110" t="str">
        <f>IF(H6299="","",IF($C$29="간이법","",FPR(H6299,I6299,J6299)))</f>
        <v/>
      </c>
      <c r="L6299" s="111" t="str">
        <f>IF(H6299="","",IF($C$29="상세법",FPV(H6299,K6299),IF(H6299="EI",4,IF(H6299="EO",5.2,IF(H6299="EQ",3.9,IF(H6299="ILF",7.5,IF(H6299="EIF",5.4)))))))</f>
        <v/>
      </c>
      <c r="M6299" s="112" t="str">
        <f t="shared" si="101"/>
        <v/>
      </c>
      <c r="N6299" s="113"/>
    </row>
    <row r="6300" spans="2:14">
      <c r="B6300" s="105"/>
      <c r="C6300" s="106"/>
      <c r="D6300" s="107"/>
      <c r="E6300" s="65"/>
      <c r="F6300" s="64"/>
      <c r="G6300" s="64"/>
      <c r="H6300" s="64"/>
      <c r="I6300" s="70"/>
      <c r="J6300" s="70"/>
      <c r="K6300" s="110" t="str">
        <f>IF(H6300="","",IF($C$29="간이법","",FPR(H6300,I6300,J6300)))</f>
        <v/>
      </c>
      <c r="L6300" s="111" t="str">
        <f>IF(H6300="","",IF($C$29="상세법",FPV(H6300,K6300),IF(H6300="EI",4,IF(H6300="EO",5.2,IF(H6300="EQ",3.9,IF(H6300="ILF",7.5,IF(H6300="EIF",5.4)))))))</f>
        <v/>
      </c>
      <c r="M6300" s="112" t="str">
        <f t="shared" si="101"/>
        <v/>
      </c>
      <c r="N6300" s="113"/>
    </row>
    <row r="6301" spans="2:14">
      <c r="B6301" s="105"/>
      <c r="C6301" s="106"/>
      <c r="D6301" s="107"/>
      <c r="E6301" s="65"/>
      <c r="F6301" s="64"/>
      <c r="G6301" s="64"/>
      <c r="H6301" s="64"/>
      <c r="I6301" s="70"/>
      <c r="J6301" s="70"/>
      <c r="K6301" s="110" t="str">
        <f>IF(H6301="","",IF($C$29="간이법","",FPR(H6301,I6301,J6301)))</f>
        <v/>
      </c>
      <c r="L6301" s="111" t="str">
        <f>IF(H6301="","",IF($C$29="상세법",FPV(H6301,K6301),IF(H6301="EI",4,IF(H6301="EO",5.2,IF(H6301="EQ",3.9,IF(H6301="ILF",7.5,IF(H6301="EIF",5.4)))))))</f>
        <v/>
      </c>
      <c r="M6301" s="112" t="str">
        <f t="shared" si="101"/>
        <v/>
      </c>
      <c r="N6301" s="113"/>
    </row>
    <row r="6302" spans="2:14">
      <c r="B6302" s="105"/>
      <c r="C6302" s="106"/>
      <c r="D6302" s="107"/>
      <c r="E6302" s="65"/>
      <c r="F6302" s="64"/>
      <c r="G6302" s="64"/>
      <c r="H6302" s="64"/>
      <c r="I6302" s="70"/>
      <c r="J6302" s="70"/>
      <c r="K6302" s="110" t="str">
        <f>IF(H6302="","",IF($C$29="간이법","",FPR(H6302,I6302,J6302)))</f>
        <v/>
      </c>
      <c r="L6302" s="111" t="str">
        <f>IF(H6302="","",IF($C$29="상세법",FPV(H6302,K6302),IF(H6302="EI",4,IF(H6302="EO",5.2,IF(H6302="EQ",3.9,IF(H6302="ILF",7.5,IF(H6302="EIF",5.4)))))))</f>
        <v/>
      </c>
      <c r="M6302" s="112" t="str">
        <f t="shared" si="101"/>
        <v/>
      </c>
      <c r="N6302" s="113"/>
    </row>
    <row r="6303" spans="2:14">
      <c r="B6303" s="105"/>
      <c r="C6303" s="106"/>
      <c r="D6303" s="107"/>
      <c r="E6303" s="65"/>
      <c r="F6303" s="64"/>
      <c r="G6303" s="64"/>
      <c r="H6303" s="64"/>
      <c r="I6303" s="70"/>
      <c r="J6303" s="70"/>
      <c r="K6303" s="110" t="str">
        <f>IF(H6303="","",IF($C$29="간이법","",FPR(H6303,I6303,J6303)))</f>
        <v/>
      </c>
      <c r="L6303" s="111" t="str">
        <f>IF(H6303="","",IF($C$29="상세법",FPV(H6303,K6303),IF(H6303="EI",4,IF(H6303="EO",5.2,IF(H6303="EQ",3.9,IF(H6303="ILF",7.5,IF(H6303="EIF",5.4)))))))</f>
        <v/>
      </c>
      <c r="M6303" s="112" t="str">
        <f t="shared" si="101"/>
        <v/>
      </c>
      <c r="N6303" s="113"/>
    </row>
    <row r="6304" spans="2:14">
      <c r="B6304" s="105"/>
      <c r="C6304" s="106"/>
      <c r="D6304" s="107"/>
      <c r="E6304" s="65"/>
      <c r="F6304" s="64"/>
      <c r="G6304" s="64"/>
      <c r="H6304" s="64"/>
      <c r="I6304" s="70"/>
      <c r="J6304" s="70"/>
      <c r="K6304" s="110" t="str">
        <f>IF(H6304="","",IF($C$29="간이법","",FPR(H6304,I6304,J6304)))</f>
        <v/>
      </c>
      <c r="L6304" s="111" t="str">
        <f>IF(H6304="","",IF($C$29="상세법",FPV(H6304,K6304),IF(H6304="EI",4,IF(H6304="EO",5.2,IF(H6304="EQ",3.9,IF(H6304="ILF",7.5,IF(H6304="EIF",5.4)))))))</f>
        <v/>
      </c>
      <c r="M6304" s="112" t="str">
        <f t="shared" si="101"/>
        <v/>
      </c>
      <c r="N6304" s="113"/>
    </row>
    <row r="6305" spans="2:14">
      <c r="B6305" s="105"/>
      <c r="C6305" s="106"/>
      <c r="D6305" s="107"/>
      <c r="E6305" s="65"/>
      <c r="F6305" s="64"/>
      <c r="G6305" s="64"/>
      <c r="H6305" s="64"/>
      <c r="I6305" s="70"/>
      <c r="J6305" s="70"/>
      <c r="K6305" s="110" t="str">
        <f>IF(H6305="","",IF($C$29="간이법","",FPR(H6305,I6305,J6305)))</f>
        <v/>
      </c>
      <c r="L6305" s="111" t="str">
        <f>IF(H6305="","",IF($C$29="상세법",FPV(H6305,K6305),IF(H6305="EI",4,IF(H6305="EO",5.2,IF(H6305="EQ",3.9,IF(H6305="ILF",7.5,IF(H6305="EIF",5.4)))))))</f>
        <v/>
      </c>
      <c r="M6305" s="112" t="str">
        <f t="shared" si="101"/>
        <v/>
      </c>
      <c r="N6305" s="113"/>
    </row>
    <row r="6306" spans="2:14">
      <c r="B6306" s="105"/>
      <c r="C6306" s="106"/>
      <c r="D6306" s="107"/>
      <c r="E6306" s="65"/>
      <c r="F6306" s="64"/>
      <c r="G6306" s="64"/>
      <c r="H6306" s="64"/>
      <c r="I6306" s="70"/>
      <c r="J6306" s="70"/>
      <c r="K6306" s="110" t="str">
        <f>IF(H6306="","",IF($C$29="간이법","",FPR(H6306,I6306,J6306)))</f>
        <v/>
      </c>
      <c r="L6306" s="111" t="str">
        <f>IF(H6306="","",IF($C$29="상세법",FPV(H6306,K6306),IF(H6306="EI",4,IF(H6306="EO",5.2,IF(H6306="EQ",3.9,IF(H6306="ILF",7.5,IF(H6306="EIF",5.4)))))))</f>
        <v/>
      </c>
      <c r="M6306" s="112" t="str">
        <f t="shared" si="101"/>
        <v/>
      </c>
      <c r="N6306" s="113"/>
    </row>
    <row r="6307" spans="2:14">
      <c r="B6307" s="105"/>
      <c r="C6307" s="106"/>
      <c r="D6307" s="107"/>
      <c r="E6307" s="65"/>
      <c r="F6307" s="64"/>
      <c r="G6307" s="64"/>
      <c r="H6307" s="64"/>
      <c r="I6307" s="70"/>
      <c r="J6307" s="70"/>
      <c r="K6307" s="110" t="str">
        <f>IF(H6307="","",IF($C$29="간이법","",FPR(H6307,I6307,J6307)))</f>
        <v/>
      </c>
      <c r="L6307" s="111" t="str">
        <f>IF(H6307="","",IF($C$29="상세법",FPV(H6307,K6307),IF(H6307="EI",4,IF(H6307="EO",5.2,IF(H6307="EQ",3.9,IF(H6307="ILF",7.5,IF(H6307="EIF",5.4)))))))</f>
        <v/>
      </c>
      <c r="M6307" s="112" t="str">
        <f t="shared" si="101"/>
        <v/>
      </c>
      <c r="N6307" s="113"/>
    </row>
    <row r="6308" spans="2:14">
      <c r="B6308" s="105"/>
      <c r="C6308" s="106"/>
      <c r="D6308" s="107"/>
      <c r="E6308" s="65"/>
      <c r="F6308" s="64"/>
      <c r="G6308" s="64"/>
      <c r="H6308" s="64"/>
      <c r="I6308" s="70"/>
      <c r="J6308" s="70"/>
      <c r="K6308" s="110" t="str">
        <f>IF(H6308="","",IF($C$29="간이법","",FPR(H6308,I6308,J6308)))</f>
        <v/>
      </c>
      <c r="L6308" s="111" t="str">
        <f>IF(H6308="","",IF($C$29="상세법",FPV(H6308,K6308),IF(H6308="EI",4,IF(H6308="EO",5.2,IF(H6308="EQ",3.9,IF(H6308="ILF",7.5,IF(H6308="EIF",5.4)))))))</f>
        <v/>
      </c>
      <c r="M6308" s="112" t="str">
        <f t="shared" si="101"/>
        <v/>
      </c>
      <c r="N6308" s="113"/>
    </row>
    <row r="6309" spans="2:14">
      <c r="B6309" s="105"/>
      <c r="C6309" s="106"/>
      <c r="D6309" s="107"/>
      <c r="E6309" s="65"/>
      <c r="F6309" s="64"/>
      <c r="G6309" s="64"/>
      <c r="H6309" s="64"/>
      <c r="I6309" s="70"/>
      <c r="J6309" s="70"/>
      <c r="K6309" s="110" t="str">
        <f>IF(H6309="","",IF($C$29="간이법","",FPR(H6309,I6309,J6309)))</f>
        <v/>
      </c>
      <c r="L6309" s="111" t="str">
        <f>IF(H6309="","",IF($C$29="상세법",FPV(H6309,K6309),IF(H6309="EI",4,IF(H6309="EO",5.2,IF(H6309="EQ",3.9,IF(H6309="ILF",7.5,IF(H6309="EIF",5.4)))))))</f>
        <v/>
      </c>
      <c r="M6309" s="112" t="str">
        <f t="shared" si="101"/>
        <v/>
      </c>
      <c r="N6309" s="113"/>
    </row>
    <row r="6310" spans="2:14">
      <c r="B6310" s="105"/>
      <c r="C6310" s="106"/>
      <c r="D6310" s="107"/>
      <c r="E6310" s="65"/>
      <c r="F6310" s="64"/>
      <c r="G6310" s="64"/>
      <c r="H6310" s="64"/>
      <c r="I6310" s="70"/>
      <c r="J6310" s="70"/>
      <c r="K6310" s="110" t="str">
        <f>IF(H6310="","",IF($C$29="간이법","",FPR(H6310,I6310,J6310)))</f>
        <v/>
      </c>
      <c r="L6310" s="111" t="str">
        <f>IF(H6310="","",IF($C$29="상세법",FPV(H6310,K6310),IF(H6310="EI",4,IF(H6310="EO",5.2,IF(H6310="EQ",3.9,IF(H6310="ILF",7.5,IF(H6310="EIF",5.4)))))))</f>
        <v/>
      </c>
      <c r="M6310" s="112" t="str">
        <f t="shared" si="101"/>
        <v/>
      </c>
      <c r="N6310" s="113"/>
    </row>
    <row r="6311" spans="2:14">
      <c r="B6311" s="105"/>
      <c r="C6311" s="106"/>
      <c r="D6311" s="107"/>
      <c r="E6311" s="65"/>
      <c r="F6311" s="64"/>
      <c r="G6311" s="64"/>
      <c r="H6311" s="64"/>
      <c r="I6311" s="70"/>
      <c r="J6311" s="70"/>
      <c r="K6311" s="110" t="str">
        <f>IF(H6311="","",IF($C$29="간이법","",FPR(H6311,I6311,J6311)))</f>
        <v/>
      </c>
      <c r="L6311" s="111" t="str">
        <f>IF(H6311="","",IF($C$29="상세법",FPV(H6311,K6311),IF(H6311="EI",4,IF(H6311="EO",5.2,IF(H6311="EQ",3.9,IF(H6311="ILF",7.5,IF(H6311="EIF",5.4)))))))</f>
        <v/>
      </c>
      <c r="M6311" s="112" t="str">
        <f t="shared" si="101"/>
        <v/>
      </c>
      <c r="N6311" s="113"/>
    </row>
    <row r="6312" spans="2:14">
      <c r="B6312" s="105"/>
      <c r="C6312" s="106"/>
      <c r="D6312" s="107"/>
      <c r="E6312" s="65"/>
      <c r="F6312" s="64"/>
      <c r="G6312" s="64"/>
      <c r="H6312" s="64"/>
      <c r="I6312" s="70"/>
      <c r="J6312" s="70"/>
      <c r="K6312" s="110" t="str">
        <f>IF(H6312="","",IF($C$29="간이법","",FPR(H6312,I6312,J6312)))</f>
        <v/>
      </c>
      <c r="L6312" s="111" t="str">
        <f>IF(H6312="","",IF($C$29="상세법",FPV(H6312,K6312),IF(H6312="EI",4,IF(H6312="EO",5.2,IF(H6312="EQ",3.9,IF(H6312="ILF",7.5,IF(H6312="EIF",5.4)))))))</f>
        <v/>
      </c>
      <c r="M6312" s="112" t="str">
        <f t="shared" si="101"/>
        <v/>
      </c>
      <c r="N6312" s="113"/>
    </row>
    <row r="6313" spans="2:14">
      <c r="B6313" s="105"/>
      <c r="C6313" s="106"/>
      <c r="D6313" s="107"/>
      <c r="E6313" s="65"/>
      <c r="F6313" s="64"/>
      <c r="G6313" s="64"/>
      <c r="H6313" s="64"/>
      <c r="I6313" s="70"/>
      <c r="J6313" s="70"/>
      <c r="K6313" s="110" t="str">
        <f>IF(H6313="","",IF($C$29="간이법","",FPR(H6313,I6313,J6313)))</f>
        <v/>
      </c>
      <c r="L6313" s="111" t="str">
        <f>IF(H6313="","",IF($C$29="상세법",FPV(H6313,K6313),IF(H6313="EI",4,IF(H6313="EO",5.2,IF(H6313="EQ",3.9,IF(H6313="ILF",7.5,IF(H6313="EIF",5.4)))))))</f>
        <v/>
      </c>
      <c r="M6313" s="112" t="str">
        <f t="shared" si="101"/>
        <v/>
      </c>
      <c r="N6313" s="113"/>
    </row>
    <row r="6314" spans="2:14">
      <c r="B6314" s="105"/>
      <c r="C6314" s="106"/>
      <c r="D6314" s="107"/>
      <c r="E6314" s="65"/>
      <c r="F6314" s="64"/>
      <c r="G6314" s="64"/>
      <c r="H6314" s="64"/>
      <c r="I6314" s="70"/>
      <c r="J6314" s="70"/>
      <c r="K6314" s="110" t="str">
        <f>IF(H6314="","",IF($C$29="간이법","",FPR(H6314,I6314,J6314)))</f>
        <v/>
      </c>
      <c r="L6314" s="111" t="str">
        <f>IF(H6314="","",IF($C$29="상세법",FPV(H6314,K6314),IF(H6314="EI",4,IF(H6314="EO",5.2,IF(H6314="EQ",3.9,IF(H6314="ILF",7.5,IF(H6314="EIF",5.4)))))))</f>
        <v/>
      </c>
      <c r="M6314" s="112" t="str">
        <f t="shared" si="101"/>
        <v/>
      </c>
      <c r="N6314" s="113"/>
    </row>
    <row r="6315" spans="2:14">
      <c r="B6315" s="105"/>
      <c r="C6315" s="106"/>
      <c r="D6315" s="107"/>
      <c r="E6315" s="65"/>
      <c r="F6315" s="64"/>
      <c r="G6315" s="64"/>
      <c r="H6315" s="64"/>
      <c r="I6315" s="70"/>
      <c r="J6315" s="70"/>
      <c r="K6315" s="110" t="str">
        <f>IF(H6315="","",IF($C$29="간이법","",FPR(H6315,I6315,J6315)))</f>
        <v/>
      </c>
      <c r="L6315" s="111" t="str">
        <f>IF(H6315="","",IF($C$29="상세법",FPV(H6315,K6315),IF(H6315="EI",4,IF(H6315="EO",5.2,IF(H6315="EQ",3.9,IF(H6315="ILF",7.5,IF(H6315="EIF",5.4)))))))</f>
        <v/>
      </c>
      <c r="M6315" s="112" t="str">
        <f t="shared" si="101"/>
        <v/>
      </c>
      <c r="N6315" s="113"/>
    </row>
    <row r="6316" spans="2:14">
      <c r="B6316" s="105"/>
      <c r="C6316" s="106"/>
      <c r="D6316" s="107"/>
      <c r="E6316" s="65"/>
      <c r="F6316" s="64"/>
      <c r="G6316" s="64"/>
      <c r="H6316" s="64"/>
      <c r="I6316" s="70"/>
      <c r="J6316" s="70"/>
      <c r="K6316" s="110" t="str">
        <f>IF(H6316="","",IF($C$29="간이법","",FPR(H6316,I6316,J6316)))</f>
        <v/>
      </c>
      <c r="L6316" s="111" t="str">
        <f>IF(H6316="","",IF($C$29="상세법",FPV(H6316,K6316),IF(H6316="EI",4,IF(H6316="EO",5.2,IF(H6316="EQ",3.9,IF(H6316="ILF",7.5,IF(H6316="EIF",5.4)))))))</f>
        <v/>
      </c>
      <c r="M6316" s="112" t="str">
        <f t="shared" si="101"/>
        <v/>
      </c>
      <c r="N6316" s="113"/>
    </row>
    <row r="6317" spans="2:14">
      <c r="B6317" s="105"/>
      <c r="C6317" s="106"/>
      <c r="D6317" s="107"/>
      <c r="E6317" s="65"/>
      <c r="F6317" s="64"/>
      <c r="G6317" s="64"/>
      <c r="H6317" s="64"/>
      <c r="I6317" s="70"/>
      <c r="J6317" s="70"/>
      <c r="K6317" s="110" t="str">
        <f>IF(H6317="","",IF($C$29="간이법","",FPR(H6317,I6317,J6317)))</f>
        <v/>
      </c>
      <c r="L6317" s="111" t="str">
        <f>IF(H6317="","",IF($C$29="상세법",FPV(H6317,K6317),IF(H6317="EI",4,IF(H6317="EO",5.2,IF(H6317="EQ",3.9,IF(H6317="ILF",7.5,IF(H6317="EIF",5.4)))))))</f>
        <v/>
      </c>
      <c r="M6317" s="112" t="str">
        <f t="shared" si="101"/>
        <v/>
      </c>
      <c r="N6317" s="113"/>
    </row>
    <row r="6318" spans="2:14">
      <c r="B6318" s="105"/>
      <c r="C6318" s="106"/>
      <c r="D6318" s="107"/>
      <c r="E6318" s="65"/>
      <c r="F6318" s="64"/>
      <c r="G6318" s="64"/>
      <c r="H6318" s="64"/>
      <c r="I6318" s="70"/>
      <c r="J6318" s="70"/>
      <c r="K6318" s="110" t="str">
        <f>IF(H6318="","",IF($C$29="간이법","",FPR(H6318,I6318,J6318)))</f>
        <v/>
      </c>
      <c r="L6318" s="111" t="str">
        <f>IF(H6318="","",IF($C$29="상세법",FPV(H6318,K6318),IF(H6318="EI",4,IF(H6318="EO",5.2,IF(H6318="EQ",3.9,IF(H6318="ILF",7.5,IF(H6318="EIF",5.4)))))))</f>
        <v/>
      </c>
      <c r="M6318" s="112" t="str">
        <f t="shared" si="101"/>
        <v/>
      </c>
      <c r="N6318" s="113"/>
    </row>
    <row r="6319" spans="2:14">
      <c r="B6319" s="105"/>
      <c r="C6319" s="106"/>
      <c r="D6319" s="107"/>
      <c r="E6319" s="65"/>
      <c r="F6319" s="64"/>
      <c r="G6319" s="64"/>
      <c r="H6319" s="64"/>
      <c r="I6319" s="70"/>
      <c r="J6319" s="70"/>
      <c r="K6319" s="110" t="str">
        <f>IF(H6319="","",IF($C$29="간이법","",FPR(H6319,I6319,J6319)))</f>
        <v/>
      </c>
      <c r="L6319" s="111" t="str">
        <f>IF(H6319="","",IF($C$29="상세법",FPV(H6319,K6319),IF(H6319="EI",4,IF(H6319="EO",5.2,IF(H6319="EQ",3.9,IF(H6319="ILF",7.5,IF(H6319="EIF",5.4)))))))</f>
        <v/>
      </c>
      <c r="M6319" s="112" t="str">
        <f t="shared" si="101"/>
        <v/>
      </c>
      <c r="N6319" s="113"/>
    </row>
    <row r="6320" spans="2:14">
      <c r="B6320" s="105"/>
      <c r="C6320" s="106"/>
      <c r="D6320" s="107"/>
      <c r="E6320" s="65"/>
      <c r="F6320" s="64"/>
      <c r="G6320" s="64"/>
      <c r="H6320" s="64"/>
      <c r="I6320" s="70"/>
      <c r="J6320" s="70"/>
      <c r="K6320" s="110" t="str">
        <f>IF(H6320="","",IF($C$29="간이법","",FPR(H6320,I6320,J6320)))</f>
        <v/>
      </c>
      <c r="L6320" s="111" t="str">
        <f>IF(H6320="","",IF($C$29="상세법",FPV(H6320,K6320),IF(H6320="EI",4,IF(H6320="EO",5.2,IF(H6320="EQ",3.9,IF(H6320="ILF",7.5,IF(H6320="EIF",5.4)))))))</f>
        <v/>
      </c>
      <c r="M6320" s="112" t="str">
        <f t="shared" si="101"/>
        <v/>
      </c>
      <c r="N6320" s="113"/>
    </row>
    <row r="6321" spans="2:14">
      <c r="B6321" s="105"/>
      <c r="C6321" s="106"/>
      <c r="D6321" s="107"/>
      <c r="E6321" s="65"/>
      <c r="F6321" s="64"/>
      <c r="G6321" s="64"/>
      <c r="H6321" s="64"/>
      <c r="I6321" s="70"/>
      <c r="J6321" s="70"/>
      <c r="K6321" s="110" t="str">
        <f>IF(H6321="","",IF($C$29="간이법","",FPR(H6321,I6321,J6321)))</f>
        <v/>
      </c>
      <c r="L6321" s="111" t="str">
        <f>IF(H6321="","",IF($C$29="상세법",FPV(H6321,K6321),IF(H6321="EI",4,IF(H6321="EO",5.2,IF(H6321="EQ",3.9,IF(H6321="ILF",7.5,IF(H6321="EIF",5.4)))))))</f>
        <v/>
      </c>
      <c r="M6321" s="112" t="str">
        <f t="shared" si="101"/>
        <v/>
      </c>
      <c r="N6321" s="113"/>
    </row>
    <row r="6322" spans="2:14">
      <c r="B6322" s="105"/>
      <c r="C6322" s="106"/>
      <c r="D6322" s="107"/>
      <c r="E6322" s="65"/>
      <c r="F6322" s="64"/>
      <c r="G6322" s="64"/>
      <c r="H6322" s="64"/>
      <c r="I6322" s="70"/>
      <c r="J6322" s="70"/>
      <c r="K6322" s="110" t="str">
        <f>IF(H6322="","",IF($C$29="간이법","",FPR(H6322,I6322,J6322)))</f>
        <v/>
      </c>
      <c r="L6322" s="111" t="str">
        <f>IF(H6322="","",IF($C$29="상세법",FPV(H6322,K6322),IF(H6322="EI",4,IF(H6322="EO",5.2,IF(H6322="EQ",3.9,IF(H6322="ILF",7.5,IF(H6322="EIF",5.4)))))))</f>
        <v/>
      </c>
      <c r="M6322" s="112" t="str">
        <f t="shared" si="101"/>
        <v/>
      </c>
      <c r="N6322" s="113"/>
    </row>
    <row r="6323" spans="2:14">
      <c r="B6323" s="105"/>
      <c r="C6323" s="106"/>
      <c r="D6323" s="107"/>
      <c r="E6323" s="65"/>
      <c r="F6323" s="64"/>
      <c r="G6323" s="64"/>
      <c r="H6323" s="64"/>
      <c r="I6323" s="70"/>
      <c r="J6323" s="70"/>
      <c r="K6323" s="110" t="str">
        <f>IF(H6323="","",IF($C$29="간이법","",FPR(H6323,I6323,J6323)))</f>
        <v/>
      </c>
      <c r="L6323" s="111" t="str">
        <f>IF(H6323="","",IF($C$29="상세법",FPV(H6323,K6323),IF(H6323="EI",4,IF(H6323="EO",5.2,IF(H6323="EQ",3.9,IF(H6323="ILF",7.5,IF(H6323="EIF",5.4)))))))</f>
        <v/>
      </c>
      <c r="M6323" s="112" t="str">
        <f t="shared" si="101"/>
        <v/>
      </c>
      <c r="N6323" s="113"/>
    </row>
    <row r="6324" spans="2:14">
      <c r="B6324" s="105"/>
      <c r="C6324" s="106"/>
      <c r="D6324" s="107"/>
      <c r="E6324" s="65"/>
      <c r="F6324" s="64"/>
      <c r="G6324" s="64"/>
      <c r="H6324" s="64"/>
      <c r="I6324" s="70"/>
      <c r="J6324" s="70"/>
      <c r="K6324" s="110" t="str">
        <f>IF(H6324="","",IF($C$29="간이법","",FPR(H6324,I6324,J6324)))</f>
        <v/>
      </c>
      <c r="L6324" s="111" t="str">
        <f>IF(H6324="","",IF($C$29="상세법",FPV(H6324,K6324),IF(H6324="EI",4,IF(H6324="EO",5.2,IF(H6324="EQ",3.9,IF(H6324="ILF",7.5,IF(H6324="EIF",5.4)))))))</f>
        <v/>
      </c>
      <c r="M6324" s="112" t="str">
        <f t="shared" si="101"/>
        <v/>
      </c>
      <c r="N6324" s="113"/>
    </row>
    <row r="6325" spans="2:14">
      <c r="B6325" s="105"/>
      <c r="C6325" s="106"/>
      <c r="D6325" s="107"/>
      <c r="E6325" s="65"/>
      <c r="F6325" s="64"/>
      <c r="G6325" s="64"/>
      <c r="H6325" s="64"/>
      <c r="I6325" s="70"/>
      <c r="J6325" s="70"/>
      <c r="K6325" s="110" t="str">
        <f>IF(H6325="","",IF($C$29="간이법","",FPR(H6325,I6325,J6325)))</f>
        <v/>
      </c>
      <c r="L6325" s="111" t="str">
        <f>IF(H6325="","",IF($C$29="상세법",FPV(H6325,K6325),IF(H6325="EI",4,IF(H6325="EO",5.2,IF(H6325="EQ",3.9,IF(H6325="ILF",7.5,IF(H6325="EIF",5.4)))))))</f>
        <v/>
      </c>
      <c r="M6325" s="112" t="str">
        <f t="shared" si="101"/>
        <v/>
      </c>
      <c r="N6325" s="113"/>
    </row>
    <row r="6326" spans="2:14">
      <c r="B6326" s="105"/>
      <c r="C6326" s="106"/>
      <c r="D6326" s="107"/>
      <c r="E6326" s="65"/>
      <c r="F6326" s="64"/>
      <c r="G6326" s="64"/>
      <c r="H6326" s="64"/>
      <c r="I6326" s="70"/>
      <c r="J6326" s="70"/>
      <c r="K6326" s="110" t="str">
        <f>IF(H6326="","",IF($C$29="간이법","",FPR(H6326,I6326,J6326)))</f>
        <v/>
      </c>
      <c r="L6326" s="111" t="str">
        <f>IF(H6326="","",IF($C$29="상세법",FPV(H6326,K6326),IF(H6326="EI",4,IF(H6326="EO",5.2,IF(H6326="EQ",3.9,IF(H6326="ILF",7.5,IF(H6326="EIF",5.4)))))))</f>
        <v/>
      </c>
      <c r="M6326" s="112" t="str">
        <f t="shared" si="101"/>
        <v/>
      </c>
      <c r="N6326" s="113"/>
    </row>
    <row r="6327" spans="2:14">
      <c r="B6327" s="105"/>
      <c r="C6327" s="106"/>
      <c r="D6327" s="107"/>
      <c r="E6327" s="65"/>
      <c r="F6327" s="64"/>
      <c r="G6327" s="64"/>
      <c r="H6327" s="64"/>
      <c r="I6327" s="70"/>
      <c r="J6327" s="70"/>
      <c r="K6327" s="110" t="str">
        <f>IF(H6327="","",IF($C$29="간이법","",FPR(H6327,I6327,J6327)))</f>
        <v/>
      </c>
      <c r="L6327" s="111" t="str">
        <f>IF(H6327="","",IF($C$29="상세법",FPV(H6327,K6327),IF(H6327="EI",4,IF(H6327="EO",5.2,IF(H6327="EQ",3.9,IF(H6327="ILF",7.5,IF(H6327="EIF",5.4)))))))</f>
        <v/>
      </c>
      <c r="M6327" s="112" t="str">
        <f t="shared" si="101"/>
        <v/>
      </c>
      <c r="N6327" s="113"/>
    </row>
    <row r="6328" spans="2:14">
      <c r="B6328" s="105"/>
      <c r="C6328" s="106"/>
      <c r="D6328" s="107"/>
      <c r="E6328" s="65"/>
      <c r="F6328" s="64"/>
      <c r="G6328" s="64"/>
      <c r="H6328" s="64"/>
      <c r="I6328" s="70"/>
      <c r="J6328" s="70"/>
      <c r="K6328" s="110" t="str">
        <f>IF(H6328="","",IF($C$29="간이법","",FPR(H6328,I6328,J6328)))</f>
        <v/>
      </c>
      <c r="L6328" s="111" t="str">
        <f>IF(H6328="","",IF($C$29="상세법",FPV(H6328,K6328),IF(H6328="EI",4,IF(H6328="EO",5.2,IF(H6328="EQ",3.9,IF(H6328="ILF",7.5,IF(H6328="EIF",5.4)))))))</f>
        <v/>
      </c>
      <c r="M6328" s="112" t="str">
        <f t="shared" si="101"/>
        <v/>
      </c>
      <c r="N6328" s="113"/>
    </row>
    <row r="6329" spans="2:14">
      <c r="B6329" s="105"/>
      <c r="C6329" s="106"/>
      <c r="D6329" s="107"/>
      <c r="E6329" s="65"/>
      <c r="F6329" s="64"/>
      <c r="G6329" s="64"/>
      <c r="H6329" s="64"/>
      <c r="I6329" s="70"/>
      <c r="J6329" s="70"/>
      <c r="K6329" s="110" t="str">
        <f>IF(H6329="","",IF($C$29="간이법","",FPR(H6329,I6329,J6329)))</f>
        <v/>
      </c>
      <c r="L6329" s="111" t="str">
        <f>IF(H6329="","",IF($C$29="상세법",FPV(H6329,K6329),IF(H6329="EI",4,IF(H6329="EO",5.2,IF(H6329="EQ",3.9,IF(H6329="ILF",7.5,IF(H6329="EIF",5.4)))))))</f>
        <v/>
      </c>
      <c r="M6329" s="112" t="str">
        <f t="shared" ref="M6329:M6392" si="102">IF(L6329="","",L6329*IF(G6329="상",0.7,IF(G6329="중",0.5,IF(G6329="하",0.2,1))))</f>
        <v/>
      </c>
      <c r="N6329" s="113"/>
    </row>
    <row r="6330" spans="2:14">
      <c r="B6330" s="105"/>
      <c r="C6330" s="106"/>
      <c r="D6330" s="107"/>
      <c r="E6330" s="65"/>
      <c r="F6330" s="64"/>
      <c r="G6330" s="64"/>
      <c r="H6330" s="64"/>
      <c r="I6330" s="70"/>
      <c r="J6330" s="70"/>
      <c r="K6330" s="110" t="str">
        <f>IF(H6330="","",IF($C$29="간이법","",FPR(H6330,I6330,J6330)))</f>
        <v/>
      </c>
      <c r="L6330" s="111" t="str">
        <f>IF(H6330="","",IF($C$29="상세법",FPV(H6330,K6330),IF(H6330="EI",4,IF(H6330="EO",5.2,IF(H6330="EQ",3.9,IF(H6330="ILF",7.5,IF(H6330="EIF",5.4)))))))</f>
        <v/>
      </c>
      <c r="M6330" s="112" t="str">
        <f t="shared" si="102"/>
        <v/>
      </c>
      <c r="N6330" s="113"/>
    </row>
    <row r="6331" spans="2:14">
      <c r="B6331" s="105"/>
      <c r="C6331" s="106"/>
      <c r="D6331" s="107"/>
      <c r="E6331" s="65"/>
      <c r="F6331" s="64"/>
      <c r="G6331" s="64"/>
      <c r="H6331" s="64"/>
      <c r="I6331" s="70"/>
      <c r="J6331" s="70"/>
      <c r="K6331" s="110" t="str">
        <f>IF(H6331="","",IF($C$29="간이법","",FPR(H6331,I6331,J6331)))</f>
        <v/>
      </c>
      <c r="L6331" s="111" t="str">
        <f>IF(H6331="","",IF($C$29="상세법",FPV(H6331,K6331),IF(H6331="EI",4,IF(H6331="EO",5.2,IF(H6331="EQ",3.9,IF(H6331="ILF",7.5,IF(H6331="EIF",5.4)))))))</f>
        <v/>
      </c>
      <c r="M6331" s="112" t="str">
        <f t="shared" si="102"/>
        <v/>
      </c>
      <c r="N6331" s="113"/>
    </row>
    <row r="6332" spans="2:14">
      <c r="B6332" s="105"/>
      <c r="C6332" s="106"/>
      <c r="D6332" s="107"/>
      <c r="E6332" s="65"/>
      <c r="F6332" s="64"/>
      <c r="G6332" s="64"/>
      <c r="H6332" s="64"/>
      <c r="I6332" s="70"/>
      <c r="J6332" s="70"/>
      <c r="K6332" s="110" t="str">
        <f>IF(H6332="","",IF($C$29="간이법","",FPR(H6332,I6332,J6332)))</f>
        <v/>
      </c>
      <c r="L6332" s="111" t="str">
        <f>IF(H6332="","",IF($C$29="상세법",FPV(H6332,K6332),IF(H6332="EI",4,IF(H6332="EO",5.2,IF(H6332="EQ",3.9,IF(H6332="ILF",7.5,IF(H6332="EIF",5.4)))))))</f>
        <v/>
      </c>
      <c r="M6332" s="112" t="str">
        <f t="shared" si="102"/>
        <v/>
      </c>
      <c r="N6332" s="113"/>
    </row>
    <row r="6333" spans="2:14">
      <c r="B6333" s="105"/>
      <c r="C6333" s="106"/>
      <c r="D6333" s="107"/>
      <c r="E6333" s="65"/>
      <c r="F6333" s="64"/>
      <c r="G6333" s="64"/>
      <c r="H6333" s="64"/>
      <c r="I6333" s="70"/>
      <c r="J6333" s="70"/>
      <c r="K6333" s="110" t="str">
        <f>IF(H6333="","",IF($C$29="간이법","",FPR(H6333,I6333,J6333)))</f>
        <v/>
      </c>
      <c r="L6333" s="111" t="str">
        <f>IF(H6333="","",IF($C$29="상세법",FPV(H6333,K6333),IF(H6333="EI",4,IF(H6333="EO",5.2,IF(H6333="EQ",3.9,IF(H6333="ILF",7.5,IF(H6333="EIF",5.4)))))))</f>
        <v/>
      </c>
      <c r="M6333" s="112" t="str">
        <f t="shared" si="102"/>
        <v/>
      </c>
      <c r="N6333" s="113"/>
    </row>
    <row r="6334" spans="2:14">
      <c r="B6334" s="105"/>
      <c r="C6334" s="106"/>
      <c r="D6334" s="107"/>
      <c r="E6334" s="65"/>
      <c r="F6334" s="64"/>
      <c r="G6334" s="64"/>
      <c r="H6334" s="64"/>
      <c r="I6334" s="70"/>
      <c r="J6334" s="70"/>
      <c r="K6334" s="110" t="str">
        <f>IF(H6334="","",IF($C$29="간이법","",FPR(H6334,I6334,J6334)))</f>
        <v/>
      </c>
      <c r="L6334" s="111" t="str">
        <f>IF(H6334="","",IF($C$29="상세법",FPV(H6334,K6334),IF(H6334="EI",4,IF(H6334="EO",5.2,IF(H6334="EQ",3.9,IF(H6334="ILF",7.5,IF(H6334="EIF",5.4)))))))</f>
        <v/>
      </c>
      <c r="M6334" s="112" t="str">
        <f t="shared" si="102"/>
        <v/>
      </c>
      <c r="N6334" s="113"/>
    </row>
    <row r="6335" spans="2:14">
      <c r="B6335" s="105"/>
      <c r="C6335" s="106"/>
      <c r="D6335" s="107"/>
      <c r="E6335" s="65"/>
      <c r="F6335" s="64"/>
      <c r="G6335" s="64"/>
      <c r="H6335" s="64"/>
      <c r="I6335" s="70"/>
      <c r="J6335" s="70"/>
      <c r="K6335" s="110" t="str">
        <f>IF(H6335="","",IF($C$29="간이법","",FPR(H6335,I6335,J6335)))</f>
        <v/>
      </c>
      <c r="L6335" s="111" t="str">
        <f>IF(H6335="","",IF($C$29="상세법",FPV(H6335,K6335),IF(H6335="EI",4,IF(H6335="EO",5.2,IF(H6335="EQ",3.9,IF(H6335="ILF",7.5,IF(H6335="EIF",5.4)))))))</f>
        <v/>
      </c>
      <c r="M6335" s="112" t="str">
        <f t="shared" si="102"/>
        <v/>
      </c>
      <c r="N6335" s="113"/>
    </row>
    <row r="6336" spans="2:14">
      <c r="B6336" s="105"/>
      <c r="C6336" s="106"/>
      <c r="D6336" s="107"/>
      <c r="E6336" s="65"/>
      <c r="F6336" s="64"/>
      <c r="G6336" s="64"/>
      <c r="H6336" s="64"/>
      <c r="I6336" s="70"/>
      <c r="J6336" s="70"/>
      <c r="K6336" s="110" t="str">
        <f>IF(H6336="","",IF($C$29="간이법","",FPR(H6336,I6336,J6336)))</f>
        <v/>
      </c>
      <c r="L6336" s="111" t="str">
        <f>IF(H6336="","",IF($C$29="상세법",FPV(H6336,K6336),IF(H6336="EI",4,IF(H6336="EO",5.2,IF(H6336="EQ",3.9,IF(H6336="ILF",7.5,IF(H6336="EIF",5.4)))))))</f>
        <v/>
      </c>
      <c r="M6336" s="112" t="str">
        <f t="shared" si="102"/>
        <v/>
      </c>
      <c r="N6336" s="113"/>
    </row>
    <row r="6337" spans="2:14">
      <c r="B6337" s="105"/>
      <c r="C6337" s="106"/>
      <c r="D6337" s="107"/>
      <c r="E6337" s="65"/>
      <c r="F6337" s="64"/>
      <c r="G6337" s="64"/>
      <c r="H6337" s="64"/>
      <c r="I6337" s="70"/>
      <c r="J6337" s="70"/>
      <c r="K6337" s="110" t="str">
        <f>IF(H6337="","",IF($C$29="간이법","",FPR(H6337,I6337,J6337)))</f>
        <v/>
      </c>
      <c r="L6337" s="111" t="str">
        <f>IF(H6337="","",IF($C$29="상세법",FPV(H6337,K6337),IF(H6337="EI",4,IF(H6337="EO",5.2,IF(H6337="EQ",3.9,IF(H6337="ILF",7.5,IF(H6337="EIF",5.4)))))))</f>
        <v/>
      </c>
      <c r="M6337" s="112" t="str">
        <f t="shared" si="102"/>
        <v/>
      </c>
      <c r="N6337" s="113"/>
    </row>
    <row r="6338" spans="2:14">
      <c r="B6338" s="105"/>
      <c r="C6338" s="106"/>
      <c r="D6338" s="107"/>
      <c r="E6338" s="65"/>
      <c r="F6338" s="64"/>
      <c r="G6338" s="64"/>
      <c r="H6338" s="64"/>
      <c r="I6338" s="70"/>
      <c r="J6338" s="70"/>
      <c r="K6338" s="110" t="str">
        <f>IF(H6338="","",IF($C$29="간이법","",FPR(H6338,I6338,J6338)))</f>
        <v/>
      </c>
      <c r="L6338" s="111" t="str">
        <f>IF(H6338="","",IF($C$29="상세법",FPV(H6338,K6338),IF(H6338="EI",4,IF(H6338="EO",5.2,IF(H6338="EQ",3.9,IF(H6338="ILF",7.5,IF(H6338="EIF",5.4)))))))</f>
        <v/>
      </c>
      <c r="M6338" s="112" t="str">
        <f t="shared" si="102"/>
        <v/>
      </c>
      <c r="N6338" s="113"/>
    </row>
    <row r="6339" spans="2:14">
      <c r="B6339" s="105"/>
      <c r="C6339" s="106"/>
      <c r="D6339" s="107"/>
      <c r="E6339" s="65"/>
      <c r="F6339" s="64"/>
      <c r="G6339" s="64"/>
      <c r="H6339" s="64"/>
      <c r="I6339" s="70"/>
      <c r="J6339" s="70"/>
      <c r="K6339" s="110" t="str">
        <f>IF(H6339="","",IF($C$29="간이법","",FPR(H6339,I6339,J6339)))</f>
        <v/>
      </c>
      <c r="L6339" s="111" t="str">
        <f>IF(H6339="","",IF($C$29="상세법",FPV(H6339,K6339),IF(H6339="EI",4,IF(H6339="EO",5.2,IF(H6339="EQ",3.9,IF(H6339="ILF",7.5,IF(H6339="EIF",5.4)))))))</f>
        <v/>
      </c>
      <c r="M6339" s="112" t="str">
        <f t="shared" si="102"/>
        <v/>
      </c>
      <c r="N6339" s="113"/>
    </row>
    <row r="6340" spans="2:14">
      <c r="B6340" s="105"/>
      <c r="C6340" s="106"/>
      <c r="D6340" s="107"/>
      <c r="E6340" s="65"/>
      <c r="F6340" s="64"/>
      <c r="G6340" s="64"/>
      <c r="H6340" s="64"/>
      <c r="I6340" s="70"/>
      <c r="J6340" s="70"/>
      <c r="K6340" s="110" t="str">
        <f>IF(H6340="","",IF($C$29="간이법","",FPR(H6340,I6340,J6340)))</f>
        <v/>
      </c>
      <c r="L6340" s="111" t="str">
        <f>IF(H6340="","",IF($C$29="상세법",FPV(H6340,K6340),IF(H6340="EI",4,IF(H6340="EO",5.2,IF(H6340="EQ",3.9,IF(H6340="ILF",7.5,IF(H6340="EIF",5.4)))))))</f>
        <v/>
      </c>
      <c r="M6340" s="112" t="str">
        <f t="shared" si="102"/>
        <v/>
      </c>
      <c r="N6340" s="113"/>
    </row>
    <row r="6341" spans="2:14">
      <c r="B6341" s="105"/>
      <c r="C6341" s="106"/>
      <c r="D6341" s="107"/>
      <c r="E6341" s="65"/>
      <c r="F6341" s="64"/>
      <c r="G6341" s="64"/>
      <c r="H6341" s="64"/>
      <c r="I6341" s="70"/>
      <c r="J6341" s="70"/>
      <c r="K6341" s="110" t="str">
        <f>IF(H6341="","",IF($C$29="간이법","",FPR(H6341,I6341,J6341)))</f>
        <v/>
      </c>
      <c r="L6341" s="111" t="str">
        <f>IF(H6341="","",IF($C$29="상세법",FPV(H6341,K6341),IF(H6341="EI",4,IF(H6341="EO",5.2,IF(H6341="EQ",3.9,IF(H6341="ILF",7.5,IF(H6341="EIF",5.4)))))))</f>
        <v/>
      </c>
      <c r="M6341" s="112" t="str">
        <f t="shared" si="102"/>
        <v/>
      </c>
      <c r="N6341" s="113"/>
    </row>
    <row r="6342" spans="2:14">
      <c r="B6342" s="105"/>
      <c r="C6342" s="106"/>
      <c r="D6342" s="107"/>
      <c r="E6342" s="65"/>
      <c r="F6342" s="64"/>
      <c r="G6342" s="64"/>
      <c r="H6342" s="64"/>
      <c r="I6342" s="70"/>
      <c r="J6342" s="70"/>
      <c r="K6342" s="110" t="str">
        <f>IF(H6342="","",IF($C$29="간이법","",FPR(H6342,I6342,J6342)))</f>
        <v/>
      </c>
      <c r="L6342" s="111" t="str">
        <f>IF(H6342="","",IF($C$29="상세법",FPV(H6342,K6342),IF(H6342="EI",4,IF(H6342="EO",5.2,IF(H6342="EQ",3.9,IF(H6342="ILF",7.5,IF(H6342="EIF",5.4)))))))</f>
        <v/>
      </c>
      <c r="M6342" s="112" t="str">
        <f t="shared" si="102"/>
        <v/>
      </c>
      <c r="N6342" s="113"/>
    </row>
    <row r="6343" spans="2:14">
      <c r="B6343" s="105"/>
      <c r="C6343" s="106"/>
      <c r="D6343" s="107"/>
      <c r="E6343" s="65"/>
      <c r="F6343" s="64"/>
      <c r="G6343" s="64"/>
      <c r="H6343" s="64"/>
      <c r="I6343" s="70"/>
      <c r="J6343" s="70"/>
      <c r="K6343" s="110" t="str">
        <f>IF(H6343="","",IF($C$29="간이법","",FPR(H6343,I6343,J6343)))</f>
        <v/>
      </c>
      <c r="L6343" s="111" t="str">
        <f>IF(H6343="","",IF($C$29="상세법",FPV(H6343,K6343),IF(H6343="EI",4,IF(H6343="EO",5.2,IF(H6343="EQ",3.9,IF(H6343="ILF",7.5,IF(H6343="EIF",5.4)))))))</f>
        <v/>
      </c>
      <c r="M6343" s="112" t="str">
        <f t="shared" si="102"/>
        <v/>
      </c>
      <c r="N6343" s="113"/>
    </row>
    <row r="6344" spans="2:14">
      <c r="B6344" s="105"/>
      <c r="C6344" s="106"/>
      <c r="D6344" s="107"/>
      <c r="E6344" s="65"/>
      <c r="F6344" s="64"/>
      <c r="G6344" s="64"/>
      <c r="H6344" s="64"/>
      <c r="I6344" s="70"/>
      <c r="J6344" s="70"/>
      <c r="K6344" s="110" t="str">
        <f>IF(H6344="","",IF($C$29="간이법","",FPR(H6344,I6344,J6344)))</f>
        <v/>
      </c>
      <c r="L6344" s="111" t="str">
        <f>IF(H6344="","",IF($C$29="상세법",FPV(H6344,K6344),IF(H6344="EI",4,IF(H6344="EO",5.2,IF(H6344="EQ",3.9,IF(H6344="ILF",7.5,IF(H6344="EIF",5.4)))))))</f>
        <v/>
      </c>
      <c r="M6344" s="112" t="str">
        <f t="shared" si="102"/>
        <v/>
      </c>
      <c r="N6344" s="113"/>
    </row>
    <row r="6345" spans="2:14">
      <c r="B6345" s="105"/>
      <c r="C6345" s="106"/>
      <c r="D6345" s="107"/>
      <c r="E6345" s="65"/>
      <c r="F6345" s="64"/>
      <c r="G6345" s="64"/>
      <c r="H6345" s="64"/>
      <c r="I6345" s="70"/>
      <c r="J6345" s="70"/>
      <c r="K6345" s="110" t="str">
        <f>IF(H6345="","",IF($C$29="간이법","",FPR(H6345,I6345,J6345)))</f>
        <v/>
      </c>
      <c r="L6345" s="111" t="str">
        <f>IF(H6345="","",IF($C$29="상세법",FPV(H6345,K6345),IF(H6345="EI",4,IF(H6345="EO",5.2,IF(H6345="EQ",3.9,IF(H6345="ILF",7.5,IF(H6345="EIF",5.4)))))))</f>
        <v/>
      </c>
      <c r="M6345" s="112" t="str">
        <f t="shared" si="102"/>
        <v/>
      </c>
      <c r="N6345" s="113"/>
    </row>
    <row r="6346" spans="2:14">
      <c r="B6346" s="105"/>
      <c r="C6346" s="106"/>
      <c r="D6346" s="107"/>
      <c r="E6346" s="65"/>
      <c r="F6346" s="64"/>
      <c r="G6346" s="64"/>
      <c r="H6346" s="64"/>
      <c r="I6346" s="70"/>
      <c r="J6346" s="70"/>
      <c r="K6346" s="110" t="str">
        <f>IF(H6346="","",IF($C$29="간이법","",FPR(H6346,I6346,J6346)))</f>
        <v/>
      </c>
      <c r="L6346" s="111" t="str">
        <f>IF(H6346="","",IF($C$29="상세법",FPV(H6346,K6346),IF(H6346="EI",4,IF(H6346="EO",5.2,IF(H6346="EQ",3.9,IF(H6346="ILF",7.5,IF(H6346="EIF",5.4)))))))</f>
        <v/>
      </c>
      <c r="M6346" s="112" t="str">
        <f t="shared" si="102"/>
        <v/>
      </c>
      <c r="N6346" s="113"/>
    </row>
    <row r="6347" spans="2:14">
      <c r="B6347" s="105"/>
      <c r="C6347" s="106"/>
      <c r="D6347" s="107"/>
      <c r="E6347" s="65"/>
      <c r="F6347" s="64"/>
      <c r="G6347" s="64"/>
      <c r="H6347" s="64"/>
      <c r="I6347" s="70"/>
      <c r="J6347" s="70"/>
      <c r="K6347" s="110" t="str">
        <f>IF(H6347="","",IF($C$29="간이법","",FPR(H6347,I6347,J6347)))</f>
        <v/>
      </c>
      <c r="L6347" s="111" t="str">
        <f>IF(H6347="","",IF($C$29="상세법",FPV(H6347,K6347),IF(H6347="EI",4,IF(H6347="EO",5.2,IF(H6347="EQ",3.9,IF(H6347="ILF",7.5,IF(H6347="EIF",5.4)))))))</f>
        <v/>
      </c>
      <c r="M6347" s="112" t="str">
        <f t="shared" si="102"/>
        <v/>
      </c>
      <c r="N6347" s="113"/>
    </row>
    <row r="6348" spans="2:14">
      <c r="B6348" s="105"/>
      <c r="C6348" s="106"/>
      <c r="D6348" s="107"/>
      <c r="E6348" s="65"/>
      <c r="F6348" s="64"/>
      <c r="G6348" s="64"/>
      <c r="H6348" s="64"/>
      <c r="I6348" s="70"/>
      <c r="J6348" s="70"/>
      <c r="K6348" s="110" t="str">
        <f>IF(H6348="","",IF($C$29="간이법","",FPR(H6348,I6348,J6348)))</f>
        <v/>
      </c>
      <c r="L6348" s="111" t="str">
        <f>IF(H6348="","",IF($C$29="상세법",FPV(H6348,K6348),IF(H6348="EI",4,IF(H6348="EO",5.2,IF(H6348="EQ",3.9,IF(H6348="ILF",7.5,IF(H6348="EIF",5.4)))))))</f>
        <v/>
      </c>
      <c r="M6348" s="112" t="str">
        <f t="shared" si="102"/>
        <v/>
      </c>
      <c r="N6348" s="113"/>
    </row>
    <row r="6349" spans="2:14">
      <c r="B6349" s="105"/>
      <c r="C6349" s="106"/>
      <c r="D6349" s="107"/>
      <c r="E6349" s="65"/>
      <c r="F6349" s="64"/>
      <c r="G6349" s="64"/>
      <c r="H6349" s="64"/>
      <c r="I6349" s="70"/>
      <c r="J6349" s="70"/>
      <c r="K6349" s="110" t="str">
        <f>IF(H6349="","",IF($C$29="간이법","",FPR(H6349,I6349,J6349)))</f>
        <v/>
      </c>
      <c r="L6349" s="111" t="str">
        <f>IF(H6349="","",IF($C$29="상세법",FPV(H6349,K6349),IF(H6349="EI",4,IF(H6349="EO",5.2,IF(H6349="EQ",3.9,IF(H6349="ILF",7.5,IF(H6349="EIF",5.4)))))))</f>
        <v/>
      </c>
      <c r="M6349" s="112" t="str">
        <f t="shared" si="102"/>
        <v/>
      </c>
      <c r="N6349" s="113"/>
    </row>
    <row r="6350" spans="2:14">
      <c r="B6350" s="105"/>
      <c r="C6350" s="106"/>
      <c r="D6350" s="107"/>
      <c r="E6350" s="65"/>
      <c r="F6350" s="64"/>
      <c r="G6350" s="64"/>
      <c r="H6350" s="64"/>
      <c r="I6350" s="70"/>
      <c r="J6350" s="70"/>
      <c r="K6350" s="110" t="str">
        <f>IF(H6350="","",IF($C$29="간이법","",FPR(H6350,I6350,J6350)))</f>
        <v/>
      </c>
      <c r="L6350" s="111" t="str">
        <f>IF(H6350="","",IF($C$29="상세법",FPV(H6350,K6350),IF(H6350="EI",4,IF(H6350="EO",5.2,IF(H6350="EQ",3.9,IF(H6350="ILF",7.5,IF(H6350="EIF",5.4)))))))</f>
        <v/>
      </c>
      <c r="M6350" s="112" t="str">
        <f t="shared" si="102"/>
        <v/>
      </c>
      <c r="N6350" s="113"/>
    </row>
    <row r="6351" spans="2:14">
      <c r="B6351" s="105"/>
      <c r="C6351" s="106"/>
      <c r="D6351" s="107"/>
      <c r="E6351" s="65"/>
      <c r="F6351" s="64"/>
      <c r="G6351" s="64"/>
      <c r="H6351" s="64"/>
      <c r="I6351" s="70"/>
      <c r="J6351" s="70"/>
      <c r="K6351" s="110" t="str">
        <f>IF(H6351="","",IF($C$29="간이법","",FPR(H6351,I6351,J6351)))</f>
        <v/>
      </c>
      <c r="L6351" s="111" t="str">
        <f>IF(H6351="","",IF($C$29="상세법",FPV(H6351,K6351),IF(H6351="EI",4,IF(H6351="EO",5.2,IF(H6351="EQ",3.9,IF(H6351="ILF",7.5,IF(H6351="EIF",5.4)))))))</f>
        <v/>
      </c>
      <c r="M6351" s="112" t="str">
        <f t="shared" si="102"/>
        <v/>
      </c>
      <c r="N6351" s="113"/>
    </row>
    <row r="6352" spans="2:14">
      <c r="B6352" s="105"/>
      <c r="C6352" s="106"/>
      <c r="D6352" s="107"/>
      <c r="E6352" s="65"/>
      <c r="F6352" s="64"/>
      <c r="G6352" s="64"/>
      <c r="H6352" s="64"/>
      <c r="I6352" s="70"/>
      <c r="J6352" s="70"/>
      <c r="K6352" s="110" t="str">
        <f>IF(H6352="","",IF($C$29="간이법","",FPR(H6352,I6352,J6352)))</f>
        <v/>
      </c>
      <c r="L6352" s="111" t="str">
        <f>IF(H6352="","",IF($C$29="상세법",FPV(H6352,K6352),IF(H6352="EI",4,IF(H6352="EO",5.2,IF(H6352="EQ",3.9,IF(H6352="ILF",7.5,IF(H6352="EIF",5.4)))))))</f>
        <v/>
      </c>
      <c r="M6352" s="112" t="str">
        <f t="shared" si="102"/>
        <v/>
      </c>
      <c r="N6352" s="113"/>
    </row>
    <row r="6353" spans="2:14">
      <c r="B6353" s="105"/>
      <c r="C6353" s="106"/>
      <c r="D6353" s="107"/>
      <c r="E6353" s="65"/>
      <c r="F6353" s="64"/>
      <c r="G6353" s="64"/>
      <c r="H6353" s="64"/>
      <c r="I6353" s="70"/>
      <c r="J6353" s="70"/>
      <c r="K6353" s="110" t="str">
        <f>IF(H6353="","",IF($C$29="간이법","",FPR(H6353,I6353,J6353)))</f>
        <v/>
      </c>
      <c r="L6353" s="111" t="str">
        <f>IF(H6353="","",IF($C$29="상세법",FPV(H6353,K6353),IF(H6353="EI",4,IF(H6353="EO",5.2,IF(H6353="EQ",3.9,IF(H6353="ILF",7.5,IF(H6353="EIF",5.4)))))))</f>
        <v/>
      </c>
      <c r="M6353" s="112" t="str">
        <f t="shared" si="102"/>
        <v/>
      </c>
      <c r="N6353" s="113"/>
    </row>
    <row r="6354" spans="2:14">
      <c r="B6354" s="105"/>
      <c r="C6354" s="106"/>
      <c r="D6354" s="107"/>
      <c r="E6354" s="65"/>
      <c r="F6354" s="64"/>
      <c r="G6354" s="64"/>
      <c r="H6354" s="64"/>
      <c r="I6354" s="70"/>
      <c r="J6354" s="70"/>
      <c r="K6354" s="110" t="str">
        <f>IF(H6354="","",IF($C$29="간이법","",FPR(H6354,I6354,J6354)))</f>
        <v/>
      </c>
      <c r="L6354" s="111" t="str">
        <f>IF(H6354="","",IF($C$29="상세법",FPV(H6354,K6354),IF(H6354="EI",4,IF(H6354="EO",5.2,IF(H6354="EQ",3.9,IF(H6354="ILF",7.5,IF(H6354="EIF",5.4)))))))</f>
        <v/>
      </c>
      <c r="M6354" s="112" t="str">
        <f t="shared" si="102"/>
        <v/>
      </c>
      <c r="N6354" s="113"/>
    </row>
    <row r="6355" spans="2:14">
      <c r="B6355" s="105"/>
      <c r="C6355" s="106"/>
      <c r="D6355" s="107"/>
      <c r="E6355" s="65"/>
      <c r="F6355" s="64"/>
      <c r="G6355" s="64"/>
      <c r="H6355" s="64"/>
      <c r="I6355" s="70"/>
      <c r="J6355" s="70"/>
      <c r="K6355" s="110" t="str">
        <f>IF(H6355="","",IF($C$29="간이법","",FPR(H6355,I6355,J6355)))</f>
        <v/>
      </c>
      <c r="L6355" s="111" t="str">
        <f>IF(H6355="","",IF($C$29="상세법",FPV(H6355,K6355),IF(H6355="EI",4,IF(H6355="EO",5.2,IF(H6355="EQ",3.9,IF(H6355="ILF",7.5,IF(H6355="EIF",5.4)))))))</f>
        <v/>
      </c>
      <c r="M6355" s="112" t="str">
        <f t="shared" si="102"/>
        <v/>
      </c>
      <c r="N6355" s="113"/>
    </row>
    <row r="6356" spans="2:14">
      <c r="B6356" s="105"/>
      <c r="C6356" s="106"/>
      <c r="D6356" s="107"/>
      <c r="E6356" s="65"/>
      <c r="F6356" s="64"/>
      <c r="G6356" s="64"/>
      <c r="H6356" s="64"/>
      <c r="I6356" s="70"/>
      <c r="J6356" s="70"/>
      <c r="K6356" s="110" t="str">
        <f>IF(H6356="","",IF($C$29="간이법","",FPR(H6356,I6356,J6356)))</f>
        <v/>
      </c>
      <c r="L6356" s="111" t="str">
        <f>IF(H6356="","",IF($C$29="상세법",FPV(H6356,K6356),IF(H6356="EI",4,IF(H6356="EO",5.2,IF(H6356="EQ",3.9,IF(H6356="ILF",7.5,IF(H6356="EIF",5.4)))))))</f>
        <v/>
      </c>
      <c r="M6356" s="112" t="str">
        <f t="shared" si="102"/>
        <v/>
      </c>
      <c r="N6356" s="113"/>
    </row>
    <row r="6357" spans="2:14">
      <c r="B6357" s="105"/>
      <c r="C6357" s="106"/>
      <c r="D6357" s="107"/>
      <c r="E6357" s="65"/>
      <c r="F6357" s="64"/>
      <c r="G6357" s="64"/>
      <c r="H6357" s="64"/>
      <c r="I6357" s="70"/>
      <c r="J6357" s="70"/>
      <c r="K6357" s="110" t="str">
        <f>IF(H6357="","",IF($C$29="간이법","",FPR(H6357,I6357,J6357)))</f>
        <v/>
      </c>
      <c r="L6357" s="111" t="str">
        <f>IF(H6357="","",IF($C$29="상세법",FPV(H6357,K6357),IF(H6357="EI",4,IF(H6357="EO",5.2,IF(H6357="EQ",3.9,IF(H6357="ILF",7.5,IF(H6357="EIF",5.4)))))))</f>
        <v/>
      </c>
      <c r="M6357" s="112" t="str">
        <f t="shared" si="102"/>
        <v/>
      </c>
      <c r="N6357" s="113"/>
    </row>
    <row r="6358" spans="2:14">
      <c r="B6358" s="105"/>
      <c r="C6358" s="106"/>
      <c r="D6358" s="107"/>
      <c r="E6358" s="65"/>
      <c r="F6358" s="64"/>
      <c r="G6358" s="64"/>
      <c r="H6358" s="64"/>
      <c r="I6358" s="70"/>
      <c r="J6358" s="70"/>
      <c r="K6358" s="110" t="str">
        <f>IF(H6358="","",IF($C$29="간이법","",FPR(H6358,I6358,J6358)))</f>
        <v/>
      </c>
      <c r="L6358" s="111" t="str">
        <f>IF(H6358="","",IF($C$29="상세법",FPV(H6358,K6358),IF(H6358="EI",4,IF(H6358="EO",5.2,IF(H6358="EQ",3.9,IF(H6358="ILF",7.5,IF(H6358="EIF",5.4)))))))</f>
        <v/>
      </c>
      <c r="M6358" s="112" t="str">
        <f t="shared" si="102"/>
        <v/>
      </c>
      <c r="N6358" s="113"/>
    </row>
    <row r="6359" spans="2:14">
      <c r="B6359" s="105"/>
      <c r="C6359" s="106"/>
      <c r="D6359" s="107"/>
      <c r="E6359" s="65"/>
      <c r="F6359" s="64"/>
      <c r="G6359" s="64"/>
      <c r="H6359" s="64"/>
      <c r="I6359" s="70"/>
      <c r="J6359" s="70"/>
      <c r="K6359" s="110" t="str">
        <f>IF(H6359="","",IF($C$29="간이법","",FPR(H6359,I6359,J6359)))</f>
        <v/>
      </c>
      <c r="L6359" s="111" t="str">
        <f>IF(H6359="","",IF($C$29="상세법",FPV(H6359,K6359),IF(H6359="EI",4,IF(H6359="EO",5.2,IF(H6359="EQ",3.9,IF(H6359="ILF",7.5,IF(H6359="EIF",5.4)))))))</f>
        <v/>
      </c>
      <c r="M6359" s="112" t="str">
        <f t="shared" si="102"/>
        <v/>
      </c>
      <c r="N6359" s="113"/>
    </row>
    <row r="6360" spans="2:14">
      <c r="B6360" s="105"/>
      <c r="C6360" s="106"/>
      <c r="D6360" s="107"/>
      <c r="E6360" s="65"/>
      <c r="F6360" s="64"/>
      <c r="G6360" s="64"/>
      <c r="H6360" s="64"/>
      <c r="I6360" s="70"/>
      <c r="J6360" s="70"/>
      <c r="K6360" s="110" t="str">
        <f>IF(H6360="","",IF($C$29="간이법","",FPR(H6360,I6360,J6360)))</f>
        <v/>
      </c>
      <c r="L6360" s="111" t="str">
        <f>IF(H6360="","",IF($C$29="상세법",FPV(H6360,K6360),IF(H6360="EI",4,IF(H6360="EO",5.2,IF(H6360="EQ",3.9,IF(H6360="ILF",7.5,IF(H6360="EIF",5.4)))))))</f>
        <v/>
      </c>
      <c r="M6360" s="112" t="str">
        <f t="shared" si="102"/>
        <v/>
      </c>
      <c r="N6360" s="113"/>
    </row>
    <row r="6361" spans="2:14">
      <c r="B6361" s="105"/>
      <c r="C6361" s="106"/>
      <c r="D6361" s="107"/>
      <c r="E6361" s="65"/>
      <c r="F6361" s="64"/>
      <c r="G6361" s="64"/>
      <c r="H6361" s="64"/>
      <c r="I6361" s="70"/>
      <c r="J6361" s="70"/>
      <c r="K6361" s="110" t="str">
        <f>IF(H6361="","",IF($C$29="간이법","",FPR(H6361,I6361,J6361)))</f>
        <v/>
      </c>
      <c r="L6361" s="111" t="str">
        <f>IF(H6361="","",IF($C$29="상세법",FPV(H6361,K6361),IF(H6361="EI",4,IF(H6361="EO",5.2,IF(H6361="EQ",3.9,IF(H6361="ILF",7.5,IF(H6361="EIF",5.4)))))))</f>
        <v/>
      </c>
      <c r="M6361" s="112" t="str">
        <f t="shared" si="102"/>
        <v/>
      </c>
      <c r="N6361" s="113"/>
    </row>
    <row r="6362" spans="2:14">
      <c r="B6362" s="105"/>
      <c r="C6362" s="106"/>
      <c r="D6362" s="107"/>
      <c r="E6362" s="65"/>
      <c r="F6362" s="64"/>
      <c r="G6362" s="64"/>
      <c r="H6362" s="64"/>
      <c r="I6362" s="70"/>
      <c r="J6362" s="70"/>
      <c r="K6362" s="110" t="str">
        <f>IF(H6362="","",IF($C$29="간이법","",FPR(H6362,I6362,J6362)))</f>
        <v/>
      </c>
      <c r="L6362" s="111" t="str">
        <f>IF(H6362="","",IF($C$29="상세법",FPV(H6362,K6362),IF(H6362="EI",4,IF(H6362="EO",5.2,IF(H6362="EQ",3.9,IF(H6362="ILF",7.5,IF(H6362="EIF",5.4)))))))</f>
        <v/>
      </c>
      <c r="M6362" s="112" t="str">
        <f t="shared" si="102"/>
        <v/>
      </c>
      <c r="N6362" s="113"/>
    </row>
    <row r="6363" spans="2:14">
      <c r="B6363" s="105"/>
      <c r="C6363" s="106"/>
      <c r="D6363" s="107"/>
      <c r="E6363" s="65"/>
      <c r="F6363" s="64"/>
      <c r="G6363" s="64"/>
      <c r="H6363" s="64"/>
      <c r="I6363" s="70"/>
      <c r="J6363" s="70"/>
      <c r="K6363" s="110" t="str">
        <f>IF(H6363="","",IF($C$29="간이법","",FPR(H6363,I6363,J6363)))</f>
        <v/>
      </c>
      <c r="L6363" s="111" t="str">
        <f>IF(H6363="","",IF($C$29="상세법",FPV(H6363,K6363),IF(H6363="EI",4,IF(H6363="EO",5.2,IF(H6363="EQ",3.9,IF(H6363="ILF",7.5,IF(H6363="EIF",5.4)))))))</f>
        <v/>
      </c>
      <c r="M6363" s="112" t="str">
        <f t="shared" si="102"/>
        <v/>
      </c>
      <c r="N6363" s="113"/>
    </row>
    <row r="6364" spans="2:14">
      <c r="B6364" s="105"/>
      <c r="C6364" s="106"/>
      <c r="D6364" s="107"/>
      <c r="E6364" s="65"/>
      <c r="F6364" s="64"/>
      <c r="G6364" s="64"/>
      <c r="H6364" s="64"/>
      <c r="I6364" s="70"/>
      <c r="J6364" s="70"/>
      <c r="K6364" s="110" t="str">
        <f>IF(H6364="","",IF($C$29="간이법","",FPR(H6364,I6364,J6364)))</f>
        <v/>
      </c>
      <c r="L6364" s="111" t="str">
        <f>IF(H6364="","",IF($C$29="상세법",FPV(H6364,K6364),IF(H6364="EI",4,IF(H6364="EO",5.2,IF(H6364="EQ",3.9,IF(H6364="ILF",7.5,IF(H6364="EIF",5.4)))))))</f>
        <v/>
      </c>
      <c r="M6364" s="112" t="str">
        <f t="shared" si="102"/>
        <v/>
      </c>
      <c r="N6364" s="113"/>
    </row>
    <row r="6365" spans="2:14">
      <c r="B6365" s="105"/>
      <c r="C6365" s="106"/>
      <c r="D6365" s="107"/>
      <c r="E6365" s="65"/>
      <c r="F6365" s="64"/>
      <c r="G6365" s="64"/>
      <c r="H6365" s="64"/>
      <c r="I6365" s="70"/>
      <c r="J6365" s="70"/>
      <c r="K6365" s="110" t="str">
        <f>IF(H6365="","",IF($C$29="간이법","",FPR(H6365,I6365,J6365)))</f>
        <v/>
      </c>
      <c r="L6365" s="111" t="str">
        <f>IF(H6365="","",IF($C$29="상세법",FPV(H6365,K6365),IF(H6365="EI",4,IF(H6365="EO",5.2,IF(H6365="EQ",3.9,IF(H6365="ILF",7.5,IF(H6365="EIF",5.4)))))))</f>
        <v/>
      </c>
      <c r="M6365" s="112" t="str">
        <f t="shared" si="102"/>
        <v/>
      </c>
      <c r="N6365" s="113"/>
    </row>
    <row r="6366" spans="2:14">
      <c r="B6366" s="105"/>
      <c r="C6366" s="106"/>
      <c r="D6366" s="107"/>
      <c r="E6366" s="65"/>
      <c r="F6366" s="64"/>
      <c r="G6366" s="64"/>
      <c r="H6366" s="64"/>
      <c r="I6366" s="70"/>
      <c r="J6366" s="70"/>
      <c r="K6366" s="110" t="str">
        <f>IF(H6366="","",IF($C$29="간이법","",FPR(H6366,I6366,J6366)))</f>
        <v/>
      </c>
      <c r="L6366" s="111" t="str">
        <f>IF(H6366="","",IF($C$29="상세법",FPV(H6366,K6366),IF(H6366="EI",4,IF(H6366="EO",5.2,IF(H6366="EQ",3.9,IF(H6366="ILF",7.5,IF(H6366="EIF",5.4)))))))</f>
        <v/>
      </c>
      <c r="M6366" s="112" t="str">
        <f t="shared" si="102"/>
        <v/>
      </c>
      <c r="N6366" s="113"/>
    </row>
    <row r="6367" spans="2:14">
      <c r="B6367" s="105"/>
      <c r="C6367" s="106"/>
      <c r="D6367" s="107"/>
      <c r="E6367" s="65"/>
      <c r="F6367" s="64"/>
      <c r="G6367" s="64"/>
      <c r="H6367" s="64"/>
      <c r="I6367" s="70"/>
      <c r="J6367" s="70"/>
      <c r="K6367" s="110" t="str">
        <f>IF(H6367="","",IF($C$29="간이법","",FPR(H6367,I6367,J6367)))</f>
        <v/>
      </c>
      <c r="L6367" s="111" t="str">
        <f>IF(H6367="","",IF($C$29="상세법",FPV(H6367,K6367),IF(H6367="EI",4,IF(H6367="EO",5.2,IF(H6367="EQ",3.9,IF(H6367="ILF",7.5,IF(H6367="EIF",5.4)))))))</f>
        <v/>
      </c>
      <c r="M6367" s="112" t="str">
        <f t="shared" si="102"/>
        <v/>
      </c>
      <c r="N6367" s="113"/>
    </row>
    <row r="6368" spans="2:14">
      <c r="B6368" s="105"/>
      <c r="C6368" s="106"/>
      <c r="D6368" s="107"/>
      <c r="E6368" s="65"/>
      <c r="F6368" s="64"/>
      <c r="G6368" s="64"/>
      <c r="H6368" s="64"/>
      <c r="I6368" s="70"/>
      <c r="J6368" s="70"/>
      <c r="K6368" s="110" t="str">
        <f>IF(H6368="","",IF($C$29="간이법","",FPR(H6368,I6368,J6368)))</f>
        <v/>
      </c>
      <c r="L6368" s="111" t="str">
        <f>IF(H6368="","",IF($C$29="상세법",FPV(H6368,K6368),IF(H6368="EI",4,IF(H6368="EO",5.2,IF(H6368="EQ",3.9,IF(H6368="ILF",7.5,IF(H6368="EIF",5.4)))))))</f>
        <v/>
      </c>
      <c r="M6368" s="112" t="str">
        <f t="shared" si="102"/>
        <v/>
      </c>
      <c r="N6368" s="113"/>
    </row>
    <row r="6369" spans="2:14">
      <c r="B6369" s="105"/>
      <c r="C6369" s="106"/>
      <c r="D6369" s="107"/>
      <c r="E6369" s="65"/>
      <c r="F6369" s="64"/>
      <c r="G6369" s="64"/>
      <c r="H6369" s="64"/>
      <c r="I6369" s="70"/>
      <c r="J6369" s="70"/>
      <c r="K6369" s="110" t="str">
        <f>IF(H6369="","",IF($C$29="간이법","",FPR(H6369,I6369,J6369)))</f>
        <v/>
      </c>
      <c r="L6369" s="111" t="str">
        <f>IF(H6369="","",IF($C$29="상세법",FPV(H6369,K6369),IF(H6369="EI",4,IF(H6369="EO",5.2,IF(H6369="EQ",3.9,IF(H6369="ILF",7.5,IF(H6369="EIF",5.4)))))))</f>
        <v/>
      </c>
      <c r="M6369" s="112" t="str">
        <f t="shared" si="102"/>
        <v/>
      </c>
      <c r="N6369" s="113"/>
    </row>
    <row r="6370" spans="2:14">
      <c r="B6370" s="105"/>
      <c r="C6370" s="106"/>
      <c r="D6370" s="107"/>
      <c r="E6370" s="65"/>
      <c r="F6370" s="64"/>
      <c r="G6370" s="64"/>
      <c r="H6370" s="64"/>
      <c r="I6370" s="70"/>
      <c r="J6370" s="70"/>
      <c r="K6370" s="110" t="str">
        <f>IF(H6370="","",IF($C$29="간이법","",FPR(H6370,I6370,J6370)))</f>
        <v/>
      </c>
      <c r="L6370" s="111" t="str">
        <f>IF(H6370="","",IF($C$29="상세법",FPV(H6370,K6370),IF(H6370="EI",4,IF(H6370="EO",5.2,IF(H6370="EQ",3.9,IF(H6370="ILF",7.5,IF(H6370="EIF",5.4)))))))</f>
        <v/>
      </c>
      <c r="M6370" s="112" t="str">
        <f t="shared" si="102"/>
        <v/>
      </c>
      <c r="N6370" s="113"/>
    </row>
    <row r="6371" spans="2:14">
      <c r="B6371" s="105"/>
      <c r="C6371" s="106"/>
      <c r="D6371" s="107"/>
      <c r="E6371" s="65"/>
      <c r="F6371" s="64"/>
      <c r="G6371" s="64"/>
      <c r="H6371" s="64"/>
      <c r="I6371" s="70"/>
      <c r="J6371" s="70"/>
      <c r="K6371" s="110" t="str">
        <f>IF(H6371="","",IF($C$29="간이법","",FPR(H6371,I6371,J6371)))</f>
        <v/>
      </c>
      <c r="L6371" s="111" t="str">
        <f>IF(H6371="","",IF($C$29="상세법",FPV(H6371,K6371),IF(H6371="EI",4,IF(H6371="EO",5.2,IF(H6371="EQ",3.9,IF(H6371="ILF",7.5,IF(H6371="EIF",5.4)))))))</f>
        <v/>
      </c>
      <c r="M6371" s="112" t="str">
        <f t="shared" si="102"/>
        <v/>
      </c>
      <c r="N6371" s="113"/>
    </row>
    <row r="6372" spans="2:14">
      <c r="B6372" s="105"/>
      <c r="C6372" s="106"/>
      <c r="D6372" s="107"/>
      <c r="E6372" s="65"/>
      <c r="F6372" s="64"/>
      <c r="G6372" s="64"/>
      <c r="H6372" s="64"/>
      <c r="I6372" s="70"/>
      <c r="J6372" s="70"/>
      <c r="K6372" s="110" t="str">
        <f>IF(H6372="","",IF($C$29="간이법","",FPR(H6372,I6372,J6372)))</f>
        <v/>
      </c>
      <c r="L6372" s="111" t="str">
        <f>IF(H6372="","",IF($C$29="상세법",FPV(H6372,K6372),IF(H6372="EI",4,IF(H6372="EO",5.2,IF(H6372="EQ",3.9,IF(H6372="ILF",7.5,IF(H6372="EIF",5.4)))))))</f>
        <v/>
      </c>
      <c r="M6372" s="112" t="str">
        <f t="shared" si="102"/>
        <v/>
      </c>
      <c r="N6372" s="113"/>
    </row>
    <row r="6373" spans="2:14">
      <c r="B6373" s="105"/>
      <c r="C6373" s="106"/>
      <c r="D6373" s="107"/>
      <c r="E6373" s="65"/>
      <c r="F6373" s="64"/>
      <c r="G6373" s="64"/>
      <c r="H6373" s="64"/>
      <c r="I6373" s="70"/>
      <c r="J6373" s="70"/>
      <c r="K6373" s="110" t="str">
        <f>IF(H6373="","",IF($C$29="간이법","",FPR(H6373,I6373,J6373)))</f>
        <v/>
      </c>
      <c r="L6373" s="111" t="str">
        <f>IF(H6373="","",IF($C$29="상세법",FPV(H6373,K6373),IF(H6373="EI",4,IF(H6373="EO",5.2,IF(H6373="EQ",3.9,IF(H6373="ILF",7.5,IF(H6373="EIF",5.4)))))))</f>
        <v/>
      </c>
      <c r="M6373" s="112" t="str">
        <f t="shared" si="102"/>
        <v/>
      </c>
      <c r="N6373" s="113"/>
    </row>
    <row r="6374" spans="2:14">
      <c r="B6374" s="105"/>
      <c r="C6374" s="106"/>
      <c r="D6374" s="107"/>
      <c r="E6374" s="65"/>
      <c r="F6374" s="64"/>
      <c r="G6374" s="64"/>
      <c r="H6374" s="64"/>
      <c r="I6374" s="70"/>
      <c r="J6374" s="70"/>
      <c r="K6374" s="110" t="str">
        <f>IF(H6374="","",IF($C$29="간이법","",FPR(H6374,I6374,J6374)))</f>
        <v/>
      </c>
      <c r="L6374" s="111" t="str">
        <f>IF(H6374="","",IF($C$29="상세법",FPV(H6374,K6374),IF(H6374="EI",4,IF(H6374="EO",5.2,IF(H6374="EQ",3.9,IF(H6374="ILF",7.5,IF(H6374="EIF",5.4)))))))</f>
        <v/>
      </c>
      <c r="M6374" s="112" t="str">
        <f t="shared" si="102"/>
        <v/>
      </c>
      <c r="N6374" s="113"/>
    </row>
    <row r="6375" spans="2:14">
      <c r="B6375" s="105"/>
      <c r="C6375" s="106"/>
      <c r="D6375" s="107"/>
      <c r="E6375" s="65"/>
      <c r="F6375" s="64"/>
      <c r="G6375" s="64"/>
      <c r="H6375" s="64"/>
      <c r="I6375" s="70"/>
      <c r="J6375" s="70"/>
      <c r="K6375" s="110" t="str">
        <f>IF(H6375="","",IF($C$29="간이법","",FPR(H6375,I6375,J6375)))</f>
        <v/>
      </c>
      <c r="L6375" s="111" t="str">
        <f>IF(H6375="","",IF($C$29="상세법",FPV(H6375,K6375),IF(H6375="EI",4,IF(H6375="EO",5.2,IF(H6375="EQ",3.9,IF(H6375="ILF",7.5,IF(H6375="EIF",5.4)))))))</f>
        <v/>
      </c>
      <c r="M6375" s="112" t="str">
        <f t="shared" si="102"/>
        <v/>
      </c>
      <c r="N6375" s="113"/>
    </row>
    <row r="6376" spans="2:14">
      <c r="B6376" s="105"/>
      <c r="C6376" s="106"/>
      <c r="D6376" s="107"/>
      <c r="E6376" s="65"/>
      <c r="F6376" s="64"/>
      <c r="G6376" s="64"/>
      <c r="H6376" s="64"/>
      <c r="I6376" s="70"/>
      <c r="J6376" s="70"/>
      <c r="K6376" s="110" t="str">
        <f>IF(H6376="","",IF($C$29="간이법","",FPR(H6376,I6376,J6376)))</f>
        <v/>
      </c>
      <c r="L6376" s="111" t="str">
        <f>IF(H6376="","",IF($C$29="상세법",FPV(H6376,K6376),IF(H6376="EI",4,IF(H6376="EO",5.2,IF(H6376="EQ",3.9,IF(H6376="ILF",7.5,IF(H6376="EIF",5.4)))))))</f>
        <v/>
      </c>
      <c r="M6376" s="112" t="str">
        <f t="shared" si="102"/>
        <v/>
      </c>
      <c r="N6376" s="113"/>
    </row>
    <row r="6377" spans="2:14">
      <c r="B6377" s="105"/>
      <c r="C6377" s="106"/>
      <c r="D6377" s="107"/>
      <c r="E6377" s="65"/>
      <c r="F6377" s="64"/>
      <c r="G6377" s="64"/>
      <c r="H6377" s="64"/>
      <c r="I6377" s="70"/>
      <c r="J6377" s="70"/>
      <c r="K6377" s="110" t="str">
        <f>IF(H6377="","",IF($C$29="간이법","",FPR(H6377,I6377,J6377)))</f>
        <v/>
      </c>
      <c r="L6377" s="111" t="str">
        <f>IF(H6377="","",IF($C$29="상세법",FPV(H6377,K6377),IF(H6377="EI",4,IF(H6377="EO",5.2,IF(H6377="EQ",3.9,IF(H6377="ILF",7.5,IF(H6377="EIF",5.4)))))))</f>
        <v/>
      </c>
      <c r="M6377" s="112" t="str">
        <f t="shared" si="102"/>
        <v/>
      </c>
      <c r="N6377" s="113"/>
    </row>
    <row r="6378" spans="2:14">
      <c r="B6378" s="105"/>
      <c r="C6378" s="106"/>
      <c r="D6378" s="107"/>
      <c r="E6378" s="65"/>
      <c r="F6378" s="64"/>
      <c r="G6378" s="64"/>
      <c r="H6378" s="64"/>
      <c r="I6378" s="70"/>
      <c r="J6378" s="70"/>
      <c r="K6378" s="110" t="str">
        <f>IF(H6378="","",IF($C$29="간이법","",FPR(H6378,I6378,J6378)))</f>
        <v/>
      </c>
      <c r="L6378" s="111" t="str">
        <f>IF(H6378="","",IF($C$29="상세법",FPV(H6378,K6378),IF(H6378="EI",4,IF(H6378="EO",5.2,IF(H6378="EQ",3.9,IF(H6378="ILF",7.5,IF(H6378="EIF",5.4)))))))</f>
        <v/>
      </c>
      <c r="M6378" s="112" t="str">
        <f t="shared" si="102"/>
        <v/>
      </c>
      <c r="N6378" s="113"/>
    </row>
    <row r="6379" spans="2:14">
      <c r="B6379" s="105"/>
      <c r="C6379" s="106"/>
      <c r="D6379" s="107"/>
      <c r="E6379" s="65"/>
      <c r="F6379" s="64"/>
      <c r="G6379" s="64"/>
      <c r="H6379" s="64"/>
      <c r="I6379" s="70"/>
      <c r="J6379" s="70"/>
      <c r="K6379" s="110" t="str">
        <f>IF(H6379="","",IF($C$29="간이법","",FPR(H6379,I6379,J6379)))</f>
        <v/>
      </c>
      <c r="L6379" s="111" t="str">
        <f>IF(H6379="","",IF($C$29="상세법",FPV(H6379,K6379),IF(H6379="EI",4,IF(H6379="EO",5.2,IF(H6379="EQ",3.9,IF(H6379="ILF",7.5,IF(H6379="EIF",5.4)))))))</f>
        <v/>
      </c>
      <c r="M6379" s="112" t="str">
        <f t="shared" si="102"/>
        <v/>
      </c>
      <c r="N6379" s="113"/>
    </row>
    <row r="6380" spans="2:14">
      <c r="B6380" s="105"/>
      <c r="C6380" s="106"/>
      <c r="D6380" s="107"/>
      <c r="E6380" s="65"/>
      <c r="F6380" s="64"/>
      <c r="G6380" s="64"/>
      <c r="H6380" s="64"/>
      <c r="I6380" s="70"/>
      <c r="J6380" s="70"/>
      <c r="K6380" s="110" t="str">
        <f>IF(H6380="","",IF($C$29="간이법","",FPR(H6380,I6380,J6380)))</f>
        <v/>
      </c>
      <c r="L6380" s="111" t="str">
        <f>IF(H6380="","",IF($C$29="상세법",FPV(H6380,K6380),IF(H6380="EI",4,IF(H6380="EO",5.2,IF(H6380="EQ",3.9,IF(H6380="ILF",7.5,IF(H6380="EIF",5.4)))))))</f>
        <v/>
      </c>
      <c r="M6380" s="112" t="str">
        <f t="shared" si="102"/>
        <v/>
      </c>
      <c r="N6380" s="113"/>
    </row>
    <row r="6381" spans="2:14">
      <c r="B6381" s="105"/>
      <c r="C6381" s="106"/>
      <c r="D6381" s="107"/>
      <c r="E6381" s="65"/>
      <c r="F6381" s="64"/>
      <c r="G6381" s="64"/>
      <c r="H6381" s="64"/>
      <c r="I6381" s="70"/>
      <c r="J6381" s="70"/>
      <c r="K6381" s="110" t="str">
        <f>IF(H6381="","",IF($C$29="간이법","",FPR(H6381,I6381,J6381)))</f>
        <v/>
      </c>
      <c r="L6381" s="111" t="str">
        <f>IF(H6381="","",IF($C$29="상세법",FPV(H6381,K6381),IF(H6381="EI",4,IF(H6381="EO",5.2,IF(H6381="EQ",3.9,IF(H6381="ILF",7.5,IF(H6381="EIF",5.4)))))))</f>
        <v/>
      </c>
      <c r="M6381" s="112" t="str">
        <f t="shared" si="102"/>
        <v/>
      </c>
      <c r="N6381" s="113"/>
    </row>
    <row r="6382" spans="2:14">
      <c r="B6382" s="105"/>
      <c r="C6382" s="106"/>
      <c r="D6382" s="107"/>
      <c r="E6382" s="65"/>
      <c r="F6382" s="64"/>
      <c r="G6382" s="64"/>
      <c r="H6382" s="64"/>
      <c r="I6382" s="70"/>
      <c r="J6382" s="70"/>
      <c r="K6382" s="110" t="str">
        <f>IF(H6382="","",IF($C$29="간이법","",FPR(H6382,I6382,J6382)))</f>
        <v/>
      </c>
      <c r="L6382" s="111" t="str">
        <f>IF(H6382="","",IF($C$29="상세법",FPV(H6382,K6382),IF(H6382="EI",4,IF(H6382="EO",5.2,IF(H6382="EQ",3.9,IF(H6382="ILF",7.5,IF(H6382="EIF",5.4)))))))</f>
        <v/>
      </c>
      <c r="M6382" s="112" t="str">
        <f t="shared" si="102"/>
        <v/>
      </c>
      <c r="N6382" s="113"/>
    </row>
    <row r="6383" spans="2:14">
      <c r="B6383" s="105"/>
      <c r="C6383" s="106"/>
      <c r="D6383" s="107"/>
      <c r="E6383" s="65"/>
      <c r="F6383" s="64"/>
      <c r="G6383" s="64"/>
      <c r="H6383" s="64"/>
      <c r="I6383" s="70"/>
      <c r="J6383" s="70"/>
      <c r="K6383" s="110" t="str">
        <f>IF(H6383="","",IF($C$29="간이법","",FPR(H6383,I6383,J6383)))</f>
        <v/>
      </c>
      <c r="L6383" s="111" t="str">
        <f>IF(H6383="","",IF($C$29="상세법",FPV(H6383,K6383),IF(H6383="EI",4,IF(H6383="EO",5.2,IF(H6383="EQ",3.9,IF(H6383="ILF",7.5,IF(H6383="EIF",5.4)))))))</f>
        <v/>
      </c>
      <c r="M6383" s="112" t="str">
        <f t="shared" si="102"/>
        <v/>
      </c>
      <c r="N6383" s="113"/>
    </row>
    <row r="6384" spans="2:14">
      <c r="B6384" s="105"/>
      <c r="C6384" s="106"/>
      <c r="D6384" s="107"/>
      <c r="E6384" s="65"/>
      <c r="F6384" s="64"/>
      <c r="G6384" s="64"/>
      <c r="H6384" s="64"/>
      <c r="I6384" s="70"/>
      <c r="J6384" s="70"/>
      <c r="K6384" s="110" t="str">
        <f>IF(H6384="","",IF($C$29="간이법","",FPR(H6384,I6384,J6384)))</f>
        <v/>
      </c>
      <c r="L6384" s="111" t="str">
        <f>IF(H6384="","",IF($C$29="상세법",FPV(H6384,K6384),IF(H6384="EI",4,IF(H6384="EO",5.2,IF(H6384="EQ",3.9,IF(H6384="ILF",7.5,IF(H6384="EIF",5.4)))))))</f>
        <v/>
      </c>
      <c r="M6384" s="112" t="str">
        <f t="shared" si="102"/>
        <v/>
      </c>
      <c r="N6384" s="113"/>
    </row>
    <row r="6385" spans="2:14">
      <c r="B6385" s="105"/>
      <c r="C6385" s="106"/>
      <c r="D6385" s="107"/>
      <c r="E6385" s="65"/>
      <c r="F6385" s="64"/>
      <c r="G6385" s="64"/>
      <c r="H6385" s="64"/>
      <c r="I6385" s="70"/>
      <c r="J6385" s="70"/>
      <c r="K6385" s="110" t="str">
        <f>IF(H6385="","",IF($C$29="간이법","",FPR(H6385,I6385,J6385)))</f>
        <v/>
      </c>
      <c r="L6385" s="111" t="str">
        <f>IF(H6385="","",IF($C$29="상세법",FPV(H6385,K6385),IF(H6385="EI",4,IF(H6385="EO",5.2,IF(H6385="EQ",3.9,IF(H6385="ILF",7.5,IF(H6385="EIF",5.4)))))))</f>
        <v/>
      </c>
      <c r="M6385" s="112" t="str">
        <f t="shared" si="102"/>
        <v/>
      </c>
      <c r="N6385" s="113"/>
    </row>
    <row r="6386" spans="2:14">
      <c r="B6386" s="105"/>
      <c r="C6386" s="106"/>
      <c r="D6386" s="107"/>
      <c r="E6386" s="65"/>
      <c r="F6386" s="64"/>
      <c r="G6386" s="64"/>
      <c r="H6386" s="64"/>
      <c r="I6386" s="70"/>
      <c r="J6386" s="70"/>
      <c r="K6386" s="110" t="str">
        <f>IF(H6386="","",IF($C$29="간이법","",FPR(H6386,I6386,J6386)))</f>
        <v/>
      </c>
      <c r="L6386" s="111" t="str">
        <f>IF(H6386="","",IF($C$29="상세법",FPV(H6386,K6386),IF(H6386="EI",4,IF(H6386="EO",5.2,IF(H6386="EQ",3.9,IF(H6386="ILF",7.5,IF(H6386="EIF",5.4)))))))</f>
        <v/>
      </c>
      <c r="M6386" s="112" t="str">
        <f t="shared" si="102"/>
        <v/>
      </c>
      <c r="N6386" s="113"/>
    </row>
    <row r="6387" spans="2:14">
      <c r="B6387" s="105"/>
      <c r="C6387" s="106"/>
      <c r="D6387" s="107"/>
      <c r="E6387" s="65"/>
      <c r="F6387" s="64"/>
      <c r="G6387" s="64"/>
      <c r="H6387" s="64"/>
      <c r="I6387" s="70"/>
      <c r="J6387" s="70"/>
      <c r="K6387" s="110" t="str">
        <f>IF(H6387="","",IF($C$29="간이법","",FPR(H6387,I6387,J6387)))</f>
        <v/>
      </c>
      <c r="L6387" s="111" t="str">
        <f>IF(H6387="","",IF($C$29="상세법",FPV(H6387,K6387),IF(H6387="EI",4,IF(H6387="EO",5.2,IF(H6387="EQ",3.9,IF(H6387="ILF",7.5,IF(H6387="EIF",5.4)))))))</f>
        <v/>
      </c>
      <c r="M6387" s="112" t="str">
        <f t="shared" si="102"/>
        <v/>
      </c>
      <c r="N6387" s="113"/>
    </row>
    <row r="6388" spans="2:14">
      <c r="B6388" s="105"/>
      <c r="C6388" s="106"/>
      <c r="D6388" s="107"/>
      <c r="E6388" s="65"/>
      <c r="F6388" s="64"/>
      <c r="G6388" s="64"/>
      <c r="H6388" s="64"/>
      <c r="I6388" s="70"/>
      <c r="J6388" s="70"/>
      <c r="K6388" s="110" t="str">
        <f>IF(H6388="","",IF($C$29="간이법","",FPR(H6388,I6388,J6388)))</f>
        <v/>
      </c>
      <c r="L6388" s="111" t="str">
        <f>IF(H6388="","",IF($C$29="상세법",FPV(H6388,K6388),IF(H6388="EI",4,IF(H6388="EO",5.2,IF(H6388="EQ",3.9,IF(H6388="ILF",7.5,IF(H6388="EIF",5.4)))))))</f>
        <v/>
      </c>
      <c r="M6388" s="112" t="str">
        <f t="shared" si="102"/>
        <v/>
      </c>
      <c r="N6388" s="113"/>
    </row>
    <row r="6389" spans="2:14">
      <c r="B6389" s="105"/>
      <c r="C6389" s="106"/>
      <c r="D6389" s="107"/>
      <c r="E6389" s="65"/>
      <c r="F6389" s="64"/>
      <c r="G6389" s="64"/>
      <c r="H6389" s="64"/>
      <c r="I6389" s="70"/>
      <c r="J6389" s="70"/>
      <c r="K6389" s="110" t="str">
        <f>IF(H6389="","",IF($C$29="간이법","",FPR(H6389,I6389,J6389)))</f>
        <v/>
      </c>
      <c r="L6389" s="111" t="str">
        <f>IF(H6389="","",IF($C$29="상세법",FPV(H6389,K6389),IF(H6389="EI",4,IF(H6389="EO",5.2,IF(H6389="EQ",3.9,IF(H6389="ILF",7.5,IF(H6389="EIF",5.4)))))))</f>
        <v/>
      </c>
      <c r="M6389" s="112" t="str">
        <f t="shared" si="102"/>
        <v/>
      </c>
      <c r="N6389" s="113"/>
    </row>
    <row r="6390" spans="2:14">
      <c r="B6390" s="105"/>
      <c r="C6390" s="106"/>
      <c r="D6390" s="107"/>
      <c r="E6390" s="65"/>
      <c r="F6390" s="64"/>
      <c r="G6390" s="64"/>
      <c r="H6390" s="64"/>
      <c r="I6390" s="70"/>
      <c r="J6390" s="70"/>
      <c r="K6390" s="110" t="str">
        <f>IF(H6390="","",IF($C$29="간이법","",FPR(H6390,I6390,J6390)))</f>
        <v/>
      </c>
      <c r="L6390" s="111" t="str">
        <f>IF(H6390="","",IF($C$29="상세법",FPV(H6390,K6390),IF(H6390="EI",4,IF(H6390="EO",5.2,IF(H6390="EQ",3.9,IF(H6390="ILF",7.5,IF(H6390="EIF",5.4)))))))</f>
        <v/>
      </c>
      <c r="M6390" s="112" t="str">
        <f t="shared" si="102"/>
        <v/>
      </c>
      <c r="N6390" s="113"/>
    </row>
    <row r="6391" spans="2:14">
      <c r="B6391" s="105"/>
      <c r="C6391" s="106"/>
      <c r="D6391" s="107"/>
      <c r="E6391" s="65"/>
      <c r="F6391" s="64"/>
      <c r="G6391" s="64"/>
      <c r="H6391" s="64"/>
      <c r="I6391" s="70"/>
      <c r="J6391" s="70"/>
      <c r="K6391" s="110" t="str">
        <f>IF(H6391="","",IF($C$29="간이법","",FPR(H6391,I6391,J6391)))</f>
        <v/>
      </c>
      <c r="L6391" s="111" t="str">
        <f>IF(H6391="","",IF($C$29="상세법",FPV(H6391,K6391),IF(H6391="EI",4,IF(H6391="EO",5.2,IF(H6391="EQ",3.9,IF(H6391="ILF",7.5,IF(H6391="EIF",5.4)))))))</f>
        <v/>
      </c>
      <c r="M6391" s="112" t="str">
        <f t="shared" si="102"/>
        <v/>
      </c>
      <c r="N6391" s="113"/>
    </row>
    <row r="6392" spans="2:14">
      <c r="B6392" s="105"/>
      <c r="C6392" s="106"/>
      <c r="D6392" s="107"/>
      <c r="E6392" s="65"/>
      <c r="F6392" s="64"/>
      <c r="G6392" s="64"/>
      <c r="H6392" s="64"/>
      <c r="I6392" s="70"/>
      <c r="J6392" s="70"/>
      <c r="K6392" s="110" t="str">
        <f>IF(H6392="","",IF($C$29="간이법","",FPR(H6392,I6392,J6392)))</f>
        <v/>
      </c>
      <c r="L6392" s="111" t="str">
        <f>IF(H6392="","",IF($C$29="상세법",FPV(H6392,K6392),IF(H6392="EI",4,IF(H6392="EO",5.2,IF(H6392="EQ",3.9,IF(H6392="ILF",7.5,IF(H6392="EIF",5.4)))))))</f>
        <v/>
      </c>
      <c r="M6392" s="112" t="str">
        <f t="shared" si="102"/>
        <v/>
      </c>
      <c r="N6392" s="113"/>
    </row>
    <row r="6393" spans="2:14">
      <c r="B6393" s="105"/>
      <c r="C6393" s="106"/>
      <c r="D6393" s="107"/>
      <c r="E6393" s="65"/>
      <c r="F6393" s="64"/>
      <c r="G6393" s="64"/>
      <c r="H6393" s="64"/>
      <c r="I6393" s="70"/>
      <c r="J6393" s="70"/>
      <c r="K6393" s="110" t="str">
        <f>IF(H6393="","",IF($C$29="간이법","",FPR(H6393,I6393,J6393)))</f>
        <v/>
      </c>
      <c r="L6393" s="111" t="str">
        <f>IF(H6393="","",IF($C$29="상세법",FPV(H6393,K6393),IF(H6393="EI",4,IF(H6393="EO",5.2,IF(H6393="EQ",3.9,IF(H6393="ILF",7.5,IF(H6393="EIF",5.4)))))))</f>
        <v/>
      </c>
      <c r="M6393" s="112" t="str">
        <f t="shared" ref="M6393:M6456" si="103">IF(L6393="","",L6393*IF(G6393="상",0.7,IF(G6393="중",0.5,IF(G6393="하",0.2,1))))</f>
        <v/>
      </c>
      <c r="N6393" s="113"/>
    </row>
    <row r="6394" spans="2:14">
      <c r="B6394" s="105"/>
      <c r="C6394" s="106"/>
      <c r="D6394" s="107"/>
      <c r="E6394" s="65"/>
      <c r="F6394" s="64"/>
      <c r="G6394" s="64"/>
      <c r="H6394" s="64"/>
      <c r="I6394" s="70"/>
      <c r="J6394" s="70"/>
      <c r="K6394" s="110" t="str">
        <f>IF(H6394="","",IF($C$29="간이법","",FPR(H6394,I6394,J6394)))</f>
        <v/>
      </c>
      <c r="L6394" s="111" t="str">
        <f>IF(H6394="","",IF($C$29="상세법",FPV(H6394,K6394),IF(H6394="EI",4,IF(H6394="EO",5.2,IF(H6394="EQ",3.9,IF(H6394="ILF",7.5,IF(H6394="EIF",5.4)))))))</f>
        <v/>
      </c>
      <c r="M6394" s="112" t="str">
        <f t="shared" si="103"/>
        <v/>
      </c>
      <c r="N6394" s="113"/>
    </row>
    <row r="6395" spans="2:14">
      <c r="B6395" s="105"/>
      <c r="C6395" s="106"/>
      <c r="D6395" s="107"/>
      <c r="E6395" s="65"/>
      <c r="F6395" s="64"/>
      <c r="G6395" s="64"/>
      <c r="H6395" s="64"/>
      <c r="I6395" s="70"/>
      <c r="J6395" s="70"/>
      <c r="K6395" s="110" t="str">
        <f>IF(H6395="","",IF($C$29="간이법","",FPR(H6395,I6395,J6395)))</f>
        <v/>
      </c>
      <c r="L6395" s="111" t="str">
        <f>IF(H6395="","",IF($C$29="상세법",FPV(H6395,K6395),IF(H6395="EI",4,IF(H6395="EO",5.2,IF(H6395="EQ",3.9,IF(H6395="ILF",7.5,IF(H6395="EIF",5.4)))))))</f>
        <v/>
      </c>
      <c r="M6395" s="112" t="str">
        <f t="shared" si="103"/>
        <v/>
      </c>
      <c r="N6395" s="113"/>
    </row>
    <row r="6396" spans="2:14">
      <c r="B6396" s="105"/>
      <c r="C6396" s="106"/>
      <c r="D6396" s="107"/>
      <c r="E6396" s="65"/>
      <c r="F6396" s="64"/>
      <c r="G6396" s="64"/>
      <c r="H6396" s="64"/>
      <c r="I6396" s="70"/>
      <c r="J6396" s="70"/>
      <c r="K6396" s="110" t="str">
        <f>IF(H6396="","",IF($C$29="간이법","",FPR(H6396,I6396,J6396)))</f>
        <v/>
      </c>
      <c r="L6396" s="111" t="str">
        <f>IF(H6396="","",IF($C$29="상세법",FPV(H6396,K6396),IF(H6396="EI",4,IF(H6396="EO",5.2,IF(H6396="EQ",3.9,IF(H6396="ILF",7.5,IF(H6396="EIF",5.4)))))))</f>
        <v/>
      </c>
      <c r="M6396" s="112" t="str">
        <f t="shared" si="103"/>
        <v/>
      </c>
      <c r="N6396" s="113"/>
    </row>
    <row r="6397" spans="2:14">
      <c r="B6397" s="105"/>
      <c r="C6397" s="106"/>
      <c r="D6397" s="107"/>
      <c r="E6397" s="65"/>
      <c r="F6397" s="64"/>
      <c r="G6397" s="64"/>
      <c r="H6397" s="64"/>
      <c r="I6397" s="70"/>
      <c r="J6397" s="70"/>
      <c r="K6397" s="110" t="str">
        <f>IF(H6397="","",IF($C$29="간이법","",FPR(H6397,I6397,J6397)))</f>
        <v/>
      </c>
      <c r="L6397" s="111" t="str">
        <f>IF(H6397="","",IF($C$29="상세법",FPV(H6397,K6397),IF(H6397="EI",4,IF(H6397="EO",5.2,IF(H6397="EQ",3.9,IF(H6397="ILF",7.5,IF(H6397="EIF",5.4)))))))</f>
        <v/>
      </c>
      <c r="M6397" s="112" t="str">
        <f t="shared" si="103"/>
        <v/>
      </c>
      <c r="N6397" s="113"/>
    </row>
    <row r="6398" spans="2:14">
      <c r="B6398" s="105"/>
      <c r="C6398" s="106"/>
      <c r="D6398" s="107"/>
      <c r="E6398" s="65"/>
      <c r="F6398" s="64"/>
      <c r="G6398" s="64"/>
      <c r="H6398" s="64"/>
      <c r="I6398" s="70"/>
      <c r="J6398" s="70"/>
      <c r="K6398" s="110" t="str">
        <f>IF(H6398="","",IF($C$29="간이법","",FPR(H6398,I6398,J6398)))</f>
        <v/>
      </c>
      <c r="L6398" s="111" t="str">
        <f>IF(H6398="","",IF($C$29="상세법",FPV(H6398,K6398),IF(H6398="EI",4,IF(H6398="EO",5.2,IF(H6398="EQ",3.9,IF(H6398="ILF",7.5,IF(H6398="EIF",5.4)))))))</f>
        <v/>
      </c>
      <c r="M6398" s="112" t="str">
        <f t="shared" si="103"/>
        <v/>
      </c>
      <c r="N6398" s="113"/>
    </row>
    <row r="6399" spans="2:14">
      <c r="B6399" s="105"/>
      <c r="C6399" s="106"/>
      <c r="D6399" s="107"/>
      <c r="E6399" s="65"/>
      <c r="F6399" s="64"/>
      <c r="G6399" s="64"/>
      <c r="H6399" s="64"/>
      <c r="I6399" s="70"/>
      <c r="J6399" s="70"/>
      <c r="K6399" s="110" t="str">
        <f>IF(H6399="","",IF($C$29="간이법","",FPR(H6399,I6399,J6399)))</f>
        <v/>
      </c>
      <c r="L6399" s="111" t="str">
        <f>IF(H6399="","",IF($C$29="상세법",FPV(H6399,K6399),IF(H6399="EI",4,IF(H6399="EO",5.2,IF(H6399="EQ",3.9,IF(H6399="ILF",7.5,IF(H6399="EIF",5.4)))))))</f>
        <v/>
      </c>
      <c r="M6399" s="112" t="str">
        <f t="shared" si="103"/>
        <v/>
      </c>
      <c r="N6399" s="113"/>
    </row>
    <row r="6400" spans="2:14">
      <c r="B6400" s="105"/>
      <c r="C6400" s="106"/>
      <c r="D6400" s="107"/>
      <c r="E6400" s="65"/>
      <c r="F6400" s="64"/>
      <c r="G6400" s="64"/>
      <c r="H6400" s="64"/>
      <c r="I6400" s="70"/>
      <c r="J6400" s="70"/>
      <c r="K6400" s="110" t="str">
        <f>IF(H6400="","",IF($C$29="간이법","",FPR(H6400,I6400,J6400)))</f>
        <v/>
      </c>
      <c r="L6400" s="111" t="str">
        <f>IF(H6400="","",IF($C$29="상세법",FPV(H6400,K6400),IF(H6400="EI",4,IF(H6400="EO",5.2,IF(H6400="EQ",3.9,IF(H6400="ILF",7.5,IF(H6400="EIF",5.4)))))))</f>
        <v/>
      </c>
      <c r="M6400" s="112" t="str">
        <f t="shared" si="103"/>
        <v/>
      </c>
      <c r="N6400" s="113"/>
    </row>
    <row r="6401" spans="2:14">
      <c r="B6401" s="105"/>
      <c r="C6401" s="106"/>
      <c r="D6401" s="107"/>
      <c r="E6401" s="65"/>
      <c r="F6401" s="64"/>
      <c r="G6401" s="64"/>
      <c r="H6401" s="64"/>
      <c r="I6401" s="70"/>
      <c r="J6401" s="70"/>
      <c r="K6401" s="110" t="str">
        <f>IF(H6401="","",IF($C$29="간이법","",FPR(H6401,I6401,J6401)))</f>
        <v/>
      </c>
      <c r="L6401" s="111" t="str">
        <f>IF(H6401="","",IF($C$29="상세법",FPV(H6401,K6401),IF(H6401="EI",4,IF(H6401="EO",5.2,IF(H6401="EQ",3.9,IF(H6401="ILF",7.5,IF(H6401="EIF",5.4)))))))</f>
        <v/>
      </c>
      <c r="M6401" s="112" t="str">
        <f t="shared" si="103"/>
        <v/>
      </c>
      <c r="N6401" s="113"/>
    </row>
    <row r="6402" spans="2:14">
      <c r="B6402" s="105"/>
      <c r="C6402" s="106"/>
      <c r="D6402" s="107"/>
      <c r="E6402" s="65"/>
      <c r="F6402" s="64"/>
      <c r="G6402" s="64"/>
      <c r="H6402" s="64"/>
      <c r="I6402" s="70"/>
      <c r="J6402" s="70"/>
      <c r="K6402" s="110" t="str">
        <f>IF(H6402="","",IF($C$29="간이법","",FPR(H6402,I6402,J6402)))</f>
        <v/>
      </c>
      <c r="L6402" s="111" t="str">
        <f>IF(H6402="","",IF($C$29="상세법",FPV(H6402,K6402),IF(H6402="EI",4,IF(H6402="EO",5.2,IF(H6402="EQ",3.9,IF(H6402="ILF",7.5,IF(H6402="EIF",5.4)))))))</f>
        <v/>
      </c>
      <c r="M6402" s="112" t="str">
        <f t="shared" si="103"/>
        <v/>
      </c>
      <c r="N6402" s="113"/>
    </row>
    <row r="6403" spans="2:14">
      <c r="B6403" s="105"/>
      <c r="C6403" s="106"/>
      <c r="D6403" s="107"/>
      <c r="E6403" s="65"/>
      <c r="F6403" s="64"/>
      <c r="G6403" s="64"/>
      <c r="H6403" s="64"/>
      <c r="I6403" s="70"/>
      <c r="J6403" s="70"/>
      <c r="K6403" s="110" t="str">
        <f>IF(H6403="","",IF($C$29="간이법","",FPR(H6403,I6403,J6403)))</f>
        <v/>
      </c>
      <c r="L6403" s="111" t="str">
        <f>IF(H6403="","",IF($C$29="상세법",FPV(H6403,K6403),IF(H6403="EI",4,IF(H6403="EO",5.2,IF(H6403="EQ",3.9,IF(H6403="ILF",7.5,IF(H6403="EIF",5.4)))))))</f>
        <v/>
      </c>
      <c r="M6403" s="112" t="str">
        <f t="shared" si="103"/>
        <v/>
      </c>
      <c r="N6403" s="113"/>
    </row>
    <row r="6404" spans="2:14">
      <c r="B6404" s="105"/>
      <c r="C6404" s="106"/>
      <c r="D6404" s="107"/>
      <c r="E6404" s="65"/>
      <c r="F6404" s="64"/>
      <c r="G6404" s="64"/>
      <c r="H6404" s="64"/>
      <c r="I6404" s="70"/>
      <c r="J6404" s="70"/>
      <c r="K6404" s="110" t="str">
        <f>IF(H6404="","",IF($C$29="간이법","",FPR(H6404,I6404,J6404)))</f>
        <v/>
      </c>
      <c r="L6404" s="111" t="str">
        <f>IF(H6404="","",IF($C$29="상세법",FPV(H6404,K6404),IF(H6404="EI",4,IF(H6404="EO",5.2,IF(H6404="EQ",3.9,IF(H6404="ILF",7.5,IF(H6404="EIF",5.4)))))))</f>
        <v/>
      </c>
      <c r="M6404" s="112" t="str">
        <f t="shared" si="103"/>
        <v/>
      </c>
      <c r="N6404" s="113"/>
    </row>
    <row r="6405" spans="2:14">
      <c r="B6405" s="105"/>
      <c r="C6405" s="106"/>
      <c r="D6405" s="107"/>
      <c r="E6405" s="65"/>
      <c r="F6405" s="64"/>
      <c r="G6405" s="64"/>
      <c r="H6405" s="64"/>
      <c r="I6405" s="70"/>
      <c r="J6405" s="70"/>
      <c r="K6405" s="110" t="str">
        <f>IF(H6405="","",IF($C$29="간이법","",FPR(H6405,I6405,J6405)))</f>
        <v/>
      </c>
      <c r="L6405" s="111" t="str">
        <f>IF(H6405="","",IF($C$29="상세법",FPV(H6405,K6405),IF(H6405="EI",4,IF(H6405="EO",5.2,IF(H6405="EQ",3.9,IF(H6405="ILF",7.5,IF(H6405="EIF",5.4)))))))</f>
        <v/>
      </c>
      <c r="M6405" s="112" t="str">
        <f t="shared" si="103"/>
        <v/>
      </c>
      <c r="N6405" s="113"/>
    </row>
    <row r="6406" spans="2:14">
      <c r="B6406" s="105"/>
      <c r="C6406" s="106"/>
      <c r="D6406" s="107"/>
      <c r="E6406" s="65"/>
      <c r="F6406" s="64"/>
      <c r="G6406" s="64"/>
      <c r="H6406" s="64"/>
      <c r="I6406" s="70"/>
      <c r="J6406" s="70"/>
      <c r="K6406" s="110" t="str">
        <f>IF(H6406="","",IF($C$29="간이법","",FPR(H6406,I6406,J6406)))</f>
        <v/>
      </c>
      <c r="L6406" s="111" t="str">
        <f>IF(H6406="","",IF($C$29="상세법",FPV(H6406,K6406),IF(H6406="EI",4,IF(H6406="EO",5.2,IF(H6406="EQ",3.9,IF(H6406="ILF",7.5,IF(H6406="EIF",5.4)))))))</f>
        <v/>
      </c>
      <c r="M6406" s="112" t="str">
        <f t="shared" si="103"/>
        <v/>
      </c>
      <c r="N6406" s="113"/>
    </row>
    <row r="6407" spans="2:14">
      <c r="B6407" s="105"/>
      <c r="C6407" s="106"/>
      <c r="D6407" s="107"/>
      <c r="E6407" s="65"/>
      <c r="F6407" s="64"/>
      <c r="G6407" s="64"/>
      <c r="H6407" s="64"/>
      <c r="I6407" s="70"/>
      <c r="J6407" s="70"/>
      <c r="K6407" s="110" t="str">
        <f>IF(H6407="","",IF($C$29="간이법","",FPR(H6407,I6407,J6407)))</f>
        <v/>
      </c>
      <c r="L6407" s="111" t="str">
        <f>IF(H6407="","",IF($C$29="상세법",FPV(H6407,K6407),IF(H6407="EI",4,IF(H6407="EO",5.2,IF(H6407="EQ",3.9,IF(H6407="ILF",7.5,IF(H6407="EIF",5.4)))))))</f>
        <v/>
      </c>
      <c r="M6407" s="112" t="str">
        <f t="shared" si="103"/>
        <v/>
      </c>
      <c r="N6407" s="113"/>
    </row>
    <row r="6408" spans="2:14">
      <c r="B6408" s="105"/>
      <c r="C6408" s="106"/>
      <c r="D6408" s="107"/>
      <c r="E6408" s="65"/>
      <c r="F6408" s="64"/>
      <c r="G6408" s="64"/>
      <c r="H6408" s="64"/>
      <c r="I6408" s="70"/>
      <c r="J6408" s="70"/>
      <c r="K6408" s="110" t="str">
        <f>IF(H6408="","",IF($C$29="간이법","",FPR(H6408,I6408,J6408)))</f>
        <v/>
      </c>
      <c r="L6408" s="111" t="str">
        <f>IF(H6408="","",IF($C$29="상세법",FPV(H6408,K6408),IF(H6408="EI",4,IF(H6408="EO",5.2,IF(H6408="EQ",3.9,IF(H6408="ILF",7.5,IF(H6408="EIF",5.4)))))))</f>
        <v/>
      </c>
      <c r="M6408" s="112" t="str">
        <f t="shared" si="103"/>
        <v/>
      </c>
      <c r="N6408" s="113"/>
    </row>
    <row r="6409" spans="2:14">
      <c r="B6409" s="105"/>
      <c r="C6409" s="106"/>
      <c r="D6409" s="107"/>
      <c r="E6409" s="65"/>
      <c r="F6409" s="64"/>
      <c r="G6409" s="64"/>
      <c r="H6409" s="64"/>
      <c r="I6409" s="70"/>
      <c r="J6409" s="70"/>
      <c r="K6409" s="110" t="str">
        <f>IF(H6409="","",IF($C$29="간이법","",FPR(H6409,I6409,J6409)))</f>
        <v/>
      </c>
      <c r="L6409" s="111" t="str">
        <f>IF(H6409="","",IF($C$29="상세법",FPV(H6409,K6409),IF(H6409="EI",4,IF(H6409="EO",5.2,IF(H6409="EQ",3.9,IF(H6409="ILF",7.5,IF(H6409="EIF",5.4)))))))</f>
        <v/>
      </c>
      <c r="M6409" s="112" t="str">
        <f t="shared" si="103"/>
        <v/>
      </c>
      <c r="N6409" s="113"/>
    </row>
    <row r="6410" spans="2:14">
      <c r="B6410" s="105"/>
      <c r="C6410" s="106"/>
      <c r="D6410" s="107"/>
      <c r="E6410" s="65"/>
      <c r="F6410" s="64"/>
      <c r="G6410" s="64"/>
      <c r="H6410" s="64"/>
      <c r="I6410" s="70"/>
      <c r="J6410" s="70"/>
      <c r="K6410" s="110" t="str">
        <f>IF(H6410="","",IF($C$29="간이법","",FPR(H6410,I6410,J6410)))</f>
        <v/>
      </c>
      <c r="L6410" s="111" t="str">
        <f>IF(H6410="","",IF($C$29="상세법",FPV(H6410,K6410),IF(H6410="EI",4,IF(H6410="EO",5.2,IF(H6410="EQ",3.9,IF(H6410="ILF",7.5,IF(H6410="EIF",5.4)))))))</f>
        <v/>
      </c>
      <c r="M6410" s="112" t="str">
        <f t="shared" si="103"/>
        <v/>
      </c>
      <c r="N6410" s="113"/>
    </row>
    <row r="6411" spans="2:14">
      <c r="B6411" s="105"/>
      <c r="C6411" s="106"/>
      <c r="D6411" s="107"/>
      <c r="E6411" s="65"/>
      <c r="F6411" s="64"/>
      <c r="G6411" s="64"/>
      <c r="H6411" s="64"/>
      <c r="I6411" s="70"/>
      <c r="J6411" s="70"/>
      <c r="K6411" s="110" t="str">
        <f>IF(H6411="","",IF($C$29="간이법","",FPR(H6411,I6411,J6411)))</f>
        <v/>
      </c>
      <c r="L6411" s="111" t="str">
        <f>IF(H6411="","",IF($C$29="상세법",FPV(H6411,K6411),IF(H6411="EI",4,IF(H6411="EO",5.2,IF(H6411="EQ",3.9,IF(H6411="ILF",7.5,IF(H6411="EIF",5.4)))))))</f>
        <v/>
      </c>
      <c r="M6411" s="112" t="str">
        <f t="shared" si="103"/>
        <v/>
      </c>
      <c r="N6411" s="113"/>
    </row>
    <row r="6412" spans="2:14">
      <c r="B6412" s="105"/>
      <c r="C6412" s="106"/>
      <c r="D6412" s="107"/>
      <c r="E6412" s="65"/>
      <c r="F6412" s="64"/>
      <c r="G6412" s="64"/>
      <c r="H6412" s="64"/>
      <c r="I6412" s="70"/>
      <c r="J6412" s="70"/>
      <c r="K6412" s="110" t="str">
        <f>IF(H6412="","",IF($C$29="간이법","",FPR(H6412,I6412,J6412)))</f>
        <v/>
      </c>
      <c r="L6412" s="111" t="str">
        <f>IF(H6412="","",IF($C$29="상세법",FPV(H6412,K6412),IF(H6412="EI",4,IF(H6412="EO",5.2,IF(H6412="EQ",3.9,IF(H6412="ILF",7.5,IF(H6412="EIF",5.4)))))))</f>
        <v/>
      </c>
      <c r="M6412" s="112" t="str">
        <f t="shared" si="103"/>
        <v/>
      </c>
      <c r="N6412" s="113"/>
    </row>
    <row r="6413" spans="2:14">
      <c r="B6413" s="105"/>
      <c r="C6413" s="106"/>
      <c r="D6413" s="107"/>
      <c r="E6413" s="65"/>
      <c r="F6413" s="64"/>
      <c r="G6413" s="64"/>
      <c r="H6413" s="64"/>
      <c r="I6413" s="70"/>
      <c r="J6413" s="70"/>
      <c r="K6413" s="110" t="str">
        <f>IF(H6413="","",IF($C$29="간이법","",FPR(H6413,I6413,J6413)))</f>
        <v/>
      </c>
      <c r="L6413" s="111" t="str">
        <f>IF(H6413="","",IF($C$29="상세법",FPV(H6413,K6413),IF(H6413="EI",4,IF(H6413="EO",5.2,IF(H6413="EQ",3.9,IF(H6413="ILF",7.5,IF(H6413="EIF",5.4)))))))</f>
        <v/>
      </c>
      <c r="M6413" s="112" t="str">
        <f t="shared" si="103"/>
        <v/>
      </c>
      <c r="N6413" s="113"/>
    </row>
    <row r="6414" spans="2:14">
      <c r="B6414" s="105"/>
      <c r="C6414" s="106"/>
      <c r="D6414" s="107"/>
      <c r="E6414" s="65"/>
      <c r="F6414" s="64"/>
      <c r="G6414" s="64"/>
      <c r="H6414" s="64"/>
      <c r="I6414" s="70"/>
      <c r="J6414" s="70"/>
      <c r="K6414" s="110" t="str">
        <f>IF(H6414="","",IF($C$29="간이법","",FPR(H6414,I6414,J6414)))</f>
        <v/>
      </c>
      <c r="L6414" s="111" t="str">
        <f>IF(H6414="","",IF($C$29="상세법",FPV(H6414,K6414),IF(H6414="EI",4,IF(H6414="EO",5.2,IF(H6414="EQ",3.9,IF(H6414="ILF",7.5,IF(H6414="EIF",5.4)))))))</f>
        <v/>
      </c>
      <c r="M6414" s="112" t="str">
        <f t="shared" si="103"/>
        <v/>
      </c>
      <c r="N6414" s="113"/>
    </row>
    <row r="6415" spans="2:14">
      <c r="B6415" s="105"/>
      <c r="C6415" s="106"/>
      <c r="D6415" s="107"/>
      <c r="E6415" s="65"/>
      <c r="F6415" s="64"/>
      <c r="G6415" s="64"/>
      <c r="H6415" s="64"/>
      <c r="I6415" s="70"/>
      <c r="J6415" s="70"/>
      <c r="K6415" s="110" t="str">
        <f>IF(H6415="","",IF($C$29="간이법","",FPR(H6415,I6415,J6415)))</f>
        <v/>
      </c>
      <c r="L6415" s="111" t="str">
        <f>IF(H6415="","",IF($C$29="상세법",FPV(H6415,K6415),IF(H6415="EI",4,IF(H6415="EO",5.2,IF(H6415="EQ",3.9,IF(H6415="ILF",7.5,IF(H6415="EIF",5.4)))))))</f>
        <v/>
      </c>
      <c r="M6415" s="112" t="str">
        <f t="shared" si="103"/>
        <v/>
      </c>
      <c r="N6415" s="113"/>
    </row>
    <row r="6416" spans="2:14">
      <c r="B6416" s="105"/>
      <c r="C6416" s="106"/>
      <c r="D6416" s="107"/>
      <c r="E6416" s="65"/>
      <c r="F6416" s="64"/>
      <c r="G6416" s="64"/>
      <c r="H6416" s="64"/>
      <c r="I6416" s="70"/>
      <c r="J6416" s="70"/>
      <c r="K6416" s="110" t="str">
        <f>IF(H6416="","",IF($C$29="간이법","",FPR(H6416,I6416,J6416)))</f>
        <v/>
      </c>
      <c r="L6416" s="111" t="str">
        <f>IF(H6416="","",IF($C$29="상세법",FPV(H6416,K6416),IF(H6416="EI",4,IF(H6416="EO",5.2,IF(H6416="EQ",3.9,IF(H6416="ILF",7.5,IF(H6416="EIF",5.4)))))))</f>
        <v/>
      </c>
      <c r="M6416" s="112" t="str">
        <f t="shared" si="103"/>
        <v/>
      </c>
      <c r="N6416" s="113"/>
    </row>
    <row r="6417" spans="2:14">
      <c r="B6417" s="105"/>
      <c r="C6417" s="106"/>
      <c r="D6417" s="107"/>
      <c r="E6417" s="65"/>
      <c r="F6417" s="64"/>
      <c r="G6417" s="64"/>
      <c r="H6417" s="64"/>
      <c r="I6417" s="70"/>
      <c r="J6417" s="70"/>
      <c r="K6417" s="110" t="str">
        <f>IF(H6417="","",IF($C$29="간이법","",FPR(H6417,I6417,J6417)))</f>
        <v/>
      </c>
      <c r="L6417" s="111" t="str">
        <f>IF(H6417="","",IF($C$29="상세법",FPV(H6417,K6417),IF(H6417="EI",4,IF(H6417="EO",5.2,IF(H6417="EQ",3.9,IF(H6417="ILF",7.5,IF(H6417="EIF",5.4)))))))</f>
        <v/>
      </c>
      <c r="M6417" s="112" t="str">
        <f t="shared" si="103"/>
        <v/>
      </c>
      <c r="N6417" s="113"/>
    </row>
    <row r="6418" spans="2:14">
      <c r="B6418" s="105"/>
      <c r="C6418" s="106"/>
      <c r="D6418" s="107"/>
      <c r="E6418" s="65"/>
      <c r="F6418" s="64"/>
      <c r="G6418" s="64"/>
      <c r="H6418" s="64"/>
      <c r="I6418" s="70"/>
      <c r="J6418" s="70"/>
      <c r="K6418" s="110" t="str">
        <f>IF(H6418="","",IF($C$29="간이법","",FPR(H6418,I6418,J6418)))</f>
        <v/>
      </c>
      <c r="L6418" s="111" t="str">
        <f>IF(H6418="","",IF($C$29="상세법",FPV(H6418,K6418),IF(H6418="EI",4,IF(H6418="EO",5.2,IF(H6418="EQ",3.9,IF(H6418="ILF",7.5,IF(H6418="EIF",5.4)))))))</f>
        <v/>
      </c>
      <c r="M6418" s="112" t="str">
        <f t="shared" si="103"/>
        <v/>
      </c>
      <c r="N6418" s="113"/>
    </row>
    <row r="6419" spans="2:14">
      <c r="B6419" s="105"/>
      <c r="C6419" s="106"/>
      <c r="D6419" s="107"/>
      <c r="E6419" s="65"/>
      <c r="F6419" s="64"/>
      <c r="G6419" s="64"/>
      <c r="H6419" s="64"/>
      <c r="I6419" s="70"/>
      <c r="J6419" s="70"/>
      <c r="K6419" s="110" t="str">
        <f>IF(H6419="","",IF($C$29="간이법","",FPR(H6419,I6419,J6419)))</f>
        <v/>
      </c>
      <c r="L6419" s="111" t="str">
        <f>IF(H6419="","",IF($C$29="상세법",FPV(H6419,K6419),IF(H6419="EI",4,IF(H6419="EO",5.2,IF(H6419="EQ",3.9,IF(H6419="ILF",7.5,IF(H6419="EIF",5.4)))))))</f>
        <v/>
      </c>
      <c r="M6419" s="112" t="str">
        <f t="shared" si="103"/>
        <v/>
      </c>
      <c r="N6419" s="113"/>
    </row>
    <row r="6420" spans="2:14">
      <c r="B6420" s="105"/>
      <c r="C6420" s="106"/>
      <c r="D6420" s="107"/>
      <c r="E6420" s="65"/>
      <c r="F6420" s="64"/>
      <c r="G6420" s="64"/>
      <c r="H6420" s="64"/>
      <c r="I6420" s="70"/>
      <c r="J6420" s="70"/>
      <c r="K6420" s="110" t="str">
        <f>IF(H6420="","",IF($C$29="간이법","",FPR(H6420,I6420,J6420)))</f>
        <v/>
      </c>
      <c r="L6420" s="111" t="str">
        <f>IF(H6420="","",IF($C$29="상세법",FPV(H6420,K6420),IF(H6420="EI",4,IF(H6420="EO",5.2,IF(H6420="EQ",3.9,IF(H6420="ILF",7.5,IF(H6420="EIF",5.4)))))))</f>
        <v/>
      </c>
      <c r="M6420" s="112" t="str">
        <f t="shared" si="103"/>
        <v/>
      </c>
      <c r="N6420" s="113"/>
    </row>
    <row r="6421" spans="2:14">
      <c r="B6421" s="105"/>
      <c r="C6421" s="106"/>
      <c r="D6421" s="107"/>
      <c r="E6421" s="65"/>
      <c r="F6421" s="64"/>
      <c r="G6421" s="64"/>
      <c r="H6421" s="64"/>
      <c r="I6421" s="70"/>
      <c r="J6421" s="70"/>
      <c r="K6421" s="110" t="str">
        <f>IF(H6421="","",IF($C$29="간이법","",FPR(H6421,I6421,J6421)))</f>
        <v/>
      </c>
      <c r="L6421" s="111" t="str">
        <f>IF(H6421="","",IF($C$29="상세법",FPV(H6421,K6421),IF(H6421="EI",4,IF(H6421="EO",5.2,IF(H6421="EQ",3.9,IF(H6421="ILF",7.5,IF(H6421="EIF",5.4)))))))</f>
        <v/>
      </c>
      <c r="M6421" s="112" t="str">
        <f t="shared" si="103"/>
        <v/>
      </c>
      <c r="N6421" s="113"/>
    </row>
    <row r="6422" spans="2:14">
      <c r="B6422" s="105"/>
      <c r="C6422" s="106"/>
      <c r="D6422" s="107"/>
      <c r="E6422" s="65"/>
      <c r="F6422" s="64"/>
      <c r="G6422" s="64"/>
      <c r="H6422" s="64"/>
      <c r="I6422" s="70"/>
      <c r="J6422" s="70"/>
      <c r="K6422" s="110" t="str">
        <f>IF(H6422="","",IF($C$29="간이법","",FPR(H6422,I6422,J6422)))</f>
        <v/>
      </c>
      <c r="L6422" s="111" t="str">
        <f>IF(H6422="","",IF($C$29="상세법",FPV(H6422,K6422),IF(H6422="EI",4,IF(H6422="EO",5.2,IF(H6422="EQ",3.9,IF(H6422="ILF",7.5,IF(H6422="EIF",5.4)))))))</f>
        <v/>
      </c>
      <c r="M6422" s="112" t="str">
        <f t="shared" si="103"/>
        <v/>
      </c>
      <c r="N6422" s="113"/>
    </row>
    <row r="6423" spans="2:14">
      <c r="B6423" s="105"/>
      <c r="C6423" s="106"/>
      <c r="D6423" s="107"/>
      <c r="E6423" s="65"/>
      <c r="F6423" s="64"/>
      <c r="G6423" s="64"/>
      <c r="H6423" s="64"/>
      <c r="I6423" s="70"/>
      <c r="J6423" s="70"/>
      <c r="K6423" s="110" t="str">
        <f>IF(H6423="","",IF($C$29="간이법","",FPR(H6423,I6423,J6423)))</f>
        <v/>
      </c>
      <c r="L6423" s="111" t="str">
        <f>IF(H6423="","",IF($C$29="상세법",FPV(H6423,K6423),IF(H6423="EI",4,IF(H6423="EO",5.2,IF(H6423="EQ",3.9,IF(H6423="ILF",7.5,IF(H6423="EIF",5.4)))))))</f>
        <v/>
      </c>
      <c r="M6423" s="112" t="str">
        <f t="shared" si="103"/>
        <v/>
      </c>
      <c r="N6423" s="113"/>
    </row>
    <row r="6424" spans="2:14">
      <c r="B6424" s="105"/>
      <c r="C6424" s="106"/>
      <c r="D6424" s="107"/>
      <c r="E6424" s="65"/>
      <c r="F6424" s="64"/>
      <c r="G6424" s="64"/>
      <c r="H6424" s="64"/>
      <c r="I6424" s="70"/>
      <c r="J6424" s="70"/>
      <c r="K6424" s="110" t="str">
        <f>IF(H6424="","",IF($C$29="간이법","",FPR(H6424,I6424,J6424)))</f>
        <v/>
      </c>
      <c r="L6424" s="111" t="str">
        <f>IF(H6424="","",IF($C$29="상세법",FPV(H6424,K6424),IF(H6424="EI",4,IF(H6424="EO",5.2,IF(H6424="EQ",3.9,IF(H6424="ILF",7.5,IF(H6424="EIF",5.4)))))))</f>
        <v/>
      </c>
      <c r="M6424" s="112" t="str">
        <f t="shared" si="103"/>
        <v/>
      </c>
      <c r="N6424" s="113"/>
    </row>
    <row r="6425" spans="2:14">
      <c r="B6425" s="105"/>
      <c r="C6425" s="106"/>
      <c r="D6425" s="107"/>
      <c r="E6425" s="65"/>
      <c r="F6425" s="64"/>
      <c r="G6425" s="64"/>
      <c r="H6425" s="64"/>
      <c r="I6425" s="70"/>
      <c r="J6425" s="70"/>
      <c r="K6425" s="110" t="str">
        <f>IF(H6425="","",IF($C$29="간이법","",FPR(H6425,I6425,J6425)))</f>
        <v/>
      </c>
      <c r="L6425" s="111" t="str">
        <f>IF(H6425="","",IF($C$29="상세법",FPV(H6425,K6425),IF(H6425="EI",4,IF(H6425="EO",5.2,IF(H6425="EQ",3.9,IF(H6425="ILF",7.5,IF(H6425="EIF",5.4)))))))</f>
        <v/>
      </c>
      <c r="M6425" s="112" t="str">
        <f t="shared" si="103"/>
        <v/>
      </c>
      <c r="N6425" s="113"/>
    </row>
    <row r="6426" spans="2:14">
      <c r="B6426" s="105"/>
      <c r="C6426" s="106"/>
      <c r="D6426" s="107"/>
      <c r="E6426" s="65"/>
      <c r="F6426" s="64"/>
      <c r="G6426" s="64"/>
      <c r="H6426" s="64"/>
      <c r="I6426" s="70"/>
      <c r="J6426" s="70"/>
      <c r="K6426" s="110" t="str">
        <f>IF(H6426="","",IF($C$29="간이법","",FPR(H6426,I6426,J6426)))</f>
        <v/>
      </c>
      <c r="L6426" s="111" t="str">
        <f>IF(H6426="","",IF($C$29="상세법",FPV(H6426,K6426),IF(H6426="EI",4,IF(H6426="EO",5.2,IF(H6426="EQ",3.9,IF(H6426="ILF",7.5,IF(H6426="EIF",5.4)))))))</f>
        <v/>
      </c>
      <c r="M6426" s="112" t="str">
        <f t="shared" si="103"/>
        <v/>
      </c>
      <c r="N6426" s="113"/>
    </row>
    <row r="6427" spans="2:14">
      <c r="B6427" s="105"/>
      <c r="C6427" s="106"/>
      <c r="D6427" s="107"/>
      <c r="E6427" s="65"/>
      <c r="F6427" s="64"/>
      <c r="G6427" s="64"/>
      <c r="H6427" s="64"/>
      <c r="I6427" s="70"/>
      <c r="J6427" s="70"/>
      <c r="K6427" s="110" t="str">
        <f>IF(H6427="","",IF($C$29="간이법","",FPR(H6427,I6427,J6427)))</f>
        <v/>
      </c>
      <c r="L6427" s="111" t="str">
        <f>IF(H6427="","",IF($C$29="상세법",FPV(H6427,K6427),IF(H6427="EI",4,IF(H6427="EO",5.2,IF(H6427="EQ",3.9,IF(H6427="ILF",7.5,IF(H6427="EIF",5.4)))))))</f>
        <v/>
      </c>
      <c r="M6427" s="112" t="str">
        <f t="shared" si="103"/>
        <v/>
      </c>
      <c r="N6427" s="113"/>
    </row>
    <row r="6428" spans="2:14">
      <c r="B6428" s="105"/>
      <c r="C6428" s="106"/>
      <c r="D6428" s="107"/>
      <c r="E6428" s="65"/>
      <c r="F6428" s="64"/>
      <c r="G6428" s="64"/>
      <c r="H6428" s="64"/>
      <c r="I6428" s="70"/>
      <c r="J6428" s="70"/>
      <c r="K6428" s="110" t="str">
        <f>IF(H6428="","",IF($C$29="간이법","",FPR(H6428,I6428,J6428)))</f>
        <v/>
      </c>
      <c r="L6428" s="111" t="str">
        <f>IF(H6428="","",IF($C$29="상세법",FPV(H6428,K6428),IF(H6428="EI",4,IF(H6428="EO",5.2,IF(H6428="EQ",3.9,IF(H6428="ILF",7.5,IF(H6428="EIF",5.4)))))))</f>
        <v/>
      </c>
      <c r="M6428" s="112" t="str">
        <f t="shared" si="103"/>
        <v/>
      </c>
      <c r="N6428" s="113"/>
    </row>
    <row r="6429" spans="2:14">
      <c r="B6429" s="105"/>
      <c r="C6429" s="106"/>
      <c r="D6429" s="107"/>
      <c r="E6429" s="65"/>
      <c r="F6429" s="64"/>
      <c r="G6429" s="64"/>
      <c r="H6429" s="64"/>
      <c r="I6429" s="70"/>
      <c r="J6429" s="70"/>
      <c r="K6429" s="110" t="str">
        <f>IF(H6429="","",IF($C$29="간이법","",FPR(H6429,I6429,J6429)))</f>
        <v/>
      </c>
      <c r="L6429" s="111" t="str">
        <f>IF(H6429="","",IF($C$29="상세법",FPV(H6429,K6429),IF(H6429="EI",4,IF(H6429="EO",5.2,IF(H6429="EQ",3.9,IF(H6429="ILF",7.5,IF(H6429="EIF",5.4)))))))</f>
        <v/>
      </c>
      <c r="M6429" s="112" t="str">
        <f t="shared" si="103"/>
        <v/>
      </c>
      <c r="N6429" s="113"/>
    </row>
    <row r="6430" spans="2:14">
      <c r="B6430" s="105"/>
      <c r="C6430" s="106"/>
      <c r="D6430" s="107"/>
      <c r="E6430" s="65"/>
      <c r="F6430" s="64"/>
      <c r="G6430" s="64"/>
      <c r="H6430" s="64"/>
      <c r="I6430" s="70"/>
      <c r="J6430" s="70"/>
      <c r="K6430" s="110" t="str">
        <f>IF(H6430="","",IF($C$29="간이법","",FPR(H6430,I6430,J6430)))</f>
        <v/>
      </c>
      <c r="L6430" s="111" t="str">
        <f>IF(H6430="","",IF($C$29="상세법",FPV(H6430,K6430),IF(H6430="EI",4,IF(H6430="EO",5.2,IF(H6430="EQ",3.9,IF(H6430="ILF",7.5,IF(H6430="EIF",5.4)))))))</f>
        <v/>
      </c>
      <c r="M6430" s="112" t="str">
        <f t="shared" si="103"/>
        <v/>
      </c>
      <c r="N6430" s="113"/>
    </row>
    <row r="6431" spans="2:14">
      <c r="B6431" s="105"/>
      <c r="C6431" s="106"/>
      <c r="D6431" s="107"/>
      <c r="E6431" s="65"/>
      <c r="F6431" s="64"/>
      <c r="G6431" s="64"/>
      <c r="H6431" s="64"/>
      <c r="I6431" s="70"/>
      <c r="J6431" s="70"/>
      <c r="K6431" s="110" t="str">
        <f>IF(H6431="","",IF($C$29="간이법","",FPR(H6431,I6431,J6431)))</f>
        <v/>
      </c>
      <c r="L6431" s="111" t="str">
        <f>IF(H6431="","",IF($C$29="상세법",FPV(H6431,K6431),IF(H6431="EI",4,IF(H6431="EO",5.2,IF(H6431="EQ",3.9,IF(H6431="ILF",7.5,IF(H6431="EIF",5.4)))))))</f>
        <v/>
      </c>
      <c r="M6431" s="112" t="str">
        <f t="shared" si="103"/>
        <v/>
      </c>
      <c r="N6431" s="113"/>
    </row>
    <row r="6432" spans="2:14">
      <c r="B6432" s="105"/>
      <c r="C6432" s="106"/>
      <c r="D6432" s="107"/>
      <c r="E6432" s="65"/>
      <c r="F6432" s="64"/>
      <c r="G6432" s="64"/>
      <c r="H6432" s="64"/>
      <c r="I6432" s="70"/>
      <c r="J6432" s="70"/>
      <c r="K6432" s="110" t="str">
        <f>IF(H6432="","",IF($C$29="간이법","",FPR(H6432,I6432,J6432)))</f>
        <v/>
      </c>
      <c r="L6432" s="111" t="str">
        <f>IF(H6432="","",IF($C$29="상세법",FPV(H6432,K6432),IF(H6432="EI",4,IF(H6432="EO",5.2,IF(H6432="EQ",3.9,IF(H6432="ILF",7.5,IF(H6432="EIF",5.4)))))))</f>
        <v/>
      </c>
      <c r="M6432" s="112" t="str">
        <f t="shared" si="103"/>
        <v/>
      </c>
      <c r="N6432" s="113"/>
    </row>
    <row r="6433" spans="2:14">
      <c r="B6433" s="105"/>
      <c r="C6433" s="106"/>
      <c r="D6433" s="107"/>
      <c r="E6433" s="65"/>
      <c r="F6433" s="64"/>
      <c r="G6433" s="64"/>
      <c r="H6433" s="64"/>
      <c r="I6433" s="70"/>
      <c r="J6433" s="70"/>
      <c r="K6433" s="110" t="str">
        <f>IF(H6433="","",IF($C$29="간이법","",FPR(H6433,I6433,J6433)))</f>
        <v/>
      </c>
      <c r="L6433" s="111" t="str">
        <f>IF(H6433="","",IF($C$29="상세법",FPV(H6433,K6433),IF(H6433="EI",4,IF(H6433="EO",5.2,IF(H6433="EQ",3.9,IF(H6433="ILF",7.5,IF(H6433="EIF",5.4)))))))</f>
        <v/>
      </c>
      <c r="M6433" s="112" t="str">
        <f t="shared" si="103"/>
        <v/>
      </c>
      <c r="N6433" s="113"/>
    </row>
    <row r="6434" spans="2:14">
      <c r="B6434" s="105"/>
      <c r="C6434" s="106"/>
      <c r="D6434" s="107"/>
      <c r="E6434" s="65"/>
      <c r="F6434" s="64"/>
      <c r="G6434" s="64"/>
      <c r="H6434" s="64"/>
      <c r="I6434" s="70"/>
      <c r="J6434" s="70"/>
      <c r="K6434" s="110" t="str">
        <f>IF(H6434="","",IF($C$29="간이법","",FPR(H6434,I6434,J6434)))</f>
        <v/>
      </c>
      <c r="L6434" s="111" t="str">
        <f>IF(H6434="","",IF($C$29="상세법",FPV(H6434,K6434),IF(H6434="EI",4,IF(H6434="EO",5.2,IF(H6434="EQ",3.9,IF(H6434="ILF",7.5,IF(H6434="EIF",5.4)))))))</f>
        <v/>
      </c>
      <c r="M6434" s="112" t="str">
        <f t="shared" si="103"/>
        <v/>
      </c>
      <c r="N6434" s="113"/>
    </row>
    <row r="6435" spans="2:14">
      <c r="B6435" s="105"/>
      <c r="C6435" s="106"/>
      <c r="D6435" s="107"/>
      <c r="E6435" s="65"/>
      <c r="F6435" s="64"/>
      <c r="G6435" s="64"/>
      <c r="H6435" s="64"/>
      <c r="I6435" s="70"/>
      <c r="J6435" s="70"/>
      <c r="K6435" s="110" t="str">
        <f>IF(H6435="","",IF($C$29="간이법","",FPR(H6435,I6435,J6435)))</f>
        <v/>
      </c>
      <c r="L6435" s="111" t="str">
        <f>IF(H6435="","",IF($C$29="상세법",FPV(H6435,K6435),IF(H6435="EI",4,IF(H6435="EO",5.2,IF(H6435="EQ",3.9,IF(H6435="ILF",7.5,IF(H6435="EIF",5.4)))))))</f>
        <v/>
      </c>
      <c r="M6435" s="112" t="str">
        <f t="shared" si="103"/>
        <v/>
      </c>
      <c r="N6435" s="113"/>
    </row>
    <row r="6436" spans="2:14">
      <c r="B6436" s="105"/>
      <c r="C6436" s="106"/>
      <c r="D6436" s="107"/>
      <c r="E6436" s="65"/>
      <c r="F6436" s="64"/>
      <c r="G6436" s="64"/>
      <c r="H6436" s="64"/>
      <c r="I6436" s="70"/>
      <c r="J6436" s="70"/>
      <c r="K6436" s="110" t="str">
        <f>IF(H6436="","",IF($C$29="간이법","",FPR(H6436,I6436,J6436)))</f>
        <v/>
      </c>
      <c r="L6436" s="111" t="str">
        <f>IF(H6436="","",IF($C$29="상세법",FPV(H6436,K6436),IF(H6436="EI",4,IF(H6436="EO",5.2,IF(H6436="EQ",3.9,IF(H6436="ILF",7.5,IF(H6436="EIF",5.4)))))))</f>
        <v/>
      </c>
      <c r="M6436" s="112" t="str">
        <f t="shared" si="103"/>
        <v/>
      </c>
      <c r="N6436" s="113"/>
    </row>
    <row r="6437" spans="2:14">
      <c r="B6437" s="105"/>
      <c r="C6437" s="106"/>
      <c r="D6437" s="107"/>
      <c r="E6437" s="65"/>
      <c r="F6437" s="64"/>
      <c r="G6437" s="64"/>
      <c r="H6437" s="64"/>
      <c r="I6437" s="70"/>
      <c r="J6437" s="70"/>
      <c r="K6437" s="110" t="str">
        <f>IF(H6437="","",IF($C$29="간이법","",FPR(H6437,I6437,J6437)))</f>
        <v/>
      </c>
      <c r="L6437" s="111" t="str">
        <f>IF(H6437="","",IF($C$29="상세법",FPV(H6437,K6437),IF(H6437="EI",4,IF(H6437="EO",5.2,IF(H6437="EQ",3.9,IF(H6437="ILF",7.5,IF(H6437="EIF",5.4)))))))</f>
        <v/>
      </c>
      <c r="M6437" s="112" t="str">
        <f t="shared" si="103"/>
        <v/>
      </c>
      <c r="N6437" s="113"/>
    </row>
    <row r="6438" spans="2:14">
      <c r="B6438" s="105"/>
      <c r="C6438" s="106"/>
      <c r="D6438" s="107"/>
      <c r="E6438" s="65"/>
      <c r="F6438" s="64"/>
      <c r="G6438" s="64"/>
      <c r="H6438" s="64"/>
      <c r="I6438" s="70"/>
      <c r="J6438" s="70"/>
      <c r="K6438" s="110" t="str">
        <f>IF(H6438="","",IF($C$29="간이법","",FPR(H6438,I6438,J6438)))</f>
        <v/>
      </c>
      <c r="L6438" s="111" t="str">
        <f>IF(H6438="","",IF($C$29="상세법",FPV(H6438,K6438),IF(H6438="EI",4,IF(H6438="EO",5.2,IF(H6438="EQ",3.9,IF(H6438="ILF",7.5,IF(H6438="EIF",5.4)))))))</f>
        <v/>
      </c>
      <c r="M6438" s="112" t="str">
        <f t="shared" si="103"/>
        <v/>
      </c>
      <c r="N6438" s="113"/>
    </row>
    <row r="6439" spans="2:14">
      <c r="B6439" s="105"/>
      <c r="C6439" s="106"/>
      <c r="D6439" s="107"/>
      <c r="E6439" s="65"/>
      <c r="F6439" s="64"/>
      <c r="G6439" s="64"/>
      <c r="H6439" s="64"/>
      <c r="I6439" s="70"/>
      <c r="J6439" s="70"/>
      <c r="K6439" s="110" t="str">
        <f>IF(H6439="","",IF($C$29="간이법","",FPR(H6439,I6439,J6439)))</f>
        <v/>
      </c>
      <c r="L6439" s="111" t="str">
        <f>IF(H6439="","",IF($C$29="상세법",FPV(H6439,K6439),IF(H6439="EI",4,IF(H6439="EO",5.2,IF(H6439="EQ",3.9,IF(H6439="ILF",7.5,IF(H6439="EIF",5.4)))))))</f>
        <v/>
      </c>
      <c r="M6439" s="112" t="str">
        <f t="shared" si="103"/>
        <v/>
      </c>
      <c r="N6439" s="113"/>
    </row>
    <row r="6440" spans="2:14">
      <c r="B6440" s="105"/>
      <c r="C6440" s="106"/>
      <c r="D6440" s="107"/>
      <c r="E6440" s="65"/>
      <c r="F6440" s="64"/>
      <c r="G6440" s="64"/>
      <c r="H6440" s="64"/>
      <c r="I6440" s="70"/>
      <c r="J6440" s="70"/>
      <c r="K6440" s="110" t="str">
        <f>IF(H6440="","",IF($C$29="간이법","",FPR(H6440,I6440,J6440)))</f>
        <v/>
      </c>
      <c r="L6440" s="111" t="str">
        <f>IF(H6440="","",IF($C$29="상세법",FPV(H6440,K6440),IF(H6440="EI",4,IF(H6440="EO",5.2,IF(H6440="EQ",3.9,IF(H6440="ILF",7.5,IF(H6440="EIF",5.4)))))))</f>
        <v/>
      </c>
      <c r="M6440" s="112" t="str">
        <f t="shared" si="103"/>
        <v/>
      </c>
      <c r="N6440" s="113"/>
    </row>
    <row r="6441" spans="2:14">
      <c r="B6441" s="105"/>
      <c r="C6441" s="106"/>
      <c r="D6441" s="107"/>
      <c r="E6441" s="65"/>
      <c r="F6441" s="64"/>
      <c r="G6441" s="64"/>
      <c r="H6441" s="64"/>
      <c r="I6441" s="70"/>
      <c r="J6441" s="70"/>
      <c r="K6441" s="110" t="str">
        <f>IF(H6441="","",IF($C$29="간이법","",FPR(H6441,I6441,J6441)))</f>
        <v/>
      </c>
      <c r="L6441" s="111" t="str">
        <f>IF(H6441="","",IF($C$29="상세법",FPV(H6441,K6441),IF(H6441="EI",4,IF(H6441="EO",5.2,IF(H6441="EQ",3.9,IF(H6441="ILF",7.5,IF(H6441="EIF",5.4)))))))</f>
        <v/>
      </c>
      <c r="M6441" s="112" t="str">
        <f t="shared" si="103"/>
        <v/>
      </c>
      <c r="N6441" s="113"/>
    </row>
    <row r="6442" spans="2:14">
      <c r="B6442" s="105"/>
      <c r="C6442" s="106"/>
      <c r="D6442" s="107"/>
      <c r="E6442" s="65"/>
      <c r="F6442" s="64"/>
      <c r="G6442" s="64"/>
      <c r="H6442" s="64"/>
      <c r="I6442" s="70"/>
      <c r="J6442" s="70"/>
      <c r="K6442" s="110" t="str">
        <f>IF(H6442="","",IF($C$29="간이법","",FPR(H6442,I6442,J6442)))</f>
        <v/>
      </c>
      <c r="L6442" s="111" t="str">
        <f>IF(H6442="","",IF($C$29="상세법",FPV(H6442,K6442),IF(H6442="EI",4,IF(H6442="EO",5.2,IF(H6442="EQ",3.9,IF(H6442="ILF",7.5,IF(H6442="EIF",5.4)))))))</f>
        <v/>
      </c>
      <c r="M6442" s="112" t="str">
        <f t="shared" si="103"/>
        <v/>
      </c>
      <c r="N6442" s="113"/>
    </row>
    <row r="6443" spans="2:14">
      <c r="B6443" s="105"/>
      <c r="C6443" s="106"/>
      <c r="D6443" s="107"/>
      <c r="E6443" s="65"/>
      <c r="F6443" s="64"/>
      <c r="G6443" s="64"/>
      <c r="H6443" s="64"/>
      <c r="I6443" s="70"/>
      <c r="J6443" s="70"/>
      <c r="K6443" s="110" t="str">
        <f>IF(H6443="","",IF($C$29="간이법","",FPR(H6443,I6443,J6443)))</f>
        <v/>
      </c>
      <c r="L6443" s="111" t="str">
        <f>IF(H6443="","",IF($C$29="상세법",FPV(H6443,K6443),IF(H6443="EI",4,IF(H6443="EO",5.2,IF(H6443="EQ",3.9,IF(H6443="ILF",7.5,IF(H6443="EIF",5.4)))))))</f>
        <v/>
      </c>
      <c r="M6443" s="112" t="str">
        <f t="shared" si="103"/>
        <v/>
      </c>
      <c r="N6443" s="113"/>
    </row>
    <row r="6444" spans="2:14">
      <c r="B6444" s="105"/>
      <c r="C6444" s="106"/>
      <c r="D6444" s="107"/>
      <c r="E6444" s="65"/>
      <c r="F6444" s="64"/>
      <c r="G6444" s="64"/>
      <c r="H6444" s="64"/>
      <c r="I6444" s="70"/>
      <c r="J6444" s="70"/>
      <c r="K6444" s="110" t="str">
        <f>IF(H6444="","",IF($C$29="간이법","",FPR(H6444,I6444,J6444)))</f>
        <v/>
      </c>
      <c r="L6444" s="111" t="str">
        <f>IF(H6444="","",IF($C$29="상세법",FPV(H6444,K6444),IF(H6444="EI",4,IF(H6444="EO",5.2,IF(H6444="EQ",3.9,IF(H6444="ILF",7.5,IF(H6444="EIF",5.4)))))))</f>
        <v/>
      </c>
      <c r="M6444" s="112" t="str">
        <f t="shared" si="103"/>
        <v/>
      </c>
      <c r="N6444" s="113"/>
    </row>
    <row r="6445" spans="2:14">
      <c r="B6445" s="105"/>
      <c r="C6445" s="106"/>
      <c r="D6445" s="107"/>
      <c r="E6445" s="65"/>
      <c r="F6445" s="64"/>
      <c r="G6445" s="64"/>
      <c r="H6445" s="64"/>
      <c r="I6445" s="70"/>
      <c r="J6445" s="70"/>
      <c r="K6445" s="110" t="str">
        <f>IF(H6445="","",IF($C$29="간이법","",FPR(H6445,I6445,J6445)))</f>
        <v/>
      </c>
      <c r="L6445" s="111" t="str">
        <f>IF(H6445="","",IF($C$29="상세법",FPV(H6445,K6445),IF(H6445="EI",4,IF(H6445="EO",5.2,IF(H6445="EQ",3.9,IF(H6445="ILF",7.5,IF(H6445="EIF",5.4)))))))</f>
        <v/>
      </c>
      <c r="M6445" s="112" t="str">
        <f t="shared" si="103"/>
        <v/>
      </c>
      <c r="N6445" s="113"/>
    </row>
    <row r="6446" spans="2:14">
      <c r="B6446" s="105"/>
      <c r="C6446" s="106"/>
      <c r="D6446" s="107"/>
      <c r="E6446" s="65"/>
      <c r="F6446" s="64"/>
      <c r="G6446" s="64"/>
      <c r="H6446" s="64"/>
      <c r="I6446" s="70"/>
      <c r="J6446" s="70"/>
      <c r="K6446" s="110" t="str">
        <f>IF(H6446="","",IF($C$29="간이법","",FPR(H6446,I6446,J6446)))</f>
        <v/>
      </c>
      <c r="L6446" s="111" t="str">
        <f>IF(H6446="","",IF($C$29="상세법",FPV(H6446,K6446),IF(H6446="EI",4,IF(H6446="EO",5.2,IF(H6446="EQ",3.9,IF(H6446="ILF",7.5,IF(H6446="EIF",5.4)))))))</f>
        <v/>
      </c>
      <c r="M6446" s="112" t="str">
        <f t="shared" si="103"/>
        <v/>
      </c>
      <c r="N6446" s="113"/>
    </row>
    <row r="6447" spans="2:14">
      <c r="B6447" s="105"/>
      <c r="C6447" s="106"/>
      <c r="D6447" s="107"/>
      <c r="E6447" s="65"/>
      <c r="F6447" s="64"/>
      <c r="G6447" s="64"/>
      <c r="H6447" s="64"/>
      <c r="I6447" s="70"/>
      <c r="J6447" s="70"/>
      <c r="K6447" s="110" t="str">
        <f>IF(H6447="","",IF($C$29="간이법","",FPR(H6447,I6447,J6447)))</f>
        <v/>
      </c>
      <c r="L6447" s="111" t="str">
        <f>IF(H6447="","",IF($C$29="상세법",FPV(H6447,K6447),IF(H6447="EI",4,IF(H6447="EO",5.2,IF(H6447="EQ",3.9,IF(H6447="ILF",7.5,IF(H6447="EIF",5.4)))))))</f>
        <v/>
      </c>
      <c r="M6447" s="112" t="str">
        <f t="shared" si="103"/>
        <v/>
      </c>
      <c r="N6447" s="113"/>
    </row>
    <row r="6448" spans="2:14">
      <c r="B6448" s="105"/>
      <c r="C6448" s="106"/>
      <c r="D6448" s="107"/>
      <c r="E6448" s="65"/>
      <c r="F6448" s="64"/>
      <c r="G6448" s="64"/>
      <c r="H6448" s="64"/>
      <c r="I6448" s="70"/>
      <c r="J6448" s="70"/>
      <c r="K6448" s="110" t="str">
        <f>IF(H6448="","",IF($C$29="간이법","",FPR(H6448,I6448,J6448)))</f>
        <v/>
      </c>
      <c r="L6448" s="111" t="str">
        <f>IF(H6448="","",IF($C$29="상세법",FPV(H6448,K6448),IF(H6448="EI",4,IF(H6448="EO",5.2,IF(H6448="EQ",3.9,IF(H6448="ILF",7.5,IF(H6448="EIF",5.4)))))))</f>
        <v/>
      </c>
      <c r="M6448" s="112" t="str">
        <f t="shared" si="103"/>
        <v/>
      </c>
      <c r="N6448" s="113"/>
    </row>
    <row r="6449" spans="2:14">
      <c r="B6449" s="105"/>
      <c r="C6449" s="106"/>
      <c r="D6449" s="107"/>
      <c r="E6449" s="65"/>
      <c r="F6449" s="64"/>
      <c r="G6449" s="64"/>
      <c r="H6449" s="64"/>
      <c r="I6449" s="70"/>
      <c r="J6449" s="70"/>
      <c r="K6449" s="110" t="str">
        <f>IF(H6449="","",IF($C$29="간이법","",FPR(H6449,I6449,J6449)))</f>
        <v/>
      </c>
      <c r="L6449" s="111" t="str">
        <f>IF(H6449="","",IF($C$29="상세법",FPV(H6449,K6449),IF(H6449="EI",4,IF(H6449="EO",5.2,IF(H6449="EQ",3.9,IF(H6449="ILF",7.5,IF(H6449="EIF",5.4)))))))</f>
        <v/>
      </c>
      <c r="M6449" s="112" t="str">
        <f t="shared" si="103"/>
        <v/>
      </c>
      <c r="N6449" s="113"/>
    </row>
    <row r="6450" spans="2:14">
      <c r="B6450" s="105"/>
      <c r="C6450" s="106"/>
      <c r="D6450" s="107"/>
      <c r="E6450" s="65"/>
      <c r="F6450" s="64"/>
      <c r="G6450" s="64"/>
      <c r="H6450" s="64"/>
      <c r="I6450" s="70"/>
      <c r="J6450" s="70"/>
      <c r="K6450" s="110" t="str">
        <f>IF(H6450="","",IF($C$29="간이법","",FPR(H6450,I6450,J6450)))</f>
        <v/>
      </c>
      <c r="L6450" s="111" t="str">
        <f>IF(H6450="","",IF($C$29="상세법",FPV(H6450,K6450),IF(H6450="EI",4,IF(H6450="EO",5.2,IF(H6450="EQ",3.9,IF(H6450="ILF",7.5,IF(H6450="EIF",5.4)))))))</f>
        <v/>
      </c>
      <c r="M6450" s="112" t="str">
        <f t="shared" si="103"/>
        <v/>
      </c>
      <c r="N6450" s="113"/>
    </row>
    <row r="6451" spans="2:14">
      <c r="B6451" s="105"/>
      <c r="C6451" s="106"/>
      <c r="D6451" s="107"/>
      <c r="E6451" s="65"/>
      <c r="F6451" s="64"/>
      <c r="G6451" s="64"/>
      <c r="H6451" s="64"/>
      <c r="I6451" s="70"/>
      <c r="J6451" s="70"/>
      <c r="K6451" s="110" t="str">
        <f>IF(H6451="","",IF($C$29="간이법","",FPR(H6451,I6451,J6451)))</f>
        <v/>
      </c>
      <c r="L6451" s="111" t="str">
        <f>IF(H6451="","",IF($C$29="상세법",FPV(H6451,K6451),IF(H6451="EI",4,IF(H6451="EO",5.2,IF(H6451="EQ",3.9,IF(H6451="ILF",7.5,IF(H6451="EIF",5.4)))))))</f>
        <v/>
      </c>
      <c r="M6451" s="112" t="str">
        <f t="shared" si="103"/>
        <v/>
      </c>
      <c r="N6451" s="113"/>
    </row>
    <row r="6452" spans="2:14">
      <c r="B6452" s="105"/>
      <c r="C6452" s="106"/>
      <c r="D6452" s="107"/>
      <c r="E6452" s="65"/>
      <c r="F6452" s="64"/>
      <c r="G6452" s="64"/>
      <c r="H6452" s="64"/>
      <c r="I6452" s="70"/>
      <c r="J6452" s="70"/>
      <c r="K6452" s="110" t="str">
        <f>IF(H6452="","",IF($C$29="간이법","",FPR(H6452,I6452,J6452)))</f>
        <v/>
      </c>
      <c r="L6452" s="111" t="str">
        <f>IF(H6452="","",IF($C$29="상세법",FPV(H6452,K6452),IF(H6452="EI",4,IF(H6452="EO",5.2,IF(H6452="EQ",3.9,IF(H6452="ILF",7.5,IF(H6452="EIF",5.4)))))))</f>
        <v/>
      </c>
      <c r="M6452" s="112" t="str">
        <f t="shared" si="103"/>
        <v/>
      </c>
      <c r="N6452" s="113"/>
    </row>
    <row r="6453" spans="2:14">
      <c r="B6453" s="105"/>
      <c r="C6453" s="106"/>
      <c r="D6453" s="107"/>
      <c r="E6453" s="65"/>
      <c r="F6453" s="64"/>
      <c r="G6453" s="64"/>
      <c r="H6453" s="64"/>
      <c r="I6453" s="70"/>
      <c r="J6453" s="70"/>
      <c r="K6453" s="110" t="str">
        <f>IF(H6453="","",IF($C$29="간이법","",FPR(H6453,I6453,J6453)))</f>
        <v/>
      </c>
      <c r="L6453" s="111" t="str">
        <f>IF(H6453="","",IF($C$29="상세법",FPV(H6453,K6453),IF(H6453="EI",4,IF(H6453="EO",5.2,IF(H6453="EQ",3.9,IF(H6453="ILF",7.5,IF(H6453="EIF",5.4)))))))</f>
        <v/>
      </c>
      <c r="M6453" s="112" t="str">
        <f t="shared" si="103"/>
        <v/>
      </c>
      <c r="N6453" s="113"/>
    </row>
    <row r="6454" spans="2:14">
      <c r="B6454" s="105"/>
      <c r="C6454" s="106"/>
      <c r="D6454" s="107"/>
      <c r="E6454" s="65"/>
      <c r="F6454" s="64"/>
      <c r="G6454" s="64"/>
      <c r="H6454" s="64"/>
      <c r="I6454" s="70"/>
      <c r="J6454" s="70"/>
      <c r="K6454" s="110" t="str">
        <f>IF(H6454="","",IF($C$29="간이법","",FPR(H6454,I6454,J6454)))</f>
        <v/>
      </c>
      <c r="L6454" s="111" t="str">
        <f>IF(H6454="","",IF($C$29="상세법",FPV(H6454,K6454),IF(H6454="EI",4,IF(H6454="EO",5.2,IF(H6454="EQ",3.9,IF(H6454="ILF",7.5,IF(H6454="EIF",5.4)))))))</f>
        <v/>
      </c>
      <c r="M6454" s="112" t="str">
        <f t="shared" si="103"/>
        <v/>
      </c>
      <c r="N6454" s="113"/>
    </row>
    <row r="6455" spans="2:14">
      <c r="B6455" s="105"/>
      <c r="C6455" s="106"/>
      <c r="D6455" s="107"/>
      <c r="E6455" s="65"/>
      <c r="F6455" s="64"/>
      <c r="G6455" s="64"/>
      <c r="H6455" s="64"/>
      <c r="I6455" s="70"/>
      <c r="J6455" s="70"/>
      <c r="K6455" s="110" t="str">
        <f>IF(H6455="","",IF($C$29="간이법","",FPR(H6455,I6455,J6455)))</f>
        <v/>
      </c>
      <c r="L6455" s="111" t="str">
        <f>IF(H6455="","",IF($C$29="상세법",FPV(H6455,K6455),IF(H6455="EI",4,IF(H6455="EO",5.2,IF(H6455="EQ",3.9,IF(H6455="ILF",7.5,IF(H6455="EIF",5.4)))))))</f>
        <v/>
      </c>
      <c r="M6455" s="112" t="str">
        <f t="shared" si="103"/>
        <v/>
      </c>
      <c r="N6455" s="113"/>
    </row>
    <row r="6456" spans="2:14">
      <c r="B6456" s="105"/>
      <c r="C6456" s="106"/>
      <c r="D6456" s="107"/>
      <c r="E6456" s="65"/>
      <c r="F6456" s="64"/>
      <c r="G6456" s="64"/>
      <c r="H6456" s="64"/>
      <c r="I6456" s="70"/>
      <c r="J6456" s="70"/>
      <c r="K6456" s="110" t="str">
        <f>IF(H6456="","",IF($C$29="간이법","",FPR(H6456,I6456,J6456)))</f>
        <v/>
      </c>
      <c r="L6456" s="111" t="str">
        <f>IF(H6456="","",IF($C$29="상세법",FPV(H6456,K6456),IF(H6456="EI",4,IF(H6456="EO",5.2,IF(H6456="EQ",3.9,IF(H6456="ILF",7.5,IF(H6456="EIF",5.4)))))))</f>
        <v/>
      </c>
      <c r="M6456" s="112" t="str">
        <f t="shared" si="103"/>
        <v/>
      </c>
      <c r="N6456" s="113"/>
    </row>
    <row r="6457" spans="2:14">
      <c r="B6457" s="105"/>
      <c r="C6457" s="106"/>
      <c r="D6457" s="107"/>
      <c r="E6457" s="65"/>
      <c r="F6457" s="64"/>
      <c r="G6457" s="64"/>
      <c r="H6457" s="64"/>
      <c r="I6457" s="70"/>
      <c r="J6457" s="70"/>
      <c r="K6457" s="110" t="str">
        <f>IF(H6457="","",IF($C$29="간이법","",FPR(H6457,I6457,J6457)))</f>
        <v/>
      </c>
      <c r="L6457" s="111" t="str">
        <f>IF(H6457="","",IF($C$29="상세법",FPV(H6457,K6457),IF(H6457="EI",4,IF(H6457="EO",5.2,IF(H6457="EQ",3.9,IF(H6457="ILF",7.5,IF(H6457="EIF",5.4)))))))</f>
        <v/>
      </c>
      <c r="M6457" s="112" t="str">
        <f t="shared" ref="M6457:M6520" si="104">IF(L6457="","",L6457*IF(G6457="상",0.7,IF(G6457="중",0.5,IF(G6457="하",0.2,1))))</f>
        <v/>
      </c>
      <c r="N6457" s="113"/>
    </row>
    <row r="6458" spans="2:14">
      <c r="B6458" s="105"/>
      <c r="C6458" s="106"/>
      <c r="D6458" s="107"/>
      <c r="E6458" s="65"/>
      <c r="F6458" s="64"/>
      <c r="G6458" s="64"/>
      <c r="H6458" s="64"/>
      <c r="I6458" s="70"/>
      <c r="J6458" s="70"/>
      <c r="K6458" s="110" t="str">
        <f>IF(H6458="","",IF($C$29="간이법","",FPR(H6458,I6458,J6458)))</f>
        <v/>
      </c>
      <c r="L6458" s="111" t="str">
        <f>IF(H6458="","",IF($C$29="상세법",FPV(H6458,K6458),IF(H6458="EI",4,IF(H6458="EO",5.2,IF(H6458="EQ",3.9,IF(H6458="ILF",7.5,IF(H6458="EIF",5.4)))))))</f>
        <v/>
      </c>
      <c r="M6458" s="112" t="str">
        <f t="shared" si="104"/>
        <v/>
      </c>
      <c r="N6458" s="113"/>
    </row>
    <row r="6459" spans="2:14">
      <c r="B6459" s="105"/>
      <c r="C6459" s="106"/>
      <c r="D6459" s="107"/>
      <c r="E6459" s="65"/>
      <c r="F6459" s="64"/>
      <c r="G6459" s="64"/>
      <c r="H6459" s="64"/>
      <c r="I6459" s="70"/>
      <c r="J6459" s="70"/>
      <c r="K6459" s="110" t="str">
        <f>IF(H6459="","",IF($C$29="간이법","",FPR(H6459,I6459,J6459)))</f>
        <v/>
      </c>
      <c r="L6459" s="111" t="str">
        <f>IF(H6459="","",IF($C$29="상세법",FPV(H6459,K6459),IF(H6459="EI",4,IF(H6459="EO",5.2,IF(H6459="EQ",3.9,IF(H6459="ILF",7.5,IF(H6459="EIF",5.4)))))))</f>
        <v/>
      </c>
      <c r="M6459" s="112" t="str">
        <f t="shared" si="104"/>
        <v/>
      </c>
      <c r="N6459" s="113"/>
    </row>
    <row r="6460" spans="2:14">
      <c r="B6460" s="105"/>
      <c r="C6460" s="106"/>
      <c r="D6460" s="107"/>
      <c r="E6460" s="65"/>
      <c r="F6460" s="64"/>
      <c r="G6460" s="64"/>
      <c r="H6460" s="64"/>
      <c r="I6460" s="70"/>
      <c r="J6460" s="70"/>
      <c r="K6460" s="110" t="str">
        <f>IF(H6460="","",IF($C$29="간이법","",FPR(H6460,I6460,J6460)))</f>
        <v/>
      </c>
      <c r="L6460" s="111" t="str">
        <f>IF(H6460="","",IF($C$29="상세법",FPV(H6460,K6460),IF(H6460="EI",4,IF(H6460="EO",5.2,IF(H6460="EQ",3.9,IF(H6460="ILF",7.5,IF(H6460="EIF",5.4)))))))</f>
        <v/>
      </c>
      <c r="M6460" s="112" t="str">
        <f t="shared" si="104"/>
        <v/>
      </c>
      <c r="N6460" s="113"/>
    </row>
    <row r="6461" spans="2:14">
      <c r="B6461" s="105"/>
      <c r="C6461" s="106"/>
      <c r="D6461" s="107"/>
      <c r="E6461" s="65"/>
      <c r="F6461" s="64"/>
      <c r="G6461" s="64"/>
      <c r="H6461" s="64"/>
      <c r="I6461" s="70"/>
      <c r="J6461" s="70"/>
      <c r="K6461" s="110" t="str">
        <f>IF(H6461="","",IF($C$29="간이법","",FPR(H6461,I6461,J6461)))</f>
        <v/>
      </c>
      <c r="L6461" s="111" t="str">
        <f>IF(H6461="","",IF($C$29="상세법",FPV(H6461,K6461),IF(H6461="EI",4,IF(H6461="EO",5.2,IF(H6461="EQ",3.9,IF(H6461="ILF",7.5,IF(H6461="EIF",5.4)))))))</f>
        <v/>
      </c>
      <c r="M6461" s="112" t="str">
        <f t="shared" si="104"/>
        <v/>
      </c>
      <c r="N6461" s="113"/>
    </row>
    <row r="6462" spans="2:14">
      <c r="B6462" s="105"/>
      <c r="C6462" s="106"/>
      <c r="D6462" s="107"/>
      <c r="E6462" s="65"/>
      <c r="F6462" s="64"/>
      <c r="G6462" s="64"/>
      <c r="H6462" s="64"/>
      <c r="I6462" s="70"/>
      <c r="J6462" s="70"/>
      <c r="K6462" s="110" t="str">
        <f>IF(H6462="","",IF($C$29="간이법","",FPR(H6462,I6462,J6462)))</f>
        <v/>
      </c>
      <c r="L6462" s="111" t="str">
        <f>IF(H6462="","",IF($C$29="상세법",FPV(H6462,K6462),IF(H6462="EI",4,IF(H6462="EO",5.2,IF(H6462="EQ",3.9,IF(H6462="ILF",7.5,IF(H6462="EIF",5.4)))))))</f>
        <v/>
      </c>
      <c r="M6462" s="112" t="str">
        <f t="shared" si="104"/>
        <v/>
      </c>
      <c r="N6462" s="113"/>
    </row>
    <row r="6463" spans="2:14">
      <c r="B6463" s="105"/>
      <c r="C6463" s="106"/>
      <c r="D6463" s="107"/>
      <c r="E6463" s="65"/>
      <c r="F6463" s="64"/>
      <c r="G6463" s="64"/>
      <c r="H6463" s="64"/>
      <c r="I6463" s="70"/>
      <c r="J6463" s="70"/>
      <c r="K6463" s="110" t="str">
        <f>IF(H6463="","",IF($C$29="간이법","",FPR(H6463,I6463,J6463)))</f>
        <v/>
      </c>
      <c r="L6463" s="111" t="str">
        <f>IF(H6463="","",IF($C$29="상세법",FPV(H6463,K6463),IF(H6463="EI",4,IF(H6463="EO",5.2,IF(H6463="EQ",3.9,IF(H6463="ILF",7.5,IF(H6463="EIF",5.4)))))))</f>
        <v/>
      </c>
      <c r="M6463" s="112" t="str">
        <f t="shared" si="104"/>
        <v/>
      </c>
      <c r="N6463" s="113"/>
    </row>
    <row r="6464" spans="2:14">
      <c r="B6464" s="105"/>
      <c r="C6464" s="106"/>
      <c r="D6464" s="107"/>
      <c r="E6464" s="65"/>
      <c r="F6464" s="64"/>
      <c r="G6464" s="64"/>
      <c r="H6464" s="64"/>
      <c r="I6464" s="70"/>
      <c r="J6464" s="70"/>
      <c r="K6464" s="110" t="str">
        <f>IF(H6464="","",IF($C$29="간이법","",FPR(H6464,I6464,J6464)))</f>
        <v/>
      </c>
      <c r="L6464" s="111" t="str">
        <f>IF(H6464="","",IF($C$29="상세법",FPV(H6464,K6464),IF(H6464="EI",4,IF(H6464="EO",5.2,IF(H6464="EQ",3.9,IF(H6464="ILF",7.5,IF(H6464="EIF",5.4)))))))</f>
        <v/>
      </c>
      <c r="M6464" s="112" t="str">
        <f t="shared" si="104"/>
        <v/>
      </c>
      <c r="N6464" s="113"/>
    </row>
    <row r="6465" spans="2:14">
      <c r="B6465" s="105"/>
      <c r="C6465" s="106"/>
      <c r="D6465" s="107"/>
      <c r="E6465" s="65"/>
      <c r="F6465" s="64"/>
      <c r="G6465" s="64"/>
      <c r="H6465" s="64"/>
      <c r="I6465" s="70"/>
      <c r="J6465" s="70"/>
      <c r="K6465" s="110" t="str">
        <f>IF(H6465="","",IF($C$29="간이법","",FPR(H6465,I6465,J6465)))</f>
        <v/>
      </c>
      <c r="L6465" s="111" t="str">
        <f>IF(H6465="","",IF($C$29="상세법",FPV(H6465,K6465),IF(H6465="EI",4,IF(H6465="EO",5.2,IF(H6465="EQ",3.9,IF(H6465="ILF",7.5,IF(H6465="EIF",5.4)))))))</f>
        <v/>
      </c>
      <c r="M6465" s="112" t="str">
        <f t="shared" si="104"/>
        <v/>
      </c>
      <c r="N6465" s="113"/>
    </row>
    <row r="6466" spans="2:14">
      <c r="B6466" s="105"/>
      <c r="C6466" s="106"/>
      <c r="D6466" s="107"/>
      <c r="E6466" s="65"/>
      <c r="F6466" s="64"/>
      <c r="G6466" s="64"/>
      <c r="H6466" s="64"/>
      <c r="I6466" s="70"/>
      <c r="J6466" s="70"/>
      <c r="K6466" s="110" t="str">
        <f>IF(H6466="","",IF($C$29="간이법","",FPR(H6466,I6466,J6466)))</f>
        <v/>
      </c>
      <c r="L6466" s="111" t="str">
        <f>IF(H6466="","",IF($C$29="상세법",FPV(H6466,K6466),IF(H6466="EI",4,IF(H6466="EO",5.2,IF(H6466="EQ",3.9,IF(H6466="ILF",7.5,IF(H6466="EIF",5.4)))))))</f>
        <v/>
      </c>
      <c r="M6466" s="112" t="str">
        <f t="shared" si="104"/>
        <v/>
      </c>
      <c r="N6466" s="113"/>
    </row>
    <row r="6467" spans="2:14">
      <c r="B6467" s="105"/>
      <c r="C6467" s="106"/>
      <c r="D6467" s="107"/>
      <c r="E6467" s="65"/>
      <c r="F6467" s="64"/>
      <c r="G6467" s="64"/>
      <c r="H6467" s="64"/>
      <c r="I6467" s="70"/>
      <c r="J6467" s="70"/>
      <c r="K6467" s="110" t="str">
        <f>IF(H6467="","",IF($C$29="간이법","",FPR(H6467,I6467,J6467)))</f>
        <v/>
      </c>
      <c r="L6467" s="111" t="str">
        <f>IF(H6467="","",IF($C$29="상세법",FPV(H6467,K6467),IF(H6467="EI",4,IF(H6467="EO",5.2,IF(H6467="EQ",3.9,IF(H6467="ILF",7.5,IF(H6467="EIF",5.4)))))))</f>
        <v/>
      </c>
      <c r="M6467" s="112" t="str">
        <f t="shared" si="104"/>
        <v/>
      </c>
      <c r="N6467" s="113"/>
    </row>
    <row r="6468" spans="2:14">
      <c r="B6468" s="105"/>
      <c r="C6468" s="106"/>
      <c r="D6468" s="107"/>
      <c r="E6468" s="65"/>
      <c r="F6468" s="64"/>
      <c r="G6468" s="64"/>
      <c r="H6468" s="64"/>
      <c r="I6468" s="70"/>
      <c r="J6468" s="70"/>
      <c r="K6468" s="110" t="str">
        <f>IF(H6468="","",IF($C$29="간이법","",FPR(H6468,I6468,J6468)))</f>
        <v/>
      </c>
      <c r="L6468" s="111" t="str">
        <f>IF(H6468="","",IF($C$29="상세법",FPV(H6468,K6468),IF(H6468="EI",4,IF(H6468="EO",5.2,IF(H6468="EQ",3.9,IF(H6468="ILF",7.5,IF(H6468="EIF",5.4)))))))</f>
        <v/>
      </c>
      <c r="M6468" s="112" t="str">
        <f t="shared" si="104"/>
        <v/>
      </c>
      <c r="N6468" s="113"/>
    </row>
    <row r="6469" spans="2:14">
      <c r="B6469" s="105"/>
      <c r="C6469" s="106"/>
      <c r="D6469" s="107"/>
      <c r="E6469" s="65"/>
      <c r="F6469" s="64"/>
      <c r="G6469" s="64"/>
      <c r="H6469" s="64"/>
      <c r="I6469" s="70"/>
      <c r="J6469" s="70"/>
      <c r="K6469" s="110" t="str">
        <f>IF(H6469="","",IF($C$29="간이법","",FPR(H6469,I6469,J6469)))</f>
        <v/>
      </c>
      <c r="L6469" s="111" t="str">
        <f>IF(H6469="","",IF($C$29="상세법",FPV(H6469,K6469),IF(H6469="EI",4,IF(H6469="EO",5.2,IF(H6469="EQ",3.9,IF(H6469="ILF",7.5,IF(H6469="EIF",5.4)))))))</f>
        <v/>
      </c>
      <c r="M6469" s="112" t="str">
        <f t="shared" si="104"/>
        <v/>
      </c>
      <c r="N6469" s="113"/>
    </row>
    <row r="6470" spans="2:14">
      <c r="B6470" s="105"/>
      <c r="C6470" s="106"/>
      <c r="D6470" s="107"/>
      <c r="E6470" s="65"/>
      <c r="F6470" s="64"/>
      <c r="G6470" s="64"/>
      <c r="H6470" s="64"/>
      <c r="I6470" s="70"/>
      <c r="J6470" s="70"/>
      <c r="K6470" s="110" t="str">
        <f>IF(H6470="","",IF($C$29="간이법","",FPR(H6470,I6470,J6470)))</f>
        <v/>
      </c>
      <c r="L6470" s="111" t="str">
        <f>IF(H6470="","",IF($C$29="상세법",FPV(H6470,K6470),IF(H6470="EI",4,IF(H6470="EO",5.2,IF(H6470="EQ",3.9,IF(H6470="ILF",7.5,IF(H6470="EIF",5.4)))))))</f>
        <v/>
      </c>
      <c r="M6470" s="112" t="str">
        <f t="shared" si="104"/>
        <v/>
      </c>
      <c r="N6470" s="113"/>
    </row>
    <row r="6471" spans="2:14">
      <c r="B6471" s="105"/>
      <c r="C6471" s="106"/>
      <c r="D6471" s="107"/>
      <c r="E6471" s="65"/>
      <c r="F6471" s="64"/>
      <c r="G6471" s="64"/>
      <c r="H6471" s="64"/>
      <c r="I6471" s="70"/>
      <c r="J6471" s="70"/>
      <c r="K6471" s="110" t="str">
        <f>IF(H6471="","",IF($C$29="간이법","",FPR(H6471,I6471,J6471)))</f>
        <v/>
      </c>
      <c r="L6471" s="111" t="str">
        <f>IF(H6471="","",IF($C$29="상세법",FPV(H6471,K6471),IF(H6471="EI",4,IF(H6471="EO",5.2,IF(H6471="EQ",3.9,IF(H6471="ILF",7.5,IF(H6471="EIF",5.4)))))))</f>
        <v/>
      </c>
      <c r="M6471" s="112" t="str">
        <f t="shared" si="104"/>
        <v/>
      </c>
      <c r="N6471" s="113"/>
    </row>
    <row r="6472" spans="2:14">
      <c r="B6472" s="105"/>
      <c r="C6472" s="106"/>
      <c r="D6472" s="107"/>
      <c r="E6472" s="65"/>
      <c r="F6472" s="64"/>
      <c r="G6472" s="64"/>
      <c r="H6472" s="64"/>
      <c r="I6472" s="70"/>
      <c r="J6472" s="70"/>
      <c r="K6472" s="110" t="str">
        <f>IF(H6472="","",IF($C$29="간이법","",FPR(H6472,I6472,J6472)))</f>
        <v/>
      </c>
      <c r="L6472" s="111" t="str">
        <f>IF(H6472="","",IF($C$29="상세법",FPV(H6472,K6472),IF(H6472="EI",4,IF(H6472="EO",5.2,IF(H6472="EQ",3.9,IF(H6472="ILF",7.5,IF(H6472="EIF",5.4)))))))</f>
        <v/>
      </c>
      <c r="M6472" s="112" t="str">
        <f t="shared" si="104"/>
        <v/>
      </c>
      <c r="N6472" s="113"/>
    </row>
    <row r="6473" spans="2:14">
      <c r="B6473" s="105"/>
      <c r="C6473" s="106"/>
      <c r="D6473" s="107"/>
      <c r="E6473" s="65"/>
      <c r="F6473" s="64"/>
      <c r="G6473" s="64"/>
      <c r="H6473" s="64"/>
      <c r="I6473" s="70"/>
      <c r="J6473" s="70"/>
      <c r="K6473" s="110" t="str">
        <f>IF(H6473="","",IF($C$29="간이법","",FPR(H6473,I6473,J6473)))</f>
        <v/>
      </c>
      <c r="L6473" s="111" t="str">
        <f>IF(H6473="","",IF($C$29="상세법",FPV(H6473,K6473),IF(H6473="EI",4,IF(H6473="EO",5.2,IF(H6473="EQ",3.9,IF(H6473="ILF",7.5,IF(H6473="EIF",5.4)))))))</f>
        <v/>
      </c>
      <c r="M6473" s="112" t="str">
        <f t="shared" si="104"/>
        <v/>
      </c>
      <c r="N6473" s="113"/>
    </row>
    <row r="6474" spans="2:14">
      <c r="B6474" s="105"/>
      <c r="C6474" s="106"/>
      <c r="D6474" s="107"/>
      <c r="E6474" s="65"/>
      <c r="F6474" s="64"/>
      <c r="G6474" s="64"/>
      <c r="H6474" s="64"/>
      <c r="I6474" s="70"/>
      <c r="J6474" s="70"/>
      <c r="K6474" s="110" t="str">
        <f>IF(H6474="","",IF($C$29="간이법","",FPR(H6474,I6474,J6474)))</f>
        <v/>
      </c>
      <c r="L6474" s="111" t="str">
        <f>IF(H6474="","",IF($C$29="상세법",FPV(H6474,K6474),IF(H6474="EI",4,IF(H6474="EO",5.2,IF(H6474="EQ",3.9,IF(H6474="ILF",7.5,IF(H6474="EIF",5.4)))))))</f>
        <v/>
      </c>
      <c r="M6474" s="112" t="str">
        <f t="shared" si="104"/>
        <v/>
      </c>
      <c r="N6474" s="113"/>
    </row>
    <row r="6475" spans="2:14">
      <c r="B6475" s="105"/>
      <c r="C6475" s="106"/>
      <c r="D6475" s="107"/>
      <c r="E6475" s="65"/>
      <c r="F6475" s="64"/>
      <c r="G6475" s="64"/>
      <c r="H6475" s="64"/>
      <c r="I6475" s="70"/>
      <c r="J6475" s="70"/>
      <c r="K6475" s="110" t="str">
        <f>IF(H6475="","",IF($C$29="간이법","",FPR(H6475,I6475,J6475)))</f>
        <v/>
      </c>
      <c r="L6475" s="111" t="str">
        <f>IF(H6475="","",IF($C$29="상세법",FPV(H6475,K6475),IF(H6475="EI",4,IF(H6475="EO",5.2,IF(H6475="EQ",3.9,IF(H6475="ILF",7.5,IF(H6475="EIF",5.4)))))))</f>
        <v/>
      </c>
      <c r="M6475" s="112" t="str">
        <f t="shared" si="104"/>
        <v/>
      </c>
      <c r="N6475" s="113"/>
    </row>
    <row r="6476" spans="2:14">
      <c r="B6476" s="105"/>
      <c r="C6476" s="106"/>
      <c r="D6476" s="107"/>
      <c r="E6476" s="65"/>
      <c r="F6476" s="64"/>
      <c r="G6476" s="64"/>
      <c r="H6476" s="64"/>
      <c r="I6476" s="70"/>
      <c r="J6476" s="70"/>
      <c r="K6476" s="110" t="str">
        <f>IF(H6476="","",IF($C$29="간이법","",FPR(H6476,I6476,J6476)))</f>
        <v/>
      </c>
      <c r="L6476" s="111" t="str">
        <f>IF(H6476="","",IF($C$29="상세법",FPV(H6476,K6476),IF(H6476="EI",4,IF(H6476="EO",5.2,IF(H6476="EQ",3.9,IF(H6476="ILF",7.5,IF(H6476="EIF",5.4)))))))</f>
        <v/>
      </c>
      <c r="M6476" s="112" t="str">
        <f t="shared" si="104"/>
        <v/>
      </c>
      <c r="N6476" s="113"/>
    </row>
    <row r="6477" spans="2:14">
      <c r="B6477" s="105"/>
      <c r="C6477" s="106"/>
      <c r="D6477" s="107"/>
      <c r="E6477" s="65"/>
      <c r="F6477" s="64"/>
      <c r="G6477" s="64"/>
      <c r="H6477" s="64"/>
      <c r="I6477" s="70"/>
      <c r="J6477" s="70"/>
      <c r="K6477" s="110" t="str">
        <f>IF(H6477="","",IF($C$29="간이법","",FPR(H6477,I6477,J6477)))</f>
        <v/>
      </c>
      <c r="L6477" s="111" t="str">
        <f>IF(H6477="","",IF($C$29="상세법",FPV(H6477,K6477),IF(H6477="EI",4,IF(H6477="EO",5.2,IF(H6477="EQ",3.9,IF(H6477="ILF",7.5,IF(H6477="EIF",5.4)))))))</f>
        <v/>
      </c>
      <c r="M6477" s="112" t="str">
        <f t="shared" si="104"/>
        <v/>
      </c>
      <c r="N6477" s="113"/>
    </row>
    <row r="6478" spans="2:14">
      <c r="B6478" s="105"/>
      <c r="C6478" s="106"/>
      <c r="D6478" s="107"/>
      <c r="E6478" s="65"/>
      <c r="F6478" s="64"/>
      <c r="G6478" s="64"/>
      <c r="H6478" s="64"/>
      <c r="I6478" s="70"/>
      <c r="J6478" s="70"/>
      <c r="K6478" s="110" t="str">
        <f>IF(H6478="","",IF($C$29="간이법","",FPR(H6478,I6478,J6478)))</f>
        <v/>
      </c>
      <c r="L6478" s="111" t="str">
        <f>IF(H6478="","",IF($C$29="상세법",FPV(H6478,K6478),IF(H6478="EI",4,IF(H6478="EO",5.2,IF(H6478="EQ",3.9,IF(H6478="ILF",7.5,IF(H6478="EIF",5.4)))))))</f>
        <v/>
      </c>
      <c r="M6478" s="112" t="str">
        <f t="shared" si="104"/>
        <v/>
      </c>
      <c r="N6478" s="113"/>
    </row>
    <row r="6479" spans="2:14">
      <c r="B6479" s="105"/>
      <c r="C6479" s="106"/>
      <c r="D6479" s="107"/>
      <c r="E6479" s="65"/>
      <c r="F6479" s="64"/>
      <c r="G6479" s="64"/>
      <c r="H6479" s="64"/>
      <c r="I6479" s="70"/>
      <c r="J6479" s="70"/>
      <c r="K6479" s="110" t="str">
        <f>IF(H6479="","",IF($C$29="간이법","",FPR(H6479,I6479,J6479)))</f>
        <v/>
      </c>
      <c r="L6479" s="111" t="str">
        <f>IF(H6479="","",IF($C$29="상세법",FPV(H6479,K6479),IF(H6479="EI",4,IF(H6479="EO",5.2,IF(H6479="EQ",3.9,IF(H6479="ILF",7.5,IF(H6479="EIF",5.4)))))))</f>
        <v/>
      </c>
      <c r="M6479" s="112" t="str">
        <f t="shared" si="104"/>
        <v/>
      </c>
      <c r="N6479" s="113"/>
    </row>
    <row r="6480" spans="2:14">
      <c r="B6480" s="105"/>
      <c r="C6480" s="106"/>
      <c r="D6480" s="107"/>
      <c r="E6480" s="65"/>
      <c r="F6480" s="64"/>
      <c r="G6480" s="64"/>
      <c r="H6480" s="64"/>
      <c r="I6480" s="70"/>
      <c r="J6480" s="70"/>
      <c r="K6480" s="110" t="str">
        <f>IF(H6480="","",IF($C$29="간이법","",FPR(H6480,I6480,J6480)))</f>
        <v/>
      </c>
      <c r="L6480" s="111" t="str">
        <f>IF(H6480="","",IF($C$29="상세법",FPV(H6480,K6480),IF(H6480="EI",4,IF(H6480="EO",5.2,IF(H6480="EQ",3.9,IF(H6480="ILF",7.5,IF(H6480="EIF",5.4)))))))</f>
        <v/>
      </c>
      <c r="M6480" s="112" t="str">
        <f t="shared" si="104"/>
        <v/>
      </c>
      <c r="N6480" s="113"/>
    </row>
    <row r="6481" spans="2:14">
      <c r="B6481" s="105"/>
      <c r="C6481" s="106"/>
      <c r="D6481" s="107"/>
      <c r="E6481" s="65"/>
      <c r="F6481" s="64"/>
      <c r="G6481" s="64"/>
      <c r="H6481" s="64"/>
      <c r="I6481" s="70"/>
      <c r="J6481" s="70"/>
      <c r="K6481" s="110" t="str">
        <f>IF(H6481="","",IF($C$29="간이법","",FPR(H6481,I6481,J6481)))</f>
        <v/>
      </c>
      <c r="L6481" s="111" t="str">
        <f>IF(H6481="","",IF($C$29="상세법",FPV(H6481,K6481),IF(H6481="EI",4,IF(H6481="EO",5.2,IF(H6481="EQ",3.9,IF(H6481="ILF",7.5,IF(H6481="EIF",5.4)))))))</f>
        <v/>
      </c>
      <c r="M6481" s="112" t="str">
        <f t="shared" si="104"/>
        <v/>
      </c>
      <c r="N6481" s="113"/>
    </row>
    <row r="6482" spans="2:14">
      <c r="B6482" s="105"/>
      <c r="C6482" s="106"/>
      <c r="D6482" s="107"/>
      <c r="E6482" s="65"/>
      <c r="F6482" s="64"/>
      <c r="G6482" s="64"/>
      <c r="H6482" s="64"/>
      <c r="I6482" s="70"/>
      <c r="J6482" s="70"/>
      <c r="K6482" s="110" t="str">
        <f>IF(H6482="","",IF($C$29="간이법","",FPR(H6482,I6482,J6482)))</f>
        <v/>
      </c>
      <c r="L6482" s="111" t="str">
        <f>IF(H6482="","",IF($C$29="상세법",FPV(H6482,K6482),IF(H6482="EI",4,IF(H6482="EO",5.2,IF(H6482="EQ",3.9,IF(H6482="ILF",7.5,IF(H6482="EIF",5.4)))))))</f>
        <v/>
      </c>
      <c r="M6482" s="112" t="str">
        <f t="shared" si="104"/>
        <v/>
      </c>
      <c r="N6482" s="113"/>
    </row>
    <row r="6483" spans="2:14">
      <c r="B6483" s="105"/>
      <c r="C6483" s="106"/>
      <c r="D6483" s="107"/>
      <c r="E6483" s="65"/>
      <c r="F6483" s="64"/>
      <c r="G6483" s="64"/>
      <c r="H6483" s="64"/>
      <c r="I6483" s="70"/>
      <c r="J6483" s="70"/>
      <c r="K6483" s="110" t="str">
        <f>IF(H6483="","",IF($C$29="간이법","",FPR(H6483,I6483,J6483)))</f>
        <v/>
      </c>
      <c r="L6483" s="111" t="str">
        <f>IF(H6483="","",IF($C$29="상세법",FPV(H6483,K6483),IF(H6483="EI",4,IF(H6483="EO",5.2,IF(H6483="EQ",3.9,IF(H6483="ILF",7.5,IF(H6483="EIF",5.4)))))))</f>
        <v/>
      </c>
      <c r="M6483" s="112" t="str">
        <f t="shared" si="104"/>
        <v/>
      </c>
      <c r="N6483" s="113"/>
    </row>
    <row r="6484" spans="2:14">
      <c r="B6484" s="105"/>
      <c r="C6484" s="106"/>
      <c r="D6484" s="107"/>
      <c r="E6484" s="65"/>
      <c r="F6484" s="64"/>
      <c r="G6484" s="64"/>
      <c r="H6484" s="64"/>
      <c r="I6484" s="70"/>
      <c r="J6484" s="70"/>
      <c r="K6484" s="110" t="str">
        <f>IF(H6484="","",IF($C$29="간이법","",FPR(H6484,I6484,J6484)))</f>
        <v/>
      </c>
      <c r="L6484" s="111" t="str">
        <f>IF(H6484="","",IF($C$29="상세법",FPV(H6484,K6484),IF(H6484="EI",4,IF(H6484="EO",5.2,IF(H6484="EQ",3.9,IF(H6484="ILF",7.5,IF(H6484="EIF",5.4)))))))</f>
        <v/>
      </c>
      <c r="M6484" s="112" t="str">
        <f t="shared" si="104"/>
        <v/>
      </c>
      <c r="N6484" s="113"/>
    </row>
    <row r="6485" spans="2:14">
      <c r="B6485" s="105"/>
      <c r="C6485" s="106"/>
      <c r="D6485" s="107"/>
      <c r="E6485" s="65"/>
      <c r="F6485" s="64"/>
      <c r="G6485" s="64"/>
      <c r="H6485" s="64"/>
      <c r="I6485" s="70"/>
      <c r="J6485" s="70"/>
      <c r="K6485" s="110" t="str">
        <f>IF(H6485="","",IF($C$29="간이법","",FPR(H6485,I6485,J6485)))</f>
        <v/>
      </c>
      <c r="L6485" s="111" t="str">
        <f>IF(H6485="","",IF($C$29="상세법",FPV(H6485,K6485),IF(H6485="EI",4,IF(H6485="EO",5.2,IF(H6485="EQ",3.9,IF(H6485="ILF",7.5,IF(H6485="EIF",5.4)))))))</f>
        <v/>
      </c>
      <c r="M6485" s="112" t="str">
        <f t="shared" si="104"/>
        <v/>
      </c>
      <c r="N6485" s="113"/>
    </row>
    <row r="6486" spans="2:14">
      <c r="B6486" s="105"/>
      <c r="C6486" s="106"/>
      <c r="D6486" s="107"/>
      <c r="E6486" s="65"/>
      <c r="F6486" s="64"/>
      <c r="G6486" s="64"/>
      <c r="H6486" s="64"/>
      <c r="I6486" s="70"/>
      <c r="J6486" s="70"/>
      <c r="K6486" s="110" t="str">
        <f>IF(H6486="","",IF($C$29="간이법","",FPR(H6486,I6486,J6486)))</f>
        <v/>
      </c>
      <c r="L6486" s="111" t="str">
        <f>IF(H6486="","",IF($C$29="상세법",FPV(H6486,K6486),IF(H6486="EI",4,IF(H6486="EO",5.2,IF(H6486="EQ",3.9,IF(H6486="ILF",7.5,IF(H6486="EIF",5.4)))))))</f>
        <v/>
      </c>
      <c r="M6486" s="112" t="str">
        <f t="shared" si="104"/>
        <v/>
      </c>
      <c r="N6486" s="113"/>
    </row>
    <row r="6487" spans="2:14">
      <c r="B6487" s="105"/>
      <c r="C6487" s="106"/>
      <c r="D6487" s="107"/>
      <c r="E6487" s="65"/>
      <c r="F6487" s="64"/>
      <c r="G6487" s="64"/>
      <c r="H6487" s="64"/>
      <c r="I6487" s="70"/>
      <c r="J6487" s="70"/>
      <c r="K6487" s="110" t="str">
        <f>IF(H6487="","",IF($C$29="간이법","",FPR(H6487,I6487,J6487)))</f>
        <v/>
      </c>
      <c r="L6487" s="111" t="str">
        <f>IF(H6487="","",IF($C$29="상세법",FPV(H6487,K6487),IF(H6487="EI",4,IF(H6487="EO",5.2,IF(H6487="EQ",3.9,IF(H6487="ILF",7.5,IF(H6487="EIF",5.4)))))))</f>
        <v/>
      </c>
      <c r="M6487" s="112" t="str">
        <f t="shared" si="104"/>
        <v/>
      </c>
      <c r="N6487" s="113"/>
    </row>
    <row r="6488" spans="2:14">
      <c r="B6488" s="105"/>
      <c r="C6488" s="106"/>
      <c r="D6488" s="107"/>
      <c r="E6488" s="65"/>
      <c r="F6488" s="64"/>
      <c r="G6488" s="64"/>
      <c r="H6488" s="64"/>
      <c r="I6488" s="70"/>
      <c r="J6488" s="70"/>
      <c r="K6488" s="110" t="str">
        <f>IF(H6488="","",IF($C$29="간이법","",FPR(H6488,I6488,J6488)))</f>
        <v/>
      </c>
      <c r="L6488" s="111" t="str">
        <f>IF(H6488="","",IF($C$29="상세법",FPV(H6488,K6488),IF(H6488="EI",4,IF(H6488="EO",5.2,IF(H6488="EQ",3.9,IF(H6488="ILF",7.5,IF(H6488="EIF",5.4)))))))</f>
        <v/>
      </c>
      <c r="M6488" s="112" t="str">
        <f t="shared" si="104"/>
        <v/>
      </c>
      <c r="N6488" s="113"/>
    </row>
    <row r="6489" spans="2:14">
      <c r="B6489" s="105"/>
      <c r="C6489" s="106"/>
      <c r="D6489" s="107"/>
      <c r="E6489" s="65"/>
      <c r="F6489" s="64"/>
      <c r="G6489" s="64"/>
      <c r="H6489" s="64"/>
      <c r="I6489" s="70"/>
      <c r="J6489" s="70"/>
      <c r="K6489" s="110" t="str">
        <f>IF(H6489="","",IF($C$29="간이법","",FPR(H6489,I6489,J6489)))</f>
        <v/>
      </c>
      <c r="L6489" s="111" t="str">
        <f>IF(H6489="","",IF($C$29="상세법",FPV(H6489,K6489),IF(H6489="EI",4,IF(H6489="EO",5.2,IF(H6489="EQ",3.9,IF(H6489="ILF",7.5,IF(H6489="EIF",5.4)))))))</f>
        <v/>
      </c>
      <c r="M6489" s="112" t="str">
        <f t="shared" si="104"/>
        <v/>
      </c>
      <c r="N6489" s="113"/>
    </row>
    <row r="6490" spans="2:14">
      <c r="B6490" s="105"/>
      <c r="C6490" s="106"/>
      <c r="D6490" s="107"/>
      <c r="E6490" s="65"/>
      <c r="F6490" s="64"/>
      <c r="G6490" s="64"/>
      <c r="H6490" s="64"/>
      <c r="I6490" s="70"/>
      <c r="J6490" s="70"/>
      <c r="K6490" s="110" t="str">
        <f>IF(H6490="","",IF($C$29="간이법","",FPR(H6490,I6490,J6490)))</f>
        <v/>
      </c>
      <c r="L6490" s="111" t="str">
        <f>IF(H6490="","",IF($C$29="상세법",FPV(H6490,K6490),IF(H6490="EI",4,IF(H6490="EO",5.2,IF(H6490="EQ",3.9,IF(H6490="ILF",7.5,IF(H6490="EIF",5.4)))))))</f>
        <v/>
      </c>
      <c r="M6490" s="112" t="str">
        <f t="shared" si="104"/>
        <v/>
      </c>
      <c r="N6490" s="113"/>
    </row>
    <row r="6491" spans="2:14">
      <c r="B6491" s="105"/>
      <c r="C6491" s="106"/>
      <c r="D6491" s="107"/>
      <c r="E6491" s="65"/>
      <c r="F6491" s="64"/>
      <c r="G6491" s="64"/>
      <c r="H6491" s="64"/>
      <c r="I6491" s="70"/>
      <c r="J6491" s="70"/>
      <c r="K6491" s="110" t="str">
        <f>IF(H6491="","",IF($C$29="간이법","",FPR(H6491,I6491,J6491)))</f>
        <v/>
      </c>
      <c r="L6491" s="111" t="str">
        <f>IF(H6491="","",IF($C$29="상세법",FPV(H6491,K6491),IF(H6491="EI",4,IF(H6491="EO",5.2,IF(H6491="EQ",3.9,IF(H6491="ILF",7.5,IF(H6491="EIF",5.4)))))))</f>
        <v/>
      </c>
      <c r="M6491" s="112" t="str">
        <f t="shared" si="104"/>
        <v/>
      </c>
      <c r="N6491" s="113"/>
    </row>
    <row r="6492" spans="2:14">
      <c r="B6492" s="105"/>
      <c r="C6492" s="106"/>
      <c r="D6492" s="107"/>
      <c r="E6492" s="65"/>
      <c r="F6492" s="64"/>
      <c r="G6492" s="64"/>
      <c r="H6492" s="64"/>
      <c r="I6492" s="70"/>
      <c r="J6492" s="70"/>
      <c r="K6492" s="110" t="str">
        <f>IF(H6492="","",IF($C$29="간이법","",FPR(H6492,I6492,J6492)))</f>
        <v/>
      </c>
      <c r="L6492" s="111" t="str">
        <f>IF(H6492="","",IF($C$29="상세법",FPV(H6492,K6492),IF(H6492="EI",4,IF(H6492="EO",5.2,IF(H6492="EQ",3.9,IF(H6492="ILF",7.5,IF(H6492="EIF",5.4)))))))</f>
        <v/>
      </c>
      <c r="M6492" s="112" t="str">
        <f t="shared" si="104"/>
        <v/>
      </c>
      <c r="N6492" s="113"/>
    </row>
    <row r="6493" spans="2:14">
      <c r="B6493" s="105"/>
      <c r="C6493" s="106"/>
      <c r="D6493" s="107"/>
      <c r="E6493" s="65"/>
      <c r="F6493" s="64"/>
      <c r="G6493" s="64"/>
      <c r="H6493" s="64"/>
      <c r="I6493" s="70"/>
      <c r="J6493" s="70"/>
      <c r="K6493" s="110" t="str">
        <f>IF(H6493="","",IF($C$29="간이법","",FPR(H6493,I6493,J6493)))</f>
        <v/>
      </c>
      <c r="L6493" s="111" t="str">
        <f>IF(H6493="","",IF($C$29="상세법",FPV(H6493,K6493),IF(H6493="EI",4,IF(H6493="EO",5.2,IF(H6493="EQ",3.9,IF(H6493="ILF",7.5,IF(H6493="EIF",5.4)))))))</f>
        <v/>
      </c>
      <c r="M6493" s="112" t="str">
        <f t="shared" si="104"/>
        <v/>
      </c>
      <c r="N6493" s="113"/>
    </row>
    <row r="6494" spans="2:14">
      <c r="B6494" s="105"/>
      <c r="C6494" s="106"/>
      <c r="D6494" s="107"/>
      <c r="E6494" s="65"/>
      <c r="F6494" s="64"/>
      <c r="G6494" s="64"/>
      <c r="H6494" s="64"/>
      <c r="I6494" s="70"/>
      <c r="J6494" s="70"/>
      <c r="K6494" s="110" t="str">
        <f>IF(H6494="","",IF($C$29="간이법","",FPR(H6494,I6494,J6494)))</f>
        <v/>
      </c>
      <c r="L6494" s="111" t="str">
        <f>IF(H6494="","",IF($C$29="상세법",FPV(H6494,K6494),IF(H6494="EI",4,IF(H6494="EO",5.2,IF(H6494="EQ",3.9,IF(H6494="ILF",7.5,IF(H6494="EIF",5.4)))))))</f>
        <v/>
      </c>
      <c r="M6494" s="112" t="str">
        <f t="shared" si="104"/>
        <v/>
      </c>
      <c r="N6494" s="113"/>
    </row>
    <row r="6495" spans="2:14">
      <c r="B6495" s="105"/>
      <c r="C6495" s="106"/>
      <c r="D6495" s="107"/>
      <c r="E6495" s="65"/>
      <c r="F6495" s="64"/>
      <c r="G6495" s="64"/>
      <c r="H6495" s="64"/>
      <c r="I6495" s="70"/>
      <c r="J6495" s="70"/>
      <c r="K6495" s="110" t="str">
        <f>IF(H6495="","",IF($C$29="간이법","",FPR(H6495,I6495,J6495)))</f>
        <v/>
      </c>
      <c r="L6495" s="111" t="str">
        <f>IF(H6495="","",IF($C$29="상세법",FPV(H6495,K6495),IF(H6495="EI",4,IF(H6495="EO",5.2,IF(H6495="EQ",3.9,IF(H6495="ILF",7.5,IF(H6495="EIF",5.4)))))))</f>
        <v/>
      </c>
      <c r="M6495" s="112" t="str">
        <f t="shared" si="104"/>
        <v/>
      </c>
      <c r="N6495" s="113"/>
    </row>
    <row r="6496" spans="2:14">
      <c r="B6496" s="105"/>
      <c r="C6496" s="106"/>
      <c r="D6496" s="107"/>
      <c r="E6496" s="65"/>
      <c r="F6496" s="64"/>
      <c r="G6496" s="64"/>
      <c r="H6496" s="64"/>
      <c r="I6496" s="70"/>
      <c r="J6496" s="70"/>
      <c r="K6496" s="110" t="str">
        <f>IF(H6496="","",IF($C$29="간이법","",FPR(H6496,I6496,J6496)))</f>
        <v/>
      </c>
      <c r="L6496" s="111" t="str">
        <f>IF(H6496="","",IF($C$29="상세법",FPV(H6496,K6496),IF(H6496="EI",4,IF(H6496="EO",5.2,IF(H6496="EQ",3.9,IF(H6496="ILF",7.5,IF(H6496="EIF",5.4)))))))</f>
        <v/>
      </c>
      <c r="M6496" s="112" t="str">
        <f t="shared" si="104"/>
        <v/>
      </c>
      <c r="N6496" s="113"/>
    </row>
    <row r="6497" spans="2:14">
      <c r="B6497" s="105"/>
      <c r="C6497" s="106"/>
      <c r="D6497" s="107"/>
      <c r="E6497" s="65"/>
      <c r="F6497" s="64"/>
      <c r="G6497" s="64"/>
      <c r="H6497" s="64"/>
      <c r="I6497" s="70"/>
      <c r="J6497" s="70"/>
      <c r="K6497" s="110" t="str">
        <f>IF(H6497="","",IF($C$29="간이법","",FPR(H6497,I6497,J6497)))</f>
        <v/>
      </c>
      <c r="L6497" s="111" t="str">
        <f>IF(H6497="","",IF($C$29="상세법",FPV(H6497,K6497),IF(H6497="EI",4,IF(H6497="EO",5.2,IF(H6497="EQ",3.9,IF(H6497="ILF",7.5,IF(H6497="EIF",5.4)))))))</f>
        <v/>
      </c>
      <c r="M6497" s="112" t="str">
        <f t="shared" si="104"/>
        <v/>
      </c>
      <c r="N6497" s="113"/>
    </row>
    <row r="6498" spans="2:14">
      <c r="B6498" s="105"/>
      <c r="C6498" s="106"/>
      <c r="D6498" s="107"/>
      <c r="E6498" s="65"/>
      <c r="F6498" s="64"/>
      <c r="G6498" s="64"/>
      <c r="H6498" s="64"/>
      <c r="I6498" s="70"/>
      <c r="J6498" s="70"/>
      <c r="K6498" s="110" t="str">
        <f>IF(H6498="","",IF($C$29="간이법","",FPR(H6498,I6498,J6498)))</f>
        <v/>
      </c>
      <c r="L6498" s="111" t="str">
        <f>IF(H6498="","",IF($C$29="상세법",FPV(H6498,K6498),IF(H6498="EI",4,IF(H6498="EO",5.2,IF(H6498="EQ",3.9,IF(H6498="ILF",7.5,IF(H6498="EIF",5.4)))))))</f>
        <v/>
      </c>
      <c r="M6498" s="112" t="str">
        <f t="shared" si="104"/>
        <v/>
      </c>
      <c r="N6498" s="113"/>
    </row>
    <row r="6499" spans="2:14">
      <c r="B6499" s="105"/>
      <c r="C6499" s="106"/>
      <c r="D6499" s="107"/>
      <c r="E6499" s="65"/>
      <c r="F6499" s="64"/>
      <c r="G6499" s="64"/>
      <c r="H6499" s="64"/>
      <c r="I6499" s="70"/>
      <c r="J6499" s="70"/>
      <c r="K6499" s="110" t="str">
        <f>IF(H6499="","",IF($C$29="간이법","",FPR(H6499,I6499,J6499)))</f>
        <v/>
      </c>
      <c r="L6499" s="111" t="str">
        <f>IF(H6499="","",IF($C$29="상세법",FPV(H6499,K6499),IF(H6499="EI",4,IF(H6499="EO",5.2,IF(H6499="EQ",3.9,IF(H6499="ILF",7.5,IF(H6499="EIF",5.4)))))))</f>
        <v/>
      </c>
      <c r="M6499" s="112" t="str">
        <f t="shared" si="104"/>
        <v/>
      </c>
      <c r="N6499" s="113"/>
    </row>
    <row r="6500" spans="2:14">
      <c r="B6500" s="105"/>
      <c r="C6500" s="106"/>
      <c r="D6500" s="107"/>
      <c r="E6500" s="65"/>
      <c r="F6500" s="64"/>
      <c r="G6500" s="64"/>
      <c r="H6500" s="64"/>
      <c r="I6500" s="70"/>
      <c r="J6500" s="70"/>
      <c r="K6500" s="110" t="str">
        <f>IF(H6500="","",IF($C$29="간이법","",FPR(H6500,I6500,J6500)))</f>
        <v/>
      </c>
      <c r="L6500" s="111" t="str">
        <f>IF(H6500="","",IF($C$29="상세법",FPV(H6500,K6500),IF(H6500="EI",4,IF(H6500="EO",5.2,IF(H6500="EQ",3.9,IF(H6500="ILF",7.5,IF(H6500="EIF",5.4)))))))</f>
        <v/>
      </c>
      <c r="M6500" s="112" t="str">
        <f t="shared" si="104"/>
        <v/>
      </c>
      <c r="N6500" s="113"/>
    </row>
    <row r="6501" spans="2:14">
      <c r="B6501" s="105"/>
      <c r="C6501" s="106"/>
      <c r="D6501" s="107"/>
      <c r="E6501" s="65"/>
      <c r="F6501" s="64"/>
      <c r="G6501" s="64"/>
      <c r="H6501" s="64"/>
      <c r="I6501" s="70"/>
      <c r="J6501" s="70"/>
      <c r="K6501" s="110" t="str">
        <f>IF(H6501="","",IF($C$29="간이법","",FPR(H6501,I6501,J6501)))</f>
        <v/>
      </c>
      <c r="L6501" s="111" t="str">
        <f>IF(H6501="","",IF($C$29="상세법",FPV(H6501,K6501),IF(H6501="EI",4,IF(H6501="EO",5.2,IF(H6501="EQ",3.9,IF(H6501="ILF",7.5,IF(H6501="EIF",5.4)))))))</f>
        <v/>
      </c>
      <c r="M6501" s="112" t="str">
        <f t="shared" si="104"/>
        <v/>
      </c>
      <c r="N6501" s="113"/>
    </row>
    <row r="6502" spans="2:14">
      <c r="B6502" s="105"/>
      <c r="C6502" s="106"/>
      <c r="D6502" s="107"/>
      <c r="E6502" s="65"/>
      <c r="F6502" s="64"/>
      <c r="G6502" s="64"/>
      <c r="H6502" s="64"/>
      <c r="I6502" s="70"/>
      <c r="J6502" s="70"/>
      <c r="K6502" s="110" t="str">
        <f>IF(H6502="","",IF($C$29="간이법","",FPR(H6502,I6502,J6502)))</f>
        <v/>
      </c>
      <c r="L6502" s="111" t="str">
        <f>IF(H6502="","",IF($C$29="상세법",FPV(H6502,K6502),IF(H6502="EI",4,IF(H6502="EO",5.2,IF(H6502="EQ",3.9,IF(H6502="ILF",7.5,IF(H6502="EIF",5.4)))))))</f>
        <v/>
      </c>
      <c r="M6502" s="112" t="str">
        <f t="shared" si="104"/>
        <v/>
      </c>
      <c r="N6502" s="113"/>
    </row>
    <row r="6503" spans="2:14">
      <c r="B6503" s="105"/>
      <c r="C6503" s="106"/>
      <c r="D6503" s="107"/>
      <c r="E6503" s="65"/>
      <c r="F6503" s="64"/>
      <c r="G6503" s="64"/>
      <c r="H6503" s="64"/>
      <c r="I6503" s="70"/>
      <c r="J6503" s="70"/>
      <c r="K6503" s="110" t="str">
        <f>IF(H6503="","",IF($C$29="간이법","",FPR(H6503,I6503,J6503)))</f>
        <v/>
      </c>
      <c r="L6503" s="111" t="str">
        <f>IF(H6503="","",IF($C$29="상세법",FPV(H6503,K6503),IF(H6503="EI",4,IF(H6503="EO",5.2,IF(H6503="EQ",3.9,IF(H6503="ILF",7.5,IF(H6503="EIF",5.4)))))))</f>
        <v/>
      </c>
      <c r="M6503" s="112" t="str">
        <f t="shared" si="104"/>
        <v/>
      </c>
      <c r="N6503" s="113"/>
    </row>
    <row r="6504" spans="2:14">
      <c r="B6504" s="105"/>
      <c r="C6504" s="106"/>
      <c r="D6504" s="107"/>
      <c r="E6504" s="65"/>
      <c r="F6504" s="64"/>
      <c r="G6504" s="64"/>
      <c r="H6504" s="64"/>
      <c r="I6504" s="70"/>
      <c r="J6504" s="70"/>
      <c r="K6504" s="110" t="str">
        <f>IF(H6504="","",IF($C$29="간이법","",FPR(H6504,I6504,J6504)))</f>
        <v/>
      </c>
      <c r="L6504" s="111" t="str">
        <f>IF(H6504="","",IF($C$29="상세법",FPV(H6504,K6504),IF(H6504="EI",4,IF(H6504="EO",5.2,IF(H6504="EQ",3.9,IF(H6504="ILF",7.5,IF(H6504="EIF",5.4)))))))</f>
        <v/>
      </c>
      <c r="M6504" s="112" t="str">
        <f t="shared" si="104"/>
        <v/>
      </c>
      <c r="N6504" s="113"/>
    </row>
    <row r="6505" spans="2:14">
      <c r="B6505" s="105"/>
      <c r="C6505" s="106"/>
      <c r="D6505" s="107"/>
      <c r="E6505" s="65"/>
      <c r="F6505" s="64"/>
      <c r="G6505" s="64"/>
      <c r="H6505" s="64"/>
      <c r="I6505" s="70"/>
      <c r="J6505" s="70"/>
      <c r="K6505" s="110" t="str">
        <f>IF(H6505="","",IF($C$29="간이법","",FPR(H6505,I6505,J6505)))</f>
        <v/>
      </c>
      <c r="L6505" s="111" t="str">
        <f>IF(H6505="","",IF($C$29="상세법",FPV(H6505,K6505),IF(H6505="EI",4,IF(H6505="EO",5.2,IF(H6505="EQ",3.9,IF(H6505="ILF",7.5,IF(H6505="EIF",5.4)))))))</f>
        <v/>
      </c>
      <c r="M6505" s="112" t="str">
        <f t="shared" si="104"/>
        <v/>
      </c>
      <c r="N6505" s="113"/>
    </row>
    <row r="6506" spans="2:14">
      <c r="B6506" s="105"/>
      <c r="C6506" s="106"/>
      <c r="D6506" s="107"/>
      <c r="E6506" s="65"/>
      <c r="F6506" s="64"/>
      <c r="G6506" s="64"/>
      <c r="H6506" s="64"/>
      <c r="I6506" s="70"/>
      <c r="J6506" s="70"/>
      <c r="K6506" s="110" t="str">
        <f>IF(H6506="","",IF($C$29="간이법","",FPR(H6506,I6506,J6506)))</f>
        <v/>
      </c>
      <c r="L6506" s="111" t="str">
        <f>IF(H6506="","",IF($C$29="상세법",FPV(H6506,K6506),IF(H6506="EI",4,IF(H6506="EO",5.2,IF(H6506="EQ",3.9,IF(H6506="ILF",7.5,IF(H6506="EIF",5.4)))))))</f>
        <v/>
      </c>
      <c r="M6506" s="112" t="str">
        <f t="shared" si="104"/>
        <v/>
      </c>
      <c r="N6506" s="113"/>
    </row>
    <row r="6507" spans="2:14">
      <c r="B6507" s="105"/>
      <c r="C6507" s="106"/>
      <c r="D6507" s="107"/>
      <c r="E6507" s="65"/>
      <c r="F6507" s="64"/>
      <c r="G6507" s="64"/>
      <c r="H6507" s="64"/>
      <c r="I6507" s="70"/>
      <c r="J6507" s="70"/>
      <c r="K6507" s="110" t="str">
        <f>IF(H6507="","",IF($C$29="간이법","",FPR(H6507,I6507,J6507)))</f>
        <v/>
      </c>
      <c r="L6507" s="111" t="str">
        <f>IF(H6507="","",IF($C$29="상세법",FPV(H6507,K6507),IF(H6507="EI",4,IF(H6507="EO",5.2,IF(H6507="EQ",3.9,IF(H6507="ILF",7.5,IF(H6507="EIF",5.4)))))))</f>
        <v/>
      </c>
      <c r="M6507" s="112" t="str">
        <f t="shared" si="104"/>
        <v/>
      </c>
      <c r="N6507" s="113"/>
    </row>
    <row r="6508" spans="2:14">
      <c r="B6508" s="105"/>
      <c r="C6508" s="106"/>
      <c r="D6508" s="107"/>
      <c r="E6508" s="65"/>
      <c r="F6508" s="64"/>
      <c r="G6508" s="64"/>
      <c r="H6508" s="64"/>
      <c r="I6508" s="70"/>
      <c r="J6508" s="70"/>
      <c r="K6508" s="110" t="str">
        <f>IF(H6508="","",IF($C$29="간이법","",FPR(H6508,I6508,J6508)))</f>
        <v/>
      </c>
      <c r="L6508" s="111" t="str">
        <f>IF(H6508="","",IF($C$29="상세법",FPV(H6508,K6508),IF(H6508="EI",4,IF(H6508="EO",5.2,IF(H6508="EQ",3.9,IF(H6508="ILF",7.5,IF(H6508="EIF",5.4)))))))</f>
        <v/>
      </c>
      <c r="M6508" s="112" t="str">
        <f t="shared" si="104"/>
        <v/>
      </c>
      <c r="N6508" s="113"/>
    </row>
    <row r="6509" spans="2:14">
      <c r="B6509" s="105"/>
      <c r="C6509" s="106"/>
      <c r="D6509" s="107"/>
      <c r="E6509" s="65"/>
      <c r="F6509" s="64"/>
      <c r="G6509" s="64"/>
      <c r="H6509" s="64"/>
      <c r="I6509" s="70"/>
      <c r="J6509" s="70"/>
      <c r="K6509" s="110" t="str">
        <f>IF(H6509="","",IF($C$29="간이법","",FPR(H6509,I6509,J6509)))</f>
        <v/>
      </c>
      <c r="L6509" s="111" t="str">
        <f>IF(H6509="","",IF($C$29="상세법",FPV(H6509,K6509),IF(H6509="EI",4,IF(H6509="EO",5.2,IF(H6509="EQ",3.9,IF(H6509="ILF",7.5,IF(H6509="EIF",5.4)))))))</f>
        <v/>
      </c>
      <c r="M6509" s="112" t="str">
        <f t="shared" si="104"/>
        <v/>
      </c>
      <c r="N6509" s="113"/>
    </row>
    <row r="6510" spans="2:14">
      <c r="B6510" s="105"/>
      <c r="C6510" s="106"/>
      <c r="D6510" s="107"/>
      <c r="E6510" s="65"/>
      <c r="F6510" s="64"/>
      <c r="G6510" s="64"/>
      <c r="H6510" s="64"/>
      <c r="I6510" s="70"/>
      <c r="J6510" s="70"/>
      <c r="K6510" s="110" t="str">
        <f>IF(H6510="","",IF($C$29="간이법","",FPR(H6510,I6510,J6510)))</f>
        <v/>
      </c>
      <c r="L6510" s="111" t="str">
        <f>IF(H6510="","",IF($C$29="상세법",FPV(H6510,K6510),IF(H6510="EI",4,IF(H6510="EO",5.2,IF(H6510="EQ",3.9,IF(H6510="ILF",7.5,IF(H6510="EIF",5.4)))))))</f>
        <v/>
      </c>
      <c r="M6510" s="112" t="str">
        <f t="shared" si="104"/>
        <v/>
      </c>
      <c r="N6510" s="113"/>
    </row>
    <row r="6511" spans="2:14">
      <c r="B6511" s="105"/>
      <c r="C6511" s="106"/>
      <c r="D6511" s="107"/>
      <c r="E6511" s="65"/>
      <c r="F6511" s="64"/>
      <c r="G6511" s="64"/>
      <c r="H6511" s="64"/>
      <c r="I6511" s="70"/>
      <c r="J6511" s="70"/>
      <c r="K6511" s="110" t="str">
        <f>IF(H6511="","",IF($C$29="간이법","",FPR(H6511,I6511,J6511)))</f>
        <v/>
      </c>
      <c r="L6511" s="111" t="str">
        <f>IF(H6511="","",IF($C$29="상세법",FPV(H6511,K6511),IF(H6511="EI",4,IF(H6511="EO",5.2,IF(H6511="EQ",3.9,IF(H6511="ILF",7.5,IF(H6511="EIF",5.4)))))))</f>
        <v/>
      </c>
      <c r="M6511" s="112" t="str">
        <f t="shared" si="104"/>
        <v/>
      </c>
      <c r="N6511" s="113"/>
    </row>
    <row r="6512" spans="2:14">
      <c r="B6512" s="105"/>
      <c r="C6512" s="106"/>
      <c r="D6512" s="107"/>
      <c r="E6512" s="65"/>
      <c r="F6512" s="64"/>
      <c r="G6512" s="64"/>
      <c r="H6512" s="64"/>
      <c r="I6512" s="70"/>
      <c r="J6512" s="70"/>
      <c r="K6512" s="110" t="str">
        <f>IF(H6512="","",IF($C$29="간이법","",FPR(H6512,I6512,J6512)))</f>
        <v/>
      </c>
      <c r="L6512" s="111" t="str">
        <f>IF(H6512="","",IF($C$29="상세법",FPV(H6512,K6512),IF(H6512="EI",4,IF(H6512="EO",5.2,IF(H6512="EQ",3.9,IF(H6512="ILF",7.5,IF(H6512="EIF",5.4)))))))</f>
        <v/>
      </c>
      <c r="M6512" s="112" t="str">
        <f t="shared" si="104"/>
        <v/>
      </c>
      <c r="N6512" s="113"/>
    </row>
    <row r="6513" spans="2:14">
      <c r="B6513" s="105"/>
      <c r="C6513" s="106"/>
      <c r="D6513" s="107"/>
      <c r="E6513" s="65"/>
      <c r="F6513" s="64"/>
      <c r="G6513" s="64"/>
      <c r="H6513" s="64"/>
      <c r="I6513" s="70"/>
      <c r="J6513" s="70"/>
      <c r="K6513" s="110" t="str">
        <f>IF(H6513="","",IF($C$29="간이법","",FPR(H6513,I6513,J6513)))</f>
        <v/>
      </c>
      <c r="L6513" s="111" t="str">
        <f>IF(H6513="","",IF($C$29="상세법",FPV(H6513,K6513),IF(H6513="EI",4,IF(H6513="EO",5.2,IF(H6513="EQ",3.9,IF(H6513="ILF",7.5,IF(H6513="EIF",5.4)))))))</f>
        <v/>
      </c>
      <c r="M6513" s="112" t="str">
        <f t="shared" si="104"/>
        <v/>
      </c>
      <c r="N6513" s="113"/>
    </row>
    <row r="6514" spans="2:14">
      <c r="B6514" s="105"/>
      <c r="C6514" s="106"/>
      <c r="D6514" s="107"/>
      <c r="E6514" s="65"/>
      <c r="F6514" s="64"/>
      <c r="G6514" s="64"/>
      <c r="H6514" s="64"/>
      <c r="I6514" s="70"/>
      <c r="J6514" s="70"/>
      <c r="K6514" s="110" t="str">
        <f>IF(H6514="","",IF($C$29="간이법","",FPR(H6514,I6514,J6514)))</f>
        <v/>
      </c>
      <c r="L6514" s="111" t="str">
        <f>IF(H6514="","",IF($C$29="상세법",FPV(H6514,K6514),IF(H6514="EI",4,IF(H6514="EO",5.2,IF(H6514="EQ",3.9,IF(H6514="ILF",7.5,IF(H6514="EIF",5.4)))))))</f>
        <v/>
      </c>
      <c r="M6514" s="112" t="str">
        <f t="shared" si="104"/>
        <v/>
      </c>
      <c r="N6514" s="113"/>
    </row>
    <row r="6515" spans="2:14">
      <c r="B6515" s="105"/>
      <c r="C6515" s="106"/>
      <c r="D6515" s="107"/>
      <c r="E6515" s="65"/>
      <c r="F6515" s="64"/>
      <c r="G6515" s="64"/>
      <c r="H6515" s="64"/>
      <c r="I6515" s="70"/>
      <c r="J6515" s="70"/>
      <c r="K6515" s="110" t="str">
        <f>IF(H6515="","",IF($C$29="간이법","",FPR(H6515,I6515,J6515)))</f>
        <v/>
      </c>
      <c r="L6515" s="111" t="str">
        <f>IF(H6515="","",IF($C$29="상세법",FPV(H6515,K6515),IF(H6515="EI",4,IF(H6515="EO",5.2,IF(H6515="EQ",3.9,IF(H6515="ILF",7.5,IF(H6515="EIF",5.4)))))))</f>
        <v/>
      </c>
      <c r="M6515" s="112" t="str">
        <f t="shared" si="104"/>
        <v/>
      </c>
      <c r="N6515" s="113"/>
    </row>
    <row r="6516" spans="2:14">
      <c r="B6516" s="105"/>
      <c r="C6516" s="106"/>
      <c r="D6516" s="107"/>
      <c r="E6516" s="65"/>
      <c r="F6516" s="64"/>
      <c r="G6516" s="64"/>
      <c r="H6516" s="64"/>
      <c r="I6516" s="70"/>
      <c r="J6516" s="70"/>
      <c r="K6516" s="110" t="str">
        <f>IF(H6516="","",IF($C$29="간이법","",FPR(H6516,I6516,J6516)))</f>
        <v/>
      </c>
      <c r="L6516" s="111" t="str">
        <f>IF(H6516="","",IF($C$29="상세법",FPV(H6516,K6516),IF(H6516="EI",4,IF(H6516="EO",5.2,IF(H6516="EQ",3.9,IF(H6516="ILF",7.5,IF(H6516="EIF",5.4)))))))</f>
        <v/>
      </c>
      <c r="M6516" s="112" t="str">
        <f t="shared" si="104"/>
        <v/>
      </c>
      <c r="N6516" s="113"/>
    </row>
    <row r="6517" spans="2:14">
      <c r="B6517" s="105"/>
      <c r="C6517" s="106"/>
      <c r="D6517" s="107"/>
      <c r="E6517" s="65"/>
      <c r="F6517" s="64"/>
      <c r="G6517" s="64"/>
      <c r="H6517" s="64"/>
      <c r="I6517" s="70"/>
      <c r="J6517" s="70"/>
      <c r="K6517" s="110" t="str">
        <f>IF(H6517="","",IF($C$29="간이법","",FPR(H6517,I6517,J6517)))</f>
        <v/>
      </c>
      <c r="L6517" s="111" t="str">
        <f>IF(H6517="","",IF($C$29="상세법",FPV(H6517,K6517),IF(H6517="EI",4,IF(H6517="EO",5.2,IF(H6517="EQ",3.9,IF(H6517="ILF",7.5,IF(H6517="EIF",5.4)))))))</f>
        <v/>
      </c>
      <c r="M6517" s="112" t="str">
        <f t="shared" si="104"/>
        <v/>
      </c>
      <c r="N6517" s="113"/>
    </row>
    <row r="6518" spans="2:14">
      <c r="B6518" s="105"/>
      <c r="C6518" s="106"/>
      <c r="D6518" s="107"/>
      <c r="E6518" s="65"/>
      <c r="F6518" s="64"/>
      <c r="G6518" s="64"/>
      <c r="H6518" s="64"/>
      <c r="I6518" s="70"/>
      <c r="J6518" s="70"/>
      <c r="K6518" s="110" t="str">
        <f>IF(H6518="","",IF($C$29="간이법","",FPR(H6518,I6518,J6518)))</f>
        <v/>
      </c>
      <c r="L6518" s="111" t="str">
        <f>IF(H6518="","",IF($C$29="상세법",FPV(H6518,K6518),IF(H6518="EI",4,IF(H6518="EO",5.2,IF(H6518="EQ",3.9,IF(H6518="ILF",7.5,IF(H6518="EIF",5.4)))))))</f>
        <v/>
      </c>
      <c r="M6518" s="112" t="str">
        <f t="shared" si="104"/>
        <v/>
      </c>
      <c r="N6518" s="113"/>
    </row>
    <row r="6519" spans="2:14">
      <c r="B6519" s="105"/>
      <c r="C6519" s="106"/>
      <c r="D6519" s="107"/>
      <c r="E6519" s="65"/>
      <c r="F6519" s="64"/>
      <c r="G6519" s="64"/>
      <c r="H6519" s="64"/>
      <c r="I6519" s="70"/>
      <c r="J6519" s="70"/>
      <c r="K6519" s="110" t="str">
        <f>IF(H6519="","",IF($C$29="간이법","",FPR(H6519,I6519,J6519)))</f>
        <v/>
      </c>
      <c r="L6519" s="111" t="str">
        <f>IF(H6519="","",IF($C$29="상세법",FPV(H6519,K6519),IF(H6519="EI",4,IF(H6519="EO",5.2,IF(H6519="EQ",3.9,IF(H6519="ILF",7.5,IF(H6519="EIF",5.4)))))))</f>
        <v/>
      </c>
      <c r="M6519" s="112" t="str">
        <f t="shared" si="104"/>
        <v/>
      </c>
      <c r="N6519" s="113"/>
    </row>
    <row r="6520" spans="2:14">
      <c r="B6520" s="105"/>
      <c r="C6520" s="106"/>
      <c r="D6520" s="107"/>
      <c r="E6520" s="65"/>
      <c r="F6520" s="64"/>
      <c r="G6520" s="64"/>
      <c r="H6520" s="64"/>
      <c r="I6520" s="70"/>
      <c r="J6520" s="70"/>
      <c r="K6520" s="110" t="str">
        <f>IF(H6520="","",IF($C$29="간이법","",FPR(H6520,I6520,J6520)))</f>
        <v/>
      </c>
      <c r="L6520" s="111" t="str">
        <f>IF(H6520="","",IF($C$29="상세법",FPV(H6520,K6520),IF(H6520="EI",4,IF(H6520="EO",5.2,IF(H6520="EQ",3.9,IF(H6520="ILF",7.5,IF(H6520="EIF",5.4)))))))</f>
        <v/>
      </c>
      <c r="M6520" s="112" t="str">
        <f t="shared" si="104"/>
        <v/>
      </c>
      <c r="N6520" s="113"/>
    </row>
    <row r="6521" spans="2:14">
      <c r="B6521" s="105"/>
      <c r="C6521" s="106"/>
      <c r="D6521" s="107"/>
      <c r="E6521" s="65"/>
      <c r="F6521" s="64"/>
      <c r="G6521" s="64"/>
      <c r="H6521" s="64"/>
      <c r="I6521" s="70"/>
      <c r="J6521" s="70"/>
      <c r="K6521" s="110" t="str">
        <f>IF(H6521="","",IF($C$29="간이법","",FPR(H6521,I6521,J6521)))</f>
        <v/>
      </c>
      <c r="L6521" s="111" t="str">
        <f>IF(H6521="","",IF($C$29="상세법",FPV(H6521,K6521),IF(H6521="EI",4,IF(H6521="EO",5.2,IF(H6521="EQ",3.9,IF(H6521="ILF",7.5,IF(H6521="EIF",5.4)))))))</f>
        <v/>
      </c>
      <c r="M6521" s="112" t="str">
        <f t="shared" ref="M6521:M6584" si="105">IF(L6521="","",L6521*IF(G6521="상",0.7,IF(G6521="중",0.5,IF(G6521="하",0.2,1))))</f>
        <v/>
      </c>
      <c r="N6521" s="113"/>
    </row>
    <row r="6522" spans="2:14">
      <c r="B6522" s="105"/>
      <c r="C6522" s="106"/>
      <c r="D6522" s="107"/>
      <c r="E6522" s="65"/>
      <c r="F6522" s="64"/>
      <c r="G6522" s="64"/>
      <c r="H6522" s="64"/>
      <c r="I6522" s="70"/>
      <c r="J6522" s="70"/>
      <c r="K6522" s="110" t="str">
        <f>IF(H6522="","",IF($C$29="간이법","",FPR(H6522,I6522,J6522)))</f>
        <v/>
      </c>
      <c r="L6522" s="111" t="str">
        <f>IF(H6522="","",IF($C$29="상세법",FPV(H6522,K6522),IF(H6522="EI",4,IF(H6522="EO",5.2,IF(H6522="EQ",3.9,IF(H6522="ILF",7.5,IF(H6522="EIF",5.4)))))))</f>
        <v/>
      </c>
      <c r="M6522" s="112" t="str">
        <f t="shared" si="105"/>
        <v/>
      </c>
      <c r="N6522" s="113"/>
    </row>
    <row r="6523" spans="2:14">
      <c r="B6523" s="105"/>
      <c r="C6523" s="106"/>
      <c r="D6523" s="107"/>
      <c r="E6523" s="65"/>
      <c r="F6523" s="64"/>
      <c r="G6523" s="64"/>
      <c r="H6523" s="64"/>
      <c r="I6523" s="70"/>
      <c r="J6523" s="70"/>
      <c r="K6523" s="110" t="str">
        <f>IF(H6523="","",IF($C$29="간이법","",FPR(H6523,I6523,J6523)))</f>
        <v/>
      </c>
      <c r="L6523" s="111" t="str">
        <f>IF(H6523="","",IF($C$29="상세법",FPV(H6523,K6523),IF(H6523="EI",4,IF(H6523="EO",5.2,IF(H6523="EQ",3.9,IF(H6523="ILF",7.5,IF(H6523="EIF",5.4)))))))</f>
        <v/>
      </c>
      <c r="M6523" s="112" t="str">
        <f t="shared" si="105"/>
        <v/>
      </c>
      <c r="N6523" s="113"/>
    </row>
    <row r="6524" spans="2:14">
      <c r="B6524" s="105"/>
      <c r="C6524" s="106"/>
      <c r="D6524" s="107"/>
      <c r="E6524" s="65"/>
      <c r="F6524" s="64"/>
      <c r="G6524" s="64"/>
      <c r="H6524" s="64"/>
      <c r="I6524" s="70"/>
      <c r="J6524" s="70"/>
      <c r="K6524" s="110" t="str">
        <f>IF(H6524="","",IF($C$29="간이법","",FPR(H6524,I6524,J6524)))</f>
        <v/>
      </c>
      <c r="L6524" s="111" t="str">
        <f>IF(H6524="","",IF($C$29="상세법",FPV(H6524,K6524),IF(H6524="EI",4,IF(H6524="EO",5.2,IF(H6524="EQ",3.9,IF(H6524="ILF",7.5,IF(H6524="EIF",5.4)))))))</f>
        <v/>
      </c>
      <c r="M6524" s="112" t="str">
        <f t="shared" si="105"/>
        <v/>
      </c>
      <c r="N6524" s="113"/>
    </row>
    <row r="6525" spans="2:14">
      <c r="B6525" s="105"/>
      <c r="C6525" s="106"/>
      <c r="D6525" s="107"/>
      <c r="E6525" s="65"/>
      <c r="F6525" s="64"/>
      <c r="G6525" s="64"/>
      <c r="H6525" s="64"/>
      <c r="I6525" s="70"/>
      <c r="J6525" s="70"/>
      <c r="K6525" s="110" t="str">
        <f>IF(H6525="","",IF($C$29="간이법","",FPR(H6525,I6525,J6525)))</f>
        <v/>
      </c>
      <c r="L6525" s="111" t="str">
        <f>IF(H6525="","",IF($C$29="상세법",FPV(H6525,K6525),IF(H6525="EI",4,IF(H6525="EO",5.2,IF(H6525="EQ",3.9,IF(H6525="ILF",7.5,IF(H6525="EIF",5.4)))))))</f>
        <v/>
      </c>
      <c r="M6525" s="112" t="str">
        <f t="shared" si="105"/>
        <v/>
      </c>
      <c r="N6525" s="113"/>
    </row>
    <row r="6526" spans="2:14">
      <c r="B6526" s="105"/>
      <c r="C6526" s="106"/>
      <c r="D6526" s="107"/>
      <c r="E6526" s="65"/>
      <c r="F6526" s="64"/>
      <c r="G6526" s="64"/>
      <c r="H6526" s="64"/>
      <c r="I6526" s="70"/>
      <c r="J6526" s="70"/>
      <c r="K6526" s="110" t="str">
        <f>IF(H6526="","",IF($C$29="간이법","",FPR(H6526,I6526,J6526)))</f>
        <v/>
      </c>
      <c r="L6526" s="111" t="str">
        <f>IF(H6526="","",IF($C$29="상세법",FPV(H6526,K6526),IF(H6526="EI",4,IF(H6526="EO",5.2,IF(H6526="EQ",3.9,IF(H6526="ILF",7.5,IF(H6526="EIF",5.4)))))))</f>
        <v/>
      </c>
      <c r="M6526" s="112" t="str">
        <f t="shared" si="105"/>
        <v/>
      </c>
      <c r="N6526" s="113"/>
    </row>
    <row r="6527" spans="2:14">
      <c r="B6527" s="105"/>
      <c r="C6527" s="106"/>
      <c r="D6527" s="107"/>
      <c r="E6527" s="65"/>
      <c r="F6527" s="64"/>
      <c r="G6527" s="64"/>
      <c r="H6527" s="64"/>
      <c r="I6527" s="70"/>
      <c r="J6527" s="70"/>
      <c r="K6527" s="110" t="str">
        <f>IF(H6527="","",IF($C$29="간이법","",FPR(H6527,I6527,J6527)))</f>
        <v/>
      </c>
      <c r="L6527" s="111" t="str">
        <f>IF(H6527="","",IF($C$29="상세법",FPV(H6527,K6527),IF(H6527="EI",4,IF(H6527="EO",5.2,IF(H6527="EQ",3.9,IF(H6527="ILF",7.5,IF(H6527="EIF",5.4)))))))</f>
        <v/>
      </c>
      <c r="M6527" s="112" t="str">
        <f t="shared" si="105"/>
        <v/>
      </c>
      <c r="N6527" s="113"/>
    </row>
    <row r="6528" spans="2:14">
      <c r="B6528" s="105"/>
      <c r="C6528" s="106"/>
      <c r="D6528" s="107"/>
      <c r="E6528" s="65"/>
      <c r="F6528" s="64"/>
      <c r="G6528" s="64"/>
      <c r="H6528" s="64"/>
      <c r="I6528" s="70"/>
      <c r="J6528" s="70"/>
      <c r="K6528" s="110" t="str">
        <f>IF(H6528="","",IF($C$29="간이법","",FPR(H6528,I6528,J6528)))</f>
        <v/>
      </c>
      <c r="L6528" s="111" t="str">
        <f>IF(H6528="","",IF($C$29="상세법",FPV(H6528,K6528),IF(H6528="EI",4,IF(H6528="EO",5.2,IF(H6528="EQ",3.9,IF(H6528="ILF",7.5,IF(H6528="EIF",5.4)))))))</f>
        <v/>
      </c>
      <c r="M6528" s="112" t="str">
        <f t="shared" si="105"/>
        <v/>
      </c>
      <c r="N6528" s="113"/>
    </row>
    <row r="6529" spans="2:14">
      <c r="B6529" s="105"/>
      <c r="C6529" s="106"/>
      <c r="D6529" s="107"/>
      <c r="E6529" s="65"/>
      <c r="F6529" s="64"/>
      <c r="G6529" s="64"/>
      <c r="H6529" s="64"/>
      <c r="I6529" s="70"/>
      <c r="J6529" s="70"/>
      <c r="K6529" s="110" t="str">
        <f>IF(H6529="","",IF($C$29="간이법","",FPR(H6529,I6529,J6529)))</f>
        <v/>
      </c>
      <c r="L6529" s="111" t="str">
        <f>IF(H6529="","",IF($C$29="상세법",FPV(H6529,K6529),IF(H6529="EI",4,IF(H6529="EO",5.2,IF(H6529="EQ",3.9,IF(H6529="ILF",7.5,IF(H6529="EIF",5.4)))))))</f>
        <v/>
      </c>
      <c r="M6529" s="112" t="str">
        <f t="shared" si="105"/>
        <v/>
      </c>
      <c r="N6529" s="113"/>
    </row>
    <row r="6530" spans="2:14">
      <c r="B6530" s="105"/>
      <c r="C6530" s="106"/>
      <c r="D6530" s="107"/>
      <c r="E6530" s="65"/>
      <c r="F6530" s="64"/>
      <c r="G6530" s="64"/>
      <c r="H6530" s="64"/>
      <c r="I6530" s="70"/>
      <c r="J6530" s="70"/>
      <c r="K6530" s="110" t="str">
        <f>IF(H6530="","",IF($C$29="간이법","",FPR(H6530,I6530,J6530)))</f>
        <v/>
      </c>
      <c r="L6530" s="111" t="str">
        <f>IF(H6530="","",IF($C$29="상세법",FPV(H6530,K6530),IF(H6530="EI",4,IF(H6530="EO",5.2,IF(H6530="EQ",3.9,IF(H6530="ILF",7.5,IF(H6530="EIF",5.4)))))))</f>
        <v/>
      </c>
      <c r="M6530" s="112" t="str">
        <f t="shared" si="105"/>
        <v/>
      </c>
      <c r="N6530" s="113"/>
    </row>
    <row r="6531" spans="2:14">
      <c r="B6531" s="105"/>
      <c r="C6531" s="106"/>
      <c r="D6531" s="107"/>
      <c r="E6531" s="65"/>
      <c r="F6531" s="64"/>
      <c r="G6531" s="64"/>
      <c r="H6531" s="64"/>
      <c r="I6531" s="70"/>
      <c r="J6531" s="70"/>
      <c r="K6531" s="110" t="str">
        <f>IF(H6531="","",IF($C$29="간이법","",FPR(H6531,I6531,J6531)))</f>
        <v/>
      </c>
      <c r="L6531" s="111" t="str">
        <f>IF(H6531="","",IF($C$29="상세법",FPV(H6531,K6531),IF(H6531="EI",4,IF(H6531="EO",5.2,IF(H6531="EQ",3.9,IF(H6531="ILF",7.5,IF(H6531="EIF",5.4)))))))</f>
        <v/>
      </c>
      <c r="M6531" s="112" t="str">
        <f t="shared" si="105"/>
        <v/>
      </c>
      <c r="N6531" s="113"/>
    </row>
    <row r="6532" spans="2:14">
      <c r="B6532" s="105"/>
      <c r="C6532" s="106"/>
      <c r="D6532" s="107"/>
      <c r="E6532" s="65"/>
      <c r="F6532" s="64"/>
      <c r="G6532" s="64"/>
      <c r="H6532" s="64"/>
      <c r="I6532" s="70"/>
      <c r="J6532" s="70"/>
      <c r="K6532" s="110" t="str">
        <f>IF(H6532="","",IF($C$29="간이법","",FPR(H6532,I6532,J6532)))</f>
        <v/>
      </c>
      <c r="L6532" s="111" t="str">
        <f>IF(H6532="","",IF($C$29="상세법",FPV(H6532,K6532),IF(H6532="EI",4,IF(H6532="EO",5.2,IF(H6532="EQ",3.9,IF(H6532="ILF",7.5,IF(H6532="EIF",5.4)))))))</f>
        <v/>
      </c>
      <c r="M6532" s="112" t="str">
        <f t="shared" si="105"/>
        <v/>
      </c>
      <c r="N6532" s="113"/>
    </row>
    <row r="6533" spans="2:14">
      <c r="B6533" s="105"/>
      <c r="C6533" s="106"/>
      <c r="D6533" s="107"/>
      <c r="E6533" s="65"/>
      <c r="F6533" s="64"/>
      <c r="G6533" s="64"/>
      <c r="H6533" s="64"/>
      <c r="I6533" s="70"/>
      <c r="J6533" s="70"/>
      <c r="K6533" s="110" t="str">
        <f>IF(H6533="","",IF($C$29="간이법","",FPR(H6533,I6533,J6533)))</f>
        <v/>
      </c>
      <c r="L6533" s="111" t="str">
        <f>IF(H6533="","",IF($C$29="상세법",FPV(H6533,K6533),IF(H6533="EI",4,IF(H6533="EO",5.2,IF(H6533="EQ",3.9,IF(H6533="ILF",7.5,IF(H6533="EIF",5.4)))))))</f>
        <v/>
      </c>
      <c r="M6533" s="112" t="str">
        <f t="shared" si="105"/>
        <v/>
      </c>
      <c r="N6533" s="113"/>
    </row>
    <row r="6534" spans="2:14">
      <c r="B6534" s="105"/>
      <c r="C6534" s="106"/>
      <c r="D6534" s="107"/>
      <c r="E6534" s="65"/>
      <c r="F6534" s="64"/>
      <c r="G6534" s="64"/>
      <c r="H6534" s="64"/>
      <c r="I6534" s="70"/>
      <c r="J6534" s="70"/>
      <c r="K6534" s="110" t="str">
        <f>IF(H6534="","",IF($C$29="간이법","",FPR(H6534,I6534,J6534)))</f>
        <v/>
      </c>
      <c r="L6534" s="111" t="str">
        <f>IF(H6534="","",IF($C$29="상세법",FPV(H6534,K6534),IF(H6534="EI",4,IF(H6534="EO",5.2,IF(H6534="EQ",3.9,IF(H6534="ILF",7.5,IF(H6534="EIF",5.4)))))))</f>
        <v/>
      </c>
      <c r="M6534" s="112" t="str">
        <f t="shared" si="105"/>
        <v/>
      </c>
      <c r="N6534" s="113"/>
    </row>
    <row r="6535" spans="2:14">
      <c r="B6535" s="105"/>
      <c r="C6535" s="106"/>
      <c r="D6535" s="107"/>
      <c r="E6535" s="65"/>
      <c r="F6535" s="64"/>
      <c r="G6535" s="64"/>
      <c r="H6535" s="64"/>
      <c r="I6535" s="70"/>
      <c r="J6535" s="70"/>
      <c r="K6535" s="110" t="str">
        <f>IF(H6535="","",IF($C$29="간이법","",FPR(H6535,I6535,J6535)))</f>
        <v/>
      </c>
      <c r="L6535" s="111" t="str">
        <f>IF(H6535="","",IF($C$29="상세법",FPV(H6535,K6535),IF(H6535="EI",4,IF(H6535="EO",5.2,IF(H6535="EQ",3.9,IF(H6535="ILF",7.5,IF(H6535="EIF",5.4)))))))</f>
        <v/>
      </c>
      <c r="M6535" s="112" t="str">
        <f t="shared" si="105"/>
        <v/>
      </c>
      <c r="N6535" s="113"/>
    </row>
    <row r="6536" spans="2:14">
      <c r="B6536" s="105"/>
      <c r="C6536" s="106"/>
      <c r="D6536" s="107"/>
      <c r="E6536" s="65"/>
      <c r="F6536" s="64"/>
      <c r="G6536" s="64"/>
      <c r="H6536" s="64"/>
      <c r="I6536" s="70"/>
      <c r="J6536" s="70"/>
      <c r="K6536" s="110" t="str">
        <f>IF(H6536="","",IF($C$29="간이법","",FPR(H6536,I6536,J6536)))</f>
        <v/>
      </c>
      <c r="L6536" s="111" t="str">
        <f>IF(H6536="","",IF($C$29="상세법",FPV(H6536,K6536),IF(H6536="EI",4,IF(H6536="EO",5.2,IF(H6536="EQ",3.9,IF(H6536="ILF",7.5,IF(H6536="EIF",5.4)))))))</f>
        <v/>
      </c>
      <c r="M6536" s="112" t="str">
        <f t="shared" si="105"/>
        <v/>
      </c>
      <c r="N6536" s="113"/>
    </row>
    <row r="6537" spans="2:14">
      <c r="B6537" s="105"/>
      <c r="C6537" s="106"/>
      <c r="D6537" s="107"/>
      <c r="E6537" s="65"/>
      <c r="F6537" s="64"/>
      <c r="G6537" s="64"/>
      <c r="H6537" s="64"/>
      <c r="I6537" s="70"/>
      <c r="J6537" s="70"/>
      <c r="K6537" s="110" t="str">
        <f>IF(H6537="","",IF($C$29="간이법","",FPR(H6537,I6537,J6537)))</f>
        <v/>
      </c>
      <c r="L6537" s="111" t="str">
        <f>IF(H6537="","",IF($C$29="상세법",FPV(H6537,K6537),IF(H6537="EI",4,IF(H6537="EO",5.2,IF(H6537="EQ",3.9,IF(H6537="ILF",7.5,IF(H6537="EIF",5.4)))))))</f>
        <v/>
      </c>
      <c r="M6537" s="112" t="str">
        <f t="shared" si="105"/>
        <v/>
      </c>
      <c r="N6537" s="113"/>
    </row>
    <row r="6538" spans="2:14">
      <c r="B6538" s="105"/>
      <c r="C6538" s="106"/>
      <c r="D6538" s="107"/>
      <c r="E6538" s="65"/>
      <c r="F6538" s="64"/>
      <c r="G6538" s="64"/>
      <c r="H6538" s="64"/>
      <c r="I6538" s="70"/>
      <c r="J6538" s="70"/>
      <c r="K6538" s="110" t="str">
        <f>IF(H6538="","",IF($C$29="간이법","",FPR(H6538,I6538,J6538)))</f>
        <v/>
      </c>
      <c r="L6538" s="111" t="str">
        <f>IF(H6538="","",IF($C$29="상세법",FPV(H6538,K6538),IF(H6538="EI",4,IF(H6538="EO",5.2,IF(H6538="EQ",3.9,IF(H6538="ILF",7.5,IF(H6538="EIF",5.4)))))))</f>
        <v/>
      </c>
      <c r="M6538" s="112" t="str">
        <f t="shared" si="105"/>
        <v/>
      </c>
      <c r="N6538" s="113"/>
    </row>
    <row r="6539" spans="2:14">
      <c r="B6539" s="105"/>
      <c r="C6539" s="106"/>
      <c r="D6539" s="107"/>
      <c r="E6539" s="65"/>
      <c r="F6539" s="64"/>
      <c r="G6539" s="64"/>
      <c r="H6539" s="64"/>
      <c r="I6539" s="70"/>
      <c r="J6539" s="70"/>
      <c r="K6539" s="110" t="str">
        <f>IF(H6539="","",IF($C$29="간이법","",FPR(H6539,I6539,J6539)))</f>
        <v/>
      </c>
      <c r="L6539" s="111" t="str">
        <f>IF(H6539="","",IF($C$29="상세법",FPV(H6539,K6539),IF(H6539="EI",4,IF(H6539="EO",5.2,IF(H6539="EQ",3.9,IF(H6539="ILF",7.5,IF(H6539="EIF",5.4)))))))</f>
        <v/>
      </c>
      <c r="M6539" s="112" t="str">
        <f t="shared" si="105"/>
        <v/>
      </c>
      <c r="N6539" s="113"/>
    </row>
    <row r="6540" spans="2:14">
      <c r="B6540" s="105"/>
      <c r="C6540" s="106"/>
      <c r="D6540" s="107"/>
      <c r="E6540" s="65"/>
      <c r="F6540" s="64"/>
      <c r="G6540" s="64"/>
      <c r="H6540" s="64"/>
      <c r="I6540" s="70"/>
      <c r="J6540" s="70"/>
      <c r="K6540" s="110" t="str">
        <f>IF(H6540="","",IF($C$29="간이법","",FPR(H6540,I6540,J6540)))</f>
        <v/>
      </c>
      <c r="L6540" s="111" t="str">
        <f>IF(H6540="","",IF($C$29="상세법",FPV(H6540,K6540),IF(H6540="EI",4,IF(H6540="EO",5.2,IF(H6540="EQ",3.9,IF(H6540="ILF",7.5,IF(H6540="EIF",5.4)))))))</f>
        <v/>
      </c>
      <c r="M6540" s="112" t="str">
        <f t="shared" si="105"/>
        <v/>
      </c>
      <c r="N6540" s="113"/>
    </row>
    <row r="6541" spans="2:14">
      <c r="B6541" s="105"/>
      <c r="C6541" s="106"/>
      <c r="D6541" s="107"/>
      <c r="E6541" s="65"/>
      <c r="F6541" s="64"/>
      <c r="G6541" s="64"/>
      <c r="H6541" s="64"/>
      <c r="I6541" s="70"/>
      <c r="J6541" s="70"/>
      <c r="K6541" s="110" t="str">
        <f>IF(H6541="","",IF($C$29="간이법","",FPR(H6541,I6541,J6541)))</f>
        <v/>
      </c>
      <c r="L6541" s="111" t="str">
        <f>IF(H6541="","",IF($C$29="상세법",FPV(H6541,K6541),IF(H6541="EI",4,IF(H6541="EO",5.2,IF(H6541="EQ",3.9,IF(H6541="ILF",7.5,IF(H6541="EIF",5.4)))))))</f>
        <v/>
      </c>
      <c r="M6541" s="112" t="str">
        <f t="shared" si="105"/>
        <v/>
      </c>
      <c r="N6541" s="113"/>
    </row>
    <row r="6542" spans="2:14">
      <c r="B6542" s="105"/>
      <c r="C6542" s="106"/>
      <c r="D6542" s="107"/>
      <c r="E6542" s="65"/>
      <c r="F6542" s="64"/>
      <c r="G6542" s="64"/>
      <c r="H6542" s="64"/>
      <c r="I6542" s="70"/>
      <c r="J6542" s="70"/>
      <c r="K6542" s="110" t="str">
        <f>IF(H6542="","",IF($C$29="간이법","",FPR(H6542,I6542,J6542)))</f>
        <v/>
      </c>
      <c r="L6542" s="111" t="str">
        <f>IF(H6542="","",IF($C$29="상세법",FPV(H6542,K6542),IF(H6542="EI",4,IF(H6542="EO",5.2,IF(H6542="EQ",3.9,IF(H6542="ILF",7.5,IF(H6542="EIF",5.4)))))))</f>
        <v/>
      </c>
      <c r="M6542" s="112" t="str">
        <f t="shared" si="105"/>
        <v/>
      </c>
      <c r="N6542" s="113"/>
    </row>
    <row r="6543" spans="2:14">
      <c r="B6543" s="105"/>
      <c r="C6543" s="106"/>
      <c r="D6543" s="107"/>
      <c r="E6543" s="65"/>
      <c r="F6543" s="64"/>
      <c r="G6543" s="64"/>
      <c r="H6543" s="64"/>
      <c r="I6543" s="70"/>
      <c r="J6543" s="70"/>
      <c r="K6543" s="110" t="str">
        <f>IF(H6543="","",IF($C$29="간이법","",FPR(H6543,I6543,J6543)))</f>
        <v/>
      </c>
      <c r="L6543" s="111" t="str">
        <f>IF(H6543="","",IF($C$29="상세법",FPV(H6543,K6543),IF(H6543="EI",4,IF(H6543="EO",5.2,IF(H6543="EQ",3.9,IF(H6543="ILF",7.5,IF(H6543="EIF",5.4)))))))</f>
        <v/>
      </c>
      <c r="M6543" s="112" t="str">
        <f t="shared" si="105"/>
        <v/>
      </c>
      <c r="N6543" s="113"/>
    </row>
    <row r="6544" spans="2:14">
      <c r="B6544" s="105"/>
      <c r="C6544" s="106"/>
      <c r="D6544" s="107"/>
      <c r="E6544" s="65"/>
      <c r="F6544" s="64"/>
      <c r="G6544" s="64"/>
      <c r="H6544" s="64"/>
      <c r="I6544" s="70"/>
      <c r="J6544" s="70"/>
      <c r="K6544" s="110" t="str">
        <f>IF(H6544="","",IF($C$29="간이법","",FPR(H6544,I6544,J6544)))</f>
        <v/>
      </c>
      <c r="L6544" s="111" t="str">
        <f>IF(H6544="","",IF($C$29="상세법",FPV(H6544,K6544),IF(H6544="EI",4,IF(H6544="EO",5.2,IF(H6544="EQ",3.9,IF(H6544="ILF",7.5,IF(H6544="EIF",5.4)))))))</f>
        <v/>
      </c>
      <c r="M6544" s="112" t="str">
        <f t="shared" si="105"/>
        <v/>
      </c>
      <c r="N6544" s="113"/>
    </row>
    <row r="6545" spans="2:14">
      <c r="B6545" s="105"/>
      <c r="C6545" s="106"/>
      <c r="D6545" s="107"/>
      <c r="E6545" s="65"/>
      <c r="F6545" s="64"/>
      <c r="G6545" s="64"/>
      <c r="H6545" s="64"/>
      <c r="I6545" s="70"/>
      <c r="J6545" s="70"/>
      <c r="K6545" s="110" t="str">
        <f>IF(H6545="","",IF($C$29="간이법","",FPR(H6545,I6545,J6545)))</f>
        <v/>
      </c>
      <c r="L6545" s="111" t="str">
        <f>IF(H6545="","",IF($C$29="상세법",FPV(H6545,K6545),IF(H6545="EI",4,IF(H6545="EO",5.2,IF(H6545="EQ",3.9,IF(H6545="ILF",7.5,IF(H6545="EIF",5.4)))))))</f>
        <v/>
      </c>
      <c r="M6545" s="112" t="str">
        <f t="shared" si="105"/>
        <v/>
      </c>
      <c r="N6545" s="113"/>
    </row>
    <row r="6546" spans="2:14">
      <c r="B6546" s="105"/>
      <c r="C6546" s="106"/>
      <c r="D6546" s="107"/>
      <c r="E6546" s="65"/>
      <c r="F6546" s="64"/>
      <c r="G6546" s="64"/>
      <c r="H6546" s="64"/>
      <c r="I6546" s="70"/>
      <c r="J6546" s="70"/>
      <c r="K6546" s="110" t="str">
        <f>IF(H6546="","",IF($C$29="간이법","",FPR(H6546,I6546,J6546)))</f>
        <v/>
      </c>
      <c r="L6546" s="111" t="str">
        <f>IF(H6546="","",IF($C$29="상세법",FPV(H6546,K6546),IF(H6546="EI",4,IF(H6546="EO",5.2,IF(H6546="EQ",3.9,IF(H6546="ILF",7.5,IF(H6546="EIF",5.4)))))))</f>
        <v/>
      </c>
      <c r="M6546" s="112" t="str">
        <f t="shared" si="105"/>
        <v/>
      </c>
      <c r="N6546" s="113"/>
    </row>
    <row r="6547" spans="2:14">
      <c r="B6547" s="105"/>
      <c r="C6547" s="106"/>
      <c r="D6547" s="107"/>
      <c r="E6547" s="65"/>
      <c r="F6547" s="64"/>
      <c r="G6547" s="64"/>
      <c r="H6547" s="64"/>
      <c r="I6547" s="70"/>
      <c r="J6547" s="70"/>
      <c r="K6547" s="110" t="str">
        <f>IF(H6547="","",IF($C$29="간이법","",FPR(H6547,I6547,J6547)))</f>
        <v/>
      </c>
      <c r="L6547" s="111" t="str">
        <f>IF(H6547="","",IF($C$29="상세법",FPV(H6547,K6547),IF(H6547="EI",4,IF(H6547="EO",5.2,IF(H6547="EQ",3.9,IF(H6547="ILF",7.5,IF(H6547="EIF",5.4)))))))</f>
        <v/>
      </c>
      <c r="M6547" s="112" t="str">
        <f t="shared" si="105"/>
        <v/>
      </c>
      <c r="N6547" s="113"/>
    </row>
    <row r="6548" spans="2:14">
      <c r="B6548" s="105"/>
      <c r="C6548" s="106"/>
      <c r="D6548" s="107"/>
      <c r="E6548" s="65"/>
      <c r="F6548" s="64"/>
      <c r="G6548" s="64"/>
      <c r="H6548" s="64"/>
      <c r="I6548" s="70"/>
      <c r="J6548" s="70"/>
      <c r="K6548" s="110" t="str">
        <f>IF(H6548="","",IF($C$29="간이법","",FPR(H6548,I6548,J6548)))</f>
        <v/>
      </c>
      <c r="L6548" s="111" t="str">
        <f>IF(H6548="","",IF($C$29="상세법",FPV(H6548,K6548),IF(H6548="EI",4,IF(H6548="EO",5.2,IF(H6548="EQ",3.9,IF(H6548="ILF",7.5,IF(H6548="EIF",5.4)))))))</f>
        <v/>
      </c>
      <c r="M6548" s="112" t="str">
        <f t="shared" si="105"/>
        <v/>
      </c>
      <c r="N6548" s="113"/>
    </row>
    <row r="6549" spans="2:14">
      <c r="B6549" s="105"/>
      <c r="C6549" s="106"/>
      <c r="D6549" s="107"/>
      <c r="E6549" s="65"/>
      <c r="F6549" s="64"/>
      <c r="G6549" s="64"/>
      <c r="H6549" s="64"/>
      <c r="I6549" s="70"/>
      <c r="J6549" s="70"/>
      <c r="K6549" s="110" t="str">
        <f>IF(H6549="","",IF($C$29="간이법","",FPR(H6549,I6549,J6549)))</f>
        <v/>
      </c>
      <c r="L6549" s="111" t="str">
        <f>IF(H6549="","",IF($C$29="상세법",FPV(H6549,K6549),IF(H6549="EI",4,IF(H6549="EO",5.2,IF(H6549="EQ",3.9,IF(H6549="ILF",7.5,IF(H6549="EIF",5.4)))))))</f>
        <v/>
      </c>
      <c r="M6549" s="112" t="str">
        <f t="shared" si="105"/>
        <v/>
      </c>
      <c r="N6549" s="113"/>
    </row>
    <row r="6550" spans="2:14">
      <c r="B6550" s="105"/>
      <c r="C6550" s="106"/>
      <c r="D6550" s="107"/>
      <c r="E6550" s="65"/>
      <c r="F6550" s="64"/>
      <c r="G6550" s="64"/>
      <c r="H6550" s="64"/>
      <c r="I6550" s="70"/>
      <c r="J6550" s="70"/>
      <c r="K6550" s="110" t="str">
        <f>IF(H6550="","",IF($C$29="간이법","",FPR(H6550,I6550,J6550)))</f>
        <v/>
      </c>
      <c r="L6550" s="111" t="str">
        <f>IF(H6550="","",IF($C$29="상세법",FPV(H6550,K6550),IF(H6550="EI",4,IF(H6550="EO",5.2,IF(H6550="EQ",3.9,IF(H6550="ILF",7.5,IF(H6550="EIF",5.4)))))))</f>
        <v/>
      </c>
      <c r="M6550" s="112" t="str">
        <f t="shared" si="105"/>
        <v/>
      </c>
      <c r="N6550" s="113"/>
    </row>
    <row r="6551" spans="2:14">
      <c r="B6551" s="105"/>
      <c r="C6551" s="106"/>
      <c r="D6551" s="107"/>
      <c r="E6551" s="65"/>
      <c r="F6551" s="64"/>
      <c r="G6551" s="64"/>
      <c r="H6551" s="64"/>
      <c r="I6551" s="70"/>
      <c r="J6551" s="70"/>
      <c r="K6551" s="110" t="str">
        <f>IF(H6551="","",IF($C$29="간이법","",FPR(H6551,I6551,J6551)))</f>
        <v/>
      </c>
      <c r="L6551" s="111" t="str">
        <f>IF(H6551="","",IF($C$29="상세법",FPV(H6551,K6551),IF(H6551="EI",4,IF(H6551="EO",5.2,IF(H6551="EQ",3.9,IF(H6551="ILF",7.5,IF(H6551="EIF",5.4)))))))</f>
        <v/>
      </c>
      <c r="M6551" s="112" t="str">
        <f t="shared" si="105"/>
        <v/>
      </c>
      <c r="N6551" s="113"/>
    </row>
    <row r="6552" spans="2:14">
      <c r="B6552" s="105"/>
      <c r="C6552" s="106"/>
      <c r="D6552" s="107"/>
      <c r="E6552" s="65"/>
      <c r="F6552" s="64"/>
      <c r="G6552" s="64"/>
      <c r="H6552" s="64"/>
      <c r="I6552" s="70"/>
      <c r="J6552" s="70"/>
      <c r="K6552" s="110" t="str">
        <f>IF(H6552="","",IF($C$29="간이법","",FPR(H6552,I6552,J6552)))</f>
        <v/>
      </c>
      <c r="L6552" s="111" t="str">
        <f>IF(H6552="","",IF($C$29="상세법",FPV(H6552,K6552),IF(H6552="EI",4,IF(H6552="EO",5.2,IF(H6552="EQ",3.9,IF(H6552="ILF",7.5,IF(H6552="EIF",5.4)))))))</f>
        <v/>
      </c>
      <c r="M6552" s="112" t="str">
        <f t="shared" si="105"/>
        <v/>
      </c>
      <c r="N6552" s="113"/>
    </row>
    <row r="6553" spans="2:14">
      <c r="B6553" s="105"/>
      <c r="C6553" s="106"/>
      <c r="D6553" s="107"/>
      <c r="E6553" s="65"/>
      <c r="F6553" s="64"/>
      <c r="G6553" s="64"/>
      <c r="H6553" s="64"/>
      <c r="I6553" s="70"/>
      <c r="J6553" s="70"/>
      <c r="K6553" s="110" t="str">
        <f>IF(H6553="","",IF($C$29="간이법","",FPR(H6553,I6553,J6553)))</f>
        <v/>
      </c>
      <c r="L6553" s="111" t="str">
        <f>IF(H6553="","",IF($C$29="상세법",FPV(H6553,K6553),IF(H6553="EI",4,IF(H6553="EO",5.2,IF(H6553="EQ",3.9,IF(H6553="ILF",7.5,IF(H6553="EIF",5.4)))))))</f>
        <v/>
      </c>
      <c r="M6553" s="112" t="str">
        <f t="shared" si="105"/>
        <v/>
      </c>
      <c r="N6553" s="113"/>
    </row>
    <row r="6554" spans="2:14">
      <c r="B6554" s="105"/>
      <c r="C6554" s="106"/>
      <c r="D6554" s="107"/>
      <c r="E6554" s="65"/>
      <c r="F6554" s="64"/>
      <c r="G6554" s="64"/>
      <c r="H6554" s="64"/>
      <c r="I6554" s="70"/>
      <c r="J6554" s="70"/>
      <c r="K6554" s="110" t="str">
        <f>IF(H6554="","",IF($C$29="간이법","",FPR(H6554,I6554,J6554)))</f>
        <v/>
      </c>
      <c r="L6554" s="111" t="str">
        <f>IF(H6554="","",IF($C$29="상세법",FPV(H6554,K6554),IF(H6554="EI",4,IF(H6554="EO",5.2,IF(H6554="EQ",3.9,IF(H6554="ILF",7.5,IF(H6554="EIF",5.4)))))))</f>
        <v/>
      </c>
      <c r="M6554" s="112" t="str">
        <f t="shared" si="105"/>
        <v/>
      </c>
      <c r="N6554" s="113"/>
    </row>
    <row r="6555" spans="2:14">
      <c r="B6555" s="105"/>
      <c r="C6555" s="106"/>
      <c r="D6555" s="107"/>
      <c r="E6555" s="65"/>
      <c r="F6555" s="64"/>
      <c r="G6555" s="64"/>
      <c r="H6555" s="64"/>
      <c r="I6555" s="70"/>
      <c r="J6555" s="70"/>
      <c r="K6555" s="110" t="str">
        <f>IF(H6555="","",IF($C$29="간이법","",FPR(H6555,I6555,J6555)))</f>
        <v/>
      </c>
      <c r="L6555" s="111" t="str">
        <f>IF(H6555="","",IF($C$29="상세법",FPV(H6555,K6555),IF(H6555="EI",4,IF(H6555="EO",5.2,IF(H6555="EQ",3.9,IF(H6555="ILF",7.5,IF(H6555="EIF",5.4)))))))</f>
        <v/>
      </c>
      <c r="M6555" s="112" t="str">
        <f t="shared" si="105"/>
        <v/>
      </c>
      <c r="N6555" s="113"/>
    </row>
    <row r="6556" spans="2:14">
      <c r="B6556" s="105"/>
      <c r="C6556" s="106"/>
      <c r="D6556" s="107"/>
      <c r="E6556" s="65"/>
      <c r="F6556" s="64"/>
      <c r="G6556" s="64"/>
      <c r="H6556" s="64"/>
      <c r="I6556" s="70"/>
      <c r="J6556" s="70"/>
      <c r="K6556" s="110" t="str">
        <f>IF(H6556="","",IF($C$29="간이법","",FPR(H6556,I6556,J6556)))</f>
        <v/>
      </c>
      <c r="L6556" s="111" t="str">
        <f>IF(H6556="","",IF($C$29="상세법",FPV(H6556,K6556),IF(H6556="EI",4,IF(H6556="EO",5.2,IF(H6556="EQ",3.9,IF(H6556="ILF",7.5,IF(H6556="EIF",5.4)))))))</f>
        <v/>
      </c>
      <c r="M6556" s="112" t="str">
        <f t="shared" si="105"/>
        <v/>
      </c>
      <c r="N6556" s="113"/>
    </row>
    <row r="6557" spans="2:14">
      <c r="B6557" s="105"/>
      <c r="C6557" s="106"/>
      <c r="D6557" s="107"/>
      <c r="E6557" s="65"/>
      <c r="F6557" s="64"/>
      <c r="G6557" s="64"/>
      <c r="H6557" s="64"/>
      <c r="I6557" s="70"/>
      <c r="J6557" s="70"/>
      <c r="K6557" s="110" t="str">
        <f>IF(H6557="","",IF($C$29="간이법","",FPR(H6557,I6557,J6557)))</f>
        <v/>
      </c>
      <c r="L6557" s="111" t="str">
        <f>IF(H6557="","",IF($C$29="상세법",FPV(H6557,K6557),IF(H6557="EI",4,IF(H6557="EO",5.2,IF(H6557="EQ",3.9,IF(H6557="ILF",7.5,IF(H6557="EIF",5.4)))))))</f>
        <v/>
      </c>
      <c r="M6557" s="112" t="str">
        <f t="shared" si="105"/>
        <v/>
      </c>
      <c r="N6557" s="113"/>
    </row>
    <row r="6558" spans="2:14">
      <c r="B6558" s="105"/>
      <c r="C6558" s="106"/>
      <c r="D6558" s="107"/>
      <c r="E6558" s="65"/>
      <c r="F6558" s="64"/>
      <c r="G6558" s="64"/>
      <c r="H6558" s="64"/>
      <c r="I6558" s="70"/>
      <c r="J6558" s="70"/>
      <c r="K6558" s="110" t="str">
        <f>IF(H6558="","",IF($C$29="간이법","",FPR(H6558,I6558,J6558)))</f>
        <v/>
      </c>
      <c r="L6558" s="111" t="str">
        <f>IF(H6558="","",IF($C$29="상세법",FPV(H6558,K6558),IF(H6558="EI",4,IF(H6558="EO",5.2,IF(H6558="EQ",3.9,IF(H6558="ILF",7.5,IF(H6558="EIF",5.4)))))))</f>
        <v/>
      </c>
      <c r="M6558" s="112" t="str">
        <f t="shared" si="105"/>
        <v/>
      </c>
      <c r="N6558" s="113"/>
    </row>
    <row r="6559" spans="2:14">
      <c r="B6559" s="105"/>
      <c r="C6559" s="106"/>
      <c r="D6559" s="107"/>
      <c r="E6559" s="65"/>
      <c r="F6559" s="64"/>
      <c r="G6559" s="64"/>
      <c r="H6559" s="64"/>
      <c r="I6559" s="70"/>
      <c r="J6559" s="70"/>
      <c r="K6559" s="110" t="str">
        <f>IF(H6559="","",IF($C$29="간이법","",FPR(H6559,I6559,J6559)))</f>
        <v/>
      </c>
      <c r="L6559" s="111" t="str">
        <f>IF(H6559="","",IF($C$29="상세법",FPV(H6559,K6559),IF(H6559="EI",4,IF(H6559="EO",5.2,IF(H6559="EQ",3.9,IF(H6559="ILF",7.5,IF(H6559="EIF",5.4)))))))</f>
        <v/>
      </c>
      <c r="M6559" s="112" t="str">
        <f t="shared" si="105"/>
        <v/>
      </c>
      <c r="N6559" s="113"/>
    </row>
    <row r="6560" spans="2:14">
      <c r="B6560" s="105"/>
      <c r="C6560" s="106"/>
      <c r="D6560" s="107"/>
      <c r="E6560" s="65"/>
      <c r="F6560" s="64"/>
      <c r="G6560" s="64"/>
      <c r="H6560" s="64"/>
      <c r="I6560" s="70"/>
      <c r="J6560" s="70"/>
      <c r="K6560" s="110" t="str">
        <f>IF(H6560="","",IF($C$29="간이법","",FPR(H6560,I6560,J6560)))</f>
        <v/>
      </c>
      <c r="L6560" s="111" t="str">
        <f>IF(H6560="","",IF($C$29="상세법",FPV(H6560,K6560),IF(H6560="EI",4,IF(H6560="EO",5.2,IF(H6560="EQ",3.9,IF(H6560="ILF",7.5,IF(H6560="EIF",5.4)))))))</f>
        <v/>
      </c>
      <c r="M6560" s="112" t="str">
        <f t="shared" si="105"/>
        <v/>
      </c>
      <c r="N6560" s="113"/>
    </row>
    <row r="6561" spans="2:14">
      <c r="B6561" s="105"/>
      <c r="C6561" s="106"/>
      <c r="D6561" s="107"/>
      <c r="E6561" s="65"/>
      <c r="F6561" s="64"/>
      <c r="G6561" s="64"/>
      <c r="H6561" s="64"/>
      <c r="I6561" s="70"/>
      <c r="J6561" s="70"/>
      <c r="K6561" s="110" t="str">
        <f>IF(H6561="","",IF($C$29="간이법","",FPR(H6561,I6561,J6561)))</f>
        <v/>
      </c>
      <c r="L6561" s="111" t="str">
        <f>IF(H6561="","",IF($C$29="상세법",FPV(H6561,K6561),IF(H6561="EI",4,IF(H6561="EO",5.2,IF(H6561="EQ",3.9,IF(H6561="ILF",7.5,IF(H6561="EIF",5.4)))))))</f>
        <v/>
      </c>
      <c r="M6561" s="112" t="str">
        <f t="shared" si="105"/>
        <v/>
      </c>
      <c r="N6561" s="113"/>
    </row>
    <row r="6562" spans="2:14">
      <c r="B6562" s="105"/>
      <c r="C6562" s="106"/>
      <c r="D6562" s="107"/>
      <c r="E6562" s="65"/>
      <c r="F6562" s="64"/>
      <c r="G6562" s="64"/>
      <c r="H6562" s="64"/>
      <c r="I6562" s="70"/>
      <c r="J6562" s="70"/>
      <c r="K6562" s="110" t="str">
        <f>IF(H6562="","",IF($C$29="간이법","",FPR(H6562,I6562,J6562)))</f>
        <v/>
      </c>
      <c r="L6562" s="111" t="str">
        <f>IF(H6562="","",IF($C$29="상세법",FPV(H6562,K6562),IF(H6562="EI",4,IF(H6562="EO",5.2,IF(H6562="EQ",3.9,IF(H6562="ILF",7.5,IF(H6562="EIF",5.4)))))))</f>
        <v/>
      </c>
      <c r="M6562" s="112" t="str">
        <f t="shared" si="105"/>
        <v/>
      </c>
      <c r="N6562" s="113"/>
    </row>
    <row r="6563" spans="2:14">
      <c r="B6563" s="105"/>
      <c r="C6563" s="106"/>
      <c r="D6563" s="107"/>
      <c r="E6563" s="65"/>
      <c r="F6563" s="64"/>
      <c r="G6563" s="64"/>
      <c r="H6563" s="64"/>
      <c r="I6563" s="70"/>
      <c r="J6563" s="70"/>
      <c r="K6563" s="110" t="str">
        <f>IF(H6563="","",IF($C$29="간이법","",FPR(H6563,I6563,J6563)))</f>
        <v/>
      </c>
      <c r="L6563" s="111" t="str">
        <f>IF(H6563="","",IF($C$29="상세법",FPV(H6563,K6563),IF(H6563="EI",4,IF(H6563="EO",5.2,IF(H6563="EQ",3.9,IF(H6563="ILF",7.5,IF(H6563="EIF",5.4)))))))</f>
        <v/>
      </c>
      <c r="M6563" s="112" t="str">
        <f t="shared" si="105"/>
        <v/>
      </c>
      <c r="N6563" s="113"/>
    </row>
    <row r="6564" spans="2:14">
      <c r="B6564" s="105"/>
      <c r="C6564" s="106"/>
      <c r="D6564" s="107"/>
      <c r="E6564" s="65"/>
      <c r="F6564" s="64"/>
      <c r="G6564" s="64"/>
      <c r="H6564" s="64"/>
      <c r="I6564" s="70"/>
      <c r="J6564" s="70"/>
      <c r="K6564" s="110" t="str">
        <f>IF(H6564="","",IF($C$29="간이법","",FPR(H6564,I6564,J6564)))</f>
        <v/>
      </c>
      <c r="L6564" s="111" t="str">
        <f>IF(H6564="","",IF($C$29="상세법",FPV(H6564,K6564),IF(H6564="EI",4,IF(H6564="EO",5.2,IF(H6564="EQ",3.9,IF(H6564="ILF",7.5,IF(H6564="EIF",5.4)))))))</f>
        <v/>
      </c>
      <c r="M6564" s="112" t="str">
        <f t="shared" si="105"/>
        <v/>
      </c>
      <c r="N6564" s="113"/>
    </row>
    <row r="6565" spans="2:14">
      <c r="B6565" s="105"/>
      <c r="C6565" s="106"/>
      <c r="D6565" s="107"/>
      <c r="E6565" s="65"/>
      <c r="F6565" s="64"/>
      <c r="G6565" s="64"/>
      <c r="H6565" s="64"/>
      <c r="I6565" s="70"/>
      <c r="J6565" s="70"/>
      <c r="K6565" s="110" t="str">
        <f>IF(H6565="","",IF($C$29="간이법","",FPR(H6565,I6565,J6565)))</f>
        <v/>
      </c>
      <c r="L6565" s="111" t="str">
        <f>IF(H6565="","",IF($C$29="상세법",FPV(H6565,K6565),IF(H6565="EI",4,IF(H6565="EO",5.2,IF(H6565="EQ",3.9,IF(H6565="ILF",7.5,IF(H6565="EIF",5.4)))))))</f>
        <v/>
      </c>
      <c r="M6565" s="112" t="str">
        <f t="shared" si="105"/>
        <v/>
      </c>
      <c r="N6565" s="113"/>
    </row>
    <row r="6566" spans="2:14">
      <c r="B6566" s="105"/>
      <c r="C6566" s="106"/>
      <c r="D6566" s="107"/>
      <c r="E6566" s="65"/>
      <c r="F6566" s="64"/>
      <c r="G6566" s="64"/>
      <c r="H6566" s="64"/>
      <c r="I6566" s="70"/>
      <c r="J6566" s="70"/>
      <c r="K6566" s="110" t="str">
        <f>IF(H6566="","",IF($C$29="간이법","",FPR(H6566,I6566,J6566)))</f>
        <v/>
      </c>
      <c r="L6566" s="111" t="str">
        <f>IF(H6566="","",IF($C$29="상세법",FPV(H6566,K6566),IF(H6566="EI",4,IF(H6566="EO",5.2,IF(H6566="EQ",3.9,IF(H6566="ILF",7.5,IF(H6566="EIF",5.4)))))))</f>
        <v/>
      </c>
      <c r="M6566" s="112" t="str">
        <f t="shared" si="105"/>
        <v/>
      </c>
      <c r="N6566" s="113"/>
    </row>
    <row r="6567" spans="2:14">
      <c r="B6567" s="105"/>
      <c r="C6567" s="106"/>
      <c r="D6567" s="107"/>
      <c r="E6567" s="65"/>
      <c r="F6567" s="64"/>
      <c r="G6567" s="64"/>
      <c r="H6567" s="64"/>
      <c r="I6567" s="70"/>
      <c r="J6567" s="70"/>
      <c r="K6567" s="110" t="str">
        <f>IF(H6567="","",IF($C$29="간이법","",FPR(H6567,I6567,J6567)))</f>
        <v/>
      </c>
      <c r="L6567" s="111" t="str">
        <f>IF(H6567="","",IF($C$29="상세법",FPV(H6567,K6567),IF(H6567="EI",4,IF(H6567="EO",5.2,IF(H6567="EQ",3.9,IF(H6567="ILF",7.5,IF(H6567="EIF",5.4)))))))</f>
        <v/>
      </c>
      <c r="M6567" s="112" t="str">
        <f t="shared" si="105"/>
        <v/>
      </c>
      <c r="N6567" s="113"/>
    </row>
    <row r="6568" spans="2:14">
      <c r="B6568" s="105"/>
      <c r="C6568" s="106"/>
      <c r="D6568" s="107"/>
      <c r="E6568" s="65"/>
      <c r="F6568" s="64"/>
      <c r="G6568" s="64"/>
      <c r="H6568" s="64"/>
      <c r="I6568" s="70"/>
      <c r="J6568" s="70"/>
      <c r="K6568" s="110" t="str">
        <f>IF(H6568="","",IF($C$29="간이법","",FPR(H6568,I6568,J6568)))</f>
        <v/>
      </c>
      <c r="L6568" s="111" t="str">
        <f>IF(H6568="","",IF($C$29="상세법",FPV(H6568,K6568),IF(H6568="EI",4,IF(H6568="EO",5.2,IF(H6568="EQ",3.9,IF(H6568="ILF",7.5,IF(H6568="EIF",5.4)))))))</f>
        <v/>
      </c>
      <c r="M6568" s="112" t="str">
        <f t="shared" si="105"/>
        <v/>
      </c>
      <c r="N6568" s="113"/>
    </row>
    <row r="6569" spans="2:14">
      <c r="B6569" s="105"/>
      <c r="C6569" s="106"/>
      <c r="D6569" s="107"/>
      <c r="E6569" s="65"/>
      <c r="F6569" s="64"/>
      <c r="G6569" s="64"/>
      <c r="H6569" s="64"/>
      <c r="I6569" s="70"/>
      <c r="J6569" s="70"/>
      <c r="K6569" s="110" t="str">
        <f>IF(H6569="","",IF($C$29="간이법","",FPR(H6569,I6569,J6569)))</f>
        <v/>
      </c>
      <c r="L6569" s="111" t="str">
        <f>IF(H6569="","",IF($C$29="상세법",FPV(H6569,K6569),IF(H6569="EI",4,IF(H6569="EO",5.2,IF(H6569="EQ",3.9,IF(H6569="ILF",7.5,IF(H6569="EIF",5.4)))))))</f>
        <v/>
      </c>
      <c r="M6569" s="112" t="str">
        <f t="shared" si="105"/>
        <v/>
      </c>
      <c r="N6569" s="113"/>
    </row>
    <row r="6570" spans="2:14">
      <c r="B6570" s="105"/>
      <c r="C6570" s="106"/>
      <c r="D6570" s="107"/>
      <c r="E6570" s="65"/>
      <c r="F6570" s="64"/>
      <c r="G6570" s="64"/>
      <c r="H6570" s="64"/>
      <c r="I6570" s="70"/>
      <c r="J6570" s="70"/>
      <c r="K6570" s="110" t="str">
        <f>IF(H6570="","",IF($C$29="간이법","",FPR(H6570,I6570,J6570)))</f>
        <v/>
      </c>
      <c r="L6570" s="111" t="str">
        <f>IF(H6570="","",IF($C$29="상세법",FPV(H6570,K6570),IF(H6570="EI",4,IF(H6570="EO",5.2,IF(H6570="EQ",3.9,IF(H6570="ILF",7.5,IF(H6570="EIF",5.4)))))))</f>
        <v/>
      </c>
      <c r="M6570" s="112" t="str">
        <f t="shared" si="105"/>
        <v/>
      </c>
      <c r="N6570" s="113"/>
    </row>
    <row r="6571" spans="2:14">
      <c r="B6571" s="105"/>
      <c r="C6571" s="106"/>
      <c r="D6571" s="107"/>
      <c r="E6571" s="65"/>
      <c r="F6571" s="64"/>
      <c r="G6571" s="64"/>
      <c r="H6571" s="64"/>
      <c r="I6571" s="70"/>
      <c r="J6571" s="70"/>
      <c r="K6571" s="110" t="str">
        <f>IF(H6571="","",IF($C$29="간이법","",FPR(H6571,I6571,J6571)))</f>
        <v/>
      </c>
      <c r="L6571" s="111" t="str">
        <f>IF(H6571="","",IF($C$29="상세법",FPV(H6571,K6571),IF(H6571="EI",4,IF(H6571="EO",5.2,IF(H6571="EQ",3.9,IF(H6571="ILF",7.5,IF(H6571="EIF",5.4)))))))</f>
        <v/>
      </c>
      <c r="M6571" s="112" t="str">
        <f t="shared" si="105"/>
        <v/>
      </c>
      <c r="N6571" s="113"/>
    </row>
    <row r="6572" spans="2:14">
      <c r="B6572" s="105"/>
      <c r="C6572" s="106"/>
      <c r="D6572" s="107"/>
      <c r="E6572" s="65"/>
      <c r="F6572" s="64"/>
      <c r="G6572" s="64"/>
      <c r="H6572" s="64"/>
      <c r="I6572" s="70"/>
      <c r="J6572" s="70"/>
      <c r="K6572" s="110" t="str">
        <f>IF(H6572="","",IF($C$29="간이법","",FPR(H6572,I6572,J6572)))</f>
        <v/>
      </c>
      <c r="L6572" s="111" t="str">
        <f>IF(H6572="","",IF($C$29="상세법",FPV(H6572,K6572),IF(H6572="EI",4,IF(H6572="EO",5.2,IF(H6572="EQ",3.9,IF(H6572="ILF",7.5,IF(H6572="EIF",5.4)))))))</f>
        <v/>
      </c>
      <c r="M6572" s="112" t="str">
        <f t="shared" si="105"/>
        <v/>
      </c>
      <c r="N6572" s="113"/>
    </row>
    <row r="6573" spans="2:14">
      <c r="B6573" s="105"/>
      <c r="C6573" s="106"/>
      <c r="D6573" s="107"/>
      <c r="E6573" s="65"/>
      <c r="F6573" s="64"/>
      <c r="G6573" s="64"/>
      <c r="H6573" s="64"/>
      <c r="I6573" s="70"/>
      <c r="J6573" s="70"/>
      <c r="K6573" s="110" t="str">
        <f>IF(H6573="","",IF($C$29="간이법","",FPR(H6573,I6573,J6573)))</f>
        <v/>
      </c>
      <c r="L6573" s="111" t="str">
        <f>IF(H6573="","",IF($C$29="상세법",FPV(H6573,K6573),IF(H6573="EI",4,IF(H6573="EO",5.2,IF(H6573="EQ",3.9,IF(H6573="ILF",7.5,IF(H6573="EIF",5.4)))))))</f>
        <v/>
      </c>
      <c r="M6573" s="112" t="str">
        <f t="shared" si="105"/>
        <v/>
      </c>
      <c r="N6573" s="113"/>
    </row>
    <row r="6574" spans="2:14">
      <c r="B6574" s="105"/>
      <c r="C6574" s="106"/>
      <c r="D6574" s="107"/>
      <c r="E6574" s="65"/>
      <c r="F6574" s="64"/>
      <c r="G6574" s="64"/>
      <c r="H6574" s="64"/>
      <c r="I6574" s="70"/>
      <c r="J6574" s="70"/>
      <c r="K6574" s="110" t="str">
        <f>IF(H6574="","",IF($C$29="간이법","",FPR(H6574,I6574,J6574)))</f>
        <v/>
      </c>
      <c r="L6574" s="111" t="str">
        <f>IF(H6574="","",IF($C$29="상세법",FPV(H6574,K6574),IF(H6574="EI",4,IF(H6574="EO",5.2,IF(H6574="EQ",3.9,IF(H6574="ILF",7.5,IF(H6574="EIF",5.4)))))))</f>
        <v/>
      </c>
      <c r="M6574" s="112" t="str">
        <f t="shared" si="105"/>
        <v/>
      </c>
      <c r="N6574" s="113"/>
    </row>
    <row r="6575" spans="2:14">
      <c r="B6575" s="105"/>
      <c r="C6575" s="106"/>
      <c r="D6575" s="107"/>
      <c r="E6575" s="65"/>
      <c r="F6575" s="64"/>
      <c r="G6575" s="64"/>
      <c r="H6575" s="64"/>
      <c r="I6575" s="70"/>
      <c r="J6575" s="70"/>
      <c r="K6575" s="110" t="str">
        <f>IF(H6575="","",IF($C$29="간이법","",FPR(H6575,I6575,J6575)))</f>
        <v/>
      </c>
      <c r="L6575" s="111" t="str">
        <f>IF(H6575="","",IF($C$29="상세법",FPV(H6575,K6575),IF(H6575="EI",4,IF(H6575="EO",5.2,IF(H6575="EQ",3.9,IF(H6575="ILF",7.5,IF(H6575="EIF",5.4)))))))</f>
        <v/>
      </c>
      <c r="M6575" s="112" t="str">
        <f t="shared" si="105"/>
        <v/>
      </c>
      <c r="N6575" s="113"/>
    </row>
    <row r="6576" spans="2:14">
      <c r="B6576" s="105"/>
      <c r="C6576" s="106"/>
      <c r="D6576" s="107"/>
      <c r="E6576" s="65"/>
      <c r="F6576" s="64"/>
      <c r="G6576" s="64"/>
      <c r="H6576" s="64"/>
      <c r="I6576" s="70"/>
      <c r="J6576" s="70"/>
      <c r="K6576" s="110" t="str">
        <f>IF(H6576="","",IF($C$29="간이법","",FPR(H6576,I6576,J6576)))</f>
        <v/>
      </c>
      <c r="L6576" s="111" t="str">
        <f>IF(H6576="","",IF($C$29="상세법",FPV(H6576,K6576),IF(H6576="EI",4,IF(H6576="EO",5.2,IF(H6576="EQ",3.9,IF(H6576="ILF",7.5,IF(H6576="EIF",5.4)))))))</f>
        <v/>
      </c>
      <c r="M6576" s="112" t="str">
        <f t="shared" si="105"/>
        <v/>
      </c>
      <c r="N6576" s="113"/>
    </row>
    <row r="6577" spans="2:14">
      <c r="B6577" s="105"/>
      <c r="C6577" s="106"/>
      <c r="D6577" s="107"/>
      <c r="E6577" s="65"/>
      <c r="F6577" s="64"/>
      <c r="G6577" s="64"/>
      <c r="H6577" s="64"/>
      <c r="I6577" s="70"/>
      <c r="J6577" s="70"/>
      <c r="K6577" s="110" t="str">
        <f>IF(H6577="","",IF($C$29="간이법","",FPR(H6577,I6577,J6577)))</f>
        <v/>
      </c>
      <c r="L6577" s="111" t="str">
        <f>IF(H6577="","",IF($C$29="상세법",FPV(H6577,K6577),IF(H6577="EI",4,IF(H6577="EO",5.2,IF(H6577="EQ",3.9,IF(H6577="ILF",7.5,IF(H6577="EIF",5.4)))))))</f>
        <v/>
      </c>
      <c r="M6577" s="112" t="str">
        <f t="shared" si="105"/>
        <v/>
      </c>
      <c r="N6577" s="113"/>
    </row>
    <row r="6578" spans="2:14">
      <c r="B6578" s="105"/>
      <c r="C6578" s="106"/>
      <c r="D6578" s="107"/>
      <c r="E6578" s="65"/>
      <c r="F6578" s="64"/>
      <c r="G6578" s="64"/>
      <c r="H6578" s="64"/>
      <c r="I6578" s="70"/>
      <c r="J6578" s="70"/>
      <c r="K6578" s="110" t="str">
        <f>IF(H6578="","",IF($C$29="간이법","",FPR(H6578,I6578,J6578)))</f>
        <v/>
      </c>
      <c r="L6578" s="111" t="str">
        <f>IF(H6578="","",IF($C$29="상세법",FPV(H6578,K6578),IF(H6578="EI",4,IF(H6578="EO",5.2,IF(H6578="EQ",3.9,IF(H6578="ILF",7.5,IF(H6578="EIF",5.4)))))))</f>
        <v/>
      </c>
      <c r="M6578" s="112" t="str">
        <f t="shared" si="105"/>
        <v/>
      </c>
      <c r="N6578" s="113"/>
    </row>
    <row r="6579" spans="2:14">
      <c r="B6579" s="105"/>
      <c r="C6579" s="106"/>
      <c r="D6579" s="107"/>
      <c r="E6579" s="65"/>
      <c r="F6579" s="64"/>
      <c r="G6579" s="64"/>
      <c r="H6579" s="64"/>
      <c r="I6579" s="70"/>
      <c r="J6579" s="70"/>
      <c r="K6579" s="110" t="str">
        <f>IF(H6579="","",IF($C$29="간이법","",FPR(H6579,I6579,J6579)))</f>
        <v/>
      </c>
      <c r="L6579" s="111" t="str">
        <f>IF(H6579="","",IF($C$29="상세법",FPV(H6579,K6579),IF(H6579="EI",4,IF(H6579="EO",5.2,IF(H6579="EQ",3.9,IF(H6579="ILF",7.5,IF(H6579="EIF",5.4)))))))</f>
        <v/>
      </c>
      <c r="M6579" s="112" t="str">
        <f t="shared" si="105"/>
        <v/>
      </c>
      <c r="N6579" s="113"/>
    </row>
    <row r="6580" spans="2:14">
      <c r="B6580" s="105"/>
      <c r="C6580" s="106"/>
      <c r="D6580" s="107"/>
      <c r="E6580" s="65"/>
      <c r="F6580" s="64"/>
      <c r="G6580" s="64"/>
      <c r="H6580" s="64"/>
      <c r="I6580" s="70"/>
      <c r="J6580" s="70"/>
      <c r="K6580" s="110" t="str">
        <f>IF(H6580="","",IF($C$29="간이법","",FPR(H6580,I6580,J6580)))</f>
        <v/>
      </c>
      <c r="L6580" s="111" t="str">
        <f>IF(H6580="","",IF($C$29="상세법",FPV(H6580,K6580),IF(H6580="EI",4,IF(H6580="EO",5.2,IF(H6580="EQ",3.9,IF(H6580="ILF",7.5,IF(H6580="EIF",5.4)))))))</f>
        <v/>
      </c>
      <c r="M6580" s="112" t="str">
        <f t="shared" si="105"/>
        <v/>
      </c>
      <c r="N6580" s="113"/>
    </row>
    <row r="6581" spans="2:14">
      <c r="B6581" s="105"/>
      <c r="C6581" s="106"/>
      <c r="D6581" s="107"/>
      <c r="E6581" s="65"/>
      <c r="F6581" s="64"/>
      <c r="G6581" s="64"/>
      <c r="H6581" s="64"/>
      <c r="I6581" s="70"/>
      <c r="J6581" s="70"/>
      <c r="K6581" s="110" t="str">
        <f>IF(H6581="","",IF($C$29="간이법","",FPR(H6581,I6581,J6581)))</f>
        <v/>
      </c>
      <c r="L6581" s="111" t="str">
        <f>IF(H6581="","",IF($C$29="상세법",FPV(H6581,K6581),IF(H6581="EI",4,IF(H6581="EO",5.2,IF(H6581="EQ",3.9,IF(H6581="ILF",7.5,IF(H6581="EIF",5.4)))))))</f>
        <v/>
      </c>
      <c r="M6581" s="112" t="str">
        <f t="shared" si="105"/>
        <v/>
      </c>
      <c r="N6581" s="113"/>
    </row>
    <row r="6582" spans="2:14">
      <c r="B6582" s="105"/>
      <c r="C6582" s="106"/>
      <c r="D6582" s="107"/>
      <c r="E6582" s="65"/>
      <c r="F6582" s="64"/>
      <c r="G6582" s="64"/>
      <c r="H6582" s="64"/>
      <c r="I6582" s="70"/>
      <c r="J6582" s="70"/>
      <c r="K6582" s="110" t="str">
        <f>IF(H6582="","",IF($C$29="간이법","",FPR(H6582,I6582,J6582)))</f>
        <v/>
      </c>
      <c r="L6582" s="111" t="str">
        <f>IF(H6582="","",IF($C$29="상세법",FPV(H6582,K6582),IF(H6582="EI",4,IF(H6582="EO",5.2,IF(H6582="EQ",3.9,IF(H6582="ILF",7.5,IF(H6582="EIF",5.4)))))))</f>
        <v/>
      </c>
      <c r="M6582" s="112" t="str">
        <f t="shared" si="105"/>
        <v/>
      </c>
      <c r="N6582" s="113"/>
    </row>
    <row r="6583" spans="2:14">
      <c r="B6583" s="105"/>
      <c r="C6583" s="106"/>
      <c r="D6583" s="107"/>
      <c r="E6583" s="65"/>
      <c r="F6583" s="64"/>
      <c r="G6583" s="64"/>
      <c r="H6583" s="64"/>
      <c r="I6583" s="70"/>
      <c r="J6583" s="70"/>
      <c r="K6583" s="110" t="str">
        <f>IF(H6583="","",IF($C$29="간이법","",FPR(H6583,I6583,J6583)))</f>
        <v/>
      </c>
      <c r="L6583" s="111" t="str">
        <f>IF(H6583="","",IF($C$29="상세법",FPV(H6583,K6583),IF(H6583="EI",4,IF(H6583="EO",5.2,IF(H6583="EQ",3.9,IF(H6583="ILF",7.5,IF(H6583="EIF",5.4)))))))</f>
        <v/>
      </c>
      <c r="M6583" s="112" t="str">
        <f t="shared" si="105"/>
        <v/>
      </c>
      <c r="N6583" s="113"/>
    </row>
    <row r="6584" spans="2:14">
      <c r="B6584" s="105"/>
      <c r="C6584" s="106"/>
      <c r="D6584" s="107"/>
      <c r="E6584" s="65"/>
      <c r="F6584" s="64"/>
      <c r="G6584" s="64"/>
      <c r="H6584" s="64"/>
      <c r="I6584" s="70"/>
      <c r="J6584" s="70"/>
      <c r="K6584" s="110" t="str">
        <f>IF(H6584="","",IF($C$29="간이법","",FPR(H6584,I6584,J6584)))</f>
        <v/>
      </c>
      <c r="L6584" s="111" t="str">
        <f>IF(H6584="","",IF($C$29="상세법",FPV(H6584,K6584),IF(H6584="EI",4,IF(H6584="EO",5.2,IF(H6584="EQ",3.9,IF(H6584="ILF",7.5,IF(H6584="EIF",5.4)))))))</f>
        <v/>
      </c>
      <c r="M6584" s="112" t="str">
        <f t="shared" si="105"/>
        <v/>
      </c>
      <c r="N6584" s="113"/>
    </row>
    <row r="6585" spans="2:14">
      <c r="B6585" s="105"/>
      <c r="C6585" s="106"/>
      <c r="D6585" s="107"/>
      <c r="E6585" s="65"/>
      <c r="F6585" s="64"/>
      <c r="G6585" s="64"/>
      <c r="H6585" s="64"/>
      <c r="I6585" s="70"/>
      <c r="J6585" s="70"/>
      <c r="K6585" s="110" t="str">
        <f>IF(H6585="","",IF($C$29="간이법","",FPR(H6585,I6585,J6585)))</f>
        <v/>
      </c>
      <c r="L6585" s="111" t="str">
        <f>IF(H6585="","",IF($C$29="상세법",FPV(H6585,K6585),IF(H6585="EI",4,IF(H6585="EO",5.2,IF(H6585="EQ",3.9,IF(H6585="ILF",7.5,IF(H6585="EIF",5.4)))))))</f>
        <v/>
      </c>
      <c r="M6585" s="112" t="str">
        <f t="shared" ref="M6585:M6648" si="106">IF(L6585="","",L6585*IF(G6585="상",0.7,IF(G6585="중",0.5,IF(G6585="하",0.2,1))))</f>
        <v/>
      </c>
      <c r="N6585" s="113"/>
    </row>
    <row r="6586" spans="2:14">
      <c r="B6586" s="105"/>
      <c r="C6586" s="106"/>
      <c r="D6586" s="107"/>
      <c r="E6586" s="65"/>
      <c r="F6586" s="64"/>
      <c r="G6586" s="64"/>
      <c r="H6586" s="64"/>
      <c r="I6586" s="70"/>
      <c r="J6586" s="70"/>
      <c r="K6586" s="110" t="str">
        <f>IF(H6586="","",IF($C$29="간이법","",FPR(H6586,I6586,J6586)))</f>
        <v/>
      </c>
      <c r="L6586" s="111" t="str">
        <f>IF(H6586="","",IF($C$29="상세법",FPV(H6586,K6586),IF(H6586="EI",4,IF(H6586="EO",5.2,IF(H6586="EQ",3.9,IF(H6586="ILF",7.5,IF(H6586="EIF",5.4)))))))</f>
        <v/>
      </c>
      <c r="M6586" s="112" t="str">
        <f t="shared" si="106"/>
        <v/>
      </c>
      <c r="N6586" s="113"/>
    </row>
    <row r="6587" spans="2:14">
      <c r="B6587" s="105"/>
      <c r="C6587" s="106"/>
      <c r="D6587" s="107"/>
      <c r="E6587" s="65"/>
      <c r="F6587" s="64"/>
      <c r="G6587" s="64"/>
      <c r="H6587" s="64"/>
      <c r="I6587" s="70"/>
      <c r="J6587" s="70"/>
      <c r="K6587" s="110" t="str">
        <f>IF(H6587="","",IF($C$29="간이법","",FPR(H6587,I6587,J6587)))</f>
        <v/>
      </c>
      <c r="L6587" s="111" t="str">
        <f>IF(H6587="","",IF($C$29="상세법",FPV(H6587,K6587),IF(H6587="EI",4,IF(H6587="EO",5.2,IF(H6587="EQ",3.9,IF(H6587="ILF",7.5,IF(H6587="EIF",5.4)))))))</f>
        <v/>
      </c>
      <c r="M6587" s="112" t="str">
        <f t="shared" si="106"/>
        <v/>
      </c>
      <c r="N6587" s="113"/>
    </row>
    <row r="6588" spans="2:14">
      <c r="B6588" s="105"/>
      <c r="C6588" s="106"/>
      <c r="D6588" s="107"/>
      <c r="E6588" s="65"/>
      <c r="F6588" s="64"/>
      <c r="G6588" s="64"/>
      <c r="H6588" s="64"/>
      <c r="I6588" s="70"/>
      <c r="J6588" s="70"/>
      <c r="K6588" s="110" t="str">
        <f>IF(H6588="","",IF($C$29="간이법","",FPR(H6588,I6588,J6588)))</f>
        <v/>
      </c>
      <c r="L6588" s="111" t="str">
        <f>IF(H6588="","",IF($C$29="상세법",FPV(H6588,K6588),IF(H6588="EI",4,IF(H6588="EO",5.2,IF(H6588="EQ",3.9,IF(H6588="ILF",7.5,IF(H6588="EIF",5.4)))))))</f>
        <v/>
      </c>
      <c r="M6588" s="112" t="str">
        <f t="shared" si="106"/>
        <v/>
      </c>
      <c r="N6588" s="113"/>
    </row>
    <row r="6589" spans="2:14">
      <c r="B6589" s="105"/>
      <c r="C6589" s="106"/>
      <c r="D6589" s="107"/>
      <c r="E6589" s="65"/>
      <c r="F6589" s="64"/>
      <c r="G6589" s="64"/>
      <c r="H6589" s="64"/>
      <c r="I6589" s="70"/>
      <c r="J6589" s="70"/>
      <c r="K6589" s="110" t="str">
        <f>IF(H6589="","",IF($C$29="간이법","",FPR(H6589,I6589,J6589)))</f>
        <v/>
      </c>
      <c r="L6589" s="111" t="str">
        <f>IF(H6589="","",IF($C$29="상세법",FPV(H6589,K6589),IF(H6589="EI",4,IF(H6589="EO",5.2,IF(H6589="EQ",3.9,IF(H6589="ILF",7.5,IF(H6589="EIF",5.4)))))))</f>
        <v/>
      </c>
      <c r="M6589" s="112" t="str">
        <f t="shared" si="106"/>
        <v/>
      </c>
      <c r="N6589" s="113"/>
    </row>
    <row r="6590" spans="2:14">
      <c r="B6590" s="105"/>
      <c r="C6590" s="106"/>
      <c r="D6590" s="107"/>
      <c r="E6590" s="65"/>
      <c r="F6590" s="64"/>
      <c r="G6590" s="64"/>
      <c r="H6590" s="64"/>
      <c r="I6590" s="70"/>
      <c r="J6590" s="70"/>
      <c r="K6590" s="110" t="str">
        <f>IF(H6590="","",IF($C$29="간이법","",FPR(H6590,I6590,J6590)))</f>
        <v/>
      </c>
      <c r="L6590" s="111" t="str">
        <f>IF(H6590="","",IF($C$29="상세법",FPV(H6590,K6590),IF(H6590="EI",4,IF(H6590="EO",5.2,IF(H6590="EQ",3.9,IF(H6590="ILF",7.5,IF(H6590="EIF",5.4)))))))</f>
        <v/>
      </c>
      <c r="M6590" s="112" t="str">
        <f t="shared" si="106"/>
        <v/>
      </c>
      <c r="N6590" s="113"/>
    </row>
    <row r="6591" spans="2:14">
      <c r="B6591" s="105"/>
      <c r="C6591" s="106"/>
      <c r="D6591" s="107"/>
      <c r="E6591" s="65"/>
      <c r="F6591" s="64"/>
      <c r="G6591" s="64"/>
      <c r="H6591" s="64"/>
      <c r="I6591" s="70"/>
      <c r="J6591" s="70"/>
      <c r="K6591" s="110" t="str">
        <f>IF(H6591="","",IF($C$29="간이법","",FPR(H6591,I6591,J6591)))</f>
        <v/>
      </c>
      <c r="L6591" s="111" t="str">
        <f>IF(H6591="","",IF($C$29="상세법",FPV(H6591,K6591),IF(H6591="EI",4,IF(H6591="EO",5.2,IF(H6591="EQ",3.9,IF(H6591="ILF",7.5,IF(H6591="EIF",5.4)))))))</f>
        <v/>
      </c>
      <c r="M6591" s="112" t="str">
        <f t="shared" si="106"/>
        <v/>
      </c>
      <c r="N6591" s="113"/>
    </row>
    <row r="6592" spans="2:14">
      <c r="B6592" s="105"/>
      <c r="C6592" s="106"/>
      <c r="D6592" s="107"/>
      <c r="E6592" s="65"/>
      <c r="F6592" s="64"/>
      <c r="G6592" s="64"/>
      <c r="H6592" s="64"/>
      <c r="I6592" s="70"/>
      <c r="J6592" s="70"/>
      <c r="K6592" s="110" t="str">
        <f>IF(H6592="","",IF($C$29="간이법","",FPR(H6592,I6592,J6592)))</f>
        <v/>
      </c>
      <c r="L6592" s="111" t="str">
        <f>IF(H6592="","",IF($C$29="상세법",FPV(H6592,K6592),IF(H6592="EI",4,IF(H6592="EO",5.2,IF(H6592="EQ",3.9,IF(H6592="ILF",7.5,IF(H6592="EIF",5.4)))))))</f>
        <v/>
      </c>
      <c r="M6592" s="112" t="str">
        <f t="shared" si="106"/>
        <v/>
      </c>
      <c r="N6592" s="113"/>
    </row>
    <row r="6593" spans="2:14">
      <c r="B6593" s="105"/>
      <c r="C6593" s="106"/>
      <c r="D6593" s="107"/>
      <c r="E6593" s="65"/>
      <c r="F6593" s="64"/>
      <c r="G6593" s="64"/>
      <c r="H6593" s="64"/>
      <c r="I6593" s="70"/>
      <c r="J6593" s="70"/>
      <c r="K6593" s="110" t="str">
        <f>IF(H6593="","",IF($C$29="간이법","",FPR(H6593,I6593,J6593)))</f>
        <v/>
      </c>
      <c r="L6593" s="111" t="str">
        <f>IF(H6593="","",IF($C$29="상세법",FPV(H6593,K6593),IF(H6593="EI",4,IF(H6593="EO",5.2,IF(H6593="EQ",3.9,IF(H6593="ILF",7.5,IF(H6593="EIF",5.4)))))))</f>
        <v/>
      </c>
      <c r="M6593" s="112" t="str">
        <f t="shared" si="106"/>
        <v/>
      </c>
      <c r="N6593" s="113"/>
    </row>
    <row r="6594" spans="2:14">
      <c r="B6594" s="105"/>
      <c r="C6594" s="106"/>
      <c r="D6594" s="107"/>
      <c r="E6594" s="65"/>
      <c r="F6594" s="64"/>
      <c r="G6594" s="64"/>
      <c r="H6594" s="64"/>
      <c r="I6594" s="70"/>
      <c r="J6594" s="70"/>
      <c r="K6594" s="110" t="str">
        <f>IF(H6594="","",IF($C$29="간이법","",FPR(H6594,I6594,J6594)))</f>
        <v/>
      </c>
      <c r="L6594" s="111" t="str">
        <f>IF(H6594="","",IF($C$29="상세법",FPV(H6594,K6594),IF(H6594="EI",4,IF(H6594="EO",5.2,IF(H6594="EQ",3.9,IF(H6594="ILF",7.5,IF(H6594="EIF",5.4)))))))</f>
        <v/>
      </c>
      <c r="M6594" s="112" t="str">
        <f t="shared" si="106"/>
        <v/>
      </c>
      <c r="N6594" s="113"/>
    </row>
    <row r="6595" spans="2:14">
      <c r="B6595" s="105"/>
      <c r="C6595" s="106"/>
      <c r="D6595" s="107"/>
      <c r="E6595" s="65"/>
      <c r="F6595" s="64"/>
      <c r="G6595" s="64"/>
      <c r="H6595" s="64"/>
      <c r="I6595" s="70"/>
      <c r="J6595" s="70"/>
      <c r="K6595" s="110" t="str">
        <f>IF(H6595="","",IF($C$29="간이법","",FPR(H6595,I6595,J6595)))</f>
        <v/>
      </c>
      <c r="L6595" s="111" t="str">
        <f>IF(H6595="","",IF($C$29="상세법",FPV(H6595,K6595),IF(H6595="EI",4,IF(H6595="EO",5.2,IF(H6595="EQ",3.9,IF(H6595="ILF",7.5,IF(H6595="EIF",5.4)))))))</f>
        <v/>
      </c>
      <c r="M6595" s="112" t="str">
        <f t="shared" si="106"/>
        <v/>
      </c>
      <c r="N6595" s="113"/>
    </row>
    <row r="6596" spans="2:14">
      <c r="B6596" s="105"/>
      <c r="C6596" s="106"/>
      <c r="D6596" s="107"/>
      <c r="E6596" s="65"/>
      <c r="F6596" s="64"/>
      <c r="G6596" s="64"/>
      <c r="H6596" s="64"/>
      <c r="I6596" s="70"/>
      <c r="J6596" s="70"/>
      <c r="K6596" s="110" t="str">
        <f>IF(H6596="","",IF($C$29="간이법","",FPR(H6596,I6596,J6596)))</f>
        <v/>
      </c>
      <c r="L6596" s="111" t="str">
        <f>IF(H6596="","",IF($C$29="상세법",FPV(H6596,K6596),IF(H6596="EI",4,IF(H6596="EO",5.2,IF(H6596="EQ",3.9,IF(H6596="ILF",7.5,IF(H6596="EIF",5.4)))))))</f>
        <v/>
      </c>
      <c r="M6596" s="112" t="str">
        <f t="shared" si="106"/>
        <v/>
      </c>
      <c r="N6596" s="113"/>
    </row>
    <row r="6597" spans="2:14">
      <c r="B6597" s="105"/>
      <c r="C6597" s="106"/>
      <c r="D6597" s="107"/>
      <c r="E6597" s="65"/>
      <c r="F6597" s="64"/>
      <c r="G6597" s="64"/>
      <c r="H6597" s="64"/>
      <c r="I6597" s="70"/>
      <c r="J6597" s="70"/>
      <c r="K6597" s="110" t="str">
        <f>IF(H6597="","",IF($C$29="간이법","",FPR(H6597,I6597,J6597)))</f>
        <v/>
      </c>
      <c r="L6597" s="111" t="str">
        <f>IF(H6597="","",IF($C$29="상세법",FPV(H6597,K6597),IF(H6597="EI",4,IF(H6597="EO",5.2,IF(H6597="EQ",3.9,IF(H6597="ILF",7.5,IF(H6597="EIF",5.4)))))))</f>
        <v/>
      </c>
      <c r="M6597" s="112" t="str">
        <f t="shared" si="106"/>
        <v/>
      </c>
      <c r="N6597" s="113"/>
    </row>
    <row r="6598" spans="2:14">
      <c r="B6598" s="105"/>
      <c r="C6598" s="106"/>
      <c r="D6598" s="107"/>
      <c r="E6598" s="65"/>
      <c r="F6598" s="64"/>
      <c r="G6598" s="64"/>
      <c r="H6598" s="64"/>
      <c r="I6598" s="70"/>
      <c r="J6598" s="70"/>
      <c r="K6598" s="110" t="str">
        <f>IF(H6598="","",IF($C$29="간이법","",FPR(H6598,I6598,J6598)))</f>
        <v/>
      </c>
      <c r="L6598" s="111" t="str">
        <f>IF(H6598="","",IF($C$29="상세법",FPV(H6598,K6598),IF(H6598="EI",4,IF(H6598="EO",5.2,IF(H6598="EQ",3.9,IF(H6598="ILF",7.5,IF(H6598="EIF",5.4)))))))</f>
        <v/>
      </c>
      <c r="M6598" s="112" t="str">
        <f t="shared" si="106"/>
        <v/>
      </c>
      <c r="N6598" s="113"/>
    </row>
    <row r="6599" spans="2:14">
      <c r="B6599" s="105"/>
      <c r="C6599" s="106"/>
      <c r="D6599" s="107"/>
      <c r="E6599" s="65"/>
      <c r="F6599" s="64"/>
      <c r="G6599" s="64"/>
      <c r="H6599" s="64"/>
      <c r="I6599" s="70"/>
      <c r="J6599" s="70"/>
      <c r="K6599" s="110" t="str">
        <f>IF(H6599="","",IF($C$29="간이법","",FPR(H6599,I6599,J6599)))</f>
        <v/>
      </c>
      <c r="L6599" s="111" t="str">
        <f>IF(H6599="","",IF($C$29="상세법",FPV(H6599,K6599),IF(H6599="EI",4,IF(H6599="EO",5.2,IF(H6599="EQ",3.9,IF(H6599="ILF",7.5,IF(H6599="EIF",5.4)))))))</f>
        <v/>
      </c>
      <c r="M6599" s="112" t="str">
        <f t="shared" si="106"/>
        <v/>
      </c>
      <c r="N6599" s="113"/>
    </row>
    <row r="6600" spans="2:14">
      <c r="B6600" s="105"/>
      <c r="C6600" s="106"/>
      <c r="D6600" s="107"/>
      <c r="E6600" s="65"/>
      <c r="F6600" s="64"/>
      <c r="G6600" s="64"/>
      <c r="H6600" s="64"/>
      <c r="I6600" s="70"/>
      <c r="J6600" s="70"/>
      <c r="K6600" s="110" t="str">
        <f>IF(H6600="","",IF($C$29="간이법","",FPR(H6600,I6600,J6600)))</f>
        <v/>
      </c>
      <c r="L6600" s="111" t="str">
        <f>IF(H6600="","",IF($C$29="상세법",FPV(H6600,K6600),IF(H6600="EI",4,IF(H6600="EO",5.2,IF(H6600="EQ",3.9,IF(H6600="ILF",7.5,IF(H6600="EIF",5.4)))))))</f>
        <v/>
      </c>
      <c r="M6600" s="112" t="str">
        <f t="shared" si="106"/>
        <v/>
      </c>
      <c r="N6600" s="113"/>
    </row>
    <row r="6601" spans="2:14">
      <c r="B6601" s="105"/>
      <c r="C6601" s="106"/>
      <c r="D6601" s="107"/>
      <c r="E6601" s="65"/>
      <c r="F6601" s="64"/>
      <c r="G6601" s="64"/>
      <c r="H6601" s="64"/>
      <c r="I6601" s="70"/>
      <c r="J6601" s="70"/>
      <c r="K6601" s="110" t="str">
        <f>IF(H6601="","",IF($C$29="간이법","",FPR(H6601,I6601,J6601)))</f>
        <v/>
      </c>
      <c r="L6601" s="111" t="str">
        <f>IF(H6601="","",IF($C$29="상세법",FPV(H6601,K6601),IF(H6601="EI",4,IF(H6601="EO",5.2,IF(H6601="EQ",3.9,IF(H6601="ILF",7.5,IF(H6601="EIF",5.4)))))))</f>
        <v/>
      </c>
      <c r="M6601" s="112" t="str">
        <f t="shared" si="106"/>
        <v/>
      </c>
      <c r="N6601" s="113"/>
    </row>
    <row r="6602" spans="2:14">
      <c r="B6602" s="105"/>
      <c r="C6602" s="106"/>
      <c r="D6602" s="107"/>
      <c r="E6602" s="65"/>
      <c r="F6602" s="64"/>
      <c r="G6602" s="64"/>
      <c r="H6602" s="64"/>
      <c r="I6602" s="70"/>
      <c r="J6602" s="70"/>
      <c r="K6602" s="110" t="str">
        <f>IF(H6602="","",IF($C$29="간이법","",FPR(H6602,I6602,J6602)))</f>
        <v/>
      </c>
      <c r="L6602" s="111" t="str">
        <f>IF(H6602="","",IF($C$29="상세법",FPV(H6602,K6602),IF(H6602="EI",4,IF(H6602="EO",5.2,IF(H6602="EQ",3.9,IF(H6602="ILF",7.5,IF(H6602="EIF",5.4)))))))</f>
        <v/>
      </c>
      <c r="M6602" s="112" t="str">
        <f t="shared" si="106"/>
        <v/>
      </c>
      <c r="N6602" s="113"/>
    </row>
    <row r="6603" spans="2:14">
      <c r="B6603" s="105"/>
      <c r="C6603" s="106"/>
      <c r="D6603" s="107"/>
      <c r="E6603" s="65"/>
      <c r="F6603" s="64"/>
      <c r="G6603" s="64"/>
      <c r="H6603" s="64"/>
      <c r="I6603" s="70"/>
      <c r="J6603" s="70"/>
      <c r="K6603" s="110" t="str">
        <f>IF(H6603="","",IF($C$29="간이법","",FPR(H6603,I6603,J6603)))</f>
        <v/>
      </c>
      <c r="L6603" s="111" t="str">
        <f>IF(H6603="","",IF($C$29="상세법",FPV(H6603,K6603),IF(H6603="EI",4,IF(H6603="EO",5.2,IF(H6603="EQ",3.9,IF(H6603="ILF",7.5,IF(H6603="EIF",5.4)))))))</f>
        <v/>
      </c>
      <c r="M6603" s="112" t="str">
        <f t="shared" si="106"/>
        <v/>
      </c>
      <c r="N6603" s="113"/>
    </row>
    <row r="6604" spans="2:14">
      <c r="B6604" s="105"/>
      <c r="C6604" s="106"/>
      <c r="D6604" s="107"/>
      <c r="E6604" s="65"/>
      <c r="F6604" s="64"/>
      <c r="G6604" s="64"/>
      <c r="H6604" s="64"/>
      <c r="I6604" s="70"/>
      <c r="J6604" s="70"/>
      <c r="K6604" s="110" t="str">
        <f>IF(H6604="","",IF($C$29="간이법","",FPR(H6604,I6604,J6604)))</f>
        <v/>
      </c>
      <c r="L6604" s="111" t="str">
        <f>IF(H6604="","",IF($C$29="상세법",FPV(H6604,K6604),IF(H6604="EI",4,IF(H6604="EO",5.2,IF(H6604="EQ",3.9,IF(H6604="ILF",7.5,IF(H6604="EIF",5.4)))))))</f>
        <v/>
      </c>
      <c r="M6604" s="112" t="str">
        <f t="shared" si="106"/>
        <v/>
      </c>
      <c r="N6604" s="113"/>
    </row>
    <row r="6605" spans="2:14">
      <c r="B6605" s="105"/>
      <c r="C6605" s="106"/>
      <c r="D6605" s="107"/>
      <c r="E6605" s="65"/>
      <c r="F6605" s="64"/>
      <c r="G6605" s="64"/>
      <c r="H6605" s="64"/>
      <c r="I6605" s="70"/>
      <c r="J6605" s="70"/>
      <c r="K6605" s="110" t="str">
        <f>IF(H6605="","",IF($C$29="간이법","",FPR(H6605,I6605,J6605)))</f>
        <v/>
      </c>
      <c r="L6605" s="111" t="str">
        <f>IF(H6605="","",IF($C$29="상세법",FPV(H6605,K6605),IF(H6605="EI",4,IF(H6605="EO",5.2,IF(H6605="EQ",3.9,IF(H6605="ILF",7.5,IF(H6605="EIF",5.4)))))))</f>
        <v/>
      </c>
      <c r="M6605" s="112" t="str">
        <f t="shared" si="106"/>
        <v/>
      </c>
      <c r="N6605" s="113"/>
    </row>
    <row r="6606" spans="2:14">
      <c r="B6606" s="105"/>
      <c r="C6606" s="106"/>
      <c r="D6606" s="107"/>
      <c r="E6606" s="65"/>
      <c r="F6606" s="64"/>
      <c r="G6606" s="64"/>
      <c r="H6606" s="64"/>
      <c r="I6606" s="70"/>
      <c r="J6606" s="70"/>
      <c r="K6606" s="110" t="str">
        <f>IF(H6606="","",IF($C$29="간이법","",FPR(H6606,I6606,J6606)))</f>
        <v/>
      </c>
      <c r="L6606" s="111" t="str">
        <f>IF(H6606="","",IF($C$29="상세법",FPV(H6606,K6606),IF(H6606="EI",4,IF(H6606="EO",5.2,IF(H6606="EQ",3.9,IF(H6606="ILF",7.5,IF(H6606="EIF",5.4)))))))</f>
        <v/>
      </c>
      <c r="M6606" s="112" t="str">
        <f t="shared" si="106"/>
        <v/>
      </c>
      <c r="N6606" s="113"/>
    </row>
    <row r="6607" spans="2:14">
      <c r="B6607" s="105"/>
      <c r="C6607" s="106"/>
      <c r="D6607" s="107"/>
      <c r="E6607" s="65"/>
      <c r="F6607" s="64"/>
      <c r="G6607" s="64"/>
      <c r="H6607" s="64"/>
      <c r="I6607" s="70"/>
      <c r="J6607" s="70"/>
      <c r="K6607" s="110" t="str">
        <f>IF(H6607="","",IF($C$29="간이법","",FPR(H6607,I6607,J6607)))</f>
        <v/>
      </c>
      <c r="L6607" s="111" t="str">
        <f>IF(H6607="","",IF($C$29="상세법",FPV(H6607,K6607),IF(H6607="EI",4,IF(H6607="EO",5.2,IF(H6607="EQ",3.9,IF(H6607="ILF",7.5,IF(H6607="EIF",5.4)))))))</f>
        <v/>
      </c>
      <c r="M6607" s="112" t="str">
        <f t="shared" si="106"/>
        <v/>
      </c>
      <c r="N6607" s="113"/>
    </row>
    <row r="6608" spans="2:14">
      <c r="B6608" s="105"/>
      <c r="C6608" s="106"/>
      <c r="D6608" s="107"/>
      <c r="E6608" s="65"/>
      <c r="F6608" s="64"/>
      <c r="G6608" s="64"/>
      <c r="H6608" s="64"/>
      <c r="I6608" s="70"/>
      <c r="J6608" s="70"/>
      <c r="K6608" s="110" t="str">
        <f>IF(H6608="","",IF($C$29="간이법","",FPR(H6608,I6608,J6608)))</f>
        <v/>
      </c>
      <c r="L6608" s="111" t="str">
        <f>IF(H6608="","",IF($C$29="상세법",FPV(H6608,K6608),IF(H6608="EI",4,IF(H6608="EO",5.2,IF(H6608="EQ",3.9,IF(H6608="ILF",7.5,IF(H6608="EIF",5.4)))))))</f>
        <v/>
      </c>
      <c r="M6608" s="112" t="str">
        <f t="shared" si="106"/>
        <v/>
      </c>
      <c r="N6608" s="113"/>
    </row>
    <row r="6609" spans="2:14">
      <c r="B6609" s="105"/>
      <c r="C6609" s="106"/>
      <c r="D6609" s="107"/>
      <c r="E6609" s="65"/>
      <c r="F6609" s="64"/>
      <c r="G6609" s="64"/>
      <c r="H6609" s="64"/>
      <c r="I6609" s="70"/>
      <c r="J6609" s="70"/>
      <c r="K6609" s="110" t="str">
        <f>IF(H6609="","",IF($C$29="간이법","",FPR(H6609,I6609,J6609)))</f>
        <v/>
      </c>
      <c r="L6609" s="111" t="str">
        <f>IF(H6609="","",IF($C$29="상세법",FPV(H6609,K6609),IF(H6609="EI",4,IF(H6609="EO",5.2,IF(H6609="EQ",3.9,IF(H6609="ILF",7.5,IF(H6609="EIF",5.4)))))))</f>
        <v/>
      </c>
      <c r="M6609" s="112" t="str">
        <f t="shared" si="106"/>
        <v/>
      </c>
      <c r="N6609" s="113"/>
    </row>
    <row r="6610" spans="2:14">
      <c r="B6610" s="105"/>
      <c r="C6610" s="106"/>
      <c r="D6610" s="107"/>
      <c r="E6610" s="65"/>
      <c r="F6610" s="64"/>
      <c r="G6610" s="64"/>
      <c r="H6610" s="64"/>
      <c r="I6610" s="70"/>
      <c r="J6610" s="70"/>
      <c r="K6610" s="110" t="str">
        <f>IF(H6610="","",IF($C$29="간이법","",FPR(H6610,I6610,J6610)))</f>
        <v/>
      </c>
      <c r="L6610" s="111" t="str">
        <f>IF(H6610="","",IF($C$29="상세법",FPV(H6610,K6610),IF(H6610="EI",4,IF(H6610="EO",5.2,IF(H6610="EQ",3.9,IF(H6610="ILF",7.5,IF(H6610="EIF",5.4)))))))</f>
        <v/>
      </c>
      <c r="M6610" s="112" t="str">
        <f t="shared" si="106"/>
        <v/>
      </c>
      <c r="N6610" s="113"/>
    </row>
    <row r="6611" spans="2:14">
      <c r="B6611" s="105"/>
      <c r="C6611" s="106"/>
      <c r="D6611" s="107"/>
      <c r="E6611" s="65"/>
      <c r="F6611" s="64"/>
      <c r="G6611" s="64"/>
      <c r="H6611" s="64"/>
      <c r="I6611" s="70"/>
      <c r="J6611" s="70"/>
      <c r="K6611" s="110" t="str">
        <f>IF(H6611="","",IF($C$29="간이법","",FPR(H6611,I6611,J6611)))</f>
        <v/>
      </c>
      <c r="L6611" s="111" t="str">
        <f>IF(H6611="","",IF($C$29="상세법",FPV(H6611,K6611),IF(H6611="EI",4,IF(H6611="EO",5.2,IF(H6611="EQ",3.9,IF(H6611="ILF",7.5,IF(H6611="EIF",5.4)))))))</f>
        <v/>
      </c>
      <c r="M6611" s="112" t="str">
        <f t="shared" si="106"/>
        <v/>
      </c>
      <c r="N6611" s="113"/>
    </row>
    <row r="6612" spans="2:14">
      <c r="B6612" s="105"/>
      <c r="C6612" s="106"/>
      <c r="D6612" s="107"/>
      <c r="E6612" s="65"/>
      <c r="F6612" s="64"/>
      <c r="G6612" s="64"/>
      <c r="H6612" s="64"/>
      <c r="I6612" s="70"/>
      <c r="J6612" s="70"/>
      <c r="K6612" s="110" t="str">
        <f>IF(H6612="","",IF($C$29="간이법","",FPR(H6612,I6612,J6612)))</f>
        <v/>
      </c>
      <c r="L6612" s="111" t="str">
        <f>IF(H6612="","",IF($C$29="상세법",FPV(H6612,K6612),IF(H6612="EI",4,IF(H6612="EO",5.2,IF(H6612="EQ",3.9,IF(H6612="ILF",7.5,IF(H6612="EIF",5.4)))))))</f>
        <v/>
      </c>
      <c r="M6612" s="112" t="str">
        <f t="shared" si="106"/>
        <v/>
      </c>
      <c r="N6612" s="113"/>
    </row>
    <row r="6613" spans="2:14">
      <c r="B6613" s="105"/>
      <c r="C6613" s="106"/>
      <c r="D6613" s="107"/>
      <c r="E6613" s="65"/>
      <c r="F6613" s="64"/>
      <c r="G6613" s="64"/>
      <c r="H6613" s="64"/>
      <c r="I6613" s="70"/>
      <c r="J6613" s="70"/>
      <c r="K6613" s="110" t="str">
        <f>IF(H6613="","",IF($C$29="간이법","",FPR(H6613,I6613,J6613)))</f>
        <v/>
      </c>
      <c r="L6613" s="111" t="str">
        <f>IF(H6613="","",IF($C$29="상세법",FPV(H6613,K6613),IF(H6613="EI",4,IF(H6613="EO",5.2,IF(H6613="EQ",3.9,IF(H6613="ILF",7.5,IF(H6613="EIF",5.4)))))))</f>
        <v/>
      </c>
      <c r="M6613" s="112" t="str">
        <f t="shared" si="106"/>
        <v/>
      </c>
      <c r="N6613" s="113"/>
    </row>
    <row r="6614" spans="2:14">
      <c r="B6614" s="105"/>
      <c r="C6614" s="106"/>
      <c r="D6614" s="107"/>
      <c r="E6614" s="65"/>
      <c r="F6614" s="64"/>
      <c r="G6614" s="64"/>
      <c r="H6614" s="64"/>
      <c r="I6614" s="70"/>
      <c r="J6614" s="70"/>
      <c r="K6614" s="110" t="str">
        <f>IF(H6614="","",IF($C$29="간이법","",FPR(H6614,I6614,J6614)))</f>
        <v/>
      </c>
      <c r="L6614" s="111" t="str">
        <f>IF(H6614="","",IF($C$29="상세법",FPV(H6614,K6614),IF(H6614="EI",4,IF(H6614="EO",5.2,IF(H6614="EQ",3.9,IF(H6614="ILF",7.5,IF(H6614="EIF",5.4)))))))</f>
        <v/>
      </c>
      <c r="M6614" s="112" t="str">
        <f t="shared" si="106"/>
        <v/>
      </c>
      <c r="N6614" s="113"/>
    </row>
    <row r="6615" spans="2:14">
      <c r="B6615" s="105"/>
      <c r="C6615" s="106"/>
      <c r="D6615" s="107"/>
      <c r="E6615" s="65"/>
      <c r="F6615" s="64"/>
      <c r="G6615" s="64"/>
      <c r="H6615" s="64"/>
      <c r="I6615" s="70"/>
      <c r="J6615" s="70"/>
      <c r="K6615" s="110" t="str">
        <f>IF(H6615="","",IF($C$29="간이법","",FPR(H6615,I6615,J6615)))</f>
        <v/>
      </c>
      <c r="L6615" s="111" t="str">
        <f>IF(H6615="","",IF($C$29="상세법",FPV(H6615,K6615),IF(H6615="EI",4,IF(H6615="EO",5.2,IF(H6615="EQ",3.9,IF(H6615="ILF",7.5,IF(H6615="EIF",5.4)))))))</f>
        <v/>
      </c>
      <c r="M6615" s="112" t="str">
        <f t="shared" si="106"/>
        <v/>
      </c>
      <c r="N6615" s="113"/>
    </row>
    <row r="6616" spans="2:14">
      <c r="B6616" s="105"/>
      <c r="C6616" s="106"/>
      <c r="D6616" s="107"/>
      <c r="E6616" s="65"/>
      <c r="F6616" s="64"/>
      <c r="G6616" s="64"/>
      <c r="H6616" s="64"/>
      <c r="I6616" s="70"/>
      <c r="J6616" s="70"/>
      <c r="K6616" s="110" t="str">
        <f>IF(H6616="","",IF($C$29="간이법","",FPR(H6616,I6616,J6616)))</f>
        <v/>
      </c>
      <c r="L6616" s="111" t="str">
        <f>IF(H6616="","",IF($C$29="상세법",FPV(H6616,K6616),IF(H6616="EI",4,IF(H6616="EO",5.2,IF(H6616="EQ",3.9,IF(H6616="ILF",7.5,IF(H6616="EIF",5.4)))))))</f>
        <v/>
      </c>
      <c r="M6616" s="112" t="str">
        <f t="shared" si="106"/>
        <v/>
      </c>
      <c r="N6616" s="113"/>
    </row>
    <row r="6617" spans="2:14">
      <c r="B6617" s="105"/>
      <c r="C6617" s="106"/>
      <c r="D6617" s="107"/>
      <c r="E6617" s="65"/>
      <c r="F6617" s="64"/>
      <c r="G6617" s="64"/>
      <c r="H6617" s="64"/>
      <c r="I6617" s="70"/>
      <c r="J6617" s="70"/>
      <c r="K6617" s="110" t="str">
        <f>IF(H6617="","",IF($C$29="간이법","",FPR(H6617,I6617,J6617)))</f>
        <v/>
      </c>
      <c r="L6617" s="111" t="str">
        <f>IF(H6617="","",IF($C$29="상세법",FPV(H6617,K6617),IF(H6617="EI",4,IF(H6617="EO",5.2,IF(H6617="EQ",3.9,IF(H6617="ILF",7.5,IF(H6617="EIF",5.4)))))))</f>
        <v/>
      </c>
      <c r="M6617" s="112" t="str">
        <f t="shared" si="106"/>
        <v/>
      </c>
      <c r="N6617" s="113"/>
    </row>
    <row r="6618" spans="2:14">
      <c r="B6618" s="105"/>
      <c r="C6618" s="106"/>
      <c r="D6618" s="107"/>
      <c r="E6618" s="65"/>
      <c r="F6618" s="64"/>
      <c r="G6618" s="64"/>
      <c r="H6618" s="64"/>
      <c r="I6618" s="70"/>
      <c r="J6618" s="70"/>
      <c r="K6618" s="110" t="str">
        <f>IF(H6618="","",IF($C$29="간이법","",FPR(H6618,I6618,J6618)))</f>
        <v/>
      </c>
      <c r="L6618" s="111" t="str">
        <f>IF(H6618="","",IF($C$29="상세법",FPV(H6618,K6618),IF(H6618="EI",4,IF(H6618="EO",5.2,IF(H6618="EQ",3.9,IF(H6618="ILF",7.5,IF(H6618="EIF",5.4)))))))</f>
        <v/>
      </c>
      <c r="M6618" s="112" t="str">
        <f t="shared" si="106"/>
        <v/>
      </c>
      <c r="N6618" s="113"/>
    </row>
    <row r="6619" spans="2:14">
      <c r="B6619" s="105"/>
      <c r="C6619" s="106"/>
      <c r="D6619" s="107"/>
      <c r="E6619" s="65"/>
      <c r="F6619" s="64"/>
      <c r="G6619" s="64"/>
      <c r="H6619" s="64"/>
      <c r="I6619" s="70"/>
      <c r="J6619" s="70"/>
      <c r="K6619" s="110" t="str">
        <f>IF(H6619="","",IF($C$29="간이법","",FPR(H6619,I6619,J6619)))</f>
        <v/>
      </c>
      <c r="L6619" s="111" t="str">
        <f>IF(H6619="","",IF($C$29="상세법",FPV(H6619,K6619),IF(H6619="EI",4,IF(H6619="EO",5.2,IF(H6619="EQ",3.9,IF(H6619="ILF",7.5,IF(H6619="EIF",5.4)))))))</f>
        <v/>
      </c>
      <c r="M6619" s="112" t="str">
        <f t="shared" si="106"/>
        <v/>
      </c>
      <c r="N6619" s="113"/>
    </row>
    <row r="6620" spans="2:14">
      <c r="B6620" s="105"/>
      <c r="C6620" s="106"/>
      <c r="D6620" s="107"/>
      <c r="E6620" s="65"/>
      <c r="F6620" s="64"/>
      <c r="G6620" s="64"/>
      <c r="H6620" s="64"/>
      <c r="I6620" s="70"/>
      <c r="J6620" s="70"/>
      <c r="K6620" s="110" t="str">
        <f>IF(H6620="","",IF($C$29="간이법","",FPR(H6620,I6620,J6620)))</f>
        <v/>
      </c>
      <c r="L6620" s="111" t="str">
        <f>IF(H6620="","",IF($C$29="상세법",FPV(H6620,K6620),IF(H6620="EI",4,IF(H6620="EO",5.2,IF(H6620="EQ",3.9,IF(H6620="ILF",7.5,IF(H6620="EIF",5.4)))))))</f>
        <v/>
      </c>
      <c r="M6620" s="112" t="str">
        <f t="shared" si="106"/>
        <v/>
      </c>
      <c r="N6620" s="113"/>
    </row>
    <row r="6621" spans="2:14">
      <c r="B6621" s="105"/>
      <c r="C6621" s="106"/>
      <c r="D6621" s="107"/>
      <c r="E6621" s="65"/>
      <c r="F6621" s="64"/>
      <c r="G6621" s="64"/>
      <c r="H6621" s="64"/>
      <c r="I6621" s="70"/>
      <c r="J6621" s="70"/>
      <c r="K6621" s="110" t="str">
        <f>IF(H6621="","",IF($C$29="간이법","",FPR(H6621,I6621,J6621)))</f>
        <v/>
      </c>
      <c r="L6621" s="111" t="str">
        <f>IF(H6621="","",IF($C$29="상세법",FPV(H6621,K6621),IF(H6621="EI",4,IF(H6621="EO",5.2,IF(H6621="EQ",3.9,IF(H6621="ILF",7.5,IF(H6621="EIF",5.4)))))))</f>
        <v/>
      </c>
      <c r="M6621" s="112" t="str">
        <f t="shared" si="106"/>
        <v/>
      </c>
      <c r="N6621" s="113"/>
    </row>
    <row r="6622" spans="2:14">
      <c r="B6622" s="105"/>
      <c r="C6622" s="106"/>
      <c r="D6622" s="107"/>
      <c r="E6622" s="65"/>
      <c r="F6622" s="64"/>
      <c r="G6622" s="64"/>
      <c r="H6622" s="64"/>
      <c r="I6622" s="70"/>
      <c r="J6622" s="70"/>
      <c r="K6622" s="110" t="str">
        <f>IF(H6622="","",IF($C$29="간이법","",FPR(H6622,I6622,J6622)))</f>
        <v/>
      </c>
      <c r="L6622" s="111" t="str">
        <f>IF(H6622="","",IF($C$29="상세법",FPV(H6622,K6622),IF(H6622="EI",4,IF(H6622="EO",5.2,IF(H6622="EQ",3.9,IF(H6622="ILF",7.5,IF(H6622="EIF",5.4)))))))</f>
        <v/>
      </c>
      <c r="M6622" s="112" t="str">
        <f t="shared" si="106"/>
        <v/>
      </c>
      <c r="N6622" s="113"/>
    </row>
    <row r="6623" spans="2:14">
      <c r="B6623" s="105"/>
      <c r="C6623" s="106"/>
      <c r="D6623" s="107"/>
      <c r="E6623" s="65"/>
      <c r="F6623" s="64"/>
      <c r="G6623" s="64"/>
      <c r="H6623" s="64"/>
      <c r="I6623" s="70"/>
      <c r="J6623" s="70"/>
      <c r="K6623" s="110" t="str">
        <f>IF(H6623="","",IF($C$29="간이법","",FPR(H6623,I6623,J6623)))</f>
        <v/>
      </c>
      <c r="L6623" s="111" t="str">
        <f>IF(H6623="","",IF($C$29="상세법",FPV(H6623,K6623),IF(H6623="EI",4,IF(H6623="EO",5.2,IF(H6623="EQ",3.9,IF(H6623="ILF",7.5,IF(H6623="EIF",5.4)))))))</f>
        <v/>
      </c>
      <c r="M6623" s="112" t="str">
        <f t="shared" si="106"/>
        <v/>
      </c>
      <c r="N6623" s="113"/>
    </row>
    <row r="6624" spans="2:14">
      <c r="B6624" s="105"/>
      <c r="C6624" s="106"/>
      <c r="D6624" s="107"/>
      <c r="E6624" s="65"/>
      <c r="F6624" s="64"/>
      <c r="G6624" s="64"/>
      <c r="H6624" s="64"/>
      <c r="I6624" s="70"/>
      <c r="J6624" s="70"/>
      <c r="K6624" s="110" t="str">
        <f>IF(H6624="","",IF($C$29="간이법","",FPR(H6624,I6624,J6624)))</f>
        <v/>
      </c>
      <c r="L6624" s="111" t="str">
        <f>IF(H6624="","",IF($C$29="상세법",FPV(H6624,K6624),IF(H6624="EI",4,IF(H6624="EO",5.2,IF(H6624="EQ",3.9,IF(H6624="ILF",7.5,IF(H6624="EIF",5.4)))))))</f>
        <v/>
      </c>
      <c r="M6624" s="112" t="str">
        <f t="shared" si="106"/>
        <v/>
      </c>
      <c r="N6624" s="113"/>
    </row>
    <row r="6625" spans="2:14">
      <c r="B6625" s="105"/>
      <c r="C6625" s="106"/>
      <c r="D6625" s="107"/>
      <c r="E6625" s="65"/>
      <c r="F6625" s="64"/>
      <c r="G6625" s="64"/>
      <c r="H6625" s="64"/>
      <c r="I6625" s="70"/>
      <c r="J6625" s="70"/>
      <c r="K6625" s="110" t="str">
        <f>IF(H6625="","",IF($C$29="간이법","",FPR(H6625,I6625,J6625)))</f>
        <v/>
      </c>
      <c r="L6625" s="111" t="str">
        <f>IF(H6625="","",IF($C$29="상세법",FPV(H6625,K6625),IF(H6625="EI",4,IF(H6625="EO",5.2,IF(H6625="EQ",3.9,IF(H6625="ILF",7.5,IF(H6625="EIF",5.4)))))))</f>
        <v/>
      </c>
      <c r="M6625" s="112" t="str">
        <f t="shared" si="106"/>
        <v/>
      </c>
      <c r="N6625" s="113"/>
    </row>
    <row r="6626" spans="2:14">
      <c r="B6626" s="105"/>
      <c r="C6626" s="106"/>
      <c r="D6626" s="107"/>
      <c r="E6626" s="65"/>
      <c r="F6626" s="64"/>
      <c r="G6626" s="64"/>
      <c r="H6626" s="64"/>
      <c r="I6626" s="70"/>
      <c r="J6626" s="70"/>
      <c r="K6626" s="110" t="str">
        <f>IF(H6626="","",IF($C$29="간이법","",FPR(H6626,I6626,J6626)))</f>
        <v/>
      </c>
      <c r="L6626" s="111" t="str">
        <f>IF(H6626="","",IF($C$29="상세법",FPV(H6626,K6626),IF(H6626="EI",4,IF(H6626="EO",5.2,IF(H6626="EQ",3.9,IF(H6626="ILF",7.5,IF(H6626="EIF",5.4)))))))</f>
        <v/>
      </c>
      <c r="M6626" s="112" t="str">
        <f t="shared" si="106"/>
        <v/>
      </c>
      <c r="N6626" s="113"/>
    </row>
    <row r="6627" spans="2:14">
      <c r="B6627" s="105"/>
      <c r="C6627" s="106"/>
      <c r="D6627" s="107"/>
      <c r="E6627" s="65"/>
      <c r="F6627" s="64"/>
      <c r="G6627" s="64"/>
      <c r="H6627" s="64"/>
      <c r="I6627" s="70"/>
      <c r="J6627" s="70"/>
      <c r="K6627" s="110" t="str">
        <f>IF(H6627="","",IF($C$29="간이법","",FPR(H6627,I6627,J6627)))</f>
        <v/>
      </c>
      <c r="L6627" s="111" t="str">
        <f>IF(H6627="","",IF($C$29="상세법",FPV(H6627,K6627),IF(H6627="EI",4,IF(H6627="EO",5.2,IF(H6627="EQ",3.9,IF(H6627="ILF",7.5,IF(H6627="EIF",5.4)))))))</f>
        <v/>
      </c>
      <c r="M6627" s="112" t="str">
        <f t="shared" si="106"/>
        <v/>
      </c>
      <c r="N6627" s="113"/>
    </row>
    <row r="6628" spans="2:14">
      <c r="B6628" s="105"/>
      <c r="C6628" s="106"/>
      <c r="D6628" s="107"/>
      <c r="E6628" s="65"/>
      <c r="F6628" s="64"/>
      <c r="G6628" s="64"/>
      <c r="H6628" s="64"/>
      <c r="I6628" s="70"/>
      <c r="J6628" s="70"/>
      <c r="K6628" s="110" t="str">
        <f>IF(H6628="","",IF($C$29="간이법","",FPR(H6628,I6628,J6628)))</f>
        <v/>
      </c>
      <c r="L6628" s="111" t="str">
        <f>IF(H6628="","",IF($C$29="상세법",FPV(H6628,K6628),IF(H6628="EI",4,IF(H6628="EO",5.2,IF(H6628="EQ",3.9,IF(H6628="ILF",7.5,IF(H6628="EIF",5.4)))))))</f>
        <v/>
      </c>
      <c r="M6628" s="112" t="str">
        <f t="shared" si="106"/>
        <v/>
      </c>
      <c r="N6628" s="113"/>
    </row>
    <row r="6629" spans="2:14">
      <c r="B6629" s="105"/>
      <c r="C6629" s="106"/>
      <c r="D6629" s="107"/>
      <c r="E6629" s="65"/>
      <c r="F6629" s="64"/>
      <c r="G6629" s="64"/>
      <c r="H6629" s="64"/>
      <c r="I6629" s="70"/>
      <c r="J6629" s="70"/>
      <c r="K6629" s="110" t="str">
        <f>IF(H6629="","",IF($C$29="간이법","",FPR(H6629,I6629,J6629)))</f>
        <v/>
      </c>
      <c r="L6629" s="111" t="str">
        <f>IF(H6629="","",IF($C$29="상세법",FPV(H6629,K6629),IF(H6629="EI",4,IF(H6629="EO",5.2,IF(H6629="EQ",3.9,IF(H6629="ILF",7.5,IF(H6629="EIF",5.4)))))))</f>
        <v/>
      </c>
      <c r="M6629" s="112" t="str">
        <f t="shared" si="106"/>
        <v/>
      </c>
      <c r="N6629" s="113"/>
    </row>
    <row r="6630" spans="2:14">
      <c r="B6630" s="105"/>
      <c r="C6630" s="106"/>
      <c r="D6630" s="107"/>
      <c r="E6630" s="65"/>
      <c r="F6630" s="64"/>
      <c r="G6630" s="64"/>
      <c r="H6630" s="64"/>
      <c r="I6630" s="70"/>
      <c r="J6630" s="70"/>
      <c r="K6630" s="110" t="str">
        <f>IF(H6630="","",IF($C$29="간이법","",FPR(H6630,I6630,J6630)))</f>
        <v/>
      </c>
      <c r="L6630" s="111" t="str">
        <f>IF(H6630="","",IF($C$29="상세법",FPV(H6630,K6630),IF(H6630="EI",4,IF(H6630="EO",5.2,IF(H6630="EQ",3.9,IF(H6630="ILF",7.5,IF(H6630="EIF",5.4)))))))</f>
        <v/>
      </c>
      <c r="M6630" s="112" t="str">
        <f t="shared" si="106"/>
        <v/>
      </c>
      <c r="N6630" s="113"/>
    </row>
    <row r="6631" spans="2:14">
      <c r="B6631" s="105"/>
      <c r="C6631" s="106"/>
      <c r="D6631" s="107"/>
      <c r="E6631" s="65"/>
      <c r="F6631" s="64"/>
      <c r="G6631" s="64"/>
      <c r="H6631" s="64"/>
      <c r="I6631" s="70"/>
      <c r="J6631" s="70"/>
      <c r="K6631" s="110" t="str">
        <f>IF(H6631="","",IF($C$29="간이법","",FPR(H6631,I6631,J6631)))</f>
        <v/>
      </c>
      <c r="L6631" s="111" t="str">
        <f>IF(H6631="","",IF($C$29="상세법",FPV(H6631,K6631),IF(H6631="EI",4,IF(H6631="EO",5.2,IF(H6631="EQ",3.9,IF(H6631="ILF",7.5,IF(H6631="EIF",5.4)))))))</f>
        <v/>
      </c>
      <c r="M6631" s="112" t="str">
        <f t="shared" si="106"/>
        <v/>
      </c>
      <c r="N6631" s="113"/>
    </row>
    <row r="6632" spans="2:14">
      <c r="B6632" s="105"/>
      <c r="C6632" s="106"/>
      <c r="D6632" s="107"/>
      <c r="E6632" s="65"/>
      <c r="F6632" s="64"/>
      <c r="G6632" s="64"/>
      <c r="H6632" s="64"/>
      <c r="I6632" s="70"/>
      <c r="J6632" s="70"/>
      <c r="K6632" s="110" t="str">
        <f>IF(H6632="","",IF($C$29="간이법","",FPR(H6632,I6632,J6632)))</f>
        <v/>
      </c>
      <c r="L6632" s="111" t="str">
        <f>IF(H6632="","",IF($C$29="상세법",FPV(H6632,K6632),IF(H6632="EI",4,IF(H6632="EO",5.2,IF(H6632="EQ",3.9,IF(H6632="ILF",7.5,IF(H6632="EIF",5.4)))))))</f>
        <v/>
      </c>
      <c r="M6632" s="112" t="str">
        <f t="shared" si="106"/>
        <v/>
      </c>
      <c r="N6632" s="113"/>
    </row>
    <row r="6633" spans="2:14">
      <c r="B6633" s="105"/>
      <c r="C6633" s="106"/>
      <c r="D6633" s="107"/>
      <c r="E6633" s="65"/>
      <c r="F6633" s="64"/>
      <c r="G6633" s="64"/>
      <c r="H6633" s="64"/>
      <c r="I6633" s="70"/>
      <c r="J6633" s="70"/>
      <c r="K6633" s="110" t="str">
        <f>IF(H6633="","",IF($C$29="간이법","",FPR(H6633,I6633,J6633)))</f>
        <v/>
      </c>
      <c r="L6633" s="111" t="str">
        <f>IF(H6633="","",IF($C$29="상세법",FPV(H6633,K6633),IF(H6633="EI",4,IF(H6633="EO",5.2,IF(H6633="EQ",3.9,IF(H6633="ILF",7.5,IF(H6633="EIF",5.4)))))))</f>
        <v/>
      </c>
      <c r="M6633" s="112" t="str">
        <f t="shared" si="106"/>
        <v/>
      </c>
      <c r="N6633" s="113"/>
    </row>
    <row r="6634" spans="2:14">
      <c r="B6634" s="105"/>
      <c r="C6634" s="106"/>
      <c r="D6634" s="107"/>
      <c r="E6634" s="65"/>
      <c r="F6634" s="64"/>
      <c r="G6634" s="64"/>
      <c r="H6634" s="64"/>
      <c r="I6634" s="70"/>
      <c r="J6634" s="70"/>
      <c r="K6634" s="110" t="str">
        <f>IF(H6634="","",IF($C$29="간이법","",FPR(H6634,I6634,J6634)))</f>
        <v/>
      </c>
      <c r="L6634" s="111" t="str">
        <f>IF(H6634="","",IF($C$29="상세법",FPV(H6634,K6634),IF(H6634="EI",4,IF(H6634="EO",5.2,IF(H6634="EQ",3.9,IF(H6634="ILF",7.5,IF(H6634="EIF",5.4)))))))</f>
        <v/>
      </c>
      <c r="M6634" s="112" t="str">
        <f t="shared" si="106"/>
        <v/>
      </c>
      <c r="N6634" s="113"/>
    </row>
    <row r="6635" spans="2:14">
      <c r="B6635" s="105"/>
      <c r="C6635" s="106"/>
      <c r="D6635" s="107"/>
      <c r="E6635" s="65"/>
      <c r="F6635" s="64"/>
      <c r="G6635" s="64"/>
      <c r="H6635" s="64"/>
      <c r="I6635" s="70"/>
      <c r="J6635" s="70"/>
      <c r="K6635" s="110" t="str">
        <f>IF(H6635="","",IF($C$29="간이법","",FPR(H6635,I6635,J6635)))</f>
        <v/>
      </c>
      <c r="L6635" s="111" t="str">
        <f>IF(H6635="","",IF($C$29="상세법",FPV(H6635,K6635),IF(H6635="EI",4,IF(H6635="EO",5.2,IF(H6635="EQ",3.9,IF(H6635="ILF",7.5,IF(H6635="EIF",5.4)))))))</f>
        <v/>
      </c>
      <c r="M6635" s="112" t="str">
        <f t="shared" si="106"/>
        <v/>
      </c>
      <c r="N6635" s="113"/>
    </row>
    <row r="6636" spans="2:14">
      <c r="B6636" s="105"/>
      <c r="C6636" s="106"/>
      <c r="D6636" s="107"/>
      <c r="E6636" s="65"/>
      <c r="F6636" s="64"/>
      <c r="G6636" s="64"/>
      <c r="H6636" s="64"/>
      <c r="I6636" s="70"/>
      <c r="J6636" s="70"/>
      <c r="K6636" s="110" t="str">
        <f>IF(H6636="","",IF($C$29="간이법","",FPR(H6636,I6636,J6636)))</f>
        <v/>
      </c>
      <c r="L6636" s="111" t="str">
        <f>IF(H6636="","",IF($C$29="상세법",FPV(H6636,K6636),IF(H6636="EI",4,IF(H6636="EO",5.2,IF(H6636="EQ",3.9,IF(H6636="ILF",7.5,IF(H6636="EIF",5.4)))))))</f>
        <v/>
      </c>
      <c r="M6636" s="112" t="str">
        <f t="shared" si="106"/>
        <v/>
      </c>
      <c r="N6636" s="113"/>
    </row>
    <row r="6637" spans="2:14">
      <c r="B6637" s="105"/>
      <c r="C6637" s="106"/>
      <c r="D6637" s="107"/>
      <c r="E6637" s="65"/>
      <c r="F6637" s="64"/>
      <c r="G6637" s="64"/>
      <c r="H6637" s="64"/>
      <c r="I6637" s="70"/>
      <c r="J6637" s="70"/>
      <c r="K6637" s="110" t="str">
        <f>IF(H6637="","",IF($C$29="간이법","",FPR(H6637,I6637,J6637)))</f>
        <v/>
      </c>
      <c r="L6637" s="111" t="str">
        <f>IF(H6637="","",IF($C$29="상세법",FPV(H6637,K6637),IF(H6637="EI",4,IF(H6637="EO",5.2,IF(H6637="EQ",3.9,IF(H6637="ILF",7.5,IF(H6637="EIF",5.4)))))))</f>
        <v/>
      </c>
      <c r="M6637" s="112" t="str">
        <f t="shared" si="106"/>
        <v/>
      </c>
      <c r="N6637" s="113"/>
    </row>
    <row r="6638" spans="2:14">
      <c r="B6638" s="105"/>
      <c r="C6638" s="106"/>
      <c r="D6638" s="107"/>
      <c r="E6638" s="65"/>
      <c r="F6638" s="64"/>
      <c r="G6638" s="64"/>
      <c r="H6638" s="64"/>
      <c r="I6638" s="70"/>
      <c r="J6638" s="70"/>
      <c r="K6638" s="110" t="str">
        <f>IF(H6638="","",IF($C$29="간이법","",FPR(H6638,I6638,J6638)))</f>
        <v/>
      </c>
      <c r="L6638" s="111" t="str">
        <f>IF(H6638="","",IF($C$29="상세법",FPV(H6638,K6638),IF(H6638="EI",4,IF(H6638="EO",5.2,IF(H6638="EQ",3.9,IF(H6638="ILF",7.5,IF(H6638="EIF",5.4)))))))</f>
        <v/>
      </c>
      <c r="M6638" s="112" t="str">
        <f t="shared" si="106"/>
        <v/>
      </c>
      <c r="N6638" s="113"/>
    </row>
    <row r="6639" spans="2:14">
      <c r="B6639" s="105"/>
      <c r="C6639" s="106"/>
      <c r="D6639" s="107"/>
      <c r="E6639" s="65"/>
      <c r="F6639" s="64"/>
      <c r="G6639" s="64"/>
      <c r="H6639" s="64"/>
      <c r="I6639" s="70"/>
      <c r="J6639" s="70"/>
      <c r="K6639" s="110" t="str">
        <f>IF(H6639="","",IF($C$29="간이법","",FPR(H6639,I6639,J6639)))</f>
        <v/>
      </c>
      <c r="L6639" s="111" t="str">
        <f>IF(H6639="","",IF($C$29="상세법",FPV(H6639,K6639),IF(H6639="EI",4,IF(H6639="EO",5.2,IF(H6639="EQ",3.9,IF(H6639="ILF",7.5,IF(H6639="EIF",5.4)))))))</f>
        <v/>
      </c>
      <c r="M6639" s="112" t="str">
        <f t="shared" si="106"/>
        <v/>
      </c>
      <c r="N6639" s="113"/>
    </row>
    <row r="6640" spans="2:14">
      <c r="B6640" s="105"/>
      <c r="C6640" s="106"/>
      <c r="D6640" s="107"/>
      <c r="E6640" s="65"/>
      <c r="F6640" s="64"/>
      <c r="G6640" s="64"/>
      <c r="H6640" s="64"/>
      <c r="I6640" s="70"/>
      <c r="J6640" s="70"/>
      <c r="K6640" s="110" t="str">
        <f>IF(H6640="","",IF($C$29="간이법","",FPR(H6640,I6640,J6640)))</f>
        <v/>
      </c>
      <c r="L6640" s="111" t="str">
        <f>IF(H6640="","",IF($C$29="상세법",FPV(H6640,K6640),IF(H6640="EI",4,IF(H6640="EO",5.2,IF(H6640="EQ",3.9,IF(H6640="ILF",7.5,IF(H6640="EIF",5.4)))))))</f>
        <v/>
      </c>
      <c r="M6640" s="112" t="str">
        <f t="shared" si="106"/>
        <v/>
      </c>
      <c r="N6640" s="113"/>
    </row>
    <row r="6641" spans="2:14">
      <c r="B6641" s="105"/>
      <c r="C6641" s="106"/>
      <c r="D6641" s="107"/>
      <c r="E6641" s="65"/>
      <c r="F6641" s="64"/>
      <c r="G6641" s="64"/>
      <c r="H6641" s="64"/>
      <c r="I6641" s="70"/>
      <c r="J6641" s="70"/>
      <c r="K6641" s="110" t="str">
        <f>IF(H6641="","",IF($C$29="간이법","",FPR(H6641,I6641,J6641)))</f>
        <v/>
      </c>
      <c r="L6641" s="111" t="str">
        <f>IF(H6641="","",IF($C$29="상세법",FPV(H6641,K6641),IF(H6641="EI",4,IF(H6641="EO",5.2,IF(H6641="EQ",3.9,IF(H6641="ILF",7.5,IF(H6641="EIF",5.4)))))))</f>
        <v/>
      </c>
      <c r="M6641" s="112" t="str">
        <f t="shared" si="106"/>
        <v/>
      </c>
      <c r="N6641" s="113"/>
    </row>
    <row r="6642" spans="2:14">
      <c r="B6642" s="105"/>
      <c r="C6642" s="106"/>
      <c r="D6642" s="107"/>
      <c r="E6642" s="65"/>
      <c r="F6642" s="64"/>
      <c r="G6642" s="64"/>
      <c r="H6642" s="64"/>
      <c r="I6642" s="70"/>
      <c r="J6642" s="70"/>
      <c r="K6642" s="110" t="str">
        <f>IF(H6642="","",IF($C$29="간이법","",FPR(H6642,I6642,J6642)))</f>
        <v/>
      </c>
      <c r="L6642" s="111" t="str">
        <f>IF(H6642="","",IF($C$29="상세법",FPV(H6642,K6642),IF(H6642="EI",4,IF(H6642="EO",5.2,IF(H6642="EQ",3.9,IF(H6642="ILF",7.5,IF(H6642="EIF",5.4)))))))</f>
        <v/>
      </c>
      <c r="M6642" s="112" t="str">
        <f t="shared" si="106"/>
        <v/>
      </c>
      <c r="N6642" s="113"/>
    </row>
    <row r="6643" spans="2:14">
      <c r="B6643" s="105"/>
      <c r="C6643" s="106"/>
      <c r="D6643" s="107"/>
      <c r="E6643" s="65"/>
      <c r="F6643" s="64"/>
      <c r="G6643" s="64"/>
      <c r="H6643" s="64"/>
      <c r="I6643" s="70"/>
      <c r="J6643" s="70"/>
      <c r="K6643" s="110" t="str">
        <f>IF(H6643="","",IF($C$29="간이법","",FPR(H6643,I6643,J6643)))</f>
        <v/>
      </c>
      <c r="L6643" s="111" t="str">
        <f>IF(H6643="","",IF($C$29="상세법",FPV(H6643,K6643),IF(H6643="EI",4,IF(H6643="EO",5.2,IF(H6643="EQ",3.9,IF(H6643="ILF",7.5,IF(H6643="EIF",5.4)))))))</f>
        <v/>
      </c>
      <c r="M6643" s="112" t="str">
        <f t="shared" si="106"/>
        <v/>
      </c>
      <c r="N6643" s="113"/>
    </row>
    <row r="6644" spans="2:14">
      <c r="B6644" s="105"/>
      <c r="C6644" s="106"/>
      <c r="D6644" s="107"/>
      <c r="E6644" s="65"/>
      <c r="F6644" s="64"/>
      <c r="G6644" s="64"/>
      <c r="H6644" s="64"/>
      <c r="I6644" s="70"/>
      <c r="J6644" s="70"/>
      <c r="K6644" s="110" t="str">
        <f>IF(H6644="","",IF($C$29="간이법","",FPR(H6644,I6644,J6644)))</f>
        <v/>
      </c>
      <c r="L6644" s="111" t="str">
        <f>IF(H6644="","",IF($C$29="상세법",FPV(H6644,K6644),IF(H6644="EI",4,IF(H6644="EO",5.2,IF(H6644="EQ",3.9,IF(H6644="ILF",7.5,IF(H6644="EIF",5.4)))))))</f>
        <v/>
      </c>
      <c r="M6644" s="112" t="str">
        <f t="shared" si="106"/>
        <v/>
      </c>
      <c r="N6644" s="113"/>
    </row>
    <row r="6645" spans="2:14">
      <c r="B6645" s="105"/>
      <c r="C6645" s="106"/>
      <c r="D6645" s="107"/>
      <c r="E6645" s="65"/>
      <c r="F6645" s="64"/>
      <c r="G6645" s="64"/>
      <c r="H6645" s="64"/>
      <c r="I6645" s="70"/>
      <c r="J6645" s="70"/>
      <c r="K6645" s="110" t="str">
        <f>IF(H6645="","",IF($C$29="간이법","",FPR(H6645,I6645,J6645)))</f>
        <v/>
      </c>
      <c r="L6645" s="111" t="str">
        <f>IF(H6645="","",IF($C$29="상세법",FPV(H6645,K6645),IF(H6645="EI",4,IF(H6645="EO",5.2,IF(H6645="EQ",3.9,IF(H6645="ILF",7.5,IF(H6645="EIF",5.4)))))))</f>
        <v/>
      </c>
      <c r="M6645" s="112" t="str">
        <f t="shared" si="106"/>
        <v/>
      </c>
      <c r="N6645" s="113"/>
    </row>
    <row r="6646" spans="2:14">
      <c r="B6646" s="105"/>
      <c r="C6646" s="106"/>
      <c r="D6646" s="107"/>
      <c r="E6646" s="65"/>
      <c r="F6646" s="64"/>
      <c r="G6646" s="64"/>
      <c r="H6646" s="64"/>
      <c r="I6646" s="70"/>
      <c r="J6646" s="70"/>
      <c r="K6646" s="110" t="str">
        <f>IF(H6646="","",IF($C$29="간이법","",FPR(H6646,I6646,J6646)))</f>
        <v/>
      </c>
      <c r="L6646" s="111" t="str">
        <f>IF(H6646="","",IF($C$29="상세법",FPV(H6646,K6646),IF(H6646="EI",4,IF(H6646="EO",5.2,IF(H6646="EQ",3.9,IF(H6646="ILF",7.5,IF(H6646="EIF",5.4)))))))</f>
        <v/>
      </c>
      <c r="M6646" s="112" t="str">
        <f t="shared" si="106"/>
        <v/>
      </c>
      <c r="N6646" s="113"/>
    </row>
    <row r="6647" spans="2:14">
      <c r="B6647" s="105"/>
      <c r="C6647" s="106"/>
      <c r="D6647" s="107"/>
      <c r="E6647" s="65"/>
      <c r="F6647" s="64"/>
      <c r="G6647" s="64"/>
      <c r="H6647" s="64"/>
      <c r="I6647" s="70"/>
      <c r="J6647" s="70"/>
      <c r="K6647" s="110" t="str">
        <f>IF(H6647="","",IF($C$29="간이법","",FPR(H6647,I6647,J6647)))</f>
        <v/>
      </c>
      <c r="L6647" s="111" t="str">
        <f>IF(H6647="","",IF($C$29="상세법",FPV(H6647,K6647),IF(H6647="EI",4,IF(H6647="EO",5.2,IF(H6647="EQ",3.9,IF(H6647="ILF",7.5,IF(H6647="EIF",5.4)))))))</f>
        <v/>
      </c>
      <c r="M6647" s="112" t="str">
        <f t="shared" si="106"/>
        <v/>
      </c>
      <c r="N6647" s="113"/>
    </row>
    <row r="6648" spans="2:14">
      <c r="B6648" s="105"/>
      <c r="C6648" s="106"/>
      <c r="D6648" s="107"/>
      <c r="E6648" s="65"/>
      <c r="F6648" s="64"/>
      <c r="G6648" s="64"/>
      <c r="H6648" s="64"/>
      <c r="I6648" s="70"/>
      <c r="J6648" s="70"/>
      <c r="K6648" s="110" t="str">
        <f>IF(H6648="","",IF($C$29="간이법","",FPR(H6648,I6648,J6648)))</f>
        <v/>
      </c>
      <c r="L6648" s="111" t="str">
        <f>IF(H6648="","",IF($C$29="상세법",FPV(H6648,K6648),IF(H6648="EI",4,IF(H6648="EO",5.2,IF(H6648="EQ",3.9,IF(H6648="ILF",7.5,IF(H6648="EIF",5.4)))))))</f>
        <v/>
      </c>
      <c r="M6648" s="112" t="str">
        <f t="shared" si="106"/>
        <v/>
      </c>
      <c r="N6648" s="113"/>
    </row>
    <row r="6649" spans="2:14">
      <c r="B6649" s="105"/>
      <c r="C6649" s="106"/>
      <c r="D6649" s="107"/>
      <c r="E6649" s="65"/>
      <c r="F6649" s="64"/>
      <c r="G6649" s="64"/>
      <c r="H6649" s="64"/>
      <c r="I6649" s="70"/>
      <c r="J6649" s="70"/>
      <c r="K6649" s="110" t="str">
        <f>IF(H6649="","",IF($C$29="간이법","",FPR(H6649,I6649,J6649)))</f>
        <v/>
      </c>
      <c r="L6649" s="111" t="str">
        <f>IF(H6649="","",IF($C$29="상세법",FPV(H6649,K6649),IF(H6649="EI",4,IF(H6649="EO",5.2,IF(H6649="EQ",3.9,IF(H6649="ILF",7.5,IF(H6649="EIF",5.4)))))))</f>
        <v/>
      </c>
      <c r="M6649" s="112" t="str">
        <f t="shared" ref="M6649:M6712" si="107">IF(L6649="","",L6649*IF(G6649="상",0.7,IF(G6649="중",0.5,IF(G6649="하",0.2,1))))</f>
        <v/>
      </c>
      <c r="N6649" s="113"/>
    </row>
    <row r="6650" spans="2:14">
      <c r="B6650" s="105"/>
      <c r="C6650" s="106"/>
      <c r="D6650" s="107"/>
      <c r="E6650" s="65"/>
      <c r="F6650" s="64"/>
      <c r="G6650" s="64"/>
      <c r="H6650" s="64"/>
      <c r="I6650" s="70"/>
      <c r="J6650" s="70"/>
      <c r="K6650" s="110" t="str">
        <f>IF(H6650="","",IF($C$29="간이법","",FPR(H6650,I6650,J6650)))</f>
        <v/>
      </c>
      <c r="L6650" s="111" t="str">
        <f>IF(H6650="","",IF($C$29="상세법",FPV(H6650,K6650),IF(H6650="EI",4,IF(H6650="EO",5.2,IF(H6650="EQ",3.9,IF(H6650="ILF",7.5,IF(H6650="EIF",5.4)))))))</f>
        <v/>
      </c>
      <c r="M6650" s="112" t="str">
        <f t="shared" si="107"/>
        <v/>
      </c>
      <c r="N6650" s="113"/>
    </row>
    <row r="6651" spans="2:14">
      <c r="B6651" s="105"/>
      <c r="C6651" s="106"/>
      <c r="D6651" s="107"/>
      <c r="E6651" s="65"/>
      <c r="F6651" s="64"/>
      <c r="G6651" s="64"/>
      <c r="H6651" s="64"/>
      <c r="I6651" s="70"/>
      <c r="J6651" s="70"/>
      <c r="K6651" s="110" t="str">
        <f>IF(H6651="","",IF($C$29="간이법","",FPR(H6651,I6651,J6651)))</f>
        <v/>
      </c>
      <c r="L6651" s="111" t="str">
        <f>IF(H6651="","",IF($C$29="상세법",FPV(H6651,K6651),IF(H6651="EI",4,IF(H6651="EO",5.2,IF(H6651="EQ",3.9,IF(H6651="ILF",7.5,IF(H6651="EIF",5.4)))))))</f>
        <v/>
      </c>
      <c r="M6651" s="112" t="str">
        <f t="shared" si="107"/>
        <v/>
      </c>
      <c r="N6651" s="113"/>
    </row>
    <row r="6652" spans="2:14">
      <c r="B6652" s="105"/>
      <c r="C6652" s="106"/>
      <c r="D6652" s="107"/>
      <c r="E6652" s="65"/>
      <c r="F6652" s="64"/>
      <c r="G6652" s="64"/>
      <c r="H6652" s="64"/>
      <c r="I6652" s="70"/>
      <c r="J6652" s="70"/>
      <c r="K6652" s="110" t="str">
        <f>IF(H6652="","",IF($C$29="간이법","",FPR(H6652,I6652,J6652)))</f>
        <v/>
      </c>
      <c r="L6652" s="111" t="str">
        <f>IF(H6652="","",IF($C$29="상세법",FPV(H6652,K6652),IF(H6652="EI",4,IF(H6652="EO",5.2,IF(H6652="EQ",3.9,IF(H6652="ILF",7.5,IF(H6652="EIF",5.4)))))))</f>
        <v/>
      </c>
      <c r="M6652" s="112" t="str">
        <f t="shared" si="107"/>
        <v/>
      </c>
      <c r="N6652" s="113"/>
    </row>
    <row r="6653" spans="2:14">
      <c r="B6653" s="105"/>
      <c r="C6653" s="106"/>
      <c r="D6653" s="107"/>
      <c r="E6653" s="65"/>
      <c r="F6653" s="64"/>
      <c r="G6653" s="64"/>
      <c r="H6653" s="64"/>
      <c r="I6653" s="70"/>
      <c r="J6653" s="70"/>
      <c r="K6653" s="110" t="str">
        <f>IF(H6653="","",IF($C$29="간이법","",FPR(H6653,I6653,J6653)))</f>
        <v/>
      </c>
      <c r="L6653" s="111" t="str">
        <f>IF(H6653="","",IF($C$29="상세법",FPV(H6653,K6653),IF(H6653="EI",4,IF(H6653="EO",5.2,IF(H6653="EQ",3.9,IF(H6653="ILF",7.5,IF(H6653="EIF",5.4)))))))</f>
        <v/>
      </c>
      <c r="M6653" s="112" t="str">
        <f t="shared" si="107"/>
        <v/>
      </c>
      <c r="N6653" s="113"/>
    </row>
    <row r="6654" spans="2:14">
      <c r="B6654" s="105"/>
      <c r="C6654" s="106"/>
      <c r="D6654" s="107"/>
      <c r="E6654" s="65"/>
      <c r="F6654" s="64"/>
      <c r="G6654" s="64"/>
      <c r="H6654" s="64"/>
      <c r="I6654" s="70"/>
      <c r="J6654" s="70"/>
      <c r="K6654" s="110" t="str">
        <f>IF(H6654="","",IF($C$29="간이법","",FPR(H6654,I6654,J6654)))</f>
        <v/>
      </c>
      <c r="L6654" s="111" t="str">
        <f>IF(H6654="","",IF($C$29="상세법",FPV(H6654,K6654),IF(H6654="EI",4,IF(H6654="EO",5.2,IF(H6654="EQ",3.9,IF(H6654="ILF",7.5,IF(H6654="EIF",5.4)))))))</f>
        <v/>
      </c>
      <c r="M6654" s="112" t="str">
        <f t="shared" si="107"/>
        <v/>
      </c>
      <c r="N6654" s="113"/>
    </row>
    <row r="6655" spans="2:14">
      <c r="B6655" s="105"/>
      <c r="C6655" s="106"/>
      <c r="D6655" s="107"/>
      <c r="E6655" s="65"/>
      <c r="F6655" s="64"/>
      <c r="G6655" s="64"/>
      <c r="H6655" s="64"/>
      <c r="I6655" s="70"/>
      <c r="J6655" s="70"/>
      <c r="K6655" s="110" t="str">
        <f>IF(H6655="","",IF($C$29="간이법","",FPR(H6655,I6655,J6655)))</f>
        <v/>
      </c>
      <c r="L6655" s="111" t="str">
        <f>IF(H6655="","",IF($C$29="상세법",FPV(H6655,K6655),IF(H6655="EI",4,IF(H6655="EO",5.2,IF(H6655="EQ",3.9,IF(H6655="ILF",7.5,IF(H6655="EIF",5.4)))))))</f>
        <v/>
      </c>
      <c r="M6655" s="112" t="str">
        <f t="shared" si="107"/>
        <v/>
      </c>
      <c r="N6655" s="113"/>
    </row>
    <row r="6656" spans="2:14">
      <c r="B6656" s="105"/>
      <c r="C6656" s="106"/>
      <c r="D6656" s="107"/>
      <c r="E6656" s="65"/>
      <c r="F6656" s="64"/>
      <c r="G6656" s="64"/>
      <c r="H6656" s="64"/>
      <c r="I6656" s="70"/>
      <c r="J6656" s="70"/>
      <c r="K6656" s="110" t="str">
        <f>IF(H6656="","",IF($C$29="간이법","",FPR(H6656,I6656,J6656)))</f>
        <v/>
      </c>
      <c r="L6656" s="111" t="str">
        <f>IF(H6656="","",IF($C$29="상세법",FPV(H6656,K6656),IF(H6656="EI",4,IF(H6656="EO",5.2,IF(H6656="EQ",3.9,IF(H6656="ILF",7.5,IF(H6656="EIF",5.4)))))))</f>
        <v/>
      </c>
      <c r="M6656" s="112" t="str">
        <f t="shared" si="107"/>
        <v/>
      </c>
      <c r="N6656" s="113"/>
    </row>
    <row r="6657" spans="2:14">
      <c r="B6657" s="105"/>
      <c r="C6657" s="106"/>
      <c r="D6657" s="107"/>
      <c r="E6657" s="65"/>
      <c r="F6657" s="64"/>
      <c r="G6657" s="64"/>
      <c r="H6657" s="64"/>
      <c r="I6657" s="70"/>
      <c r="J6657" s="70"/>
      <c r="K6657" s="110" t="str">
        <f>IF(H6657="","",IF($C$29="간이법","",FPR(H6657,I6657,J6657)))</f>
        <v/>
      </c>
      <c r="L6657" s="111" t="str">
        <f>IF(H6657="","",IF($C$29="상세법",FPV(H6657,K6657),IF(H6657="EI",4,IF(H6657="EO",5.2,IF(H6657="EQ",3.9,IF(H6657="ILF",7.5,IF(H6657="EIF",5.4)))))))</f>
        <v/>
      </c>
      <c r="M6657" s="112" t="str">
        <f t="shared" si="107"/>
        <v/>
      </c>
      <c r="N6657" s="113"/>
    </row>
    <row r="6658" spans="2:14">
      <c r="B6658" s="105"/>
      <c r="C6658" s="106"/>
      <c r="D6658" s="107"/>
      <c r="E6658" s="65"/>
      <c r="F6658" s="64"/>
      <c r="G6658" s="64"/>
      <c r="H6658" s="64"/>
      <c r="I6658" s="70"/>
      <c r="J6658" s="70"/>
      <c r="K6658" s="110" t="str">
        <f>IF(H6658="","",IF($C$29="간이법","",FPR(H6658,I6658,J6658)))</f>
        <v/>
      </c>
      <c r="L6658" s="111" t="str">
        <f>IF(H6658="","",IF($C$29="상세법",FPV(H6658,K6658),IF(H6658="EI",4,IF(H6658="EO",5.2,IF(H6658="EQ",3.9,IF(H6658="ILF",7.5,IF(H6658="EIF",5.4)))))))</f>
        <v/>
      </c>
      <c r="M6658" s="112" t="str">
        <f t="shared" si="107"/>
        <v/>
      </c>
      <c r="N6658" s="113"/>
    </row>
    <row r="6659" spans="2:14">
      <c r="B6659" s="105"/>
      <c r="C6659" s="106"/>
      <c r="D6659" s="107"/>
      <c r="E6659" s="65"/>
      <c r="F6659" s="64"/>
      <c r="G6659" s="64"/>
      <c r="H6659" s="64"/>
      <c r="I6659" s="70"/>
      <c r="J6659" s="70"/>
      <c r="K6659" s="110" t="str">
        <f>IF(H6659="","",IF($C$29="간이법","",FPR(H6659,I6659,J6659)))</f>
        <v/>
      </c>
      <c r="L6659" s="111" t="str">
        <f>IF(H6659="","",IF($C$29="상세법",FPV(H6659,K6659),IF(H6659="EI",4,IF(H6659="EO",5.2,IF(H6659="EQ",3.9,IF(H6659="ILF",7.5,IF(H6659="EIF",5.4)))))))</f>
        <v/>
      </c>
      <c r="M6659" s="112" t="str">
        <f t="shared" si="107"/>
        <v/>
      </c>
      <c r="N6659" s="113"/>
    </row>
    <row r="6660" spans="2:14">
      <c r="B6660" s="105"/>
      <c r="C6660" s="106"/>
      <c r="D6660" s="107"/>
      <c r="E6660" s="65"/>
      <c r="F6660" s="64"/>
      <c r="G6660" s="64"/>
      <c r="H6660" s="64"/>
      <c r="I6660" s="70"/>
      <c r="J6660" s="70"/>
      <c r="K6660" s="110" t="str">
        <f>IF(H6660="","",IF($C$29="간이법","",FPR(H6660,I6660,J6660)))</f>
        <v/>
      </c>
      <c r="L6660" s="111" t="str">
        <f>IF(H6660="","",IF($C$29="상세법",FPV(H6660,K6660),IF(H6660="EI",4,IF(H6660="EO",5.2,IF(H6660="EQ",3.9,IF(H6660="ILF",7.5,IF(H6660="EIF",5.4)))))))</f>
        <v/>
      </c>
      <c r="M6660" s="112" t="str">
        <f t="shared" si="107"/>
        <v/>
      </c>
      <c r="N6660" s="113"/>
    </row>
    <row r="6661" spans="2:14">
      <c r="B6661" s="105"/>
      <c r="C6661" s="106"/>
      <c r="D6661" s="107"/>
      <c r="E6661" s="65"/>
      <c r="F6661" s="64"/>
      <c r="G6661" s="64"/>
      <c r="H6661" s="64"/>
      <c r="I6661" s="70"/>
      <c r="J6661" s="70"/>
      <c r="K6661" s="110" t="str">
        <f>IF(H6661="","",IF($C$29="간이법","",FPR(H6661,I6661,J6661)))</f>
        <v/>
      </c>
      <c r="L6661" s="111" t="str">
        <f>IF(H6661="","",IF($C$29="상세법",FPV(H6661,K6661),IF(H6661="EI",4,IF(H6661="EO",5.2,IF(H6661="EQ",3.9,IF(H6661="ILF",7.5,IF(H6661="EIF",5.4)))))))</f>
        <v/>
      </c>
      <c r="M6661" s="112" t="str">
        <f t="shared" si="107"/>
        <v/>
      </c>
      <c r="N6661" s="113"/>
    </row>
    <row r="6662" spans="2:14">
      <c r="B6662" s="105"/>
      <c r="C6662" s="106"/>
      <c r="D6662" s="107"/>
      <c r="E6662" s="65"/>
      <c r="F6662" s="64"/>
      <c r="G6662" s="64"/>
      <c r="H6662" s="64"/>
      <c r="I6662" s="70"/>
      <c r="J6662" s="70"/>
      <c r="K6662" s="110" t="str">
        <f>IF(H6662="","",IF($C$29="간이법","",FPR(H6662,I6662,J6662)))</f>
        <v/>
      </c>
      <c r="L6662" s="111" t="str">
        <f>IF(H6662="","",IF($C$29="상세법",FPV(H6662,K6662),IF(H6662="EI",4,IF(H6662="EO",5.2,IF(H6662="EQ",3.9,IF(H6662="ILF",7.5,IF(H6662="EIF",5.4)))))))</f>
        <v/>
      </c>
      <c r="M6662" s="112" t="str">
        <f t="shared" si="107"/>
        <v/>
      </c>
      <c r="N6662" s="113"/>
    </row>
    <row r="6663" spans="2:14">
      <c r="B6663" s="105"/>
      <c r="C6663" s="106"/>
      <c r="D6663" s="107"/>
      <c r="E6663" s="65"/>
      <c r="F6663" s="64"/>
      <c r="G6663" s="64"/>
      <c r="H6663" s="64"/>
      <c r="I6663" s="70"/>
      <c r="J6663" s="70"/>
      <c r="K6663" s="110" t="str">
        <f>IF(H6663="","",IF($C$29="간이법","",FPR(H6663,I6663,J6663)))</f>
        <v/>
      </c>
      <c r="L6663" s="111" t="str">
        <f>IF(H6663="","",IF($C$29="상세법",FPV(H6663,K6663),IF(H6663="EI",4,IF(H6663="EO",5.2,IF(H6663="EQ",3.9,IF(H6663="ILF",7.5,IF(H6663="EIF",5.4)))))))</f>
        <v/>
      </c>
      <c r="M6663" s="112" t="str">
        <f t="shared" si="107"/>
        <v/>
      </c>
      <c r="N6663" s="113"/>
    </row>
    <row r="6664" spans="2:14">
      <c r="B6664" s="105"/>
      <c r="C6664" s="106"/>
      <c r="D6664" s="107"/>
      <c r="E6664" s="65"/>
      <c r="F6664" s="64"/>
      <c r="G6664" s="64"/>
      <c r="H6664" s="64"/>
      <c r="I6664" s="70"/>
      <c r="J6664" s="70"/>
      <c r="K6664" s="110" t="str">
        <f>IF(H6664="","",IF($C$29="간이법","",FPR(H6664,I6664,J6664)))</f>
        <v/>
      </c>
      <c r="L6664" s="111" t="str">
        <f>IF(H6664="","",IF($C$29="상세법",FPV(H6664,K6664),IF(H6664="EI",4,IF(H6664="EO",5.2,IF(H6664="EQ",3.9,IF(H6664="ILF",7.5,IF(H6664="EIF",5.4)))))))</f>
        <v/>
      </c>
      <c r="M6664" s="112" t="str">
        <f t="shared" si="107"/>
        <v/>
      </c>
      <c r="N6664" s="113"/>
    </row>
    <row r="6665" spans="2:14">
      <c r="B6665" s="105"/>
      <c r="C6665" s="106"/>
      <c r="D6665" s="107"/>
      <c r="E6665" s="65"/>
      <c r="F6665" s="64"/>
      <c r="G6665" s="64"/>
      <c r="H6665" s="64"/>
      <c r="I6665" s="70"/>
      <c r="J6665" s="70"/>
      <c r="K6665" s="110" t="str">
        <f>IF(H6665="","",IF($C$29="간이법","",FPR(H6665,I6665,J6665)))</f>
        <v/>
      </c>
      <c r="L6665" s="111" t="str">
        <f>IF(H6665="","",IF($C$29="상세법",FPV(H6665,K6665),IF(H6665="EI",4,IF(H6665="EO",5.2,IF(H6665="EQ",3.9,IF(H6665="ILF",7.5,IF(H6665="EIF",5.4)))))))</f>
        <v/>
      </c>
      <c r="M6665" s="112" t="str">
        <f t="shared" si="107"/>
        <v/>
      </c>
      <c r="N6665" s="113"/>
    </row>
    <row r="6666" spans="2:14">
      <c r="B6666" s="105"/>
      <c r="C6666" s="106"/>
      <c r="D6666" s="107"/>
      <c r="E6666" s="65"/>
      <c r="F6666" s="64"/>
      <c r="G6666" s="64"/>
      <c r="H6666" s="64"/>
      <c r="I6666" s="70"/>
      <c r="J6666" s="70"/>
      <c r="K6666" s="110" t="str">
        <f>IF(H6666="","",IF($C$29="간이법","",FPR(H6666,I6666,J6666)))</f>
        <v/>
      </c>
      <c r="L6666" s="111" t="str">
        <f>IF(H6666="","",IF($C$29="상세법",FPV(H6666,K6666),IF(H6666="EI",4,IF(H6666="EO",5.2,IF(H6666="EQ",3.9,IF(H6666="ILF",7.5,IF(H6666="EIF",5.4)))))))</f>
        <v/>
      </c>
      <c r="M6666" s="112" t="str">
        <f t="shared" si="107"/>
        <v/>
      </c>
      <c r="N6666" s="113"/>
    </row>
    <row r="6667" spans="2:14">
      <c r="B6667" s="105"/>
      <c r="C6667" s="106"/>
      <c r="D6667" s="107"/>
      <c r="E6667" s="65"/>
      <c r="F6667" s="64"/>
      <c r="G6667" s="64"/>
      <c r="H6667" s="64"/>
      <c r="I6667" s="70"/>
      <c r="J6667" s="70"/>
      <c r="K6667" s="110" t="str">
        <f>IF(H6667="","",IF($C$29="간이법","",FPR(H6667,I6667,J6667)))</f>
        <v/>
      </c>
      <c r="L6667" s="111" t="str">
        <f>IF(H6667="","",IF($C$29="상세법",FPV(H6667,K6667),IF(H6667="EI",4,IF(H6667="EO",5.2,IF(H6667="EQ",3.9,IF(H6667="ILF",7.5,IF(H6667="EIF",5.4)))))))</f>
        <v/>
      </c>
      <c r="M6667" s="112" t="str">
        <f t="shared" si="107"/>
        <v/>
      </c>
      <c r="N6667" s="113"/>
    </row>
    <row r="6668" spans="2:14">
      <c r="B6668" s="105"/>
      <c r="C6668" s="106"/>
      <c r="D6668" s="107"/>
      <c r="E6668" s="65"/>
      <c r="F6668" s="64"/>
      <c r="G6668" s="64"/>
      <c r="H6668" s="64"/>
      <c r="I6668" s="70"/>
      <c r="J6668" s="70"/>
      <c r="K6668" s="110" t="str">
        <f>IF(H6668="","",IF($C$29="간이법","",FPR(H6668,I6668,J6668)))</f>
        <v/>
      </c>
      <c r="L6668" s="111" t="str">
        <f>IF(H6668="","",IF($C$29="상세법",FPV(H6668,K6668),IF(H6668="EI",4,IF(H6668="EO",5.2,IF(H6668="EQ",3.9,IF(H6668="ILF",7.5,IF(H6668="EIF",5.4)))))))</f>
        <v/>
      </c>
      <c r="M6668" s="112" t="str">
        <f t="shared" si="107"/>
        <v/>
      </c>
      <c r="N6668" s="113"/>
    </row>
    <row r="6669" spans="2:14">
      <c r="B6669" s="105"/>
      <c r="C6669" s="106"/>
      <c r="D6669" s="107"/>
      <c r="E6669" s="65"/>
      <c r="F6669" s="64"/>
      <c r="G6669" s="64"/>
      <c r="H6669" s="64"/>
      <c r="I6669" s="70"/>
      <c r="J6669" s="70"/>
      <c r="K6669" s="110" t="str">
        <f>IF(H6669="","",IF($C$29="간이법","",FPR(H6669,I6669,J6669)))</f>
        <v/>
      </c>
      <c r="L6669" s="111" t="str">
        <f>IF(H6669="","",IF($C$29="상세법",FPV(H6669,K6669),IF(H6669="EI",4,IF(H6669="EO",5.2,IF(H6669="EQ",3.9,IF(H6669="ILF",7.5,IF(H6669="EIF",5.4)))))))</f>
        <v/>
      </c>
      <c r="M6669" s="112" t="str">
        <f t="shared" si="107"/>
        <v/>
      </c>
      <c r="N6669" s="113"/>
    </row>
    <row r="6670" spans="2:14">
      <c r="B6670" s="105"/>
      <c r="C6670" s="106"/>
      <c r="D6670" s="107"/>
      <c r="E6670" s="65"/>
      <c r="F6670" s="64"/>
      <c r="G6670" s="64"/>
      <c r="H6670" s="64"/>
      <c r="I6670" s="70"/>
      <c r="J6670" s="70"/>
      <c r="K6670" s="110" t="str">
        <f>IF(H6670="","",IF($C$29="간이법","",FPR(H6670,I6670,J6670)))</f>
        <v/>
      </c>
      <c r="L6670" s="111" t="str">
        <f>IF(H6670="","",IF($C$29="상세법",FPV(H6670,K6670),IF(H6670="EI",4,IF(H6670="EO",5.2,IF(H6670="EQ",3.9,IF(H6670="ILF",7.5,IF(H6670="EIF",5.4)))))))</f>
        <v/>
      </c>
      <c r="M6670" s="112" t="str">
        <f t="shared" si="107"/>
        <v/>
      </c>
      <c r="N6670" s="113"/>
    </row>
    <row r="6671" spans="2:14">
      <c r="B6671" s="105"/>
      <c r="C6671" s="106"/>
      <c r="D6671" s="107"/>
      <c r="E6671" s="65"/>
      <c r="F6671" s="64"/>
      <c r="G6671" s="64"/>
      <c r="H6671" s="64"/>
      <c r="I6671" s="70"/>
      <c r="J6671" s="70"/>
      <c r="K6671" s="110" t="str">
        <f>IF(H6671="","",IF($C$29="간이법","",FPR(H6671,I6671,J6671)))</f>
        <v/>
      </c>
      <c r="L6671" s="111" t="str">
        <f>IF(H6671="","",IF($C$29="상세법",FPV(H6671,K6671),IF(H6671="EI",4,IF(H6671="EO",5.2,IF(H6671="EQ",3.9,IF(H6671="ILF",7.5,IF(H6671="EIF",5.4)))))))</f>
        <v/>
      </c>
      <c r="M6671" s="112" t="str">
        <f t="shared" si="107"/>
        <v/>
      </c>
      <c r="N6671" s="113"/>
    </row>
    <row r="6672" spans="2:14">
      <c r="B6672" s="105"/>
      <c r="C6672" s="106"/>
      <c r="D6672" s="107"/>
      <c r="E6672" s="65"/>
      <c r="F6672" s="64"/>
      <c r="G6672" s="64"/>
      <c r="H6672" s="64"/>
      <c r="I6672" s="70"/>
      <c r="J6672" s="70"/>
      <c r="K6672" s="110" t="str">
        <f>IF(H6672="","",IF($C$29="간이법","",FPR(H6672,I6672,J6672)))</f>
        <v/>
      </c>
      <c r="L6672" s="111" t="str">
        <f>IF(H6672="","",IF($C$29="상세법",FPV(H6672,K6672),IF(H6672="EI",4,IF(H6672="EO",5.2,IF(H6672="EQ",3.9,IF(H6672="ILF",7.5,IF(H6672="EIF",5.4)))))))</f>
        <v/>
      </c>
      <c r="M6672" s="112" t="str">
        <f t="shared" si="107"/>
        <v/>
      </c>
      <c r="N6672" s="113"/>
    </row>
    <row r="6673" spans="2:14">
      <c r="B6673" s="105"/>
      <c r="C6673" s="106"/>
      <c r="D6673" s="107"/>
      <c r="E6673" s="65"/>
      <c r="F6673" s="64"/>
      <c r="G6673" s="64"/>
      <c r="H6673" s="64"/>
      <c r="I6673" s="70"/>
      <c r="J6673" s="70"/>
      <c r="K6673" s="110" t="str">
        <f>IF(H6673="","",IF($C$29="간이법","",FPR(H6673,I6673,J6673)))</f>
        <v/>
      </c>
      <c r="L6673" s="111" t="str">
        <f>IF(H6673="","",IF($C$29="상세법",FPV(H6673,K6673),IF(H6673="EI",4,IF(H6673="EO",5.2,IF(H6673="EQ",3.9,IF(H6673="ILF",7.5,IF(H6673="EIF",5.4)))))))</f>
        <v/>
      </c>
      <c r="M6673" s="112" t="str">
        <f t="shared" si="107"/>
        <v/>
      </c>
      <c r="N6673" s="113"/>
    </row>
    <row r="6674" spans="2:14">
      <c r="B6674" s="105"/>
      <c r="C6674" s="106"/>
      <c r="D6674" s="107"/>
      <c r="E6674" s="65"/>
      <c r="F6674" s="64"/>
      <c r="G6674" s="64"/>
      <c r="H6674" s="64"/>
      <c r="I6674" s="70"/>
      <c r="J6674" s="70"/>
      <c r="K6674" s="110" t="str">
        <f>IF(H6674="","",IF($C$29="간이법","",FPR(H6674,I6674,J6674)))</f>
        <v/>
      </c>
      <c r="L6674" s="111" t="str">
        <f>IF(H6674="","",IF($C$29="상세법",FPV(H6674,K6674),IF(H6674="EI",4,IF(H6674="EO",5.2,IF(H6674="EQ",3.9,IF(H6674="ILF",7.5,IF(H6674="EIF",5.4)))))))</f>
        <v/>
      </c>
      <c r="M6674" s="112" t="str">
        <f t="shared" si="107"/>
        <v/>
      </c>
      <c r="N6674" s="113"/>
    </row>
    <row r="6675" spans="2:14">
      <c r="B6675" s="105"/>
      <c r="C6675" s="106"/>
      <c r="D6675" s="107"/>
      <c r="E6675" s="65"/>
      <c r="F6675" s="64"/>
      <c r="G6675" s="64"/>
      <c r="H6675" s="64"/>
      <c r="I6675" s="70"/>
      <c r="J6675" s="70"/>
      <c r="K6675" s="110" t="str">
        <f>IF(H6675="","",IF($C$29="간이법","",FPR(H6675,I6675,J6675)))</f>
        <v/>
      </c>
      <c r="L6675" s="111" t="str">
        <f>IF(H6675="","",IF($C$29="상세법",FPV(H6675,K6675),IF(H6675="EI",4,IF(H6675="EO",5.2,IF(H6675="EQ",3.9,IF(H6675="ILF",7.5,IF(H6675="EIF",5.4)))))))</f>
        <v/>
      </c>
      <c r="M6675" s="112" t="str">
        <f t="shared" si="107"/>
        <v/>
      </c>
      <c r="N6675" s="113"/>
    </row>
    <row r="6676" spans="2:14">
      <c r="B6676" s="105"/>
      <c r="C6676" s="106"/>
      <c r="D6676" s="107"/>
      <c r="E6676" s="65"/>
      <c r="F6676" s="64"/>
      <c r="G6676" s="64"/>
      <c r="H6676" s="64"/>
      <c r="I6676" s="70"/>
      <c r="J6676" s="70"/>
      <c r="K6676" s="110" t="str">
        <f>IF(H6676="","",IF($C$29="간이법","",FPR(H6676,I6676,J6676)))</f>
        <v/>
      </c>
      <c r="L6676" s="111" t="str">
        <f>IF(H6676="","",IF($C$29="상세법",FPV(H6676,K6676),IF(H6676="EI",4,IF(H6676="EO",5.2,IF(H6676="EQ",3.9,IF(H6676="ILF",7.5,IF(H6676="EIF",5.4)))))))</f>
        <v/>
      </c>
      <c r="M6676" s="112" t="str">
        <f t="shared" si="107"/>
        <v/>
      </c>
      <c r="N6676" s="113"/>
    </row>
    <row r="6677" spans="2:14">
      <c r="B6677" s="105"/>
      <c r="C6677" s="106"/>
      <c r="D6677" s="107"/>
      <c r="E6677" s="65"/>
      <c r="F6677" s="64"/>
      <c r="G6677" s="64"/>
      <c r="H6677" s="64"/>
      <c r="I6677" s="70"/>
      <c r="J6677" s="70"/>
      <c r="K6677" s="110" t="str">
        <f>IF(H6677="","",IF($C$29="간이법","",FPR(H6677,I6677,J6677)))</f>
        <v/>
      </c>
      <c r="L6677" s="111" t="str">
        <f>IF(H6677="","",IF($C$29="상세법",FPV(H6677,K6677),IF(H6677="EI",4,IF(H6677="EO",5.2,IF(H6677="EQ",3.9,IF(H6677="ILF",7.5,IF(H6677="EIF",5.4)))))))</f>
        <v/>
      </c>
      <c r="M6677" s="112" t="str">
        <f t="shared" si="107"/>
        <v/>
      </c>
      <c r="N6677" s="113"/>
    </row>
    <row r="6678" spans="2:14">
      <c r="B6678" s="105"/>
      <c r="C6678" s="106"/>
      <c r="D6678" s="107"/>
      <c r="E6678" s="65"/>
      <c r="F6678" s="64"/>
      <c r="G6678" s="64"/>
      <c r="H6678" s="64"/>
      <c r="I6678" s="70"/>
      <c r="J6678" s="70"/>
      <c r="K6678" s="110" t="str">
        <f>IF(H6678="","",IF($C$29="간이법","",FPR(H6678,I6678,J6678)))</f>
        <v/>
      </c>
      <c r="L6678" s="111" t="str">
        <f>IF(H6678="","",IF($C$29="상세법",FPV(H6678,K6678),IF(H6678="EI",4,IF(H6678="EO",5.2,IF(H6678="EQ",3.9,IF(H6678="ILF",7.5,IF(H6678="EIF",5.4)))))))</f>
        <v/>
      </c>
      <c r="M6678" s="112" t="str">
        <f t="shared" si="107"/>
        <v/>
      </c>
      <c r="N6678" s="113"/>
    </row>
    <row r="6679" spans="2:14">
      <c r="B6679" s="105"/>
      <c r="C6679" s="106"/>
      <c r="D6679" s="107"/>
      <c r="E6679" s="65"/>
      <c r="F6679" s="64"/>
      <c r="G6679" s="64"/>
      <c r="H6679" s="64"/>
      <c r="I6679" s="70"/>
      <c r="J6679" s="70"/>
      <c r="K6679" s="110" t="str">
        <f>IF(H6679="","",IF($C$29="간이법","",FPR(H6679,I6679,J6679)))</f>
        <v/>
      </c>
      <c r="L6679" s="111" t="str">
        <f>IF(H6679="","",IF($C$29="상세법",FPV(H6679,K6679),IF(H6679="EI",4,IF(H6679="EO",5.2,IF(H6679="EQ",3.9,IF(H6679="ILF",7.5,IF(H6679="EIF",5.4)))))))</f>
        <v/>
      </c>
      <c r="M6679" s="112" t="str">
        <f t="shared" si="107"/>
        <v/>
      </c>
      <c r="N6679" s="113"/>
    </row>
    <row r="6680" spans="2:14">
      <c r="B6680" s="105"/>
      <c r="C6680" s="106"/>
      <c r="D6680" s="107"/>
      <c r="E6680" s="65"/>
      <c r="F6680" s="64"/>
      <c r="G6680" s="64"/>
      <c r="H6680" s="64"/>
      <c r="I6680" s="70"/>
      <c r="J6680" s="70"/>
      <c r="K6680" s="110" t="str">
        <f>IF(H6680="","",IF($C$29="간이법","",FPR(H6680,I6680,J6680)))</f>
        <v/>
      </c>
      <c r="L6680" s="111" t="str">
        <f>IF(H6680="","",IF($C$29="상세법",FPV(H6680,K6680),IF(H6680="EI",4,IF(H6680="EO",5.2,IF(H6680="EQ",3.9,IF(H6680="ILF",7.5,IF(H6680="EIF",5.4)))))))</f>
        <v/>
      </c>
      <c r="M6680" s="112" t="str">
        <f t="shared" si="107"/>
        <v/>
      </c>
      <c r="N6680" s="113"/>
    </row>
    <row r="6681" spans="2:14">
      <c r="B6681" s="105"/>
      <c r="C6681" s="106"/>
      <c r="D6681" s="107"/>
      <c r="E6681" s="65"/>
      <c r="F6681" s="64"/>
      <c r="G6681" s="64"/>
      <c r="H6681" s="64"/>
      <c r="I6681" s="70"/>
      <c r="J6681" s="70"/>
      <c r="K6681" s="110" t="str">
        <f>IF(H6681="","",IF($C$29="간이법","",FPR(H6681,I6681,J6681)))</f>
        <v/>
      </c>
      <c r="L6681" s="111" t="str">
        <f>IF(H6681="","",IF($C$29="상세법",FPV(H6681,K6681),IF(H6681="EI",4,IF(H6681="EO",5.2,IF(H6681="EQ",3.9,IF(H6681="ILF",7.5,IF(H6681="EIF",5.4)))))))</f>
        <v/>
      </c>
      <c r="M6681" s="112" t="str">
        <f t="shared" si="107"/>
        <v/>
      </c>
      <c r="N6681" s="113"/>
    </row>
    <row r="6682" spans="2:14">
      <c r="B6682" s="105"/>
      <c r="C6682" s="106"/>
      <c r="D6682" s="107"/>
      <c r="E6682" s="65"/>
      <c r="F6682" s="64"/>
      <c r="G6682" s="64"/>
      <c r="H6682" s="64"/>
      <c r="I6682" s="70"/>
      <c r="J6682" s="70"/>
      <c r="K6682" s="110" t="str">
        <f>IF(H6682="","",IF($C$29="간이법","",FPR(H6682,I6682,J6682)))</f>
        <v/>
      </c>
      <c r="L6682" s="111" t="str">
        <f>IF(H6682="","",IF($C$29="상세법",FPV(H6682,K6682),IF(H6682="EI",4,IF(H6682="EO",5.2,IF(H6682="EQ",3.9,IF(H6682="ILF",7.5,IF(H6682="EIF",5.4)))))))</f>
        <v/>
      </c>
      <c r="M6682" s="112" t="str">
        <f t="shared" si="107"/>
        <v/>
      </c>
      <c r="N6682" s="113"/>
    </row>
    <row r="6683" spans="2:14">
      <c r="B6683" s="105"/>
      <c r="C6683" s="106"/>
      <c r="D6683" s="107"/>
      <c r="E6683" s="65"/>
      <c r="F6683" s="64"/>
      <c r="G6683" s="64"/>
      <c r="H6683" s="64"/>
      <c r="I6683" s="70"/>
      <c r="J6683" s="70"/>
      <c r="K6683" s="110" t="str">
        <f>IF(H6683="","",IF($C$29="간이법","",FPR(H6683,I6683,J6683)))</f>
        <v/>
      </c>
      <c r="L6683" s="111" t="str">
        <f>IF(H6683="","",IF($C$29="상세법",FPV(H6683,K6683),IF(H6683="EI",4,IF(H6683="EO",5.2,IF(H6683="EQ",3.9,IF(H6683="ILF",7.5,IF(H6683="EIF",5.4)))))))</f>
        <v/>
      </c>
      <c r="M6683" s="112" t="str">
        <f t="shared" si="107"/>
        <v/>
      </c>
      <c r="N6683" s="113"/>
    </row>
    <row r="6684" spans="2:14">
      <c r="B6684" s="105"/>
      <c r="C6684" s="106"/>
      <c r="D6684" s="107"/>
      <c r="E6684" s="65"/>
      <c r="F6684" s="64"/>
      <c r="G6684" s="64"/>
      <c r="H6684" s="64"/>
      <c r="I6684" s="70"/>
      <c r="J6684" s="70"/>
      <c r="K6684" s="110" t="str">
        <f>IF(H6684="","",IF($C$29="간이법","",FPR(H6684,I6684,J6684)))</f>
        <v/>
      </c>
      <c r="L6684" s="111" t="str">
        <f>IF(H6684="","",IF($C$29="상세법",FPV(H6684,K6684),IF(H6684="EI",4,IF(H6684="EO",5.2,IF(H6684="EQ",3.9,IF(H6684="ILF",7.5,IF(H6684="EIF",5.4)))))))</f>
        <v/>
      </c>
      <c r="M6684" s="112" t="str">
        <f t="shared" si="107"/>
        <v/>
      </c>
      <c r="N6684" s="113"/>
    </row>
    <row r="6685" spans="2:14">
      <c r="B6685" s="105"/>
      <c r="C6685" s="106"/>
      <c r="D6685" s="107"/>
      <c r="E6685" s="65"/>
      <c r="F6685" s="64"/>
      <c r="G6685" s="64"/>
      <c r="H6685" s="64"/>
      <c r="I6685" s="70"/>
      <c r="J6685" s="70"/>
      <c r="K6685" s="110" t="str">
        <f>IF(H6685="","",IF($C$29="간이법","",FPR(H6685,I6685,J6685)))</f>
        <v/>
      </c>
      <c r="L6685" s="111" t="str">
        <f>IF(H6685="","",IF($C$29="상세법",FPV(H6685,K6685),IF(H6685="EI",4,IF(H6685="EO",5.2,IF(H6685="EQ",3.9,IF(H6685="ILF",7.5,IF(H6685="EIF",5.4)))))))</f>
        <v/>
      </c>
      <c r="M6685" s="112" t="str">
        <f t="shared" si="107"/>
        <v/>
      </c>
      <c r="N6685" s="113"/>
    </row>
    <row r="6686" spans="2:14">
      <c r="B6686" s="105"/>
      <c r="C6686" s="106"/>
      <c r="D6686" s="107"/>
      <c r="E6686" s="65"/>
      <c r="F6686" s="64"/>
      <c r="G6686" s="64"/>
      <c r="H6686" s="64"/>
      <c r="I6686" s="70"/>
      <c r="J6686" s="70"/>
      <c r="K6686" s="110" t="str">
        <f>IF(H6686="","",IF($C$29="간이법","",FPR(H6686,I6686,J6686)))</f>
        <v/>
      </c>
      <c r="L6686" s="111" t="str">
        <f>IF(H6686="","",IF($C$29="상세법",FPV(H6686,K6686),IF(H6686="EI",4,IF(H6686="EO",5.2,IF(H6686="EQ",3.9,IF(H6686="ILF",7.5,IF(H6686="EIF",5.4)))))))</f>
        <v/>
      </c>
      <c r="M6686" s="112" t="str">
        <f t="shared" si="107"/>
        <v/>
      </c>
      <c r="N6686" s="113"/>
    </row>
    <row r="6687" spans="2:14">
      <c r="B6687" s="105"/>
      <c r="C6687" s="106"/>
      <c r="D6687" s="107"/>
      <c r="E6687" s="65"/>
      <c r="F6687" s="64"/>
      <c r="G6687" s="64"/>
      <c r="H6687" s="64"/>
      <c r="I6687" s="70"/>
      <c r="J6687" s="70"/>
      <c r="K6687" s="110" t="str">
        <f>IF(H6687="","",IF($C$29="간이법","",FPR(H6687,I6687,J6687)))</f>
        <v/>
      </c>
      <c r="L6687" s="111" t="str">
        <f>IF(H6687="","",IF($C$29="상세법",FPV(H6687,K6687),IF(H6687="EI",4,IF(H6687="EO",5.2,IF(H6687="EQ",3.9,IF(H6687="ILF",7.5,IF(H6687="EIF",5.4)))))))</f>
        <v/>
      </c>
      <c r="M6687" s="112" t="str">
        <f t="shared" si="107"/>
        <v/>
      </c>
      <c r="N6687" s="113"/>
    </row>
    <row r="6688" spans="2:14">
      <c r="B6688" s="105"/>
      <c r="C6688" s="106"/>
      <c r="D6688" s="107"/>
      <c r="E6688" s="65"/>
      <c r="F6688" s="64"/>
      <c r="G6688" s="64"/>
      <c r="H6688" s="64"/>
      <c r="I6688" s="70"/>
      <c r="J6688" s="70"/>
      <c r="K6688" s="110" t="str">
        <f>IF(H6688="","",IF($C$29="간이법","",FPR(H6688,I6688,J6688)))</f>
        <v/>
      </c>
      <c r="L6688" s="111" t="str">
        <f>IF(H6688="","",IF($C$29="상세법",FPV(H6688,K6688),IF(H6688="EI",4,IF(H6688="EO",5.2,IF(H6688="EQ",3.9,IF(H6688="ILF",7.5,IF(H6688="EIF",5.4)))))))</f>
        <v/>
      </c>
      <c r="M6688" s="112" t="str">
        <f t="shared" si="107"/>
        <v/>
      </c>
      <c r="N6688" s="113"/>
    </row>
    <row r="6689" spans="2:14">
      <c r="B6689" s="105"/>
      <c r="C6689" s="106"/>
      <c r="D6689" s="107"/>
      <c r="E6689" s="65"/>
      <c r="F6689" s="64"/>
      <c r="G6689" s="64"/>
      <c r="H6689" s="64"/>
      <c r="I6689" s="70"/>
      <c r="J6689" s="70"/>
      <c r="K6689" s="110" t="str">
        <f>IF(H6689="","",IF($C$29="간이법","",FPR(H6689,I6689,J6689)))</f>
        <v/>
      </c>
      <c r="L6689" s="111" t="str">
        <f>IF(H6689="","",IF($C$29="상세법",FPV(H6689,K6689),IF(H6689="EI",4,IF(H6689="EO",5.2,IF(H6689="EQ",3.9,IF(H6689="ILF",7.5,IF(H6689="EIF",5.4)))))))</f>
        <v/>
      </c>
      <c r="M6689" s="112" t="str">
        <f t="shared" si="107"/>
        <v/>
      </c>
      <c r="N6689" s="113"/>
    </row>
    <row r="6690" spans="2:14">
      <c r="B6690" s="105"/>
      <c r="C6690" s="106"/>
      <c r="D6690" s="107"/>
      <c r="E6690" s="65"/>
      <c r="F6690" s="64"/>
      <c r="G6690" s="64"/>
      <c r="H6690" s="64"/>
      <c r="I6690" s="70"/>
      <c r="J6690" s="70"/>
      <c r="K6690" s="110" t="str">
        <f>IF(H6690="","",IF($C$29="간이법","",FPR(H6690,I6690,J6690)))</f>
        <v/>
      </c>
      <c r="L6690" s="111" t="str">
        <f>IF(H6690="","",IF($C$29="상세법",FPV(H6690,K6690),IF(H6690="EI",4,IF(H6690="EO",5.2,IF(H6690="EQ",3.9,IF(H6690="ILF",7.5,IF(H6690="EIF",5.4)))))))</f>
        <v/>
      </c>
      <c r="M6690" s="112" t="str">
        <f t="shared" si="107"/>
        <v/>
      </c>
      <c r="N6690" s="113"/>
    </row>
    <row r="6691" spans="2:14">
      <c r="B6691" s="105"/>
      <c r="C6691" s="106"/>
      <c r="D6691" s="107"/>
      <c r="E6691" s="65"/>
      <c r="F6691" s="64"/>
      <c r="G6691" s="64"/>
      <c r="H6691" s="64"/>
      <c r="I6691" s="70"/>
      <c r="J6691" s="70"/>
      <c r="K6691" s="110" t="str">
        <f>IF(H6691="","",IF($C$29="간이법","",FPR(H6691,I6691,J6691)))</f>
        <v/>
      </c>
      <c r="L6691" s="111" t="str">
        <f>IF(H6691="","",IF($C$29="상세법",FPV(H6691,K6691),IF(H6691="EI",4,IF(H6691="EO",5.2,IF(H6691="EQ",3.9,IF(H6691="ILF",7.5,IF(H6691="EIF",5.4)))))))</f>
        <v/>
      </c>
      <c r="M6691" s="112" t="str">
        <f t="shared" si="107"/>
        <v/>
      </c>
      <c r="N6691" s="113"/>
    </row>
    <row r="6692" spans="2:14">
      <c r="B6692" s="105"/>
      <c r="C6692" s="106"/>
      <c r="D6692" s="107"/>
      <c r="E6692" s="65"/>
      <c r="F6692" s="64"/>
      <c r="G6692" s="64"/>
      <c r="H6692" s="64"/>
      <c r="I6692" s="70"/>
      <c r="J6692" s="70"/>
      <c r="K6692" s="110" t="str">
        <f>IF(H6692="","",IF($C$29="간이법","",FPR(H6692,I6692,J6692)))</f>
        <v/>
      </c>
      <c r="L6692" s="111" t="str">
        <f>IF(H6692="","",IF($C$29="상세법",FPV(H6692,K6692),IF(H6692="EI",4,IF(H6692="EO",5.2,IF(H6692="EQ",3.9,IF(H6692="ILF",7.5,IF(H6692="EIF",5.4)))))))</f>
        <v/>
      </c>
      <c r="M6692" s="112" t="str">
        <f t="shared" si="107"/>
        <v/>
      </c>
      <c r="N6692" s="113"/>
    </row>
    <row r="6693" spans="2:14">
      <c r="B6693" s="105"/>
      <c r="C6693" s="106"/>
      <c r="D6693" s="107"/>
      <c r="E6693" s="65"/>
      <c r="F6693" s="64"/>
      <c r="G6693" s="64"/>
      <c r="H6693" s="64"/>
      <c r="I6693" s="70"/>
      <c r="J6693" s="70"/>
      <c r="K6693" s="110" t="str">
        <f>IF(H6693="","",IF($C$29="간이법","",FPR(H6693,I6693,J6693)))</f>
        <v/>
      </c>
      <c r="L6693" s="111" t="str">
        <f>IF(H6693="","",IF($C$29="상세법",FPV(H6693,K6693),IF(H6693="EI",4,IF(H6693="EO",5.2,IF(H6693="EQ",3.9,IF(H6693="ILF",7.5,IF(H6693="EIF",5.4)))))))</f>
        <v/>
      </c>
      <c r="M6693" s="112" t="str">
        <f t="shared" si="107"/>
        <v/>
      </c>
      <c r="N6693" s="113"/>
    </row>
    <row r="6694" spans="2:14">
      <c r="B6694" s="105"/>
      <c r="C6694" s="106"/>
      <c r="D6694" s="107"/>
      <c r="E6694" s="65"/>
      <c r="F6694" s="64"/>
      <c r="G6694" s="64"/>
      <c r="H6694" s="64"/>
      <c r="I6694" s="70"/>
      <c r="J6694" s="70"/>
      <c r="K6694" s="110" t="str">
        <f>IF(H6694="","",IF($C$29="간이법","",FPR(H6694,I6694,J6694)))</f>
        <v/>
      </c>
      <c r="L6694" s="111" t="str">
        <f>IF(H6694="","",IF($C$29="상세법",FPV(H6694,K6694),IF(H6694="EI",4,IF(H6694="EO",5.2,IF(H6694="EQ",3.9,IF(H6694="ILF",7.5,IF(H6694="EIF",5.4)))))))</f>
        <v/>
      </c>
      <c r="M6694" s="112" t="str">
        <f t="shared" si="107"/>
        <v/>
      </c>
      <c r="N6694" s="113"/>
    </row>
    <row r="6695" spans="2:14">
      <c r="B6695" s="105"/>
      <c r="C6695" s="106"/>
      <c r="D6695" s="107"/>
      <c r="E6695" s="65"/>
      <c r="F6695" s="64"/>
      <c r="G6695" s="64"/>
      <c r="H6695" s="64"/>
      <c r="I6695" s="70"/>
      <c r="J6695" s="70"/>
      <c r="K6695" s="110" t="str">
        <f>IF(H6695="","",IF($C$29="간이법","",FPR(H6695,I6695,J6695)))</f>
        <v/>
      </c>
      <c r="L6695" s="111" t="str">
        <f>IF(H6695="","",IF($C$29="상세법",FPV(H6695,K6695),IF(H6695="EI",4,IF(H6695="EO",5.2,IF(H6695="EQ",3.9,IF(H6695="ILF",7.5,IF(H6695="EIF",5.4)))))))</f>
        <v/>
      </c>
      <c r="M6695" s="112" t="str">
        <f t="shared" si="107"/>
        <v/>
      </c>
      <c r="N6695" s="113"/>
    </row>
    <row r="6696" spans="2:14">
      <c r="B6696" s="105"/>
      <c r="C6696" s="106"/>
      <c r="D6696" s="107"/>
      <c r="E6696" s="65"/>
      <c r="F6696" s="64"/>
      <c r="G6696" s="64"/>
      <c r="H6696" s="64"/>
      <c r="I6696" s="70"/>
      <c r="J6696" s="70"/>
      <c r="K6696" s="110" t="str">
        <f>IF(H6696="","",IF($C$29="간이법","",FPR(H6696,I6696,J6696)))</f>
        <v/>
      </c>
      <c r="L6696" s="111" t="str">
        <f>IF(H6696="","",IF($C$29="상세법",FPV(H6696,K6696),IF(H6696="EI",4,IF(H6696="EO",5.2,IF(H6696="EQ",3.9,IF(H6696="ILF",7.5,IF(H6696="EIF",5.4)))))))</f>
        <v/>
      </c>
      <c r="M6696" s="112" t="str">
        <f t="shared" si="107"/>
        <v/>
      </c>
      <c r="N6696" s="113"/>
    </row>
    <row r="6697" spans="2:14">
      <c r="B6697" s="105"/>
      <c r="C6697" s="106"/>
      <c r="D6697" s="107"/>
      <c r="E6697" s="65"/>
      <c r="F6697" s="64"/>
      <c r="G6697" s="64"/>
      <c r="H6697" s="64"/>
      <c r="I6697" s="70"/>
      <c r="J6697" s="70"/>
      <c r="K6697" s="110" t="str">
        <f>IF(H6697="","",IF($C$29="간이법","",FPR(H6697,I6697,J6697)))</f>
        <v/>
      </c>
      <c r="L6697" s="111" t="str">
        <f>IF(H6697="","",IF($C$29="상세법",FPV(H6697,K6697),IF(H6697="EI",4,IF(H6697="EO",5.2,IF(H6697="EQ",3.9,IF(H6697="ILF",7.5,IF(H6697="EIF",5.4)))))))</f>
        <v/>
      </c>
      <c r="M6697" s="112" t="str">
        <f t="shared" si="107"/>
        <v/>
      </c>
      <c r="N6697" s="113"/>
    </row>
    <row r="6698" spans="2:14">
      <c r="B6698" s="105"/>
      <c r="C6698" s="106"/>
      <c r="D6698" s="107"/>
      <c r="E6698" s="65"/>
      <c r="F6698" s="64"/>
      <c r="G6698" s="64"/>
      <c r="H6698" s="64"/>
      <c r="I6698" s="70"/>
      <c r="J6698" s="70"/>
      <c r="K6698" s="110" t="str">
        <f>IF(H6698="","",IF($C$29="간이법","",FPR(H6698,I6698,J6698)))</f>
        <v/>
      </c>
      <c r="L6698" s="111" t="str">
        <f>IF(H6698="","",IF($C$29="상세법",FPV(H6698,K6698),IF(H6698="EI",4,IF(H6698="EO",5.2,IF(H6698="EQ",3.9,IF(H6698="ILF",7.5,IF(H6698="EIF",5.4)))))))</f>
        <v/>
      </c>
      <c r="M6698" s="112" t="str">
        <f t="shared" si="107"/>
        <v/>
      </c>
      <c r="N6698" s="113"/>
    </row>
    <row r="6699" spans="2:14">
      <c r="B6699" s="105"/>
      <c r="C6699" s="106"/>
      <c r="D6699" s="107"/>
      <c r="E6699" s="65"/>
      <c r="F6699" s="64"/>
      <c r="G6699" s="64"/>
      <c r="H6699" s="64"/>
      <c r="I6699" s="70"/>
      <c r="J6699" s="70"/>
      <c r="K6699" s="110" t="str">
        <f>IF(H6699="","",IF($C$29="간이법","",FPR(H6699,I6699,J6699)))</f>
        <v/>
      </c>
      <c r="L6699" s="111" t="str">
        <f>IF(H6699="","",IF($C$29="상세법",FPV(H6699,K6699),IF(H6699="EI",4,IF(H6699="EO",5.2,IF(H6699="EQ",3.9,IF(H6699="ILF",7.5,IF(H6699="EIF",5.4)))))))</f>
        <v/>
      </c>
      <c r="M6699" s="112" t="str">
        <f t="shared" si="107"/>
        <v/>
      </c>
      <c r="N6699" s="113"/>
    </row>
    <row r="6700" spans="2:14">
      <c r="B6700" s="105"/>
      <c r="C6700" s="106"/>
      <c r="D6700" s="107"/>
      <c r="E6700" s="65"/>
      <c r="F6700" s="64"/>
      <c r="G6700" s="64"/>
      <c r="H6700" s="64"/>
      <c r="I6700" s="70"/>
      <c r="J6700" s="70"/>
      <c r="K6700" s="110" t="str">
        <f>IF(H6700="","",IF($C$29="간이법","",FPR(H6700,I6700,J6700)))</f>
        <v/>
      </c>
      <c r="L6700" s="111" t="str">
        <f>IF(H6700="","",IF($C$29="상세법",FPV(H6700,K6700),IF(H6700="EI",4,IF(H6700="EO",5.2,IF(H6700="EQ",3.9,IF(H6700="ILF",7.5,IF(H6700="EIF",5.4)))))))</f>
        <v/>
      </c>
      <c r="M6700" s="112" t="str">
        <f t="shared" si="107"/>
        <v/>
      </c>
      <c r="N6700" s="113"/>
    </row>
    <row r="6701" spans="2:14">
      <c r="B6701" s="105"/>
      <c r="C6701" s="106"/>
      <c r="D6701" s="107"/>
      <c r="E6701" s="65"/>
      <c r="F6701" s="64"/>
      <c r="G6701" s="64"/>
      <c r="H6701" s="64"/>
      <c r="I6701" s="70"/>
      <c r="J6701" s="70"/>
      <c r="K6701" s="110" t="str">
        <f>IF(H6701="","",IF($C$29="간이법","",FPR(H6701,I6701,J6701)))</f>
        <v/>
      </c>
      <c r="L6701" s="111" t="str">
        <f>IF(H6701="","",IF($C$29="상세법",FPV(H6701,K6701),IF(H6701="EI",4,IF(H6701="EO",5.2,IF(H6701="EQ",3.9,IF(H6701="ILF",7.5,IF(H6701="EIF",5.4)))))))</f>
        <v/>
      </c>
      <c r="M6701" s="112" t="str">
        <f t="shared" si="107"/>
        <v/>
      </c>
      <c r="N6701" s="113"/>
    </row>
    <row r="6702" spans="2:14">
      <c r="B6702" s="105"/>
      <c r="C6702" s="106"/>
      <c r="D6702" s="107"/>
      <c r="E6702" s="65"/>
      <c r="F6702" s="64"/>
      <c r="G6702" s="64"/>
      <c r="H6702" s="64"/>
      <c r="I6702" s="70"/>
      <c r="J6702" s="70"/>
      <c r="K6702" s="110" t="str">
        <f>IF(H6702="","",IF($C$29="간이법","",FPR(H6702,I6702,J6702)))</f>
        <v/>
      </c>
      <c r="L6702" s="111" t="str">
        <f>IF(H6702="","",IF($C$29="상세법",FPV(H6702,K6702),IF(H6702="EI",4,IF(H6702="EO",5.2,IF(H6702="EQ",3.9,IF(H6702="ILF",7.5,IF(H6702="EIF",5.4)))))))</f>
        <v/>
      </c>
      <c r="M6702" s="112" t="str">
        <f t="shared" si="107"/>
        <v/>
      </c>
      <c r="N6702" s="113"/>
    </row>
    <row r="6703" spans="2:14">
      <c r="B6703" s="105"/>
      <c r="C6703" s="106"/>
      <c r="D6703" s="107"/>
      <c r="E6703" s="65"/>
      <c r="F6703" s="64"/>
      <c r="G6703" s="64"/>
      <c r="H6703" s="64"/>
      <c r="I6703" s="70"/>
      <c r="J6703" s="70"/>
      <c r="K6703" s="110" t="str">
        <f>IF(H6703="","",IF($C$29="간이법","",FPR(H6703,I6703,J6703)))</f>
        <v/>
      </c>
      <c r="L6703" s="111" t="str">
        <f>IF(H6703="","",IF($C$29="상세법",FPV(H6703,K6703),IF(H6703="EI",4,IF(H6703="EO",5.2,IF(H6703="EQ",3.9,IF(H6703="ILF",7.5,IF(H6703="EIF",5.4)))))))</f>
        <v/>
      </c>
      <c r="M6703" s="112" t="str">
        <f t="shared" si="107"/>
        <v/>
      </c>
      <c r="N6703" s="113"/>
    </row>
    <row r="6704" spans="2:14">
      <c r="B6704" s="105"/>
      <c r="C6704" s="106"/>
      <c r="D6704" s="107"/>
      <c r="E6704" s="65"/>
      <c r="F6704" s="64"/>
      <c r="G6704" s="64"/>
      <c r="H6704" s="64"/>
      <c r="I6704" s="70"/>
      <c r="J6704" s="70"/>
      <c r="K6704" s="110" t="str">
        <f>IF(H6704="","",IF($C$29="간이법","",FPR(H6704,I6704,J6704)))</f>
        <v/>
      </c>
      <c r="L6704" s="111" t="str">
        <f>IF(H6704="","",IF($C$29="상세법",FPV(H6704,K6704),IF(H6704="EI",4,IF(H6704="EO",5.2,IF(H6704="EQ",3.9,IF(H6704="ILF",7.5,IF(H6704="EIF",5.4)))))))</f>
        <v/>
      </c>
      <c r="M6704" s="112" t="str">
        <f t="shared" si="107"/>
        <v/>
      </c>
      <c r="N6704" s="113"/>
    </row>
    <row r="6705" spans="2:14">
      <c r="B6705" s="105"/>
      <c r="C6705" s="106"/>
      <c r="D6705" s="107"/>
      <c r="E6705" s="65"/>
      <c r="F6705" s="64"/>
      <c r="G6705" s="64"/>
      <c r="H6705" s="64"/>
      <c r="I6705" s="70"/>
      <c r="J6705" s="70"/>
      <c r="K6705" s="110" t="str">
        <f>IF(H6705="","",IF($C$29="간이법","",FPR(H6705,I6705,J6705)))</f>
        <v/>
      </c>
      <c r="L6705" s="111" t="str">
        <f>IF(H6705="","",IF($C$29="상세법",FPV(H6705,K6705),IF(H6705="EI",4,IF(H6705="EO",5.2,IF(H6705="EQ",3.9,IF(H6705="ILF",7.5,IF(H6705="EIF",5.4)))))))</f>
        <v/>
      </c>
      <c r="M6705" s="112" t="str">
        <f t="shared" si="107"/>
        <v/>
      </c>
      <c r="N6705" s="113"/>
    </row>
    <row r="6706" spans="2:14">
      <c r="B6706" s="105"/>
      <c r="C6706" s="106"/>
      <c r="D6706" s="107"/>
      <c r="E6706" s="65"/>
      <c r="F6706" s="64"/>
      <c r="G6706" s="64"/>
      <c r="H6706" s="64"/>
      <c r="I6706" s="70"/>
      <c r="J6706" s="70"/>
      <c r="K6706" s="110" t="str">
        <f>IF(H6706="","",IF($C$29="간이법","",FPR(H6706,I6706,J6706)))</f>
        <v/>
      </c>
      <c r="L6706" s="111" t="str">
        <f>IF(H6706="","",IF($C$29="상세법",FPV(H6706,K6706),IF(H6706="EI",4,IF(H6706="EO",5.2,IF(H6706="EQ",3.9,IF(H6706="ILF",7.5,IF(H6706="EIF",5.4)))))))</f>
        <v/>
      </c>
      <c r="M6706" s="112" t="str">
        <f t="shared" si="107"/>
        <v/>
      </c>
      <c r="N6706" s="113"/>
    </row>
    <row r="6707" spans="2:14">
      <c r="B6707" s="105"/>
      <c r="C6707" s="106"/>
      <c r="D6707" s="107"/>
      <c r="E6707" s="65"/>
      <c r="F6707" s="64"/>
      <c r="G6707" s="64"/>
      <c r="H6707" s="64"/>
      <c r="I6707" s="70"/>
      <c r="J6707" s="70"/>
      <c r="K6707" s="110" t="str">
        <f>IF(H6707="","",IF($C$29="간이법","",FPR(H6707,I6707,J6707)))</f>
        <v/>
      </c>
      <c r="L6707" s="111" t="str">
        <f>IF(H6707="","",IF($C$29="상세법",FPV(H6707,K6707),IF(H6707="EI",4,IF(H6707="EO",5.2,IF(H6707="EQ",3.9,IF(H6707="ILF",7.5,IF(H6707="EIF",5.4)))))))</f>
        <v/>
      </c>
      <c r="M6707" s="112" t="str">
        <f t="shared" si="107"/>
        <v/>
      </c>
      <c r="N6707" s="113"/>
    </row>
    <row r="6708" spans="2:14">
      <c r="B6708" s="105"/>
      <c r="C6708" s="106"/>
      <c r="D6708" s="107"/>
      <c r="E6708" s="65"/>
      <c r="F6708" s="64"/>
      <c r="G6708" s="64"/>
      <c r="H6708" s="64"/>
      <c r="I6708" s="70"/>
      <c r="J6708" s="70"/>
      <c r="K6708" s="110" t="str">
        <f>IF(H6708="","",IF($C$29="간이법","",FPR(H6708,I6708,J6708)))</f>
        <v/>
      </c>
      <c r="L6708" s="111" t="str">
        <f>IF(H6708="","",IF($C$29="상세법",FPV(H6708,K6708),IF(H6708="EI",4,IF(H6708="EO",5.2,IF(H6708="EQ",3.9,IF(H6708="ILF",7.5,IF(H6708="EIF",5.4)))))))</f>
        <v/>
      </c>
      <c r="M6708" s="112" t="str">
        <f t="shared" si="107"/>
        <v/>
      </c>
      <c r="N6708" s="113"/>
    </row>
    <row r="6709" spans="2:14">
      <c r="B6709" s="105"/>
      <c r="C6709" s="106"/>
      <c r="D6709" s="107"/>
      <c r="E6709" s="65"/>
      <c r="F6709" s="64"/>
      <c r="G6709" s="64"/>
      <c r="H6709" s="64"/>
      <c r="I6709" s="70"/>
      <c r="J6709" s="70"/>
      <c r="K6709" s="110" t="str">
        <f>IF(H6709="","",IF($C$29="간이법","",FPR(H6709,I6709,J6709)))</f>
        <v/>
      </c>
      <c r="L6709" s="111" t="str">
        <f>IF(H6709="","",IF($C$29="상세법",FPV(H6709,K6709),IF(H6709="EI",4,IF(H6709="EO",5.2,IF(H6709="EQ",3.9,IF(H6709="ILF",7.5,IF(H6709="EIF",5.4)))))))</f>
        <v/>
      </c>
      <c r="M6709" s="112" t="str">
        <f t="shared" si="107"/>
        <v/>
      </c>
      <c r="N6709" s="113"/>
    </row>
    <row r="6710" spans="2:14">
      <c r="B6710" s="105"/>
      <c r="C6710" s="106"/>
      <c r="D6710" s="107"/>
      <c r="E6710" s="65"/>
      <c r="F6710" s="64"/>
      <c r="G6710" s="64"/>
      <c r="H6710" s="64"/>
      <c r="I6710" s="70"/>
      <c r="J6710" s="70"/>
      <c r="K6710" s="110" t="str">
        <f>IF(H6710="","",IF($C$29="간이법","",FPR(H6710,I6710,J6710)))</f>
        <v/>
      </c>
      <c r="L6710" s="111" t="str">
        <f>IF(H6710="","",IF($C$29="상세법",FPV(H6710,K6710),IF(H6710="EI",4,IF(H6710="EO",5.2,IF(H6710="EQ",3.9,IF(H6710="ILF",7.5,IF(H6710="EIF",5.4)))))))</f>
        <v/>
      </c>
      <c r="M6710" s="112" t="str">
        <f t="shared" si="107"/>
        <v/>
      </c>
      <c r="N6710" s="113"/>
    </row>
    <row r="6711" spans="2:14">
      <c r="B6711" s="105"/>
      <c r="C6711" s="106"/>
      <c r="D6711" s="107"/>
      <c r="E6711" s="65"/>
      <c r="F6711" s="64"/>
      <c r="G6711" s="64"/>
      <c r="H6711" s="64"/>
      <c r="I6711" s="70"/>
      <c r="J6711" s="70"/>
      <c r="K6711" s="110" t="str">
        <f>IF(H6711="","",IF($C$29="간이법","",FPR(H6711,I6711,J6711)))</f>
        <v/>
      </c>
      <c r="L6711" s="111" t="str">
        <f>IF(H6711="","",IF($C$29="상세법",FPV(H6711,K6711),IF(H6711="EI",4,IF(H6711="EO",5.2,IF(H6711="EQ",3.9,IF(H6711="ILF",7.5,IF(H6711="EIF",5.4)))))))</f>
        <v/>
      </c>
      <c r="M6711" s="112" t="str">
        <f t="shared" si="107"/>
        <v/>
      </c>
      <c r="N6711" s="113"/>
    </row>
    <row r="6712" spans="2:14">
      <c r="B6712" s="105"/>
      <c r="C6712" s="106"/>
      <c r="D6712" s="107"/>
      <c r="E6712" s="65"/>
      <c r="F6712" s="64"/>
      <c r="G6712" s="64"/>
      <c r="H6712" s="64"/>
      <c r="I6712" s="70"/>
      <c r="J6712" s="70"/>
      <c r="K6712" s="110" t="str">
        <f>IF(H6712="","",IF($C$29="간이법","",FPR(H6712,I6712,J6712)))</f>
        <v/>
      </c>
      <c r="L6712" s="111" t="str">
        <f>IF(H6712="","",IF($C$29="상세법",FPV(H6712,K6712),IF(H6712="EI",4,IF(H6712="EO",5.2,IF(H6712="EQ",3.9,IF(H6712="ILF",7.5,IF(H6712="EIF",5.4)))))))</f>
        <v/>
      </c>
      <c r="M6712" s="112" t="str">
        <f t="shared" si="107"/>
        <v/>
      </c>
      <c r="N6712" s="113"/>
    </row>
    <row r="6713" spans="2:14">
      <c r="B6713" s="105"/>
      <c r="C6713" s="106"/>
      <c r="D6713" s="107"/>
      <c r="E6713" s="65"/>
      <c r="F6713" s="64"/>
      <c r="G6713" s="64"/>
      <c r="H6713" s="64"/>
      <c r="I6713" s="70"/>
      <c r="J6713" s="70"/>
      <c r="K6713" s="110" t="str">
        <f>IF(H6713="","",IF($C$29="간이법","",FPR(H6713,I6713,J6713)))</f>
        <v/>
      </c>
      <c r="L6713" s="111" t="str">
        <f>IF(H6713="","",IF($C$29="상세법",FPV(H6713,K6713),IF(H6713="EI",4,IF(H6713="EO",5.2,IF(H6713="EQ",3.9,IF(H6713="ILF",7.5,IF(H6713="EIF",5.4)))))))</f>
        <v/>
      </c>
      <c r="M6713" s="112" t="str">
        <f t="shared" ref="M6713:M6776" si="108">IF(L6713="","",L6713*IF(G6713="상",0.7,IF(G6713="중",0.5,IF(G6713="하",0.2,1))))</f>
        <v/>
      </c>
      <c r="N6713" s="113"/>
    </row>
    <row r="6714" spans="2:14">
      <c r="B6714" s="105"/>
      <c r="C6714" s="106"/>
      <c r="D6714" s="107"/>
      <c r="E6714" s="65"/>
      <c r="F6714" s="64"/>
      <c r="G6714" s="64"/>
      <c r="H6714" s="64"/>
      <c r="I6714" s="70"/>
      <c r="J6714" s="70"/>
      <c r="K6714" s="110" t="str">
        <f>IF(H6714="","",IF($C$29="간이법","",FPR(H6714,I6714,J6714)))</f>
        <v/>
      </c>
      <c r="L6714" s="111" t="str">
        <f>IF(H6714="","",IF($C$29="상세법",FPV(H6714,K6714),IF(H6714="EI",4,IF(H6714="EO",5.2,IF(H6714="EQ",3.9,IF(H6714="ILF",7.5,IF(H6714="EIF",5.4)))))))</f>
        <v/>
      </c>
      <c r="M6714" s="112" t="str">
        <f t="shared" si="108"/>
        <v/>
      </c>
      <c r="N6714" s="113"/>
    </row>
    <row r="6715" spans="2:14">
      <c r="B6715" s="105"/>
      <c r="C6715" s="106"/>
      <c r="D6715" s="107"/>
      <c r="E6715" s="65"/>
      <c r="F6715" s="64"/>
      <c r="G6715" s="64"/>
      <c r="H6715" s="64"/>
      <c r="I6715" s="70"/>
      <c r="J6715" s="70"/>
      <c r="K6715" s="110" t="str">
        <f>IF(H6715="","",IF($C$29="간이법","",FPR(H6715,I6715,J6715)))</f>
        <v/>
      </c>
      <c r="L6715" s="111" t="str">
        <f>IF(H6715="","",IF($C$29="상세법",FPV(H6715,K6715),IF(H6715="EI",4,IF(H6715="EO",5.2,IF(H6715="EQ",3.9,IF(H6715="ILF",7.5,IF(H6715="EIF",5.4)))))))</f>
        <v/>
      </c>
      <c r="M6715" s="112" t="str">
        <f t="shared" si="108"/>
        <v/>
      </c>
      <c r="N6715" s="113"/>
    </row>
    <row r="6716" spans="2:14">
      <c r="B6716" s="105"/>
      <c r="C6716" s="106"/>
      <c r="D6716" s="107"/>
      <c r="E6716" s="65"/>
      <c r="F6716" s="64"/>
      <c r="G6716" s="64"/>
      <c r="H6716" s="64"/>
      <c r="I6716" s="70"/>
      <c r="J6716" s="70"/>
      <c r="K6716" s="110" t="str">
        <f>IF(H6716="","",IF($C$29="간이법","",FPR(H6716,I6716,J6716)))</f>
        <v/>
      </c>
      <c r="L6716" s="111" t="str">
        <f>IF(H6716="","",IF($C$29="상세법",FPV(H6716,K6716),IF(H6716="EI",4,IF(H6716="EO",5.2,IF(H6716="EQ",3.9,IF(H6716="ILF",7.5,IF(H6716="EIF",5.4)))))))</f>
        <v/>
      </c>
      <c r="M6716" s="112" t="str">
        <f t="shared" si="108"/>
        <v/>
      </c>
      <c r="N6716" s="113"/>
    </row>
    <row r="6717" spans="2:14">
      <c r="B6717" s="105"/>
      <c r="C6717" s="106"/>
      <c r="D6717" s="107"/>
      <c r="E6717" s="65"/>
      <c r="F6717" s="64"/>
      <c r="G6717" s="64"/>
      <c r="H6717" s="64"/>
      <c r="I6717" s="70"/>
      <c r="J6717" s="70"/>
      <c r="K6717" s="110" t="str">
        <f>IF(H6717="","",IF($C$29="간이법","",FPR(H6717,I6717,J6717)))</f>
        <v/>
      </c>
      <c r="L6717" s="111" t="str">
        <f>IF(H6717="","",IF($C$29="상세법",FPV(H6717,K6717),IF(H6717="EI",4,IF(H6717="EO",5.2,IF(H6717="EQ",3.9,IF(H6717="ILF",7.5,IF(H6717="EIF",5.4)))))))</f>
        <v/>
      </c>
      <c r="M6717" s="112" t="str">
        <f t="shared" si="108"/>
        <v/>
      </c>
      <c r="N6717" s="113"/>
    </row>
    <row r="6718" spans="2:14">
      <c r="B6718" s="105"/>
      <c r="C6718" s="106"/>
      <c r="D6718" s="107"/>
      <c r="E6718" s="65"/>
      <c r="F6718" s="64"/>
      <c r="G6718" s="64"/>
      <c r="H6718" s="64"/>
      <c r="I6718" s="70"/>
      <c r="J6718" s="70"/>
      <c r="K6718" s="110" t="str">
        <f>IF(H6718="","",IF($C$29="간이법","",FPR(H6718,I6718,J6718)))</f>
        <v/>
      </c>
      <c r="L6718" s="111" t="str">
        <f>IF(H6718="","",IF($C$29="상세법",FPV(H6718,K6718),IF(H6718="EI",4,IF(H6718="EO",5.2,IF(H6718="EQ",3.9,IF(H6718="ILF",7.5,IF(H6718="EIF",5.4)))))))</f>
        <v/>
      </c>
      <c r="M6718" s="112" t="str">
        <f t="shared" si="108"/>
        <v/>
      </c>
      <c r="N6718" s="113"/>
    </row>
    <row r="6719" spans="2:14">
      <c r="B6719" s="105"/>
      <c r="C6719" s="106"/>
      <c r="D6719" s="107"/>
      <c r="E6719" s="65"/>
      <c r="F6719" s="64"/>
      <c r="G6719" s="64"/>
      <c r="H6719" s="64"/>
      <c r="I6719" s="70"/>
      <c r="J6719" s="70"/>
      <c r="K6719" s="110" t="str">
        <f>IF(H6719="","",IF($C$29="간이법","",FPR(H6719,I6719,J6719)))</f>
        <v/>
      </c>
      <c r="L6719" s="111" t="str">
        <f>IF(H6719="","",IF($C$29="상세법",FPV(H6719,K6719),IF(H6719="EI",4,IF(H6719="EO",5.2,IF(H6719="EQ",3.9,IF(H6719="ILF",7.5,IF(H6719="EIF",5.4)))))))</f>
        <v/>
      </c>
      <c r="M6719" s="112" t="str">
        <f t="shared" si="108"/>
        <v/>
      </c>
      <c r="N6719" s="113"/>
    </row>
    <row r="6720" spans="2:14">
      <c r="B6720" s="105"/>
      <c r="C6720" s="106"/>
      <c r="D6720" s="107"/>
      <c r="E6720" s="65"/>
      <c r="F6720" s="64"/>
      <c r="G6720" s="64"/>
      <c r="H6720" s="64"/>
      <c r="I6720" s="70"/>
      <c r="J6720" s="70"/>
      <c r="K6720" s="110" t="str">
        <f>IF(H6720="","",IF($C$29="간이법","",FPR(H6720,I6720,J6720)))</f>
        <v/>
      </c>
      <c r="L6720" s="111" t="str">
        <f>IF(H6720="","",IF($C$29="상세법",FPV(H6720,K6720),IF(H6720="EI",4,IF(H6720="EO",5.2,IF(H6720="EQ",3.9,IF(H6720="ILF",7.5,IF(H6720="EIF",5.4)))))))</f>
        <v/>
      </c>
      <c r="M6720" s="112" t="str">
        <f t="shared" si="108"/>
        <v/>
      </c>
      <c r="N6720" s="113"/>
    </row>
    <row r="6721" spans="2:14">
      <c r="B6721" s="105"/>
      <c r="C6721" s="106"/>
      <c r="D6721" s="107"/>
      <c r="E6721" s="65"/>
      <c r="F6721" s="64"/>
      <c r="G6721" s="64"/>
      <c r="H6721" s="64"/>
      <c r="I6721" s="70"/>
      <c r="J6721" s="70"/>
      <c r="K6721" s="110" t="str">
        <f>IF(H6721="","",IF($C$29="간이법","",FPR(H6721,I6721,J6721)))</f>
        <v/>
      </c>
      <c r="L6721" s="111" t="str">
        <f>IF(H6721="","",IF($C$29="상세법",FPV(H6721,K6721),IF(H6721="EI",4,IF(H6721="EO",5.2,IF(H6721="EQ",3.9,IF(H6721="ILF",7.5,IF(H6721="EIF",5.4)))))))</f>
        <v/>
      </c>
      <c r="M6721" s="112" t="str">
        <f t="shared" si="108"/>
        <v/>
      </c>
      <c r="N6721" s="113"/>
    </row>
    <row r="6722" spans="2:14">
      <c r="B6722" s="105"/>
      <c r="C6722" s="106"/>
      <c r="D6722" s="107"/>
      <c r="E6722" s="65"/>
      <c r="F6722" s="64"/>
      <c r="G6722" s="64"/>
      <c r="H6722" s="64"/>
      <c r="I6722" s="70"/>
      <c r="J6722" s="70"/>
      <c r="K6722" s="110" t="str">
        <f>IF(H6722="","",IF($C$29="간이법","",FPR(H6722,I6722,J6722)))</f>
        <v/>
      </c>
      <c r="L6722" s="111" t="str">
        <f>IF(H6722="","",IF($C$29="상세법",FPV(H6722,K6722),IF(H6722="EI",4,IF(H6722="EO",5.2,IF(H6722="EQ",3.9,IF(H6722="ILF",7.5,IF(H6722="EIF",5.4)))))))</f>
        <v/>
      </c>
      <c r="M6722" s="112" t="str">
        <f t="shared" si="108"/>
        <v/>
      </c>
      <c r="N6722" s="113"/>
    </row>
    <row r="6723" spans="2:14">
      <c r="B6723" s="105"/>
      <c r="C6723" s="106"/>
      <c r="D6723" s="107"/>
      <c r="E6723" s="65"/>
      <c r="F6723" s="64"/>
      <c r="G6723" s="64"/>
      <c r="H6723" s="64"/>
      <c r="I6723" s="70"/>
      <c r="J6723" s="70"/>
      <c r="K6723" s="110" t="str">
        <f>IF(H6723="","",IF($C$29="간이법","",FPR(H6723,I6723,J6723)))</f>
        <v/>
      </c>
      <c r="L6723" s="111" t="str">
        <f>IF(H6723="","",IF($C$29="상세법",FPV(H6723,K6723),IF(H6723="EI",4,IF(H6723="EO",5.2,IF(H6723="EQ",3.9,IF(H6723="ILF",7.5,IF(H6723="EIF",5.4)))))))</f>
        <v/>
      </c>
      <c r="M6723" s="112" t="str">
        <f t="shared" si="108"/>
        <v/>
      </c>
      <c r="N6723" s="113"/>
    </row>
    <row r="6724" spans="2:14">
      <c r="B6724" s="105"/>
      <c r="C6724" s="106"/>
      <c r="D6724" s="107"/>
      <c r="E6724" s="65"/>
      <c r="F6724" s="64"/>
      <c r="G6724" s="64"/>
      <c r="H6724" s="64"/>
      <c r="I6724" s="70"/>
      <c r="J6724" s="70"/>
      <c r="K6724" s="110" t="str">
        <f>IF(H6724="","",IF($C$29="간이법","",FPR(H6724,I6724,J6724)))</f>
        <v/>
      </c>
      <c r="L6724" s="111" t="str">
        <f>IF(H6724="","",IF($C$29="상세법",FPV(H6724,K6724),IF(H6724="EI",4,IF(H6724="EO",5.2,IF(H6724="EQ",3.9,IF(H6724="ILF",7.5,IF(H6724="EIF",5.4)))))))</f>
        <v/>
      </c>
      <c r="M6724" s="112" t="str">
        <f t="shared" si="108"/>
        <v/>
      </c>
      <c r="N6724" s="113"/>
    </row>
    <row r="6725" spans="2:14">
      <c r="B6725" s="105"/>
      <c r="C6725" s="106"/>
      <c r="D6725" s="107"/>
      <c r="E6725" s="65"/>
      <c r="F6725" s="64"/>
      <c r="G6725" s="64"/>
      <c r="H6725" s="64"/>
      <c r="I6725" s="70"/>
      <c r="J6725" s="70"/>
      <c r="K6725" s="110" t="str">
        <f>IF(H6725="","",IF($C$29="간이법","",FPR(H6725,I6725,J6725)))</f>
        <v/>
      </c>
      <c r="L6725" s="111" t="str">
        <f>IF(H6725="","",IF($C$29="상세법",FPV(H6725,K6725),IF(H6725="EI",4,IF(H6725="EO",5.2,IF(H6725="EQ",3.9,IF(H6725="ILF",7.5,IF(H6725="EIF",5.4)))))))</f>
        <v/>
      </c>
      <c r="M6725" s="112" t="str">
        <f t="shared" si="108"/>
        <v/>
      </c>
      <c r="N6725" s="113"/>
    </row>
    <row r="6726" spans="2:14">
      <c r="B6726" s="105"/>
      <c r="C6726" s="106"/>
      <c r="D6726" s="107"/>
      <c r="E6726" s="65"/>
      <c r="F6726" s="64"/>
      <c r="G6726" s="64"/>
      <c r="H6726" s="64"/>
      <c r="I6726" s="70"/>
      <c r="J6726" s="70"/>
      <c r="K6726" s="110" t="str">
        <f>IF(H6726="","",IF($C$29="간이법","",FPR(H6726,I6726,J6726)))</f>
        <v/>
      </c>
      <c r="L6726" s="111" t="str">
        <f>IF(H6726="","",IF($C$29="상세법",FPV(H6726,K6726),IF(H6726="EI",4,IF(H6726="EO",5.2,IF(H6726="EQ",3.9,IF(H6726="ILF",7.5,IF(H6726="EIF",5.4)))))))</f>
        <v/>
      </c>
      <c r="M6726" s="112" t="str">
        <f t="shared" si="108"/>
        <v/>
      </c>
      <c r="N6726" s="113"/>
    </row>
    <row r="6727" spans="2:14">
      <c r="B6727" s="105"/>
      <c r="C6727" s="106"/>
      <c r="D6727" s="107"/>
      <c r="E6727" s="65"/>
      <c r="F6727" s="64"/>
      <c r="G6727" s="64"/>
      <c r="H6727" s="64"/>
      <c r="I6727" s="70"/>
      <c r="J6727" s="70"/>
      <c r="K6727" s="110" t="str">
        <f>IF(H6727="","",IF($C$29="간이법","",FPR(H6727,I6727,J6727)))</f>
        <v/>
      </c>
      <c r="L6727" s="111" t="str">
        <f>IF(H6727="","",IF($C$29="상세법",FPV(H6727,K6727),IF(H6727="EI",4,IF(H6727="EO",5.2,IF(H6727="EQ",3.9,IF(H6727="ILF",7.5,IF(H6727="EIF",5.4)))))))</f>
        <v/>
      </c>
      <c r="M6727" s="112" t="str">
        <f t="shared" si="108"/>
        <v/>
      </c>
      <c r="N6727" s="113"/>
    </row>
    <row r="6728" spans="2:14">
      <c r="B6728" s="105"/>
      <c r="C6728" s="106"/>
      <c r="D6728" s="107"/>
      <c r="E6728" s="65"/>
      <c r="F6728" s="64"/>
      <c r="G6728" s="64"/>
      <c r="H6728" s="64"/>
      <c r="I6728" s="70"/>
      <c r="J6728" s="70"/>
      <c r="K6728" s="110" t="str">
        <f>IF(H6728="","",IF($C$29="간이법","",FPR(H6728,I6728,J6728)))</f>
        <v/>
      </c>
      <c r="L6728" s="111" t="str">
        <f>IF(H6728="","",IF($C$29="상세법",FPV(H6728,K6728),IF(H6728="EI",4,IF(H6728="EO",5.2,IF(H6728="EQ",3.9,IF(H6728="ILF",7.5,IF(H6728="EIF",5.4)))))))</f>
        <v/>
      </c>
      <c r="M6728" s="112" t="str">
        <f t="shared" si="108"/>
        <v/>
      </c>
      <c r="N6728" s="113"/>
    </row>
    <row r="6729" spans="2:14">
      <c r="B6729" s="105"/>
      <c r="C6729" s="106"/>
      <c r="D6729" s="107"/>
      <c r="E6729" s="65"/>
      <c r="F6729" s="64"/>
      <c r="G6729" s="64"/>
      <c r="H6729" s="64"/>
      <c r="I6729" s="70"/>
      <c r="J6729" s="70"/>
      <c r="K6729" s="110" t="str">
        <f>IF(H6729="","",IF($C$29="간이법","",FPR(H6729,I6729,J6729)))</f>
        <v/>
      </c>
      <c r="L6729" s="111" t="str">
        <f>IF(H6729="","",IF($C$29="상세법",FPV(H6729,K6729),IF(H6729="EI",4,IF(H6729="EO",5.2,IF(H6729="EQ",3.9,IF(H6729="ILF",7.5,IF(H6729="EIF",5.4)))))))</f>
        <v/>
      </c>
      <c r="M6729" s="112" t="str">
        <f t="shared" si="108"/>
        <v/>
      </c>
      <c r="N6729" s="113"/>
    </row>
    <row r="6730" spans="2:14">
      <c r="B6730" s="105"/>
      <c r="C6730" s="106"/>
      <c r="D6730" s="107"/>
      <c r="E6730" s="65"/>
      <c r="F6730" s="64"/>
      <c r="G6730" s="64"/>
      <c r="H6730" s="64"/>
      <c r="I6730" s="70"/>
      <c r="J6730" s="70"/>
      <c r="K6730" s="110" t="str">
        <f>IF(H6730="","",IF($C$29="간이법","",FPR(H6730,I6730,J6730)))</f>
        <v/>
      </c>
      <c r="L6730" s="111" t="str">
        <f>IF(H6730="","",IF($C$29="상세법",FPV(H6730,K6730),IF(H6730="EI",4,IF(H6730="EO",5.2,IF(H6730="EQ",3.9,IF(H6730="ILF",7.5,IF(H6730="EIF",5.4)))))))</f>
        <v/>
      </c>
      <c r="M6730" s="112" t="str">
        <f t="shared" si="108"/>
        <v/>
      </c>
      <c r="N6730" s="113"/>
    </row>
    <row r="6731" spans="2:14">
      <c r="B6731" s="105"/>
      <c r="C6731" s="106"/>
      <c r="D6731" s="107"/>
      <c r="E6731" s="65"/>
      <c r="F6731" s="64"/>
      <c r="G6731" s="64"/>
      <c r="H6731" s="64"/>
      <c r="I6731" s="70"/>
      <c r="J6731" s="70"/>
      <c r="K6731" s="110" t="str">
        <f>IF(H6731="","",IF($C$29="간이법","",FPR(H6731,I6731,J6731)))</f>
        <v/>
      </c>
      <c r="L6731" s="111" t="str">
        <f>IF(H6731="","",IF($C$29="상세법",FPV(H6731,K6731),IF(H6731="EI",4,IF(H6731="EO",5.2,IF(H6731="EQ",3.9,IF(H6731="ILF",7.5,IF(H6731="EIF",5.4)))))))</f>
        <v/>
      </c>
      <c r="M6731" s="112" t="str">
        <f t="shared" si="108"/>
        <v/>
      </c>
      <c r="N6731" s="113"/>
    </row>
    <row r="6732" spans="2:14">
      <c r="B6732" s="105"/>
      <c r="C6732" s="106"/>
      <c r="D6732" s="107"/>
      <c r="E6732" s="65"/>
      <c r="F6732" s="64"/>
      <c r="G6732" s="64"/>
      <c r="H6732" s="64"/>
      <c r="I6732" s="70"/>
      <c r="J6732" s="70"/>
      <c r="K6732" s="110" t="str">
        <f>IF(H6732="","",IF($C$29="간이법","",FPR(H6732,I6732,J6732)))</f>
        <v/>
      </c>
      <c r="L6732" s="111" t="str">
        <f>IF(H6732="","",IF($C$29="상세법",FPV(H6732,K6732),IF(H6732="EI",4,IF(H6732="EO",5.2,IF(H6732="EQ",3.9,IF(H6732="ILF",7.5,IF(H6732="EIF",5.4)))))))</f>
        <v/>
      </c>
      <c r="M6732" s="112" t="str">
        <f t="shared" si="108"/>
        <v/>
      </c>
      <c r="N6732" s="113"/>
    </row>
    <row r="6733" spans="2:14">
      <c r="B6733" s="105"/>
      <c r="C6733" s="106"/>
      <c r="D6733" s="107"/>
      <c r="E6733" s="65"/>
      <c r="F6733" s="64"/>
      <c r="G6733" s="64"/>
      <c r="H6733" s="64"/>
      <c r="I6733" s="70"/>
      <c r="J6733" s="70"/>
      <c r="K6733" s="110" t="str">
        <f>IF(H6733="","",IF($C$29="간이법","",FPR(H6733,I6733,J6733)))</f>
        <v/>
      </c>
      <c r="L6733" s="111" t="str">
        <f>IF(H6733="","",IF($C$29="상세법",FPV(H6733,K6733),IF(H6733="EI",4,IF(H6733="EO",5.2,IF(H6733="EQ",3.9,IF(H6733="ILF",7.5,IF(H6733="EIF",5.4)))))))</f>
        <v/>
      </c>
      <c r="M6733" s="112" t="str">
        <f t="shared" si="108"/>
        <v/>
      </c>
      <c r="N6733" s="113"/>
    </row>
    <row r="6734" spans="2:14">
      <c r="B6734" s="105"/>
      <c r="C6734" s="106"/>
      <c r="D6734" s="107"/>
      <c r="E6734" s="65"/>
      <c r="F6734" s="64"/>
      <c r="G6734" s="64"/>
      <c r="H6734" s="64"/>
      <c r="I6734" s="70"/>
      <c r="J6734" s="70"/>
      <c r="K6734" s="110" t="str">
        <f>IF(H6734="","",IF($C$29="간이법","",FPR(H6734,I6734,J6734)))</f>
        <v/>
      </c>
      <c r="L6734" s="111" t="str">
        <f>IF(H6734="","",IF($C$29="상세법",FPV(H6734,K6734),IF(H6734="EI",4,IF(H6734="EO",5.2,IF(H6734="EQ",3.9,IF(H6734="ILF",7.5,IF(H6734="EIF",5.4)))))))</f>
        <v/>
      </c>
      <c r="M6734" s="112" t="str">
        <f t="shared" si="108"/>
        <v/>
      </c>
      <c r="N6734" s="113"/>
    </row>
    <row r="6735" spans="2:14">
      <c r="B6735" s="105"/>
      <c r="C6735" s="106"/>
      <c r="D6735" s="107"/>
      <c r="E6735" s="65"/>
      <c r="F6735" s="64"/>
      <c r="G6735" s="64"/>
      <c r="H6735" s="64"/>
      <c r="I6735" s="70"/>
      <c r="J6735" s="70"/>
      <c r="K6735" s="110" t="str">
        <f>IF(H6735="","",IF($C$29="간이법","",FPR(H6735,I6735,J6735)))</f>
        <v/>
      </c>
      <c r="L6735" s="111" t="str">
        <f>IF(H6735="","",IF($C$29="상세법",FPV(H6735,K6735),IF(H6735="EI",4,IF(H6735="EO",5.2,IF(H6735="EQ",3.9,IF(H6735="ILF",7.5,IF(H6735="EIF",5.4)))))))</f>
        <v/>
      </c>
      <c r="M6735" s="112" t="str">
        <f t="shared" si="108"/>
        <v/>
      </c>
      <c r="N6735" s="113"/>
    </row>
    <row r="6736" spans="2:14">
      <c r="B6736" s="105"/>
      <c r="C6736" s="106"/>
      <c r="D6736" s="107"/>
      <c r="E6736" s="65"/>
      <c r="F6736" s="64"/>
      <c r="G6736" s="64"/>
      <c r="H6736" s="64"/>
      <c r="I6736" s="70"/>
      <c r="J6736" s="70"/>
      <c r="K6736" s="110" t="str">
        <f>IF(H6736="","",IF($C$29="간이법","",FPR(H6736,I6736,J6736)))</f>
        <v/>
      </c>
      <c r="L6736" s="111" t="str">
        <f>IF(H6736="","",IF($C$29="상세법",FPV(H6736,K6736),IF(H6736="EI",4,IF(H6736="EO",5.2,IF(H6736="EQ",3.9,IF(H6736="ILF",7.5,IF(H6736="EIF",5.4)))))))</f>
        <v/>
      </c>
      <c r="M6736" s="112" t="str">
        <f t="shared" si="108"/>
        <v/>
      </c>
      <c r="N6736" s="113"/>
    </row>
    <row r="6737" spans="2:14">
      <c r="B6737" s="105"/>
      <c r="C6737" s="106"/>
      <c r="D6737" s="107"/>
      <c r="E6737" s="65"/>
      <c r="F6737" s="64"/>
      <c r="G6737" s="64"/>
      <c r="H6737" s="64"/>
      <c r="I6737" s="70"/>
      <c r="J6737" s="70"/>
      <c r="K6737" s="110" t="str">
        <f>IF(H6737="","",IF($C$29="간이법","",FPR(H6737,I6737,J6737)))</f>
        <v/>
      </c>
      <c r="L6737" s="111" t="str">
        <f>IF(H6737="","",IF($C$29="상세법",FPV(H6737,K6737),IF(H6737="EI",4,IF(H6737="EO",5.2,IF(H6737="EQ",3.9,IF(H6737="ILF",7.5,IF(H6737="EIF",5.4)))))))</f>
        <v/>
      </c>
      <c r="M6737" s="112" t="str">
        <f t="shared" si="108"/>
        <v/>
      </c>
      <c r="N6737" s="113"/>
    </row>
    <row r="6738" spans="2:14">
      <c r="B6738" s="105"/>
      <c r="C6738" s="106"/>
      <c r="D6738" s="107"/>
      <c r="E6738" s="65"/>
      <c r="F6738" s="64"/>
      <c r="G6738" s="64"/>
      <c r="H6738" s="64"/>
      <c r="I6738" s="70"/>
      <c r="J6738" s="70"/>
      <c r="K6738" s="110" t="str">
        <f>IF(H6738="","",IF($C$29="간이법","",FPR(H6738,I6738,J6738)))</f>
        <v/>
      </c>
      <c r="L6738" s="111" t="str">
        <f>IF(H6738="","",IF($C$29="상세법",FPV(H6738,K6738),IF(H6738="EI",4,IF(H6738="EO",5.2,IF(H6738="EQ",3.9,IF(H6738="ILF",7.5,IF(H6738="EIF",5.4)))))))</f>
        <v/>
      </c>
      <c r="M6738" s="112" t="str">
        <f t="shared" si="108"/>
        <v/>
      </c>
      <c r="N6738" s="113"/>
    </row>
    <row r="6739" spans="2:14">
      <c r="B6739" s="105"/>
      <c r="C6739" s="106"/>
      <c r="D6739" s="107"/>
      <c r="E6739" s="65"/>
      <c r="F6739" s="64"/>
      <c r="G6739" s="64"/>
      <c r="H6739" s="64"/>
      <c r="I6739" s="70"/>
      <c r="J6739" s="70"/>
      <c r="K6739" s="110" t="str">
        <f>IF(H6739="","",IF($C$29="간이법","",FPR(H6739,I6739,J6739)))</f>
        <v/>
      </c>
      <c r="L6739" s="111" t="str">
        <f>IF(H6739="","",IF($C$29="상세법",FPV(H6739,K6739),IF(H6739="EI",4,IF(H6739="EO",5.2,IF(H6739="EQ",3.9,IF(H6739="ILF",7.5,IF(H6739="EIF",5.4)))))))</f>
        <v/>
      </c>
      <c r="M6739" s="112" t="str">
        <f t="shared" si="108"/>
        <v/>
      </c>
      <c r="N6739" s="113"/>
    </row>
    <row r="6740" spans="2:14">
      <c r="B6740" s="105"/>
      <c r="C6740" s="106"/>
      <c r="D6740" s="107"/>
      <c r="E6740" s="65"/>
      <c r="F6740" s="64"/>
      <c r="G6740" s="64"/>
      <c r="H6740" s="64"/>
      <c r="I6740" s="70"/>
      <c r="J6740" s="70"/>
      <c r="K6740" s="110" t="str">
        <f>IF(H6740="","",IF($C$29="간이법","",FPR(H6740,I6740,J6740)))</f>
        <v/>
      </c>
      <c r="L6740" s="111" t="str">
        <f>IF(H6740="","",IF($C$29="상세법",FPV(H6740,K6740),IF(H6740="EI",4,IF(H6740="EO",5.2,IF(H6740="EQ",3.9,IF(H6740="ILF",7.5,IF(H6740="EIF",5.4)))))))</f>
        <v/>
      </c>
      <c r="M6740" s="112" t="str">
        <f t="shared" si="108"/>
        <v/>
      </c>
      <c r="N6740" s="113"/>
    </row>
    <row r="6741" spans="2:14">
      <c r="B6741" s="105"/>
      <c r="C6741" s="106"/>
      <c r="D6741" s="107"/>
      <c r="E6741" s="65"/>
      <c r="F6741" s="64"/>
      <c r="G6741" s="64"/>
      <c r="H6741" s="64"/>
      <c r="I6741" s="70"/>
      <c r="J6741" s="70"/>
      <c r="K6741" s="110" t="str">
        <f>IF(H6741="","",IF($C$29="간이법","",FPR(H6741,I6741,J6741)))</f>
        <v/>
      </c>
      <c r="L6741" s="111" t="str">
        <f>IF(H6741="","",IF($C$29="상세법",FPV(H6741,K6741),IF(H6741="EI",4,IF(H6741="EO",5.2,IF(H6741="EQ",3.9,IF(H6741="ILF",7.5,IF(H6741="EIF",5.4)))))))</f>
        <v/>
      </c>
      <c r="M6741" s="112" t="str">
        <f t="shared" si="108"/>
        <v/>
      </c>
      <c r="N6741" s="113"/>
    </row>
    <row r="6742" spans="2:14">
      <c r="B6742" s="105"/>
      <c r="C6742" s="106"/>
      <c r="D6742" s="107"/>
      <c r="E6742" s="65"/>
      <c r="F6742" s="64"/>
      <c r="G6742" s="64"/>
      <c r="H6742" s="64"/>
      <c r="I6742" s="70"/>
      <c r="J6742" s="70"/>
      <c r="K6742" s="110" t="str">
        <f>IF(H6742="","",IF($C$29="간이법","",FPR(H6742,I6742,J6742)))</f>
        <v/>
      </c>
      <c r="L6742" s="111" t="str">
        <f>IF(H6742="","",IF($C$29="상세법",FPV(H6742,K6742),IF(H6742="EI",4,IF(H6742="EO",5.2,IF(H6742="EQ",3.9,IF(H6742="ILF",7.5,IF(H6742="EIF",5.4)))))))</f>
        <v/>
      </c>
      <c r="M6742" s="112" t="str">
        <f t="shared" si="108"/>
        <v/>
      </c>
      <c r="N6742" s="113"/>
    </row>
    <row r="6743" spans="2:14">
      <c r="B6743" s="105"/>
      <c r="C6743" s="106"/>
      <c r="D6743" s="107"/>
      <c r="E6743" s="65"/>
      <c r="F6743" s="64"/>
      <c r="G6743" s="64"/>
      <c r="H6743" s="64"/>
      <c r="I6743" s="70"/>
      <c r="J6743" s="70"/>
      <c r="K6743" s="110" t="str">
        <f>IF(H6743="","",IF($C$29="간이법","",FPR(H6743,I6743,J6743)))</f>
        <v/>
      </c>
      <c r="L6743" s="111" t="str">
        <f>IF(H6743="","",IF($C$29="상세법",FPV(H6743,K6743),IF(H6743="EI",4,IF(H6743="EO",5.2,IF(H6743="EQ",3.9,IF(H6743="ILF",7.5,IF(H6743="EIF",5.4)))))))</f>
        <v/>
      </c>
      <c r="M6743" s="112" t="str">
        <f t="shared" si="108"/>
        <v/>
      </c>
      <c r="N6743" s="113"/>
    </row>
    <row r="6744" spans="2:14">
      <c r="B6744" s="105"/>
      <c r="C6744" s="106"/>
      <c r="D6744" s="107"/>
      <c r="E6744" s="65"/>
      <c r="F6744" s="64"/>
      <c r="G6744" s="64"/>
      <c r="H6744" s="64"/>
      <c r="I6744" s="70"/>
      <c r="J6744" s="70"/>
      <c r="K6744" s="110" t="str">
        <f>IF(H6744="","",IF($C$29="간이법","",FPR(H6744,I6744,J6744)))</f>
        <v/>
      </c>
      <c r="L6744" s="111" t="str">
        <f>IF(H6744="","",IF($C$29="상세법",FPV(H6744,K6744),IF(H6744="EI",4,IF(H6744="EO",5.2,IF(H6744="EQ",3.9,IF(H6744="ILF",7.5,IF(H6744="EIF",5.4)))))))</f>
        <v/>
      </c>
      <c r="M6744" s="112" t="str">
        <f t="shared" si="108"/>
        <v/>
      </c>
      <c r="N6744" s="113"/>
    </row>
    <row r="6745" spans="2:14">
      <c r="B6745" s="105"/>
      <c r="C6745" s="106"/>
      <c r="D6745" s="107"/>
      <c r="E6745" s="65"/>
      <c r="F6745" s="64"/>
      <c r="G6745" s="64"/>
      <c r="H6745" s="64"/>
      <c r="I6745" s="70"/>
      <c r="J6745" s="70"/>
      <c r="K6745" s="110" t="str">
        <f>IF(H6745="","",IF($C$29="간이법","",FPR(H6745,I6745,J6745)))</f>
        <v/>
      </c>
      <c r="L6745" s="111" t="str">
        <f>IF(H6745="","",IF($C$29="상세법",FPV(H6745,K6745),IF(H6745="EI",4,IF(H6745="EO",5.2,IF(H6745="EQ",3.9,IF(H6745="ILF",7.5,IF(H6745="EIF",5.4)))))))</f>
        <v/>
      </c>
      <c r="M6745" s="112" t="str">
        <f t="shared" si="108"/>
        <v/>
      </c>
      <c r="N6745" s="113"/>
    </row>
    <row r="6746" spans="2:14">
      <c r="B6746" s="105"/>
      <c r="C6746" s="106"/>
      <c r="D6746" s="107"/>
      <c r="E6746" s="65"/>
      <c r="F6746" s="64"/>
      <c r="G6746" s="64"/>
      <c r="H6746" s="64"/>
      <c r="I6746" s="70"/>
      <c r="J6746" s="70"/>
      <c r="K6746" s="110" t="str">
        <f>IF(H6746="","",IF($C$29="간이법","",FPR(H6746,I6746,J6746)))</f>
        <v/>
      </c>
      <c r="L6746" s="111" t="str">
        <f>IF(H6746="","",IF($C$29="상세법",FPV(H6746,K6746),IF(H6746="EI",4,IF(H6746="EO",5.2,IF(H6746="EQ",3.9,IF(H6746="ILF",7.5,IF(H6746="EIF",5.4)))))))</f>
        <v/>
      </c>
      <c r="M6746" s="112" t="str">
        <f t="shared" si="108"/>
        <v/>
      </c>
      <c r="N6746" s="113"/>
    </row>
    <row r="6747" spans="2:14">
      <c r="B6747" s="105"/>
      <c r="C6747" s="106"/>
      <c r="D6747" s="107"/>
      <c r="E6747" s="65"/>
      <c r="F6747" s="64"/>
      <c r="G6747" s="64"/>
      <c r="H6747" s="64"/>
      <c r="I6747" s="70"/>
      <c r="J6747" s="70"/>
      <c r="K6747" s="110" t="str">
        <f>IF(H6747="","",IF($C$29="간이법","",FPR(H6747,I6747,J6747)))</f>
        <v/>
      </c>
      <c r="L6747" s="111" t="str">
        <f>IF(H6747="","",IF($C$29="상세법",FPV(H6747,K6747),IF(H6747="EI",4,IF(H6747="EO",5.2,IF(H6747="EQ",3.9,IF(H6747="ILF",7.5,IF(H6747="EIF",5.4)))))))</f>
        <v/>
      </c>
      <c r="M6747" s="112" t="str">
        <f t="shared" si="108"/>
        <v/>
      </c>
      <c r="N6747" s="113"/>
    </row>
    <row r="6748" spans="2:14">
      <c r="B6748" s="105"/>
      <c r="C6748" s="106"/>
      <c r="D6748" s="107"/>
      <c r="E6748" s="65"/>
      <c r="F6748" s="64"/>
      <c r="G6748" s="64"/>
      <c r="H6748" s="64"/>
      <c r="I6748" s="70"/>
      <c r="J6748" s="70"/>
      <c r="K6748" s="110" t="str">
        <f>IF(H6748="","",IF($C$29="간이법","",FPR(H6748,I6748,J6748)))</f>
        <v/>
      </c>
      <c r="L6748" s="111" t="str">
        <f>IF(H6748="","",IF($C$29="상세법",FPV(H6748,K6748),IF(H6748="EI",4,IF(H6748="EO",5.2,IF(H6748="EQ",3.9,IF(H6748="ILF",7.5,IF(H6748="EIF",5.4)))))))</f>
        <v/>
      </c>
      <c r="M6748" s="112" t="str">
        <f t="shared" si="108"/>
        <v/>
      </c>
      <c r="N6748" s="113"/>
    </row>
    <row r="6749" spans="2:14">
      <c r="B6749" s="105"/>
      <c r="C6749" s="106"/>
      <c r="D6749" s="107"/>
      <c r="E6749" s="65"/>
      <c r="F6749" s="64"/>
      <c r="G6749" s="64"/>
      <c r="H6749" s="64"/>
      <c r="I6749" s="70"/>
      <c r="J6749" s="70"/>
      <c r="K6749" s="110" t="str">
        <f>IF(H6749="","",IF($C$29="간이법","",FPR(H6749,I6749,J6749)))</f>
        <v/>
      </c>
      <c r="L6749" s="111" t="str">
        <f>IF(H6749="","",IF($C$29="상세법",FPV(H6749,K6749),IF(H6749="EI",4,IF(H6749="EO",5.2,IF(H6749="EQ",3.9,IF(H6749="ILF",7.5,IF(H6749="EIF",5.4)))))))</f>
        <v/>
      </c>
      <c r="M6749" s="112" t="str">
        <f t="shared" si="108"/>
        <v/>
      </c>
      <c r="N6749" s="113"/>
    </row>
    <row r="6750" spans="2:14">
      <c r="B6750" s="105"/>
      <c r="C6750" s="106"/>
      <c r="D6750" s="107"/>
      <c r="E6750" s="65"/>
      <c r="F6750" s="64"/>
      <c r="G6750" s="64"/>
      <c r="H6750" s="64"/>
      <c r="I6750" s="70"/>
      <c r="J6750" s="70"/>
      <c r="K6750" s="110" t="str">
        <f>IF(H6750="","",IF($C$29="간이법","",FPR(H6750,I6750,J6750)))</f>
        <v/>
      </c>
      <c r="L6750" s="111" t="str">
        <f>IF(H6750="","",IF($C$29="상세법",FPV(H6750,K6750),IF(H6750="EI",4,IF(H6750="EO",5.2,IF(H6750="EQ",3.9,IF(H6750="ILF",7.5,IF(H6750="EIF",5.4)))))))</f>
        <v/>
      </c>
      <c r="M6750" s="112" t="str">
        <f t="shared" si="108"/>
        <v/>
      </c>
      <c r="N6750" s="113"/>
    </row>
    <row r="6751" spans="2:14">
      <c r="B6751" s="105"/>
      <c r="C6751" s="106"/>
      <c r="D6751" s="107"/>
      <c r="E6751" s="65"/>
      <c r="F6751" s="64"/>
      <c r="G6751" s="64"/>
      <c r="H6751" s="64"/>
      <c r="I6751" s="70"/>
      <c r="J6751" s="70"/>
      <c r="K6751" s="110" t="str">
        <f>IF(H6751="","",IF($C$29="간이법","",FPR(H6751,I6751,J6751)))</f>
        <v/>
      </c>
      <c r="L6751" s="111" t="str">
        <f>IF(H6751="","",IF($C$29="상세법",FPV(H6751,K6751),IF(H6751="EI",4,IF(H6751="EO",5.2,IF(H6751="EQ",3.9,IF(H6751="ILF",7.5,IF(H6751="EIF",5.4)))))))</f>
        <v/>
      </c>
      <c r="M6751" s="112" t="str">
        <f t="shared" si="108"/>
        <v/>
      </c>
      <c r="N6751" s="113"/>
    </row>
    <row r="6752" spans="2:14">
      <c r="B6752" s="105"/>
      <c r="C6752" s="106"/>
      <c r="D6752" s="107"/>
      <c r="E6752" s="65"/>
      <c r="F6752" s="64"/>
      <c r="G6752" s="64"/>
      <c r="H6752" s="64"/>
      <c r="I6752" s="70"/>
      <c r="J6752" s="70"/>
      <c r="K6752" s="110" t="str">
        <f>IF(H6752="","",IF($C$29="간이법","",FPR(H6752,I6752,J6752)))</f>
        <v/>
      </c>
      <c r="L6752" s="111" t="str">
        <f>IF(H6752="","",IF($C$29="상세법",FPV(H6752,K6752),IF(H6752="EI",4,IF(H6752="EO",5.2,IF(H6752="EQ",3.9,IF(H6752="ILF",7.5,IF(H6752="EIF",5.4)))))))</f>
        <v/>
      </c>
      <c r="M6752" s="112" t="str">
        <f t="shared" si="108"/>
        <v/>
      </c>
      <c r="N6752" s="113"/>
    </row>
    <row r="6753" spans="2:14">
      <c r="B6753" s="105"/>
      <c r="C6753" s="106"/>
      <c r="D6753" s="107"/>
      <c r="E6753" s="65"/>
      <c r="F6753" s="64"/>
      <c r="G6753" s="64"/>
      <c r="H6753" s="64"/>
      <c r="I6753" s="70"/>
      <c r="J6753" s="70"/>
      <c r="K6753" s="110" t="str">
        <f>IF(H6753="","",IF($C$29="간이법","",FPR(H6753,I6753,J6753)))</f>
        <v/>
      </c>
      <c r="L6753" s="111" t="str">
        <f>IF(H6753="","",IF($C$29="상세법",FPV(H6753,K6753),IF(H6753="EI",4,IF(H6753="EO",5.2,IF(H6753="EQ",3.9,IF(H6753="ILF",7.5,IF(H6753="EIF",5.4)))))))</f>
        <v/>
      </c>
      <c r="M6753" s="112" t="str">
        <f t="shared" si="108"/>
        <v/>
      </c>
      <c r="N6753" s="113"/>
    </row>
    <row r="6754" spans="2:14">
      <c r="B6754" s="105"/>
      <c r="C6754" s="106"/>
      <c r="D6754" s="107"/>
      <c r="E6754" s="65"/>
      <c r="F6754" s="64"/>
      <c r="G6754" s="64"/>
      <c r="H6754" s="64"/>
      <c r="I6754" s="70"/>
      <c r="J6754" s="70"/>
      <c r="K6754" s="110" t="str">
        <f>IF(H6754="","",IF($C$29="간이법","",FPR(H6754,I6754,J6754)))</f>
        <v/>
      </c>
      <c r="L6754" s="111" t="str">
        <f>IF(H6754="","",IF($C$29="상세법",FPV(H6754,K6754),IF(H6754="EI",4,IF(H6754="EO",5.2,IF(H6754="EQ",3.9,IF(H6754="ILF",7.5,IF(H6754="EIF",5.4)))))))</f>
        <v/>
      </c>
      <c r="M6754" s="112" t="str">
        <f t="shared" si="108"/>
        <v/>
      </c>
      <c r="N6754" s="113"/>
    </row>
    <row r="6755" spans="2:14">
      <c r="B6755" s="105"/>
      <c r="C6755" s="106"/>
      <c r="D6755" s="107"/>
      <c r="E6755" s="65"/>
      <c r="F6755" s="64"/>
      <c r="G6755" s="64"/>
      <c r="H6755" s="64"/>
      <c r="I6755" s="70"/>
      <c r="J6755" s="70"/>
      <c r="K6755" s="110" t="str">
        <f>IF(H6755="","",IF($C$29="간이법","",FPR(H6755,I6755,J6755)))</f>
        <v/>
      </c>
      <c r="L6755" s="111" t="str">
        <f>IF(H6755="","",IF($C$29="상세법",FPV(H6755,K6755),IF(H6755="EI",4,IF(H6755="EO",5.2,IF(H6755="EQ",3.9,IF(H6755="ILF",7.5,IF(H6755="EIF",5.4)))))))</f>
        <v/>
      </c>
      <c r="M6755" s="112" t="str">
        <f t="shared" si="108"/>
        <v/>
      </c>
      <c r="N6755" s="113"/>
    </row>
    <row r="6756" spans="2:14">
      <c r="B6756" s="105"/>
      <c r="C6756" s="106"/>
      <c r="D6756" s="107"/>
      <c r="E6756" s="65"/>
      <c r="F6756" s="64"/>
      <c r="G6756" s="64"/>
      <c r="H6756" s="64"/>
      <c r="I6756" s="70"/>
      <c r="J6756" s="70"/>
      <c r="K6756" s="110" t="str">
        <f>IF(H6756="","",IF($C$29="간이법","",FPR(H6756,I6756,J6756)))</f>
        <v/>
      </c>
      <c r="L6756" s="111" t="str">
        <f>IF(H6756="","",IF($C$29="상세법",FPV(H6756,K6756),IF(H6756="EI",4,IF(H6756="EO",5.2,IF(H6756="EQ",3.9,IF(H6756="ILF",7.5,IF(H6756="EIF",5.4)))))))</f>
        <v/>
      </c>
      <c r="M6756" s="112" t="str">
        <f t="shared" si="108"/>
        <v/>
      </c>
      <c r="N6756" s="113"/>
    </row>
    <row r="6757" spans="2:14">
      <c r="B6757" s="105"/>
      <c r="C6757" s="106"/>
      <c r="D6757" s="107"/>
      <c r="E6757" s="65"/>
      <c r="F6757" s="64"/>
      <c r="G6757" s="64"/>
      <c r="H6757" s="64"/>
      <c r="I6757" s="70"/>
      <c r="J6757" s="70"/>
      <c r="K6757" s="110" t="str">
        <f>IF(H6757="","",IF($C$29="간이법","",FPR(H6757,I6757,J6757)))</f>
        <v/>
      </c>
      <c r="L6757" s="111" t="str">
        <f>IF(H6757="","",IF($C$29="상세법",FPV(H6757,K6757),IF(H6757="EI",4,IF(H6757="EO",5.2,IF(H6757="EQ",3.9,IF(H6757="ILF",7.5,IF(H6757="EIF",5.4)))))))</f>
        <v/>
      </c>
      <c r="M6757" s="112" t="str">
        <f t="shared" si="108"/>
        <v/>
      </c>
      <c r="N6757" s="113"/>
    </row>
    <row r="6758" spans="2:14">
      <c r="B6758" s="105"/>
      <c r="C6758" s="106"/>
      <c r="D6758" s="107"/>
      <c r="E6758" s="65"/>
      <c r="F6758" s="64"/>
      <c r="G6758" s="64"/>
      <c r="H6758" s="64"/>
      <c r="I6758" s="70"/>
      <c r="J6758" s="70"/>
      <c r="K6758" s="110" t="str">
        <f>IF(H6758="","",IF($C$29="간이법","",FPR(H6758,I6758,J6758)))</f>
        <v/>
      </c>
      <c r="L6758" s="111" t="str">
        <f>IF(H6758="","",IF($C$29="상세법",FPV(H6758,K6758),IF(H6758="EI",4,IF(H6758="EO",5.2,IF(H6758="EQ",3.9,IF(H6758="ILF",7.5,IF(H6758="EIF",5.4)))))))</f>
        <v/>
      </c>
      <c r="M6758" s="112" t="str">
        <f t="shared" si="108"/>
        <v/>
      </c>
      <c r="N6758" s="113"/>
    </row>
    <row r="6759" spans="2:14">
      <c r="B6759" s="105"/>
      <c r="C6759" s="106"/>
      <c r="D6759" s="107"/>
      <c r="E6759" s="65"/>
      <c r="F6759" s="64"/>
      <c r="G6759" s="64"/>
      <c r="H6759" s="64"/>
      <c r="I6759" s="70"/>
      <c r="J6759" s="70"/>
      <c r="K6759" s="110" t="str">
        <f>IF(H6759="","",IF($C$29="간이법","",FPR(H6759,I6759,J6759)))</f>
        <v/>
      </c>
      <c r="L6759" s="111" t="str">
        <f>IF(H6759="","",IF($C$29="상세법",FPV(H6759,K6759),IF(H6759="EI",4,IF(H6759="EO",5.2,IF(H6759="EQ",3.9,IF(H6759="ILF",7.5,IF(H6759="EIF",5.4)))))))</f>
        <v/>
      </c>
      <c r="M6759" s="112" t="str">
        <f t="shared" si="108"/>
        <v/>
      </c>
      <c r="N6759" s="113"/>
    </row>
    <row r="6760" spans="2:14">
      <c r="B6760" s="105"/>
      <c r="C6760" s="106"/>
      <c r="D6760" s="107"/>
      <c r="E6760" s="65"/>
      <c r="F6760" s="64"/>
      <c r="G6760" s="64"/>
      <c r="H6760" s="64"/>
      <c r="I6760" s="70"/>
      <c r="J6760" s="70"/>
      <c r="K6760" s="110" t="str">
        <f>IF(H6760="","",IF($C$29="간이법","",FPR(H6760,I6760,J6760)))</f>
        <v/>
      </c>
      <c r="L6760" s="111" t="str">
        <f>IF(H6760="","",IF($C$29="상세법",FPV(H6760,K6760),IF(H6760="EI",4,IF(H6760="EO",5.2,IF(H6760="EQ",3.9,IF(H6760="ILF",7.5,IF(H6760="EIF",5.4)))))))</f>
        <v/>
      </c>
      <c r="M6760" s="112" t="str">
        <f t="shared" si="108"/>
        <v/>
      </c>
      <c r="N6760" s="113"/>
    </row>
    <row r="6761" spans="2:14">
      <c r="B6761" s="105"/>
      <c r="C6761" s="106"/>
      <c r="D6761" s="107"/>
      <c r="E6761" s="65"/>
      <c r="F6761" s="64"/>
      <c r="G6761" s="64"/>
      <c r="H6761" s="64"/>
      <c r="I6761" s="70"/>
      <c r="J6761" s="70"/>
      <c r="K6761" s="110" t="str">
        <f>IF(H6761="","",IF($C$29="간이법","",FPR(H6761,I6761,J6761)))</f>
        <v/>
      </c>
      <c r="L6761" s="111" t="str">
        <f>IF(H6761="","",IF($C$29="상세법",FPV(H6761,K6761),IF(H6761="EI",4,IF(H6761="EO",5.2,IF(H6761="EQ",3.9,IF(H6761="ILF",7.5,IF(H6761="EIF",5.4)))))))</f>
        <v/>
      </c>
      <c r="M6761" s="112" t="str">
        <f t="shared" si="108"/>
        <v/>
      </c>
      <c r="N6761" s="113"/>
    </row>
    <row r="6762" spans="2:14">
      <c r="B6762" s="105"/>
      <c r="C6762" s="106"/>
      <c r="D6762" s="107"/>
      <c r="E6762" s="65"/>
      <c r="F6762" s="64"/>
      <c r="G6762" s="64"/>
      <c r="H6762" s="64"/>
      <c r="I6762" s="70"/>
      <c r="J6762" s="70"/>
      <c r="K6762" s="110" t="str">
        <f>IF(H6762="","",IF($C$29="간이법","",FPR(H6762,I6762,J6762)))</f>
        <v/>
      </c>
      <c r="L6762" s="111" t="str">
        <f>IF(H6762="","",IF($C$29="상세법",FPV(H6762,K6762),IF(H6762="EI",4,IF(H6762="EO",5.2,IF(H6762="EQ",3.9,IF(H6762="ILF",7.5,IF(H6762="EIF",5.4)))))))</f>
        <v/>
      </c>
      <c r="M6762" s="112" t="str">
        <f t="shared" si="108"/>
        <v/>
      </c>
      <c r="N6762" s="113"/>
    </row>
    <row r="6763" spans="2:14">
      <c r="B6763" s="105"/>
      <c r="C6763" s="106"/>
      <c r="D6763" s="107"/>
      <c r="E6763" s="65"/>
      <c r="F6763" s="64"/>
      <c r="G6763" s="64"/>
      <c r="H6763" s="64"/>
      <c r="I6763" s="70"/>
      <c r="J6763" s="70"/>
      <c r="K6763" s="110" t="str">
        <f>IF(H6763="","",IF($C$29="간이법","",FPR(H6763,I6763,J6763)))</f>
        <v/>
      </c>
      <c r="L6763" s="111" t="str">
        <f>IF(H6763="","",IF($C$29="상세법",FPV(H6763,K6763),IF(H6763="EI",4,IF(H6763="EO",5.2,IF(H6763="EQ",3.9,IF(H6763="ILF",7.5,IF(H6763="EIF",5.4)))))))</f>
        <v/>
      </c>
      <c r="M6763" s="112" t="str">
        <f t="shared" si="108"/>
        <v/>
      </c>
      <c r="N6763" s="113"/>
    </row>
    <row r="6764" spans="2:14">
      <c r="B6764" s="105"/>
      <c r="C6764" s="106"/>
      <c r="D6764" s="107"/>
      <c r="E6764" s="65"/>
      <c r="F6764" s="64"/>
      <c r="G6764" s="64"/>
      <c r="H6764" s="64"/>
      <c r="I6764" s="70"/>
      <c r="J6764" s="70"/>
      <c r="K6764" s="110" t="str">
        <f>IF(H6764="","",IF($C$29="간이법","",FPR(H6764,I6764,J6764)))</f>
        <v/>
      </c>
      <c r="L6764" s="111" t="str">
        <f>IF(H6764="","",IF($C$29="상세법",FPV(H6764,K6764),IF(H6764="EI",4,IF(H6764="EO",5.2,IF(H6764="EQ",3.9,IF(H6764="ILF",7.5,IF(H6764="EIF",5.4)))))))</f>
        <v/>
      </c>
      <c r="M6764" s="112" t="str">
        <f t="shared" si="108"/>
        <v/>
      </c>
      <c r="N6764" s="113"/>
    </row>
    <row r="6765" spans="2:14">
      <c r="B6765" s="105"/>
      <c r="C6765" s="106"/>
      <c r="D6765" s="107"/>
      <c r="E6765" s="65"/>
      <c r="F6765" s="64"/>
      <c r="G6765" s="64"/>
      <c r="H6765" s="64"/>
      <c r="I6765" s="70"/>
      <c r="J6765" s="70"/>
      <c r="K6765" s="110" t="str">
        <f>IF(H6765="","",IF($C$29="간이법","",FPR(H6765,I6765,J6765)))</f>
        <v/>
      </c>
      <c r="L6765" s="111" t="str">
        <f>IF(H6765="","",IF($C$29="상세법",FPV(H6765,K6765),IF(H6765="EI",4,IF(H6765="EO",5.2,IF(H6765="EQ",3.9,IF(H6765="ILF",7.5,IF(H6765="EIF",5.4)))))))</f>
        <v/>
      </c>
      <c r="M6765" s="112" t="str">
        <f t="shared" si="108"/>
        <v/>
      </c>
      <c r="N6765" s="113"/>
    </row>
    <row r="6766" spans="2:14">
      <c r="B6766" s="105"/>
      <c r="C6766" s="106"/>
      <c r="D6766" s="107"/>
      <c r="E6766" s="65"/>
      <c r="F6766" s="64"/>
      <c r="G6766" s="64"/>
      <c r="H6766" s="64"/>
      <c r="I6766" s="70"/>
      <c r="J6766" s="70"/>
      <c r="K6766" s="110" t="str">
        <f>IF(H6766="","",IF($C$29="간이법","",FPR(H6766,I6766,J6766)))</f>
        <v/>
      </c>
      <c r="L6766" s="111" t="str">
        <f>IF(H6766="","",IF($C$29="상세법",FPV(H6766,K6766),IF(H6766="EI",4,IF(H6766="EO",5.2,IF(H6766="EQ",3.9,IF(H6766="ILF",7.5,IF(H6766="EIF",5.4)))))))</f>
        <v/>
      </c>
      <c r="M6766" s="112" t="str">
        <f t="shared" si="108"/>
        <v/>
      </c>
      <c r="N6766" s="113"/>
    </row>
    <row r="6767" spans="2:14">
      <c r="B6767" s="105"/>
      <c r="C6767" s="106"/>
      <c r="D6767" s="107"/>
      <c r="E6767" s="65"/>
      <c r="F6767" s="64"/>
      <c r="G6767" s="64"/>
      <c r="H6767" s="64"/>
      <c r="I6767" s="70"/>
      <c r="J6767" s="70"/>
      <c r="K6767" s="110" t="str">
        <f>IF(H6767="","",IF($C$29="간이법","",FPR(H6767,I6767,J6767)))</f>
        <v/>
      </c>
      <c r="L6767" s="111" t="str">
        <f>IF(H6767="","",IF($C$29="상세법",FPV(H6767,K6767),IF(H6767="EI",4,IF(H6767="EO",5.2,IF(H6767="EQ",3.9,IF(H6767="ILF",7.5,IF(H6767="EIF",5.4)))))))</f>
        <v/>
      </c>
      <c r="M6767" s="112" t="str">
        <f t="shared" si="108"/>
        <v/>
      </c>
      <c r="N6767" s="113"/>
    </row>
    <row r="6768" spans="2:14">
      <c r="B6768" s="105"/>
      <c r="C6768" s="106"/>
      <c r="D6768" s="107"/>
      <c r="E6768" s="65"/>
      <c r="F6768" s="64"/>
      <c r="G6768" s="64"/>
      <c r="H6768" s="64"/>
      <c r="I6768" s="70"/>
      <c r="J6768" s="70"/>
      <c r="K6768" s="110" t="str">
        <f>IF(H6768="","",IF($C$29="간이법","",FPR(H6768,I6768,J6768)))</f>
        <v/>
      </c>
      <c r="L6768" s="111" t="str">
        <f>IF(H6768="","",IF($C$29="상세법",FPV(H6768,K6768),IF(H6768="EI",4,IF(H6768="EO",5.2,IF(H6768="EQ",3.9,IF(H6768="ILF",7.5,IF(H6768="EIF",5.4)))))))</f>
        <v/>
      </c>
      <c r="M6768" s="112" t="str">
        <f t="shared" si="108"/>
        <v/>
      </c>
      <c r="N6768" s="113"/>
    </row>
    <row r="6769" spans="2:14">
      <c r="B6769" s="105"/>
      <c r="C6769" s="106"/>
      <c r="D6769" s="107"/>
      <c r="E6769" s="65"/>
      <c r="F6769" s="64"/>
      <c r="G6769" s="64"/>
      <c r="H6769" s="64"/>
      <c r="I6769" s="70"/>
      <c r="J6769" s="70"/>
      <c r="K6769" s="110" t="str">
        <f>IF(H6769="","",IF($C$29="간이법","",FPR(H6769,I6769,J6769)))</f>
        <v/>
      </c>
      <c r="L6769" s="111" t="str">
        <f>IF(H6769="","",IF($C$29="상세법",FPV(H6769,K6769),IF(H6769="EI",4,IF(H6769="EO",5.2,IF(H6769="EQ",3.9,IF(H6769="ILF",7.5,IF(H6769="EIF",5.4)))))))</f>
        <v/>
      </c>
      <c r="M6769" s="112" t="str">
        <f t="shared" si="108"/>
        <v/>
      </c>
      <c r="N6769" s="113"/>
    </row>
    <row r="6770" spans="2:14">
      <c r="B6770" s="105"/>
      <c r="C6770" s="106"/>
      <c r="D6770" s="107"/>
      <c r="E6770" s="65"/>
      <c r="F6770" s="64"/>
      <c r="G6770" s="64"/>
      <c r="H6770" s="64"/>
      <c r="I6770" s="70"/>
      <c r="J6770" s="70"/>
      <c r="K6770" s="110" t="str">
        <f>IF(H6770="","",IF($C$29="간이법","",FPR(H6770,I6770,J6770)))</f>
        <v/>
      </c>
      <c r="L6770" s="111" t="str">
        <f>IF(H6770="","",IF($C$29="상세법",FPV(H6770,K6770),IF(H6770="EI",4,IF(H6770="EO",5.2,IF(H6770="EQ",3.9,IF(H6770="ILF",7.5,IF(H6770="EIF",5.4)))))))</f>
        <v/>
      </c>
      <c r="M6770" s="112" t="str">
        <f t="shared" si="108"/>
        <v/>
      </c>
      <c r="N6770" s="113"/>
    </row>
    <row r="6771" spans="2:14">
      <c r="B6771" s="105"/>
      <c r="C6771" s="106"/>
      <c r="D6771" s="107"/>
      <c r="E6771" s="65"/>
      <c r="F6771" s="64"/>
      <c r="G6771" s="64"/>
      <c r="H6771" s="64"/>
      <c r="I6771" s="70"/>
      <c r="J6771" s="70"/>
      <c r="K6771" s="110" t="str">
        <f>IF(H6771="","",IF($C$29="간이법","",FPR(H6771,I6771,J6771)))</f>
        <v/>
      </c>
      <c r="L6771" s="111" t="str">
        <f>IF(H6771="","",IF($C$29="상세법",FPV(H6771,K6771),IF(H6771="EI",4,IF(H6771="EO",5.2,IF(H6771="EQ",3.9,IF(H6771="ILF",7.5,IF(H6771="EIF",5.4)))))))</f>
        <v/>
      </c>
      <c r="M6771" s="112" t="str">
        <f t="shared" si="108"/>
        <v/>
      </c>
      <c r="N6771" s="113"/>
    </row>
    <row r="6772" spans="2:14">
      <c r="B6772" s="105"/>
      <c r="C6772" s="106"/>
      <c r="D6772" s="107"/>
      <c r="E6772" s="65"/>
      <c r="F6772" s="64"/>
      <c r="G6772" s="64"/>
      <c r="H6772" s="64"/>
      <c r="I6772" s="70"/>
      <c r="J6772" s="70"/>
      <c r="K6772" s="110" t="str">
        <f>IF(H6772="","",IF($C$29="간이법","",FPR(H6772,I6772,J6772)))</f>
        <v/>
      </c>
      <c r="L6772" s="111" t="str">
        <f>IF(H6772="","",IF($C$29="상세법",FPV(H6772,K6772),IF(H6772="EI",4,IF(H6772="EO",5.2,IF(H6772="EQ",3.9,IF(H6772="ILF",7.5,IF(H6772="EIF",5.4)))))))</f>
        <v/>
      </c>
      <c r="M6772" s="112" t="str">
        <f t="shared" si="108"/>
        <v/>
      </c>
      <c r="N6772" s="113"/>
    </row>
    <row r="6773" spans="2:14">
      <c r="B6773" s="105"/>
      <c r="C6773" s="106"/>
      <c r="D6773" s="107"/>
      <c r="E6773" s="65"/>
      <c r="F6773" s="64"/>
      <c r="G6773" s="64"/>
      <c r="H6773" s="64"/>
      <c r="I6773" s="70"/>
      <c r="J6773" s="70"/>
      <c r="K6773" s="110" t="str">
        <f>IF(H6773="","",IF($C$29="간이법","",FPR(H6773,I6773,J6773)))</f>
        <v/>
      </c>
      <c r="L6773" s="111" t="str">
        <f>IF(H6773="","",IF($C$29="상세법",FPV(H6773,K6773),IF(H6773="EI",4,IF(H6773="EO",5.2,IF(H6773="EQ",3.9,IF(H6773="ILF",7.5,IF(H6773="EIF",5.4)))))))</f>
        <v/>
      </c>
      <c r="M6773" s="112" t="str">
        <f t="shared" si="108"/>
        <v/>
      </c>
      <c r="N6773" s="113"/>
    </row>
    <row r="6774" spans="2:14">
      <c r="B6774" s="105"/>
      <c r="C6774" s="106"/>
      <c r="D6774" s="107"/>
      <c r="E6774" s="65"/>
      <c r="F6774" s="64"/>
      <c r="G6774" s="64"/>
      <c r="H6774" s="64"/>
      <c r="I6774" s="70"/>
      <c r="J6774" s="70"/>
      <c r="K6774" s="110" t="str">
        <f>IF(H6774="","",IF($C$29="간이법","",FPR(H6774,I6774,J6774)))</f>
        <v/>
      </c>
      <c r="L6774" s="111" t="str">
        <f>IF(H6774="","",IF($C$29="상세법",FPV(H6774,K6774),IF(H6774="EI",4,IF(H6774="EO",5.2,IF(H6774="EQ",3.9,IF(H6774="ILF",7.5,IF(H6774="EIF",5.4)))))))</f>
        <v/>
      </c>
      <c r="M6774" s="112" t="str">
        <f t="shared" si="108"/>
        <v/>
      </c>
      <c r="N6774" s="113"/>
    </row>
    <row r="6775" spans="2:14">
      <c r="B6775" s="105"/>
      <c r="C6775" s="106"/>
      <c r="D6775" s="107"/>
      <c r="E6775" s="65"/>
      <c r="F6775" s="64"/>
      <c r="G6775" s="64"/>
      <c r="H6775" s="64"/>
      <c r="I6775" s="70"/>
      <c r="J6775" s="70"/>
      <c r="K6775" s="110" t="str">
        <f>IF(H6775="","",IF($C$29="간이법","",FPR(H6775,I6775,J6775)))</f>
        <v/>
      </c>
      <c r="L6775" s="111" t="str">
        <f>IF(H6775="","",IF($C$29="상세법",FPV(H6775,K6775),IF(H6775="EI",4,IF(H6775="EO",5.2,IF(H6775="EQ",3.9,IF(H6775="ILF",7.5,IF(H6775="EIF",5.4)))))))</f>
        <v/>
      </c>
      <c r="M6775" s="112" t="str">
        <f t="shared" si="108"/>
        <v/>
      </c>
      <c r="N6775" s="113"/>
    </row>
    <row r="6776" spans="2:14">
      <c r="B6776" s="105"/>
      <c r="C6776" s="106"/>
      <c r="D6776" s="107"/>
      <c r="E6776" s="65"/>
      <c r="F6776" s="64"/>
      <c r="G6776" s="64"/>
      <c r="H6776" s="64"/>
      <c r="I6776" s="70"/>
      <c r="J6776" s="70"/>
      <c r="K6776" s="110" t="str">
        <f>IF(H6776="","",IF($C$29="간이법","",FPR(H6776,I6776,J6776)))</f>
        <v/>
      </c>
      <c r="L6776" s="111" t="str">
        <f>IF(H6776="","",IF($C$29="상세법",FPV(H6776,K6776),IF(H6776="EI",4,IF(H6776="EO",5.2,IF(H6776="EQ",3.9,IF(H6776="ILF",7.5,IF(H6776="EIF",5.4)))))))</f>
        <v/>
      </c>
      <c r="M6776" s="112" t="str">
        <f t="shared" si="108"/>
        <v/>
      </c>
      <c r="N6776" s="113"/>
    </row>
    <row r="6777" spans="2:14">
      <c r="B6777" s="105"/>
      <c r="C6777" s="106"/>
      <c r="D6777" s="107"/>
      <c r="E6777" s="65"/>
      <c r="F6777" s="64"/>
      <c r="G6777" s="64"/>
      <c r="H6777" s="64"/>
      <c r="I6777" s="70"/>
      <c r="J6777" s="70"/>
      <c r="K6777" s="110" t="str">
        <f>IF(H6777="","",IF($C$29="간이법","",FPR(H6777,I6777,J6777)))</f>
        <v/>
      </c>
      <c r="L6777" s="111" t="str">
        <f>IF(H6777="","",IF($C$29="상세법",FPV(H6777,K6777),IF(H6777="EI",4,IF(H6777="EO",5.2,IF(H6777="EQ",3.9,IF(H6777="ILF",7.5,IF(H6777="EIF",5.4)))))))</f>
        <v/>
      </c>
      <c r="M6777" s="112" t="str">
        <f t="shared" ref="M6777:M6840" si="109">IF(L6777="","",L6777*IF(G6777="상",0.7,IF(G6777="중",0.5,IF(G6777="하",0.2,1))))</f>
        <v/>
      </c>
      <c r="N6777" s="113"/>
    </row>
    <row r="6778" spans="2:14">
      <c r="B6778" s="105"/>
      <c r="C6778" s="106"/>
      <c r="D6778" s="107"/>
      <c r="E6778" s="65"/>
      <c r="F6778" s="64"/>
      <c r="G6778" s="64"/>
      <c r="H6778" s="64"/>
      <c r="I6778" s="70"/>
      <c r="J6778" s="70"/>
      <c r="K6778" s="110" t="str">
        <f>IF(H6778="","",IF($C$29="간이법","",FPR(H6778,I6778,J6778)))</f>
        <v/>
      </c>
      <c r="L6778" s="111" t="str">
        <f>IF(H6778="","",IF($C$29="상세법",FPV(H6778,K6778),IF(H6778="EI",4,IF(H6778="EO",5.2,IF(H6778="EQ",3.9,IF(H6778="ILF",7.5,IF(H6778="EIF",5.4)))))))</f>
        <v/>
      </c>
      <c r="M6778" s="112" t="str">
        <f t="shared" si="109"/>
        <v/>
      </c>
      <c r="N6778" s="113"/>
    </row>
    <row r="6779" spans="2:14">
      <c r="B6779" s="105"/>
      <c r="C6779" s="106"/>
      <c r="D6779" s="107"/>
      <c r="E6779" s="65"/>
      <c r="F6779" s="64"/>
      <c r="G6779" s="64"/>
      <c r="H6779" s="64"/>
      <c r="I6779" s="70"/>
      <c r="J6779" s="70"/>
      <c r="K6779" s="110" t="str">
        <f>IF(H6779="","",IF($C$29="간이법","",FPR(H6779,I6779,J6779)))</f>
        <v/>
      </c>
      <c r="L6779" s="111" t="str">
        <f>IF(H6779="","",IF($C$29="상세법",FPV(H6779,K6779),IF(H6779="EI",4,IF(H6779="EO",5.2,IF(H6779="EQ",3.9,IF(H6779="ILF",7.5,IF(H6779="EIF",5.4)))))))</f>
        <v/>
      </c>
      <c r="M6779" s="112" t="str">
        <f t="shared" si="109"/>
        <v/>
      </c>
      <c r="N6779" s="113"/>
    </row>
    <row r="6780" spans="2:14">
      <c r="B6780" s="105"/>
      <c r="C6780" s="106"/>
      <c r="D6780" s="107"/>
      <c r="E6780" s="65"/>
      <c r="F6780" s="64"/>
      <c r="G6780" s="64"/>
      <c r="H6780" s="64"/>
      <c r="I6780" s="70"/>
      <c r="J6780" s="70"/>
      <c r="K6780" s="110" t="str">
        <f>IF(H6780="","",IF($C$29="간이법","",FPR(H6780,I6780,J6780)))</f>
        <v/>
      </c>
      <c r="L6780" s="111" t="str">
        <f>IF(H6780="","",IF($C$29="상세법",FPV(H6780,K6780),IF(H6780="EI",4,IF(H6780="EO",5.2,IF(H6780="EQ",3.9,IF(H6780="ILF",7.5,IF(H6780="EIF",5.4)))))))</f>
        <v/>
      </c>
      <c r="M6780" s="112" t="str">
        <f t="shared" si="109"/>
        <v/>
      </c>
      <c r="N6780" s="113"/>
    </row>
    <row r="6781" spans="2:14">
      <c r="B6781" s="105"/>
      <c r="C6781" s="106"/>
      <c r="D6781" s="107"/>
      <c r="E6781" s="65"/>
      <c r="F6781" s="64"/>
      <c r="G6781" s="64"/>
      <c r="H6781" s="64"/>
      <c r="I6781" s="70"/>
      <c r="J6781" s="70"/>
      <c r="K6781" s="110" t="str">
        <f>IF(H6781="","",IF($C$29="간이법","",FPR(H6781,I6781,J6781)))</f>
        <v/>
      </c>
      <c r="L6781" s="111" t="str">
        <f>IF(H6781="","",IF($C$29="상세법",FPV(H6781,K6781),IF(H6781="EI",4,IF(H6781="EO",5.2,IF(H6781="EQ",3.9,IF(H6781="ILF",7.5,IF(H6781="EIF",5.4)))))))</f>
        <v/>
      </c>
      <c r="M6781" s="112" t="str">
        <f t="shared" si="109"/>
        <v/>
      </c>
      <c r="N6781" s="113"/>
    </row>
    <row r="6782" spans="2:14">
      <c r="B6782" s="105"/>
      <c r="C6782" s="106"/>
      <c r="D6782" s="107"/>
      <c r="E6782" s="65"/>
      <c r="F6782" s="64"/>
      <c r="G6782" s="64"/>
      <c r="H6782" s="64"/>
      <c r="I6782" s="70"/>
      <c r="J6782" s="70"/>
      <c r="K6782" s="110" t="str">
        <f>IF(H6782="","",IF($C$29="간이법","",FPR(H6782,I6782,J6782)))</f>
        <v/>
      </c>
      <c r="L6782" s="111" t="str">
        <f>IF(H6782="","",IF($C$29="상세법",FPV(H6782,K6782),IF(H6782="EI",4,IF(H6782="EO",5.2,IF(H6782="EQ",3.9,IF(H6782="ILF",7.5,IF(H6782="EIF",5.4)))))))</f>
        <v/>
      </c>
      <c r="M6782" s="112" t="str">
        <f t="shared" si="109"/>
        <v/>
      </c>
      <c r="N6782" s="113"/>
    </row>
    <row r="6783" spans="2:14">
      <c r="B6783" s="105"/>
      <c r="C6783" s="106"/>
      <c r="D6783" s="107"/>
      <c r="E6783" s="65"/>
      <c r="F6783" s="64"/>
      <c r="G6783" s="64"/>
      <c r="H6783" s="64"/>
      <c r="I6783" s="70"/>
      <c r="J6783" s="70"/>
      <c r="K6783" s="110" t="str">
        <f>IF(H6783="","",IF($C$29="간이법","",FPR(H6783,I6783,J6783)))</f>
        <v/>
      </c>
      <c r="L6783" s="111" t="str">
        <f>IF(H6783="","",IF($C$29="상세법",FPV(H6783,K6783),IF(H6783="EI",4,IF(H6783="EO",5.2,IF(H6783="EQ",3.9,IF(H6783="ILF",7.5,IF(H6783="EIF",5.4)))))))</f>
        <v/>
      </c>
      <c r="M6783" s="112" t="str">
        <f t="shared" si="109"/>
        <v/>
      </c>
      <c r="N6783" s="113"/>
    </row>
    <row r="6784" spans="2:14">
      <c r="B6784" s="105"/>
      <c r="C6784" s="106"/>
      <c r="D6784" s="107"/>
      <c r="E6784" s="65"/>
      <c r="F6784" s="64"/>
      <c r="G6784" s="64"/>
      <c r="H6784" s="64"/>
      <c r="I6784" s="70"/>
      <c r="J6784" s="70"/>
      <c r="K6784" s="110" t="str">
        <f>IF(H6784="","",IF($C$29="간이법","",FPR(H6784,I6784,J6784)))</f>
        <v/>
      </c>
      <c r="L6784" s="111" t="str">
        <f>IF(H6784="","",IF($C$29="상세법",FPV(H6784,K6784),IF(H6784="EI",4,IF(H6784="EO",5.2,IF(H6784="EQ",3.9,IF(H6784="ILF",7.5,IF(H6784="EIF",5.4)))))))</f>
        <v/>
      </c>
      <c r="M6784" s="112" t="str">
        <f t="shared" si="109"/>
        <v/>
      </c>
      <c r="N6784" s="113"/>
    </row>
    <row r="6785" spans="2:14">
      <c r="B6785" s="105"/>
      <c r="C6785" s="106"/>
      <c r="D6785" s="107"/>
      <c r="E6785" s="65"/>
      <c r="F6785" s="64"/>
      <c r="G6785" s="64"/>
      <c r="H6785" s="64"/>
      <c r="I6785" s="70"/>
      <c r="J6785" s="70"/>
      <c r="K6785" s="110" t="str">
        <f>IF(H6785="","",IF($C$29="간이법","",FPR(H6785,I6785,J6785)))</f>
        <v/>
      </c>
      <c r="L6785" s="111" t="str">
        <f>IF(H6785="","",IF($C$29="상세법",FPV(H6785,K6785),IF(H6785="EI",4,IF(H6785="EO",5.2,IF(H6785="EQ",3.9,IF(H6785="ILF",7.5,IF(H6785="EIF",5.4)))))))</f>
        <v/>
      </c>
      <c r="M6785" s="112" t="str">
        <f t="shared" si="109"/>
        <v/>
      </c>
      <c r="N6785" s="113"/>
    </row>
    <row r="6786" spans="2:14">
      <c r="B6786" s="105"/>
      <c r="C6786" s="106"/>
      <c r="D6786" s="107"/>
      <c r="E6786" s="65"/>
      <c r="F6786" s="64"/>
      <c r="G6786" s="64"/>
      <c r="H6786" s="64"/>
      <c r="I6786" s="70"/>
      <c r="J6786" s="70"/>
      <c r="K6786" s="110" t="str">
        <f>IF(H6786="","",IF($C$29="간이법","",FPR(H6786,I6786,J6786)))</f>
        <v/>
      </c>
      <c r="L6786" s="111" t="str">
        <f>IF(H6786="","",IF($C$29="상세법",FPV(H6786,K6786),IF(H6786="EI",4,IF(H6786="EO",5.2,IF(H6786="EQ",3.9,IF(H6786="ILF",7.5,IF(H6786="EIF",5.4)))))))</f>
        <v/>
      </c>
      <c r="M6786" s="112" t="str">
        <f t="shared" si="109"/>
        <v/>
      </c>
      <c r="N6786" s="113"/>
    </row>
    <row r="6787" spans="2:14">
      <c r="B6787" s="105"/>
      <c r="C6787" s="106"/>
      <c r="D6787" s="107"/>
      <c r="E6787" s="65"/>
      <c r="F6787" s="64"/>
      <c r="G6787" s="64"/>
      <c r="H6787" s="64"/>
      <c r="I6787" s="70"/>
      <c r="J6787" s="70"/>
      <c r="K6787" s="110" t="str">
        <f>IF(H6787="","",IF($C$29="간이법","",FPR(H6787,I6787,J6787)))</f>
        <v/>
      </c>
      <c r="L6787" s="111" t="str">
        <f>IF(H6787="","",IF($C$29="상세법",FPV(H6787,K6787),IF(H6787="EI",4,IF(H6787="EO",5.2,IF(H6787="EQ",3.9,IF(H6787="ILF",7.5,IF(H6787="EIF",5.4)))))))</f>
        <v/>
      </c>
      <c r="M6787" s="112" t="str">
        <f t="shared" si="109"/>
        <v/>
      </c>
      <c r="N6787" s="113"/>
    </row>
    <row r="6788" spans="2:14">
      <c r="B6788" s="105"/>
      <c r="C6788" s="106"/>
      <c r="D6788" s="107"/>
      <c r="E6788" s="65"/>
      <c r="F6788" s="64"/>
      <c r="G6788" s="64"/>
      <c r="H6788" s="64"/>
      <c r="I6788" s="70"/>
      <c r="J6788" s="70"/>
      <c r="K6788" s="110" t="str">
        <f>IF(H6788="","",IF($C$29="간이법","",FPR(H6788,I6788,J6788)))</f>
        <v/>
      </c>
      <c r="L6788" s="111" t="str">
        <f>IF(H6788="","",IF($C$29="상세법",FPV(H6788,K6788),IF(H6788="EI",4,IF(H6788="EO",5.2,IF(H6788="EQ",3.9,IF(H6788="ILF",7.5,IF(H6788="EIF",5.4)))))))</f>
        <v/>
      </c>
      <c r="M6788" s="112" t="str">
        <f t="shared" si="109"/>
        <v/>
      </c>
      <c r="N6788" s="113"/>
    </row>
    <row r="6789" spans="2:14">
      <c r="B6789" s="105"/>
      <c r="C6789" s="106"/>
      <c r="D6789" s="107"/>
      <c r="E6789" s="65"/>
      <c r="F6789" s="64"/>
      <c r="G6789" s="64"/>
      <c r="H6789" s="64"/>
      <c r="I6789" s="70"/>
      <c r="J6789" s="70"/>
      <c r="K6789" s="110" t="str">
        <f>IF(H6789="","",IF($C$29="간이법","",FPR(H6789,I6789,J6789)))</f>
        <v/>
      </c>
      <c r="L6789" s="111" t="str">
        <f>IF(H6789="","",IF($C$29="상세법",FPV(H6789,K6789),IF(H6789="EI",4,IF(H6789="EO",5.2,IF(H6789="EQ",3.9,IF(H6789="ILF",7.5,IF(H6789="EIF",5.4)))))))</f>
        <v/>
      </c>
      <c r="M6789" s="112" t="str">
        <f t="shared" si="109"/>
        <v/>
      </c>
      <c r="N6789" s="113"/>
    </row>
    <row r="6790" spans="2:14">
      <c r="B6790" s="105"/>
      <c r="C6790" s="106"/>
      <c r="D6790" s="107"/>
      <c r="E6790" s="65"/>
      <c r="F6790" s="64"/>
      <c r="G6790" s="64"/>
      <c r="H6790" s="64"/>
      <c r="I6790" s="70"/>
      <c r="J6790" s="70"/>
      <c r="K6790" s="110" t="str">
        <f>IF(H6790="","",IF($C$29="간이법","",FPR(H6790,I6790,J6790)))</f>
        <v/>
      </c>
      <c r="L6790" s="111" t="str">
        <f>IF(H6790="","",IF($C$29="상세법",FPV(H6790,K6790),IF(H6790="EI",4,IF(H6790="EO",5.2,IF(H6790="EQ",3.9,IF(H6790="ILF",7.5,IF(H6790="EIF",5.4)))))))</f>
        <v/>
      </c>
      <c r="M6790" s="112" t="str">
        <f t="shared" si="109"/>
        <v/>
      </c>
      <c r="N6790" s="113"/>
    </row>
    <row r="6791" spans="2:14">
      <c r="B6791" s="105"/>
      <c r="C6791" s="106"/>
      <c r="D6791" s="107"/>
      <c r="E6791" s="65"/>
      <c r="F6791" s="64"/>
      <c r="G6791" s="64"/>
      <c r="H6791" s="64"/>
      <c r="I6791" s="70"/>
      <c r="J6791" s="70"/>
      <c r="K6791" s="110" t="str">
        <f>IF(H6791="","",IF($C$29="간이법","",FPR(H6791,I6791,J6791)))</f>
        <v/>
      </c>
      <c r="L6791" s="111" t="str">
        <f>IF(H6791="","",IF($C$29="상세법",FPV(H6791,K6791),IF(H6791="EI",4,IF(H6791="EO",5.2,IF(H6791="EQ",3.9,IF(H6791="ILF",7.5,IF(H6791="EIF",5.4)))))))</f>
        <v/>
      </c>
      <c r="M6791" s="112" t="str">
        <f t="shared" si="109"/>
        <v/>
      </c>
      <c r="N6791" s="113"/>
    </row>
    <row r="6792" spans="2:14">
      <c r="B6792" s="105"/>
      <c r="C6792" s="106"/>
      <c r="D6792" s="107"/>
      <c r="E6792" s="65"/>
      <c r="F6792" s="64"/>
      <c r="G6792" s="64"/>
      <c r="H6792" s="64"/>
      <c r="I6792" s="70"/>
      <c r="J6792" s="70"/>
      <c r="K6792" s="110" t="str">
        <f>IF(H6792="","",IF($C$29="간이법","",FPR(H6792,I6792,J6792)))</f>
        <v/>
      </c>
      <c r="L6792" s="111" t="str">
        <f>IF(H6792="","",IF($C$29="상세법",FPV(H6792,K6792),IF(H6792="EI",4,IF(H6792="EO",5.2,IF(H6792="EQ",3.9,IF(H6792="ILF",7.5,IF(H6792="EIF",5.4)))))))</f>
        <v/>
      </c>
      <c r="M6792" s="112" t="str">
        <f t="shared" si="109"/>
        <v/>
      </c>
      <c r="N6792" s="113"/>
    </row>
    <row r="6793" spans="2:14">
      <c r="B6793" s="105"/>
      <c r="C6793" s="106"/>
      <c r="D6793" s="107"/>
      <c r="E6793" s="65"/>
      <c r="F6793" s="64"/>
      <c r="G6793" s="64"/>
      <c r="H6793" s="64"/>
      <c r="I6793" s="70"/>
      <c r="J6793" s="70"/>
      <c r="K6793" s="110" t="str">
        <f>IF(H6793="","",IF($C$29="간이법","",FPR(H6793,I6793,J6793)))</f>
        <v/>
      </c>
      <c r="L6793" s="111" t="str">
        <f>IF(H6793="","",IF($C$29="상세법",FPV(H6793,K6793),IF(H6793="EI",4,IF(H6793="EO",5.2,IF(H6793="EQ",3.9,IF(H6793="ILF",7.5,IF(H6793="EIF",5.4)))))))</f>
        <v/>
      </c>
      <c r="M6793" s="112" t="str">
        <f t="shared" si="109"/>
        <v/>
      </c>
      <c r="N6793" s="113"/>
    </row>
    <row r="6794" spans="2:14">
      <c r="B6794" s="105"/>
      <c r="C6794" s="106"/>
      <c r="D6794" s="107"/>
      <c r="E6794" s="65"/>
      <c r="F6794" s="64"/>
      <c r="G6794" s="64"/>
      <c r="H6794" s="64"/>
      <c r="I6794" s="70"/>
      <c r="J6794" s="70"/>
      <c r="K6794" s="110" t="str">
        <f>IF(H6794="","",IF($C$29="간이법","",FPR(H6794,I6794,J6794)))</f>
        <v/>
      </c>
      <c r="L6794" s="111" t="str">
        <f>IF(H6794="","",IF($C$29="상세법",FPV(H6794,K6794),IF(H6794="EI",4,IF(H6794="EO",5.2,IF(H6794="EQ",3.9,IF(H6794="ILF",7.5,IF(H6794="EIF",5.4)))))))</f>
        <v/>
      </c>
      <c r="M6794" s="112" t="str">
        <f t="shared" si="109"/>
        <v/>
      </c>
      <c r="N6794" s="113"/>
    </row>
    <row r="6795" spans="2:14">
      <c r="B6795" s="105"/>
      <c r="C6795" s="106"/>
      <c r="D6795" s="107"/>
      <c r="E6795" s="65"/>
      <c r="F6795" s="64"/>
      <c r="G6795" s="64"/>
      <c r="H6795" s="64"/>
      <c r="I6795" s="70"/>
      <c r="J6795" s="70"/>
      <c r="K6795" s="110" t="str">
        <f>IF(H6795="","",IF($C$29="간이법","",FPR(H6795,I6795,J6795)))</f>
        <v/>
      </c>
      <c r="L6795" s="111" t="str">
        <f>IF(H6795="","",IF($C$29="상세법",FPV(H6795,K6795),IF(H6795="EI",4,IF(H6795="EO",5.2,IF(H6795="EQ",3.9,IF(H6795="ILF",7.5,IF(H6795="EIF",5.4)))))))</f>
        <v/>
      </c>
      <c r="M6795" s="112" t="str">
        <f t="shared" si="109"/>
        <v/>
      </c>
      <c r="N6795" s="113"/>
    </row>
    <row r="6796" spans="2:14">
      <c r="B6796" s="105"/>
      <c r="C6796" s="106"/>
      <c r="D6796" s="107"/>
      <c r="E6796" s="65"/>
      <c r="F6796" s="64"/>
      <c r="G6796" s="64"/>
      <c r="H6796" s="64"/>
      <c r="I6796" s="70"/>
      <c r="J6796" s="70"/>
      <c r="K6796" s="110" t="str">
        <f>IF(H6796="","",IF($C$29="간이법","",FPR(H6796,I6796,J6796)))</f>
        <v/>
      </c>
      <c r="L6796" s="111" t="str">
        <f>IF(H6796="","",IF($C$29="상세법",FPV(H6796,K6796),IF(H6796="EI",4,IF(H6796="EO",5.2,IF(H6796="EQ",3.9,IF(H6796="ILF",7.5,IF(H6796="EIF",5.4)))))))</f>
        <v/>
      </c>
      <c r="M6796" s="112" t="str">
        <f t="shared" si="109"/>
        <v/>
      </c>
      <c r="N6796" s="113"/>
    </row>
    <row r="6797" spans="2:14">
      <c r="B6797" s="105"/>
      <c r="C6797" s="106"/>
      <c r="D6797" s="107"/>
      <c r="E6797" s="65"/>
      <c r="F6797" s="64"/>
      <c r="G6797" s="64"/>
      <c r="H6797" s="64"/>
      <c r="I6797" s="70"/>
      <c r="J6797" s="70"/>
      <c r="K6797" s="110" t="str">
        <f>IF(H6797="","",IF($C$29="간이법","",FPR(H6797,I6797,J6797)))</f>
        <v/>
      </c>
      <c r="L6797" s="111" t="str">
        <f>IF(H6797="","",IF($C$29="상세법",FPV(H6797,K6797),IF(H6797="EI",4,IF(H6797="EO",5.2,IF(H6797="EQ",3.9,IF(H6797="ILF",7.5,IF(H6797="EIF",5.4)))))))</f>
        <v/>
      </c>
      <c r="M6797" s="112" t="str">
        <f t="shared" si="109"/>
        <v/>
      </c>
      <c r="N6797" s="113"/>
    </row>
    <row r="6798" spans="2:14">
      <c r="B6798" s="105"/>
      <c r="C6798" s="106"/>
      <c r="D6798" s="107"/>
      <c r="E6798" s="65"/>
      <c r="F6798" s="64"/>
      <c r="G6798" s="64"/>
      <c r="H6798" s="64"/>
      <c r="I6798" s="70"/>
      <c r="J6798" s="70"/>
      <c r="K6798" s="110" t="str">
        <f>IF(H6798="","",IF($C$29="간이법","",FPR(H6798,I6798,J6798)))</f>
        <v/>
      </c>
      <c r="L6798" s="111" t="str">
        <f>IF(H6798="","",IF($C$29="상세법",FPV(H6798,K6798),IF(H6798="EI",4,IF(H6798="EO",5.2,IF(H6798="EQ",3.9,IF(H6798="ILF",7.5,IF(H6798="EIF",5.4)))))))</f>
        <v/>
      </c>
      <c r="M6798" s="112" t="str">
        <f t="shared" si="109"/>
        <v/>
      </c>
      <c r="N6798" s="113"/>
    </row>
    <row r="6799" spans="2:14">
      <c r="B6799" s="105"/>
      <c r="C6799" s="106"/>
      <c r="D6799" s="107"/>
      <c r="E6799" s="65"/>
      <c r="F6799" s="64"/>
      <c r="G6799" s="64"/>
      <c r="H6799" s="64"/>
      <c r="I6799" s="70"/>
      <c r="J6799" s="70"/>
      <c r="K6799" s="110" t="str">
        <f>IF(H6799="","",IF($C$29="간이법","",FPR(H6799,I6799,J6799)))</f>
        <v/>
      </c>
      <c r="L6799" s="111" t="str">
        <f>IF(H6799="","",IF($C$29="상세법",FPV(H6799,K6799),IF(H6799="EI",4,IF(H6799="EO",5.2,IF(H6799="EQ",3.9,IF(H6799="ILF",7.5,IF(H6799="EIF",5.4)))))))</f>
        <v/>
      </c>
      <c r="M6799" s="112" t="str">
        <f t="shared" si="109"/>
        <v/>
      </c>
      <c r="N6799" s="113"/>
    </row>
    <row r="6800" spans="2:14">
      <c r="B6800" s="105"/>
      <c r="C6800" s="106"/>
      <c r="D6800" s="107"/>
      <c r="E6800" s="65"/>
      <c r="F6800" s="64"/>
      <c r="G6800" s="64"/>
      <c r="H6800" s="64"/>
      <c r="I6800" s="70"/>
      <c r="J6800" s="70"/>
      <c r="K6800" s="110" t="str">
        <f>IF(H6800="","",IF($C$29="간이법","",FPR(H6800,I6800,J6800)))</f>
        <v/>
      </c>
      <c r="L6800" s="111" t="str">
        <f>IF(H6800="","",IF($C$29="상세법",FPV(H6800,K6800),IF(H6800="EI",4,IF(H6800="EO",5.2,IF(H6800="EQ",3.9,IF(H6800="ILF",7.5,IF(H6800="EIF",5.4)))))))</f>
        <v/>
      </c>
      <c r="M6800" s="112" t="str">
        <f t="shared" si="109"/>
        <v/>
      </c>
      <c r="N6800" s="113"/>
    </row>
    <row r="6801" spans="2:14">
      <c r="B6801" s="105"/>
      <c r="C6801" s="106"/>
      <c r="D6801" s="107"/>
      <c r="E6801" s="65"/>
      <c r="F6801" s="64"/>
      <c r="G6801" s="64"/>
      <c r="H6801" s="64"/>
      <c r="I6801" s="70"/>
      <c r="J6801" s="70"/>
      <c r="K6801" s="110" t="str">
        <f>IF(H6801="","",IF($C$29="간이법","",FPR(H6801,I6801,J6801)))</f>
        <v/>
      </c>
      <c r="L6801" s="111" t="str">
        <f>IF(H6801="","",IF($C$29="상세법",FPV(H6801,K6801),IF(H6801="EI",4,IF(H6801="EO",5.2,IF(H6801="EQ",3.9,IF(H6801="ILF",7.5,IF(H6801="EIF",5.4)))))))</f>
        <v/>
      </c>
      <c r="M6801" s="112" t="str">
        <f t="shared" si="109"/>
        <v/>
      </c>
      <c r="N6801" s="113"/>
    </row>
    <row r="6802" spans="2:14">
      <c r="B6802" s="105"/>
      <c r="C6802" s="106"/>
      <c r="D6802" s="107"/>
      <c r="E6802" s="65"/>
      <c r="F6802" s="64"/>
      <c r="G6802" s="64"/>
      <c r="H6802" s="64"/>
      <c r="I6802" s="70"/>
      <c r="J6802" s="70"/>
      <c r="K6802" s="110" t="str">
        <f>IF(H6802="","",IF($C$29="간이법","",FPR(H6802,I6802,J6802)))</f>
        <v/>
      </c>
      <c r="L6802" s="111" t="str">
        <f>IF(H6802="","",IF($C$29="상세법",FPV(H6802,K6802),IF(H6802="EI",4,IF(H6802="EO",5.2,IF(H6802="EQ",3.9,IF(H6802="ILF",7.5,IF(H6802="EIF",5.4)))))))</f>
        <v/>
      </c>
      <c r="M6802" s="112" t="str">
        <f t="shared" si="109"/>
        <v/>
      </c>
      <c r="N6802" s="113"/>
    </row>
    <row r="6803" spans="2:14">
      <c r="B6803" s="105"/>
      <c r="C6803" s="106"/>
      <c r="D6803" s="107"/>
      <c r="E6803" s="65"/>
      <c r="F6803" s="64"/>
      <c r="G6803" s="64"/>
      <c r="H6803" s="64"/>
      <c r="I6803" s="70"/>
      <c r="J6803" s="70"/>
      <c r="K6803" s="110" t="str">
        <f>IF(H6803="","",IF($C$29="간이법","",FPR(H6803,I6803,J6803)))</f>
        <v/>
      </c>
      <c r="L6803" s="111" t="str">
        <f>IF(H6803="","",IF($C$29="상세법",FPV(H6803,K6803),IF(H6803="EI",4,IF(H6803="EO",5.2,IF(H6803="EQ",3.9,IF(H6803="ILF",7.5,IF(H6803="EIF",5.4)))))))</f>
        <v/>
      </c>
      <c r="M6803" s="112" t="str">
        <f t="shared" si="109"/>
        <v/>
      </c>
      <c r="N6803" s="113"/>
    </row>
    <row r="6804" spans="2:14">
      <c r="B6804" s="105"/>
      <c r="C6804" s="106"/>
      <c r="D6804" s="107"/>
      <c r="E6804" s="65"/>
      <c r="F6804" s="64"/>
      <c r="G6804" s="64"/>
      <c r="H6804" s="64"/>
      <c r="I6804" s="70"/>
      <c r="J6804" s="70"/>
      <c r="K6804" s="110" t="str">
        <f>IF(H6804="","",IF($C$29="간이법","",FPR(H6804,I6804,J6804)))</f>
        <v/>
      </c>
      <c r="L6804" s="111" t="str">
        <f>IF(H6804="","",IF($C$29="상세법",FPV(H6804,K6804),IF(H6804="EI",4,IF(H6804="EO",5.2,IF(H6804="EQ",3.9,IF(H6804="ILF",7.5,IF(H6804="EIF",5.4)))))))</f>
        <v/>
      </c>
      <c r="M6804" s="112" t="str">
        <f t="shared" si="109"/>
        <v/>
      </c>
      <c r="N6804" s="113"/>
    </row>
    <row r="6805" spans="2:14">
      <c r="B6805" s="105"/>
      <c r="C6805" s="106"/>
      <c r="D6805" s="107"/>
      <c r="E6805" s="65"/>
      <c r="F6805" s="64"/>
      <c r="G6805" s="64"/>
      <c r="H6805" s="64"/>
      <c r="I6805" s="70"/>
      <c r="J6805" s="70"/>
      <c r="K6805" s="110" t="str">
        <f>IF(H6805="","",IF($C$29="간이법","",FPR(H6805,I6805,J6805)))</f>
        <v/>
      </c>
      <c r="L6805" s="111" t="str">
        <f>IF(H6805="","",IF($C$29="상세법",FPV(H6805,K6805),IF(H6805="EI",4,IF(H6805="EO",5.2,IF(H6805="EQ",3.9,IF(H6805="ILF",7.5,IF(H6805="EIF",5.4)))))))</f>
        <v/>
      </c>
      <c r="M6805" s="112" t="str">
        <f t="shared" si="109"/>
        <v/>
      </c>
      <c r="N6805" s="113"/>
    </row>
    <row r="6806" spans="2:14">
      <c r="B6806" s="105"/>
      <c r="C6806" s="106"/>
      <c r="D6806" s="107"/>
      <c r="E6806" s="65"/>
      <c r="F6806" s="64"/>
      <c r="G6806" s="64"/>
      <c r="H6806" s="64"/>
      <c r="I6806" s="70"/>
      <c r="J6806" s="70"/>
      <c r="K6806" s="110" t="str">
        <f>IF(H6806="","",IF($C$29="간이법","",FPR(H6806,I6806,J6806)))</f>
        <v/>
      </c>
      <c r="L6806" s="111" t="str">
        <f>IF(H6806="","",IF($C$29="상세법",FPV(H6806,K6806),IF(H6806="EI",4,IF(H6806="EO",5.2,IF(H6806="EQ",3.9,IF(H6806="ILF",7.5,IF(H6806="EIF",5.4)))))))</f>
        <v/>
      </c>
      <c r="M6806" s="112" t="str">
        <f t="shared" si="109"/>
        <v/>
      </c>
      <c r="N6806" s="113"/>
    </row>
    <row r="6807" spans="2:14">
      <c r="B6807" s="105"/>
      <c r="C6807" s="106"/>
      <c r="D6807" s="107"/>
      <c r="E6807" s="65"/>
      <c r="F6807" s="64"/>
      <c r="G6807" s="64"/>
      <c r="H6807" s="64"/>
      <c r="I6807" s="70"/>
      <c r="J6807" s="70"/>
      <c r="K6807" s="110" t="str">
        <f>IF(H6807="","",IF($C$29="간이법","",FPR(H6807,I6807,J6807)))</f>
        <v/>
      </c>
      <c r="L6807" s="111" t="str">
        <f>IF(H6807="","",IF($C$29="상세법",FPV(H6807,K6807),IF(H6807="EI",4,IF(H6807="EO",5.2,IF(H6807="EQ",3.9,IF(H6807="ILF",7.5,IF(H6807="EIF",5.4)))))))</f>
        <v/>
      </c>
      <c r="M6807" s="112" t="str">
        <f t="shared" si="109"/>
        <v/>
      </c>
      <c r="N6807" s="113"/>
    </row>
    <row r="6808" spans="2:14">
      <c r="B6808" s="105"/>
      <c r="C6808" s="106"/>
      <c r="D6808" s="107"/>
      <c r="E6808" s="65"/>
      <c r="F6808" s="64"/>
      <c r="G6808" s="64"/>
      <c r="H6808" s="64"/>
      <c r="I6808" s="70"/>
      <c r="J6808" s="70"/>
      <c r="K6808" s="110" t="str">
        <f>IF(H6808="","",IF($C$29="간이법","",FPR(H6808,I6808,J6808)))</f>
        <v/>
      </c>
      <c r="L6808" s="111" t="str">
        <f>IF(H6808="","",IF($C$29="상세법",FPV(H6808,K6808),IF(H6808="EI",4,IF(H6808="EO",5.2,IF(H6808="EQ",3.9,IF(H6808="ILF",7.5,IF(H6808="EIF",5.4)))))))</f>
        <v/>
      </c>
      <c r="M6808" s="112" t="str">
        <f t="shared" si="109"/>
        <v/>
      </c>
      <c r="N6808" s="113"/>
    </row>
    <row r="6809" spans="2:14">
      <c r="B6809" s="105"/>
      <c r="C6809" s="106"/>
      <c r="D6809" s="107"/>
      <c r="E6809" s="65"/>
      <c r="F6809" s="64"/>
      <c r="G6809" s="64"/>
      <c r="H6809" s="64"/>
      <c r="I6809" s="70"/>
      <c r="J6809" s="70"/>
      <c r="K6809" s="110" t="str">
        <f>IF(H6809="","",IF($C$29="간이법","",FPR(H6809,I6809,J6809)))</f>
        <v/>
      </c>
      <c r="L6809" s="111" t="str">
        <f>IF(H6809="","",IF($C$29="상세법",FPV(H6809,K6809),IF(H6809="EI",4,IF(H6809="EO",5.2,IF(H6809="EQ",3.9,IF(H6809="ILF",7.5,IF(H6809="EIF",5.4)))))))</f>
        <v/>
      </c>
      <c r="M6809" s="112" t="str">
        <f t="shared" si="109"/>
        <v/>
      </c>
      <c r="N6809" s="113"/>
    </row>
    <row r="6810" spans="2:14">
      <c r="B6810" s="105"/>
      <c r="C6810" s="106"/>
      <c r="D6810" s="107"/>
      <c r="E6810" s="65"/>
      <c r="F6810" s="64"/>
      <c r="G6810" s="64"/>
      <c r="H6810" s="64"/>
      <c r="I6810" s="70"/>
      <c r="J6810" s="70"/>
      <c r="K6810" s="110" t="str">
        <f>IF(H6810="","",IF($C$29="간이법","",FPR(H6810,I6810,J6810)))</f>
        <v/>
      </c>
      <c r="L6810" s="111" t="str">
        <f>IF(H6810="","",IF($C$29="상세법",FPV(H6810,K6810),IF(H6810="EI",4,IF(H6810="EO",5.2,IF(H6810="EQ",3.9,IF(H6810="ILF",7.5,IF(H6810="EIF",5.4)))))))</f>
        <v/>
      </c>
      <c r="M6810" s="112" t="str">
        <f t="shared" si="109"/>
        <v/>
      </c>
      <c r="N6810" s="113"/>
    </row>
    <row r="6811" spans="2:14">
      <c r="B6811" s="105"/>
      <c r="C6811" s="106"/>
      <c r="D6811" s="107"/>
      <c r="E6811" s="65"/>
      <c r="F6811" s="64"/>
      <c r="G6811" s="64"/>
      <c r="H6811" s="64"/>
      <c r="I6811" s="70"/>
      <c r="J6811" s="70"/>
      <c r="K6811" s="110" t="str">
        <f>IF(H6811="","",IF($C$29="간이법","",FPR(H6811,I6811,J6811)))</f>
        <v/>
      </c>
      <c r="L6811" s="111" t="str">
        <f>IF(H6811="","",IF($C$29="상세법",FPV(H6811,K6811),IF(H6811="EI",4,IF(H6811="EO",5.2,IF(H6811="EQ",3.9,IF(H6811="ILF",7.5,IF(H6811="EIF",5.4)))))))</f>
        <v/>
      </c>
      <c r="M6811" s="112" t="str">
        <f t="shared" si="109"/>
        <v/>
      </c>
      <c r="N6811" s="113"/>
    </row>
    <row r="6812" spans="2:14">
      <c r="B6812" s="105"/>
      <c r="C6812" s="106"/>
      <c r="D6812" s="107"/>
      <c r="E6812" s="65"/>
      <c r="F6812" s="64"/>
      <c r="G6812" s="64"/>
      <c r="H6812" s="64"/>
      <c r="I6812" s="70"/>
      <c r="J6812" s="70"/>
      <c r="K6812" s="110" t="str">
        <f>IF(H6812="","",IF($C$29="간이법","",FPR(H6812,I6812,J6812)))</f>
        <v/>
      </c>
      <c r="L6812" s="111" t="str">
        <f>IF(H6812="","",IF($C$29="상세법",FPV(H6812,K6812),IF(H6812="EI",4,IF(H6812="EO",5.2,IF(H6812="EQ",3.9,IF(H6812="ILF",7.5,IF(H6812="EIF",5.4)))))))</f>
        <v/>
      </c>
      <c r="M6812" s="112" t="str">
        <f t="shared" si="109"/>
        <v/>
      </c>
      <c r="N6812" s="113"/>
    </row>
    <row r="6813" spans="2:14">
      <c r="B6813" s="105"/>
      <c r="C6813" s="106"/>
      <c r="D6813" s="107"/>
      <c r="E6813" s="65"/>
      <c r="F6813" s="64"/>
      <c r="G6813" s="64"/>
      <c r="H6813" s="64"/>
      <c r="I6813" s="70"/>
      <c r="J6813" s="70"/>
      <c r="K6813" s="110" t="str">
        <f>IF(H6813="","",IF($C$29="간이법","",FPR(H6813,I6813,J6813)))</f>
        <v/>
      </c>
      <c r="L6813" s="111" t="str">
        <f>IF(H6813="","",IF($C$29="상세법",FPV(H6813,K6813),IF(H6813="EI",4,IF(H6813="EO",5.2,IF(H6813="EQ",3.9,IF(H6813="ILF",7.5,IF(H6813="EIF",5.4)))))))</f>
        <v/>
      </c>
      <c r="M6813" s="112" t="str">
        <f t="shared" si="109"/>
        <v/>
      </c>
      <c r="N6813" s="113"/>
    </row>
    <row r="6814" spans="2:14">
      <c r="B6814" s="105"/>
      <c r="C6814" s="106"/>
      <c r="D6814" s="107"/>
      <c r="E6814" s="65"/>
      <c r="F6814" s="64"/>
      <c r="G6814" s="64"/>
      <c r="H6814" s="64"/>
      <c r="I6814" s="70"/>
      <c r="J6814" s="70"/>
      <c r="K6814" s="110" t="str">
        <f>IF(H6814="","",IF($C$29="간이법","",FPR(H6814,I6814,J6814)))</f>
        <v/>
      </c>
      <c r="L6814" s="111" t="str">
        <f>IF(H6814="","",IF($C$29="상세법",FPV(H6814,K6814),IF(H6814="EI",4,IF(H6814="EO",5.2,IF(H6814="EQ",3.9,IF(H6814="ILF",7.5,IF(H6814="EIF",5.4)))))))</f>
        <v/>
      </c>
      <c r="M6814" s="112" t="str">
        <f t="shared" si="109"/>
        <v/>
      </c>
      <c r="N6814" s="113"/>
    </row>
    <row r="6815" spans="2:14">
      <c r="B6815" s="105"/>
      <c r="C6815" s="106"/>
      <c r="D6815" s="107"/>
      <c r="E6815" s="65"/>
      <c r="F6815" s="64"/>
      <c r="G6815" s="64"/>
      <c r="H6815" s="64"/>
      <c r="I6815" s="70"/>
      <c r="J6815" s="70"/>
      <c r="K6815" s="110" t="str">
        <f>IF(H6815="","",IF($C$29="간이법","",FPR(H6815,I6815,J6815)))</f>
        <v/>
      </c>
      <c r="L6815" s="111" t="str">
        <f>IF(H6815="","",IF($C$29="상세법",FPV(H6815,K6815),IF(H6815="EI",4,IF(H6815="EO",5.2,IF(H6815="EQ",3.9,IF(H6815="ILF",7.5,IF(H6815="EIF",5.4)))))))</f>
        <v/>
      </c>
      <c r="M6815" s="112" t="str">
        <f t="shared" si="109"/>
        <v/>
      </c>
      <c r="N6815" s="113"/>
    </row>
    <row r="6816" spans="2:14">
      <c r="B6816" s="105"/>
      <c r="C6816" s="106"/>
      <c r="D6816" s="107"/>
      <c r="E6816" s="65"/>
      <c r="F6816" s="64"/>
      <c r="G6816" s="64"/>
      <c r="H6816" s="64"/>
      <c r="I6816" s="70"/>
      <c r="J6816" s="70"/>
      <c r="K6816" s="110" t="str">
        <f>IF(H6816="","",IF($C$29="간이법","",FPR(H6816,I6816,J6816)))</f>
        <v/>
      </c>
      <c r="L6816" s="111" t="str">
        <f>IF(H6816="","",IF($C$29="상세법",FPV(H6816,K6816),IF(H6816="EI",4,IF(H6816="EO",5.2,IF(H6816="EQ",3.9,IF(H6816="ILF",7.5,IF(H6816="EIF",5.4)))))))</f>
        <v/>
      </c>
      <c r="M6816" s="112" t="str">
        <f t="shared" si="109"/>
        <v/>
      </c>
      <c r="N6816" s="113"/>
    </row>
    <row r="6817" spans="2:14">
      <c r="B6817" s="105"/>
      <c r="C6817" s="106"/>
      <c r="D6817" s="107"/>
      <c r="E6817" s="65"/>
      <c r="F6817" s="64"/>
      <c r="G6817" s="64"/>
      <c r="H6817" s="64"/>
      <c r="I6817" s="70"/>
      <c r="J6817" s="70"/>
      <c r="K6817" s="110" t="str">
        <f>IF(H6817="","",IF($C$29="간이법","",FPR(H6817,I6817,J6817)))</f>
        <v/>
      </c>
      <c r="L6817" s="111" t="str">
        <f>IF(H6817="","",IF($C$29="상세법",FPV(H6817,K6817),IF(H6817="EI",4,IF(H6817="EO",5.2,IF(H6817="EQ",3.9,IF(H6817="ILF",7.5,IF(H6817="EIF",5.4)))))))</f>
        <v/>
      </c>
      <c r="M6817" s="112" t="str">
        <f t="shared" si="109"/>
        <v/>
      </c>
      <c r="N6817" s="113"/>
    </row>
    <row r="6818" spans="2:14">
      <c r="B6818" s="105"/>
      <c r="C6818" s="106"/>
      <c r="D6818" s="107"/>
      <c r="E6818" s="65"/>
      <c r="F6818" s="64"/>
      <c r="G6818" s="64"/>
      <c r="H6818" s="64"/>
      <c r="I6818" s="70"/>
      <c r="J6818" s="70"/>
      <c r="K6818" s="110" t="str">
        <f>IF(H6818="","",IF($C$29="간이법","",FPR(H6818,I6818,J6818)))</f>
        <v/>
      </c>
      <c r="L6818" s="111" t="str">
        <f>IF(H6818="","",IF($C$29="상세법",FPV(H6818,K6818),IF(H6818="EI",4,IF(H6818="EO",5.2,IF(H6818="EQ",3.9,IF(H6818="ILF",7.5,IF(H6818="EIF",5.4)))))))</f>
        <v/>
      </c>
      <c r="M6818" s="112" t="str">
        <f t="shared" si="109"/>
        <v/>
      </c>
      <c r="N6818" s="113"/>
    </row>
    <row r="6819" spans="2:14">
      <c r="B6819" s="105"/>
      <c r="C6819" s="106"/>
      <c r="D6819" s="107"/>
      <c r="E6819" s="65"/>
      <c r="F6819" s="64"/>
      <c r="G6819" s="64"/>
      <c r="H6819" s="64"/>
      <c r="I6819" s="70"/>
      <c r="J6819" s="70"/>
      <c r="K6819" s="110" t="str">
        <f>IF(H6819="","",IF($C$29="간이법","",FPR(H6819,I6819,J6819)))</f>
        <v/>
      </c>
      <c r="L6819" s="111" t="str">
        <f>IF(H6819="","",IF($C$29="상세법",FPV(H6819,K6819),IF(H6819="EI",4,IF(H6819="EO",5.2,IF(H6819="EQ",3.9,IF(H6819="ILF",7.5,IF(H6819="EIF",5.4)))))))</f>
        <v/>
      </c>
      <c r="M6819" s="112" t="str">
        <f t="shared" si="109"/>
        <v/>
      </c>
      <c r="N6819" s="113"/>
    </row>
    <row r="6820" spans="2:14">
      <c r="B6820" s="105"/>
      <c r="C6820" s="106"/>
      <c r="D6820" s="107"/>
      <c r="E6820" s="65"/>
      <c r="F6820" s="64"/>
      <c r="G6820" s="64"/>
      <c r="H6820" s="64"/>
      <c r="I6820" s="70"/>
      <c r="J6820" s="70"/>
      <c r="K6820" s="110" t="str">
        <f>IF(H6820="","",IF($C$29="간이법","",FPR(H6820,I6820,J6820)))</f>
        <v/>
      </c>
      <c r="L6820" s="111" t="str">
        <f>IF(H6820="","",IF($C$29="상세법",FPV(H6820,K6820),IF(H6820="EI",4,IF(H6820="EO",5.2,IF(H6820="EQ",3.9,IF(H6820="ILF",7.5,IF(H6820="EIF",5.4)))))))</f>
        <v/>
      </c>
      <c r="M6820" s="112" t="str">
        <f t="shared" si="109"/>
        <v/>
      </c>
      <c r="N6820" s="113"/>
    </row>
    <row r="6821" spans="2:14">
      <c r="B6821" s="105"/>
      <c r="C6821" s="106"/>
      <c r="D6821" s="107"/>
      <c r="E6821" s="65"/>
      <c r="F6821" s="64"/>
      <c r="G6821" s="64"/>
      <c r="H6821" s="64"/>
      <c r="I6821" s="70"/>
      <c r="J6821" s="70"/>
      <c r="K6821" s="110" t="str">
        <f>IF(H6821="","",IF($C$29="간이법","",FPR(H6821,I6821,J6821)))</f>
        <v/>
      </c>
      <c r="L6821" s="111" t="str">
        <f>IF(H6821="","",IF($C$29="상세법",FPV(H6821,K6821),IF(H6821="EI",4,IF(H6821="EO",5.2,IF(H6821="EQ",3.9,IF(H6821="ILF",7.5,IF(H6821="EIF",5.4)))))))</f>
        <v/>
      </c>
      <c r="M6821" s="112" t="str">
        <f t="shared" si="109"/>
        <v/>
      </c>
      <c r="N6821" s="113"/>
    </row>
    <row r="6822" spans="2:14">
      <c r="B6822" s="105"/>
      <c r="C6822" s="106"/>
      <c r="D6822" s="107"/>
      <c r="E6822" s="65"/>
      <c r="F6822" s="64"/>
      <c r="G6822" s="64"/>
      <c r="H6822" s="64"/>
      <c r="I6822" s="70"/>
      <c r="J6822" s="70"/>
      <c r="K6822" s="110" t="str">
        <f>IF(H6822="","",IF($C$29="간이법","",FPR(H6822,I6822,J6822)))</f>
        <v/>
      </c>
      <c r="L6822" s="111" t="str">
        <f>IF(H6822="","",IF($C$29="상세법",FPV(H6822,K6822),IF(H6822="EI",4,IF(H6822="EO",5.2,IF(H6822="EQ",3.9,IF(H6822="ILF",7.5,IF(H6822="EIF",5.4)))))))</f>
        <v/>
      </c>
      <c r="M6822" s="112" t="str">
        <f t="shared" si="109"/>
        <v/>
      </c>
      <c r="N6822" s="113"/>
    </row>
    <row r="6823" spans="2:14">
      <c r="B6823" s="105"/>
      <c r="C6823" s="106"/>
      <c r="D6823" s="107"/>
      <c r="E6823" s="65"/>
      <c r="F6823" s="64"/>
      <c r="G6823" s="64"/>
      <c r="H6823" s="64"/>
      <c r="I6823" s="70"/>
      <c r="J6823" s="70"/>
      <c r="K6823" s="110" t="str">
        <f>IF(H6823="","",IF($C$29="간이법","",FPR(H6823,I6823,J6823)))</f>
        <v/>
      </c>
      <c r="L6823" s="111" t="str">
        <f>IF(H6823="","",IF($C$29="상세법",FPV(H6823,K6823),IF(H6823="EI",4,IF(H6823="EO",5.2,IF(H6823="EQ",3.9,IF(H6823="ILF",7.5,IF(H6823="EIF",5.4)))))))</f>
        <v/>
      </c>
      <c r="M6823" s="112" t="str">
        <f t="shared" si="109"/>
        <v/>
      </c>
      <c r="N6823" s="113"/>
    </row>
    <row r="6824" spans="2:14">
      <c r="B6824" s="105"/>
      <c r="C6824" s="106"/>
      <c r="D6824" s="107"/>
      <c r="E6824" s="65"/>
      <c r="F6824" s="64"/>
      <c r="G6824" s="64"/>
      <c r="H6824" s="64"/>
      <c r="I6824" s="70"/>
      <c r="J6824" s="70"/>
      <c r="K6824" s="110" t="str">
        <f>IF(H6824="","",IF($C$29="간이법","",FPR(H6824,I6824,J6824)))</f>
        <v/>
      </c>
      <c r="L6824" s="111" t="str">
        <f>IF(H6824="","",IF($C$29="상세법",FPV(H6824,K6824),IF(H6824="EI",4,IF(H6824="EO",5.2,IF(H6824="EQ",3.9,IF(H6824="ILF",7.5,IF(H6824="EIF",5.4)))))))</f>
        <v/>
      </c>
      <c r="M6824" s="112" t="str">
        <f t="shared" si="109"/>
        <v/>
      </c>
      <c r="N6824" s="113"/>
    </row>
    <row r="6825" spans="2:14">
      <c r="B6825" s="105"/>
      <c r="C6825" s="106"/>
      <c r="D6825" s="107"/>
      <c r="E6825" s="65"/>
      <c r="F6825" s="64"/>
      <c r="G6825" s="64"/>
      <c r="H6825" s="64"/>
      <c r="I6825" s="70"/>
      <c r="J6825" s="70"/>
      <c r="K6825" s="110" t="str">
        <f>IF(H6825="","",IF($C$29="간이법","",FPR(H6825,I6825,J6825)))</f>
        <v/>
      </c>
      <c r="L6825" s="111" t="str">
        <f>IF(H6825="","",IF($C$29="상세법",FPV(H6825,K6825),IF(H6825="EI",4,IF(H6825="EO",5.2,IF(H6825="EQ",3.9,IF(H6825="ILF",7.5,IF(H6825="EIF",5.4)))))))</f>
        <v/>
      </c>
      <c r="M6825" s="112" t="str">
        <f t="shared" si="109"/>
        <v/>
      </c>
      <c r="N6825" s="113"/>
    </row>
    <row r="6826" spans="2:14">
      <c r="B6826" s="105"/>
      <c r="C6826" s="106"/>
      <c r="D6826" s="107"/>
      <c r="E6826" s="65"/>
      <c r="F6826" s="64"/>
      <c r="G6826" s="64"/>
      <c r="H6826" s="64"/>
      <c r="I6826" s="70"/>
      <c r="J6826" s="70"/>
      <c r="K6826" s="110" t="str">
        <f>IF(H6826="","",IF($C$29="간이법","",FPR(H6826,I6826,J6826)))</f>
        <v/>
      </c>
      <c r="L6826" s="111" t="str">
        <f>IF(H6826="","",IF($C$29="상세법",FPV(H6826,K6826),IF(H6826="EI",4,IF(H6826="EO",5.2,IF(H6826="EQ",3.9,IF(H6826="ILF",7.5,IF(H6826="EIF",5.4)))))))</f>
        <v/>
      </c>
      <c r="M6826" s="112" t="str">
        <f t="shared" si="109"/>
        <v/>
      </c>
      <c r="N6826" s="113"/>
    </row>
    <row r="6827" spans="2:14">
      <c r="B6827" s="105"/>
      <c r="C6827" s="106"/>
      <c r="D6827" s="107"/>
      <c r="E6827" s="65"/>
      <c r="F6827" s="64"/>
      <c r="G6827" s="64"/>
      <c r="H6827" s="64"/>
      <c r="I6827" s="70"/>
      <c r="J6827" s="70"/>
      <c r="K6827" s="110" t="str">
        <f>IF(H6827="","",IF($C$29="간이법","",FPR(H6827,I6827,J6827)))</f>
        <v/>
      </c>
      <c r="L6827" s="111" t="str">
        <f>IF(H6827="","",IF($C$29="상세법",FPV(H6827,K6827),IF(H6827="EI",4,IF(H6827="EO",5.2,IF(H6827="EQ",3.9,IF(H6827="ILF",7.5,IF(H6827="EIF",5.4)))))))</f>
        <v/>
      </c>
      <c r="M6827" s="112" t="str">
        <f t="shared" si="109"/>
        <v/>
      </c>
      <c r="N6827" s="113"/>
    </row>
    <row r="6828" spans="2:14">
      <c r="B6828" s="105"/>
      <c r="C6828" s="106"/>
      <c r="D6828" s="107"/>
      <c r="E6828" s="65"/>
      <c r="F6828" s="64"/>
      <c r="G6828" s="64"/>
      <c r="H6828" s="64"/>
      <c r="I6828" s="70"/>
      <c r="J6828" s="70"/>
      <c r="K6828" s="110" t="str">
        <f>IF(H6828="","",IF($C$29="간이법","",FPR(H6828,I6828,J6828)))</f>
        <v/>
      </c>
      <c r="L6828" s="111" t="str">
        <f>IF(H6828="","",IF($C$29="상세법",FPV(H6828,K6828),IF(H6828="EI",4,IF(H6828="EO",5.2,IF(H6828="EQ",3.9,IF(H6828="ILF",7.5,IF(H6828="EIF",5.4)))))))</f>
        <v/>
      </c>
      <c r="M6828" s="112" t="str">
        <f t="shared" si="109"/>
        <v/>
      </c>
      <c r="N6828" s="113"/>
    </row>
    <row r="6829" spans="2:14">
      <c r="B6829" s="105"/>
      <c r="C6829" s="106"/>
      <c r="D6829" s="107"/>
      <c r="E6829" s="65"/>
      <c r="F6829" s="64"/>
      <c r="G6829" s="64"/>
      <c r="H6829" s="64"/>
      <c r="I6829" s="70"/>
      <c r="J6829" s="70"/>
      <c r="K6829" s="110" t="str">
        <f>IF(H6829="","",IF($C$29="간이법","",FPR(H6829,I6829,J6829)))</f>
        <v/>
      </c>
      <c r="L6829" s="111" t="str">
        <f>IF(H6829="","",IF($C$29="상세법",FPV(H6829,K6829),IF(H6829="EI",4,IF(H6829="EO",5.2,IF(H6829="EQ",3.9,IF(H6829="ILF",7.5,IF(H6829="EIF",5.4)))))))</f>
        <v/>
      </c>
      <c r="M6829" s="112" t="str">
        <f t="shared" si="109"/>
        <v/>
      </c>
      <c r="N6829" s="113"/>
    </row>
    <row r="6830" spans="2:14">
      <c r="B6830" s="105"/>
      <c r="C6830" s="106"/>
      <c r="D6830" s="107"/>
      <c r="E6830" s="65"/>
      <c r="F6830" s="64"/>
      <c r="G6830" s="64"/>
      <c r="H6830" s="64"/>
      <c r="I6830" s="70"/>
      <c r="J6830" s="70"/>
      <c r="K6830" s="110" t="str">
        <f>IF(H6830="","",IF($C$29="간이법","",FPR(H6830,I6830,J6830)))</f>
        <v/>
      </c>
      <c r="L6830" s="111" t="str">
        <f>IF(H6830="","",IF($C$29="상세법",FPV(H6830,K6830),IF(H6830="EI",4,IF(H6830="EO",5.2,IF(H6830="EQ",3.9,IF(H6830="ILF",7.5,IF(H6830="EIF",5.4)))))))</f>
        <v/>
      </c>
      <c r="M6830" s="112" t="str">
        <f t="shared" si="109"/>
        <v/>
      </c>
      <c r="N6830" s="113"/>
    </row>
    <row r="6831" spans="2:14">
      <c r="B6831" s="105"/>
      <c r="C6831" s="106"/>
      <c r="D6831" s="107"/>
      <c r="E6831" s="65"/>
      <c r="F6831" s="64"/>
      <c r="G6831" s="64"/>
      <c r="H6831" s="64"/>
      <c r="I6831" s="70"/>
      <c r="J6831" s="70"/>
      <c r="K6831" s="110" t="str">
        <f>IF(H6831="","",IF($C$29="간이법","",FPR(H6831,I6831,J6831)))</f>
        <v/>
      </c>
      <c r="L6831" s="111" t="str">
        <f>IF(H6831="","",IF($C$29="상세법",FPV(H6831,K6831),IF(H6831="EI",4,IF(H6831="EO",5.2,IF(H6831="EQ",3.9,IF(H6831="ILF",7.5,IF(H6831="EIF",5.4)))))))</f>
        <v/>
      </c>
      <c r="M6831" s="112" t="str">
        <f t="shared" si="109"/>
        <v/>
      </c>
      <c r="N6831" s="113"/>
    </row>
    <row r="6832" spans="2:14">
      <c r="B6832" s="105"/>
      <c r="C6832" s="106"/>
      <c r="D6832" s="107"/>
      <c r="E6832" s="65"/>
      <c r="F6832" s="64"/>
      <c r="G6832" s="64"/>
      <c r="H6832" s="64"/>
      <c r="I6832" s="70"/>
      <c r="J6832" s="70"/>
      <c r="K6832" s="110" t="str">
        <f>IF(H6832="","",IF($C$29="간이법","",FPR(H6832,I6832,J6832)))</f>
        <v/>
      </c>
      <c r="L6832" s="111" t="str">
        <f>IF(H6832="","",IF($C$29="상세법",FPV(H6832,K6832),IF(H6832="EI",4,IF(H6832="EO",5.2,IF(H6832="EQ",3.9,IF(H6832="ILF",7.5,IF(H6832="EIF",5.4)))))))</f>
        <v/>
      </c>
      <c r="M6832" s="112" t="str">
        <f t="shared" si="109"/>
        <v/>
      </c>
      <c r="N6832" s="113"/>
    </row>
    <row r="6833" spans="2:14">
      <c r="B6833" s="105"/>
      <c r="C6833" s="106"/>
      <c r="D6833" s="107"/>
      <c r="E6833" s="65"/>
      <c r="F6833" s="64"/>
      <c r="G6833" s="64"/>
      <c r="H6833" s="64"/>
      <c r="I6833" s="70"/>
      <c r="J6833" s="70"/>
      <c r="K6833" s="110" t="str">
        <f>IF(H6833="","",IF($C$29="간이법","",FPR(H6833,I6833,J6833)))</f>
        <v/>
      </c>
      <c r="L6833" s="111" t="str">
        <f>IF(H6833="","",IF($C$29="상세법",FPV(H6833,K6833),IF(H6833="EI",4,IF(H6833="EO",5.2,IF(H6833="EQ",3.9,IF(H6833="ILF",7.5,IF(H6833="EIF",5.4)))))))</f>
        <v/>
      </c>
      <c r="M6833" s="112" t="str">
        <f t="shared" si="109"/>
        <v/>
      </c>
      <c r="N6833" s="113"/>
    </row>
    <row r="6834" spans="2:14">
      <c r="B6834" s="105"/>
      <c r="C6834" s="106"/>
      <c r="D6834" s="107"/>
      <c r="E6834" s="65"/>
      <c r="F6834" s="64"/>
      <c r="G6834" s="64"/>
      <c r="H6834" s="64"/>
      <c r="I6834" s="70"/>
      <c r="J6834" s="70"/>
      <c r="K6834" s="110" t="str">
        <f>IF(H6834="","",IF($C$29="간이법","",FPR(H6834,I6834,J6834)))</f>
        <v/>
      </c>
      <c r="L6834" s="111" t="str">
        <f>IF(H6834="","",IF($C$29="상세법",FPV(H6834,K6834),IF(H6834="EI",4,IF(H6834="EO",5.2,IF(H6834="EQ",3.9,IF(H6834="ILF",7.5,IF(H6834="EIF",5.4)))))))</f>
        <v/>
      </c>
      <c r="M6834" s="112" t="str">
        <f t="shared" si="109"/>
        <v/>
      </c>
      <c r="N6834" s="113"/>
    </row>
    <row r="6835" spans="2:14">
      <c r="B6835" s="105"/>
      <c r="C6835" s="106"/>
      <c r="D6835" s="107"/>
      <c r="E6835" s="65"/>
      <c r="F6835" s="64"/>
      <c r="G6835" s="64"/>
      <c r="H6835" s="64"/>
      <c r="I6835" s="70"/>
      <c r="J6835" s="70"/>
      <c r="K6835" s="110" t="str">
        <f>IF(H6835="","",IF($C$29="간이법","",FPR(H6835,I6835,J6835)))</f>
        <v/>
      </c>
      <c r="L6835" s="111" t="str">
        <f>IF(H6835="","",IF($C$29="상세법",FPV(H6835,K6835),IF(H6835="EI",4,IF(H6835="EO",5.2,IF(H6835="EQ",3.9,IF(H6835="ILF",7.5,IF(H6835="EIF",5.4)))))))</f>
        <v/>
      </c>
      <c r="M6835" s="112" t="str">
        <f t="shared" si="109"/>
        <v/>
      </c>
      <c r="N6835" s="113"/>
    </row>
    <row r="6836" spans="2:14">
      <c r="B6836" s="105"/>
      <c r="C6836" s="106"/>
      <c r="D6836" s="107"/>
      <c r="E6836" s="65"/>
      <c r="F6836" s="64"/>
      <c r="G6836" s="64"/>
      <c r="H6836" s="64"/>
      <c r="I6836" s="70"/>
      <c r="J6836" s="70"/>
      <c r="K6836" s="110" t="str">
        <f>IF(H6836="","",IF($C$29="간이법","",FPR(H6836,I6836,J6836)))</f>
        <v/>
      </c>
      <c r="L6836" s="111" t="str">
        <f>IF(H6836="","",IF($C$29="상세법",FPV(H6836,K6836),IF(H6836="EI",4,IF(H6836="EO",5.2,IF(H6836="EQ",3.9,IF(H6836="ILF",7.5,IF(H6836="EIF",5.4)))))))</f>
        <v/>
      </c>
      <c r="M6836" s="112" t="str">
        <f t="shared" si="109"/>
        <v/>
      </c>
      <c r="N6836" s="113"/>
    </row>
    <row r="6837" spans="2:14">
      <c r="B6837" s="105"/>
      <c r="C6837" s="106"/>
      <c r="D6837" s="107"/>
      <c r="E6837" s="65"/>
      <c r="F6837" s="64"/>
      <c r="G6837" s="64"/>
      <c r="H6837" s="64"/>
      <c r="I6837" s="70"/>
      <c r="J6837" s="70"/>
      <c r="K6837" s="110" t="str">
        <f>IF(H6837="","",IF($C$29="간이법","",FPR(H6837,I6837,J6837)))</f>
        <v/>
      </c>
      <c r="L6837" s="111" t="str">
        <f>IF(H6837="","",IF($C$29="상세법",FPV(H6837,K6837),IF(H6837="EI",4,IF(H6837="EO",5.2,IF(H6837="EQ",3.9,IF(H6837="ILF",7.5,IF(H6837="EIF",5.4)))))))</f>
        <v/>
      </c>
      <c r="M6837" s="112" t="str">
        <f t="shared" si="109"/>
        <v/>
      </c>
      <c r="N6837" s="113"/>
    </row>
    <row r="6838" spans="2:14">
      <c r="B6838" s="105"/>
      <c r="C6838" s="106"/>
      <c r="D6838" s="107"/>
      <c r="E6838" s="65"/>
      <c r="F6838" s="64"/>
      <c r="G6838" s="64"/>
      <c r="H6838" s="64"/>
      <c r="I6838" s="70"/>
      <c r="J6838" s="70"/>
      <c r="K6838" s="110" t="str">
        <f>IF(H6838="","",IF($C$29="간이법","",FPR(H6838,I6838,J6838)))</f>
        <v/>
      </c>
      <c r="L6838" s="111" t="str">
        <f>IF(H6838="","",IF($C$29="상세법",FPV(H6838,K6838),IF(H6838="EI",4,IF(H6838="EO",5.2,IF(H6838="EQ",3.9,IF(H6838="ILF",7.5,IF(H6838="EIF",5.4)))))))</f>
        <v/>
      </c>
      <c r="M6838" s="112" t="str">
        <f t="shared" si="109"/>
        <v/>
      </c>
      <c r="N6838" s="113"/>
    </row>
    <row r="6839" spans="2:14">
      <c r="B6839" s="105"/>
      <c r="C6839" s="106"/>
      <c r="D6839" s="107"/>
      <c r="E6839" s="65"/>
      <c r="F6839" s="64"/>
      <c r="G6839" s="64"/>
      <c r="H6839" s="64"/>
      <c r="I6839" s="70"/>
      <c r="J6839" s="70"/>
      <c r="K6839" s="110" t="str">
        <f>IF(H6839="","",IF($C$29="간이법","",FPR(H6839,I6839,J6839)))</f>
        <v/>
      </c>
      <c r="L6839" s="111" t="str">
        <f>IF(H6839="","",IF($C$29="상세법",FPV(H6839,K6839),IF(H6839="EI",4,IF(H6839="EO",5.2,IF(H6839="EQ",3.9,IF(H6839="ILF",7.5,IF(H6839="EIF",5.4)))))))</f>
        <v/>
      </c>
      <c r="M6839" s="112" t="str">
        <f t="shared" si="109"/>
        <v/>
      </c>
      <c r="N6839" s="113"/>
    </row>
    <row r="6840" spans="2:14">
      <c r="B6840" s="105"/>
      <c r="C6840" s="106"/>
      <c r="D6840" s="107"/>
      <c r="E6840" s="65"/>
      <c r="F6840" s="64"/>
      <c r="G6840" s="64"/>
      <c r="H6840" s="64"/>
      <c r="I6840" s="70"/>
      <c r="J6840" s="70"/>
      <c r="K6840" s="110" t="str">
        <f>IF(H6840="","",IF($C$29="간이법","",FPR(H6840,I6840,J6840)))</f>
        <v/>
      </c>
      <c r="L6840" s="111" t="str">
        <f>IF(H6840="","",IF($C$29="상세법",FPV(H6840,K6840),IF(H6840="EI",4,IF(H6840="EO",5.2,IF(H6840="EQ",3.9,IF(H6840="ILF",7.5,IF(H6840="EIF",5.4)))))))</f>
        <v/>
      </c>
      <c r="M6840" s="112" t="str">
        <f t="shared" si="109"/>
        <v/>
      </c>
      <c r="N6840" s="113"/>
    </row>
    <row r="6841" spans="2:14">
      <c r="B6841" s="105"/>
      <c r="C6841" s="106"/>
      <c r="D6841" s="107"/>
      <c r="E6841" s="65"/>
      <c r="F6841" s="64"/>
      <c r="G6841" s="64"/>
      <c r="H6841" s="64"/>
      <c r="I6841" s="70"/>
      <c r="J6841" s="70"/>
      <c r="K6841" s="110" t="str">
        <f>IF(H6841="","",IF($C$29="간이법","",FPR(H6841,I6841,J6841)))</f>
        <v/>
      </c>
      <c r="L6841" s="111" t="str">
        <f>IF(H6841="","",IF($C$29="상세법",FPV(H6841,K6841),IF(H6841="EI",4,IF(H6841="EO",5.2,IF(H6841="EQ",3.9,IF(H6841="ILF",7.5,IF(H6841="EIF",5.4)))))))</f>
        <v/>
      </c>
      <c r="M6841" s="112" t="str">
        <f t="shared" ref="M6841:M6904" si="110">IF(L6841="","",L6841*IF(G6841="상",0.7,IF(G6841="중",0.5,IF(G6841="하",0.2,1))))</f>
        <v/>
      </c>
      <c r="N6841" s="113"/>
    </row>
    <row r="6842" spans="2:14">
      <c r="B6842" s="105"/>
      <c r="C6842" s="106"/>
      <c r="D6842" s="107"/>
      <c r="E6842" s="65"/>
      <c r="F6842" s="64"/>
      <c r="G6842" s="64"/>
      <c r="H6842" s="64"/>
      <c r="I6842" s="70"/>
      <c r="J6842" s="70"/>
      <c r="K6842" s="110" t="str">
        <f>IF(H6842="","",IF($C$29="간이법","",FPR(H6842,I6842,J6842)))</f>
        <v/>
      </c>
      <c r="L6842" s="111" t="str">
        <f>IF(H6842="","",IF($C$29="상세법",FPV(H6842,K6842),IF(H6842="EI",4,IF(H6842="EO",5.2,IF(H6842="EQ",3.9,IF(H6842="ILF",7.5,IF(H6842="EIF",5.4)))))))</f>
        <v/>
      </c>
      <c r="M6842" s="112" t="str">
        <f t="shared" si="110"/>
        <v/>
      </c>
      <c r="N6842" s="113"/>
    </row>
    <row r="6843" spans="2:14">
      <c r="B6843" s="105"/>
      <c r="C6843" s="106"/>
      <c r="D6843" s="107"/>
      <c r="E6843" s="65"/>
      <c r="F6843" s="64"/>
      <c r="G6843" s="64"/>
      <c r="H6843" s="64"/>
      <c r="I6843" s="70"/>
      <c r="J6843" s="70"/>
      <c r="K6843" s="110" t="str">
        <f>IF(H6843="","",IF($C$29="간이법","",FPR(H6843,I6843,J6843)))</f>
        <v/>
      </c>
      <c r="L6843" s="111" t="str">
        <f>IF(H6843="","",IF($C$29="상세법",FPV(H6843,K6843),IF(H6843="EI",4,IF(H6843="EO",5.2,IF(H6843="EQ",3.9,IF(H6843="ILF",7.5,IF(H6843="EIF",5.4)))))))</f>
        <v/>
      </c>
      <c r="M6843" s="112" t="str">
        <f t="shared" si="110"/>
        <v/>
      </c>
      <c r="N6843" s="113"/>
    </row>
    <row r="6844" spans="2:14">
      <c r="B6844" s="105"/>
      <c r="C6844" s="106"/>
      <c r="D6844" s="107"/>
      <c r="E6844" s="65"/>
      <c r="F6844" s="64"/>
      <c r="G6844" s="64"/>
      <c r="H6844" s="64"/>
      <c r="I6844" s="70"/>
      <c r="J6844" s="70"/>
      <c r="K6844" s="110" t="str">
        <f>IF(H6844="","",IF($C$29="간이법","",FPR(H6844,I6844,J6844)))</f>
        <v/>
      </c>
      <c r="L6844" s="111" t="str">
        <f>IF(H6844="","",IF($C$29="상세법",FPV(H6844,K6844),IF(H6844="EI",4,IF(H6844="EO",5.2,IF(H6844="EQ",3.9,IF(H6844="ILF",7.5,IF(H6844="EIF",5.4)))))))</f>
        <v/>
      </c>
      <c r="M6844" s="112" t="str">
        <f t="shared" si="110"/>
        <v/>
      </c>
      <c r="N6844" s="113"/>
    </row>
    <row r="6845" spans="2:14">
      <c r="B6845" s="105"/>
      <c r="C6845" s="106"/>
      <c r="D6845" s="107"/>
      <c r="E6845" s="65"/>
      <c r="F6845" s="64"/>
      <c r="G6845" s="64"/>
      <c r="H6845" s="64"/>
      <c r="I6845" s="70"/>
      <c r="J6845" s="70"/>
      <c r="K6845" s="110" t="str">
        <f>IF(H6845="","",IF($C$29="간이법","",FPR(H6845,I6845,J6845)))</f>
        <v/>
      </c>
      <c r="L6845" s="111" t="str">
        <f>IF(H6845="","",IF($C$29="상세법",FPV(H6845,K6845),IF(H6845="EI",4,IF(H6845="EO",5.2,IF(H6845="EQ",3.9,IF(H6845="ILF",7.5,IF(H6845="EIF",5.4)))))))</f>
        <v/>
      </c>
      <c r="M6845" s="112" t="str">
        <f t="shared" si="110"/>
        <v/>
      </c>
      <c r="N6845" s="113"/>
    </row>
    <row r="6846" spans="2:14">
      <c r="B6846" s="105"/>
      <c r="C6846" s="106"/>
      <c r="D6846" s="107"/>
      <c r="E6846" s="65"/>
      <c r="F6846" s="64"/>
      <c r="G6846" s="64"/>
      <c r="H6846" s="64"/>
      <c r="I6846" s="70"/>
      <c r="J6846" s="70"/>
      <c r="K6846" s="110" t="str">
        <f>IF(H6846="","",IF($C$29="간이법","",FPR(H6846,I6846,J6846)))</f>
        <v/>
      </c>
      <c r="L6846" s="111" t="str">
        <f>IF(H6846="","",IF($C$29="상세법",FPV(H6846,K6846),IF(H6846="EI",4,IF(H6846="EO",5.2,IF(H6846="EQ",3.9,IF(H6846="ILF",7.5,IF(H6846="EIF",5.4)))))))</f>
        <v/>
      </c>
      <c r="M6846" s="112" t="str">
        <f t="shared" si="110"/>
        <v/>
      </c>
      <c r="N6846" s="113"/>
    </row>
    <row r="6847" spans="2:14">
      <c r="B6847" s="105"/>
      <c r="C6847" s="106"/>
      <c r="D6847" s="107"/>
      <c r="E6847" s="65"/>
      <c r="F6847" s="64"/>
      <c r="G6847" s="64"/>
      <c r="H6847" s="64"/>
      <c r="I6847" s="70"/>
      <c r="J6847" s="70"/>
      <c r="K6847" s="110" t="str">
        <f>IF(H6847="","",IF($C$29="간이법","",FPR(H6847,I6847,J6847)))</f>
        <v/>
      </c>
      <c r="L6847" s="111" t="str">
        <f>IF(H6847="","",IF($C$29="상세법",FPV(H6847,K6847),IF(H6847="EI",4,IF(H6847="EO",5.2,IF(H6847="EQ",3.9,IF(H6847="ILF",7.5,IF(H6847="EIF",5.4)))))))</f>
        <v/>
      </c>
      <c r="M6847" s="112" t="str">
        <f t="shared" si="110"/>
        <v/>
      </c>
      <c r="N6847" s="113"/>
    </row>
    <row r="6848" spans="2:14">
      <c r="B6848" s="105"/>
      <c r="C6848" s="106"/>
      <c r="D6848" s="107"/>
      <c r="E6848" s="65"/>
      <c r="F6848" s="64"/>
      <c r="G6848" s="64"/>
      <c r="H6848" s="64"/>
      <c r="I6848" s="70"/>
      <c r="J6848" s="70"/>
      <c r="K6848" s="110" t="str">
        <f>IF(H6848="","",IF($C$29="간이법","",FPR(H6848,I6848,J6848)))</f>
        <v/>
      </c>
      <c r="L6848" s="111" t="str">
        <f>IF(H6848="","",IF($C$29="상세법",FPV(H6848,K6848),IF(H6848="EI",4,IF(H6848="EO",5.2,IF(H6848="EQ",3.9,IF(H6848="ILF",7.5,IF(H6848="EIF",5.4)))))))</f>
        <v/>
      </c>
      <c r="M6848" s="112" t="str">
        <f t="shared" si="110"/>
        <v/>
      </c>
      <c r="N6848" s="113"/>
    </row>
    <row r="6849" spans="2:14">
      <c r="B6849" s="105"/>
      <c r="C6849" s="106"/>
      <c r="D6849" s="107"/>
      <c r="E6849" s="65"/>
      <c r="F6849" s="64"/>
      <c r="G6849" s="64"/>
      <c r="H6849" s="64"/>
      <c r="I6849" s="70"/>
      <c r="J6849" s="70"/>
      <c r="K6849" s="110" t="str">
        <f>IF(H6849="","",IF($C$29="간이법","",FPR(H6849,I6849,J6849)))</f>
        <v/>
      </c>
      <c r="L6849" s="111" t="str">
        <f>IF(H6849="","",IF($C$29="상세법",FPV(H6849,K6849),IF(H6849="EI",4,IF(H6849="EO",5.2,IF(H6849="EQ",3.9,IF(H6849="ILF",7.5,IF(H6849="EIF",5.4)))))))</f>
        <v/>
      </c>
      <c r="M6849" s="112" t="str">
        <f t="shared" si="110"/>
        <v/>
      </c>
      <c r="N6849" s="113"/>
    </row>
    <row r="6850" spans="2:14">
      <c r="B6850" s="105"/>
      <c r="C6850" s="106"/>
      <c r="D6850" s="107"/>
      <c r="E6850" s="65"/>
      <c r="F6850" s="64"/>
      <c r="G6850" s="64"/>
      <c r="H6850" s="64"/>
      <c r="I6850" s="70"/>
      <c r="J6850" s="70"/>
      <c r="K6850" s="110" t="str">
        <f>IF(H6850="","",IF($C$29="간이법","",FPR(H6850,I6850,J6850)))</f>
        <v/>
      </c>
      <c r="L6850" s="111" t="str">
        <f>IF(H6850="","",IF($C$29="상세법",FPV(H6850,K6850),IF(H6850="EI",4,IF(H6850="EO",5.2,IF(H6850="EQ",3.9,IF(H6850="ILF",7.5,IF(H6850="EIF",5.4)))))))</f>
        <v/>
      </c>
      <c r="M6850" s="112" t="str">
        <f t="shared" si="110"/>
        <v/>
      </c>
      <c r="N6850" s="113"/>
    </row>
    <row r="6851" spans="2:14">
      <c r="B6851" s="105"/>
      <c r="C6851" s="106"/>
      <c r="D6851" s="107"/>
      <c r="E6851" s="65"/>
      <c r="F6851" s="64"/>
      <c r="G6851" s="64"/>
      <c r="H6851" s="64"/>
      <c r="I6851" s="70"/>
      <c r="J6851" s="70"/>
      <c r="K6851" s="110" t="str">
        <f>IF(H6851="","",IF($C$29="간이법","",FPR(H6851,I6851,J6851)))</f>
        <v/>
      </c>
      <c r="L6851" s="111" t="str">
        <f>IF(H6851="","",IF($C$29="상세법",FPV(H6851,K6851),IF(H6851="EI",4,IF(H6851="EO",5.2,IF(H6851="EQ",3.9,IF(H6851="ILF",7.5,IF(H6851="EIF",5.4)))))))</f>
        <v/>
      </c>
      <c r="M6851" s="112" t="str">
        <f t="shared" si="110"/>
        <v/>
      </c>
      <c r="N6851" s="113"/>
    </row>
    <row r="6852" spans="2:14">
      <c r="B6852" s="105"/>
      <c r="C6852" s="106"/>
      <c r="D6852" s="107"/>
      <c r="E6852" s="65"/>
      <c r="F6852" s="64"/>
      <c r="G6852" s="64"/>
      <c r="H6852" s="64"/>
      <c r="I6852" s="70"/>
      <c r="J6852" s="70"/>
      <c r="K6852" s="110" t="str">
        <f>IF(H6852="","",IF($C$29="간이법","",FPR(H6852,I6852,J6852)))</f>
        <v/>
      </c>
      <c r="L6852" s="111" t="str">
        <f>IF(H6852="","",IF($C$29="상세법",FPV(H6852,K6852),IF(H6852="EI",4,IF(H6852="EO",5.2,IF(H6852="EQ",3.9,IF(H6852="ILF",7.5,IF(H6852="EIF",5.4)))))))</f>
        <v/>
      </c>
      <c r="M6852" s="112" t="str">
        <f t="shared" si="110"/>
        <v/>
      </c>
      <c r="N6852" s="113"/>
    </row>
    <row r="6853" spans="2:14">
      <c r="B6853" s="105"/>
      <c r="C6853" s="106"/>
      <c r="D6853" s="107"/>
      <c r="E6853" s="65"/>
      <c r="F6853" s="64"/>
      <c r="G6853" s="64"/>
      <c r="H6853" s="64"/>
      <c r="I6853" s="70"/>
      <c r="J6853" s="70"/>
      <c r="K6853" s="110" t="str">
        <f>IF(H6853="","",IF($C$29="간이법","",FPR(H6853,I6853,J6853)))</f>
        <v/>
      </c>
      <c r="L6853" s="111" t="str">
        <f>IF(H6853="","",IF($C$29="상세법",FPV(H6853,K6853),IF(H6853="EI",4,IF(H6853="EO",5.2,IF(H6853="EQ",3.9,IF(H6853="ILF",7.5,IF(H6853="EIF",5.4)))))))</f>
        <v/>
      </c>
      <c r="M6853" s="112" t="str">
        <f t="shared" si="110"/>
        <v/>
      </c>
      <c r="N6853" s="113"/>
    </row>
    <row r="6854" spans="2:14">
      <c r="B6854" s="105"/>
      <c r="C6854" s="106"/>
      <c r="D6854" s="107"/>
      <c r="E6854" s="65"/>
      <c r="F6854" s="64"/>
      <c r="G6854" s="64"/>
      <c r="H6854" s="64"/>
      <c r="I6854" s="70"/>
      <c r="J6854" s="70"/>
      <c r="K6854" s="110" t="str">
        <f>IF(H6854="","",IF($C$29="간이법","",FPR(H6854,I6854,J6854)))</f>
        <v/>
      </c>
      <c r="L6854" s="111" t="str">
        <f>IF(H6854="","",IF($C$29="상세법",FPV(H6854,K6854),IF(H6854="EI",4,IF(H6854="EO",5.2,IF(H6854="EQ",3.9,IF(H6854="ILF",7.5,IF(H6854="EIF",5.4)))))))</f>
        <v/>
      </c>
      <c r="M6854" s="112" t="str">
        <f t="shared" si="110"/>
        <v/>
      </c>
      <c r="N6854" s="113"/>
    </row>
    <row r="6855" spans="2:14">
      <c r="B6855" s="105"/>
      <c r="C6855" s="106"/>
      <c r="D6855" s="107"/>
      <c r="E6855" s="65"/>
      <c r="F6855" s="64"/>
      <c r="G6855" s="64"/>
      <c r="H6855" s="64"/>
      <c r="I6855" s="70"/>
      <c r="J6855" s="70"/>
      <c r="K6855" s="110" t="str">
        <f>IF(H6855="","",IF($C$29="간이법","",FPR(H6855,I6855,J6855)))</f>
        <v/>
      </c>
      <c r="L6855" s="111" t="str">
        <f>IF(H6855="","",IF($C$29="상세법",FPV(H6855,K6855),IF(H6855="EI",4,IF(H6855="EO",5.2,IF(H6855="EQ",3.9,IF(H6855="ILF",7.5,IF(H6855="EIF",5.4)))))))</f>
        <v/>
      </c>
      <c r="M6855" s="112" t="str">
        <f t="shared" si="110"/>
        <v/>
      </c>
      <c r="N6855" s="113"/>
    </row>
    <row r="6856" spans="2:14">
      <c r="B6856" s="105"/>
      <c r="C6856" s="106"/>
      <c r="D6856" s="107"/>
      <c r="E6856" s="65"/>
      <c r="F6856" s="64"/>
      <c r="G6856" s="64"/>
      <c r="H6856" s="64"/>
      <c r="I6856" s="70"/>
      <c r="J6856" s="70"/>
      <c r="K6856" s="110" t="str">
        <f>IF(H6856="","",IF($C$29="간이법","",FPR(H6856,I6856,J6856)))</f>
        <v/>
      </c>
      <c r="L6856" s="111" t="str">
        <f>IF(H6856="","",IF($C$29="상세법",FPV(H6856,K6856),IF(H6856="EI",4,IF(H6856="EO",5.2,IF(H6856="EQ",3.9,IF(H6856="ILF",7.5,IF(H6856="EIF",5.4)))))))</f>
        <v/>
      </c>
      <c r="M6856" s="112" t="str">
        <f t="shared" si="110"/>
        <v/>
      </c>
      <c r="N6856" s="113"/>
    </row>
    <row r="6857" spans="2:14">
      <c r="B6857" s="105"/>
      <c r="C6857" s="106"/>
      <c r="D6857" s="107"/>
      <c r="E6857" s="65"/>
      <c r="F6857" s="64"/>
      <c r="G6857" s="64"/>
      <c r="H6857" s="64"/>
      <c r="I6857" s="70"/>
      <c r="J6857" s="70"/>
      <c r="K6857" s="110" t="str">
        <f>IF(H6857="","",IF($C$29="간이법","",FPR(H6857,I6857,J6857)))</f>
        <v/>
      </c>
      <c r="L6857" s="111" t="str">
        <f>IF(H6857="","",IF($C$29="상세법",FPV(H6857,K6857),IF(H6857="EI",4,IF(H6857="EO",5.2,IF(H6857="EQ",3.9,IF(H6857="ILF",7.5,IF(H6857="EIF",5.4)))))))</f>
        <v/>
      </c>
      <c r="M6857" s="112" t="str">
        <f t="shared" si="110"/>
        <v/>
      </c>
      <c r="N6857" s="113"/>
    </row>
    <row r="6858" spans="2:14">
      <c r="B6858" s="105"/>
      <c r="C6858" s="106"/>
      <c r="D6858" s="107"/>
      <c r="E6858" s="65"/>
      <c r="F6858" s="64"/>
      <c r="G6858" s="64"/>
      <c r="H6858" s="64"/>
      <c r="I6858" s="70"/>
      <c r="J6858" s="70"/>
      <c r="K6858" s="110" t="str">
        <f>IF(H6858="","",IF($C$29="간이법","",FPR(H6858,I6858,J6858)))</f>
        <v/>
      </c>
      <c r="L6858" s="111" t="str">
        <f>IF(H6858="","",IF($C$29="상세법",FPV(H6858,K6858),IF(H6858="EI",4,IF(H6858="EO",5.2,IF(H6858="EQ",3.9,IF(H6858="ILF",7.5,IF(H6858="EIF",5.4)))))))</f>
        <v/>
      </c>
      <c r="M6858" s="112" t="str">
        <f t="shared" si="110"/>
        <v/>
      </c>
      <c r="N6858" s="113"/>
    </row>
    <row r="6859" spans="2:14">
      <c r="B6859" s="105"/>
      <c r="C6859" s="106"/>
      <c r="D6859" s="107"/>
      <c r="E6859" s="65"/>
      <c r="F6859" s="64"/>
      <c r="G6859" s="64"/>
      <c r="H6859" s="64"/>
      <c r="I6859" s="70"/>
      <c r="J6859" s="70"/>
      <c r="K6859" s="110" t="str">
        <f>IF(H6859="","",IF($C$29="간이법","",FPR(H6859,I6859,J6859)))</f>
        <v/>
      </c>
      <c r="L6859" s="111" t="str">
        <f>IF(H6859="","",IF($C$29="상세법",FPV(H6859,K6859),IF(H6859="EI",4,IF(H6859="EO",5.2,IF(H6859="EQ",3.9,IF(H6859="ILF",7.5,IF(H6859="EIF",5.4)))))))</f>
        <v/>
      </c>
      <c r="M6859" s="112" t="str">
        <f t="shared" si="110"/>
        <v/>
      </c>
      <c r="N6859" s="113"/>
    </row>
    <row r="6860" spans="2:14">
      <c r="B6860" s="105"/>
      <c r="C6860" s="106"/>
      <c r="D6860" s="107"/>
      <c r="E6860" s="65"/>
      <c r="F6860" s="64"/>
      <c r="G6860" s="64"/>
      <c r="H6860" s="64"/>
      <c r="I6860" s="70"/>
      <c r="J6860" s="70"/>
      <c r="K6860" s="110" t="str">
        <f>IF(H6860="","",IF($C$29="간이법","",FPR(H6860,I6860,J6860)))</f>
        <v/>
      </c>
      <c r="L6860" s="111" t="str">
        <f>IF(H6860="","",IF($C$29="상세법",FPV(H6860,K6860),IF(H6860="EI",4,IF(H6860="EO",5.2,IF(H6860="EQ",3.9,IF(H6860="ILF",7.5,IF(H6860="EIF",5.4)))))))</f>
        <v/>
      </c>
      <c r="M6860" s="112" t="str">
        <f t="shared" si="110"/>
        <v/>
      </c>
      <c r="N6860" s="113"/>
    </row>
    <row r="6861" spans="2:14">
      <c r="B6861" s="105"/>
      <c r="C6861" s="106"/>
      <c r="D6861" s="107"/>
      <c r="E6861" s="65"/>
      <c r="F6861" s="64"/>
      <c r="G6861" s="64"/>
      <c r="H6861" s="64"/>
      <c r="I6861" s="70"/>
      <c r="J6861" s="70"/>
      <c r="K6861" s="110" t="str">
        <f>IF(H6861="","",IF($C$29="간이법","",FPR(H6861,I6861,J6861)))</f>
        <v/>
      </c>
      <c r="L6861" s="111" t="str">
        <f>IF(H6861="","",IF($C$29="상세법",FPV(H6861,K6861),IF(H6861="EI",4,IF(H6861="EO",5.2,IF(H6861="EQ",3.9,IF(H6861="ILF",7.5,IF(H6861="EIF",5.4)))))))</f>
        <v/>
      </c>
      <c r="M6861" s="112" t="str">
        <f t="shared" si="110"/>
        <v/>
      </c>
      <c r="N6861" s="113"/>
    </row>
    <row r="6862" spans="2:14">
      <c r="B6862" s="105"/>
      <c r="C6862" s="106"/>
      <c r="D6862" s="107"/>
      <c r="E6862" s="65"/>
      <c r="F6862" s="64"/>
      <c r="G6862" s="64"/>
      <c r="H6862" s="64"/>
      <c r="I6862" s="70"/>
      <c r="J6862" s="70"/>
      <c r="K6862" s="110" t="str">
        <f>IF(H6862="","",IF($C$29="간이법","",FPR(H6862,I6862,J6862)))</f>
        <v/>
      </c>
      <c r="L6862" s="111" t="str">
        <f>IF(H6862="","",IF($C$29="상세법",FPV(H6862,K6862),IF(H6862="EI",4,IF(H6862="EO",5.2,IF(H6862="EQ",3.9,IF(H6862="ILF",7.5,IF(H6862="EIF",5.4)))))))</f>
        <v/>
      </c>
      <c r="M6862" s="112" t="str">
        <f t="shared" si="110"/>
        <v/>
      </c>
      <c r="N6862" s="113"/>
    </row>
    <row r="6863" spans="2:14">
      <c r="B6863" s="105"/>
      <c r="C6863" s="106"/>
      <c r="D6863" s="107"/>
      <c r="E6863" s="65"/>
      <c r="F6863" s="64"/>
      <c r="G6863" s="64"/>
      <c r="H6863" s="64"/>
      <c r="I6863" s="70"/>
      <c r="J6863" s="70"/>
      <c r="K6863" s="110" t="str">
        <f>IF(H6863="","",IF($C$29="간이법","",FPR(H6863,I6863,J6863)))</f>
        <v/>
      </c>
      <c r="L6863" s="111" t="str">
        <f>IF(H6863="","",IF($C$29="상세법",FPV(H6863,K6863),IF(H6863="EI",4,IF(H6863="EO",5.2,IF(H6863="EQ",3.9,IF(H6863="ILF",7.5,IF(H6863="EIF",5.4)))))))</f>
        <v/>
      </c>
      <c r="M6863" s="112" t="str">
        <f t="shared" si="110"/>
        <v/>
      </c>
      <c r="N6863" s="113"/>
    </row>
    <row r="6864" spans="2:14">
      <c r="B6864" s="105"/>
      <c r="C6864" s="106"/>
      <c r="D6864" s="107"/>
      <c r="E6864" s="65"/>
      <c r="F6864" s="64"/>
      <c r="G6864" s="64"/>
      <c r="H6864" s="64"/>
      <c r="I6864" s="70"/>
      <c r="J6864" s="70"/>
      <c r="K6864" s="110" t="str">
        <f>IF(H6864="","",IF($C$29="간이법","",FPR(H6864,I6864,J6864)))</f>
        <v/>
      </c>
      <c r="L6864" s="111" t="str">
        <f>IF(H6864="","",IF($C$29="상세법",FPV(H6864,K6864),IF(H6864="EI",4,IF(H6864="EO",5.2,IF(H6864="EQ",3.9,IF(H6864="ILF",7.5,IF(H6864="EIF",5.4)))))))</f>
        <v/>
      </c>
      <c r="M6864" s="112" t="str">
        <f t="shared" si="110"/>
        <v/>
      </c>
      <c r="N6864" s="113"/>
    </row>
    <row r="6865" spans="2:14">
      <c r="B6865" s="105"/>
      <c r="C6865" s="106"/>
      <c r="D6865" s="107"/>
      <c r="E6865" s="65"/>
      <c r="F6865" s="64"/>
      <c r="G6865" s="64"/>
      <c r="H6865" s="64"/>
      <c r="I6865" s="70"/>
      <c r="J6865" s="70"/>
      <c r="K6865" s="110" t="str">
        <f>IF(H6865="","",IF($C$29="간이법","",FPR(H6865,I6865,J6865)))</f>
        <v/>
      </c>
      <c r="L6865" s="111" t="str">
        <f>IF(H6865="","",IF($C$29="상세법",FPV(H6865,K6865),IF(H6865="EI",4,IF(H6865="EO",5.2,IF(H6865="EQ",3.9,IF(H6865="ILF",7.5,IF(H6865="EIF",5.4)))))))</f>
        <v/>
      </c>
      <c r="M6865" s="112" t="str">
        <f t="shared" si="110"/>
        <v/>
      </c>
      <c r="N6865" s="113"/>
    </row>
    <row r="6866" spans="2:14">
      <c r="B6866" s="105"/>
      <c r="C6866" s="106"/>
      <c r="D6866" s="107"/>
      <c r="E6866" s="65"/>
      <c r="F6866" s="64"/>
      <c r="G6866" s="64"/>
      <c r="H6866" s="64"/>
      <c r="I6866" s="70"/>
      <c r="J6866" s="70"/>
      <c r="K6866" s="110" t="str">
        <f>IF(H6866="","",IF($C$29="간이법","",FPR(H6866,I6866,J6866)))</f>
        <v/>
      </c>
      <c r="L6866" s="111" t="str">
        <f>IF(H6866="","",IF($C$29="상세법",FPV(H6866,K6866),IF(H6866="EI",4,IF(H6866="EO",5.2,IF(H6866="EQ",3.9,IF(H6866="ILF",7.5,IF(H6866="EIF",5.4)))))))</f>
        <v/>
      </c>
      <c r="M6866" s="112" t="str">
        <f t="shared" si="110"/>
        <v/>
      </c>
      <c r="N6866" s="113"/>
    </row>
    <row r="6867" spans="2:14">
      <c r="B6867" s="105"/>
      <c r="C6867" s="106"/>
      <c r="D6867" s="107"/>
      <c r="E6867" s="65"/>
      <c r="F6867" s="64"/>
      <c r="G6867" s="64"/>
      <c r="H6867" s="64"/>
      <c r="I6867" s="70"/>
      <c r="J6867" s="70"/>
      <c r="K6867" s="110" t="str">
        <f>IF(H6867="","",IF($C$29="간이법","",FPR(H6867,I6867,J6867)))</f>
        <v/>
      </c>
      <c r="L6867" s="111" t="str">
        <f>IF(H6867="","",IF($C$29="상세법",FPV(H6867,K6867),IF(H6867="EI",4,IF(H6867="EO",5.2,IF(H6867="EQ",3.9,IF(H6867="ILF",7.5,IF(H6867="EIF",5.4)))))))</f>
        <v/>
      </c>
      <c r="M6867" s="112" t="str">
        <f t="shared" si="110"/>
        <v/>
      </c>
      <c r="N6867" s="113"/>
    </row>
    <row r="6868" spans="2:14">
      <c r="B6868" s="105"/>
      <c r="C6868" s="106"/>
      <c r="D6868" s="107"/>
      <c r="E6868" s="65"/>
      <c r="F6868" s="64"/>
      <c r="G6868" s="64"/>
      <c r="H6868" s="64"/>
      <c r="I6868" s="70"/>
      <c r="J6868" s="70"/>
      <c r="K6868" s="110" t="str">
        <f>IF(H6868="","",IF($C$29="간이법","",FPR(H6868,I6868,J6868)))</f>
        <v/>
      </c>
      <c r="L6868" s="111" t="str">
        <f>IF(H6868="","",IF($C$29="상세법",FPV(H6868,K6868),IF(H6868="EI",4,IF(H6868="EO",5.2,IF(H6868="EQ",3.9,IF(H6868="ILF",7.5,IF(H6868="EIF",5.4)))))))</f>
        <v/>
      </c>
      <c r="M6868" s="112" t="str">
        <f t="shared" si="110"/>
        <v/>
      </c>
      <c r="N6868" s="113"/>
    </row>
    <row r="6869" spans="2:14">
      <c r="B6869" s="105"/>
      <c r="C6869" s="106"/>
      <c r="D6869" s="107"/>
      <c r="E6869" s="65"/>
      <c r="F6869" s="64"/>
      <c r="G6869" s="64"/>
      <c r="H6869" s="64"/>
      <c r="I6869" s="70"/>
      <c r="J6869" s="70"/>
      <c r="K6869" s="110" t="str">
        <f>IF(H6869="","",IF($C$29="간이법","",FPR(H6869,I6869,J6869)))</f>
        <v/>
      </c>
      <c r="L6869" s="111" t="str">
        <f>IF(H6869="","",IF($C$29="상세법",FPV(H6869,K6869),IF(H6869="EI",4,IF(H6869="EO",5.2,IF(H6869="EQ",3.9,IF(H6869="ILF",7.5,IF(H6869="EIF",5.4)))))))</f>
        <v/>
      </c>
      <c r="M6869" s="112" t="str">
        <f t="shared" si="110"/>
        <v/>
      </c>
      <c r="N6869" s="113"/>
    </row>
    <row r="6870" spans="2:14">
      <c r="B6870" s="105"/>
      <c r="C6870" s="106"/>
      <c r="D6870" s="107"/>
      <c r="E6870" s="65"/>
      <c r="F6870" s="64"/>
      <c r="G6870" s="64"/>
      <c r="H6870" s="64"/>
      <c r="I6870" s="70"/>
      <c r="J6870" s="70"/>
      <c r="K6870" s="110" t="str">
        <f>IF(H6870="","",IF($C$29="간이법","",FPR(H6870,I6870,J6870)))</f>
        <v/>
      </c>
      <c r="L6870" s="111" t="str">
        <f>IF(H6870="","",IF($C$29="상세법",FPV(H6870,K6870),IF(H6870="EI",4,IF(H6870="EO",5.2,IF(H6870="EQ",3.9,IF(H6870="ILF",7.5,IF(H6870="EIF",5.4)))))))</f>
        <v/>
      </c>
      <c r="M6870" s="112" t="str">
        <f t="shared" si="110"/>
        <v/>
      </c>
      <c r="N6870" s="113"/>
    </row>
    <row r="6871" spans="2:14">
      <c r="B6871" s="105"/>
      <c r="C6871" s="106"/>
      <c r="D6871" s="107"/>
      <c r="E6871" s="65"/>
      <c r="F6871" s="64"/>
      <c r="G6871" s="64"/>
      <c r="H6871" s="64"/>
      <c r="I6871" s="70"/>
      <c r="J6871" s="70"/>
      <c r="K6871" s="110" t="str">
        <f>IF(H6871="","",IF($C$29="간이법","",FPR(H6871,I6871,J6871)))</f>
        <v/>
      </c>
      <c r="L6871" s="111" t="str">
        <f>IF(H6871="","",IF($C$29="상세법",FPV(H6871,K6871),IF(H6871="EI",4,IF(H6871="EO",5.2,IF(H6871="EQ",3.9,IF(H6871="ILF",7.5,IF(H6871="EIF",5.4)))))))</f>
        <v/>
      </c>
      <c r="M6871" s="112" t="str">
        <f t="shared" si="110"/>
        <v/>
      </c>
      <c r="N6871" s="113"/>
    </row>
    <row r="6872" spans="2:14">
      <c r="B6872" s="105"/>
      <c r="C6872" s="106"/>
      <c r="D6872" s="107"/>
      <c r="E6872" s="65"/>
      <c r="F6872" s="64"/>
      <c r="G6872" s="64"/>
      <c r="H6872" s="64"/>
      <c r="I6872" s="70"/>
      <c r="J6872" s="70"/>
      <c r="K6872" s="110" t="str">
        <f>IF(H6872="","",IF($C$29="간이법","",FPR(H6872,I6872,J6872)))</f>
        <v/>
      </c>
      <c r="L6872" s="111" t="str">
        <f>IF(H6872="","",IF($C$29="상세법",FPV(H6872,K6872),IF(H6872="EI",4,IF(H6872="EO",5.2,IF(H6872="EQ",3.9,IF(H6872="ILF",7.5,IF(H6872="EIF",5.4)))))))</f>
        <v/>
      </c>
      <c r="M6872" s="112" t="str">
        <f t="shared" si="110"/>
        <v/>
      </c>
      <c r="N6872" s="113"/>
    </row>
    <row r="6873" spans="2:14">
      <c r="B6873" s="105"/>
      <c r="C6873" s="106"/>
      <c r="D6873" s="107"/>
      <c r="E6873" s="65"/>
      <c r="F6873" s="64"/>
      <c r="G6873" s="64"/>
      <c r="H6873" s="64"/>
      <c r="I6873" s="70"/>
      <c r="J6873" s="70"/>
      <c r="K6873" s="110" t="str">
        <f>IF(H6873="","",IF($C$29="간이법","",FPR(H6873,I6873,J6873)))</f>
        <v/>
      </c>
      <c r="L6873" s="111" t="str">
        <f>IF(H6873="","",IF($C$29="상세법",FPV(H6873,K6873),IF(H6873="EI",4,IF(H6873="EO",5.2,IF(H6873="EQ",3.9,IF(H6873="ILF",7.5,IF(H6873="EIF",5.4)))))))</f>
        <v/>
      </c>
      <c r="M6873" s="112" t="str">
        <f t="shared" si="110"/>
        <v/>
      </c>
      <c r="N6873" s="113"/>
    </row>
    <row r="6874" spans="2:14">
      <c r="B6874" s="105"/>
      <c r="C6874" s="106"/>
      <c r="D6874" s="107"/>
      <c r="E6874" s="65"/>
      <c r="F6874" s="64"/>
      <c r="G6874" s="64"/>
      <c r="H6874" s="64"/>
      <c r="I6874" s="70"/>
      <c r="J6874" s="70"/>
      <c r="K6874" s="110" t="str">
        <f>IF(H6874="","",IF($C$29="간이법","",FPR(H6874,I6874,J6874)))</f>
        <v/>
      </c>
      <c r="L6874" s="111" t="str">
        <f>IF(H6874="","",IF($C$29="상세법",FPV(H6874,K6874),IF(H6874="EI",4,IF(H6874="EO",5.2,IF(H6874="EQ",3.9,IF(H6874="ILF",7.5,IF(H6874="EIF",5.4)))))))</f>
        <v/>
      </c>
      <c r="M6874" s="112" t="str">
        <f t="shared" si="110"/>
        <v/>
      </c>
      <c r="N6874" s="113"/>
    </row>
    <row r="6875" spans="2:14">
      <c r="B6875" s="105"/>
      <c r="C6875" s="106"/>
      <c r="D6875" s="107"/>
      <c r="E6875" s="65"/>
      <c r="F6875" s="64"/>
      <c r="G6875" s="64"/>
      <c r="H6875" s="64"/>
      <c r="I6875" s="70"/>
      <c r="J6875" s="70"/>
      <c r="K6875" s="110" t="str">
        <f>IF(H6875="","",IF($C$29="간이법","",FPR(H6875,I6875,J6875)))</f>
        <v/>
      </c>
      <c r="L6875" s="111" t="str">
        <f>IF(H6875="","",IF($C$29="상세법",FPV(H6875,K6875),IF(H6875="EI",4,IF(H6875="EO",5.2,IF(H6875="EQ",3.9,IF(H6875="ILF",7.5,IF(H6875="EIF",5.4)))))))</f>
        <v/>
      </c>
      <c r="M6875" s="112" t="str">
        <f t="shared" si="110"/>
        <v/>
      </c>
      <c r="N6875" s="113"/>
    </row>
    <row r="6876" spans="2:14">
      <c r="B6876" s="105"/>
      <c r="C6876" s="106"/>
      <c r="D6876" s="107"/>
      <c r="E6876" s="65"/>
      <c r="F6876" s="64"/>
      <c r="G6876" s="64"/>
      <c r="H6876" s="64"/>
      <c r="I6876" s="70"/>
      <c r="J6876" s="70"/>
      <c r="K6876" s="110" t="str">
        <f>IF(H6876="","",IF($C$29="간이법","",FPR(H6876,I6876,J6876)))</f>
        <v/>
      </c>
      <c r="L6876" s="111" t="str">
        <f>IF(H6876="","",IF($C$29="상세법",FPV(H6876,K6876),IF(H6876="EI",4,IF(H6876="EO",5.2,IF(H6876="EQ",3.9,IF(H6876="ILF",7.5,IF(H6876="EIF",5.4)))))))</f>
        <v/>
      </c>
      <c r="M6876" s="112" t="str">
        <f t="shared" si="110"/>
        <v/>
      </c>
      <c r="N6876" s="113"/>
    </row>
    <row r="6877" spans="2:14">
      <c r="B6877" s="105"/>
      <c r="C6877" s="106"/>
      <c r="D6877" s="107"/>
      <c r="E6877" s="65"/>
      <c r="F6877" s="64"/>
      <c r="G6877" s="64"/>
      <c r="H6877" s="64"/>
      <c r="I6877" s="70"/>
      <c r="J6877" s="70"/>
      <c r="K6877" s="110" t="str">
        <f>IF(H6877="","",IF($C$29="간이법","",FPR(H6877,I6877,J6877)))</f>
        <v/>
      </c>
      <c r="L6877" s="111" t="str">
        <f>IF(H6877="","",IF($C$29="상세법",FPV(H6877,K6877),IF(H6877="EI",4,IF(H6877="EO",5.2,IF(H6877="EQ",3.9,IF(H6877="ILF",7.5,IF(H6877="EIF",5.4)))))))</f>
        <v/>
      </c>
      <c r="M6877" s="112" t="str">
        <f t="shared" si="110"/>
        <v/>
      </c>
      <c r="N6877" s="113"/>
    </row>
    <row r="6878" spans="2:14">
      <c r="B6878" s="105"/>
      <c r="C6878" s="106"/>
      <c r="D6878" s="107"/>
      <c r="E6878" s="65"/>
      <c r="F6878" s="64"/>
      <c r="G6878" s="64"/>
      <c r="H6878" s="64"/>
      <c r="I6878" s="70"/>
      <c r="J6878" s="70"/>
      <c r="K6878" s="110" t="str">
        <f>IF(H6878="","",IF($C$29="간이법","",FPR(H6878,I6878,J6878)))</f>
        <v/>
      </c>
      <c r="L6878" s="111" t="str">
        <f>IF(H6878="","",IF($C$29="상세법",FPV(H6878,K6878),IF(H6878="EI",4,IF(H6878="EO",5.2,IF(H6878="EQ",3.9,IF(H6878="ILF",7.5,IF(H6878="EIF",5.4)))))))</f>
        <v/>
      </c>
      <c r="M6878" s="112" t="str">
        <f t="shared" si="110"/>
        <v/>
      </c>
      <c r="N6878" s="113"/>
    </row>
    <row r="6879" spans="2:14">
      <c r="B6879" s="105"/>
      <c r="C6879" s="106"/>
      <c r="D6879" s="107"/>
      <c r="E6879" s="65"/>
      <c r="F6879" s="64"/>
      <c r="G6879" s="64"/>
      <c r="H6879" s="64"/>
      <c r="I6879" s="70"/>
      <c r="J6879" s="70"/>
      <c r="K6879" s="110" t="str">
        <f>IF(H6879="","",IF($C$29="간이법","",FPR(H6879,I6879,J6879)))</f>
        <v/>
      </c>
      <c r="L6879" s="111" t="str">
        <f>IF(H6879="","",IF($C$29="상세법",FPV(H6879,K6879),IF(H6879="EI",4,IF(H6879="EO",5.2,IF(H6879="EQ",3.9,IF(H6879="ILF",7.5,IF(H6879="EIF",5.4)))))))</f>
        <v/>
      </c>
      <c r="M6879" s="112" t="str">
        <f t="shared" si="110"/>
        <v/>
      </c>
      <c r="N6879" s="113"/>
    </row>
    <row r="6880" spans="2:14">
      <c r="B6880" s="105"/>
      <c r="C6880" s="106"/>
      <c r="D6880" s="107"/>
      <c r="E6880" s="65"/>
      <c r="F6880" s="64"/>
      <c r="G6880" s="64"/>
      <c r="H6880" s="64"/>
      <c r="I6880" s="70"/>
      <c r="J6880" s="70"/>
      <c r="K6880" s="110" t="str">
        <f>IF(H6880="","",IF($C$29="간이법","",FPR(H6880,I6880,J6880)))</f>
        <v/>
      </c>
      <c r="L6880" s="111" t="str">
        <f>IF(H6880="","",IF($C$29="상세법",FPV(H6880,K6880),IF(H6880="EI",4,IF(H6880="EO",5.2,IF(H6880="EQ",3.9,IF(H6880="ILF",7.5,IF(H6880="EIF",5.4)))))))</f>
        <v/>
      </c>
      <c r="M6880" s="112" t="str">
        <f t="shared" si="110"/>
        <v/>
      </c>
      <c r="N6880" s="113"/>
    </row>
    <row r="6881" spans="2:14">
      <c r="B6881" s="105"/>
      <c r="C6881" s="106"/>
      <c r="D6881" s="107"/>
      <c r="E6881" s="65"/>
      <c r="F6881" s="64"/>
      <c r="G6881" s="64"/>
      <c r="H6881" s="64"/>
      <c r="I6881" s="70"/>
      <c r="J6881" s="70"/>
      <c r="K6881" s="110" t="str">
        <f>IF(H6881="","",IF($C$29="간이법","",FPR(H6881,I6881,J6881)))</f>
        <v/>
      </c>
      <c r="L6881" s="111" t="str">
        <f>IF(H6881="","",IF($C$29="상세법",FPV(H6881,K6881),IF(H6881="EI",4,IF(H6881="EO",5.2,IF(H6881="EQ",3.9,IF(H6881="ILF",7.5,IF(H6881="EIF",5.4)))))))</f>
        <v/>
      </c>
      <c r="M6881" s="112" t="str">
        <f t="shared" si="110"/>
        <v/>
      </c>
      <c r="N6881" s="113"/>
    </row>
    <row r="6882" spans="2:14">
      <c r="B6882" s="105"/>
      <c r="C6882" s="106"/>
      <c r="D6882" s="107"/>
      <c r="E6882" s="65"/>
      <c r="F6882" s="64"/>
      <c r="G6882" s="64"/>
      <c r="H6882" s="64"/>
      <c r="I6882" s="70"/>
      <c r="J6882" s="70"/>
      <c r="K6882" s="110" t="str">
        <f>IF(H6882="","",IF($C$29="간이법","",FPR(H6882,I6882,J6882)))</f>
        <v/>
      </c>
      <c r="L6882" s="111" t="str">
        <f>IF(H6882="","",IF($C$29="상세법",FPV(H6882,K6882),IF(H6882="EI",4,IF(H6882="EO",5.2,IF(H6882="EQ",3.9,IF(H6882="ILF",7.5,IF(H6882="EIF",5.4)))))))</f>
        <v/>
      </c>
      <c r="M6882" s="112" t="str">
        <f t="shared" si="110"/>
        <v/>
      </c>
      <c r="N6882" s="113"/>
    </row>
    <row r="6883" spans="2:14">
      <c r="B6883" s="105"/>
      <c r="C6883" s="106"/>
      <c r="D6883" s="107"/>
      <c r="E6883" s="65"/>
      <c r="F6883" s="64"/>
      <c r="G6883" s="64"/>
      <c r="H6883" s="64"/>
      <c r="I6883" s="70"/>
      <c r="J6883" s="70"/>
      <c r="K6883" s="110" t="str">
        <f>IF(H6883="","",IF($C$29="간이법","",FPR(H6883,I6883,J6883)))</f>
        <v/>
      </c>
      <c r="L6883" s="111" t="str">
        <f>IF(H6883="","",IF($C$29="상세법",FPV(H6883,K6883),IF(H6883="EI",4,IF(H6883="EO",5.2,IF(H6883="EQ",3.9,IF(H6883="ILF",7.5,IF(H6883="EIF",5.4)))))))</f>
        <v/>
      </c>
      <c r="M6883" s="112" t="str">
        <f t="shared" si="110"/>
        <v/>
      </c>
      <c r="N6883" s="113"/>
    </row>
    <row r="6884" spans="2:14">
      <c r="B6884" s="105"/>
      <c r="C6884" s="106"/>
      <c r="D6884" s="107"/>
      <c r="E6884" s="65"/>
      <c r="F6884" s="64"/>
      <c r="G6884" s="64"/>
      <c r="H6884" s="64"/>
      <c r="I6884" s="70"/>
      <c r="J6884" s="70"/>
      <c r="K6884" s="110" t="str">
        <f>IF(H6884="","",IF($C$29="간이법","",FPR(H6884,I6884,J6884)))</f>
        <v/>
      </c>
      <c r="L6884" s="111" t="str">
        <f>IF(H6884="","",IF($C$29="상세법",FPV(H6884,K6884),IF(H6884="EI",4,IF(H6884="EO",5.2,IF(H6884="EQ",3.9,IF(H6884="ILF",7.5,IF(H6884="EIF",5.4)))))))</f>
        <v/>
      </c>
      <c r="M6884" s="112" t="str">
        <f t="shared" si="110"/>
        <v/>
      </c>
      <c r="N6884" s="113"/>
    </row>
    <row r="6885" spans="2:14">
      <c r="B6885" s="105"/>
      <c r="C6885" s="106"/>
      <c r="D6885" s="107"/>
      <c r="E6885" s="65"/>
      <c r="F6885" s="64"/>
      <c r="G6885" s="64"/>
      <c r="H6885" s="64"/>
      <c r="I6885" s="70"/>
      <c r="J6885" s="70"/>
      <c r="K6885" s="110" t="str">
        <f>IF(H6885="","",IF($C$29="간이법","",FPR(H6885,I6885,J6885)))</f>
        <v/>
      </c>
      <c r="L6885" s="111" t="str">
        <f>IF(H6885="","",IF($C$29="상세법",FPV(H6885,K6885),IF(H6885="EI",4,IF(H6885="EO",5.2,IF(H6885="EQ",3.9,IF(H6885="ILF",7.5,IF(H6885="EIF",5.4)))))))</f>
        <v/>
      </c>
      <c r="M6885" s="112" t="str">
        <f t="shared" si="110"/>
        <v/>
      </c>
      <c r="N6885" s="113"/>
    </row>
    <row r="6886" spans="2:14">
      <c r="B6886" s="105"/>
      <c r="C6886" s="106"/>
      <c r="D6886" s="107"/>
      <c r="E6886" s="65"/>
      <c r="F6886" s="64"/>
      <c r="G6886" s="64"/>
      <c r="H6886" s="64"/>
      <c r="I6886" s="70"/>
      <c r="J6886" s="70"/>
      <c r="K6886" s="110" t="str">
        <f>IF(H6886="","",IF($C$29="간이법","",FPR(H6886,I6886,J6886)))</f>
        <v/>
      </c>
      <c r="L6886" s="111" t="str">
        <f>IF(H6886="","",IF($C$29="상세법",FPV(H6886,K6886),IF(H6886="EI",4,IF(H6886="EO",5.2,IF(H6886="EQ",3.9,IF(H6886="ILF",7.5,IF(H6886="EIF",5.4)))))))</f>
        <v/>
      </c>
      <c r="M6886" s="112" t="str">
        <f t="shared" si="110"/>
        <v/>
      </c>
      <c r="N6886" s="113"/>
    </row>
    <row r="6887" spans="2:14">
      <c r="B6887" s="105"/>
      <c r="C6887" s="106"/>
      <c r="D6887" s="107"/>
      <c r="E6887" s="65"/>
      <c r="F6887" s="64"/>
      <c r="G6887" s="64"/>
      <c r="H6887" s="64"/>
      <c r="I6887" s="70"/>
      <c r="J6887" s="70"/>
      <c r="K6887" s="110" t="str">
        <f>IF(H6887="","",IF($C$29="간이법","",FPR(H6887,I6887,J6887)))</f>
        <v/>
      </c>
      <c r="L6887" s="111" t="str">
        <f>IF(H6887="","",IF($C$29="상세법",FPV(H6887,K6887),IF(H6887="EI",4,IF(H6887="EO",5.2,IF(H6887="EQ",3.9,IF(H6887="ILF",7.5,IF(H6887="EIF",5.4)))))))</f>
        <v/>
      </c>
      <c r="M6887" s="112" t="str">
        <f t="shared" si="110"/>
        <v/>
      </c>
      <c r="N6887" s="113"/>
    </row>
    <row r="6888" spans="2:14">
      <c r="B6888" s="105"/>
      <c r="C6888" s="106"/>
      <c r="D6888" s="107"/>
      <c r="E6888" s="65"/>
      <c r="F6888" s="64"/>
      <c r="G6888" s="64"/>
      <c r="H6888" s="64"/>
      <c r="I6888" s="70"/>
      <c r="J6888" s="70"/>
      <c r="K6888" s="110" t="str">
        <f>IF(H6888="","",IF($C$29="간이법","",FPR(H6888,I6888,J6888)))</f>
        <v/>
      </c>
      <c r="L6888" s="111" t="str">
        <f>IF(H6888="","",IF($C$29="상세법",FPV(H6888,K6888),IF(H6888="EI",4,IF(H6888="EO",5.2,IF(H6888="EQ",3.9,IF(H6888="ILF",7.5,IF(H6888="EIF",5.4)))))))</f>
        <v/>
      </c>
      <c r="M6888" s="112" t="str">
        <f t="shared" si="110"/>
        <v/>
      </c>
      <c r="N6888" s="113"/>
    </row>
    <row r="6889" spans="2:14">
      <c r="B6889" s="105"/>
      <c r="C6889" s="106"/>
      <c r="D6889" s="107"/>
      <c r="E6889" s="65"/>
      <c r="F6889" s="64"/>
      <c r="G6889" s="64"/>
      <c r="H6889" s="64"/>
      <c r="I6889" s="70"/>
      <c r="J6889" s="70"/>
      <c r="K6889" s="110" t="str">
        <f>IF(H6889="","",IF($C$29="간이법","",FPR(H6889,I6889,J6889)))</f>
        <v/>
      </c>
      <c r="L6889" s="111" t="str">
        <f>IF(H6889="","",IF($C$29="상세법",FPV(H6889,K6889),IF(H6889="EI",4,IF(H6889="EO",5.2,IF(H6889="EQ",3.9,IF(H6889="ILF",7.5,IF(H6889="EIF",5.4)))))))</f>
        <v/>
      </c>
      <c r="M6889" s="112" t="str">
        <f t="shared" si="110"/>
        <v/>
      </c>
      <c r="N6889" s="113"/>
    </row>
    <row r="6890" spans="2:14">
      <c r="B6890" s="105"/>
      <c r="C6890" s="106"/>
      <c r="D6890" s="107"/>
      <c r="E6890" s="65"/>
      <c r="F6890" s="64"/>
      <c r="G6890" s="64"/>
      <c r="H6890" s="64"/>
      <c r="I6890" s="70"/>
      <c r="J6890" s="70"/>
      <c r="K6890" s="110" t="str">
        <f>IF(H6890="","",IF($C$29="간이법","",FPR(H6890,I6890,J6890)))</f>
        <v/>
      </c>
      <c r="L6890" s="111" t="str">
        <f>IF(H6890="","",IF($C$29="상세법",FPV(H6890,K6890),IF(H6890="EI",4,IF(H6890="EO",5.2,IF(H6890="EQ",3.9,IF(H6890="ILF",7.5,IF(H6890="EIF",5.4)))))))</f>
        <v/>
      </c>
      <c r="M6890" s="112" t="str">
        <f t="shared" si="110"/>
        <v/>
      </c>
      <c r="N6890" s="113"/>
    </row>
    <row r="6891" spans="2:14">
      <c r="B6891" s="105"/>
      <c r="C6891" s="106"/>
      <c r="D6891" s="107"/>
      <c r="E6891" s="65"/>
      <c r="F6891" s="64"/>
      <c r="G6891" s="64"/>
      <c r="H6891" s="64"/>
      <c r="I6891" s="70"/>
      <c r="J6891" s="70"/>
      <c r="K6891" s="110" t="str">
        <f>IF(H6891="","",IF($C$29="간이법","",FPR(H6891,I6891,J6891)))</f>
        <v/>
      </c>
      <c r="L6891" s="111" t="str">
        <f>IF(H6891="","",IF($C$29="상세법",FPV(H6891,K6891),IF(H6891="EI",4,IF(H6891="EO",5.2,IF(H6891="EQ",3.9,IF(H6891="ILF",7.5,IF(H6891="EIF",5.4)))))))</f>
        <v/>
      </c>
      <c r="M6891" s="112" t="str">
        <f t="shared" si="110"/>
        <v/>
      </c>
      <c r="N6891" s="113"/>
    </row>
    <row r="6892" spans="2:14">
      <c r="B6892" s="105"/>
      <c r="C6892" s="106"/>
      <c r="D6892" s="107"/>
      <c r="E6892" s="65"/>
      <c r="F6892" s="64"/>
      <c r="G6892" s="64"/>
      <c r="H6892" s="64"/>
      <c r="I6892" s="70"/>
      <c r="J6892" s="70"/>
      <c r="K6892" s="110" t="str">
        <f>IF(H6892="","",IF($C$29="간이법","",FPR(H6892,I6892,J6892)))</f>
        <v/>
      </c>
      <c r="L6892" s="111" t="str">
        <f>IF(H6892="","",IF($C$29="상세법",FPV(H6892,K6892),IF(H6892="EI",4,IF(H6892="EO",5.2,IF(H6892="EQ",3.9,IF(H6892="ILF",7.5,IF(H6892="EIF",5.4)))))))</f>
        <v/>
      </c>
      <c r="M6892" s="112" t="str">
        <f t="shared" si="110"/>
        <v/>
      </c>
      <c r="N6892" s="113"/>
    </row>
    <row r="6893" spans="2:14">
      <c r="B6893" s="105"/>
      <c r="C6893" s="106"/>
      <c r="D6893" s="107"/>
      <c r="E6893" s="65"/>
      <c r="F6893" s="64"/>
      <c r="G6893" s="64"/>
      <c r="H6893" s="64"/>
      <c r="I6893" s="70"/>
      <c r="J6893" s="70"/>
      <c r="K6893" s="110" t="str">
        <f>IF(H6893="","",IF($C$29="간이법","",FPR(H6893,I6893,J6893)))</f>
        <v/>
      </c>
      <c r="L6893" s="111" t="str">
        <f>IF(H6893="","",IF($C$29="상세법",FPV(H6893,K6893),IF(H6893="EI",4,IF(H6893="EO",5.2,IF(H6893="EQ",3.9,IF(H6893="ILF",7.5,IF(H6893="EIF",5.4)))))))</f>
        <v/>
      </c>
      <c r="M6893" s="112" t="str">
        <f t="shared" si="110"/>
        <v/>
      </c>
      <c r="N6893" s="113"/>
    </row>
    <row r="6894" spans="2:14">
      <c r="B6894" s="105"/>
      <c r="C6894" s="106"/>
      <c r="D6894" s="107"/>
      <c r="E6894" s="65"/>
      <c r="F6894" s="64"/>
      <c r="G6894" s="64"/>
      <c r="H6894" s="64"/>
      <c r="I6894" s="70"/>
      <c r="J6894" s="70"/>
      <c r="K6894" s="110" t="str">
        <f>IF(H6894="","",IF($C$29="간이법","",FPR(H6894,I6894,J6894)))</f>
        <v/>
      </c>
      <c r="L6894" s="111" t="str">
        <f>IF(H6894="","",IF($C$29="상세법",FPV(H6894,K6894),IF(H6894="EI",4,IF(H6894="EO",5.2,IF(H6894="EQ",3.9,IF(H6894="ILF",7.5,IF(H6894="EIF",5.4)))))))</f>
        <v/>
      </c>
      <c r="M6894" s="112" t="str">
        <f t="shared" si="110"/>
        <v/>
      </c>
      <c r="N6894" s="113"/>
    </row>
    <row r="6895" spans="2:14">
      <c r="B6895" s="105"/>
      <c r="C6895" s="106"/>
      <c r="D6895" s="107"/>
      <c r="E6895" s="65"/>
      <c r="F6895" s="64"/>
      <c r="G6895" s="64"/>
      <c r="H6895" s="64"/>
      <c r="I6895" s="70"/>
      <c r="J6895" s="70"/>
      <c r="K6895" s="110" t="str">
        <f>IF(H6895="","",IF($C$29="간이법","",FPR(H6895,I6895,J6895)))</f>
        <v/>
      </c>
      <c r="L6895" s="111" t="str">
        <f>IF(H6895="","",IF($C$29="상세법",FPV(H6895,K6895),IF(H6895="EI",4,IF(H6895="EO",5.2,IF(H6895="EQ",3.9,IF(H6895="ILF",7.5,IF(H6895="EIF",5.4)))))))</f>
        <v/>
      </c>
      <c r="M6895" s="112" t="str">
        <f t="shared" si="110"/>
        <v/>
      </c>
      <c r="N6895" s="113"/>
    </row>
    <row r="6896" spans="2:14">
      <c r="B6896" s="105"/>
      <c r="C6896" s="106"/>
      <c r="D6896" s="107"/>
      <c r="E6896" s="65"/>
      <c r="F6896" s="64"/>
      <c r="G6896" s="64"/>
      <c r="H6896" s="64"/>
      <c r="I6896" s="70"/>
      <c r="J6896" s="70"/>
      <c r="K6896" s="110" t="str">
        <f>IF(H6896="","",IF($C$29="간이법","",FPR(H6896,I6896,J6896)))</f>
        <v/>
      </c>
      <c r="L6896" s="111" t="str">
        <f>IF(H6896="","",IF($C$29="상세법",FPV(H6896,K6896),IF(H6896="EI",4,IF(H6896="EO",5.2,IF(H6896="EQ",3.9,IF(H6896="ILF",7.5,IF(H6896="EIF",5.4)))))))</f>
        <v/>
      </c>
      <c r="M6896" s="112" t="str">
        <f t="shared" si="110"/>
        <v/>
      </c>
      <c r="N6896" s="113"/>
    </row>
    <row r="6897" spans="2:14">
      <c r="B6897" s="105"/>
      <c r="C6897" s="106"/>
      <c r="D6897" s="107"/>
      <c r="E6897" s="65"/>
      <c r="F6897" s="64"/>
      <c r="G6897" s="64"/>
      <c r="H6897" s="64"/>
      <c r="I6897" s="70"/>
      <c r="J6897" s="70"/>
      <c r="K6897" s="110" t="str">
        <f>IF(H6897="","",IF($C$29="간이법","",FPR(H6897,I6897,J6897)))</f>
        <v/>
      </c>
      <c r="L6897" s="111" t="str">
        <f>IF(H6897="","",IF($C$29="상세법",FPV(H6897,K6897),IF(H6897="EI",4,IF(H6897="EO",5.2,IF(H6897="EQ",3.9,IF(H6897="ILF",7.5,IF(H6897="EIF",5.4)))))))</f>
        <v/>
      </c>
      <c r="M6897" s="112" t="str">
        <f t="shared" si="110"/>
        <v/>
      </c>
      <c r="N6897" s="113"/>
    </row>
    <row r="6898" spans="2:14">
      <c r="B6898" s="105"/>
      <c r="C6898" s="106"/>
      <c r="D6898" s="107"/>
      <c r="E6898" s="65"/>
      <c r="F6898" s="64"/>
      <c r="G6898" s="64"/>
      <c r="H6898" s="64"/>
      <c r="I6898" s="70"/>
      <c r="J6898" s="70"/>
      <c r="K6898" s="110" t="str">
        <f>IF(H6898="","",IF($C$29="간이법","",FPR(H6898,I6898,J6898)))</f>
        <v/>
      </c>
      <c r="L6898" s="111" t="str">
        <f>IF(H6898="","",IF($C$29="상세법",FPV(H6898,K6898),IF(H6898="EI",4,IF(H6898="EO",5.2,IF(H6898="EQ",3.9,IF(H6898="ILF",7.5,IF(H6898="EIF",5.4)))))))</f>
        <v/>
      </c>
      <c r="M6898" s="112" t="str">
        <f t="shared" si="110"/>
        <v/>
      </c>
      <c r="N6898" s="113"/>
    </row>
    <row r="6899" spans="2:14">
      <c r="B6899" s="105"/>
      <c r="C6899" s="106"/>
      <c r="D6899" s="107"/>
      <c r="E6899" s="65"/>
      <c r="F6899" s="64"/>
      <c r="G6899" s="64"/>
      <c r="H6899" s="64"/>
      <c r="I6899" s="70"/>
      <c r="J6899" s="70"/>
      <c r="K6899" s="110" t="str">
        <f>IF(H6899="","",IF($C$29="간이법","",FPR(H6899,I6899,J6899)))</f>
        <v/>
      </c>
      <c r="L6899" s="111" t="str">
        <f>IF(H6899="","",IF($C$29="상세법",FPV(H6899,K6899),IF(H6899="EI",4,IF(H6899="EO",5.2,IF(H6899="EQ",3.9,IF(H6899="ILF",7.5,IF(H6899="EIF",5.4)))))))</f>
        <v/>
      </c>
      <c r="M6899" s="112" t="str">
        <f t="shared" si="110"/>
        <v/>
      </c>
      <c r="N6899" s="113"/>
    </row>
    <row r="6900" spans="2:14">
      <c r="B6900" s="105"/>
      <c r="C6900" s="106"/>
      <c r="D6900" s="107"/>
      <c r="E6900" s="65"/>
      <c r="F6900" s="64"/>
      <c r="G6900" s="64"/>
      <c r="H6900" s="64"/>
      <c r="I6900" s="70"/>
      <c r="J6900" s="70"/>
      <c r="K6900" s="110" t="str">
        <f>IF(H6900="","",IF($C$29="간이법","",FPR(H6900,I6900,J6900)))</f>
        <v/>
      </c>
      <c r="L6900" s="111" t="str">
        <f>IF(H6900="","",IF($C$29="상세법",FPV(H6900,K6900),IF(H6900="EI",4,IF(H6900="EO",5.2,IF(H6900="EQ",3.9,IF(H6900="ILF",7.5,IF(H6900="EIF",5.4)))))))</f>
        <v/>
      </c>
      <c r="M6900" s="112" t="str">
        <f t="shared" si="110"/>
        <v/>
      </c>
      <c r="N6900" s="113"/>
    </row>
    <row r="6901" spans="2:14">
      <c r="B6901" s="105"/>
      <c r="C6901" s="106"/>
      <c r="D6901" s="107"/>
      <c r="E6901" s="65"/>
      <c r="F6901" s="64"/>
      <c r="G6901" s="64"/>
      <c r="H6901" s="64"/>
      <c r="I6901" s="70"/>
      <c r="J6901" s="70"/>
      <c r="K6901" s="110" t="str">
        <f>IF(H6901="","",IF($C$29="간이법","",FPR(H6901,I6901,J6901)))</f>
        <v/>
      </c>
      <c r="L6901" s="111" t="str">
        <f>IF(H6901="","",IF($C$29="상세법",FPV(H6901,K6901),IF(H6901="EI",4,IF(H6901="EO",5.2,IF(H6901="EQ",3.9,IF(H6901="ILF",7.5,IF(H6901="EIF",5.4)))))))</f>
        <v/>
      </c>
      <c r="M6901" s="112" t="str">
        <f t="shared" si="110"/>
        <v/>
      </c>
      <c r="N6901" s="113"/>
    </row>
    <row r="6902" spans="2:14">
      <c r="B6902" s="105"/>
      <c r="C6902" s="106"/>
      <c r="D6902" s="107"/>
      <c r="E6902" s="65"/>
      <c r="F6902" s="64"/>
      <c r="G6902" s="64"/>
      <c r="H6902" s="64"/>
      <c r="I6902" s="70"/>
      <c r="J6902" s="70"/>
      <c r="K6902" s="110" t="str">
        <f>IF(H6902="","",IF($C$29="간이법","",FPR(H6902,I6902,J6902)))</f>
        <v/>
      </c>
      <c r="L6902" s="111" t="str">
        <f>IF(H6902="","",IF($C$29="상세법",FPV(H6902,K6902),IF(H6902="EI",4,IF(H6902="EO",5.2,IF(H6902="EQ",3.9,IF(H6902="ILF",7.5,IF(H6902="EIF",5.4)))))))</f>
        <v/>
      </c>
      <c r="M6902" s="112" t="str">
        <f t="shared" si="110"/>
        <v/>
      </c>
      <c r="N6902" s="113"/>
    </row>
    <row r="6903" spans="2:14">
      <c r="B6903" s="105"/>
      <c r="C6903" s="106"/>
      <c r="D6903" s="107"/>
      <c r="E6903" s="65"/>
      <c r="F6903" s="64"/>
      <c r="G6903" s="64"/>
      <c r="H6903" s="64"/>
      <c r="I6903" s="70"/>
      <c r="J6903" s="70"/>
      <c r="K6903" s="110" t="str">
        <f>IF(H6903="","",IF($C$29="간이법","",FPR(H6903,I6903,J6903)))</f>
        <v/>
      </c>
      <c r="L6903" s="111" t="str">
        <f>IF(H6903="","",IF($C$29="상세법",FPV(H6903,K6903),IF(H6903="EI",4,IF(H6903="EO",5.2,IF(H6903="EQ",3.9,IF(H6903="ILF",7.5,IF(H6903="EIF",5.4)))))))</f>
        <v/>
      </c>
      <c r="M6903" s="112" t="str">
        <f t="shared" si="110"/>
        <v/>
      </c>
      <c r="N6903" s="113"/>
    </row>
    <row r="6904" spans="2:14">
      <c r="B6904" s="105"/>
      <c r="C6904" s="106"/>
      <c r="D6904" s="107"/>
      <c r="E6904" s="65"/>
      <c r="F6904" s="64"/>
      <c r="G6904" s="64"/>
      <c r="H6904" s="64"/>
      <c r="I6904" s="70"/>
      <c r="J6904" s="70"/>
      <c r="K6904" s="110" t="str">
        <f>IF(H6904="","",IF($C$29="간이법","",FPR(H6904,I6904,J6904)))</f>
        <v/>
      </c>
      <c r="L6904" s="111" t="str">
        <f>IF(H6904="","",IF($C$29="상세법",FPV(H6904,K6904),IF(H6904="EI",4,IF(H6904="EO",5.2,IF(H6904="EQ",3.9,IF(H6904="ILF",7.5,IF(H6904="EIF",5.4)))))))</f>
        <v/>
      </c>
      <c r="M6904" s="112" t="str">
        <f t="shared" si="110"/>
        <v/>
      </c>
      <c r="N6904" s="113"/>
    </row>
    <row r="6905" spans="2:14">
      <c r="B6905" s="105"/>
      <c r="C6905" s="106"/>
      <c r="D6905" s="107"/>
      <c r="E6905" s="65"/>
      <c r="F6905" s="64"/>
      <c r="G6905" s="64"/>
      <c r="H6905" s="64"/>
      <c r="I6905" s="70"/>
      <c r="J6905" s="70"/>
      <c r="K6905" s="110" t="str">
        <f>IF(H6905="","",IF($C$29="간이법","",FPR(H6905,I6905,J6905)))</f>
        <v/>
      </c>
      <c r="L6905" s="111" t="str">
        <f>IF(H6905="","",IF($C$29="상세법",FPV(H6905,K6905),IF(H6905="EI",4,IF(H6905="EO",5.2,IF(H6905="EQ",3.9,IF(H6905="ILF",7.5,IF(H6905="EIF",5.4)))))))</f>
        <v/>
      </c>
      <c r="M6905" s="112" t="str">
        <f t="shared" ref="M6905:M6968" si="111">IF(L6905="","",L6905*IF(G6905="상",0.7,IF(G6905="중",0.5,IF(G6905="하",0.2,1))))</f>
        <v/>
      </c>
      <c r="N6905" s="113"/>
    </row>
    <row r="6906" spans="2:14">
      <c r="B6906" s="105"/>
      <c r="C6906" s="106"/>
      <c r="D6906" s="107"/>
      <c r="E6906" s="65"/>
      <c r="F6906" s="64"/>
      <c r="G6906" s="64"/>
      <c r="H6906" s="64"/>
      <c r="I6906" s="70"/>
      <c r="J6906" s="70"/>
      <c r="K6906" s="110" t="str">
        <f>IF(H6906="","",IF($C$29="간이법","",FPR(H6906,I6906,J6906)))</f>
        <v/>
      </c>
      <c r="L6906" s="111" t="str">
        <f>IF(H6906="","",IF($C$29="상세법",FPV(H6906,K6906),IF(H6906="EI",4,IF(H6906="EO",5.2,IF(H6906="EQ",3.9,IF(H6906="ILF",7.5,IF(H6906="EIF",5.4)))))))</f>
        <v/>
      </c>
      <c r="M6906" s="112" t="str">
        <f t="shared" si="111"/>
        <v/>
      </c>
      <c r="N6906" s="113"/>
    </row>
    <row r="6907" spans="2:14">
      <c r="B6907" s="105"/>
      <c r="C6907" s="106"/>
      <c r="D6907" s="107"/>
      <c r="E6907" s="65"/>
      <c r="F6907" s="64"/>
      <c r="G6907" s="64"/>
      <c r="H6907" s="64"/>
      <c r="I6907" s="70"/>
      <c r="J6907" s="70"/>
      <c r="K6907" s="110" t="str">
        <f>IF(H6907="","",IF($C$29="간이법","",FPR(H6907,I6907,J6907)))</f>
        <v/>
      </c>
      <c r="L6907" s="111" t="str">
        <f>IF(H6907="","",IF($C$29="상세법",FPV(H6907,K6907),IF(H6907="EI",4,IF(H6907="EO",5.2,IF(H6907="EQ",3.9,IF(H6907="ILF",7.5,IF(H6907="EIF",5.4)))))))</f>
        <v/>
      </c>
      <c r="M6907" s="112" t="str">
        <f t="shared" si="111"/>
        <v/>
      </c>
      <c r="N6907" s="113"/>
    </row>
    <row r="6908" spans="2:14">
      <c r="B6908" s="105"/>
      <c r="C6908" s="106"/>
      <c r="D6908" s="107"/>
      <c r="E6908" s="65"/>
      <c r="F6908" s="64"/>
      <c r="G6908" s="64"/>
      <c r="H6908" s="64"/>
      <c r="I6908" s="70"/>
      <c r="J6908" s="70"/>
      <c r="K6908" s="110" t="str">
        <f>IF(H6908="","",IF($C$29="간이법","",FPR(H6908,I6908,J6908)))</f>
        <v/>
      </c>
      <c r="L6908" s="111" t="str">
        <f>IF(H6908="","",IF($C$29="상세법",FPV(H6908,K6908),IF(H6908="EI",4,IF(H6908="EO",5.2,IF(H6908="EQ",3.9,IF(H6908="ILF",7.5,IF(H6908="EIF",5.4)))))))</f>
        <v/>
      </c>
      <c r="M6908" s="112" t="str">
        <f t="shared" si="111"/>
        <v/>
      </c>
      <c r="N6908" s="113"/>
    </row>
    <row r="6909" spans="2:14">
      <c r="B6909" s="105"/>
      <c r="C6909" s="106"/>
      <c r="D6909" s="107"/>
      <c r="E6909" s="65"/>
      <c r="F6909" s="64"/>
      <c r="G6909" s="64"/>
      <c r="H6909" s="64"/>
      <c r="I6909" s="70"/>
      <c r="J6909" s="70"/>
      <c r="K6909" s="110" t="str">
        <f>IF(H6909="","",IF($C$29="간이법","",FPR(H6909,I6909,J6909)))</f>
        <v/>
      </c>
      <c r="L6909" s="111" t="str">
        <f>IF(H6909="","",IF($C$29="상세법",FPV(H6909,K6909),IF(H6909="EI",4,IF(H6909="EO",5.2,IF(H6909="EQ",3.9,IF(H6909="ILF",7.5,IF(H6909="EIF",5.4)))))))</f>
        <v/>
      </c>
      <c r="M6909" s="112" t="str">
        <f t="shared" si="111"/>
        <v/>
      </c>
      <c r="N6909" s="113"/>
    </row>
    <row r="6910" spans="2:14">
      <c r="B6910" s="105"/>
      <c r="C6910" s="106"/>
      <c r="D6910" s="107"/>
      <c r="E6910" s="65"/>
      <c r="F6910" s="64"/>
      <c r="G6910" s="64"/>
      <c r="H6910" s="64"/>
      <c r="I6910" s="70"/>
      <c r="J6910" s="70"/>
      <c r="K6910" s="110" t="str">
        <f>IF(H6910="","",IF($C$29="간이법","",FPR(H6910,I6910,J6910)))</f>
        <v/>
      </c>
      <c r="L6910" s="111" t="str">
        <f>IF(H6910="","",IF($C$29="상세법",FPV(H6910,K6910),IF(H6910="EI",4,IF(H6910="EO",5.2,IF(H6910="EQ",3.9,IF(H6910="ILF",7.5,IF(H6910="EIF",5.4)))))))</f>
        <v/>
      </c>
      <c r="M6910" s="112" t="str">
        <f t="shared" si="111"/>
        <v/>
      </c>
      <c r="N6910" s="113"/>
    </row>
    <row r="6911" spans="2:14">
      <c r="B6911" s="105"/>
      <c r="C6911" s="106"/>
      <c r="D6911" s="107"/>
      <c r="E6911" s="65"/>
      <c r="F6911" s="64"/>
      <c r="G6911" s="64"/>
      <c r="H6911" s="64"/>
      <c r="I6911" s="70"/>
      <c r="J6911" s="70"/>
      <c r="K6911" s="110" t="str">
        <f>IF(H6911="","",IF($C$29="간이법","",FPR(H6911,I6911,J6911)))</f>
        <v/>
      </c>
      <c r="L6911" s="111" t="str">
        <f>IF(H6911="","",IF($C$29="상세법",FPV(H6911,K6911),IF(H6911="EI",4,IF(H6911="EO",5.2,IF(H6911="EQ",3.9,IF(H6911="ILF",7.5,IF(H6911="EIF",5.4)))))))</f>
        <v/>
      </c>
      <c r="M6911" s="112" t="str">
        <f t="shared" si="111"/>
        <v/>
      </c>
      <c r="N6911" s="113"/>
    </row>
    <row r="6912" spans="2:14">
      <c r="B6912" s="105"/>
      <c r="C6912" s="106"/>
      <c r="D6912" s="107"/>
      <c r="E6912" s="65"/>
      <c r="F6912" s="64"/>
      <c r="G6912" s="64"/>
      <c r="H6912" s="64"/>
      <c r="I6912" s="70"/>
      <c r="J6912" s="70"/>
      <c r="K6912" s="110" t="str">
        <f>IF(H6912="","",IF($C$29="간이법","",FPR(H6912,I6912,J6912)))</f>
        <v/>
      </c>
      <c r="L6912" s="111" t="str">
        <f>IF(H6912="","",IF($C$29="상세법",FPV(H6912,K6912),IF(H6912="EI",4,IF(H6912="EO",5.2,IF(H6912="EQ",3.9,IF(H6912="ILF",7.5,IF(H6912="EIF",5.4)))))))</f>
        <v/>
      </c>
      <c r="M6912" s="112" t="str">
        <f t="shared" si="111"/>
        <v/>
      </c>
      <c r="N6912" s="113"/>
    </row>
    <row r="6913" spans="2:14">
      <c r="B6913" s="105"/>
      <c r="C6913" s="106"/>
      <c r="D6913" s="107"/>
      <c r="E6913" s="65"/>
      <c r="F6913" s="64"/>
      <c r="G6913" s="64"/>
      <c r="H6913" s="64"/>
      <c r="I6913" s="70"/>
      <c r="J6913" s="70"/>
      <c r="K6913" s="110" t="str">
        <f>IF(H6913="","",IF($C$29="간이법","",FPR(H6913,I6913,J6913)))</f>
        <v/>
      </c>
      <c r="L6913" s="111" t="str">
        <f>IF(H6913="","",IF($C$29="상세법",FPV(H6913,K6913),IF(H6913="EI",4,IF(H6913="EO",5.2,IF(H6913="EQ",3.9,IF(H6913="ILF",7.5,IF(H6913="EIF",5.4)))))))</f>
        <v/>
      </c>
      <c r="M6913" s="112" t="str">
        <f t="shared" si="111"/>
        <v/>
      </c>
      <c r="N6913" s="113"/>
    </row>
    <row r="6914" spans="2:14">
      <c r="B6914" s="105"/>
      <c r="C6914" s="106"/>
      <c r="D6914" s="107"/>
      <c r="E6914" s="65"/>
      <c r="F6914" s="64"/>
      <c r="G6914" s="64"/>
      <c r="H6914" s="64"/>
      <c r="I6914" s="70"/>
      <c r="J6914" s="70"/>
      <c r="K6914" s="110" t="str">
        <f>IF(H6914="","",IF($C$29="간이법","",FPR(H6914,I6914,J6914)))</f>
        <v/>
      </c>
      <c r="L6914" s="111" t="str">
        <f>IF(H6914="","",IF($C$29="상세법",FPV(H6914,K6914),IF(H6914="EI",4,IF(H6914="EO",5.2,IF(H6914="EQ",3.9,IF(H6914="ILF",7.5,IF(H6914="EIF",5.4)))))))</f>
        <v/>
      </c>
      <c r="M6914" s="112" t="str">
        <f t="shared" si="111"/>
        <v/>
      </c>
      <c r="N6914" s="113"/>
    </row>
    <row r="6915" spans="2:14">
      <c r="B6915" s="105"/>
      <c r="C6915" s="106"/>
      <c r="D6915" s="107"/>
      <c r="E6915" s="65"/>
      <c r="F6915" s="64"/>
      <c r="G6915" s="64"/>
      <c r="H6915" s="64"/>
      <c r="I6915" s="70"/>
      <c r="J6915" s="70"/>
      <c r="K6915" s="110" t="str">
        <f>IF(H6915="","",IF($C$29="간이법","",FPR(H6915,I6915,J6915)))</f>
        <v/>
      </c>
      <c r="L6915" s="111" t="str">
        <f>IF(H6915="","",IF($C$29="상세법",FPV(H6915,K6915),IF(H6915="EI",4,IF(H6915="EO",5.2,IF(H6915="EQ",3.9,IF(H6915="ILF",7.5,IF(H6915="EIF",5.4)))))))</f>
        <v/>
      </c>
      <c r="M6915" s="112" t="str">
        <f t="shared" si="111"/>
        <v/>
      </c>
      <c r="N6915" s="113"/>
    </row>
    <row r="6916" spans="2:14">
      <c r="B6916" s="105"/>
      <c r="C6916" s="106"/>
      <c r="D6916" s="107"/>
      <c r="E6916" s="65"/>
      <c r="F6916" s="64"/>
      <c r="G6916" s="64"/>
      <c r="H6916" s="64"/>
      <c r="I6916" s="70"/>
      <c r="J6916" s="70"/>
      <c r="K6916" s="110" t="str">
        <f>IF(H6916="","",IF($C$29="간이법","",FPR(H6916,I6916,J6916)))</f>
        <v/>
      </c>
      <c r="L6916" s="111" t="str">
        <f>IF(H6916="","",IF($C$29="상세법",FPV(H6916,K6916),IF(H6916="EI",4,IF(H6916="EO",5.2,IF(H6916="EQ",3.9,IF(H6916="ILF",7.5,IF(H6916="EIF",5.4)))))))</f>
        <v/>
      </c>
      <c r="M6916" s="112" t="str">
        <f t="shared" si="111"/>
        <v/>
      </c>
      <c r="N6916" s="113"/>
    </row>
    <row r="6917" spans="2:14">
      <c r="B6917" s="105"/>
      <c r="C6917" s="106"/>
      <c r="D6917" s="107"/>
      <c r="E6917" s="65"/>
      <c r="F6917" s="64"/>
      <c r="G6917" s="64"/>
      <c r="H6917" s="64"/>
      <c r="I6917" s="70"/>
      <c r="J6917" s="70"/>
      <c r="K6917" s="110" t="str">
        <f>IF(H6917="","",IF($C$29="간이법","",FPR(H6917,I6917,J6917)))</f>
        <v/>
      </c>
      <c r="L6917" s="111" t="str">
        <f>IF(H6917="","",IF($C$29="상세법",FPV(H6917,K6917),IF(H6917="EI",4,IF(H6917="EO",5.2,IF(H6917="EQ",3.9,IF(H6917="ILF",7.5,IF(H6917="EIF",5.4)))))))</f>
        <v/>
      </c>
      <c r="M6917" s="112" t="str">
        <f t="shared" si="111"/>
        <v/>
      </c>
      <c r="N6917" s="113"/>
    </row>
    <row r="6918" spans="2:14">
      <c r="B6918" s="105"/>
      <c r="C6918" s="106"/>
      <c r="D6918" s="107"/>
      <c r="E6918" s="65"/>
      <c r="F6918" s="64"/>
      <c r="G6918" s="64"/>
      <c r="H6918" s="64"/>
      <c r="I6918" s="70"/>
      <c r="J6918" s="70"/>
      <c r="K6918" s="110" t="str">
        <f>IF(H6918="","",IF($C$29="간이법","",FPR(H6918,I6918,J6918)))</f>
        <v/>
      </c>
      <c r="L6918" s="111" t="str">
        <f>IF(H6918="","",IF($C$29="상세법",FPV(H6918,K6918),IF(H6918="EI",4,IF(H6918="EO",5.2,IF(H6918="EQ",3.9,IF(H6918="ILF",7.5,IF(H6918="EIF",5.4)))))))</f>
        <v/>
      </c>
      <c r="M6918" s="112" t="str">
        <f t="shared" si="111"/>
        <v/>
      </c>
      <c r="N6918" s="113"/>
    </row>
    <row r="6919" spans="2:14">
      <c r="B6919" s="105"/>
      <c r="C6919" s="106"/>
      <c r="D6919" s="107"/>
      <c r="E6919" s="65"/>
      <c r="F6919" s="64"/>
      <c r="G6919" s="64"/>
      <c r="H6919" s="64"/>
      <c r="I6919" s="70"/>
      <c r="J6919" s="70"/>
      <c r="K6919" s="110" t="str">
        <f>IF(H6919="","",IF($C$29="간이법","",FPR(H6919,I6919,J6919)))</f>
        <v/>
      </c>
      <c r="L6919" s="111" t="str">
        <f>IF(H6919="","",IF($C$29="상세법",FPV(H6919,K6919),IF(H6919="EI",4,IF(H6919="EO",5.2,IF(H6919="EQ",3.9,IF(H6919="ILF",7.5,IF(H6919="EIF",5.4)))))))</f>
        <v/>
      </c>
      <c r="M6919" s="112" t="str">
        <f t="shared" si="111"/>
        <v/>
      </c>
      <c r="N6919" s="113"/>
    </row>
    <row r="6920" spans="2:14">
      <c r="B6920" s="105"/>
      <c r="C6920" s="106"/>
      <c r="D6920" s="107"/>
      <c r="E6920" s="65"/>
      <c r="F6920" s="64"/>
      <c r="G6920" s="64"/>
      <c r="H6920" s="64"/>
      <c r="I6920" s="70"/>
      <c r="J6920" s="70"/>
      <c r="K6920" s="110" t="str">
        <f>IF(H6920="","",IF($C$29="간이법","",FPR(H6920,I6920,J6920)))</f>
        <v/>
      </c>
      <c r="L6920" s="111" t="str">
        <f>IF(H6920="","",IF($C$29="상세법",FPV(H6920,K6920),IF(H6920="EI",4,IF(H6920="EO",5.2,IF(H6920="EQ",3.9,IF(H6920="ILF",7.5,IF(H6920="EIF",5.4)))))))</f>
        <v/>
      </c>
      <c r="M6920" s="112" t="str">
        <f t="shared" si="111"/>
        <v/>
      </c>
      <c r="N6920" s="113"/>
    </row>
    <row r="6921" spans="2:14">
      <c r="B6921" s="105"/>
      <c r="C6921" s="106"/>
      <c r="D6921" s="107"/>
      <c r="E6921" s="65"/>
      <c r="F6921" s="64"/>
      <c r="G6921" s="64"/>
      <c r="H6921" s="64"/>
      <c r="I6921" s="70"/>
      <c r="J6921" s="70"/>
      <c r="K6921" s="110" t="str">
        <f>IF(H6921="","",IF($C$29="간이법","",FPR(H6921,I6921,J6921)))</f>
        <v/>
      </c>
      <c r="L6921" s="111" t="str">
        <f>IF(H6921="","",IF($C$29="상세법",FPV(H6921,K6921),IF(H6921="EI",4,IF(H6921="EO",5.2,IF(H6921="EQ",3.9,IF(H6921="ILF",7.5,IF(H6921="EIF",5.4)))))))</f>
        <v/>
      </c>
      <c r="M6921" s="112" t="str">
        <f t="shared" si="111"/>
        <v/>
      </c>
      <c r="N6921" s="113"/>
    </row>
    <row r="6922" spans="2:14">
      <c r="B6922" s="105"/>
      <c r="C6922" s="106"/>
      <c r="D6922" s="107"/>
      <c r="E6922" s="65"/>
      <c r="F6922" s="64"/>
      <c r="G6922" s="64"/>
      <c r="H6922" s="64"/>
      <c r="I6922" s="70"/>
      <c r="J6922" s="70"/>
      <c r="K6922" s="110" t="str">
        <f>IF(H6922="","",IF($C$29="간이법","",FPR(H6922,I6922,J6922)))</f>
        <v/>
      </c>
      <c r="L6922" s="111" t="str">
        <f>IF(H6922="","",IF($C$29="상세법",FPV(H6922,K6922),IF(H6922="EI",4,IF(H6922="EO",5.2,IF(H6922="EQ",3.9,IF(H6922="ILF",7.5,IF(H6922="EIF",5.4)))))))</f>
        <v/>
      </c>
      <c r="M6922" s="112" t="str">
        <f t="shared" si="111"/>
        <v/>
      </c>
      <c r="N6922" s="113"/>
    </row>
    <row r="6923" spans="2:14">
      <c r="B6923" s="105"/>
      <c r="C6923" s="106"/>
      <c r="D6923" s="107"/>
      <c r="E6923" s="65"/>
      <c r="F6923" s="64"/>
      <c r="G6923" s="64"/>
      <c r="H6923" s="64"/>
      <c r="I6923" s="70"/>
      <c r="J6923" s="70"/>
      <c r="K6923" s="110" t="str">
        <f>IF(H6923="","",IF($C$29="간이법","",FPR(H6923,I6923,J6923)))</f>
        <v/>
      </c>
      <c r="L6923" s="111" t="str">
        <f>IF(H6923="","",IF($C$29="상세법",FPV(H6923,K6923),IF(H6923="EI",4,IF(H6923="EO",5.2,IF(H6923="EQ",3.9,IF(H6923="ILF",7.5,IF(H6923="EIF",5.4)))))))</f>
        <v/>
      </c>
      <c r="M6923" s="112" t="str">
        <f t="shared" si="111"/>
        <v/>
      </c>
      <c r="N6923" s="113"/>
    </row>
    <row r="6924" spans="2:14">
      <c r="B6924" s="105"/>
      <c r="C6924" s="106"/>
      <c r="D6924" s="107"/>
      <c r="E6924" s="65"/>
      <c r="F6924" s="64"/>
      <c r="G6924" s="64"/>
      <c r="H6924" s="64"/>
      <c r="I6924" s="70"/>
      <c r="J6924" s="70"/>
      <c r="K6924" s="110" t="str">
        <f>IF(H6924="","",IF($C$29="간이법","",FPR(H6924,I6924,J6924)))</f>
        <v/>
      </c>
      <c r="L6924" s="111" t="str">
        <f>IF(H6924="","",IF($C$29="상세법",FPV(H6924,K6924),IF(H6924="EI",4,IF(H6924="EO",5.2,IF(H6924="EQ",3.9,IF(H6924="ILF",7.5,IF(H6924="EIF",5.4)))))))</f>
        <v/>
      </c>
      <c r="M6924" s="112" t="str">
        <f t="shared" si="111"/>
        <v/>
      </c>
      <c r="N6924" s="113"/>
    </row>
    <row r="6925" spans="2:14">
      <c r="B6925" s="105"/>
      <c r="C6925" s="106"/>
      <c r="D6925" s="107"/>
      <c r="E6925" s="65"/>
      <c r="F6925" s="64"/>
      <c r="G6925" s="64"/>
      <c r="H6925" s="64"/>
      <c r="I6925" s="70"/>
      <c r="J6925" s="70"/>
      <c r="K6925" s="110" t="str">
        <f>IF(H6925="","",IF($C$29="간이법","",FPR(H6925,I6925,J6925)))</f>
        <v/>
      </c>
      <c r="L6925" s="111" t="str">
        <f>IF(H6925="","",IF($C$29="상세법",FPV(H6925,K6925),IF(H6925="EI",4,IF(H6925="EO",5.2,IF(H6925="EQ",3.9,IF(H6925="ILF",7.5,IF(H6925="EIF",5.4)))))))</f>
        <v/>
      </c>
      <c r="M6925" s="112" t="str">
        <f t="shared" si="111"/>
        <v/>
      </c>
      <c r="N6925" s="113"/>
    </row>
    <row r="6926" spans="2:14">
      <c r="B6926" s="105"/>
      <c r="C6926" s="106"/>
      <c r="D6926" s="107"/>
      <c r="E6926" s="65"/>
      <c r="F6926" s="64"/>
      <c r="G6926" s="64"/>
      <c r="H6926" s="64"/>
      <c r="I6926" s="70"/>
      <c r="J6926" s="70"/>
      <c r="K6926" s="110" t="str">
        <f>IF(H6926="","",IF($C$29="간이법","",FPR(H6926,I6926,J6926)))</f>
        <v/>
      </c>
      <c r="L6926" s="111" t="str">
        <f>IF(H6926="","",IF($C$29="상세법",FPV(H6926,K6926),IF(H6926="EI",4,IF(H6926="EO",5.2,IF(H6926="EQ",3.9,IF(H6926="ILF",7.5,IF(H6926="EIF",5.4)))))))</f>
        <v/>
      </c>
      <c r="M6926" s="112" t="str">
        <f t="shared" si="111"/>
        <v/>
      </c>
      <c r="N6926" s="113"/>
    </row>
    <row r="6927" spans="2:14">
      <c r="B6927" s="105"/>
      <c r="C6927" s="106"/>
      <c r="D6927" s="107"/>
      <c r="E6927" s="65"/>
      <c r="F6927" s="64"/>
      <c r="G6927" s="64"/>
      <c r="H6927" s="64"/>
      <c r="I6927" s="70"/>
      <c r="J6927" s="70"/>
      <c r="K6927" s="110" t="str">
        <f>IF(H6927="","",IF($C$29="간이법","",FPR(H6927,I6927,J6927)))</f>
        <v/>
      </c>
      <c r="L6927" s="111" t="str">
        <f>IF(H6927="","",IF($C$29="상세법",FPV(H6927,K6927),IF(H6927="EI",4,IF(H6927="EO",5.2,IF(H6927="EQ",3.9,IF(H6927="ILF",7.5,IF(H6927="EIF",5.4)))))))</f>
        <v/>
      </c>
      <c r="M6927" s="112" t="str">
        <f t="shared" si="111"/>
        <v/>
      </c>
      <c r="N6927" s="113"/>
    </row>
    <row r="6928" spans="2:14">
      <c r="B6928" s="105"/>
      <c r="C6928" s="106"/>
      <c r="D6928" s="107"/>
      <c r="E6928" s="65"/>
      <c r="F6928" s="64"/>
      <c r="G6928" s="64"/>
      <c r="H6928" s="64"/>
      <c r="I6928" s="70"/>
      <c r="J6928" s="70"/>
      <c r="K6928" s="110" t="str">
        <f>IF(H6928="","",IF($C$29="간이법","",FPR(H6928,I6928,J6928)))</f>
        <v/>
      </c>
      <c r="L6928" s="111" t="str">
        <f>IF(H6928="","",IF($C$29="상세법",FPV(H6928,K6928),IF(H6928="EI",4,IF(H6928="EO",5.2,IF(H6928="EQ",3.9,IF(H6928="ILF",7.5,IF(H6928="EIF",5.4)))))))</f>
        <v/>
      </c>
      <c r="M6928" s="112" t="str">
        <f t="shared" si="111"/>
        <v/>
      </c>
      <c r="N6928" s="113"/>
    </row>
    <row r="6929" spans="2:14">
      <c r="B6929" s="105"/>
      <c r="C6929" s="106"/>
      <c r="D6929" s="107"/>
      <c r="E6929" s="65"/>
      <c r="F6929" s="64"/>
      <c r="G6929" s="64"/>
      <c r="H6929" s="64"/>
      <c r="I6929" s="70"/>
      <c r="J6929" s="70"/>
      <c r="K6929" s="110" t="str">
        <f>IF(H6929="","",IF($C$29="간이법","",FPR(H6929,I6929,J6929)))</f>
        <v/>
      </c>
      <c r="L6929" s="111" t="str">
        <f>IF(H6929="","",IF($C$29="상세법",FPV(H6929,K6929),IF(H6929="EI",4,IF(H6929="EO",5.2,IF(H6929="EQ",3.9,IF(H6929="ILF",7.5,IF(H6929="EIF",5.4)))))))</f>
        <v/>
      </c>
      <c r="M6929" s="112" t="str">
        <f t="shared" si="111"/>
        <v/>
      </c>
      <c r="N6929" s="113"/>
    </row>
    <row r="6930" spans="2:14">
      <c r="B6930" s="105"/>
      <c r="C6930" s="106"/>
      <c r="D6930" s="107"/>
      <c r="E6930" s="65"/>
      <c r="F6930" s="64"/>
      <c r="G6930" s="64"/>
      <c r="H6930" s="64"/>
      <c r="I6930" s="70"/>
      <c r="J6930" s="70"/>
      <c r="K6930" s="110" t="str">
        <f>IF(H6930="","",IF($C$29="간이법","",FPR(H6930,I6930,J6930)))</f>
        <v/>
      </c>
      <c r="L6930" s="111" t="str">
        <f>IF(H6930="","",IF($C$29="상세법",FPV(H6930,K6930),IF(H6930="EI",4,IF(H6930="EO",5.2,IF(H6930="EQ",3.9,IF(H6930="ILF",7.5,IF(H6930="EIF",5.4)))))))</f>
        <v/>
      </c>
      <c r="M6930" s="112" t="str">
        <f t="shared" si="111"/>
        <v/>
      </c>
      <c r="N6930" s="113"/>
    </row>
    <row r="6931" spans="2:14">
      <c r="B6931" s="105"/>
      <c r="C6931" s="106"/>
      <c r="D6931" s="107"/>
      <c r="E6931" s="65"/>
      <c r="F6931" s="64"/>
      <c r="G6931" s="64"/>
      <c r="H6931" s="64"/>
      <c r="I6931" s="70"/>
      <c r="J6931" s="70"/>
      <c r="K6931" s="110" t="str">
        <f>IF(H6931="","",IF($C$29="간이법","",FPR(H6931,I6931,J6931)))</f>
        <v/>
      </c>
      <c r="L6931" s="111" t="str">
        <f>IF(H6931="","",IF($C$29="상세법",FPV(H6931,K6931),IF(H6931="EI",4,IF(H6931="EO",5.2,IF(H6931="EQ",3.9,IF(H6931="ILF",7.5,IF(H6931="EIF",5.4)))))))</f>
        <v/>
      </c>
      <c r="M6931" s="112" t="str">
        <f t="shared" si="111"/>
        <v/>
      </c>
      <c r="N6931" s="113"/>
    </row>
    <row r="6932" spans="2:14">
      <c r="B6932" s="105"/>
      <c r="C6932" s="106"/>
      <c r="D6932" s="107"/>
      <c r="E6932" s="65"/>
      <c r="F6932" s="64"/>
      <c r="G6932" s="64"/>
      <c r="H6932" s="64"/>
      <c r="I6932" s="70"/>
      <c r="J6932" s="70"/>
      <c r="K6932" s="110" t="str">
        <f>IF(H6932="","",IF($C$29="간이법","",FPR(H6932,I6932,J6932)))</f>
        <v/>
      </c>
      <c r="L6932" s="111" t="str">
        <f>IF(H6932="","",IF($C$29="상세법",FPV(H6932,K6932),IF(H6932="EI",4,IF(H6932="EO",5.2,IF(H6932="EQ",3.9,IF(H6932="ILF",7.5,IF(H6932="EIF",5.4)))))))</f>
        <v/>
      </c>
      <c r="M6932" s="112" t="str">
        <f t="shared" si="111"/>
        <v/>
      </c>
      <c r="N6932" s="113"/>
    </row>
    <row r="6933" spans="2:14">
      <c r="B6933" s="105"/>
      <c r="C6933" s="106"/>
      <c r="D6933" s="107"/>
      <c r="E6933" s="65"/>
      <c r="F6933" s="64"/>
      <c r="G6933" s="64"/>
      <c r="H6933" s="64"/>
      <c r="I6933" s="70"/>
      <c r="J6933" s="70"/>
      <c r="K6933" s="110" t="str">
        <f>IF(H6933="","",IF($C$29="간이법","",FPR(H6933,I6933,J6933)))</f>
        <v/>
      </c>
      <c r="L6933" s="111" t="str">
        <f>IF(H6933="","",IF($C$29="상세법",FPV(H6933,K6933),IF(H6933="EI",4,IF(H6933="EO",5.2,IF(H6933="EQ",3.9,IF(H6933="ILF",7.5,IF(H6933="EIF",5.4)))))))</f>
        <v/>
      </c>
      <c r="M6933" s="112" t="str">
        <f t="shared" si="111"/>
        <v/>
      </c>
      <c r="N6933" s="113"/>
    </row>
    <row r="6934" spans="2:14">
      <c r="B6934" s="105"/>
      <c r="C6934" s="106"/>
      <c r="D6934" s="107"/>
      <c r="E6934" s="65"/>
      <c r="F6934" s="64"/>
      <c r="G6934" s="64"/>
      <c r="H6934" s="64"/>
      <c r="I6934" s="70"/>
      <c r="J6934" s="70"/>
      <c r="K6934" s="110" t="str">
        <f>IF(H6934="","",IF($C$29="간이법","",FPR(H6934,I6934,J6934)))</f>
        <v/>
      </c>
      <c r="L6934" s="111" t="str">
        <f>IF(H6934="","",IF($C$29="상세법",FPV(H6934,K6934),IF(H6934="EI",4,IF(H6934="EO",5.2,IF(H6934="EQ",3.9,IF(H6934="ILF",7.5,IF(H6934="EIF",5.4)))))))</f>
        <v/>
      </c>
      <c r="M6934" s="112" t="str">
        <f t="shared" si="111"/>
        <v/>
      </c>
      <c r="N6934" s="113"/>
    </row>
    <row r="6935" spans="2:14">
      <c r="B6935" s="105"/>
      <c r="C6935" s="106"/>
      <c r="D6935" s="107"/>
      <c r="E6935" s="65"/>
      <c r="F6935" s="64"/>
      <c r="G6935" s="64"/>
      <c r="H6935" s="64"/>
      <c r="I6935" s="70"/>
      <c r="J6935" s="70"/>
      <c r="K6935" s="110" t="str">
        <f>IF(H6935="","",IF($C$29="간이법","",FPR(H6935,I6935,J6935)))</f>
        <v/>
      </c>
      <c r="L6935" s="111" t="str">
        <f>IF(H6935="","",IF($C$29="상세법",FPV(H6935,K6935),IF(H6935="EI",4,IF(H6935="EO",5.2,IF(H6935="EQ",3.9,IF(H6935="ILF",7.5,IF(H6935="EIF",5.4)))))))</f>
        <v/>
      </c>
      <c r="M6935" s="112" t="str">
        <f t="shared" si="111"/>
        <v/>
      </c>
      <c r="N6935" s="113"/>
    </row>
    <row r="6936" spans="2:14">
      <c r="B6936" s="105"/>
      <c r="C6936" s="106"/>
      <c r="D6936" s="107"/>
      <c r="E6936" s="65"/>
      <c r="F6936" s="64"/>
      <c r="G6936" s="64"/>
      <c r="H6936" s="64"/>
      <c r="I6936" s="70"/>
      <c r="J6936" s="70"/>
      <c r="K6936" s="110" t="str">
        <f>IF(H6936="","",IF($C$29="간이법","",FPR(H6936,I6936,J6936)))</f>
        <v/>
      </c>
      <c r="L6936" s="111" t="str">
        <f>IF(H6936="","",IF($C$29="상세법",FPV(H6936,K6936),IF(H6936="EI",4,IF(H6936="EO",5.2,IF(H6936="EQ",3.9,IF(H6936="ILF",7.5,IF(H6936="EIF",5.4)))))))</f>
        <v/>
      </c>
      <c r="M6936" s="112" t="str">
        <f t="shared" si="111"/>
        <v/>
      </c>
      <c r="N6936" s="113"/>
    </row>
    <row r="6937" spans="2:14">
      <c r="B6937" s="105"/>
      <c r="C6937" s="106"/>
      <c r="D6937" s="107"/>
      <c r="E6937" s="65"/>
      <c r="F6937" s="64"/>
      <c r="G6937" s="64"/>
      <c r="H6937" s="64"/>
      <c r="I6937" s="70"/>
      <c r="J6937" s="70"/>
      <c r="K6937" s="110" t="str">
        <f>IF(H6937="","",IF($C$29="간이법","",FPR(H6937,I6937,J6937)))</f>
        <v/>
      </c>
      <c r="L6937" s="111" t="str">
        <f>IF(H6937="","",IF($C$29="상세법",FPV(H6937,K6937),IF(H6937="EI",4,IF(H6937="EO",5.2,IF(H6937="EQ",3.9,IF(H6937="ILF",7.5,IF(H6937="EIF",5.4)))))))</f>
        <v/>
      </c>
      <c r="M6937" s="112" t="str">
        <f t="shared" si="111"/>
        <v/>
      </c>
      <c r="N6937" s="113"/>
    </row>
    <row r="6938" spans="2:14">
      <c r="B6938" s="105"/>
      <c r="C6938" s="106"/>
      <c r="D6938" s="107"/>
      <c r="E6938" s="65"/>
      <c r="F6938" s="64"/>
      <c r="G6938" s="64"/>
      <c r="H6938" s="64"/>
      <c r="I6938" s="70"/>
      <c r="J6938" s="70"/>
      <c r="K6938" s="110" t="str">
        <f>IF(H6938="","",IF($C$29="간이법","",FPR(H6938,I6938,J6938)))</f>
        <v/>
      </c>
      <c r="L6938" s="111" t="str">
        <f>IF(H6938="","",IF($C$29="상세법",FPV(H6938,K6938),IF(H6938="EI",4,IF(H6938="EO",5.2,IF(H6938="EQ",3.9,IF(H6938="ILF",7.5,IF(H6938="EIF",5.4)))))))</f>
        <v/>
      </c>
      <c r="M6938" s="112" t="str">
        <f t="shared" si="111"/>
        <v/>
      </c>
      <c r="N6938" s="113"/>
    </row>
    <row r="6939" spans="2:14">
      <c r="B6939" s="105"/>
      <c r="C6939" s="106"/>
      <c r="D6939" s="107"/>
      <c r="E6939" s="65"/>
      <c r="F6939" s="64"/>
      <c r="G6939" s="64"/>
      <c r="H6939" s="64"/>
      <c r="I6939" s="70"/>
      <c r="J6939" s="70"/>
      <c r="K6939" s="110" t="str">
        <f>IF(H6939="","",IF($C$29="간이법","",FPR(H6939,I6939,J6939)))</f>
        <v/>
      </c>
      <c r="L6939" s="111" t="str">
        <f>IF(H6939="","",IF($C$29="상세법",FPV(H6939,K6939),IF(H6939="EI",4,IF(H6939="EO",5.2,IF(H6939="EQ",3.9,IF(H6939="ILF",7.5,IF(H6939="EIF",5.4)))))))</f>
        <v/>
      </c>
      <c r="M6939" s="112" t="str">
        <f t="shared" si="111"/>
        <v/>
      </c>
      <c r="N6939" s="113"/>
    </row>
    <row r="6940" spans="2:14">
      <c r="B6940" s="105"/>
      <c r="C6940" s="106"/>
      <c r="D6940" s="107"/>
      <c r="E6940" s="65"/>
      <c r="F6940" s="64"/>
      <c r="G6940" s="64"/>
      <c r="H6940" s="64"/>
      <c r="I6940" s="70"/>
      <c r="J6940" s="70"/>
      <c r="K6940" s="110" t="str">
        <f>IF(H6940="","",IF($C$29="간이법","",FPR(H6940,I6940,J6940)))</f>
        <v/>
      </c>
      <c r="L6940" s="111" t="str">
        <f>IF(H6940="","",IF($C$29="상세법",FPV(H6940,K6940),IF(H6940="EI",4,IF(H6940="EO",5.2,IF(H6940="EQ",3.9,IF(H6940="ILF",7.5,IF(H6940="EIF",5.4)))))))</f>
        <v/>
      </c>
      <c r="M6940" s="112" t="str">
        <f t="shared" si="111"/>
        <v/>
      </c>
      <c r="N6940" s="113"/>
    </row>
    <row r="6941" spans="2:14">
      <c r="B6941" s="105"/>
      <c r="C6941" s="106"/>
      <c r="D6941" s="107"/>
      <c r="E6941" s="65"/>
      <c r="F6941" s="64"/>
      <c r="G6941" s="64"/>
      <c r="H6941" s="64"/>
      <c r="I6941" s="70"/>
      <c r="J6941" s="70"/>
      <c r="K6941" s="110" t="str">
        <f>IF(H6941="","",IF($C$29="간이법","",FPR(H6941,I6941,J6941)))</f>
        <v/>
      </c>
      <c r="L6941" s="111" t="str">
        <f>IF(H6941="","",IF($C$29="상세법",FPV(H6941,K6941),IF(H6941="EI",4,IF(H6941="EO",5.2,IF(H6941="EQ",3.9,IF(H6941="ILF",7.5,IF(H6941="EIF",5.4)))))))</f>
        <v/>
      </c>
      <c r="M6941" s="112" t="str">
        <f t="shared" si="111"/>
        <v/>
      </c>
      <c r="N6941" s="113"/>
    </row>
    <row r="6942" spans="2:14">
      <c r="B6942" s="105"/>
      <c r="C6942" s="106"/>
      <c r="D6942" s="107"/>
      <c r="E6942" s="65"/>
      <c r="F6942" s="64"/>
      <c r="G6942" s="64"/>
      <c r="H6942" s="64"/>
      <c r="I6942" s="70"/>
      <c r="J6942" s="70"/>
      <c r="K6942" s="110" t="str">
        <f>IF(H6942="","",IF($C$29="간이법","",FPR(H6942,I6942,J6942)))</f>
        <v/>
      </c>
      <c r="L6942" s="111" t="str">
        <f>IF(H6942="","",IF($C$29="상세법",FPV(H6942,K6942),IF(H6942="EI",4,IF(H6942="EO",5.2,IF(H6942="EQ",3.9,IF(H6942="ILF",7.5,IF(H6942="EIF",5.4)))))))</f>
        <v/>
      </c>
      <c r="M6942" s="112" t="str">
        <f t="shared" si="111"/>
        <v/>
      </c>
      <c r="N6942" s="113"/>
    </row>
    <row r="6943" spans="2:14">
      <c r="B6943" s="105"/>
      <c r="C6943" s="106"/>
      <c r="D6943" s="107"/>
      <c r="E6943" s="65"/>
      <c r="F6943" s="64"/>
      <c r="G6943" s="64"/>
      <c r="H6943" s="64"/>
      <c r="I6943" s="70"/>
      <c r="J6943" s="70"/>
      <c r="K6943" s="110" t="str">
        <f>IF(H6943="","",IF($C$29="간이법","",FPR(H6943,I6943,J6943)))</f>
        <v/>
      </c>
      <c r="L6943" s="111" t="str">
        <f>IF(H6943="","",IF($C$29="상세법",FPV(H6943,K6943),IF(H6943="EI",4,IF(H6943="EO",5.2,IF(H6943="EQ",3.9,IF(H6943="ILF",7.5,IF(H6943="EIF",5.4)))))))</f>
        <v/>
      </c>
      <c r="M6943" s="112" t="str">
        <f t="shared" si="111"/>
        <v/>
      </c>
      <c r="N6943" s="113"/>
    </row>
    <row r="6944" spans="2:14">
      <c r="B6944" s="105"/>
      <c r="C6944" s="106"/>
      <c r="D6944" s="107"/>
      <c r="E6944" s="65"/>
      <c r="F6944" s="64"/>
      <c r="G6944" s="64"/>
      <c r="H6944" s="64"/>
      <c r="I6944" s="70"/>
      <c r="J6944" s="70"/>
      <c r="K6944" s="110" t="str">
        <f>IF(H6944="","",IF($C$29="간이법","",FPR(H6944,I6944,J6944)))</f>
        <v/>
      </c>
      <c r="L6944" s="111" t="str">
        <f>IF(H6944="","",IF($C$29="상세법",FPV(H6944,K6944),IF(H6944="EI",4,IF(H6944="EO",5.2,IF(H6944="EQ",3.9,IF(H6944="ILF",7.5,IF(H6944="EIF",5.4)))))))</f>
        <v/>
      </c>
      <c r="M6944" s="112" t="str">
        <f t="shared" si="111"/>
        <v/>
      </c>
      <c r="N6944" s="113"/>
    </row>
    <row r="6945" spans="2:14">
      <c r="B6945" s="105"/>
      <c r="C6945" s="106"/>
      <c r="D6945" s="107"/>
      <c r="E6945" s="65"/>
      <c r="F6945" s="64"/>
      <c r="G6945" s="64"/>
      <c r="H6945" s="64"/>
      <c r="I6945" s="70"/>
      <c r="J6945" s="70"/>
      <c r="K6945" s="110" t="str">
        <f>IF(H6945="","",IF($C$29="간이법","",FPR(H6945,I6945,J6945)))</f>
        <v/>
      </c>
      <c r="L6945" s="111" t="str">
        <f>IF(H6945="","",IF($C$29="상세법",FPV(H6945,K6945),IF(H6945="EI",4,IF(H6945="EO",5.2,IF(H6945="EQ",3.9,IF(H6945="ILF",7.5,IF(H6945="EIF",5.4)))))))</f>
        <v/>
      </c>
      <c r="M6945" s="112" t="str">
        <f t="shared" si="111"/>
        <v/>
      </c>
      <c r="N6945" s="113"/>
    </row>
    <row r="6946" spans="2:14">
      <c r="B6946" s="105"/>
      <c r="C6946" s="106"/>
      <c r="D6946" s="107"/>
      <c r="E6946" s="65"/>
      <c r="F6946" s="64"/>
      <c r="G6946" s="64"/>
      <c r="H6946" s="64"/>
      <c r="I6946" s="70"/>
      <c r="J6946" s="70"/>
      <c r="K6946" s="110" t="str">
        <f>IF(H6946="","",IF($C$29="간이법","",FPR(H6946,I6946,J6946)))</f>
        <v/>
      </c>
      <c r="L6946" s="111" t="str">
        <f>IF(H6946="","",IF($C$29="상세법",FPV(H6946,K6946),IF(H6946="EI",4,IF(H6946="EO",5.2,IF(H6946="EQ",3.9,IF(H6946="ILF",7.5,IF(H6946="EIF",5.4)))))))</f>
        <v/>
      </c>
      <c r="M6946" s="112" t="str">
        <f t="shared" si="111"/>
        <v/>
      </c>
      <c r="N6946" s="113"/>
    </row>
    <row r="6947" spans="2:14">
      <c r="B6947" s="105"/>
      <c r="C6947" s="106"/>
      <c r="D6947" s="107"/>
      <c r="E6947" s="65"/>
      <c r="F6947" s="64"/>
      <c r="G6947" s="64"/>
      <c r="H6947" s="64"/>
      <c r="I6947" s="70"/>
      <c r="J6947" s="70"/>
      <c r="K6947" s="110" t="str">
        <f>IF(H6947="","",IF($C$29="간이법","",FPR(H6947,I6947,J6947)))</f>
        <v/>
      </c>
      <c r="L6947" s="111" t="str">
        <f>IF(H6947="","",IF($C$29="상세법",FPV(H6947,K6947),IF(H6947="EI",4,IF(H6947="EO",5.2,IF(H6947="EQ",3.9,IF(H6947="ILF",7.5,IF(H6947="EIF",5.4)))))))</f>
        <v/>
      </c>
      <c r="M6947" s="112" t="str">
        <f t="shared" si="111"/>
        <v/>
      </c>
      <c r="N6947" s="113"/>
    </row>
    <row r="6948" spans="2:14">
      <c r="B6948" s="105"/>
      <c r="C6948" s="106"/>
      <c r="D6948" s="107"/>
      <c r="E6948" s="65"/>
      <c r="F6948" s="64"/>
      <c r="G6948" s="64"/>
      <c r="H6948" s="64"/>
      <c r="I6948" s="70"/>
      <c r="J6948" s="70"/>
      <c r="K6948" s="110" t="str">
        <f>IF(H6948="","",IF($C$29="간이법","",FPR(H6948,I6948,J6948)))</f>
        <v/>
      </c>
      <c r="L6948" s="111" t="str">
        <f>IF(H6948="","",IF($C$29="상세법",FPV(H6948,K6948),IF(H6948="EI",4,IF(H6948="EO",5.2,IF(H6948="EQ",3.9,IF(H6948="ILF",7.5,IF(H6948="EIF",5.4)))))))</f>
        <v/>
      </c>
      <c r="M6948" s="112" t="str">
        <f t="shared" si="111"/>
        <v/>
      </c>
      <c r="N6948" s="113"/>
    </row>
    <row r="6949" spans="2:14">
      <c r="B6949" s="105"/>
      <c r="C6949" s="106"/>
      <c r="D6949" s="107"/>
      <c r="E6949" s="65"/>
      <c r="F6949" s="64"/>
      <c r="G6949" s="64"/>
      <c r="H6949" s="64"/>
      <c r="I6949" s="70"/>
      <c r="J6949" s="70"/>
      <c r="K6949" s="110" t="str">
        <f>IF(H6949="","",IF($C$29="간이법","",FPR(H6949,I6949,J6949)))</f>
        <v/>
      </c>
      <c r="L6949" s="111" t="str">
        <f>IF(H6949="","",IF($C$29="상세법",FPV(H6949,K6949),IF(H6949="EI",4,IF(H6949="EO",5.2,IF(H6949="EQ",3.9,IF(H6949="ILF",7.5,IF(H6949="EIF",5.4)))))))</f>
        <v/>
      </c>
      <c r="M6949" s="112" t="str">
        <f t="shared" si="111"/>
        <v/>
      </c>
      <c r="N6949" s="113"/>
    </row>
    <row r="6950" spans="2:14">
      <c r="B6950" s="105"/>
      <c r="C6950" s="106"/>
      <c r="D6950" s="107"/>
      <c r="E6950" s="65"/>
      <c r="F6950" s="64"/>
      <c r="G6950" s="64"/>
      <c r="H6950" s="64"/>
      <c r="I6950" s="70"/>
      <c r="J6950" s="70"/>
      <c r="K6950" s="110" t="str">
        <f>IF(H6950="","",IF($C$29="간이법","",FPR(H6950,I6950,J6950)))</f>
        <v/>
      </c>
      <c r="L6950" s="111" t="str">
        <f>IF(H6950="","",IF($C$29="상세법",FPV(H6950,K6950),IF(H6950="EI",4,IF(H6950="EO",5.2,IF(H6950="EQ",3.9,IF(H6950="ILF",7.5,IF(H6950="EIF",5.4)))))))</f>
        <v/>
      </c>
      <c r="M6950" s="112" t="str">
        <f t="shared" si="111"/>
        <v/>
      </c>
      <c r="N6950" s="113"/>
    </row>
    <row r="6951" spans="2:14">
      <c r="B6951" s="105"/>
      <c r="C6951" s="106"/>
      <c r="D6951" s="107"/>
      <c r="E6951" s="65"/>
      <c r="F6951" s="64"/>
      <c r="G6951" s="64"/>
      <c r="H6951" s="64"/>
      <c r="I6951" s="70"/>
      <c r="J6951" s="70"/>
      <c r="K6951" s="110" t="str">
        <f>IF(H6951="","",IF($C$29="간이법","",FPR(H6951,I6951,J6951)))</f>
        <v/>
      </c>
      <c r="L6951" s="111" t="str">
        <f>IF(H6951="","",IF($C$29="상세법",FPV(H6951,K6951),IF(H6951="EI",4,IF(H6951="EO",5.2,IF(H6951="EQ",3.9,IF(H6951="ILF",7.5,IF(H6951="EIF",5.4)))))))</f>
        <v/>
      </c>
      <c r="M6951" s="112" t="str">
        <f t="shared" si="111"/>
        <v/>
      </c>
      <c r="N6951" s="113"/>
    </row>
    <row r="6952" spans="2:14">
      <c r="B6952" s="105"/>
      <c r="C6952" s="106"/>
      <c r="D6952" s="107"/>
      <c r="E6952" s="65"/>
      <c r="F6952" s="64"/>
      <c r="G6952" s="64"/>
      <c r="H6952" s="64"/>
      <c r="I6952" s="70"/>
      <c r="J6952" s="70"/>
      <c r="K6952" s="110" t="str">
        <f>IF(H6952="","",IF($C$29="간이법","",FPR(H6952,I6952,J6952)))</f>
        <v/>
      </c>
      <c r="L6952" s="111" t="str">
        <f>IF(H6952="","",IF($C$29="상세법",FPV(H6952,K6952),IF(H6952="EI",4,IF(H6952="EO",5.2,IF(H6952="EQ",3.9,IF(H6952="ILF",7.5,IF(H6952="EIF",5.4)))))))</f>
        <v/>
      </c>
      <c r="M6952" s="112" t="str">
        <f t="shared" si="111"/>
        <v/>
      </c>
      <c r="N6952" s="113"/>
    </row>
    <row r="6953" spans="2:14">
      <c r="B6953" s="105"/>
      <c r="C6953" s="106"/>
      <c r="D6953" s="107"/>
      <c r="E6953" s="65"/>
      <c r="F6953" s="64"/>
      <c r="G6953" s="64"/>
      <c r="H6953" s="64"/>
      <c r="I6953" s="70"/>
      <c r="J6953" s="70"/>
      <c r="K6953" s="110" t="str">
        <f>IF(H6953="","",IF($C$29="간이법","",FPR(H6953,I6953,J6953)))</f>
        <v/>
      </c>
      <c r="L6953" s="111" t="str">
        <f>IF(H6953="","",IF($C$29="상세법",FPV(H6953,K6953),IF(H6953="EI",4,IF(H6953="EO",5.2,IF(H6953="EQ",3.9,IF(H6953="ILF",7.5,IF(H6953="EIF",5.4)))))))</f>
        <v/>
      </c>
      <c r="M6953" s="112" t="str">
        <f t="shared" si="111"/>
        <v/>
      </c>
      <c r="N6953" s="113"/>
    </row>
    <row r="6954" spans="2:14">
      <c r="B6954" s="105"/>
      <c r="C6954" s="106"/>
      <c r="D6954" s="107"/>
      <c r="E6954" s="65"/>
      <c r="F6954" s="64"/>
      <c r="G6954" s="64"/>
      <c r="H6954" s="64"/>
      <c r="I6954" s="70"/>
      <c r="J6954" s="70"/>
      <c r="K6954" s="110" t="str">
        <f>IF(H6954="","",IF($C$29="간이법","",FPR(H6954,I6954,J6954)))</f>
        <v/>
      </c>
      <c r="L6954" s="111" t="str">
        <f>IF(H6954="","",IF($C$29="상세법",FPV(H6954,K6954),IF(H6954="EI",4,IF(H6954="EO",5.2,IF(H6954="EQ",3.9,IF(H6954="ILF",7.5,IF(H6954="EIF",5.4)))))))</f>
        <v/>
      </c>
      <c r="M6954" s="112" t="str">
        <f t="shared" si="111"/>
        <v/>
      </c>
      <c r="N6954" s="113"/>
    </row>
    <row r="6955" spans="2:14">
      <c r="B6955" s="105"/>
      <c r="C6955" s="106"/>
      <c r="D6955" s="107"/>
      <c r="E6955" s="65"/>
      <c r="F6955" s="64"/>
      <c r="G6955" s="64"/>
      <c r="H6955" s="64"/>
      <c r="I6955" s="70"/>
      <c r="J6955" s="70"/>
      <c r="K6955" s="110" t="str">
        <f>IF(H6955="","",IF($C$29="간이법","",FPR(H6955,I6955,J6955)))</f>
        <v/>
      </c>
      <c r="L6955" s="111" t="str">
        <f>IF(H6955="","",IF($C$29="상세법",FPV(H6955,K6955),IF(H6955="EI",4,IF(H6955="EO",5.2,IF(H6955="EQ",3.9,IF(H6955="ILF",7.5,IF(H6955="EIF",5.4)))))))</f>
        <v/>
      </c>
      <c r="M6955" s="112" t="str">
        <f t="shared" si="111"/>
        <v/>
      </c>
      <c r="N6955" s="113"/>
    </row>
    <row r="6956" spans="2:14">
      <c r="B6956" s="105"/>
      <c r="C6956" s="106"/>
      <c r="D6956" s="107"/>
      <c r="E6956" s="65"/>
      <c r="F6956" s="64"/>
      <c r="G6956" s="64"/>
      <c r="H6956" s="64"/>
      <c r="I6956" s="70"/>
      <c r="J6956" s="70"/>
      <c r="K6956" s="110" t="str">
        <f>IF(H6956="","",IF($C$29="간이법","",FPR(H6956,I6956,J6956)))</f>
        <v/>
      </c>
      <c r="L6956" s="111" t="str">
        <f>IF(H6956="","",IF($C$29="상세법",FPV(H6956,K6956),IF(H6956="EI",4,IF(H6956="EO",5.2,IF(H6956="EQ",3.9,IF(H6956="ILF",7.5,IF(H6956="EIF",5.4)))))))</f>
        <v/>
      </c>
      <c r="M6956" s="112" t="str">
        <f t="shared" si="111"/>
        <v/>
      </c>
      <c r="N6956" s="113"/>
    </row>
    <row r="6957" spans="2:14">
      <c r="B6957" s="105"/>
      <c r="C6957" s="106"/>
      <c r="D6957" s="107"/>
      <c r="E6957" s="65"/>
      <c r="F6957" s="64"/>
      <c r="G6957" s="64"/>
      <c r="H6957" s="64"/>
      <c r="I6957" s="70"/>
      <c r="J6957" s="70"/>
      <c r="K6957" s="110" t="str">
        <f>IF(H6957="","",IF($C$29="간이법","",FPR(H6957,I6957,J6957)))</f>
        <v/>
      </c>
      <c r="L6957" s="111" t="str">
        <f>IF(H6957="","",IF($C$29="상세법",FPV(H6957,K6957),IF(H6957="EI",4,IF(H6957="EO",5.2,IF(H6957="EQ",3.9,IF(H6957="ILF",7.5,IF(H6957="EIF",5.4)))))))</f>
        <v/>
      </c>
      <c r="M6957" s="112" t="str">
        <f t="shared" si="111"/>
        <v/>
      </c>
      <c r="N6957" s="113"/>
    </row>
    <row r="6958" spans="2:14">
      <c r="B6958" s="105"/>
      <c r="C6958" s="106"/>
      <c r="D6958" s="107"/>
      <c r="E6958" s="65"/>
      <c r="F6958" s="64"/>
      <c r="G6958" s="64"/>
      <c r="H6958" s="64"/>
      <c r="I6958" s="70"/>
      <c r="J6958" s="70"/>
      <c r="K6958" s="110" t="str">
        <f>IF(H6958="","",IF($C$29="간이법","",FPR(H6958,I6958,J6958)))</f>
        <v/>
      </c>
      <c r="L6958" s="111" t="str">
        <f>IF(H6958="","",IF($C$29="상세법",FPV(H6958,K6958),IF(H6958="EI",4,IF(H6958="EO",5.2,IF(H6958="EQ",3.9,IF(H6958="ILF",7.5,IF(H6958="EIF",5.4)))))))</f>
        <v/>
      </c>
      <c r="M6958" s="112" t="str">
        <f t="shared" si="111"/>
        <v/>
      </c>
      <c r="N6958" s="113"/>
    </row>
    <row r="6959" spans="2:14">
      <c r="B6959" s="105"/>
      <c r="C6959" s="106"/>
      <c r="D6959" s="107"/>
      <c r="E6959" s="65"/>
      <c r="F6959" s="64"/>
      <c r="G6959" s="64"/>
      <c r="H6959" s="64"/>
      <c r="I6959" s="70"/>
      <c r="J6959" s="70"/>
      <c r="K6959" s="110" t="str">
        <f>IF(H6959="","",IF($C$29="간이법","",FPR(H6959,I6959,J6959)))</f>
        <v/>
      </c>
      <c r="L6959" s="111" t="str">
        <f>IF(H6959="","",IF($C$29="상세법",FPV(H6959,K6959),IF(H6959="EI",4,IF(H6959="EO",5.2,IF(H6959="EQ",3.9,IF(H6959="ILF",7.5,IF(H6959="EIF",5.4)))))))</f>
        <v/>
      </c>
      <c r="M6959" s="112" t="str">
        <f t="shared" si="111"/>
        <v/>
      </c>
      <c r="N6959" s="113"/>
    </row>
    <row r="6960" spans="2:14">
      <c r="B6960" s="105"/>
      <c r="C6960" s="106"/>
      <c r="D6960" s="107"/>
      <c r="E6960" s="65"/>
      <c r="F6960" s="64"/>
      <c r="G6960" s="64"/>
      <c r="H6960" s="64"/>
      <c r="I6960" s="70"/>
      <c r="J6960" s="70"/>
      <c r="K6960" s="110" t="str">
        <f>IF(H6960="","",IF($C$29="간이법","",FPR(H6960,I6960,J6960)))</f>
        <v/>
      </c>
      <c r="L6960" s="111" t="str">
        <f>IF(H6960="","",IF($C$29="상세법",FPV(H6960,K6960),IF(H6960="EI",4,IF(H6960="EO",5.2,IF(H6960="EQ",3.9,IF(H6960="ILF",7.5,IF(H6960="EIF",5.4)))))))</f>
        <v/>
      </c>
      <c r="M6960" s="112" t="str">
        <f t="shared" si="111"/>
        <v/>
      </c>
      <c r="N6960" s="113"/>
    </row>
    <row r="6961" spans="2:14">
      <c r="B6961" s="105"/>
      <c r="C6961" s="106"/>
      <c r="D6961" s="107"/>
      <c r="E6961" s="65"/>
      <c r="F6961" s="64"/>
      <c r="G6961" s="64"/>
      <c r="H6961" s="64"/>
      <c r="I6961" s="70"/>
      <c r="J6961" s="70"/>
      <c r="K6961" s="110" t="str">
        <f>IF(H6961="","",IF($C$29="간이법","",FPR(H6961,I6961,J6961)))</f>
        <v/>
      </c>
      <c r="L6961" s="111" t="str">
        <f>IF(H6961="","",IF($C$29="상세법",FPV(H6961,K6961),IF(H6961="EI",4,IF(H6961="EO",5.2,IF(H6961="EQ",3.9,IF(H6961="ILF",7.5,IF(H6961="EIF",5.4)))))))</f>
        <v/>
      </c>
      <c r="M6961" s="112" t="str">
        <f t="shared" si="111"/>
        <v/>
      </c>
      <c r="N6961" s="113"/>
    </row>
    <row r="6962" spans="2:14">
      <c r="B6962" s="105"/>
      <c r="C6962" s="106"/>
      <c r="D6962" s="107"/>
      <c r="E6962" s="65"/>
      <c r="F6962" s="64"/>
      <c r="G6962" s="64"/>
      <c r="H6962" s="64"/>
      <c r="I6962" s="70"/>
      <c r="J6962" s="70"/>
      <c r="K6962" s="110" t="str">
        <f>IF(H6962="","",IF($C$29="간이법","",FPR(H6962,I6962,J6962)))</f>
        <v/>
      </c>
      <c r="L6962" s="111" t="str">
        <f>IF(H6962="","",IF($C$29="상세법",FPV(H6962,K6962),IF(H6962="EI",4,IF(H6962="EO",5.2,IF(H6962="EQ",3.9,IF(H6962="ILF",7.5,IF(H6962="EIF",5.4)))))))</f>
        <v/>
      </c>
      <c r="M6962" s="112" t="str">
        <f t="shared" si="111"/>
        <v/>
      </c>
      <c r="N6962" s="113"/>
    </row>
    <row r="6963" spans="2:14">
      <c r="B6963" s="105"/>
      <c r="C6963" s="106"/>
      <c r="D6963" s="107"/>
      <c r="E6963" s="65"/>
      <c r="F6963" s="64"/>
      <c r="G6963" s="64"/>
      <c r="H6963" s="64"/>
      <c r="I6963" s="70"/>
      <c r="J6963" s="70"/>
      <c r="K6963" s="110" t="str">
        <f>IF(H6963="","",IF($C$29="간이법","",FPR(H6963,I6963,J6963)))</f>
        <v/>
      </c>
      <c r="L6963" s="111" t="str">
        <f>IF(H6963="","",IF($C$29="상세법",FPV(H6963,K6963),IF(H6963="EI",4,IF(H6963="EO",5.2,IF(H6963="EQ",3.9,IF(H6963="ILF",7.5,IF(H6963="EIF",5.4)))))))</f>
        <v/>
      </c>
      <c r="M6963" s="112" t="str">
        <f t="shared" si="111"/>
        <v/>
      </c>
      <c r="N6963" s="113"/>
    </row>
    <row r="6964" spans="2:14">
      <c r="B6964" s="105"/>
      <c r="C6964" s="106"/>
      <c r="D6964" s="107"/>
      <c r="E6964" s="65"/>
      <c r="F6964" s="64"/>
      <c r="G6964" s="64"/>
      <c r="H6964" s="64"/>
      <c r="I6964" s="70"/>
      <c r="J6964" s="70"/>
      <c r="K6964" s="110" t="str">
        <f>IF(H6964="","",IF($C$29="간이법","",FPR(H6964,I6964,J6964)))</f>
        <v/>
      </c>
      <c r="L6964" s="111" t="str">
        <f>IF(H6964="","",IF($C$29="상세법",FPV(H6964,K6964),IF(H6964="EI",4,IF(H6964="EO",5.2,IF(H6964="EQ",3.9,IF(H6964="ILF",7.5,IF(H6964="EIF",5.4)))))))</f>
        <v/>
      </c>
      <c r="M6964" s="112" t="str">
        <f t="shared" si="111"/>
        <v/>
      </c>
      <c r="N6964" s="113"/>
    </row>
    <row r="6965" spans="2:14">
      <c r="B6965" s="105"/>
      <c r="C6965" s="106"/>
      <c r="D6965" s="107"/>
      <c r="E6965" s="65"/>
      <c r="F6965" s="64"/>
      <c r="G6965" s="64"/>
      <c r="H6965" s="64"/>
      <c r="I6965" s="70"/>
      <c r="J6965" s="70"/>
      <c r="K6965" s="110" t="str">
        <f>IF(H6965="","",IF($C$29="간이법","",FPR(H6965,I6965,J6965)))</f>
        <v/>
      </c>
      <c r="L6965" s="111" t="str">
        <f>IF(H6965="","",IF($C$29="상세법",FPV(H6965,K6965),IF(H6965="EI",4,IF(H6965="EO",5.2,IF(H6965="EQ",3.9,IF(H6965="ILF",7.5,IF(H6965="EIF",5.4)))))))</f>
        <v/>
      </c>
      <c r="M6965" s="112" t="str">
        <f t="shared" si="111"/>
        <v/>
      </c>
      <c r="N6965" s="113"/>
    </row>
    <row r="6966" spans="2:14">
      <c r="B6966" s="105"/>
      <c r="C6966" s="106"/>
      <c r="D6966" s="107"/>
      <c r="E6966" s="65"/>
      <c r="F6966" s="64"/>
      <c r="G6966" s="64"/>
      <c r="H6966" s="64"/>
      <c r="I6966" s="70"/>
      <c r="J6966" s="70"/>
      <c r="K6966" s="110" t="str">
        <f>IF(H6966="","",IF($C$29="간이법","",FPR(H6966,I6966,J6966)))</f>
        <v/>
      </c>
      <c r="L6966" s="111" t="str">
        <f>IF(H6966="","",IF($C$29="상세법",FPV(H6966,K6966),IF(H6966="EI",4,IF(H6966="EO",5.2,IF(H6966="EQ",3.9,IF(H6966="ILF",7.5,IF(H6966="EIF",5.4)))))))</f>
        <v/>
      </c>
      <c r="M6966" s="112" t="str">
        <f t="shared" si="111"/>
        <v/>
      </c>
      <c r="N6966" s="113"/>
    </row>
    <row r="6967" spans="2:14">
      <c r="B6967" s="105"/>
      <c r="C6967" s="106"/>
      <c r="D6967" s="107"/>
      <c r="E6967" s="65"/>
      <c r="F6967" s="64"/>
      <c r="G6967" s="64"/>
      <c r="H6967" s="64"/>
      <c r="I6967" s="70"/>
      <c r="J6967" s="70"/>
      <c r="K6967" s="110" t="str">
        <f>IF(H6967="","",IF($C$29="간이법","",FPR(H6967,I6967,J6967)))</f>
        <v/>
      </c>
      <c r="L6967" s="111" t="str">
        <f>IF(H6967="","",IF($C$29="상세법",FPV(H6967,K6967),IF(H6967="EI",4,IF(H6967="EO",5.2,IF(H6967="EQ",3.9,IF(H6967="ILF",7.5,IF(H6967="EIF",5.4)))))))</f>
        <v/>
      </c>
      <c r="M6967" s="112" t="str">
        <f t="shared" si="111"/>
        <v/>
      </c>
      <c r="N6967" s="113"/>
    </row>
    <row r="6968" spans="2:14">
      <c r="B6968" s="105"/>
      <c r="C6968" s="106"/>
      <c r="D6968" s="107"/>
      <c r="E6968" s="65"/>
      <c r="F6968" s="64"/>
      <c r="G6968" s="64"/>
      <c r="H6968" s="64"/>
      <c r="I6968" s="70"/>
      <c r="J6968" s="70"/>
      <c r="K6968" s="110" t="str">
        <f>IF(H6968="","",IF($C$29="간이법","",FPR(H6968,I6968,J6968)))</f>
        <v/>
      </c>
      <c r="L6968" s="111" t="str">
        <f>IF(H6968="","",IF($C$29="상세법",FPV(H6968,K6968),IF(H6968="EI",4,IF(H6968="EO",5.2,IF(H6968="EQ",3.9,IF(H6968="ILF",7.5,IF(H6968="EIF",5.4)))))))</f>
        <v/>
      </c>
      <c r="M6968" s="112" t="str">
        <f t="shared" si="111"/>
        <v/>
      </c>
      <c r="N6968" s="113"/>
    </row>
    <row r="6969" spans="2:14">
      <c r="B6969" s="105"/>
      <c r="C6969" s="106"/>
      <c r="D6969" s="107"/>
      <c r="E6969" s="65"/>
      <c r="F6969" s="64"/>
      <c r="G6969" s="64"/>
      <c r="H6969" s="64"/>
      <c r="I6969" s="70"/>
      <c r="J6969" s="70"/>
      <c r="K6969" s="110" t="str">
        <f>IF(H6969="","",IF($C$29="간이법","",FPR(H6969,I6969,J6969)))</f>
        <v/>
      </c>
      <c r="L6969" s="111" t="str">
        <f>IF(H6969="","",IF($C$29="상세법",FPV(H6969,K6969),IF(H6969="EI",4,IF(H6969="EO",5.2,IF(H6969="EQ",3.9,IF(H6969="ILF",7.5,IF(H6969="EIF",5.4)))))))</f>
        <v/>
      </c>
      <c r="M6969" s="112" t="str">
        <f t="shared" ref="M6969:M7032" si="112">IF(L6969="","",L6969*IF(G6969="상",0.7,IF(G6969="중",0.5,IF(G6969="하",0.2,1))))</f>
        <v/>
      </c>
      <c r="N6969" s="113"/>
    </row>
    <row r="6970" spans="2:14">
      <c r="B6970" s="105"/>
      <c r="C6970" s="106"/>
      <c r="D6970" s="107"/>
      <c r="E6970" s="65"/>
      <c r="F6970" s="64"/>
      <c r="G6970" s="64"/>
      <c r="H6970" s="64"/>
      <c r="I6970" s="70"/>
      <c r="J6970" s="70"/>
      <c r="K6970" s="110" t="str">
        <f>IF(H6970="","",IF($C$29="간이법","",FPR(H6970,I6970,J6970)))</f>
        <v/>
      </c>
      <c r="L6970" s="111" t="str">
        <f>IF(H6970="","",IF($C$29="상세법",FPV(H6970,K6970),IF(H6970="EI",4,IF(H6970="EO",5.2,IF(H6970="EQ",3.9,IF(H6970="ILF",7.5,IF(H6970="EIF",5.4)))))))</f>
        <v/>
      </c>
      <c r="M6970" s="112" t="str">
        <f t="shared" si="112"/>
        <v/>
      </c>
      <c r="N6970" s="113"/>
    </row>
    <row r="6971" spans="2:14">
      <c r="B6971" s="105"/>
      <c r="C6971" s="106"/>
      <c r="D6971" s="107"/>
      <c r="E6971" s="65"/>
      <c r="F6971" s="64"/>
      <c r="G6971" s="64"/>
      <c r="H6971" s="64"/>
      <c r="I6971" s="70"/>
      <c r="J6971" s="70"/>
      <c r="K6971" s="110" t="str">
        <f>IF(H6971="","",IF($C$29="간이법","",FPR(H6971,I6971,J6971)))</f>
        <v/>
      </c>
      <c r="L6971" s="111" t="str">
        <f>IF(H6971="","",IF($C$29="상세법",FPV(H6971,K6971),IF(H6971="EI",4,IF(H6971="EO",5.2,IF(H6971="EQ",3.9,IF(H6971="ILF",7.5,IF(H6971="EIF",5.4)))))))</f>
        <v/>
      </c>
      <c r="M6971" s="112" t="str">
        <f t="shared" si="112"/>
        <v/>
      </c>
      <c r="N6971" s="113"/>
    </row>
    <row r="6972" spans="2:14">
      <c r="B6972" s="105"/>
      <c r="C6972" s="106"/>
      <c r="D6972" s="107"/>
      <c r="E6972" s="65"/>
      <c r="F6972" s="64"/>
      <c r="G6972" s="64"/>
      <c r="H6972" s="64"/>
      <c r="I6972" s="70"/>
      <c r="J6972" s="70"/>
      <c r="K6972" s="110" t="str">
        <f>IF(H6972="","",IF($C$29="간이법","",FPR(H6972,I6972,J6972)))</f>
        <v/>
      </c>
      <c r="L6972" s="111" t="str">
        <f>IF(H6972="","",IF($C$29="상세법",FPV(H6972,K6972),IF(H6972="EI",4,IF(H6972="EO",5.2,IF(H6972="EQ",3.9,IF(H6972="ILF",7.5,IF(H6972="EIF",5.4)))))))</f>
        <v/>
      </c>
      <c r="M6972" s="112" t="str">
        <f t="shared" si="112"/>
        <v/>
      </c>
      <c r="N6972" s="113"/>
    </row>
    <row r="6973" spans="2:14">
      <c r="B6973" s="105"/>
      <c r="C6973" s="106"/>
      <c r="D6973" s="107"/>
      <c r="E6973" s="65"/>
      <c r="F6973" s="64"/>
      <c r="G6973" s="64"/>
      <c r="H6973" s="64"/>
      <c r="I6973" s="70"/>
      <c r="J6973" s="70"/>
      <c r="K6973" s="110" t="str">
        <f>IF(H6973="","",IF($C$29="간이법","",FPR(H6973,I6973,J6973)))</f>
        <v/>
      </c>
      <c r="L6973" s="111" t="str">
        <f>IF(H6973="","",IF($C$29="상세법",FPV(H6973,K6973),IF(H6973="EI",4,IF(H6973="EO",5.2,IF(H6973="EQ",3.9,IF(H6973="ILF",7.5,IF(H6973="EIF",5.4)))))))</f>
        <v/>
      </c>
      <c r="M6973" s="112" t="str">
        <f t="shared" si="112"/>
        <v/>
      </c>
      <c r="N6973" s="113"/>
    </row>
    <row r="6974" spans="2:14">
      <c r="B6974" s="105"/>
      <c r="C6974" s="106"/>
      <c r="D6974" s="107"/>
      <c r="E6974" s="65"/>
      <c r="F6974" s="64"/>
      <c r="G6974" s="64"/>
      <c r="H6974" s="64"/>
      <c r="I6974" s="70"/>
      <c r="J6974" s="70"/>
      <c r="K6974" s="110" t="str">
        <f>IF(H6974="","",IF($C$29="간이법","",FPR(H6974,I6974,J6974)))</f>
        <v/>
      </c>
      <c r="L6974" s="111" t="str">
        <f>IF(H6974="","",IF($C$29="상세법",FPV(H6974,K6974),IF(H6974="EI",4,IF(H6974="EO",5.2,IF(H6974="EQ",3.9,IF(H6974="ILF",7.5,IF(H6974="EIF",5.4)))))))</f>
        <v/>
      </c>
      <c r="M6974" s="112" t="str">
        <f t="shared" si="112"/>
        <v/>
      </c>
      <c r="N6974" s="113"/>
    </row>
    <row r="6975" spans="2:14">
      <c r="B6975" s="105"/>
      <c r="C6975" s="106"/>
      <c r="D6975" s="107"/>
      <c r="E6975" s="65"/>
      <c r="F6975" s="64"/>
      <c r="G6975" s="64"/>
      <c r="H6975" s="64"/>
      <c r="I6975" s="70"/>
      <c r="J6975" s="70"/>
      <c r="K6975" s="110" t="str">
        <f>IF(H6975="","",IF($C$29="간이법","",FPR(H6975,I6975,J6975)))</f>
        <v/>
      </c>
      <c r="L6975" s="111" t="str">
        <f>IF(H6975="","",IF($C$29="상세법",FPV(H6975,K6975),IF(H6975="EI",4,IF(H6975="EO",5.2,IF(H6975="EQ",3.9,IF(H6975="ILF",7.5,IF(H6975="EIF",5.4)))))))</f>
        <v/>
      </c>
      <c r="M6975" s="112" t="str">
        <f t="shared" si="112"/>
        <v/>
      </c>
      <c r="N6975" s="113"/>
    </row>
    <row r="6976" spans="2:14">
      <c r="B6976" s="105"/>
      <c r="C6976" s="106"/>
      <c r="D6976" s="107"/>
      <c r="E6976" s="65"/>
      <c r="F6976" s="64"/>
      <c r="G6976" s="64"/>
      <c r="H6976" s="64"/>
      <c r="I6976" s="70"/>
      <c r="J6976" s="70"/>
      <c r="K6976" s="110" t="str">
        <f>IF(H6976="","",IF($C$29="간이법","",FPR(H6976,I6976,J6976)))</f>
        <v/>
      </c>
      <c r="L6976" s="111" t="str">
        <f>IF(H6976="","",IF($C$29="상세법",FPV(H6976,K6976),IF(H6976="EI",4,IF(H6976="EO",5.2,IF(H6976="EQ",3.9,IF(H6976="ILF",7.5,IF(H6976="EIF",5.4)))))))</f>
        <v/>
      </c>
      <c r="M6976" s="112" t="str">
        <f t="shared" si="112"/>
        <v/>
      </c>
      <c r="N6976" s="113"/>
    </row>
    <row r="6977" spans="2:14">
      <c r="B6977" s="105"/>
      <c r="C6977" s="106"/>
      <c r="D6977" s="107"/>
      <c r="E6977" s="65"/>
      <c r="F6977" s="64"/>
      <c r="G6977" s="64"/>
      <c r="H6977" s="64"/>
      <c r="I6977" s="70"/>
      <c r="J6977" s="70"/>
      <c r="K6977" s="110" t="str">
        <f>IF(H6977="","",IF($C$29="간이법","",FPR(H6977,I6977,J6977)))</f>
        <v/>
      </c>
      <c r="L6977" s="111" t="str">
        <f>IF(H6977="","",IF($C$29="상세법",FPV(H6977,K6977),IF(H6977="EI",4,IF(H6977="EO",5.2,IF(H6977="EQ",3.9,IF(H6977="ILF",7.5,IF(H6977="EIF",5.4)))))))</f>
        <v/>
      </c>
      <c r="M6977" s="112" t="str">
        <f t="shared" si="112"/>
        <v/>
      </c>
      <c r="N6977" s="113"/>
    </row>
    <row r="6978" spans="2:14">
      <c r="B6978" s="105"/>
      <c r="C6978" s="106"/>
      <c r="D6978" s="107"/>
      <c r="E6978" s="65"/>
      <c r="F6978" s="64"/>
      <c r="G6978" s="64"/>
      <c r="H6978" s="64"/>
      <c r="I6978" s="70"/>
      <c r="J6978" s="70"/>
      <c r="K6978" s="110" t="str">
        <f>IF(H6978="","",IF($C$29="간이법","",FPR(H6978,I6978,J6978)))</f>
        <v/>
      </c>
      <c r="L6978" s="111" t="str">
        <f>IF(H6978="","",IF($C$29="상세법",FPV(H6978,K6978),IF(H6978="EI",4,IF(H6978="EO",5.2,IF(H6978="EQ",3.9,IF(H6978="ILF",7.5,IF(H6978="EIF",5.4)))))))</f>
        <v/>
      </c>
      <c r="M6978" s="112" t="str">
        <f t="shared" si="112"/>
        <v/>
      </c>
      <c r="N6978" s="113"/>
    </row>
    <row r="6979" spans="2:14">
      <c r="B6979" s="105"/>
      <c r="C6979" s="106"/>
      <c r="D6979" s="107"/>
      <c r="E6979" s="65"/>
      <c r="F6979" s="64"/>
      <c r="G6979" s="64"/>
      <c r="H6979" s="64"/>
      <c r="I6979" s="70"/>
      <c r="J6979" s="70"/>
      <c r="K6979" s="110" t="str">
        <f>IF(H6979="","",IF($C$29="간이법","",FPR(H6979,I6979,J6979)))</f>
        <v/>
      </c>
      <c r="L6979" s="111" t="str">
        <f>IF(H6979="","",IF($C$29="상세법",FPV(H6979,K6979),IF(H6979="EI",4,IF(H6979="EO",5.2,IF(H6979="EQ",3.9,IF(H6979="ILF",7.5,IF(H6979="EIF",5.4)))))))</f>
        <v/>
      </c>
      <c r="M6979" s="112" t="str">
        <f t="shared" si="112"/>
        <v/>
      </c>
      <c r="N6979" s="113"/>
    </row>
    <row r="6980" spans="2:14">
      <c r="B6980" s="105"/>
      <c r="C6980" s="106"/>
      <c r="D6980" s="107"/>
      <c r="E6980" s="65"/>
      <c r="F6980" s="64"/>
      <c r="G6980" s="64"/>
      <c r="H6980" s="64"/>
      <c r="I6980" s="70"/>
      <c r="J6980" s="70"/>
      <c r="K6980" s="110" t="str">
        <f>IF(H6980="","",IF($C$29="간이법","",FPR(H6980,I6980,J6980)))</f>
        <v/>
      </c>
      <c r="L6980" s="111" t="str">
        <f>IF(H6980="","",IF($C$29="상세법",FPV(H6980,K6980),IF(H6980="EI",4,IF(H6980="EO",5.2,IF(H6980="EQ",3.9,IF(H6980="ILF",7.5,IF(H6980="EIF",5.4)))))))</f>
        <v/>
      </c>
      <c r="M6980" s="112" t="str">
        <f t="shared" si="112"/>
        <v/>
      </c>
      <c r="N6980" s="113"/>
    </row>
    <row r="6981" spans="2:14">
      <c r="B6981" s="105"/>
      <c r="C6981" s="106"/>
      <c r="D6981" s="107"/>
      <c r="E6981" s="65"/>
      <c r="F6981" s="64"/>
      <c r="G6981" s="64"/>
      <c r="H6981" s="64"/>
      <c r="I6981" s="70"/>
      <c r="J6981" s="70"/>
      <c r="K6981" s="110" t="str">
        <f>IF(H6981="","",IF($C$29="간이법","",FPR(H6981,I6981,J6981)))</f>
        <v/>
      </c>
      <c r="L6981" s="111" t="str">
        <f>IF(H6981="","",IF($C$29="상세법",FPV(H6981,K6981),IF(H6981="EI",4,IF(H6981="EO",5.2,IF(H6981="EQ",3.9,IF(H6981="ILF",7.5,IF(H6981="EIF",5.4)))))))</f>
        <v/>
      </c>
      <c r="M6981" s="112" t="str">
        <f t="shared" si="112"/>
        <v/>
      </c>
      <c r="N6981" s="113"/>
    </row>
    <row r="6982" spans="2:14">
      <c r="B6982" s="105"/>
      <c r="C6982" s="106"/>
      <c r="D6982" s="107"/>
      <c r="E6982" s="65"/>
      <c r="F6982" s="64"/>
      <c r="G6982" s="64"/>
      <c r="H6982" s="64"/>
      <c r="I6982" s="70"/>
      <c r="J6982" s="70"/>
      <c r="K6982" s="110" t="str">
        <f>IF(H6982="","",IF($C$29="간이법","",FPR(H6982,I6982,J6982)))</f>
        <v/>
      </c>
      <c r="L6982" s="111" t="str">
        <f>IF(H6982="","",IF($C$29="상세법",FPV(H6982,K6982),IF(H6982="EI",4,IF(H6982="EO",5.2,IF(H6982="EQ",3.9,IF(H6982="ILF",7.5,IF(H6982="EIF",5.4)))))))</f>
        <v/>
      </c>
      <c r="M6982" s="112" t="str">
        <f t="shared" si="112"/>
        <v/>
      </c>
      <c r="N6982" s="113"/>
    </row>
    <row r="6983" spans="2:14">
      <c r="B6983" s="105"/>
      <c r="C6983" s="106"/>
      <c r="D6983" s="107"/>
      <c r="E6983" s="65"/>
      <c r="F6983" s="64"/>
      <c r="G6983" s="64"/>
      <c r="H6983" s="64"/>
      <c r="I6983" s="70"/>
      <c r="J6983" s="70"/>
      <c r="K6983" s="110" t="str">
        <f>IF(H6983="","",IF($C$29="간이법","",FPR(H6983,I6983,J6983)))</f>
        <v/>
      </c>
      <c r="L6983" s="111" t="str">
        <f>IF(H6983="","",IF($C$29="상세법",FPV(H6983,K6983),IF(H6983="EI",4,IF(H6983="EO",5.2,IF(H6983="EQ",3.9,IF(H6983="ILF",7.5,IF(H6983="EIF",5.4)))))))</f>
        <v/>
      </c>
      <c r="M6983" s="112" t="str">
        <f t="shared" si="112"/>
        <v/>
      </c>
      <c r="N6983" s="113"/>
    </row>
    <row r="6984" spans="2:14">
      <c r="B6984" s="105"/>
      <c r="C6984" s="106"/>
      <c r="D6984" s="107"/>
      <c r="E6984" s="65"/>
      <c r="F6984" s="64"/>
      <c r="G6984" s="64"/>
      <c r="H6984" s="64"/>
      <c r="I6984" s="70"/>
      <c r="J6984" s="70"/>
      <c r="K6984" s="110" t="str">
        <f>IF(H6984="","",IF($C$29="간이법","",FPR(H6984,I6984,J6984)))</f>
        <v/>
      </c>
      <c r="L6984" s="111" t="str">
        <f>IF(H6984="","",IF($C$29="상세법",FPV(H6984,K6984),IF(H6984="EI",4,IF(H6984="EO",5.2,IF(H6984="EQ",3.9,IF(H6984="ILF",7.5,IF(H6984="EIF",5.4)))))))</f>
        <v/>
      </c>
      <c r="M6984" s="112" t="str">
        <f t="shared" si="112"/>
        <v/>
      </c>
      <c r="N6984" s="113"/>
    </row>
    <row r="6985" spans="2:14">
      <c r="B6985" s="105"/>
      <c r="C6985" s="106"/>
      <c r="D6985" s="107"/>
      <c r="E6985" s="65"/>
      <c r="F6985" s="64"/>
      <c r="G6985" s="64"/>
      <c r="H6985" s="64"/>
      <c r="I6985" s="70"/>
      <c r="J6985" s="70"/>
      <c r="K6985" s="110" t="str">
        <f>IF(H6985="","",IF($C$29="간이법","",FPR(H6985,I6985,J6985)))</f>
        <v/>
      </c>
      <c r="L6985" s="111" t="str">
        <f>IF(H6985="","",IF($C$29="상세법",FPV(H6985,K6985),IF(H6985="EI",4,IF(H6985="EO",5.2,IF(H6985="EQ",3.9,IF(H6985="ILF",7.5,IF(H6985="EIF",5.4)))))))</f>
        <v/>
      </c>
      <c r="M6985" s="112" t="str">
        <f t="shared" si="112"/>
        <v/>
      </c>
      <c r="N6985" s="113"/>
    </row>
    <row r="6986" spans="2:14">
      <c r="B6986" s="105"/>
      <c r="C6986" s="106"/>
      <c r="D6986" s="107"/>
      <c r="E6986" s="65"/>
      <c r="F6986" s="64"/>
      <c r="G6986" s="64"/>
      <c r="H6986" s="64"/>
      <c r="I6986" s="70"/>
      <c r="J6986" s="70"/>
      <c r="K6986" s="110" t="str">
        <f>IF(H6986="","",IF($C$29="간이법","",FPR(H6986,I6986,J6986)))</f>
        <v/>
      </c>
      <c r="L6986" s="111" t="str">
        <f>IF(H6986="","",IF($C$29="상세법",FPV(H6986,K6986),IF(H6986="EI",4,IF(H6986="EO",5.2,IF(H6986="EQ",3.9,IF(H6986="ILF",7.5,IF(H6986="EIF",5.4)))))))</f>
        <v/>
      </c>
      <c r="M6986" s="112" t="str">
        <f t="shared" si="112"/>
        <v/>
      </c>
      <c r="N6986" s="113"/>
    </row>
    <row r="6987" spans="2:14">
      <c r="B6987" s="105"/>
      <c r="C6987" s="106"/>
      <c r="D6987" s="107"/>
      <c r="E6987" s="65"/>
      <c r="F6987" s="64"/>
      <c r="G6987" s="64"/>
      <c r="H6987" s="64"/>
      <c r="I6987" s="70"/>
      <c r="J6987" s="70"/>
      <c r="K6987" s="110" t="str">
        <f>IF(H6987="","",IF($C$29="간이법","",FPR(H6987,I6987,J6987)))</f>
        <v/>
      </c>
      <c r="L6987" s="111" t="str">
        <f>IF(H6987="","",IF($C$29="상세법",FPV(H6987,K6987),IF(H6987="EI",4,IF(H6987="EO",5.2,IF(H6987="EQ",3.9,IF(H6987="ILF",7.5,IF(H6987="EIF",5.4)))))))</f>
        <v/>
      </c>
      <c r="M6987" s="112" t="str">
        <f t="shared" si="112"/>
        <v/>
      </c>
      <c r="N6987" s="113"/>
    </row>
    <row r="6988" spans="2:14">
      <c r="B6988" s="105"/>
      <c r="C6988" s="106"/>
      <c r="D6988" s="107"/>
      <c r="E6988" s="65"/>
      <c r="F6988" s="64"/>
      <c r="G6988" s="64"/>
      <c r="H6988" s="64"/>
      <c r="I6988" s="70"/>
      <c r="J6988" s="70"/>
      <c r="K6988" s="110" t="str">
        <f>IF(H6988="","",IF($C$29="간이법","",FPR(H6988,I6988,J6988)))</f>
        <v/>
      </c>
      <c r="L6988" s="111" t="str">
        <f>IF(H6988="","",IF($C$29="상세법",FPV(H6988,K6988),IF(H6988="EI",4,IF(H6988="EO",5.2,IF(H6988="EQ",3.9,IF(H6988="ILF",7.5,IF(H6988="EIF",5.4)))))))</f>
        <v/>
      </c>
      <c r="M6988" s="112" t="str">
        <f t="shared" si="112"/>
        <v/>
      </c>
      <c r="N6988" s="113"/>
    </row>
    <row r="6989" spans="2:14">
      <c r="B6989" s="105"/>
      <c r="C6989" s="106"/>
      <c r="D6989" s="107"/>
      <c r="E6989" s="65"/>
      <c r="F6989" s="64"/>
      <c r="G6989" s="64"/>
      <c r="H6989" s="64"/>
      <c r="I6989" s="70"/>
      <c r="J6989" s="70"/>
      <c r="K6989" s="110" t="str">
        <f>IF(H6989="","",IF($C$29="간이법","",FPR(H6989,I6989,J6989)))</f>
        <v/>
      </c>
      <c r="L6989" s="111" t="str">
        <f>IF(H6989="","",IF($C$29="상세법",FPV(H6989,K6989),IF(H6989="EI",4,IF(H6989="EO",5.2,IF(H6989="EQ",3.9,IF(H6989="ILF",7.5,IF(H6989="EIF",5.4)))))))</f>
        <v/>
      </c>
      <c r="M6989" s="112" t="str">
        <f t="shared" si="112"/>
        <v/>
      </c>
      <c r="N6989" s="113"/>
    </row>
    <row r="6990" spans="2:14">
      <c r="B6990" s="105"/>
      <c r="C6990" s="106"/>
      <c r="D6990" s="107"/>
      <c r="E6990" s="65"/>
      <c r="F6990" s="64"/>
      <c r="G6990" s="64"/>
      <c r="H6990" s="64"/>
      <c r="I6990" s="70"/>
      <c r="J6990" s="70"/>
      <c r="K6990" s="110" t="str">
        <f>IF(H6990="","",IF($C$29="간이법","",FPR(H6990,I6990,J6990)))</f>
        <v/>
      </c>
      <c r="L6990" s="111" t="str">
        <f>IF(H6990="","",IF($C$29="상세법",FPV(H6990,K6990),IF(H6990="EI",4,IF(H6990="EO",5.2,IF(H6990="EQ",3.9,IF(H6990="ILF",7.5,IF(H6990="EIF",5.4)))))))</f>
        <v/>
      </c>
      <c r="M6990" s="112" t="str">
        <f t="shared" si="112"/>
        <v/>
      </c>
      <c r="N6990" s="113"/>
    </row>
    <row r="6991" spans="2:14">
      <c r="B6991" s="105"/>
      <c r="C6991" s="106"/>
      <c r="D6991" s="107"/>
      <c r="E6991" s="65"/>
      <c r="F6991" s="64"/>
      <c r="G6991" s="64"/>
      <c r="H6991" s="64"/>
      <c r="I6991" s="70"/>
      <c r="J6991" s="70"/>
      <c r="K6991" s="110" t="str">
        <f>IF(H6991="","",IF($C$29="간이법","",FPR(H6991,I6991,J6991)))</f>
        <v/>
      </c>
      <c r="L6991" s="111" t="str">
        <f>IF(H6991="","",IF($C$29="상세법",FPV(H6991,K6991),IF(H6991="EI",4,IF(H6991="EO",5.2,IF(H6991="EQ",3.9,IF(H6991="ILF",7.5,IF(H6991="EIF",5.4)))))))</f>
        <v/>
      </c>
      <c r="M6991" s="112" t="str">
        <f t="shared" si="112"/>
        <v/>
      </c>
      <c r="N6991" s="113"/>
    </row>
    <row r="6992" spans="2:14">
      <c r="B6992" s="105"/>
      <c r="C6992" s="106"/>
      <c r="D6992" s="107"/>
      <c r="E6992" s="65"/>
      <c r="F6992" s="64"/>
      <c r="G6992" s="64"/>
      <c r="H6992" s="64"/>
      <c r="I6992" s="70"/>
      <c r="J6992" s="70"/>
      <c r="K6992" s="110" t="str">
        <f>IF(H6992="","",IF($C$29="간이법","",FPR(H6992,I6992,J6992)))</f>
        <v/>
      </c>
      <c r="L6992" s="111" t="str">
        <f>IF(H6992="","",IF($C$29="상세법",FPV(H6992,K6992),IF(H6992="EI",4,IF(H6992="EO",5.2,IF(H6992="EQ",3.9,IF(H6992="ILF",7.5,IF(H6992="EIF",5.4)))))))</f>
        <v/>
      </c>
      <c r="M6992" s="112" t="str">
        <f t="shared" si="112"/>
        <v/>
      </c>
      <c r="N6992" s="113"/>
    </row>
    <row r="6993" spans="2:14">
      <c r="B6993" s="105"/>
      <c r="C6993" s="106"/>
      <c r="D6993" s="107"/>
      <c r="E6993" s="65"/>
      <c r="F6993" s="64"/>
      <c r="G6993" s="64"/>
      <c r="H6993" s="64"/>
      <c r="I6993" s="70"/>
      <c r="J6993" s="70"/>
      <c r="K6993" s="110" t="str">
        <f>IF(H6993="","",IF($C$29="간이법","",FPR(H6993,I6993,J6993)))</f>
        <v/>
      </c>
      <c r="L6993" s="111" t="str">
        <f>IF(H6993="","",IF($C$29="상세법",FPV(H6993,K6993),IF(H6993="EI",4,IF(H6993="EO",5.2,IF(H6993="EQ",3.9,IF(H6993="ILF",7.5,IF(H6993="EIF",5.4)))))))</f>
        <v/>
      </c>
      <c r="M6993" s="112" t="str">
        <f t="shared" si="112"/>
        <v/>
      </c>
      <c r="N6993" s="113"/>
    </row>
    <row r="6994" spans="2:14">
      <c r="B6994" s="105"/>
      <c r="C6994" s="106"/>
      <c r="D6994" s="107"/>
      <c r="E6994" s="65"/>
      <c r="F6994" s="64"/>
      <c r="G6994" s="64"/>
      <c r="H6994" s="64"/>
      <c r="I6994" s="70"/>
      <c r="J6994" s="70"/>
      <c r="K6994" s="110" t="str">
        <f>IF(H6994="","",IF($C$29="간이법","",FPR(H6994,I6994,J6994)))</f>
        <v/>
      </c>
      <c r="L6994" s="111" t="str">
        <f>IF(H6994="","",IF($C$29="상세법",FPV(H6994,K6994),IF(H6994="EI",4,IF(H6994="EO",5.2,IF(H6994="EQ",3.9,IF(H6994="ILF",7.5,IF(H6994="EIF",5.4)))))))</f>
        <v/>
      </c>
      <c r="M6994" s="112" t="str">
        <f t="shared" si="112"/>
        <v/>
      </c>
      <c r="N6994" s="113"/>
    </row>
    <row r="6995" spans="2:14">
      <c r="B6995" s="105"/>
      <c r="C6995" s="106"/>
      <c r="D6995" s="107"/>
      <c r="E6995" s="65"/>
      <c r="F6995" s="64"/>
      <c r="G6995" s="64"/>
      <c r="H6995" s="64"/>
      <c r="I6995" s="70"/>
      <c r="J6995" s="70"/>
      <c r="K6995" s="110" t="str">
        <f>IF(H6995="","",IF($C$29="간이법","",FPR(H6995,I6995,J6995)))</f>
        <v/>
      </c>
      <c r="L6995" s="111" t="str">
        <f>IF(H6995="","",IF($C$29="상세법",FPV(H6995,K6995),IF(H6995="EI",4,IF(H6995="EO",5.2,IF(H6995="EQ",3.9,IF(H6995="ILF",7.5,IF(H6995="EIF",5.4)))))))</f>
        <v/>
      </c>
      <c r="M6995" s="112" t="str">
        <f t="shared" si="112"/>
        <v/>
      </c>
      <c r="N6995" s="113"/>
    </row>
    <row r="6996" spans="2:14">
      <c r="B6996" s="105"/>
      <c r="C6996" s="106"/>
      <c r="D6996" s="107"/>
      <c r="E6996" s="65"/>
      <c r="F6996" s="64"/>
      <c r="G6996" s="64"/>
      <c r="H6996" s="64"/>
      <c r="I6996" s="70"/>
      <c r="J6996" s="70"/>
      <c r="K6996" s="110" t="str">
        <f>IF(H6996="","",IF($C$29="간이법","",FPR(H6996,I6996,J6996)))</f>
        <v/>
      </c>
      <c r="L6996" s="111" t="str">
        <f>IF(H6996="","",IF($C$29="상세법",FPV(H6996,K6996),IF(H6996="EI",4,IF(H6996="EO",5.2,IF(H6996="EQ",3.9,IF(H6996="ILF",7.5,IF(H6996="EIF",5.4)))))))</f>
        <v/>
      </c>
      <c r="M6996" s="112" t="str">
        <f t="shared" si="112"/>
        <v/>
      </c>
      <c r="N6996" s="113"/>
    </row>
    <row r="6997" spans="2:14">
      <c r="B6997" s="105"/>
      <c r="C6997" s="106"/>
      <c r="D6997" s="107"/>
      <c r="E6997" s="65"/>
      <c r="F6997" s="64"/>
      <c r="G6997" s="64"/>
      <c r="H6997" s="64"/>
      <c r="I6997" s="70"/>
      <c r="J6997" s="70"/>
      <c r="K6997" s="110" t="str">
        <f>IF(H6997="","",IF($C$29="간이법","",FPR(H6997,I6997,J6997)))</f>
        <v/>
      </c>
      <c r="L6997" s="111" t="str">
        <f>IF(H6997="","",IF($C$29="상세법",FPV(H6997,K6997),IF(H6997="EI",4,IF(H6997="EO",5.2,IF(H6997="EQ",3.9,IF(H6997="ILF",7.5,IF(H6997="EIF",5.4)))))))</f>
        <v/>
      </c>
      <c r="M6997" s="112" t="str">
        <f t="shared" si="112"/>
        <v/>
      </c>
      <c r="N6997" s="113"/>
    </row>
    <row r="6998" spans="2:14">
      <c r="B6998" s="105"/>
      <c r="C6998" s="106"/>
      <c r="D6998" s="107"/>
      <c r="E6998" s="65"/>
      <c r="F6998" s="64"/>
      <c r="G6998" s="64"/>
      <c r="H6998" s="64"/>
      <c r="I6998" s="70"/>
      <c r="J6998" s="70"/>
      <c r="K6998" s="110" t="str">
        <f>IF(H6998="","",IF($C$29="간이법","",FPR(H6998,I6998,J6998)))</f>
        <v/>
      </c>
      <c r="L6998" s="111" t="str">
        <f>IF(H6998="","",IF($C$29="상세법",FPV(H6998,K6998),IF(H6998="EI",4,IF(H6998="EO",5.2,IF(H6998="EQ",3.9,IF(H6998="ILF",7.5,IF(H6998="EIF",5.4)))))))</f>
        <v/>
      </c>
      <c r="M6998" s="112" t="str">
        <f t="shared" si="112"/>
        <v/>
      </c>
      <c r="N6998" s="113"/>
    </row>
    <row r="6999" spans="2:14">
      <c r="B6999" s="105"/>
      <c r="C6999" s="106"/>
      <c r="D6999" s="107"/>
      <c r="E6999" s="65"/>
      <c r="F6999" s="64"/>
      <c r="G6999" s="64"/>
      <c r="H6999" s="64"/>
      <c r="I6999" s="70"/>
      <c r="J6999" s="70"/>
      <c r="K6999" s="110" t="str">
        <f>IF(H6999="","",IF($C$29="간이법","",FPR(H6999,I6999,J6999)))</f>
        <v/>
      </c>
      <c r="L6999" s="111" t="str">
        <f>IF(H6999="","",IF($C$29="상세법",FPV(H6999,K6999),IF(H6999="EI",4,IF(H6999="EO",5.2,IF(H6999="EQ",3.9,IF(H6999="ILF",7.5,IF(H6999="EIF",5.4)))))))</f>
        <v/>
      </c>
      <c r="M6999" s="112" t="str">
        <f t="shared" si="112"/>
        <v/>
      </c>
      <c r="N6999" s="113"/>
    </row>
    <row r="7000" spans="2:14">
      <c r="B7000" s="105"/>
      <c r="C7000" s="106"/>
      <c r="D7000" s="107"/>
      <c r="E7000" s="65"/>
      <c r="F7000" s="64"/>
      <c r="G7000" s="64"/>
      <c r="H7000" s="64"/>
      <c r="I7000" s="70"/>
      <c r="J7000" s="70"/>
      <c r="K7000" s="110" t="str">
        <f>IF(H7000="","",IF($C$29="간이법","",FPR(H7000,I7000,J7000)))</f>
        <v/>
      </c>
      <c r="L7000" s="111" t="str">
        <f>IF(H7000="","",IF($C$29="상세법",FPV(H7000,K7000),IF(H7000="EI",4,IF(H7000="EO",5.2,IF(H7000="EQ",3.9,IF(H7000="ILF",7.5,IF(H7000="EIF",5.4)))))))</f>
        <v/>
      </c>
      <c r="M7000" s="112" t="str">
        <f t="shared" si="112"/>
        <v/>
      </c>
      <c r="N7000" s="113"/>
    </row>
    <row r="7001" spans="2:14">
      <c r="B7001" s="105"/>
      <c r="C7001" s="106"/>
      <c r="D7001" s="107"/>
      <c r="E7001" s="65"/>
      <c r="F7001" s="64"/>
      <c r="G7001" s="64"/>
      <c r="H7001" s="64"/>
      <c r="I7001" s="70"/>
      <c r="J7001" s="70"/>
      <c r="K7001" s="110" t="str">
        <f>IF(H7001="","",IF($C$29="간이법","",FPR(H7001,I7001,J7001)))</f>
        <v/>
      </c>
      <c r="L7001" s="111" t="str">
        <f>IF(H7001="","",IF($C$29="상세법",FPV(H7001,K7001),IF(H7001="EI",4,IF(H7001="EO",5.2,IF(H7001="EQ",3.9,IF(H7001="ILF",7.5,IF(H7001="EIF",5.4)))))))</f>
        <v/>
      </c>
      <c r="M7001" s="112" t="str">
        <f t="shared" si="112"/>
        <v/>
      </c>
      <c r="N7001" s="113"/>
    </row>
    <row r="7002" spans="2:14">
      <c r="B7002" s="105"/>
      <c r="C7002" s="106"/>
      <c r="D7002" s="107"/>
      <c r="E7002" s="65"/>
      <c r="F7002" s="64"/>
      <c r="G7002" s="64"/>
      <c r="H7002" s="64"/>
      <c r="I7002" s="70"/>
      <c r="J7002" s="70"/>
      <c r="K7002" s="110" t="str">
        <f>IF(H7002="","",IF($C$29="간이법","",FPR(H7002,I7002,J7002)))</f>
        <v/>
      </c>
      <c r="L7002" s="111" t="str">
        <f>IF(H7002="","",IF($C$29="상세법",FPV(H7002,K7002),IF(H7002="EI",4,IF(H7002="EO",5.2,IF(H7002="EQ",3.9,IF(H7002="ILF",7.5,IF(H7002="EIF",5.4)))))))</f>
        <v/>
      </c>
      <c r="M7002" s="112" t="str">
        <f t="shared" si="112"/>
        <v/>
      </c>
      <c r="N7002" s="113"/>
    </row>
    <row r="7003" spans="2:14">
      <c r="B7003" s="105"/>
      <c r="C7003" s="106"/>
      <c r="D7003" s="107"/>
      <c r="E7003" s="65"/>
      <c r="F7003" s="64"/>
      <c r="G7003" s="64"/>
      <c r="H7003" s="64"/>
      <c r="I7003" s="70"/>
      <c r="J7003" s="70"/>
      <c r="K7003" s="110" t="str">
        <f>IF(H7003="","",IF($C$29="간이법","",FPR(H7003,I7003,J7003)))</f>
        <v/>
      </c>
      <c r="L7003" s="111" t="str">
        <f>IF(H7003="","",IF($C$29="상세법",FPV(H7003,K7003),IF(H7003="EI",4,IF(H7003="EO",5.2,IF(H7003="EQ",3.9,IF(H7003="ILF",7.5,IF(H7003="EIF",5.4)))))))</f>
        <v/>
      </c>
      <c r="M7003" s="112" t="str">
        <f t="shared" si="112"/>
        <v/>
      </c>
      <c r="N7003" s="113"/>
    </row>
    <row r="7004" spans="2:14">
      <c r="B7004" s="105"/>
      <c r="C7004" s="106"/>
      <c r="D7004" s="107"/>
      <c r="E7004" s="65"/>
      <c r="F7004" s="64"/>
      <c r="G7004" s="64"/>
      <c r="H7004" s="64"/>
      <c r="I7004" s="70"/>
      <c r="J7004" s="70"/>
      <c r="K7004" s="110" t="str">
        <f>IF(H7004="","",IF($C$29="간이법","",FPR(H7004,I7004,J7004)))</f>
        <v/>
      </c>
      <c r="L7004" s="111" t="str">
        <f>IF(H7004="","",IF($C$29="상세법",FPV(H7004,K7004),IF(H7004="EI",4,IF(H7004="EO",5.2,IF(H7004="EQ",3.9,IF(H7004="ILF",7.5,IF(H7004="EIF",5.4)))))))</f>
        <v/>
      </c>
      <c r="M7004" s="112" t="str">
        <f t="shared" si="112"/>
        <v/>
      </c>
      <c r="N7004" s="113"/>
    </row>
    <row r="7005" spans="2:14">
      <c r="B7005" s="105"/>
      <c r="C7005" s="106"/>
      <c r="D7005" s="107"/>
      <c r="E7005" s="65"/>
      <c r="F7005" s="64"/>
      <c r="G7005" s="64"/>
      <c r="H7005" s="64"/>
      <c r="I7005" s="70"/>
      <c r="J7005" s="70"/>
      <c r="K7005" s="110" t="str">
        <f>IF(H7005="","",IF($C$29="간이법","",FPR(H7005,I7005,J7005)))</f>
        <v/>
      </c>
      <c r="L7005" s="111" t="str">
        <f>IF(H7005="","",IF($C$29="상세법",FPV(H7005,K7005),IF(H7005="EI",4,IF(H7005="EO",5.2,IF(H7005="EQ",3.9,IF(H7005="ILF",7.5,IF(H7005="EIF",5.4)))))))</f>
        <v/>
      </c>
      <c r="M7005" s="112" t="str">
        <f t="shared" si="112"/>
        <v/>
      </c>
      <c r="N7005" s="113"/>
    </row>
    <row r="7006" spans="2:14">
      <c r="B7006" s="105"/>
      <c r="C7006" s="106"/>
      <c r="D7006" s="107"/>
      <c r="E7006" s="65"/>
      <c r="F7006" s="64"/>
      <c r="G7006" s="64"/>
      <c r="H7006" s="64"/>
      <c r="I7006" s="70"/>
      <c r="J7006" s="70"/>
      <c r="K7006" s="110" t="str">
        <f>IF(H7006="","",IF($C$29="간이법","",FPR(H7006,I7006,J7006)))</f>
        <v/>
      </c>
      <c r="L7006" s="111" t="str">
        <f>IF(H7006="","",IF($C$29="상세법",FPV(H7006,K7006),IF(H7006="EI",4,IF(H7006="EO",5.2,IF(H7006="EQ",3.9,IF(H7006="ILF",7.5,IF(H7006="EIF",5.4)))))))</f>
        <v/>
      </c>
      <c r="M7006" s="112" t="str">
        <f t="shared" si="112"/>
        <v/>
      </c>
      <c r="N7006" s="113"/>
    </row>
    <row r="7007" spans="2:14">
      <c r="B7007" s="105"/>
      <c r="C7007" s="106"/>
      <c r="D7007" s="107"/>
      <c r="E7007" s="65"/>
      <c r="F7007" s="64"/>
      <c r="G7007" s="64"/>
      <c r="H7007" s="64"/>
      <c r="I7007" s="70"/>
      <c r="J7007" s="70"/>
      <c r="K7007" s="110" t="str">
        <f>IF(H7007="","",IF($C$29="간이법","",FPR(H7007,I7007,J7007)))</f>
        <v/>
      </c>
      <c r="L7007" s="111" t="str">
        <f>IF(H7007="","",IF($C$29="상세법",FPV(H7007,K7007),IF(H7007="EI",4,IF(H7007="EO",5.2,IF(H7007="EQ",3.9,IF(H7007="ILF",7.5,IF(H7007="EIF",5.4)))))))</f>
        <v/>
      </c>
      <c r="M7007" s="112" t="str">
        <f t="shared" si="112"/>
        <v/>
      </c>
      <c r="N7007" s="113"/>
    </row>
    <row r="7008" spans="2:14">
      <c r="B7008" s="105"/>
      <c r="C7008" s="106"/>
      <c r="D7008" s="107"/>
      <c r="E7008" s="65"/>
      <c r="F7008" s="64"/>
      <c r="G7008" s="64"/>
      <c r="H7008" s="64"/>
      <c r="I7008" s="70"/>
      <c r="J7008" s="70"/>
      <c r="K7008" s="110" t="str">
        <f>IF(H7008="","",IF($C$29="간이법","",FPR(H7008,I7008,J7008)))</f>
        <v/>
      </c>
      <c r="L7008" s="111" t="str">
        <f>IF(H7008="","",IF($C$29="상세법",FPV(H7008,K7008),IF(H7008="EI",4,IF(H7008="EO",5.2,IF(H7008="EQ",3.9,IF(H7008="ILF",7.5,IF(H7008="EIF",5.4)))))))</f>
        <v/>
      </c>
      <c r="M7008" s="112" t="str">
        <f t="shared" si="112"/>
        <v/>
      </c>
      <c r="N7008" s="113"/>
    </row>
    <row r="7009" spans="2:14">
      <c r="B7009" s="105"/>
      <c r="C7009" s="106"/>
      <c r="D7009" s="107"/>
      <c r="E7009" s="65"/>
      <c r="F7009" s="64"/>
      <c r="G7009" s="64"/>
      <c r="H7009" s="64"/>
      <c r="I7009" s="70"/>
      <c r="J7009" s="70"/>
      <c r="K7009" s="110" t="str">
        <f>IF(H7009="","",IF($C$29="간이법","",FPR(H7009,I7009,J7009)))</f>
        <v/>
      </c>
      <c r="L7009" s="111" t="str">
        <f>IF(H7009="","",IF($C$29="상세법",FPV(H7009,K7009),IF(H7009="EI",4,IF(H7009="EO",5.2,IF(H7009="EQ",3.9,IF(H7009="ILF",7.5,IF(H7009="EIF",5.4)))))))</f>
        <v/>
      </c>
      <c r="M7009" s="112" t="str">
        <f t="shared" si="112"/>
        <v/>
      </c>
      <c r="N7009" s="113"/>
    </row>
    <row r="7010" spans="2:14">
      <c r="B7010" s="105"/>
      <c r="C7010" s="106"/>
      <c r="D7010" s="107"/>
      <c r="E7010" s="65"/>
      <c r="F7010" s="64"/>
      <c r="G7010" s="64"/>
      <c r="H7010" s="64"/>
      <c r="I7010" s="70"/>
      <c r="J7010" s="70"/>
      <c r="K7010" s="110" t="str">
        <f>IF(H7010="","",IF($C$29="간이법","",FPR(H7010,I7010,J7010)))</f>
        <v/>
      </c>
      <c r="L7010" s="111" t="str">
        <f>IF(H7010="","",IF($C$29="상세법",FPV(H7010,K7010),IF(H7010="EI",4,IF(H7010="EO",5.2,IF(H7010="EQ",3.9,IF(H7010="ILF",7.5,IF(H7010="EIF",5.4)))))))</f>
        <v/>
      </c>
      <c r="M7010" s="112" t="str">
        <f t="shared" si="112"/>
        <v/>
      </c>
      <c r="N7010" s="113"/>
    </row>
    <row r="7011" spans="2:14">
      <c r="B7011" s="105"/>
      <c r="C7011" s="106"/>
      <c r="D7011" s="107"/>
      <c r="E7011" s="65"/>
      <c r="F7011" s="64"/>
      <c r="G7011" s="64"/>
      <c r="H7011" s="64"/>
      <c r="I7011" s="70"/>
      <c r="J7011" s="70"/>
      <c r="K7011" s="110" t="str">
        <f>IF(H7011="","",IF($C$29="간이법","",FPR(H7011,I7011,J7011)))</f>
        <v/>
      </c>
      <c r="L7011" s="111" t="str">
        <f>IF(H7011="","",IF($C$29="상세법",FPV(H7011,K7011),IF(H7011="EI",4,IF(H7011="EO",5.2,IF(H7011="EQ",3.9,IF(H7011="ILF",7.5,IF(H7011="EIF",5.4)))))))</f>
        <v/>
      </c>
      <c r="M7011" s="112" t="str">
        <f t="shared" si="112"/>
        <v/>
      </c>
      <c r="N7011" s="113"/>
    </row>
    <row r="7012" spans="2:14">
      <c r="B7012" s="105"/>
      <c r="C7012" s="106"/>
      <c r="D7012" s="107"/>
      <c r="E7012" s="65"/>
      <c r="F7012" s="64"/>
      <c r="G7012" s="64"/>
      <c r="H7012" s="64"/>
      <c r="I7012" s="70"/>
      <c r="J7012" s="70"/>
      <c r="K7012" s="110" t="str">
        <f>IF(H7012="","",IF($C$29="간이법","",FPR(H7012,I7012,J7012)))</f>
        <v/>
      </c>
      <c r="L7012" s="111" t="str">
        <f>IF(H7012="","",IF($C$29="상세법",FPV(H7012,K7012),IF(H7012="EI",4,IF(H7012="EO",5.2,IF(H7012="EQ",3.9,IF(H7012="ILF",7.5,IF(H7012="EIF",5.4)))))))</f>
        <v/>
      </c>
      <c r="M7012" s="112" t="str">
        <f t="shared" si="112"/>
        <v/>
      </c>
      <c r="N7012" s="113"/>
    </row>
    <row r="7013" spans="2:14">
      <c r="B7013" s="105"/>
      <c r="C7013" s="106"/>
      <c r="D7013" s="107"/>
      <c r="E7013" s="65"/>
      <c r="F7013" s="64"/>
      <c r="G7013" s="64"/>
      <c r="H7013" s="64"/>
      <c r="I7013" s="70"/>
      <c r="J7013" s="70"/>
      <c r="K7013" s="110" t="str">
        <f>IF(H7013="","",IF($C$29="간이법","",FPR(H7013,I7013,J7013)))</f>
        <v/>
      </c>
      <c r="L7013" s="111" t="str">
        <f>IF(H7013="","",IF($C$29="상세법",FPV(H7013,K7013),IF(H7013="EI",4,IF(H7013="EO",5.2,IF(H7013="EQ",3.9,IF(H7013="ILF",7.5,IF(H7013="EIF",5.4)))))))</f>
        <v/>
      </c>
      <c r="M7013" s="112" t="str">
        <f t="shared" si="112"/>
        <v/>
      </c>
      <c r="N7013" s="113"/>
    </row>
    <row r="7014" spans="2:14">
      <c r="B7014" s="105"/>
      <c r="C7014" s="106"/>
      <c r="D7014" s="107"/>
      <c r="E7014" s="65"/>
      <c r="F7014" s="64"/>
      <c r="G7014" s="64"/>
      <c r="H7014" s="64"/>
      <c r="I7014" s="70"/>
      <c r="J7014" s="70"/>
      <c r="K7014" s="110" t="str">
        <f>IF(H7014="","",IF($C$29="간이법","",FPR(H7014,I7014,J7014)))</f>
        <v/>
      </c>
      <c r="L7014" s="111" t="str">
        <f>IF(H7014="","",IF($C$29="상세법",FPV(H7014,K7014),IF(H7014="EI",4,IF(H7014="EO",5.2,IF(H7014="EQ",3.9,IF(H7014="ILF",7.5,IF(H7014="EIF",5.4)))))))</f>
        <v/>
      </c>
      <c r="M7014" s="112" t="str">
        <f t="shared" si="112"/>
        <v/>
      </c>
      <c r="N7014" s="113"/>
    </row>
    <row r="7015" spans="2:14">
      <c r="B7015" s="105"/>
      <c r="C7015" s="106"/>
      <c r="D7015" s="107"/>
      <c r="E7015" s="65"/>
      <c r="F7015" s="64"/>
      <c r="G7015" s="64"/>
      <c r="H7015" s="64"/>
      <c r="I7015" s="70"/>
      <c r="J7015" s="70"/>
      <c r="K7015" s="110" t="str">
        <f>IF(H7015="","",IF($C$29="간이법","",FPR(H7015,I7015,J7015)))</f>
        <v/>
      </c>
      <c r="L7015" s="111" t="str">
        <f>IF(H7015="","",IF($C$29="상세법",FPV(H7015,K7015),IF(H7015="EI",4,IF(H7015="EO",5.2,IF(H7015="EQ",3.9,IF(H7015="ILF",7.5,IF(H7015="EIF",5.4)))))))</f>
        <v/>
      </c>
      <c r="M7015" s="112" t="str">
        <f t="shared" si="112"/>
        <v/>
      </c>
      <c r="N7015" s="113"/>
    </row>
    <row r="7016" spans="2:14">
      <c r="B7016" s="105"/>
      <c r="C7016" s="106"/>
      <c r="D7016" s="107"/>
      <c r="E7016" s="65"/>
      <c r="F7016" s="64"/>
      <c r="G7016" s="64"/>
      <c r="H7016" s="64"/>
      <c r="I7016" s="70"/>
      <c r="J7016" s="70"/>
      <c r="K7016" s="110" t="str">
        <f>IF(H7016="","",IF($C$29="간이법","",FPR(H7016,I7016,J7016)))</f>
        <v/>
      </c>
      <c r="L7016" s="111" t="str">
        <f>IF(H7016="","",IF($C$29="상세법",FPV(H7016,K7016),IF(H7016="EI",4,IF(H7016="EO",5.2,IF(H7016="EQ",3.9,IF(H7016="ILF",7.5,IF(H7016="EIF",5.4)))))))</f>
        <v/>
      </c>
      <c r="M7016" s="112" t="str">
        <f t="shared" si="112"/>
        <v/>
      </c>
      <c r="N7016" s="113"/>
    </row>
    <row r="7017" spans="2:14">
      <c r="B7017" s="105"/>
      <c r="C7017" s="106"/>
      <c r="D7017" s="107"/>
      <c r="E7017" s="65"/>
      <c r="F7017" s="64"/>
      <c r="G7017" s="64"/>
      <c r="H7017" s="64"/>
      <c r="I7017" s="70"/>
      <c r="J7017" s="70"/>
      <c r="K7017" s="110" t="str">
        <f>IF(H7017="","",IF($C$29="간이법","",FPR(H7017,I7017,J7017)))</f>
        <v/>
      </c>
      <c r="L7017" s="111" t="str">
        <f>IF(H7017="","",IF($C$29="상세법",FPV(H7017,K7017),IF(H7017="EI",4,IF(H7017="EO",5.2,IF(H7017="EQ",3.9,IF(H7017="ILF",7.5,IF(H7017="EIF",5.4)))))))</f>
        <v/>
      </c>
      <c r="M7017" s="112" t="str">
        <f t="shared" si="112"/>
        <v/>
      </c>
      <c r="N7017" s="113"/>
    </row>
    <row r="7018" spans="2:14">
      <c r="B7018" s="105"/>
      <c r="C7018" s="106"/>
      <c r="D7018" s="107"/>
      <c r="E7018" s="65"/>
      <c r="F7018" s="64"/>
      <c r="G7018" s="64"/>
      <c r="H7018" s="64"/>
      <c r="I7018" s="70"/>
      <c r="J7018" s="70"/>
      <c r="K7018" s="110" t="str">
        <f>IF(H7018="","",IF($C$29="간이법","",FPR(H7018,I7018,J7018)))</f>
        <v/>
      </c>
      <c r="L7018" s="111" t="str">
        <f>IF(H7018="","",IF($C$29="상세법",FPV(H7018,K7018),IF(H7018="EI",4,IF(H7018="EO",5.2,IF(H7018="EQ",3.9,IF(H7018="ILF",7.5,IF(H7018="EIF",5.4)))))))</f>
        <v/>
      </c>
      <c r="M7018" s="112" t="str">
        <f t="shared" si="112"/>
        <v/>
      </c>
      <c r="N7018" s="113"/>
    </row>
    <row r="7019" spans="2:14">
      <c r="B7019" s="105"/>
      <c r="C7019" s="106"/>
      <c r="D7019" s="107"/>
      <c r="E7019" s="65"/>
      <c r="F7019" s="64"/>
      <c r="G7019" s="64"/>
      <c r="H7019" s="64"/>
      <c r="I7019" s="70"/>
      <c r="J7019" s="70"/>
      <c r="K7019" s="110" t="str">
        <f>IF(H7019="","",IF($C$29="간이법","",FPR(H7019,I7019,J7019)))</f>
        <v/>
      </c>
      <c r="L7019" s="111" t="str">
        <f>IF(H7019="","",IF($C$29="상세법",FPV(H7019,K7019),IF(H7019="EI",4,IF(H7019="EO",5.2,IF(H7019="EQ",3.9,IF(H7019="ILF",7.5,IF(H7019="EIF",5.4)))))))</f>
        <v/>
      </c>
      <c r="M7019" s="112" t="str">
        <f t="shared" si="112"/>
        <v/>
      </c>
      <c r="N7019" s="113"/>
    </row>
    <row r="7020" spans="2:14">
      <c r="B7020" s="105"/>
      <c r="C7020" s="106"/>
      <c r="D7020" s="107"/>
      <c r="E7020" s="65"/>
      <c r="F7020" s="64"/>
      <c r="G7020" s="64"/>
      <c r="H7020" s="64"/>
      <c r="I7020" s="70"/>
      <c r="J7020" s="70"/>
      <c r="K7020" s="110" t="str">
        <f>IF(H7020="","",IF($C$29="간이법","",FPR(H7020,I7020,J7020)))</f>
        <v/>
      </c>
      <c r="L7020" s="111" t="str">
        <f>IF(H7020="","",IF($C$29="상세법",FPV(H7020,K7020),IF(H7020="EI",4,IF(H7020="EO",5.2,IF(H7020="EQ",3.9,IF(H7020="ILF",7.5,IF(H7020="EIF",5.4)))))))</f>
        <v/>
      </c>
      <c r="M7020" s="112" t="str">
        <f t="shared" si="112"/>
        <v/>
      </c>
      <c r="N7020" s="113"/>
    </row>
    <row r="7021" spans="2:14">
      <c r="B7021" s="105"/>
      <c r="C7021" s="106"/>
      <c r="D7021" s="107"/>
      <c r="E7021" s="65"/>
      <c r="F7021" s="64"/>
      <c r="G7021" s="64"/>
      <c r="H7021" s="64"/>
      <c r="I7021" s="70"/>
      <c r="J7021" s="70"/>
      <c r="K7021" s="110" t="str">
        <f>IF(H7021="","",IF($C$29="간이법","",FPR(H7021,I7021,J7021)))</f>
        <v/>
      </c>
      <c r="L7021" s="111" t="str">
        <f>IF(H7021="","",IF($C$29="상세법",FPV(H7021,K7021),IF(H7021="EI",4,IF(H7021="EO",5.2,IF(H7021="EQ",3.9,IF(H7021="ILF",7.5,IF(H7021="EIF",5.4)))))))</f>
        <v/>
      </c>
      <c r="M7021" s="112" t="str">
        <f t="shared" si="112"/>
        <v/>
      </c>
      <c r="N7021" s="113"/>
    </row>
    <row r="7022" spans="2:14">
      <c r="B7022" s="105"/>
      <c r="C7022" s="106"/>
      <c r="D7022" s="107"/>
      <c r="E7022" s="65"/>
      <c r="F7022" s="64"/>
      <c r="G7022" s="64"/>
      <c r="H7022" s="64"/>
      <c r="I7022" s="70"/>
      <c r="J7022" s="70"/>
      <c r="K7022" s="110" t="str">
        <f>IF(H7022="","",IF($C$29="간이법","",FPR(H7022,I7022,J7022)))</f>
        <v/>
      </c>
      <c r="L7022" s="111" t="str">
        <f>IF(H7022="","",IF($C$29="상세법",FPV(H7022,K7022),IF(H7022="EI",4,IF(H7022="EO",5.2,IF(H7022="EQ",3.9,IF(H7022="ILF",7.5,IF(H7022="EIF",5.4)))))))</f>
        <v/>
      </c>
      <c r="M7022" s="112" t="str">
        <f t="shared" si="112"/>
        <v/>
      </c>
      <c r="N7022" s="113"/>
    </row>
    <row r="7023" spans="2:14">
      <c r="B7023" s="105"/>
      <c r="C7023" s="106"/>
      <c r="D7023" s="107"/>
      <c r="E7023" s="65"/>
      <c r="F7023" s="64"/>
      <c r="G7023" s="64"/>
      <c r="H7023" s="64"/>
      <c r="I7023" s="70"/>
      <c r="J7023" s="70"/>
      <c r="K7023" s="110" t="str">
        <f>IF(H7023="","",IF($C$29="간이법","",FPR(H7023,I7023,J7023)))</f>
        <v/>
      </c>
      <c r="L7023" s="111" t="str">
        <f>IF(H7023="","",IF($C$29="상세법",FPV(H7023,K7023),IF(H7023="EI",4,IF(H7023="EO",5.2,IF(H7023="EQ",3.9,IF(H7023="ILF",7.5,IF(H7023="EIF",5.4)))))))</f>
        <v/>
      </c>
      <c r="M7023" s="112" t="str">
        <f t="shared" si="112"/>
        <v/>
      </c>
      <c r="N7023" s="113"/>
    </row>
    <row r="7024" spans="2:14">
      <c r="B7024" s="105"/>
      <c r="C7024" s="106"/>
      <c r="D7024" s="107"/>
      <c r="E7024" s="65"/>
      <c r="F7024" s="64"/>
      <c r="G7024" s="64"/>
      <c r="H7024" s="64"/>
      <c r="I7024" s="70"/>
      <c r="J7024" s="70"/>
      <c r="K7024" s="110" t="str">
        <f>IF(H7024="","",IF($C$29="간이법","",FPR(H7024,I7024,J7024)))</f>
        <v/>
      </c>
      <c r="L7024" s="111" t="str">
        <f>IF(H7024="","",IF($C$29="상세법",FPV(H7024,K7024),IF(H7024="EI",4,IF(H7024="EO",5.2,IF(H7024="EQ",3.9,IF(H7024="ILF",7.5,IF(H7024="EIF",5.4)))))))</f>
        <v/>
      </c>
      <c r="M7024" s="112" t="str">
        <f t="shared" si="112"/>
        <v/>
      </c>
      <c r="N7024" s="113"/>
    </row>
    <row r="7025" spans="2:14">
      <c r="B7025" s="105"/>
      <c r="C7025" s="106"/>
      <c r="D7025" s="107"/>
      <c r="E7025" s="65"/>
      <c r="F7025" s="64"/>
      <c r="G7025" s="64"/>
      <c r="H7025" s="64"/>
      <c r="I7025" s="70"/>
      <c r="J7025" s="70"/>
      <c r="K7025" s="110" t="str">
        <f>IF(H7025="","",IF($C$29="간이법","",FPR(H7025,I7025,J7025)))</f>
        <v/>
      </c>
      <c r="L7025" s="111" t="str">
        <f>IF(H7025="","",IF($C$29="상세법",FPV(H7025,K7025),IF(H7025="EI",4,IF(H7025="EO",5.2,IF(H7025="EQ",3.9,IF(H7025="ILF",7.5,IF(H7025="EIF",5.4)))))))</f>
        <v/>
      </c>
      <c r="M7025" s="112" t="str">
        <f t="shared" si="112"/>
        <v/>
      </c>
      <c r="N7025" s="113"/>
    </row>
    <row r="7026" spans="2:14">
      <c r="B7026" s="105"/>
      <c r="C7026" s="106"/>
      <c r="D7026" s="107"/>
      <c r="E7026" s="65"/>
      <c r="F7026" s="64"/>
      <c r="G7026" s="64"/>
      <c r="H7026" s="64"/>
      <c r="I7026" s="70"/>
      <c r="J7026" s="70"/>
      <c r="K7026" s="110" t="str">
        <f>IF(H7026="","",IF($C$29="간이법","",FPR(H7026,I7026,J7026)))</f>
        <v/>
      </c>
      <c r="L7026" s="111" t="str">
        <f>IF(H7026="","",IF($C$29="상세법",FPV(H7026,K7026),IF(H7026="EI",4,IF(H7026="EO",5.2,IF(H7026="EQ",3.9,IF(H7026="ILF",7.5,IF(H7026="EIF",5.4)))))))</f>
        <v/>
      </c>
      <c r="M7026" s="112" t="str">
        <f t="shared" si="112"/>
        <v/>
      </c>
      <c r="N7026" s="113"/>
    </row>
    <row r="7027" spans="2:14">
      <c r="B7027" s="105"/>
      <c r="C7027" s="106"/>
      <c r="D7027" s="107"/>
      <c r="E7027" s="65"/>
      <c r="F7027" s="64"/>
      <c r="G7027" s="64"/>
      <c r="H7027" s="64"/>
      <c r="I7027" s="70"/>
      <c r="J7027" s="70"/>
      <c r="K7027" s="110" t="str">
        <f>IF(H7027="","",IF($C$29="간이법","",FPR(H7027,I7027,J7027)))</f>
        <v/>
      </c>
      <c r="L7027" s="111" t="str">
        <f>IF(H7027="","",IF($C$29="상세법",FPV(H7027,K7027),IF(H7027="EI",4,IF(H7027="EO",5.2,IF(H7027="EQ",3.9,IF(H7027="ILF",7.5,IF(H7027="EIF",5.4)))))))</f>
        <v/>
      </c>
      <c r="M7027" s="112" t="str">
        <f t="shared" si="112"/>
        <v/>
      </c>
      <c r="N7027" s="113"/>
    </row>
    <row r="7028" spans="2:14">
      <c r="B7028" s="105"/>
      <c r="C7028" s="106"/>
      <c r="D7028" s="107"/>
      <c r="E7028" s="65"/>
      <c r="F7028" s="64"/>
      <c r="G7028" s="64"/>
      <c r="H7028" s="64"/>
      <c r="I7028" s="70"/>
      <c r="J7028" s="70"/>
      <c r="K7028" s="110" t="str">
        <f>IF(H7028="","",IF($C$29="간이법","",FPR(H7028,I7028,J7028)))</f>
        <v/>
      </c>
      <c r="L7028" s="111" t="str">
        <f>IF(H7028="","",IF($C$29="상세법",FPV(H7028,K7028),IF(H7028="EI",4,IF(H7028="EO",5.2,IF(H7028="EQ",3.9,IF(H7028="ILF",7.5,IF(H7028="EIF",5.4)))))))</f>
        <v/>
      </c>
      <c r="M7028" s="112" t="str">
        <f t="shared" si="112"/>
        <v/>
      </c>
      <c r="N7028" s="113"/>
    </row>
    <row r="7029" spans="2:14">
      <c r="B7029" s="105"/>
      <c r="C7029" s="106"/>
      <c r="D7029" s="107"/>
      <c r="E7029" s="65"/>
      <c r="F7029" s="64"/>
      <c r="G7029" s="64"/>
      <c r="H7029" s="64"/>
      <c r="I7029" s="70"/>
      <c r="J7029" s="70"/>
      <c r="K7029" s="110" t="str">
        <f>IF(H7029="","",IF($C$29="간이법","",FPR(H7029,I7029,J7029)))</f>
        <v/>
      </c>
      <c r="L7029" s="111" t="str">
        <f>IF(H7029="","",IF($C$29="상세법",FPV(H7029,K7029),IF(H7029="EI",4,IF(H7029="EO",5.2,IF(H7029="EQ",3.9,IF(H7029="ILF",7.5,IF(H7029="EIF",5.4)))))))</f>
        <v/>
      </c>
      <c r="M7029" s="112" t="str">
        <f t="shared" si="112"/>
        <v/>
      </c>
      <c r="N7029" s="113"/>
    </row>
    <row r="7030" spans="2:14">
      <c r="B7030" s="105"/>
      <c r="C7030" s="106"/>
      <c r="D7030" s="107"/>
      <c r="E7030" s="65"/>
      <c r="F7030" s="64"/>
      <c r="G7030" s="64"/>
      <c r="H7030" s="64"/>
      <c r="I7030" s="70"/>
      <c r="J7030" s="70"/>
      <c r="K7030" s="110" t="str">
        <f>IF(H7030="","",IF($C$29="간이법","",FPR(H7030,I7030,J7030)))</f>
        <v/>
      </c>
      <c r="L7030" s="111" t="str">
        <f>IF(H7030="","",IF($C$29="상세법",FPV(H7030,K7030),IF(H7030="EI",4,IF(H7030="EO",5.2,IF(H7030="EQ",3.9,IF(H7030="ILF",7.5,IF(H7030="EIF",5.4)))))))</f>
        <v/>
      </c>
      <c r="M7030" s="112" t="str">
        <f t="shared" si="112"/>
        <v/>
      </c>
      <c r="N7030" s="113"/>
    </row>
    <row r="7031" spans="2:14">
      <c r="B7031" s="105"/>
      <c r="C7031" s="106"/>
      <c r="D7031" s="107"/>
      <c r="E7031" s="65"/>
      <c r="F7031" s="64"/>
      <c r="G7031" s="64"/>
      <c r="H7031" s="64"/>
      <c r="I7031" s="70"/>
      <c r="J7031" s="70"/>
      <c r="K7031" s="110" t="str">
        <f>IF(H7031="","",IF($C$29="간이법","",FPR(H7031,I7031,J7031)))</f>
        <v/>
      </c>
      <c r="L7031" s="111" t="str">
        <f>IF(H7031="","",IF($C$29="상세법",FPV(H7031,K7031),IF(H7031="EI",4,IF(H7031="EO",5.2,IF(H7031="EQ",3.9,IF(H7031="ILF",7.5,IF(H7031="EIF",5.4)))))))</f>
        <v/>
      </c>
      <c r="M7031" s="112" t="str">
        <f t="shared" si="112"/>
        <v/>
      </c>
      <c r="N7031" s="113"/>
    </row>
    <row r="7032" spans="2:14">
      <c r="B7032" s="105"/>
      <c r="C7032" s="106"/>
      <c r="D7032" s="107"/>
      <c r="E7032" s="65"/>
      <c r="F7032" s="64"/>
      <c r="G7032" s="64"/>
      <c r="H7032" s="64"/>
      <c r="I7032" s="70"/>
      <c r="J7032" s="70"/>
      <c r="K7032" s="110" t="str">
        <f>IF(H7032="","",IF($C$29="간이법","",FPR(H7032,I7032,J7032)))</f>
        <v/>
      </c>
      <c r="L7032" s="111" t="str">
        <f>IF(H7032="","",IF($C$29="상세법",FPV(H7032,K7032),IF(H7032="EI",4,IF(H7032="EO",5.2,IF(H7032="EQ",3.9,IF(H7032="ILF",7.5,IF(H7032="EIF",5.4)))))))</f>
        <v/>
      </c>
      <c r="M7032" s="112" t="str">
        <f t="shared" si="112"/>
        <v/>
      </c>
      <c r="N7032" s="113"/>
    </row>
    <row r="7033" spans="2:14">
      <c r="B7033" s="105"/>
      <c r="C7033" s="106"/>
      <c r="D7033" s="107"/>
      <c r="E7033" s="65"/>
      <c r="F7033" s="64"/>
      <c r="G7033" s="64"/>
      <c r="H7033" s="64"/>
      <c r="I7033" s="70"/>
      <c r="J7033" s="70"/>
      <c r="K7033" s="110" t="str">
        <f>IF(H7033="","",IF($C$29="간이법","",FPR(H7033,I7033,J7033)))</f>
        <v/>
      </c>
      <c r="L7033" s="111" t="str">
        <f>IF(H7033="","",IF($C$29="상세법",FPV(H7033,K7033),IF(H7033="EI",4,IF(H7033="EO",5.2,IF(H7033="EQ",3.9,IF(H7033="ILF",7.5,IF(H7033="EIF",5.4)))))))</f>
        <v/>
      </c>
      <c r="M7033" s="112" t="str">
        <f t="shared" ref="M7033:M7096" si="113">IF(L7033="","",L7033*IF(G7033="상",0.7,IF(G7033="중",0.5,IF(G7033="하",0.2,1))))</f>
        <v/>
      </c>
      <c r="N7033" s="113"/>
    </row>
    <row r="7034" spans="2:14">
      <c r="B7034" s="105"/>
      <c r="C7034" s="106"/>
      <c r="D7034" s="107"/>
      <c r="E7034" s="65"/>
      <c r="F7034" s="64"/>
      <c r="G7034" s="64"/>
      <c r="H7034" s="64"/>
      <c r="I7034" s="70"/>
      <c r="J7034" s="70"/>
      <c r="K7034" s="110" t="str">
        <f>IF(H7034="","",IF($C$29="간이법","",FPR(H7034,I7034,J7034)))</f>
        <v/>
      </c>
      <c r="L7034" s="111" t="str">
        <f>IF(H7034="","",IF($C$29="상세법",FPV(H7034,K7034),IF(H7034="EI",4,IF(H7034="EO",5.2,IF(H7034="EQ",3.9,IF(H7034="ILF",7.5,IF(H7034="EIF",5.4)))))))</f>
        <v/>
      </c>
      <c r="M7034" s="112" t="str">
        <f t="shared" si="113"/>
        <v/>
      </c>
      <c r="N7034" s="113"/>
    </row>
    <row r="7035" spans="2:14">
      <c r="B7035" s="105"/>
      <c r="C7035" s="106"/>
      <c r="D7035" s="107"/>
      <c r="E7035" s="65"/>
      <c r="F7035" s="64"/>
      <c r="G7035" s="64"/>
      <c r="H7035" s="64"/>
      <c r="I7035" s="70"/>
      <c r="J7035" s="70"/>
      <c r="K7035" s="110" t="str">
        <f>IF(H7035="","",IF($C$29="간이법","",FPR(H7035,I7035,J7035)))</f>
        <v/>
      </c>
      <c r="L7035" s="111" t="str">
        <f>IF(H7035="","",IF($C$29="상세법",FPV(H7035,K7035),IF(H7035="EI",4,IF(H7035="EO",5.2,IF(H7035="EQ",3.9,IF(H7035="ILF",7.5,IF(H7035="EIF",5.4)))))))</f>
        <v/>
      </c>
      <c r="M7035" s="112" t="str">
        <f t="shared" si="113"/>
        <v/>
      </c>
      <c r="N7035" s="113"/>
    </row>
    <row r="7036" spans="2:14">
      <c r="B7036" s="105"/>
      <c r="C7036" s="106"/>
      <c r="D7036" s="107"/>
      <c r="E7036" s="65"/>
      <c r="F7036" s="64"/>
      <c r="G7036" s="64"/>
      <c r="H7036" s="64"/>
      <c r="I7036" s="70"/>
      <c r="J7036" s="70"/>
      <c r="K7036" s="110" t="str">
        <f>IF(H7036="","",IF($C$29="간이법","",FPR(H7036,I7036,J7036)))</f>
        <v/>
      </c>
      <c r="L7036" s="111" t="str">
        <f>IF(H7036="","",IF($C$29="상세법",FPV(H7036,K7036),IF(H7036="EI",4,IF(H7036="EO",5.2,IF(H7036="EQ",3.9,IF(H7036="ILF",7.5,IF(H7036="EIF",5.4)))))))</f>
        <v/>
      </c>
      <c r="M7036" s="112" t="str">
        <f t="shared" si="113"/>
        <v/>
      </c>
      <c r="N7036" s="113"/>
    </row>
    <row r="7037" spans="2:14">
      <c r="B7037" s="105"/>
      <c r="C7037" s="106"/>
      <c r="D7037" s="107"/>
      <c r="E7037" s="65"/>
      <c r="F7037" s="64"/>
      <c r="G7037" s="64"/>
      <c r="H7037" s="64"/>
      <c r="I7037" s="70"/>
      <c r="J7037" s="70"/>
      <c r="K7037" s="110" t="str">
        <f>IF(H7037="","",IF($C$29="간이법","",FPR(H7037,I7037,J7037)))</f>
        <v/>
      </c>
      <c r="L7037" s="111" t="str">
        <f>IF(H7037="","",IF($C$29="상세법",FPV(H7037,K7037),IF(H7037="EI",4,IF(H7037="EO",5.2,IF(H7037="EQ",3.9,IF(H7037="ILF",7.5,IF(H7037="EIF",5.4)))))))</f>
        <v/>
      </c>
      <c r="M7037" s="112" t="str">
        <f t="shared" si="113"/>
        <v/>
      </c>
      <c r="N7037" s="113"/>
    </row>
    <row r="7038" spans="2:14">
      <c r="B7038" s="105"/>
      <c r="C7038" s="106"/>
      <c r="D7038" s="107"/>
      <c r="E7038" s="65"/>
      <c r="F7038" s="64"/>
      <c r="G7038" s="64"/>
      <c r="H7038" s="64"/>
      <c r="I7038" s="70"/>
      <c r="J7038" s="70"/>
      <c r="K7038" s="110" t="str">
        <f>IF(H7038="","",IF($C$29="간이법","",FPR(H7038,I7038,J7038)))</f>
        <v/>
      </c>
      <c r="L7038" s="111" t="str">
        <f>IF(H7038="","",IF($C$29="상세법",FPV(H7038,K7038),IF(H7038="EI",4,IF(H7038="EO",5.2,IF(H7038="EQ",3.9,IF(H7038="ILF",7.5,IF(H7038="EIF",5.4)))))))</f>
        <v/>
      </c>
      <c r="M7038" s="112" t="str">
        <f t="shared" si="113"/>
        <v/>
      </c>
      <c r="N7038" s="113"/>
    </row>
    <row r="7039" spans="2:14">
      <c r="B7039" s="105"/>
      <c r="C7039" s="106"/>
      <c r="D7039" s="107"/>
      <c r="E7039" s="65"/>
      <c r="F7039" s="64"/>
      <c r="G7039" s="64"/>
      <c r="H7039" s="64"/>
      <c r="I7039" s="70"/>
      <c r="J7039" s="70"/>
      <c r="K7039" s="110" t="str">
        <f>IF(H7039="","",IF($C$29="간이법","",FPR(H7039,I7039,J7039)))</f>
        <v/>
      </c>
      <c r="L7039" s="111" t="str">
        <f>IF(H7039="","",IF($C$29="상세법",FPV(H7039,K7039),IF(H7039="EI",4,IF(H7039="EO",5.2,IF(H7039="EQ",3.9,IF(H7039="ILF",7.5,IF(H7039="EIF",5.4)))))))</f>
        <v/>
      </c>
      <c r="M7039" s="112" t="str">
        <f t="shared" si="113"/>
        <v/>
      </c>
      <c r="N7039" s="113"/>
    </row>
    <row r="7040" spans="2:14">
      <c r="B7040" s="105"/>
      <c r="C7040" s="106"/>
      <c r="D7040" s="107"/>
      <c r="E7040" s="65"/>
      <c r="F7040" s="64"/>
      <c r="G7040" s="64"/>
      <c r="H7040" s="64"/>
      <c r="I7040" s="70"/>
      <c r="J7040" s="70"/>
      <c r="K7040" s="110" t="str">
        <f>IF(H7040="","",IF($C$29="간이법","",FPR(H7040,I7040,J7040)))</f>
        <v/>
      </c>
      <c r="L7040" s="111" t="str">
        <f>IF(H7040="","",IF($C$29="상세법",FPV(H7040,K7040),IF(H7040="EI",4,IF(H7040="EO",5.2,IF(H7040="EQ",3.9,IF(H7040="ILF",7.5,IF(H7040="EIF",5.4)))))))</f>
        <v/>
      </c>
      <c r="M7040" s="112" t="str">
        <f t="shared" si="113"/>
        <v/>
      </c>
      <c r="N7040" s="113"/>
    </row>
    <row r="7041" spans="2:14">
      <c r="B7041" s="105"/>
      <c r="C7041" s="106"/>
      <c r="D7041" s="107"/>
      <c r="E7041" s="65"/>
      <c r="F7041" s="64"/>
      <c r="G7041" s="64"/>
      <c r="H7041" s="64"/>
      <c r="I7041" s="70"/>
      <c r="J7041" s="70"/>
      <c r="K7041" s="110" t="str">
        <f>IF(H7041="","",IF($C$29="간이법","",FPR(H7041,I7041,J7041)))</f>
        <v/>
      </c>
      <c r="L7041" s="111" t="str">
        <f>IF(H7041="","",IF($C$29="상세법",FPV(H7041,K7041),IF(H7041="EI",4,IF(H7041="EO",5.2,IF(H7041="EQ",3.9,IF(H7041="ILF",7.5,IF(H7041="EIF",5.4)))))))</f>
        <v/>
      </c>
      <c r="M7041" s="112" t="str">
        <f t="shared" si="113"/>
        <v/>
      </c>
      <c r="N7041" s="113"/>
    </row>
    <row r="7042" spans="2:14">
      <c r="B7042" s="105"/>
      <c r="C7042" s="106"/>
      <c r="D7042" s="107"/>
      <c r="E7042" s="65"/>
      <c r="F7042" s="64"/>
      <c r="G7042" s="64"/>
      <c r="H7042" s="64"/>
      <c r="I7042" s="70"/>
      <c r="J7042" s="70"/>
      <c r="K7042" s="110" t="str">
        <f>IF(H7042="","",IF($C$29="간이법","",FPR(H7042,I7042,J7042)))</f>
        <v/>
      </c>
      <c r="L7042" s="111" t="str">
        <f>IF(H7042="","",IF($C$29="상세법",FPV(H7042,K7042),IF(H7042="EI",4,IF(H7042="EO",5.2,IF(H7042="EQ",3.9,IF(H7042="ILF",7.5,IF(H7042="EIF",5.4)))))))</f>
        <v/>
      </c>
      <c r="M7042" s="112" t="str">
        <f t="shared" si="113"/>
        <v/>
      </c>
      <c r="N7042" s="113"/>
    </row>
    <row r="7043" spans="2:14">
      <c r="B7043" s="105"/>
      <c r="C7043" s="106"/>
      <c r="D7043" s="107"/>
      <c r="E7043" s="65"/>
      <c r="F7043" s="64"/>
      <c r="G7043" s="64"/>
      <c r="H7043" s="64"/>
      <c r="I7043" s="70"/>
      <c r="J7043" s="70"/>
      <c r="K7043" s="110" t="str">
        <f>IF(H7043="","",IF($C$29="간이법","",FPR(H7043,I7043,J7043)))</f>
        <v/>
      </c>
      <c r="L7043" s="111" t="str">
        <f>IF(H7043="","",IF($C$29="상세법",FPV(H7043,K7043),IF(H7043="EI",4,IF(H7043="EO",5.2,IF(H7043="EQ",3.9,IF(H7043="ILF",7.5,IF(H7043="EIF",5.4)))))))</f>
        <v/>
      </c>
      <c r="M7043" s="112" t="str">
        <f t="shared" si="113"/>
        <v/>
      </c>
      <c r="N7043" s="113"/>
    </row>
    <row r="7044" spans="2:14">
      <c r="B7044" s="105"/>
      <c r="C7044" s="106"/>
      <c r="D7044" s="107"/>
      <c r="E7044" s="65"/>
      <c r="F7044" s="64"/>
      <c r="G7044" s="64"/>
      <c r="H7044" s="64"/>
      <c r="I7044" s="70"/>
      <c r="J7044" s="70"/>
      <c r="K7044" s="110" t="str">
        <f>IF(H7044="","",IF($C$29="간이법","",FPR(H7044,I7044,J7044)))</f>
        <v/>
      </c>
      <c r="L7044" s="111" t="str">
        <f>IF(H7044="","",IF($C$29="상세법",FPV(H7044,K7044),IF(H7044="EI",4,IF(H7044="EO",5.2,IF(H7044="EQ",3.9,IF(H7044="ILF",7.5,IF(H7044="EIF",5.4)))))))</f>
        <v/>
      </c>
      <c r="M7044" s="112" t="str">
        <f t="shared" si="113"/>
        <v/>
      </c>
      <c r="N7044" s="113"/>
    </row>
    <row r="7045" spans="2:14">
      <c r="B7045" s="105"/>
      <c r="C7045" s="106"/>
      <c r="D7045" s="107"/>
      <c r="E7045" s="65"/>
      <c r="F7045" s="64"/>
      <c r="G7045" s="64"/>
      <c r="H7045" s="64"/>
      <c r="I7045" s="70"/>
      <c r="J7045" s="70"/>
      <c r="K7045" s="110" t="str">
        <f>IF(H7045="","",IF($C$29="간이법","",FPR(H7045,I7045,J7045)))</f>
        <v/>
      </c>
      <c r="L7045" s="111" t="str">
        <f>IF(H7045="","",IF($C$29="상세법",FPV(H7045,K7045),IF(H7045="EI",4,IF(H7045="EO",5.2,IF(H7045="EQ",3.9,IF(H7045="ILF",7.5,IF(H7045="EIF",5.4)))))))</f>
        <v/>
      </c>
      <c r="M7045" s="112" t="str">
        <f t="shared" si="113"/>
        <v/>
      </c>
      <c r="N7045" s="113"/>
    </row>
    <row r="7046" spans="2:14">
      <c r="B7046" s="105"/>
      <c r="C7046" s="106"/>
      <c r="D7046" s="107"/>
      <c r="E7046" s="65"/>
      <c r="F7046" s="64"/>
      <c r="G7046" s="64"/>
      <c r="H7046" s="64"/>
      <c r="I7046" s="70"/>
      <c r="J7046" s="70"/>
      <c r="K7046" s="110" t="str">
        <f>IF(H7046="","",IF($C$29="간이법","",FPR(H7046,I7046,J7046)))</f>
        <v/>
      </c>
      <c r="L7046" s="111" t="str">
        <f>IF(H7046="","",IF($C$29="상세법",FPV(H7046,K7046),IF(H7046="EI",4,IF(H7046="EO",5.2,IF(H7046="EQ",3.9,IF(H7046="ILF",7.5,IF(H7046="EIF",5.4)))))))</f>
        <v/>
      </c>
      <c r="M7046" s="112" t="str">
        <f t="shared" si="113"/>
        <v/>
      </c>
      <c r="N7046" s="113"/>
    </row>
    <row r="7047" spans="2:14">
      <c r="B7047" s="105"/>
      <c r="C7047" s="106"/>
      <c r="D7047" s="107"/>
      <c r="E7047" s="65"/>
      <c r="F7047" s="64"/>
      <c r="G7047" s="64"/>
      <c r="H7047" s="64"/>
      <c r="I7047" s="70"/>
      <c r="J7047" s="70"/>
      <c r="K7047" s="110" t="str">
        <f>IF(H7047="","",IF($C$29="간이법","",FPR(H7047,I7047,J7047)))</f>
        <v/>
      </c>
      <c r="L7047" s="111" t="str">
        <f>IF(H7047="","",IF($C$29="상세법",FPV(H7047,K7047),IF(H7047="EI",4,IF(H7047="EO",5.2,IF(H7047="EQ",3.9,IF(H7047="ILF",7.5,IF(H7047="EIF",5.4)))))))</f>
        <v/>
      </c>
      <c r="M7047" s="112" t="str">
        <f t="shared" si="113"/>
        <v/>
      </c>
      <c r="N7047" s="113"/>
    </row>
    <row r="7048" spans="2:14">
      <c r="B7048" s="105"/>
      <c r="C7048" s="106"/>
      <c r="D7048" s="107"/>
      <c r="E7048" s="65"/>
      <c r="F7048" s="64"/>
      <c r="G7048" s="64"/>
      <c r="H7048" s="64"/>
      <c r="I7048" s="70"/>
      <c r="J7048" s="70"/>
      <c r="K7048" s="110" t="str">
        <f>IF(H7048="","",IF($C$29="간이법","",FPR(H7048,I7048,J7048)))</f>
        <v/>
      </c>
      <c r="L7048" s="111" t="str">
        <f>IF(H7048="","",IF($C$29="상세법",FPV(H7048,K7048),IF(H7048="EI",4,IF(H7048="EO",5.2,IF(H7048="EQ",3.9,IF(H7048="ILF",7.5,IF(H7048="EIF",5.4)))))))</f>
        <v/>
      </c>
      <c r="M7048" s="112" t="str">
        <f t="shared" si="113"/>
        <v/>
      </c>
      <c r="N7048" s="113"/>
    </row>
    <row r="7049" spans="2:14">
      <c r="B7049" s="105"/>
      <c r="C7049" s="106"/>
      <c r="D7049" s="107"/>
      <c r="E7049" s="65"/>
      <c r="F7049" s="64"/>
      <c r="G7049" s="64"/>
      <c r="H7049" s="64"/>
      <c r="I7049" s="70"/>
      <c r="J7049" s="70"/>
      <c r="K7049" s="110" t="str">
        <f>IF(H7049="","",IF($C$29="간이법","",FPR(H7049,I7049,J7049)))</f>
        <v/>
      </c>
      <c r="L7049" s="111" t="str">
        <f>IF(H7049="","",IF($C$29="상세법",FPV(H7049,K7049),IF(H7049="EI",4,IF(H7049="EO",5.2,IF(H7049="EQ",3.9,IF(H7049="ILF",7.5,IF(H7049="EIF",5.4)))))))</f>
        <v/>
      </c>
      <c r="M7049" s="112" t="str">
        <f t="shared" si="113"/>
        <v/>
      </c>
      <c r="N7049" s="113"/>
    </row>
    <row r="7050" spans="2:14">
      <c r="B7050" s="105"/>
      <c r="C7050" s="106"/>
      <c r="D7050" s="107"/>
      <c r="E7050" s="65"/>
      <c r="F7050" s="64"/>
      <c r="G7050" s="64"/>
      <c r="H7050" s="64"/>
      <c r="I7050" s="70"/>
      <c r="J7050" s="70"/>
      <c r="K7050" s="110" t="str">
        <f>IF(H7050="","",IF($C$29="간이법","",FPR(H7050,I7050,J7050)))</f>
        <v/>
      </c>
      <c r="L7050" s="111" t="str">
        <f>IF(H7050="","",IF($C$29="상세법",FPV(H7050,K7050),IF(H7050="EI",4,IF(H7050="EO",5.2,IF(H7050="EQ",3.9,IF(H7050="ILF",7.5,IF(H7050="EIF",5.4)))))))</f>
        <v/>
      </c>
      <c r="M7050" s="112" t="str">
        <f t="shared" si="113"/>
        <v/>
      </c>
      <c r="N7050" s="113"/>
    </row>
    <row r="7051" spans="2:14">
      <c r="B7051" s="105"/>
      <c r="C7051" s="106"/>
      <c r="D7051" s="107"/>
      <c r="E7051" s="65"/>
      <c r="F7051" s="64"/>
      <c r="G7051" s="64"/>
      <c r="H7051" s="64"/>
      <c r="I7051" s="70"/>
      <c r="J7051" s="70"/>
      <c r="K7051" s="110" t="str">
        <f>IF(H7051="","",IF($C$29="간이법","",FPR(H7051,I7051,J7051)))</f>
        <v/>
      </c>
      <c r="L7051" s="111" t="str">
        <f>IF(H7051="","",IF($C$29="상세법",FPV(H7051,K7051),IF(H7051="EI",4,IF(H7051="EO",5.2,IF(H7051="EQ",3.9,IF(H7051="ILF",7.5,IF(H7051="EIF",5.4)))))))</f>
        <v/>
      </c>
      <c r="M7051" s="112" t="str">
        <f t="shared" si="113"/>
        <v/>
      </c>
      <c r="N7051" s="113"/>
    </row>
    <row r="7052" spans="2:14">
      <c r="B7052" s="105"/>
      <c r="C7052" s="106"/>
      <c r="D7052" s="107"/>
      <c r="E7052" s="65"/>
      <c r="F7052" s="64"/>
      <c r="G7052" s="64"/>
      <c r="H7052" s="64"/>
      <c r="I7052" s="70"/>
      <c r="J7052" s="70"/>
      <c r="K7052" s="110" t="str">
        <f>IF(H7052="","",IF($C$29="간이법","",FPR(H7052,I7052,J7052)))</f>
        <v/>
      </c>
      <c r="L7052" s="111" t="str">
        <f>IF(H7052="","",IF($C$29="상세법",FPV(H7052,K7052),IF(H7052="EI",4,IF(H7052="EO",5.2,IF(H7052="EQ",3.9,IF(H7052="ILF",7.5,IF(H7052="EIF",5.4)))))))</f>
        <v/>
      </c>
      <c r="M7052" s="112" t="str">
        <f t="shared" si="113"/>
        <v/>
      </c>
      <c r="N7052" s="113"/>
    </row>
    <row r="7053" spans="2:14">
      <c r="B7053" s="105"/>
      <c r="C7053" s="106"/>
      <c r="D7053" s="107"/>
      <c r="E7053" s="65"/>
      <c r="F7053" s="64"/>
      <c r="G7053" s="64"/>
      <c r="H7053" s="64"/>
      <c r="I7053" s="70"/>
      <c r="J7053" s="70"/>
      <c r="K7053" s="110" t="str">
        <f>IF(H7053="","",IF($C$29="간이법","",FPR(H7053,I7053,J7053)))</f>
        <v/>
      </c>
      <c r="L7053" s="111" t="str">
        <f>IF(H7053="","",IF($C$29="상세법",FPV(H7053,K7053),IF(H7053="EI",4,IF(H7053="EO",5.2,IF(H7053="EQ",3.9,IF(H7053="ILF",7.5,IF(H7053="EIF",5.4)))))))</f>
        <v/>
      </c>
      <c r="M7053" s="112" t="str">
        <f t="shared" si="113"/>
        <v/>
      </c>
      <c r="N7053" s="113"/>
    </row>
    <row r="7054" spans="2:14">
      <c r="B7054" s="105"/>
      <c r="C7054" s="106"/>
      <c r="D7054" s="107"/>
      <c r="E7054" s="65"/>
      <c r="F7054" s="64"/>
      <c r="G7054" s="64"/>
      <c r="H7054" s="64"/>
      <c r="I7054" s="70"/>
      <c r="J7054" s="70"/>
      <c r="K7054" s="110" t="str">
        <f>IF(H7054="","",IF($C$29="간이법","",FPR(H7054,I7054,J7054)))</f>
        <v/>
      </c>
      <c r="L7054" s="111" t="str">
        <f>IF(H7054="","",IF($C$29="상세법",FPV(H7054,K7054),IF(H7054="EI",4,IF(H7054="EO",5.2,IF(H7054="EQ",3.9,IF(H7054="ILF",7.5,IF(H7054="EIF",5.4)))))))</f>
        <v/>
      </c>
      <c r="M7054" s="112" t="str">
        <f t="shared" si="113"/>
        <v/>
      </c>
      <c r="N7054" s="113"/>
    </row>
    <row r="7055" spans="2:14">
      <c r="B7055" s="105"/>
      <c r="C7055" s="106"/>
      <c r="D7055" s="107"/>
      <c r="E7055" s="65"/>
      <c r="F7055" s="64"/>
      <c r="G7055" s="64"/>
      <c r="H7055" s="64"/>
      <c r="I7055" s="70"/>
      <c r="J7055" s="70"/>
      <c r="K7055" s="110" t="str">
        <f>IF(H7055="","",IF($C$29="간이법","",FPR(H7055,I7055,J7055)))</f>
        <v/>
      </c>
      <c r="L7055" s="111" t="str">
        <f>IF(H7055="","",IF($C$29="상세법",FPV(H7055,K7055),IF(H7055="EI",4,IF(H7055="EO",5.2,IF(H7055="EQ",3.9,IF(H7055="ILF",7.5,IF(H7055="EIF",5.4)))))))</f>
        <v/>
      </c>
      <c r="M7055" s="112" t="str">
        <f t="shared" si="113"/>
        <v/>
      </c>
      <c r="N7055" s="113"/>
    </row>
    <row r="7056" spans="2:14">
      <c r="B7056" s="105"/>
      <c r="C7056" s="106"/>
      <c r="D7056" s="107"/>
      <c r="E7056" s="65"/>
      <c r="F7056" s="64"/>
      <c r="G7056" s="64"/>
      <c r="H7056" s="64"/>
      <c r="I7056" s="70"/>
      <c r="J7056" s="70"/>
      <c r="K7056" s="110" t="str">
        <f>IF(H7056="","",IF($C$29="간이법","",FPR(H7056,I7056,J7056)))</f>
        <v/>
      </c>
      <c r="L7056" s="111" t="str">
        <f>IF(H7056="","",IF($C$29="상세법",FPV(H7056,K7056),IF(H7056="EI",4,IF(H7056="EO",5.2,IF(H7056="EQ",3.9,IF(H7056="ILF",7.5,IF(H7056="EIF",5.4)))))))</f>
        <v/>
      </c>
      <c r="M7056" s="112" t="str">
        <f t="shared" si="113"/>
        <v/>
      </c>
      <c r="N7056" s="113"/>
    </row>
    <row r="7057" spans="2:14">
      <c r="B7057" s="105"/>
      <c r="C7057" s="106"/>
      <c r="D7057" s="107"/>
      <c r="E7057" s="65"/>
      <c r="F7057" s="64"/>
      <c r="G7057" s="64"/>
      <c r="H7057" s="64"/>
      <c r="I7057" s="70"/>
      <c r="J7057" s="70"/>
      <c r="K7057" s="110" t="str">
        <f>IF(H7057="","",IF($C$29="간이법","",FPR(H7057,I7057,J7057)))</f>
        <v/>
      </c>
      <c r="L7057" s="111" t="str">
        <f>IF(H7057="","",IF($C$29="상세법",FPV(H7057,K7057),IF(H7057="EI",4,IF(H7057="EO",5.2,IF(H7057="EQ",3.9,IF(H7057="ILF",7.5,IF(H7057="EIF",5.4)))))))</f>
        <v/>
      </c>
      <c r="M7057" s="112" t="str">
        <f t="shared" si="113"/>
        <v/>
      </c>
      <c r="N7057" s="113"/>
    </row>
    <row r="7058" spans="2:14">
      <c r="B7058" s="105"/>
      <c r="C7058" s="106"/>
      <c r="D7058" s="107"/>
      <c r="E7058" s="65"/>
      <c r="F7058" s="64"/>
      <c r="G7058" s="64"/>
      <c r="H7058" s="64"/>
      <c r="I7058" s="70"/>
      <c r="J7058" s="70"/>
      <c r="K7058" s="110" t="str">
        <f>IF(H7058="","",IF($C$29="간이법","",FPR(H7058,I7058,J7058)))</f>
        <v/>
      </c>
      <c r="L7058" s="111" t="str">
        <f>IF(H7058="","",IF($C$29="상세법",FPV(H7058,K7058),IF(H7058="EI",4,IF(H7058="EO",5.2,IF(H7058="EQ",3.9,IF(H7058="ILF",7.5,IF(H7058="EIF",5.4)))))))</f>
        <v/>
      </c>
      <c r="M7058" s="112" t="str">
        <f t="shared" si="113"/>
        <v/>
      </c>
      <c r="N7058" s="113"/>
    </row>
    <row r="7059" spans="2:14">
      <c r="B7059" s="105"/>
      <c r="C7059" s="106"/>
      <c r="D7059" s="107"/>
      <c r="E7059" s="65"/>
      <c r="F7059" s="64"/>
      <c r="G7059" s="64"/>
      <c r="H7059" s="64"/>
      <c r="I7059" s="70"/>
      <c r="J7059" s="70"/>
      <c r="K7059" s="110" t="str">
        <f>IF(H7059="","",IF($C$29="간이법","",FPR(H7059,I7059,J7059)))</f>
        <v/>
      </c>
      <c r="L7059" s="111" t="str">
        <f>IF(H7059="","",IF($C$29="상세법",FPV(H7059,K7059),IF(H7059="EI",4,IF(H7059="EO",5.2,IF(H7059="EQ",3.9,IF(H7059="ILF",7.5,IF(H7059="EIF",5.4)))))))</f>
        <v/>
      </c>
      <c r="M7059" s="112" t="str">
        <f t="shared" si="113"/>
        <v/>
      </c>
      <c r="N7059" s="113"/>
    </row>
    <row r="7060" spans="2:14">
      <c r="B7060" s="105"/>
      <c r="C7060" s="106"/>
      <c r="D7060" s="107"/>
      <c r="E7060" s="65"/>
      <c r="F7060" s="64"/>
      <c r="G7060" s="64"/>
      <c r="H7060" s="64"/>
      <c r="I7060" s="70"/>
      <c r="J7060" s="70"/>
      <c r="K7060" s="110" t="str">
        <f>IF(H7060="","",IF($C$29="간이법","",FPR(H7060,I7060,J7060)))</f>
        <v/>
      </c>
      <c r="L7060" s="111" t="str">
        <f>IF(H7060="","",IF($C$29="상세법",FPV(H7060,K7060),IF(H7060="EI",4,IF(H7060="EO",5.2,IF(H7060="EQ",3.9,IF(H7060="ILF",7.5,IF(H7060="EIF",5.4)))))))</f>
        <v/>
      </c>
      <c r="M7060" s="112" t="str">
        <f t="shared" si="113"/>
        <v/>
      </c>
      <c r="N7060" s="113"/>
    </row>
    <row r="7061" spans="2:14">
      <c r="B7061" s="105"/>
      <c r="C7061" s="106"/>
      <c r="D7061" s="107"/>
      <c r="E7061" s="65"/>
      <c r="F7061" s="64"/>
      <c r="G7061" s="64"/>
      <c r="H7061" s="64"/>
      <c r="I7061" s="70"/>
      <c r="J7061" s="70"/>
      <c r="K7061" s="110" t="str">
        <f>IF(H7061="","",IF($C$29="간이법","",FPR(H7061,I7061,J7061)))</f>
        <v/>
      </c>
      <c r="L7061" s="111" t="str">
        <f>IF(H7061="","",IF($C$29="상세법",FPV(H7061,K7061),IF(H7061="EI",4,IF(H7061="EO",5.2,IF(H7061="EQ",3.9,IF(H7061="ILF",7.5,IF(H7061="EIF",5.4)))))))</f>
        <v/>
      </c>
      <c r="M7061" s="112" t="str">
        <f t="shared" si="113"/>
        <v/>
      </c>
      <c r="N7061" s="113"/>
    </row>
    <row r="7062" spans="2:14">
      <c r="B7062" s="105"/>
      <c r="C7062" s="106"/>
      <c r="D7062" s="107"/>
      <c r="E7062" s="65"/>
      <c r="F7062" s="64"/>
      <c r="G7062" s="64"/>
      <c r="H7062" s="64"/>
      <c r="I7062" s="70"/>
      <c r="J7062" s="70"/>
      <c r="K7062" s="110" t="str">
        <f>IF(H7062="","",IF($C$29="간이법","",FPR(H7062,I7062,J7062)))</f>
        <v/>
      </c>
      <c r="L7062" s="111" t="str">
        <f>IF(H7062="","",IF($C$29="상세법",FPV(H7062,K7062),IF(H7062="EI",4,IF(H7062="EO",5.2,IF(H7062="EQ",3.9,IF(H7062="ILF",7.5,IF(H7062="EIF",5.4)))))))</f>
        <v/>
      </c>
      <c r="M7062" s="112" t="str">
        <f t="shared" si="113"/>
        <v/>
      </c>
      <c r="N7062" s="113"/>
    </row>
    <row r="7063" spans="2:14">
      <c r="B7063" s="105"/>
      <c r="C7063" s="106"/>
      <c r="D7063" s="107"/>
      <c r="E7063" s="65"/>
      <c r="F7063" s="64"/>
      <c r="G7063" s="64"/>
      <c r="H7063" s="64"/>
      <c r="I7063" s="70"/>
      <c r="J7063" s="70"/>
      <c r="K7063" s="110" t="str">
        <f>IF(H7063="","",IF($C$29="간이법","",FPR(H7063,I7063,J7063)))</f>
        <v/>
      </c>
      <c r="L7063" s="111" t="str">
        <f>IF(H7063="","",IF($C$29="상세법",FPV(H7063,K7063),IF(H7063="EI",4,IF(H7063="EO",5.2,IF(H7063="EQ",3.9,IF(H7063="ILF",7.5,IF(H7063="EIF",5.4)))))))</f>
        <v/>
      </c>
      <c r="M7063" s="112" t="str">
        <f t="shared" si="113"/>
        <v/>
      </c>
      <c r="N7063" s="113"/>
    </row>
    <row r="7064" spans="2:14">
      <c r="B7064" s="105"/>
      <c r="C7064" s="106"/>
      <c r="D7064" s="107"/>
      <c r="E7064" s="65"/>
      <c r="F7064" s="64"/>
      <c r="G7064" s="64"/>
      <c r="H7064" s="64"/>
      <c r="I7064" s="70"/>
      <c r="J7064" s="70"/>
      <c r="K7064" s="110" t="str">
        <f>IF(H7064="","",IF($C$29="간이법","",FPR(H7064,I7064,J7064)))</f>
        <v/>
      </c>
      <c r="L7064" s="111" t="str">
        <f>IF(H7064="","",IF($C$29="상세법",FPV(H7064,K7064),IF(H7064="EI",4,IF(H7064="EO",5.2,IF(H7064="EQ",3.9,IF(H7064="ILF",7.5,IF(H7064="EIF",5.4)))))))</f>
        <v/>
      </c>
      <c r="M7064" s="112" t="str">
        <f t="shared" si="113"/>
        <v/>
      </c>
      <c r="N7064" s="113"/>
    </row>
    <row r="7065" spans="2:14">
      <c r="B7065" s="105"/>
      <c r="C7065" s="106"/>
      <c r="D7065" s="107"/>
      <c r="E7065" s="65"/>
      <c r="F7065" s="64"/>
      <c r="G7065" s="64"/>
      <c r="H7065" s="64"/>
      <c r="I7065" s="70"/>
      <c r="J7065" s="70"/>
      <c r="K7065" s="110" t="str">
        <f>IF(H7065="","",IF($C$29="간이법","",FPR(H7065,I7065,J7065)))</f>
        <v/>
      </c>
      <c r="L7065" s="111" t="str">
        <f>IF(H7065="","",IF($C$29="상세법",FPV(H7065,K7065),IF(H7065="EI",4,IF(H7065="EO",5.2,IF(H7065="EQ",3.9,IF(H7065="ILF",7.5,IF(H7065="EIF",5.4)))))))</f>
        <v/>
      </c>
      <c r="M7065" s="112" t="str">
        <f t="shared" si="113"/>
        <v/>
      </c>
      <c r="N7065" s="113"/>
    </row>
    <row r="7066" spans="2:14">
      <c r="B7066" s="105"/>
      <c r="C7066" s="106"/>
      <c r="D7066" s="107"/>
      <c r="E7066" s="65"/>
      <c r="F7066" s="64"/>
      <c r="G7066" s="64"/>
      <c r="H7066" s="64"/>
      <c r="I7066" s="70"/>
      <c r="J7066" s="70"/>
      <c r="K7066" s="110" t="str">
        <f>IF(H7066="","",IF($C$29="간이법","",FPR(H7066,I7066,J7066)))</f>
        <v/>
      </c>
      <c r="L7066" s="111" t="str">
        <f>IF(H7066="","",IF($C$29="상세법",FPV(H7066,K7066),IF(H7066="EI",4,IF(H7066="EO",5.2,IF(H7066="EQ",3.9,IF(H7066="ILF",7.5,IF(H7066="EIF",5.4)))))))</f>
        <v/>
      </c>
      <c r="M7066" s="112" t="str">
        <f t="shared" si="113"/>
        <v/>
      </c>
      <c r="N7066" s="113"/>
    </row>
    <row r="7067" spans="2:14">
      <c r="B7067" s="105"/>
      <c r="C7067" s="106"/>
      <c r="D7067" s="107"/>
      <c r="E7067" s="65"/>
      <c r="F7067" s="64"/>
      <c r="G7067" s="64"/>
      <c r="H7067" s="64"/>
      <c r="I7067" s="70"/>
      <c r="J7067" s="70"/>
      <c r="K7067" s="110" t="str">
        <f>IF(H7067="","",IF($C$29="간이법","",FPR(H7067,I7067,J7067)))</f>
        <v/>
      </c>
      <c r="L7067" s="111" t="str">
        <f>IF(H7067="","",IF($C$29="상세법",FPV(H7067,K7067),IF(H7067="EI",4,IF(H7067="EO",5.2,IF(H7067="EQ",3.9,IF(H7067="ILF",7.5,IF(H7067="EIF",5.4)))))))</f>
        <v/>
      </c>
      <c r="M7067" s="112" t="str">
        <f t="shared" si="113"/>
        <v/>
      </c>
      <c r="N7067" s="113"/>
    </row>
    <row r="7068" spans="2:14">
      <c r="B7068" s="105"/>
      <c r="C7068" s="106"/>
      <c r="D7068" s="107"/>
      <c r="E7068" s="65"/>
      <c r="F7068" s="64"/>
      <c r="G7068" s="64"/>
      <c r="H7068" s="64"/>
      <c r="I7068" s="70"/>
      <c r="J7068" s="70"/>
      <c r="K7068" s="110" t="str">
        <f>IF(H7068="","",IF($C$29="간이법","",FPR(H7068,I7068,J7068)))</f>
        <v/>
      </c>
      <c r="L7068" s="111" t="str">
        <f>IF(H7068="","",IF($C$29="상세법",FPV(H7068,K7068),IF(H7068="EI",4,IF(H7068="EO",5.2,IF(H7068="EQ",3.9,IF(H7068="ILF",7.5,IF(H7068="EIF",5.4)))))))</f>
        <v/>
      </c>
      <c r="M7068" s="112" t="str">
        <f t="shared" si="113"/>
        <v/>
      </c>
      <c r="N7068" s="113"/>
    </row>
    <row r="7069" spans="2:14">
      <c r="B7069" s="105"/>
      <c r="C7069" s="106"/>
      <c r="D7069" s="107"/>
      <c r="E7069" s="65"/>
      <c r="F7069" s="64"/>
      <c r="G7069" s="64"/>
      <c r="H7069" s="64"/>
      <c r="I7069" s="70"/>
      <c r="J7069" s="70"/>
      <c r="K7069" s="110" t="str">
        <f>IF(H7069="","",IF($C$29="간이법","",FPR(H7069,I7069,J7069)))</f>
        <v/>
      </c>
      <c r="L7069" s="111" t="str">
        <f>IF(H7069="","",IF($C$29="상세법",FPV(H7069,K7069),IF(H7069="EI",4,IF(H7069="EO",5.2,IF(H7069="EQ",3.9,IF(H7069="ILF",7.5,IF(H7069="EIF",5.4)))))))</f>
        <v/>
      </c>
      <c r="M7069" s="112" t="str">
        <f t="shared" si="113"/>
        <v/>
      </c>
      <c r="N7069" s="113"/>
    </row>
    <row r="7070" spans="2:14">
      <c r="B7070" s="105"/>
      <c r="C7070" s="106"/>
      <c r="D7070" s="107"/>
      <c r="E7070" s="65"/>
      <c r="F7070" s="64"/>
      <c r="G7070" s="64"/>
      <c r="H7070" s="64"/>
      <c r="I7070" s="70"/>
      <c r="J7070" s="70"/>
      <c r="K7070" s="110" t="str">
        <f>IF(H7070="","",IF($C$29="간이법","",FPR(H7070,I7070,J7070)))</f>
        <v/>
      </c>
      <c r="L7070" s="111" t="str">
        <f>IF(H7070="","",IF($C$29="상세법",FPV(H7070,K7070),IF(H7070="EI",4,IF(H7070="EO",5.2,IF(H7070="EQ",3.9,IF(H7070="ILF",7.5,IF(H7070="EIF",5.4)))))))</f>
        <v/>
      </c>
      <c r="M7070" s="112" t="str">
        <f t="shared" si="113"/>
        <v/>
      </c>
      <c r="N7070" s="113"/>
    </row>
    <row r="7071" spans="2:14">
      <c r="B7071" s="105"/>
      <c r="C7071" s="106"/>
      <c r="D7071" s="107"/>
      <c r="E7071" s="65"/>
      <c r="F7071" s="64"/>
      <c r="G7071" s="64"/>
      <c r="H7071" s="64"/>
      <c r="I7071" s="70"/>
      <c r="J7071" s="70"/>
      <c r="K7071" s="110" t="str">
        <f>IF(H7071="","",IF($C$29="간이법","",FPR(H7071,I7071,J7071)))</f>
        <v/>
      </c>
      <c r="L7071" s="111" t="str">
        <f>IF(H7071="","",IF($C$29="상세법",FPV(H7071,K7071),IF(H7071="EI",4,IF(H7071="EO",5.2,IF(H7071="EQ",3.9,IF(H7071="ILF",7.5,IF(H7071="EIF",5.4)))))))</f>
        <v/>
      </c>
      <c r="M7071" s="112" t="str">
        <f t="shared" si="113"/>
        <v/>
      </c>
      <c r="N7071" s="113"/>
    </row>
    <row r="7072" spans="2:14">
      <c r="B7072" s="105"/>
      <c r="C7072" s="106"/>
      <c r="D7072" s="107"/>
      <c r="E7072" s="65"/>
      <c r="F7072" s="64"/>
      <c r="G7072" s="64"/>
      <c r="H7072" s="64"/>
      <c r="I7072" s="70"/>
      <c r="J7072" s="70"/>
      <c r="K7072" s="110" t="str">
        <f>IF(H7072="","",IF($C$29="간이법","",FPR(H7072,I7072,J7072)))</f>
        <v/>
      </c>
      <c r="L7072" s="111" t="str">
        <f>IF(H7072="","",IF($C$29="상세법",FPV(H7072,K7072),IF(H7072="EI",4,IF(H7072="EO",5.2,IF(H7072="EQ",3.9,IF(H7072="ILF",7.5,IF(H7072="EIF",5.4)))))))</f>
        <v/>
      </c>
      <c r="M7072" s="112" t="str">
        <f t="shared" si="113"/>
        <v/>
      </c>
      <c r="N7072" s="113"/>
    </row>
    <row r="7073" spans="2:14">
      <c r="B7073" s="105"/>
      <c r="C7073" s="106"/>
      <c r="D7073" s="107"/>
      <c r="E7073" s="65"/>
      <c r="F7073" s="64"/>
      <c r="G7073" s="64"/>
      <c r="H7073" s="64"/>
      <c r="I7073" s="70"/>
      <c r="J7073" s="70"/>
      <c r="K7073" s="110" t="str">
        <f>IF(H7073="","",IF($C$29="간이법","",FPR(H7073,I7073,J7073)))</f>
        <v/>
      </c>
      <c r="L7073" s="111" t="str">
        <f>IF(H7073="","",IF($C$29="상세법",FPV(H7073,K7073),IF(H7073="EI",4,IF(H7073="EO",5.2,IF(H7073="EQ",3.9,IF(H7073="ILF",7.5,IF(H7073="EIF",5.4)))))))</f>
        <v/>
      </c>
      <c r="M7073" s="112" t="str">
        <f t="shared" si="113"/>
        <v/>
      </c>
      <c r="N7073" s="113"/>
    </row>
    <row r="7074" spans="2:14">
      <c r="B7074" s="105"/>
      <c r="C7074" s="106"/>
      <c r="D7074" s="107"/>
      <c r="E7074" s="65"/>
      <c r="F7074" s="64"/>
      <c r="G7074" s="64"/>
      <c r="H7074" s="64"/>
      <c r="I7074" s="70"/>
      <c r="J7074" s="70"/>
      <c r="K7074" s="110" t="str">
        <f>IF(H7074="","",IF($C$29="간이법","",FPR(H7074,I7074,J7074)))</f>
        <v/>
      </c>
      <c r="L7074" s="111" t="str">
        <f>IF(H7074="","",IF($C$29="상세법",FPV(H7074,K7074),IF(H7074="EI",4,IF(H7074="EO",5.2,IF(H7074="EQ",3.9,IF(H7074="ILF",7.5,IF(H7074="EIF",5.4)))))))</f>
        <v/>
      </c>
      <c r="M7074" s="112" t="str">
        <f t="shared" si="113"/>
        <v/>
      </c>
      <c r="N7074" s="113"/>
    </row>
    <row r="7075" spans="2:14">
      <c r="B7075" s="105"/>
      <c r="C7075" s="106"/>
      <c r="D7075" s="107"/>
      <c r="E7075" s="65"/>
      <c r="F7075" s="64"/>
      <c r="G7075" s="64"/>
      <c r="H7075" s="64"/>
      <c r="I7075" s="70"/>
      <c r="J7075" s="70"/>
      <c r="K7075" s="110" t="str">
        <f>IF(H7075="","",IF($C$29="간이법","",FPR(H7075,I7075,J7075)))</f>
        <v/>
      </c>
      <c r="L7075" s="111" t="str">
        <f>IF(H7075="","",IF($C$29="상세법",FPV(H7075,K7075),IF(H7075="EI",4,IF(H7075="EO",5.2,IF(H7075="EQ",3.9,IF(H7075="ILF",7.5,IF(H7075="EIF",5.4)))))))</f>
        <v/>
      </c>
      <c r="M7075" s="112" t="str">
        <f t="shared" si="113"/>
        <v/>
      </c>
      <c r="N7075" s="113"/>
    </row>
    <row r="7076" spans="2:14">
      <c r="B7076" s="105"/>
      <c r="C7076" s="106"/>
      <c r="D7076" s="107"/>
      <c r="E7076" s="65"/>
      <c r="F7076" s="64"/>
      <c r="G7076" s="64"/>
      <c r="H7076" s="64"/>
      <c r="I7076" s="70"/>
      <c r="J7076" s="70"/>
      <c r="K7076" s="110" t="str">
        <f>IF(H7076="","",IF($C$29="간이법","",FPR(H7076,I7076,J7076)))</f>
        <v/>
      </c>
      <c r="L7076" s="111" t="str">
        <f>IF(H7076="","",IF($C$29="상세법",FPV(H7076,K7076),IF(H7076="EI",4,IF(H7076="EO",5.2,IF(H7076="EQ",3.9,IF(H7076="ILF",7.5,IF(H7076="EIF",5.4)))))))</f>
        <v/>
      </c>
      <c r="M7076" s="112" t="str">
        <f t="shared" si="113"/>
        <v/>
      </c>
      <c r="N7076" s="113"/>
    </row>
    <row r="7077" spans="2:14">
      <c r="B7077" s="105"/>
      <c r="C7077" s="106"/>
      <c r="D7077" s="107"/>
      <c r="E7077" s="65"/>
      <c r="F7077" s="64"/>
      <c r="G7077" s="64"/>
      <c r="H7077" s="64"/>
      <c r="I7077" s="70"/>
      <c r="J7077" s="70"/>
      <c r="K7077" s="110" t="str">
        <f>IF(H7077="","",IF($C$29="간이법","",FPR(H7077,I7077,J7077)))</f>
        <v/>
      </c>
      <c r="L7077" s="111" t="str">
        <f>IF(H7077="","",IF($C$29="상세법",FPV(H7077,K7077),IF(H7077="EI",4,IF(H7077="EO",5.2,IF(H7077="EQ",3.9,IF(H7077="ILF",7.5,IF(H7077="EIF",5.4)))))))</f>
        <v/>
      </c>
      <c r="M7077" s="112" t="str">
        <f t="shared" si="113"/>
        <v/>
      </c>
      <c r="N7077" s="113"/>
    </row>
    <row r="7078" spans="2:14">
      <c r="B7078" s="105"/>
      <c r="C7078" s="106"/>
      <c r="D7078" s="107"/>
      <c r="E7078" s="65"/>
      <c r="F7078" s="64"/>
      <c r="G7078" s="64"/>
      <c r="H7078" s="64"/>
      <c r="I7078" s="70"/>
      <c r="J7078" s="70"/>
      <c r="K7078" s="110" t="str">
        <f>IF(H7078="","",IF($C$29="간이법","",FPR(H7078,I7078,J7078)))</f>
        <v/>
      </c>
      <c r="L7078" s="111" t="str">
        <f>IF(H7078="","",IF($C$29="상세법",FPV(H7078,K7078),IF(H7078="EI",4,IF(H7078="EO",5.2,IF(H7078="EQ",3.9,IF(H7078="ILF",7.5,IF(H7078="EIF",5.4)))))))</f>
        <v/>
      </c>
      <c r="M7078" s="112" t="str">
        <f t="shared" si="113"/>
        <v/>
      </c>
      <c r="N7078" s="113"/>
    </row>
    <row r="7079" spans="2:14">
      <c r="B7079" s="105"/>
      <c r="C7079" s="106"/>
      <c r="D7079" s="107"/>
      <c r="E7079" s="65"/>
      <c r="F7079" s="64"/>
      <c r="G7079" s="64"/>
      <c r="H7079" s="64"/>
      <c r="I7079" s="70"/>
      <c r="J7079" s="70"/>
      <c r="K7079" s="110" t="str">
        <f>IF(H7079="","",IF($C$29="간이법","",FPR(H7079,I7079,J7079)))</f>
        <v/>
      </c>
      <c r="L7079" s="111" t="str">
        <f>IF(H7079="","",IF($C$29="상세법",FPV(H7079,K7079),IF(H7079="EI",4,IF(H7079="EO",5.2,IF(H7079="EQ",3.9,IF(H7079="ILF",7.5,IF(H7079="EIF",5.4)))))))</f>
        <v/>
      </c>
      <c r="M7079" s="112" t="str">
        <f t="shared" si="113"/>
        <v/>
      </c>
      <c r="N7079" s="113"/>
    </row>
    <row r="7080" spans="2:14">
      <c r="B7080" s="105"/>
      <c r="C7080" s="106"/>
      <c r="D7080" s="107"/>
      <c r="E7080" s="65"/>
      <c r="F7080" s="64"/>
      <c r="G7080" s="64"/>
      <c r="H7080" s="64"/>
      <c r="I7080" s="70"/>
      <c r="J7080" s="70"/>
      <c r="K7080" s="110" t="str">
        <f>IF(H7080="","",IF($C$29="간이법","",FPR(H7080,I7080,J7080)))</f>
        <v/>
      </c>
      <c r="L7080" s="111" t="str">
        <f>IF(H7080="","",IF($C$29="상세법",FPV(H7080,K7080),IF(H7080="EI",4,IF(H7080="EO",5.2,IF(H7080="EQ",3.9,IF(H7080="ILF",7.5,IF(H7080="EIF",5.4)))))))</f>
        <v/>
      </c>
      <c r="M7080" s="112" t="str">
        <f t="shared" si="113"/>
        <v/>
      </c>
      <c r="N7080" s="113"/>
    </row>
    <row r="7081" spans="2:14">
      <c r="B7081" s="105"/>
      <c r="C7081" s="106"/>
      <c r="D7081" s="107"/>
      <c r="E7081" s="65"/>
      <c r="F7081" s="64"/>
      <c r="G7081" s="64"/>
      <c r="H7081" s="64"/>
      <c r="I7081" s="70"/>
      <c r="J7081" s="70"/>
      <c r="K7081" s="110" t="str">
        <f>IF(H7081="","",IF($C$29="간이법","",FPR(H7081,I7081,J7081)))</f>
        <v/>
      </c>
      <c r="L7081" s="111" t="str">
        <f>IF(H7081="","",IF($C$29="상세법",FPV(H7081,K7081),IF(H7081="EI",4,IF(H7081="EO",5.2,IF(H7081="EQ",3.9,IF(H7081="ILF",7.5,IF(H7081="EIF",5.4)))))))</f>
        <v/>
      </c>
      <c r="M7081" s="112" t="str">
        <f t="shared" si="113"/>
        <v/>
      </c>
      <c r="N7081" s="113"/>
    </row>
    <row r="7082" spans="2:14">
      <c r="B7082" s="105"/>
      <c r="C7082" s="106"/>
      <c r="D7082" s="107"/>
      <c r="E7082" s="65"/>
      <c r="F7082" s="64"/>
      <c r="G7082" s="64"/>
      <c r="H7082" s="64"/>
      <c r="I7082" s="70"/>
      <c r="J7082" s="70"/>
      <c r="K7082" s="110" t="str">
        <f>IF(H7082="","",IF($C$29="간이법","",FPR(H7082,I7082,J7082)))</f>
        <v/>
      </c>
      <c r="L7082" s="111" t="str">
        <f>IF(H7082="","",IF($C$29="상세법",FPV(H7082,K7082),IF(H7082="EI",4,IF(H7082="EO",5.2,IF(H7082="EQ",3.9,IF(H7082="ILF",7.5,IF(H7082="EIF",5.4)))))))</f>
        <v/>
      </c>
      <c r="M7082" s="112" t="str">
        <f t="shared" si="113"/>
        <v/>
      </c>
      <c r="N7082" s="113"/>
    </row>
    <row r="7083" spans="2:14">
      <c r="B7083" s="105"/>
      <c r="C7083" s="106"/>
      <c r="D7083" s="107"/>
      <c r="E7083" s="65"/>
      <c r="F7083" s="64"/>
      <c r="G7083" s="64"/>
      <c r="H7083" s="64"/>
      <c r="I7083" s="70"/>
      <c r="J7083" s="70"/>
      <c r="K7083" s="110" t="str">
        <f>IF(H7083="","",IF($C$29="간이법","",FPR(H7083,I7083,J7083)))</f>
        <v/>
      </c>
      <c r="L7083" s="111" t="str">
        <f>IF(H7083="","",IF($C$29="상세법",FPV(H7083,K7083),IF(H7083="EI",4,IF(H7083="EO",5.2,IF(H7083="EQ",3.9,IF(H7083="ILF",7.5,IF(H7083="EIF",5.4)))))))</f>
        <v/>
      </c>
      <c r="M7083" s="112" t="str">
        <f t="shared" si="113"/>
        <v/>
      </c>
      <c r="N7083" s="113"/>
    </row>
    <row r="7084" spans="2:14">
      <c r="B7084" s="105"/>
      <c r="C7084" s="106"/>
      <c r="D7084" s="107"/>
      <c r="E7084" s="65"/>
      <c r="F7084" s="64"/>
      <c r="G7084" s="64"/>
      <c r="H7084" s="64"/>
      <c r="I7084" s="70"/>
      <c r="J7084" s="70"/>
      <c r="K7084" s="110" t="str">
        <f>IF(H7084="","",IF($C$29="간이법","",FPR(H7084,I7084,J7084)))</f>
        <v/>
      </c>
      <c r="L7084" s="111" t="str">
        <f>IF(H7084="","",IF($C$29="상세법",FPV(H7084,K7084),IF(H7084="EI",4,IF(H7084="EO",5.2,IF(H7084="EQ",3.9,IF(H7084="ILF",7.5,IF(H7084="EIF",5.4)))))))</f>
        <v/>
      </c>
      <c r="M7084" s="112" t="str">
        <f t="shared" si="113"/>
        <v/>
      </c>
      <c r="N7084" s="113"/>
    </row>
    <row r="7085" spans="2:14">
      <c r="B7085" s="105"/>
      <c r="C7085" s="106"/>
      <c r="D7085" s="107"/>
      <c r="E7085" s="65"/>
      <c r="F7085" s="64"/>
      <c r="G7085" s="64"/>
      <c r="H7085" s="64"/>
      <c r="I7085" s="70"/>
      <c r="J7085" s="70"/>
      <c r="K7085" s="110" t="str">
        <f>IF(H7085="","",IF($C$29="간이법","",FPR(H7085,I7085,J7085)))</f>
        <v/>
      </c>
      <c r="L7085" s="111" t="str">
        <f>IF(H7085="","",IF($C$29="상세법",FPV(H7085,K7085),IF(H7085="EI",4,IF(H7085="EO",5.2,IF(H7085="EQ",3.9,IF(H7085="ILF",7.5,IF(H7085="EIF",5.4)))))))</f>
        <v/>
      </c>
      <c r="M7085" s="112" t="str">
        <f t="shared" si="113"/>
        <v/>
      </c>
      <c r="N7085" s="113"/>
    </row>
    <row r="7086" spans="2:14">
      <c r="B7086" s="105"/>
      <c r="C7086" s="106"/>
      <c r="D7086" s="107"/>
      <c r="E7086" s="65"/>
      <c r="F7086" s="64"/>
      <c r="G7086" s="64"/>
      <c r="H7086" s="64"/>
      <c r="I7086" s="70"/>
      <c r="J7086" s="70"/>
      <c r="K7086" s="110" t="str">
        <f>IF(H7086="","",IF($C$29="간이법","",FPR(H7086,I7086,J7086)))</f>
        <v/>
      </c>
      <c r="L7086" s="111" t="str">
        <f>IF(H7086="","",IF($C$29="상세법",FPV(H7086,K7086),IF(H7086="EI",4,IF(H7086="EO",5.2,IF(H7086="EQ",3.9,IF(H7086="ILF",7.5,IF(H7086="EIF",5.4)))))))</f>
        <v/>
      </c>
      <c r="M7086" s="112" t="str">
        <f t="shared" si="113"/>
        <v/>
      </c>
      <c r="N7086" s="113"/>
    </row>
    <row r="7087" spans="2:14">
      <c r="B7087" s="105"/>
      <c r="C7087" s="106"/>
      <c r="D7087" s="107"/>
      <c r="E7087" s="65"/>
      <c r="F7087" s="64"/>
      <c r="G7087" s="64"/>
      <c r="H7087" s="64"/>
      <c r="I7087" s="70"/>
      <c r="J7087" s="70"/>
      <c r="K7087" s="110" t="str">
        <f>IF(H7087="","",IF($C$29="간이법","",FPR(H7087,I7087,J7087)))</f>
        <v/>
      </c>
      <c r="L7087" s="111" t="str">
        <f>IF(H7087="","",IF($C$29="상세법",FPV(H7087,K7087),IF(H7087="EI",4,IF(H7087="EO",5.2,IF(H7087="EQ",3.9,IF(H7087="ILF",7.5,IF(H7087="EIF",5.4)))))))</f>
        <v/>
      </c>
      <c r="M7087" s="112" t="str">
        <f t="shared" si="113"/>
        <v/>
      </c>
      <c r="N7087" s="113"/>
    </row>
    <row r="7088" spans="2:14">
      <c r="B7088" s="105"/>
      <c r="C7088" s="106"/>
      <c r="D7088" s="107"/>
      <c r="E7088" s="65"/>
      <c r="F7088" s="64"/>
      <c r="G7088" s="64"/>
      <c r="H7088" s="64"/>
      <c r="I7088" s="70"/>
      <c r="J7088" s="70"/>
      <c r="K7088" s="110" t="str">
        <f>IF(H7088="","",IF($C$29="간이법","",FPR(H7088,I7088,J7088)))</f>
        <v/>
      </c>
      <c r="L7088" s="111" t="str">
        <f>IF(H7088="","",IF($C$29="상세법",FPV(H7088,K7088),IF(H7088="EI",4,IF(H7088="EO",5.2,IF(H7088="EQ",3.9,IF(H7088="ILF",7.5,IF(H7088="EIF",5.4)))))))</f>
        <v/>
      </c>
      <c r="M7088" s="112" t="str">
        <f t="shared" si="113"/>
        <v/>
      </c>
      <c r="N7088" s="113"/>
    </row>
    <row r="7089" spans="2:14">
      <c r="B7089" s="105"/>
      <c r="C7089" s="106"/>
      <c r="D7089" s="107"/>
      <c r="E7089" s="65"/>
      <c r="F7089" s="64"/>
      <c r="G7089" s="64"/>
      <c r="H7089" s="64"/>
      <c r="I7089" s="70"/>
      <c r="J7089" s="70"/>
      <c r="K7089" s="110" t="str">
        <f>IF(H7089="","",IF($C$29="간이법","",FPR(H7089,I7089,J7089)))</f>
        <v/>
      </c>
      <c r="L7089" s="111" t="str">
        <f>IF(H7089="","",IF($C$29="상세법",FPV(H7089,K7089),IF(H7089="EI",4,IF(H7089="EO",5.2,IF(H7089="EQ",3.9,IF(H7089="ILF",7.5,IF(H7089="EIF",5.4)))))))</f>
        <v/>
      </c>
      <c r="M7089" s="112" t="str">
        <f t="shared" si="113"/>
        <v/>
      </c>
      <c r="N7089" s="113"/>
    </row>
    <row r="7090" spans="2:14">
      <c r="B7090" s="105"/>
      <c r="C7090" s="106"/>
      <c r="D7090" s="107"/>
      <c r="E7090" s="65"/>
      <c r="F7090" s="64"/>
      <c r="G7090" s="64"/>
      <c r="H7090" s="64"/>
      <c r="I7090" s="70"/>
      <c r="J7090" s="70"/>
      <c r="K7090" s="110" t="str">
        <f>IF(H7090="","",IF($C$29="간이법","",FPR(H7090,I7090,J7090)))</f>
        <v/>
      </c>
      <c r="L7090" s="111" t="str">
        <f>IF(H7090="","",IF($C$29="상세법",FPV(H7090,K7090),IF(H7090="EI",4,IF(H7090="EO",5.2,IF(H7090="EQ",3.9,IF(H7090="ILF",7.5,IF(H7090="EIF",5.4)))))))</f>
        <v/>
      </c>
      <c r="M7090" s="112" t="str">
        <f t="shared" si="113"/>
        <v/>
      </c>
      <c r="N7090" s="113"/>
    </row>
    <row r="7091" spans="2:14">
      <c r="B7091" s="105"/>
      <c r="C7091" s="106"/>
      <c r="D7091" s="107"/>
      <c r="E7091" s="65"/>
      <c r="F7091" s="64"/>
      <c r="G7091" s="64"/>
      <c r="H7091" s="64"/>
      <c r="I7091" s="70"/>
      <c r="J7091" s="70"/>
      <c r="K7091" s="110" t="str">
        <f>IF(H7091="","",IF($C$29="간이법","",FPR(H7091,I7091,J7091)))</f>
        <v/>
      </c>
      <c r="L7091" s="111" t="str">
        <f>IF(H7091="","",IF($C$29="상세법",FPV(H7091,K7091),IF(H7091="EI",4,IF(H7091="EO",5.2,IF(H7091="EQ",3.9,IF(H7091="ILF",7.5,IF(H7091="EIF",5.4)))))))</f>
        <v/>
      </c>
      <c r="M7091" s="112" t="str">
        <f t="shared" si="113"/>
        <v/>
      </c>
      <c r="N7091" s="113"/>
    </row>
    <row r="7092" spans="2:14">
      <c r="B7092" s="105"/>
      <c r="C7092" s="106"/>
      <c r="D7092" s="107"/>
      <c r="E7092" s="65"/>
      <c r="F7092" s="64"/>
      <c r="G7092" s="64"/>
      <c r="H7092" s="64"/>
      <c r="I7092" s="70"/>
      <c r="J7092" s="70"/>
      <c r="K7092" s="110" t="str">
        <f>IF(H7092="","",IF($C$29="간이법","",FPR(H7092,I7092,J7092)))</f>
        <v/>
      </c>
      <c r="L7092" s="111" t="str">
        <f>IF(H7092="","",IF($C$29="상세법",FPV(H7092,K7092),IF(H7092="EI",4,IF(H7092="EO",5.2,IF(H7092="EQ",3.9,IF(H7092="ILF",7.5,IF(H7092="EIF",5.4)))))))</f>
        <v/>
      </c>
      <c r="M7092" s="112" t="str">
        <f t="shared" si="113"/>
        <v/>
      </c>
      <c r="N7092" s="113"/>
    </row>
    <row r="7093" spans="2:14">
      <c r="B7093" s="105"/>
      <c r="C7093" s="106"/>
      <c r="D7093" s="107"/>
      <c r="E7093" s="65"/>
      <c r="F7093" s="64"/>
      <c r="G7093" s="64"/>
      <c r="H7093" s="64"/>
      <c r="I7093" s="70"/>
      <c r="J7093" s="70"/>
      <c r="K7093" s="110" t="str">
        <f>IF(H7093="","",IF($C$29="간이법","",FPR(H7093,I7093,J7093)))</f>
        <v/>
      </c>
      <c r="L7093" s="111" t="str">
        <f>IF(H7093="","",IF($C$29="상세법",FPV(H7093,K7093),IF(H7093="EI",4,IF(H7093="EO",5.2,IF(H7093="EQ",3.9,IF(H7093="ILF",7.5,IF(H7093="EIF",5.4)))))))</f>
        <v/>
      </c>
      <c r="M7093" s="112" t="str">
        <f t="shared" si="113"/>
        <v/>
      </c>
      <c r="N7093" s="113"/>
    </row>
    <row r="7094" spans="2:14">
      <c r="B7094" s="105"/>
      <c r="C7094" s="106"/>
      <c r="D7094" s="107"/>
      <c r="E7094" s="65"/>
      <c r="F7094" s="64"/>
      <c r="G7094" s="64"/>
      <c r="H7094" s="64"/>
      <c r="I7094" s="70"/>
      <c r="J7094" s="70"/>
      <c r="K7094" s="110" t="str">
        <f>IF(H7094="","",IF($C$29="간이법","",FPR(H7094,I7094,J7094)))</f>
        <v/>
      </c>
      <c r="L7094" s="111" t="str">
        <f>IF(H7094="","",IF($C$29="상세법",FPV(H7094,K7094),IF(H7094="EI",4,IF(H7094="EO",5.2,IF(H7094="EQ",3.9,IF(H7094="ILF",7.5,IF(H7094="EIF",5.4)))))))</f>
        <v/>
      </c>
      <c r="M7094" s="112" t="str">
        <f t="shared" si="113"/>
        <v/>
      </c>
      <c r="N7094" s="113"/>
    </row>
    <row r="7095" spans="2:14">
      <c r="B7095" s="105"/>
      <c r="C7095" s="106"/>
      <c r="D7095" s="107"/>
      <c r="E7095" s="65"/>
      <c r="F7095" s="64"/>
      <c r="G7095" s="64"/>
      <c r="H7095" s="64"/>
      <c r="I7095" s="70"/>
      <c r="J7095" s="70"/>
      <c r="K7095" s="110" t="str">
        <f>IF(H7095="","",IF($C$29="간이법","",FPR(H7095,I7095,J7095)))</f>
        <v/>
      </c>
      <c r="L7095" s="111" t="str">
        <f>IF(H7095="","",IF($C$29="상세법",FPV(H7095,K7095),IF(H7095="EI",4,IF(H7095="EO",5.2,IF(H7095="EQ",3.9,IF(H7095="ILF",7.5,IF(H7095="EIF",5.4)))))))</f>
        <v/>
      </c>
      <c r="M7095" s="112" t="str">
        <f t="shared" si="113"/>
        <v/>
      </c>
      <c r="N7095" s="113"/>
    </row>
    <row r="7096" spans="2:14">
      <c r="B7096" s="105"/>
      <c r="C7096" s="106"/>
      <c r="D7096" s="107"/>
      <c r="E7096" s="65"/>
      <c r="F7096" s="64"/>
      <c r="G7096" s="64"/>
      <c r="H7096" s="64"/>
      <c r="I7096" s="70"/>
      <c r="J7096" s="70"/>
      <c r="K7096" s="110" t="str">
        <f>IF(H7096="","",IF($C$29="간이법","",FPR(H7096,I7096,J7096)))</f>
        <v/>
      </c>
      <c r="L7096" s="111" t="str">
        <f>IF(H7096="","",IF($C$29="상세법",FPV(H7096,K7096),IF(H7096="EI",4,IF(H7096="EO",5.2,IF(H7096="EQ",3.9,IF(H7096="ILF",7.5,IF(H7096="EIF",5.4)))))))</f>
        <v/>
      </c>
      <c r="M7096" s="112" t="str">
        <f t="shared" si="113"/>
        <v/>
      </c>
      <c r="N7096" s="113"/>
    </row>
    <row r="7097" spans="2:14">
      <c r="B7097" s="105"/>
      <c r="C7097" s="106"/>
      <c r="D7097" s="107"/>
      <c r="E7097" s="65"/>
      <c r="F7097" s="64"/>
      <c r="G7097" s="64"/>
      <c r="H7097" s="64"/>
      <c r="I7097" s="70"/>
      <c r="J7097" s="70"/>
      <c r="K7097" s="110" t="str">
        <f>IF(H7097="","",IF($C$29="간이법","",FPR(H7097,I7097,J7097)))</f>
        <v/>
      </c>
      <c r="L7097" s="111" t="str">
        <f>IF(H7097="","",IF($C$29="상세법",FPV(H7097,K7097),IF(H7097="EI",4,IF(H7097="EO",5.2,IF(H7097="EQ",3.9,IF(H7097="ILF",7.5,IF(H7097="EIF",5.4)))))))</f>
        <v/>
      </c>
      <c r="M7097" s="112" t="str">
        <f t="shared" ref="M7097:M7160" si="114">IF(L7097="","",L7097*IF(G7097="상",0.7,IF(G7097="중",0.5,IF(G7097="하",0.2,1))))</f>
        <v/>
      </c>
      <c r="N7097" s="113"/>
    </row>
    <row r="7098" spans="2:14">
      <c r="B7098" s="105"/>
      <c r="C7098" s="106"/>
      <c r="D7098" s="107"/>
      <c r="E7098" s="65"/>
      <c r="F7098" s="64"/>
      <c r="G7098" s="64"/>
      <c r="H7098" s="64"/>
      <c r="I7098" s="70"/>
      <c r="J7098" s="70"/>
      <c r="K7098" s="110" t="str">
        <f>IF(H7098="","",IF($C$29="간이법","",FPR(H7098,I7098,J7098)))</f>
        <v/>
      </c>
      <c r="L7098" s="111" t="str">
        <f>IF(H7098="","",IF($C$29="상세법",FPV(H7098,K7098),IF(H7098="EI",4,IF(H7098="EO",5.2,IF(H7098="EQ",3.9,IF(H7098="ILF",7.5,IF(H7098="EIF",5.4)))))))</f>
        <v/>
      </c>
      <c r="M7098" s="112" t="str">
        <f t="shared" si="114"/>
        <v/>
      </c>
      <c r="N7098" s="113"/>
    </row>
    <row r="7099" spans="2:14">
      <c r="B7099" s="105"/>
      <c r="C7099" s="106"/>
      <c r="D7099" s="107"/>
      <c r="E7099" s="65"/>
      <c r="F7099" s="64"/>
      <c r="G7099" s="64"/>
      <c r="H7099" s="64"/>
      <c r="I7099" s="70"/>
      <c r="J7099" s="70"/>
      <c r="K7099" s="110" t="str">
        <f>IF(H7099="","",IF($C$29="간이법","",FPR(H7099,I7099,J7099)))</f>
        <v/>
      </c>
      <c r="L7099" s="111" t="str">
        <f>IF(H7099="","",IF($C$29="상세법",FPV(H7099,K7099),IF(H7099="EI",4,IF(H7099="EO",5.2,IF(H7099="EQ",3.9,IF(H7099="ILF",7.5,IF(H7099="EIF",5.4)))))))</f>
        <v/>
      </c>
      <c r="M7099" s="112" t="str">
        <f t="shared" si="114"/>
        <v/>
      </c>
      <c r="N7099" s="113"/>
    </row>
    <row r="7100" spans="2:14">
      <c r="B7100" s="105"/>
      <c r="C7100" s="106"/>
      <c r="D7100" s="107"/>
      <c r="E7100" s="65"/>
      <c r="F7100" s="64"/>
      <c r="G7100" s="64"/>
      <c r="H7100" s="64"/>
      <c r="I7100" s="70"/>
      <c r="J7100" s="70"/>
      <c r="K7100" s="110" t="str">
        <f>IF(H7100="","",IF($C$29="간이법","",FPR(H7100,I7100,J7100)))</f>
        <v/>
      </c>
      <c r="L7100" s="111" t="str">
        <f>IF(H7100="","",IF($C$29="상세법",FPV(H7100,K7100),IF(H7100="EI",4,IF(H7100="EO",5.2,IF(H7100="EQ",3.9,IF(H7100="ILF",7.5,IF(H7100="EIF",5.4)))))))</f>
        <v/>
      </c>
      <c r="M7100" s="112" t="str">
        <f t="shared" si="114"/>
        <v/>
      </c>
      <c r="N7100" s="113"/>
    </row>
    <row r="7101" spans="2:14">
      <c r="B7101" s="105"/>
      <c r="C7101" s="106"/>
      <c r="D7101" s="107"/>
      <c r="E7101" s="65"/>
      <c r="F7101" s="64"/>
      <c r="G7101" s="64"/>
      <c r="H7101" s="64"/>
      <c r="I7101" s="70"/>
      <c r="J7101" s="70"/>
      <c r="K7101" s="110" t="str">
        <f>IF(H7101="","",IF($C$29="간이법","",FPR(H7101,I7101,J7101)))</f>
        <v/>
      </c>
      <c r="L7101" s="111" t="str">
        <f>IF(H7101="","",IF($C$29="상세법",FPV(H7101,K7101),IF(H7101="EI",4,IF(H7101="EO",5.2,IF(H7101="EQ",3.9,IF(H7101="ILF",7.5,IF(H7101="EIF",5.4)))))))</f>
        <v/>
      </c>
      <c r="M7101" s="112" t="str">
        <f t="shared" si="114"/>
        <v/>
      </c>
      <c r="N7101" s="113"/>
    </row>
    <row r="7102" spans="2:14">
      <c r="B7102" s="105"/>
      <c r="C7102" s="106"/>
      <c r="D7102" s="107"/>
      <c r="E7102" s="65"/>
      <c r="F7102" s="64"/>
      <c r="G7102" s="64"/>
      <c r="H7102" s="64"/>
      <c r="I7102" s="70"/>
      <c r="J7102" s="70"/>
      <c r="K7102" s="110" t="str">
        <f>IF(H7102="","",IF($C$29="간이법","",FPR(H7102,I7102,J7102)))</f>
        <v/>
      </c>
      <c r="L7102" s="111" t="str">
        <f>IF(H7102="","",IF($C$29="상세법",FPV(H7102,K7102),IF(H7102="EI",4,IF(H7102="EO",5.2,IF(H7102="EQ",3.9,IF(H7102="ILF",7.5,IF(H7102="EIF",5.4)))))))</f>
        <v/>
      </c>
      <c r="M7102" s="112" t="str">
        <f t="shared" si="114"/>
        <v/>
      </c>
      <c r="N7102" s="113"/>
    </row>
    <row r="7103" spans="2:14">
      <c r="B7103" s="105"/>
      <c r="C7103" s="106"/>
      <c r="D7103" s="107"/>
      <c r="E7103" s="65"/>
      <c r="F7103" s="64"/>
      <c r="G7103" s="64"/>
      <c r="H7103" s="64"/>
      <c r="I7103" s="70"/>
      <c r="J7103" s="70"/>
      <c r="K7103" s="110" t="str">
        <f>IF(H7103="","",IF($C$29="간이법","",FPR(H7103,I7103,J7103)))</f>
        <v/>
      </c>
      <c r="L7103" s="111" t="str">
        <f>IF(H7103="","",IF($C$29="상세법",FPV(H7103,K7103),IF(H7103="EI",4,IF(H7103="EO",5.2,IF(H7103="EQ",3.9,IF(H7103="ILF",7.5,IF(H7103="EIF",5.4)))))))</f>
        <v/>
      </c>
      <c r="M7103" s="112" t="str">
        <f t="shared" si="114"/>
        <v/>
      </c>
      <c r="N7103" s="113"/>
    </row>
    <row r="7104" spans="2:14">
      <c r="B7104" s="105"/>
      <c r="C7104" s="106"/>
      <c r="D7104" s="107"/>
      <c r="E7104" s="65"/>
      <c r="F7104" s="64"/>
      <c r="G7104" s="64"/>
      <c r="H7104" s="64"/>
      <c r="I7104" s="70"/>
      <c r="J7104" s="70"/>
      <c r="K7104" s="110" t="str">
        <f>IF(H7104="","",IF($C$29="간이법","",FPR(H7104,I7104,J7104)))</f>
        <v/>
      </c>
      <c r="L7104" s="111" t="str">
        <f>IF(H7104="","",IF($C$29="상세법",FPV(H7104,K7104),IF(H7104="EI",4,IF(H7104="EO",5.2,IF(H7104="EQ",3.9,IF(H7104="ILF",7.5,IF(H7104="EIF",5.4)))))))</f>
        <v/>
      </c>
      <c r="M7104" s="112" t="str">
        <f t="shared" si="114"/>
        <v/>
      </c>
      <c r="N7104" s="113"/>
    </row>
    <row r="7105" spans="2:14">
      <c r="B7105" s="105"/>
      <c r="C7105" s="106"/>
      <c r="D7105" s="107"/>
      <c r="E7105" s="65"/>
      <c r="F7105" s="64"/>
      <c r="G7105" s="64"/>
      <c r="H7105" s="64"/>
      <c r="I7105" s="70"/>
      <c r="J7105" s="70"/>
      <c r="K7105" s="110" t="str">
        <f>IF(H7105="","",IF($C$29="간이법","",FPR(H7105,I7105,J7105)))</f>
        <v/>
      </c>
      <c r="L7105" s="111" t="str">
        <f>IF(H7105="","",IF($C$29="상세법",FPV(H7105,K7105),IF(H7105="EI",4,IF(H7105="EO",5.2,IF(H7105="EQ",3.9,IF(H7105="ILF",7.5,IF(H7105="EIF",5.4)))))))</f>
        <v/>
      </c>
      <c r="M7105" s="112" t="str">
        <f t="shared" si="114"/>
        <v/>
      </c>
      <c r="N7105" s="113"/>
    </row>
    <row r="7106" spans="2:14">
      <c r="B7106" s="105"/>
      <c r="C7106" s="106"/>
      <c r="D7106" s="107"/>
      <c r="E7106" s="65"/>
      <c r="F7106" s="64"/>
      <c r="G7106" s="64"/>
      <c r="H7106" s="64"/>
      <c r="I7106" s="70"/>
      <c r="J7106" s="70"/>
      <c r="K7106" s="110" t="str">
        <f>IF(H7106="","",IF($C$29="간이법","",FPR(H7106,I7106,J7106)))</f>
        <v/>
      </c>
      <c r="L7106" s="111" t="str">
        <f>IF(H7106="","",IF($C$29="상세법",FPV(H7106,K7106),IF(H7106="EI",4,IF(H7106="EO",5.2,IF(H7106="EQ",3.9,IF(H7106="ILF",7.5,IF(H7106="EIF",5.4)))))))</f>
        <v/>
      </c>
      <c r="M7106" s="112" t="str">
        <f t="shared" si="114"/>
        <v/>
      </c>
      <c r="N7106" s="113"/>
    </row>
    <row r="7107" spans="2:14">
      <c r="B7107" s="105"/>
      <c r="C7107" s="106"/>
      <c r="D7107" s="107"/>
      <c r="E7107" s="65"/>
      <c r="F7107" s="64"/>
      <c r="G7107" s="64"/>
      <c r="H7107" s="64"/>
      <c r="I7107" s="70"/>
      <c r="J7107" s="70"/>
      <c r="K7107" s="110" t="str">
        <f>IF(H7107="","",IF($C$29="간이법","",FPR(H7107,I7107,J7107)))</f>
        <v/>
      </c>
      <c r="L7107" s="111" t="str">
        <f>IF(H7107="","",IF($C$29="상세법",FPV(H7107,K7107),IF(H7107="EI",4,IF(H7107="EO",5.2,IF(H7107="EQ",3.9,IF(H7107="ILF",7.5,IF(H7107="EIF",5.4)))))))</f>
        <v/>
      </c>
      <c r="M7107" s="112" t="str">
        <f t="shared" si="114"/>
        <v/>
      </c>
      <c r="N7107" s="113"/>
    </row>
    <row r="7108" spans="2:14">
      <c r="B7108" s="105"/>
      <c r="C7108" s="106"/>
      <c r="D7108" s="107"/>
      <c r="E7108" s="65"/>
      <c r="F7108" s="64"/>
      <c r="G7108" s="64"/>
      <c r="H7108" s="64"/>
      <c r="I7108" s="70"/>
      <c r="J7108" s="70"/>
      <c r="K7108" s="110" t="str">
        <f>IF(H7108="","",IF($C$29="간이법","",FPR(H7108,I7108,J7108)))</f>
        <v/>
      </c>
      <c r="L7108" s="111" t="str">
        <f>IF(H7108="","",IF($C$29="상세법",FPV(H7108,K7108),IF(H7108="EI",4,IF(H7108="EO",5.2,IF(H7108="EQ",3.9,IF(H7108="ILF",7.5,IF(H7108="EIF",5.4)))))))</f>
        <v/>
      </c>
      <c r="M7108" s="112" t="str">
        <f t="shared" si="114"/>
        <v/>
      </c>
      <c r="N7108" s="113"/>
    </row>
    <row r="7109" spans="2:14">
      <c r="B7109" s="105"/>
      <c r="C7109" s="106"/>
      <c r="D7109" s="107"/>
      <c r="E7109" s="65"/>
      <c r="F7109" s="64"/>
      <c r="G7109" s="64"/>
      <c r="H7109" s="64"/>
      <c r="I7109" s="70"/>
      <c r="J7109" s="70"/>
      <c r="K7109" s="110" t="str">
        <f>IF(H7109="","",IF($C$29="간이법","",FPR(H7109,I7109,J7109)))</f>
        <v/>
      </c>
      <c r="L7109" s="111" t="str">
        <f>IF(H7109="","",IF($C$29="상세법",FPV(H7109,K7109),IF(H7109="EI",4,IF(H7109="EO",5.2,IF(H7109="EQ",3.9,IF(H7109="ILF",7.5,IF(H7109="EIF",5.4)))))))</f>
        <v/>
      </c>
      <c r="M7109" s="112" t="str">
        <f t="shared" si="114"/>
        <v/>
      </c>
      <c r="N7109" s="113"/>
    </row>
    <row r="7110" spans="2:14">
      <c r="B7110" s="105"/>
      <c r="C7110" s="106"/>
      <c r="D7110" s="107"/>
      <c r="E7110" s="65"/>
      <c r="F7110" s="64"/>
      <c r="G7110" s="64"/>
      <c r="H7110" s="64"/>
      <c r="I7110" s="70"/>
      <c r="J7110" s="70"/>
      <c r="K7110" s="110" t="str">
        <f>IF(H7110="","",IF($C$29="간이법","",FPR(H7110,I7110,J7110)))</f>
        <v/>
      </c>
      <c r="L7110" s="111" t="str">
        <f>IF(H7110="","",IF($C$29="상세법",FPV(H7110,K7110),IF(H7110="EI",4,IF(H7110="EO",5.2,IF(H7110="EQ",3.9,IF(H7110="ILF",7.5,IF(H7110="EIF",5.4)))))))</f>
        <v/>
      </c>
      <c r="M7110" s="112" t="str">
        <f t="shared" si="114"/>
        <v/>
      </c>
      <c r="N7110" s="113"/>
    </row>
    <row r="7111" spans="2:14">
      <c r="B7111" s="105"/>
      <c r="C7111" s="106"/>
      <c r="D7111" s="107"/>
      <c r="E7111" s="65"/>
      <c r="F7111" s="64"/>
      <c r="G7111" s="64"/>
      <c r="H7111" s="64"/>
      <c r="I7111" s="70"/>
      <c r="J7111" s="70"/>
      <c r="K7111" s="110" t="str">
        <f>IF(H7111="","",IF($C$29="간이법","",FPR(H7111,I7111,J7111)))</f>
        <v/>
      </c>
      <c r="L7111" s="111" t="str">
        <f>IF(H7111="","",IF($C$29="상세법",FPV(H7111,K7111),IF(H7111="EI",4,IF(H7111="EO",5.2,IF(H7111="EQ",3.9,IF(H7111="ILF",7.5,IF(H7111="EIF",5.4)))))))</f>
        <v/>
      </c>
      <c r="M7111" s="112" t="str">
        <f t="shared" si="114"/>
        <v/>
      </c>
      <c r="N7111" s="113"/>
    </row>
    <row r="7112" spans="2:14">
      <c r="B7112" s="105"/>
      <c r="C7112" s="106"/>
      <c r="D7112" s="107"/>
      <c r="E7112" s="65"/>
      <c r="F7112" s="64"/>
      <c r="G7112" s="64"/>
      <c r="H7112" s="64"/>
      <c r="I7112" s="70"/>
      <c r="J7112" s="70"/>
      <c r="K7112" s="110" t="str">
        <f>IF(H7112="","",IF($C$29="간이법","",FPR(H7112,I7112,J7112)))</f>
        <v/>
      </c>
      <c r="L7112" s="111" t="str">
        <f>IF(H7112="","",IF($C$29="상세법",FPV(H7112,K7112),IF(H7112="EI",4,IF(H7112="EO",5.2,IF(H7112="EQ",3.9,IF(H7112="ILF",7.5,IF(H7112="EIF",5.4)))))))</f>
        <v/>
      </c>
      <c r="M7112" s="112" t="str">
        <f t="shared" si="114"/>
        <v/>
      </c>
      <c r="N7112" s="113"/>
    </row>
    <row r="7113" spans="2:14">
      <c r="B7113" s="105"/>
      <c r="C7113" s="106"/>
      <c r="D7113" s="107"/>
      <c r="E7113" s="65"/>
      <c r="F7113" s="64"/>
      <c r="G7113" s="64"/>
      <c r="H7113" s="64"/>
      <c r="I7113" s="70"/>
      <c r="J7113" s="70"/>
      <c r="K7113" s="110" t="str">
        <f>IF(H7113="","",IF($C$29="간이법","",FPR(H7113,I7113,J7113)))</f>
        <v/>
      </c>
      <c r="L7113" s="111" t="str">
        <f>IF(H7113="","",IF($C$29="상세법",FPV(H7113,K7113),IF(H7113="EI",4,IF(H7113="EO",5.2,IF(H7113="EQ",3.9,IF(H7113="ILF",7.5,IF(H7113="EIF",5.4)))))))</f>
        <v/>
      </c>
      <c r="M7113" s="112" t="str">
        <f t="shared" si="114"/>
        <v/>
      </c>
      <c r="N7113" s="113"/>
    </row>
    <row r="7114" spans="2:14">
      <c r="B7114" s="105"/>
      <c r="C7114" s="106"/>
      <c r="D7114" s="107"/>
      <c r="E7114" s="65"/>
      <c r="F7114" s="64"/>
      <c r="G7114" s="64"/>
      <c r="H7114" s="64"/>
      <c r="I7114" s="70"/>
      <c r="J7114" s="70"/>
      <c r="K7114" s="110" t="str">
        <f>IF(H7114="","",IF($C$29="간이법","",FPR(H7114,I7114,J7114)))</f>
        <v/>
      </c>
      <c r="L7114" s="111" t="str">
        <f>IF(H7114="","",IF($C$29="상세법",FPV(H7114,K7114),IF(H7114="EI",4,IF(H7114="EO",5.2,IF(H7114="EQ",3.9,IF(H7114="ILF",7.5,IF(H7114="EIF",5.4)))))))</f>
        <v/>
      </c>
      <c r="M7114" s="112" t="str">
        <f t="shared" si="114"/>
        <v/>
      </c>
      <c r="N7114" s="113"/>
    </row>
    <row r="7115" spans="2:14">
      <c r="B7115" s="105"/>
      <c r="C7115" s="106"/>
      <c r="D7115" s="107"/>
      <c r="E7115" s="65"/>
      <c r="F7115" s="64"/>
      <c r="G7115" s="64"/>
      <c r="H7115" s="64"/>
      <c r="I7115" s="70"/>
      <c r="J7115" s="70"/>
      <c r="K7115" s="110" t="str">
        <f>IF(H7115="","",IF($C$29="간이법","",FPR(H7115,I7115,J7115)))</f>
        <v/>
      </c>
      <c r="L7115" s="111" t="str">
        <f>IF(H7115="","",IF($C$29="상세법",FPV(H7115,K7115),IF(H7115="EI",4,IF(H7115="EO",5.2,IF(H7115="EQ",3.9,IF(H7115="ILF",7.5,IF(H7115="EIF",5.4)))))))</f>
        <v/>
      </c>
      <c r="M7115" s="112" t="str">
        <f t="shared" si="114"/>
        <v/>
      </c>
      <c r="N7115" s="113"/>
    </row>
    <row r="7116" spans="2:14">
      <c r="B7116" s="105"/>
      <c r="C7116" s="106"/>
      <c r="D7116" s="107"/>
      <c r="E7116" s="65"/>
      <c r="F7116" s="64"/>
      <c r="G7116" s="64"/>
      <c r="H7116" s="64"/>
      <c r="I7116" s="70"/>
      <c r="J7116" s="70"/>
      <c r="K7116" s="110" t="str">
        <f>IF(H7116="","",IF($C$29="간이법","",FPR(H7116,I7116,J7116)))</f>
        <v/>
      </c>
      <c r="L7116" s="111" t="str">
        <f>IF(H7116="","",IF($C$29="상세법",FPV(H7116,K7116),IF(H7116="EI",4,IF(H7116="EO",5.2,IF(H7116="EQ",3.9,IF(H7116="ILF",7.5,IF(H7116="EIF",5.4)))))))</f>
        <v/>
      </c>
      <c r="M7116" s="112" t="str">
        <f t="shared" si="114"/>
        <v/>
      </c>
      <c r="N7116" s="113"/>
    </row>
    <row r="7117" spans="2:14">
      <c r="B7117" s="105"/>
      <c r="C7117" s="106"/>
      <c r="D7117" s="107"/>
      <c r="E7117" s="65"/>
      <c r="F7117" s="64"/>
      <c r="G7117" s="64"/>
      <c r="H7117" s="64"/>
      <c r="I7117" s="70"/>
      <c r="J7117" s="70"/>
      <c r="K7117" s="110" t="str">
        <f>IF(H7117="","",IF($C$29="간이법","",FPR(H7117,I7117,J7117)))</f>
        <v/>
      </c>
      <c r="L7117" s="111" t="str">
        <f>IF(H7117="","",IF($C$29="상세법",FPV(H7117,K7117),IF(H7117="EI",4,IF(H7117="EO",5.2,IF(H7117="EQ",3.9,IF(H7117="ILF",7.5,IF(H7117="EIF",5.4)))))))</f>
        <v/>
      </c>
      <c r="M7117" s="112" t="str">
        <f t="shared" si="114"/>
        <v/>
      </c>
      <c r="N7117" s="113"/>
    </row>
    <row r="7118" spans="2:14">
      <c r="B7118" s="105"/>
      <c r="C7118" s="106"/>
      <c r="D7118" s="107"/>
      <c r="E7118" s="65"/>
      <c r="F7118" s="64"/>
      <c r="G7118" s="64"/>
      <c r="H7118" s="64"/>
      <c r="I7118" s="70"/>
      <c r="J7118" s="70"/>
      <c r="K7118" s="110" t="str">
        <f>IF(H7118="","",IF($C$29="간이법","",FPR(H7118,I7118,J7118)))</f>
        <v/>
      </c>
      <c r="L7118" s="111" t="str">
        <f>IF(H7118="","",IF($C$29="상세법",FPV(H7118,K7118),IF(H7118="EI",4,IF(H7118="EO",5.2,IF(H7118="EQ",3.9,IF(H7118="ILF",7.5,IF(H7118="EIF",5.4)))))))</f>
        <v/>
      </c>
      <c r="M7118" s="112" t="str">
        <f t="shared" si="114"/>
        <v/>
      </c>
      <c r="N7118" s="113"/>
    </row>
    <row r="7119" spans="2:14">
      <c r="B7119" s="105"/>
      <c r="C7119" s="106"/>
      <c r="D7119" s="107"/>
      <c r="E7119" s="65"/>
      <c r="F7119" s="64"/>
      <c r="G7119" s="64"/>
      <c r="H7119" s="64"/>
      <c r="I7119" s="70"/>
      <c r="J7119" s="70"/>
      <c r="K7119" s="110" t="str">
        <f>IF(H7119="","",IF($C$29="간이법","",FPR(H7119,I7119,J7119)))</f>
        <v/>
      </c>
      <c r="L7119" s="111" t="str">
        <f>IF(H7119="","",IF($C$29="상세법",FPV(H7119,K7119),IF(H7119="EI",4,IF(H7119="EO",5.2,IF(H7119="EQ",3.9,IF(H7119="ILF",7.5,IF(H7119="EIF",5.4)))))))</f>
        <v/>
      </c>
      <c r="M7119" s="112" t="str">
        <f t="shared" si="114"/>
        <v/>
      </c>
      <c r="N7119" s="113"/>
    </row>
    <row r="7120" spans="2:14">
      <c r="B7120" s="105"/>
      <c r="C7120" s="106"/>
      <c r="D7120" s="107"/>
      <c r="E7120" s="65"/>
      <c r="F7120" s="64"/>
      <c r="G7120" s="64"/>
      <c r="H7120" s="64"/>
      <c r="I7120" s="70"/>
      <c r="J7120" s="70"/>
      <c r="K7120" s="110" t="str">
        <f>IF(H7120="","",IF($C$29="간이법","",FPR(H7120,I7120,J7120)))</f>
        <v/>
      </c>
      <c r="L7120" s="111" t="str">
        <f>IF(H7120="","",IF($C$29="상세법",FPV(H7120,K7120),IF(H7120="EI",4,IF(H7120="EO",5.2,IF(H7120="EQ",3.9,IF(H7120="ILF",7.5,IF(H7120="EIF",5.4)))))))</f>
        <v/>
      </c>
      <c r="M7120" s="112" t="str">
        <f t="shared" si="114"/>
        <v/>
      </c>
      <c r="N7120" s="113"/>
    </row>
    <row r="7121" spans="2:14">
      <c r="B7121" s="105"/>
      <c r="C7121" s="106"/>
      <c r="D7121" s="107"/>
      <c r="E7121" s="65"/>
      <c r="F7121" s="64"/>
      <c r="G7121" s="64"/>
      <c r="H7121" s="64"/>
      <c r="I7121" s="70"/>
      <c r="J7121" s="70"/>
      <c r="K7121" s="110" t="str">
        <f>IF(H7121="","",IF($C$29="간이법","",FPR(H7121,I7121,J7121)))</f>
        <v/>
      </c>
      <c r="L7121" s="111" t="str">
        <f>IF(H7121="","",IF($C$29="상세법",FPV(H7121,K7121),IF(H7121="EI",4,IF(H7121="EO",5.2,IF(H7121="EQ",3.9,IF(H7121="ILF",7.5,IF(H7121="EIF",5.4)))))))</f>
        <v/>
      </c>
      <c r="M7121" s="112" t="str">
        <f t="shared" si="114"/>
        <v/>
      </c>
      <c r="N7121" s="113"/>
    </row>
    <row r="7122" spans="2:14">
      <c r="B7122" s="105"/>
      <c r="C7122" s="106"/>
      <c r="D7122" s="107"/>
      <c r="E7122" s="65"/>
      <c r="F7122" s="64"/>
      <c r="G7122" s="64"/>
      <c r="H7122" s="64"/>
      <c r="I7122" s="70"/>
      <c r="J7122" s="70"/>
      <c r="K7122" s="110" t="str">
        <f>IF(H7122="","",IF($C$29="간이법","",FPR(H7122,I7122,J7122)))</f>
        <v/>
      </c>
      <c r="L7122" s="111" t="str">
        <f>IF(H7122="","",IF($C$29="상세법",FPV(H7122,K7122),IF(H7122="EI",4,IF(H7122="EO",5.2,IF(H7122="EQ",3.9,IF(H7122="ILF",7.5,IF(H7122="EIF",5.4)))))))</f>
        <v/>
      </c>
      <c r="M7122" s="112" t="str">
        <f t="shared" si="114"/>
        <v/>
      </c>
      <c r="N7122" s="113"/>
    </row>
    <row r="7123" spans="2:14">
      <c r="B7123" s="105"/>
      <c r="C7123" s="106"/>
      <c r="D7123" s="107"/>
      <c r="E7123" s="65"/>
      <c r="F7123" s="64"/>
      <c r="G7123" s="64"/>
      <c r="H7123" s="64"/>
      <c r="I7123" s="70"/>
      <c r="J7123" s="70"/>
      <c r="K7123" s="110" t="str">
        <f>IF(H7123="","",IF($C$29="간이법","",FPR(H7123,I7123,J7123)))</f>
        <v/>
      </c>
      <c r="L7123" s="111" t="str">
        <f>IF(H7123="","",IF($C$29="상세법",FPV(H7123,K7123),IF(H7123="EI",4,IF(H7123="EO",5.2,IF(H7123="EQ",3.9,IF(H7123="ILF",7.5,IF(H7123="EIF",5.4)))))))</f>
        <v/>
      </c>
      <c r="M7123" s="112" t="str">
        <f t="shared" si="114"/>
        <v/>
      </c>
      <c r="N7123" s="113"/>
    </row>
    <row r="7124" spans="2:14">
      <c r="B7124" s="105"/>
      <c r="C7124" s="106"/>
      <c r="D7124" s="107"/>
      <c r="E7124" s="65"/>
      <c r="F7124" s="64"/>
      <c r="G7124" s="64"/>
      <c r="H7124" s="64"/>
      <c r="I7124" s="70"/>
      <c r="J7124" s="70"/>
      <c r="K7124" s="110" t="str">
        <f>IF(H7124="","",IF($C$29="간이법","",FPR(H7124,I7124,J7124)))</f>
        <v/>
      </c>
      <c r="L7124" s="111" t="str">
        <f>IF(H7124="","",IF($C$29="상세법",FPV(H7124,K7124),IF(H7124="EI",4,IF(H7124="EO",5.2,IF(H7124="EQ",3.9,IF(H7124="ILF",7.5,IF(H7124="EIF",5.4)))))))</f>
        <v/>
      </c>
      <c r="M7124" s="112" t="str">
        <f t="shared" si="114"/>
        <v/>
      </c>
      <c r="N7124" s="113"/>
    </row>
    <row r="7125" spans="2:14">
      <c r="B7125" s="105"/>
      <c r="C7125" s="106"/>
      <c r="D7125" s="107"/>
      <c r="E7125" s="65"/>
      <c r="F7125" s="64"/>
      <c r="G7125" s="64"/>
      <c r="H7125" s="64"/>
      <c r="I7125" s="70"/>
      <c r="J7125" s="70"/>
      <c r="K7125" s="110" t="str">
        <f>IF(H7125="","",IF($C$29="간이법","",FPR(H7125,I7125,J7125)))</f>
        <v/>
      </c>
      <c r="L7125" s="111" t="str">
        <f>IF(H7125="","",IF($C$29="상세법",FPV(H7125,K7125),IF(H7125="EI",4,IF(H7125="EO",5.2,IF(H7125="EQ",3.9,IF(H7125="ILF",7.5,IF(H7125="EIF",5.4)))))))</f>
        <v/>
      </c>
      <c r="M7125" s="112" t="str">
        <f t="shared" si="114"/>
        <v/>
      </c>
      <c r="N7125" s="113"/>
    </row>
    <row r="7126" spans="2:14">
      <c r="B7126" s="105"/>
      <c r="C7126" s="106"/>
      <c r="D7126" s="107"/>
      <c r="E7126" s="65"/>
      <c r="F7126" s="64"/>
      <c r="G7126" s="64"/>
      <c r="H7126" s="64"/>
      <c r="I7126" s="70"/>
      <c r="J7126" s="70"/>
      <c r="K7126" s="110" t="str">
        <f>IF(H7126="","",IF($C$29="간이법","",FPR(H7126,I7126,J7126)))</f>
        <v/>
      </c>
      <c r="L7126" s="111" t="str">
        <f>IF(H7126="","",IF($C$29="상세법",FPV(H7126,K7126),IF(H7126="EI",4,IF(H7126="EO",5.2,IF(H7126="EQ",3.9,IF(H7126="ILF",7.5,IF(H7126="EIF",5.4)))))))</f>
        <v/>
      </c>
      <c r="M7126" s="112" t="str">
        <f t="shared" si="114"/>
        <v/>
      </c>
      <c r="N7126" s="113"/>
    </row>
    <row r="7127" spans="2:14">
      <c r="B7127" s="105"/>
      <c r="C7127" s="106"/>
      <c r="D7127" s="107"/>
      <c r="E7127" s="65"/>
      <c r="F7127" s="64"/>
      <c r="G7127" s="64"/>
      <c r="H7127" s="64"/>
      <c r="I7127" s="70"/>
      <c r="J7127" s="70"/>
      <c r="K7127" s="110" t="str">
        <f>IF(H7127="","",IF($C$29="간이법","",FPR(H7127,I7127,J7127)))</f>
        <v/>
      </c>
      <c r="L7127" s="111" t="str">
        <f>IF(H7127="","",IF($C$29="상세법",FPV(H7127,K7127),IF(H7127="EI",4,IF(H7127="EO",5.2,IF(H7127="EQ",3.9,IF(H7127="ILF",7.5,IF(H7127="EIF",5.4)))))))</f>
        <v/>
      </c>
      <c r="M7127" s="112" t="str">
        <f t="shared" si="114"/>
        <v/>
      </c>
      <c r="N7127" s="113"/>
    </row>
    <row r="7128" spans="2:14">
      <c r="B7128" s="105"/>
      <c r="C7128" s="106"/>
      <c r="D7128" s="107"/>
      <c r="E7128" s="65"/>
      <c r="F7128" s="64"/>
      <c r="G7128" s="64"/>
      <c r="H7128" s="64"/>
      <c r="I7128" s="70"/>
      <c r="J7128" s="70"/>
      <c r="K7128" s="110" t="str">
        <f>IF(H7128="","",IF($C$29="간이법","",FPR(H7128,I7128,J7128)))</f>
        <v/>
      </c>
      <c r="L7128" s="111" t="str">
        <f>IF(H7128="","",IF($C$29="상세법",FPV(H7128,K7128),IF(H7128="EI",4,IF(H7128="EO",5.2,IF(H7128="EQ",3.9,IF(H7128="ILF",7.5,IF(H7128="EIF",5.4)))))))</f>
        <v/>
      </c>
      <c r="M7128" s="112" t="str">
        <f t="shared" si="114"/>
        <v/>
      </c>
      <c r="N7128" s="113"/>
    </row>
    <row r="7129" spans="2:14">
      <c r="B7129" s="105"/>
      <c r="C7129" s="106"/>
      <c r="D7129" s="107"/>
      <c r="E7129" s="65"/>
      <c r="F7129" s="64"/>
      <c r="G7129" s="64"/>
      <c r="H7129" s="64"/>
      <c r="I7129" s="70"/>
      <c r="J7129" s="70"/>
      <c r="K7129" s="110" t="str">
        <f>IF(H7129="","",IF($C$29="간이법","",FPR(H7129,I7129,J7129)))</f>
        <v/>
      </c>
      <c r="L7129" s="111" t="str">
        <f>IF(H7129="","",IF($C$29="상세법",FPV(H7129,K7129),IF(H7129="EI",4,IF(H7129="EO",5.2,IF(H7129="EQ",3.9,IF(H7129="ILF",7.5,IF(H7129="EIF",5.4)))))))</f>
        <v/>
      </c>
      <c r="M7129" s="112" t="str">
        <f t="shared" si="114"/>
        <v/>
      </c>
      <c r="N7129" s="113"/>
    </row>
    <row r="7130" spans="2:14">
      <c r="B7130" s="105"/>
      <c r="C7130" s="106"/>
      <c r="D7130" s="107"/>
      <c r="E7130" s="65"/>
      <c r="F7130" s="64"/>
      <c r="G7130" s="64"/>
      <c r="H7130" s="64"/>
      <c r="I7130" s="70"/>
      <c r="J7130" s="70"/>
      <c r="K7130" s="110" t="str">
        <f>IF(H7130="","",IF($C$29="간이법","",FPR(H7130,I7130,J7130)))</f>
        <v/>
      </c>
      <c r="L7130" s="111" t="str">
        <f>IF(H7130="","",IF($C$29="상세법",FPV(H7130,K7130),IF(H7130="EI",4,IF(H7130="EO",5.2,IF(H7130="EQ",3.9,IF(H7130="ILF",7.5,IF(H7130="EIF",5.4)))))))</f>
        <v/>
      </c>
      <c r="M7130" s="112" t="str">
        <f t="shared" si="114"/>
        <v/>
      </c>
      <c r="N7130" s="113"/>
    </row>
    <row r="7131" spans="2:14">
      <c r="B7131" s="105"/>
      <c r="C7131" s="106"/>
      <c r="D7131" s="107"/>
      <c r="E7131" s="65"/>
      <c r="F7131" s="64"/>
      <c r="G7131" s="64"/>
      <c r="H7131" s="64"/>
      <c r="I7131" s="70"/>
      <c r="J7131" s="70"/>
      <c r="K7131" s="110" t="str">
        <f>IF(H7131="","",IF($C$29="간이법","",FPR(H7131,I7131,J7131)))</f>
        <v/>
      </c>
      <c r="L7131" s="111" t="str">
        <f>IF(H7131="","",IF($C$29="상세법",FPV(H7131,K7131),IF(H7131="EI",4,IF(H7131="EO",5.2,IF(H7131="EQ",3.9,IF(H7131="ILF",7.5,IF(H7131="EIF",5.4)))))))</f>
        <v/>
      </c>
      <c r="M7131" s="112" t="str">
        <f t="shared" si="114"/>
        <v/>
      </c>
      <c r="N7131" s="113"/>
    </row>
    <row r="7132" spans="2:14">
      <c r="B7132" s="105"/>
      <c r="C7132" s="106"/>
      <c r="D7132" s="107"/>
      <c r="E7132" s="65"/>
      <c r="F7132" s="64"/>
      <c r="G7132" s="64"/>
      <c r="H7132" s="64"/>
      <c r="I7132" s="70"/>
      <c r="J7132" s="70"/>
      <c r="K7132" s="110" t="str">
        <f>IF(H7132="","",IF($C$29="간이법","",FPR(H7132,I7132,J7132)))</f>
        <v/>
      </c>
      <c r="L7132" s="111" t="str">
        <f>IF(H7132="","",IF($C$29="상세법",FPV(H7132,K7132),IF(H7132="EI",4,IF(H7132="EO",5.2,IF(H7132="EQ",3.9,IF(H7132="ILF",7.5,IF(H7132="EIF",5.4)))))))</f>
        <v/>
      </c>
      <c r="M7132" s="112" t="str">
        <f t="shared" si="114"/>
        <v/>
      </c>
      <c r="N7132" s="113"/>
    </row>
    <row r="7133" spans="2:14">
      <c r="B7133" s="105"/>
      <c r="C7133" s="106"/>
      <c r="D7133" s="107"/>
      <c r="E7133" s="65"/>
      <c r="F7133" s="64"/>
      <c r="G7133" s="64"/>
      <c r="H7133" s="64"/>
      <c r="I7133" s="70"/>
      <c r="J7133" s="70"/>
      <c r="K7133" s="110" t="str">
        <f>IF(H7133="","",IF($C$29="간이법","",FPR(H7133,I7133,J7133)))</f>
        <v/>
      </c>
      <c r="L7133" s="111" t="str">
        <f>IF(H7133="","",IF($C$29="상세법",FPV(H7133,K7133),IF(H7133="EI",4,IF(H7133="EO",5.2,IF(H7133="EQ",3.9,IF(H7133="ILF",7.5,IF(H7133="EIF",5.4)))))))</f>
        <v/>
      </c>
      <c r="M7133" s="112" t="str">
        <f t="shared" si="114"/>
        <v/>
      </c>
      <c r="N7133" s="113"/>
    </row>
    <row r="7134" spans="2:14">
      <c r="B7134" s="105"/>
      <c r="C7134" s="106"/>
      <c r="D7134" s="107"/>
      <c r="E7134" s="65"/>
      <c r="F7134" s="64"/>
      <c r="G7134" s="64"/>
      <c r="H7134" s="64"/>
      <c r="I7134" s="70"/>
      <c r="J7134" s="70"/>
      <c r="K7134" s="110" t="str">
        <f>IF(H7134="","",IF($C$29="간이법","",FPR(H7134,I7134,J7134)))</f>
        <v/>
      </c>
      <c r="L7134" s="111" t="str">
        <f>IF(H7134="","",IF($C$29="상세법",FPV(H7134,K7134),IF(H7134="EI",4,IF(H7134="EO",5.2,IF(H7134="EQ",3.9,IF(H7134="ILF",7.5,IF(H7134="EIF",5.4)))))))</f>
        <v/>
      </c>
      <c r="M7134" s="112" t="str">
        <f t="shared" si="114"/>
        <v/>
      </c>
      <c r="N7134" s="113"/>
    </row>
    <row r="7135" spans="2:14">
      <c r="B7135" s="105"/>
      <c r="C7135" s="106"/>
      <c r="D7135" s="107"/>
      <c r="E7135" s="65"/>
      <c r="F7135" s="64"/>
      <c r="G7135" s="64"/>
      <c r="H7135" s="64"/>
      <c r="I7135" s="70"/>
      <c r="J7135" s="70"/>
      <c r="K7135" s="110" t="str">
        <f>IF(H7135="","",IF($C$29="간이법","",FPR(H7135,I7135,J7135)))</f>
        <v/>
      </c>
      <c r="L7135" s="111" t="str">
        <f>IF(H7135="","",IF($C$29="상세법",FPV(H7135,K7135),IF(H7135="EI",4,IF(H7135="EO",5.2,IF(H7135="EQ",3.9,IF(H7135="ILF",7.5,IF(H7135="EIF",5.4)))))))</f>
        <v/>
      </c>
      <c r="M7135" s="112" t="str">
        <f t="shared" si="114"/>
        <v/>
      </c>
      <c r="N7135" s="113"/>
    </row>
    <row r="7136" spans="2:14">
      <c r="B7136" s="105"/>
      <c r="C7136" s="106"/>
      <c r="D7136" s="107"/>
      <c r="E7136" s="65"/>
      <c r="F7136" s="64"/>
      <c r="G7136" s="64"/>
      <c r="H7136" s="64"/>
      <c r="I7136" s="70"/>
      <c r="J7136" s="70"/>
      <c r="K7136" s="110" t="str">
        <f>IF(H7136="","",IF($C$29="간이법","",FPR(H7136,I7136,J7136)))</f>
        <v/>
      </c>
      <c r="L7136" s="111" t="str">
        <f>IF(H7136="","",IF($C$29="상세법",FPV(H7136,K7136),IF(H7136="EI",4,IF(H7136="EO",5.2,IF(H7136="EQ",3.9,IF(H7136="ILF",7.5,IF(H7136="EIF",5.4)))))))</f>
        <v/>
      </c>
      <c r="M7136" s="112" t="str">
        <f t="shared" si="114"/>
        <v/>
      </c>
      <c r="N7136" s="113"/>
    </row>
    <row r="7137" spans="2:14">
      <c r="B7137" s="105"/>
      <c r="C7137" s="106"/>
      <c r="D7137" s="107"/>
      <c r="E7137" s="65"/>
      <c r="F7137" s="64"/>
      <c r="G7137" s="64"/>
      <c r="H7137" s="64"/>
      <c r="I7137" s="70"/>
      <c r="J7137" s="70"/>
      <c r="K7137" s="110" t="str">
        <f>IF(H7137="","",IF($C$29="간이법","",FPR(H7137,I7137,J7137)))</f>
        <v/>
      </c>
      <c r="L7137" s="111" t="str">
        <f>IF(H7137="","",IF($C$29="상세법",FPV(H7137,K7137),IF(H7137="EI",4,IF(H7137="EO",5.2,IF(H7137="EQ",3.9,IF(H7137="ILF",7.5,IF(H7137="EIF",5.4)))))))</f>
        <v/>
      </c>
      <c r="M7137" s="112" t="str">
        <f t="shared" si="114"/>
        <v/>
      </c>
      <c r="N7137" s="113"/>
    </row>
    <row r="7138" spans="2:14">
      <c r="B7138" s="105"/>
      <c r="C7138" s="106"/>
      <c r="D7138" s="107"/>
      <c r="E7138" s="65"/>
      <c r="F7138" s="64"/>
      <c r="G7138" s="64"/>
      <c r="H7138" s="64"/>
      <c r="I7138" s="70"/>
      <c r="J7138" s="70"/>
      <c r="K7138" s="110" t="str">
        <f>IF(H7138="","",IF($C$29="간이법","",FPR(H7138,I7138,J7138)))</f>
        <v/>
      </c>
      <c r="L7138" s="111" t="str">
        <f>IF(H7138="","",IF($C$29="상세법",FPV(H7138,K7138),IF(H7138="EI",4,IF(H7138="EO",5.2,IF(H7138="EQ",3.9,IF(H7138="ILF",7.5,IF(H7138="EIF",5.4)))))))</f>
        <v/>
      </c>
      <c r="M7138" s="112" t="str">
        <f t="shared" si="114"/>
        <v/>
      </c>
      <c r="N7138" s="113"/>
    </row>
    <row r="7139" spans="2:14">
      <c r="B7139" s="105"/>
      <c r="C7139" s="106"/>
      <c r="D7139" s="107"/>
      <c r="E7139" s="65"/>
      <c r="F7139" s="64"/>
      <c r="G7139" s="64"/>
      <c r="H7139" s="64"/>
      <c r="I7139" s="70"/>
      <c r="J7139" s="70"/>
      <c r="K7139" s="110" t="str">
        <f>IF(H7139="","",IF($C$29="간이법","",FPR(H7139,I7139,J7139)))</f>
        <v/>
      </c>
      <c r="L7139" s="111" t="str">
        <f>IF(H7139="","",IF($C$29="상세법",FPV(H7139,K7139),IF(H7139="EI",4,IF(H7139="EO",5.2,IF(H7139="EQ",3.9,IF(H7139="ILF",7.5,IF(H7139="EIF",5.4)))))))</f>
        <v/>
      </c>
      <c r="M7139" s="112" t="str">
        <f t="shared" si="114"/>
        <v/>
      </c>
      <c r="N7139" s="113"/>
    </row>
    <row r="7140" spans="2:14">
      <c r="B7140" s="105"/>
      <c r="C7140" s="106"/>
      <c r="D7140" s="107"/>
      <c r="E7140" s="65"/>
      <c r="F7140" s="64"/>
      <c r="G7140" s="64"/>
      <c r="H7140" s="64"/>
      <c r="I7140" s="70"/>
      <c r="J7140" s="70"/>
      <c r="K7140" s="110" t="str">
        <f>IF(H7140="","",IF($C$29="간이법","",FPR(H7140,I7140,J7140)))</f>
        <v/>
      </c>
      <c r="L7140" s="111" t="str">
        <f>IF(H7140="","",IF($C$29="상세법",FPV(H7140,K7140),IF(H7140="EI",4,IF(H7140="EO",5.2,IF(H7140="EQ",3.9,IF(H7140="ILF",7.5,IF(H7140="EIF",5.4)))))))</f>
        <v/>
      </c>
      <c r="M7140" s="112" t="str">
        <f t="shared" si="114"/>
        <v/>
      </c>
      <c r="N7140" s="113"/>
    </row>
    <row r="7141" spans="2:14">
      <c r="B7141" s="105"/>
      <c r="C7141" s="106"/>
      <c r="D7141" s="107"/>
      <c r="E7141" s="65"/>
      <c r="F7141" s="64"/>
      <c r="G7141" s="64"/>
      <c r="H7141" s="64"/>
      <c r="I7141" s="70"/>
      <c r="J7141" s="70"/>
      <c r="K7141" s="110" t="str">
        <f>IF(H7141="","",IF($C$29="간이법","",FPR(H7141,I7141,J7141)))</f>
        <v/>
      </c>
      <c r="L7141" s="111" t="str">
        <f>IF(H7141="","",IF($C$29="상세법",FPV(H7141,K7141),IF(H7141="EI",4,IF(H7141="EO",5.2,IF(H7141="EQ",3.9,IF(H7141="ILF",7.5,IF(H7141="EIF",5.4)))))))</f>
        <v/>
      </c>
      <c r="M7141" s="112" t="str">
        <f t="shared" si="114"/>
        <v/>
      </c>
      <c r="N7141" s="113"/>
    </row>
    <row r="7142" spans="2:14">
      <c r="B7142" s="105"/>
      <c r="C7142" s="106"/>
      <c r="D7142" s="107"/>
      <c r="E7142" s="65"/>
      <c r="F7142" s="64"/>
      <c r="G7142" s="64"/>
      <c r="H7142" s="64"/>
      <c r="I7142" s="70"/>
      <c r="J7142" s="70"/>
      <c r="K7142" s="110" t="str">
        <f>IF(H7142="","",IF($C$29="간이법","",FPR(H7142,I7142,J7142)))</f>
        <v/>
      </c>
      <c r="L7142" s="111" t="str">
        <f>IF(H7142="","",IF($C$29="상세법",FPV(H7142,K7142),IF(H7142="EI",4,IF(H7142="EO",5.2,IF(H7142="EQ",3.9,IF(H7142="ILF",7.5,IF(H7142="EIF",5.4)))))))</f>
        <v/>
      </c>
      <c r="M7142" s="112" t="str">
        <f t="shared" si="114"/>
        <v/>
      </c>
      <c r="N7142" s="113"/>
    </row>
    <row r="7143" spans="2:14">
      <c r="B7143" s="105"/>
      <c r="C7143" s="106"/>
      <c r="D7143" s="107"/>
      <c r="E7143" s="65"/>
      <c r="F7143" s="64"/>
      <c r="G7143" s="64"/>
      <c r="H7143" s="64"/>
      <c r="I7143" s="70"/>
      <c r="J7143" s="70"/>
      <c r="K7143" s="110" t="str">
        <f>IF(H7143="","",IF($C$29="간이법","",FPR(H7143,I7143,J7143)))</f>
        <v/>
      </c>
      <c r="L7143" s="111" t="str">
        <f>IF(H7143="","",IF($C$29="상세법",FPV(H7143,K7143),IF(H7143="EI",4,IF(H7143="EO",5.2,IF(H7143="EQ",3.9,IF(H7143="ILF",7.5,IF(H7143="EIF",5.4)))))))</f>
        <v/>
      </c>
      <c r="M7143" s="112" t="str">
        <f t="shared" si="114"/>
        <v/>
      </c>
      <c r="N7143" s="113"/>
    </row>
    <row r="7144" spans="2:14">
      <c r="B7144" s="105"/>
      <c r="C7144" s="106"/>
      <c r="D7144" s="107"/>
      <c r="E7144" s="65"/>
      <c r="F7144" s="64"/>
      <c r="G7144" s="64"/>
      <c r="H7144" s="64"/>
      <c r="I7144" s="70"/>
      <c r="J7144" s="70"/>
      <c r="K7144" s="110" t="str">
        <f>IF(H7144="","",IF($C$29="간이법","",FPR(H7144,I7144,J7144)))</f>
        <v/>
      </c>
      <c r="L7144" s="111" t="str">
        <f>IF(H7144="","",IF($C$29="상세법",FPV(H7144,K7144),IF(H7144="EI",4,IF(H7144="EO",5.2,IF(H7144="EQ",3.9,IF(H7144="ILF",7.5,IF(H7144="EIF",5.4)))))))</f>
        <v/>
      </c>
      <c r="M7144" s="112" t="str">
        <f t="shared" si="114"/>
        <v/>
      </c>
      <c r="N7144" s="113"/>
    </row>
    <row r="7145" spans="2:14">
      <c r="B7145" s="105"/>
      <c r="C7145" s="106"/>
      <c r="D7145" s="107"/>
      <c r="E7145" s="65"/>
      <c r="F7145" s="64"/>
      <c r="G7145" s="64"/>
      <c r="H7145" s="64"/>
      <c r="I7145" s="70"/>
      <c r="J7145" s="70"/>
      <c r="K7145" s="110" t="str">
        <f>IF(H7145="","",IF($C$29="간이법","",FPR(H7145,I7145,J7145)))</f>
        <v/>
      </c>
      <c r="L7145" s="111" t="str">
        <f>IF(H7145="","",IF($C$29="상세법",FPV(H7145,K7145),IF(H7145="EI",4,IF(H7145="EO",5.2,IF(H7145="EQ",3.9,IF(H7145="ILF",7.5,IF(H7145="EIF",5.4)))))))</f>
        <v/>
      </c>
      <c r="M7145" s="112" t="str">
        <f t="shared" si="114"/>
        <v/>
      </c>
      <c r="N7145" s="113"/>
    </row>
    <row r="7146" spans="2:14">
      <c r="B7146" s="105"/>
      <c r="C7146" s="106"/>
      <c r="D7146" s="107"/>
      <c r="E7146" s="65"/>
      <c r="F7146" s="64"/>
      <c r="G7146" s="64"/>
      <c r="H7146" s="64"/>
      <c r="I7146" s="70"/>
      <c r="J7146" s="70"/>
      <c r="K7146" s="110" t="str">
        <f>IF(H7146="","",IF($C$29="간이법","",FPR(H7146,I7146,J7146)))</f>
        <v/>
      </c>
      <c r="L7146" s="111" t="str">
        <f>IF(H7146="","",IF($C$29="상세법",FPV(H7146,K7146),IF(H7146="EI",4,IF(H7146="EO",5.2,IF(H7146="EQ",3.9,IF(H7146="ILF",7.5,IF(H7146="EIF",5.4)))))))</f>
        <v/>
      </c>
      <c r="M7146" s="112" t="str">
        <f t="shared" si="114"/>
        <v/>
      </c>
      <c r="N7146" s="113"/>
    </row>
    <row r="7147" spans="2:14">
      <c r="B7147" s="105"/>
      <c r="C7147" s="106"/>
      <c r="D7147" s="107"/>
      <c r="E7147" s="65"/>
      <c r="F7147" s="64"/>
      <c r="G7147" s="64"/>
      <c r="H7147" s="64"/>
      <c r="I7147" s="70"/>
      <c r="J7147" s="70"/>
      <c r="K7147" s="110" t="str">
        <f>IF(H7147="","",IF($C$29="간이법","",FPR(H7147,I7147,J7147)))</f>
        <v/>
      </c>
      <c r="L7147" s="111" t="str">
        <f>IF(H7147="","",IF($C$29="상세법",FPV(H7147,K7147),IF(H7147="EI",4,IF(H7147="EO",5.2,IF(H7147="EQ",3.9,IF(H7147="ILF",7.5,IF(H7147="EIF",5.4)))))))</f>
        <v/>
      </c>
      <c r="M7147" s="112" t="str">
        <f t="shared" si="114"/>
        <v/>
      </c>
      <c r="N7147" s="113"/>
    </row>
    <row r="7148" spans="2:14">
      <c r="B7148" s="105"/>
      <c r="C7148" s="106"/>
      <c r="D7148" s="107"/>
      <c r="E7148" s="65"/>
      <c r="F7148" s="64"/>
      <c r="G7148" s="64"/>
      <c r="H7148" s="64"/>
      <c r="I7148" s="70"/>
      <c r="J7148" s="70"/>
      <c r="K7148" s="110" t="str">
        <f>IF(H7148="","",IF($C$29="간이법","",FPR(H7148,I7148,J7148)))</f>
        <v/>
      </c>
      <c r="L7148" s="111" t="str">
        <f>IF(H7148="","",IF($C$29="상세법",FPV(H7148,K7148),IF(H7148="EI",4,IF(H7148="EO",5.2,IF(H7148="EQ",3.9,IF(H7148="ILF",7.5,IF(H7148="EIF",5.4)))))))</f>
        <v/>
      </c>
      <c r="M7148" s="112" t="str">
        <f t="shared" si="114"/>
        <v/>
      </c>
      <c r="N7148" s="113"/>
    </row>
    <row r="7149" spans="2:14">
      <c r="B7149" s="105"/>
      <c r="C7149" s="106"/>
      <c r="D7149" s="107"/>
      <c r="E7149" s="65"/>
      <c r="F7149" s="64"/>
      <c r="G7149" s="64"/>
      <c r="H7149" s="64"/>
      <c r="I7149" s="70"/>
      <c r="J7149" s="70"/>
      <c r="K7149" s="110" t="str">
        <f>IF(H7149="","",IF($C$29="간이법","",FPR(H7149,I7149,J7149)))</f>
        <v/>
      </c>
      <c r="L7149" s="111" t="str">
        <f>IF(H7149="","",IF($C$29="상세법",FPV(H7149,K7149),IF(H7149="EI",4,IF(H7149="EO",5.2,IF(H7149="EQ",3.9,IF(H7149="ILF",7.5,IF(H7149="EIF",5.4)))))))</f>
        <v/>
      </c>
      <c r="M7149" s="112" t="str">
        <f t="shared" si="114"/>
        <v/>
      </c>
      <c r="N7149" s="113"/>
    </row>
    <row r="7150" spans="2:14">
      <c r="B7150" s="105"/>
      <c r="C7150" s="106"/>
      <c r="D7150" s="107"/>
      <c r="E7150" s="65"/>
      <c r="F7150" s="64"/>
      <c r="G7150" s="64"/>
      <c r="H7150" s="64"/>
      <c r="I7150" s="70"/>
      <c r="J7150" s="70"/>
      <c r="K7150" s="110" t="str">
        <f>IF(H7150="","",IF($C$29="간이법","",FPR(H7150,I7150,J7150)))</f>
        <v/>
      </c>
      <c r="L7150" s="111" t="str">
        <f>IF(H7150="","",IF($C$29="상세법",FPV(H7150,K7150),IF(H7150="EI",4,IF(H7150="EO",5.2,IF(H7150="EQ",3.9,IF(H7150="ILF",7.5,IF(H7150="EIF",5.4)))))))</f>
        <v/>
      </c>
      <c r="M7150" s="112" t="str">
        <f t="shared" si="114"/>
        <v/>
      </c>
      <c r="N7150" s="113"/>
    </row>
    <row r="7151" spans="2:14">
      <c r="B7151" s="105"/>
      <c r="C7151" s="106"/>
      <c r="D7151" s="107"/>
      <c r="E7151" s="65"/>
      <c r="F7151" s="64"/>
      <c r="G7151" s="64"/>
      <c r="H7151" s="64"/>
      <c r="I7151" s="70"/>
      <c r="J7151" s="70"/>
      <c r="K7151" s="110" t="str">
        <f>IF(H7151="","",IF($C$29="간이법","",FPR(H7151,I7151,J7151)))</f>
        <v/>
      </c>
      <c r="L7151" s="111" t="str">
        <f>IF(H7151="","",IF($C$29="상세법",FPV(H7151,K7151),IF(H7151="EI",4,IF(H7151="EO",5.2,IF(H7151="EQ",3.9,IF(H7151="ILF",7.5,IF(H7151="EIF",5.4)))))))</f>
        <v/>
      </c>
      <c r="M7151" s="112" t="str">
        <f t="shared" si="114"/>
        <v/>
      </c>
      <c r="N7151" s="113"/>
    </row>
    <row r="7152" spans="2:14">
      <c r="B7152" s="105"/>
      <c r="C7152" s="106"/>
      <c r="D7152" s="107"/>
      <c r="E7152" s="65"/>
      <c r="F7152" s="64"/>
      <c r="G7152" s="64"/>
      <c r="H7152" s="64"/>
      <c r="I7152" s="70"/>
      <c r="J7152" s="70"/>
      <c r="K7152" s="110" t="str">
        <f>IF(H7152="","",IF($C$29="간이법","",FPR(H7152,I7152,J7152)))</f>
        <v/>
      </c>
      <c r="L7152" s="111" t="str">
        <f>IF(H7152="","",IF($C$29="상세법",FPV(H7152,K7152),IF(H7152="EI",4,IF(H7152="EO",5.2,IF(H7152="EQ",3.9,IF(H7152="ILF",7.5,IF(H7152="EIF",5.4)))))))</f>
        <v/>
      </c>
      <c r="M7152" s="112" t="str">
        <f t="shared" si="114"/>
        <v/>
      </c>
      <c r="N7152" s="113"/>
    </row>
    <row r="7153" spans="2:14">
      <c r="B7153" s="105"/>
      <c r="C7153" s="106"/>
      <c r="D7153" s="107"/>
      <c r="E7153" s="65"/>
      <c r="F7153" s="64"/>
      <c r="G7153" s="64"/>
      <c r="H7153" s="64"/>
      <c r="I7153" s="70"/>
      <c r="J7153" s="70"/>
      <c r="K7153" s="110" t="str">
        <f>IF(H7153="","",IF($C$29="간이법","",FPR(H7153,I7153,J7153)))</f>
        <v/>
      </c>
      <c r="L7153" s="111" t="str">
        <f>IF(H7153="","",IF($C$29="상세법",FPV(H7153,K7153),IF(H7153="EI",4,IF(H7153="EO",5.2,IF(H7153="EQ",3.9,IF(H7153="ILF",7.5,IF(H7153="EIF",5.4)))))))</f>
        <v/>
      </c>
      <c r="M7153" s="112" t="str">
        <f t="shared" si="114"/>
        <v/>
      </c>
      <c r="N7153" s="113"/>
    </row>
    <row r="7154" spans="2:14">
      <c r="B7154" s="105"/>
      <c r="C7154" s="106"/>
      <c r="D7154" s="107"/>
      <c r="E7154" s="65"/>
      <c r="F7154" s="64"/>
      <c r="G7154" s="64"/>
      <c r="H7154" s="64"/>
      <c r="I7154" s="70"/>
      <c r="J7154" s="70"/>
      <c r="K7154" s="110" t="str">
        <f>IF(H7154="","",IF($C$29="간이법","",FPR(H7154,I7154,J7154)))</f>
        <v/>
      </c>
      <c r="L7154" s="111" t="str">
        <f>IF(H7154="","",IF($C$29="상세법",FPV(H7154,K7154),IF(H7154="EI",4,IF(H7154="EO",5.2,IF(H7154="EQ",3.9,IF(H7154="ILF",7.5,IF(H7154="EIF",5.4)))))))</f>
        <v/>
      </c>
      <c r="M7154" s="112" t="str">
        <f t="shared" si="114"/>
        <v/>
      </c>
      <c r="N7154" s="113"/>
    </row>
    <row r="7155" spans="2:14">
      <c r="B7155" s="105"/>
      <c r="C7155" s="106"/>
      <c r="D7155" s="107"/>
      <c r="E7155" s="65"/>
      <c r="F7155" s="64"/>
      <c r="G7155" s="64"/>
      <c r="H7155" s="64"/>
      <c r="I7155" s="70"/>
      <c r="J7155" s="70"/>
      <c r="K7155" s="110" t="str">
        <f>IF(H7155="","",IF($C$29="간이법","",FPR(H7155,I7155,J7155)))</f>
        <v/>
      </c>
      <c r="L7155" s="111" t="str">
        <f>IF(H7155="","",IF($C$29="상세법",FPV(H7155,K7155),IF(H7155="EI",4,IF(H7155="EO",5.2,IF(H7155="EQ",3.9,IF(H7155="ILF",7.5,IF(H7155="EIF",5.4)))))))</f>
        <v/>
      </c>
      <c r="M7155" s="112" t="str">
        <f t="shared" si="114"/>
        <v/>
      </c>
      <c r="N7155" s="113"/>
    </row>
    <row r="7156" spans="2:14">
      <c r="B7156" s="105"/>
      <c r="C7156" s="106"/>
      <c r="D7156" s="107"/>
      <c r="E7156" s="65"/>
      <c r="F7156" s="64"/>
      <c r="G7156" s="64"/>
      <c r="H7156" s="64"/>
      <c r="I7156" s="70"/>
      <c r="J7156" s="70"/>
      <c r="K7156" s="110" t="str">
        <f>IF(H7156="","",IF($C$29="간이법","",FPR(H7156,I7156,J7156)))</f>
        <v/>
      </c>
      <c r="L7156" s="111" t="str">
        <f>IF(H7156="","",IF($C$29="상세법",FPV(H7156,K7156),IF(H7156="EI",4,IF(H7156="EO",5.2,IF(H7156="EQ",3.9,IF(H7156="ILF",7.5,IF(H7156="EIF",5.4)))))))</f>
        <v/>
      </c>
      <c r="M7156" s="112" t="str">
        <f t="shared" si="114"/>
        <v/>
      </c>
      <c r="N7156" s="113"/>
    </row>
    <row r="7157" spans="2:14">
      <c r="B7157" s="105"/>
      <c r="C7157" s="106"/>
      <c r="D7157" s="107"/>
      <c r="E7157" s="65"/>
      <c r="F7157" s="64"/>
      <c r="G7157" s="64"/>
      <c r="H7157" s="64"/>
      <c r="I7157" s="70"/>
      <c r="J7157" s="70"/>
      <c r="K7157" s="110" t="str">
        <f>IF(H7157="","",IF($C$29="간이법","",FPR(H7157,I7157,J7157)))</f>
        <v/>
      </c>
      <c r="L7157" s="111" t="str">
        <f>IF(H7157="","",IF($C$29="상세법",FPV(H7157,K7157),IF(H7157="EI",4,IF(H7157="EO",5.2,IF(H7157="EQ",3.9,IF(H7157="ILF",7.5,IF(H7157="EIF",5.4)))))))</f>
        <v/>
      </c>
      <c r="M7157" s="112" t="str">
        <f t="shared" si="114"/>
        <v/>
      </c>
      <c r="N7157" s="113"/>
    </row>
    <row r="7158" spans="2:14">
      <c r="B7158" s="105"/>
      <c r="C7158" s="106"/>
      <c r="D7158" s="107"/>
      <c r="E7158" s="65"/>
      <c r="F7158" s="64"/>
      <c r="G7158" s="64"/>
      <c r="H7158" s="64"/>
      <c r="I7158" s="70"/>
      <c r="J7158" s="70"/>
      <c r="K7158" s="110" t="str">
        <f>IF(H7158="","",IF($C$29="간이법","",FPR(H7158,I7158,J7158)))</f>
        <v/>
      </c>
      <c r="L7158" s="111" t="str">
        <f>IF(H7158="","",IF($C$29="상세법",FPV(H7158,K7158),IF(H7158="EI",4,IF(H7158="EO",5.2,IF(H7158="EQ",3.9,IF(H7158="ILF",7.5,IF(H7158="EIF",5.4)))))))</f>
        <v/>
      </c>
      <c r="M7158" s="112" t="str">
        <f t="shared" si="114"/>
        <v/>
      </c>
      <c r="N7158" s="113"/>
    </row>
    <row r="7159" spans="2:14">
      <c r="B7159" s="105"/>
      <c r="C7159" s="106"/>
      <c r="D7159" s="107"/>
      <c r="E7159" s="65"/>
      <c r="F7159" s="64"/>
      <c r="G7159" s="64"/>
      <c r="H7159" s="64"/>
      <c r="I7159" s="70"/>
      <c r="J7159" s="70"/>
      <c r="K7159" s="110" t="str">
        <f>IF(H7159="","",IF($C$29="간이법","",FPR(H7159,I7159,J7159)))</f>
        <v/>
      </c>
      <c r="L7159" s="111" t="str">
        <f>IF(H7159="","",IF($C$29="상세법",FPV(H7159,K7159),IF(H7159="EI",4,IF(H7159="EO",5.2,IF(H7159="EQ",3.9,IF(H7159="ILF",7.5,IF(H7159="EIF",5.4)))))))</f>
        <v/>
      </c>
      <c r="M7159" s="112" t="str">
        <f t="shared" si="114"/>
        <v/>
      </c>
      <c r="N7159" s="113"/>
    </row>
    <row r="7160" spans="2:14">
      <c r="B7160" s="105"/>
      <c r="C7160" s="106"/>
      <c r="D7160" s="107"/>
      <c r="E7160" s="65"/>
      <c r="F7160" s="64"/>
      <c r="G7160" s="64"/>
      <c r="H7160" s="64"/>
      <c r="I7160" s="70"/>
      <c r="J7160" s="70"/>
      <c r="K7160" s="110" t="str">
        <f>IF(H7160="","",IF($C$29="간이법","",FPR(H7160,I7160,J7160)))</f>
        <v/>
      </c>
      <c r="L7160" s="111" t="str">
        <f>IF(H7160="","",IF($C$29="상세법",FPV(H7160,K7160),IF(H7160="EI",4,IF(H7160="EO",5.2,IF(H7160="EQ",3.9,IF(H7160="ILF",7.5,IF(H7160="EIF",5.4)))))))</f>
        <v/>
      </c>
      <c r="M7160" s="112" t="str">
        <f t="shared" si="114"/>
        <v/>
      </c>
      <c r="N7160" s="113"/>
    </row>
    <row r="7161" spans="2:14">
      <c r="B7161" s="105"/>
      <c r="C7161" s="106"/>
      <c r="D7161" s="107"/>
      <c r="E7161" s="65"/>
      <c r="F7161" s="64"/>
      <c r="G7161" s="64"/>
      <c r="H7161" s="64"/>
      <c r="I7161" s="70"/>
      <c r="J7161" s="70"/>
      <c r="K7161" s="110" t="str">
        <f>IF(H7161="","",IF($C$29="간이법","",FPR(H7161,I7161,J7161)))</f>
        <v/>
      </c>
      <c r="L7161" s="111" t="str">
        <f>IF(H7161="","",IF($C$29="상세법",FPV(H7161,K7161),IF(H7161="EI",4,IF(H7161="EO",5.2,IF(H7161="EQ",3.9,IF(H7161="ILF",7.5,IF(H7161="EIF",5.4)))))))</f>
        <v/>
      </c>
      <c r="M7161" s="112" t="str">
        <f t="shared" ref="M7161:M7224" si="115">IF(L7161="","",L7161*IF(G7161="상",0.7,IF(G7161="중",0.5,IF(G7161="하",0.2,1))))</f>
        <v/>
      </c>
      <c r="N7161" s="113"/>
    </row>
    <row r="7162" spans="2:14">
      <c r="B7162" s="105"/>
      <c r="C7162" s="106"/>
      <c r="D7162" s="107"/>
      <c r="E7162" s="65"/>
      <c r="F7162" s="64"/>
      <c r="G7162" s="64"/>
      <c r="H7162" s="64"/>
      <c r="I7162" s="70"/>
      <c r="J7162" s="70"/>
      <c r="K7162" s="110" t="str">
        <f>IF(H7162="","",IF($C$29="간이법","",FPR(H7162,I7162,J7162)))</f>
        <v/>
      </c>
      <c r="L7162" s="111" t="str">
        <f>IF(H7162="","",IF($C$29="상세법",FPV(H7162,K7162),IF(H7162="EI",4,IF(H7162="EO",5.2,IF(H7162="EQ",3.9,IF(H7162="ILF",7.5,IF(H7162="EIF",5.4)))))))</f>
        <v/>
      </c>
      <c r="M7162" s="112" t="str">
        <f t="shared" si="115"/>
        <v/>
      </c>
      <c r="N7162" s="113"/>
    </row>
    <row r="7163" spans="2:14">
      <c r="B7163" s="105"/>
      <c r="C7163" s="106"/>
      <c r="D7163" s="107"/>
      <c r="E7163" s="65"/>
      <c r="F7163" s="64"/>
      <c r="G7163" s="64"/>
      <c r="H7163" s="64"/>
      <c r="I7163" s="70"/>
      <c r="J7163" s="70"/>
      <c r="K7163" s="110" t="str">
        <f>IF(H7163="","",IF($C$29="간이법","",FPR(H7163,I7163,J7163)))</f>
        <v/>
      </c>
      <c r="L7163" s="111" t="str">
        <f>IF(H7163="","",IF($C$29="상세법",FPV(H7163,K7163),IF(H7163="EI",4,IF(H7163="EO",5.2,IF(H7163="EQ",3.9,IF(H7163="ILF",7.5,IF(H7163="EIF",5.4)))))))</f>
        <v/>
      </c>
      <c r="M7163" s="112" t="str">
        <f t="shared" si="115"/>
        <v/>
      </c>
      <c r="N7163" s="113"/>
    </row>
    <row r="7164" spans="2:14">
      <c r="B7164" s="105"/>
      <c r="C7164" s="106"/>
      <c r="D7164" s="107"/>
      <c r="E7164" s="65"/>
      <c r="F7164" s="64"/>
      <c r="G7164" s="64"/>
      <c r="H7164" s="64"/>
      <c r="I7164" s="70"/>
      <c r="J7164" s="70"/>
      <c r="K7164" s="110" t="str">
        <f>IF(H7164="","",IF($C$29="간이법","",FPR(H7164,I7164,J7164)))</f>
        <v/>
      </c>
      <c r="L7164" s="111" t="str">
        <f>IF(H7164="","",IF($C$29="상세법",FPV(H7164,K7164),IF(H7164="EI",4,IF(H7164="EO",5.2,IF(H7164="EQ",3.9,IF(H7164="ILF",7.5,IF(H7164="EIF",5.4)))))))</f>
        <v/>
      </c>
      <c r="M7164" s="112" t="str">
        <f t="shared" si="115"/>
        <v/>
      </c>
      <c r="N7164" s="113"/>
    </row>
    <row r="7165" spans="2:14">
      <c r="B7165" s="105"/>
      <c r="C7165" s="106"/>
      <c r="D7165" s="107"/>
      <c r="E7165" s="65"/>
      <c r="F7165" s="64"/>
      <c r="G7165" s="64"/>
      <c r="H7165" s="64"/>
      <c r="I7165" s="70"/>
      <c r="J7165" s="70"/>
      <c r="K7165" s="110" t="str">
        <f>IF(H7165="","",IF($C$29="간이법","",FPR(H7165,I7165,J7165)))</f>
        <v/>
      </c>
      <c r="L7165" s="111" t="str">
        <f>IF(H7165="","",IF($C$29="상세법",FPV(H7165,K7165),IF(H7165="EI",4,IF(H7165="EO",5.2,IF(H7165="EQ",3.9,IF(H7165="ILF",7.5,IF(H7165="EIF",5.4)))))))</f>
        <v/>
      </c>
      <c r="M7165" s="112" t="str">
        <f t="shared" si="115"/>
        <v/>
      </c>
      <c r="N7165" s="113"/>
    </row>
    <row r="7166" spans="2:14">
      <c r="B7166" s="105"/>
      <c r="C7166" s="106"/>
      <c r="D7166" s="107"/>
      <c r="E7166" s="65"/>
      <c r="F7166" s="64"/>
      <c r="G7166" s="64"/>
      <c r="H7166" s="64"/>
      <c r="I7166" s="70"/>
      <c r="J7166" s="70"/>
      <c r="K7166" s="110" t="str">
        <f>IF(H7166="","",IF($C$29="간이법","",FPR(H7166,I7166,J7166)))</f>
        <v/>
      </c>
      <c r="L7166" s="111" t="str">
        <f>IF(H7166="","",IF($C$29="상세법",FPV(H7166,K7166),IF(H7166="EI",4,IF(H7166="EO",5.2,IF(H7166="EQ",3.9,IF(H7166="ILF",7.5,IF(H7166="EIF",5.4)))))))</f>
        <v/>
      </c>
      <c r="M7166" s="112" t="str">
        <f t="shared" si="115"/>
        <v/>
      </c>
      <c r="N7166" s="113"/>
    </row>
    <row r="7167" spans="2:14">
      <c r="B7167" s="105"/>
      <c r="C7167" s="106"/>
      <c r="D7167" s="107"/>
      <c r="E7167" s="65"/>
      <c r="F7167" s="64"/>
      <c r="G7167" s="64"/>
      <c r="H7167" s="64"/>
      <c r="I7167" s="70"/>
      <c r="J7167" s="70"/>
      <c r="K7167" s="110" t="str">
        <f>IF(H7167="","",IF($C$29="간이법","",FPR(H7167,I7167,J7167)))</f>
        <v/>
      </c>
      <c r="L7167" s="111" t="str">
        <f>IF(H7167="","",IF($C$29="상세법",FPV(H7167,K7167),IF(H7167="EI",4,IF(H7167="EO",5.2,IF(H7167="EQ",3.9,IF(H7167="ILF",7.5,IF(H7167="EIF",5.4)))))))</f>
        <v/>
      </c>
      <c r="M7167" s="112" t="str">
        <f t="shared" si="115"/>
        <v/>
      </c>
      <c r="N7167" s="113"/>
    </row>
    <row r="7168" spans="2:14">
      <c r="B7168" s="105"/>
      <c r="C7168" s="106"/>
      <c r="D7168" s="107"/>
      <c r="E7168" s="65"/>
      <c r="F7168" s="64"/>
      <c r="G7168" s="64"/>
      <c r="H7168" s="64"/>
      <c r="I7168" s="70"/>
      <c r="J7168" s="70"/>
      <c r="K7168" s="110" t="str">
        <f>IF(H7168="","",IF($C$29="간이법","",FPR(H7168,I7168,J7168)))</f>
        <v/>
      </c>
      <c r="L7168" s="111" t="str">
        <f>IF(H7168="","",IF($C$29="상세법",FPV(H7168,K7168),IF(H7168="EI",4,IF(H7168="EO",5.2,IF(H7168="EQ",3.9,IF(H7168="ILF",7.5,IF(H7168="EIF",5.4)))))))</f>
        <v/>
      </c>
      <c r="M7168" s="112" t="str">
        <f t="shared" si="115"/>
        <v/>
      </c>
      <c r="N7168" s="113"/>
    </row>
    <row r="7169" spans="2:14">
      <c r="B7169" s="105"/>
      <c r="C7169" s="106"/>
      <c r="D7169" s="107"/>
      <c r="E7169" s="65"/>
      <c r="F7169" s="64"/>
      <c r="G7169" s="64"/>
      <c r="H7169" s="64"/>
      <c r="I7169" s="70"/>
      <c r="J7169" s="70"/>
      <c r="K7169" s="110" t="str">
        <f>IF(H7169="","",IF($C$29="간이법","",FPR(H7169,I7169,J7169)))</f>
        <v/>
      </c>
      <c r="L7169" s="111" t="str">
        <f>IF(H7169="","",IF($C$29="상세법",FPV(H7169,K7169),IF(H7169="EI",4,IF(H7169="EO",5.2,IF(H7169="EQ",3.9,IF(H7169="ILF",7.5,IF(H7169="EIF",5.4)))))))</f>
        <v/>
      </c>
      <c r="M7169" s="112" t="str">
        <f t="shared" si="115"/>
        <v/>
      </c>
      <c r="N7169" s="113"/>
    </row>
    <row r="7170" spans="2:14">
      <c r="B7170" s="105"/>
      <c r="C7170" s="106"/>
      <c r="D7170" s="107"/>
      <c r="E7170" s="65"/>
      <c r="F7170" s="64"/>
      <c r="G7170" s="64"/>
      <c r="H7170" s="64"/>
      <c r="I7170" s="70"/>
      <c r="J7170" s="70"/>
      <c r="K7170" s="110" t="str">
        <f>IF(H7170="","",IF($C$29="간이법","",FPR(H7170,I7170,J7170)))</f>
        <v/>
      </c>
      <c r="L7170" s="111" t="str">
        <f>IF(H7170="","",IF($C$29="상세법",FPV(H7170,K7170),IF(H7170="EI",4,IF(H7170="EO",5.2,IF(H7170="EQ",3.9,IF(H7170="ILF",7.5,IF(H7170="EIF",5.4)))))))</f>
        <v/>
      </c>
      <c r="M7170" s="112" t="str">
        <f t="shared" si="115"/>
        <v/>
      </c>
      <c r="N7170" s="113"/>
    </row>
    <row r="7171" spans="2:14">
      <c r="B7171" s="105"/>
      <c r="C7171" s="106"/>
      <c r="D7171" s="107"/>
      <c r="E7171" s="65"/>
      <c r="F7171" s="64"/>
      <c r="G7171" s="64"/>
      <c r="H7171" s="64"/>
      <c r="I7171" s="70"/>
      <c r="J7171" s="70"/>
      <c r="K7171" s="110" t="str">
        <f>IF(H7171="","",IF($C$29="간이법","",FPR(H7171,I7171,J7171)))</f>
        <v/>
      </c>
      <c r="L7171" s="111" t="str">
        <f>IF(H7171="","",IF($C$29="상세법",FPV(H7171,K7171),IF(H7171="EI",4,IF(H7171="EO",5.2,IF(H7171="EQ",3.9,IF(H7171="ILF",7.5,IF(H7171="EIF",5.4)))))))</f>
        <v/>
      </c>
      <c r="M7171" s="112" t="str">
        <f t="shared" si="115"/>
        <v/>
      </c>
      <c r="N7171" s="113"/>
    </row>
    <row r="7172" spans="2:14">
      <c r="B7172" s="105"/>
      <c r="C7172" s="106"/>
      <c r="D7172" s="107"/>
      <c r="E7172" s="65"/>
      <c r="F7172" s="64"/>
      <c r="G7172" s="64"/>
      <c r="H7172" s="64"/>
      <c r="I7172" s="70"/>
      <c r="J7172" s="70"/>
      <c r="K7172" s="110" t="str">
        <f>IF(H7172="","",IF($C$29="간이법","",FPR(H7172,I7172,J7172)))</f>
        <v/>
      </c>
      <c r="L7172" s="111" t="str">
        <f>IF(H7172="","",IF($C$29="상세법",FPV(H7172,K7172),IF(H7172="EI",4,IF(H7172="EO",5.2,IF(H7172="EQ",3.9,IF(H7172="ILF",7.5,IF(H7172="EIF",5.4)))))))</f>
        <v/>
      </c>
      <c r="M7172" s="112" t="str">
        <f t="shared" si="115"/>
        <v/>
      </c>
      <c r="N7172" s="113"/>
    </row>
    <row r="7173" spans="2:14">
      <c r="B7173" s="105"/>
      <c r="C7173" s="106"/>
      <c r="D7173" s="107"/>
      <c r="E7173" s="65"/>
      <c r="F7173" s="64"/>
      <c r="G7173" s="64"/>
      <c r="H7173" s="64"/>
      <c r="I7173" s="70"/>
      <c r="J7173" s="70"/>
      <c r="K7173" s="110" t="str">
        <f>IF(H7173="","",IF($C$29="간이법","",FPR(H7173,I7173,J7173)))</f>
        <v/>
      </c>
      <c r="L7173" s="111" t="str">
        <f>IF(H7173="","",IF($C$29="상세법",FPV(H7173,K7173),IF(H7173="EI",4,IF(H7173="EO",5.2,IF(H7173="EQ",3.9,IF(H7173="ILF",7.5,IF(H7173="EIF",5.4)))))))</f>
        <v/>
      </c>
      <c r="M7173" s="112" t="str">
        <f t="shared" si="115"/>
        <v/>
      </c>
      <c r="N7173" s="113"/>
    </row>
    <row r="7174" spans="2:14">
      <c r="B7174" s="105"/>
      <c r="C7174" s="106"/>
      <c r="D7174" s="107"/>
      <c r="E7174" s="65"/>
      <c r="F7174" s="64"/>
      <c r="G7174" s="64"/>
      <c r="H7174" s="64"/>
      <c r="I7174" s="70"/>
      <c r="J7174" s="70"/>
      <c r="K7174" s="110" t="str">
        <f>IF(H7174="","",IF($C$29="간이법","",FPR(H7174,I7174,J7174)))</f>
        <v/>
      </c>
      <c r="L7174" s="111" t="str">
        <f>IF(H7174="","",IF($C$29="상세법",FPV(H7174,K7174),IF(H7174="EI",4,IF(H7174="EO",5.2,IF(H7174="EQ",3.9,IF(H7174="ILF",7.5,IF(H7174="EIF",5.4)))))))</f>
        <v/>
      </c>
      <c r="M7174" s="112" t="str">
        <f t="shared" si="115"/>
        <v/>
      </c>
      <c r="N7174" s="113"/>
    </row>
    <row r="7175" spans="2:14">
      <c r="B7175" s="105"/>
      <c r="C7175" s="106"/>
      <c r="D7175" s="107"/>
      <c r="E7175" s="65"/>
      <c r="F7175" s="64"/>
      <c r="G7175" s="64"/>
      <c r="H7175" s="64"/>
      <c r="I7175" s="70"/>
      <c r="J7175" s="70"/>
      <c r="K7175" s="110" t="str">
        <f>IF(H7175="","",IF($C$29="간이법","",FPR(H7175,I7175,J7175)))</f>
        <v/>
      </c>
      <c r="L7175" s="111" t="str">
        <f>IF(H7175="","",IF($C$29="상세법",FPV(H7175,K7175),IF(H7175="EI",4,IF(H7175="EO",5.2,IF(H7175="EQ",3.9,IF(H7175="ILF",7.5,IF(H7175="EIF",5.4)))))))</f>
        <v/>
      </c>
      <c r="M7175" s="112" t="str">
        <f t="shared" si="115"/>
        <v/>
      </c>
      <c r="N7175" s="113"/>
    </row>
    <row r="7176" spans="2:14">
      <c r="B7176" s="105"/>
      <c r="C7176" s="106"/>
      <c r="D7176" s="107"/>
      <c r="E7176" s="65"/>
      <c r="F7176" s="64"/>
      <c r="G7176" s="64"/>
      <c r="H7176" s="64"/>
      <c r="I7176" s="70"/>
      <c r="J7176" s="70"/>
      <c r="K7176" s="110" t="str">
        <f>IF(H7176="","",IF($C$29="간이법","",FPR(H7176,I7176,J7176)))</f>
        <v/>
      </c>
      <c r="L7176" s="111" t="str">
        <f>IF(H7176="","",IF($C$29="상세법",FPV(H7176,K7176),IF(H7176="EI",4,IF(H7176="EO",5.2,IF(H7176="EQ",3.9,IF(H7176="ILF",7.5,IF(H7176="EIF",5.4)))))))</f>
        <v/>
      </c>
      <c r="M7176" s="112" t="str">
        <f t="shared" si="115"/>
        <v/>
      </c>
      <c r="N7176" s="113"/>
    </row>
    <row r="7177" spans="2:14">
      <c r="B7177" s="105"/>
      <c r="C7177" s="106"/>
      <c r="D7177" s="107"/>
      <c r="E7177" s="65"/>
      <c r="F7177" s="64"/>
      <c r="G7177" s="64"/>
      <c r="H7177" s="64"/>
      <c r="I7177" s="70"/>
      <c r="J7177" s="70"/>
      <c r="K7177" s="110" t="str">
        <f>IF(H7177="","",IF($C$29="간이법","",FPR(H7177,I7177,J7177)))</f>
        <v/>
      </c>
      <c r="L7177" s="111" t="str">
        <f>IF(H7177="","",IF($C$29="상세법",FPV(H7177,K7177),IF(H7177="EI",4,IF(H7177="EO",5.2,IF(H7177="EQ",3.9,IF(H7177="ILF",7.5,IF(H7177="EIF",5.4)))))))</f>
        <v/>
      </c>
      <c r="M7177" s="112" t="str">
        <f t="shared" si="115"/>
        <v/>
      </c>
      <c r="N7177" s="113"/>
    </row>
    <row r="7178" spans="2:14">
      <c r="B7178" s="105"/>
      <c r="C7178" s="106"/>
      <c r="D7178" s="107"/>
      <c r="E7178" s="65"/>
      <c r="F7178" s="64"/>
      <c r="G7178" s="64"/>
      <c r="H7178" s="64"/>
      <c r="I7178" s="70"/>
      <c r="J7178" s="70"/>
      <c r="K7178" s="110" t="str">
        <f>IF(H7178="","",IF($C$29="간이법","",FPR(H7178,I7178,J7178)))</f>
        <v/>
      </c>
      <c r="L7178" s="111" t="str">
        <f>IF(H7178="","",IF($C$29="상세법",FPV(H7178,K7178),IF(H7178="EI",4,IF(H7178="EO",5.2,IF(H7178="EQ",3.9,IF(H7178="ILF",7.5,IF(H7178="EIF",5.4)))))))</f>
        <v/>
      </c>
      <c r="M7178" s="112" t="str">
        <f t="shared" si="115"/>
        <v/>
      </c>
      <c r="N7178" s="113"/>
    </row>
    <row r="7179" spans="2:14">
      <c r="B7179" s="105"/>
      <c r="C7179" s="106"/>
      <c r="D7179" s="107"/>
      <c r="E7179" s="65"/>
      <c r="F7179" s="64"/>
      <c r="G7179" s="64"/>
      <c r="H7179" s="64"/>
      <c r="I7179" s="70"/>
      <c r="J7179" s="70"/>
      <c r="K7179" s="110" t="str">
        <f>IF(H7179="","",IF($C$29="간이법","",FPR(H7179,I7179,J7179)))</f>
        <v/>
      </c>
      <c r="L7179" s="111" t="str">
        <f>IF(H7179="","",IF($C$29="상세법",FPV(H7179,K7179),IF(H7179="EI",4,IF(H7179="EO",5.2,IF(H7179="EQ",3.9,IF(H7179="ILF",7.5,IF(H7179="EIF",5.4)))))))</f>
        <v/>
      </c>
      <c r="M7179" s="112" t="str">
        <f t="shared" si="115"/>
        <v/>
      </c>
      <c r="N7179" s="113"/>
    </row>
    <row r="7180" spans="2:14">
      <c r="B7180" s="105"/>
      <c r="C7180" s="106"/>
      <c r="D7180" s="107"/>
      <c r="E7180" s="65"/>
      <c r="F7180" s="64"/>
      <c r="G7180" s="64"/>
      <c r="H7180" s="64"/>
      <c r="I7180" s="70"/>
      <c r="J7180" s="70"/>
      <c r="K7180" s="110" t="str">
        <f>IF(H7180="","",IF($C$29="간이법","",FPR(H7180,I7180,J7180)))</f>
        <v/>
      </c>
      <c r="L7180" s="111" t="str">
        <f>IF(H7180="","",IF($C$29="상세법",FPV(H7180,K7180),IF(H7180="EI",4,IF(H7180="EO",5.2,IF(H7180="EQ",3.9,IF(H7180="ILF",7.5,IF(H7180="EIF",5.4)))))))</f>
        <v/>
      </c>
      <c r="M7180" s="112" t="str">
        <f t="shared" si="115"/>
        <v/>
      </c>
      <c r="N7180" s="113"/>
    </row>
    <row r="7181" spans="2:14">
      <c r="B7181" s="105"/>
      <c r="C7181" s="106"/>
      <c r="D7181" s="107"/>
      <c r="E7181" s="65"/>
      <c r="F7181" s="64"/>
      <c r="G7181" s="64"/>
      <c r="H7181" s="64"/>
      <c r="I7181" s="70"/>
      <c r="J7181" s="70"/>
      <c r="K7181" s="110" t="str">
        <f>IF(H7181="","",IF($C$29="간이법","",FPR(H7181,I7181,J7181)))</f>
        <v/>
      </c>
      <c r="L7181" s="111" t="str">
        <f>IF(H7181="","",IF($C$29="상세법",FPV(H7181,K7181),IF(H7181="EI",4,IF(H7181="EO",5.2,IF(H7181="EQ",3.9,IF(H7181="ILF",7.5,IF(H7181="EIF",5.4)))))))</f>
        <v/>
      </c>
      <c r="M7181" s="112" t="str">
        <f t="shared" si="115"/>
        <v/>
      </c>
      <c r="N7181" s="113"/>
    </row>
    <row r="7182" spans="2:14">
      <c r="B7182" s="105"/>
      <c r="C7182" s="106"/>
      <c r="D7182" s="107"/>
      <c r="E7182" s="65"/>
      <c r="F7182" s="64"/>
      <c r="G7182" s="64"/>
      <c r="H7182" s="64"/>
      <c r="I7182" s="70"/>
      <c r="J7182" s="70"/>
      <c r="K7182" s="110" t="str">
        <f>IF(H7182="","",IF($C$29="간이법","",FPR(H7182,I7182,J7182)))</f>
        <v/>
      </c>
      <c r="L7182" s="111" t="str">
        <f>IF(H7182="","",IF($C$29="상세법",FPV(H7182,K7182),IF(H7182="EI",4,IF(H7182="EO",5.2,IF(H7182="EQ",3.9,IF(H7182="ILF",7.5,IF(H7182="EIF",5.4)))))))</f>
        <v/>
      </c>
      <c r="M7182" s="112" t="str">
        <f t="shared" si="115"/>
        <v/>
      </c>
      <c r="N7182" s="113"/>
    </row>
    <row r="7183" spans="2:14">
      <c r="B7183" s="105"/>
      <c r="C7183" s="106"/>
      <c r="D7183" s="107"/>
      <c r="E7183" s="65"/>
      <c r="F7183" s="64"/>
      <c r="G7183" s="64"/>
      <c r="H7183" s="64"/>
      <c r="I7183" s="70"/>
      <c r="J7183" s="70"/>
      <c r="K7183" s="110" t="str">
        <f>IF(H7183="","",IF($C$29="간이법","",FPR(H7183,I7183,J7183)))</f>
        <v/>
      </c>
      <c r="L7183" s="111" t="str">
        <f>IF(H7183="","",IF($C$29="상세법",FPV(H7183,K7183),IF(H7183="EI",4,IF(H7183="EO",5.2,IF(H7183="EQ",3.9,IF(H7183="ILF",7.5,IF(H7183="EIF",5.4)))))))</f>
        <v/>
      </c>
      <c r="M7183" s="112" t="str">
        <f t="shared" si="115"/>
        <v/>
      </c>
      <c r="N7183" s="113"/>
    </row>
    <row r="7184" spans="2:14">
      <c r="B7184" s="105"/>
      <c r="C7184" s="106"/>
      <c r="D7184" s="107"/>
      <c r="E7184" s="65"/>
      <c r="F7184" s="64"/>
      <c r="G7184" s="64"/>
      <c r="H7184" s="64"/>
      <c r="I7184" s="70"/>
      <c r="J7184" s="70"/>
      <c r="K7184" s="110" t="str">
        <f>IF(H7184="","",IF($C$29="간이법","",FPR(H7184,I7184,J7184)))</f>
        <v/>
      </c>
      <c r="L7184" s="111" t="str">
        <f>IF(H7184="","",IF($C$29="상세법",FPV(H7184,K7184),IF(H7184="EI",4,IF(H7184="EO",5.2,IF(H7184="EQ",3.9,IF(H7184="ILF",7.5,IF(H7184="EIF",5.4)))))))</f>
        <v/>
      </c>
      <c r="M7184" s="112" t="str">
        <f t="shared" si="115"/>
        <v/>
      </c>
      <c r="N7184" s="113"/>
    </row>
    <row r="7185" spans="2:14">
      <c r="B7185" s="105"/>
      <c r="C7185" s="106"/>
      <c r="D7185" s="107"/>
      <c r="E7185" s="65"/>
      <c r="F7185" s="64"/>
      <c r="G7185" s="64"/>
      <c r="H7185" s="64"/>
      <c r="I7185" s="70"/>
      <c r="J7185" s="70"/>
      <c r="K7185" s="110" t="str">
        <f>IF(H7185="","",IF($C$29="간이법","",FPR(H7185,I7185,J7185)))</f>
        <v/>
      </c>
      <c r="L7185" s="111" t="str">
        <f>IF(H7185="","",IF($C$29="상세법",FPV(H7185,K7185),IF(H7185="EI",4,IF(H7185="EO",5.2,IF(H7185="EQ",3.9,IF(H7185="ILF",7.5,IF(H7185="EIF",5.4)))))))</f>
        <v/>
      </c>
      <c r="M7185" s="112" t="str">
        <f t="shared" si="115"/>
        <v/>
      </c>
      <c r="N7185" s="113"/>
    </row>
    <row r="7186" spans="2:14">
      <c r="B7186" s="105"/>
      <c r="C7186" s="106"/>
      <c r="D7186" s="107"/>
      <c r="E7186" s="65"/>
      <c r="F7186" s="64"/>
      <c r="G7186" s="64"/>
      <c r="H7186" s="64"/>
      <c r="I7186" s="70"/>
      <c r="J7186" s="70"/>
      <c r="K7186" s="110" t="str">
        <f>IF(H7186="","",IF($C$29="간이법","",FPR(H7186,I7186,J7186)))</f>
        <v/>
      </c>
      <c r="L7186" s="111" t="str">
        <f>IF(H7186="","",IF($C$29="상세법",FPV(H7186,K7186),IF(H7186="EI",4,IF(H7186="EO",5.2,IF(H7186="EQ",3.9,IF(H7186="ILF",7.5,IF(H7186="EIF",5.4)))))))</f>
        <v/>
      </c>
      <c r="M7186" s="112" t="str">
        <f t="shared" si="115"/>
        <v/>
      </c>
      <c r="N7186" s="113"/>
    </row>
    <row r="7187" spans="2:14">
      <c r="B7187" s="105"/>
      <c r="C7187" s="106"/>
      <c r="D7187" s="107"/>
      <c r="E7187" s="65"/>
      <c r="F7187" s="64"/>
      <c r="G7187" s="64"/>
      <c r="H7187" s="64"/>
      <c r="I7187" s="70"/>
      <c r="J7187" s="70"/>
      <c r="K7187" s="110" t="str">
        <f>IF(H7187="","",IF($C$29="간이법","",FPR(H7187,I7187,J7187)))</f>
        <v/>
      </c>
      <c r="L7187" s="111" t="str">
        <f>IF(H7187="","",IF($C$29="상세법",FPV(H7187,K7187),IF(H7187="EI",4,IF(H7187="EO",5.2,IF(H7187="EQ",3.9,IF(H7187="ILF",7.5,IF(H7187="EIF",5.4)))))))</f>
        <v/>
      </c>
      <c r="M7187" s="112" t="str">
        <f t="shared" si="115"/>
        <v/>
      </c>
      <c r="N7187" s="113"/>
    </row>
    <row r="7188" spans="2:14">
      <c r="B7188" s="105"/>
      <c r="C7188" s="106"/>
      <c r="D7188" s="107"/>
      <c r="E7188" s="65"/>
      <c r="F7188" s="64"/>
      <c r="G7188" s="64"/>
      <c r="H7188" s="64"/>
      <c r="I7188" s="70"/>
      <c r="J7188" s="70"/>
      <c r="K7188" s="110" t="str">
        <f>IF(H7188="","",IF($C$29="간이법","",FPR(H7188,I7188,J7188)))</f>
        <v/>
      </c>
      <c r="L7188" s="111" t="str">
        <f>IF(H7188="","",IF($C$29="상세법",FPV(H7188,K7188),IF(H7188="EI",4,IF(H7188="EO",5.2,IF(H7188="EQ",3.9,IF(H7188="ILF",7.5,IF(H7188="EIF",5.4)))))))</f>
        <v/>
      </c>
      <c r="M7188" s="112" t="str">
        <f t="shared" si="115"/>
        <v/>
      </c>
      <c r="N7188" s="113"/>
    </row>
    <row r="7189" spans="2:14">
      <c r="B7189" s="105"/>
      <c r="C7189" s="106"/>
      <c r="D7189" s="107"/>
      <c r="E7189" s="65"/>
      <c r="F7189" s="64"/>
      <c r="G7189" s="64"/>
      <c r="H7189" s="64"/>
      <c r="I7189" s="70"/>
      <c r="J7189" s="70"/>
      <c r="K7189" s="110" t="str">
        <f>IF(H7189="","",IF($C$29="간이법","",FPR(H7189,I7189,J7189)))</f>
        <v/>
      </c>
      <c r="L7189" s="111" t="str">
        <f>IF(H7189="","",IF($C$29="상세법",FPV(H7189,K7189),IF(H7189="EI",4,IF(H7189="EO",5.2,IF(H7189="EQ",3.9,IF(H7189="ILF",7.5,IF(H7189="EIF",5.4)))))))</f>
        <v/>
      </c>
      <c r="M7189" s="112" t="str">
        <f t="shared" si="115"/>
        <v/>
      </c>
      <c r="N7189" s="113"/>
    </row>
    <row r="7190" spans="2:14">
      <c r="B7190" s="105"/>
      <c r="C7190" s="106"/>
      <c r="D7190" s="107"/>
      <c r="E7190" s="65"/>
      <c r="F7190" s="64"/>
      <c r="G7190" s="64"/>
      <c r="H7190" s="64"/>
      <c r="I7190" s="70"/>
      <c r="J7190" s="70"/>
      <c r="K7190" s="110" t="str">
        <f>IF(H7190="","",IF($C$29="간이법","",FPR(H7190,I7190,J7190)))</f>
        <v/>
      </c>
      <c r="L7190" s="111" t="str">
        <f>IF(H7190="","",IF($C$29="상세법",FPV(H7190,K7190),IF(H7190="EI",4,IF(H7190="EO",5.2,IF(H7190="EQ",3.9,IF(H7190="ILF",7.5,IF(H7190="EIF",5.4)))))))</f>
        <v/>
      </c>
      <c r="M7190" s="112" t="str">
        <f t="shared" si="115"/>
        <v/>
      </c>
      <c r="N7190" s="113"/>
    </row>
    <row r="7191" spans="2:14">
      <c r="B7191" s="105"/>
      <c r="C7191" s="106"/>
      <c r="D7191" s="107"/>
      <c r="E7191" s="65"/>
      <c r="F7191" s="64"/>
      <c r="G7191" s="64"/>
      <c r="H7191" s="64"/>
      <c r="I7191" s="70"/>
      <c r="J7191" s="70"/>
      <c r="K7191" s="110" t="str">
        <f>IF(H7191="","",IF($C$29="간이법","",FPR(H7191,I7191,J7191)))</f>
        <v/>
      </c>
      <c r="L7191" s="111" t="str">
        <f>IF(H7191="","",IF($C$29="상세법",FPV(H7191,K7191),IF(H7191="EI",4,IF(H7191="EO",5.2,IF(H7191="EQ",3.9,IF(H7191="ILF",7.5,IF(H7191="EIF",5.4)))))))</f>
        <v/>
      </c>
      <c r="M7191" s="112" t="str">
        <f t="shared" si="115"/>
        <v/>
      </c>
      <c r="N7191" s="113"/>
    </row>
    <row r="7192" spans="2:14">
      <c r="B7192" s="105"/>
      <c r="C7192" s="106"/>
      <c r="D7192" s="107"/>
      <c r="E7192" s="65"/>
      <c r="F7192" s="64"/>
      <c r="G7192" s="64"/>
      <c r="H7192" s="64"/>
      <c r="I7192" s="70"/>
      <c r="J7192" s="70"/>
      <c r="K7192" s="110" t="str">
        <f>IF(H7192="","",IF($C$29="간이법","",FPR(H7192,I7192,J7192)))</f>
        <v/>
      </c>
      <c r="L7192" s="111" t="str">
        <f>IF(H7192="","",IF($C$29="상세법",FPV(H7192,K7192),IF(H7192="EI",4,IF(H7192="EO",5.2,IF(H7192="EQ",3.9,IF(H7192="ILF",7.5,IF(H7192="EIF",5.4)))))))</f>
        <v/>
      </c>
      <c r="M7192" s="112" t="str">
        <f t="shared" si="115"/>
        <v/>
      </c>
      <c r="N7192" s="113"/>
    </row>
    <row r="7193" spans="2:14">
      <c r="B7193" s="105"/>
      <c r="C7193" s="106"/>
      <c r="D7193" s="107"/>
      <c r="E7193" s="65"/>
      <c r="F7193" s="64"/>
      <c r="G7193" s="64"/>
      <c r="H7193" s="64"/>
      <c r="I7193" s="70"/>
      <c r="J7193" s="70"/>
      <c r="K7193" s="110" t="str">
        <f>IF(H7193="","",IF($C$29="간이법","",FPR(H7193,I7193,J7193)))</f>
        <v/>
      </c>
      <c r="L7193" s="111" t="str">
        <f>IF(H7193="","",IF($C$29="상세법",FPV(H7193,K7193),IF(H7193="EI",4,IF(H7193="EO",5.2,IF(H7193="EQ",3.9,IF(H7193="ILF",7.5,IF(H7193="EIF",5.4)))))))</f>
        <v/>
      </c>
      <c r="M7193" s="112" t="str">
        <f t="shared" si="115"/>
        <v/>
      </c>
      <c r="N7193" s="113"/>
    </row>
    <row r="7194" spans="2:14">
      <c r="B7194" s="105"/>
      <c r="C7194" s="106"/>
      <c r="D7194" s="107"/>
      <c r="E7194" s="65"/>
      <c r="F7194" s="64"/>
      <c r="G7194" s="64"/>
      <c r="H7194" s="64"/>
      <c r="I7194" s="70"/>
      <c r="J7194" s="70"/>
      <c r="K7194" s="110" t="str">
        <f>IF(H7194="","",IF($C$29="간이법","",FPR(H7194,I7194,J7194)))</f>
        <v/>
      </c>
      <c r="L7194" s="111" t="str">
        <f>IF(H7194="","",IF($C$29="상세법",FPV(H7194,K7194),IF(H7194="EI",4,IF(H7194="EO",5.2,IF(H7194="EQ",3.9,IF(H7194="ILF",7.5,IF(H7194="EIF",5.4)))))))</f>
        <v/>
      </c>
      <c r="M7194" s="112" t="str">
        <f t="shared" si="115"/>
        <v/>
      </c>
      <c r="N7194" s="113"/>
    </row>
    <row r="7195" spans="2:14">
      <c r="B7195" s="105"/>
      <c r="C7195" s="106"/>
      <c r="D7195" s="107"/>
      <c r="E7195" s="65"/>
      <c r="F7195" s="64"/>
      <c r="G7195" s="64"/>
      <c r="H7195" s="64"/>
      <c r="I7195" s="70"/>
      <c r="J7195" s="70"/>
      <c r="K7195" s="110" t="str">
        <f>IF(H7195="","",IF($C$29="간이법","",FPR(H7195,I7195,J7195)))</f>
        <v/>
      </c>
      <c r="L7195" s="111" t="str">
        <f>IF(H7195="","",IF($C$29="상세법",FPV(H7195,K7195),IF(H7195="EI",4,IF(H7195="EO",5.2,IF(H7195="EQ",3.9,IF(H7195="ILF",7.5,IF(H7195="EIF",5.4)))))))</f>
        <v/>
      </c>
      <c r="M7195" s="112" t="str">
        <f t="shared" si="115"/>
        <v/>
      </c>
      <c r="N7195" s="113"/>
    </row>
    <row r="7196" spans="2:14">
      <c r="B7196" s="105"/>
      <c r="C7196" s="106"/>
      <c r="D7196" s="107"/>
      <c r="E7196" s="65"/>
      <c r="F7196" s="64"/>
      <c r="G7196" s="64"/>
      <c r="H7196" s="64"/>
      <c r="I7196" s="70"/>
      <c r="J7196" s="70"/>
      <c r="K7196" s="110" t="str">
        <f>IF(H7196="","",IF($C$29="간이법","",FPR(H7196,I7196,J7196)))</f>
        <v/>
      </c>
      <c r="L7196" s="111" t="str">
        <f>IF(H7196="","",IF($C$29="상세법",FPV(H7196,K7196),IF(H7196="EI",4,IF(H7196="EO",5.2,IF(H7196="EQ",3.9,IF(H7196="ILF",7.5,IF(H7196="EIF",5.4)))))))</f>
        <v/>
      </c>
      <c r="M7196" s="112" t="str">
        <f t="shared" si="115"/>
        <v/>
      </c>
      <c r="N7196" s="113"/>
    </row>
    <row r="7197" spans="2:14">
      <c r="B7197" s="105"/>
      <c r="C7197" s="106"/>
      <c r="D7197" s="107"/>
      <c r="E7197" s="65"/>
      <c r="F7197" s="64"/>
      <c r="G7197" s="64"/>
      <c r="H7197" s="64"/>
      <c r="I7197" s="70"/>
      <c r="J7197" s="70"/>
      <c r="K7197" s="110" t="str">
        <f>IF(H7197="","",IF($C$29="간이법","",FPR(H7197,I7197,J7197)))</f>
        <v/>
      </c>
      <c r="L7197" s="111" t="str">
        <f>IF(H7197="","",IF($C$29="상세법",FPV(H7197,K7197),IF(H7197="EI",4,IF(H7197="EO",5.2,IF(H7197="EQ",3.9,IF(H7197="ILF",7.5,IF(H7197="EIF",5.4)))))))</f>
        <v/>
      </c>
      <c r="M7197" s="112" t="str">
        <f t="shared" si="115"/>
        <v/>
      </c>
      <c r="N7197" s="113"/>
    </row>
    <row r="7198" spans="2:14">
      <c r="B7198" s="105"/>
      <c r="C7198" s="106"/>
      <c r="D7198" s="107"/>
      <c r="E7198" s="65"/>
      <c r="F7198" s="64"/>
      <c r="G7198" s="64"/>
      <c r="H7198" s="64"/>
      <c r="I7198" s="70"/>
      <c r="J7198" s="70"/>
      <c r="K7198" s="110" t="str">
        <f>IF(H7198="","",IF($C$29="간이법","",FPR(H7198,I7198,J7198)))</f>
        <v/>
      </c>
      <c r="L7198" s="111" t="str">
        <f>IF(H7198="","",IF($C$29="상세법",FPV(H7198,K7198),IF(H7198="EI",4,IF(H7198="EO",5.2,IF(H7198="EQ",3.9,IF(H7198="ILF",7.5,IF(H7198="EIF",5.4)))))))</f>
        <v/>
      </c>
      <c r="M7198" s="112" t="str">
        <f t="shared" si="115"/>
        <v/>
      </c>
      <c r="N7198" s="113"/>
    </row>
    <row r="7199" spans="2:14">
      <c r="B7199" s="105"/>
      <c r="C7199" s="106"/>
      <c r="D7199" s="107"/>
      <c r="E7199" s="65"/>
      <c r="F7199" s="64"/>
      <c r="G7199" s="64"/>
      <c r="H7199" s="64"/>
      <c r="I7199" s="70"/>
      <c r="J7199" s="70"/>
      <c r="K7199" s="110" t="str">
        <f>IF(H7199="","",IF($C$29="간이법","",FPR(H7199,I7199,J7199)))</f>
        <v/>
      </c>
      <c r="L7199" s="111" t="str">
        <f>IF(H7199="","",IF($C$29="상세법",FPV(H7199,K7199),IF(H7199="EI",4,IF(H7199="EO",5.2,IF(H7199="EQ",3.9,IF(H7199="ILF",7.5,IF(H7199="EIF",5.4)))))))</f>
        <v/>
      </c>
      <c r="M7199" s="112" t="str">
        <f t="shared" si="115"/>
        <v/>
      </c>
      <c r="N7199" s="113"/>
    </row>
    <row r="7200" spans="2:14">
      <c r="B7200" s="105"/>
      <c r="C7200" s="106"/>
      <c r="D7200" s="107"/>
      <c r="E7200" s="65"/>
      <c r="F7200" s="64"/>
      <c r="G7200" s="64"/>
      <c r="H7200" s="64"/>
      <c r="I7200" s="70"/>
      <c r="J7200" s="70"/>
      <c r="K7200" s="110" t="str">
        <f>IF(H7200="","",IF($C$29="간이법","",FPR(H7200,I7200,J7200)))</f>
        <v/>
      </c>
      <c r="L7200" s="111" t="str">
        <f>IF(H7200="","",IF($C$29="상세법",FPV(H7200,K7200),IF(H7200="EI",4,IF(H7200="EO",5.2,IF(H7200="EQ",3.9,IF(H7200="ILF",7.5,IF(H7200="EIF",5.4)))))))</f>
        <v/>
      </c>
      <c r="M7200" s="112" t="str">
        <f t="shared" si="115"/>
        <v/>
      </c>
      <c r="N7200" s="113"/>
    </row>
    <row r="7201" spans="2:14">
      <c r="B7201" s="105"/>
      <c r="C7201" s="106"/>
      <c r="D7201" s="107"/>
      <c r="E7201" s="65"/>
      <c r="F7201" s="64"/>
      <c r="G7201" s="64"/>
      <c r="H7201" s="64"/>
      <c r="I7201" s="70"/>
      <c r="J7201" s="70"/>
      <c r="K7201" s="110" t="str">
        <f>IF(H7201="","",IF($C$29="간이법","",FPR(H7201,I7201,J7201)))</f>
        <v/>
      </c>
      <c r="L7201" s="111" t="str">
        <f>IF(H7201="","",IF($C$29="상세법",FPV(H7201,K7201),IF(H7201="EI",4,IF(H7201="EO",5.2,IF(H7201="EQ",3.9,IF(H7201="ILF",7.5,IF(H7201="EIF",5.4)))))))</f>
        <v/>
      </c>
      <c r="M7201" s="112" t="str">
        <f t="shared" si="115"/>
        <v/>
      </c>
      <c r="N7201" s="113"/>
    </row>
    <row r="7202" spans="2:14">
      <c r="B7202" s="105"/>
      <c r="C7202" s="106"/>
      <c r="D7202" s="107"/>
      <c r="E7202" s="65"/>
      <c r="F7202" s="64"/>
      <c r="G7202" s="64"/>
      <c r="H7202" s="64"/>
      <c r="I7202" s="70"/>
      <c r="J7202" s="70"/>
      <c r="K7202" s="110" t="str">
        <f>IF(H7202="","",IF($C$29="간이법","",FPR(H7202,I7202,J7202)))</f>
        <v/>
      </c>
      <c r="L7202" s="111" t="str">
        <f>IF(H7202="","",IF($C$29="상세법",FPV(H7202,K7202),IF(H7202="EI",4,IF(H7202="EO",5.2,IF(H7202="EQ",3.9,IF(H7202="ILF",7.5,IF(H7202="EIF",5.4)))))))</f>
        <v/>
      </c>
      <c r="M7202" s="112" t="str">
        <f t="shared" si="115"/>
        <v/>
      </c>
      <c r="N7202" s="113"/>
    </row>
    <row r="7203" spans="2:14">
      <c r="B7203" s="105"/>
      <c r="C7203" s="106"/>
      <c r="D7203" s="107"/>
      <c r="E7203" s="65"/>
      <c r="F7203" s="64"/>
      <c r="G7203" s="64"/>
      <c r="H7203" s="64"/>
      <c r="I7203" s="70"/>
      <c r="J7203" s="70"/>
      <c r="K7203" s="110" t="str">
        <f>IF(H7203="","",IF($C$29="간이법","",FPR(H7203,I7203,J7203)))</f>
        <v/>
      </c>
      <c r="L7203" s="111" t="str">
        <f>IF(H7203="","",IF($C$29="상세법",FPV(H7203,K7203),IF(H7203="EI",4,IF(H7203="EO",5.2,IF(H7203="EQ",3.9,IF(H7203="ILF",7.5,IF(H7203="EIF",5.4)))))))</f>
        <v/>
      </c>
      <c r="M7203" s="112" t="str">
        <f t="shared" si="115"/>
        <v/>
      </c>
      <c r="N7203" s="113"/>
    </row>
    <row r="7204" spans="2:14">
      <c r="B7204" s="105"/>
      <c r="C7204" s="106"/>
      <c r="D7204" s="107"/>
      <c r="E7204" s="65"/>
      <c r="F7204" s="64"/>
      <c r="G7204" s="64"/>
      <c r="H7204" s="64"/>
      <c r="I7204" s="70"/>
      <c r="J7204" s="70"/>
      <c r="K7204" s="110" t="str">
        <f>IF(H7204="","",IF($C$29="간이법","",FPR(H7204,I7204,J7204)))</f>
        <v/>
      </c>
      <c r="L7204" s="111" t="str">
        <f>IF(H7204="","",IF($C$29="상세법",FPV(H7204,K7204),IF(H7204="EI",4,IF(H7204="EO",5.2,IF(H7204="EQ",3.9,IF(H7204="ILF",7.5,IF(H7204="EIF",5.4)))))))</f>
        <v/>
      </c>
      <c r="M7204" s="112" t="str">
        <f t="shared" si="115"/>
        <v/>
      </c>
      <c r="N7204" s="113"/>
    </row>
    <row r="7205" spans="2:14">
      <c r="B7205" s="105"/>
      <c r="C7205" s="106"/>
      <c r="D7205" s="107"/>
      <c r="E7205" s="65"/>
      <c r="F7205" s="64"/>
      <c r="G7205" s="64"/>
      <c r="H7205" s="64"/>
      <c r="I7205" s="70"/>
      <c r="J7205" s="70"/>
      <c r="K7205" s="110" t="str">
        <f>IF(H7205="","",IF($C$29="간이법","",FPR(H7205,I7205,J7205)))</f>
        <v/>
      </c>
      <c r="L7205" s="111" t="str">
        <f>IF(H7205="","",IF($C$29="상세법",FPV(H7205,K7205),IF(H7205="EI",4,IF(H7205="EO",5.2,IF(H7205="EQ",3.9,IF(H7205="ILF",7.5,IF(H7205="EIF",5.4)))))))</f>
        <v/>
      </c>
      <c r="M7205" s="112" t="str">
        <f t="shared" si="115"/>
        <v/>
      </c>
      <c r="N7205" s="113"/>
    </row>
    <row r="7206" spans="2:14">
      <c r="B7206" s="105"/>
      <c r="C7206" s="106"/>
      <c r="D7206" s="107"/>
      <c r="E7206" s="65"/>
      <c r="F7206" s="64"/>
      <c r="G7206" s="64"/>
      <c r="H7206" s="64"/>
      <c r="I7206" s="70"/>
      <c r="J7206" s="70"/>
      <c r="K7206" s="110" t="str">
        <f>IF(H7206="","",IF($C$29="간이법","",FPR(H7206,I7206,J7206)))</f>
        <v/>
      </c>
      <c r="L7206" s="111" t="str">
        <f>IF(H7206="","",IF($C$29="상세법",FPV(H7206,K7206),IF(H7206="EI",4,IF(H7206="EO",5.2,IF(H7206="EQ",3.9,IF(H7206="ILF",7.5,IF(H7206="EIF",5.4)))))))</f>
        <v/>
      </c>
      <c r="M7206" s="112" t="str">
        <f t="shared" si="115"/>
        <v/>
      </c>
      <c r="N7206" s="113"/>
    </row>
    <row r="7207" spans="2:14">
      <c r="B7207" s="105"/>
      <c r="C7207" s="106"/>
      <c r="D7207" s="107"/>
      <c r="E7207" s="65"/>
      <c r="F7207" s="64"/>
      <c r="G7207" s="64"/>
      <c r="H7207" s="64"/>
      <c r="I7207" s="70"/>
      <c r="J7207" s="70"/>
      <c r="K7207" s="110" t="str">
        <f>IF(H7207="","",IF($C$29="간이법","",FPR(H7207,I7207,J7207)))</f>
        <v/>
      </c>
      <c r="L7207" s="111" t="str">
        <f>IF(H7207="","",IF($C$29="상세법",FPV(H7207,K7207),IF(H7207="EI",4,IF(H7207="EO",5.2,IF(H7207="EQ",3.9,IF(H7207="ILF",7.5,IF(H7207="EIF",5.4)))))))</f>
        <v/>
      </c>
      <c r="M7207" s="112" t="str">
        <f t="shared" si="115"/>
        <v/>
      </c>
      <c r="N7207" s="113"/>
    </row>
    <row r="7208" spans="2:14">
      <c r="B7208" s="105"/>
      <c r="C7208" s="106"/>
      <c r="D7208" s="107"/>
      <c r="E7208" s="65"/>
      <c r="F7208" s="64"/>
      <c r="G7208" s="64"/>
      <c r="H7208" s="64"/>
      <c r="I7208" s="70"/>
      <c r="J7208" s="70"/>
      <c r="K7208" s="110" t="str">
        <f>IF(H7208="","",IF($C$29="간이법","",FPR(H7208,I7208,J7208)))</f>
        <v/>
      </c>
      <c r="L7208" s="111" t="str">
        <f>IF(H7208="","",IF($C$29="상세법",FPV(H7208,K7208),IF(H7208="EI",4,IF(H7208="EO",5.2,IF(H7208="EQ",3.9,IF(H7208="ILF",7.5,IF(H7208="EIF",5.4)))))))</f>
        <v/>
      </c>
      <c r="M7208" s="112" t="str">
        <f t="shared" si="115"/>
        <v/>
      </c>
      <c r="N7208" s="113"/>
    </row>
    <row r="7209" spans="2:14">
      <c r="B7209" s="105"/>
      <c r="C7209" s="106"/>
      <c r="D7209" s="107"/>
      <c r="E7209" s="65"/>
      <c r="F7209" s="64"/>
      <c r="G7209" s="64"/>
      <c r="H7209" s="64"/>
      <c r="I7209" s="70"/>
      <c r="J7209" s="70"/>
      <c r="K7209" s="110" t="str">
        <f>IF(H7209="","",IF($C$29="간이법","",FPR(H7209,I7209,J7209)))</f>
        <v/>
      </c>
      <c r="L7209" s="111" t="str">
        <f>IF(H7209="","",IF($C$29="상세법",FPV(H7209,K7209),IF(H7209="EI",4,IF(H7209="EO",5.2,IF(H7209="EQ",3.9,IF(H7209="ILF",7.5,IF(H7209="EIF",5.4)))))))</f>
        <v/>
      </c>
      <c r="M7209" s="112" t="str">
        <f t="shared" si="115"/>
        <v/>
      </c>
      <c r="N7209" s="113"/>
    </row>
    <row r="7210" spans="2:14">
      <c r="B7210" s="105"/>
      <c r="C7210" s="106"/>
      <c r="D7210" s="107"/>
      <c r="E7210" s="65"/>
      <c r="F7210" s="64"/>
      <c r="G7210" s="64"/>
      <c r="H7210" s="64"/>
      <c r="I7210" s="70"/>
      <c r="J7210" s="70"/>
      <c r="K7210" s="110" t="str">
        <f>IF(H7210="","",IF($C$29="간이법","",FPR(H7210,I7210,J7210)))</f>
        <v/>
      </c>
      <c r="L7210" s="111" t="str">
        <f>IF(H7210="","",IF($C$29="상세법",FPV(H7210,K7210),IF(H7210="EI",4,IF(H7210="EO",5.2,IF(H7210="EQ",3.9,IF(H7210="ILF",7.5,IF(H7210="EIF",5.4)))))))</f>
        <v/>
      </c>
      <c r="M7210" s="112" t="str">
        <f t="shared" si="115"/>
        <v/>
      </c>
      <c r="N7210" s="113"/>
    </row>
    <row r="7211" spans="2:14">
      <c r="B7211" s="105"/>
      <c r="C7211" s="106"/>
      <c r="D7211" s="107"/>
      <c r="E7211" s="65"/>
      <c r="F7211" s="64"/>
      <c r="G7211" s="64"/>
      <c r="H7211" s="64"/>
      <c r="I7211" s="70"/>
      <c r="J7211" s="70"/>
      <c r="K7211" s="110" t="str">
        <f>IF(H7211="","",IF($C$29="간이법","",FPR(H7211,I7211,J7211)))</f>
        <v/>
      </c>
      <c r="L7211" s="111" t="str">
        <f>IF(H7211="","",IF($C$29="상세법",FPV(H7211,K7211),IF(H7211="EI",4,IF(H7211="EO",5.2,IF(H7211="EQ",3.9,IF(H7211="ILF",7.5,IF(H7211="EIF",5.4)))))))</f>
        <v/>
      </c>
      <c r="M7211" s="112" t="str">
        <f t="shared" si="115"/>
        <v/>
      </c>
      <c r="N7211" s="113"/>
    </row>
    <row r="7212" spans="2:14">
      <c r="B7212" s="105"/>
      <c r="C7212" s="106"/>
      <c r="D7212" s="107"/>
      <c r="E7212" s="65"/>
      <c r="F7212" s="64"/>
      <c r="G7212" s="64"/>
      <c r="H7212" s="64"/>
      <c r="I7212" s="70"/>
      <c r="J7212" s="70"/>
      <c r="K7212" s="110" t="str">
        <f>IF(H7212="","",IF($C$29="간이법","",FPR(H7212,I7212,J7212)))</f>
        <v/>
      </c>
      <c r="L7212" s="111" t="str">
        <f>IF(H7212="","",IF($C$29="상세법",FPV(H7212,K7212),IF(H7212="EI",4,IF(H7212="EO",5.2,IF(H7212="EQ",3.9,IF(H7212="ILF",7.5,IF(H7212="EIF",5.4)))))))</f>
        <v/>
      </c>
      <c r="M7212" s="112" t="str">
        <f t="shared" si="115"/>
        <v/>
      </c>
      <c r="N7212" s="113"/>
    </row>
    <row r="7213" spans="2:14">
      <c r="B7213" s="105"/>
      <c r="C7213" s="106"/>
      <c r="D7213" s="107"/>
      <c r="E7213" s="65"/>
      <c r="F7213" s="64"/>
      <c r="G7213" s="64"/>
      <c r="H7213" s="64"/>
      <c r="I7213" s="70"/>
      <c r="J7213" s="70"/>
      <c r="K7213" s="110" t="str">
        <f>IF(H7213="","",IF($C$29="간이법","",FPR(H7213,I7213,J7213)))</f>
        <v/>
      </c>
      <c r="L7213" s="111" t="str">
        <f>IF(H7213="","",IF($C$29="상세법",FPV(H7213,K7213),IF(H7213="EI",4,IF(H7213="EO",5.2,IF(H7213="EQ",3.9,IF(H7213="ILF",7.5,IF(H7213="EIF",5.4)))))))</f>
        <v/>
      </c>
      <c r="M7213" s="112" t="str">
        <f t="shared" si="115"/>
        <v/>
      </c>
      <c r="N7213" s="113"/>
    </row>
    <row r="7214" spans="2:14">
      <c r="B7214" s="105"/>
      <c r="C7214" s="106"/>
      <c r="D7214" s="107"/>
      <c r="E7214" s="65"/>
      <c r="F7214" s="64"/>
      <c r="G7214" s="64"/>
      <c r="H7214" s="64"/>
      <c r="I7214" s="70"/>
      <c r="J7214" s="70"/>
      <c r="K7214" s="110" t="str">
        <f>IF(H7214="","",IF($C$29="간이법","",FPR(H7214,I7214,J7214)))</f>
        <v/>
      </c>
      <c r="L7214" s="111" t="str">
        <f>IF(H7214="","",IF($C$29="상세법",FPV(H7214,K7214),IF(H7214="EI",4,IF(H7214="EO",5.2,IF(H7214="EQ",3.9,IF(H7214="ILF",7.5,IF(H7214="EIF",5.4)))))))</f>
        <v/>
      </c>
      <c r="M7214" s="112" t="str">
        <f t="shared" si="115"/>
        <v/>
      </c>
      <c r="N7214" s="113"/>
    </row>
    <row r="7215" spans="2:14">
      <c r="B7215" s="105"/>
      <c r="C7215" s="106"/>
      <c r="D7215" s="107"/>
      <c r="E7215" s="65"/>
      <c r="F7215" s="64"/>
      <c r="G7215" s="64"/>
      <c r="H7215" s="64"/>
      <c r="I7215" s="70"/>
      <c r="J7215" s="70"/>
      <c r="K7215" s="110" t="str">
        <f>IF(H7215="","",IF($C$29="간이법","",FPR(H7215,I7215,J7215)))</f>
        <v/>
      </c>
      <c r="L7215" s="111" t="str">
        <f>IF(H7215="","",IF($C$29="상세법",FPV(H7215,K7215),IF(H7215="EI",4,IF(H7215="EO",5.2,IF(H7215="EQ",3.9,IF(H7215="ILF",7.5,IF(H7215="EIF",5.4)))))))</f>
        <v/>
      </c>
      <c r="M7215" s="112" t="str">
        <f t="shared" si="115"/>
        <v/>
      </c>
      <c r="N7215" s="113"/>
    </row>
    <row r="7216" spans="2:14">
      <c r="B7216" s="105"/>
      <c r="C7216" s="106"/>
      <c r="D7216" s="107"/>
      <c r="E7216" s="65"/>
      <c r="F7216" s="64"/>
      <c r="G7216" s="64"/>
      <c r="H7216" s="64"/>
      <c r="I7216" s="70"/>
      <c r="J7216" s="70"/>
      <c r="K7216" s="110" t="str">
        <f>IF(H7216="","",IF($C$29="간이법","",FPR(H7216,I7216,J7216)))</f>
        <v/>
      </c>
      <c r="L7216" s="111" t="str">
        <f>IF(H7216="","",IF($C$29="상세법",FPV(H7216,K7216),IF(H7216="EI",4,IF(H7216="EO",5.2,IF(H7216="EQ",3.9,IF(H7216="ILF",7.5,IF(H7216="EIF",5.4)))))))</f>
        <v/>
      </c>
      <c r="M7216" s="112" t="str">
        <f t="shared" si="115"/>
        <v/>
      </c>
      <c r="N7216" s="113"/>
    </row>
    <row r="7217" spans="2:14">
      <c r="B7217" s="105"/>
      <c r="C7217" s="106"/>
      <c r="D7217" s="107"/>
      <c r="E7217" s="65"/>
      <c r="F7217" s="64"/>
      <c r="G7217" s="64"/>
      <c r="H7217" s="64"/>
      <c r="I7217" s="70"/>
      <c r="J7217" s="70"/>
      <c r="K7217" s="110" t="str">
        <f>IF(H7217="","",IF($C$29="간이법","",FPR(H7217,I7217,J7217)))</f>
        <v/>
      </c>
      <c r="L7217" s="111" t="str">
        <f>IF(H7217="","",IF($C$29="상세법",FPV(H7217,K7217),IF(H7217="EI",4,IF(H7217="EO",5.2,IF(H7217="EQ",3.9,IF(H7217="ILF",7.5,IF(H7217="EIF",5.4)))))))</f>
        <v/>
      </c>
      <c r="M7217" s="112" t="str">
        <f t="shared" si="115"/>
        <v/>
      </c>
      <c r="N7217" s="113"/>
    </row>
    <row r="7218" spans="2:14">
      <c r="B7218" s="105"/>
      <c r="C7218" s="106"/>
      <c r="D7218" s="107"/>
      <c r="E7218" s="65"/>
      <c r="F7218" s="64"/>
      <c r="G7218" s="64"/>
      <c r="H7218" s="64"/>
      <c r="I7218" s="70"/>
      <c r="J7218" s="70"/>
      <c r="K7218" s="110" t="str">
        <f>IF(H7218="","",IF($C$29="간이법","",FPR(H7218,I7218,J7218)))</f>
        <v/>
      </c>
      <c r="L7218" s="111" t="str">
        <f>IF(H7218="","",IF($C$29="상세법",FPV(H7218,K7218),IF(H7218="EI",4,IF(H7218="EO",5.2,IF(H7218="EQ",3.9,IF(H7218="ILF",7.5,IF(H7218="EIF",5.4)))))))</f>
        <v/>
      </c>
      <c r="M7218" s="112" t="str">
        <f t="shared" si="115"/>
        <v/>
      </c>
      <c r="N7218" s="113"/>
    </row>
    <row r="7219" spans="2:14">
      <c r="B7219" s="105"/>
      <c r="C7219" s="106"/>
      <c r="D7219" s="107"/>
      <c r="E7219" s="65"/>
      <c r="F7219" s="64"/>
      <c r="G7219" s="64"/>
      <c r="H7219" s="64"/>
      <c r="I7219" s="70"/>
      <c r="J7219" s="70"/>
      <c r="K7219" s="110" t="str">
        <f>IF(H7219="","",IF($C$29="간이법","",FPR(H7219,I7219,J7219)))</f>
        <v/>
      </c>
      <c r="L7219" s="111" t="str">
        <f>IF(H7219="","",IF($C$29="상세법",FPV(H7219,K7219),IF(H7219="EI",4,IF(H7219="EO",5.2,IF(H7219="EQ",3.9,IF(H7219="ILF",7.5,IF(H7219="EIF",5.4)))))))</f>
        <v/>
      </c>
      <c r="M7219" s="112" t="str">
        <f t="shared" si="115"/>
        <v/>
      </c>
      <c r="N7219" s="113"/>
    </row>
    <row r="7220" spans="2:14">
      <c r="B7220" s="105"/>
      <c r="C7220" s="106"/>
      <c r="D7220" s="107"/>
      <c r="E7220" s="65"/>
      <c r="F7220" s="64"/>
      <c r="G7220" s="64"/>
      <c r="H7220" s="64"/>
      <c r="I7220" s="70"/>
      <c r="J7220" s="70"/>
      <c r="K7220" s="110" t="str">
        <f>IF(H7220="","",IF($C$29="간이법","",FPR(H7220,I7220,J7220)))</f>
        <v/>
      </c>
      <c r="L7220" s="111" t="str">
        <f>IF(H7220="","",IF($C$29="상세법",FPV(H7220,K7220),IF(H7220="EI",4,IF(H7220="EO",5.2,IF(H7220="EQ",3.9,IF(H7220="ILF",7.5,IF(H7220="EIF",5.4)))))))</f>
        <v/>
      </c>
      <c r="M7220" s="112" t="str">
        <f t="shared" si="115"/>
        <v/>
      </c>
      <c r="N7220" s="113"/>
    </row>
    <row r="7221" spans="2:14">
      <c r="B7221" s="105"/>
      <c r="C7221" s="106"/>
      <c r="D7221" s="107"/>
      <c r="E7221" s="65"/>
      <c r="F7221" s="64"/>
      <c r="G7221" s="64"/>
      <c r="H7221" s="64"/>
      <c r="I7221" s="70"/>
      <c r="J7221" s="70"/>
      <c r="K7221" s="110" t="str">
        <f>IF(H7221="","",IF($C$29="간이법","",FPR(H7221,I7221,J7221)))</f>
        <v/>
      </c>
      <c r="L7221" s="111" t="str">
        <f>IF(H7221="","",IF($C$29="상세법",FPV(H7221,K7221),IF(H7221="EI",4,IF(H7221="EO",5.2,IF(H7221="EQ",3.9,IF(H7221="ILF",7.5,IF(H7221="EIF",5.4)))))))</f>
        <v/>
      </c>
      <c r="M7221" s="112" t="str">
        <f t="shared" si="115"/>
        <v/>
      </c>
      <c r="N7221" s="113"/>
    </row>
    <row r="7222" spans="2:14">
      <c r="B7222" s="105"/>
      <c r="C7222" s="106"/>
      <c r="D7222" s="107"/>
      <c r="E7222" s="65"/>
      <c r="F7222" s="64"/>
      <c r="G7222" s="64"/>
      <c r="H7222" s="64"/>
      <c r="I7222" s="70"/>
      <c r="J7222" s="70"/>
      <c r="K7222" s="110" t="str">
        <f>IF(H7222="","",IF($C$29="간이법","",FPR(H7222,I7222,J7222)))</f>
        <v/>
      </c>
      <c r="L7222" s="111" t="str">
        <f>IF(H7222="","",IF($C$29="상세법",FPV(H7222,K7222),IF(H7222="EI",4,IF(H7222="EO",5.2,IF(H7222="EQ",3.9,IF(H7222="ILF",7.5,IF(H7222="EIF",5.4)))))))</f>
        <v/>
      </c>
      <c r="M7222" s="112" t="str">
        <f t="shared" si="115"/>
        <v/>
      </c>
      <c r="N7222" s="113"/>
    </row>
    <row r="7223" spans="2:14">
      <c r="B7223" s="105"/>
      <c r="C7223" s="106"/>
      <c r="D7223" s="107"/>
      <c r="E7223" s="65"/>
      <c r="F7223" s="64"/>
      <c r="G7223" s="64"/>
      <c r="H7223" s="64"/>
      <c r="I7223" s="70"/>
      <c r="J7223" s="70"/>
      <c r="K7223" s="110" t="str">
        <f>IF(H7223="","",IF($C$29="간이법","",FPR(H7223,I7223,J7223)))</f>
        <v/>
      </c>
      <c r="L7223" s="111" t="str">
        <f>IF(H7223="","",IF($C$29="상세법",FPV(H7223,K7223),IF(H7223="EI",4,IF(H7223="EO",5.2,IF(H7223="EQ",3.9,IF(H7223="ILF",7.5,IF(H7223="EIF",5.4)))))))</f>
        <v/>
      </c>
      <c r="M7223" s="112" t="str">
        <f t="shared" si="115"/>
        <v/>
      </c>
      <c r="N7223" s="113"/>
    </row>
    <row r="7224" spans="2:14">
      <c r="B7224" s="105"/>
      <c r="C7224" s="106"/>
      <c r="D7224" s="107"/>
      <c r="E7224" s="65"/>
      <c r="F7224" s="64"/>
      <c r="G7224" s="64"/>
      <c r="H7224" s="64"/>
      <c r="I7224" s="70"/>
      <c r="J7224" s="70"/>
      <c r="K7224" s="110" t="str">
        <f>IF(H7224="","",IF($C$29="간이법","",FPR(H7224,I7224,J7224)))</f>
        <v/>
      </c>
      <c r="L7224" s="111" t="str">
        <f>IF(H7224="","",IF($C$29="상세법",FPV(H7224,K7224),IF(H7224="EI",4,IF(H7224="EO",5.2,IF(H7224="EQ",3.9,IF(H7224="ILF",7.5,IF(H7224="EIF",5.4)))))))</f>
        <v/>
      </c>
      <c r="M7224" s="112" t="str">
        <f t="shared" si="115"/>
        <v/>
      </c>
      <c r="N7224" s="113"/>
    </row>
    <row r="7225" spans="2:14">
      <c r="B7225" s="105"/>
      <c r="C7225" s="106"/>
      <c r="D7225" s="107"/>
      <c r="E7225" s="65"/>
      <c r="F7225" s="64"/>
      <c r="G7225" s="64"/>
      <c r="H7225" s="64"/>
      <c r="I7225" s="70"/>
      <c r="J7225" s="70"/>
      <c r="K7225" s="110" t="str">
        <f>IF(H7225="","",IF($C$29="간이법","",FPR(H7225,I7225,J7225)))</f>
        <v/>
      </c>
      <c r="L7225" s="111" t="str">
        <f>IF(H7225="","",IF($C$29="상세법",FPV(H7225,K7225),IF(H7225="EI",4,IF(H7225="EO",5.2,IF(H7225="EQ",3.9,IF(H7225="ILF",7.5,IF(H7225="EIF",5.4)))))))</f>
        <v/>
      </c>
      <c r="M7225" s="112" t="str">
        <f t="shared" ref="M7225:M7288" si="116">IF(L7225="","",L7225*IF(G7225="상",0.7,IF(G7225="중",0.5,IF(G7225="하",0.2,1))))</f>
        <v/>
      </c>
      <c r="N7225" s="113"/>
    </row>
    <row r="7226" spans="2:14">
      <c r="B7226" s="105"/>
      <c r="C7226" s="106"/>
      <c r="D7226" s="107"/>
      <c r="E7226" s="65"/>
      <c r="F7226" s="64"/>
      <c r="G7226" s="64"/>
      <c r="H7226" s="64"/>
      <c r="I7226" s="70"/>
      <c r="J7226" s="70"/>
      <c r="K7226" s="110" t="str">
        <f>IF(H7226="","",IF($C$29="간이법","",FPR(H7226,I7226,J7226)))</f>
        <v/>
      </c>
      <c r="L7226" s="111" t="str">
        <f>IF(H7226="","",IF($C$29="상세법",FPV(H7226,K7226),IF(H7226="EI",4,IF(H7226="EO",5.2,IF(H7226="EQ",3.9,IF(H7226="ILF",7.5,IF(H7226="EIF",5.4)))))))</f>
        <v/>
      </c>
      <c r="M7226" s="112" t="str">
        <f t="shared" si="116"/>
        <v/>
      </c>
      <c r="N7226" s="113"/>
    </row>
    <row r="7227" spans="2:14">
      <c r="B7227" s="105"/>
      <c r="C7227" s="106"/>
      <c r="D7227" s="107"/>
      <c r="E7227" s="65"/>
      <c r="F7227" s="64"/>
      <c r="G7227" s="64"/>
      <c r="H7227" s="64"/>
      <c r="I7227" s="70"/>
      <c r="J7227" s="70"/>
      <c r="K7227" s="110" t="str">
        <f>IF(H7227="","",IF($C$29="간이법","",FPR(H7227,I7227,J7227)))</f>
        <v/>
      </c>
      <c r="L7227" s="111" t="str">
        <f>IF(H7227="","",IF($C$29="상세법",FPV(H7227,K7227),IF(H7227="EI",4,IF(H7227="EO",5.2,IF(H7227="EQ",3.9,IF(H7227="ILF",7.5,IF(H7227="EIF",5.4)))))))</f>
        <v/>
      </c>
      <c r="M7227" s="112" t="str">
        <f t="shared" si="116"/>
        <v/>
      </c>
      <c r="N7227" s="113"/>
    </row>
    <row r="7228" spans="2:14">
      <c r="B7228" s="105"/>
      <c r="C7228" s="106"/>
      <c r="D7228" s="107"/>
      <c r="E7228" s="65"/>
      <c r="F7228" s="64"/>
      <c r="G7228" s="64"/>
      <c r="H7228" s="64"/>
      <c r="I7228" s="70"/>
      <c r="J7228" s="70"/>
      <c r="K7228" s="110" t="str">
        <f>IF(H7228="","",IF($C$29="간이법","",FPR(H7228,I7228,J7228)))</f>
        <v/>
      </c>
      <c r="L7228" s="111" t="str">
        <f>IF(H7228="","",IF($C$29="상세법",FPV(H7228,K7228),IF(H7228="EI",4,IF(H7228="EO",5.2,IF(H7228="EQ",3.9,IF(H7228="ILF",7.5,IF(H7228="EIF",5.4)))))))</f>
        <v/>
      </c>
      <c r="M7228" s="112" t="str">
        <f t="shared" si="116"/>
        <v/>
      </c>
      <c r="N7228" s="113"/>
    </row>
    <row r="7229" spans="2:14">
      <c r="B7229" s="105"/>
      <c r="C7229" s="106"/>
      <c r="D7229" s="107"/>
      <c r="E7229" s="65"/>
      <c r="F7229" s="64"/>
      <c r="G7229" s="64"/>
      <c r="H7229" s="64"/>
      <c r="I7229" s="70"/>
      <c r="J7229" s="70"/>
      <c r="K7229" s="110" t="str">
        <f>IF(H7229="","",IF($C$29="간이법","",FPR(H7229,I7229,J7229)))</f>
        <v/>
      </c>
      <c r="L7229" s="111" t="str">
        <f>IF(H7229="","",IF($C$29="상세법",FPV(H7229,K7229),IF(H7229="EI",4,IF(H7229="EO",5.2,IF(H7229="EQ",3.9,IF(H7229="ILF",7.5,IF(H7229="EIF",5.4)))))))</f>
        <v/>
      </c>
      <c r="M7229" s="112" t="str">
        <f t="shared" si="116"/>
        <v/>
      </c>
      <c r="N7229" s="113"/>
    </row>
    <row r="7230" spans="2:14">
      <c r="B7230" s="105"/>
      <c r="C7230" s="106"/>
      <c r="D7230" s="107"/>
      <c r="E7230" s="65"/>
      <c r="F7230" s="64"/>
      <c r="G7230" s="64"/>
      <c r="H7230" s="64"/>
      <c r="I7230" s="70"/>
      <c r="J7230" s="70"/>
      <c r="K7230" s="110" t="str">
        <f>IF(H7230="","",IF($C$29="간이법","",FPR(H7230,I7230,J7230)))</f>
        <v/>
      </c>
      <c r="L7230" s="111" t="str">
        <f>IF(H7230="","",IF($C$29="상세법",FPV(H7230,K7230),IF(H7230="EI",4,IF(H7230="EO",5.2,IF(H7230="EQ",3.9,IF(H7230="ILF",7.5,IF(H7230="EIF",5.4)))))))</f>
        <v/>
      </c>
      <c r="M7230" s="112" t="str">
        <f t="shared" si="116"/>
        <v/>
      </c>
      <c r="N7230" s="113"/>
    </row>
    <row r="7231" spans="2:14">
      <c r="B7231" s="105"/>
      <c r="C7231" s="106"/>
      <c r="D7231" s="107"/>
      <c r="E7231" s="65"/>
      <c r="F7231" s="64"/>
      <c r="G7231" s="64"/>
      <c r="H7231" s="64"/>
      <c r="I7231" s="70"/>
      <c r="J7231" s="70"/>
      <c r="K7231" s="110" t="str">
        <f>IF(H7231="","",IF($C$29="간이법","",FPR(H7231,I7231,J7231)))</f>
        <v/>
      </c>
      <c r="L7231" s="111" t="str">
        <f>IF(H7231="","",IF($C$29="상세법",FPV(H7231,K7231),IF(H7231="EI",4,IF(H7231="EO",5.2,IF(H7231="EQ",3.9,IF(H7231="ILF",7.5,IF(H7231="EIF",5.4)))))))</f>
        <v/>
      </c>
      <c r="M7231" s="112" t="str">
        <f t="shared" si="116"/>
        <v/>
      </c>
      <c r="N7231" s="113"/>
    </row>
    <row r="7232" spans="2:14">
      <c r="B7232" s="105"/>
      <c r="C7232" s="106"/>
      <c r="D7232" s="107"/>
      <c r="E7232" s="65"/>
      <c r="F7232" s="64"/>
      <c r="G7232" s="64"/>
      <c r="H7232" s="64"/>
      <c r="I7232" s="70"/>
      <c r="J7232" s="70"/>
      <c r="K7232" s="110" t="str">
        <f>IF(H7232="","",IF($C$29="간이법","",FPR(H7232,I7232,J7232)))</f>
        <v/>
      </c>
      <c r="L7232" s="111" t="str">
        <f>IF(H7232="","",IF($C$29="상세법",FPV(H7232,K7232),IF(H7232="EI",4,IF(H7232="EO",5.2,IF(H7232="EQ",3.9,IF(H7232="ILF",7.5,IF(H7232="EIF",5.4)))))))</f>
        <v/>
      </c>
      <c r="M7232" s="112" t="str">
        <f t="shared" si="116"/>
        <v/>
      </c>
      <c r="N7232" s="113"/>
    </row>
    <row r="7233" spans="2:14">
      <c r="B7233" s="105"/>
      <c r="C7233" s="106"/>
      <c r="D7233" s="107"/>
      <c r="E7233" s="65"/>
      <c r="F7233" s="64"/>
      <c r="G7233" s="64"/>
      <c r="H7233" s="64"/>
      <c r="I7233" s="70"/>
      <c r="J7233" s="70"/>
      <c r="K7233" s="110" t="str">
        <f>IF(H7233="","",IF($C$29="간이법","",FPR(H7233,I7233,J7233)))</f>
        <v/>
      </c>
      <c r="L7233" s="111" t="str">
        <f>IF(H7233="","",IF($C$29="상세법",FPV(H7233,K7233),IF(H7233="EI",4,IF(H7233="EO",5.2,IF(H7233="EQ",3.9,IF(H7233="ILF",7.5,IF(H7233="EIF",5.4)))))))</f>
        <v/>
      </c>
      <c r="M7233" s="112" t="str">
        <f t="shared" si="116"/>
        <v/>
      </c>
      <c r="N7233" s="113"/>
    </row>
    <row r="7234" spans="2:14">
      <c r="B7234" s="105"/>
      <c r="C7234" s="106"/>
      <c r="D7234" s="107"/>
      <c r="E7234" s="65"/>
      <c r="F7234" s="64"/>
      <c r="G7234" s="64"/>
      <c r="H7234" s="64"/>
      <c r="I7234" s="70"/>
      <c r="J7234" s="70"/>
      <c r="K7234" s="110" t="str">
        <f>IF(H7234="","",IF($C$29="간이법","",FPR(H7234,I7234,J7234)))</f>
        <v/>
      </c>
      <c r="L7234" s="111" t="str">
        <f>IF(H7234="","",IF($C$29="상세법",FPV(H7234,K7234),IF(H7234="EI",4,IF(H7234="EO",5.2,IF(H7234="EQ",3.9,IF(H7234="ILF",7.5,IF(H7234="EIF",5.4)))))))</f>
        <v/>
      </c>
      <c r="M7234" s="112" t="str">
        <f t="shared" si="116"/>
        <v/>
      </c>
      <c r="N7234" s="113"/>
    </row>
    <row r="7235" spans="2:14">
      <c r="B7235" s="105"/>
      <c r="C7235" s="106"/>
      <c r="D7235" s="107"/>
      <c r="E7235" s="65"/>
      <c r="F7235" s="64"/>
      <c r="G7235" s="64"/>
      <c r="H7235" s="64"/>
      <c r="I7235" s="70"/>
      <c r="J7235" s="70"/>
      <c r="K7235" s="110" t="str">
        <f>IF(H7235="","",IF($C$29="간이법","",FPR(H7235,I7235,J7235)))</f>
        <v/>
      </c>
      <c r="L7235" s="111" t="str">
        <f>IF(H7235="","",IF($C$29="상세법",FPV(H7235,K7235),IF(H7235="EI",4,IF(H7235="EO",5.2,IF(H7235="EQ",3.9,IF(H7235="ILF",7.5,IF(H7235="EIF",5.4)))))))</f>
        <v/>
      </c>
      <c r="M7235" s="112" t="str">
        <f t="shared" si="116"/>
        <v/>
      </c>
      <c r="N7235" s="113"/>
    </row>
    <row r="7236" spans="2:14">
      <c r="B7236" s="105"/>
      <c r="C7236" s="106"/>
      <c r="D7236" s="107"/>
      <c r="E7236" s="65"/>
      <c r="F7236" s="64"/>
      <c r="G7236" s="64"/>
      <c r="H7236" s="64"/>
      <c r="I7236" s="70"/>
      <c r="J7236" s="70"/>
      <c r="K7236" s="110" t="str">
        <f>IF(H7236="","",IF($C$29="간이법","",FPR(H7236,I7236,J7236)))</f>
        <v/>
      </c>
      <c r="L7236" s="111" t="str">
        <f>IF(H7236="","",IF($C$29="상세법",FPV(H7236,K7236),IF(H7236="EI",4,IF(H7236="EO",5.2,IF(H7236="EQ",3.9,IF(H7236="ILF",7.5,IF(H7236="EIF",5.4)))))))</f>
        <v/>
      </c>
      <c r="M7236" s="112" t="str">
        <f t="shared" si="116"/>
        <v/>
      </c>
      <c r="N7236" s="113"/>
    </row>
    <row r="7237" spans="2:14">
      <c r="B7237" s="105"/>
      <c r="C7237" s="106"/>
      <c r="D7237" s="107"/>
      <c r="E7237" s="65"/>
      <c r="F7237" s="64"/>
      <c r="G7237" s="64"/>
      <c r="H7237" s="64"/>
      <c r="I7237" s="70"/>
      <c r="J7237" s="70"/>
      <c r="K7237" s="110" t="str">
        <f>IF(H7237="","",IF($C$29="간이법","",FPR(H7237,I7237,J7237)))</f>
        <v/>
      </c>
      <c r="L7237" s="111" t="str">
        <f>IF(H7237="","",IF($C$29="상세법",FPV(H7237,K7237),IF(H7237="EI",4,IF(H7237="EO",5.2,IF(H7237="EQ",3.9,IF(H7237="ILF",7.5,IF(H7237="EIF",5.4)))))))</f>
        <v/>
      </c>
      <c r="M7237" s="112" t="str">
        <f t="shared" si="116"/>
        <v/>
      </c>
      <c r="N7237" s="113"/>
    </row>
    <row r="7238" spans="2:14">
      <c r="B7238" s="105"/>
      <c r="C7238" s="106"/>
      <c r="D7238" s="107"/>
      <c r="E7238" s="65"/>
      <c r="F7238" s="64"/>
      <c r="G7238" s="64"/>
      <c r="H7238" s="64"/>
      <c r="I7238" s="70"/>
      <c r="J7238" s="70"/>
      <c r="K7238" s="110" t="str">
        <f>IF(H7238="","",IF($C$29="간이법","",FPR(H7238,I7238,J7238)))</f>
        <v/>
      </c>
      <c r="L7238" s="111" t="str">
        <f>IF(H7238="","",IF($C$29="상세법",FPV(H7238,K7238),IF(H7238="EI",4,IF(H7238="EO",5.2,IF(H7238="EQ",3.9,IF(H7238="ILF",7.5,IF(H7238="EIF",5.4)))))))</f>
        <v/>
      </c>
      <c r="M7238" s="112" t="str">
        <f t="shared" si="116"/>
        <v/>
      </c>
      <c r="N7238" s="113"/>
    </row>
    <row r="7239" spans="2:14">
      <c r="B7239" s="105"/>
      <c r="C7239" s="106"/>
      <c r="D7239" s="107"/>
      <c r="E7239" s="65"/>
      <c r="F7239" s="64"/>
      <c r="G7239" s="64"/>
      <c r="H7239" s="64"/>
      <c r="I7239" s="70"/>
      <c r="J7239" s="70"/>
      <c r="K7239" s="110" t="str">
        <f>IF(H7239="","",IF($C$29="간이법","",FPR(H7239,I7239,J7239)))</f>
        <v/>
      </c>
      <c r="L7239" s="111" t="str">
        <f>IF(H7239="","",IF($C$29="상세법",FPV(H7239,K7239),IF(H7239="EI",4,IF(H7239="EO",5.2,IF(H7239="EQ",3.9,IF(H7239="ILF",7.5,IF(H7239="EIF",5.4)))))))</f>
        <v/>
      </c>
      <c r="M7239" s="112" t="str">
        <f t="shared" si="116"/>
        <v/>
      </c>
      <c r="N7239" s="113"/>
    </row>
    <row r="7240" spans="2:14">
      <c r="B7240" s="105"/>
      <c r="C7240" s="106"/>
      <c r="D7240" s="107"/>
      <c r="E7240" s="65"/>
      <c r="F7240" s="64"/>
      <c r="G7240" s="64"/>
      <c r="H7240" s="64"/>
      <c r="I7240" s="70"/>
      <c r="J7240" s="70"/>
      <c r="K7240" s="110" t="str">
        <f>IF(H7240="","",IF($C$29="간이법","",FPR(H7240,I7240,J7240)))</f>
        <v/>
      </c>
      <c r="L7240" s="111" t="str">
        <f>IF(H7240="","",IF($C$29="상세법",FPV(H7240,K7240),IF(H7240="EI",4,IF(H7240="EO",5.2,IF(H7240="EQ",3.9,IF(H7240="ILF",7.5,IF(H7240="EIF",5.4)))))))</f>
        <v/>
      </c>
      <c r="M7240" s="112" t="str">
        <f t="shared" si="116"/>
        <v/>
      </c>
      <c r="N7240" s="113"/>
    </row>
    <row r="7241" spans="2:14">
      <c r="B7241" s="105"/>
      <c r="C7241" s="106"/>
      <c r="D7241" s="107"/>
      <c r="E7241" s="65"/>
      <c r="F7241" s="64"/>
      <c r="G7241" s="64"/>
      <c r="H7241" s="64"/>
      <c r="I7241" s="70"/>
      <c r="J7241" s="70"/>
      <c r="K7241" s="110" t="str">
        <f>IF(H7241="","",IF($C$29="간이법","",FPR(H7241,I7241,J7241)))</f>
        <v/>
      </c>
      <c r="L7241" s="111" t="str">
        <f>IF(H7241="","",IF($C$29="상세법",FPV(H7241,K7241),IF(H7241="EI",4,IF(H7241="EO",5.2,IF(H7241="EQ",3.9,IF(H7241="ILF",7.5,IF(H7241="EIF",5.4)))))))</f>
        <v/>
      </c>
      <c r="M7241" s="112" t="str">
        <f t="shared" si="116"/>
        <v/>
      </c>
      <c r="N7241" s="113"/>
    </row>
    <row r="7242" spans="2:14">
      <c r="B7242" s="105"/>
      <c r="C7242" s="106"/>
      <c r="D7242" s="107"/>
      <c r="E7242" s="65"/>
      <c r="F7242" s="64"/>
      <c r="G7242" s="64"/>
      <c r="H7242" s="64"/>
      <c r="I7242" s="70"/>
      <c r="J7242" s="70"/>
      <c r="K7242" s="110" t="str">
        <f>IF(H7242="","",IF($C$29="간이법","",FPR(H7242,I7242,J7242)))</f>
        <v/>
      </c>
      <c r="L7242" s="111" t="str">
        <f>IF(H7242="","",IF($C$29="상세법",FPV(H7242,K7242),IF(H7242="EI",4,IF(H7242="EO",5.2,IF(H7242="EQ",3.9,IF(H7242="ILF",7.5,IF(H7242="EIF",5.4)))))))</f>
        <v/>
      </c>
      <c r="M7242" s="112" t="str">
        <f t="shared" si="116"/>
        <v/>
      </c>
      <c r="N7242" s="113"/>
    </row>
    <row r="7243" spans="2:14">
      <c r="B7243" s="105"/>
      <c r="C7243" s="106"/>
      <c r="D7243" s="107"/>
      <c r="E7243" s="65"/>
      <c r="F7243" s="64"/>
      <c r="G7243" s="64"/>
      <c r="H7243" s="64"/>
      <c r="I7243" s="70"/>
      <c r="J7243" s="70"/>
      <c r="K7243" s="110" t="str">
        <f>IF(H7243="","",IF($C$29="간이법","",FPR(H7243,I7243,J7243)))</f>
        <v/>
      </c>
      <c r="L7243" s="111" t="str">
        <f>IF(H7243="","",IF($C$29="상세법",FPV(H7243,K7243),IF(H7243="EI",4,IF(H7243="EO",5.2,IF(H7243="EQ",3.9,IF(H7243="ILF",7.5,IF(H7243="EIF",5.4)))))))</f>
        <v/>
      </c>
      <c r="M7243" s="112" t="str">
        <f t="shared" si="116"/>
        <v/>
      </c>
      <c r="N7243" s="113"/>
    </row>
    <row r="7244" spans="2:14">
      <c r="B7244" s="105"/>
      <c r="C7244" s="106"/>
      <c r="D7244" s="107"/>
      <c r="E7244" s="65"/>
      <c r="F7244" s="64"/>
      <c r="G7244" s="64"/>
      <c r="H7244" s="64"/>
      <c r="I7244" s="70"/>
      <c r="J7244" s="70"/>
      <c r="K7244" s="110" t="str">
        <f>IF(H7244="","",IF($C$29="간이법","",FPR(H7244,I7244,J7244)))</f>
        <v/>
      </c>
      <c r="L7244" s="111" t="str">
        <f>IF(H7244="","",IF($C$29="상세법",FPV(H7244,K7244),IF(H7244="EI",4,IF(H7244="EO",5.2,IF(H7244="EQ",3.9,IF(H7244="ILF",7.5,IF(H7244="EIF",5.4)))))))</f>
        <v/>
      </c>
      <c r="M7244" s="112" t="str">
        <f t="shared" si="116"/>
        <v/>
      </c>
      <c r="N7244" s="113"/>
    </row>
    <row r="7245" spans="2:14">
      <c r="B7245" s="105"/>
      <c r="C7245" s="106"/>
      <c r="D7245" s="107"/>
      <c r="E7245" s="65"/>
      <c r="F7245" s="64"/>
      <c r="G7245" s="64"/>
      <c r="H7245" s="64"/>
      <c r="I7245" s="70"/>
      <c r="J7245" s="70"/>
      <c r="K7245" s="110" t="str">
        <f>IF(H7245="","",IF($C$29="간이법","",FPR(H7245,I7245,J7245)))</f>
        <v/>
      </c>
      <c r="L7245" s="111" t="str">
        <f>IF(H7245="","",IF($C$29="상세법",FPV(H7245,K7245),IF(H7245="EI",4,IF(H7245="EO",5.2,IF(H7245="EQ",3.9,IF(H7245="ILF",7.5,IF(H7245="EIF",5.4)))))))</f>
        <v/>
      </c>
      <c r="M7245" s="112" t="str">
        <f t="shared" si="116"/>
        <v/>
      </c>
      <c r="N7245" s="113"/>
    </row>
    <row r="7246" spans="2:14">
      <c r="B7246" s="105"/>
      <c r="C7246" s="106"/>
      <c r="D7246" s="107"/>
      <c r="E7246" s="65"/>
      <c r="F7246" s="64"/>
      <c r="G7246" s="64"/>
      <c r="H7246" s="64"/>
      <c r="I7246" s="70"/>
      <c r="J7246" s="70"/>
      <c r="K7246" s="110" t="str">
        <f>IF(H7246="","",IF($C$29="간이법","",FPR(H7246,I7246,J7246)))</f>
        <v/>
      </c>
      <c r="L7246" s="111" t="str">
        <f>IF(H7246="","",IF($C$29="상세법",FPV(H7246,K7246),IF(H7246="EI",4,IF(H7246="EO",5.2,IF(H7246="EQ",3.9,IF(H7246="ILF",7.5,IF(H7246="EIF",5.4)))))))</f>
        <v/>
      </c>
      <c r="M7246" s="112" t="str">
        <f t="shared" si="116"/>
        <v/>
      </c>
      <c r="N7246" s="113"/>
    </row>
    <row r="7247" spans="2:14">
      <c r="B7247" s="105"/>
      <c r="C7247" s="106"/>
      <c r="D7247" s="107"/>
      <c r="E7247" s="65"/>
      <c r="F7247" s="64"/>
      <c r="G7247" s="64"/>
      <c r="H7247" s="64"/>
      <c r="I7247" s="70"/>
      <c r="J7247" s="70"/>
      <c r="K7247" s="110" t="str">
        <f>IF(H7247="","",IF($C$29="간이법","",FPR(H7247,I7247,J7247)))</f>
        <v/>
      </c>
      <c r="L7247" s="111" t="str">
        <f>IF(H7247="","",IF($C$29="상세법",FPV(H7247,K7247),IF(H7247="EI",4,IF(H7247="EO",5.2,IF(H7247="EQ",3.9,IF(H7247="ILF",7.5,IF(H7247="EIF",5.4)))))))</f>
        <v/>
      </c>
      <c r="M7247" s="112" t="str">
        <f t="shared" si="116"/>
        <v/>
      </c>
      <c r="N7247" s="113"/>
    </row>
    <row r="7248" spans="2:14">
      <c r="B7248" s="105"/>
      <c r="C7248" s="106"/>
      <c r="D7248" s="107"/>
      <c r="E7248" s="65"/>
      <c r="F7248" s="64"/>
      <c r="G7248" s="64"/>
      <c r="H7248" s="64"/>
      <c r="I7248" s="70"/>
      <c r="J7248" s="70"/>
      <c r="K7248" s="110" t="str">
        <f>IF(H7248="","",IF($C$29="간이법","",FPR(H7248,I7248,J7248)))</f>
        <v/>
      </c>
      <c r="L7248" s="111" t="str">
        <f>IF(H7248="","",IF($C$29="상세법",FPV(H7248,K7248),IF(H7248="EI",4,IF(H7248="EO",5.2,IF(H7248="EQ",3.9,IF(H7248="ILF",7.5,IF(H7248="EIF",5.4)))))))</f>
        <v/>
      </c>
      <c r="M7248" s="112" t="str">
        <f t="shared" si="116"/>
        <v/>
      </c>
      <c r="N7248" s="113"/>
    </row>
    <row r="7249" spans="2:14">
      <c r="B7249" s="105"/>
      <c r="C7249" s="106"/>
      <c r="D7249" s="107"/>
      <c r="E7249" s="65"/>
      <c r="F7249" s="64"/>
      <c r="G7249" s="64"/>
      <c r="H7249" s="64"/>
      <c r="I7249" s="70"/>
      <c r="J7249" s="70"/>
      <c r="K7249" s="110" t="str">
        <f>IF(H7249="","",IF($C$29="간이법","",FPR(H7249,I7249,J7249)))</f>
        <v/>
      </c>
      <c r="L7249" s="111" t="str">
        <f>IF(H7249="","",IF($C$29="상세법",FPV(H7249,K7249),IF(H7249="EI",4,IF(H7249="EO",5.2,IF(H7249="EQ",3.9,IF(H7249="ILF",7.5,IF(H7249="EIF",5.4)))))))</f>
        <v/>
      </c>
      <c r="M7249" s="112" t="str">
        <f t="shared" si="116"/>
        <v/>
      </c>
      <c r="N7249" s="113"/>
    </row>
    <row r="7250" spans="2:14">
      <c r="B7250" s="105"/>
      <c r="C7250" s="106"/>
      <c r="D7250" s="107"/>
      <c r="E7250" s="65"/>
      <c r="F7250" s="64"/>
      <c r="G7250" s="64"/>
      <c r="H7250" s="64"/>
      <c r="I7250" s="70"/>
      <c r="J7250" s="70"/>
      <c r="K7250" s="110" t="str">
        <f>IF(H7250="","",IF($C$29="간이법","",FPR(H7250,I7250,J7250)))</f>
        <v/>
      </c>
      <c r="L7250" s="111" t="str">
        <f>IF(H7250="","",IF($C$29="상세법",FPV(H7250,K7250),IF(H7250="EI",4,IF(H7250="EO",5.2,IF(H7250="EQ",3.9,IF(H7250="ILF",7.5,IF(H7250="EIF",5.4)))))))</f>
        <v/>
      </c>
      <c r="M7250" s="112" t="str">
        <f t="shared" si="116"/>
        <v/>
      </c>
      <c r="N7250" s="113"/>
    </row>
    <row r="7251" spans="2:14">
      <c r="B7251" s="105"/>
      <c r="C7251" s="106"/>
      <c r="D7251" s="107"/>
      <c r="E7251" s="65"/>
      <c r="F7251" s="64"/>
      <c r="G7251" s="64"/>
      <c r="H7251" s="64"/>
      <c r="I7251" s="70"/>
      <c r="J7251" s="70"/>
      <c r="K7251" s="110" t="str">
        <f>IF(H7251="","",IF($C$29="간이법","",FPR(H7251,I7251,J7251)))</f>
        <v/>
      </c>
      <c r="L7251" s="111" t="str">
        <f>IF(H7251="","",IF($C$29="상세법",FPV(H7251,K7251),IF(H7251="EI",4,IF(H7251="EO",5.2,IF(H7251="EQ",3.9,IF(H7251="ILF",7.5,IF(H7251="EIF",5.4)))))))</f>
        <v/>
      </c>
      <c r="M7251" s="112" t="str">
        <f t="shared" si="116"/>
        <v/>
      </c>
      <c r="N7251" s="113"/>
    </row>
    <row r="7252" spans="2:14">
      <c r="B7252" s="105"/>
      <c r="C7252" s="106"/>
      <c r="D7252" s="107"/>
      <c r="E7252" s="65"/>
      <c r="F7252" s="64"/>
      <c r="G7252" s="64"/>
      <c r="H7252" s="64"/>
      <c r="I7252" s="70"/>
      <c r="J7252" s="70"/>
      <c r="K7252" s="110" t="str">
        <f>IF(H7252="","",IF($C$29="간이법","",FPR(H7252,I7252,J7252)))</f>
        <v/>
      </c>
      <c r="L7252" s="111" t="str">
        <f>IF(H7252="","",IF($C$29="상세법",FPV(H7252,K7252),IF(H7252="EI",4,IF(H7252="EO",5.2,IF(H7252="EQ",3.9,IF(H7252="ILF",7.5,IF(H7252="EIF",5.4)))))))</f>
        <v/>
      </c>
      <c r="M7252" s="112" t="str">
        <f t="shared" si="116"/>
        <v/>
      </c>
      <c r="N7252" s="113"/>
    </row>
    <row r="7253" spans="2:14">
      <c r="B7253" s="105"/>
      <c r="C7253" s="106"/>
      <c r="D7253" s="107"/>
      <c r="E7253" s="65"/>
      <c r="F7253" s="64"/>
      <c r="G7253" s="64"/>
      <c r="H7253" s="64"/>
      <c r="I7253" s="70"/>
      <c r="J7253" s="70"/>
      <c r="K7253" s="110" t="str">
        <f>IF(H7253="","",IF($C$29="간이법","",FPR(H7253,I7253,J7253)))</f>
        <v/>
      </c>
      <c r="L7253" s="111" t="str">
        <f>IF(H7253="","",IF($C$29="상세법",FPV(H7253,K7253),IF(H7253="EI",4,IF(H7253="EO",5.2,IF(H7253="EQ",3.9,IF(H7253="ILF",7.5,IF(H7253="EIF",5.4)))))))</f>
        <v/>
      </c>
      <c r="M7253" s="112" t="str">
        <f t="shared" si="116"/>
        <v/>
      </c>
      <c r="N7253" s="113"/>
    </row>
    <row r="7254" spans="2:14">
      <c r="B7254" s="105"/>
      <c r="C7254" s="106"/>
      <c r="D7254" s="107"/>
      <c r="E7254" s="65"/>
      <c r="F7254" s="64"/>
      <c r="G7254" s="64"/>
      <c r="H7254" s="64"/>
      <c r="I7254" s="70"/>
      <c r="J7254" s="70"/>
      <c r="K7254" s="110" t="str">
        <f>IF(H7254="","",IF($C$29="간이법","",FPR(H7254,I7254,J7254)))</f>
        <v/>
      </c>
      <c r="L7254" s="111" t="str">
        <f>IF(H7254="","",IF($C$29="상세법",FPV(H7254,K7254),IF(H7254="EI",4,IF(H7254="EO",5.2,IF(H7254="EQ",3.9,IF(H7254="ILF",7.5,IF(H7254="EIF",5.4)))))))</f>
        <v/>
      </c>
      <c r="M7254" s="112" t="str">
        <f t="shared" si="116"/>
        <v/>
      </c>
      <c r="N7254" s="113"/>
    </row>
    <row r="7255" spans="2:14">
      <c r="B7255" s="105"/>
      <c r="C7255" s="106"/>
      <c r="D7255" s="107"/>
      <c r="E7255" s="65"/>
      <c r="F7255" s="64"/>
      <c r="G7255" s="64"/>
      <c r="H7255" s="64"/>
      <c r="I7255" s="70"/>
      <c r="J7255" s="70"/>
      <c r="K7255" s="110" t="str">
        <f>IF(H7255="","",IF($C$29="간이법","",FPR(H7255,I7255,J7255)))</f>
        <v/>
      </c>
      <c r="L7255" s="111" t="str">
        <f>IF(H7255="","",IF($C$29="상세법",FPV(H7255,K7255),IF(H7255="EI",4,IF(H7255="EO",5.2,IF(H7255="EQ",3.9,IF(H7255="ILF",7.5,IF(H7255="EIF",5.4)))))))</f>
        <v/>
      </c>
      <c r="M7255" s="112" t="str">
        <f t="shared" si="116"/>
        <v/>
      </c>
      <c r="N7255" s="113"/>
    </row>
    <row r="7256" spans="2:14">
      <c r="B7256" s="105"/>
      <c r="C7256" s="106"/>
      <c r="D7256" s="107"/>
      <c r="E7256" s="65"/>
      <c r="F7256" s="64"/>
      <c r="G7256" s="64"/>
      <c r="H7256" s="64"/>
      <c r="I7256" s="70"/>
      <c r="J7256" s="70"/>
      <c r="K7256" s="110" t="str">
        <f>IF(H7256="","",IF($C$29="간이법","",FPR(H7256,I7256,J7256)))</f>
        <v/>
      </c>
      <c r="L7256" s="111" t="str">
        <f>IF(H7256="","",IF($C$29="상세법",FPV(H7256,K7256),IF(H7256="EI",4,IF(H7256="EO",5.2,IF(H7256="EQ",3.9,IF(H7256="ILF",7.5,IF(H7256="EIF",5.4)))))))</f>
        <v/>
      </c>
      <c r="M7256" s="112" t="str">
        <f t="shared" si="116"/>
        <v/>
      </c>
      <c r="N7256" s="113"/>
    </row>
    <row r="7257" spans="2:14">
      <c r="B7257" s="105"/>
      <c r="C7257" s="106"/>
      <c r="D7257" s="107"/>
      <c r="E7257" s="65"/>
      <c r="F7257" s="64"/>
      <c r="G7257" s="64"/>
      <c r="H7257" s="64"/>
      <c r="I7257" s="70"/>
      <c r="J7257" s="70"/>
      <c r="K7257" s="110" t="str">
        <f>IF(H7257="","",IF($C$29="간이법","",FPR(H7257,I7257,J7257)))</f>
        <v/>
      </c>
      <c r="L7257" s="111" t="str">
        <f>IF(H7257="","",IF($C$29="상세법",FPV(H7257,K7257),IF(H7257="EI",4,IF(H7257="EO",5.2,IF(H7257="EQ",3.9,IF(H7257="ILF",7.5,IF(H7257="EIF",5.4)))))))</f>
        <v/>
      </c>
      <c r="M7257" s="112" t="str">
        <f t="shared" si="116"/>
        <v/>
      </c>
      <c r="N7257" s="113"/>
    </row>
    <row r="7258" spans="2:14">
      <c r="B7258" s="105"/>
      <c r="C7258" s="106"/>
      <c r="D7258" s="107"/>
      <c r="E7258" s="65"/>
      <c r="F7258" s="64"/>
      <c r="G7258" s="64"/>
      <c r="H7258" s="64"/>
      <c r="I7258" s="70"/>
      <c r="J7258" s="70"/>
      <c r="K7258" s="110" t="str">
        <f>IF(H7258="","",IF($C$29="간이법","",FPR(H7258,I7258,J7258)))</f>
        <v/>
      </c>
      <c r="L7258" s="111" t="str">
        <f>IF(H7258="","",IF($C$29="상세법",FPV(H7258,K7258),IF(H7258="EI",4,IF(H7258="EO",5.2,IF(H7258="EQ",3.9,IF(H7258="ILF",7.5,IF(H7258="EIF",5.4)))))))</f>
        <v/>
      </c>
      <c r="M7258" s="112" t="str">
        <f t="shared" si="116"/>
        <v/>
      </c>
      <c r="N7258" s="113"/>
    </row>
    <row r="7259" spans="2:14">
      <c r="B7259" s="105"/>
      <c r="C7259" s="106"/>
      <c r="D7259" s="107"/>
      <c r="E7259" s="65"/>
      <c r="F7259" s="64"/>
      <c r="G7259" s="64"/>
      <c r="H7259" s="64"/>
      <c r="I7259" s="70"/>
      <c r="J7259" s="70"/>
      <c r="K7259" s="110" t="str">
        <f>IF(H7259="","",IF($C$29="간이법","",FPR(H7259,I7259,J7259)))</f>
        <v/>
      </c>
      <c r="L7259" s="111" t="str">
        <f>IF(H7259="","",IF($C$29="상세법",FPV(H7259,K7259),IF(H7259="EI",4,IF(H7259="EO",5.2,IF(H7259="EQ",3.9,IF(H7259="ILF",7.5,IF(H7259="EIF",5.4)))))))</f>
        <v/>
      </c>
      <c r="M7259" s="112" t="str">
        <f t="shared" si="116"/>
        <v/>
      </c>
      <c r="N7259" s="113"/>
    </row>
    <row r="7260" spans="2:14">
      <c r="B7260" s="105"/>
      <c r="C7260" s="106"/>
      <c r="D7260" s="107"/>
      <c r="E7260" s="65"/>
      <c r="F7260" s="64"/>
      <c r="G7260" s="64"/>
      <c r="H7260" s="64"/>
      <c r="I7260" s="70"/>
      <c r="J7260" s="70"/>
      <c r="K7260" s="110" t="str">
        <f>IF(H7260="","",IF($C$29="간이법","",FPR(H7260,I7260,J7260)))</f>
        <v/>
      </c>
      <c r="L7260" s="111" t="str">
        <f>IF(H7260="","",IF($C$29="상세법",FPV(H7260,K7260),IF(H7260="EI",4,IF(H7260="EO",5.2,IF(H7260="EQ",3.9,IF(H7260="ILF",7.5,IF(H7260="EIF",5.4)))))))</f>
        <v/>
      </c>
      <c r="M7260" s="112" t="str">
        <f t="shared" si="116"/>
        <v/>
      </c>
      <c r="N7260" s="113"/>
    </row>
    <row r="7261" spans="2:14">
      <c r="B7261" s="105"/>
      <c r="C7261" s="106"/>
      <c r="D7261" s="107"/>
      <c r="E7261" s="65"/>
      <c r="F7261" s="64"/>
      <c r="G7261" s="64"/>
      <c r="H7261" s="64"/>
      <c r="I7261" s="70"/>
      <c r="J7261" s="70"/>
      <c r="K7261" s="110" t="str">
        <f>IF(H7261="","",IF($C$29="간이법","",FPR(H7261,I7261,J7261)))</f>
        <v/>
      </c>
      <c r="L7261" s="111" t="str">
        <f>IF(H7261="","",IF($C$29="상세법",FPV(H7261,K7261),IF(H7261="EI",4,IF(H7261="EO",5.2,IF(H7261="EQ",3.9,IF(H7261="ILF",7.5,IF(H7261="EIF",5.4)))))))</f>
        <v/>
      </c>
      <c r="M7261" s="112" t="str">
        <f t="shared" si="116"/>
        <v/>
      </c>
      <c r="N7261" s="113"/>
    </row>
    <row r="7262" spans="2:14">
      <c r="B7262" s="105"/>
      <c r="C7262" s="106"/>
      <c r="D7262" s="107"/>
      <c r="E7262" s="65"/>
      <c r="F7262" s="64"/>
      <c r="G7262" s="64"/>
      <c r="H7262" s="64"/>
      <c r="I7262" s="70"/>
      <c r="J7262" s="70"/>
      <c r="K7262" s="110" t="str">
        <f>IF(H7262="","",IF($C$29="간이법","",FPR(H7262,I7262,J7262)))</f>
        <v/>
      </c>
      <c r="L7262" s="111" t="str">
        <f>IF(H7262="","",IF($C$29="상세법",FPV(H7262,K7262),IF(H7262="EI",4,IF(H7262="EO",5.2,IF(H7262="EQ",3.9,IF(H7262="ILF",7.5,IF(H7262="EIF",5.4)))))))</f>
        <v/>
      </c>
      <c r="M7262" s="112" t="str">
        <f t="shared" si="116"/>
        <v/>
      </c>
      <c r="N7262" s="113"/>
    </row>
    <row r="7263" spans="2:14">
      <c r="B7263" s="105"/>
      <c r="C7263" s="106"/>
      <c r="D7263" s="107"/>
      <c r="E7263" s="65"/>
      <c r="F7263" s="64"/>
      <c r="G7263" s="64"/>
      <c r="H7263" s="64"/>
      <c r="I7263" s="70"/>
      <c r="J7263" s="70"/>
      <c r="K7263" s="110" t="str">
        <f>IF(H7263="","",IF($C$29="간이법","",FPR(H7263,I7263,J7263)))</f>
        <v/>
      </c>
      <c r="L7263" s="111" t="str">
        <f>IF(H7263="","",IF($C$29="상세법",FPV(H7263,K7263),IF(H7263="EI",4,IF(H7263="EO",5.2,IF(H7263="EQ",3.9,IF(H7263="ILF",7.5,IF(H7263="EIF",5.4)))))))</f>
        <v/>
      </c>
      <c r="M7263" s="112" t="str">
        <f t="shared" si="116"/>
        <v/>
      </c>
      <c r="N7263" s="113"/>
    </row>
    <row r="7264" spans="2:14">
      <c r="B7264" s="105"/>
      <c r="C7264" s="106"/>
      <c r="D7264" s="107"/>
      <c r="E7264" s="65"/>
      <c r="F7264" s="64"/>
      <c r="G7264" s="64"/>
      <c r="H7264" s="64"/>
      <c r="I7264" s="70"/>
      <c r="J7264" s="70"/>
      <c r="K7264" s="110" t="str">
        <f>IF(H7264="","",IF($C$29="간이법","",FPR(H7264,I7264,J7264)))</f>
        <v/>
      </c>
      <c r="L7264" s="111" t="str">
        <f>IF(H7264="","",IF($C$29="상세법",FPV(H7264,K7264),IF(H7264="EI",4,IF(H7264="EO",5.2,IF(H7264="EQ",3.9,IF(H7264="ILF",7.5,IF(H7264="EIF",5.4)))))))</f>
        <v/>
      </c>
      <c r="M7264" s="112" t="str">
        <f t="shared" si="116"/>
        <v/>
      </c>
      <c r="N7264" s="113"/>
    </row>
    <row r="7265" spans="2:14">
      <c r="B7265" s="105"/>
      <c r="C7265" s="106"/>
      <c r="D7265" s="107"/>
      <c r="E7265" s="65"/>
      <c r="F7265" s="64"/>
      <c r="G7265" s="64"/>
      <c r="H7265" s="64"/>
      <c r="I7265" s="70"/>
      <c r="J7265" s="70"/>
      <c r="K7265" s="110" t="str">
        <f>IF(H7265="","",IF($C$29="간이법","",FPR(H7265,I7265,J7265)))</f>
        <v/>
      </c>
      <c r="L7265" s="111" t="str">
        <f>IF(H7265="","",IF($C$29="상세법",FPV(H7265,K7265),IF(H7265="EI",4,IF(H7265="EO",5.2,IF(H7265="EQ",3.9,IF(H7265="ILF",7.5,IF(H7265="EIF",5.4)))))))</f>
        <v/>
      </c>
      <c r="M7265" s="112" t="str">
        <f t="shared" si="116"/>
        <v/>
      </c>
      <c r="N7265" s="113"/>
    </row>
    <row r="7266" spans="2:14">
      <c r="B7266" s="105"/>
      <c r="C7266" s="106"/>
      <c r="D7266" s="107"/>
      <c r="E7266" s="65"/>
      <c r="F7266" s="64"/>
      <c r="G7266" s="64"/>
      <c r="H7266" s="64"/>
      <c r="I7266" s="70"/>
      <c r="J7266" s="70"/>
      <c r="K7266" s="110" t="str">
        <f>IF(H7266="","",IF($C$29="간이법","",FPR(H7266,I7266,J7266)))</f>
        <v/>
      </c>
      <c r="L7266" s="111" t="str">
        <f>IF(H7266="","",IF($C$29="상세법",FPV(H7266,K7266),IF(H7266="EI",4,IF(H7266="EO",5.2,IF(H7266="EQ",3.9,IF(H7266="ILF",7.5,IF(H7266="EIF",5.4)))))))</f>
        <v/>
      </c>
      <c r="M7266" s="112" t="str">
        <f t="shared" si="116"/>
        <v/>
      </c>
      <c r="N7266" s="113"/>
    </row>
    <row r="7267" spans="2:14">
      <c r="B7267" s="105"/>
      <c r="C7267" s="106"/>
      <c r="D7267" s="107"/>
      <c r="E7267" s="65"/>
      <c r="F7267" s="64"/>
      <c r="G7267" s="64"/>
      <c r="H7267" s="64"/>
      <c r="I7267" s="70"/>
      <c r="J7267" s="70"/>
      <c r="K7267" s="110" t="str">
        <f>IF(H7267="","",IF($C$29="간이법","",FPR(H7267,I7267,J7267)))</f>
        <v/>
      </c>
      <c r="L7267" s="111" t="str">
        <f>IF(H7267="","",IF($C$29="상세법",FPV(H7267,K7267),IF(H7267="EI",4,IF(H7267="EO",5.2,IF(H7267="EQ",3.9,IF(H7267="ILF",7.5,IF(H7267="EIF",5.4)))))))</f>
        <v/>
      </c>
      <c r="M7267" s="112" t="str">
        <f t="shared" si="116"/>
        <v/>
      </c>
      <c r="N7267" s="113"/>
    </row>
    <row r="7268" spans="2:14">
      <c r="B7268" s="105"/>
      <c r="C7268" s="106"/>
      <c r="D7268" s="107"/>
      <c r="E7268" s="65"/>
      <c r="F7268" s="64"/>
      <c r="G7268" s="64"/>
      <c r="H7268" s="64"/>
      <c r="I7268" s="70"/>
      <c r="J7268" s="70"/>
      <c r="K7268" s="110" t="str">
        <f>IF(H7268="","",IF($C$29="간이법","",FPR(H7268,I7268,J7268)))</f>
        <v/>
      </c>
      <c r="L7268" s="111" t="str">
        <f>IF(H7268="","",IF($C$29="상세법",FPV(H7268,K7268),IF(H7268="EI",4,IF(H7268="EO",5.2,IF(H7268="EQ",3.9,IF(H7268="ILF",7.5,IF(H7268="EIF",5.4)))))))</f>
        <v/>
      </c>
      <c r="M7268" s="112" t="str">
        <f t="shared" si="116"/>
        <v/>
      </c>
      <c r="N7268" s="113"/>
    </row>
    <row r="7269" spans="2:14">
      <c r="B7269" s="105"/>
      <c r="C7269" s="106"/>
      <c r="D7269" s="107"/>
      <c r="E7269" s="65"/>
      <c r="F7269" s="64"/>
      <c r="G7269" s="64"/>
      <c r="H7269" s="64"/>
      <c r="I7269" s="70"/>
      <c r="J7269" s="70"/>
      <c r="K7269" s="110" t="str">
        <f>IF(H7269="","",IF($C$29="간이법","",FPR(H7269,I7269,J7269)))</f>
        <v/>
      </c>
      <c r="L7269" s="111" t="str">
        <f>IF(H7269="","",IF($C$29="상세법",FPV(H7269,K7269),IF(H7269="EI",4,IF(H7269="EO",5.2,IF(H7269="EQ",3.9,IF(H7269="ILF",7.5,IF(H7269="EIF",5.4)))))))</f>
        <v/>
      </c>
      <c r="M7269" s="112" t="str">
        <f t="shared" si="116"/>
        <v/>
      </c>
      <c r="N7269" s="113"/>
    </row>
    <row r="7270" spans="2:14">
      <c r="B7270" s="105"/>
      <c r="C7270" s="106"/>
      <c r="D7270" s="107"/>
      <c r="E7270" s="65"/>
      <c r="F7270" s="64"/>
      <c r="G7270" s="64"/>
      <c r="H7270" s="64"/>
      <c r="I7270" s="70"/>
      <c r="J7270" s="70"/>
      <c r="K7270" s="110" t="str">
        <f>IF(H7270="","",IF($C$29="간이법","",FPR(H7270,I7270,J7270)))</f>
        <v/>
      </c>
      <c r="L7270" s="111" t="str">
        <f>IF(H7270="","",IF($C$29="상세법",FPV(H7270,K7270),IF(H7270="EI",4,IF(H7270="EO",5.2,IF(H7270="EQ",3.9,IF(H7270="ILF",7.5,IF(H7270="EIF",5.4)))))))</f>
        <v/>
      </c>
      <c r="M7270" s="112" t="str">
        <f t="shared" si="116"/>
        <v/>
      </c>
      <c r="N7270" s="113"/>
    </row>
    <row r="7271" spans="2:14">
      <c r="B7271" s="105"/>
      <c r="C7271" s="106"/>
      <c r="D7271" s="107"/>
      <c r="E7271" s="65"/>
      <c r="F7271" s="64"/>
      <c r="G7271" s="64"/>
      <c r="H7271" s="64"/>
      <c r="I7271" s="70"/>
      <c r="J7271" s="70"/>
      <c r="K7271" s="110" t="str">
        <f>IF(H7271="","",IF($C$29="간이법","",FPR(H7271,I7271,J7271)))</f>
        <v/>
      </c>
      <c r="L7271" s="111" t="str">
        <f>IF(H7271="","",IF($C$29="상세법",FPV(H7271,K7271),IF(H7271="EI",4,IF(H7271="EO",5.2,IF(H7271="EQ",3.9,IF(H7271="ILF",7.5,IF(H7271="EIF",5.4)))))))</f>
        <v/>
      </c>
      <c r="M7271" s="112" t="str">
        <f t="shared" si="116"/>
        <v/>
      </c>
      <c r="N7271" s="113"/>
    </row>
    <row r="7272" spans="2:14">
      <c r="B7272" s="105"/>
      <c r="C7272" s="106"/>
      <c r="D7272" s="107"/>
      <c r="E7272" s="65"/>
      <c r="F7272" s="64"/>
      <c r="G7272" s="64"/>
      <c r="H7272" s="64"/>
      <c r="I7272" s="70"/>
      <c r="J7272" s="70"/>
      <c r="K7272" s="110" t="str">
        <f>IF(H7272="","",IF($C$29="간이법","",FPR(H7272,I7272,J7272)))</f>
        <v/>
      </c>
      <c r="L7272" s="111" t="str">
        <f>IF(H7272="","",IF($C$29="상세법",FPV(H7272,K7272),IF(H7272="EI",4,IF(H7272="EO",5.2,IF(H7272="EQ",3.9,IF(H7272="ILF",7.5,IF(H7272="EIF",5.4)))))))</f>
        <v/>
      </c>
      <c r="M7272" s="112" t="str">
        <f t="shared" si="116"/>
        <v/>
      </c>
      <c r="N7272" s="113"/>
    </row>
    <row r="7273" spans="2:14">
      <c r="B7273" s="105"/>
      <c r="C7273" s="106"/>
      <c r="D7273" s="107"/>
      <c r="E7273" s="65"/>
      <c r="F7273" s="64"/>
      <c r="G7273" s="64"/>
      <c r="H7273" s="64"/>
      <c r="I7273" s="70"/>
      <c r="J7273" s="70"/>
      <c r="K7273" s="110" t="str">
        <f>IF(H7273="","",IF($C$29="간이법","",FPR(H7273,I7273,J7273)))</f>
        <v/>
      </c>
      <c r="L7273" s="111" t="str">
        <f>IF(H7273="","",IF($C$29="상세법",FPV(H7273,K7273),IF(H7273="EI",4,IF(H7273="EO",5.2,IF(H7273="EQ",3.9,IF(H7273="ILF",7.5,IF(H7273="EIF",5.4)))))))</f>
        <v/>
      </c>
      <c r="M7273" s="112" t="str">
        <f t="shared" si="116"/>
        <v/>
      </c>
      <c r="N7273" s="113"/>
    </row>
    <row r="7274" spans="2:14">
      <c r="B7274" s="105"/>
      <c r="C7274" s="106"/>
      <c r="D7274" s="107"/>
      <c r="E7274" s="65"/>
      <c r="F7274" s="64"/>
      <c r="G7274" s="64"/>
      <c r="H7274" s="64"/>
      <c r="I7274" s="70"/>
      <c r="J7274" s="70"/>
      <c r="K7274" s="110" t="str">
        <f>IF(H7274="","",IF($C$29="간이법","",FPR(H7274,I7274,J7274)))</f>
        <v/>
      </c>
      <c r="L7274" s="111" t="str">
        <f>IF(H7274="","",IF($C$29="상세법",FPV(H7274,K7274),IF(H7274="EI",4,IF(H7274="EO",5.2,IF(H7274="EQ",3.9,IF(H7274="ILF",7.5,IF(H7274="EIF",5.4)))))))</f>
        <v/>
      </c>
      <c r="M7274" s="112" t="str">
        <f t="shared" si="116"/>
        <v/>
      </c>
      <c r="N7274" s="113"/>
    </row>
    <row r="7275" spans="2:14">
      <c r="B7275" s="105"/>
      <c r="C7275" s="106"/>
      <c r="D7275" s="107"/>
      <c r="E7275" s="65"/>
      <c r="F7275" s="64"/>
      <c r="G7275" s="64"/>
      <c r="H7275" s="64"/>
      <c r="I7275" s="70"/>
      <c r="J7275" s="70"/>
      <c r="K7275" s="110" t="str">
        <f>IF(H7275="","",IF($C$29="간이법","",FPR(H7275,I7275,J7275)))</f>
        <v/>
      </c>
      <c r="L7275" s="111" t="str">
        <f>IF(H7275="","",IF($C$29="상세법",FPV(H7275,K7275),IF(H7275="EI",4,IF(H7275="EO",5.2,IF(H7275="EQ",3.9,IF(H7275="ILF",7.5,IF(H7275="EIF",5.4)))))))</f>
        <v/>
      </c>
      <c r="M7275" s="112" t="str">
        <f t="shared" si="116"/>
        <v/>
      </c>
      <c r="N7275" s="113"/>
    </row>
    <row r="7276" spans="2:14">
      <c r="B7276" s="105"/>
      <c r="C7276" s="106"/>
      <c r="D7276" s="107"/>
      <c r="E7276" s="65"/>
      <c r="F7276" s="64"/>
      <c r="G7276" s="64"/>
      <c r="H7276" s="64"/>
      <c r="I7276" s="70"/>
      <c r="J7276" s="70"/>
      <c r="K7276" s="110" t="str">
        <f>IF(H7276="","",IF($C$29="간이법","",FPR(H7276,I7276,J7276)))</f>
        <v/>
      </c>
      <c r="L7276" s="111" t="str">
        <f>IF(H7276="","",IF($C$29="상세법",FPV(H7276,K7276),IF(H7276="EI",4,IF(H7276="EO",5.2,IF(H7276="EQ",3.9,IF(H7276="ILF",7.5,IF(H7276="EIF",5.4)))))))</f>
        <v/>
      </c>
      <c r="M7276" s="112" t="str">
        <f t="shared" si="116"/>
        <v/>
      </c>
      <c r="N7276" s="113"/>
    </row>
    <row r="7277" spans="2:14">
      <c r="B7277" s="105"/>
      <c r="C7277" s="106"/>
      <c r="D7277" s="107"/>
      <c r="E7277" s="65"/>
      <c r="F7277" s="64"/>
      <c r="G7277" s="64"/>
      <c r="H7277" s="64"/>
      <c r="I7277" s="70"/>
      <c r="J7277" s="70"/>
      <c r="K7277" s="110" t="str">
        <f>IF(H7277="","",IF($C$29="간이법","",FPR(H7277,I7277,J7277)))</f>
        <v/>
      </c>
      <c r="L7277" s="111" t="str">
        <f>IF(H7277="","",IF($C$29="상세법",FPV(H7277,K7277),IF(H7277="EI",4,IF(H7277="EO",5.2,IF(H7277="EQ",3.9,IF(H7277="ILF",7.5,IF(H7277="EIF",5.4)))))))</f>
        <v/>
      </c>
      <c r="M7277" s="112" t="str">
        <f t="shared" si="116"/>
        <v/>
      </c>
      <c r="N7277" s="113"/>
    </row>
    <row r="7278" spans="2:14">
      <c r="B7278" s="105"/>
      <c r="C7278" s="106"/>
      <c r="D7278" s="107"/>
      <c r="E7278" s="65"/>
      <c r="F7278" s="64"/>
      <c r="G7278" s="64"/>
      <c r="H7278" s="64"/>
      <c r="I7278" s="70"/>
      <c r="J7278" s="70"/>
      <c r="K7278" s="110" t="str">
        <f>IF(H7278="","",IF($C$29="간이법","",FPR(H7278,I7278,J7278)))</f>
        <v/>
      </c>
      <c r="L7278" s="111" t="str">
        <f>IF(H7278="","",IF($C$29="상세법",FPV(H7278,K7278),IF(H7278="EI",4,IF(H7278="EO",5.2,IF(H7278="EQ",3.9,IF(H7278="ILF",7.5,IF(H7278="EIF",5.4)))))))</f>
        <v/>
      </c>
      <c r="M7278" s="112" t="str">
        <f t="shared" si="116"/>
        <v/>
      </c>
      <c r="N7278" s="113"/>
    </row>
    <row r="7279" spans="2:14">
      <c r="B7279" s="105"/>
      <c r="C7279" s="106"/>
      <c r="D7279" s="107"/>
      <c r="E7279" s="65"/>
      <c r="F7279" s="64"/>
      <c r="G7279" s="64"/>
      <c r="H7279" s="64"/>
      <c r="I7279" s="70"/>
      <c r="J7279" s="70"/>
      <c r="K7279" s="110" t="str">
        <f>IF(H7279="","",IF($C$29="간이법","",FPR(H7279,I7279,J7279)))</f>
        <v/>
      </c>
      <c r="L7279" s="111" t="str">
        <f>IF(H7279="","",IF($C$29="상세법",FPV(H7279,K7279),IF(H7279="EI",4,IF(H7279="EO",5.2,IF(H7279="EQ",3.9,IF(H7279="ILF",7.5,IF(H7279="EIF",5.4)))))))</f>
        <v/>
      </c>
      <c r="M7279" s="112" t="str">
        <f t="shared" si="116"/>
        <v/>
      </c>
      <c r="N7279" s="113"/>
    </row>
    <row r="7280" spans="2:14">
      <c r="B7280" s="105"/>
      <c r="C7280" s="106"/>
      <c r="D7280" s="107"/>
      <c r="E7280" s="65"/>
      <c r="F7280" s="64"/>
      <c r="G7280" s="64"/>
      <c r="H7280" s="64"/>
      <c r="I7280" s="70"/>
      <c r="J7280" s="70"/>
      <c r="K7280" s="110" t="str">
        <f>IF(H7280="","",IF($C$29="간이법","",FPR(H7280,I7280,J7280)))</f>
        <v/>
      </c>
      <c r="L7280" s="111" t="str">
        <f>IF(H7280="","",IF($C$29="상세법",FPV(H7280,K7280),IF(H7280="EI",4,IF(H7280="EO",5.2,IF(H7280="EQ",3.9,IF(H7280="ILF",7.5,IF(H7280="EIF",5.4)))))))</f>
        <v/>
      </c>
      <c r="M7280" s="112" t="str">
        <f t="shared" si="116"/>
        <v/>
      </c>
      <c r="N7280" s="113"/>
    </row>
    <row r="7281" spans="2:14">
      <c r="B7281" s="105"/>
      <c r="C7281" s="106"/>
      <c r="D7281" s="107"/>
      <c r="E7281" s="65"/>
      <c r="F7281" s="64"/>
      <c r="G7281" s="64"/>
      <c r="H7281" s="64"/>
      <c r="I7281" s="70"/>
      <c r="J7281" s="70"/>
      <c r="K7281" s="110" t="str">
        <f>IF(H7281="","",IF($C$29="간이법","",FPR(H7281,I7281,J7281)))</f>
        <v/>
      </c>
      <c r="L7281" s="111" t="str">
        <f>IF(H7281="","",IF($C$29="상세법",FPV(H7281,K7281),IF(H7281="EI",4,IF(H7281="EO",5.2,IF(H7281="EQ",3.9,IF(H7281="ILF",7.5,IF(H7281="EIF",5.4)))))))</f>
        <v/>
      </c>
      <c r="M7281" s="112" t="str">
        <f t="shared" si="116"/>
        <v/>
      </c>
      <c r="N7281" s="113"/>
    </row>
    <row r="7282" spans="2:14">
      <c r="B7282" s="105"/>
      <c r="C7282" s="106"/>
      <c r="D7282" s="107"/>
      <c r="E7282" s="65"/>
      <c r="F7282" s="64"/>
      <c r="G7282" s="64"/>
      <c r="H7282" s="64"/>
      <c r="I7282" s="70"/>
      <c r="J7282" s="70"/>
      <c r="K7282" s="110" t="str">
        <f>IF(H7282="","",IF($C$29="간이법","",FPR(H7282,I7282,J7282)))</f>
        <v/>
      </c>
      <c r="L7282" s="111" t="str">
        <f>IF(H7282="","",IF($C$29="상세법",FPV(H7282,K7282),IF(H7282="EI",4,IF(H7282="EO",5.2,IF(H7282="EQ",3.9,IF(H7282="ILF",7.5,IF(H7282="EIF",5.4)))))))</f>
        <v/>
      </c>
      <c r="M7282" s="112" t="str">
        <f t="shared" si="116"/>
        <v/>
      </c>
      <c r="N7282" s="113"/>
    </row>
    <row r="7283" spans="2:14">
      <c r="B7283" s="105"/>
      <c r="C7283" s="106"/>
      <c r="D7283" s="107"/>
      <c r="E7283" s="65"/>
      <c r="F7283" s="64"/>
      <c r="G7283" s="64"/>
      <c r="H7283" s="64"/>
      <c r="I7283" s="70"/>
      <c r="J7283" s="70"/>
      <c r="K7283" s="110" t="str">
        <f>IF(H7283="","",IF($C$29="간이법","",FPR(H7283,I7283,J7283)))</f>
        <v/>
      </c>
      <c r="L7283" s="111" t="str">
        <f>IF(H7283="","",IF($C$29="상세법",FPV(H7283,K7283),IF(H7283="EI",4,IF(H7283="EO",5.2,IF(H7283="EQ",3.9,IF(H7283="ILF",7.5,IF(H7283="EIF",5.4)))))))</f>
        <v/>
      </c>
      <c r="M7283" s="112" t="str">
        <f t="shared" si="116"/>
        <v/>
      </c>
      <c r="N7283" s="113"/>
    </row>
    <row r="7284" spans="2:14">
      <c r="B7284" s="105"/>
      <c r="C7284" s="106"/>
      <c r="D7284" s="107"/>
      <c r="E7284" s="65"/>
      <c r="F7284" s="64"/>
      <c r="G7284" s="64"/>
      <c r="H7284" s="64"/>
      <c r="I7284" s="70"/>
      <c r="J7284" s="70"/>
      <c r="K7284" s="110" t="str">
        <f>IF(H7284="","",IF($C$29="간이법","",FPR(H7284,I7284,J7284)))</f>
        <v/>
      </c>
      <c r="L7284" s="111" t="str">
        <f>IF(H7284="","",IF($C$29="상세법",FPV(H7284,K7284),IF(H7284="EI",4,IF(H7284="EO",5.2,IF(H7284="EQ",3.9,IF(H7284="ILF",7.5,IF(H7284="EIF",5.4)))))))</f>
        <v/>
      </c>
      <c r="M7284" s="112" t="str">
        <f t="shared" si="116"/>
        <v/>
      </c>
      <c r="N7284" s="113"/>
    </row>
    <row r="7285" spans="2:14">
      <c r="B7285" s="105"/>
      <c r="C7285" s="106"/>
      <c r="D7285" s="107"/>
      <c r="E7285" s="65"/>
      <c r="F7285" s="64"/>
      <c r="G7285" s="64"/>
      <c r="H7285" s="64"/>
      <c r="I7285" s="70"/>
      <c r="J7285" s="70"/>
      <c r="K7285" s="110" t="str">
        <f>IF(H7285="","",IF($C$29="간이법","",FPR(H7285,I7285,J7285)))</f>
        <v/>
      </c>
      <c r="L7285" s="111" t="str">
        <f>IF(H7285="","",IF($C$29="상세법",FPV(H7285,K7285),IF(H7285="EI",4,IF(H7285="EO",5.2,IF(H7285="EQ",3.9,IF(H7285="ILF",7.5,IF(H7285="EIF",5.4)))))))</f>
        <v/>
      </c>
      <c r="M7285" s="112" t="str">
        <f t="shared" si="116"/>
        <v/>
      </c>
      <c r="N7285" s="113"/>
    </row>
    <row r="7286" spans="2:14">
      <c r="B7286" s="105"/>
      <c r="C7286" s="106"/>
      <c r="D7286" s="107"/>
      <c r="E7286" s="65"/>
      <c r="F7286" s="64"/>
      <c r="G7286" s="64"/>
      <c r="H7286" s="64"/>
      <c r="I7286" s="70"/>
      <c r="J7286" s="70"/>
      <c r="K7286" s="110" t="str">
        <f>IF(H7286="","",IF($C$29="간이법","",FPR(H7286,I7286,J7286)))</f>
        <v/>
      </c>
      <c r="L7286" s="111" t="str">
        <f>IF(H7286="","",IF($C$29="상세법",FPV(H7286,K7286),IF(H7286="EI",4,IF(H7286="EO",5.2,IF(H7286="EQ",3.9,IF(H7286="ILF",7.5,IF(H7286="EIF",5.4)))))))</f>
        <v/>
      </c>
      <c r="M7286" s="112" t="str">
        <f t="shared" si="116"/>
        <v/>
      </c>
      <c r="N7286" s="113"/>
    </row>
    <row r="7287" spans="2:14">
      <c r="B7287" s="105"/>
      <c r="C7287" s="106"/>
      <c r="D7287" s="107"/>
      <c r="E7287" s="65"/>
      <c r="F7287" s="64"/>
      <c r="G7287" s="64"/>
      <c r="H7287" s="64"/>
      <c r="I7287" s="70"/>
      <c r="J7287" s="70"/>
      <c r="K7287" s="110" t="str">
        <f>IF(H7287="","",IF($C$29="간이법","",FPR(H7287,I7287,J7287)))</f>
        <v/>
      </c>
      <c r="L7287" s="111" t="str">
        <f>IF(H7287="","",IF($C$29="상세법",FPV(H7287,K7287),IF(H7287="EI",4,IF(H7287="EO",5.2,IF(H7287="EQ",3.9,IF(H7287="ILF",7.5,IF(H7287="EIF",5.4)))))))</f>
        <v/>
      </c>
      <c r="M7287" s="112" t="str">
        <f t="shared" si="116"/>
        <v/>
      </c>
      <c r="N7287" s="113"/>
    </row>
    <row r="7288" spans="2:14">
      <c r="B7288" s="105"/>
      <c r="C7288" s="106"/>
      <c r="D7288" s="107"/>
      <c r="E7288" s="65"/>
      <c r="F7288" s="64"/>
      <c r="G7288" s="64"/>
      <c r="H7288" s="64"/>
      <c r="I7288" s="70"/>
      <c r="J7288" s="70"/>
      <c r="K7288" s="110" t="str">
        <f>IF(H7288="","",IF($C$29="간이법","",FPR(H7288,I7288,J7288)))</f>
        <v/>
      </c>
      <c r="L7288" s="111" t="str">
        <f>IF(H7288="","",IF($C$29="상세법",FPV(H7288,K7288),IF(H7288="EI",4,IF(H7288="EO",5.2,IF(H7288="EQ",3.9,IF(H7288="ILF",7.5,IF(H7288="EIF",5.4)))))))</f>
        <v/>
      </c>
      <c r="M7288" s="112" t="str">
        <f t="shared" si="116"/>
        <v/>
      </c>
      <c r="N7288" s="113"/>
    </row>
    <row r="7289" spans="2:14">
      <c r="B7289" s="105"/>
      <c r="C7289" s="106"/>
      <c r="D7289" s="107"/>
      <c r="E7289" s="65"/>
      <c r="F7289" s="64"/>
      <c r="G7289" s="64"/>
      <c r="H7289" s="64"/>
      <c r="I7289" s="70"/>
      <c r="J7289" s="70"/>
      <c r="K7289" s="110" t="str">
        <f>IF(H7289="","",IF($C$29="간이법","",FPR(H7289,I7289,J7289)))</f>
        <v/>
      </c>
      <c r="L7289" s="111" t="str">
        <f>IF(H7289="","",IF($C$29="상세법",FPV(H7289,K7289),IF(H7289="EI",4,IF(H7289="EO",5.2,IF(H7289="EQ",3.9,IF(H7289="ILF",7.5,IF(H7289="EIF",5.4)))))))</f>
        <v/>
      </c>
      <c r="M7289" s="112" t="str">
        <f t="shared" ref="M7289:M7352" si="117">IF(L7289="","",L7289*IF(G7289="상",0.7,IF(G7289="중",0.5,IF(G7289="하",0.2,1))))</f>
        <v/>
      </c>
      <c r="N7289" s="113"/>
    </row>
    <row r="7290" spans="2:14">
      <c r="B7290" s="105"/>
      <c r="C7290" s="106"/>
      <c r="D7290" s="107"/>
      <c r="E7290" s="65"/>
      <c r="F7290" s="64"/>
      <c r="G7290" s="64"/>
      <c r="H7290" s="64"/>
      <c r="I7290" s="70"/>
      <c r="J7290" s="70"/>
      <c r="K7290" s="110" t="str">
        <f>IF(H7290="","",IF($C$29="간이법","",FPR(H7290,I7290,J7290)))</f>
        <v/>
      </c>
      <c r="L7290" s="111" t="str">
        <f>IF(H7290="","",IF($C$29="상세법",FPV(H7290,K7290),IF(H7290="EI",4,IF(H7290="EO",5.2,IF(H7290="EQ",3.9,IF(H7290="ILF",7.5,IF(H7290="EIF",5.4)))))))</f>
        <v/>
      </c>
      <c r="M7290" s="112" t="str">
        <f t="shared" si="117"/>
        <v/>
      </c>
      <c r="N7290" s="113"/>
    </row>
    <row r="7291" spans="2:14">
      <c r="B7291" s="105"/>
      <c r="C7291" s="106"/>
      <c r="D7291" s="107"/>
      <c r="E7291" s="65"/>
      <c r="F7291" s="64"/>
      <c r="G7291" s="64"/>
      <c r="H7291" s="64"/>
      <c r="I7291" s="70"/>
      <c r="J7291" s="70"/>
      <c r="K7291" s="110" t="str">
        <f>IF(H7291="","",IF($C$29="간이법","",FPR(H7291,I7291,J7291)))</f>
        <v/>
      </c>
      <c r="L7291" s="111" t="str">
        <f>IF(H7291="","",IF($C$29="상세법",FPV(H7291,K7291),IF(H7291="EI",4,IF(H7291="EO",5.2,IF(H7291="EQ",3.9,IF(H7291="ILF",7.5,IF(H7291="EIF",5.4)))))))</f>
        <v/>
      </c>
      <c r="M7291" s="112" t="str">
        <f t="shared" si="117"/>
        <v/>
      </c>
      <c r="N7291" s="113"/>
    </row>
    <row r="7292" spans="2:14">
      <c r="B7292" s="105"/>
      <c r="C7292" s="106"/>
      <c r="D7292" s="107"/>
      <c r="E7292" s="65"/>
      <c r="F7292" s="64"/>
      <c r="G7292" s="64"/>
      <c r="H7292" s="64"/>
      <c r="I7292" s="70"/>
      <c r="J7292" s="70"/>
      <c r="K7292" s="110" t="str">
        <f>IF(H7292="","",IF($C$29="간이법","",FPR(H7292,I7292,J7292)))</f>
        <v/>
      </c>
      <c r="L7292" s="111" t="str">
        <f>IF(H7292="","",IF($C$29="상세법",FPV(H7292,K7292),IF(H7292="EI",4,IF(H7292="EO",5.2,IF(H7292="EQ",3.9,IF(H7292="ILF",7.5,IF(H7292="EIF",5.4)))))))</f>
        <v/>
      </c>
      <c r="M7292" s="112" t="str">
        <f t="shared" si="117"/>
        <v/>
      </c>
      <c r="N7292" s="113"/>
    </row>
    <row r="7293" spans="2:14">
      <c r="B7293" s="105"/>
      <c r="C7293" s="106"/>
      <c r="D7293" s="107"/>
      <c r="E7293" s="65"/>
      <c r="F7293" s="64"/>
      <c r="G7293" s="64"/>
      <c r="H7293" s="64"/>
      <c r="I7293" s="70"/>
      <c r="J7293" s="70"/>
      <c r="K7293" s="110" t="str">
        <f>IF(H7293="","",IF($C$29="간이법","",FPR(H7293,I7293,J7293)))</f>
        <v/>
      </c>
      <c r="L7293" s="111" t="str">
        <f>IF(H7293="","",IF($C$29="상세법",FPV(H7293,K7293),IF(H7293="EI",4,IF(H7293="EO",5.2,IF(H7293="EQ",3.9,IF(H7293="ILF",7.5,IF(H7293="EIF",5.4)))))))</f>
        <v/>
      </c>
      <c r="M7293" s="112" t="str">
        <f t="shared" si="117"/>
        <v/>
      </c>
      <c r="N7293" s="113"/>
    </row>
    <row r="7294" spans="2:14">
      <c r="B7294" s="105"/>
      <c r="C7294" s="106"/>
      <c r="D7294" s="107"/>
      <c r="E7294" s="65"/>
      <c r="F7294" s="64"/>
      <c r="G7294" s="64"/>
      <c r="H7294" s="64"/>
      <c r="I7294" s="70"/>
      <c r="J7294" s="70"/>
      <c r="K7294" s="110" t="str">
        <f>IF(H7294="","",IF($C$29="간이법","",FPR(H7294,I7294,J7294)))</f>
        <v/>
      </c>
      <c r="L7294" s="111" t="str">
        <f>IF(H7294="","",IF($C$29="상세법",FPV(H7294,K7294),IF(H7294="EI",4,IF(H7294="EO",5.2,IF(H7294="EQ",3.9,IF(H7294="ILF",7.5,IF(H7294="EIF",5.4)))))))</f>
        <v/>
      </c>
      <c r="M7294" s="112" t="str">
        <f t="shared" si="117"/>
        <v/>
      </c>
      <c r="N7294" s="113"/>
    </row>
    <row r="7295" spans="2:14">
      <c r="B7295" s="105"/>
      <c r="C7295" s="106"/>
      <c r="D7295" s="107"/>
      <c r="E7295" s="65"/>
      <c r="F7295" s="64"/>
      <c r="G7295" s="64"/>
      <c r="H7295" s="64"/>
      <c r="I7295" s="70"/>
      <c r="J7295" s="70"/>
      <c r="K7295" s="110" t="str">
        <f>IF(H7295="","",IF($C$29="간이법","",FPR(H7295,I7295,J7295)))</f>
        <v/>
      </c>
      <c r="L7295" s="111" t="str">
        <f>IF(H7295="","",IF($C$29="상세법",FPV(H7295,K7295),IF(H7295="EI",4,IF(H7295="EO",5.2,IF(H7295="EQ",3.9,IF(H7295="ILF",7.5,IF(H7295="EIF",5.4)))))))</f>
        <v/>
      </c>
      <c r="M7295" s="112" t="str">
        <f t="shared" si="117"/>
        <v/>
      </c>
      <c r="N7295" s="113"/>
    </row>
    <row r="7296" spans="2:14">
      <c r="B7296" s="105"/>
      <c r="C7296" s="106"/>
      <c r="D7296" s="107"/>
      <c r="E7296" s="65"/>
      <c r="F7296" s="64"/>
      <c r="G7296" s="64"/>
      <c r="H7296" s="64"/>
      <c r="I7296" s="70"/>
      <c r="J7296" s="70"/>
      <c r="K7296" s="110" t="str">
        <f>IF(H7296="","",IF($C$29="간이법","",FPR(H7296,I7296,J7296)))</f>
        <v/>
      </c>
      <c r="L7296" s="111" t="str">
        <f>IF(H7296="","",IF($C$29="상세법",FPV(H7296,K7296),IF(H7296="EI",4,IF(H7296="EO",5.2,IF(H7296="EQ",3.9,IF(H7296="ILF",7.5,IF(H7296="EIF",5.4)))))))</f>
        <v/>
      </c>
      <c r="M7296" s="112" t="str">
        <f t="shared" si="117"/>
        <v/>
      </c>
      <c r="N7296" s="113"/>
    </row>
    <row r="7297" spans="2:14">
      <c r="B7297" s="105"/>
      <c r="C7297" s="106"/>
      <c r="D7297" s="107"/>
      <c r="E7297" s="65"/>
      <c r="F7297" s="64"/>
      <c r="G7297" s="64"/>
      <c r="H7297" s="64"/>
      <c r="I7297" s="70"/>
      <c r="J7297" s="70"/>
      <c r="K7297" s="110" t="str">
        <f>IF(H7297="","",IF($C$29="간이법","",FPR(H7297,I7297,J7297)))</f>
        <v/>
      </c>
      <c r="L7297" s="111" t="str">
        <f>IF(H7297="","",IF($C$29="상세법",FPV(H7297,K7297),IF(H7297="EI",4,IF(H7297="EO",5.2,IF(H7297="EQ",3.9,IF(H7297="ILF",7.5,IF(H7297="EIF",5.4)))))))</f>
        <v/>
      </c>
      <c r="M7297" s="112" t="str">
        <f t="shared" si="117"/>
        <v/>
      </c>
      <c r="N7297" s="113"/>
    </row>
    <row r="7298" spans="2:14">
      <c r="B7298" s="105"/>
      <c r="C7298" s="106"/>
      <c r="D7298" s="107"/>
      <c r="E7298" s="65"/>
      <c r="F7298" s="64"/>
      <c r="G7298" s="64"/>
      <c r="H7298" s="64"/>
      <c r="I7298" s="70"/>
      <c r="J7298" s="70"/>
      <c r="K7298" s="110" t="str">
        <f>IF(H7298="","",IF($C$29="간이법","",FPR(H7298,I7298,J7298)))</f>
        <v/>
      </c>
      <c r="L7298" s="111" t="str">
        <f>IF(H7298="","",IF($C$29="상세법",FPV(H7298,K7298),IF(H7298="EI",4,IF(H7298="EO",5.2,IF(H7298="EQ",3.9,IF(H7298="ILF",7.5,IF(H7298="EIF",5.4)))))))</f>
        <v/>
      </c>
      <c r="M7298" s="112" t="str">
        <f t="shared" si="117"/>
        <v/>
      </c>
      <c r="N7298" s="113"/>
    </row>
    <row r="7299" spans="2:14">
      <c r="B7299" s="105"/>
      <c r="C7299" s="106"/>
      <c r="D7299" s="107"/>
      <c r="E7299" s="65"/>
      <c r="F7299" s="64"/>
      <c r="G7299" s="64"/>
      <c r="H7299" s="64"/>
      <c r="I7299" s="70"/>
      <c r="J7299" s="70"/>
      <c r="K7299" s="110" t="str">
        <f>IF(H7299="","",IF($C$29="간이법","",FPR(H7299,I7299,J7299)))</f>
        <v/>
      </c>
      <c r="L7299" s="111" t="str">
        <f>IF(H7299="","",IF($C$29="상세법",FPV(H7299,K7299),IF(H7299="EI",4,IF(H7299="EO",5.2,IF(H7299="EQ",3.9,IF(H7299="ILF",7.5,IF(H7299="EIF",5.4)))))))</f>
        <v/>
      </c>
      <c r="M7299" s="112" t="str">
        <f t="shared" si="117"/>
        <v/>
      </c>
      <c r="N7299" s="113"/>
    </row>
    <row r="7300" spans="2:14">
      <c r="B7300" s="105"/>
      <c r="C7300" s="106"/>
      <c r="D7300" s="107"/>
      <c r="E7300" s="65"/>
      <c r="F7300" s="64"/>
      <c r="G7300" s="64"/>
      <c r="H7300" s="64"/>
      <c r="I7300" s="70"/>
      <c r="J7300" s="70"/>
      <c r="K7300" s="110" t="str">
        <f>IF(H7300="","",IF($C$29="간이법","",FPR(H7300,I7300,J7300)))</f>
        <v/>
      </c>
      <c r="L7300" s="111" t="str">
        <f>IF(H7300="","",IF($C$29="상세법",FPV(H7300,K7300),IF(H7300="EI",4,IF(H7300="EO",5.2,IF(H7300="EQ",3.9,IF(H7300="ILF",7.5,IF(H7300="EIF",5.4)))))))</f>
        <v/>
      </c>
      <c r="M7300" s="112" t="str">
        <f t="shared" si="117"/>
        <v/>
      </c>
      <c r="N7300" s="113"/>
    </row>
    <row r="7301" spans="2:14">
      <c r="B7301" s="105"/>
      <c r="C7301" s="106"/>
      <c r="D7301" s="107"/>
      <c r="E7301" s="65"/>
      <c r="F7301" s="64"/>
      <c r="G7301" s="64"/>
      <c r="H7301" s="64"/>
      <c r="I7301" s="70"/>
      <c r="J7301" s="70"/>
      <c r="K7301" s="110" t="str">
        <f>IF(H7301="","",IF($C$29="간이법","",FPR(H7301,I7301,J7301)))</f>
        <v/>
      </c>
      <c r="L7301" s="111" t="str">
        <f>IF(H7301="","",IF($C$29="상세법",FPV(H7301,K7301),IF(H7301="EI",4,IF(H7301="EO",5.2,IF(H7301="EQ",3.9,IF(H7301="ILF",7.5,IF(H7301="EIF",5.4)))))))</f>
        <v/>
      </c>
      <c r="M7301" s="112" t="str">
        <f t="shared" si="117"/>
        <v/>
      </c>
      <c r="N7301" s="113"/>
    </row>
    <row r="7302" spans="2:14">
      <c r="B7302" s="105"/>
      <c r="C7302" s="106"/>
      <c r="D7302" s="107"/>
      <c r="E7302" s="65"/>
      <c r="F7302" s="64"/>
      <c r="G7302" s="64"/>
      <c r="H7302" s="64"/>
      <c r="I7302" s="70"/>
      <c r="J7302" s="70"/>
      <c r="K7302" s="110" t="str">
        <f>IF(H7302="","",IF($C$29="간이법","",FPR(H7302,I7302,J7302)))</f>
        <v/>
      </c>
      <c r="L7302" s="111" t="str">
        <f>IF(H7302="","",IF($C$29="상세법",FPV(H7302,K7302),IF(H7302="EI",4,IF(H7302="EO",5.2,IF(H7302="EQ",3.9,IF(H7302="ILF",7.5,IF(H7302="EIF",5.4)))))))</f>
        <v/>
      </c>
      <c r="M7302" s="112" t="str">
        <f t="shared" si="117"/>
        <v/>
      </c>
      <c r="N7302" s="113"/>
    </row>
    <row r="7303" spans="2:14">
      <c r="B7303" s="105"/>
      <c r="C7303" s="106"/>
      <c r="D7303" s="107"/>
      <c r="E7303" s="65"/>
      <c r="F7303" s="64"/>
      <c r="G7303" s="64"/>
      <c r="H7303" s="64"/>
      <c r="I7303" s="70"/>
      <c r="J7303" s="70"/>
      <c r="K7303" s="110" t="str">
        <f>IF(H7303="","",IF($C$29="간이법","",FPR(H7303,I7303,J7303)))</f>
        <v/>
      </c>
      <c r="L7303" s="111" t="str">
        <f>IF(H7303="","",IF($C$29="상세법",FPV(H7303,K7303),IF(H7303="EI",4,IF(H7303="EO",5.2,IF(H7303="EQ",3.9,IF(H7303="ILF",7.5,IF(H7303="EIF",5.4)))))))</f>
        <v/>
      </c>
      <c r="M7303" s="112" t="str">
        <f t="shared" si="117"/>
        <v/>
      </c>
      <c r="N7303" s="113"/>
    </row>
    <row r="7304" spans="2:14">
      <c r="B7304" s="105"/>
      <c r="C7304" s="106"/>
      <c r="D7304" s="107"/>
      <c r="E7304" s="65"/>
      <c r="F7304" s="64"/>
      <c r="G7304" s="64"/>
      <c r="H7304" s="64"/>
      <c r="I7304" s="70"/>
      <c r="J7304" s="70"/>
      <c r="K7304" s="110" t="str">
        <f>IF(H7304="","",IF($C$29="간이법","",FPR(H7304,I7304,J7304)))</f>
        <v/>
      </c>
      <c r="L7304" s="111" t="str">
        <f>IF(H7304="","",IF($C$29="상세법",FPV(H7304,K7304),IF(H7304="EI",4,IF(H7304="EO",5.2,IF(H7304="EQ",3.9,IF(H7304="ILF",7.5,IF(H7304="EIF",5.4)))))))</f>
        <v/>
      </c>
      <c r="M7304" s="112" t="str">
        <f t="shared" si="117"/>
        <v/>
      </c>
      <c r="N7304" s="113"/>
    </row>
    <row r="7305" spans="2:14">
      <c r="B7305" s="105"/>
      <c r="C7305" s="106"/>
      <c r="D7305" s="107"/>
      <c r="E7305" s="65"/>
      <c r="F7305" s="64"/>
      <c r="G7305" s="64"/>
      <c r="H7305" s="64"/>
      <c r="I7305" s="70"/>
      <c r="J7305" s="70"/>
      <c r="K7305" s="110" t="str">
        <f>IF(H7305="","",IF($C$29="간이법","",FPR(H7305,I7305,J7305)))</f>
        <v/>
      </c>
      <c r="L7305" s="111" t="str">
        <f>IF(H7305="","",IF($C$29="상세법",FPV(H7305,K7305),IF(H7305="EI",4,IF(H7305="EO",5.2,IF(H7305="EQ",3.9,IF(H7305="ILF",7.5,IF(H7305="EIF",5.4)))))))</f>
        <v/>
      </c>
      <c r="M7305" s="112" t="str">
        <f t="shared" si="117"/>
        <v/>
      </c>
      <c r="N7305" s="113"/>
    </row>
    <row r="7306" spans="2:14">
      <c r="B7306" s="105"/>
      <c r="C7306" s="106"/>
      <c r="D7306" s="107"/>
      <c r="E7306" s="65"/>
      <c r="F7306" s="64"/>
      <c r="G7306" s="64"/>
      <c r="H7306" s="64"/>
      <c r="I7306" s="70"/>
      <c r="J7306" s="70"/>
      <c r="K7306" s="110" t="str">
        <f>IF(H7306="","",IF($C$29="간이법","",FPR(H7306,I7306,J7306)))</f>
        <v/>
      </c>
      <c r="L7306" s="111" t="str">
        <f>IF(H7306="","",IF($C$29="상세법",FPV(H7306,K7306),IF(H7306="EI",4,IF(H7306="EO",5.2,IF(H7306="EQ",3.9,IF(H7306="ILF",7.5,IF(H7306="EIF",5.4)))))))</f>
        <v/>
      </c>
      <c r="M7306" s="112" t="str">
        <f t="shared" si="117"/>
        <v/>
      </c>
      <c r="N7306" s="113"/>
    </row>
    <row r="7307" spans="2:14">
      <c r="B7307" s="105"/>
      <c r="C7307" s="106"/>
      <c r="D7307" s="107"/>
      <c r="E7307" s="65"/>
      <c r="F7307" s="64"/>
      <c r="G7307" s="64"/>
      <c r="H7307" s="64"/>
      <c r="I7307" s="70"/>
      <c r="J7307" s="70"/>
      <c r="K7307" s="110" t="str">
        <f>IF(H7307="","",IF($C$29="간이법","",FPR(H7307,I7307,J7307)))</f>
        <v/>
      </c>
      <c r="L7307" s="111" t="str">
        <f>IF(H7307="","",IF($C$29="상세법",FPV(H7307,K7307),IF(H7307="EI",4,IF(H7307="EO",5.2,IF(H7307="EQ",3.9,IF(H7307="ILF",7.5,IF(H7307="EIF",5.4)))))))</f>
        <v/>
      </c>
      <c r="M7307" s="112" t="str">
        <f t="shared" si="117"/>
        <v/>
      </c>
      <c r="N7307" s="113"/>
    </row>
    <row r="7308" spans="2:14">
      <c r="B7308" s="105"/>
      <c r="C7308" s="106"/>
      <c r="D7308" s="107"/>
      <c r="E7308" s="65"/>
      <c r="F7308" s="64"/>
      <c r="G7308" s="64"/>
      <c r="H7308" s="64"/>
      <c r="I7308" s="70"/>
      <c r="J7308" s="70"/>
      <c r="K7308" s="110" t="str">
        <f>IF(H7308="","",IF($C$29="간이법","",FPR(H7308,I7308,J7308)))</f>
        <v/>
      </c>
      <c r="L7308" s="111" t="str">
        <f>IF(H7308="","",IF($C$29="상세법",FPV(H7308,K7308),IF(H7308="EI",4,IF(H7308="EO",5.2,IF(H7308="EQ",3.9,IF(H7308="ILF",7.5,IF(H7308="EIF",5.4)))))))</f>
        <v/>
      </c>
      <c r="M7308" s="112" t="str">
        <f t="shared" si="117"/>
        <v/>
      </c>
      <c r="N7308" s="113"/>
    </row>
    <row r="7309" spans="2:14">
      <c r="B7309" s="105"/>
      <c r="C7309" s="106"/>
      <c r="D7309" s="107"/>
      <c r="E7309" s="65"/>
      <c r="F7309" s="64"/>
      <c r="G7309" s="64"/>
      <c r="H7309" s="64"/>
      <c r="I7309" s="70"/>
      <c r="J7309" s="70"/>
      <c r="K7309" s="110" t="str">
        <f>IF(H7309="","",IF($C$29="간이법","",FPR(H7309,I7309,J7309)))</f>
        <v/>
      </c>
      <c r="L7309" s="111" t="str">
        <f>IF(H7309="","",IF($C$29="상세법",FPV(H7309,K7309),IF(H7309="EI",4,IF(H7309="EO",5.2,IF(H7309="EQ",3.9,IF(H7309="ILF",7.5,IF(H7309="EIF",5.4)))))))</f>
        <v/>
      </c>
      <c r="M7309" s="112" t="str">
        <f t="shared" si="117"/>
        <v/>
      </c>
      <c r="N7309" s="113"/>
    </row>
    <row r="7310" spans="2:14">
      <c r="B7310" s="105"/>
      <c r="C7310" s="106"/>
      <c r="D7310" s="107"/>
      <c r="E7310" s="65"/>
      <c r="F7310" s="64"/>
      <c r="G7310" s="64"/>
      <c r="H7310" s="64"/>
      <c r="I7310" s="70"/>
      <c r="J7310" s="70"/>
      <c r="K7310" s="110" t="str">
        <f>IF(H7310="","",IF($C$29="간이법","",FPR(H7310,I7310,J7310)))</f>
        <v/>
      </c>
      <c r="L7310" s="111" t="str">
        <f>IF(H7310="","",IF($C$29="상세법",FPV(H7310,K7310),IF(H7310="EI",4,IF(H7310="EO",5.2,IF(H7310="EQ",3.9,IF(H7310="ILF",7.5,IF(H7310="EIF",5.4)))))))</f>
        <v/>
      </c>
      <c r="M7310" s="112" t="str">
        <f t="shared" si="117"/>
        <v/>
      </c>
      <c r="N7310" s="113"/>
    </row>
    <row r="7311" spans="2:14">
      <c r="B7311" s="105"/>
      <c r="C7311" s="106"/>
      <c r="D7311" s="107"/>
      <c r="E7311" s="65"/>
      <c r="F7311" s="64"/>
      <c r="G7311" s="64"/>
      <c r="H7311" s="64"/>
      <c r="I7311" s="70"/>
      <c r="J7311" s="70"/>
      <c r="K7311" s="110" t="str">
        <f>IF(H7311="","",IF($C$29="간이법","",FPR(H7311,I7311,J7311)))</f>
        <v/>
      </c>
      <c r="L7311" s="111" t="str">
        <f>IF(H7311="","",IF($C$29="상세법",FPV(H7311,K7311),IF(H7311="EI",4,IF(H7311="EO",5.2,IF(H7311="EQ",3.9,IF(H7311="ILF",7.5,IF(H7311="EIF",5.4)))))))</f>
        <v/>
      </c>
      <c r="M7311" s="112" t="str">
        <f t="shared" si="117"/>
        <v/>
      </c>
      <c r="N7311" s="113"/>
    </row>
    <row r="7312" spans="2:14">
      <c r="B7312" s="105"/>
      <c r="C7312" s="106"/>
      <c r="D7312" s="107"/>
      <c r="E7312" s="65"/>
      <c r="F7312" s="64"/>
      <c r="G7312" s="64"/>
      <c r="H7312" s="64"/>
      <c r="I7312" s="70"/>
      <c r="J7312" s="70"/>
      <c r="K7312" s="110" t="str">
        <f>IF(H7312="","",IF($C$29="간이법","",FPR(H7312,I7312,J7312)))</f>
        <v/>
      </c>
      <c r="L7312" s="111" t="str">
        <f>IF(H7312="","",IF($C$29="상세법",FPV(H7312,K7312),IF(H7312="EI",4,IF(H7312="EO",5.2,IF(H7312="EQ",3.9,IF(H7312="ILF",7.5,IF(H7312="EIF",5.4)))))))</f>
        <v/>
      </c>
      <c r="M7312" s="112" t="str">
        <f t="shared" si="117"/>
        <v/>
      </c>
      <c r="N7312" s="113"/>
    </row>
    <row r="7313" spans="2:14">
      <c r="B7313" s="105"/>
      <c r="C7313" s="106"/>
      <c r="D7313" s="107"/>
      <c r="E7313" s="65"/>
      <c r="F7313" s="64"/>
      <c r="G7313" s="64"/>
      <c r="H7313" s="64"/>
      <c r="I7313" s="70"/>
      <c r="J7313" s="70"/>
      <c r="K7313" s="110" t="str">
        <f>IF(H7313="","",IF($C$29="간이법","",FPR(H7313,I7313,J7313)))</f>
        <v/>
      </c>
      <c r="L7313" s="111" t="str">
        <f>IF(H7313="","",IF($C$29="상세법",FPV(H7313,K7313),IF(H7313="EI",4,IF(H7313="EO",5.2,IF(H7313="EQ",3.9,IF(H7313="ILF",7.5,IF(H7313="EIF",5.4)))))))</f>
        <v/>
      </c>
      <c r="M7313" s="112" t="str">
        <f t="shared" si="117"/>
        <v/>
      </c>
      <c r="N7313" s="113"/>
    </row>
    <row r="7314" spans="2:14">
      <c r="B7314" s="105"/>
      <c r="C7314" s="106"/>
      <c r="D7314" s="107"/>
      <c r="E7314" s="65"/>
      <c r="F7314" s="64"/>
      <c r="G7314" s="64"/>
      <c r="H7314" s="64"/>
      <c r="I7314" s="70"/>
      <c r="J7314" s="70"/>
      <c r="K7314" s="110" t="str">
        <f>IF(H7314="","",IF($C$29="간이법","",FPR(H7314,I7314,J7314)))</f>
        <v/>
      </c>
      <c r="L7314" s="111" t="str">
        <f>IF(H7314="","",IF($C$29="상세법",FPV(H7314,K7314),IF(H7314="EI",4,IF(H7314="EO",5.2,IF(H7314="EQ",3.9,IF(H7314="ILF",7.5,IF(H7314="EIF",5.4)))))))</f>
        <v/>
      </c>
      <c r="M7314" s="112" t="str">
        <f t="shared" si="117"/>
        <v/>
      </c>
      <c r="N7314" s="113"/>
    </row>
    <row r="7315" spans="2:14">
      <c r="B7315" s="105"/>
      <c r="C7315" s="106"/>
      <c r="D7315" s="107"/>
      <c r="E7315" s="65"/>
      <c r="F7315" s="64"/>
      <c r="G7315" s="64"/>
      <c r="H7315" s="64"/>
      <c r="I7315" s="70"/>
      <c r="J7315" s="70"/>
      <c r="K7315" s="110" t="str">
        <f>IF(H7315="","",IF($C$29="간이법","",FPR(H7315,I7315,J7315)))</f>
        <v/>
      </c>
      <c r="L7315" s="111" t="str">
        <f>IF(H7315="","",IF($C$29="상세법",FPV(H7315,K7315),IF(H7315="EI",4,IF(H7315="EO",5.2,IF(H7315="EQ",3.9,IF(H7315="ILF",7.5,IF(H7315="EIF",5.4)))))))</f>
        <v/>
      </c>
      <c r="M7315" s="112" t="str">
        <f t="shared" si="117"/>
        <v/>
      </c>
      <c r="N7315" s="113"/>
    </row>
    <row r="7316" spans="2:14">
      <c r="B7316" s="105"/>
      <c r="C7316" s="106"/>
      <c r="D7316" s="107"/>
      <c r="E7316" s="65"/>
      <c r="F7316" s="64"/>
      <c r="G7316" s="64"/>
      <c r="H7316" s="64"/>
      <c r="I7316" s="70"/>
      <c r="J7316" s="70"/>
      <c r="K7316" s="110" t="str">
        <f>IF(H7316="","",IF($C$29="간이법","",FPR(H7316,I7316,J7316)))</f>
        <v/>
      </c>
      <c r="L7316" s="111" t="str">
        <f>IF(H7316="","",IF($C$29="상세법",FPV(H7316,K7316),IF(H7316="EI",4,IF(H7316="EO",5.2,IF(H7316="EQ",3.9,IF(H7316="ILF",7.5,IF(H7316="EIF",5.4)))))))</f>
        <v/>
      </c>
      <c r="M7316" s="112" t="str">
        <f t="shared" si="117"/>
        <v/>
      </c>
      <c r="N7316" s="113"/>
    </row>
    <row r="7317" spans="2:14">
      <c r="B7317" s="105"/>
      <c r="C7317" s="106"/>
      <c r="D7317" s="107"/>
      <c r="E7317" s="65"/>
      <c r="F7317" s="64"/>
      <c r="G7317" s="64"/>
      <c r="H7317" s="64"/>
      <c r="I7317" s="70"/>
      <c r="J7317" s="70"/>
      <c r="K7317" s="110" t="str">
        <f>IF(H7317="","",IF($C$29="간이법","",FPR(H7317,I7317,J7317)))</f>
        <v/>
      </c>
      <c r="L7317" s="111" t="str">
        <f>IF(H7317="","",IF($C$29="상세법",FPV(H7317,K7317),IF(H7317="EI",4,IF(H7317="EO",5.2,IF(H7317="EQ",3.9,IF(H7317="ILF",7.5,IF(H7317="EIF",5.4)))))))</f>
        <v/>
      </c>
      <c r="M7317" s="112" t="str">
        <f t="shared" si="117"/>
        <v/>
      </c>
      <c r="N7317" s="113"/>
    </row>
    <row r="7318" spans="2:14">
      <c r="B7318" s="105"/>
      <c r="C7318" s="106"/>
      <c r="D7318" s="107"/>
      <c r="E7318" s="65"/>
      <c r="F7318" s="64"/>
      <c r="G7318" s="64"/>
      <c r="H7318" s="64"/>
      <c r="I7318" s="70"/>
      <c r="J7318" s="70"/>
      <c r="K7318" s="110" t="str">
        <f>IF(H7318="","",IF($C$29="간이법","",FPR(H7318,I7318,J7318)))</f>
        <v/>
      </c>
      <c r="L7318" s="111" t="str">
        <f>IF(H7318="","",IF($C$29="상세법",FPV(H7318,K7318),IF(H7318="EI",4,IF(H7318="EO",5.2,IF(H7318="EQ",3.9,IF(H7318="ILF",7.5,IF(H7318="EIF",5.4)))))))</f>
        <v/>
      </c>
      <c r="M7318" s="112" t="str">
        <f t="shared" si="117"/>
        <v/>
      </c>
      <c r="N7318" s="113"/>
    </row>
    <row r="7319" spans="2:14">
      <c r="B7319" s="105"/>
      <c r="C7319" s="106"/>
      <c r="D7319" s="107"/>
      <c r="E7319" s="65"/>
      <c r="F7319" s="64"/>
      <c r="G7319" s="64"/>
      <c r="H7319" s="64"/>
      <c r="I7319" s="70"/>
      <c r="J7319" s="70"/>
      <c r="K7319" s="110" t="str">
        <f>IF(H7319="","",IF($C$29="간이법","",FPR(H7319,I7319,J7319)))</f>
        <v/>
      </c>
      <c r="L7319" s="111" t="str">
        <f>IF(H7319="","",IF($C$29="상세법",FPV(H7319,K7319),IF(H7319="EI",4,IF(H7319="EO",5.2,IF(H7319="EQ",3.9,IF(H7319="ILF",7.5,IF(H7319="EIF",5.4)))))))</f>
        <v/>
      </c>
      <c r="M7319" s="112" t="str">
        <f t="shared" si="117"/>
        <v/>
      </c>
      <c r="N7319" s="113"/>
    </row>
    <row r="7320" spans="2:14">
      <c r="B7320" s="105"/>
      <c r="C7320" s="106"/>
      <c r="D7320" s="107"/>
      <c r="E7320" s="65"/>
      <c r="F7320" s="64"/>
      <c r="G7320" s="64"/>
      <c r="H7320" s="64"/>
      <c r="I7320" s="70"/>
      <c r="J7320" s="70"/>
      <c r="K7320" s="110" t="str">
        <f>IF(H7320="","",IF($C$29="간이법","",FPR(H7320,I7320,J7320)))</f>
        <v/>
      </c>
      <c r="L7320" s="111" t="str">
        <f>IF(H7320="","",IF($C$29="상세법",FPV(H7320,K7320),IF(H7320="EI",4,IF(H7320="EO",5.2,IF(H7320="EQ",3.9,IF(H7320="ILF",7.5,IF(H7320="EIF",5.4)))))))</f>
        <v/>
      </c>
      <c r="M7320" s="112" t="str">
        <f t="shared" si="117"/>
        <v/>
      </c>
      <c r="N7320" s="113"/>
    </row>
    <row r="7321" spans="2:14">
      <c r="B7321" s="105"/>
      <c r="C7321" s="106"/>
      <c r="D7321" s="107"/>
      <c r="E7321" s="65"/>
      <c r="F7321" s="64"/>
      <c r="G7321" s="64"/>
      <c r="H7321" s="64"/>
      <c r="I7321" s="70"/>
      <c r="J7321" s="70"/>
      <c r="K7321" s="110" t="str">
        <f>IF(H7321="","",IF($C$29="간이법","",FPR(H7321,I7321,J7321)))</f>
        <v/>
      </c>
      <c r="L7321" s="111" t="str">
        <f>IF(H7321="","",IF($C$29="상세법",FPV(H7321,K7321),IF(H7321="EI",4,IF(H7321="EO",5.2,IF(H7321="EQ",3.9,IF(H7321="ILF",7.5,IF(H7321="EIF",5.4)))))))</f>
        <v/>
      </c>
      <c r="M7321" s="112" t="str">
        <f t="shared" si="117"/>
        <v/>
      </c>
      <c r="N7321" s="113"/>
    </row>
    <row r="7322" spans="2:14">
      <c r="B7322" s="105"/>
      <c r="C7322" s="106"/>
      <c r="D7322" s="107"/>
      <c r="E7322" s="65"/>
      <c r="F7322" s="64"/>
      <c r="G7322" s="64"/>
      <c r="H7322" s="64"/>
      <c r="I7322" s="70"/>
      <c r="J7322" s="70"/>
      <c r="K7322" s="110" t="str">
        <f>IF(H7322="","",IF($C$29="간이법","",FPR(H7322,I7322,J7322)))</f>
        <v/>
      </c>
      <c r="L7322" s="111" t="str">
        <f>IF(H7322="","",IF($C$29="상세법",FPV(H7322,K7322),IF(H7322="EI",4,IF(H7322="EO",5.2,IF(H7322="EQ",3.9,IF(H7322="ILF",7.5,IF(H7322="EIF",5.4)))))))</f>
        <v/>
      </c>
      <c r="M7322" s="112" t="str">
        <f t="shared" si="117"/>
        <v/>
      </c>
      <c r="N7322" s="113"/>
    </row>
    <row r="7323" spans="2:14">
      <c r="B7323" s="105"/>
      <c r="C7323" s="106"/>
      <c r="D7323" s="107"/>
      <c r="E7323" s="65"/>
      <c r="F7323" s="64"/>
      <c r="G7323" s="64"/>
      <c r="H7323" s="64"/>
      <c r="I7323" s="70"/>
      <c r="J7323" s="70"/>
      <c r="K7323" s="110" t="str">
        <f>IF(H7323="","",IF($C$29="간이법","",FPR(H7323,I7323,J7323)))</f>
        <v/>
      </c>
      <c r="L7323" s="111" t="str">
        <f>IF(H7323="","",IF($C$29="상세법",FPV(H7323,K7323),IF(H7323="EI",4,IF(H7323="EO",5.2,IF(H7323="EQ",3.9,IF(H7323="ILF",7.5,IF(H7323="EIF",5.4)))))))</f>
        <v/>
      </c>
      <c r="M7323" s="112" t="str">
        <f t="shared" si="117"/>
        <v/>
      </c>
      <c r="N7323" s="113"/>
    </row>
    <row r="7324" spans="2:14">
      <c r="B7324" s="105"/>
      <c r="C7324" s="106"/>
      <c r="D7324" s="107"/>
      <c r="E7324" s="65"/>
      <c r="F7324" s="64"/>
      <c r="G7324" s="64"/>
      <c r="H7324" s="64"/>
      <c r="I7324" s="70"/>
      <c r="J7324" s="70"/>
      <c r="K7324" s="110" t="str">
        <f>IF(H7324="","",IF($C$29="간이법","",FPR(H7324,I7324,J7324)))</f>
        <v/>
      </c>
      <c r="L7324" s="111" t="str">
        <f>IF(H7324="","",IF($C$29="상세법",FPV(H7324,K7324),IF(H7324="EI",4,IF(H7324="EO",5.2,IF(H7324="EQ",3.9,IF(H7324="ILF",7.5,IF(H7324="EIF",5.4)))))))</f>
        <v/>
      </c>
      <c r="M7324" s="112" t="str">
        <f t="shared" si="117"/>
        <v/>
      </c>
      <c r="N7324" s="113"/>
    </row>
    <row r="7325" spans="2:14">
      <c r="B7325" s="105"/>
      <c r="C7325" s="106"/>
      <c r="D7325" s="107"/>
      <c r="E7325" s="65"/>
      <c r="F7325" s="64"/>
      <c r="G7325" s="64"/>
      <c r="H7325" s="64"/>
      <c r="I7325" s="70"/>
      <c r="J7325" s="70"/>
      <c r="K7325" s="110" t="str">
        <f>IF(H7325="","",IF($C$29="간이법","",FPR(H7325,I7325,J7325)))</f>
        <v/>
      </c>
      <c r="L7325" s="111" t="str">
        <f>IF(H7325="","",IF($C$29="상세법",FPV(H7325,K7325),IF(H7325="EI",4,IF(H7325="EO",5.2,IF(H7325="EQ",3.9,IF(H7325="ILF",7.5,IF(H7325="EIF",5.4)))))))</f>
        <v/>
      </c>
      <c r="M7325" s="112" t="str">
        <f t="shared" si="117"/>
        <v/>
      </c>
      <c r="N7325" s="113"/>
    </row>
    <row r="7326" spans="2:14">
      <c r="B7326" s="105"/>
      <c r="C7326" s="106"/>
      <c r="D7326" s="107"/>
      <c r="E7326" s="65"/>
      <c r="F7326" s="64"/>
      <c r="G7326" s="64"/>
      <c r="H7326" s="64"/>
      <c r="I7326" s="70"/>
      <c r="J7326" s="70"/>
      <c r="K7326" s="110" t="str">
        <f>IF(H7326="","",IF($C$29="간이법","",FPR(H7326,I7326,J7326)))</f>
        <v/>
      </c>
      <c r="L7326" s="111" t="str">
        <f>IF(H7326="","",IF($C$29="상세법",FPV(H7326,K7326),IF(H7326="EI",4,IF(H7326="EO",5.2,IF(H7326="EQ",3.9,IF(H7326="ILF",7.5,IF(H7326="EIF",5.4)))))))</f>
        <v/>
      </c>
      <c r="M7326" s="112" t="str">
        <f t="shared" si="117"/>
        <v/>
      </c>
      <c r="N7326" s="113"/>
    </row>
    <row r="7327" spans="2:14">
      <c r="B7327" s="105"/>
      <c r="C7327" s="106"/>
      <c r="D7327" s="107"/>
      <c r="E7327" s="65"/>
      <c r="F7327" s="64"/>
      <c r="G7327" s="64"/>
      <c r="H7327" s="64"/>
      <c r="I7327" s="70"/>
      <c r="J7327" s="70"/>
      <c r="K7327" s="110" t="str">
        <f>IF(H7327="","",IF($C$29="간이법","",FPR(H7327,I7327,J7327)))</f>
        <v/>
      </c>
      <c r="L7327" s="111" t="str">
        <f>IF(H7327="","",IF($C$29="상세법",FPV(H7327,K7327),IF(H7327="EI",4,IF(H7327="EO",5.2,IF(H7327="EQ",3.9,IF(H7327="ILF",7.5,IF(H7327="EIF",5.4)))))))</f>
        <v/>
      </c>
      <c r="M7327" s="112" t="str">
        <f t="shared" si="117"/>
        <v/>
      </c>
      <c r="N7327" s="113"/>
    </row>
    <row r="7328" spans="2:14">
      <c r="B7328" s="105"/>
      <c r="C7328" s="106"/>
      <c r="D7328" s="107"/>
      <c r="E7328" s="65"/>
      <c r="F7328" s="64"/>
      <c r="G7328" s="64"/>
      <c r="H7328" s="64"/>
      <c r="I7328" s="70"/>
      <c r="J7328" s="70"/>
      <c r="K7328" s="110" t="str">
        <f>IF(H7328="","",IF($C$29="간이법","",FPR(H7328,I7328,J7328)))</f>
        <v/>
      </c>
      <c r="L7328" s="111" t="str">
        <f>IF(H7328="","",IF($C$29="상세법",FPV(H7328,K7328),IF(H7328="EI",4,IF(H7328="EO",5.2,IF(H7328="EQ",3.9,IF(H7328="ILF",7.5,IF(H7328="EIF",5.4)))))))</f>
        <v/>
      </c>
      <c r="M7328" s="112" t="str">
        <f t="shared" si="117"/>
        <v/>
      </c>
      <c r="N7328" s="113"/>
    </row>
    <row r="7329" spans="2:14">
      <c r="B7329" s="105"/>
      <c r="C7329" s="106"/>
      <c r="D7329" s="107"/>
      <c r="E7329" s="65"/>
      <c r="F7329" s="64"/>
      <c r="G7329" s="64"/>
      <c r="H7329" s="64"/>
      <c r="I7329" s="70"/>
      <c r="J7329" s="70"/>
      <c r="K7329" s="110" t="str">
        <f>IF(H7329="","",IF($C$29="간이법","",FPR(H7329,I7329,J7329)))</f>
        <v/>
      </c>
      <c r="L7329" s="111" t="str">
        <f>IF(H7329="","",IF($C$29="상세법",FPV(H7329,K7329),IF(H7329="EI",4,IF(H7329="EO",5.2,IF(H7329="EQ",3.9,IF(H7329="ILF",7.5,IF(H7329="EIF",5.4)))))))</f>
        <v/>
      </c>
      <c r="M7329" s="112" t="str">
        <f t="shared" si="117"/>
        <v/>
      </c>
      <c r="N7329" s="113"/>
    </row>
    <row r="7330" spans="2:14">
      <c r="B7330" s="105"/>
      <c r="C7330" s="106"/>
      <c r="D7330" s="107"/>
      <c r="E7330" s="65"/>
      <c r="F7330" s="64"/>
      <c r="G7330" s="64"/>
      <c r="H7330" s="64"/>
      <c r="I7330" s="70"/>
      <c r="J7330" s="70"/>
      <c r="K7330" s="110" t="str">
        <f>IF(H7330="","",IF($C$29="간이법","",FPR(H7330,I7330,J7330)))</f>
        <v/>
      </c>
      <c r="L7330" s="111" t="str">
        <f>IF(H7330="","",IF($C$29="상세법",FPV(H7330,K7330),IF(H7330="EI",4,IF(H7330="EO",5.2,IF(H7330="EQ",3.9,IF(H7330="ILF",7.5,IF(H7330="EIF",5.4)))))))</f>
        <v/>
      </c>
      <c r="M7330" s="112" t="str">
        <f t="shared" si="117"/>
        <v/>
      </c>
      <c r="N7330" s="113"/>
    </row>
    <row r="7331" spans="2:14">
      <c r="B7331" s="105"/>
      <c r="C7331" s="106"/>
      <c r="D7331" s="107"/>
      <c r="E7331" s="65"/>
      <c r="F7331" s="64"/>
      <c r="G7331" s="64"/>
      <c r="H7331" s="64"/>
      <c r="I7331" s="70"/>
      <c r="J7331" s="70"/>
      <c r="K7331" s="110" t="str">
        <f>IF(H7331="","",IF($C$29="간이법","",FPR(H7331,I7331,J7331)))</f>
        <v/>
      </c>
      <c r="L7331" s="111" t="str">
        <f>IF(H7331="","",IF($C$29="상세법",FPV(H7331,K7331),IF(H7331="EI",4,IF(H7331="EO",5.2,IF(H7331="EQ",3.9,IF(H7331="ILF",7.5,IF(H7331="EIF",5.4)))))))</f>
        <v/>
      </c>
      <c r="M7331" s="112" t="str">
        <f t="shared" si="117"/>
        <v/>
      </c>
      <c r="N7331" s="113"/>
    </row>
    <row r="7332" spans="2:14">
      <c r="B7332" s="105"/>
      <c r="C7332" s="106"/>
      <c r="D7332" s="107"/>
      <c r="E7332" s="65"/>
      <c r="F7332" s="64"/>
      <c r="G7332" s="64"/>
      <c r="H7332" s="64"/>
      <c r="I7332" s="70"/>
      <c r="J7332" s="70"/>
      <c r="K7332" s="110" t="str">
        <f>IF(H7332="","",IF($C$29="간이법","",FPR(H7332,I7332,J7332)))</f>
        <v/>
      </c>
      <c r="L7332" s="111" t="str">
        <f>IF(H7332="","",IF($C$29="상세법",FPV(H7332,K7332),IF(H7332="EI",4,IF(H7332="EO",5.2,IF(H7332="EQ",3.9,IF(H7332="ILF",7.5,IF(H7332="EIF",5.4)))))))</f>
        <v/>
      </c>
      <c r="M7332" s="112" t="str">
        <f t="shared" si="117"/>
        <v/>
      </c>
      <c r="N7332" s="113"/>
    </row>
    <row r="7333" spans="2:14">
      <c r="B7333" s="105"/>
      <c r="C7333" s="106"/>
      <c r="D7333" s="107"/>
      <c r="E7333" s="65"/>
      <c r="F7333" s="64"/>
      <c r="G7333" s="64"/>
      <c r="H7333" s="64"/>
      <c r="I7333" s="70"/>
      <c r="J7333" s="70"/>
      <c r="K7333" s="110" t="str">
        <f>IF(H7333="","",IF($C$29="간이법","",FPR(H7333,I7333,J7333)))</f>
        <v/>
      </c>
      <c r="L7333" s="111" t="str">
        <f>IF(H7333="","",IF($C$29="상세법",FPV(H7333,K7333),IF(H7333="EI",4,IF(H7333="EO",5.2,IF(H7333="EQ",3.9,IF(H7333="ILF",7.5,IF(H7333="EIF",5.4)))))))</f>
        <v/>
      </c>
      <c r="M7333" s="112" t="str">
        <f t="shared" si="117"/>
        <v/>
      </c>
      <c r="N7333" s="113"/>
    </row>
    <row r="7334" spans="2:14">
      <c r="B7334" s="105"/>
      <c r="C7334" s="106"/>
      <c r="D7334" s="107"/>
      <c r="E7334" s="65"/>
      <c r="F7334" s="64"/>
      <c r="G7334" s="64"/>
      <c r="H7334" s="64"/>
      <c r="I7334" s="70"/>
      <c r="J7334" s="70"/>
      <c r="K7334" s="110" t="str">
        <f>IF(H7334="","",IF($C$29="간이법","",FPR(H7334,I7334,J7334)))</f>
        <v/>
      </c>
      <c r="L7334" s="111" t="str">
        <f>IF(H7334="","",IF($C$29="상세법",FPV(H7334,K7334),IF(H7334="EI",4,IF(H7334="EO",5.2,IF(H7334="EQ",3.9,IF(H7334="ILF",7.5,IF(H7334="EIF",5.4)))))))</f>
        <v/>
      </c>
      <c r="M7334" s="112" t="str">
        <f t="shared" si="117"/>
        <v/>
      </c>
      <c r="N7334" s="113"/>
    </row>
    <row r="7335" spans="2:14">
      <c r="B7335" s="105"/>
      <c r="C7335" s="106"/>
      <c r="D7335" s="107"/>
      <c r="E7335" s="65"/>
      <c r="F7335" s="64"/>
      <c r="G7335" s="64"/>
      <c r="H7335" s="64"/>
      <c r="I7335" s="70"/>
      <c r="J7335" s="70"/>
      <c r="K7335" s="110" t="str">
        <f>IF(H7335="","",IF($C$29="간이법","",FPR(H7335,I7335,J7335)))</f>
        <v/>
      </c>
      <c r="L7335" s="111" t="str">
        <f>IF(H7335="","",IF($C$29="상세법",FPV(H7335,K7335),IF(H7335="EI",4,IF(H7335="EO",5.2,IF(H7335="EQ",3.9,IF(H7335="ILF",7.5,IF(H7335="EIF",5.4)))))))</f>
        <v/>
      </c>
      <c r="M7335" s="112" t="str">
        <f t="shared" si="117"/>
        <v/>
      </c>
      <c r="N7335" s="113"/>
    </row>
    <row r="7336" spans="2:14">
      <c r="B7336" s="105"/>
      <c r="C7336" s="106"/>
      <c r="D7336" s="107"/>
      <c r="E7336" s="65"/>
      <c r="F7336" s="64"/>
      <c r="G7336" s="64"/>
      <c r="H7336" s="64"/>
      <c r="I7336" s="70"/>
      <c r="J7336" s="70"/>
      <c r="K7336" s="110" t="str">
        <f>IF(H7336="","",IF($C$29="간이법","",FPR(H7336,I7336,J7336)))</f>
        <v/>
      </c>
      <c r="L7336" s="111" t="str">
        <f>IF(H7336="","",IF($C$29="상세법",FPV(H7336,K7336),IF(H7336="EI",4,IF(H7336="EO",5.2,IF(H7336="EQ",3.9,IF(H7336="ILF",7.5,IF(H7336="EIF",5.4)))))))</f>
        <v/>
      </c>
      <c r="M7336" s="112" t="str">
        <f t="shared" si="117"/>
        <v/>
      </c>
      <c r="N7336" s="113"/>
    </row>
    <row r="7337" spans="2:14">
      <c r="B7337" s="105"/>
      <c r="C7337" s="106"/>
      <c r="D7337" s="107"/>
      <c r="E7337" s="65"/>
      <c r="F7337" s="64"/>
      <c r="G7337" s="64"/>
      <c r="H7337" s="64"/>
      <c r="I7337" s="70"/>
      <c r="J7337" s="70"/>
      <c r="K7337" s="110" t="str">
        <f>IF(H7337="","",IF($C$29="간이법","",FPR(H7337,I7337,J7337)))</f>
        <v/>
      </c>
      <c r="L7337" s="111" t="str">
        <f>IF(H7337="","",IF($C$29="상세법",FPV(H7337,K7337),IF(H7337="EI",4,IF(H7337="EO",5.2,IF(H7337="EQ",3.9,IF(H7337="ILF",7.5,IF(H7337="EIF",5.4)))))))</f>
        <v/>
      </c>
      <c r="M7337" s="112" t="str">
        <f t="shared" si="117"/>
        <v/>
      </c>
      <c r="N7337" s="113"/>
    </row>
    <row r="7338" spans="2:14">
      <c r="B7338" s="105"/>
      <c r="C7338" s="106"/>
      <c r="D7338" s="107"/>
      <c r="E7338" s="65"/>
      <c r="F7338" s="64"/>
      <c r="G7338" s="64"/>
      <c r="H7338" s="64"/>
      <c r="I7338" s="70"/>
      <c r="J7338" s="70"/>
      <c r="K7338" s="110" t="str">
        <f>IF(H7338="","",IF($C$29="간이법","",FPR(H7338,I7338,J7338)))</f>
        <v/>
      </c>
      <c r="L7338" s="111" t="str">
        <f>IF(H7338="","",IF($C$29="상세법",FPV(H7338,K7338),IF(H7338="EI",4,IF(H7338="EO",5.2,IF(H7338="EQ",3.9,IF(H7338="ILF",7.5,IF(H7338="EIF",5.4)))))))</f>
        <v/>
      </c>
      <c r="M7338" s="112" t="str">
        <f t="shared" si="117"/>
        <v/>
      </c>
      <c r="N7338" s="113"/>
    </row>
    <row r="7339" spans="2:14">
      <c r="B7339" s="105"/>
      <c r="C7339" s="106"/>
      <c r="D7339" s="107"/>
      <c r="E7339" s="65"/>
      <c r="F7339" s="64"/>
      <c r="G7339" s="64"/>
      <c r="H7339" s="64"/>
      <c r="I7339" s="70"/>
      <c r="J7339" s="70"/>
      <c r="K7339" s="110" t="str">
        <f>IF(H7339="","",IF($C$29="간이법","",FPR(H7339,I7339,J7339)))</f>
        <v/>
      </c>
      <c r="L7339" s="111" t="str">
        <f>IF(H7339="","",IF($C$29="상세법",FPV(H7339,K7339),IF(H7339="EI",4,IF(H7339="EO",5.2,IF(H7339="EQ",3.9,IF(H7339="ILF",7.5,IF(H7339="EIF",5.4)))))))</f>
        <v/>
      </c>
      <c r="M7339" s="112" t="str">
        <f t="shared" si="117"/>
        <v/>
      </c>
      <c r="N7339" s="113"/>
    </row>
    <row r="7340" spans="2:14">
      <c r="B7340" s="105"/>
      <c r="C7340" s="106"/>
      <c r="D7340" s="107"/>
      <c r="E7340" s="65"/>
      <c r="F7340" s="64"/>
      <c r="G7340" s="64"/>
      <c r="H7340" s="64"/>
      <c r="I7340" s="70"/>
      <c r="J7340" s="70"/>
      <c r="K7340" s="110" t="str">
        <f>IF(H7340="","",IF($C$29="간이법","",FPR(H7340,I7340,J7340)))</f>
        <v/>
      </c>
      <c r="L7340" s="111" t="str">
        <f>IF(H7340="","",IF($C$29="상세법",FPV(H7340,K7340),IF(H7340="EI",4,IF(H7340="EO",5.2,IF(H7340="EQ",3.9,IF(H7340="ILF",7.5,IF(H7340="EIF",5.4)))))))</f>
        <v/>
      </c>
      <c r="M7340" s="112" t="str">
        <f t="shared" si="117"/>
        <v/>
      </c>
      <c r="N7340" s="113"/>
    </row>
    <row r="7341" spans="2:14">
      <c r="B7341" s="105"/>
      <c r="C7341" s="106"/>
      <c r="D7341" s="107"/>
      <c r="E7341" s="65"/>
      <c r="F7341" s="64"/>
      <c r="G7341" s="64"/>
      <c r="H7341" s="64"/>
      <c r="I7341" s="70"/>
      <c r="J7341" s="70"/>
      <c r="K7341" s="110" t="str">
        <f>IF(H7341="","",IF($C$29="간이법","",FPR(H7341,I7341,J7341)))</f>
        <v/>
      </c>
      <c r="L7341" s="111" t="str">
        <f>IF(H7341="","",IF($C$29="상세법",FPV(H7341,K7341),IF(H7341="EI",4,IF(H7341="EO",5.2,IF(H7341="EQ",3.9,IF(H7341="ILF",7.5,IF(H7341="EIF",5.4)))))))</f>
        <v/>
      </c>
      <c r="M7341" s="112" t="str">
        <f t="shared" si="117"/>
        <v/>
      </c>
      <c r="N7341" s="113"/>
    </row>
    <row r="7342" spans="2:14">
      <c r="B7342" s="105"/>
      <c r="C7342" s="106"/>
      <c r="D7342" s="107"/>
      <c r="E7342" s="65"/>
      <c r="F7342" s="64"/>
      <c r="G7342" s="64"/>
      <c r="H7342" s="64"/>
      <c r="I7342" s="70"/>
      <c r="J7342" s="70"/>
      <c r="K7342" s="110" t="str">
        <f>IF(H7342="","",IF($C$29="간이법","",FPR(H7342,I7342,J7342)))</f>
        <v/>
      </c>
      <c r="L7342" s="111" t="str">
        <f>IF(H7342="","",IF($C$29="상세법",FPV(H7342,K7342),IF(H7342="EI",4,IF(H7342="EO",5.2,IF(H7342="EQ",3.9,IF(H7342="ILF",7.5,IF(H7342="EIF",5.4)))))))</f>
        <v/>
      </c>
      <c r="M7342" s="112" t="str">
        <f t="shared" si="117"/>
        <v/>
      </c>
      <c r="N7342" s="113"/>
    </row>
    <row r="7343" spans="2:14">
      <c r="B7343" s="105"/>
      <c r="C7343" s="106"/>
      <c r="D7343" s="107"/>
      <c r="E7343" s="65"/>
      <c r="F7343" s="64"/>
      <c r="G7343" s="64"/>
      <c r="H7343" s="64"/>
      <c r="I7343" s="70"/>
      <c r="J7343" s="70"/>
      <c r="K7343" s="110" t="str">
        <f>IF(H7343="","",IF($C$29="간이법","",FPR(H7343,I7343,J7343)))</f>
        <v/>
      </c>
      <c r="L7343" s="111" t="str">
        <f>IF(H7343="","",IF($C$29="상세법",FPV(H7343,K7343),IF(H7343="EI",4,IF(H7343="EO",5.2,IF(H7343="EQ",3.9,IF(H7343="ILF",7.5,IF(H7343="EIF",5.4)))))))</f>
        <v/>
      </c>
      <c r="M7343" s="112" t="str">
        <f t="shared" si="117"/>
        <v/>
      </c>
      <c r="N7343" s="113"/>
    </row>
    <row r="7344" spans="2:14">
      <c r="B7344" s="105"/>
      <c r="C7344" s="106"/>
      <c r="D7344" s="107"/>
      <c r="E7344" s="65"/>
      <c r="F7344" s="64"/>
      <c r="G7344" s="64"/>
      <c r="H7344" s="64"/>
      <c r="I7344" s="70"/>
      <c r="J7344" s="70"/>
      <c r="K7344" s="110" t="str">
        <f>IF(H7344="","",IF($C$29="간이법","",FPR(H7344,I7344,J7344)))</f>
        <v/>
      </c>
      <c r="L7344" s="111" t="str">
        <f>IF(H7344="","",IF($C$29="상세법",FPV(H7344,K7344),IF(H7344="EI",4,IF(H7344="EO",5.2,IF(H7344="EQ",3.9,IF(H7344="ILF",7.5,IF(H7344="EIF",5.4)))))))</f>
        <v/>
      </c>
      <c r="M7344" s="112" t="str">
        <f t="shared" si="117"/>
        <v/>
      </c>
      <c r="N7344" s="113"/>
    </row>
    <row r="7345" spans="2:14">
      <c r="B7345" s="105"/>
      <c r="C7345" s="106"/>
      <c r="D7345" s="107"/>
      <c r="E7345" s="65"/>
      <c r="F7345" s="64"/>
      <c r="G7345" s="64"/>
      <c r="H7345" s="64"/>
      <c r="I7345" s="70"/>
      <c r="J7345" s="70"/>
      <c r="K7345" s="110" t="str">
        <f>IF(H7345="","",IF($C$29="간이법","",FPR(H7345,I7345,J7345)))</f>
        <v/>
      </c>
      <c r="L7345" s="111" t="str">
        <f>IF(H7345="","",IF($C$29="상세법",FPV(H7345,K7345),IF(H7345="EI",4,IF(H7345="EO",5.2,IF(H7345="EQ",3.9,IF(H7345="ILF",7.5,IF(H7345="EIF",5.4)))))))</f>
        <v/>
      </c>
      <c r="M7345" s="112" t="str">
        <f t="shared" si="117"/>
        <v/>
      </c>
      <c r="N7345" s="113"/>
    </row>
    <row r="7346" spans="2:14">
      <c r="B7346" s="105"/>
      <c r="C7346" s="106"/>
      <c r="D7346" s="107"/>
      <c r="E7346" s="65"/>
      <c r="F7346" s="64"/>
      <c r="G7346" s="64"/>
      <c r="H7346" s="64"/>
      <c r="I7346" s="70"/>
      <c r="J7346" s="70"/>
      <c r="K7346" s="110" t="str">
        <f>IF(H7346="","",IF($C$29="간이법","",FPR(H7346,I7346,J7346)))</f>
        <v/>
      </c>
      <c r="L7346" s="111" t="str">
        <f>IF(H7346="","",IF($C$29="상세법",FPV(H7346,K7346),IF(H7346="EI",4,IF(H7346="EO",5.2,IF(H7346="EQ",3.9,IF(H7346="ILF",7.5,IF(H7346="EIF",5.4)))))))</f>
        <v/>
      </c>
      <c r="M7346" s="112" t="str">
        <f t="shared" si="117"/>
        <v/>
      </c>
      <c r="N7346" s="113"/>
    </row>
    <row r="7347" spans="2:14">
      <c r="B7347" s="105"/>
      <c r="C7347" s="106"/>
      <c r="D7347" s="107"/>
      <c r="E7347" s="65"/>
      <c r="F7347" s="64"/>
      <c r="G7347" s="64"/>
      <c r="H7347" s="64"/>
      <c r="I7347" s="70"/>
      <c r="J7347" s="70"/>
      <c r="K7347" s="110" t="str">
        <f>IF(H7347="","",IF($C$29="간이법","",FPR(H7347,I7347,J7347)))</f>
        <v/>
      </c>
      <c r="L7347" s="111" t="str">
        <f>IF(H7347="","",IF($C$29="상세법",FPV(H7347,K7347),IF(H7347="EI",4,IF(H7347="EO",5.2,IF(H7347="EQ",3.9,IF(H7347="ILF",7.5,IF(H7347="EIF",5.4)))))))</f>
        <v/>
      </c>
      <c r="M7347" s="112" t="str">
        <f t="shared" si="117"/>
        <v/>
      </c>
      <c r="N7347" s="113"/>
    </row>
    <row r="7348" spans="2:14">
      <c r="B7348" s="105"/>
      <c r="C7348" s="106"/>
      <c r="D7348" s="107"/>
      <c r="E7348" s="65"/>
      <c r="F7348" s="64"/>
      <c r="G7348" s="64"/>
      <c r="H7348" s="64"/>
      <c r="I7348" s="70"/>
      <c r="J7348" s="70"/>
      <c r="K7348" s="110" t="str">
        <f>IF(H7348="","",IF($C$29="간이법","",FPR(H7348,I7348,J7348)))</f>
        <v/>
      </c>
      <c r="L7348" s="111" t="str">
        <f>IF(H7348="","",IF($C$29="상세법",FPV(H7348,K7348),IF(H7348="EI",4,IF(H7348="EO",5.2,IF(H7348="EQ",3.9,IF(H7348="ILF",7.5,IF(H7348="EIF",5.4)))))))</f>
        <v/>
      </c>
      <c r="M7348" s="112" t="str">
        <f t="shared" si="117"/>
        <v/>
      </c>
      <c r="N7348" s="113"/>
    </row>
    <row r="7349" spans="2:14">
      <c r="B7349" s="105"/>
      <c r="C7349" s="106"/>
      <c r="D7349" s="107"/>
      <c r="E7349" s="65"/>
      <c r="F7349" s="64"/>
      <c r="G7349" s="64"/>
      <c r="H7349" s="64"/>
      <c r="I7349" s="70"/>
      <c r="J7349" s="70"/>
      <c r="K7349" s="110" t="str">
        <f>IF(H7349="","",IF($C$29="간이법","",FPR(H7349,I7349,J7349)))</f>
        <v/>
      </c>
      <c r="L7349" s="111" t="str">
        <f>IF(H7349="","",IF($C$29="상세법",FPV(H7349,K7349),IF(H7349="EI",4,IF(H7349="EO",5.2,IF(H7349="EQ",3.9,IF(H7349="ILF",7.5,IF(H7349="EIF",5.4)))))))</f>
        <v/>
      </c>
      <c r="M7349" s="112" t="str">
        <f t="shared" si="117"/>
        <v/>
      </c>
      <c r="N7349" s="113"/>
    </row>
    <row r="7350" spans="2:14">
      <c r="B7350" s="105"/>
      <c r="C7350" s="106"/>
      <c r="D7350" s="107"/>
      <c r="E7350" s="65"/>
      <c r="F7350" s="64"/>
      <c r="G7350" s="64"/>
      <c r="H7350" s="64"/>
      <c r="I7350" s="70"/>
      <c r="J7350" s="70"/>
      <c r="K7350" s="110" t="str">
        <f>IF(H7350="","",IF($C$29="간이법","",FPR(H7350,I7350,J7350)))</f>
        <v/>
      </c>
      <c r="L7350" s="111" t="str">
        <f>IF(H7350="","",IF($C$29="상세법",FPV(H7350,K7350),IF(H7350="EI",4,IF(H7350="EO",5.2,IF(H7350="EQ",3.9,IF(H7350="ILF",7.5,IF(H7350="EIF",5.4)))))))</f>
        <v/>
      </c>
      <c r="M7350" s="112" t="str">
        <f t="shared" si="117"/>
        <v/>
      </c>
      <c r="N7350" s="113"/>
    </row>
    <row r="7351" spans="2:14">
      <c r="B7351" s="105"/>
      <c r="C7351" s="106"/>
      <c r="D7351" s="107"/>
      <c r="E7351" s="65"/>
      <c r="F7351" s="64"/>
      <c r="G7351" s="64"/>
      <c r="H7351" s="64"/>
      <c r="I7351" s="70"/>
      <c r="J7351" s="70"/>
      <c r="K7351" s="110" t="str">
        <f>IF(H7351="","",IF($C$29="간이법","",FPR(H7351,I7351,J7351)))</f>
        <v/>
      </c>
      <c r="L7351" s="111" t="str">
        <f>IF(H7351="","",IF($C$29="상세법",FPV(H7351,K7351),IF(H7351="EI",4,IF(H7351="EO",5.2,IF(H7351="EQ",3.9,IF(H7351="ILF",7.5,IF(H7351="EIF",5.4)))))))</f>
        <v/>
      </c>
      <c r="M7351" s="112" t="str">
        <f t="shared" si="117"/>
        <v/>
      </c>
      <c r="N7351" s="113"/>
    </row>
    <row r="7352" spans="2:14">
      <c r="B7352" s="105"/>
      <c r="C7352" s="106"/>
      <c r="D7352" s="107"/>
      <c r="E7352" s="65"/>
      <c r="F7352" s="64"/>
      <c r="G7352" s="64"/>
      <c r="H7352" s="64"/>
      <c r="I7352" s="70"/>
      <c r="J7352" s="70"/>
      <c r="K7352" s="110" t="str">
        <f>IF(H7352="","",IF($C$29="간이법","",FPR(H7352,I7352,J7352)))</f>
        <v/>
      </c>
      <c r="L7352" s="111" t="str">
        <f>IF(H7352="","",IF($C$29="상세법",FPV(H7352,K7352),IF(H7352="EI",4,IF(H7352="EO",5.2,IF(H7352="EQ",3.9,IF(H7352="ILF",7.5,IF(H7352="EIF",5.4)))))))</f>
        <v/>
      </c>
      <c r="M7352" s="112" t="str">
        <f t="shared" si="117"/>
        <v/>
      </c>
      <c r="N7352" s="113"/>
    </row>
    <row r="7353" spans="2:14">
      <c r="B7353" s="105"/>
      <c r="C7353" s="106"/>
      <c r="D7353" s="107"/>
      <c r="E7353" s="65"/>
      <c r="F7353" s="64"/>
      <c r="G7353" s="64"/>
      <c r="H7353" s="64"/>
      <c r="I7353" s="70"/>
      <c r="J7353" s="70"/>
      <c r="K7353" s="110" t="str">
        <f>IF(H7353="","",IF($C$29="간이법","",FPR(H7353,I7353,J7353)))</f>
        <v/>
      </c>
      <c r="L7353" s="111" t="str">
        <f>IF(H7353="","",IF($C$29="상세법",FPV(H7353,K7353),IF(H7353="EI",4,IF(H7353="EO",5.2,IF(H7353="EQ",3.9,IF(H7353="ILF",7.5,IF(H7353="EIF",5.4)))))))</f>
        <v/>
      </c>
      <c r="M7353" s="112" t="str">
        <f t="shared" ref="M7353:M7416" si="118">IF(L7353="","",L7353*IF(G7353="상",0.7,IF(G7353="중",0.5,IF(G7353="하",0.2,1))))</f>
        <v/>
      </c>
      <c r="N7353" s="113"/>
    </row>
    <row r="7354" spans="2:14">
      <c r="B7354" s="105"/>
      <c r="C7354" s="106"/>
      <c r="D7354" s="107"/>
      <c r="E7354" s="65"/>
      <c r="F7354" s="64"/>
      <c r="G7354" s="64"/>
      <c r="H7354" s="64"/>
      <c r="I7354" s="70"/>
      <c r="J7354" s="70"/>
      <c r="K7354" s="110" t="str">
        <f>IF(H7354="","",IF($C$29="간이법","",FPR(H7354,I7354,J7354)))</f>
        <v/>
      </c>
      <c r="L7354" s="111" t="str">
        <f>IF(H7354="","",IF($C$29="상세법",FPV(H7354,K7354),IF(H7354="EI",4,IF(H7354="EO",5.2,IF(H7354="EQ",3.9,IF(H7354="ILF",7.5,IF(H7354="EIF",5.4)))))))</f>
        <v/>
      </c>
      <c r="M7354" s="112" t="str">
        <f t="shared" si="118"/>
        <v/>
      </c>
      <c r="N7354" s="113"/>
    </row>
    <row r="7355" spans="2:14">
      <c r="B7355" s="105"/>
      <c r="C7355" s="106"/>
      <c r="D7355" s="107"/>
      <c r="E7355" s="65"/>
      <c r="F7355" s="64"/>
      <c r="G7355" s="64"/>
      <c r="H7355" s="64"/>
      <c r="I7355" s="70"/>
      <c r="J7355" s="70"/>
      <c r="K7355" s="110" t="str">
        <f>IF(H7355="","",IF($C$29="간이법","",FPR(H7355,I7355,J7355)))</f>
        <v/>
      </c>
      <c r="L7355" s="111" t="str">
        <f>IF(H7355="","",IF($C$29="상세법",FPV(H7355,K7355),IF(H7355="EI",4,IF(H7355="EO",5.2,IF(H7355="EQ",3.9,IF(H7355="ILF",7.5,IF(H7355="EIF",5.4)))))))</f>
        <v/>
      </c>
      <c r="M7355" s="112" t="str">
        <f t="shared" si="118"/>
        <v/>
      </c>
      <c r="N7355" s="113"/>
    </row>
    <row r="7356" spans="2:14">
      <c r="B7356" s="105"/>
      <c r="C7356" s="106"/>
      <c r="D7356" s="107"/>
      <c r="E7356" s="65"/>
      <c r="F7356" s="64"/>
      <c r="G7356" s="64"/>
      <c r="H7356" s="64"/>
      <c r="I7356" s="70"/>
      <c r="J7356" s="70"/>
      <c r="K7356" s="110" t="str">
        <f>IF(H7356="","",IF($C$29="간이법","",FPR(H7356,I7356,J7356)))</f>
        <v/>
      </c>
      <c r="L7356" s="111" t="str">
        <f>IF(H7356="","",IF($C$29="상세법",FPV(H7356,K7356),IF(H7356="EI",4,IF(H7356="EO",5.2,IF(H7356="EQ",3.9,IF(H7356="ILF",7.5,IF(H7356="EIF",5.4)))))))</f>
        <v/>
      </c>
      <c r="M7356" s="112" t="str">
        <f t="shared" si="118"/>
        <v/>
      </c>
      <c r="N7356" s="113"/>
    </row>
    <row r="7357" spans="2:14">
      <c r="B7357" s="105"/>
      <c r="C7357" s="106"/>
      <c r="D7357" s="107"/>
      <c r="E7357" s="65"/>
      <c r="F7357" s="64"/>
      <c r="G7357" s="64"/>
      <c r="H7357" s="64"/>
      <c r="I7357" s="70"/>
      <c r="J7357" s="70"/>
      <c r="K7357" s="110" t="str">
        <f>IF(H7357="","",IF($C$29="간이법","",FPR(H7357,I7357,J7357)))</f>
        <v/>
      </c>
      <c r="L7357" s="111" t="str">
        <f>IF(H7357="","",IF($C$29="상세법",FPV(H7357,K7357),IF(H7357="EI",4,IF(H7357="EO",5.2,IF(H7357="EQ",3.9,IF(H7357="ILF",7.5,IF(H7357="EIF",5.4)))))))</f>
        <v/>
      </c>
      <c r="M7357" s="112" t="str">
        <f t="shared" si="118"/>
        <v/>
      </c>
      <c r="N7357" s="113"/>
    </row>
    <row r="7358" spans="2:14">
      <c r="B7358" s="105"/>
      <c r="C7358" s="106"/>
      <c r="D7358" s="107"/>
      <c r="E7358" s="65"/>
      <c r="F7358" s="64"/>
      <c r="G7358" s="64"/>
      <c r="H7358" s="64"/>
      <c r="I7358" s="70"/>
      <c r="J7358" s="70"/>
      <c r="K7358" s="110" t="str">
        <f>IF(H7358="","",IF($C$29="간이법","",FPR(H7358,I7358,J7358)))</f>
        <v/>
      </c>
      <c r="L7358" s="111" t="str">
        <f>IF(H7358="","",IF($C$29="상세법",FPV(H7358,K7358),IF(H7358="EI",4,IF(H7358="EO",5.2,IF(H7358="EQ",3.9,IF(H7358="ILF",7.5,IF(H7358="EIF",5.4)))))))</f>
        <v/>
      </c>
      <c r="M7358" s="112" t="str">
        <f t="shared" si="118"/>
        <v/>
      </c>
      <c r="N7358" s="113"/>
    </row>
    <row r="7359" spans="2:14">
      <c r="B7359" s="105"/>
      <c r="C7359" s="106"/>
      <c r="D7359" s="107"/>
      <c r="E7359" s="65"/>
      <c r="F7359" s="64"/>
      <c r="G7359" s="64"/>
      <c r="H7359" s="64"/>
      <c r="I7359" s="70"/>
      <c r="J7359" s="70"/>
      <c r="K7359" s="110" t="str">
        <f>IF(H7359="","",IF($C$29="간이법","",FPR(H7359,I7359,J7359)))</f>
        <v/>
      </c>
      <c r="L7359" s="111" t="str">
        <f>IF(H7359="","",IF($C$29="상세법",FPV(H7359,K7359),IF(H7359="EI",4,IF(H7359="EO",5.2,IF(H7359="EQ",3.9,IF(H7359="ILF",7.5,IF(H7359="EIF",5.4)))))))</f>
        <v/>
      </c>
      <c r="M7359" s="112" t="str">
        <f t="shared" si="118"/>
        <v/>
      </c>
      <c r="N7359" s="113"/>
    </row>
    <row r="7360" spans="2:14">
      <c r="B7360" s="105"/>
      <c r="C7360" s="106"/>
      <c r="D7360" s="107"/>
      <c r="E7360" s="65"/>
      <c r="F7360" s="64"/>
      <c r="G7360" s="64"/>
      <c r="H7360" s="64"/>
      <c r="I7360" s="70"/>
      <c r="J7360" s="70"/>
      <c r="K7360" s="110" t="str">
        <f>IF(H7360="","",IF($C$29="간이법","",FPR(H7360,I7360,J7360)))</f>
        <v/>
      </c>
      <c r="L7360" s="111" t="str">
        <f>IF(H7360="","",IF($C$29="상세법",FPV(H7360,K7360),IF(H7360="EI",4,IF(H7360="EO",5.2,IF(H7360="EQ",3.9,IF(H7360="ILF",7.5,IF(H7360="EIF",5.4)))))))</f>
        <v/>
      </c>
      <c r="M7360" s="112" t="str">
        <f t="shared" si="118"/>
        <v/>
      </c>
      <c r="N7360" s="113"/>
    </row>
    <row r="7361" spans="2:14">
      <c r="B7361" s="105"/>
      <c r="C7361" s="106"/>
      <c r="D7361" s="107"/>
      <c r="E7361" s="65"/>
      <c r="F7361" s="64"/>
      <c r="G7361" s="64"/>
      <c r="H7361" s="64"/>
      <c r="I7361" s="70"/>
      <c r="J7361" s="70"/>
      <c r="K7361" s="110" t="str">
        <f>IF(H7361="","",IF($C$29="간이법","",FPR(H7361,I7361,J7361)))</f>
        <v/>
      </c>
      <c r="L7361" s="111" t="str">
        <f>IF(H7361="","",IF($C$29="상세법",FPV(H7361,K7361),IF(H7361="EI",4,IF(H7361="EO",5.2,IF(H7361="EQ",3.9,IF(H7361="ILF",7.5,IF(H7361="EIF",5.4)))))))</f>
        <v/>
      </c>
      <c r="M7361" s="112" t="str">
        <f t="shared" si="118"/>
        <v/>
      </c>
      <c r="N7361" s="113"/>
    </row>
    <row r="7362" spans="2:14">
      <c r="B7362" s="105"/>
      <c r="C7362" s="106"/>
      <c r="D7362" s="107"/>
      <c r="E7362" s="65"/>
      <c r="F7362" s="64"/>
      <c r="G7362" s="64"/>
      <c r="H7362" s="64"/>
      <c r="I7362" s="70"/>
      <c r="J7362" s="70"/>
      <c r="K7362" s="110" t="str">
        <f>IF(H7362="","",IF($C$29="간이법","",FPR(H7362,I7362,J7362)))</f>
        <v/>
      </c>
      <c r="L7362" s="111" t="str">
        <f>IF(H7362="","",IF($C$29="상세법",FPV(H7362,K7362),IF(H7362="EI",4,IF(H7362="EO",5.2,IF(H7362="EQ",3.9,IF(H7362="ILF",7.5,IF(H7362="EIF",5.4)))))))</f>
        <v/>
      </c>
      <c r="M7362" s="112" t="str">
        <f t="shared" si="118"/>
        <v/>
      </c>
      <c r="N7362" s="113"/>
    </row>
    <row r="7363" spans="2:14">
      <c r="B7363" s="105"/>
      <c r="C7363" s="106"/>
      <c r="D7363" s="107"/>
      <c r="E7363" s="65"/>
      <c r="F7363" s="64"/>
      <c r="G7363" s="64"/>
      <c r="H7363" s="64"/>
      <c r="I7363" s="70"/>
      <c r="J7363" s="70"/>
      <c r="K7363" s="110" t="str">
        <f>IF(H7363="","",IF($C$29="간이법","",FPR(H7363,I7363,J7363)))</f>
        <v/>
      </c>
      <c r="L7363" s="111" t="str">
        <f>IF(H7363="","",IF($C$29="상세법",FPV(H7363,K7363),IF(H7363="EI",4,IF(H7363="EO",5.2,IF(H7363="EQ",3.9,IF(H7363="ILF",7.5,IF(H7363="EIF",5.4)))))))</f>
        <v/>
      </c>
      <c r="M7363" s="112" t="str">
        <f t="shared" si="118"/>
        <v/>
      </c>
      <c r="N7363" s="113"/>
    </row>
    <row r="7364" spans="2:14">
      <c r="B7364" s="105"/>
      <c r="C7364" s="106"/>
      <c r="D7364" s="107"/>
      <c r="E7364" s="65"/>
      <c r="F7364" s="64"/>
      <c r="G7364" s="64"/>
      <c r="H7364" s="64"/>
      <c r="I7364" s="70"/>
      <c r="J7364" s="70"/>
      <c r="K7364" s="110" t="str">
        <f>IF(H7364="","",IF($C$29="간이법","",FPR(H7364,I7364,J7364)))</f>
        <v/>
      </c>
      <c r="L7364" s="111" t="str">
        <f>IF(H7364="","",IF($C$29="상세법",FPV(H7364,K7364),IF(H7364="EI",4,IF(H7364="EO",5.2,IF(H7364="EQ",3.9,IF(H7364="ILF",7.5,IF(H7364="EIF",5.4)))))))</f>
        <v/>
      </c>
      <c r="M7364" s="112" t="str">
        <f t="shared" si="118"/>
        <v/>
      </c>
      <c r="N7364" s="113"/>
    </row>
    <row r="7365" spans="2:14">
      <c r="B7365" s="105"/>
      <c r="C7365" s="106"/>
      <c r="D7365" s="107"/>
      <c r="E7365" s="65"/>
      <c r="F7365" s="64"/>
      <c r="G7365" s="64"/>
      <c r="H7365" s="64"/>
      <c r="I7365" s="70"/>
      <c r="J7365" s="70"/>
      <c r="K7365" s="110" t="str">
        <f>IF(H7365="","",IF($C$29="간이법","",FPR(H7365,I7365,J7365)))</f>
        <v/>
      </c>
      <c r="L7365" s="111" t="str">
        <f>IF(H7365="","",IF($C$29="상세법",FPV(H7365,K7365),IF(H7365="EI",4,IF(H7365="EO",5.2,IF(H7365="EQ",3.9,IF(H7365="ILF",7.5,IF(H7365="EIF",5.4)))))))</f>
        <v/>
      </c>
      <c r="M7365" s="112" t="str">
        <f t="shared" si="118"/>
        <v/>
      </c>
      <c r="N7365" s="113"/>
    </row>
    <row r="7366" spans="2:14">
      <c r="B7366" s="105"/>
      <c r="C7366" s="106"/>
      <c r="D7366" s="107"/>
      <c r="E7366" s="65"/>
      <c r="F7366" s="64"/>
      <c r="G7366" s="64"/>
      <c r="H7366" s="64"/>
      <c r="I7366" s="70"/>
      <c r="J7366" s="70"/>
      <c r="K7366" s="110" t="str">
        <f>IF(H7366="","",IF($C$29="간이법","",FPR(H7366,I7366,J7366)))</f>
        <v/>
      </c>
      <c r="L7366" s="111" t="str">
        <f>IF(H7366="","",IF($C$29="상세법",FPV(H7366,K7366),IF(H7366="EI",4,IF(H7366="EO",5.2,IF(H7366="EQ",3.9,IF(H7366="ILF",7.5,IF(H7366="EIF",5.4)))))))</f>
        <v/>
      </c>
      <c r="M7366" s="112" t="str">
        <f t="shared" si="118"/>
        <v/>
      </c>
      <c r="N7366" s="113"/>
    </row>
    <row r="7367" spans="2:14">
      <c r="B7367" s="105"/>
      <c r="C7367" s="106"/>
      <c r="D7367" s="107"/>
      <c r="E7367" s="65"/>
      <c r="F7367" s="64"/>
      <c r="G7367" s="64"/>
      <c r="H7367" s="64"/>
      <c r="I7367" s="70"/>
      <c r="J7367" s="70"/>
      <c r="K7367" s="110" t="str">
        <f>IF(H7367="","",IF($C$29="간이법","",FPR(H7367,I7367,J7367)))</f>
        <v/>
      </c>
      <c r="L7367" s="111" t="str">
        <f>IF(H7367="","",IF($C$29="상세법",FPV(H7367,K7367),IF(H7367="EI",4,IF(H7367="EO",5.2,IF(H7367="EQ",3.9,IF(H7367="ILF",7.5,IF(H7367="EIF",5.4)))))))</f>
        <v/>
      </c>
      <c r="M7367" s="112" t="str">
        <f t="shared" si="118"/>
        <v/>
      </c>
      <c r="N7367" s="113"/>
    </row>
    <row r="7368" spans="2:14">
      <c r="B7368" s="105"/>
      <c r="C7368" s="106"/>
      <c r="D7368" s="107"/>
      <c r="E7368" s="65"/>
      <c r="F7368" s="64"/>
      <c r="G7368" s="64"/>
      <c r="H7368" s="64"/>
      <c r="I7368" s="70"/>
      <c r="J7368" s="70"/>
      <c r="K7368" s="110" t="str">
        <f>IF(H7368="","",IF($C$29="간이법","",FPR(H7368,I7368,J7368)))</f>
        <v/>
      </c>
      <c r="L7368" s="111" t="str">
        <f>IF(H7368="","",IF($C$29="상세법",FPV(H7368,K7368),IF(H7368="EI",4,IF(H7368="EO",5.2,IF(H7368="EQ",3.9,IF(H7368="ILF",7.5,IF(H7368="EIF",5.4)))))))</f>
        <v/>
      </c>
      <c r="M7368" s="112" t="str">
        <f t="shared" si="118"/>
        <v/>
      </c>
      <c r="N7368" s="113"/>
    </row>
    <row r="7369" spans="2:14">
      <c r="B7369" s="105"/>
      <c r="C7369" s="106"/>
      <c r="D7369" s="107"/>
      <c r="E7369" s="65"/>
      <c r="F7369" s="64"/>
      <c r="G7369" s="64"/>
      <c r="H7369" s="64"/>
      <c r="I7369" s="70"/>
      <c r="J7369" s="70"/>
      <c r="K7369" s="110" t="str">
        <f>IF(H7369="","",IF($C$29="간이법","",FPR(H7369,I7369,J7369)))</f>
        <v/>
      </c>
      <c r="L7369" s="111" t="str">
        <f>IF(H7369="","",IF($C$29="상세법",FPV(H7369,K7369),IF(H7369="EI",4,IF(H7369="EO",5.2,IF(H7369="EQ",3.9,IF(H7369="ILF",7.5,IF(H7369="EIF",5.4)))))))</f>
        <v/>
      </c>
      <c r="M7369" s="112" t="str">
        <f t="shared" si="118"/>
        <v/>
      </c>
      <c r="N7369" s="113"/>
    </row>
    <row r="7370" spans="2:14">
      <c r="B7370" s="105"/>
      <c r="C7370" s="106"/>
      <c r="D7370" s="107"/>
      <c r="E7370" s="65"/>
      <c r="F7370" s="64"/>
      <c r="G7370" s="64"/>
      <c r="H7370" s="64"/>
      <c r="I7370" s="70"/>
      <c r="J7370" s="70"/>
      <c r="K7370" s="110" t="str">
        <f>IF(H7370="","",IF($C$29="간이법","",FPR(H7370,I7370,J7370)))</f>
        <v/>
      </c>
      <c r="L7370" s="111" t="str">
        <f>IF(H7370="","",IF($C$29="상세법",FPV(H7370,K7370),IF(H7370="EI",4,IF(H7370="EO",5.2,IF(H7370="EQ",3.9,IF(H7370="ILF",7.5,IF(H7370="EIF",5.4)))))))</f>
        <v/>
      </c>
      <c r="M7370" s="112" t="str">
        <f t="shared" si="118"/>
        <v/>
      </c>
      <c r="N7370" s="113"/>
    </row>
    <row r="7371" spans="2:14">
      <c r="B7371" s="105"/>
      <c r="C7371" s="106"/>
      <c r="D7371" s="107"/>
      <c r="E7371" s="65"/>
      <c r="F7371" s="64"/>
      <c r="G7371" s="64"/>
      <c r="H7371" s="64"/>
      <c r="I7371" s="70"/>
      <c r="J7371" s="70"/>
      <c r="K7371" s="110" t="str">
        <f>IF(H7371="","",IF($C$29="간이법","",FPR(H7371,I7371,J7371)))</f>
        <v/>
      </c>
      <c r="L7371" s="111" t="str">
        <f>IF(H7371="","",IF($C$29="상세법",FPV(H7371,K7371),IF(H7371="EI",4,IF(H7371="EO",5.2,IF(H7371="EQ",3.9,IF(H7371="ILF",7.5,IF(H7371="EIF",5.4)))))))</f>
        <v/>
      </c>
      <c r="M7371" s="112" t="str">
        <f t="shared" si="118"/>
        <v/>
      </c>
      <c r="N7371" s="113"/>
    </row>
    <row r="7372" spans="2:14">
      <c r="B7372" s="105"/>
      <c r="C7372" s="106"/>
      <c r="D7372" s="107"/>
      <c r="E7372" s="65"/>
      <c r="F7372" s="64"/>
      <c r="G7372" s="64"/>
      <c r="H7372" s="64"/>
      <c r="I7372" s="70"/>
      <c r="J7372" s="70"/>
      <c r="K7372" s="110" t="str">
        <f>IF(H7372="","",IF($C$29="간이법","",FPR(H7372,I7372,J7372)))</f>
        <v/>
      </c>
      <c r="L7372" s="111" t="str">
        <f>IF(H7372="","",IF($C$29="상세법",FPV(H7372,K7372),IF(H7372="EI",4,IF(H7372="EO",5.2,IF(H7372="EQ",3.9,IF(H7372="ILF",7.5,IF(H7372="EIF",5.4)))))))</f>
        <v/>
      </c>
      <c r="M7372" s="112" t="str">
        <f t="shared" si="118"/>
        <v/>
      </c>
      <c r="N7372" s="113"/>
    </row>
    <row r="7373" spans="2:14">
      <c r="B7373" s="105"/>
      <c r="C7373" s="106"/>
      <c r="D7373" s="107"/>
      <c r="E7373" s="65"/>
      <c r="F7373" s="64"/>
      <c r="G7373" s="64"/>
      <c r="H7373" s="64"/>
      <c r="I7373" s="70"/>
      <c r="J7373" s="70"/>
      <c r="K7373" s="110" t="str">
        <f>IF(H7373="","",IF($C$29="간이법","",FPR(H7373,I7373,J7373)))</f>
        <v/>
      </c>
      <c r="L7373" s="111" t="str">
        <f>IF(H7373="","",IF($C$29="상세법",FPV(H7373,K7373),IF(H7373="EI",4,IF(H7373="EO",5.2,IF(H7373="EQ",3.9,IF(H7373="ILF",7.5,IF(H7373="EIF",5.4)))))))</f>
        <v/>
      </c>
      <c r="M7373" s="112" t="str">
        <f t="shared" si="118"/>
        <v/>
      </c>
      <c r="N7373" s="113"/>
    </row>
    <row r="7374" spans="2:14">
      <c r="B7374" s="105"/>
      <c r="C7374" s="106"/>
      <c r="D7374" s="107"/>
      <c r="E7374" s="65"/>
      <c r="F7374" s="64"/>
      <c r="G7374" s="64"/>
      <c r="H7374" s="64"/>
      <c r="I7374" s="70"/>
      <c r="J7374" s="70"/>
      <c r="K7374" s="110" t="str">
        <f>IF(H7374="","",IF($C$29="간이법","",FPR(H7374,I7374,J7374)))</f>
        <v/>
      </c>
      <c r="L7374" s="111" t="str">
        <f>IF(H7374="","",IF($C$29="상세법",FPV(H7374,K7374),IF(H7374="EI",4,IF(H7374="EO",5.2,IF(H7374="EQ",3.9,IF(H7374="ILF",7.5,IF(H7374="EIF",5.4)))))))</f>
        <v/>
      </c>
      <c r="M7374" s="112" t="str">
        <f t="shared" si="118"/>
        <v/>
      </c>
      <c r="N7374" s="113"/>
    </row>
    <row r="7375" spans="2:14">
      <c r="B7375" s="105"/>
      <c r="C7375" s="106"/>
      <c r="D7375" s="107"/>
      <c r="E7375" s="65"/>
      <c r="F7375" s="64"/>
      <c r="G7375" s="64"/>
      <c r="H7375" s="64"/>
      <c r="I7375" s="70"/>
      <c r="J7375" s="70"/>
      <c r="K7375" s="110" t="str">
        <f>IF(H7375="","",IF($C$29="간이법","",FPR(H7375,I7375,J7375)))</f>
        <v/>
      </c>
      <c r="L7375" s="111" t="str">
        <f>IF(H7375="","",IF($C$29="상세법",FPV(H7375,K7375),IF(H7375="EI",4,IF(H7375="EO",5.2,IF(H7375="EQ",3.9,IF(H7375="ILF",7.5,IF(H7375="EIF",5.4)))))))</f>
        <v/>
      </c>
      <c r="M7375" s="112" t="str">
        <f t="shared" si="118"/>
        <v/>
      </c>
      <c r="N7375" s="113"/>
    </row>
    <row r="7376" spans="2:14">
      <c r="B7376" s="105"/>
      <c r="C7376" s="106"/>
      <c r="D7376" s="107"/>
      <c r="E7376" s="65"/>
      <c r="F7376" s="64"/>
      <c r="G7376" s="64"/>
      <c r="H7376" s="64"/>
      <c r="I7376" s="70"/>
      <c r="J7376" s="70"/>
      <c r="K7376" s="110" t="str">
        <f>IF(H7376="","",IF($C$29="간이법","",FPR(H7376,I7376,J7376)))</f>
        <v/>
      </c>
      <c r="L7376" s="111" t="str">
        <f>IF(H7376="","",IF($C$29="상세법",FPV(H7376,K7376),IF(H7376="EI",4,IF(H7376="EO",5.2,IF(H7376="EQ",3.9,IF(H7376="ILF",7.5,IF(H7376="EIF",5.4)))))))</f>
        <v/>
      </c>
      <c r="M7376" s="112" t="str">
        <f t="shared" si="118"/>
        <v/>
      </c>
      <c r="N7376" s="113"/>
    </row>
    <row r="7377" spans="2:14">
      <c r="B7377" s="105"/>
      <c r="C7377" s="106"/>
      <c r="D7377" s="107"/>
      <c r="E7377" s="65"/>
      <c r="F7377" s="64"/>
      <c r="G7377" s="64"/>
      <c r="H7377" s="64"/>
      <c r="I7377" s="70"/>
      <c r="J7377" s="70"/>
      <c r="K7377" s="110" t="str">
        <f>IF(H7377="","",IF($C$29="간이법","",FPR(H7377,I7377,J7377)))</f>
        <v/>
      </c>
      <c r="L7377" s="111" t="str">
        <f>IF(H7377="","",IF($C$29="상세법",FPV(H7377,K7377),IF(H7377="EI",4,IF(H7377="EO",5.2,IF(H7377="EQ",3.9,IF(H7377="ILF",7.5,IF(H7377="EIF",5.4)))))))</f>
        <v/>
      </c>
      <c r="M7377" s="112" t="str">
        <f t="shared" si="118"/>
        <v/>
      </c>
      <c r="N7377" s="113"/>
    </row>
    <row r="7378" spans="2:14">
      <c r="B7378" s="105"/>
      <c r="C7378" s="106"/>
      <c r="D7378" s="107"/>
      <c r="E7378" s="65"/>
      <c r="F7378" s="64"/>
      <c r="G7378" s="64"/>
      <c r="H7378" s="64"/>
      <c r="I7378" s="70"/>
      <c r="J7378" s="70"/>
      <c r="K7378" s="110" t="str">
        <f>IF(H7378="","",IF($C$29="간이법","",FPR(H7378,I7378,J7378)))</f>
        <v/>
      </c>
      <c r="L7378" s="111" t="str">
        <f>IF(H7378="","",IF($C$29="상세법",FPV(H7378,K7378),IF(H7378="EI",4,IF(H7378="EO",5.2,IF(H7378="EQ",3.9,IF(H7378="ILF",7.5,IF(H7378="EIF",5.4)))))))</f>
        <v/>
      </c>
      <c r="M7378" s="112" t="str">
        <f t="shared" si="118"/>
        <v/>
      </c>
      <c r="N7378" s="113"/>
    </row>
    <row r="7379" spans="2:14">
      <c r="B7379" s="105"/>
      <c r="C7379" s="106"/>
      <c r="D7379" s="107"/>
      <c r="E7379" s="65"/>
      <c r="F7379" s="64"/>
      <c r="G7379" s="64"/>
      <c r="H7379" s="64"/>
      <c r="I7379" s="70"/>
      <c r="J7379" s="70"/>
      <c r="K7379" s="110" t="str">
        <f>IF(H7379="","",IF($C$29="간이법","",FPR(H7379,I7379,J7379)))</f>
        <v/>
      </c>
      <c r="L7379" s="111" t="str">
        <f>IF(H7379="","",IF($C$29="상세법",FPV(H7379,K7379),IF(H7379="EI",4,IF(H7379="EO",5.2,IF(H7379="EQ",3.9,IF(H7379="ILF",7.5,IF(H7379="EIF",5.4)))))))</f>
        <v/>
      </c>
      <c r="M7379" s="112" t="str">
        <f t="shared" si="118"/>
        <v/>
      </c>
      <c r="N7379" s="113"/>
    </row>
    <row r="7380" spans="2:14">
      <c r="B7380" s="105"/>
      <c r="C7380" s="106"/>
      <c r="D7380" s="107"/>
      <c r="E7380" s="65"/>
      <c r="F7380" s="64"/>
      <c r="G7380" s="64"/>
      <c r="H7380" s="64"/>
      <c r="I7380" s="70"/>
      <c r="J7380" s="70"/>
      <c r="K7380" s="110" t="str">
        <f>IF(H7380="","",IF($C$29="간이법","",FPR(H7380,I7380,J7380)))</f>
        <v/>
      </c>
      <c r="L7380" s="111" t="str">
        <f>IF(H7380="","",IF($C$29="상세법",FPV(H7380,K7380),IF(H7380="EI",4,IF(H7380="EO",5.2,IF(H7380="EQ",3.9,IF(H7380="ILF",7.5,IF(H7380="EIF",5.4)))))))</f>
        <v/>
      </c>
      <c r="M7380" s="112" t="str">
        <f t="shared" si="118"/>
        <v/>
      </c>
      <c r="N7380" s="113"/>
    </row>
    <row r="7381" spans="2:14">
      <c r="B7381" s="105"/>
      <c r="C7381" s="106"/>
      <c r="D7381" s="107"/>
      <c r="E7381" s="65"/>
      <c r="F7381" s="64"/>
      <c r="G7381" s="64"/>
      <c r="H7381" s="64"/>
      <c r="I7381" s="70"/>
      <c r="J7381" s="70"/>
      <c r="K7381" s="110" t="str">
        <f>IF(H7381="","",IF($C$29="간이법","",FPR(H7381,I7381,J7381)))</f>
        <v/>
      </c>
      <c r="L7381" s="111" t="str">
        <f>IF(H7381="","",IF($C$29="상세법",FPV(H7381,K7381),IF(H7381="EI",4,IF(H7381="EO",5.2,IF(H7381="EQ",3.9,IF(H7381="ILF",7.5,IF(H7381="EIF",5.4)))))))</f>
        <v/>
      </c>
      <c r="M7381" s="112" t="str">
        <f t="shared" si="118"/>
        <v/>
      </c>
      <c r="N7381" s="113"/>
    </row>
    <row r="7382" spans="2:14">
      <c r="B7382" s="105"/>
      <c r="C7382" s="106"/>
      <c r="D7382" s="107"/>
      <c r="E7382" s="65"/>
      <c r="F7382" s="64"/>
      <c r="G7382" s="64"/>
      <c r="H7382" s="64"/>
      <c r="I7382" s="70"/>
      <c r="J7382" s="70"/>
      <c r="K7382" s="110" t="str">
        <f>IF(H7382="","",IF($C$29="간이법","",FPR(H7382,I7382,J7382)))</f>
        <v/>
      </c>
      <c r="L7382" s="111" t="str">
        <f>IF(H7382="","",IF($C$29="상세법",FPV(H7382,K7382),IF(H7382="EI",4,IF(H7382="EO",5.2,IF(H7382="EQ",3.9,IF(H7382="ILF",7.5,IF(H7382="EIF",5.4)))))))</f>
        <v/>
      </c>
      <c r="M7382" s="112" t="str">
        <f t="shared" si="118"/>
        <v/>
      </c>
      <c r="N7382" s="113"/>
    </row>
    <row r="7383" spans="2:14">
      <c r="B7383" s="105"/>
      <c r="C7383" s="106"/>
      <c r="D7383" s="107"/>
      <c r="E7383" s="65"/>
      <c r="F7383" s="64"/>
      <c r="G7383" s="64"/>
      <c r="H7383" s="64"/>
      <c r="I7383" s="70"/>
      <c r="J7383" s="70"/>
      <c r="K7383" s="110" t="str">
        <f>IF(H7383="","",IF($C$29="간이법","",FPR(H7383,I7383,J7383)))</f>
        <v/>
      </c>
      <c r="L7383" s="111" t="str">
        <f>IF(H7383="","",IF($C$29="상세법",FPV(H7383,K7383),IF(H7383="EI",4,IF(H7383="EO",5.2,IF(H7383="EQ",3.9,IF(H7383="ILF",7.5,IF(H7383="EIF",5.4)))))))</f>
        <v/>
      </c>
      <c r="M7383" s="112" t="str">
        <f t="shared" si="118"/>
        <v/>
      </c>
      <c r="N7383" s="113"/>
    </row>
    <row r="7384" spans="2:14">
      <c r="B7384" s="105"/>
      <c r="C7384" s="106"/>
      <c r="D7384" s="107"/>
      <c r="E7384" s="65"/>
      <c r="F7384" s="64"/>
      <c r="G7384" s="64"/>
      <c r="H7384" s="64"/>
      <c r="I7384" s="70"/>
      <c r="J7384" s="70"/>
      <c r="K7384" s="110" t="str">
        <f>IF(H7384="","",IF($C$29="간이법","",FPR(H7384,I7384,J7384)))</f>
        <v/>
      </c>
      <c r="L7384" s="111" t="str">
        <f>IF(H7384="","",IF($C$29="상세법",FPV(H7384,K7384),IF(H7384="EI",4,IF(H7384="EO",5.2,IF(H7384="EQ",3.9,IF(H7384="ILF",7.5,IF(H7384="EIF",5.4)))))))</f>
        <v/>
      </c>
      <c r="M7384" s="112" t="str">
        <f t="shared" si="118"/>
        <v/>
      </c>
      <c r="N7384" s="113"/>
    </row>
    <row r="7385" spans="2:14">
      <c r="B7385" s="105"/>
      <c r="C7385" s="106"/>
      <c r="D7385" s="107"/>
      <c r="E7385" s="65"/>
      <c r="F7385" s="64"/>
      <c r="G7385" s="64"/>
      <c r="H7385" s="64"/>
      <c r="I7385" s="70"/>
      <c r="J7385" s="70"/>
      <c r="K7385" s="110" t="str">
        <f>IF(H7385="","",IF($C$29="간이법","",FPR(H7385,I7385,J7385)))</f>
        <v/>
      </c>
      <c r="L7385" s="111" t="str">
        <f>IF(H7385="","",IF($C$29="상세법",FPV(H7385,K7385),IF(H7385="EI",4,IF(H7385="EO",5.2,IF(H7385="EQ",3.9,IF(H7385="ILF",7.5,IF(H7385="EIF",5.4)))))))</f>
        <v/>
      </c>
      <c r="M7385" s="112" t="str">
        <f t="shared" si="118"/>
        <v/>
      </c>
      <c r="N7385" s="113"/>
    </row>
    <row r="7386" spans="2:14">
      <c r="B7386" s="105"/>
      <c r="C7386" s="106"/>
      <c r="D7386" s="107"/>
      <c r="E7386" s="65"/>
      <c r="F7386" s="64"/>
      <c r="G7386" s="64"/>
      <c r="H7386" s="64"/>
      <c r="I7386" s="70"/>
      <c r="J7386" s="70"/>
      <c r="K7386" s="110" t="str">
        <f>IF(H7386="","",IF($C$29="간이법","",FPR(H7386,I7386,J7386)))</f>
        <v/>
      </c>
      <c r="L7386" s="111" t="str">
        <f>IF(H7386="","",IF($C$29="상세법",FPV(H7386,K7386),IF(H7386="EI",4,IF(H7386="EO",5.2,IF(H7386="EQ",3.9,IF(H7386="ILF",7.5,IF(H7386="EIF",5.4)))))))</f>
        <v/>
      </c>
      <c r="M7386" s="112" t="str">
        <f t="shared" si="118"/>
        <v/>
      </c>
      <c r="N7386" s="113"/>
    </row>
    <row r="7387" spans="2:14">
      <c r="B7387" s="105"/>
      <c r="C7387" s="106"/>
      <c r="D7387" s="107"/>
      <c r="E7387" s="65"/>
      <c r="F7387" s="64"/>
      <c r="G7387" s="64"/>
      <c r="H7387" s="64"/>
      <c r="I7387" s="70"/>
      <c r="J7387" s="70"/>
      <c r="K7387" s="110" t="str">
        <f>IF(H7387="","",IF($C$29="간이법","",FPR(H7387,I7387,J7387)))</f>
        <v/>
      </c>
      <c r="L7387" s="111" t="str">
        <f>IF(H7387="","",IF($C$29="상세법",FPV(H7387,K7387),IF(H7387="EI",4,IF(H7387="EO",5.2,IF(H7387="EQ",3.9,IF(H7387="ILF",7.5,IF(H7387="EIF",5.4)))))))</f>
        <v/>
      </c>
      <c r="M7387" s="112" t="str">
        <f t="shared" si="118"/>
        <v/>
      </c>
      <c r="N7387" s="113"/>
    </row>
    <row r="7388" spans="2:14">
      <c r="B7388" s="105"/>
      <c r="C7388" s="106"/>
      <c r="D7388" s="107"/>
      <c r="E7388" s="65"/>
      <c r="F7388" s="64"/>
      <c r="G7388" s="64"/>
      <c r="H7388" s="64"/>
      <c r="I7388" s="70"/>
      <c r="J7388" s="70"/>
      <c r="K7388" s="110" t="str">
        <f>IF(H7388="","",IF($C$29="간이법","",FPR(H7388,I7388,J7388)))</f>
        <v/>
      </c>
      <c r="L7388" s="111" t="str">
        <f>IF(H7388="","",IF($C$29="상세법",FPV(H7388,K7388),IF(H7388="EI",4,IF(H7388="EO",5.2,IF(H7388="EQ",3.9,IF(H7388="ILF",7.5,IF(H7388="EIF",5.4)))))))</f>
        <v/>
      </c>
      <c r="M7388" s="112" t="str">
        <f t="shared" si="118"/>
        <v/>
      </c>
      <c r="N7388" s="113"/>
    </row>
    <row r="7389" spans="2:14">
      <c r="B7389" s="105"/>
      <c r="C7389" s="106"/>
      <c r="D7389" s="107"/>
      <c r="E7389" s="65"/>
      <c r="F7389" s="64"/>
      <c r="G7389" s="64"/>
      <c r="H7389" s="64"/>
      <c r="I7389" s="70"/>
      <c r="J7389" s="70"/>
      <c r="K7389" s="110" t="str">
        <f>IF(H7389="","",IF($C$29="간이법","",FPR(H7389,I7389,J7389)))</f>
        <v/>
      </c>
      <c r="L7389" s="111" t="str">
        <f>IF(H7389="","",IF($C$29="상세법",FPV(H7389,K7389),IF(H7389="EI",4,IF(H7389="EO",5.2,IF(H7389="EQ",3.9,IF(H7389="ILF",7.5,IF(H7389="EIF",5.4)))))))</f>
        <v/>
      </c>
      <c r="M7389" s="112" t="str">
        <f t="shared" si="118"/>
        <v/>
      </c>
      <c r="N7389" s="113"/>
    </row>
    <row r="7390" spans="2:14">
      <c r="B7390" s="105"/>
      <c r="C7390" s="106"/>
      <c r="D7390" s="107"/>
      <c r="E7390" s="65"/>
      <c r="F7390" s="64"/>
      <c r="G7390" s="64"/>
      <c r="H7390" s="64"/>
      <c r="I7390" s="70"/>
      <c r="J7390" s="70"/>
      <c r="K7390" s="110" t="str">
        <f>IF(H7390="","",IF($C$29="간이법","",FPR(H7390,I7390,J7390)))</f>
        <v/>
      </c>
      <c r="L7390" s="111" t="str">
        <f>IF(H7390="","",IF($C$29="상세법",FPV(H7390,K7390),IF(H7390="EI",4,IF(H7390="EO",5.2,IF(H7390="EQ",3.9,IF(H7390="ILF",7.5,IF(H7390="EIF",5.4)))))))</f>
        <v/>
      </c>
      <c r="M7390" s="112" t="str">
        <f t="shared" si="118"/>
        <v/>
      </c>
      <c r="N7390" s="113"/>
    </row>
    <row r="7391" spans="2:14">
      <c r="B7391" s="105"/>
      <c r="C7391" s="106"/>
      <c r="D7391" s="107"/>
      <c r="E7391" s="65"/>
      <c r="F7391" s="64"/>
      <c r="G7391" s="64"/>
      <c r="H7391" s="64"/>
      <c r="I7391" s="70"/>
      <c r="J7391" s="70"/>
      <c r="K7391" s="110" t="str">
        <f>IF(H7391="","",IF($C$29="간이법","",FPR(H7391,I7391,J7391)))</f>
        <v/>
      </c>
      <c r="L7391" s="111" t="str">
        <f>IF(H7391="","",IF($C$29="상세법",FPV(H7391,K7391),IF(H7391="EI",4,IF(H7391="EO",5.2,IF(H7391="EQ",3.9,IF(H7391="ILF",7.5,IF(H7391="EIF",5.4)))))))</f>
        <v/>
      </c>
      <c r="M7391" s="112" t="str">
        <f t="shared" si="118"/>
        <v/>
      </c>
      <c r="N7391" s="113"/>
    </row>
    <row r="7392" spans="2:14">
      <c r="B7392" s="105"/>
      <c r="C7392" s="106"/>
      <c r="D7392" s="107"/>
      <c r="E7392" s="65"/>
      <c r="F7392" s="64"/>
      <c r="G7392" s="64"/>
      <c r="H7392" s="64"/>
      <c r="I7392" s="70"/>
      <c r="J7392" s="70"/>
      <c r="K7392" s="110" t="str">
        <f>IF(H7392="","",IF($C$29="간이법","",FPR(H7392,I7392,J7392)))</f>
        <v/>
      </c>
      <c r="L7392" s="111" t="str">
        <f>IF(H7392="","",IF($C$29="상세법",FPV(H7392,K7392),IF(H7392="EI",4,IF(H7392="EO",5.2,IF(H7392="EQ",3.9,IF(H7392="ILF",7.5,IF(H7392="EIF",5.4)))))))</f>
        <v/>
      </c>
      <c r="M7392" s="112" t="str">
        <f t="shared" si="118"/>
        <v/>
      </c>
      <c r="N7392" s="113"/>
    </row>
    <row r="7393" spans="2:14">
      <c r="B7393" s="105"/>
      <c r="C7393" s="106"/>
      <c r="D7393" s="107"/>
      <c r="E7393" s="65"/>
      <c r="F7393" s="64"/>
      <c r="G7393" s="64"/>
      <c r="H7393" s="64"/>
      <c r="I7393" s="70"/>
      <c r="J7393" s="70"/>
      <c r="K7393" s="110" t="str">
        <f>IF(H7393="","",IF($C$29="간이법","",FPR(H7393,I7393,J7393)))</f>
        <v/>
      </c>
      <c r="L7393" s="111" t="str">
        <f>IF(H7393="","",IF($C$29="상세법",FPV(H7393,K7393),IF(H7393="EI",4,IF(H7393="EO",5.2,IF(H7393="EQ",3.9,IF(H7393="ILF",7.5,IF(H7393="EIF",5.4)))))))</f>
        <v/>
      </c>
      <c r="M7393" s="112" t="str">
        <f t="shared" si="118"/>
        <v/>
      </c>
      <c r="N7393" s="113"/>
    </row>
    <row r="7394" spans="2:14">
      <c r="B7394" s="105"/>
      <c r="C7394" s="106"/>
      <c r="D7394" s="107"/>
      <c r="E7394" s="65"/>
      <c r="F7394" s="64"/>
      <c r="G7394" s="64"/>
      <c r="H7394" s="64"/>
      <c r="I7394" s="70"/>
      <c r="J7394" s="70"/>
      <c r="K7394" s="110" t="str">
        <f>IF(H7394="","",IF($C$29="간이법","",FPR(H7394,I7394,J7394)))</f>
        <v/>
      </c>
      <c r="L7394" s="111" t="str">
        <f>IF(H7394="","",IF($C$29="상세법",FPV(H7394,K7394),IF(H7394="EI",4,IF(H7394="EO",5.2,IF(H7394="EQ",3.9,IF(H7394="ILF",7.5,IF(H7394="EIF",5.4)))))))</f>
        <v/>
      </c>
      <c r="M7394" s="112" t="str">
        <f t="shared" si="118"/>
        <v/>
      </c>
      <c r="N7394" s="113"/>
    </row>
    <row r="7395" spans="2:14">
      <c r="B7395" s="105"/>
      <c r="C7395" s="106"/>
      <c r="D7395" s="107"/>
      <c r="E7395" s="65"/>
      <c r="F7395" s="64"/>
      <c r="G7395" s="64"/>
      <c r="H7395" s="64"/>
      <c r="I7395" s="70"/>
      <c r="J7395" s="70"/>
      <c r="K7395" s="110" t="str">
        <f>IF(H7395="","",IF($C$29="간이법","",FPR(H7395,I7395,J7395)))</f>
        <v/>
      </c>
      <c r="L7395" s="111" t="str">
        <f>IF(H7395="","",IF($C$29="상세법",FPV(H7395,K7395),IF(H7395="EI",4,IF(H7395="EO",5.2,IF(H7395="EQ",3.9,IF(H7395="ILF",7.5,IF(H7395="EIF",5.4)))))))</f>
        <v/>
      </c>
      <c r="M7395" s="112" t="str">
        <f t="shared" si="118"/>
        <v/>
      </c>
      <c r="N7395" s="113"/>
    </row>
    <row r="7396" spans="2:14">
      <c r="B7396" s="105"/>
      <c r="C7396" s="106"/>
      <c r="D7396" s="107"/>
      <c r="E7396" s="65"/>
      <c r="F7396" s="64"/>
      <c r="G7396" s="64"/>
      <c r="H7396" s="64"/>
      <c r="I7396" s="70"/>
      <c r="J7396" s="70"/>
      <c r="K7396" s="110" t="str">
        <f>IF(H7396="","",IF($C$29="간이법","",FPR(H7396,I7396,J7396)))</f>
        <v/>
      </c>
      <c r="L7396" s="111" t="str">
        <f>IF(H7396="","",IF($C$29="상세법",FPV(H7396,K7396),IF(H7396="EI",4,IF(H7396="EO",5.2,IF(H7396="EQ",3.9,IF(H7396="ILF",7.5,IF(H7396="EIF",5.4)))))))</f>
        <v/>
      </c>
      <c r="M7396" s="112" t="str">
        <f t="shared" si="118"/>
        <v/>
      </c>
      <c r="N7396" s="113"/>
    </row>
    <row r="7397" spans="2:14">
      <c r="B7397" s="105"/>
      <c r="C7397" s="106"/>
      <c r="D7397" s="107"/>
      <c r="E7397" s="65"/>
      <c r="F7397" s="64"/>
      <c r="G7397" s="64"/>
      <c r="H7397" s="64"/>
      <c r="I7397" s="70"/>
      <c r="J7397" s="70"/>
      <c r="K7397" s="110" t="str">
        <f>IF(H7397="","",IF($C$29="간이법","",FPR(H7397,I7397,J7397)))</f>
        <v/>
      </c>
      <c r="L7397" s="111" t="str">
        <f>IF(H7397="","",IF($C$29="상세법",FPV(H7397,K7397),IF(H7397="EI",4,IF(H7397="EO",5.2,IF(H7397="EQ",3.9,IF(H7397="ILF",7.5,IF(H7397="EIF",5.4)))))))</f>
        <v/>
      </c>
      <c r="M7397" s="112" t="str">
        <f t="shared" si="118"/>
        <v/>
      </c>
      <c r="N7397" s="113"/>
    </row>
    <row r="7398" spans="2:14">
      <c r="B7398" s="105"/>
      <c r="C7398" s="106"/>
      <c r="D7398" s="107"/>
      <c r="E7398" s="65"/>
      <c r="F7398" s="64"/>
      <c r="G7398" s="64"/>
      <c r="H7398" s="64"/>
      <c r="I7398" s="70"/>
      <c r="J7398" s="70"/>
      <c r="K7398" s="110" t="str">
        <f>IF(H7398="","",IF($C$29="간이법","",FPR(H7398,I7398,J7398)))</f>
        <v/>
      </c>
      <c r="L7398" s="111" t="str">
        <f>IF(H7398="","",IF($C$29="상세법",FPV(H7398,K7398),IF(H7398="EI",4,IF(H7398="EO",5.2,IF(H7398="EQ",3.9,IF(H7398="ILF",7.5,IF(H7398="EIF",5.4)))))))</f>
        <v/>
      </c>
      <c r="M7398" s="112" t="str">
        <f t="shared" si="118"/>
        <v/>
      </c>
      <c r="N7398" s="113"/>
    </row>
    <row r="7399" spans="2:14">
      <c r="B7399" s="105"/>
      <c r="C7399" s="106"/>
      <c r="D7399" s="107"/>
      <c r="E7399" s="65"/>
      <c r="F7399" s="64"/>
      <c r="G7399" s="64"/>
      <c r="H7399" s="64"/>
      <c r="I7399" s="70"/>
      <c r="J7399" s="70"/>
      <c r="K7399" s="110" t="str">
        <f>IF(H7399="","",IF($C$29="간이법","",FPR(H7399,I7399,J7399)))</f>
        <v/>
      </c>
      <c r="L7399" s="111" t="str">
        <f>IF(H7399="","",IF($C$29="상세법",FPV(H7399,K7399),IF(H7399="EI",4,IF(H7399="EO",5.2,IF(H7399="EQ",3.9,IF(H7399="ILF",7.5,IF(H7399="EIF",5.4)))))))</f>
        <v/>
      </c>
      <c r="M7399" s="112" t="str">
        <f t="shared" si="118"/>
        <v/>
      </c>
      <c r="N7399" s="113"/>
    </row>
    <row r="7400" spans="2:14">
      <c r="B7400" s="105"/>
      <c r="C7400" s="106"/>
      <c r="D7400" s="107"/>
      <c r="E7400" s="65"/>
      <c r="F7400" s="64"/>
      <c r="G7400" s="64"/>
      <c r="H7400" s="64"/>
      <c r="I7400" s="70"/>
      <c r="J7400" s="70"/>
      <c r="K7400" s="110" t="str">
        <f>IF(H7400="","",IF($C$29="간이법","",FPR(H7400,I7400,J7400)))</f>
        <v/>
      </c>
      <c r="L7400" s="111" t="str">
        <f>IF(H7400="","",IF($C$29="상세법",FPV(H7400,K7400),IF(H7400="EI",4,IF(H7400="EO",5.2,IF(H7400="EQ",3.9,IF(H7400="ILF",7.5,IF(H7400="EIF",5.4)))))))</f>
        <v/>
      </c>
      <c r="M7400" s="112" t="str">
        <f t="shared" si="118"/>
        <v/>
      </c>
      <c r="N7400" s="113"/>
    </row>
    <row r="7401" spans="2:14">
      <c r="B7401" s="105"/>
      <c r="C7401" s="106"/>
      <c r="D7401" s="107"/>
      <c r="E7401" s="65"/>
      <c r="F7401" s="64"/>
      <c r="G7401" s="64"/>
      <c r="H7401" s="64"/>
      <c r="I7401" s="70"/>
      <c r="J7401" s="70"/>
      <c r="K7401" s="110" t="str">
        <f>IF(H7401="","",IF($C$29="간이법","",FPR(H7401,I7401,J7401)))</f>
        <v/>
      </c>
      <c r="L7401" s="111" t="str">
        <f>IF(H7401="","",IF($C$29="상세법",FPV(H7401,K7401),IF(H7401="EI",4,IF(H7401="EO",5.2,IF(H7401="EQ",3.9,IF(H7401="ILF",7.5,IF(H7401="EIF",5.4)))))))</f>
        <v/>
      </c>
      <c r="M7401" s="112" t="str">
        <f t="shared" si="118"/>
        <v/>
      </c>
      <c r="N7401" s="113"/>
    </row>
    <row r="7402" spans="2:14">
      <c r="B7402" s="105"/>
      <c r="C7402" s="106"/>
      <c r="D7402" s="107"/>
      <c r="E7402" s="65"/>
      <c r="F7402" s="64"/>
      <c r="G7402" s="64"/>
      <c r="H7402" s="64"/>
      <c r="I7402" s="70"/>
      <c r="J7402" s="70"/>
      <c r="K7402" s="110" t="str">
        <f>IF(H7402="","",IF($C$29="간이법","",FPR(H7402,I7402,J7402)))</f>
        <v/>
      </c>
      <c r="L7402" s="111" t="str">
        <f>IF(H7402="","",IF($C$29="상세법",FPV(H7402,K7402),IF(H7402="EI",4,IF(H7402="EO",5.2,IF(H7402="EQ",3.9,IF(H7402="ILF",7.5,IF(H7402="EIF",5.4)))))))</f>
        <v/>
      </c>
      <c r="M7402" s="112" t="str">
        <f t="shared" si="118"/>
        <v/>
      </c>
      <c r="N7402" s="113"/>
    </row>
    <row r="7403" spans="2:14">
      <c r="B7403" s="105"/>
      <c r="C7403" s="106"/>
      <c r="D7403" s="107"/>
      <c r="E7403" s="65"/>
      <c r="F7403" s="64"/>
      <c r="G7403" s="64"/>
      <c r="H7403" s="64"/>
      <c r="I7403" s="70"/>
      <c r="J7403" s="70"/>
      <c r="K7403" s="110" t="str">
        <f>IF(H7403="","",IF($C$29="간이법","",FPR(H7403,I7403,J7403)))</f>
        <v/>
      </c>
      <c r="L7403" s="111" t="str">
        <f>IF(H7403="","",IF($C$29="상세법",FPV(H7403,K7403),IF(H7403="EI",4,IF(H7403="EO",5.2,IF(H7403="EQ",3.9,IF(H7403="ILF",7.5,IF(H7403="EIF",5.4)))))))</f>
        <v/>
      </c>
      <c r="M7403" s="112" t="str">
        <f t="shared" si="118"/>
        <v/>
      </c>
      <c r="N7403" s="113"/>
    </row>
    <row r="7404" spans="2:14">
      <c r="B7404" s="105"/>
      <c r="C7404" s="106"/>
      <c r="D7404" s="107"/>
      <c r="E7404" s="65"/>
      <c r="F7404" s="64"/>
      <c r="G7404" s="64"/>
      <c r="H7404" s="64"/>
      <c r="I7404" s="70"/>
      <c r="J7404" s="70"/>
      <c r="K7404" s="110" t="str">
        <f>IF(H7404="","",IF($C$29="간이법","",FPR(H7404,I7404,J7404)))</f>
        <v/>
      </c>
      <c r="L7404" s="111" t="str">
        <f>IF(H7404="","",IF($C$29="상세법",FPV(H7404,K7404),IF(H7404="EI",4,IF(H7404="EO",5.2,IF(H7404="EQ",3.9,IF(H7404="ILF",7.5,IF(H7404="EIF",5.4)))))))</f>
        <v/>
      </c>
      <c r="M7404" s="112" t="str">
        <f t="shared" si="118"/>
        <v/>
      </c>
      <c r="N7404" s="113"/>
    </row>
    <row r="7405" spans="2:14">
      <c r="B7405" s="105"/>
      <c r="C7405" s="106"/>
      <c r="D7405" s="107"/>
      <c r="E7405" s="65"/>
      <c r="F7405" s="64"/>
      <c r="G7405" s="64"/>
      <c r="H7405" s="64"/>
      <c r="I7405" s="70"/>
      <c r="J7405" s="70"/>
      <c r="K7405" s="110" t="str">
        <f>IF(H7405="","",IF($C$29="간이법","",FPR(H7405,I7405,J7405)))</f>
        <v/>
      </c>
      <c r="L7405" s="111" t="str">
        <f>IF(H7405="","",IF($C$29="상세법",FPV(H7405,K7405),IF(H7405="EI",4,IF(H7405="EO",5.2,IF(H7405="EQ",3.9,IF(H7405="ILF",7.5,IF(H7405="EIF",5.4)))))))</f>
        <v/>
      </c>
      <c r="M7405" s="112" t="str">
        <f t="shared" si="118"/>
        <v/>
      </c>
      <c r="N7405" s="113"/>
    </row>
    <row r="7406" spans="2:14">
      <c r="B7406" s="105"/>
      <c r="C7406" s="106"/>
      <c r="D7406" s="107"/>
      <c r="E7406" s="65"/>
      <c r="F7406" s="64"/>
      <c r="G7406" s="64"/>
      <c r="H7406" s="64"/>
      <c r="I7406" s="70"/>
      <c r="J7406" s="70"/>
      <c r="K7406" s="110" t="str">
        <f>IF(H7406="","",IF($C$29="간이법","",FPR(H7406,I7406,J7406)))</f>
        <v/>
      </c>
      <c r="L7406" s="111" t="str">
        <f>IF(H7406="","",IF($C$29="상세법",FPV(H7406,K7406),IF(H7406="EI",4,IF(H7406="EO",5.2,IF(H7406="EQ",3.9,IF(H7406="ILF",7.5,IF(H7406="EIF",5.4)))))))</f>
        <v/>
      </c>
      <c r="M7406" s="112" t="str">
        <f t="shared" si="118"/>
        <v/>
      </c>
      <c r="N7406" s="113"/>
    </row>
    <row r="7407" spans="2:14">
      <c r="B7407" s="105"/>
      <c r="C7407" s="106"/>
      <c r="D7407" s="107"/>
      <c r="E7407" s="65"/>
      <c r="F7407" s="64"/>
      <c r="G7407" s="64"/>
      <c r="H7407" s="64"/>
      <c r="I7407" s="70"/>
      <c r="J7407" s="70"/>
      <c r="K7407" s="110" t="str">
        <f>IF(H7407="","",IF($C$29="간이법","",FPR(H7407,I7407,J7407)))</f>
        <v/>
      </c>
      <c r="L7407" s="111" t="str">
        <f>IF(H7407="","",IF($C$29="상세법",FPV(H7407,K7407),IF(H7407="EI",4,IF(H7407="EO",5.2,IF(H7407="EQ",3.9,IF(H7407="ILF",7.5,IF(H7407="EIF",5.4)))))))</f>
        <v/>
      </c>
      <c r="M7407" s="112" t="str">
        <f t="shared" si="118"/>
        <v/>
      </c>
      <c r="N7407" s="113"/>
    </row>
    <row r="7408" spans="2:14">
      <c r="B7408" s="105"/>
      <c r="C7408" s="106"/>
      <c r="D7408" s="107"/>
      <c r="E7408" s="65"/>
      <c r="F7408" s="64"/>
      <c r="G7408" s="64"/>
      <c r="H7408" s="64"/>
      <c r="I7408" s="70"/>
      <c r="J7408" s="70"/>
      <c r="K7408" s="110" t="str">
        <f>IF(H7408="","",IF($C$29="간이법","",FPR(H7408,I7408,J7408)))</f>
        <v/>
      </c>
      <c r="L7408" s="111" t="str">
        <f>IF(H7408="","",IF($C$29="상세법",FPV(H7408,K7408),IF(H7408="EI",4,IF(H7408="EO",5.2,IF(H7408="EQ",3.9,IF(H7408="ILF",7.5,IF(H7408="EIF",5.4)))))))</f>
        <v/>
      </c>
      <c r="M7408" s="112" t="str">
        <f t="shared" si="118"/>
        <v/>
      </c>
      <c r="N7408" s="113"/>
    </row>
    <row r="7409" spans="2:14">
      <c r="B7409" s="105"/>
      <c r="C7409" s="106"/>
      <c r="D7409" s="107"/>
      <c r="E7409" s="65"/>
      <c r="F7409" s="64"/>
      <c r="G7409" s="64"/>
      <c r="H7409" s="64"/>
      <c r="I7409" s="70"/>
      <c r="J7409" s="70"/>
      <c r="K7409" s="110" t="str">
        <f>IF(H7409="","",IF($C$29="간이법","",FPR(H7409,I7409,J7409)))</f>
        <v/>
      </c>
      <c r="L7409" s="111" t="str">
        <f>IF(H7409="","",IF($C$29="상세법",FPV(H7409,K7409),IF(H7409="EI",4,IF(H7409="EO",5.2,IF(H7409="EQ",3.9,IF(H7409="ILF",7.5,IF(H7409="EIF",5.4)))))))</f>
        <v/>
      </c>
      <c r="M7409" s="112" t="str">
        <f t="shared" si="118"/>
        <v/>
      </c>
      <c r="N7409" s="113"/>
    </row>
    <row r="7410" spans="2:14">
      <c r="B7410" s="105"/>
      <c r="C7410" s="106"/>
      <c r="D7410" s="107"/>
      <c r="E7410" s="65"/>
      <c r="F7410" s="64"/>
      <c r="G7410" s="64"/>
      <c r="H7410" s="64"/>
      <c r="I7410" s="70"/>
      <c r="J7410" s="70"/>
      <c r="K7410" s="110" t="str">
        <f>IF(H7410="","",IF($C$29="간이법","",FPR(H7410,I7410,J7410)))</f>
        <v/>
      </c>
      <c r="L7410" s="111" t="str">
        <f>IF(H7410="","",IF($C$29="상세법",FPV(H7410,K7410),IF(H7410="EI",4,IF(H7410="EO",5.2,IF(H7410="EQ",3.9,IF(H7410="ILF",7.5,IF(H7410="EIF",5.4)))))))</f>
        <v/>
      </c>
      <c r="M7410" s="112" t="str">
        <f t="shared" si="118"/>
        <v/>
      </c>
      <c r="N7410" s="113"/>
    </row>
    <row r="7411" spans="2:14">
      <c r="B7411" s="105"/>
      <c r="C7411" s="106"/>
      <c r="D7411" s="107"/>
      <c r="E7411" s="65"/>
      <c r="F7411" s="64"/>
      <c r="G7411" s="64"/>
      <c r="H7411" s="64"/>
      <c r="I7411" s="70"/>
      <c r="J7411" s="70"/>
      <c r="K7411" s="110" t="str">
        <f>IF(H7411="","",IF($C$29="간이법","",FPR(H7411,I7411,J7411)))</f>
        <v/>
      </c>
      <c r="L7411" s="111" t="str">
        <f>IF(H7411="","",IF($C$29="상세법",FPV(H7411,K7411),IF(H7411="EI",4,IF(H7411="EO",5.2,IF(H7411="EQ",3.9,IF(H7411="ILF",7.5,IF(H7411="EIF",5.4)))))))</f>
        <v/>
      </c>
      <c r="M7411" s="112" t="str">
        <f t="shared" si="118"/>
        <v/>
      </c>
      <c r="N7411" s="113"/>
    </row>
    <row r="7412" spans="2:14">
      <c r="B7412" s="105"/>
      <c r="C7412" s="106"/>
      <c r="D7412" s="107"/>
      <c r="E7412" s="65"/>
      <c r="F7412" s="64"/>
      <c r="G7412" s="64"/>
      <c r="H7412" s="64"/>
      <c r="I7412" s="70"/>
      <c r="J7412" s="70"/>
      <c r="K7412" s="110" t="str">
        <f>IF(H7412="","",IF($C$29="간이법","",FPR(H7412,I7412,J7412)))</f>
        <v/>
      </c>
      <c r="L7412" s="111" t="str">
        <f>IF(H7412="","",IF($C$29="상세법",FPV(H7412,K7412),IF(H7412="EI",4,IF(H7412="EO",5.2,IF(H7412="EQ",3.9,IF(H7412="ILF",7.5,IF(H7412="EIF",5.4)))))))</f>
        <v/>
      </c>
      <c r="M7412" s="112" t="str">
        <f t="shared" si="118"/>
        <v/>
      </c>
      <c r="N7412" s="113"/>
    </row>
    <row r="7413" spans="2:14">
      <c r="B7413" s="105"/>
      <c r="C7413" s="106"/>
      <c r="D7413" s="107"/>
      <c r="E7413" s="65"/>
      <c r="F7413" s="64"/>
      <c r="G7413" s="64"/>
      <c r="H7413" s="64"/>
      <c r="I7413" s="70"/>
      <c r="J7413" s="70"/>
      <c r="K7413" s="110" t="str">
        <f>IF(H7413="","",IF($C$29="간이법","",FPR(H7413,I7413,J7413)))</f>
        <v/>
      </c>
      <c r="L7413" s="111" t="str">
        <f>IF(H7413="","",IF($C$29="상세법",FPV(H7413,K7413),IF(H7413="EI",4,IF(H7413="EO",5.2,IF(H7413="EQ",3.9,IF(H7413="ILF",7.5,IF(H7413="EIF",5.4)))))))</f>
        <v/>
      </c>
      <c r="M7413" s="112" t="str">
        <f t="shared" si="118"/>
        <v/>
      </c>
      <c r="N7413" s="113"/>
    </row>
    <row r="7414" spans="2:14">
      <c r="B7414" s="105"/>
      <c r="C7414" s="106"/>
      <c r="D7414" s="107"/>
      <c r="E7414" s="65"/>
      <c r="F7414" s="64"/>
      <c r="G7414" s="64"/>
      <c r="H7414" s="64"/>
      <c r="I7414" s="70"/>
      <c r="J7414" s="70"/>
      <c r="K7414" s="110" t="str">
        <f>IF(H7414="","",IF($C$29="간이법","",FPR(H7414,I7414,J7414)))</f>
        <v/>
      </c>
      <c r="L7414" s="111" t="str">
        <f>IF(H7414="","",IF($C$29="상세법",FPV(H7414,K7414),IF(H7414="EI",4,IF(H7414="EO",5.2,IF(H7414="EQ",3.9,IF(H7414="ILF",7.5,IF(H7414="EIF",5.4)))))))</f>
        <v/>
      </c>
      <c r="M7414" s="112" t="str">
        <f t="shared" si="118"/>
        <v/>
      </c>
      <c r="N7414" s="113"/>
    </row>
    <row r="7415" spans="2:14">
      <c r="B7415" s="105"/>
      <c r="C7415" s="106"/>
      <c r="D7415" s="107"/>
      <c r="E7415" s="65"/>
      <c r="F7415" s="64"/>
      <c r="G7415" s="64"/>
      <c r="H7415" s="64"/>
      <c r="I7415" s="70"/>
      <c r="J7415" s="70"/>
      <c r="K7415" s="110" t="str">
        <f>IF(H7415="","",IF($C$29="간이법","",FPR(H7415,I7415,J7415)))</f>
        <v/>
      </c>
      <c r="L7415" s="111" t="str">
        <f>IF(H7415="","",IF($C$29="상세법",FPV(H7415,K7415),IF(H7415="EI",4,IF(H7415="EO",5.2,IF(H7415="EQ",3.9,IF(H7415="ILF",7.5,IF(H7415="EIF",5.4)))))))</f>
        <v/>
      </c>
      <c r="M7415" s="112" t="str">
        <f t="shared" si="118"/>
        <v/>
      </c>
      <c r="N7415" s="113"/>
    </row>
    <row r="7416" spans="2:14">
      <c r="B7416" s="105"/>
      <c r="C7416" s="106"/>
      <c r="D7416" s="107"/>
      <c r="E7416" s="65"/>
      <c r="F7416" s="64"/>
      <c r="G7416" s="64"/>
      <c r="H7416" s="64"/>
      <c r="I7416" s="70"/>
      <c r="J7416" s="70"/>
      <c r="K7416" s="110" t="str">
        <f>IF(H7416="","",IF($C$29="간이법","",FPR(H7416,I7416,J7416)))</f>
        <v/>
      </c>
      <c r="L7416" s="111" t="str">
        <f>IF(H7416="","",IF($C$29="상세법",FPV(H7416,K7416),IF(H7416="EI",4,IF(H7416="EO",5.2,IF(H7416="EQ",3.9,IF(H7416="ILF",7.5,IF(H7416="EIF",5.4)))))))</f>
        <v/>
      </c>
      <c r="M7416" s="112" t="str">
        <f t="shared" si="118"/>
        <v/>
      </c>
      <c r="N7416" s="113"/>
    </row>
    <row r="7417" spans="2:14">
      <c r="B7417" s="105"/>
      <c r="C7417" s="106"/>
      <c r="D7417" s="107"/>
      <c r="E7417" s="65"/>
      <c r="F7417" s="64"/>
      <c r="G7417" s="64"/>
      <c r="H7417" s="64"/>
      <c r="I7417" s="70"/>
      <c r="J7417" s="70"/>
      <c r="K7417" s="110" t="str">
        <f>IF(H7417="","",IF($C$29="간이법","",FPR(H7417,I7417,J7417)))</f>
        <v/>
      </c>
      <c r="L7417" s="111" t="str">
        <f>IF(H7417="","",IF($C$29="상세법",FPV(H7417,K7417),IF(H7417="EI",4,IF(H7417="EO",5.2,IF(H7417="EQ",3.9,IF(H7417="ILF",7.5,IF(H7417="EIF",5.4)))))))</f>
        <v/>
      </c>
      <c r="M7417" s="112" t="str">
        <f t="shared" ref="M7417:M7480" si="119">IF(L7417="","",L7417*IF(G7417="상",0.7,IF(G7417="중",0.5,IF(G7417="하",0.2,1))))</f>
        <v/>
      </c>
      <c r="N7417" s="113"/>
    </row>
    <row r="7418" spans="2:14">
      <c r="B7418" s="105"/>
      <c r="C7418" s="106"/>
      <c r="D7418" s="107"/>
      <c r="E7418" s="65"/>
      <c r="F7418" s="64"/>
      <c r="G7418" s="64"/>
      <c r="H7418" s="64"/>
      <c r="I7418" s="70"/>
      <c r="J7418" s="70"/>
      <c r="K7418" s="110" t="str">
        <f>IF(H7418="","",IF($C$29="간이법","",FPR(H7418,I7418,J7418)))</f>
        <v/>
      </c>
      <c r="L7418" s="111" t="str">
        <f>IF(H7418="","",IF($C$29="상세법",FPV(H7418,K7418),IF(H7418="EI",4,IF(H7418="EO",5.2,IF(H7418="EQ",3.9,IF(H7418="ILF",7.5,IF(H7418="EIF",5.4)))))))</f>
        <v/>
      </c>
      <c r="M7418" s="112" t="str">
        <f t="shared" si="119"/>
        <v/>
      </c>
      <c r="N7418" s="113"/>
    </row>
    <row r="7419" spans="2:14">
      <c r="B7419" s="105"/>
      <c r="C7419" s="106"/>
      <c r="D7419" s="107"/>
      <c r="E7419" s="65"/>
      <c r="F7419" s="64"/>
      <c r="G7419" s="64"/>
      <c r="H7419" s="64"/>
      <c r="I7419" s="70"/>
      <c r="J7419" s="70"/>
      <c r="K7419" s="110" t="str">
        <f>IF(H7419="","",IF($C$29="간이법","",FPR(H7419,I7419,J7419)))</f>
        <v/>
      </c>
      <c r="L7419" s="111" t="str">
        <f>IF(H7419="","",IF($C$29="상세법",FPV(H7419,K7419),IF(H7419="EI",4,IF(H7419="EO",5.2,IF(H7419="EQ",3.9,IF(H7419="ILF",7.5,IF(H7419="EIF",5.4)))))))</f>
        <v/>
      </c>
      <c r="M7419" s="112" t="str">
        <f t="shared" si="119"/>
        <v/>
      </c>
      <c r="N7419" s="113"/>
    </row>
    <row r="7420" spans="2:14">
      <c r="B7420" s="105"/>
      <c r="C7420" s="106"/>
      <c r="D7420" s="107"/>
      <c r="E7420" s="65"/>
      <c r="F7420" s="64"/>
      <c r="G7420" s="64"/>
      <c r="H7420" s="64"/>
      <c r="I7420" s="70"/>
      <c r="J7420" s="70"/>
      <c r="K7420" s="110" t="str">
        <f>IF(H7420="","",IF($C$29="간이법","",FPR(H7420,I7420,J7420)))</f>
        <v/>
      </c>
      <c r="L7420" s="111" t="str">
        <f>IF(H7420="","",IF($C$29="상세법",FPV(H7420,K7420),IF(H7420="EI",4,IF(H7420="EO",5.2,IF(H7420="EQ",3.9,IF(H7420="ILF",7.5,IF(H7420="EIF",5.4)))))))</f>
        <v/>
      </c>
      <c r="M7420" s="112" t="str">
        <f t="shared" si="119"/>
        <v/>
      </c>
      <c r="N7420" s="113"/>
    </row>
    <row r="7421" spans="2:14">
      <c r="B7421" s="105"/>
      <c r="C7421" s="106"/>
      <c r="D7421" s="107"/>
      <c r="E7421" s="65"/>
      <c r="F7421" s="64"/>
      <c r="G7421" s="64"/>
      <c r="H7421" s="64"/>
      <c r="I7421" s="70"/>
      <c r="J7421" s="70"/>
      <c r="K7421" s="110" t="str">
        <f>IF(H7421="","",IF($C$29="간이법","",FPR(H7421,I7421,J7421)))</f>
        <v/>
      </c>
      <c r="L7421" s="111" t="str">
        <f>IF(H7421="","",IF($C$29="상세법",FPV(H7421,K7421),IF(H7421="EI",4,IF(H7421="EO",5.2,IF(H7421="EQ",3.9,IF(H7421="ILF",7.5,IF(H7421="EIF",5.4)))))))</f>
        <v/>
      </c>
      <c r="M7421" s="112" t="str">
        <f t="shared" si="119"/>
        <v/>
      </c>
      <c r="N7421" s="113"/>
    </row>
    <row r="7422" spans="2:14">
      <c r="B7422" s="105"/>
      <c r="C7422" s="106"/>
      <c r="D7422" s="107"/>
      <c r="E7422" s="65"/>
      <c r="F7422" s="64"/>
      <c r="G7422" s="64"/>
      <c r="H7422" s="64"/>
      <c r="I7422" s="70"/>
      <c r="J7422" s="70"/>
      <c r="K7422" s="110" t="str">
        <f>IF(H7422="","",IF($C$29="간이법","",FPR(H7422,I7422,J7422)))</f>
        <v/>
      </c>
      <c r="L7422" s="111" t="str">
        <f>IF(H7422="","",IF($C$29="상세법",FPV(H7422,K7422),IF(H7422="EI",4,IF(H7422="EO",5.2,IF(H7422="EQ",3.9,IF(H7422="ILF",7.5,IF(H7422="EIF",5.4)))))))</f>
        <v/>
      </c>
      <c r="M7422" s="112" t="str">
        <f t="shared" si="119"/>
        <v/>
      </c>
      <c r="N7422" s="113"/>
    </row>
    <row r="7423" spans="2:14">
      <c r="B7423" s="105"/>
      <c r="C7423" s="106"/>
      <c r="D7423" s="107"/>
      <c r="E7423" s="65"/>
      <c r="F7423" s="64"/>
      <c r="G7423" s="64"/>
      <c r="H7423" s="64"/>
      <c r="I7423" s="70"/>
      <c r="J7423" s="70"/>
      <c r="K7423" s="110" t="str">
        <f>IF(H7423="","",IF($C$29="간이법","",FPR(H7423,I7423,J7423)))</f>
        <v/>
      </c>
      <c r="L7423" s="111" t="str">
        <f>IF(H7423="","",IF($C$29="상세법",FPV(H7423,K7423),IF(H7423="EI",4,IF(H7423="EO",5.2,IF(H7423="EQ",3.9,IF(H7423="ILF",7.5,IF(H7423="EIF",5.4)))))))</f>
        <v/>
      </c>
      <c r="M7423" s="112" t="str">
        <f t="shared" si="119"/>
        <v/>
      </c>
      <c r="N7423" s="113"/>
    </row>
    <row r="7424" spans="2:14">
      <c r="B7424" s="105"/>
      <c r="C7424" s="106"/>
      <c r="D7424" s="107"/>
      <c r="E7424" s="65"/>
      <c r="F7424" s="64"/>
      <c r="G7424" s="64"/>
      <c r="H7424" s="64"/>
      <c r="I7424" s="70"/>
      <c r="J7424" s="70"/>
      <c r="K7424" s="110" t="str">
        <f>IF(H7424="","",IF($C$29="간이법","",FPR(H7424,I7424,J7424)))</f>
        <v/>
      </c>
      <c r="L7424" s="111" t="str">
        <f>IF(H7424="","",IF($C$29="상세법",FPV(H7424,K7424),IF(H7424="EI",4,IF(H7424="EO",5.2,IF(H7424="EQ",3.9,IF(H7424="ILF",7.5,IF(H7424="EIF",5.4)))))))</f>
        <v/>
      </c>
      <c r="M7424" s="112" t="str">
        <f t="shared" si="119"/>
        <v/>
      </c>
      <c r="N7424" s="113"/>
    </row>
    <row r="7425" spans="2:14">
      <c r="B7425" s="105"/>
      <c r="C7425" s="106"/>
      <c r="D7425" s="107"/>
      <c r="E7425" s="65"/>
      <c r="F7425" s="64"/>
      <c r="G7425" s="64"/>
      <c r="H7425" s="64"/>
      <c r="I7425" s="70"/>
      <c r="J7425" s="70"/>
      <c r="K7425" s="110" t="str">
        <f>IF(H7425="","",IF($C$29="간이법","",FPR(H7425,I7425,J7425)))</f>
        <v/>
      </c>
      <c r="L7425" s="111" t="str">
        <f>IF(H7425="","",IF($C$29="상세법",FPV(H7425,K7425),IF(H7425="EI",4,IF(H7425="EO",5.2,IF(H7425="EQ",3.9,IF(H7425="ILF",7.5,IF(H7425="EIF",5.4)))))))</f>
        <v/>
      </c>
      <c r="M7425" s="112" t="str">
        <f t="shared" si="119"/>
        <v/>
      </c>
      <c r="N7425" s="113"/>
    </row>
    <row r="7426" spans="2:14">
      <c r="B7426" s="105"/>
      <c r="C7426" s="106"/>
      <c r="D7426" s="107"/>
      <c r="E7426" s="65"/>
      <c r="F7426" s="64"/>
      <c r="G7426" s="64"/>
      <c r="H7426" s="64"/>
      <c r="I7426" s="70"/>
      <c r="J7426" s="70"/>
      <c r="K7426" s="110" t="str">
        <f>IF(H7426="","",IF($C$29="간이법","",FPR(H7426,I7426,J7426)))</f>
        <v/>
      </c>
      <c r="L7426" s="111" t="str">
        <f>IF(H7426="","",IF($C$29="상세법",FPV(H7426,K7426),IF(H7426="EI",4,IF(H7426="EO",5.2,IF(H7426="EQ",3.9,IF(H7426="ILF",7.5,IF(H7426="EIF",5.4)))))))</f>
        <v/>
      </c>
      <c r="M7426" s="112" t="str">
        <f t="shared" si="119"/>
        <v/>
      </c>
      <c r="N7426" s="113"/>
    </row>
    <row r="7427" spans="2:14">
      <c r="B7427" s="105"/>
      <c r="C7427" s="106"/>
      <c r="D7427" s="107"/>
      <c r="E7427" s="65"/>
      <c r="F7427" s="64"/>
      <c r="G7427" s="64"/>
      <c r="H7427" s="64"/>
      <c r="I7427" s="70"/>
      <c r="J7427" s="70"/>
      <c r="K7427" s="110" t="str">
        <f>IF(H7427="","",IF($C$29="간이법","",FPR(H7427,I7427,J7427)))</f>
        <v/>
      </c>
      <c r="L7427" s="111" t="str">
        <f>IF(H7427="","",IF($C$29="상세법",FPV(H7427,K7427),IF(H7427="EI",4,IF(H7427="EO",5.2,IF(H7427="EQ",3.9,IF(H7427="ILF",7.5,IF(H7427="EIF",5.4)))))))</f>
        <v/>
      </c>
      <c r="M7427" s="112" t="str">
        <f t="shared" si="119"/>
        <v/>
      </c>
      <c r="N7427" s="113"/>
    </row>
    <row r="7428" spans="2:14">
      <c r="B7428" s="105"/>
      <c r="C7428" s="106"/>
      <c r="D7428" s="107"/>
      <c r="E7428" s="65"/>
      <c r="F7428" s="64"/>
      <c r="G7428" s="64"/>
      <c r="H7428" s="64"/>
      <c r="I7428" s="70"/>
      <c r="J7428" s="70"/>
      <c r="K7428" s="110" t="str">
        <f>IF(H7428="","",IF($C$29="간이법","",FPR(H7428,I7428,J7428)))</f>
        <v/>
      </c>
      <c r="L7428" s="111" t="str">
        <f>IF(H7428="","",IF($C$29="상세법",FPV(H7428,K7428),IF(H7428="EI",4,IF(H7428="EO",5.2,IF(H7428="EQ",3.9,IF(H7428="ILF",7.5,IF(H7428="EIF",5.4)))))))</f>
        <v/>
      </c>
      <c r="M7428" s="112" t="str">
        <f t="shared" si="119"/>
        <v/>
      </c>
      <c r="N7428" s="113"/>
    </row>
    <row r="7429" spans="2:14">
      <c r="B7429" s="105"/>
      <c r="C7429" s="106"/>
      <c r="D7429" s="107"/>
      <c r="E7429" s="65"/>
      <c r="F7429" s="64"/>
      <c r="G7429" s="64"/>
      <c r="H7429" s="64"/>
      <c r="I7429" s="70"/>
      <c r="J7429" s="70"/>
      <c r="K7429" s="110" t="str">
        <f>IF(H7429="","",IF($C$29="간이법","",FPR(H7429,I7429,J7429)))</f>
        <v/>
      </c>
      <c r="L7429" s="111" t="str">
        <f>IF(H7429="","",IF($C$29="상세법",FPV(H7429,K7429),IF(H7429="EI",4,IF(H7429="EO",5.2,IF(H7429="EQ",3.9,IF(H7429="ILF",7.5,IF(H7429="EIF",5.4)))))))</f>
        <v/>
      </c>
      <c r="M7429" s="112" t="str">
        <f t="shared" si="119"/>
        <v/>
      </c>
      <c r="N7429" s="113"/>
    </row>
    <row r="7430" spans="2:14">
      <c r="B7430" s="105"/>
      <c r="C7430" s="106"/>
      <c r="D7430" s="107"/>
      <c r="E7430" s="65"/>
      <c r="F7430" s="64"/>
      <c r="G7430" s="64"/>
      <c r="H7430" s="64"/>
      <c r="I7430" s="70"/>
      <c r="J7430" s="70"/>
      <c r="K7430" s="110" t="str">
        <f>IF(H7430="","",IF($C$29="간이법","",FPR(H7430,I7430,J7430)))</f>
        <v/>
      </c>
      <c r="L7430" s="111" t="str">
        <f>IF(H7430="","",IF($C$29="상세법",FPV(H7430,K7430),IF(H7430="EI",4,IF(H7430="EO",5.2,IF(H7430="EQ",3.9,IF(H7430="ILF",7.5,IF(H7430="EIF",5.4)))))))</f>
        <v/>
      </c>
      <c r="M7430" s="112" t="str">
        <f t="shared" si="119"/>
        <v/>
      </c>
      <c r="N7430" s="113"/>
    </row>
    <row r="7431" spans="2:14">
      <c r="B7431" s="105"/>
      <c r="C7431" s="106"/>
      <c r="D7431" s="107"/>
      <c r="E7431" s="65"/>
      <c r="F7431" s="64"/>
      <c r="G7431" s="64"/>
      <c r="H7431" s="64"/>
      <c r="I7431" s="70"/>
      <c r="J7431" s="70"/>
      <c r="K7431" s="110" t="str">
        <f>IF(H7431="","",IF($C$29="간이법","",FPR(H7431,I7431,J7431)))</f>
        <v/>
      </c>
      <c r="L7431" s="111" t="str">
        <f>IF(H7431="","",IF($C$29="상세법",FPV(H7431,K7431),IF(H7431="EI",4,IF(H7431="EO",5.2,IF(H7431="EQ",3.9,IF(H7431="ILF",7.5,IF(H7431="EIF",5.4)))))))</f>
        <v/>
      </c>
      <c r="M7431" s="112" t="str">
        <f t="shared" si="119"/>
        <v/>
      </c>
      <c r="N7431" s="113"/>
    </row>
    <row r="7432" spans="2:14">
      <c r="B7432" s="105"/>
      <c r="C7432" s="106"/>
      <c r="D7432" s="107"/>
      <c r="E7432" s="65"/>
      <c r="F7432" s="64"/>
      <c r="G7432" s="64"/>
      <c r="H7432" s="64"/>
      <c r="I7432" s="70"/>
      <c r="J7432" s="70"/>
      <c r="K7432" s="110" t="str">
        <f>IF(H7432="","",IF($C$29="간이법","",FPR(H7432,I7432,J7432)))</f>
        <v/>
      </c>
      <c r="L7432" s="111" t="str">
        <f>IF(H7432="","",IF($C$29="상세법",FPV(H7432,K7432),IF(H7432="EI",4,IF(H7432="EO",5.2,IF(H7432="EQ",3.9,IF(H7432="ILF",7.5,IF(H7432="EIF",5.4)))))))</f>
        <v/>
      </c>
      <c r="M7432" s="112" t="str">
        <f t="shared" si="119"/>
        <v/>
      </c>
      <c r="N7432" s="113"/>
    </row>
    <row r="7433" spans="2:14">
      <c r="B7433" s="105"/>
      <c r="C7433" s="106"/>
      <c r="D7433" s="107"/>
      <c r="E7433" s="65"/>
      <c r="F7433" s="64"/>
      <c r="G7433" s="64"/>
      <c r="H7433" s="64"/>
      <c r="I7433" s="70"/>
      <c r="J7433" s="70"/>
      <c r="K7433" s="110" t="str">
        <f>IF(H7433="","",IF($C$29="간이법","",FPR(H7433,I7433,J7433)))</f>
        <v/>
      </c>
      <c r="L7433" s="111" t="str">
        <f>IF(H7433="","",IF($C$29="상세법",FPV(H7433,K7433),IF(H7433="EI",4,IF(H7433="EO",5.2,IF(H7433="EQ",3.9,IF(H7433="ILF",7.5,IF(H7433="EIF",5.4)))))))</f>
        <v/>
      </c>
      <c r="M7433" s="112" t="str">
        <f t="shared" si="119"/>
        <v/>
      </c>
      <c r="N7433" s="113"/>
    </row>
    <row r="7434" spans="2:14">
      <c r="B7434" s="105"/>
      <c r="C7434" s="106"/>
      <c r="D7434" s="107"/>
      <c r="E7434" s="65"/>
      <c r="F7434" s="64"/>
      <c r="G7434" s="64"/>
      <c r="H7434" s="64"/>
      <c r="I7434" s="70"/>
      <c r="J7434" s="70"/>
      <c r="K7434" s="110" t="str">
        <f>IF(H7434="","",IF($C$29="간이법","",FPR(H7434,I7434,J7434)))</f>
        <v/>
      </c>
      <c r="L7434" s="111" t="str">
        <f>IF(H7434="","",IF($C$29="상세법",FPV(H7434,K7434),IF(H7434="EI",4,IF(H7434="EO",5.2,IF(H7434="EQ",3.9,IF(H7434="ILF",7.5,IF(H7434="EIF",5.4)))))))</f>
        <v/>
      </c>
      <c r="M7434" s="112" t="str">
        <f t="shared" si="119"/>
        <v/>
      </c>
      <c r="N7434" s="113"/>
    </row>
    <row r="7435" spans="2:14">
      <c r="B7435" s="105"/>
      <c r="C7435" s="106"/>
      <c r="D7435" s="107"/>
      <c r="E7435" s="65"/>
      <c r="F7435" s="64"/>
      <c r="G7435" s="64"/>
      <c r="H7435" s="64"/>
      <c r="I7435" s="70"/>
      <c r="J7435" s="70"/>
      <c r="K7435" s="110" t="str">
        <f>IF(H7435="","",IF($C$29="간이법","",FPR(H7435,I7435,J7435)))</f>
        <v/>
      </c>
      <c r="L7435" s="111" t="str">
        <f>IF(H7435="","",IF($C$29="상세법",FPV(H7435,K7435),IF(H7435="EI",4,IF(H7435="EO",5.2,IF(H7435="EQ",3.9,IF(H7435="ILF",7.5,IF(H7435="EIF",5.4)))))))</f>
        <v/>
      </c>
      <c r="M7435" s="112" t="str">
        <f t="shared" si="119"/>
        <v/>
      </c>
      <c r="N7435" s="113"/>
    </row>
    <row r="7436" spans="2:14">
      <c r="B7436" s="105"/>
      <c r="C7436" s="106"/>
      <c r="D7436" s="107"/>
      <c r="E7436" s="65"/>
      <c r="F7436" s="64"/>
      <c r="G7436" s="64"/>
      <c r="H7436" s="64"/>
      <c r="I7436" s="70"/>
      <c r="J7436" s="70"/>
      <c r="K7436" s="110" t="str">
        <f>IF(H7436="","",IF($C$29="간이법","",FPR(H7436,I7436,J7436)))</f>
        <v/>
      </c>
      <c r="L7436" s="111" t="str">
        <f>IF(H7436="","",IF($C$29="상세법",FPV(H7436,K7436),IF(H7436="EI",4,IF(H7436="EO",5.2,IF(H7436="EQ",3.9,IF(H7436="ILF",7.5,IF(H7436="EIF",5.4)))))))</f>
        <v/>
      </c>
      <c r="M7436" s="112" t="str">
        <f t="shared" si="119"/>
        <v/>
      </c>
      <c r="N7436" s="113"/>
    </row>
    <row r="7437" spans="2:14">
      <c r="B7437" s="105"/>
      <c r="C7437" s="106"/>
      <c r="D7437" s="107"/>
      <c r="E7437" s="65"/>
      <c r="F7437" s="64"/>
      <c r="G7437" s="64"/>
      <c r="H7437" s="64"/>
      <c r="I7437" s="70"/>
      <c r="J7437" s="70"/>
      <c r="K7437" s="110" t="str">
        <f>IF(H7437="","",IF($C$29="간이법","",FPR(H7437,I7437,J7437)))</f>
        <v/>
      </c>
      <c r="L7437" s="111" t="str">
        <f>IF(H7437="","",IF($C$29="상세법",FPV(H7437,K7437),IF(H7437="EI",4,IF(H7437="EO",5.2,IF(H7437="EQ",3.9,IF(H7437="ILF",7.5,IF(H7437="EIF",5.4)))))))</f>
        <v/>
      </c>
      <c r="M7437" s="112" t="str">
        <f t="shared" si="119"/>
        <v/>
      </c>
      <c r="N7437" s="113"/>
    </row>
    <row r="7438" spans="2:14">
      <c r="B7438" s="105"/>
      <c r="C7438" s="106"/>
      <c r="D7438" s="107"/>
      <c r="E7438" s="65"/>
      <c r="F7438" s="64"/>
      <c r="G7438" s="64"/>
      <c r="H7438" s="64"/>
      <c r="I7438" s="70"/>
      <c r="J7438" s="70"/>
      <c r="K7438" s="110" t="str">
        <f>IF(H7438="","",IF($C$29="간이법","",FPR(H7438,I7438,J7438)))</f>
        <v/>
      </c>
      <c r="L7438" s="111" t="str">
        <f>IF(H7438="","",IF($C$29="상세법",FPV(H7438,K7438),IF(H7438="EI",4,IF(H7438="EO",5.2,IF(H7438="EQ",3.9,IF(H7438="ILF",7.5,IF(H7438="EIF",5.4)))))))</f>
        <v/>
      </c>
      <c r="M7438" s="112" t="str">
        <f t="shared" si="119"/>
        <v/>
      </c>
      <c r="N7438" s="113"/>
    </row>
    <row r="7439" spans="2:14">
      <c r="B7439" s="105"/>
      <c r="C7439" s="106"/>
      <c r="D7439" s="107"/>
      <c r="E7439" s="65"/>
      <c r="F7439" s="64"/>
      <c r="G7439" s="64"/>
      <c r="H7439" s="64"/>
      <c r="I7439" s="70"/>
      <c r="J7439" s="70"/>
      <c r="K7439" s="110" t="str">
        <f>IF(H7439="","",IF($C$29="간이법","",FPR(H7439,I7439,J7439)))</f>
        <v/>
      </c>
      <c r="L7439" s="111" t="str">
        <f>IF(H7439="","",IF($C$29="상세법",FPV(H7439,K7439),IF(H7439="EI",4,IF(H7439="EO",5.2,IF(H7439="EQ",3.9,IF(H7439="ILF",7.5,IF(H7439="EIF",5.4)))))))</f>
        <v/>
      </c>
      <c r="M7439" s="112" t="str">
        <f t="shared" si="119"/>
        <v/>
      </c>
      <c r="N7439" s="113"/>
    </row>
    <row r="7440" spans="2:14">
      <c r="B7440" s="105"/>
      <c r="C7440" s="106"/>
      <c r="D7440" s="107"/>
      <c r="E7440" s="65"/>
      <c r="F7440" s="64"/>
      <c r="G7440" s="64"/>
      <c r="H7440" s="64"/>
      <c r="I7440" s="70"/>
      <c r="J7440" s="70"/>
      <c r="K7440" s="110" t="str">
        <f>IF(H7440="","",IF($C$29="간이법","",FPR(H7440,I7440,J7440)))</f>
        <v/>
      </c>
      <c r="L7440" s="111" t="str">
        <f>IF(H7440="","",IF($C$29="상세법",FPV(H7440,K7440),IF(H7440="EI",4,IF(H7440="EO",5.2,IF(H7440="EQ",3.9,IF(H7440="ILF",7.5,IF(H7440="EIF",5.4)))))))</f>
        <v/>
      </c>
      <c r="M7440" s="112" t="str">
        <f t="shared" si="119"/>
        <v/>
      </c>
      <c r="N7440" s="113"/>
    </row>
    <row r="7441" spans="2:14">
      <c r="B7441" s="105"/>
      <c r="C7441" s="106"/>
      <c r="D7441" s="107"/>
      <c r="E7441" s="65"/>
      <c r="F7441" s="64"/>
      <c r="G7441" s="64"/>
      <c r="H7441" s="64"/>
      <c r="I7441" s="70"/>
      <c r="J7441" s="70"/>
      <c r="K7441" s="110" t="str">
        <f>IF(H7441="","",IF($C$29="간이법","",FPR(H7441,I7441,J7441)))</f>
        <v/>
      </c>
      <c r="L7441" s="111" t="str">
        <f>IF(H7441="","",IF($C$29="상세법",FPV(H7441,K7441),IF(H7441="EI",4,IF(H7441="EO",5.2,IF(H7441="EQ",3.9,IF(H7441="ILF",7.5,IF(H7441="EIF",5.4)))))))</f>
        <v/>
      </c>
      <c r="M7441" s="112" t="str">
        <f t="shared" si="119"/>
        <v/>
      </c>
      <c r="N7441" s="113"/>
    </row>
    <row r="7442" spans="2:14">
      <c r="B7442" s="105"/>
      <c r="C7442" s="106"/>
      <c r="D7442" s="107"/>
      <c r="E7442" s="65"/>
      <c r="F7442" s="64"/>
      <c r="G7442" s="64"/>
      <c r="H7442" s="64"/>
      <c r="I7442" s="70"/>
      <c r="J7442" s="70"/>
      <c r="K7442" s="110" t="str">
        <f>IF(H7442="","",IF($C$29="간이법","",FPR(H7442,I7442,J7442)))</f>
        <v/>
      </c>
      <c r="L7442" s="111" t="str">
        <f>IF(H7442="","",IF($C$29="상세법",FPV(H7442,K7442),IF(H7442="EI",4,IF(H7442="EO",5.2,IF(H7442="EQ",3.9,IF(H7442="ILF",7.5,IF(H7442="EIF",5.4)))))))</f>
        <v/>
      </c>
      <c r="M7442" s="112" t="str">
        <f t="shared" si="119"/>
        <v/>
      </c>
      <c r="N7442" s="113"/>
    </row>
    <row r="7443" spans="2:14">
      <c r="B7443" s="105"/>
      <c r="C7443" s="106"/>
      <c r="D7443" s="107"/>
      <c r="E7443" s="65"/>
      <c r="F7443" s="64"/>
      <c r="G7443" s="64"/>
      <c r="H7443" s="64"/>
      <c r="I7443" s="70"/>
      <c r="J7443" s="70"/>
      <c r="K7443" s="110" t="str">
        <f>IF(H7443="","",IF($C$29="간이법","",FPR(H7443,I7443,J7443)))</f>
        <v/>
      </c>
      <c r="L7443" s="111" t="str">
        <f>IF(H7443="","",IF($C$29="상세법",FPV(H7443,K7443),IF(H7443="EI",4,IF(H7443="EO",5.2,IF(H7443="EQ",3.9,IF(H7443="ILF",7.5,IF(H7443="EIF",5.4)))))))</f>
        <v/>
      </c>
      <c r="M7443" s="112" t="str">
        <f t="shared" si="119"/>
        <v/>
      </c>
      <c r="N7443" s="113"/>
    </row>
    <row r="7444" spans="2:14">
      <c r="B7444" s="105"/>
      <c r="C7444" s="106"/>
      <c r="D7444" s="107"/>
      <c r="E7444" s="65"/>
      <c r="F7444" s="64"/>
      <c r="G7444" s="64"/>
      <c r="H7444" s="64"/>
      <c r="I7444" s="70"/>
      <c r="J7444" s="70"/>
      <c r="K7444" s="110" t="str">
        <f>IF(H7444="","",IF($C$29="간이법","",FPR(H7444,I7444,J7444)))</f>
        <v/>
      </c>
      <c r="L7444" s="111" t="str">
        <f>IF(H7444="","",IF($C$29="상세법",FPV(H7444,K7444),IF(H7444="EI",4,IF(H7444="EO",5.2,IF(H7444="EQ",3.9,IF(H7444="ILF",7.5,IF(H7444="EIF",5.4)))))))</f>
        <v/>
      </c>
      <c r="M7444" s="112" t="str">
        <f t="shared" si="119"/>
        <v/>
      </c>
      <c r="N7444" s="113"/>
    </row>
    <row r="7445" spans="2:14">
      <c r="B7445" s="105"/>
      <c r="C7445" s="106"/>
      <c r="D7445" s="107"/>
      <c r="E7445" s="65"/>
      <c r="F7445" s="64"/>
      <c r="G7445" s="64"/>
      <c r="H7445" s="64"/>
      <c r="I7445" s="70"/>
      <c r="J7445" s="70"/>
      <c r="K7445" s="110" t="str">
        <f>IF(H7445="","",IF($C$29="간이법","",FPR(H7445,I7445,J7445)))</f>
        <v/>
      </c>
      <c r="L7445" s="111" t="str">
        <f>IF(H7445="","",IF($C$29="상세법",FPV(H7445,K7445),IF(H7445="EI",4,IF(H7445="EO",5.2,IF(H7445="EQ",3.9,IF(H7445="ILF",7.5,IF(H7445="EIF",5.4)))))))</f>
        <v/>
      </c>
      <c r="M7445" s="112" t="str">
        <f t="shared" si="119"/>
        <v/>
      </c>
      <c r="N7445" s="113"/>
    </row>
    <row r="7446" spans="2:14">
      <c r="B7446" s="105"/>
      <c r="C7446" s="106"/>
      <c r="D7446" s="107"/>
      <c r="E7446" s="65"/>
      <c r="F7446" s="64"/>
      <c r="G7446" s="64"/>
      <c r="H7446" s="64"/>
      <c r="I7446" s="70"/>
      <c r="J7446" s="70"/>
      <c r="K7446" s="110" t="str">
        <f>IF(H7446="","",IF($C$29="간이법","",FPR(H7446,I7446,J7446)))</f>
        <v/>
      </c>
      <c r="L7446" s="111" t="str">
        <f>IF(H7446="","",IF($C$29="상세법",FPV(H7446,K7446),IF(H7446="EI",4,IF(H7446="EO",5.2,IF(H7446="EQ",3.9,IF(H7446="ILF",7.5,IF(H7446="EIF",5.4)))))))</f>
        <v/>
      </c>
      <c r="M7446" s="112" t="str">
        <f t="shared" si="119"/>
        <v/>
      </c>
      <c r="N7446" s="113"/>
    </row>
    <row r="7447" spans="2:14">
      <c r="B7447" s="105"/>
      <c r="C7447" s="106"/>
      <c r="D7447" s="107"/>
      <c r="E7447" s="65"/>
      <c r="F7447" s="64"/>
      <c r="G7447" s="64"/>
      <c r="H7447" s="64"/>
      <c r="I7447" s="70"/>
      <c r="J7447" s="70"/>
      <c r="K7447" s="110" t="str">
        <f>IF(H7447="","",IF($C$29="간이법","",FPR(H7447,I7447,J7447)))</f>
        <v/>
      </c>
      <c r="L7447" s="111" t="str">
        <f>IF(H7447="","",IF($C$29="상세법",FPV(H7447,K7447),IF(H7447="EI",4,IF(H7447="EO",5.2,IF(H7447="EQ",3.9,IF(H7447="ILF",7.5,IF(H7447="EIF",5.4)))))))</f>
        <v/>
      </c>
      <c r="M7447" s="112" t="str">
        <f t="shared" si="119"/>
        <v/>
      </c>
      <c r="N7447" s="113"/>
    </row>
    <row r="7448" spans="2:14">
      <c r="B7448" s="105"/>
      <c r="C7448" s="106"/>
      <c r="D7448" s="107"/>
      <c r="E7448" s="65"/>
      <c r="F7448" s="64"/>
      <c r="G7448" s="64"/>
      <c r="H7448" s="64"/>
      <c r="I7448" s="70"/>
      <c r="J7448" s="70"/>
      <c r="K7448" s="110" t="str">
        <f>IF(H7448="","",IF($C$29="간이법","",FPR(H7448,I7448,J7448)))</f>
        <v/>
      </c>
      <c r="L7448" s="111" t="str">
        <f>IF(H7448="","",IF($C$29="상세법",FPV(H7448,K7448),IF(H7448="EI",4,IF(H7448="EO",5.2,IF(H7448="EQ",3.9,IF(H7448="ILF",7.5,IF(H7448="EIF",5.4)))))))</f>
        <v/>
      </c>
      <c r="M7448" s="112" t="str">
        <f t="shared" si="119"/>
        <v/>
      </c>
      <c r="N7448" s="113"/>
    </row>
    <row r="7449" spans="2:14">
      <c r="B7449" s="105"/>
      <c r="C7449" s="106"/>
      <c r="D7449" s="107"/>
      <c r="E7449" s="65"/>
      <c r="F7449" s="64"/>
      <c r="G7449" s="64"/>
      <c r="H7449" s="64"/>
      <c r="I7449" s="70"/>
      <c r="J7449" s="70"/>
      <c r="K7449" s="110" t="str">
        <f>IF(H7449="","",IF($C$29="간이법","",FPR(H7449,I7449,J7449)))</f>
        <v/>
      </c>
      <c r="L7449" s="111" t="str">
        <f>IF(H7449="","",IF($C$29="상세법",FPV(H7449,K7449),IF(H7449="EI",4,IF(H7449="EO",5.2,IF(H7449="EQ",3.9,IF(H7449="ILF",7.5,IF(H7449="EIF",5.4)))))))</f>
        <v/>
      </c>
      <c r="M7449" s="112" t="str">
        <f t="shared" si="119"/>
        <v/>
      </c>
      <c r="N7449" s="113"/>
    </row>
    <row r="7450" spans="2:14">
      <c r="B7450" s="105"/>
      <c r="C7450" s="106"/>
      <c r="D7450" s="107"/>
      <c r="E7450" s="65"/>
      <c r="F7450" s="64"/>
      <c r="G7450" s="64"/>
      <c r="H7450" s="64"/>
      <c r="I7450" s="70"/>
      <c r="J7450" s="70"/>
      <c r="K7450" s="110" t="str">
        <f>IF(H7450="","",IF($C$29="간이법","",FPR(H7450,I7450,J7450)))</f>
        <v/>
      </c>
      <c r="L7450" s="111" t="str">
        <f>IF(H7450="","",IF($C$29="상세법",FPV(H7450,K7450),IF(H7450="EI",4,IF(H7450="EO",5.2,IF(H7450="EQ",3.9,IF(H7450="ILF",7.5,IF(H7450="EIF",5.4)))))))</f>
        <v/>
      </c>
      <c r="M7450" s="112" t="str">
        <f t="shared" si="119"/>
        <v/>
      </c>
      <c r="N7450" s="113"/>
    </row>
    <row r="7451" spans="2:14">
      <c r="B7451" s="105"/>
      <c r="C7451" s="106"/>
      <c r="D7451" s="107"/>
      <c r="E7451" s="65"/>
      <c r="F7451" s="64"/>
      <c r="G7451" s="64"/>
      <c r="H7451" s="64"/>
      <c r="I7451" s="70"/>
      <c r="J7451" s="70"/>
      <c r="K7451" s="110" t="str">
        <f>IF(H7451="","",IF($C$29="간이법","",FPR(H7451,I7451,J7451)))</f>
        <v/>
      </c>
      <c r="L7451" s="111" t="str">
        <f>IF(H7451="","",IF($C$29="상세법",FPV(H7451,K7451),IF(H7451="EI",4,IF(H7451="EO",5.2,IF(H7451="EQ",3.9,IF(H7451="ILF",7.5,IF(H7451="EIF",5.4)))))))</f>
        <v/>
      </c>
      <c r="M7451" s="112" t="str">
        <f t="shared" si="119"/>
        <v/>
      </c>
      <c r="N7451" s="113"/>
    </row>
    <row r="7452" spans="2:14">
      <c r="B7452" s="105"/>
      <c r="C7452" s="106"/>
      <c r="D7452" s="107"/>
      <c r="E7452" s="65"/>
      <c r="F7452" s="64"/>
      <c r="G7452" s="64"/>
      <c r="H7452" s="64"/>
      <c r="I7452" s="70"/>
      <c r="J7452" s="70"/>
      <c r="K7452" s="110" t="str">
        <f>IF(H7452="","",IF($C$29="간이법","",FPR(H7452,I7452,J7452)))</f>
        <v/>
      </c>
      <c r="L7452" s="111" t="str">
        <f>IF(H7452="","",IF($C$29="상세법",FPV(H7452,K7452),IF(H7452="EI",4,IF(H7452="EO",5.2,IF(H7452="EQ",3.9,IF(H7452="ILF",7.5,IF(H7452="EIF",5.4)))))))</f>
        <v/>
      </c>
      <c r="M7452" s="112" t="str">
        <f t="shared" si="119"/>
        <v/>
      </c>
      <c r="N7452" s="113"/>
    </row>
    <row r="7453" spans="2:14">
      <c r="B7453" s="105"/>
      <c r="C7453" s="106"/>
      <c r="D7453" s="107"/>
      <c r="E7453" s="65"/>
      <c r="F7453" s="64"/>
      <c r="G7453" s="64"/>
      <c r="H7453" s="64"/>
      <c r="I7453" s="70"/>
      <c r="J7453" s="70"/>
      <c r="K7453" s="110" t="str">
        <f>IF(H7453="","",IF($C$29="간이법","",FPR(H7453,I7453,J7453)))</f>
        <v/>
      </c>
      <c r="L7453" s="111" t="str">
        <f>IF(H7453="","",IF($C$29="상세법",FPV(H7453,K7453),IF(H7453="EI",4,IF(H7453="EO",5.2,IF(H7453="EQ",3.9,IF(H7453="ILF",7.5,IF(H7453="EIF",5.4)))))))</f>
        <v/>
      </c>
      <c r="M7453" s="112" t="str">
        <f t="shared" si="119"/>
        <v/>
      </c>
      <c r="N7453" s="113"/>
    </row>
    <row r="7454" spans="2:14">
      <c r="B7454" s="105"/>
      <c r="C7454" s="106"/>
      <c r="D7454" s="107"/>
      <c r="E7454" s="65"/>
      <c r="F7454" s="64"/>
      <c r="G7454" s="64"/>
      <c r="H7454" s="64"/>
      <c r="I7454" s="70"/>
      <c r="J7454" s="70"/>
      <c r="K7454" s="110" t="str">
        <f>IF(H7454="","",IF($C$29="간이법","",FPR(H7454,I7454,J7454)))</f>
        <v/>
      </c>
      <c r="L7454" s="111" t="str">
        <f>IF(H7454="","",IF($C$29="상세법",FPV(H7454,K7454),IF(H7454="EI",4,IF(H7454="EO",5.2,IF(H7454="EQ",3.9,IF(H7454="ILF",7.5,IF(H7454="EIF",5.4)))))))</f>
        <v/>
      </c>
      <c r="M7454" s="112" t="str">
        <f t="shared" si="119"/>
        <v/>
      </c>
      <c r="N7454" s="113"/>
    </row>
    <row r="7455" spans="2:14">
      <c r="B7455" s="105"/>
      <c r="C7455" s="106"/>
      <c r="D7455" s="107"/>
      <c r="E7455" s="65"/>
      <c r="F7455" s="64"/>
      <c r="G7455" s="64"/>
      <c r="H7455" s="64"/>
      <c r="I7455" s="70"/>
      <c r="J7455" s="70"/>
      <c r="K7455" s="110" t="str">
        <f>IF(H7455="","",IF($C$29="간이법","",FPR(H7455,I7455,J7455)))</f>
        <v/>
      </c>
      <c r="L7455" s="111" t="str">
        <f>IF(H7455="","",IF($C$29="상세법",FPV(H7455,K7455),IF(H7455="EI",4,IF(H7455="EO",5.2,IF(H7455="EQ",3.9,IF(H7455="ILF",7.5,IF(H7455="EIF",5.4)))))))</f>
        <v/>
      </c>
      <c r="M7455" s="112" t="str">
        <f t="shared" si="119"/>
        <v/>
      </c>
      <c r="N7455" s="113"/>
    </row>
    <row r="7456" spans="2:14">
      <c r="B7456" s="105"/>
      <c r="C7456" s="106"/>
      <c r="D7456" s="107"/>
      <c r="E7456" s="65"/>
      <c r="F7456" s="64"/>
      <c r="G7456" s="64"/>
      <c r="H7456" s="64"/>
      <c r="I7456" s="70"/>
      <c r="J7456" s="70"/>
      <c r="K7456" s="110" t="str">
        <f>IF(H7456="","",IF($C$29="간이법","",FPR(H7456,I7456,J7456)))</f>
        <v/>
      </c>
      <c r="L7456" s="111" t="str">
        <f>IF(H7456="","",IF($C$29="상세법",FPV(H7456,K7456),IF(H7456="EI",4,IF(H7456="EO",5.2,IF(H7456="EQ",3.9,IF(H7456="ILF",7.5,IF(H7456="EIF",5.4)))))))</f>
        <v/>
      </c>
      <c r="M7456" s="112" t="str">
        <f t="shared" si="119"/>
        <v/>
      </c>
      <c r="N7456" s="113"/>
    </row>
    <row r="7457" spans="2:14">
      <c r="B7457" s="105"/>
      <c r="C7457" s="106"/>
      <c r="D7457" s="107"/>
      <c r="E7457" s="65"/>
      <c r="F7457" s="64"/>
      <c r="G7457" s="64"/>
      <c r="H7457" s="64"/>
      <c r="I7457" s="70"/>
      <c r="J7457" s="70"/>
      <c r="K7457" s="110" t="str">
        <f>IF(H7457="","",IF($C$29="간이법","",FPR(H7457,I7457,J7457)))</f>
        <v/>
      </c>
      <c r="L7457" s="111" t="str">
        <f>IF(H7457="","",IF($C$29="상세법",FPV(H7457,K7457),IF(H7457="EI",4,IF(H7457="EO",5.2,IF(H7457="EQ",3.9,IF(H7457="ILF",7.5,IF(H7457="EIF",5.4)))))))</f>
        <v/>
      </c>
      <c r="M7457" s="112" t="str">
        <f t="shared" si="119"/>
        <v/>
      </c>
      <c r="N7457" s="113"/>
    </row>
    <row r="7458" spans="2:14">
      <c r="B7458" s="105"/>
      <c r="C7458" s="106"/>
      <c r="D7458" s="107"/>
      <c r="E7458" s="65"/>
      <c r="F7458" s="64"/>
      <c r="G7458" s="64"/>
      <c r="H7458" s="64"/>
      <c r="I7458" s="70"/>
      <c r="J7458" s="70"/>
      <c r="K7458" s="110" t="str">
        <f>IF(H7458="","",IF($C$29="간이법","",FPR(H7458,I7458,J7458)))</f>
        <v/>
      </c>
      <c r="L7458" s="111" t="str">
        <f>IF(H7458="","",IF($C$29="상세법",FPV(H7458,K7458),IF(H7458="EI",4,IF(H7458="EO",5.2,IF(H7458="EQ",3.9,IF(H7458="ILF",7.5,IF(H7458="EIF",5.4)))))))</f>
        <v/>
      </c>
      <c r="M7458" s="112" t="str">
        <f t="shared" si="119"/>
        <v/>
      </c>
      <c r="N7458" s="113"/>
    </row>
    <row r="7459" spans="2:14">
      <c r="B7459" s="105"/>
      <c r="C7459" s="106"/>
      <c r="D7459" s="107"/>
      <c r="E7459" s="65"/>
      <c r="F7459" s="64"/>
      <c r="G7459" s="64"/>
      <c r="H7459" s="64"/>
      <c r="I7459" s="70"/>
      <c r="J7459" s="70"/>
      <c r="K7459" s="110" t="str">
        <f>IF(H7459="","",IF($C$29="간이법","",FPR(H7459,I7459,J7459)))</f>
        <v/>
      </c>
      <c r="L7459" s="111" t="str">
        <f>IF(H7459="","",IF($C$29="상세법",FPV(H7459,K7459),IF(H7459="EI",4,IF(H7459="EO",5.2,IF(H7459="EQ",3.9,IF(H7459="ILF",7.5,IF(H7459="EIF",5.4)))))))</f>
        <v/>
      </c>
      <c r="M7459" s="112" t="str">
        <f t="shared" si="119"/>
        <v/>
      </c>
      <c r="N7459" s="113"/>
    </row>
    <row r="7460" spans="2:14">
      <c r="B7460" s="105"/>
      <c r="C7460" s="106"/>
      <c r="D7460" s="107"/>
      <c r="E7460" s="65"/>
      <c r="F7460" s="64"/>
      <c r="G7460" s="64"/>
      <c r="H7460" s="64"/>
      <c r="I7460" s="70"/>
      <c r="J7460" s="70"/>
      <c r="K7460" s="110" t="str">
        <f>IF(H7460="","",IF($C$29="간이법","",FPR(H7460,I7460,J7460)))</f>
        <v/>
      </c>
      <c r="L7460" s="111" t="str">
        <f>IF(H7460="","",IF($C$29="상세법",FPV(H7460,K7460),IF(H7460="EI",4,IF(H7460="EO",5.2,IF(H7460="EQ",3.9,IF(H7460="ILF",7.5,IF(H7460="EIF",5.4)))))))</f>
        <v/>
      </c>
      <c r="M7460" s="112" t="str">
        <f t="shared" si="119"/>
        <v/>
      </c>
      <c r="N7460" s="113"/>
    </row>
    <row r="7461" spans="2:14">
      <c r="B7461" s="105"/>
      <c r="C7461" s="106"/>
      <c r="D7461" s="107"/>
      <c r="E7461" s="65"/>
      <c r="F7461" s="64"/>
      <c r="G7461" s="64"/>
      <c r="H7461" s="64"/>
      <c r="I7461" s="70"/>
      <c r="J7461" s="70"/>
      <c r="K7461" s="110" t="str">
        <f>IF(H7461="","",IF($C$29="간이법","",FPR(H7461,I7461,J7461)))</f>
        <v/>
      </c>
      <c r="L7461" s="111" t="str">
        <f>IF(H7461="","",IF($C$29="상세법",FPV(H7461,K7461),IF(H7461="EI",4,IF(H7461="EO",5.2,IF(H7461="EQ",3.9,IF(H7461="ILF",7.5,IF(H7461="EIF",5.4)))))))</f>
        <v/>
      </c>
      <c r="M7461" s="112" t="str">
        <f t="shared" si="119"/>
        <v/>
      </c>
      <c r="N7461" s="113"/>
    </row>
    <row r="7462" spans="2:14">
      <c r="B7462" s="105"/>
      <c r="C7462" s="106"/>
      <c r="D7462" s="107"/>
      <c r="E7462" s="65"/>
      <c r="F7462" s="64"/>
      <c r="G7462" s="64"/>
      <c r="H7462" s="64"/>
      <c r="I7462" s="70"/>
      <c r="J7462" s="70"/>
      <c r="K7462" s="110" t="str">
        <f>IF(H7462="","",IF($C$29="간이법","",FPR(H7462,I7462,J7462)))</f>
        <v/>
      </c>
      <c r="L7462" s="111" t="str">
        <f>IF(H7462="","",IF($C$29="상세법",FPV(H7462,K7462),IF(H7462="EI",4,IF(H7462="EO",5.2,IF(H7462="EQ",3.9,IF(H7462="ILF",7.5,IF(H7462="EIF",5.4)))))))</f>
        <v/>
      </c>
      <c r="M7462" s="112" t="str">
        <f t="shared" si="119"/>
        <v/>
      </c>
      <c r="N7462" s="113"/>
    </row>
    <row r="7463" spans="2:14">
      <c r="B7463" s="105"/>
      <c r="C7463" s="106"/>
      <c r="D7463" s="107"/>
      <c r="E7463" s="65"/>
      <c r="F7463" s="64"/>
      <c r="G7463" s="64"/>
      <c r="H7463" s="64"/>
      <c r="I7463" s="70"/>
      <c r="J7463" s="70"/>
      <c r="K7463" s="110" t="str">
        <f>IF(H7463="","",IF($C$29="간이법","",FPR(H7463,I7463,J7463)))</f>
        <v/>
      </c>
      <c r="L7463" s="111" t="str">
        <f>IF(H7463="","",IF($C$29="상세법",FPV(H7463,K7463),IF(H7463="EI",4,IF(H7463="EO",5.2,IF(H7463="EQ",3.9,IF(H7463="ILF",7.5,IF(H7463="EIF",5.4)))))))</f>
        <v/>
      </c>
      <c r="M7463" s="112" t="str">
        <f t="shared" si="119"/>
        <v/>
      </c>
      <c r="N7463" s="113"/>
    </row>
    <row r="7464" spans="2:14">
      <c r="B7464" s="105"/>
      <c r="C7464" s="106"/>
      <c r="D7464" s="107"/>
      <c r="E7464" s="65"/>
      <c r="F7464" s="64"/>
      <c r="G7464" s="64"/>
      <c r="H7464" s="64"/>
      <c r="I7464" s="70"/>
      <c r="J7464" s="70"/>
      <c r="K7464" s="110" t="str">
        <f>IF(H7464="","",IF($C$29="간이법","",FPR(H7464,I7464,J7464)))</f>
        <v/>
      </c>
      <c r="L7464" s="111" t="str">
        <f>IF(H7464="","",IF($C$29="상세법",FPV(H7464,K7464),IF(H7464="EI",4,IF(H7464="EO",5.2,IF(H7464="EQ",3.9,IF(H7464="ILF",7.5,IF(H7464="EIF",5.4)))))))</f>
        <v/>
      </c>
      <c r="M7464" s="112" t="str">
        <f t="shared" si="119"/>
        <v/>
      </c>
      <c r="N7464" s="113"/>
    </row>
    <row r="7465" spans="2:14">
      <c r="B7465" s="105"/>
      <c r="C7465" s="106"/>
      <c r="D7465" s="107"/>
      <c r="E7465" s="65"/>
      <c r="F7465" s="64"/>
      <c r="G7465" s="64"/>
      <c r="H7465" s="64"/>
      <c r="I7465" s="70"/>
      <c r="J7465" s="70"/>
      <c r="K7465" s="110" t="str">
        <f>IF(H7465="","",IF($C$29="간이법","",FPR(H7465,I7465,J7465)))</f>
        <v/>
      </c>
      <c r="L7465" s="111" t="str">
        <f>IF(H7465="","",IF($C$29="상세법",FPV(H7465,K7465),IF(H7465="EI",4,IF(H7465="EO",5.2,IF(H7465="EQ",3.9,IF(H7465="ILF",7.5,IF(H7465="EIF",5.4)))))))</f>
        <v/>
      </c>
      <c r="M7465" s="112" t="str">
        <f t="shared" si="119"/>
        <v/>
      </c>
      <c r="N7465" s="113"/>
    </row>
    <row r="7466" spans="2:14">
      <c r="B7466" s="105"/>
      <c r="C7466" s="106"/>
      <c r="D7466" s="107"/>
      <c r="E7466" s="65"/>
      <c r="F7466" s="64"/>
      <c r="G7466" s="64"/>
      <c r="H7466" s="64"/>
      <c r="I7466" s="70"/>
      <c r="J7466" s="70"/>
      <c r="K7466" s="110" t="str">
        <f>IF(H7466="","",IF($C$29="간이법","",FPR(H7466,I7466,J7466)))</f>
        <v/>
      </c>
      <c r="L7466" s="111" t="str">
        <f>IF(H7466="","",IF($C$29="상세법",FPV(H7466,K7466),IF(H7466="EI",4,IF(H7466="EO",5.2,IF(H7466="EQ",3.9,IF(H7466="ILF",7.5,IF(H7466="EIF",5.4)))))))</f>
        <v/>
      </c>
      <c r="M7466" s="112" t="str">
        <f t="shared" si="119"/>
        <v/>
      </c>
      <c r="N7466" s="113"/>
    </row>
    <row r="7467" spans="2:14">
      <c r="B7467" s="105"/>
      <c r="C7467" s="106"/>
      <c r="D7467" s="107"/>
      <c r="E7467" s="65"/>
      <c r="F7467" s="64"/>
      <c r="G7467" s="64"/>
      <c r="H7467" s="64"/>
      <c r="I7467" s="70"/>
      <c r="J7467" s="70"/>
      <c r="K7467" s="110" t="str">
        <f>IF(H7467="","",IF($C$29="간이법","",FPR(H7467,I7467,J7467)))</f>
        <v/>
      </c>
      <c r="L7467" s="111" t="str">
        <f>IF(H7467="","",IF($C$29="상세법",FPV(H7467,K7467),IF(H7467="EI",4,IF(H7467="EO",5.2,IF(H7467="EQ",3.9,IF(H7467="ILF",7.5,IF(H7467="EIF",5.4)))))))</f>
        <v/>
      </c>
      <c r="M7467" s="112" t="str">
        <f t="shared" si="119"/>
        <v/>
      </c>
      <c r="N7467" s="113"/>
    </row>
    <row r="7468" spans="2:14">
      <c r="B7468" s="105"/>
      <c r="C7468" s="106"/>
      <c r="D7468" s="107"/>
      <c r="E7468" s="65"/>
      <c r="F7468" s="64"/>
      <c r="G7468" s="64"/>
      <c r="H7468" s="64"/>
      <c r="I7468" s="70"/>
      <c r="J7468" s="70"/>
      <c r="K7468" s="110" t="str">
        <f>IF(H7468="","",IF($C$29="간이법","",FPR(H7468,I7468,J7468)))</f>
        <v/>
      </c>
      <c r="L7468" s="111" t="str">
        <f>IF(H7468="","",IF($C$29="상세법",FPV(H7468,K7468),IF(H7468="EI",4,IF(H7468="EO",5.2,IF(H7468="EQ",3.9,IF(H7468="ILF",7.5,IF(H7468="EIF",5.4)))))))</f>
        <v/>
      </c>
      <c r="M7468" s="112" t="str">
        <f t="shared" si="119"/>
        <v/>
      </c>
      <c r="N7468" s="113"/>
    </row>
    <row r="7469" spans="2:14">
      <c r="B7469" s="105"/>
      <c r="C7469" s="106"/>
      <c r="D7469" s="107"/>
      <c r="E7469" s="65"/>
      <c r="F7469" s="64"/>
      <c r="G7469" s="64"/>
      <c r="H7469" s="64"/>
      <c r="I7469" s="70"/>
      <c r="J7469" s="70"/>
      <c r="K7469" s="110" t="str">
        <f>IF(H7469="","",IF($C$29="간이법","",FPR(H7469,I7469,J7469)))</f>
        <v/>
      </c>
      <c r="L7469" s="111" t="str">
        <f>IF(H7469="","",IF($C$29="상세법",FPV(H7469,K7469),IF(H7469="EI",4,IF(H7469="EO",5.2,IF(H7469="EQ",3.9,IF(H7469="ILF",7.5,IF(H7469="EIF",5.4)))))))</f>
        <v/>
      </c>
      <c r="M7469" s="112" t="str">
        <f t="shared" si="119"/>
        <v/>
      </c>
      <c r="N7469" s="113"/>
    </row>
    <row r="7470" spans="2:14">
      <c r="B7470" s="105"/>
      <c r="C7470" s="106"/>
      <c r="D7470" s="107"/>
      <c r="E7470" s="65"/>
      <c r="F7470" s="64"/>
      <c r="G7470" s="64"/>
      <c r="H7470" s="64"/>
      <c r="I7470" s="70"/>
      <c r="J7470" s="70"/>
      <c r="K7470" s="110" t="str">
        <f>IF(H7470="","",IF($C$29="간이법","",FPR(H7470,I7470,J7470)))</f>
        <v/>
      </c>
      <c r="L7470" s="111" t="str">
        <f>IF(H7470="","",IF($C$29="상세법",FPV(H7470,K7470),IF(H7470="EI",4,IF(H7470="EO",5.2,IF(H7470="EQ",3.9,IF(H7470="ILF",7.5,IF(H7470="EIF",5.4)))))))</f>
        <v/>
      </c>
      <c r="M7470" s="112" t="str">
        <f t="shared" si="119"/>
        <v/>
      </c>
      <c r="N7470" s="113"/>
    </row>
    <row r="7471" spans="2:14">
      <c r="B7471" s="105"/>
      <c r="C7471" s="106"/>
      <c r="D7471" s="107"/>
      <c r="E7471" s="65"/>
      <c r="F7471" s="64"/>
      <c r="G7471" s="64"/>
      <c r="H7471" s="64"/>
      <c r="I7471" s="70"/>
      <c r="J7471" s="70"/>
      <c r="K7471" s="110" t="str">
        <f>IF(H7471="","",IF($C$29="간이법","",FPR(H7471,I7471,J7471)))</f>
        <v/>
      </c>
      <c r="L7471" s="111" t="str">
        <f>IF(H7471="","",IF($C$29="상세법",FPV(H7471,K7471),IF(H7471="EI",4,IF(H7471="EO",5.2,IF(H7471="EQ",3.9,IF(H7471="ILF",7.5,IF(H7471="EIF",5.4)))))))</f>
        <v/>
      </c>
      <c r="M7471" s="112" t="str">
        <f t="shared" si="119"/>
        <v/>
      </c>
      <c r="N7471" s="113"/>
    </row>
    <row r="7472" spans="2:14">
      <c r="B7472" s="105"/>
      <c r="C7472" s="106"/>
      <c r="D7472" s="107"/>
      <c r="E7472" s="65"/>
      <c r="F7472" s="64"/>
      <c r="G7472" s="64"/>
      <c r="H7472" s="64"/>
      <c r="I7472" s="70"/>
      <c r="J7472" s="70"/>
      <c r="K7472" s="110" t="str">
        <f>IF(H7472="","",IF($C$29="간이법","",FPR(H7472,I7472,J7472)))</f>
        <v/>
      </c>
      <c r="L7472" s="111" t="str">
        <f>IF(H7472="","",IF($C$29="상세법",FPV(H7472,K7472),IF(H7472="EI",4,IF(H7472="EO",5.2,IF(H7472="EQ",3.9,IF(H7472="ILF",7.5,IF(H7472="EIF",5.4)))))))</f>
        <v/>
      </c>
      <c r="M7472" s="112" t="str">
        <f t="shared" si="119"/>
        <v/>
      </c>
      <c r="N7472" s="113"/>
    </row>
    <row r="7473" spans="2:14">
      <c r="B7473" s="105"/>
      <c r="C7473" s="106"/>
      <c r="D7473" s="107"/>
      <c r="E7473" s="65"/>
      <c r="F7473" s="64"/>
      <c r="G7473" s="64"/>
      <c r="H7473" s="64"/>
      <c r="I7473" s="70"/>
      <c r="J7473" s="70"/>
      <c r="K7473" s="110" t="str">
        <f>IF(H7473="","",IF($C$29="간이법","",FPR(H7473,I7473,J7473)))</f>
        <v/>
      </c>
      <c r="L7473" s="111" t="str">
        <f>IF(H7473="","",IF($C$29="상세법",FPV(H7473,K7473),IF(H7473="EI",4,IF(H7473="EO",5.2,IF(H7473="EQ",3.9,IF(H7473="ILF",7.5,IF(H7473="EIF",5.4)))))))</f>
        <v/>
      </c>
      <c r="M7473" s="112" t="str">
        <f t="shared" si="119"/>
        <v/>
      </c>
      <c r="N7473" s="113"/>
    </row>
    <row r="7474" spans="2:14">
      <c r="B7474" s="105"/>
      <c r="C7474" s="106"/>
      <c r="D7474" s="107"/>
      <c r="E7474" s="65"/>
      <c r="F7474" s="64"/>
      <c r="G7474" s="64"/>
      <c r="H7474" s="64"/>
      <c r="I7474" s="70"/>
      <c r="J7474" s="70"/>
      <c r="K7474" s="110" t="str">
        <f>IF(H7474="","",IF($C$29="간이법","",FPR(H7474,I7474,J7474)))</f>
        <v/>
      </c>
      <c r="L7474" s="111" t="str">
        <f>IF(H7474="","",IF($C$29="상세법",FPV(H7474,K7474),IF(H7474="EI",4,IF(H7474="EO",5.2,IF(H7474="EQ",3.9,IF(H7474="ILF",7.5,IF(H7474="EIF",5.4)))))))</f>
        <v/>
      </c>
      <c r="M7474" s="112" t="str">
        <f t="shared" si="119"/>
        <v/>
      </c>
      <c r="N7474" s="113"/>
    </row>
    <row r="7475" spans="2:14">
      <c r="B7475" s="105"/>
      <c r="C7475" s="106"/>
      <c r="D7475" s="107"/>
      <c r="E7475" s="65"/>
      <c r="F7475" s="64"/>
      <c r="G7475" s="64"/>
      <c r="H7475" s="64"/>
      <c r="I7475" s="70"/>
      <c r="J7475" s="70"/>
      <c r="K7475" s="110" t="str">
        <f>IF(H7475="","",IF($C$29="간이법","",FPR(H7475,I7475,J7475)))</f>
        <v/>
      </c>
      <c r="L7475" s="111" t="str">
        <f>IF(H7475="","",IF($C$29="상세법",FPV(H7475,K7475),IF(H7475="EI",4,IF(H7475="EO",5.2,IF(H7475="EQ",3.9,IF(H7475="ILF",7.5,IF(H7475="EIF",5.4)))))))</f>
        <v/>
      </c>
      <c r="M7475" s="112" t="str">
        <f t="shared" si="119"/>
        <v/>
      </c>
      <c r="N7475" s="113"/>
    </row>
    <row r="7476" spans="2:14">
      <c r="B7476" s="105"/>
      <c r="C7476" s="106"/>
      <c r="D7476" s="107"/>
      <c r="E7476" s="65"/>
      <c r="F7476" s="64"/>
      <c r="G7476" s="64"/>
      <c r="H7476" s="64"/>
      <c r="I7476" s="70"/>
      <c r="J7476" s="70"/>
      <c r="K7476" s="110" t="str">
        <f>IF(H7476="","",IF($C$29="간이법","",FPR(H7476,I7476,J7476)))</f>
        <v/>
      </c>
      <c r="L7476" s="111" t="str">
        <f>IF(H7476="","",IF($C$29="상세법",FPV(H7476,K7476),IF(H7476="EI",4,IF(H7476="EO",5.2,IF(H7476="EQ",3.9,IF(H7476="ILF",7.5,IF(H7476="EIF",5.4)))))))</f>
        <v/>
      </c>
      <c r="M7476" s="112" t="str">
        <f t="shared" si="119"/>
        <v/>
      </c>
      <c r="N7476" s="113"/>
    </row>
    <row r="7477" spans="2:14">
      <c r="B7477" s="105"/>
      <c r="C7477" s="106"/>
      <c r="D7477" s="107"/>
      <c r="E7477" s="65"/>
      <c r="F7477" s="64"/>
      <c r="G7477" s="64"/>
      <c r="H7477" s="64"/>
      <c r="I7477" s="70"/>
      <c r="J7477" s="70"/>
      <c r="K7477" s="110" t="str">
        <f>IF(H7477="","",IF($C$29="간이법","",FPR(H7477,I7477,J7477)))</f>
        <v/>
      </c>
      <c r="L7477" s="111" t="str">
        <f>IF(H7477="","",IF($C$29="상세법",FPV(H7477,K7477),IF(H7477="EI",4,IF(H7477="EO",5.2,IF(H7477="EQ",3.9,IF(H7477="ILF",7.5,IF(H7477="EIF",5.4)))))))</f>
        <v/>
      </c>
      <c r="M7477" s="112" t="str">
        <f t="shared" si="119"/>
        <v/>
      </c>
      <c r="N7477" s="113"/>
    </row>
    <row r="7478" spans="2:14">
      <c r="B7478" s="105"/>
      <c r="C7478" s="106"/>
      <c r="D7478" s="107"/>
      <c r="E7478" s="65"/>
      <c r="F7478" s="64"/>
      <c r="G7478" s="64"/>
      <c r="H7478" s="64"/>
      <c r="I7478" s="70"/>
      <c r="J7478" s="70"/>
      <c r="K7478" s="110" t="str">
        <f>IF(H7478="","",IF($C$29="간이법","",FPR(H7478,I7478,J7478)))</f>
        <v/>
      </c>
      <c r="L7478" s="111" t="str">
        <f>IF(H7478="","",IF($C$29="상세법",FPV(H7478,K7478),IF(H7478="EI",4,IF(H7478="EO",5.2,IF(H7478="EQ",3.9,IF(H7478="ILF",7.5,IF(H7478="EIF",5.4)))))))</f>
        <v/>
      </c>
      <c r="M7478" s="112" t="str">
        <f t="shared" si="119"/>
        <v/>
      </c>
      <c r="N7478" s="113"/>
    </row>
    <row r="7479" spans="2:14">
      <c r="B7479" s="105"/>
      <c r="C7479" s="106"/>
      <c r="D7479" s="107"/>
      <c r="E7479" s="65"/>
      <c r="F7479" s="64"/>
      <c r="G7479" s="64"/>
      <c r="H7479" s="64"/>
      <c r="I7479" s="70"/>
      <c r="J7479" s="70"/>
      <c r="K7479" s="110" t="str">
        <f>IF(H7479="","",IF($C$29="간이법","",FPR(H7479,I7479,J7479)))</f>
        <v/>
      </c>
      <c r="L7479" s="111" t="str">
        <f>IF(H7479="","",IF($C$29="상세법",FPV(H7479,K7479),IF(H7479="EI",4,IF(H7479="EO",5.2,IF(H7479="EQ",3.9,IF(H7479="ILF",7.5,IF(H7479="EIF",5.4)))))))</f>
        <v/>
      </c>
      <c r="M7479" s="112" t="str">
        <f t="shared" si="119"/>
        <v/>
      </c>
      <c r="N7479" s="113"/>
    </row>
    <row r="7480" spans="2:14">
      <c r="B7480" s="105"/>
      <c r="C7480" s="106"/>
      <c r="D7480" s="107"/>
      <c r="E7480" s="65"/>
      <c r="F7480" s="64"/>
      <c r="G7480" s="64"/>
      <c r="H7480" s="64"/>
      <c r="I7480" s="70"/>
      <c r="J7480" s="70"/>
      <c r="K7480" s="110" t="str">
        <f>IF(H7480="","",IF($C$29="간이법","",FPR(H7480,I7480,J7480)))</f>
        <v/>
      </c>
      <c r="L7480" s="111" t="str">
        <f>IF(H7480="","",IF($C$29="상세법",FPV(H7480,K7480),IF(H7480="EI",4,IF(H7480="EO",5.2,IF(H7480="EQ",3.9,IF(H7480="ILF",7.5,IF(H7480="EIF",5.4)))))))</f>
        <v/>
      </c>
      <c r="M7480" s="112" t="str">
        <f t="shared" si="119"/>
        <v/>
      </c>
      <c r="N7480" s="113"/>
    </row>
    <row r="7481" spans="2:14">
      <c r="B7481" s="105"/>
      <c r="C7481" s="106"/>
      <c r="D7481" s="107"/>
      <c r="E7481" s="65"/>
      <c r="F7481" s="64"/>
      <c r="G7481" s="64"/>
      <c r="H7481" s="64"/>
      <c r="I7481" s="70"/>
      <c r="J7481" s="70"/>
      <c r="K7481" s="110" t="str">
        <f>IF(H7481="","",IF($C$29="간이법","",FPR(H7481,I7481,J7481)))</f>
        <v/>
      </c>
      <c r="L7481" s="111" t="str">
        <f>IF(H7481="","",IF($C$29="상세법",FPV(H7481,K7481),IF(H7481="EI",4,IF(H7481="EO",5.2,IF(H7481="EQ",3.9,IF(H7481="ILF",7.5,IF(H7481="EIF",5.4)))))))</f>
        <v/>
      </c>
      <c r="M7481" s="112" t="str">
        <f t="shared" ref="M7481:M7544" si="120">IF(L7481="","",L7481*IF(G7481="상",0.7,IF(G7481="중",0.5,IF(G7481="하",0.2,1))))</f>
        <v/>
      </c>
      <c r="N7481" s="113"/>
    </row>
    <row r="7482" spans="2:14">
      <c r="B7482" s="105"/>
      <c r="C7482" s="106"/>
      <c r="D7482" s="107"/>
      <c r="E7482" s="65"/>
      <c r="F7482" s="64"/>
      <c r="G7482" s="64"/>
      <c r="H7482" s="64"/>
      <c r="I7482" s="70"/>
      <c r="J7482" s="70"/>
      <c r="K7482" s="110" t="str">
        <f>IF(H7482="","",IF($C$29="간이법","",FPR(H7482,I7482,J7482)))</f>
        <v/>
      </c>
      <c r="L7482" s="111" t="str">
        <f>IF(H7482="","",IF($C$29="상세법",FPV(H7482,K7482),IF(H7482="EI",4,IF(H7482="EO",5.2,IF(H7482="EQ",3.9,IF(H7482="ILF",7.5,IF(H7482="EIF",5.4)))))))</f>
        <v/>
      </c>
      <c r="M7482" s="112" t="str">
        <f t="shared" si="120"/>
        <v/>
      </c>
      <c r="N7482" s="113"/>
    </row>
    <row r="7483" spans="2:14">
      <c r="B7483" s="105"/>
      <c r="C7483" s="106"/>
      <c r="D7483" s="107"/>
      <c r="E7483" s="65"/>
      <c r="F7483" s="64"/>
      <c r="G7483" s="64"/>
      <c r="H7483" s="64"/>
      <c r="I7483" s="70"/>
      <c r="J7483" s="70"/>
      <c r="K7483" s="110" t="str">
        <f>IF(H7483="","",IF($C$29="간이법","",FPR(H7483,I7483,J7483)))</f>
        <v/>
      </c>
      <c r="L7483" s="111" t="str">
        <f>IF(H7483="","",IF($C$29="상세법",FPV(H7483,K7483),IF(H7483="EI",4,IF(H7483="EO",5.2,IF(H7483="EQ",3.9,IF(H7483="ILF",7.5,IF(H7483="EIF",5.4)))))))</f>
        <v/>
      </c>
      <c r="M7483" s="112" t="str">
        <f t="shared" si="120"/>
        <v/>
      </c>
      <c r="N7483" s="113"/>
    </row>
    <row r="7484" spans="2:14">
      <c r="B7484" s="105"/>
      <c r="C7484" s="106"/>
      <c r="D7484" s="107"/>
      <c r="E7484" s="65"/>
      <c r="F7484" s="64"/>
      <c r="G7484" s="64"/>
      <c r="H7484" s="64"/>
      <c r="I7484" s="70"/>
      <c r="J7484" s="70"/>
      <c r="K7484" s="110" t="str">
        <f>IF(H7484="","",IF($C$29="간이법","",FPR(H7484,I7484,J7484)))</f>
        <v/>
      </c>
      <c r="L7484" s="111" t="str">
        <f>IF(H7484="","",IF($C$29="상세법",FPV(H7484,K7484),IF(H7484="EI",4,IF(H7484="EO",5.2,IF(H7484="EQ",3.9,IF(H7484="ILF",7.5,IF(H7484="EIF",5.4)))))))</f>
        <v/>
      </c>
      <c r="M7484" s="112" t="str">
        <f t="shared" si="120"/>
        <v/>
      </c>
      <c r="N7484" s="113"/>
    </row>
    <row r="7485" spans="2:14">
      <c r="B7485" s="105"/>
      <c r="C7485" s="106"/>
      <c r="D7485" s="107"/>
      <c r="E7485" s="65"/>
      <c r="F7485" s="64"/>
      <c r="G7485" s="64"/>
      <c r="H7485" s="64"/>
      <c r="I7485" s="70"/>
      <c r="J7485" s="70"/>
      <c r="K7485" s="110" t="str">
        <f>IF(H7485="","",IF($C$29="간이법","",FPR(H7485,I7485,J7485)))</f>
        <v/>
      </c>
      <c r="L7485" s="111" t="str">
        <f>IF(H7485="","",IF($C$29="상세법",FPV(H7485,K7485),IF(H7485="EI",4,IF(H7485="EO",5.2,IF(H7485="EQ",3.9,IF(H7485="ILF",7.5,IF(H7485="EIF",5.4)))))))</f>
        <v/>
      </c>
      <c r="M7485" s="112" t="str">
        <f t="shared" si="120"/>
        <v/>
      </c>
      <c r="N7485" s="113"/>
    </row>
    <row r="7486" spans="2:14">
      <c r="B7486" s="105"/>
      <c r="C7486" s="106"/>
      <c r="D7486" s="107"/>
      <c r="E7486" s="65"/>
      <c r="F7486" s="64"/>
      <c r="G7486" s="64"/>
      <c r="H7486" s="64"/>
      <c r="I7486" s="70"/>
      <c r="J7486" s="70"/>
      <c r="K7486" s="110" t="str">
        <f>IF(H7486="","",IF($C$29="간이법","",FPR(H7486,I7486,J7486)))</f>
        <v/>
      </c>
      <c r="L7486" s="111" t="str">
        <f>IF(H7486="","",IF($C$29="상세법",FPV(H7486,K7486),IF(H7486="EI",4,IF(H7486="EO",5.2,IF(H7486="EQ",3.9,IF(H7486="ILF",7.5,IF(H7486="EIF",5.4)))))))</f>
        <v/>
      </c>
      <c r="M7486" s="112" t="str">
        <f t="shared" si="120"/>
        <v/>
      </c>
      <c r="N7486" s="113"/>
    </row>
    <row r="7487" spans="2:14">
      <c r="B7487" s="105"/>
      <c r="C7487" s="106"/>
      <c r="D7487" s="107"/>
      <c r="E7487" s="65"/>
      <c r="F7487" s="64"/>
      <c r="G7487" s="64"/>
      <c r="H7487" s="64"/>
      <c r="I7487" s="70"/>
      <c r="J7487" s="70"/>
      <c r="K7487" s="110" t="str">
        <f>IF(H7487="","",IF($C$29="간이법","",FPR(H7487,I7487,J7487)))</f>
        <v/>
      </c>
      <c r="L7487" s="111" t="str">
        <f>IF(H7487="","",IF($C$29="상세법",FPV(H7487,K7487),IF(H7487="EI",4,IF(H7487="EO",5.2,IF(H7487="EQ",3.9,IF(H7487="ILF",7.5,IF(H7487="EIF",5.4)))))))</f>
        <v/>
      </c>
      <c r="M7487" s="112" t="str">
        <f t="shared" si="120"/>
        <v/>
      </c>
      <c r="N7487" s="113"/>
    </row>
    <row r="7488" spans="2:14">
      <c r="B7488" s="105"/>
      <c r="C7488" s="106"/>
      <c r="D7488" s="107"/>
      <c r="E7488" s="65"/>
      <c r="F7488" s="64"/>
      <c r="G7488" s="64"/>
      <c r="H7488" s="64"/>
      <c r="I7488" s="70"/>
      <c r="J7488" s="70"/>
      <c r="K7488" s="110" t="str">
        <f>IF(H7488="","",IF($C$29="간이법","",FPR(H7488,I7488,J7488)))</f>
        <v/>
      </c>
      <c r="L7488" s="111" t="str">
        <f>IF(H7488="","",IF($C$29="상세법",FPV(H7488,K7488),IF(H7488="EI",4,IF(H7488="EO",5.2,IF(H7488="EQ",3.9,IF(H7488="ILF",7.5,IF(H7488="EIF",5.4)))))))</f>
        <v/>
      </c>
      <c r="M7488" s="112" t="str">
        <f t="shared" si="120"/>
        <v/>
      </c>
      <c r="N7488" s="113"/>
    </row>
    <row r="7489" spans="2:14">
      <c r="B7489" s="105"/>
      <c r="C7489" s="106"/>
      <c r="D7489" s="107"/>
      <c r="E7489" s="65"/>
      <c r="F7489" s="64"/>
      <c r="G7489" s="64"/>
      <c r="H7489" s="64"/>
      <c r="I7489" s="70"/>
      <c r="J7489" s="70"/>
      <c r="K7489" s="110" t="str">
        <f>IF(H7489="","",IF($C$29="간이법","",FPR(H7489,I7489,J7489)))</f>
        <v/>
      </c>
      <c r="L7489" s="111" t="str">
        <f>IF(H7489="","",IF($C$29="상세법",FPV(H7489,K7489),IF(H7489="EI",4,IF(H7489="EO",5.2,IF(H7489="EQ",3.9,IF(H7489="ILF",7.5,IF(H7489="EIF",5.4)))))))</f>
        <v/>
      </c>
      <c r="M7489" s="112" t="str">
        <f t="shared" si="120"/>
        <v/>
      </c>
      <c r="N7489" s="113"/>
    </row>
    <row r="7490" spans="2:14">
      <c r="B7490" s="105"/>
      <c r="C7490" s="106"/>
      <c r="D7490" s="107"/>
      <c r="E7490" s="65"/>
      <c r="F7490" s="64"/>
      <c r="G7490" s="64"/>
      <c r="H7490" s="64"/>
      <c r="I7490" s="70"/>
      <c r="J7490" s="70"/>
      <c r="K7490" s="110" t="str">
        <f>IF(H7490="","",IF($C$29="간이법","",FPR(H7490,I7490,J7490)))</f>
        <v/>
      </c>
      <c r="L7490" s="111" t="str">
        <f>IF(H7490="","",IF($C$29="상세법",FPV(H7490,K7490),IF(H7490="EI",4,IF(H7490="EO",5.2,IF(H7490="EQ",3.9,IF(H7490="ILF",7.5,IF(H7490="EIF",5.4)))))))</f>
        <v/>
      </c>
      <c r="M7490" s="112" t="str">
        <f t="shared" si="120"/>
        <v/>
      </c>
      <c r="N7490" s="113"/>
    </row>
    <row r="7491" spans="2:14">
      <c r="B7491" s="105"/>
      <c r="C7491" s="106"/>
      <c r="D7491" s="107"/>
      <c r="E7491" s="65"/>
      <c r="F7491" s="64"/>
      <c r="G7491" s="64"/>
      <c r="H7491" s="64"/>
      <c r="I7491" s="70"/>
      <c r="J7491" s="70"/>
      <c r="K7491" s="110" t="str">
        <f>IF(H7491="","",IF($C$29="간이법","",FPR(H7491,I7491,J7491)))</f>
        <v/>
      </c>
      <c r="L7491" s="111" t="str">
        <f>IF(H7491="","",IF($C$29="상세법",FPV(H7491,K7491),IF(H7491="EI",4,IF(H7491="EO",5.2,IF(H7491="EQ",3.9,IF(H7491="ILF",7.5,IF(H7491="EIF",5.4)))))))</f>
        <v/>
      </c>
      <c r="M7491" s="112" t="str">
        <f t="shared" si="120"/>
        <v/>
      </c>
      <c r="N7491" s="113"/>
    </row>
    <row r="7492" spans="2:14">
      <c r="B7492" s="105"/>
      <c r="C7492" s="106"/>
      <c r="D7492" s="107"/>
      <c r="E7492" s="65"/>
      <c r="F7492" s="64"/>
      <c r="G7492" s="64"/>
      <c r="H7492" s="64"/>
      <c r="I7492" s="70"/>
      <c r="J7492" s="70"/>
      <c r="K7492" s="110" t="str">
        <f>IF(H7492="","",IF($C$29="간이법","",FPR(H7492,I7492,J7492)))</f>
        <v/>
      </c>
      <c r="L7492" s="111" t="str">
        <f>IF(H7492="","",IF($C$29="상세법",FPV(H7492,K7492),IF(H7492="EI",4,IF(H7492="EO",5.2,IF(H7492="EQ",3.9,IF(H7492="ILF",7.5,IF(H7492="EIF",5.4)))))))</f>
        <v/>
      </c>
      <c r="M7492" s="112" t="str">
        <f t="shared" si="120"/>
        <v/>
      </c>
      <c r="N7492" s="113"/>
    </row>
    <row r="7493" spans="2:14">
      <c r="B7493" s="105"/>
      <c r="C7493" s="106"/>
      <c r="D7493" s="107"/>
      <c r="E7493" s="65"/>
      <c r="F7493" s="64"/>
      <c r="G7493" s="64"/>
      <c r="H7493" s="64"/>
      <c r="I7493" s="70"/>
      <c r="J7493" s="70"/>
      <c r="K7493" s="110" t="str">
        <f>IF(H7493="","",IF($C$29="간이법","",FPR(H7493,I7493,J7493)))</f>
        <v/>
      </c>
      <c r="L7493" s="111" t="str">
        <f>IF(H7493="","",IF($C$29="상세법",FPV(H7493,K7493),IF(H7493="EI",4,IF(H7493="EO",5.2,IF(H7493="EQ",3.9,IF(H7493="ILF",7.5,IF(H7493="EIF",5.4)))))))</f>
        <v/>
      </c>
      <c r="M7493" s="112" t="str">
        <f t="shared" si="120"/>
        <v/>
      </c>
      <c r="N7493" s="113"/>
    </row>
    <row r="7494" spans="2:14">
      <c r="B7494" s="105"/>
      <c r="C7494" s="106"/>
      <c r="D7494" s="107"/>
      <c r="E7494" s="65"/>
      <c r="F7494" s="64"/>
      <c r="G7494" s="64"/>
      <c r="H7494" s="64"/>
      <c r="I7494" s="70"/>
      <c r="J7494" s="70"/>
      <c r="K7494" s="110" t="str">
        <f>IF(H7494="","",IF($C$29="간이법","",FPR(H7494,I7494,J7494)))</f>
        <v/>
      </c>
      <c r="L7494" s="111" t="str">
        <f>IF(H7494="","",IF($C$29="상세법",FPV(H7494,K7494),IF(H7494="EI",4,IF(H7494="EO",5.2,IF(H7494="EQ",3.9,IF(H7494="ILF",7.5,IF(H7494="EIF",5.4)))))))</f>
        <v/>
      </c>
      <c r="M7494" s="112" t="str">
        <f t="shared" si="120"/>
        <v/>
      </c>
      <c r="N7494" s="113"/>
    </row>
    <row r="7495" spans="2:14">
      <c r="B7495" s="105"/>
      <c r="C7495" s="106"/>
      <c r="D7495" s="107"/>
      <c r="E7495" s="65"/>
      <c r="F7495" s="64"/>
      <c r="G7495" s="64"/>
      <c r="H7495" s="64"/>
      <c r="I7495" s="70"/>
      <c r="J7495" s="70"/>
      <c r="K7495" s="110" t="str">
        <f>IF(H7495="","",IF($C$29="간이법","",FPR(H7495,I7495,J7495)))</f>
        <v/>
      </c>
      <c r="L7495" s="111" t="str">
        <f>IF(H7495="","",IF($C$29="상세법",FPV(H7495,K7495),IF(H7495="EI",4,IF(H7495="EO",5.2,IF(H7495="EQ",3.9,IF(H7495="ILF",7.5,IF(H7495="EIF",5.4)))))))</f>
        <v/>
      </c>
      <c r="M7495" s="112" t="str">
        <f t="shared" si="120"/>
        <v/>
      </c>
      <c r="N7495" s="113"/>
    </row>
    <row r="7496" spans="2:14">
      <c r="B7496" s="105"/>
      <c r="C7496" s="106"/>
      <c r="D7496" s="107"/>
      <c r="E7496" s="65"/>
      <c r="F7496" s="64"/>
      <c r="G7496" s="64"/>
      <c r="H7496" s="64"/>
      <c r="I7496" s="70"/>
      <c r="J7496" s="70"/>
      <c r="K7496" s="110" t="str">
        <f>IF(H7496="","",IF($C$29="간이법","",FPR(H7496,I7496,J7496)))</f>
        <v/>
      </c>
      <c r="L7496" s="111" t="str">
        <f>IF(H7496="","",IF($C$29="상세법",FPV(H7496,K7496),IF(H7496="EI",4,IF(H7496="EO",5.2,IF(H7496="EQ",3.9,IF(H7496="ILF",7.5,IF(H7496="EIF",5.4)))))))</f>
        <v/>
      </c>
      <c r="M7496" s="112" t="str">
        <f t="shared" si="120"/>
        <v/>
      </c>
      <c r="N7496" s="113"/>
    </row>
    <row r="7497" spans="2:14">
      <c r="B7497" s="105"/>
      <c r="C7497" s="106"/>
      <c r="D7497" s="107"/>
      <c r="E7497" s="65"/>
      <c r="F7497" s="64"/>
      <c r="G7497" s="64"/>
      <c r="H7497" s="64"/>
      <c r="I7497" s="70"/>
      <c r="J7497" s="70"/>
      <c r="K7497" s="110" t="str">
        <f>IF(H7497="","",IF($C$29="간이법","",FPR(H7497,I7497,J7497)))</f>
        <v/>
      </c>
      <c r="L7497" s="111" t="str">
        <f>IF(H7497="","",IF($C$29="상세법",FPV(H7497,K7497),IF(H7497="EI",4,IF(H7497="EO",5.2,IF(H7497="EQ",3.9,IF(H7497="ILF",7.5,IF(H7497="EIF",5.4)))))))</f>
        <v/>
      </c>
      <c r="M7497" s="112" t="str">
        <f t="shared" si="120"/>
        <v/>
      </c>
      <c r="N7497" s="113"/>
    </row>
    <row r="7498" spans="2:14">
      <c r="B7498" s="105"/>
      <c r="C7498" s="106"/>
      <c r="D7498" s="107"/>
      <c r="E7498" s="65"/>
      <c r="F7498" s="64"/>
      <c r="G7498" s="64"/>
      <c r="H7498" s="64"/>
      <c r="I7498" s="70"/>
      <c r="J7498" s="70"/>
      <c r="K7498" s="110" t="str">
        <f>IF(H7498="","",IF($C$29="간이법","",FPR(H7498,I7498,J7498)))</f>
        <v/>
      </c>
      <c r="L7498" s="111" t="str">
        <f>IF(H7498="","",IF($C$29="상세법",FPV(H7498,K7498),IF(H7498="EI",4,IF(H7498="EO",5.2,IF(H7498="EQ",3.9,IF(H7498="ILF",7.5,IF(H7498="EIF",5.4)))))))</f>
        <v/>
      </c>
      <c r="M7498" s="112" t="str">
        <f t="shared" si="120"/>
        <v/>
      </c>
      <c r="N7498" s="113"/>
    </row>
    <row r="7499" spans="2:14">
      <c r="B7499" s="105"/>
      <c r="C7499" s="106"/>
      <c r="D7499" s="107"/>
      <c r="E7499" s="65"/>
      <c r="F7499" s="64"/>
      <c r="G7499" s="64"/>
      <c r="H7499" s="64"/>
      <c r="I7499" s="70"/>
      <c r="J7499" s="70"/>
      <c r="K7499" s="110" t="str">
        <f>IF(H7499="","",IF($C$29="간이법","",FPR(H7499,I7499,J7499)))</f>
        <v/>
      </c>
      <c r="L7499" s="111" t="str">
        <f>IF(H7499="","",IF($C$29="상세법",FPV(H7499,K7499),IF(H7499="EI",4,IF(H7499="EO",5.2,IF(H7499="EQ",3.9,IF(H7499="ILF",7.5,IF(H7499="EIF",5.4)))))))</f>
        <v/>
      </c>
      <c r="M7499" s="112" t="str">
        <f t="shared" si="120"/>
        <v/>
      </c>
      <c r="N7499" s="113"/>
    </row>
    <row r="7500" spans="2:14">
      <c r="B7500" s="105"/>
      <c r="C7500" s="106"/>
      <c r="D7500" s="107"/>
      <c r="E7500" s="65"/>
      <c r="F7500" s="64"/>
      <c r="G7500" s="64"/>
      <c r="H7500" s="64"/>
      <c r="I7500" s="70"/>
      <c r="J7500" s="70"/>
      <c r="K7500" s="110" t="str">
        <f>IF(H7500="","",IF($C$29="간이법","",FPR(H7500,I7500,J7500)))</f>
        <v/>
      </c>
      <c r="L7500" s="111" t="str">
        <f>IF(H7500="","",IF($C$29="상세법",FPV(H7500,K7500),IF(H7500="EI",4,IF(H7500="EO",5.2,IF(H7500="EQ",3.9,IF(H7500="ILF",7.5,IF(H7500="EIF",5.4)))))))</f>
        <v/>
      </c>
      <c r="M7500" s="112" t="str">
        <f t="shared" si="120"/>
        <v/>
      </c>
      <c r="N7500" s="113"/>
    </row>
    <row r="7501" spans="2:14">
      <c r="B7501" s="105"/>
      <c r="C7501" s="106"/>
      <c r="D7501" s="107"/>
      <c r="E7501" s="65"/>
      <c r="F7501" s="64"/>
      <c r="G7501" s="64"/>
      <c r="H7501" s="64"/>
      <c r="I7501" s="70"/>
      <c r="J7501" s="70"/>
      <c r="K7501" s="110" t="str">
        <f>IF(H7501="","",IF($C$29="간이법","",FPR(H7501,I7501,J7501)))</f>
        <v/>
      </c>
      <c r="L7501" s="111" t="str">
        <f>IF(H7501="","",IF($C$29="상세법",FPV(H7501,K7501),IF(H7501="EI",4,IF(H7501="EO",5.2,IF(H7501="EQ",3.9,IF(H7501="ILF",7.5,IF(H7501="EIF",5.4)))))))</f>
        <v/>
      </c>
      <c r="M7501" s="112" t="str">
        <f t="shared" si="120"/>
        <v/>
      </c>
      <c r="N7501" s="113"/>
    </row>
    <row r="7502" spans="2:14">
      <c r="B7502" s="105"/>
      <c r="C7502" s="106"/>
      <c r="D7502" s="107"/>
      <c r="E7502" s="65"/>
      <c r="F7502" s="64"/>
      <c r="G7502" s="64"/>
      <c r="H7502" s="64"/>
      <c r="I7502" s="70"/>
      <c r="J7502" s="70"/>
      <c r="K7502" s="110" t="str">
        <f>IF(H7502="","",IF($C$29="간이법","",FPR(H7502,I7502,J7502)))</f>
        <v/>
      </c>
      <c r="L7502" s="111" t="str">
        <f>IF(H7502="","",IF($C$29="상세법",FPV(H7502,K7502),IF(H7502="EI",4,IF(H7502="EO",5.2,IF(H7502="EQ",3.9,IF(H7502="ILF",7.5,IF(H7502="EIF",5.4)))))))</f>
        <v/>
      </c>
      <c r="M7502" s="112" t="str">
        <f t="shared" si="120"/>
        <v/>
      </c>
      <c r="N7502" s="113"/>
    </row>
    <row r="7503" spans="2:14">
      <c r="B7503" s="105"/>
      <c r="C7503" s="106"/>
      <c r="D7503" s="107"/>
      <c r="E7503" s="65"/>
      <c r="F7503" s="64"/>
      <c r="G7503" s="64"/>
      <c r="H7503" s="64"/>
      <c r="I7503" s="70"/>
      <c r="J7503" s="70"/>
      <c r="K7503" s="110" t="str">
        <f>IF(H7503="","",IF($C$29="간이법","",FPR(H7503,I7503,J7503)))</f>
        <v/>
      </c>
      <c r="L7503" s="111" t="str">
        <f>IF(H7503="","",IF($C$29="상세법",FPV(H7503,K7503),IF(H7503="EI",4,IF(H7503="EO",5.2,IF(H7503="EQ",3.9,IF(H7503="ILF",7.5,IF(H7503="EIF",5.4)))))))</f>
        <v/>
      </c>
      <c r="M7503" s="112" t="str">
        <f t="shared" si="120"/>
        <v/>
      </c>
      <c r="N7503" s="113"/>
    </row>
    <row r="7504" spans="2:14">
      <c r="B7504" s="105"/>
      <c r="C7504" s="106"/>
      <c r="D7504" s="107"/>
      <c r="E7504" s="65"/>
      <c r="F7504" s="64"/>
      <c r="G7504" s="64"/>
      <c r="H7504" s="64"/>
      <c r="I7504" s="70"/>
      <c r="J7504" s="70"/>
      <c r="K7504" s="110" t="str">
        <f>IF(H7504="","",IF($C$29="간이법","",FPR(H7504,I7504,J7504)))</f>
        <v/>
      </c>
      <c r="L7504" s="111" t="str">
        <f>IF(H7504="","",IF($C$29="상세법",FPV(H7504,K7504),IF(H7504="EI",4,IF(H7504="EO",5.2,IF(H7504="EQ",3.9,IF(H7504="ILF",7.5,IF(H7504="EIF",5.4)))))))</f>
        <v/>
      </c>
      <c r="M7504" s="112" t="str">
        <f t="shared" si="120"/>
        <v/>
      </c>
      <c r="N7504" s="113"/>
    </row>
    <row r="7505" spans="2:14">
      <c r="B7505" s="105"/>
      <c r="C7505" s="106"/>
      <c r="D7505" s="107"/>
      <c r="E7505" s="65"/>
      <c r="F7505" s="64"/>
      <c r="G7505" s="64"/>
      <c r="H7505" s="64"/>
      <c r="I7505" s="70"/>
      <c r="J7505" s="70"/>
      <c r="K7505" s="110" t="str">
        <f>IF(H7505="","",IF($C$29="간이법","",FPR(H7505,I7505,J7505)))</f>
        <v/>
      </c>
      <c r="L7505" s="111" t="str">
        <f>IF(H7505="","",IF($C$29="상세법",FPV(H7505,K7505),IF(H7505="EI",4,IF(H7505="EO",5.2,IF(H7505="EQ",3.9,IF(H7505="ILF",7.5,IF(H7505="EIF",5.4)))))))</f>
        <v/>
      </c>
      <c r="M7505" s="112" t="str">
        <f t="shared" si="120"/>
        <v/>
      </c>
      <c r="N7505" s="113"/>
    </row>
    <row r="7506" spans="2:14">
      <c r="B7506" s="105"/>
      <c r="C7506" s="106"/>
      <c r="D7506" s="107"/>
      <c r="E7506" s="65"/>
      <c r="F7506" s="64"/>
      <c r="G7506" s="64"/>
      <c r="H7506" s="64"/>
      <c r="I7506" s="70"/>
      <c r="J7506" s="70"/>
      <c r="K7506" s="110" t="str">
        <f>IF(H7506="","",IF($C$29="간이법","",FPR(H7506,I7506,J7506)))</f>
        <v/>
      </c>
      <c r="L7506" s="111" t="str">
        <f>IF(H7506="","",IF($C$29="상세법",FPV(H7506,K7506),IF(H7506="EI",4,IF(H7506="EO",5.2,IF(H7506="EQ",3.9,IF(H7506="ILF",7.5,IF(H7506="EIF",5.4)))))))</f>
        <v/>
      </c>
      <c r="M7506" s="112" t="str">
        <f t="shared" si="120"/>
        <v/>
      </c>
      <c r="N7506" s="113"/>
    </row>
    <row r="7507" spans="2:14">
      <c r="B7507" s="105"/>
      <c r="C7507" s="106"/>
      <c r="D7507" s="107"/>
      <c r="E7507" s="65"/>
      <c r="F7507" s="64"/>
      <c r="G7507" s="64"/>
      <c r="H7507" s="64"/>
      <c r="I7507" s="70"/>
      <c r="J7507" s="70"/>
      <c r="K7507" s="110" t="str">
        <f>IF(H7507="","",IF($C$29="간이법","",FPR(H7507,I7507,J7507)))</f>
        <v/>
      </c>
      <c r="L7507" s="111" t="str">
        <f>IF(H7507="","",IF($C$29="상세법",FPV(H7507,K7507),IF(H7507="EI",4,IF(H7507="EO",5.2,IF(H7507="EQ",3.9,IF(H7507="ILF",7.5,IF(H7507="EIF",5.4)))))))</f>
        <v/>
      </c>
      <c r="M7507" s="112" t="str">
        <f t="shared" si="120"/>
        <v/>
      </c>
      <c r="N7507" s="113"/>
    </row>
    <row r="7508" spans="2:14">
      <c r="B7508" s="105"/>
      <c r="C7508" s="106"/>
      <c r="D7508" s="107"/>
      <c r="E7508" s="65"/>
      <c r="F7508" s="64"/>
      <c r="G7508" s="64"/>
      <c r="H7508" s="64"/>
      <c r="I7508" s="70"/>
      <c r="J7508" s="70"/>
      <c r="K7508" s="110" t="str">
        <f>IF(H7508="","",IF($C$29="간이법","",FPR(H7508,I7508,J7508)))</f>
        <v/>
      </c>
      <c r="L7508" s="111" t="str">
        <f>IF(H7508="","",IF($C$29="상세법",FPV(H7508,K7508),IF(H7508="EI",4,IF(H7508="EO",5.2,IF(H7508="EQ",3.9,IF(H7508="ILF",7.5,IF(H7508="EIF",5.4)))))))</f>
        <v/>
      </c>
      <c r="M7508" s="112" t="str">
        <f t="shared" si="120"/>
        <v/>
      </c>
      <c r="N7508" s="113"/>
    </row>
    <row r="7509" spans="2:14">
      <c r="B7509" s="105"/>
      <c r="C7509" s="106"/>
      <c r="D7509" s="107"/>
      <c r="E7509" s="65"/>
      <c r="F7509" s="64"/>
      <c r="G7509" s="64"/>
      <c r="H7509" s="64"/>
      <c r="I7509" s="70"/>
      <c r="J7509" s="70"/>
      <c r="K7509" s="110" t="str">
        <f>IF(H7509="","",IF($C$29="간이법","",FPR(H7509,I7509,J7509)))</f>
        <v/>
      </c>
      <c r="L7509" s="111" t="str">
        <f>IF(H7509="","",IF($C$29="상세법",FPV(H7509,K7509),IF(H7509="EI",4,IF(H7509="EO",5.2,IF(H7509="EQ",3.9,IF(H7509="ILF",7.5,IF(H7509="EIF",5.4)))))))</f>
        <v/>
      </c>
      <c r="M7509" s="112" t="str">
        <f t="shared" si="120"/>
        <v/>
      </c>
      <c r="N7509" s="113"/>
    </row>
    <row r="7510" spans="2:14">
      <c r="B7510" s="105"/>
      <c r="C7510" s="106"/>
      <c r="D7510" s="107"/>
      <c r="E7510" s="65"/>
      <c r="F7510" s="64"/>
      <c r="G7510" s="64"/>
      <c r="H7510" s="64"/>
      <c r="I7510" s="70"/>
      <c r="J7510" s="70"/>
      <c r="K7510" s="110" t="str">
        <f>IF(H7510="","",IF($C$29="간이법","",FPR(H7510,I7510,J7510)))</f>
        <v/>
      </c>
      <c r="L7510" s="111" t="str">
        <f>IF(H7510="","",IF($C$29="상세법",FPV(H7510,K7510),IF(H7510="EI",4,IF(H7510="EO",5.2,IF(H7510="EQ",3.9,IF(H7510="ILF",7.5,IF(H7510="EIF",5.4)))))))</f>
        <v/>
      </c>
      <c r="M7510" s="112" t="str">
        <f t="shared" si="120"/>
        <v/>
      </c>
      <c r="N7510" s="113"/>
    </row>
    <row r="7511" spans="2:14">
      <c r="B7511" s="105"/>
      <c r="C7511" s="106"/>
      <c r="D7511" s="107"/>
      <c r="E7511" s="65"/>
      <c r="F7511" s="64"/>
      <c r="G7511" s="64"/>
      <c r="H7511" s="64"/>
      <c r="I7511" s="70"/>
      <c r="J7511" s="70"/>
      <c r="K7511" s="110" t="str">
        <f>IF(H7511="","",IF($C$29="간이법","",FPR(H7511,I7511,J7511)))</f>
        <v/>
      </c>
      <c r="L7511" s="111" t="str">
        <f>IF(H7511="","",IF($C$29="상세법",FPV(H7511,K7511),IF(H7511="EI",4,IF(H7511="EO",5.2,IF(H7511="EQ",3.9,IF(H7511="ILF",7.5,IF(H7511="EIF",5.4)))))))</f>
        <v/>
      </c>
      <c r="M7511" s="112" t="str">
        <f t="shared" si="120"/>
        <v/>
      </c>
      <c r="N7511" s="113"/>
    </row>
    <row r="7512" spans="2:14">
      <c r="B7512" s="105"/>
      <c r="C7512" s="106"/>
      <c r="D7512" s="107"/>
      <c r="E7512" s="65"/>
      <c r="F7512" s="64"/>
      <c r="G7512" s="64"/>
      <c r="H7512" s="64"/>
      <c r="I7512" s="70"/>
      <c r="J7512" s="70"/>
      <c r="K7512" s="110" t="str">
        <f>IF(H7512="","",IF($C$29="간이법","",FPR(H7512,I7512,J7512)))</f>
        <v/>
      </c>
      <c r="L7512" s="111" t="str">
        <f>IF(H7512="","",IF($C$29="상세법",FPV(H7512,K7512),IF(H7512="EI",4,IF(H7512="EO",5.2,IF(H7512="EQ",3.9,IF(H7512="ILF",7.5,IF(H7512="EIF",5.4)))))))</f>
        <v/>
      </c>
      <c r="M7512" s="112" t="str">
        <f t="shared" si="120"/>
        <v/>
      </c>
      <c r="N7512" s="113"/>
    </row>
    <row r="7513" spans="2:14">
      <c r="B7513" s="105"/>
      <c r="C7513" s="106"/>
      <c r="D7513" s="107"/>
      <c r="E7513" s="65"/>
      <c r="F7513" s="64"/>
      <c r="G7513" s="64"/>
      <c r="H7513" s="64"/>
      <c r="I7513" s="70"/>
      <c r="J7513" s="70"/>
      <c r="K7513" s="110" t="str">
        <f>IF(H7513="","",IF($C$29="간이법","",FPR(H7513,I7513,J7513)))</f>
        <v/>
      </c>
      <c r="L7513" s="111" t="str">
        <f>IF(H7513="","",IF($C$29="상세법",FPV(H7513,K7513),IF(H7513="EI",4,IF(H7513="EO",5.2,IF(H7513="EQ",3.9,IF(H7513="ILF",7.5,IF(H7513="EIF",5.4)))))))</f>
        <v/>
      </c>
      <c r="M7513" s="112" t="str">
        <f t="shared" si="120"/>
        <v/>
      </c>
      <c r="N7513" s="113"/>
    </row>
    <row r="7514" spans="2:14">
      <c r="B7514" s="105"/>
      <c r="C7514" s="106"/>
      <c r="D7514" s="107"/>
      <c r="E7514" s="65"/>
      <c r="F7514" s="64"/>
      <c r="G7514" s="64"/>
      <c r="H7514" s="64"/>
      <c r="I7514" s="70"/>
      <c r="J7514" s="70"/>
      <c r="K7514" s="110" t="str">
        <f>IF(H7514="","",IF($C$29="간이법","",FPR(H7514,I7514,J7514)))</f>
        <v/>
      </c>
      <c r="L7514" s="111" t="str">
        <f>IF(H7514="","",IF($C$29="상세법",FPV(H7514,K7514),IF(H7514="EI",4,IF(H7514="EO",5.2,IF(H7514="EQ",3.9,IF(H7514="ILF",7.5,IF(H7514="EIF",5.4)))))))</f>
        <v/>
      </c>
      <c r="M7514" s="112" t="str">
        <f t="shared" si="120"/>
        <v/>
      </c>
      <c r="N7514" s="113"/>
    </row>
    <row r="7515" spans="2:14">
      <c r="B7515" s="105"/>
      <c r="C7515" s="106"/>
      <c r="D7515" s="107"/>
      <c r="E7515" s="65"/>
      <c r="F7515" s="64"/>
      <c r="G7515" s="64"/>
      <c r="H7515" s="64"/>
      <c r="I7515" s="70"/>
      <c r="J7515" s="70"/>
      <c r="K7515" s="110" t="str">
        <f>IF(H7515="","",IF($C$29="간이법","",FPR(H7515,I7515,J7515)))</f>
        <v/>
      </c>
      <c r="L7515" s="111" t="str">
        <f>IF(H7515="","",IF($C$29="상세법",FPV(H7515,K7515),IF(H7515="EI",4,IF(H7515="EO",5.2,IF(H7515="EQ",3.9,IF(H7515="ILF",7.5,IF(H7515="EIF",5.4)))))))</f>
        <v/>
      </c>
      <c r="M7515" s="112" t="str">
        <f t="shared" si="120"/>
        <v/>
      </c>
      <c r="N7515" s="113"/>
    </row>
    <row r="7516" spans="2:14">
      <c r="B7516" s="105"/>
      <c r="C7516" s="106"/>
      <c r="D7516" s="107"/>
      <c r="E7516" s="65"/>
      <c r="F7516" s="64"/>
      <c r="G7516" s="64"/>
      <c r="H7516" s="64"/>
      <c r="I7516" s="70"/>
      <c r="J7516" s="70"/>
      <c r="K7516" s="110" t="str">
        <f>IF(H7516="","",IF($C$29="간이법","",FPR(H7516,I7516,J7516)))</f>
        <v/>
      </c>
      <c r="L7516" s="111" t="str">
        <f>IF(H7516="","",IF($C$29="상세법",FPV(H7516,K7516),IF(H7516="EI",4,IF(H7516="EO",5.2,IF(H7516="EQ",3.9,IF(H7516="ILF",7.5,IF(H7516="EIF",5.4)))))))</f>
        <v/>
      </c>
      <c r="M7516" s="112" t="str">
        <f t="shared" si="120"/>
        <v/>
      </c>
      <c r="N7516" s="113"/>
    </row>
    <row r="7517" spans="2:14">
      <c r="B7517" s="105"/>
      <c r="C7517" s="106"/>
      <c r="D7517" s="107"/>
      <c r="E7517" s="65"/>
      <c r="F7517" s="64"/>
      <c r="G7517" s="64"/>
      <c r="H7517" s="64"/>
      <c r="I7517" s="70"/>
      <c r="J7517" s="70"/>
      <c r="K7517" s="110" t="str">
        <f>IF(H7517="","",IF($C$29="간이법","",FPR(H7517,I7517,J7517)))</f>
        <v/>
      </c>
      <c r="L7517" s="111" t="str">
        <f>IF(H7517="","",IF($C$29="상세법",FPV(H7517,K7517),IF(H7517="EI",4,IF(H7517="EO",5.2,IF(H7517="EQ",3.9,IF(H7517="ILF",7.5,IF(H7517="EIF",5.4)))))))</f>
        <v/>
      </c>
      <c r="M7517" s="112" t="str">
        <f t="shared" si="120"/>
        <v/>
      </c>
      <c r="N7517" s="113"/>
    </row>
    <row r="7518" spans="2:14">
      <c r="B7518" s="105"/>
      <c r="C7518" s="106"/>
      <c r="D7518" s="107"/>
      <c r="E7518" s="65"/>
      <c r="F7518" s="64"/>
      <c r="G7518" s="64"/>
      <c r="H7518" s="64"/>
      <c r="I7518" s="70"/>
      <c r="J7518" s="70"/>
      <c r="K7518" s="110" t="str">
        <f>IF(H7518="","",IF($C$29="간이법","",FPR(H7518,I7518,J7518)))</f>
        <v/>
      </c>
      <c r="L7518" s="111" t="str">
        <f>IF(H7518="","",IF($C$29="상세법",FPV(H7518,K7518),IF(H7518="EI",4,IF(H7518="EO",5.2,IF(H7518="EQ",3.9,IF(H7518="ILF",7.5,IF(H7518="EIF",5.4)))))))</f>
        <v/>
      </c>
      <c r="M7518" s="112" t="str">
        <f t="shared" si="120"/>
        <v/>
      </c>
      <c r="N7518" s="113"/>
    </row>
    <row r="7519" spans="2:14">
      <c r="B7519" s="105"/>
      <c r="C7519" s="106"/>
      <c r="D7519" s="107"/>
      <c r="E7519" s="65"/>
      <c r="F7519" s="64"/>
      <c r="G7519" s="64"/>
      <c r="H7519" s="64"/>
      <c r="I7519" s="70"/>
      <c r="J7519" s="70"/>
      <c r="K7519" s="110" t="str">
        <f>IF(H7519="","",IF($C$29="간이법","",FPR(H7519,I7519,J7519)))</f>
        <v/>
      </c>
      <c r="L7519" s="111" t="str">
        <f>IF(H7519="","",IF($C$29="상세법",FPV(H7519,K7519),IF(H7519="EI",4,IF(H7519="EO",5.2,IF(H7519="EQ",3.9,IF(H7519="ILF",7.5,IF(H7519="EIF",5.4)))))))</f>
        <v/>
      </c>
      <c r="M7519" s="112" t="str">
        <f t="shared" si="120"/>
        <v/>
      </c>
      <c r="N7519" s="113"/>
    </row>
    <row r="7520" spans="2:14">
      <c r="B7520" s="105"/>
      <c r="C7520" s="106"/>
      <c r="D7520" s="107"/>
      <c r="E7520" s="65"/>
      <c r="F7520" s="64"/>
      <c r="G7520" s="64"/>
      <c r="H7520" s="64"/>
      <c r="I7520" s="70"/>
      <c r="J7520" s="70"/>
      <c r="K7520" s="110" t="str">
        <f>IF(H7520="","",IF($C$29="간이법","",FPR(H7520,I7520,J7520)))</f>
        <v/>
      </c>
      <c r="L7520" s="111" t="str">
        <f>IF(H7520="","",IF($C$29="상세법",FPV(H7520,K7520),IF(H7520="EI",4,IF(H7520="EO",5.2,IF(H7520="EQ",3.9,IF(H7520="ILF",7.5,IF(H7520="EIF",5.4)))))))</f>
        <v/>
      </c>
      <c r="M7520" s="112" t="str">
        <f t="shared" si="120"/>
        <v/>
      </c>
      <c r="N7520" s="113"/>
    </row>
    <row r="7521" spans="2:14">
      <c r="B7521" s="105"/>
      <c r="C7521" s="106"/>
      <c r="D7521" s="107"/>
      <c r="E7521" s="65"/>
      <c r="F7521" s="64"/>
      <c r="G7521" s="64"/>
      <c r="H7521" s="64"/>
      <c r="I7521" s="70"/>
      <c r="J7521" s="70"/>
      <c r="K7521" s="110" t="str">
        <f>IF(H7521="","",IF($C$29="간이법","",FPR(H7521,I7521,J7521)))</f>
        <v/>
      </c>
      <c r="L7521" s="111" t="str">
        <f>IF(H7521="","",IF($C$29="상세법",FPV(H7521,K7521),IF(H7521="EI",4,IF(H7521="EO",5.2,IF(H7521="EQ",3.9,IF(H7521="ILF",7.5,IF(H7521="EIF",5.4)))))))</f>
        <v/>
      </c>
      <c r="M7521" s="112" t="str">
        <f t="shared" si="120"/>
        <v/>
      </c>
      <c r="N7521" s="113"/>
    </row>
    <row r="7522" spans="2:14">
      <c r="B7522" s="105"/>
      <c r="C7522" s="106"/>
      <c r="D7522" s="107"/>
      <c r="E7522" s="65"/>
      <c r="F7522" s="64"/>
      <c r="G7522" s="64"/>
      <c r="H7522" s="64"/>
      <c r="I7522" s="70"/>
      <c r="J7522" s="70"/>
      <c r="K7522" s="110" t="str">
        <f>IF(H7522="","",IF($C$29="간이법","",FPR(H7522,I7522,J7522)))</f>
        <v/>
      </c>
      <c r="L7522" s="111" t="str">
        <f>IF(H7522="","",IF($C$29="상세법",FPV(H7522,K7522),IF(H7522="EI",4,IF(H7522="EO",5.2,IF(H7522="EQ",3.9,IF(H7522="ILF",7.5,IF(H7522="EIF",5.4)))))))</f>
        <v/>
      </c>
      <c r="M7522" s="112" t="str">
        <f t="shared" si="120"/>
        <v/>
      </c>
      <c r="N7522" s="113"/>
    </row>
    <row r="7523" spans="2:14">
      <c r="B7523" s="105"/>
      <c r="C7523" s="106"/>
      <c r="D7523" s="107"/>
      <c r="E7523" s="65"/>
      <c r="F7523" s="64"/>
      <c r="G7523" s="64"/>
      <c r="H7523" s="64"/>
      <c r="I7523" s="70"/>
      <c r="J7523" s="70"/>
      <c r="K7523" s="110" t="str">
        <f>IF(H7523="","",IF($C$29="간이법","",FPR(H7523,I7523,J7523)))</f>
        <v/>
      </c>
      <c r="L7523" s="111" t="str">
        <f>IF(H7523="","",IF($C$29="상세법",FPV(H7523,K7523),IF(H7523="EI",4,IF(H7523="EO",5.2,IF(H7523="EQ",3.9,IF(H7523="ILF",7.5,IF(H7523="EIF",5.4)))))))</f>
        <v/>
      </c>
      <c r="M7523" s="112" t="str">
        <f t="shared" si="120"/>
        <v/>
      </c>
      <c r="N7523" s="113"/>
    </row>
    <row r="7524" spans="2:14">
      <c r="B7524" s="105"/>
      <c r="C7524" s="106"/>
      <c r="D7524" s="107"/>
      <c r="E7524" s="65"/>
      <c r="F7524" s="64"/>
      <c r="G7524" s="64"/>
      <c r="H7524" s="64"/>
      <c r="I7524" s="70"/>
      <c r="J7524" s="70"/>
      <c r="K7524" s="110" t="str">
        <f>IF(H7524="","",IF($C$29="간이법","",FPR(H7524,I7524,J7524)))</f>
        <v/>
      </c>
      <c r="L7524" s="111" t="str">
        <f>IF(H7524="","",IF($C$29="상세법",FPV(H7524,K7524),IF(H7524="EI",4,IF(H7524="EO",5.2,IF(H7524="EQ",3.9,IF(H7524="ILF",7.5,IF(H7524="EIF",5.4)))))))</f>
        <v/>
      </c>
      <c r="M7524" s="112" t="str">
        <f t="shared" si="120"/>
        <v/>
      </c>
      <c r="N7524" s="113"/>
    </row>
    <row r="7525" spans="2:14">
      <c r="B7525" s="105"/>
      <c r="C7525" s="106"/>
      <c r="D7525" s="107"/>
      <c r="E7525" s="65"/>
      <c r="F7525" s="64"/>
      <c r="G7525" s="64"/>
      <c r="H7525" s="64"/>
      <c r="I7525" s="70"/>
      <c r="J7525" s="70"/>
      <c r="K7525" s="110" t="str">
        <f>IF(H7525="","",IF($C$29="간이법","",FPR(H7525,I7525,J7525)))</f>
        <v/>
      </c>
      <c r="L7525" s="111" t="str">
        <f>IF(H7525="","",IF($C$29="상세법",FPV(H7525,K7525),IF(H7525="EI",4,IF(H7525="EO",5.2,IF(H7525="EQ",3.9,IF(H7525="ILF",7.5,IF(H7525="EIF",5.4)))))))</f>
        <v/>
      </c>
      <c r="M7525" s="112" t="str">
        <f t="shared" si="120"/>
        <v/>
      </c>
      <c r="N7525" s="113"/>
    </row>
    <row r="7526" spans="2:14">
      <c r="B7526" s="105"/>
      <c r="C7526" s="106"/>
      <c r="D7526" s="107"/>
      <c r="E7526" s="65"/>
      <c r="F7526" s="64"/>
      <c r="G7526" s="64"/>
      <c r="H7526" s="64"/>
      <c r="I7526" s="70"/>
      <c r="J7526" s="70"/>
      <c r="K7526" s="110" t="str">
        <f>IF(H7526="","",IF($C$29="간이법","",FPR(H7526,I7526,J7526)))</f>
        <v/>
      </c>
      <c r="L7526" s="111" t="str">
        <f>IF(H7526="","",IF($C$29="상세법",FPV(H7526,K7526),IF(H7526="EI",4,IF(H7526="EO",5.2,IF(H7526="EQ",3.9,IF(H7526="ILF",7.5,IF(H7526="EIF",5.4)))))))</f>
        <v/>
      </c>
      <c r="M7526" s="112" t="str">
        <f t="shared" si="120"/>
        <v/>
      </c>
      <c r="N7526" s="113"/>
    </row>
    <row r="7527" spans="2:14">
      <c r="B7527" s="105"/>
      <c r="C7527" s="106"/>
      <c r="D7527" s="107"/>
      <c r="E7527" s="65"/>
      <c r="F7527" s="64"/>
      <c r="G7527" s="64"/>
      <c r="H7527" s="64"/>
      <c r="I7527" s="70"/>
      <c r="J7527" s="70"/>
      <c r="K7527" s="110" t="str">
        <f>IF(H7527="","",IF($C$29="간이법","",FPR(H7527,I7527,J7527)))</f>
        <v/>
      </c>
      <c r="L7527" s="111" t="str">
        <f>IF(H7527="","",IF($C$29="상세법",FPV(H7527,K7527),IF(H7527="EI",4,IF(H7527="EO",5.2,IF(H7527="EQ",3.9,IF(H7527="ILF",7.5,IF(H7527="EIF",5.4)))))))</f>
        <v/>
      </c>
      <c r="M7527" s="112" t="str">
        <f t="shared" si="120"/>
        <v/>
      </c>
      <c r="N7527" s="113"/>
    </row>
    <row r="7528" spans="2:14">
      <c r="B7528" s="105"/>
      <c r="C7528" s="106"/>
      <c r="D7528" s="107"/>
      <c r="E7528" s="65"/>
      <c r="F7528" s="64"/>
      <c r="G7528" s="64"/>
      <c r="H7528" s="64"/>
      <c r="I7528" s="70"/>
      <c r="J7528" s="70"/>
      <c r="K7528" s="110" t="str">
        <f>IF(H7528="","",IF($C$29="간이법","",FPR(H7528,I7528,J7528)))</f>
        <v/>
      </c>
      <c r="L7528" s="111" t="str">
        <f>IF(H7528="","",IF($C$29="상세법",FPV(H7528,K7528),IF(H7528="EI",4,IF(H7528="EO",5.2,IF(H7528="EQ",3.9,IF(H7528="ILF",7.5,IF(H7528="EIF",5.4)))))))</f>
        <v/>
      </c>
      <c r="M7528" s="112" t="str">
        <f t="shared" si="120"/>
        <v/>
      </c>
      <c r="N7528" s="113"/>
    </row>
    <row r="7529" spans="2:14">
      <c r="B7529" s="105"/>
      <c r="C7529" s="106"/>
      <c r="D7529" s="107"/>
      <c r="E7529" s="65"/>
      <c r="F7529" s="64"/>
      <c r="G7529" s="64"/>
      <c r="H7529" s="64"/>
      <c r="I7529" s="70"/>
      <c r="J7529" s="70"/>
      <c r="K7529" s="110" t="str">
        <f>IF(H7529="","",IF($C$29="간이법","",FPR(H7529,I7529,J7529)))</f>
        <v/>
      </c>
      <c r="L7529" s="111" t="str">
        <f>IF(H7529="","",IF($C$29="상세법",FPV(H7529,K7529),IF(H7529="EI",4,IF(H7529="EO",5.2,IF(H7529="EQ",3.9,IF(H7529="ILF",7.5,IF(H7529="EIF",5.4)))))))</f>
        <v/>
      </c>
      <c r="M7529" s="112" t="str">
        <f t="shared" si="120"/>
        <v/>
      </c>
      <c r="N7529" s="113"/>
    </row>
    <row r="7530" spans="2:14">
      <c r="B7530" s="105"/>
      <c r="C7530" s="106"/>
      <c r="D7530" s="107"/>
      <c r="E7530" s="65"/>
      <c r="F7530" s="64"/>
      <c r="G7530" s="64"/>
      <c r="H7530" s="64"/>
      <c r="I7530" s="70"/>
      <c r="J7530" s="70"/>
      <c r="K7530" s="110" t="str">
        <f>IF(H7530="","",IF($C$29="간이법","",FPR(H7530,I7530,J7530)))</f>
        <v/>
      </c>
      <c r="L7530" s="111" t="str">
        <f>IF(H7530="","",IF($C$29="상세법",FPV(H7530,K7530),IF(H7530="EI",4,IF(H7530="EO",5.2,IF(H7530="EQ",3.9,IF(H7530="ILF",7.5,IF(H7530="EIF",5.4)))))))</f>
        <v/>
      </c>
      <c r="M7530" s="112" t="str">
        <f t="shared" si="120"/>
        <v/>
      </c>
      <c r="N7530" s="113"/>
    </row>
    <row r="7531" spans="2:14">
      <c r="B7531" s="105"/>
      <c r="C7531" s="106"/>
      <c r="D7531" s="107"/>
      <c r="E7531" s="65"/>
      <c r="F7531" s="64"/>
      <c r="G7531" s="64"/>
      <c r="H7531" s="64"/>
      <c r="I7531" s="70"/>
      <c r="J7531" s="70"/>
      <c r="K7531" s="110" t="str">
        <f>IF(H7531="","",IF($C$29="간이법","",FPR(H7531,I7531,J7531)))</f>
        <v/>
      </c>
      <c r="L7531" s="111" t="str">
        <f>IF(H7531="","",IF($C$29="상세법",FPV(H7531,K7531),IF(H7531="EI",4,IF(H7531="EO",5.2,IF(H7531="EQ",3.9,IF(H7531="ILF",7.5,IF(H7531="EIF",5.4)))))))</f>
        <v/>
      </c>
      <c r="M7531" s="112" t="str">
        <f t="shared" si="120"/>
        <v/>
      </c>
      <c r="N7531" s="113"/>
    </row>
    <row r="7532" spans="2:14">
      <c r="B7532" s="105"/>
      <c r="C7532" s="106"/>
      <c r="D7532" s="107"/>
      <c r="E7532" s="65"/>
      <c r="F7532" s="64"/>
      <c r="G7532" s="64"/>
      <c r="H7532" s="64"/>
      <c r="I7532" s="70"/>
      <c r="J7532" s="70"/>
      <c r="K7532" s="110" t="str">
        <f>IF(H7532="","",IF($C$29="간이법","",FPR(H7532,I7532,J7532)))</f>
        <v/>
      </c>
      <c r="L7532" s="111" t="str">
        <f>IF(H7532="","",IF($C$29="상세법",FPV(H7532,K7532),IF(H7532="EI",4,IF(H7532="EO",5.2,IF(H7532="EQ",3.9,IF(H7532="ILF",7.5,IF(H7532="EIF",5.4)))))))</f>
        <v/>
      </c>
      <c r="M7532" s="112" t="str">
        <f t="shared" si="120"/>
        <v/>
      </c>
      <c r="N7532" s="113"/>
    </row>
    <row r="7533" spans="2:14">
      <c r="B7533" s="105"/>
      <c r="C7533" s="106"/>
      <c r="D7533" s="107"/>
      <c r="E7533" s="65"/>
      <c r="F7533" s="64"/>
      <c r="G7533" s="64"/>
      <c r="H7533" s="64"/>
      <c r="I7533" s="70"/>
      <c r="J7533" s="70"/>
      <c r="K7533" s="110" t="str">
        <f>IF(H7533="","",IF($C$29="간이법","",FPR(H7533,I7533,J7533)))</f>
        <v/>
      </c>
      <c r="L7533" s="111" t="str">
        <f>IF(H7533="","",IF($C$29="상세법",FPV(H7533,K7533),IF(H7533="EI",4,IF(H7533="EO",5.2,IF(H7533="EQ",3.9,IF(H7533="ILF",7.5,IF(H7533="EIF",5.4)))))))</f>
        <v/>
      </c>
      <c r="M7533" s="112" t="str">
        <f t="shared" si="120"/>
        <v/>
      </c>
      <c r="N7533" s="113"/>
    </row>
    <row r="7534" spans="2:14">
      <c r="B7534" s="105"/>
      <c r="C7534" s="106"/>
      <c r="D7534" s="107"/>
      <c r="E7534" s="65"/>
      <c r="F7534" s="64"/>
      <c r="G7534" s="64"/>
      <c r="H7534" s="64"/>
      <c r="I7534" s="70"/>
      <c r="J7534" s="70"/>
      <c r="K7534" s="110" t="str">
        <f>IF(H7534="","",IF($C$29="간이법","",FPR(H7534,I7534,J7534)))</f>
        <v/>
      </c>
      <c r="L7534" s="111" t="str">
        <f>IF(H7534="","",IF($C$29="상세법",FPV(H7534,K7534),IF(H7534="EI",4,IF(H7534="EO",5.2,IF(H7534="EQ",3.9,IF(H7534="ILF",7.5,IF(H7534="EIF",5.4)))))))</f>
        <v/>
      </c>
      <c r="M7534" s="112" t="str">
        <f t="shared" si="120"/>
        <v/>
      </c>
      <c r="N7534" s="113"/>
    </row>
    <row r="7535" spans="2:14">
      <c r="B7535" s="105"/>
      <c r="C7535" s="106"/>
      <c r="D7535" s="107"/>
      <c r="E7535" s="65"/>
      <c r="F7535" s="64"/>
      <c r="G7535" s="64"/>
      <c r="H7535" s="64"/>
      <c r="I7535" s="70"/>
      <c r="J7535" s="70"/>
      <c r="K7535" s="110" t="str">
        <f>IF(H7535="","",IF($C$29="간이법","",FPR(H7535,I7535,J7535)))</f>
        <v/>
      </c>
      <c r="L7535" s="111" t="str">
        <f>IF(H7535="","",IF($C$29="상세법",FPV(H7535,K7535),IF(H7535="EI",4,IF(H7535="EO",5.2,IF(H7535="EQ",3.9,IF(H7535="ILF",7.5,IF(H7535="EIF",5.4)))))))</f>
        <v/>
      </c>
      <c r="M7535" s="112" t="str">
        <f t="shared" si="120"/>
        <v/>
      </c>
      <c r="N7535" s="113"/>
    </row>
    <row r="7536" spans="2:14">
      <c r="B7536" s="105"/>
      <c r="C7536" s="106"/>
      <c r="D7536" s="107"/>
      <c r="E7536" s="65"/>
      <c r="F7536" s="64"/>
      <c r="G7536" s="64"/>
      <c r="H7536" s="64"/>
      <c r="I7536" s="70"/>
      <c r="J7536" s="70"/>
      <c r="K7536" s="110" t="str">
        <f>IF(H7536="","",IF($C$29="간이법","",FPR(H7536,I7536,J7536)))</f>
        <v/>
      </c>
      <c r="L7536" s="111" t="str">
        <f>IF(H7536="","",IF($C$29="상세법",FPV(H7536,K7536),IF(H7536="EI",4,IF(H7536="EO",5.2,IF(H7536="EQ",3.9,IF(H7536="ILF",7.5,IF(H7536="EIF",5.4)))))))</f>
        <v/>
      </c>
      <c r="M7536" s="112" t="str">
        <f t="shared" si="120"/>
        <v/>
      </c>
      <c r="N7536" s="113"/>
    </row>
    <row r="7537" spans="2:14">
      <c r="B7537" s="105"/>
      <c r="C7537" s="106"/>
      <c r="D7537" s="107"/>
      <c r="E7537" s="65"/>
      <c r="F7537" s="64"/>
      <c r="G7537" s="64"/>
      <c r="H7537" s="64"/>
      <c r="I7537" s="70"/>
      <c r="J7537" s="70"/>
      <c r="K7537" s="110" t="str">
        <f>IF(H7537="","",IF($C$29="간이법","",FPR(H7537,I7537,J7537)))</f>
        <v/>
      </c>
      <c r="L7537" s="111" t="str">
        <f>IF(H7537="","",IF($C$29="상세법",FPV(H7537,K7537),IF(H7537="EI",4,IF(H7537="EO",5.2,IF(H7537="EQ",3.9,IF(H7537="ILF",7.5,IF(H7537="EIF",5.4)))))))</f>
        <v/>
      </c>
      <c r="M7537" s="112" t="str">
        <f t="shared" si="120"/>
        <v/>
      </c>
      <c r="N7537" s="113"/>
    </row>
    <row r="7538" spans="2:14">
      <c r="B7538" s="105"/>
      <c r="C7538" s="106"/>
      <c r="D7538" s="107"/>
      <c r="E7538" s="65"/>
      <c r="F7538" s="64"/>
      <c r="G7538" s="64"/>
      <c r="H7538" s="64"/>
      <c r="I7538" s="70"/>
      <c r="J7538" s="70"/>
      <c r="K7538" s="110" t="str">
        <f>IF(H7538="","",IF($C$29="간이법","",FPR(H7538,I7538,J7538)))</f>
        <v/>
      </c>
      <c r="L7538" s="111" t="str">
        <f>IF(H7538="","",IF($C$29="상세법",FPV(H7538,K7538),IF(H7538="EI",4,IF(H7538="EO",5.2,IF(H7538="EQ",3.9,IF(H7538="ILF",7.5,IF(H7538="EIF",5.4)))))))</f>
        <v/>
      </c>
      <c r="M7538" s="112" t="str">
        <f t="shared" si="120"/>
        <v/>
      </c>
      <c r="N7538" s="113"/>
    </row>
    <row r="7539" spans="2:14">
      <c r="B7539" s="105"/>
      <c r="C7539" s="106"/>
      <c r="D7539" s="107"/>
      <c r="E7539" s="65"/>
      <c r="F7539" s="64"/>
      <c r="G7539" s="64"/>
      <c r="H7539" s="64"/>
      <c r="I7539" s="70"/>
      <c r="J7539" s="70"/>
      <c r="K7539" s="110" t="str">
        <f>IF(H7539="","",IF($C$29="간이법","",FPR(H7539,I7539,J7539)))</f>
        <v/>
      </c>
      <c r="L7539" s="111" t="str">
        <f>IF(H7539="","",IF($C$29="상세법",FPV(H7539,K7539),IF(H7539="EI",4,IF(H7539="EO",5.2,IF(H7539="EQ",3.9,IF(H7539="ILF",7.5,IF(H7539="EIF",5.4)))))))</f>
        <v/>
      </c>
      <c r="M7539" s="112" t="str">
        <f t="shared" si="120"/>
        <v/>
      </c>
      <c r="N7539" s="113"/>
    </row>
    <row r="7540" spans="2:14">
      <c r="B7540" s="105"/>
      <c r="C7540" s="106"/>
      <c r="D7540" s="107"/>
      <c r="E7540" s="65"/>
      <c r="F7540" s="64"/>
      <c r="G7540" s="64"/>
      <c r="H7540" s="64"/>
      <c r="I7540" s="70"/>
      <c r="J7540" s="70"/>
      <c r="K7540" s="110" t="str">
        <f>IF(H7540="","",IF($C$29="간이법","",FPR(H7540,I7540,J7540)))</f>
        <v/>
      </c>
      <c r="L7540" s="111" t="str">
        <f>IF(H7540="","",IF($C$29="상세법",FPV(H7540,K7540),IF(H7540="EI",4,IF(H7540="EO",5.2,IF(H7540="EQ",3.9,IF(H7540="ILF",7.5,IF(H7540="EIF",5.4)))))))</f>
        <v/>
      </c>
      <c r="M7540" s="112" t="str">
        <f t="shared" si="120"/>
        <v/>
      </c>
      <c r="N7540" s="113"/>
    </row>
    <row r="7541" spans="2:14">
      <c r="B7541" s="105"/>
      <c r="C7541" s="106"/>
      <c r="D7541" s="107"/>
      <c r="E7541" s="65"/>
      <c r="F7541" s="64"/>
      <c r="G7541" s="64"/>
      <c r="H7541" s="64"/>
      <c r="I7541" s="70"/>
      <c r="J7541" s="70"/>
      <c r="K7541" s="110" t="str">
        <f>IF(H7541="","",IF($C$29="간이법","",FPR(H7541,I7541,J7541)))</f>
        <v/>
      </c>
      <c r="L7541" s="111" t="str">
        <f>IF(H7541="","",IF($C$29="상세법",FPV(H7541,K7541),IF(H7541="EI",4,IF(H7541="EO",5.2,IF(H7541="EQ",3.9,IF(H7541="ILF",7.5,IF(H7541="EIF",5.4)))))))</f>
        <v/>
      </c>
      <c r="M7541" s="112" t="str">
        <f t="shared" si="120"/>
        <v/>
      </c>
      <c r="N7541" s="113"/>
    </row>
    <row r="7542" spans="2:14">
      <c r="B7542" s="105"/>
      <c r="C7542" s="106"/>
      <c r="D7542" s="107"/>
      <c r="E7542" s="65"/>
      <c r="F7542" s="64"/>
      <c r="G7542" s="64"/>
      <c r="H7542" s="64"/>
      <c r="I7542" s="70"/>
      <c r="J7542" s="70"/>
      <c r="K7542" s="110" t="str">
        <f>IF(H7542="","",IF($C$29="간이법","",FPR(H7542,I7542,J7542)))</f>
        <v/>
      </c>
      <c r="L7542" s="111" t="str">
        <f>IF(H7542="","",IF($C$29="상세법",FPV(H7542,K7542),IF(H7542="EI",4,IF(H7542="EO",5.2,IF(H7542="EQ",3.9,IF(H7542="ILF",7.5,IF(H7542="EIF",5.4)))))))</f>
        <v/>
      </c>
      <c r="M7542" s="112" t="str">
        <f t="shared" si="120"/>
        <v/>
      </c>
      <c r="N7542" s="113"/>
    </row>
    <row r="7543" spans="2:14">
      <c r="B7543" s="105"/>
      <c r="C7543" s="106"/>
      <c r="D7543" s="107"/>
      <c r="E7543" s="65"/>
      <c r="F7543" s="64"/>
      <c r="G7543" s="64"/>
      <c r="H7543" s="64"/>
      <c r="I7543" s="70"/>
      <c r="J7543" s="70"/>
      <c r="K7543" s="110" t="str">
        <f>IF(H7543="","",IF($C$29="간이법","",FPR(H7543,I7543,J7543)))</f>
        <v/>
      </c>
      <c r="L7543" s="111" t="str">
        <f>IF(H7543="","",IF($C$29="상세법",FPV(H7543,K7543),IF(H7543="EI",4,IF(H7543="EO",5.2,IF(H7543="EQ",3.9,IF(H7543="ILF",7.5,IF(H7543="EIF",5.4)))))))</f>
        <v/>
      </c>
      <c r="M7543" s="112" t="str">
        <f t="shared" si="120"/>
        <v/>
      </c>
      <c r="N7543" s="113"/>
    </row>
    <row r="7544" spans="2:14">
      <c r="B7544" s="105"/>
      <c r="C7544" s="106"/>
      <c r="D7544" s="107"/>
      <c r="E7544" s="65"/>
      <c r="F7544" s="64"/>
      <c r="G7544" s="64"/>
      <c r="H7544" s="64"/>
      <c r="I7544" s="70"/>
      <c r="J7544" s="70"/>
      <c r="K7544" s="110" t="str">
        <f>IF(H7544="","",IF($C$29="간이법","",FPR(H7544,I7544,J7544)))</f>
        <v/>
      </c>
      <c r="L7544" s="111" t="str">
        <f>IF(H7544="","",IF($C$29="상세법",FPV(H7544,K7544),IF(H7544="EI",4,IF(H7544="EO",5.2,IF(H7544="EQ",3.9,IF(H7544="ILF",7.5,IF(H7544="EIF",5.4)))))))</f>
        <v/>
      </c>
      <c r="M7544" s="112" t="str">
        <f t="shared" si="120"/>
        <v/>
      </c>
      <c r="N7544" s="113"/>
    </row>
    <row r="7545" spans="2:14">
      <c r="B7545" s="105"/>
      <c r="C7545" s="106"/>
      <c r="D7545" s="107"/>
      <c r="E7545" s="65"/>
      <c r="F7545" s="64"/>
      <c r="G7545" s="64"/>
      <c r="H7545" s="64"/>
      <c r="I7545" s="70"/>
      <c r="J7545" s="70"/>
      <c r="K7545" s="110" t="str">
        <f>IF(H7545="","",IF($C$29="간이법","",FPR(H7545,I7545,J7545)))</f>
        <v/>
      </c>
      <c r="L7545" s="111" t="str">
        <f>IF(H7545="","",IF($C$29="상세법",FPV(H7545,K7545),IF(H7545="EI",4,IF(H7545="EO",5.2,IF(H7545="EQ",3.9,IF(H7545="ILF",7.5,IF(H7545="EIF",5.4)))))))</f>
        <v/>
      </c>
      <c r="M7545" s="112" t="str">
        <f t="shared" ref="M7545:M7608" si="121">IF(L7545="","",L7545*IF(G7545="상",0.7,IF(G7545="중",0.5,IF(G7545="하",0.2,1))))</f>
        <v/>
      </c>
      <c r="N7545" s="113"/>
    </row>
    <row r="7546" spans="2:14">
      <c r="B7546" s="105"/>
      <c r="C7546" s="106"/>
      <c r="D7546" s="107"/>
      <c r="E7546" s="65"/>
      <c r="F7546" s="64"/>
      <c r="G7546" s="64"/>
      <c r="H7546" s="64"/>
      <c r="I7546" s="70"/>
      <c r="J7546" s="70"/>
      <c r="K7546" s="110" t="str">
        <f>IF(H7546="","",IF($C$29="간이법","",FPR(H7546,I7546,J7546)))</f>
        <v/>
      </c>
      <c r="L7546" s="111" t="str">
        <f>IF(H7546="","",IF($C$29="상세법",FPV(H7546,K7546),IF(H7546="EI",4,IF(H7546="EO",5.2,IF(H7546="EQ",3.9,IF(H7546="ILF",7.5,IF(H7546="EIF",5.4)))))))</f>
        <v/>
      </c>
      <c r="M7546" s="112" t="str">
        <f t="shared" si="121"/>
        <v/>
      </c>
      <c r="N7546" s="113"/>
    </row>
    <row r="7547" spans="2:14">
      <c r="B7547" s="105"/>
      <c r="C7547" s="106"/>
      <c r="D7547" s="107"/>
      <c r="E7547" s="65"/>
      <c r="F7547" s="64"/>
      <c r="G7547" s="64"/>
      <c r="H7547" s="64"/>
      <c r="I7547" s="70"/>
      <c r="J7547" s="70"/>
      <c r="K7547" s="110" t="str">
        <f>IF(H7547="","",IF($C$29="간이법","",FPR(H7547,I7547,J7547)))</f>
        <v/>
      </c>
      <c r="L7547" s="111" t="str">
        <f>IF(H7547="","",IF($C$29="상세법",FPV(H7547,K7547),IF(H7547="EI",4,IF(H7547="EO",5.2,IF(H7547="EQ",3.9,IF(H7547="ILF",7.5,IF(H7547="EIF",5.4)))))))</f>
        <v/>
      </c>
      <c r="M7547" s="112" t="str">
        <f t="shared" si="121"/>
        <v/>
      </c>
      <c r="N7547" s="113"/>
    </row>
    <row r="7548" spans="2:14">
      <c r="B7548" s="105"/>
      <c r="C7548" s="106"/>
      <c r="D7548" s="107"/>
      <c r="E7548" s="65"/>
      <c r="F7548" s="64"/>
      <c r="G7548" s="64"/>
      <c r="H7548" s="64"/>
      <c r="I7548" s="70"/>
      <c r="J7548" s="70"/>
      <c r="K7548" s="110" t="str">
        <f>IF(H7548="","",IF($C$29="간이법","",FPR(H7548,I7548,J7548)))</f>
        <v/>
      </c>
      <c r="L7548" s="111" t="str">
        <f>IF(H7548="","",IF($C$29="상세법",FPV(H7548,K7548),IF(H7548="EI",4,IF(H7548="EO",5.2,IF(H7548="EQ",3.9,IF(H7548="ILF",7.5,IF(H7548="EIF",5.4)))))))</f>
        <v/>
      </c>
      <c r="M7548" s="112" t="str">
        <f t="shared" si="121"/>
        <v/>
      </c>
      <c r="N7548" s="113"/>
    </row>
    <row r="7549" spans="2:14">
      <c r="B7549" s="105"/>
      <c r="C7549" s="106"/>
      <c r="D7549" s="107"/>
      <c r="E7549" s="65"/>
      <c r="F7549" s="64"/>
      <c r="G7549" s="64"/>
      <c r="H7549" s="64"/>
      <c r="I7549" s="70"/>
      <c r="J7549" s="70"/>
      <c r="K7549" s="110" t="str">
        <f>IF(H7549="","",IF($C$29="간이법","",FPR(H7549,I7549,J7549)))</f>
        <v/>
      </c>
      <c r="L7549" s="111" t="str">
        <f>IF(H7549="","",IF($C$29="상세법",FPV(H7549,K7549),IF(H7549="EI",4,IF(H7549="EO",5.2,IF(H7549="EQ",3.9,IF(H7549="ILF",7.5,IF(H7549="EIF",5.4)))))))</f>
        <v/>
      </c>
      <c r="M7549" s="112" t="str">
        <f t="shared" si="121"/>
        <v/>
      </c>
      <c r="N7549" s="113"/>
    </row>
    <row r="7550" spans="2:14">
      <c r="B7550" s="105"/>
      <c r="C7550" s="106"/>
      <c r="D7550" s="107"/>
      <c r="E7550" s="65"/>
      <c r="F7550" s="64"/>
      <c r="G7550" s="64"/>
      <c r="H7550" s="64"/>
      <c r="I7550" s="70"/>
      <c r="J7550" s="70"/>
      <c r="K7550" s="110" t="str">
        <f>IF(H7550="","",IF($C$29="간이법","",FPR(H7550,I7550,J7550)))</f>
        <v/>
      </c>
      <c r="L7550" s="111" t="str">
        <f>IF(H7550="","",IF($C$29="상세법",FPV(H7550,K7550),IF(H7550="EI",4,IF(H7550="EO",5.2,IF(H7550="EQ",3.9,IF(H7550="ILF",7.5,IF(H7550="EIF",5.4)))))))</f>
        <v/>
      </c>
      <c r="M7550" s="112" t="str">
        <f t="shared" si="121"/>
        <v/>
      </c>
      <c r="N7550" s="113"/>
    </row>
    <row r="7551" spans="2:14">
      <c r="B7551" s="105"/>
      <c r="C7551" s="106"/>
      <c r="D7551" s="107"/>
      <c r="E7551" s="65"/>
      <c r="F7551" s="64"/>
      <c r="G7551" s="64"/>
      <c r="H7551" s="64"/>
      <c r="I7551" s="70"/>
      <c r="J7551" s="70"/>
      <c r="K7551" s="110" t="str">
        <f>IF(H7551="","",IF($C$29="간이법","",FPR(H7551,I7551,J7551)))</f>
        <v/>
      </c>
      <c r="L7551" s="111" t="str">
        <f>IF(H7551="","",IF($C$29="상세법",FPV(H7551,K7551),IF(H7551="EI",4,IF(H7551="EO",5.2,IF(H7551="EQ",3.9,IF(H7551="ILF",7.5,IF(H7551="EIF",5.4)))))))</f>
        <v/>
      </c>
      <c r="M7551" s="112" t="str">
        <f t="shared" si="121"/>
        <v/>
      </c>
      <c r="N7551" s="113"/>
    </row>
    <row r="7552" spans="2:14">
      <c r="B7552" s="105"/>
      <c r="C7552" s="106"/>
      <c r="D7552" s="107"/>
      <c r="E7552" s="65"/>
      <c r="F7552" s="64"/>
      <c r="G7552" s="64"/>
      <c r="H7552" s="64"/>
      <c r="I7552" s="70"/>
      <c r="J7552" s="70"/>
      <c r="K7552" s="110" t="str">
        <f>IF(H7552="","",IF($C$29="간이법","",FPR(H7552,I7552,J7552)))</f>
        <v/>
      </c>
      <c r="L7552" s="111" t="str">
        <f>IF(H7552="","",IF($C$29="상세법",FPV(H7552,K7552),IF(H7552="EI",4,IF(H7552="EO",5.2,IF(H7552="EQ",3.9,IF(H7552="ILF",7.5,IF(H7552="EIF",5.4)))))))</f>
        <v/>
      </c>
      <c r="M7552" s="112" t="str">
        <f t="shared" si="121"/>
        <v/>
      </c>
      <c r="N7552" s="113"/>
    </row>
    <row r="7553" spans="2:14">
      <c r="B7553" s="105"/>
      <c r="C7553" s="106"/>
      <c r="D7553" s="107"/>
      <c r="E7553" s="65"/>
      <c r="F7553" s="64"/>
      <c r="G7553" s="64"/>
      <c r="H7553" s="64"/>
      <c r="I7553" s="70"/>
      <c r="J7553" s="70"/>
      <c r="K7553" s="110" t="str">
        <f>IF(H7553="","",IF($C$29="간이법","",FPR(H7553,I7553,J7553)))</f>
        <v/>
      </c>
      <c r="L7553" s="111" t="str">
        <f>IF(H7553="","",IF($C$29="상세법",FPV(H7553,K7553),IF(H7553="EI",4,IF(H7553="EO",5.2,IF(H7553="EQ",3.9,IF(H7553="ILF",7.5,IF(H7553="EIF",5.4)))))))</f>
        <v/>
      </c>
      <c r="M7553" s="112" t="str">
        <f t="shared" si="121"/>
        <v/>
      </c>
      <c r="N7553" s="113"/>
    </row>
    <row r="7554" spans="2:14">
      <c r="B7554" s="105"/>
      <c r="C7554" s="106"/>
      <c r="D7554" s="107"/>
      <c r="E7554" s="65"/>
      <c r="F7554" s="64"/>
      <c r="G7554" s="64"/>
      <c r="H7554" s="64"/>
      <c r="I7554" s="70"/>
      <c r="J7554" s="70"/>
      <c r="K7554" s="110" t="str">
        <f>IF(H7554="","",IF($C$29="간이법","",FPR(H7554,I7554,J7554)))</f>
        <v/>
      </c>
      <c r="L7554" s="111" t="str">
        <f>IF(H7554="","",IF($C$29="상세법",FPV(H7554,K7554),IF(H7554="EI",4,IF(H7554="EO",5.2,IF(H7554="EQ",3.9,IF(H7554="ILF",7.5,IF(H7554="EIF",5.4)))))))</f>
        <v/>
      </c>
      <c r="M7554" s="112" t="str">
        <f t="shared" si="121"/>
        <v/>
      </c>
      <c r="N7554" s="113"/>
    </row>
    <row r="7555" spans="2:14">
      <c r="B7555" s="105"/>
      <c r="C7555" s="106"/>
      <c r="D7555" s="107"/>
      <c r="E7555" s="65"/>
      <c r="F7555" s="64"/>
      <c r="G7555" s="64"/>
      <c r="H7555" s="64"/>
      <c r="I7555" s="70"/>
      <c r="J7555" s="70"/>
      <c r="K7555" s="110" t="str">
        <f>IF(H7555="","",IF($C$29="간이법","",FPR(H7555,I7555,J7555)))</f>
        <v/>
      </c>
      <c r="L7555" s="111" t="str">
        <f>IF(H7555="","",IF($C$29="상세법",FPV(H7555,K7555),IF(H7555="EI",4,IF(H7555="EO",5.2,IF(H7555="EQ",3.9,IF(H7555="ILF",7.5,IF(H7555="EIF",5.4)))))))</f>
        <v/>
      </c>
      <c r="M7555" s="112" t="str">
        <f t="shared" si="121"/>
        <v/>
      </c>
      <c r="N7555" s="113"/>
    </row>
    <row r="7556" spans="2:14">
      <c r="B7556" s="105"/>
      <c r="C7556" s="106"/>
      <c r="D7556" s="107"/>
      <c r="E7556" s="65"/>
      <c r="F7556" s="64"/>
      <c r="G7556" s="64"/>
      <c r="H7556" s="64"/>
      <c r="I7556" s="70"/>
      <c r="J7556" s="70"/>
      <c r="K7556" s="110" t="str">
        <f>IF(H7556="","",IF($C$29="간이법","",FPR(H7556,I7556,J7556)))</f>
        <v/>
      </c>
      <c r="L7556" s="111" t="str">
        <f>IF(H7556="","",IF($C$29="상세법",FPV(H7556,K7556),IF(H7556="EI",4,IF(H7556="EO",5.2,IF(H7556="EQ",3.9,IF(H7556="ILF",7.5,IF(H7556="EIF",5.4)))))))</f>
        <v/>
      </c>
      <c r="M7556" s="112" t="str">
        <f t="shared" si="121"/>
        <v/>
      </c>
      <c r="N7556" s="113"/>
    </row>
    <row r="7557" spans="2:14">
      <c r="B7557" s="105"/>
      <c r="C7557" s="106"/>
      <c r="D7557" s="107"/>
      <c r="E7557" s="65"/>
      <c r="F7557" s="64"/>
      <c r="G7557" s="64"/>
      <c r="H7557" s="64"/>
      <c r="I7557" s="70"/>
      <c r="J7557" s="70"/>
      <c r="K7557" s="110" t="str">
        <f>IF(H7557="","",IF($C$29="간이법","",FPR(H7557,I7557,J7557)))</f>
        <v/>
      </c>
      <c r="L7557" s="111" t="str">
        <f>IF(H7557="","",IF($C$29="상세법",FPV(H7557,K7557),IF(H7557="EI",4,IF(H7557="EO",5.2,IF(H7557="EQ",3.9,IF(H7557="ILF",7.5,IF(H7557="EIF",5.4)))))))</f>
        <v/>
      </c>
      <c r="M7557" s="112" t="str">
        <f t="shared" si="121"/>
        <v/>
      </c>
      <c r="N7557" s="113"/>
    </row>
    <row r="7558" spans="2:14">
      <c r="B7558" s="105"/>
      <c r="C7558" s="106"/>
      <c r="D7558" s="107"/>
      <c r="E7558" s="65"/>
      <c r="F7558" s="64"/>
      <c r="G7558" s="64"/>
      <c r="H7558" s="64"/>
      <c r="I7558" s="70"/>
      <c r="J7558" s="70"/>
      <c r="K7558" s="110" t="str">
        <f>IF(H7558="","",IF($C$29="간이법","",FPR(H7558,I7558,J7558)))</f>
        <v/>
      </c>
      <c r="L7558" s="111" t="str">
        <f>IF(H7558="","",IF($C$29="상세법",FPV(H7558,K7558),IF(H7558="EI",4,IF(H7558="EO",5.2,IF(H7558="EQ",3.9,IF(H7558="ILF",7.5,IF(H7558="EIF",5.4)))))))</f>
        <v/>
      </c>
      <c r="M7558" s="112" t="str">
        <f t="shared" si="121"/>
        <v/>
      </c>
      <c r="N7558" s="113"/>
    </row>
    <row r="7559" spans="2:14">
      <c r="B7559" s="105"/>
      <c r="C7559" s="106"/>
      <c r="D7559" s="107"/>
      <c r="E7559" s="65"/>
      <c r="F7559" s="64"/>
      <c r="G7559" s="64"/>
      <c r="H7559" s="64"/>
      <c r="I7559" s="70"/>
      <c r="J7559" s="70"/>
      <c r="K7559" s="110" t="str">
        <f>IF(H7559="","",IF($C$29="간이법","",FPR(H7559,I7559,J7559)))</f>
        <v/>
      </c>
      <c r="L7559" s="111" t="str">
        <f>IF(H7559="","",IF($C$29="상세법",FPV(H7559,K7559),IF(H7559="EI",4,IF(H7559="EO",5.2,IF(H7559="EQ",3.9,IF(H7559="ILF",7.5,IF(H7559="EIF",5.4)))))))</f>
        <v/>
      </c>
      <c r="M7559" s="112" t="str">
        <f t="shared" si="121"/>
        <v/>
      </c>
      <c r="N7559" s="113"/>
    </row>
    <row r="7560" spans="2:14">
      <c r="B7560" s="105"/>
      <c r="C7560" s="106"/>
      <c r="D7560" s="107"/>
      <c r="E7560" s="65"/>
      <c r="F7560" s="64"/>
      <c r="G7560" s="64"/>
      <c r="H7560" s="64"/>
      <c r="I7560" s="70"/>
      <c r="J7560" s="70"/>
      <c r="K7560" s="110" t="str">
        <f>IF(H7560="","",IF($C$29="간이법","",FPR(H7560,I7560,J7560)))</f>
        <v/>
      </c>
      <c r="L7560" s="111" t="str">
        <f>IF(H7560="","",IF($C$29="상세법",FPV(H7560,K7560),IF(H7560="EI",4,IF(H7560="EO",5.2,IF(H7560="EQ",3.9,IF(H7560="ILF",7.5,IF(H7560="EIF",5.4)))))))</f>
        <v/>
      </c>
      <c r="M7560" s="112" t="str">
        <f t="shared" si="121"/>
        <v/>
      </c>
      <c r="N7560" s="113"/>
    </row>
    <row r="7561" spans="2:14">
      <c r="B7561" s="105"/>
      <c r="C7561" s="106"/>
      <c r="D7561" s="107"/>
      <c r="E7561" s="65"/>
      <c r="F7561" s="64"/>
      <c r="G7561" s="64"/>
      <c r="H7561" s="64"/>
      <c r="I7561" s="70"/>
      <c r="J7561" s="70"/>
      <c r="K7561" s="110" t="str">
        <f>IF(H7561="","",IF($C$29="간이법","",FPR(H7561,I7561,J7561)))</f>
        <v/>
      </c>
      <c r="L7561" s="111" t="str">
        <f>IF(H7561="","",IF($C$29="상세법",FPV(H7561,K7561),IF(H7561="EI",4,IF(H7561="EO",5.2,IF(H7561="EQ",3.9,IF(H7561="ILF",7.5,IF(H7561="EIF",5.4)))))))</f>
        <v/>
      </c>
      <c r="M7561" s="112" t="str">
        <f t="shared" si="121"/>
        <v/>
      </c>
      <c r="N7561" s="113"/>
    </row>
    <row r="7562" spans="2:14">
      <c r="B7562" s="105"/>
      <c r="C7562" s="106"/>
      <c r="D7562" s="107"/>
      <c r="E7562" s="65"/>
      <c r="F7562" s="64"/>
      <c r="G7562" s="64"/>
      <c r="H7562" s="64"/>
      <c r="I7562" s="70"/>
      <c r="J7562" s="70"/>
      <c r="K7562" s="110" t="str">
        <f>IF(H7562="","",IF($C$29="간이법","",FPR(H7562,I7562,J7562)))</f>
        <v/>
      </c>
      <c r="L7562" s="111" t="str">
        <f>IF(H7562="","",IF($C$29="상세법",FPV(H7562,K7562),IF(H7562="EI",4,IF(H7562="EO",5.2,IF(H7562="EQ",3.9,IF(H7562="ILF",7.5,IF(H7562="EIF",5.4)))))))</f>
        <v/>
      </c>
      <c r="M7562" s="112" t="str">
        <f t="shared" si="121"/>
        <v/>
      </c>
      <c r="N7562" s="113"/>
    </row>
    <row r="7563" spans="2:14">
      <c r="B7563" s="105"/>
      <c r="C7563" s="106"/>
      <c r="D7563" s="107"/>
      <c r="E7563" s="65"/>
      <c r="F7563" s="64"/>
      <c r="G7563" s="64"/>
      <c r="H7563" s="64"/>
      <c r="I7563" s="70"/>
      <c r="J7563" s="70"/>
      <c r="K7563" s="110" t="str">
        <f>IF(H7563="","",IF($C$29="간이법","",FPR(H7563,I7563,J7563)))</f>
        <v/>
      </c>
      <c r="L7563" s="111" t="str">
        <f>IF(H7563="","",IF($C$29="상세법",FPV(H7563,K7563),IF(H7563="EI",4,IF(H7563="EO",5.2,IF(H7563="EQ",3.9,IF(H7563="ILF",7.5,IF(H7563="EIF",5.4)))))))</f>
        <v/>
      </c>
      <c r="M7563" s="112" t="str">
        <f t="shared" si="121"/>
        <v/>
      </c>
      <c r="N7563" s="113"/>
    </row>
    <row r="7564" spans="2:14">
      <c r="B7564" s="105"/>
      <c r="C7564" s="106"/>
      <c r="D7564" s="107"/>
      <c r="E7564" s="65"/>
      <c r="F7564" s="64"/>
      <c r="G7564" s="64"/>
      <c r="H7564" s="64"/>
      <c r="I7564" s="70"/>
      <c r="J7564" s="70"/>
      <c r="K7564" s="110" t="str">
        <f>IF(H7564="","",IF($C$29="간이법","",FPR(H7564,I7564,J7564)))</f>
        <v/>
      </c>
      <c r="L7564" s="111" t="str">
        <f>IF(H7564="","",IF($C$29="상세법",FPV(H7564,K7564),IF(H7564="EI",4,IF(H7564="EO",5.2,IF(H7564="EQ",3.9,IF(H7564="ILF",7.5,IF(H7564="EIF",5.4)))))))</f>
        <v/>
      </c>
      <c r="M7564" s="112" t="str">
        <f t="shared" si="121"/>
        <v/>
      </c>
      <c r="N7564" s="113"/>
    </row>
    <row r="7565" spans="2:14">
      <c r="B7565" s="105"/>
      <c r="C7565" s="106"/>
      <c r="D7565" s="107"/>
      <c r="E7565" s="65"/>
      <c r="F7565" s="64"/>
      <c r="G7565" s="64"/>
      <c r="H7565" s="64"/>
      <c r="I7565" s="70"/>
      <c r="J7565" s="70"/>
      <c r="K7565" s="110" t="str">
        <f>IF(H7565="","",IF($C$29="간이법","",FPR(H7565,I7565,J7565)))</f>
        <v/>
      </c>
      <c r="L7565" s="111" t="str">
        <f>IF(H7565="","",IF($C$29="상세법",FPV(H7565,K7565),IF(H7565="EI",4,IF(H7565="EO",5.2,IF(H7565="EQ",3.9,IF(H7565="ILF",7.5,IF(H7565="EIF",5.4)))))))</f>
        <v/>
      </c>
      <c r="M7565" s="112" t="str">
        <f t="shared" si="121"/>
        <v/>
      </c>
      <c r="N7565" s="113"/>
    </row>
    <row r="7566" spans="2:14">
      <c r="B7566" s="105"/>
      <c r="C7566" s="106"/>
      <c r="D7566" s="107"/>
      <c r="E7566" s="65"/>
      <c r="F7566" s="64"/>
      <c r="G7566" s="64"/>
      <c r="H7566" s="64"/>
      <c r="I7566" s="70"/>
      <c r="J7566" s="70"/>
      <c r="K7566" s="110" t="str">
        <f>IF(H7566="","",IF($C$29="간이법","",FPR(H7566,I7566,J7566)))</f>
        <v/>
      </c>
      <c r="L7566" s="111" t="str">
        <f>IF(H7566="","",IF($C$29="상세법",FPV(H7566,K7566),IF(H7566="EI",4,IF(H7566="EO",5.2,IF(H7566="EQ",3.9,IF(H7566="ILF",7.5,IF(H7566="EIF",5.4)))))))</f>
        <v/>
      </c>
      <c r="M7566" s="112" t="str">
        <f t="shared" si="121"/>
        <v/>
      </c>
      <c r="N7566" s="113"/>
    </row>
    <row r="7567" spans="2:14">
      <c r="B7567" s="105"/>
      <c r="C7567" s="106"/>
      <c r="D7567" s="107"/>
      <c r="E7567" s="65"/>
      <c r="F7567" s="64"/>
      <c r="G7567" s="64"/>
      <c r="H7567" s="64"/>
      <c r="I7567" s="70"/>
      <c r="J7567" s="70"/>
      <c r="K7567" s="110" t="str">
        <f>IF(H7567="","",IF($C$29="간이법","",FPR(H7567,I7567,J7567)))</f>
        <v/>
      </c>
      <c r="L7567" s="111" t="str">
        <f>IF(H7567="","",IF($C$29="상세법",FPV(H7567,K7567),IF(H7567="EI",4,IF(H7567="EO",5.2,IF(H7567="EQ",3.9,IF(H7567="ILF",7.5,IF(H7567="EIF",5.4)))))))</f>
        <v/>
      </c>
      <c r="M7567" s="112" t="str">
        <f t="shared" si="121"/>
        <v/>
      </c>
      <c r="N7567" s="113"/>
    </row>
    <row r="7568" spans="2:14">
      <c r="B7568" s="105"/>
      <c r="C7568" s="106"/>
      <c r="D7568" s="107"/>
      <c r="E7568" s="65"/>
      <c r="F7568" s="64"/>
      <c r="G7568" s="64"/>
      <c r="H7568" s="64"/>
      <c r="I7568" s="70"/>
      <c r="J7568" s="70"/>
      <c r="K7568" s="110" t="str">
        <f>IF(H7568="","",IF($C$29="간이법","",FPR(H7568,I7568,J7568)))</f>
        <v/>
      </c>
      <c r="L7568" s="111" t="str">
        <f>IF(H7568="","",IF($C$29="상세법",FPV(H7568,K7568),IF(H7568="EI",4,IF(H7568="EO",5.2,IF(H7568="EQ",3.9,IF(H7568="ILF",7.5,IF(H7568="EIF",5.4)))))))</f>
        <v/>
      </c>
      <c r="M7568" s="112" t="str">
        <f t="shared" si="121"/>
        <v/>
      </c>
      <c r="N7568" s="113"/>
    </row>
    <row r="7569" spans="2:14">
      <c r="B7569" s="105"/>
      <c r="C7569" s="106"/>
      <c r="D7569" s="107"/>
      <c r="E7569" s="65"/>
      <c r="F7569" s="64"/>
      <c r="G7569" s="64"/>
      <c r="H7569" s="64"/>
      <c r="I7569" s="70"/>
      <c r="J7569" s="70"/>
      <c r="K7569" s="110" t="str">
        <f>IF(H7569="","",IF($C$29="간이법","",FPR(H7569,I7569,J7569)))</f>
        <v/>
      </c>
      <c r="L7569" s="111" t="str">
        <f>IF(H7569="","",IF($C$29="상세법",FPV(H7569,K7569),IF(H7569="EI",4,IF(H7569="EO",5.2,IF(H7569="EQ",3.9,IF(H7569="ILF",7.5,IF(H7569="EIF",5.4)))))))</f>
        <v/>
      </c>
      <c r="M7569" s="112" t="str">
        <f t="shared" si="121"/>
        <v/>
      </c>
      <c r="N7569" s="113"/>
    </row>
    <row r="7570" spans="2:14">
      <c r="B7570" s="105"/>
      <c r="C7570" s="106"/>
      <c r="D7570" s="107"/>
      <c r="E7570" s="65"/>
      <c r="F7570" s="64"/>
      <c r="G7570" s="64"/>
      <c r="H7570" s="64"/>
      <c r="I7570" s="70"/>
      <c r="J7570" s="70"/>
      <c r="K7570" s="110" t="str">
        <f>IF(H7570="","",IF($C$29="간이법","",FPR(H7570,I7570,J7570)))</f>
        <v/>
      </c>
      <c r="L7570" s="111" t="str">
        <f>IF(H7570="","",IF($C$29="상세법",FPV(H7570,K7570),IF(H7570="EI",4,IF(H7570="EO",5.2,IF(H7570="EQ",3.9,IF(H7570="ILF",7.5,IF(H7570="EIF",5.4)))))))</f>
        <v/>
      </c>
      <c r="M7570" s="112" t="str">
        <f t="shared" si="121"/>
        <v/>
      </c>
      <c r="N7570" s="113"/>
    </row>
    <row r="7571" spans="2:14">
      <c r="B7571" s="105"/>
      <c r="C7571" s="106"/>
      <c r="D7571" s="107"/>
      <c r="E7571" s="65"/>
      <c r="F7571" s="64"/>
      <c r="G7571" s="64"/>
      <c r="H7571" s="64"/>
      <c r="I7571" s="70"/>
      <c r="J7571" s="70"/>
      <c r="K7571" s="110" t="str">
        <f>IF(H7571="","",IF($C$29="간이법","",FPR(H7571,I7571,J7571)))</f>
        <v/>
      </c>
      <c r="L7571" s="111" t="str">
        <f>IF(H7571="","",IF($C$29="상세법",FPV(H7571,K7571),IF(H7571="EI",4,IF(H7571="EO",5.2,IF(H7571="EQ",3.9,IF(H7571="ILF",7.5,IF(H7571="EIF",5.4)))))))</f>
        <v/>
      </c>
      <c r="M7571" s="112" t="str">
        <f t="shared" si="121"/>
        <v/>
      </c>
      <c r="N7571" s="113"/>
    </row>
    <row r="7572" spans="2:14">
      <c r="B7572" s="105"/>
      <c r="C7572" s="106"/>
      <c r="D7572" s="107"/>
      <c r="E7572" s="65"/>
      <c r="F7572" s="64"/>
      <c r="G7572" s="64"/>
      <c r="H7572" s="64"/>
      <c r="I7572" s="70"/>
      <c r="J7572" s="70"/>
      <c r="K7572" s="110" t="str">
        <f>IF(H7572="","",IF($C$29="간이법","",FPR(H7572,I7572,J7572)))</f>
        <v/>
      </c>
      <c r="L7572" s="111" t="str">
        <f>IF(H7572="","",IF($C$29="상세법",FPV(H7572,K7572),IF(H7572="EI",4,IF(H7572="EO",5.2,IF(H7572="EQ",3.9,IF(H7572="ILF",7.5,IF(H7572="EIF",5.4)))))))</f>
        <v/>
      </c>
      <c r="M7572" s="112" t="str">
        <f t="shared" si="121"/>
        <v/>
      </c>
      <c r="N7572" s="113"/>
    </row>
    <row r="7573" spans="2:14">
      <c r="B7573" s="105"/>
      <c r="C7573" s="106"/>
      <c r="D7573" s="107"/>
      <c r="E7573" s="65"/>
      <c r="F7573" s="64"/>
      <c r="G7573" s="64"/>
      <c r="H7573" s="64"/>
      <c r="I7573" s="70"/>
      <c r="J7573" s="70"/>
      <c r="K7573" s="110" t="str">
        <f>IF(H7573="","",IF($C$29="간이법","",FPR(H7573,I7573,J7573)))</f>
        <v/>
      </c>
      <c r="L7573" s="111" t="str">
        <f>IF(H7573="","",IF($C$29="상세법",FPV(H7573,K7573),IF(H7573="EI",4,IF(H7573="EO",5.2,IF(H7573="EQ",3.9,IF(H7573="ILF",7.5,IF(H7573="EIF",5.4)))))))</f>
        <v/>
      </c>
      <c r="M7573" s="112" t="str">
        <f t="shared" si="121"/>
        <v/>
      </c>
      <c r="N7573" s="113"/>
    </row>
    <row r="7574" spans="2:14">
      <c r="B7574" s="105"/>
      <c r="C7574" s="106"/>
      <c r="D7574" s="107"/>
      <c r="E7574" s="65"/>
      <c r="F7574" s="64"/>
      <c r="G7574" s="64"/>
      <c r="H7574" s="64"/>
      <c r="I7574" s="70"/>
      <c r="J7574" s="70"/>
      <c r="K7574" s="110" t="str">
        <f>IF(H7574="","",IF($C$29="간이법","",FPR(H7574,I7574,J7574)))</f>
        <v/>
      </c>
      <c r="L7574" s="111" t="str">
        <f>IF(H7574="","",IF($C$29="상세법",FPV(H7574,K7574),IF(H7574="EI",4,IF(H7574="EO",5.2,IF(H7574="EQ",3.9,IF(H7574="ILF",7.5,IF(H7574="EIF",5.4)))))))</f>
        <v/>
      </c>
      <c r="M7574" s="112" t="str">
        <f t="shared" si="121"/>
        <v/>
      </c>
      <c r="N7574" s="113"/>
    </row>
    <row r="7575" spans="2:14">
      <c r="B7575" s="105"/>
      <c r="C7575" s="106"/>
      <c r="D7575" s="107"/>
      <c r="E7575" s="65"/>
      <c r="F7575" s="64"/>
      <c r="G7575" s="64"/>
      <c r="H7575" s="64"/>
      <c r="I7575" s="70"/>
      <c r="J7575" s="70"/>
      <c r="K7575" s="110" t="str">
        <f>IF(H7575="","",IF($C$29="간이법","",FPR(H7575,I7575,J7575)))</f>
        <v/>
      </c>
      <c r="L7575" s="111" t="str">
        <f>IF(H7575="","",IF($C$29="상세법",FPV(H7575,K7575),IF(H7575="EI",4,IF(H7575="EO",5.2,IF(H7575="EQ",3.9,IF(H7575="ILF",7.5,IF(H7575="EIF",5.4)))))))</f>
        <v/>
      </c>
      <c r="M7575" s="112" t="str">
        <f t="shared" si="121"/>
        <v/>
      </c>
      <c r="N7575" s="113"/>
    </row>
    <row r="7576" spans="2:14">
      <c r="B7576" s="105"/>
      <c r="C7576" s="106"/>
      <c r="D7576" s="107"/>
      <c r="E7576" s="65"/>
      <c r="F7576" s="64"/>
      <c r="G7576" s="64"/>
      <c r="H7576" s="64"/>
      <c r="I7576" s="70"/>
      <c r="J7576" s="70"/>
      <c r="K7576" s="110" t="str">
        <f>IF(H7576="","",IF($C$29="간이법","",FPR(H7576,I7576,J7576)))</f>
        <v/>
      </c>
      <c r="L7576" s="111" t="str">
        <f>IF(H7576="","",IF($C$29="상세법",FPV(H7576,K7576),IF(H7576="EI",4,IF(H7576="EO",5.2,IF(H7576="EQ",3.9,IF(H7576="ILF",7.5,IF(H7576="EIF",5.4)))))))</f>
        <v/>
      </c>
      <c r="M7576" s="112" t="str">
        <f t="shared" si="121"/>
        <v/>
      </c>
      <c r="N7576" s="113"/>
    </row>
    <row r="7577" spans="2:14">
      <c r="B7577" s="105"/>
      <c r="C7577" s="106"/>
      <c r="D7577" s="107"/>
      <c r="E7577" s="65"/>
      <c r="F7577" s="64"/>
      <c r="G7577" s="64"/>
      <c r="H7577" s="64"/>
      <c r="I7577" s="70"/>
      <c r="J7577" s="70"/>
      <c r="K7577" s="110" t="str">
        <f>IF(H7577="","",IF($C$29="간이법","",FPR(H7577,I7577,J7577)))</f>
        <v/>
      </c>
      <c r="L7577" s="111" t="str">
        <f>IF(H7577="","",IF($C$29="상세법",FPV(H7577,K7577),IF(H7577="EI",4,IF(H7577="EO",5.2,IF(H7577="EQ",3.9,IF(H7577="ILF",7.5,IF(H7577="EIF",5.4)))))))</f>
        <v/>
      </c>
      <c r="M7577" s="112" t="str">
        <f t="shared" si="121"/>
        <v/>
      </c>
      <c r="N7577" s="113"/>
    </row>
    <row r="7578" spans="2:14">
      <c r="B7578" s="105"/>
      <c r="C7578" s="106"/>
      <c r="D7578" s="107"/>
      <c r="E7578" s="65"/>
      <c r="F7578" s="64"/>
      <c r="G7578" s="64"/>
      <c r="H7578" s="64"/>
      <c r="I7578" s="70"/>
      <c r="J7578" s="70"/>
      <c r="K7578" s="110" t="str">
        <f>IF(H7578="","",IF($C$29="간이법","",FPR(H7578,I7578,J7578)))</f>
        <v/>
      </c>
      <c r="L7578" s="111" t="str">
        <f>IF(H7578="","",IF($C$29="상세법",FPV(H7578,K7578),IF(H7578="EI",4,IF(H7578="EO",5.2,IF(H7578="EQ",3.9,IF(H7578="ILF",7.5,IF(H7578="EIF",5.4)))))))</f>
        <v/>
      </c>
      <c r="M7578" s="112" t="str">
        <f t="shared" si="121"/>
        <v/>
      </c>
      <c r="N7578" s="113"/>
    </row>
    <row r="7579" spans="2:14">
      <c r="B7579" s="105"/>
      <c r="C7579" s="106"/>
      <c r="D7579" s="107"/>
      <c r="E7579" s="65"/>
      <c r="F7579" s="64"/>
      <c r="G7579" s="64"/>
      <c r="H7579" s="64"/>
      <c r="I7579" s="70"/>
      <c r="J7579" s="70"/>
      <c r="K7579" s="110" t="str">
        <f>IF(H7579="","",IF($C$29="간이법","",FPR(H7579,I7579,J7579)))</f>
        <v/>
      </c>
      <c r="L7579" s="111" t="str">
        <f>IF(H7579="","",IF($C$29="상세법",FPV(H7579,K7579),IF(H7579="EI",4,IF(H7579="EO",5.2,IF(H7579="EQ",3.9,IF(H7579="ILF",7.5,IF(H7579="EIF",5.4)))))))</f>
        <v/>
      </c>
      <c r="M7579" s="112" t="str">
        <f t="shared" si="121"/>
        <v/>
      </c>
      <c r="N7579" s="113"/>
    </row>
    <row r="7580" spans="2:14">
      <c r="B7580" s="105"/>
      <c r="C7580" s="106"/>
      <c r="D7580" s="107"/>
      <c r="E7580" s="65"/>
      <c r="F7580" s="64"/>
      <c r="G7580" s="64"/>
      <c r="H7580" s="64"/>
      <c r="I7580" s="70"/>
      <c r="J7580" s="70"/>
      <c r="K7580" s="110" t="str">
        <f>IF(H7580="","",IF($C$29="간이법","",FPR(H7580,I7580,J7580)))</f>
        <v/>
      </c>
      <c r="L7580" s="111" t="str">
        <f>IF(H7580="","",IF($C$29="상세법",FPV(H7580,K7580),IF(H7580="EI",4,IF(H7580="EO",5.2,IF(H7580="EQ",3.9,IF(H7580="ILF",7.5,IF(H7580="EIF",5.4)))))))</f>
        <v/>
      </c>
      <c r="M7580" s="112" t="str">
        <f t="shared" si="121"/>
        <v/>
      </c>
      <c r="N7580" s="113"/>
    </row>
    <row r="7581" spans="2:14">
      <c r="B7581" s="105"/>
      <c r="C7581" s="106"/>
      <c r="D7581" s="107"/>
      <c r="E7581" s="65"/>
      <c r="F7581" s="64"/>
      <c r="G7581" s="64"/>
      <c r="H7581" s="64"/>
      <c r="I7581" s="70"/>
      <c r="J7581" s="70"/>
      <c r="K7581" s="110" t="str">
        <f>IF(H7581="","",IF($C$29="간이법","",FPR(H7581,I7581,J7581)))</f>
        <v/>
      </c>
      <c r="L7581" s="111" t="str">
        <f>IF(H7581="","",IF($C$29="상세법",FPV(H7581,K7581),IF(H7581="EI",4,IF(H7581="EO",5.2,IF(H7581="EQ",3.9,IF(H7581="ILF",7.5,IF(H7581="EIF",5.4)))))))</f>
        <v/>
      </c>
      <c r="M7581" s="112" t="str">
        <f t="shared" si="121"/>
        <v/>
      </c>
      <c r="N7581" s="113"/>
    </row>
    <row r="7582" spans="2:14">
      <c r="B7582" s="105"/>
      <c r="C7582" s="106"/>
      <c r="D7582" s="107"/>
      <c r="E7582" s="65"/>
      <c r="F7582" s="64"/>
      <c r="G7582" s="64"/>
      <c r="H7582" s="64"/>
      <c r="I7582" s="70"/>
      <c r="J7582" s="70"/>
      <c r="K7582" s="110" t="str">
        <f>IF(H7582="","",IF($C$29="간이법","",FPR(H7582,I7582,J7582)))</f>
        <v/>
      </c>
      <c r="L7582" s="111" t="str">
        <f>IF(H7582="","",IF($C$29="상세법",FPV(H7582,K7582),IF(H7582="EI",4,IF(H7582="EO",5.2,IF(H7582="EQ",3.9,IF(H7582="ILF",7.5,IF(H7582="EIF",5.4)))))))</f>
        <v/>
      </c>
      <c r="M7582" s="112" t="str">
        <f t="shared" si="121"/>
        <v/>
      </c>
      <c r="N7582" s="113"/>
    </row>
    <row r="7583" spans="2:14">
      <c r="B7583" s="105"/>
      <c r="C7583" s="106"/>
      <c r="D7583" s="107"/>
      <c r="E7583" s="65"/>
      <c r="F7583" s="64"/>
      <c r="G7583" s="64"/>
      <c r="H7583" s="64"/>
      <c r="I7583" s="70"/>
      <c r="J7583" s="70"/>
      <c r="K7583" s="110" t="str">
        <f>IF(H7583="","",IF($C$29="간이법","",FPR(H7583,I7583,J7583)))</f>
        <v/>
      </c>
      <c r="L7583" s="111" t="str">
        <f>IF(H7583="","",IF($C$29="상세법",FPV(H7583,K7583),IF(H7583="EI",4,IF(H7583="EO",5.2,IF(H7583="EQ",3.9,IF(H7583="ILF",7.5,IF(H7583="EIF",5.4)))))))</f>
        <v/>
      </c>
      <c r="M7583" s="112" t="str">
        <f t="shared" si="121"/>
        <v/>
      </c>
      <c r="N7583" s="113"/>
    </row>
    <row r="7584" spans="2:14">
      <c r="B7584" s="105"/>
      <c r="C7584" s="106"/>
      <c r="D7584" s="107"/>
      <c r="E7584" s="65"/>
      <c r="F7584" s="64"/>
      <c r="G7584" s="64"/>
      <c r="H7584" s="64"/>
      <c r="I7584" s="70"/>
      <c r="J7584" s="70"/>
      <c r="K7584" s="110" t="str">
        <f>IF(H7584="","",IF($C$29="간이법","",FPR(H7584,I7584,J7584)))</f>
        <v/>
      </c>
      <c r="L7584" s="111" t="str">
        <f>IF(H7584="","",IF($C$29="상세법",FPV(H7584,K7584),IF(H7584="EI",4,IF(H7584="EO",5.2,IF(H7584="EQ",3.9,IF(H7584="ILF",7.5,IF(H7584="EIF",5.4)))))))</f>
        <v/>
      </c>
      <c r="M7584" s="112" t="str">
        <f t="shared" si="121"/>
        <v/>
      </c>
      <c r="N7584" s="113"/>
    </row>
    <row r="7585" spans="2:14">
      <c r="B7585" s="105"/>
      <c r="C7585" s="106"/>
      <c r="D7585" s="107"/>
      <c r="E7585" s="65"/>
      <c r="F7585" s="64"/>
      <c r="G7585" s="64"/>
      <c r="H7585" s="64"/>
      <c r="I7585" s="70"/>
      <c r="J7585" s="70"/>
      <c r="K7585" s="110" t="str">
        <f>IF(H7585="","",IF($C$29="간이법","",FPR(H7585,I7585,J7585)))</f>
        <v/>
      </c>
      <c r="L7585" s="111" t="str">
        <f>IF(H7585="","",IF($C$29="상세법",FPV(H7585,K7585),IF(H7585="EI",4,IF(H7585="EO",5.2,IF(H7585="EQ",3.9,IF(H7585="ILF",7.5,IF(H7585="EIF",5.4)))))))</f>
        <v/>
      </c>
      <c r="M7585" s="112" t="str">
        <f t="shared" si="121"/>
        <v/>
      </c>
      <c r="N7585" s="113"/>
    </row>
    <row r="7586" spans="2:14">
      <c r="B7586" s="105"/>
      <c r="C7586" s="106"/>
      <c r="D7586" s="107"/>
      <c r="E7586" s="65"/>
      <c r="F7586" s="64"/>
      <c r="G7586" s="64"/>
      <c r="H7586" s="64"/>
      <c r="I7586" s="70"/>
      <c r="J7586" s="70"/>
      <c r="K7586" s="110" t="str">
        <f>IF(H7586="","",IF($C$29="간이법","",FPR(H7586,I7586,J7586)))</f>
        <v/>
      </c>
      <c r="L7586" s="111" t="str">
        <f>IF(H7586="","",IF($C$29="상세법",FPV(H7586,K7586),IF(H7586="EI",4,IF(H7586="EO",5.2,IF(H7586="EQ",3.9,IF(H7586="ILF",7.5,IF(H7586="EIF",5.4)))))))</f>
        <v/>
      </c>
      <c r="M7586" s="112" t="str">
        <f t="shared" si="121"/>
        <v/>
      </c>
      <c r="N7586" s="113"/>
    </row>
    <row r="7587" spans="2:14">
      <c r="B7587" s="105"/>
      <c r="C7587" s="106"/>
      <c r="D7587" s="107"/>
      <c r="E7587" s="65"/>
      <c r="F7587" s="64"/>
      <c r="G7587" s="64"/>
      <c r="H7587" s="64"/>
      <c r="I7587" s="70"/>
      <c r="J7587" s="70"/>
      <c r="K7587" s="110" t="str">
        <f>IF(H7587="","",IF($C$29="간이법","",FPR(H7587,I7587,J7587)))</f>
        <v/>
      </c>
      <c r="L7587" s="111" t="str">
        <f>IF(H7587="","",IF($C$29="상세법",FPV(H7587,K7587),IF(H7587="EI",4,IF(H7587="EO",5.2,IF(H7587="EQ",3.9,IF(H7587="ILF",7.5,IF(H7587="EIF",5.4)))))))</f>
        <v/>
      </c>
      <c r="M7587" s="112" t="str">
        <f t="shared" si="121"/>
        <v/>
      </c>
      <c r="N7587" s="113"/>
    </row>
    <row r="7588" spans="2:14">
      <c r="B7588" s="105"/>
      <c r="C7588" s="106"/>
      <c r="D7588" s="107"/>
      <c r="E7588" s="65"/>
      <c r="F7588" s="64"/>
      <c r="G7588" s="64"/>
      <c r="H7588" s="64"/>
      <c r="I7588" s="70"/>
      <c r="J7588" s="70"/>
      <c r="K7588" s="110" t="str">
        <f>IF(H7588="","",IF($C$29="간이법","",FPR(H7588,I7588,J7588)))</f>
        <v/>
      </c>
      <c r="L7588" s="111" t="str">
        <f>IF(H7588="","",IF($C$29="상세법",FPV(H7588,K7588),IF(H7588="EI",4,IF(H7588="EO",5.2,IF(H7588="EQ",3.9,IF(H7588="ILF",7.5,IF(H7588="EIF",5.4)))))))</f>
        <v/>
      </c>
      <c r="M7588" s="112" t="str">
        <f t="shared" si="121"/>
        <v/>
      </c>
      <c r="N7588" s="113"/>
    </row>
    <row r="7589" spans="2:14">
      <c r="B7589" s="105"/>
      <c r="C7589" s="106"/>
      <c r="D7589" s="107"/>
      <c r="E7589" s="65"/>
      <c r="F7589" s="64"/>
      <c r="G7589" s="64"/>
      <c r="H7589" s="64"/>
      <c r="I7589" s="70"/>
      <c r="J7589" s="70"/>
      <c r="K7589" s="110" t="str">
        <f>IF(H7589="","",IF($C$29="간이법","",FPR(H7589,I7589,J7589)))</f>
        <v/>
      </c>
      <c r="L7589" s="111" t="str">
        <f>IF(H7589="","",IF($C$29="상세법",FPV(H7589,K7589),IF(H7589="EI",4,IF(H7589="EO",5.2,IF(H7589="EQ",3.9,IF(H7589="ILF",7.5,IF(H7589="EIF",5.4)))))))</f>
        <v/>
      </c>
      <c r="M7589" s="112" t="str">
        <f t="shared" si="121"/>
        <v/>
      </c>
      <c r="N7589" s="113"/>
    </row>
    <row r="7590" spans="2:14">
      <c r="B7590" s="105"/>
      <c r="C7590" s="106"/>
      <c r="D7590" s="107"/>
      <c r="E7590" s="65"/>
      <c r="F7590" s="64"/>
      <c r="G7590" s="64"/>
      <c r="H7590" s="64"/>
      <c r="I7590" s="70"/>
      <c r="J7590" s="70"/>
      <c r="K7590" s="110" t="str">
        <f>IF(H7590="","",IF($C$29="간이법","",FPR(H7590,I7590,J7590)))</f>
        <v/>
      </c>
      <c r="L7590" s="111" t="str">
        <f>IF(H7590="","",IF($C$29="상세법",FPV(H7590,K7590),IF(H7590="EI",4,IF(H7590="EO",5.2,IF(H7590="EQ",3.9,IF(H7590="ILF",7.5,IF(H7590="EIF",5.4)))))))</f>
        <v/>
      </c>
      <c r="M7590" s="112" t="str">
        <f t="shared" si="121"/>
        <v/>
      </c>
      <c r="N7590" s="113"/>
    </row>
    <row r="7591" spans="2:14">
      <c r="B7591" s="105"/>
      <c r="C7591" s="106"/>
      <c r="D7591" s="107"/>
      <c r="E7591" s="65"/>
      <c r="F7591" s="64"/>
      <c r="G7591" s="64"/>
      <c r="H7591" s="64"/>
      <c r="I7591" s="70"/>
      <c r="J7591" s="70"/>
      <c r="K7591" s="110" t="str">
        <f>IF(H7591="","",IF($C$29="간이법","",FPR(H7591,I7591,J7591)))</f>
        <v/>
      </c>
      <c r="L7591" s="111" t="str">
        <f>IF(H7591="","",IF($C$29="상세법",FPV(H7591,K7591),IF(H7591="EI",4,IF(H7591="EO",5.2,IF(H7591="EQ",3.9,IF(H7591="ILF",7.5,IF(H7591="EIF",5.4)))))))</f>
        <v/>
      </c>
      <c r="M7591" s="112" t="str">
        <f t="shared" si="121"/>
        <v/>
      </c>
      <c r="N7591" s="113"/>
    </row>
    <row r="7592" spans="2:14">
      <c r="B7592" s="105"/>
      <c r="C7592" s="106"/>
      <c r="D7592" s="107"/>
      <c r="E7592" s="65"/>
      <c r="F7592" s="64"/>
      <c r="G7592" s="64"/>
      <c r="H7592" s="64"/>
      <c r="I7592" s="70"/>
      <c r="J7592" s="70"/>
      <c r="K7592" s="110" t="str">
        <f>IF(H7592="","",IF($C$29="간이법","",FPR(H7592,I7592,J7592)))</f>
        <v/>
      </c>
      <c r="L7592" s="111" t="str">
        <f>IF(H7592="","",IF($C$29="상세법",FPV(H7592,K7592),IF(H7592="EI",4,IF(H7592="EO",5.2,IF(H7592="EQ",3.9,IF(H7592="ILF",7.5,IF(H7592="EIF",5.4)))))))</f>
        <v/>
      </c>
      <c r="M7592" s="112" t="str">
        <f t="shared" si="121"/>
        <v/>
      </c>
      <c r="N7592" s="113"/>
    </row>
    <row r="7593" spans="2:14">
      <c r="B7593" s="105"/>
      <c r="C7593" s="106"/>
      <c r="D7593" s="107"/>
      <c r="E7593" s="65"/>
      <c r="F7593" s="64"/>
      <c r="G7593" s="64"/>
      <c r="H7593" s="64"/>
      <c r="I7593" s="70"/>
      <c r="J7593" s="70"/>
      <c r="K7593" s="110" t="str">
        <f>IF(H7593="","",IF($C$29="간이법","",FPR(H7593,I7593,J7593)))</f>
        <v/>
      </c>
      <c r="L7593" s="111" t="str">
        <f>IF(H7593="","",IF($C$29="상세법",FPV(H7593,K7593),IF(H7593="EI",4,IF(H7593="EO",5.2,IF(H7593="EQ",3.9,IF(H7593="ILF",7.5,IF(H7593="EIF",5.4)))))))</f>
        <v/>
      </c>
      <c r="M7593" s="112" t="str">
        <f t="shared" si="121"/>
        <v/>
      </c>
      <c r="N7593" s="113"/>
    </row>
    <row r="7594" spans="2:14">
      <c r="B7594" s="105"/>
      <c r="C7594" s="106"/>
      <c r="D7594" s="107"/>
      <c r="E7594" s="65"/>
      <c r="F7594" s="64"/>
      <c r="G7594" s="64"/>
      <c r="H7594" s="64"/>
      <c r="I7594" s="70"/>
      <c r="J7594" s="70"/>
      <c r="K7594" s="110" t="str">
        <f>IF(H7594="","",IF($C$29="간이법","",FPR(H7594,I7594,J7594)))</f>
        <v/>
      </c>
      <c r="L7594" s="111" t="str">
        <f>IF(H7594="","",IF($C$29="상세법",FPV(H7594,K7594),IF(H7594="EI",4,IF(H7594="EO",5.2,IF(H7594="EQ",3.9,IF(H7594="ILF",7.5,IF(H7594="EIF",5.4)))))))</f>
        <v/>
      </c>
      <c r="M7594" s="112" t="str">
        <f t="shared" si="121"/>
        <v/>
      </c>
      <c r="N7594" s="113"/>
    </row>
    <row r="7595" spans="2:14">
      <c r="B7595" s="105"/>
      <c r="C7595" s="106"/>
      <c r="D7595" s="107"/>
      <c r="E7595" s="65"/>
      <c r="F7595" s="64"/>
      <c r="G7595" s="64"/>
      <c r="H7595" s="64"/>
      <c r="I7595" s="70"/>
      <c r="J7595" s="70"/>
      <c r="K7595" s="110" t="str">
        <f>IF(H7595="","",IF($C$29="간이법","",FPR(H7595,I7595,J7595)))</f>
        <v/>
      </c>
      <c r="L7595" s="111" t="str">
        <f>IF(H7595="","",IF($C$29="상세법",FPV(H7595,K7595),IF(H7595="EI",4,IF(H7595="EO",5.2,IF(H7595="EQ",3.9,IF(H7595="ILF",7.5,IF(H7595="EIF",5.4)))))))</f>
        <v/>
      </c>
      <c r="M7595" s="112" t="str">
        <f t="shared" si="121"/>
        <v/>
      </c>
      <c r="N7595" s="113"/>
    </row>
    <row r="7596" spans="2:14">
      <c r="B7596" s="105"/>
      <c r="C7596" s="106"/>
      <c r="D7596" s="107"/>
      <c r="E7596" s="65"/>
      <c r="F7596" s="64"/>
      <c r="G7596" s="64"/>
      <c r="H7596" s="64"/>
      <c r="I7596" s="70"/>
      <c r="J7596" s="70"/>
      <c r="K7596" s="110" t="str">
        <f>IF(H7596="","",IF($C$29="간이법","",FPR(H7596,I7596,J7596)))</f>
        <v/>
      </c>
      <c r="L7596" s="111" t="str">
        <f>IF(H7596="","",IF($C$29="상세법",FPV(H7596,K7596),IF(H7596="EI",4,IF(H7596="EO",5.2,IF(H7596="EQ",3.9,IF(H7596="ILF",7.5,IF(H7596="EIF",5.4)))))))</f>
        <v/>
      </c>
      <c r="M7596" s="112" t="str">
        <f t="shared" si="121"/>
        <v/>
      </c>
      <c r="N7596" s="113"/>
    </row>
    <row r="7597" spans="2:14">
      <c r="B7597" s="105"/>
      <c r="C7597" s="106"/>
      <c r="D7597" s="107"/>
      <c r="E7597" s="65"/>
      <c r="F7597" s="64"/>
      <c r="G7597" s="64"/>
      <c r="H7597" s="64"/>
      <c r="I7597" s="70"/>
      <c r="J7597" s="70"/>
      <c r="K7597" s="110" t="str">
        <f>IF(H7597="","",IF($C$29="간이법","",FPR(H7597,I7597,J7597)))</f>
        <v/>
      </c>
      <c r="L7597" s="111" t="str">
        <f>IF(H7597="","",IF($C$29="상세법",FPV(H7597,K7597),IF(H7597="EI",4,IF(H7597="EO",5.2,IF(H7597="EQ",3.9,IF(H7597="ILF",7.5,IF(H7597="EIF",5.4)))))))</f>
        <v/>
      </c>
      <c r="M7597" s="112" t="str">
        <f t="shared" si="121"/>
        <v/>
      </c>
      <c r="N7597" s="113"/>
    </row>
    <row r="7598" spans="2:14">
      <c r="B7598" s="105"/>
      <c r="C7598" s="106"/>
      <c r="D7598" s="107"/>
      <c r="E7598" s="65"/>
      <c r="F7598" s="64"/>
      <c r="G7598" s="64"/>
      <c r="H7598" s="64"/>
      <c r="I7598" s="70"/>
      <c r="J7598" s="70"/>
      <c r="K7598" s="110" t="str">
        <f>IF(H7598="","",IF($C$29="간이법","",FPR(H7598,I7598,J7598)))</f>
        <v/>
      </c>
      <c r="L7598" s="111" t="str">
        <f>IF(H7598="","",IF($C$29="상세법",FPV(H7598,K7598),IF(H7598="EI",4,IF(H7598="EO",5.2,IF(H7598="EQ",3.9,IF(H7598="ILF",7.5,IF(H7598="EIF",5.4)))))))</f>
        <v/>
      </c>
      <c r="M7598" s="112" t="str">
        <f t="shared" si="121"/>
        <v/>
      </c>
      <c r="N7598" s="113"/>
    </row>
    <row r="7599" spans="2:14">
      <c r="B7599" s="105"/>
      <c r="C7599" s="106"/>
      <c r="D7599" s="107"/>
      <c r="E7599" s="65"/>
      <c r="F7599" s="64"/>
      <c r="G7599" s="64"/>
      <c r="H7599" s="64"/>
      <c r="I7599" s="70"/>
      <c r="J7599" s="70"/>
      <c r="K7599" s="110" t="str">
        <f>IF(H7599="","",IF($C$29="간이법","",FPR(H7599,I7599,J7599)))</f>
        <v/>
      </c>
      <c r="L7599" s="111" t="str">
        <f>IF(H7599="","",IF($C$29="상세법",FPV(H7599,K7599),IF(H7599="EI",4,IF(H7599="EO",5.2,IF(H7599="EQ",3.9,IF(H7599="ILF",7.5,IF(H7599="EIF",5.4)))))))</f>
        <v/>
      </c>
      <c r="M7599" s="112" t="str">
        <f t="shared" si="121"/>
        <v/>
      </c>
      <c r="N7599" s="113"/>
    </row>
    <row r="7600" spans="2:14">
      <c r="B7600" s="105"/>
      <c r="C7600" s="106"/>
      <c r="D7600" s="107"/>
      <c r="E7600" s="65"/>
      <c r="F7600" s="64"/>
      <c r="G7600" s="64"/>
      <c r="H7600" s="64"/>
      <c r="I7600" s="70"/>
      <c r="J7600" s="70"/>
      <c r="K7600" s="110" t="str">
        <f>IF(H7600="","",IF($C$29="간이법","",FPR(H7600,I7600,J7600)))</f>
        <v/>
      </c>
      <c r="L7600" s="111" t="str">
        <f>IF(H7600="","",IF($C$29="상세법",FPV(H7600,K7600),IF(H7600="EI",4,IF(H7600="EO",5.2,IF(H7600="EQ",3.9,IF(H7600="ILF",7.5,IF(H7600="EIF",5.4)))))))</f>
        <v/>
      </c>
      <c r="M7600" s="112" t="str">
        <f t="shared" si="121"/>
        <v/>
      </c>
      <c r="N7600" s="113"/>
    </row>
    <row r="7601" spans="2:14">
      <c r="B7601" s="105"/>
      <c r="C7601" s="106"/>
      <c r="D7601" s="107"/>
      <c r="E7601" s="65"/>
      <c r="F7601" s="64"/>
      <c r="G7601" s="64"/>
      <c r="H7601" s="64"/>
      <c r="I7601" s="70"/>
      <c r="J7601" s="70"/>
      <c r="K7601" s="110" t="str">
        <f>IF(H7601="","",IF($C$29="간이법","",FPR(H7601,I7601,J7601)))</f>
        <v/>
      </c>
      <c r="L7601" s="111" t="str">
        <f>IF(H7601="","",IF($C$29="상세법",FPV(H7601,K7601),IF(H7601="EI",4,IF(H7601="EO",5.2,IF(H7601="EQ",3.9,IF(H7601="ILF",7.5,IF(H7601="EIF",5.4)))))))</f>
        <v/>
      </c>
      <c r="M7601" s="112" t="str">
        <f t="shared" si="121"/>
        <v/>
      </c>
      <c r="N7601" s="113"/>
    </row>
    <row r="7602" spans="2:14">
      <c r="B7602" s="105"/>
      <c r="C7602" s="106"/>
      <c r="D7602" s="107"/>
      <c r="E7602" s="65"/>
      <c r="F7602" s="64"/>
      <c r="G7602" s="64"/>
      <c r="H7602" s="64"/>
      <c r="I7602" s="70"/>
      <c r="J7602" s="70"/>
      <c r="K7602" s="110" t="str">
        <f>IF(H7602="","",IF($C$29="간이법","",FPR(H7602,I7602,J7602)))</f>
        <v/>
      </c>
      <c r="L7602" s="111" t="str">
        <f>IF(H7602="","",IF($C$29="상세법",FPV(H7602,K7602),IF(H7602="EI",4,IF(H7602="EO",5.2,IF(H7602="EQ",3.9,IF(H7602="ILF",7.5,IF(H7602="EIF",5.4)))))))</f>
        <v/>
      </c>
      <c r="M7602" s="112" t="str">
        <f t="shared" si="121"/>
        <v/>
      </c>
      <c r="N7602" s="113"/>
    </row>
    <row r="7603" spans="2:14">
      <c r="B7603" s="105"/>
      <c r="C7603" s="106"/>
      <c r="D7603" s="107"/>
      <c r="E7603" s="65"/>
      <c r="F7603" s="64"/>
      <c r="G7603" s="64"/>
      <c r="H7603" s="64"/>
      <c r="I7603" s="70"/>
      <c r="J7603" s="70"/>
      <c r="K7603" s="110" t="str">
        <f>IF(H7603="","",IF($C$29="간이법","",FPR(H7603,I7603,J7603)))</f>
        <v/>
      </c>
      <c r="L7603" s="111" t="str">
        <f>IF(H7603="","",IF($C$29="상세법",FPV(H7603,K7603),IF(H7603="EI",4,IF(H7603="EO",5.2,IF(H7603="EQ",3.9,IF(H7603="ILF",7.5,IF(H7603="EIF",5.4)))))))</f>
        <v/>
      </c>
      <c r="M7603" s="112" t="str">
        <f t="shared" si="121"/>
        <v/>
      </c>
      <c r="N7603" s="113"/>
    </row>
    <row r="7604" spans="2:14">
      <c r="B7604" s="105"/>
      <c r="C7604" s="106"/>
      <c r="D7604" s="107"/>
      <c r="E7604" s="65"/>
      <c r="F7604" s="64"/>
      <c r="G7604" s="64"/>
      <c r="H7604" s="64"/>
      <c r="I7604" s="70"/>
      <c r="J7604" s="70"/>
      <c r="K7604" s="110" t="str">
        <f>IF(H7604="","",IF($C$29="간이법","",FPR(H7604,I7604,J7604)))</f>
        <v/>
      </c>
      <c r="L7604" s="111" t="str">
        <f>IF(H7604="","",IF($C$29="상세법",FPV(H7604,K7604),IF(H7604="EI",4,IF(H7604="EO",5.2,IF(H7604="EQ",3.9,IF(H7604="ILF",7.5,IF(H7604="EIF",5.4)))))))</f>
        <v/>
      </c>
      <c r="M7604" s="112" t="str">
        <f t="shared" si="121"/>
        <v/>
      </c>
      <c r="N7604" s="113"/>
    </row>
    <row r="7605" spans="2:14">
      <c r="B7605" s="105"/>
      <c r="C7605" s="106"/>
      <c r="D7605" s="107"/>
      <c r="E7605" s="65"/>
      <c r="F7605" s="64"/>
      <c r="G7605" s="64"/>
      <c r="H7605" s="64"/>
      <c r="I7605" s="70"/>
      <c r="J7605" s="70"/>
      <c r="K7605" s="110" t="str">
        <f>IF(H7605="","",IF($C$29="간이법","",FPR(H7605,I7605,J7605)))</f>
        <v/>
      </c>
      <c r="L7605" s="111" t="str">
        <f>IF(H7605="","",IF($C$29="상세법",FPV(H7605,K7605),IF(H7605="EI",4,IF(H7605="EO",5.2,IF(H7605="EQ",3.9,IF(H7605="ILF",7.5,IF(H7605="EIF",5.4)))))))</f>
        <v/>
      </c>
      <c r="M7605" s="112" t="str">
        <f t="shared" si="121"/>
        <v/>
      </c>
      <c r="N7605" s="113"/>
    </row>
    <row r="7606" spans="2:14">
      <c r="B7606" s="105"/>
      <c r="C7606" s="106"/>
      <c r="D7606" s="107"/>
      <c r="E7606" s="65"/>
      <c r="F7606" s="64"/>
      <c r="G7606" s="64"/>
      <c r="H7606" s="64"/>
      <c r="I7606" s="70"/>
      <c r="J7606" s="70"/>
      <c r="K7606" s="110" t="str">
        <f>IF(H7606="","",IF($C$29="간이법","",FPR(H7606,I7606,J7606)))</f>
        <v/>
      </c>
      <c r="L7606" s="111" t="str">
        <f>IF(H7606="","",IF($C$29="상세법",FPV(H7606,K7606),IF(H7606="EI",4,IF(H7606="EO",5.2,IF(H7606="EQ",3.9,IF(H7606="ILF",7.5,IF(H7606="EIF",5.4)))))))</f>
        <v/>
      </c>
      <c r="M7606" s="112" t="str">
        <f t="shared" si="121"/>
        <v/>
      </c>
      <c r="N7606" s="113"/>
    </row>
    <row r="7607" spans="2:14">
      <c r="B7607" s="105"/>
      <c r="C7607" s="106"/>
      <c r="D7607" s="107"/>
      <c r="E7607" s="65"/>
      <c r="F7607" s="64"/>
      <c r="G7607" s="64"/>
      <c r="H7607" s="64"/>
      <c r="I7607" s="70"/>
      <c r="J7607" s="70"/>
      <c r="K7607" s="110" t="str">
        <f>IF(H7607="","",IF($C$29="간이법","",FPR(H7607,I7607,J7607)))</f>
        <v/>
      </c>
      <c r="L7607" s="111" t="str">
        <f>IF(H7607="","",IF($C$29="상세법",FPV(H7607,K7607),IF(H7607="EI",4,IF(H7607="EO",5.2,IF(H7607="EQ",3.9,IF(H7607="ILF",7.5,IF(H7607="EIF",5.4)))))))</f>
        <v/>
      </c>
      <c r="M7607" s="112" t="str">
        <f t="shared" si="121"/>
        <v/>
      </c>
      <c r="N7607" s="113"/>
    </row>
    <row r="7608" spans="2:14">
      <c r="B7608" s="105"/>
      <c r="C7608" s="106"/>
      <c r="D7608" s="107"/>
      <c r="E7608" s="65"/>
      <c r="F7608" s="64"/>
      <c r="G7608" s="64"/>
      <c r="H7608" s="64"/>
      <c r="I7608" s="70"/>
      <c r="J7608" s="70"/>
      <c r="K7608" s="110" t="str">
        <f>IF(H7608="","",IF($C$29="간이법","",FPR(H7608,I7608,J7608)))</f>
        <v/>
      </c>
      <c r="L7608" s="111" t="str">
        <f>IF(H7608="","",IF($C$29="상세법",FPV(H7608,K7608),IF(H7608="EI",4,IF(H7608="EO",5.2,IF(H7608="EQ",3.9,IF(H7608="ILF",7.5,IF(H7608="EIF",5.4)))))))</f>
        <v/>
      </c>
      <c r="M7608" s="112" t="str">
        <f t="shared" si="121"/>
        <v/>
      </c>
      <c r="N7608" s="113"/>
    </row>
    <row r="7609" spans="2:14">
      <c r="B7609" s="105"/>
      <c r="C7609" s="106"/>
      <c r="D7609" s="107"/>
      <c r="E7609" s="65"/>
      <c r="F7609" s="64"/>
      <c r="G7609" s="64"/>
      <c r="H7609" s="64"/>
      <c r="I7609" s="70"/>
      <c r="J7609" s="70"/>
      <c r="K7609" s="110" t="str">
        <f>IF(H7609="","",IF($C$29="간이법","",FPR(H7609,I7609,J7609)))</f>
        <v/>
      </c>
      <c r="L7609" s="111" t="str">
        <f>IF(H7609="","",IF($C$29="상세법",FPV(H7609,K7609),IF(H7609="EI",4,IF(H7609="EO",5.2,IF(H7609="EQ",3.9,IF(H7609="ILF",7.5,IF(H7609="EIF",5.4)))))))</f>
        <v/>
      </c>
      <c r="M7609" s="112" t="str">
        <f t="shared" ref="M7609:M7672" si="122">IF(L7609="","",L7609*IF(G7609="상",0.7,IF(G7609="중",0.5,IF(G7609="하",0.2,1))))</f>
        <v/>
      </c>
      <c r="N7609" s="113"/>
    </row>
    <row r="7610" spans="2:14">
      <c r="B7610" s="105"/>
      <c r="C7610" s="106"/>
      <c r="D7610" s="107"/>
      <c r="E7610" s="65"/>
      <c r="F7610" s="64"/>
      <c r="G7610" s="64"/>
      <c r="H7610" s="64"/>
      <c r="I7610" s="70"/>
      <c r="J7610" s="70"/>
      <c r="K7610" s="110" t="str">
        <f>IF(H7610="","",IF($C$29="간이법","",FPR(H7610,I7610,J7610)))</f>
        <v/>
      </c>
      <c r="L7610" s="111" t="str">
        <f>IF(H7610="","",IF($C$29="상세법",FPV(H7610,K7610),IF(H7610="EI",4,IF(H7610="EO",5.2,IF(H7610="EQ",3.9,IF(H7610="ILF",7.5,IF(H7610="EIF",5.4)))))))</f>
        <v/>
      </c>
      <c r="M7610" s="112" t="str">
        <f t="shared" si="122"/>
        <v/>
      </c>
      <c r="N7610" s="113"/>
    </row>
    <row r="7611" spans="2:14">
      <c r="B7611" s="105"/>
      <c r="C7611" s="106"/>
      <c r="D7611" s="107"/>
      <c r="E7611" s="65"/>
      <c r="F7611" s="64"/>
      <c r="G7611" s="64"/>
      <c r="H7611" s="64"/>
      <c r="I7611" s="70"/>
      <c r="J7611" s="70"/>
      <c r="K7611" s="110" t="str">
        <f>IF(H7611="","",IF($C$29="간이법","",FPR(H7611,I7611,J7611)))</f>
        <v/>
      </c>
      <c r="L7611" s="111" t="str">
        <f>IF(H7611="","",IF($C$29="상세법",FPV(H7611,K7611),IF(H7611="EI",4,IF(H7611="EO",5.2,IF(H7611="EQ",3.9,IF(H7611="ILF",7.5,IF(H7611="EIF",5.4)))))))</f>
        <v/>
      </c>
      <c r="M7611" s="112" t="str">
        <f t="shared" si="122"/>
        <v/>
      </c>
      <c r="N7611" s="113"/>
    </row>
    <row r="7612" spans="2:14">
      <c r="B7612" s="105"/>
      <c r="C7612" s="106"/>
      <c r="D7612" s="107"/>
      <c r="E7612" s="65"/>
      <c r="F7612" s="64"/>
      <c r="G7612" s="64"/>
      <c r="H7612" s="64"/>
      <c r="I7612" s="70"/>
      <c r="J7612" s="70"/>
      <c r="K7612" s="110" t="str">
        <f>IF(H7612="","",IF($C$29="간이법","",FPR(H7612,I7612,J7612)))</f>
        <v/>
      </c>
      <c r="L7612" s="111" t="str">
        <f>IF(H7612="","",IF($C$29="상세법",FPV(H7612,K7612),IF(H7612="EI",4,IF(H7612="EO",5.2,IF(H7612="EQ",3.9,IF(H7612="ILF",7.5,IF(H7612="EIF",5.4)))))))</f>
        <v/>
      </c>
      <c r="M7612" s="112" t="str">
        <f t="shared" si="122"/>
        <v/>
      </c>
      <c r="N7612" s="113"/>
    </row>
    <row r="7613" spans="2:14">
      <c r="B7613" s="105"/>
      <c r="C7613" s="106"/>
      <c r="D7613" s="107"/>
      <c r="E7613" s="65"/>
      <c r="F7613" s="64"/>
      <c r="G7613" s="64"/>
      <c r="H7613" s="64"/>
      <c r="I7613" s="70"/>
      <c r="J7613" s="70"/>
      <c r="K7613" s="110" t="str">
        <f>IF(H7613="","",IF($C$29="간이법","",FPR(H7613,I7613,J7613)))</f>
        <v/>
      </c>
      <c r="L7613" s="111" t="str">
        <f>IF(H7613="","",IF($C$29="상세법",FPV(H7613,K7613),IF(H7613="EI",4,IF(H7613="EO",5.2,IF(H7613="EQ",3.9,IF(H7613="ILF",7.5,IF(H7613="EIF",5.4)))))))</f>
        <v/>
      </c>
      <c r="M7613" s="112" t="str">
        <f t="shared" si="122"/>
        <v/>
      </c>
      <c r="N7613" s="113"/>
    </row>
    <row r="7614" spans="2:14">
      <c r="B7614" s="105"/>
      <c r="C7614" s="106"/>
      <c r="D7614" s="107"/>
      <c r="E7614" s="65"/>
      <c r="F7614" s="64"/>
      <c r="G7614" s="64"/>
      <c r="H7614" s="64"/>
      <c r="I7614" s="70"/>
      <c r="J7614" s="70"/>
      <c r="K7614" s="110" t="str">
        <f>IF(H7614="","",IF($C$29="간이법","",FPR(H7614,I7614,J7614)))</f>
        <v/>
      </c>
      <c r="L7614" s="111" t="str">
        <f>IF(H7614="","",IF($C$29="상세법",FPV(H7614,K7614),IF(H7614="EI",4,IF(H7614="EO",5.2,IF(H7614="EQ",3.9,IF(H7614="ILF",7.5,IF(H7614="EIF",5.4)))))))</f>
        <v/>
      </c>
      <c r="M7614" s="112" t="str">
        <f t="shared" si="122"/>
        <v/>
      </c>
      <c r="N7614" s="113"/>
    </row>
    <row r="7615" spans="2:14">
      <c r="B7615" s="105"/>
      <c r="C7615" s="106"/>
      <c r="D7615" s="107"/>
      <c r="E7615" s="65"/>
      <c r="F7615" s="64"/>
      <c r="G7615" s="64"/>
      <c r="H7615" s="64"/>
      <c r="I7615" s="70"/>
      <c r="J7615" s="70"/>
      <c r="K7615" s="110" t="str">
        <f>IF(H7615="","",IF($C$29="간이법","",FPR(H7615,I7615,J7615)))</f>
        <v/>
      </c>
      <c r="L7615" s="111" t="str">
        <f>IF(H7615="","",IF($C$29="상세법",FPV(H7615,K7615),IF(H7615="EI",4,IF(H7615="EO",5.2,IF(H7615="EQ",3.9,IF(H7615="ILF",7.5,IF(H7615="EIF",5.4)))))))</f>
        <v/>
      </c>
      <c r="M7615" s="112" t="str">
        <f t="shared" si="122"/>
        <v/>
      </c>
      <c r="N7615" s="113"/>
    </row>
    <row r="7616" spans="2:14">
      <c r="B7616" s="105"/>
      <c r="C7616" s="106"/>
      <c r="D7616" s="107"/>
      <c r="E7616" s="65"/>
      <c r="F7616" s="64"/>
      <c r="G7616" s="64"/>
      <c r="H7616" s="64"/>
      <c r="I7616" s="70"/>
      <c r="J7616" s="70"/>
      <c r="K7616" s="110" t="str">
        <f>IF(H7616="","",IF($C$29="간이법","",FPR(H7616,I7616,J7616)))</f>
        <v/>
      </c>
      <c r="L7616" s="111" t="str">
        <f>IF(H7616="","",IF($C$29="상세법",FPV(H7616,K7616),IF(H7616="EI",4,IF(H7616="EO",5.2,IF(H7616="EQ",3.9,IF(H7616="ILF",7.5,IF(H7616="EIF",5.4)))))))</f>
        <v/>
      </c>
      <c r="M7616" s="112" t="str">
        <f t="shared" si="122"/>
        <v/>
      </c>
      <c r="N7616" s="113"/>
    </row>
    <row r="7617" spans="2:14">
      <c r="B7617" s="105"/>
      <c r="C7617" s="106"/>
      <c r="D7617" s="107"/>
      <c r="E7617" s="65"/>
      <c r="F7617" s="64"/>
      <c r="G7617" s="64"/>
      <c r="H7617" s="64"/>
      <c r="I7617" s="70"/>
      <c r="J7617" s="70"/>
      <c r="K7617" s="110" t="str">
        <f>IF(H7617="","",IF($C$29="간이법","",FPR(H7617,I7617,J7617)))</f>
        <v/>
      </c>
      <c r="L7617" s="111" t="str">
        <f>IF(H7617="","",IF($C$29="상세법",FPV(H7617,K7617),IF(H7617="EI",4,IF(H7617="EO",5.2,IF(H7617="EQ",3.9,IF(H7617="ILF",7.5,IF(H7617="EIF",5.4)))))))</f>
        <v/>
      </c>
      <c r="M7617" s="112" t="str">
        <f t="shared" si="122"/>
        <v/>
      </c>
      <c r="N7617" s="113"/>
    </row>
    <row r="7618" spans="2:14">
      <c r="B7618" s="105"/>
      <c r="C7618" s="106"/>
      <c r="D7618" s="107"/>
      <c r="E7618" s="65"/>
      <c r="F7618" s="64"/>
      <c r="G7618" s="64"/>
      <c r="H7618" s="64"/>
      <c r="I7618" s="70"/>
      <c r="J7618" s="70"/>
      <c r="K7618" s="110" t="str">
        <f>IF(H7618="","",IF($C$29="간이법","",FPR(H7618,I7618,J7618)))</f>
        <v/>
      </c>
      <c r="L7618" s="111" t="str">
        <f>IF(H7618="","",IF($C$29="상세법",FPV(H7618,K7618),IF(H7618="EI",4,IF(H7618="EO",5.2,IF(H7618="EQ",3.9,IF(H7618="ILF",7.5,IF(H7618="EIF",5.4)))))))</f>
        <v/>
      </c>
      <c r="M7618" s="112" t="str">
        <f t="shared" si="122"/>
        <v/>
      </c>
      <c r="N7618" s="113"/>
    </row>
    <row r="7619" spans="2:14">
      <c r="B7619" s="105"/>
      <c r="C7619" s="106"/>
      <c r="D7619" s="107"/>
      <c r="E7619" s="65"/>
      <c r="F7619" s="64"/>
      <c r="G7619" s="64"/>
      <c r="H7619" s="64"/>
      <c r="I7619" s="70"/>
      <c r="J7619" s="70"/>
      <c r="K7619" s="110" t="str">
        <f>IF(H7619="","",IF($C$29="간이법","",FPR(H7619,I7619,J7619)))</f>
        <v/>
      </c>
      <c r="L7619" s="111" t="str">
        <f>IF(H7619="","",IF($C$29="상세법",FPV(H7619,K7619),IF(H7619="EI",4,IF(H7619="EO",5.2,IF(H7619="EQ",3.9,IF(H7619="ILF",7.5,IF(H7619="EIF",5.4)))))))</f>
        <v/>
      </c>
      <c r="M7619" s="112" t="str">
        <f t="shared" si="122"/>
        <v/>
      </c>
      <c r="N7619" s="113"/>
    </row>
    <row r="7620" spans="2:14">
      <c r="B7620" s="105"/>
      <c r="C7620" s="106"/>
      <c r="D7620" s="107"/>
      <c r="E7620" s="65"/>
      <c r="F7620" s="64"/>
      <c r="G7620" s="64"/>
      <c r="H7620" s="64"/>
      <c r="I7620" s="70"/>
      <c r="J7620" s="70"/>
      <c r="K7620" s="110" t="str">
        <f>IF(H7620="","",IF($C$29="간이법","",FPR(H7620,I7620,J7620)))</f>
        <v/>
      </c>
      <c r="L7620" s="111" t="str">
        <f>IF(H7620="","",IF($C$29="상세법",FPV(H7620,K7620),IF(H7620="EI",4,IF(H7620="EO",5.2,IF(H7620="EQ",3.9,IF(H7620="ILF",7.5,IF(H7620="EIF",5.4)))))))</f>
        <v/>
      </c>
      <c r="M7620" s="112" t="str">
        <f t="shared" si="122"/>
        <v/>
      </c>
      <c r="N7620" s="113"/>
    </row>
    <row r="7621" spans="2:14">
      <c r="B7621" s="105"/>
      <c r="C7621" s="106"/>
      <c r="D7621" s="107"/>
      <c r="E7621" s="65"/>
      <c r="F7621" s="64"/>
      <c r="G7621" s="64"/>
      <c r="H7621" s="64"/>
      <c r="I7621" s="70"/>
      <c r="J7621" s="70"/>
      <c r="K7621" s="110" t="str">
        <f>IF(H7621="","",IF($C$29="간이법","",FPR(H7621,I7621,J7621)))</f>
        <v/>
      </c>
      <c r="L7621" s="111" t="str">
        <f>IF(H7621="","",IF($C$29="상세법",FPV(H7621,K7621),IF(H7621="EI",4,IF(H7621="EO",5.2,IF(H7621="EQ",3.9,IF(H7621="ILF",7.5,IF(H7621="EIF",5.4)))))))</f>
        <v/>
      </c>
      <c r="M7621" s="112" t="str">
        <f t="shared" si="122"/>
        <v/>
      </c>
      <c r="N7621" s="113"/>
    </row>
    <row r="7622" spans="2:14">
      <c r="B7622" s="105"/>
      <c r="C7622" s="106"/>
      <c r="D7622" s="107"/>
      <c r="E7622" s="65"/>
      <c r="F7622" s="64"/>
      <c r="G7622" s="64"/>
      <c r="H7622" s="64"/>
      <c r="I7622" s="70"/>
      <c r="J7622" s="70"/>
      <c r="K7622" s="110" t="str">
        <f>IF(H7622="","",IF($C$29="간이법","",FPR(H7622,I7622,J7622)))</f>
        <v/>
      </c>
      <c r="L7622" s="111" t="str">
        <f>IF(H7622="","",IF($C$29="상세법",FPV(H7622,K7622),IF(H7622="EI",4,IF(H7622="EO",5.2,IF(H7622="EQ",3.9,IF(H7622="ILF",7.5,IF(H7622="EIF",5.4)))))))</f>
        <v/>
      </c>
      <c r="M7622" s="112" t="str">
        <f t="shared" si="122"/>
        <v/>
      </c>
      <c r="N7622" s="113"/>
    </row>
    <row r="7623" spans="2:14">
      <c r="B7623" s="105"/>
      <c r="C7623" s="106"/>
      <c r="D7623" s="107"/>
      <c r="E7623" s="65"/>
      <c r="F7623" s="64"/>
      <c r="G7623" s="64"/>
      <c r="H7623" s="64"/>
      <c r="I7623" s="70"/>
      <c r="J7623" s="70"/>
      <c r="K7623" s="110" t="str">
        <f>IF(H7623="","",IF($C$29="간이법","",FPR(H7623,I7623,J7623)))</f>
        <v/>
      </c>
      <c r="L7623" s="111" t="str">
        <f>IF(H7623="","",IF($C$29="상세법",FPV(H7623,K7623),IF(H7623="EI",4,IF(H7623="EO",5.2,IF(H7623="EQ",3.9,IF(H7623="ILF",7.5,IF(H7623="EIF",5.4)))))))</f>
        <v/>
      </c>
      <c r="M7623" s="112" t="str">
        <f t="shared" si="122"/>
        <v/>
      </c>
      <c r="N7623" s="113"/>
    </row>
    <row r="7624" spans="2:14">
      <c r="B7624" s="105"/>
      <c r="C7624" s="106"/>
      <c r="D7624" s="107"/>
      <c r="E7624" s="65"/>
      <c r="F7624" s="64"/>
      <c r="G7624" s="64"/>
      <c r="H7624" s="64"/>
      <c r="I7624" s="70"/>
      <c r="J7624" s="70"/>
      <c r="K7624" s="110" t="str">
        <f>IF(H7624="","",IF($C$29="간이법","",FPR(H7624,I7624,J7624)))</f>
        <v/>
      </c>
      <c r="L7624" s="111" t="str">
        <f>IF(H7624="","",IF($C$29="상세법",FPV(H7624,K7624),IF(H7624="EI",4,IF(H7624="EO",5.2,IF(H7624="EQ",3.9,IF(H7624="ILF",7.5,IF(H7624="EIF",5.4)))))))</f>
        <v/>
      </c>
      <c r="M7624" s="112" t="str">
        <f t="shared" si="122"/>
        <v/>
      </c>
      <c r="N7624" s="113"/>
    </row>
    <row r="7625" spans="2:14">
      <c r="B7625" s="105"/>
      <c r="C7625" s="106"/>
      <c r="D7625" s="107"/>
      <c r="E7625" s="65"/>
      <c r="F7625" s="64"/>
      <c r="G7625" s="64"/>
      <c r="H7625" s="64"/>
      <c r="I7625" s="70"/>
      <c r="J7625" s="70"/>
      <c r="K7625" s="110" t="str">
        <f>IF(H7625="","",IF($C$29="간이법","",FPR(H7625,I7625,J7625)))</f>
        <v/>
      </c>
      <c r="L7625" s="111" t="str">
        <f>IF(H7625="","",IF($C$29="상세법",FPV(H7625,K7625),IF(H7625="EI",4,IF(H7625="EO",5.2,IF(H7625="EQ",3.9,IF(H7625="ILF",7.5,IF(H7625="EIF",5.4)))))))</f>
        <v/>
      </c>
      <c r="M7625" s="112" t="str">
        <f t="shared" si="122"/>
        <v/>
      </c>
      <c r="N7625" s="113"/>
    </row>
    <row r="7626" spans="2:14">
      <c r="B7626" s="105"/>
      <c r="C7626" s="106"/>
      <c r="D7626" s="107"/>
      <c r="E7626" s="65"/>
      <c r="F7626" s="64"/>
      <c r="G7626" s="64"/>
      <c r="H7626" s="64"/>
      <c r="I7626" s="70"/>
      <c r="J7626" s="70"/>
      <c r="K7626" s="110" t="str">
        <f>IF(H7626="","",IF($C$29="간이법","",FPR(H7626,I7626,J7626)))</f>
        <v/>
      </c>
      <c r="L7626" s="111" t="str">
        <f>IF(H7626="","",IF($C$29="상세법",FPV(H7626,K7626),IF(H7626="EI",4,IF(H7626="EO",5.2,IF(H7626="EQ",3.9,IF(H7626="ILF",7.5,IF(H7626="EIF",5.4)))))))</f>
        <v/>
      </c>
      <c r="M7626" s="112" t="str">
        <f t="shared" si="122"/>
        <v/>
      </c>
      <c r="N7626" s="113"/>
    </row>
    <row r="7627" spans="2:14">
      <c r="B7627" s="105"/>
      <c r="C7627" s="106"/>
      <c r="D7627" s="107"/>
      <c r="E7627" s="65"/>
      <c r="F7627" s="64"/>
      <c r="G7627" s="64"/>
      <c r="H7627" s="64"/>
      <c r="I7627" s="70"/>
      <c r="J7627" s="70"/>
      <c r="K7627" s="110" t="str">
        <f>IF(H7627="","",IF($C$29="간이법","",FPR(H7627,I7627,J7627)))</f>
        <v/>
      </c>
      <c r="L7627" s="111" t="str">
        <f>IF(H7627="","",IF($C$29="상세법",FPV(H7627,K7627),IF(H7627="EI",4,IF(H7627="EO",5.2,IF(H7627="EQ",3.9,IF(H7627="ILF",7.5,IF(H7627="EIF",5.4)))))))</f>
        <v/>
      </c>
      <c r="M7627" s="112" t="str">
        <f t="shared" si="122"/>
        <v/>
      </c>
      <c r="N7627" s="113"/>
    </row>
    <row r="7628" spans="2:14">
      <c r="B7628" s="105"/>
      <c r="C7628" s="106"/>
      <c r="D7628" s="107"/>
      <c r="E7628" s="65"/>
      <c r="F7628" s="64"/>
      <c r="G7628" s="64"/>
      <c r="H7628" s="64"/>
      <c r="I7628" s="70"/>
      <c r="J7628" s="70"/>
      <c r="K7628" s="110" t="str">
        <f>IF(H7628="","",IF($C$29="간이법","",FPR(H7628,I7628,J7628)))</f>
        <v/>
      </c>
      <c r="L7628" s="111" t="str">
        <f>IF(H7628="","",IF($C$29="상세법",FPV(H7628,K7628),IF(H7628="EI",4,IF(H7628="EO",5.2,IF(H7628="EQ",3.9,IF(H7628="ILF",7.5,IF(H7628="EIF",5.4)))))))</f>
        <v/>
      </c>
      <c r="M7628" s="112" t="str">
        <f t="shared" si="122"/>
        <v/>
      </c>
      <c r="N7628" s="113"/>
    </row>
    <row r="7629" spans="2:14">
      <c r="B7629" s="105"/>
      <c r="C7629" s="106"/>
      <c r="D7629" s="107"/>
      <c r="E7629" s="65"/>
      <c r="F7629" s="64"/>
      <c r="G7629" s="64"/>
      <c r="H7629" s="64"/>
      <c r="I7629" s="70"/>
      <c r="J7629" s="70"/>
      <c r="K7629" s="110" t="str">
        <f>IF(H7629="","",IF($C$29="간이법","",FPR(H7629,I7629,J7629)))</f>
        <v/>
      </c>
      <c r="L7629" s="111" t="str">
        <f>IF(H7629="","",IF($C$29="상세법",FPV(H7629,K7629),IF(H7629="EI",4,IF(H7629="EO",5.2,IF(H7629="EQ",3.9,IF(H7629="ILF",7.5,IF(H7629="EIF",5.4)))))))</f>
        <v/>
      </c>
      <c r="M7629" s="112" t="str">
        <f t="shared" si="122"/>
        <v/>
      </c>
      <c r="N7629" s="113"/>
    </row>
    <row r="7630" spans="2:14">
      <c r="B7630" s="105"/>
      <c r="C7630" s="106"/>
      <c r="D7630" s="107"/>
      <c r="E7630" s="65"/>
      <c r="F7630" s="64"/>
      <c r="G7630" s="64"/>
      <c r="H7630" s="64"/>
      <c r="I7630" s="70"/>
      <c r="J7630" s="70"/>
      <c r="K7630" s="110" t="str">
        <f>IF(H7630="","",IF($C$29="간이법","",FPR(H7630,I7630,J7630)))</f>
        <v/>
      </c>
      <c r="L7630" s="111" t="str">
        <f>IF(H7630="","",IF($C$29="상세법",FPV(H7630,K7630),IF(H7630="EI",4,IF(H7630="EO",5.2,IF(H7630="EQ",3.9,IF(H7630="ILF",7.5,IF(H7630="EIF",5.4)))))))</f>
        <v/>
      </c>
      <c r="M7630" s="112" t="str">
        <f t="shared" si="122"/>
        <v/>
      </c>
      <c r="N7630" s="113"/>
    </row>
    <row r="7631" spans="2:14">
      <c r="B7631" s="105"/>
      <c r="C7631" s="106"/>
      <c r="D7631" s="107"/>
      <c r="E7631" s="65"/>
      <c r="F7631" s="64"/>
      <c r="G7631" s="64"/>
      <c r="H7631" s="64"/>
      <c r="I7631" s="70"/>
      <c r="J7631" s="70"/>
      <c r="K7631" s="110" t="str">
        <f>IF(H7631="","",IF($C$29="간이법","",FPR(H7631,I7631,J7631)))</f>
        <v/>
      </c>
      <c r="L7631" s="111" t="str">
        <f>IF(H7631="","",IF($C$29="상세법",FPV(H7631,K7631),IF(H7631="EI",4,IF(H7631="EO",5.2,IF(H7631="EQ",3.9,IF(H7631="ILF",7.5,IF(H7631="EIF",5.4)))))))</f>
        <v/>
      </c>
      <c r="M7631" s="112" t="str">
        <f t="shared" si="122"/>
        <v/>
      </c>
      <c r="N7631" s="113"/>
    </row>
    <row r="7632" spans="2:14">
      <c r="B7632" s="105"/>
      <c r="C7632" s="106"/>
      <c r="D7632" s="107"/>
      <c r="E7632" s="65"/>
      <c r="F7632" s="64"/>
      <c r="G7632" s="64"/>
      <c r="H7632" s="64"/>
      <c r="I7632" s="70"/>
      <c r="J7632" s="70"/>
      <c r="K7632" s="110" t="str">
        <f>IF(H7632="","",IF($C$29="간이법","",FPR(H7632,I7632,J7632)))</f>
        <v/>
      </c>
      <c r="L7632" s="111" t="str">
        <f>IF(H7632="","",IF($C$29="상세법",FPV(H7632,K7632),IF(H7632="EI",4,IF(H7632="EO",5.2,IF(H7632="EQ",3.9,IF(H7632="ILF",7.5,IF(H7632="EIF",5.4)))))))</f>
        <v/>
      </c>
      <c r="M7632" s="112" t="str">
        <f t="shared" si="122"/>
        <v/>
      </c>
      <c r="N7632" s="113"/>
    </row>
    <row r="7633" spans="2:14">
      <c r="B7633" s="105"/>
      <c r="C7633" s="106"/>
      <c r="D7633" s="107"/>
      <c r="E7633" s="65"/>
      <c r="F7633" s="64"/>
      <c r="G7633" s="64"/>
      <c r="H7633" s="64"/>
      <c r="I7633" s="70"/>
      <c r="J7633" s="70"/>
      <c r="K7633" s="110" t="str">
        <f>IF(H7633="","",IF($C$29="간이법","",FPR(H7633,I7633,J7633)))</f>
        <v/>
      </c>
      <c r="L7633" s="111" t="str">
        <f>IF(H7633="","",IF($C$29="상세법",FPV(H7633,K7633),IF(H7633="EI",4,IF(H7633="EO",5.2,IF(H7633="EQ",3.9,IF(H7633="ILF",7.5,IF(H7633="EIF",5.4)))))))</f>
        <v/>
      </c>
      <c r="M7633" s="112" t="str">
        <f t="shared" si="122"/>
        <v/>
      </c>
      <c r="N7633" s="113"/>
    </row>
    <row r="7634" spans="2:14">
      <c r="B7634" s="105"/>
      <c r="C7634" s="106"/>
      <c r="D7634" s="107"/>
      <c r="E7634" s="65"/>
      <c r="F7634" s="64"/>
      <c r="G7634" s="64"/>
      <c r="H7634" s="64"/>
      <c r="I7634" s="70"/>
      <c r="J7634" s="70"/>
      <c r="K7634" s="110" t="str">
        <f>IF(H7634="","",IF($C$29="간이법","",FPR(H7634,I7634,J7634)))</f>
        <v/>
      </c>
      <c r="L7634" s="111" t="str">
        <f>IF(H7634="","",IF($C$29="상세법",FPV(H7634,K7634),IF(H7634="EI",4,IF(H7634="EO",5.2,IF(H7634="EQ",3.9,IF(H7634="ILF",7.5,IF(H7634="EIF",5.4)))))))</f>
        <v/>
      </c>
      <c r="M7634" s="112" t="str">
        <f t="shared" si="122"/>
        <v/>
      </c>
      <c r="N7634" s="113"/>
    </row>
    <row r="7635" spans="2:14">
      <c r="B7635" s="105"/>
      <c r="C7635" s="106"/>
      <c r="D7635" s="107"/>
      <c r="E7635" s="65"/>
      <c r="F7635" s="64"/>
      <c r="G7635" s="64"/>
      <c r="H7635" s="64"/>
      <c r="I7635" s="70"/>
      <c r="J7635" s="70"/>
      <c r="K7635" s="110" t="str">
        <f>IF(H7635="","",IF($C$29="간이법","",FPR(H7635,I7635,J7635)))</f>
        <v/>
      </c>
      <c r="L7635" s="111" t="str">
        <f>IF(H7635="","",IF($C$29="상세법",FPV(H7635,K7635),IF(H7635="EI",4,IF(H7635="EO",5.2,IF(H7635="EQ",3.9,IF(H7635="ILF",7.5,IF(H7635="EIF",5.4)))))))</f>
        <v/>
      </c>
      <c r="M7635" s="112" t="str">
        <f t="shared" si="122"/>
        <v/>
      </c>
      <c r="N7635" s="113"/>
    </row>
    <row r="7636" spans="2:14">
      <c r="B7636" s="105"/>
      <c r="C7636" s="106"/>
      <c r="D7636" s="107"/>
      <c r="E7636" s="65"/>
      <c r="F7636" s="64"/>
      <c r="G7636" s="64"/>
      <c r="H7636" s="64"/>
      <c r="I7636" s="70"/>
      <c r="J7636" s="70"/>
      <c r="K7636" s="110" t="str">
        <f>IF(H7636="","",IF($C$29="간이법","",FPR(H7636,I7636,J7636)))</f>
        <v/>
      </c>
      <c r="L7636" s="111" t="str">
        <f>IF(H7636="","",IF($C$29="상세법",FPV(H7636,K7636),IF(H7636="EI",4,IF(H7636="EO",5.2,IF(H7636="EQ",3.9,IF(H7636="ILF",7.5,IF(H7636="EIF",5.4)))))))</f>
        <v/>
      </c>
      <c r="M7636" s="112" t="str">
        <f t="shared" si="122"/>
        <v/>
      </c>
      <c r="N7636" s="113"/>
    </row>
    <row r="7637" spans="2:14">
      <c r="B7637" s="105"/>
      <c r="C7637" s="106"/>
      <c r="D7637" s="107"/>
      <c r="E7637" s="65"/>
      <c r="F7637" s="64"/>
      <c r="G7637" s="64"/>
      <c r="H7637" s="64"/>
      <c r="I7637" s="70"/>
      <c r="J7637" s="70"/>
      <c r="K7637" s="110" t="str">
        <f>IF(H7637="","",IF($C$29="간이법","",FPR(H7637,I7637,J7637)))</f>
        <v/>
      </c>
      <c r="L7637" s="111" t="str">
        <f>IF(H7637="","",IF($C$29="상세법",FPV(H7637,K7637),IF(H7637="EI",4,IF(H7637="EO",5.2,IF(H7637="EQ",3.9,IF(H7637="ILF",7.5,IF(H7637="EIF",5.4)))))))</f>
        <v/>
      </c>
      <c r="M7637" s="112" t="str">
        <f t="shared" si="122"/>
        <v/>
      </c>
      <c r="N7637" s="113"/>
    </row>
    <row r="7638" spans="2:14">
      <c r="B7638" s="105"/>
      <c r="C7638" s="106"/>
      <c r="D7638" s="107"/>
      <c r="E7638" s="65"/>
      <c r="F7638" s="64"/>
      <c r="G7638" s="64"/>
      <c r="H7638" s="64"/>
      <c r="I7638" s="70"/>
      <c r="J7638" s="70"/>
      <c r="K7638" s="110" t="str">
        <f>IF(H7638="","",IF($C$29="간이법","",FPR(H7638,I7638,J7638)))</f>
        <v/>
      </c>
      <c r="L7638" s="111" t="str">
        <f>IF(H7638="","",IF($C$29="상세법",FPV(H7638,K7638),IF(H7638="EI",4,IF(H7638="EO",5.2,IF(H7638="EQ",3.9,IF(H7638="ILF",7.5,IF(H7638="EIF",5.4)))))))</f>
        <v/>
      </c>
      <c r="M7638" s="112" t="str">
        <f t="shared" si="122"/>
        <v/>
      </c>
      <c r="N7638" s="113"/>
    </row>
    <row r="7639" spans="2:14">
      <c r="B7639" s="105"/>
      <c r="C7639" s="106"/>
      <c r="D7639" s="107"/>
      <c r="E7639" s="65"/>
      <c r="F7639" s="64"/>
      <c r="G7639" s="64"/>
      <c r="H7639" s="64"/>
      <c r="I7639" s="70"/>
      <c r="J7639" s="70"/>
      <c r="K7639" s="110" t="str">
        <f>IF(H7639="","",IF($C$29="간이법","",FPR(H7639,I7639,J7639)))</f>
        <v/>
      </c>
      <c r="L7639" s="111" t="str">
        <f>IF(H7639="","",IF($C$29="상세법",FPV(H7639,K7639),IF(H7639="EI",4,IF(H7639="EO",5.2,IF(H7639="EQ",3.9,IF(H7639="ILF",7.5,IF(H7639="EIF",5.4)))))))</f>
        <v/>
      </c>
      <c r="M7639" s="112" t="str">
        <f t="shared" si="122"/>
        <v/>
      </c>
      <c r="N7639" s="113"/>
    </row>
    <row r="7640" spans="2:14">
      <c r="B7640" s="105"/>
      <c r="C7640" s="106"/>
      <c r="D7640" s="107"/>
      <c r="E7640" s="65"/>
      <c r="F7640" s="64"/>
      <c r="G7640" s="64"/>
      <c r="H7640" s="64"/>
      <c r="I7640" s="70"/>
      <c r="J7640" s="70"/>
      <c r="K7640" s="110" t="str">
        <f>IF(H7640="","",IF($C$29="간이법","",FPR(H7640,I7640,J7640)))</f>
        <v/>
      </c>
      <c r="L7640" s="111" t="str">
        <f>IF(H7640="","",IF($C$29="상세법",FPV(H7640,K7640),IF(H7640="EI",4,IF(H7640="EO",5.2,IF(H7640="EQ",3.9,IF(H7640="ILF",7.5,IF(H7640="EIF",5.4)))))))</f>
        <v/>
      </c>
      <c r="M7640" s="112" t="str">
        <f t="shared" si="122"/>
        <v/>
      </c>
      <c r="N7640" s="113"/>
    </row>
    <row r="7641" spans="2:14">
      <c r="B7641" s="105"/>
      <c r="C7641" s="106"/>
      <c r="D7641" s="107"/>
      <c r="E7641" s="65"/>
      <c r="F7641" s="64"/>
      <c r="G7641" s="64"/>
      <c r="H7641" s="64"/>
      <c r="I7641" s="70"/>
      <c r="J7641" s="70"/>
      <c r="K7641" s="110" t="str">
        <f>IF(H7641="","",IF($C$29="간이법","",FPR(H7641,I7641,J7641)))</f>
        <v/>
      </c>
      <c r="L7641" s="111" t="str">
        <f>IF(H7641="","",IF($C$29="상세법",FPV(H7641,K7641),IF(H7641="EI",4,IF(H7641="EO",5.2,IF(H7641="EQ",3.9,IF(H7641="ILF",7.5,IF(H7641="EIF",5.4)))))))</f>
        <v/>
      </c>
      <c r="M7641" s="112" t="str">
        <f t="shared" si="122"/>
        <v/>
      </c>
      <c r="N7641" s="113"/>
    </row>
    <row r="7642" spans="2:14">
      <c r="B7642" s="105"/>
      <c r="C7642" s="106"/>
      <c r="D7642" s="107"/>
      <c r="E7642" s="65"/>
      <c r="F7642" s="64"/>
      <c r="G7642" s="64"/>
      <c r="H7642" s="64"/>
      <c r="I7642" s="70"/>
      <c r="J7642" s="70"/>
      <c r="K7642" s="110" t="str">
        <f>IF(H7642="","",IF($C$29="간이법","",FPR(H7642,I7642,J7642)))</f>
        <v/>
      </c>
      <c r="L7642" s="111" t="str">
        <f>IF(H7642="","",IF($C$29="상세법",FPV(H7642,K7642),IF(H7642="EI",4,IF(H7642="EO",5.2,IF(H7642="EQ",3.9,IF(H7642="ILF",7.5,IF(H7642="EIF",5.4)))))))</f>
        <v/>
      </c>
      <c r="M7642" s="112" t="str">
        <f t="shared" si="122"/>
        <v/>
      </c>
      <c r="N7642" s="113"/>
    </row>
    <row r="7643" spans="2:14">
      <c r="B7643" s="105"/>
      <c r="C7643" s="106"/>
      <c r="D7643" s="107"/>
      <c r="E7643" s="65"/>
      <c r="F7643" s="64"/>
      <c r="G7643" s="64"/>
      <c r="H7643" s="64"/>
      <c r="I7643" s="70"/>
      <c r="J7643" s="70"/>
      <c r="K7643" s="110" t="str">
        <f>IF(H7643="","",IF($C$29="간이법","",FPR(H7643,I7643,J7643)))</f>
        <v/>
      </c>
      <c r="L7643" s="111" t="str">
        <f>IF(H7643="","",IF($C$29="상세법",FPV(H7643,K7643),IF(H7643="EI",4,IF(H7643="EO",5.2,IF(H7643="EQ",3.9,IF(H7643="ILF",7.5,IF(H7643="EIF",5.4)))))))</f>
        <v/>
      </c>
      <c r="M7643" s="112" t="str">
        <f t="shared" si="122"/>
        <v/>
      </c>
      <c r="N7643" s="113"/>
    </row>
    <row r="7644" spans="2:14">
      <c r="B7644" s="105"/>
      <c r="C7644" s="106"/>
      <c r="D7644" s="107"/>
      <c r="E7644" s="65"/>
      <c r="F7644" s="64"/>
      <c r="G7644" s="64"/>
      <c r="H7644" s="64"/>
      <c r="I7644" s="70"/>
      <c r="J7644" s="70"/>
      <c r="K7644" s="110" t="str">
        <f>IF(H7644="","",IF($C$29="간이법","",FPR(H7644,I7644,J7644)))</f>
        <v/>
      </c>
      <c r="L7644" s="111" t="str">
        <f>IF(H7644="","",IF($C$29="상세법",FPV(H7644,K7644),IF(H7644="EI",4,IF(H7644="EO",5.2,IF(H7644="EQ",3.9,IF(H7644="ILF",7.5,IF(H7644="EIF",5.4)))))))</f>
        <v/>
      </c>
      <c r="M7644" s="112" t="str">
        <f t="shared" si="122"/>
        <v/>
      </c>
      <c r="N7644" s="113"/>
    </row>
    <row r="7645" spans="2:14">
      <c r="B7645" s="105"/>
      <c r="C7645" s="106"/>
      <c r="D7645" s="107"/>
      <c r="E7645" s="65"/>
      <c r="F7645" s="64"/>
      <c r="G7645" s="64"/>
      <c r="H7645" s="64"/>
      <c r="I7645" s="70"/>
      <c r="J7645" s="70"/>
      <c r="K7645" s="110" t="str">
        <f>IF(H7645="","",IF($C$29="간이법","",FPR(H7645,I7645,J7645)))</f>
        <v/>
      </c>
      <c r="L7645" s="111" t="str">
        <f>IF(H7645="","",IF($C$29="상세법",FPV(H7645,K7645),IF(H7645="EI",4,IF(H7645="EO",5.2,IF(H7645="EQ",3.9,IF(H7645="ILF",7.5,IF(H7645="EIF",5.4)))))))</f>
        <v/>
      </c>
      <c r="M7645" s="112" t="str">
        <f t="shared" si="122"/>
        <v/>
      </c>
      <c r="N7645" s="113"/>
    </row>
    <row r="7646" spans="2:14">
      <c r="B7646" s="105"/>
      <c r="C7646" s="106"/>
      <c r="D7646" s="107"/>
      <c r="E7646" s="65"/>
      <c r="F7646" s="64"/>
      <c r="G7646" s="64"/>
      <c r="H7646" s="64"/>
      <c r="I7646" s="70"/>
      <c r="J7646" s="70"/>
      <c r="K7646" s="110" t="str">
        <f>IF(H7646="","",IF($C$29="간이법","",FPR(H7646,I7646,J7646)))</f>
        <v/>
      </c>
      <c r="L7646" s="111" t="str">
        <f>IF(H7646="","",IF($C$29="상세법",FPV(H7646,K7646),IF(H7646="EI",4,IF(H7646="EO",5.2,IF(H7646="EQ",3.9,IF(H7646="ILF",7.5,IF(H7646="EIF",5.4)))))))</f>
        <v/>
      </c>
      <c r="M7646" s="112" t="str">
        <f t="shared" si="122"/>
        <v/>
      </c>
      <c r="N7646" s="113"/>
    </row>
    <row r="7647" spans="2:14">
      <c r="B7647" s="105"/>
      <c r="C7647" s="106"/>
      <c r="D7647" s="107"/>
      <c r="E7647" s="65"/>
      <c r="F7647" s="64"/>
      <c r="G7647" s="64"/>
      <c r="H7647" s="64"/>
      <c r="I7647" s="70"/>
      <c r="J7647" s="70"/>
      <c r="K7647" s="110" t="str">
        <f>IF(H7647="","",IF($C$29="간이법","",FPR(H7647,I7647,J7647)))</f>
        <v/>
      </c>
      <c r="L7647" s="111" t="str">
        <f>IF(H7647="","",IF($C$29="상세법",FPV(H7647,K7647),IF(H7647="EI",4,IF(H7647="EO",5.2,IF(H7647="EQ",3.9,IF(H7647="ILF",7.5,IF(H7647="EIF",5.4)))))))</f>
        <v/>
      </c>
      <c r="M7647" s="112" t="str">
        <f t="shared" si="122"/>
        <v/>
      </c>
      <c r="N7647" s="113"/>
    </row>
    <row r="7648" spans="2:14">
      <c r="B7648" s="105"/>
      <c r="C7648" s="106"/>
      <c r="D7648" s="107"/>
      <c r="E7648" s="65"/>
      <c r="F7648" s="64"/>
      <c r="G7648" s="64"/>
      <c r="H7648" s="64"/>
      <c r="I7648" s="70"/>
      <c r="J7648" s="70"/>
      <c r="K7648" s="110" t="str">
        <f>IF(H7648="","",IF($C$29="간이법","",FPR(H7648,I7648,J7648)))</f>
        <v/>
      </c>
      <c r="L7648" s="111" t="str">
        <f>IF(H7648="","",IF($C$29="상세법",FPV(H7648,K7648),IF(H7648="EI",4,IF(H7648="EO",5.2,IF(H7648="EQ",3.9,IF(H7648="ILF",7.5,IF(H7648="EIF",5.4)))))))</f>
        <v/>
      </c>
      <c r="M7648" s="112" t="str">
        <f t="shared" si="122"/>
        <v/>
      </c>
      <c r="N7648" s="113"/>
    </row>
    <row r="7649" spans="2:14">
      <c r="B7649" s="105"/>
      <c r="C7649" s="106"/>
      <c r="D7649" s="107"/>
      <c r="E7649" s="65"/>
      <c r="F7649" s="64"/>
      <c r="G7649" s="64"/>
      <c r="H7649" s="64"/>
      <c r="I7649" s="70"/>
      <c r="J7649" s="70"/>
      <c r="K7649" s="110" t="str">
        <f>IF(H7649="","",IF($C$29="간이법","",FPR(H7649,I7649,J7649)))</f>
        <v/>
      </c>
      <c r="L7649" s="111" t="str">
        <f>IF(H7649="","",IF($C$29="상세법",FPV(H7649,K7649),IF(H7649="EI",4,IF(H7649="EO",5.2,IF(H7649="EQ",3.9,IF(H7649="ILF",7.5,IF(H7649="EIF",5.4)))))))</f>
        <v/>
      </c>
      <c r="M7649" s="112" t="str">
        <f t="shared" si="122"/>
        <v/>
      </c>
      <c r="N7649" s="113"/>
    </row>
    <row r="7650" spans="2:14">
      <c r="B7650" s="105"/>
      <c r="C7650" s="106"/>
      <c r="D7650" s="107"/>
      <c r="E7650" s="65"/>
      <c r="F7650" s="64"/>
      <c r="G7650" s="64"/>
      <c r="H7650" s="64"/>
      <c r="I7650" s="70"/>
      <c r="J7650" s="70"/>
      <c r="K7650" s="110" t="str">
        <f>IF(H7650="","",IF($C$29="간이법","",FPR(H7650,I7650,J7650)))</f>
        <v/>
      </c>
      <c r="L7650" s="111" t="str">
        <f>IF(H7650="","",IF($C$29="상세법",FPV(H7650,K7650),IF(H7650="EI",4,IF(H7650="EO",5.2,IF(H7650="EQ",3.9,IF(H7650="ILF",7.5,IF(H7650="EIF",5.4)))))))</f>
        <v/>
      </c>
      <c r="M7650" s="112" t="str">
        <f t="shared" si="122"/>
        <v/>
      </c>
      <c r="N7650" s="113"/>
    </row>
    <row r="7651" spans="2:14">
      <c r="B7651" s="105"/>
      <c r="C7651" s="106"/>
      <c r="D7651" s="107"/>
      <c r="E7651" s="65"/>
      <c r="F7651" s="64"/>
      <c r="G7651" s="64"/>
      <c r="H7651" s="64"/>
      <c r="I7651" s="70"/>
      <c r="J7651" s="70"/>
      <c r="K7651" s="110" t="str">
        <f>IF(H7651="","",IF($C$29="간이법","",FPR(H7651,I7651,J7651)))</f>
        <v/>
      </c>
      <c r="L7651" s="111" t="str">
        <f>IF(H7651="","",IF($C$29="상세법",FPV(H7651,K7651),IF(H7651="EI",4,IF(H7651="EO",5.2,IF(H7651="EQ",3.9,IF(H7651="ILF",7.5,IF(H7651="EIF",5.4)))))))</f>
        <v/>
      </c>
      <c r="M7651" s="112" t="str">
        <f t="shared" si="122"/>
        <v/>
      </c>
      <c r="N7651" s="113"/>
    </row>
    <row r="7652" spans="2:14">
      <c r="B7652" s="105"/>
      <c r="C7652" s="106"/>
      <c r="D7652" s="107"/>
      <c r="E7652" s="65"/>
      <c r="F7652" s="64"/>
      <c r="G7652" s="64"/>
      <c r="H7652" s="64"/>
      <c r="I7652" s="70"/>
      <c r="J7652" s="70"/>
      <c r="K7652" s="110" t="str">
        <f>IF(H7652="","",IF($C$29="간이법","",FPR(H7652,I7652,J7652)))</f>
        <v/>
      </c>
      <c r="L7652" s="111" t="str">
        <f>IF(H7652="","",IF($C$29="상세법",FPV(H7652,K7652),IF(H7652="EI",4,IF(H7652="EO",5.2,IF(H7652="EQ",3.9,IF(H7652="ILF",7.5,IF(H7652="EIF",5.4)))))))</f>
        <v/>
      </c>
      <c r="M7652" s="112" t="str">
        <f t="shared" si="122"/>
        <v/>
      </c>
      <c r="N7652" s="113"/>
    </row>
    <row r="7653" spans="2:14">
      <c r="B7653" s="105"/>
      <c r="C7653" s="106"/>
      <c r="D7653" s="107"/>
      <c r="E7653" s="65"/>
      <c r="F7653" s="64"/>
      <c r="G7653" s="64"/>
      <c r="H7653" s="64"/>
      <c r="I7653" s="70"/>
      <c r="J7653" s="70"/>
      <c r="K7653" s="110" t="str">
        <f>IF(H7653="","",IF($C$29="간이법","",FPR(H7653,I7653,J7653)))</f>
        <v/>
      </c>
      <c r="L7653" s="111" t="str">
        <f>IF(H7653="","",IF($C$29="상세법",FPV(H7653,K7653),IF(H7653="EI",4,IF(H7653="EO",5.2,IF(H7653="EQ",3.9,IF(H7653="ILF",7.5,IF(H7653="EIF",5.4)))))))</f>
        <v/>
      </c>
      <c r="M7653" s="112" t="str">
        <f t="shared" si="122"/>
        <v/>
      </c>
      <c r="N7653" s="113"/>
    </row>
    <row r="7654" spans="2:14">
      <c r="B7654" s="105"/>
      <c r="C7654" s="106"/>
      <c r="D7654" s="107"/>
      <c r="E7654" s="65"/>
      <c r="F7654" s="64"/>
      <c r="G7654" s="64"/>
      <c r="H7654" s="64"/>
      <c r="I7654" s="70"/>
      <c r="J7654" s="70"/>
      <c r="K7654" s="110" t="str">
        <f>IF(H7654="","",IF($C$29="간이법","",FPR(H7654,I7654,J7654)))</f>
        <v/>
      </c>
      <c r="L7654" s="111" t="str">
        <f>IF(H7654="","",IF($C$29="상세법",FPV(H7654,K7654),IF(H7654="EI",4,IF(H7654="EO",5.2,IF(H7654="EQ",3.9,IF(H7654="ILF",7.5,IF(H7654="EIF",5.4)))))))</f>
        <v/>
      </c>
      <c r="M7654" s="112" t="str">
        <f t="shared" si="122"/>
        <v/>
      </c>
      <c r="N7654" s="113"/>
    </row>
    <row r="7655" spans="2:14">
      <c r="B7655" s="105"/>
      <c r="C7655" s="106"/>
      <c r="D7655" s="107"/>
      <c r="E7655" s="65"/>
      <c r="F7655" s="64"/>
      <c r="G7655" s="64"/>
      <c r="H7655" s="64"/>
      <c r="I7655" s="70"/>
      <c r="J7655" s="70"/>
      <c r="K7655" s="110" t="str">
        <f>IF(H7655="","",IF($C$29="간이법","",FPR(H7655,I7655,J7655)))</f>
        <v/>
      </c>
      <c r="L7655" s="111" t="str">
        <f>IF(H7655="","",IF($C$29="상세법",FPV(H7655,K7655),IF(H7655="EI",4,IF(H7655="EO",5.2,IF(H7655="EQ",3.9,IF(H7655="ILF",7.5,IF(H7655="EIF",5.4)))))))</f>
        <v/>
      </c>
      <c r="M7655" s="112" t="str">
        <f t="shared" si="122"/>
        <v/>
      </c>
      <c r="N7655" s="113"/>
    </row>
    <row r="7656" spans="2:14">
      <c r="B7656" s="105"/>
      <c r="C7656" s="106"/>
      <c r="D7656" s="107"/>
      <c r="E7656" s="65"/>
      <c r="F7656" s="64"/>
      <c r="G7656" s="64"/>
      <c r="H7656" s="64"/>
      <c r="I7656" s="70"/>
      <c r="J7656" s="70"/>
      <c r="K7656" s="110" t="str">
        <f>IF(H7656="","",IF($C$29="간이법","",FPR(H7656,I7656,J7656)))</f>
        <v/>
      </c>
      <c r="L7656" s="111" t="str">
        <f>IF(H7656="","",IF($C$29="상세법",FPV(H7656,K7656),IF(H7656="EI",4,IF(H7656="EO",5.2,IF(H7656="EQ",3.9,IF(H7656="ILF",7.5,IF(H7656="EIF",5.4)))))))</f>
        <v/>
      </c>
      <c r="M7656" s="112" t="str">
        <f t="shared" si="122"/>
        <v/>
      </c>
      <c r="N7656" s="113"/>
    </row>
    <row r="7657" spans="2:14">
      <c r="B7657" s="105"/>
      <c r="C7657" s="106"/>
      <c r="D7657" s="107"/>
      <c r="E7657" s="65"/>
      <c r="F7657" s="64"/>
      <c r="G7657" s="64"/>
      <c r="H7657" s="64"/>
      <c r="I7657" s="70"/>
      <c r="J7657" s="70"/>
      <c r="K7657" s="110" t="str">
        <f>IF(H7657="","",IF($C$29="간이법","",FPR(H7657,I7657,J7657)))</f>
        <v/>
      </c>
      <c r="L7657" s="111" t="str">
        <f>IF(H7657="","",IF($C$29="상세법",FPV(H7657,K7657),IF(H7657="EI",4,IF(H7657="EO",5.2,IF(H7657="EQ",3.9,IF(H7657="ILF",7.5,IF(H7657="EIF",5.4)))))))</f>
        <v/>
      </c>
      <c r="M7657" s="112" t="str">
        <f t="shared" si="122"/>
        <v/>
      </c>
      <c r="N7657" s="113"/>
    </row>
    <row r="7658" spans="2:14">
      <c r="B7658" s="105"/>
      <c r="C7658" s="106"/>
      <c r="D7658" s="107"/>
      <c r="E7658" s="65"/>
      <c r="F7658" s="64"/>
      <c r="G7658" s="64"/>
      <c r="H7658" s="64"/>
      <c r="I7658" s="70"/>
      <c r="J7658" s="70"/>
      <c r="K7658" s="110" t="str">
        <f>IF(H7658="","",IF($C$29="간이법","",FPR(H7658,I7658,J7658)))</f>
        <v/>
      </c>
      <c r="L7658" s="111" t="str">
        <f>IF(H7658="","",IF($C$29="상세법",FPV(H7658,K7658),IF(H7658="EI",4,IF(H7658="EO",5.2,IF(H7658="EQ",3.9,IF(H7658="ILF",7.5,IF(H7658="EIF",5.4)))))))</f>
        <v/>
      </c>
      <c r="M7658" s="112" t="str">
        <f t="shared" si="122"/>
        <v/>
      </c>
      <c r="N7658" s="113"/>
    </row>
    <row r="7659" spans="2:14">
      <c r="B7659" s="105"/>
      <c r="C7659" s="106"/>
      <c r="D7659" s="107"/>
      <c r="E7659" s="65"/>
      <c r="F7659" s="64"/>
      <c r="G7659" s="64"/>
      <c r="H7659" s="64"/>
      <c r="I7659" s="70"/>
      <c r="J7659" s="70"/>
      <c r="K7659" s="110" t="str">
        <f>IF(H7659="","",IF($C$29="간이법","",FPR(H7659,I7659,J7659)))</f>
        <v/>
      </c>
      <c r="L7659" s="111" t="str">
        <f>IF(H7659="","",IF($C$29="상세법",FPV(H7659,K7659),IF(H7659="EI",4,IF(H7659="EO",5.2,IF(H7659="EQ",3.9,IF(H7659="ILF",7.5,IF(H7659="EIF",5.4)))))))</f>
        <v/>
      </c>
      <c r="M7659" s="112" t="str">
        <f t="shared" si="122"/>
        <v/>
      </c>
      <c r="N7659" s="113"/>
    </row>
    <row r="7660" spans="2:14">
      <c r="B7660" s="105"/>
      <c r="C7660" s="106"/>
      <c r="D7660" s="107"/>
      <c r="E7660" s="65"/>
      <c r="F7660" s="64"/>
      <c r="G7660" s="64"/>
      <c r="H7660" s="64"/>
      <c r="I7660" s="70"/>
      <c r="J7660" s="70"/>
      <c r="K7660" s="110" t="str">
        <f>IF(H7660="","",IF($C$29="간이법","",FPR(H7660,I7660,J7660)))</f>
        <v/>
      </c>
      <c r="L7660" s="111" t="str">
        <f>IF(H7660="","",IF($C$29="상세법",FPV(H7660,K7660),IF(H7660="EI",4,IF(H7660="EO",5.2,IF(H7660="EQ",3.9,IF(H7660="ILF",7.5,IF(H7660="EIF",5.4)))))))</f>
        <v/>
      </c>
      <c r="M7660" s="112" t="str">
        <f t="shared" si="122"/>
        <v/>
      </c>
      <c r="N7660" s="113"/>
    </row>
    <row r="7661" spans="2:14">
      <c r="B7661" s="105"/>
      <c r="C7661" s="106"/>
      <c r="D7661" s="107"/>
      <c r="E7661" s="65"/>
      <c r="F7661" s="64"/>
      <c r="G7661" s="64"/>
      <c r="H7661" s="64"/>
      <c r="I7661" s="70"/>
      <c r="J7661" s="70"/>
      <c r="K7661" s="110" t="str">
        <f>IF(H7661="","",IF($C$29="간이법","",FPR(H7661,I7661,J7661)))</f>
        <v/>
      </c>
      <c r="L7661" s="111" t="str">
        <f>IF(H7661="","",IF($C$29="상세법",FPV(H7661,K7661),IF(H7661="EI",4,IF(H7661="EO",5.2,IF(H7661="EQ",3.9,IF(H7661="ILF",7.5,IF(H7661="EIF",5.4)))))))</f>
        <v/>
      </c>
      <c r="M7661" s="112" t="str">
        <f t="shared" si="122"/>
        <v/>
      </c>
      <c r="N7661" s="113"/>
    </row>
    <row r="7662" spans="2:14">
      <c r="B7662" s="105"/>
      <c r="C7662" s="106"/>
      <c r="D7662" s="107"/>
      <c r="E7662" s="65"/>
      <c r="F7662" s="64"/>
      <c r="G7662" s="64"/>
      <c r="H7662" s="64"/>
      <c r="I7662" s="70"/>
      <c r="J7662" s="70"/>
      <c r="K7662" s="110" t="str">
        <f>IF(H7662="","",IF($C$29="간이법","",FPR(H7662,I7662,J7662)))</f>
        <v/>
      </c>
      <c r="L7662" s="111" t="str">
        <f>IF(H7662="","",IF($C$29="상세법",FPV(H7662,K7662),IF(H7662="EI",4,IF(H7662="EO",5.2,IF(H7662="EQ",3.9,IF(H7662="ILF",7.5,IF(H7662="EIF",5.4)))))))</f>
        <v/>
      </c>
      <c r="M7662" s="112" t="str">
        <f t="shared" si="122"/>
        <v/>
      </c>
      <c r="N7662" s="113"/>
    </row>
    <row r="7663" spans="2:14">
      <c r="B7663" s="105"/>
      <c r="C7663" s="106"/>
      <c r="D7663" s="107"/>
      <c r="E7663" s="65"/>
      <c r="F7663" s="64"/>
      <c r="G7663" s="64"/>
      <c r="H7663" s="64"/>
      <c r="I7663" s="70"/>
      <c r="J7663" s="70"/>
      <c r="K7663" s="110" t="str">
        <f>IF(H7663="","",IF($C$29="간이법","",FPR(H7663,I7663,J7663)))</f>
        <v/>
      </c>
      <c r="L7663" s="111" t="str">
        <f>IF(H7663="","",IF($C$29="상세법",FPV(H7663,K7663),IF(H7663="EI",4,IF(H7663="EO",5.2,IF(H7663="EQ",3.9,IF(H7663="ILF",7.5,IF(H7663="EIF",5.4)))))))</f>
        <v/>
      </c>
      <c r="M7663" s="112" t="str">
        <f t="shared" si="122"/>
        <v/>
      </c>
      <c r="N7663" s="113"/>
    </row>
    <row r="7664" spans="2:14">
      <c r="B7664" s="105"/>
      <c r="C7664" s="106"/>
      <c r="D7664" s="107"/>
      <c r="E7664" s="65"/>
      <c r="F7664" s="64"/>
      <c r="G7664" s="64"/>
      <c r="H7664" s="64"/>
      <c r="I7664" s="70"/>
      <c r="J7664" s="70"/>
      <c r="K7664" s="110" t="str">
        <f>IF(H7664="","",IF($C$29="간이법","",FPR(H7664,I7664,J7664)))</f>
        <v/>
      </c>
      <c r="L7664" s="111" t="str">
        <f>IF(H7664="","",IF($C$29="상세법",FPV(H7664,K7664),IF(H7664="EI",4,IF(H7664="EO",5.2,IF(H7664="EQ",3.9,IF(H7664="ILF",7.5,IF(H7664="EIF",5.4)))))))</f>
        <v/>
      </c>
      <c r="M7664" s="112" t="str">
        <f t="shared" si="122"/>
        <v/>
      </c>
      <c r="N7664" s="113"/>
    </row>
    <row r="7665" spans="2:14">
      <c r="B7665" s="105"/>
      <c r="C7665" s="106"/>
      <c r="D7665" s="107"/>
      <c r="E7665" s="65"/>
      <c r="F7665" s="64"/>
      <c r="G7665" s="64"/>
      <c r="H7665" s="64"/>
      <c r="I7665" s="70"/>
      <c r="J7665" s="70"/>
      <c r="K7665" s="110" t="str">
        <f>IF(H7665="","",IF($C$29="간이법","",FPR(H7665,I7665,J7665)))</f>
        <v/>
      </c>
      <c r="L7665" s="111" t="str">
        <f>IF(H7665="","",IF($C$29="상세법",FPV(H7665,K7665),IF(H7665="EI",4,IF(H7665="EO",5.2,IF(H7665="EQ",3.9,IF(H7665="ILF",7.5,IF(H7665="EIF",5.4)))))))</f>
        <v/>
      </c>
      <c r="M7665" s="112" t="str">
        <f t="shared" si="122"/>
        <v/>
      </c>
      <c r="N7665" s="113"/>
    </row>
    <row r="7666" spans="2:14">
      <c r="B7666" s="105"/>
      <c r="C7666" s="106"/>
      <c r="D7666" s="107"/>
      <c r="E7666" s="65"/>
      <c r="F7666" s="64"/>
      <c r="G7666" s="64"/>
      <c r="H7666" s="64"/>
      <c r="I7666" s="70"/>
      <c r="J7666" s="70"/>
      <c r="K7666" s="110" t="str">
        <f>IF(H7666="","",IF($C$29="간이법","",FPR(H7666,I7666,J7666)))</f>
        <v/>
      </c>
      <c r="L7666" s="111" t="str">
        <f>IF(H7666="","",IF($C$29="상세법",FPV(H7666,K7666),IF(H7666="EI",4,IF(H7666="EO",5.2,IF(H7666="EQ",3.9,IF(H7666="ILF",7.5,IF(H7666="EIF",5.4)))))))</f>
        <v/>
      </c>
      <c r="M7666" s="112" t="str">
        <f t="shared" si="122"/>
        <v/>
      </c>
      <c r="N7666" s="113"/>
    </row>
    <row r="7667" spans="2:14">
      <c r="B7667" s="105"/>
      <c r="C7667" s="106"/>
      <c r="D7667" s="107"/>
      <c r="E7667" s="65"/>
      <c r="F7667" s="64"/>
      <c r="G7667" s="64"/>
      <c r="H7667" s="64"/>
      <c r="I7667" s="70"/>
      <c r="J7667" s="70"/>
      <c r="K7667" s="110" t="str">
        <f>IF(H7667="","",IF($C$29="간이법","",FPR(H7667,I7667,J7667)))</f>
        <v/>
      </c>
      <c r="L7667" s="111" t="str">
        <f>IF(H7667="","",IF($C$29="상세법",FPV(H7667,K7667),IF(H7667="EI",4,IF(H7667="EO",5.2,IF(H7667="EQ",3.9,IF(H7667="ILF",7.5,IF(H7667="EIF",5.4)))))))</f>
        <v/>
      </c>
      <c r="M7667" s="112" t="str">
        <f t="shared" si="122"/>
        <v/>
      </c>
      <c r="N7667" s="113"/>
    </row>
    <row r="7668" spans="2:14">
      <c r="B7668" s="105"/>
      <c r="C7668" s="106"/>
      <c r="D7668" s="107"/>
      <c r="E7668" s="65"/>
      <c r="F7668" s="64"/>
      <c r="G7668" s="64"/>
      <c r="H7668" s="64"/>
      <c r="I7668" s="70"/>
      <c r="J7668" s="70"/>
      <c r="K7668" s="110" t="str">
        <f>IF(H7668="","",IF($C$29="간이법","",FPR(H7668,I7668,J7668)))</f>
        <v/>
      </c>
      <c r="L7668" s="111" t="str">
        <f>IF(H7668="","",IF($C$29="상세법",FPV(H7668,K7668),IF(H7668="EI",4,IF(H7668="EO",5.2,IF(H7668="EQ",3.9,IF(H7668="ILF",7.5,IF(H7668="EIF",5.4)))))))</f>
        <v/>
      </c>
      <c r="M7668" s="112" t="str">
        <f t="shared" si="122"/>
        <v/>
      </c>
      <c r="N7668" s="113"/>
    </row>
    <row r="7669" spans="2:14">
      <c r="B7669" s="105"/>
      <c r="C7669" s="106"/>
      <c r="D7669" s="107"/>
      <c r="E7669" s="65"/>
      <c r="F7669" s="64"/>
      <c r="G7669" s="64"/>
      <c r="H7669" s="64"/>
      <c r="I7669" s="70"/>
      <c r="J7669" s="70"/>
      <c r="K7669" s="110" t="str">
        <f>IF(H7669="","",IF($C$29="간이법","",FPR(H7669,I7669,J7669)))</f>
        <v/>
      </c>
      <c r="L7669" s="111" t="str">
        <f>IF(H7669="","",IF($C$29="상세법",FPV(H7669,K7669),IF(H7669="EI",4,IF(H7669="EO",5.2,IF(H7669="EQ",3.9,IF(H7669="ILF",7.5,IF(H7669="EIF",5.4)))))))</f>
        <v/>
      </c>
      <c r="M7669" s="112" t="str">
        <f t="shared" si="122"/>
        <v/>
      </c>
      <c r="N7669" s="113"/>
    </row>
    <row r="7670" spans="2:14">
      <c r="B7670" s="105"/>
      <c r="C7670" s="106"/>
      <c r="D7670" s="107"/>
      <c r="E7670" s="65"/>
      <c r="F7670" s="64"/>
      <c r="G7670" s="64"/>
      <c r="H7670" s="64"/>
      <c r="I7670" s="70"/>
      <c r="J7670" s="70"/>
      <c r="K7670" s="110" t="str">
        <f>IF(H7670="","",IF($C$29="간이법","",FPR(H7670,I7670,J7670)))</f>
        <v/>
      </c>
      <c r="L7670" s="111" t="str">
        <f>IF(H7670="","",IF($C$29="상세법",FPV(H7670,K7670),IF(H7670="EI",4,IF(H7670="EO",5.2,IF(H7670="EQ",3.9,IF(H7670="ILF",7.5,IF(H7670="EIF",5.4)))))))</f>
        <v/>
      </c>
      <c r="M7670" s="112" t="str">
        <f t="shared" si="122"/>
        <v/>
      </c>
      <c r="N7670" s="113"/>
    </row>
    <row r="7671" spans="2:14">
      <c r="B7671" s="105"/>
      <c r="C7671" s="106"/>
      <c r="D7671" s="107"/>
      <c r="E7671" s="65"/>
      <c r="F7671" s="64"/>
      <c r="G7671" s="64"/>
      <c r="H7671" s="64"/>
      <c r="I7671" s="70"/>
      <c r="J7671" s="70"/>
      <c r="K7671" s="110" t="str">
        <f>IF(H7671="","",IF($C$29="간이법","",FPR(H7671,I7671,J7671)))</f>
        <v/>
      </c>
      <c r="L7671" s="111" t="str">
        <f>IF(H7671="","",IF($C$29="상세법",FPV(H7671,K7671),IF(H7671="EI",4,IF(H7671="EO",5.2,IF(H7671="EQ",3.9,IF(H7671="ILF",7.5,IF(H7671="EIF",5.4)))))))</f>
        <v/>
      </c>
      <c r="M7671" s="112" t="str">
        <f t="shared" si="122"/>
        <v/>
      </c>
      <c r="N7671" s="113"/>
    </row>
    <row r="7672" spans="2:14">
      <c r="B7672" s="105"/>
      <c r="C7672" s="106"/>
      <c r="D7672" s="107"/>
      <c r="E7672" s="65"/>
      <c r="F7672" s="64"/>
      <c r="G7672" s="64"/>
      <c r="H7672" s="64"/>
      <c r="I7672" s="70"/>
      <c r="J7672" s="70"/>
      <c r="K7672" s="110" t="str">
        <f>IF(H7672="","",IF($C$29="간이법","",FPR(H7672,I7672,J7672)))</f>
        <v/>
      </c>
      <c r="L7672" s="111" t="str">
        <f>IF(H7672="","",IF($C$29="상세법",FPV(H7672,K7672),IF(H7672="EI",4,IF(H7672="EO",5.2,IF(H7672="EQ",3.9,IF(H7672="ILF",7.5,IF(H7672="EIF",5.4)))))))</f>
        <v/>
      </c>
      <c r="M7672" s="112" t="str">
        <f t="shared" si="122"/>
        <v/>
      </c>
      <c r="N7672" s="113"/>
    </row>
    <row r="7673" spans="2:14">
      <c r="B7673" s="105"/>
      <c r="C7673" s="106"/>
      <c r="D7673" s="107"/>
      <c r="E7673" s="65"/>
      <c r="F7673" s="64"/>
      <c r="G7673" s="64"/>
      <c r="H7673" s="64"/>
      <c r="I7673" s="70"/>
      <c r="J7673" s="70"/>
      <c r="K7673" s="110" t="str">
        <f>IF(H7673="","",IF($C$29="간이법","",FPR(H7673,I7673,J7673)))</f>
        <v/>
      </c>
      <c r="L7673" s="111" t="str">
        <f>IF(H7673="","",IF($C$29="상세법",FPV(H7673,K7673),IF(H7673="EI",4,IF(H7673="EO",5.2,IF(H7673="EQ",3.9,IF(H7673="ILF",7.5,IF(H7673="EIF",5.4)))))))</f>
        <v/>
      </c>
      <c r="M7673" s="112" t="str">
        <f t="shared" ref="M7673:M7736" si="123">IF(L7673="","",L7673*IF(G7673="상",0.7,IF(G7673="중",0.5,IF(G7673="하",0.2,1))))</f>
        <v/>
      </c>
      <c r="N7673" s="113"/>
    </row>
    <row r="7674" spans="2:14">
      <c r="B7674" s="105"/>
      <c r="C7674" s="106"/>
      <c r="D7674" s="107"/>
      <c r="E7674" s="65"/>
      <c r="F7674" s="64"/>
      <c r="G7674" s="64"/>
      <c r="H7674" s="64"/>
      <c r="I7674" s="70"/>
      <c r="J7674" s="70"/>
      <c r="K7674" s="110" t="str">
        <f>IF(H7674="","",IF($C$29="간이법","",FPR(H7674,I7674,J7674)))</f>
        <v/>
      </c>
      <c r="L7674" s="111" t="str">
        <f>IF(H7674="","",IF($C$29="상세법",FPV(H7674,K7674),IF(H7674="EI",4,IF(H7674="EO",5.2,IF(H7674="EQ",3.9,IF(H7674="ILF",7.5,IF(H7674="EIF",5.4)))))))</f>
        <v/>
      </c>
      <c r="M7674" s="112" t="str">
        <f t="shared" si="123"/>
        <v/>
      </c>
      <c r="N7674" s="113"/>
    </row>
    <row r="7675" spans="2:14">
      <c r="B7675" s="105"/>
      <c r="C7675" s="106"/>
      <c r="D7675" s="107"/>
      <c r="E7675" s="65"/>
      <c r="F7675" s="64"/>
      <c r="G7675" s="64"/>
      <c r="H7675" s="64"/>
      <c r="I7675" s="70"/>
      <c r="J7675" s="70"/>
      <c r="K7675" s="110" t="str">
        <f>IF(H7675="","",IF($C$29="간이법","",FPR(H7675,I7675,J7675)))</f>
        <v/>
      </c>
      <c r="L7675" s="111" t="str">
        <f>IF(H7675="","",IF($C$29="상세법",FPV(H7675,K7675),IF(H7675="EI",4,IF(H7675="EO",5.2,IF(H7675="EQ",3.9,IF(H7675="ILF",7.5,IF(H7675="EIF",5.4)))))))</f>
        <v/>
      </c>
      <c r="M7675" s="112" t="str">
        <f t="shared" si="123"/>
        <v/>
      </c>
      <c r="N7675" s="113"/>
    </row>
    <row r="7676" spans="2:14">
      <c r="B7676" s="105"/>
      <c r="C7676" s="106"/>
      <c r="D7676" s="107"/>
      <c r="E7676" s="65"/>
      <c r="F7676" s="64"/>
      <c r="G7676" s="64"/>
      <c r="H7676" s="64"/>
      <c r="I7676" s="70"/>
      <c r="J7676" s="70"/>
      <c r="K7676" s="110" t="str">
        <f>IF(H7676="","",IF($C$29="간이법","",FPR(H7676,I7676,J7676)))</f>
        <v/>
      </c>
      <c r="L7676" s="111" t="str">
        <f>IF(H7676="","",IF($C$29="상세법",FPV(H7676,K7676),IF(H7676="EI",4,IF(H7676="EO",5.2,IF(H7676="EQ",3.9,IF(H7676="ILF",7.5,IF(H7676="EIF",5.4)))))))</f>
        <v/>
      </c>
      <c r="M7676" s="112" t="str">
        <f t="shared" si="123"/>
        <v/>
      </c>
      <c r="N7676" s="113"/>
    </row>
    <row r="7677" spans="2:14">
      <c r="B7677" s="105"/>
      <c r="C7677" s="106"/>
      <c r="D7677" s="107"/>
      <c r="E7677" s="65"/>
      <c r="F7677" s="64"/>
      <c r="G7677" s="64"/>
      <c r="H7677" s="64"/>
      <c r="I7677" s="70"/>
      <c r="J7677" s="70"/>
      <c r="K7677" s="110" t="str">
        <f>IF(H7677="","",IF($C$29="간이법","",FPR(H7677,I7677,J7677)))</f>
        <v/>
      </c>
      <c r="L7677" s="111" t="str">
        <f>IF(H7677="","",IF($C$29="상세법",FPV(H7677,K7677),IF(H7677="EI",4,IF(H7677="EO",5.2,IF(H7677="EQ",3.9,IF(H7677="ILF",7.5,IF(H7677="EIF",5.4)))))))</f>
        <v/>
      </c>
      <c r="M7677" s="112" t="str">
        <f t="shared" si="123"/>
        <v/>
      </c>
      <c r="N7677" s="113"/>
    </row>
    <row r="7678" spans="2:14">
      <c r="B7678" s="105"/>
      <c r="C7678" s="106"/>
      <c r="D7678" s="107"/>
      <c r="E7678" s="65"/>
      <c r="F7678" s="64"/>
      <c r="G7678" s="64"/>
      <c r="H7678" s="64"/>
      <c r="I7678" s="70"/>
      <c r="J7678" s="70"/>
      <c r="K7678" s="110" t="str">
        <f>IF(H7678="","",IF($C$29="간이법","",FPR(H7678,I7678,J7678)))</f>
        <v/>
      </c>
      <c r="L7678" s="111" t="str">
        <f>IF(H7678="","",IF($C$29="상세법",FPV(H7678,K7678),IF(H7678="EI",4,IF(H7678="EO",5.2,IF(H7678="EQ",3.9,IF(H7678="ILF",7.5,IF(H7678="EIF",5.4)))))))</f>
        <v/>
      </c>
      <c r="M7678" s="112" t="str">
        <f t="shared" si="123"/>
        <v/>
      </c>
      <c r="N7678" s="113"/>
    </row>
    <row r="7679" spans="2:14">
      <c r="B7679" s="105"/>
      <c r="C7679" s="106"/>
      <c r="D7679" s="107"/>
      <c r="E7679" s="65"/>
      <c r="F7679" s="64"/>
      <c r="G7679" s="64"/>
      <c r="H7679" s="64"/>
      <c r="I7679" s="70"/>
      <c r="J7679" s="70"/>
      <c r="K7679" s="110" t="str">
        <f>IF(H7679="","",IF($C$29="간이법","",FPR(H7679,I7679,J7679)))</f>
        <v/>
      </c>
      <c r="L7679" s="111" t="str">
        <f>IF(H7679="","",IF($C$29="상세법",FPV(H7679,K7679),IF(H7679="EI",4,IF(H7679="EO",5.2,IF(H7679="EQ",3.9,IF(H7679="ILF",7.5,IF(H7679="EIF",5.4)))))))</f>
        <v/>
      </c>
      <c r="M7679" s="112" t="str">
        <f t="shared" si="123"/>
        <v/>
      </c>
      <c r="N7679" s="113"/>
    </row>
    <row r="7680" spans="2:14">
      <c r="B7680" s="105"/>
      <c r="C7680" s="106"/>
      <c r="D7680" s="107"/>
      <c r="E7680" s="65"/>
      <c r="F7680" s="64"/>
      <c r="G7680" s="64"/>
      <c r="H7680" s="64"/>
      <c r="I7680" s="70"/>
      <c r="J7680" s="70"/>
      <c r="K7680" s="110" t="str">
        <f>IF(H7680="","",IF($C$29="간이법","",FPR(H7680,I7680,J7680)))</f>
        <v/>
      </c>
      <c r="L7680" s="111" t="str">
        <f>IF(H7680="","",IF($C$29="상세법",FPV(H7680,K7680),IF(H7680="EI",4,IF(H7680="EO",5.2,IF(H7680="EQ",3.9,IF(H7680="ILF",7.5,IF(H7680="EIF",5.4)))))))</f>
        <v/>
      </c>
      <c r="M7680" s="112" t="str">
        <f t="shared" si="123"/>
        <v/>
      </c>
      <c r="N7680" s="113"/>
    </row>
    <row r="7681" spans="2:14">
      <c r="B7681" s="105"/>
      <c r="C7681" s="106"/>
      <c r="D7681" s="107"/>
      <c r="E7681" s="65"/>
      <c r="F7681" s="64"/>
      <c r="G7681" s="64"/>
      <c r="H7681" s="64"/>
      <c r="I7681" s="70"/>
      <c r="J7681" s="70"/>
      <c r="K7681" s="110" t="str">
        <f>IF(H7681="","",IF($C$29="간이법","",FPR(H7681,I7681,J7681)))</f>
        <v/>
      </c>
      <c r="L7681" s="111" t="str">
        <f>IF(H7681="","",IF($C$29="상세법",FPV(H7681,K7681),IF(H7681="EI",4,IF(H7681="EO",5.2,IF(H7681="EQ",3.9,IF(H7681="ILF",7.5,IF(H7681="EIF",5.4)))))))</f>
        <v/>
      </c>
      <c r="M7681" s="112" t="str">
        <f t="shared" si="123"/>
        <v/>
      </c>
      <c r="N7681" s="113"/>
    </row>
    <row r="7682" spans="2:14">
      <c r="B7682" s="105"/>
      <c r="C7682" s="106"/>
      <c r="D7682" s="107"/>
      <c r="E7682" s="65"/>
      <c r="F7682" s="64"/>
      <c r="G7682" s="64"/>
      <c r="H7682" s="64"/>
      <c r="I7682" s="70"/>
      <c r="J7682" s="70"/>
      <c r="K7682" s="110" t="str">
        <f>IF(H7682="","",IF($C$29="간이법","",FPR(H7682,I7682,J7682)))</f>
        <v/>
      </c>
      <c r="L7682" s="111" t="str">
        <f>IF(H7682="","",IF($C$29="상세법",FPV(H7682,K7682),IF(H7682="EI",4,IF(H7682="EO",5.2,IF(H7682="EQ",3.9,IF(H7682="ILF",7.5,IF(H7682="EIF",5.4)))))))</f>
        <v/>
      </c>
      <c r="M7682" s="112" t="str">
        <f t="shared" si="123"/>
        <v/>
      </c>
      <c r="N7682" s="113"/>
    </row>
    <row r="7683" spans="2:14">
      <c r="B7683" s="105"/>
      <c r="C7683" s="106"/>
      <c r="D7683" s="107"/>
      <c r="E7683" s="65"/>
      <c r="F7683" s="64"/>
      <c r="G7683" s="64"/>
      <c r="H7683" s="64"/>
      <c r="I7683" s="70"/>
      <c r="J7683" s="70"/>
      <c r="K7683" s="110" t="str">
        <f>IF(H7683="","",IF($C$29="간이법","",FPR(H7683,I7683,J7683)))</f>
        <v/>
      </c>
      <c r="L7683" s="111" t="str">
        <f>IF(H7683="","",IF($C$29="상세법",FPV(H7683,K7683),IF(H7683="EI",4,IF(H7683="EO",5.2,IF(H7683="EQ",3.9,IF(H7683="ILF",7.5,IF(H7683="EIF",5.4)))))))</f>
        <v/>
      </c>
      <c r="M7683" s="112" t="str">
        <f t="shared" si="123"/>
        <v/>
      </c>
      <c r="N7683" s="113"/>
    </row>
    <row r="7684" spans="2:14">
      <c r="B7684" s="105"/>
      <c r="C7684" s="106"/>
      <c r="D7684" s="107"/>
      <c r="E7684" s="65"/>
      <c r="F7684" s="64"/>
      <c r="G7684" s="64"/>
      <c r="H7684" s="64"/>
      <c r="I7684" s="70"/>
      <c r="J7684" s="70"/>
      <c r="K7684" s="110" t="str">
        <f>IF(H7684="","",IF($C$29="간이법","",FPR(H7684,I7684,J7684)))</f>
        <v/>
      </c>
      <c r="L7684" s="111" t="str">
        <f>IF(H7684="","",IF($C$29="상세법",FPV(H7684,K7684),IF(H7684="EI",4,IF(H7684="EO",5.2,IF(H7684="EQ",3.9,IF(H7684="ILF",7.5,IF(H7684="EIF",5.4)))))))</f>
        <v/>
      </c>
      <c r="M7684" s="112" t="str">
        <f t="shared" si="123"/>
        <v/>
      </c>
      <c r="N7684" s="113"/>
    </row>
    <row r="7685" spans="2:14">
      <c r="B7685" s="105"/>
      <c r="C7685" s="106"/>
      <c r="D7685" s="107"/>
      <c r="E7685" s="65"/>
      <c r="F7685" s="64"/>
      <c r="G7685" s="64"/>
      <c r="H7685" s="64"/>
      <c r="I7685" s="70"/>
      <c r="J7685" s="70"/>
      <c r="K7685" s="110" t="str">
        <f>IF(H7685="","",IF($C$29="간이법","",FPR(H7685,I7685,J7685)))</f>
        <v/>
      </c>
      <c r="L7685" s="111" t="str">
        <f>IF(H7685="","",IF($C$29="상세법",FPV(H7685,K7685),IF(H7685="EI",4,IF(H7685="EO",5.2,IF(H7685="EQ",3.9,IF(H7685="ILF",7.5,IF(H7685="EIF",5.4)))))))</f>
        <v/>
      </c>
      <c r="M7685" s="112" t="str">
        <f t="shared" si="123"/>
        <v/>
      </c>
      <c r="N7685" s="113"/>
    </row>
    <row r="7686" spans="2:14">
      <c r="B7686" s="105"/>
      <c r="C7686" s="106"/>
      <c r="D7686" s="107"/>
      <c r="E7686" s="65"/>
      <c r="F7686" s="64"/>
      <c r="G7686" s="64"/>
      <c r="H7686" s="64"/>
      <c r="I7686" s="70"/>
      <c r="J7686" s="70"/>
      <c r="K7686" s="110" t="str">
        <f>IF(H7686="","",IF($C$29="간이법","",FPR(H7686,I7686,J7686)))</f>
        <v/>
      </c>
      <c r="L7686" s="111" t="str">
        <f>IF(H7686="","",IF($C$29="상세법",FPV(H7686,K7686),IF(H7686="EI",4,IF(H7686="EO",5.2,IF(H7686="EQ",3.9,IF(H7686="ILF",7.5,IF(H7686="EIF",5.4)))))))</f>
        <v/>
      </c>
      <c r="M7686" s="112" t="str">
        <f t="shared" si="123"/>
        <v/>
      </c>
      <c r="N7686" s="113"/>
    </row>
    <row r="7687" spans="2:14">
      <c r="B7687" s="105"/>
      <c r="C7687" s="106"/>
      <c r="D7687" s="107"/>
      <c r="E7687" s="65"/>
      <c r="F7687" s="64"/>
      <c r="G7687" s="64"/>
      <c r="H7687" s="64"/>
      <c r="I7687" s="70"/>
      <c r="J7687" s="70"/>
      <c r="K7687" s="110" t="str">
        <f>IF(H7687="","",IF($C$29="간이법","",FPR(H7687,I7687,J7687)))</f>
        <v/>
      </c>
      <c r="L7687" s="111" t="str">
        <f>IF(H7687="","",IF($C$29="상세법",FPV(H7687,K7687),IF(H7687="EI",4,IF(H7687="EO",5.2,IF(H7687="EQ",3.9,IF(H7687="ILF",7.5,IF(H7687="EIF",5.4)))))))</f>
        <v/>
      </c>
      <c r="M7687" s="112" t="str">
        <f t="shared" si="123"/>
        <v/>
      </c>
      <c r="N7687" s="113"/>
    </row>
    <row r="7688" spans="2:14">
      <c r="B7688" s="105"/>
      <c r="C7688" s="106"/>
      <c r="D7688" s="107"/>
      <c r="E7688" s="65"/>
      <c r="F7688" s="64"/>
      <c r="G7688" s="64"/>
      <c r="H7688" s="64"/>
      <c r="I7688" s="70"/>
      <c r="J7688" s="70"/>
      <c r="K7688" s="110" t="str">
        <f>IF(H7688="","",IF($C$29="간이법","",FPR(H7688,I7688,J7688)))</f>
        <v/>
      </c>
      <c r="L7688" s="111" t="str">
        <f>IF(H7688="","",IF($C$29="상세법",FPV(H7688,K7688),IF(H7688="EI",4,IF(H7688="EO",5.2,IF(H7688="EQ",3.9,IF(H7688="ILF",7.5,IF(H7688="EIF",5.4)))))))</f>
        <v/>
      </c>
      <c r="M7688" s="112" t="str">
        <f t="shared" si="123"/>
        <v/>
      </c>
      <c r="N7688" s="113"/>
    </row>
    <row r="7689" spans="2:14">
      <c r="B7689" s="105"/>
      <c r="C7689" s="106"/>
      <c r="D7689" s="107"/>
      <c r="E7689" s="65"/>
      <c r="F7689" s="64"/>
      <c r="G7689" s="64"/>
      <c r="H7689" s="64"/>
      <c r="I7689" s="70"/>
      <c r="J7689" s="70"/>
      <c r="K7689" s="110" t="str">
        <f>IF(H7689="","",IF($C$29="간이법","",FPR(H7689,I7689,J7689)))</f>
        <v/>
      </c>
      <c r="L7689" s="111" t="str">
        <f>IF(H7689="","",IF($C$29="상세법",FPV(H7689,K7689),IF(H7689="EI",4,IF(H7689="EO",5.2,IF(H7689="EQ",3.9,IF(H7689="ILF",7.5,IF(H7689="EIF",5.4)))))))</f>
        <v/>
      </c>
      <c r="M7689" s="112" t="str">
        <f t="shared" si="123"/>
        <v/>
      </c>
      <c r="N7689" s="113"/>
    </row>
    <row r="7690" spans="2:14">
      <c r="B7690" s="105"/>
      <c r="C7690" s="106"/>
      <c r="D7690" s="107"/>
      <c r="E7690" s="65"/>
      <c r="F7690" s="64"/>
      <c r="G7690" s="64"/>
      <c r="H7690" s="64"/>
      <c r="I7690" s="70"/>
      <c r="J7690" s="70"/>
      <c r="K7690" s="110" t="str">
        <f>IF(H7690="","",IF($C$29="간이법","",FPR(H7690,I7690,J7690)))</f>
        <v/>
      </c>
      <c r="L7690" s="111" t="str">
        <f>IF(H7690="","",IF($C$29="상세법",FPV(H7690,K7690),IF(H7690="EI",4,IF(H7690="EO",5.2,IF(H7690="EQ",3.9,IF(H7690="ILF",7.5,IF(H7690="EIF",5.4)))))))</f>
        <v/>
      </c>
      <c r="M7690" s="112" t="str">
        <f t="shared" si="123"/>
        <v/>
      </c>
      <c r="N7690" s="113"/>
    </row>
    <row r="7691" spans="2:14">
      <c r="B7691" s="105"/>
      <c r="C7691" s="106"/>
      <c r="D7691" s="107"/>
      <c r="E7691" s="65"/>
      <c r="F7691" s="64"/>
      <c r="G7691" s="64"/>
      <c r="H7691" s="64"/>
      <c r="I7691" s="70"/>
      <c r="J7691" s="70"/>
      <c r="K7691" s="110" t="str">
        <f>IF(H7691="","",IF($C$29="간이법","",FPR(H7691,I7691,J7691)))</f>
        <v/>
      </c>
      <c r="L7691" s="111" t="str">
        <f>IF(H7691="","",IF($C$29="상세법",FPV(H7691,K7691),IF(H7691="EI",4,IF(H7691="EO",5.2,IF(H7691="EQ",3.9,IF(H7691="ILF",7.5,IF(H7691="EIF",5.4)))))))</f>
        <v/>
      </c>
      <c r="M7691" s="112" t="str">
        <f t="shared" si="123"/>
        <v/>
      </c>
      <c r="N7691" s="113"/>
    </row>
    <row r="7692" spans="2:14">
      <c r="B7692" s="105"/>
      <c r="C7692" s="106"/>
      <c r="D7692" s="107"/>
      <c r="E7692" s="65"/>
      <c r="F7692" s="64"/>
      <c r="G7692" s="64"/>
      <c r="H7692" s="64"/>
      <c r="I7692" s="70"/>
      <c r="J7692" s="70"/>
      <c r="K7692" s="110" t="str">
        <f>IF(H7692="","",IF($C$29="간이법","",FPR(H7692,I7692,J7692)))</f>
        <v/>
      </c>
      <c r="L7692" s="111" t="str">
        <f>IF(H7692="","",IF($C$29="상세법",FPV(H7692,K7692),IF(H7692="EI",4,IF(H7692="EO",5.2,IF(H7692="EQ",3.9,IF(H7692="ILF",7.5,IF(H7692="EIF",5.4)))))))</f>
        <v/>
      </c>
      <c r="M7692" s="112" t="str">
        <f t="shared" si="123"/>
        <v/>
      </c>
      <c r="N7692" s="113"/>
    </row>
    <row r="7693" spans="2:14">
      <c r="B7693" s="105"/>
      <c r="C7693" s="106"/>
      <c r="D7693" s="107"/>
      <c r="E7693" s="65"/>
      <c r="F7693" s="64"/>
      <c r="G7693" s="64"/>
      <c r="H7693" s="64"/>
      <c r="I7693" s="70"/>
      <c r="J7693" s="70"/>
      <c r="K7693" s="110" t="str">
        <f>IF(H7693="","",IF($C$29="간이법","",FPR(H7693,I7693,J7693)))</f>
        <v/>
      </c>
      <c r="L7693" s="111" t="str">
        <f>IF(H7693="","",IF($C$29="상세법",FPV(H7693,K7693),IF(H7693="EI",4,IF(H7693="EO",5.2,IF(H7693="EQ",3.9,IF(H7693="ILF",7.5,IF(H7693="EIF",5.4)))))))</f>
        <v/>
      </c>
      <c r="M7693" s="112" t="str">
        <f t="shared" si="123"/>
        <v/>
      </c>
      <c r="N7693" s="113"/>
    </row>
    <row r="7694" spans="2:14">
      <c r="B7694" s="105"/>
      <c r="C7694" s="106"/>
      <c r="D7694" s="107"/>
      <c r="E7694" s="65"/>
      <c r="F7694" s="64"/>
      <c r="G7694" s="64"/>
      <c r="H7694" s="64"/>
      <c r="I7694" s="70"/>
      <c r="J7694" s="70"/>
      <c r="K7694" s="110" t="str">
        <f>IF(H7694="","",IF($C$29="간이법","",FPR(H7694,I7694,J7694)))</f>
        <v/>
      </c>
      <c r="L7694" s="111" t="str">
        <f>IF(H7694="","",IF($C$29="상세법",FPV(H7694,K7694),IF(H7694="EI",4,IF(H7694="EO",5.2,IF(H7694="EQ",3.9,IF(H7694="ILF",7.5,IF(H7694="EIF",5.4)))))))</f>
        <v/>
      </c>
      <c r="M7694" s="112" t="str">
        <f t="shared" si="123"/>
        <v/>
      </c>
      <c r="N7694" s="113"/>
    </row>
    <row r="7695" spans="2:14">
      <c r="B7695" s="105"/>
      <c r="C7695" s="106"/>
      <c r="D7695" s="107"/>
      <c r="E7695" s="65"/>
      <c r="F7695" s="64"/>
      <c r="G7695" s="64"/>
      <c r="H7695" s="64"/>
      <c r="I7695" s="70"/>
      <c r="J7695" s="70"/>
      <c r="K7695" s="110" t="str">
        <f>IF(H7695="","",IF($C$29="간이법","",FPR(H7695,I7695,J7695)))</f>
        <v/>
      </c>
      <c r="L7695" s="111" t="str">
        <f>IF(H7695="","",IF($C$29="상세법",FPV(H7695,K7695),IF(H7695="EI",4,IF(H7695="EO",5.2,IF(H7695="EQ",3.9,IF(H7695="ILF",7.5,IF(H7695="EIF",5.4)))))))</f>
        <v/>
      </c>
      <c r="M7695" s="112" t="str">
        <f t="shared" si="123"/>
        <v/>
      </c>
      <c r="N7695" s="113"/>
    </row>
    <row r="7696" spans="2:14">
      <c r="B7696" s="105"/>
      <c r="C7696" s="106"/>
      <c r="D7696" s="107"/>
      <c r="E7696" s="65"/>
      <c r="F7696" s="64"/>
      <c r="G7696" s="64"/>
      <c r="H7696" s="64"/>
      <c r="I7696" s="70"/>
      <c r="J7696" s="70"/>
      <c r="K7696" s="110" t="str">
        <f>IF(H7696="","",IF($C$29="간이법","",FPR(H7696,I7696,J7696)))</f>
        <v/>
      </c>
      <c r="L7696" s="111" t="str">
        <f>IF(H7696="","",IF($C$29="상세법",FPV(H7696,K7696),IF(H7696="EI",4,IF(H7696="EO",5.2,IF(H7696="EQ",3.9,IF(H7696="ILF",7.5,IF(H7696="EIF",5.4)))))))</f>
        <v/>
      </c>
      <c r="M7696" s="112" t="str">
        <f t="shared" si="123"/>
        <v/>
      </c>
      <c r="N7696" s="113"/>
    </row>
    <row r="7697" spans="2:14">
      <c r="B7697" s="105"/>
      <c r="C7697" s="106"/>
      <c r="D7697" s="107"/>
      <c r="E7697" s="65"/>
      <c r="F7697" s="64"/>
      <c r="G7697" s="64"/>
      <c r="H7697" s="64"/>
      <c r="I7697" s="70"/>
      <c r="J7697" s="70"/>
      <c r="K7697" s="110" t="str">
        <f>IF(H7697="","",IF($C$29="간이법","",FPR(H7697,I7697,J7697)))</f>
        <v/>
      </c>
      <c r="L7697" s="111" t="str">
        <f>IF(H7697="","",IF($C$29="상세법",FPV(H7697,K7697),IF(H7697="EI",4,IF(H7697="EO",5.2,IF(H7697="EQ",3.9,IF(H7697="ILF",7.5,IF(H7697="EIF",5.4)))))))</f>
        <v/>
      </c>
      <c r="M7697" s="112" t="str">
        <f t="shared" si="123"/>
        <v/>
      </c>
      <c r="N7697" s="113"/>
    </row>
    <row r="7698" spans="2:14">
      <c r="B7698" s="105"/>
      <c r="C7698" s="106"/>
      <c r="D7698" s="107"/>
      <c r="E7698" s="65"/>
      <c r="F7698" s="64"/>
      <c r="G7698" s="64"/>
      <c r="H7698" s="64"/>
      <c r="I7698" s="70"/>
      <c r="J7698" s="70"/>
      <c r="K7698" s="110" t="str">
        <f>IF(H7698="","",IF($C$29="간이법","",FPR(H7698,I7698,J7698)))</f>
        <v/>
      </c>
      <c r="L7698" s="111" t="str">
        <f>IF(H7698="","",IF($C$29="상세법",FPV(H7698,K7698),IF(H7698="EI",4,IF(H7698="EO",5.2,IF(H7698="EQ",3.9,IF(H7698="ILF",7.5,IF(H7698="EIF",5.4)))))))</f>
        <v/>
      </c>
      <c r="M7698" s="112" t="str">
        <f t="shared" si="123"/>
        <v/>
      </c>
      <c r="N7698" s="113"/>
    </row>
    <row r="7699" spans="2:14">
      <c r="B7699" s="105"/>
      <c r="C7699" s="106"/>
      <c r="D7699" s="107"/>
      <c r="E7699" s="65"/>
      <c r="F7699" s="64"/>
      <c r="G7699" s="64"/>
      <c r="H7699" s="64"/>
      <c r="I7699" s="70"/>
      <c r="J7699" s="70"/>
      <c r="K7699" s="110" t="str">
        <f>IF(H7699="","",IF($C$29="간이법","",FPR(H7699,I7699,J7699)))</f>
        <v/>
      </c>
      <c r="L7699" s="111" t="str">
        <f>IF(H7699="","",IF($C$29="상세법",FPV(H7699,K7699),IF(H7699="EI",4,IF(H7699="EO",5.2,IF(H7699="EQ",3.9,IF(H7699="ILF",7.5,IF(H7699="EIF",5.4)))))))</f>
        <v/>
      </c>
      <c r="M7699" s="112" t="str">
        <f t="shared" si="123"/>
        <v/>
      </c>
      <c r="N7699" s="113"/>
    </row>
    <row r="7700" spans="2:14">
      <c r="B7700" s="105"/>
      <c r="C7700" s="106"/>
      <c r="D7700" s="107"/>
      <c r="E7700" s="65"/>
      <c r="F7700" s="64"/>
      <c r="G7700" s="64"/>
      <c r="H7700" s="64"/>
      <c r="I7700" s="70"/>
      <c r="J7700" s="70"/>
      <c r="K7700" s="110" t="str">
        <f>IF(H7700="","",IF($C$29="간이법","",FPR(H7700,I7700,J7700)))</f>
        <v/>
      </c>
      <c r="L7700" s="111" t="str">
        <f>IF(H7700="","",IF($C$29="상세법",FPV(H7700,K7700),IF(H7700="EI",4,IF(H7700="EO",5.2,IF(H7700="EQ",3.9,IF(H7700="ILF",7.5,IF(H7700="EIF",5.4)))))))</f>
        <v/>
      </c>
      <c r="M7700" s="112" t="str">
        <f t="shared" si="123"/>
        <v/>
      </c>
      <c r="N7700" s="113"/>
    </row>
    <row r="7701" spans="2:14">
      <c r="B7701" s="105"/>
      <c r="C7701" s="106"/>
      <c r="D7701" s="107"/>
      <c r="E7701" s="65"/>
      <c r="F7701" s="64"/>
      <c r="G7701" s="64"/>
      <c r="H7701" s="64"/>
      <c r="I7701" s="70"/>
      <c r="J7701" s="70"/>
      <c r="K7701" s="110" t="str">
        <f>IF(H7701="","",IF($C$29="간이법","",FPR(H7701,I7701,J7701)))</f>
        <v/>
      </c>
      <c r="L7701" s="111" t="str">
        <f>IF(H7701="","",IF($C$29="상세법",FPV(H7701,K7701),IF(H7701="EI",4,IF(H7701="EO",5.2,IF(H7701="EQ",3.9,IF(H7701="ILF",7.5,IF(H7701="EIF",5.4)))))))</f>
        <v/>
      </c>
      <c r="M7701" s="112" t="str">
        <f t="shared" si="123"/>
        <v/>
      </c>
      <c r="N7701" s="113"/>
    </row>
    <row r="7702" spans="2:14">
      <c r="B7702" s="105"/>
      <c r="C7702" s="106"/>
      <c r="D7702" s="107"/>
      <c r="E7702" s="65"/>
      <c r="F7702" s="64"/>
      <c r="G7702" s="64"/>
      <c r="H7702" s="64"/>
      <c r="I7702" s="70"/>
      <c r="J7702" s="70"/>
      <c r="K7702" s="110" t="str">
        <f>IF(H7702="","",IF($C$29="간이법","",FPR(H7702,I7702,J7702)))</f>
        <v/>
      </c>
      <c r="L7702" s="111" t="str">
        <f>IF(H7702="","",IF($C$29="상세법",FPV(H7702,K7702),IF(H7702="EI",4,IF(H7702="EO",5.2,IF(H7702="EQ",3.9,IF(H7702="ILF",7.5,IF(H7702="EIF",5.4)))))))</f>
        <v/>
      </c>
      <c r="M7702" s="112" t="str">
        <f t="shared" si="123"/>
        <v/>
      </c>
      <c r="N7702" s="113"/>
    </row>
    <row r="7703" spans="2:14">
      <c r="B7703" s="105"/>
      <c r="C7703" s="106"/>
      <c r="D7703" s="107"/>
      <c r="E7703" s="65"/>
      <c r="F7703" s="64"/>
      <c r="G7703" s="64"/>
      <c r="H7703" s="64"/>
      <c r="I7703" s="70"/>
      <c r="J7703" s="70"/>
      <c r="K7703" s="110" t="str">
        <f>IF(H7703="","",IF($C$29="간이법","",FPR(H7703,I7703,J7703)))</f>
        <v/>
      </c>
      <c r="L7703" s="111" t="str">
        <f>IF(H7703="","",IF($C$29="상세법",FPV(H7703,K7703),IF(H7703="EI",4,IF(H7703="EO",5.2,IF(H7703="EQ",3.9,IF(H7703="ILF",7.5,IF(H7703="EIF",5.4)))))))</f>
        <v/>
      </c>
      <c r="M7703" s="112" t="str">
        <f t="shared" si="123"/>
        <v/>
      </c>
      <c r="N7703" s="113"/>
    </row>
    <row r="7704" spans="2:14">
      <c r="B7704" s="105"/>
      <c r="C7704" s="106"/>
      <c r="D7704" s="107"/>
      <c r="E7704" s="65"/>
      <c r="F7704" s="64"/>
      <c r="G7704" s="64"/>
      <c r="H7704" s="64"/>
      <c r="I7704" s="70"/>
      <c r="J7704" s="70"/>
      <c r="K7704" s="110" t="str">
        <f>IF(H7704="","",IF($C$29="간이법","",FPR(H7704,I7704,J7704)))</f>
        <v/>
      </c>
      <c r="L7704" s="111" t="str">
        <f>IF(H7704="","",IF($C$29="상세법",FPV(H7704,K7704),IF(H7704="EI",4,IF(H7704="EO",5.2,IF(H7704="EQ",3.9,IF(H7704="ILF",7.5,IF(H7704="EIF",5.4)))))))</f>
        <v/>
      </c>
      <c r="M7704" s="112" t="str">
        <f t="shared" si="123"/>
        <v/>
      </c>
      <c r="N7704" s="113"/>
    </row>
    <row r="7705" spans="2:14">
      <c r="B7705" s="105"/>
      <c r="C7705" s="106"/>
      <c r="D7705" s="107"/>
      <c r="E7705" s="65"/>
      <c r="F7705" s="64"/>
      <c r="G7705" s="64"/>
      <c r="H7705" s="64"/>
      <c r="I7705" s="70"/>
      <c r="J7705" s="70"/>
      <c r="K7705" s="110" t="str">
        <f>IF(H7705="","",IF($C$29="간이법","",FPR(H7705,I7705,J7705)))</f>
        <v/>
      </c>
      <c r="L7705" s="111" t="str">
        <f>IF(H7705="","",IF($C$29="상세법",FPV(H7705,K7705),IF(H7705="EI",4,IF(H7705="EO",5.2,IF(H7705="EQ",3.9,IF(H7705="ILF",7.5,IF(H7705="EIF",5.4)))))))</f>
        <v/>
      </c>
      <c r="M7705" s="112" t="str">
        <f t="shared" si="123"/>
        <v/>
      </c>
      <c r="N7705" s="113"/>
    </row>
    <row r="7706" spans="2:14">
      <c r="B7706" s="105"/>
      <c r="C7706" s="106"/>
      <c r="D7706" s="107"/>
      <c r="E7706" s="65"/>
      <c r="F7706" s="64"/>
      <c r="G7706" s="64"/>
      <c r="H7706" s="64"/>
      <c r="I7706" s="70"/>
      <c r="J7706" s="70"/>
      <c r="K7706" s="110" t="str">
        <f>IF(H7706="","",IF($C$29="간이법","",FPR(H7706,I7706,J7706)))</f>
        <v/>
      </c>
      <c r="L7706" s="111" t="str">
        <f>IF(H7706="","",IF($C$29="상세법",FPV(H7706,K7706),IF(H7706="EI",4,IF(H7706="EO",5.2,IF(H7706="EQ",3.9,IF(H7706="ILF",7.5,IF(H7706="EIF",5.4)))))))</f>
        <v/>
      </c>
      <c r="M7706" s="112" t="str">
        <f t="shared" si="123"/>
        <v/>
      </c>
      <c r="N7706" s="113"/>
    </row>
    <row r="7707" spans="2:14">
      <c r="B7707" s="105"/>
      <c r="C7707" s="106"/>
      <c r="D7707" s="107"/>
      <c r="E7707" s="65"/>
      <c r="F7707" s="64"/>
      <c r="G7707" s="64"/>
      <c r="H7707" s="64"/>
      <c r="I7707" s="70"/>
      <c r="J7707" s="70"/>
      <c r="K7707" s="110" t="str">
        <f>IF(H7707="","",IF($C$29="간이법","",FPR(H7707,I7707,J7707)))</f>
        <v/>
      </c>
      <c r="L7707" s="111" t="str">
        <f>IF(H7707="","",IF($C$29="상세법",FPV(H7707,K7707),IF(H7707="EI",4,IF(H7707="EO",5.2,IF(H7707="EQ",3.9,IF(H7707="ILF",7.5,IF(H7707="EIF",5.4)))))))</f>
        <v/>
      </c>
      <c r="M7707" s="112" t="str">
        <f t="shared" si="123"/>
        <v/>
      </c>
      <c r="N7707" s="113"/>
    </row>
    <row r="7708" spans="2:14">
      <c r="B7708" s="105"/>
      <c r="C7708" s="106"/>
      <c r="D7708" s="107"/>
      <c r="E7708" s="65"/>
      <c r="F7708" s="64"/>
      <c r="G7708" s="64"/>
      <c r="H7708" s="64"/>
      <c r="I7708" s="70"/>
      <c r="J7708" s="70"/>
      <c r="K7708" s="110" t="str">
        <f>IF(H7708="","",IF($C$29="간이법","",FPR(H7708,I7708,J7708)))</f>
        <v/>
      </c>
      <c r="L7708" s="111" t="str">
        <f>IF(H7708="","",IF($C$29="상세법",FPV(H7708,K7708),IF(H7708="EI",4,IF(H7708="EO",5.2,IF(H7708="EQ",3.9,IF(H7708="ILF",7.5,IF(H7708="EIF",5.4)))))))</f>
        <v/>
      </c>
      <c r="M7708" s="112" t="str">
        <f t="shared" si="123"/>
        <v/>
      </c>
      <c r="N7708" s="113"/>
    </row>
    <row r="7709" spans="2:14">
      <c r="B7709" s="105"/>
      <c r="C7709" s="106"/>
      <c r="D7709" s="107"/>
      <c r="E7709" s="65"/>
      <c r="F7709" s="64"/>
      <c r="G7709" s="64"/>
      <c r="H7709" s="64"/>
      <c r="I7709" s="70"/>
      <c r="J7709" s="70"/>
      <c r="K7709" s="110" t="str">
        <f>IF(H7709="","",IF($C$29="간이법","",FPR(H7709,I7709,J7709)))</f>
        <v/>
      </c>
      <c r="L7709" s="111" t="str">
        <f>IF(H7709="","",IF($C$29="상세법",FPV(H7709,K7709),IF(H7709="EI",4,IF(H7709="EO",5.2,IF(H7709="EQ",3.9,IF(H7709="ILF",7.5,IF(H7709="EIF",5.4)))))))</f>
        <v/>
      </c>
      <c r="M7709" s="112" t="str">
        <f t="shared" si="123"/>
        <v/>
      </c>
      <c r="N7709" s="113"/>
    </row>
    <row r="7710" spans="2:14">
      <c r="B7710" s="105"/>
      <c r="C7710" s="106"/>
      <c r="D7710" s="107"/>
      <c r="E7710" s="65"/>
      <c r="F7710" s="64"/>
      <c r="G7710" s="64"/>
      <c r="H7710" s="64"/>
      <c r="I7710" s="70"/>
      <c r="J7710" s="70"/>
      <c r="K7710" s="110" t="str">
        <f>IF(H7710="","",IF($C$29="간이법","",FPR(H7710,I7710,J7710)))</f>
        <v/>
      </c>
      <c r="L7710" s="111" t="str">
        <f>IF(H7710="","",IF($C$29="상세법",FPV(H7710,K7710),IF(H7710="EI",4,IF(H7710="EO",5.2,IF(H7710="EQ",3.9,IF(H7710="ILF",7.5,IF(H7710="EIF",5.4)))))))</f>
        <v/>
      </c>
      <c r="M7710" s="112" t="str">
        <f t="shared" si="123"/>
        <v/>
      </c>
      <c r="N7710" s="113"/>
    </row>
    <row r="7711" spans="2:14">
      <c r="B7711" s="105"/>
      <c r="C7711" s="106"/>
      <c r="D7711" s="107"/>
      <c r="E7711" s="65"/>
      <c r="F7711" s="64"/>
      <c r="G7711" s="64"/>
      <c r="H7711" s="64"/>
      <c r="I7711" s="70"/>
      <c r="J7711" s="70"/>
      <c r="K7711" s="110" t="str">
        <f>IF(H7711="","",IF($C$29="간이법","",FPR(H7711,I7711,J7711)))</f>
        <v/>
      </c>
      <c r="L7711" s="111" t="str">
        <f>IF(H7711="","",IF($C$29="상세법",FPV(H7711,K7711),IF(H7711="EI",4,IF(H7711="EO",5.2,IF(H7711="EQ",3.9,IF(H7711="ILF",7.5,IF(H7711="EIF",5.4)))))))</f>
        <v/>
      </c>
      <c r="M7711" s="112" t="str">
        <f t="shared" si="123"/>
        <v/>
      </c>
      <c r="N7711" s="113"/>
    </row>
    <row r="7712" spans="2:14">
      <c r="B7712" s="105"/>
      <c r="C7712" s="106"/>
      <c r="D7712" s="107"/>
      <c r="E7712" s="65"/>
      <c r="F7712" s="64"/>
      <c r="G7712" s="64"/>
      <c r="H7712" s="64"/>
      <c r="I7712" s="70"/>
      <c r="J7712" s="70"/>
      <c r="K7712" s="110" t="str">
        <f>IF(H7712="","",IF($C$29="간이법","",FPR(H7712,I7712,J7712)))</f>
        <v/>
      </c>
      <c r="L7712" s="111" t="str">
        <f>IF(H7712="","",IF($C$29="상세법",FPV(H7712,K7712),IF(H7712="EI",4,IF(H7712="EO",5.2,IF(H7712="EQ",3.9,IF(H7712="ILF",7.5,IF(H7712="EIF",5.4)))))))</f>
        <v/>
      </c>
      <c r="M7712" s="112" t="str">
        <f t="shared" si="123"/>
        <v/>
      </c>
      <c r="N7712" s="113"/>
    </row>
    <row r="7713" spans="2:14">
      <c r="B7713" s="105"/>
      <c r="C7713" s="106"/>
      <c r="D7713" s="107"/>
      <c r="E7713" s="65"/>
      <c r="F7713" s="64"/>
      <c r="G7713" s="64"/>
      <c r="H7713" s="64"/>
      <c r="I7713" s="70"/>
      <c r="J7713" s="70"/>
      <c r="K7713" s="110" t="str">
        <f>IF(H7713="","",IF($C$29="간이법","",FPR(H7713,I7713,J7713)))</f>
        <v/>
      </c>
      <c r="L7713" s="111" t="str">
        <f>IF(H7713="","",IF($C$29="상세법",FPV(H7713,K7713),IF(H7713="EI",4,IF(H7713="EO",5.2,IF(H7713="EQ",3.9,IF(H7713="ILF",7.5,IF(H7713="EIF",5.4)))))))</f>
        <v/>
      </c>
      <c r="M7713" s="112" t="str">
        <f t="shared" si="123"/>
        <v/>
      </c>
      <c r="N7713" s="113"/>
    </row>
    <row r="7714" spans="2:14">
      <c r="B7714" s="105"/>
      <c r="C7714" s="106"/>
      <c r="D7714" s="107"/>
      <c r="E7714" s="65"/>
      <c r="F7714" s="64"/>
      <c r="G7714" s="64"/>
      <c r="H7714" s="64"/>
      <c r="I7714" s="70"/>
      <c r="J7714" s="70"/>
      <c r="K7714" s="110" t="str">
        <f>IF(H7714="","",IF($C$29="간이법","",FPR(H7714,I7714,J7714)))</f>
        <v/>
      </c>
      <c r="L7714" s="111" t="str">
        <f>IF(H7714="","",IF($C$29="상세법",FPV(H7714,K7714),IF(H7714="EI",4,IF(H7714="EO",5.2,IF(H7714="EQ",3.9,IF(H7714="ILF",7.5,IF(H7714="EIF",5.4)))))))</f>
        <v/>
      </c>
      <c r="M7714" s="112" t="str">
        <f t="shared" si="123"/>
        <v/>
      </c>
      <c r="N7714" s="113"/>
    </row>
    <row r="7715" spans="2:14">
      <c r="B7715" s="105"/>
      <c r="C7715" s="106"/>
      <c r="D7715" s="107"/>
      <c r="E7715" s="65"/>
      <c r="F7715" s="64"/>
      <c r="G7715" s="64"/>
      <c r="H7715" s="64"/>
      <c r="I7715" s="70"/>
      <c r="J7715" s="70"/>
      <c r="K7715" s="110" t="str">
        <f>IF(H7715="","",IF($C$29="간이법","",FPR(H7715,I7715,J7715)))</f>
        <v/>
      </c>
      <c r="L7715" s="111" t="str">
        <f>IF(H7715="","",IF($C$29="상세법",FPV(H7715,K7715),IF(H7715="EI",4,IF(H7715="EO",5.2,IF(H7715="EQ",3.9,IF(H7715="ILF",7.5,IF(H7715="EIF",5.4)))))))</f>
        <v/>
      </c>
      <c r="M7715" s="112" t="str">
        <f t="shared" si="123"/>
        <v/>
      </c>
      <c r="N7715" s="113"/>
    </row>
    <row r="7716" spans="2:14">
      <c r="B7716" s="105"/>
      <c r="C7716" s="106"/>
      <c r="D7716" s="107"/>
      <c r="E7716" s="65"/>
      <c r="F7716" s="64"/>
      <c r="G7716" s="64"/>
      <c r="H7716" s="64"/>
      <c r="I7716" s="70"/>
      <c r="J7716" s="70"/>
      <c r="K7716" s="110" t="str">
        <f>IF(H7716="","",IF($C$29="간이법","",FPR(H7716,I7716,J7716)))</f>
        <v/>
      </c>
      <c r="L7716" s="111" t="str">
        <f>IF(H7716="","",IF($C$29="상세법",FPV(H7716,K7716),IF(H7716="EI",4,IF(H7716="EO",5.2,IF(H7716="EQ",3.9,IF(H7716="ILF",7.5,IF(H7716="EIF",5.4)))))))</f>
        <v/>
      </c>
      <c r="M7716" s="112" t="str">
        <f t="shared" si="123"/>
        <v/>
      </c>
      <c r="N7716" s="113"/>
    </row>
    <row r="7717" spans="2:14">
      <c r="B7717" s="105"/>
      <c r="C7717" s="106"/>
      <c r="D7717" s="107"/>
      <c r="E7717" s="65"/>
      <c r="F7717" s="64"/>
      <c r="G7717" s="64"/>
      <c r="H7717" s="64"/>
      <c r="I7717" s="70"/>
      <c r="J7717" s="70"/>
      <c r="K7717" s="110" t="str">
        <f>IF(H7717="","",IF($C$29="간이법","",FPR(H7717,I7717,J7717)))</f>
        <v/>
      </c>
      <c r="L7717" s="111" t="str">
        <f>IF(H7717="","",IF($C$29="상세법",FPV(H7717,K7717),IF(H7717="EI",4,IF(H7717="EO",5.2,IF(H7717="EQ",3.9,IF(H7717="ILF",7.5,IF(H7717="EIF",5.4)))))))</f>
        <v/>
      </c>
      <c r="M7717" s="112" t="str">
        <f t="shared" si="123"/>
        <v/>
      </c>
      <c r="N7717" s="113"/>
    </row>
    <row r="7718" spans="2:14">
      <c r="B7718" s="105"/>
      <c r="C7718" s="106"/>
      <c r="D7718" s="107"/>
      <c r="E7718" s="65"/>
      <c r="F7718" s="64"/>
      <c r="G7718" s="64"/>
      <c r="H7718" s="64"/>
      <c r="I7718" s="70"/>
      <c r="J7718" s="70"/>
      <c r="K7718" s="110" t="str">
        <f>IF(H7718="","",IF($C$29="간이법","",FPR(H7718,I7718,J7718)))</f>
        <v/>
      </c>
      <c r="L7718" s="111" t="str">
        <f>IF(H7718="","",IF($C$29="상세법",FPV(H7718,K7718),IF(H7718="EI",4,IF(H7718="EO",5.2,IF(H7718="EQ",3.9,IF(H7718="ILF",7.5,IF(H7718="EIF",5.4)))))))</f>
        <v/>
      </c>
      <c r="M7718" s="112" t="str">
        <f t="shared" si="123"/>
        <v/>
      </c>
      <c r="N7718" s="113"/>
    </row>
    <row r="7719" spans="2:14">
      <c r="B7719" s="105"/>
      <c r="C7719" s="106"/>
      <c r="D7719" s="107"/>
      <c r="E7719" s="65"/>
      <c r="F7719" s="64"/>
      <c r="G7719" s="64"/>
      <c r="H7719" s="64"/>
      <c r="I7719" s="70"/>
      <c r="J7719" s="70"/>
      <c r="K7719" s="110" t="str">
        <f>IF(H7719="","",IF($C$29="간이법","",FPR(H7719,I7719,J7719)))</f>
        <v/>
      </c>
      <c r="L7719" s="111" t="str">
        <f>IF(H7719="","",IF($C$29="상세법",FPV(H7719,K7719),IF(H7719="EI",4,IF(H7719="EO",5.2,IF(H7719="EQ",3.9,IF(H7719="ILF",7.5,IF(H7719="EIF",5.4)))))))</f>
        <v/>
      </c>
      <c r="M7719" s="112" t="str">
        <f t="shared" si="123"/>
        <v/>
      </c>
      <c r="N7719" s="113"/>
    </row>
    <row r="7720" spans="2:14">
      <c r="B7720" s="105"/>
      <c r="C7720" s="106"/>
      <c r="D7720" s="107"/>
      <c r="E7720" s="65"/>
      <c r="F7720" s="64"/>
      <c r="G7720" s="64"/>
      <c r="H7720" s="64"/>
      <c r="I7720" s="70"/>
      <c r="J7720" s="70"/>
      <c r="K7720" s="110" t="str">
        <f>IF(H7720="","",IF($C$29="간이법","",FPR(H7720,I7720,J7720)))</f>
        <v/>
      </c>
      <c r="L7720" s="111" t="str">
        <f>IF(H7720="","",IF($C$29="상세법",FPV(H7720,K7720),IF(H7720="EI",4,IF(H7720="EO",5.2,IF(H7720="EQ",3.9,IF(H7720="ILF",7.5,IF(H7720="EIF",5.4)))))))</f>
        <v/>
      </c>
      <c r="M7720" s="112" t="str">
        <f t="shared" si="123"/>
        <v/>
      </c>
      <c r="N7720" s="113"/>
    </row>
    <row r="7721" spans="2:14">
      <c r="B7721" s="105"/>
      <c r="C7721" s="106"/>
      <c r="D7721" s="107"/>
      <c r="E7721" s="65"/>
      <c r="F7721" s="64"/>
      <c r="G7721" s="64"/>
      <c r="H7721" s="64"/>
      <c r="I7721" s="70"/>
      <c r="J7721" s="70"/>
      <c r="K7721" s="110" t="str">
        <f>IF(H7721="","",IF($C$29="간이법","",FPR(H7721,I7721,J7721)))</f>
        <v/>
      </c>
      <c r="L7721" s="111" t="str">
        <f>IF(H7721="","",IF($C$29="상세법",FPV(H7721,K7721),IF(H7721="EI",4,IF(H7721="EO",5.2,IF(H7721="EQ",3.9,IF(H7721="ILF",7.5,IF(H7721="EIF",5.4)))))))</f>
        <v/>
      </c>
      <c r="M7721" s="112" t="str">
        <f t="shared" si="123"/>
        <v/>
      </c>
      <c r="N7721" s="113"/>
    </row>
    <row r="7722" spans="2:14">
      <c r="B7722" s="105"/>
      <c r="C7722" s="106"/>
      <c r="D7722" s="107"/>
      <c r="E7722" s="65"/>
      <c r="F7722" s="64"/>
      <c r="G7722" s="64"/>
      <c r="H7722" s="64"/>
      <c r="I7722" s="70"/>
      <c r="J7722" s="70"/>
      <c r="K7722" s="110" t="str">
        <f>IF(H7722="","",IF($C$29="간이법","",FPR(H7722,I7722,J7722)))</f>
        <v/>
      </c>
      <c r="L7722" s="111" t="str">
        <f>IF(H7722="","",IF($C$29="상세법",FPV(H7722,K7722),IF(H7722="EI",4,IF(H7722="EO",5.2,IF(H7722="EQ",3.9,IF(H7722="ILF",7.5,IF(H7722="EIF",5.4)))))))</f>
        <v/>
      </c>
      <c r="M7722" s="112" t="str">
        <f t="shared" si="123"/>
        <v/>
      </c>
      <c r="N7722" s="113"/>
    </row>
    <row r="7723" spans="2:14">
      <c r="B7723" s="105"/>
      <c r="C7723" s="106"/>
      <c r="D7723" s="107"/>
      <c r="E7723" s="65"/>
      <c r="F7723" s="64"/>
      <c r="G7723" s="64"/>
      <c r="H7723" s="64"/>
      <c r="I7723" s="70"/>
      <c r="J7723" s="70"/>
      <c r="K7723" s="110" t="str">
        <f>IF(H7723="","",IF($C$29="간이법","",FPR(H7723,I7723,J7723)))</f>
        <v/>
      </c>
      <c r="L7723" s="111" t="str">
        <f>IF(H7723="","",IF($C$29="상세법",FPV(H7723,K7723),IF(H7723="EI",4,IF(H7723="EO",5.2,IF(H7723="EQ",3.9,IF(H7723="ILF",7.5,IF(H7723="EIF",5.4)))))))</f>
        <v/>
      </c>
      <c r="M7723" s="112" t="str">
        <f t="shared" si="123"/>
        <v/>
      </c>
      <c r="N7723" s="113"/>
    </row>
    <row r="7724" spans="2:14">
      <c r="B7724" s="105"/>
      <c r="C7724" s="106"/>
      <c r="D7724" s="107"/>
      <c r="E7724" s="65"/>
      <c r="F7724" s="64"/>
      <c r="G7724" s="64"/>
      <c r="H7724" s="64"/>
      <c r="I7724" s="70"/>
      <c r="J7724" s="70"/>
      <c r="K7724" s="110" t="str">
        <f>IF(H7724="","",IF($C$29="간이법","",FPR(H7724,I7724,J7724)))</f>
        <v/>
      </c>
      <c r="L7724" s="111" t="str">
        <f>IF(H7724="","",IF($C$29="상세법",FPV(H7724,K7724),IF(H7724="EI",4,IF(H7724="EO",5.2,IF(H7724="EQ",3.9,IF(H7724="ILF",7.5,IF(H7724="EIF",5.4)))))))</f>
        <v/>
      </c>
      <c r="M7724" s="112" t="str">
        <f t="shared" si="123"/>
        <v/>
      </c>
      <c r="N7724" s="113"/>
    </row>
    <row r="7725" spans="2:14">
      <c r="B7725" s="105"/>
      <c r="C7725" s="106"/>
      <c r="D7725" s="107"/>
      <c r="E7725" s="65"/>
      <c r="F7725" s="64"/>
      <c r="G7725" s="64"/>
      <c r="H7725" s="64"/>
      <c r="I7725" s="70"/>
      <c r="J7725" s="70"/>
      <c r="K7725" s="110" t="str">
        <f>IF(H7725="","",IF($C$29="간이법","",FPR(H7725,I7725,J7725)))</f>
        <v/>
      </c>
      <c r="L7725" s="111" t="str">
        <f>IF(H7725="","",IF($C$29="상세법",FPV(H7725,K7725),IF(H7725="EI",4,IF(H7725="EO",5.2,IF(H7725="EQ",3.9,IF(H7725="ILF",7.5,IF(H7725="EIF",5.4)))))))</f>
        <v/>
      </c>
      <c r="M7725" s="112" t="str">
        <f t="shared" si="123"/>
        <v/>
      </c>
      <c r="N7725" s="113"/>
    </row>
    <row r="7726" spans="2:14">
      <c r="B7726" s="105"/>
      <c r="C7726" s="106"/>
      <c r="D7726" s="107"/>
      <c r="E7726" s="65"/>
      <c r="F7726" s="64"/>
      <c r="G7726" s="64"/>
      <c r="H7726" s="64"/>
      <c r="I7726" s="70"/>
      <c r="J7726" s="70"/>
      <c r="K7726" s="110" t="str">
        <f>IF(H7726="","",IF($C$29="간이법","",FPR(H7726,I7726,J7726)))</f>
        <v/>
      </c>
      <c r="L7726" s="111" t="str">
        <f>IF(H7726="","",IF($C$29="상세법",FPV(H7726,K7726),IF(H7726="EI",4,IF(H7726="EO",5.2,IF(H7726="EQ",3.9,IF(H7726="ILF",7.5,IF(H7726="EIF",5.4)))))))</f>
        <v/>
      </c>
      <c r="M7726" s="112" t="str">
        <f t="shared" si="123"/>
        <v/>
      </c>
      <c r="N7726" s="113"/>
    </row>
    <row r="7727" spans="2:14">
      <c r="B7727" s="105"/>
      <c r="C7727" s="106"/>
      <c r="D7727" s="107"/>
      <c r="E7727" s="65"/>
      <c r="F7727" s="64"/>
      <c r="G7727" s="64"/>
      <c r="H7727" s="64"/>
      <c r="I7727" s="70"/>
      <c r="J7727" s="70"/>
      <c r="K7727" s="110" t="str">
        <f>IF(H7727="","",IF($C$29="간이법","",FPR(H7727,I7727,J7727)))</f>
        <v/>
      </c>
      <c r="L7727" s="111" t="str">
        <f>IF(H7727="","",IF($C$29="상세법",FPV(H7727,K7727),IF(H7727="EI",4,IF(H7727="EO",5.2,IF(H7727="EQ",3.9,IF(H7727="ILF",7.5,IF(H7727="EIF",5.4)))))))</f>
        <v/>
      </c>
      <c r="M7727" s="112" t="str">
        <f t="shared" si="123"/>
        <v/>
      </c>
      <c r="N7727" s="113"/>
    </row>
    <row r="7728" spans="2:14">
      <c r="B7728" s="105"/>
      <c r="C7728" s="106"/>
      <c r="D7728" s="107"/>
      <c r="E7728" s="65"/>
      <c r="F7728" s="64"/>
      <c r="G7728" s="64"/>
      <c r="H7728" s="64"/>
      <c r="I7728" s="70"/>
      <c r="J7728" s="70"/>
      <c r="K7728" s="110" t="str">
        <f>IF(H7728="","",IF($C$29="간이법","",FPR(H7728,I7728,J7728)))</f>
        <v/>
      </c>
      <c r="L7728" s="111" t="str">
        <f>IF(H7728="","",IF($C$29="상세법",FPV(H7728,K7728),IF(H7728="EI",4,IF(H7728="EO",5.2,IF(H7728="EQ",3.9,IF(H7728="ILF",7.5,IF(H7728="EIF",5.4)))))))</f>
        <v/>
      </c>
      <c r="M7728" s="112" t="str">
        <f t="shared" si="123"/>
        <v/>
      </c>
      <c r="N7728" s="113"/>
    </row>
    <row r="7729" spans="2:14">
      <c r="B7729" s="105"/>
      <c r="C7729" s="106"/>
      <c r="D7729" s="107"/>
      <c r="E7729" s="65"/>
      <c r="F7729" s="64"/>
      <c r="G7729" s="64"/>
      <c r="H7729" s="64"/>
      <c r="I7729" s="70"/>
      <c r="J7729" s="70"/>
      <c r="K7729" s="110" t="str">
        <f>IF(H7729="","",IF($C$29="간이법","",FPR(H7729,I7729,J7729)))</f>
        <v/>
      </c>
      <c r="L7729" s="111" t="str">
        <f>IF(H7729="","",IF($C$29="상세법",FPV(H7729,K7729),IF(H7729="EI",4,IF(H7729="EO",5.2,IF(H7729="EQ",3.9,IF(H7729="ILF",7.5,IF(H7729="EIF",5.4)))))))</f>
        <v/>
      </c>
      <c r="M7729" s="112" t="str">
        <f t="shared" si="123"/>
        <v/>
      </c>
      <c r="N7729" s="113"/>
    </row>
    <row r="7730" spans="2:14">
      <c r="B7730" s="105"/>
      <c r="C7730" s="106"/>
      <c r="D7730" s="107"/>
      <c r="E7730" s="65"/>
      <c r="F7730" s="64"/>
      <c r="G7730" s="64"/>
      <c r="H7730" s="64"/>
      <c r="I7730" s="70"/>
      <c r="J7730" s="70"/>
      <c r="K7730" s="110" t="str">
        <f>IF(H7730="","",IF($C$29="간이법","",FPR(H7730,I7730,J7730)))</f>
        <v/>
      </c>
      <c r="L7730" s="111" t="str">
        <f>IF(H7730="","",IF($C$29="상세법",FPV(H7730,K7730),IF(H7730="EI",4,IF(H7730="EO",5.2,IF(H7730="EQ",3.9,IF(H7730="ILF",7.5,IF(H7730="EIF",5.4)))))))</f>
        <v/>
      </c>
      <c r="M7730" s="112" t="str">
        <f t="shared" si="123"/>
        <v/>
      </c>
      <c r="N7730" s="113"/>
    </row>
    <row r="7731" spans="2:14">
      <c r="B7731" s="105"/>
      <c r="C7731" s="106"/>
      <c r="D7731" s="107"/>
      <c r="E7731" s="65"/>
      <c r="F7731" s="64"/>
      <c r="G7731" s="64"/>
      <c r="H7731" s="64"/>
      <c r="I7731" s="70"/>
      <c r="J7731" s="70"/>
      <c r="K7731" s="110" t="str">
        <f>IF(H7731="","",IF($C$29="간이법","",FPR(H7731,I7731,J7731)))</f>
        <v/>
      </c>
      <c r="L7731" s="111" t="str">
        <f>IF(H7731="","",IF($C$29="상세법",FPV(H7731,K7731),IF(H7731="EI",4,IF(H7731="EO",5.2,IF(H7731="EQ",3.9,IF(H7731="ILF",7.5,IF(H7731="EIF",5.4)))))))</f>
        <v/>
      </c>
      <c r="M7731" s="112" t="str">
        <f t="shared" si="123"/>
        <v/>
      </c>
      <c r="N7731" s="113"/>
    </row>
    <row r="7732" spans="2:14">
      <c r="B7732" s="105"/>
      <c r="C7732" s="106"/>
      <c r="D7732" s="107"/>
      <c r="E7732" s="65"/>
      <c r="F7732" s="64"/>
      <c r="G7732" s="64"/>
      <c r="H7732" s="64"/>
      <c r="I7732" s="70"/>
      <c r="J7732" s="70"/>
      <c r="K7732" s="110" t="str">
        <f>IF(H7732="","",IF($C$29="간이법","",FPR(H7732,I7732,J7732)))</f>
        <v/>
      </c>
      <c r="L7732" s="111" t="str">
        <f>IF(H7732="","",IF($C$29="상세법",FPV(H7732,K7732),IF(H7732="EI",4,IF(H7732="EO",5.2,IF(H7732="EQ",3.9,IF(H7732="ILF",7.5,IF(H7732="EIF",5.4)))))))</f>
        <v/>
      </c>
      <c r="M7732" s="112" t="str">
        <f t="shared" si="123"/>
        <v/>
      </c>
      <c r="N7732" s="113"/>
    </row>
    <row r="7733" spans="2:14">
      <c r="B7733" s="105"/>
      <c r="C7733" s="106"/>
      <c r="D7733" s="107"/>
      <c r="E7733" s="65"/>
      <c r="F7733" s="64"/>
      <c r="G7733" s="64"/>
      <c r="H7733" s="64"/>
      <c r="I7733" s="70"/>
      <c r="J7733" s="70"/>
      <c r="K7733" s="110" t="str">
        <f>IF(H7733="","",IF($C$29="간이법","",FPR(H7733,I7733,J7733)))</f>
        <v/>
      </c>
      <c r="L7733" s="111" t="str">
        <f>IF(H7733="","",IF($C$29="상세법",FPV(H7733,K7733),IF(H7733="EI",4,IF(H7733="EO",5.2,IF(H7733="EQ",3.9,IF(H7733="ILF",7.5,IF(H7733="EIF",5.4)))))))</f>
        <v/>
      </c>
      <c r="M7733" s="112" t="str">
        <f t="shared" si="123"/>
        <v/>
      </c>
      <c r="N7733" s="113"/>
    </row>
    <row r="7734" spans="2:14">
      <c r="B7734" s="105"/>
      <c r="C7734" s="106"/>
      <c r="D7734" s="107"/>
      <c r="E7734" s="65"/>
      <c r="F7734" s="64"/>
      <c r="G7734" s="64"/>
      <c r="H7734" s="64"/>
      <c r="I7734" s="70"/>
      <c r="J7734" s="70"/>
      <c r="K7734" s="110" t="str">
        <f>IF(H7734="","",IF($C$29="간이법","",FPR(H7734,I7734,J7734)))</f>
        <v/>
      </c>
      <c r="L7734" s="111" t="str">
        <f>IF(H7734="","",IF($C$29="상세법",FPV(H7734,K7734),IF(H7734="EI",4,IF(H7734="EO",5.2,IF(H7734="EQ",3.9,IF(H7734="ILF",7.5,IF(H7734="EIF",5.4)))))))</f>
        <v/>
      </c>
      <c r="M7734" s="112" t="str">
        <f t="shared" si="123"/>
        <v/>
      </c>
      <c r="N7734" s="113"/>
    </row>
    <row r="7735" spans="2:14">
      <c r="B7735" s="105"/>
      <c r="C7735" s="106"/>
      <c r="D7735" s="107"/>
      <c r="E7735" s="65"/>
      <c r="F7735" s="64"/>
      <c r="G7735" s="64"/>
      <c r="H7735" s="64"/>
      <c r="I7735" s="70"/>
      <c r="J7735" s="70"/>
      <c r="K7735" s="110" t="str">
        <f>IF(H7735="","",IF($C$29="간이법","",FPR(H7735,I7735,J7735)))</f>
        <v/>
      </c>
      <c r="L7735" s="111" t="str">
        <f>IF(H7735="","",IF($C$29="상세법",FPV(H7735,K7735),IF(H7735="EI",4,IF(H7735="EO",5.2,IF(H7735="EQ",3.9,IF(H7735="ILF",7.5,IF(H7735="EIF",5.4)))))))</f>
        <v/>
      </c>
      <c r="M7735" s="112" t="str">
        <f t="shared" si="123"/>
        <v/>
      </c>
      <c r="N7735" s="113"/>
    </row>
    <row r="7736" spans="2:14">
      <c r="B7736" s="105"/>
      <c r="C7736" s="106"/>
      <c r="D7736" s="107"/>
      <c r="E7736" s="65"/>
      <c r="F7736" s="64"/>
      <c r="G7736" s="64"/>
      <c r="H7736" s="64"/>
      <c r="I7736" s="70"/>
      <c r="J7736" s="70"/>
      <c r="K7736" s="110" t="str">
        <f>IF(H7736="","",IF($C$29="간이법","",FPR(H7736,I7736,J7736)))</f>
        <v/>
      </c>
      <c r="L7736" s="111" t="str">
        <f>IF(H7736="","",IF($C$29="상세법",FPV(H7736,K7736),IF(H7736="EI",4,IF(H7736="EO",5.2,IF(H7736="EQ",3.9,IF(H7736="ILF",7.5,IF(H7736="EIF",5.4)))))))</f>
        <v/>
      </c>
      <c r="M7736" s="112" t="str">
        <f t="shared" si="123"/>
        <v/>
      </c>
      <c r="N7736" s="113"/>
    </row>
    <row r="7737" spans="2:14">
      <c r="B7737" s="105"/>
      <c r="C7737" s="106"/>
      <c r="D7737" s="107"/>
      <c r="E7737" s="65"/>
      <c r="F7737" s="64"/>
      <c r="G7737" s="64"/>
      <c r="H7737" s="64"/>
      <c r="I7737" s="70"/>
      <c r="J7737" s="70"/>
      <c r="K7737" s="110" t="str">
        <f>IF(H7737="","",IF($C$29="간이법","",FPR(H7737,I7737,J7737)))</f>
        <v/>
      </c>
      <c r="L7737" s="111" t="str">
        <f>IF(H7737="","",IF($C$29="상세법",FPV(H7737,K7737),IF(H7737="EI",4,IF(H7737="EO",5.2,IF(H7737="EQ",3.9,IF(H7737="ILF",7.5,IF(H7737="EIF",5.4)))))))</f>
        <v/>
      </c>
      <c r="M7737" s="112" t="str">
        <f t="shared" ref="M7737:M7800" si="124">IF(L7737="","",L7737*IF(G7737="상",0.7,IF(G7737="중",0.5,IF(G7737="하",0.2,1))))</f>
        <v/>
      </c>
      <c r="N7737" s="113"/>
    </row>
    <row r="7738" spans="2:14">
      <c r="B7738" s="105"/>
      <c r="C7738" s="106"/>
      <c r="D7738" s="107"/>
      <c r="E7738" s="65"/>
      <c r="F7738" s="64"/>
      <c r="G7738" s="64"/>
      <c r="H7738" s="64"/>
      <c r="I7738" s="70"/>
      <c r="J7738" s="70"/>
      <c r="K7738" s="110" t="str">
        <f>IF(H7738="","",IF($C$29="간이법","",FPR(H7738,I7738,J7738)))</f>
        <v/>
      </c>
      <c r="L7738" s="111" t="str">
        <f>IF(H7738="","",IF($C$29="상세법",FPV(H7738,K7738),IF(H7738="EI",4,IF(H7738="EO",5.2,IF(H7738="EQ",3.9,IF(H7738="ILF",7.5,IF(H7738="EIF",5.4)))))))</f>
        <v/>
      </c>
      <c r="M7738" s="112" t="str">
        <f t="shared" si="124"/>
        <v/>
      </c>
      <c r="N7738" s="113"/>
    </row>
    <row r="7739" spans="2:14">
      <c r="B7739" s="105"/>
      <c r="C7739" s="106"/>
      <c r="D7739" s="107"/>
      <c r="E7739" s="65"/>
      <c r="F7739" s="64"/>
      <c r="G7739" s="64"/>
      <c r="H7739" s="64"/>
      <c r="I7739" s="70"/>
      <c r="J7739" s="70"/>
      <c r="K7739" s="110" t="str">
        <f>IF(H7739="","",IF($C$29="간이법","",FPR(H7739,I7739,J7739)))</f>
        <v/>
      </c>
      <c r="L7739" s="111" t="str">
        <f>IF(H7739="","",IF($C$29="상세법",FPV(H7739,K7739),IF(H7739="EI",4,IF(H7739="EO",5.2,IF(H7739="EQ",3.9,IF(H7739="ILF",7.5,IF(H7739="EIF",5.4)))))))</f>
        <v/>
      </c>
      <c r="M7739" s="112" t="str">
        <f t="shared" si="124"/>
        <v/>
      </c>
      <c r="N7739" s="113"/>
    </row>
    <row r="7740" spans="2:14">
      <c r="B7740" s="105"/>
      <c r="C7740" s="106"/>
      <c r="D7740" s="107"/>
      <c r="E7740" s="65"/>
      <c r="F7740" s="64"/>
      <c r="G7740" s="64"/>
      <c r="H7740" s="64"/>
      <c r="I7740" s="70"/>
      <c r="J7740" s="70"/>
      <c r="K7740" s="110" t="str">
        <f>IF(H7740="","",IF($C$29="간이법","",FPR(H7740,I7740,J7740)))</f>
        <v/>
      </c>
      <c r="L7740" s="111" t="str">
        <f>IF(H7740="","",IF($C$29="상세법",FPV(H7740,K7740),IF(H7740="EI",4,IF(H7740="EO",5.2,IF(H7740="EQ",3.9,IF(H7740="ILF",7.5,IF(H7740="EIF",5.4)))))))</f>
        <v/>
      </c>
      <c r="M7740" s="112" t="str">
        <f t="shared" si="124"/>
        <v/>
      </c>
      <c r="N7740" s="113"/>
    </row>
    <row r="7741" spans="2:14">
      <c r="B7741" s="105"/>
      <c r="C7741" s="106"/>
      <c r="D7741" s="107"/>
      <c r="E7741" s="65"/>
      <c r="F7741" s="64"/>
      <c r="G7741" s="64"/>
      <c r="H7741" s="64"/>
      <c r="I7741" s="70"/>
      <c r="J7741" s="70"/>
      <c r="K7741" s="110" t="str">
        <f>IF(H7741="","",IF($C$29="간이법","",FPR(H7741,I7741,J7741)))</f>
        <v/>
      </c>
      <c r="L7741" s="111" t="str">
        <f>IF(H7741="","",IF($C$29="상세법",FPV(H7741,K7741),IF(H7741="EI",4,IF(H7741="EO",5.2,IF(H7741="EQ",3.9,IF(H7741="ILF",7.5,IF(H7741="EIF",5.4)))))))</f>
        <v/>
      </c>
      <c r="M7741" s="112" t="str">
        <f t="shared" si="124"/>
        <v/>
      </c>
      <c r="N7741" s="113"/>
    </row>
    <row r="7742" spans="2:14">
      <c r="B7742" s="105"/>
      <c r="C7742" s="106"/>
      <c r="D7742" s="107"/>
      <c r="E7742" s="65"/>
      <c r="F7742" s="64"/>
      <c r="G7742" s="64"/>
      <c r="H7742" s="64"/>
      <c r="I7742" s="70"/>
      <c r="J7742" s="70"/>
      <c r="K7742" s="110" t="str">
        <f>IF(H7742="","",IF($C$29="간이법","",FPR(H7742,I7742,J7742)))</f>
        <v/>
      </c>
      <c r="L7742" s="111" t="str">
        <f>IF(H7742="","",IF($C$29="상세법",FPV(H7742,K7742),IF(H7742="EI",4,IF(H7742="EO",5.2,IF(H7742="EQ",3.9,IF(H7742="ILF",7.5,IF(H7742="EIF",5.4)))))))</f>
        <v/>
      </c>
      <c r="M7742" s="112" t="str">
        <f t="shared" si="124"/>
        <v/>
      </c>
      <c r="N7742" s="113"/>
    </row>
    <row r="7743" spans="2:14">
      <c r="B7743" s="105"/>
      <c r="C7743" s="106"/>
      <c r="D7743" s="107"/>
      <c r="E7743" s="65"/>
      <c r="F7743" s="64"/>
      <c r="G7743" s="64"/>
      <c r="H7743" s="64"/>
      <c r="I7743" s="70"/>
      <c r="J7743" s="70"/>
      <c r="K7743" s="110" t="str">
        <f>IF(H7743="","",IF($C$29="간이법","",FPR(H7743,I7743,J7743)))</f>
        <v/>
      </c>
      <c r="L7743" s="111" t="str">
        <f>IF(H7743="","",IF($C$29="상세법",FPV(H7743,K7743),IF(H7743="EI",4,IF(H7743="EO",5.2,IF(H7743="EQ",3.9,IF(H7743="ILF",7.5,IF(H7743="EIF",5.4)))))))</f>
        <v/>
      </c>
      <c r="M7743" s="112" t="str">
        <f t="shared" si="124"/>
        <v/>
      </c>
      <c r="N7743" s="113"/>
    </row>
    <row r="7744" spans="2:14">
      <c r="B7744" s="105"/>
      <c r="C7744" s="106"/>
      <c r="D7744" s="107"/>
      <c r="E7744" s="65"/>
      <c r="F7744" s="64"/>
      <c r="G7744" s="64"/>
      <c r="H7744" s="64"/>
      <c r="I7744" s="70"/>
      <c r="J7744" s="70"/>
      <c r="K7744" s="110" t="str">
        <f>IF(H7744="","",IF($C$29="간이법","",FPR(H7744,I7744,J7744)))</f>
        <v/>
      </c>
      <c r="L7744" s="111" t="str">
        <f>IF(H7744="","",IF($C$29="상세법",FPV(H7744,K7744),IF(H7744="EI",4,IF(H7744="EO",5.2,IF(H7744="EQ",3.9,IF(H7744="ILF",7.5,IF(H7744="EIF",5.4)))))))</f>
        <v/>
      </c>
      <c r="M7744" s="112" t="str">
        <f t="shared" si="124"/>
        <v/>
      </c>
      <c r="N7744" s="113"/>
    </row>
    <row r="7745" spans="2:14">
      <c r="B7745" s="105"/>
      <c r="C7745" s="106"/>
      <c r="D7745" s="107"/>
      <c r="E7745" s="65"/>
      <c r="F7745" s="64"/>
      <c r="G7745" s="64"/>
      <c r="H7745" s="64"/>
      <c r="I7745" s="70"/>
      <c r="J7745" s="70"/>
      <c r="K7745" s="110" t="str">
        <f>IF(H7745="","",IF($C$29="간이법","",FPR(H7745,I7745,J7745)))</f>
        <v/>
      </c>
      <c r="L7745" s="111" t="str">
        <f>IF(H7745="","",IF($C$29="상세법",FPV(H7745,K7745),IF(H7745="EI",4,IF(H7745="EO",5.2,IF(H7745="EQ",3.9,IF(H7745="ILF",7.5,IF(H7745="EIF",5.4)))))))</f>
        <v/>
      </c>
      <c r="M7745" s="112" t="str">
        <f t="shared" si="124"/>
        <v/>
      </c>
      <c r="N7745" s="113"/>
    </row>
    <row r="7746" spans="2:14">
      <c r="B7746" s="105"/>
      <c r="C7746" s="106"/>
      <c r="D7746" s="107"/>
      <c r="E7746" s="65"/>
      <c r="F7746" s="64"/>
      <c r="G7746" s="64"/>
      <c r="H7746" s="64"/>
      <c r="I7746" s="70"/>
      <c r="J7746" s="70"/>
      <c r="K7746" s="110" t="str">
        <f>IF(H7746="","",IF($C$29="간이법","",FPR(H7746,I7746,J7746)))</f>
        <v/>
      </c>
      <c r="L7746" s="111" t="str">
        <f>IF(H7746="","",IF($C$29="상세법",FPV(H7746,K7746),IF(H7746="EI",4,IF(H7746="EO",5.2,IF(H7746="EQ",3.9,IF(H7746="ILF",7.5,IF(H7746="EIF",5.4)))))))</f>
        <v/>
      </c>
      <c r="M7746" s="112" t="str">
        <f t="shared" si="124"/>
        <v/>
      </c>
      <c r="N7746" s="113"/>
    </row>
    <row r="7747" spans="2:14">
      <c r="B7747" s="105"/>
      <c r="C7747" s="106"/>
      <c r="D7747" s="107"/>
      <c r="E7747" s="65"/>
      <c r="F7747" s="64"/>
      <c r="G7747" s="64"/>
      <c r="H7747" s="64"/>
      <c r="I7747" s="70"/>
      <c r="J7747" s="70"/>
      <c r="K7747" s="110" t="str">
        <f>IF(H7747="","",IF($C$29="간이법","",FPR(H7747,I7747,J7747)))</f>
        <v/>
      </c>
      <c r="L7747" s="111" t="str">
        <f>IF(H7747="","",IF($C$29="상세법",FPV(H7747,K7747),IF(H7747="EI",4,IF(H7747="EO",5.2,IF(H7747="EQ",3.9,IF(H7747="ILF",7.5,IF(H7747="EIF",5.4)))))))</f>
        <v/>
      </c>
      <c r="M7747" s="112" t="str">
        <f t="shared" si="124"/>
        <v/>
      </c>
      <c r="N7747" s="113"/>
    </row>
    <row r="7748" spans="2:14">
      <c r="B7748" s="105"/>
      <c r="C7748" s="106"/>
      <c r="D7748" s="107"/>
      <c r="E7748" s="65"/>
      <c r="F7748" s="64"/>
      <c r="G7748" s="64"/>
      <c r="H7748" s="64"/>
      <c r="I7748" s="70"/>
      <c r="J7748" s="70"/>
      <c r="K7748" s="110" t="str">
        <f>IF(H7748="","",IF($C$29="간이법","",FPR(H7748,I7748,J7748)))</f>
        <v/>
      </c>
      <c r="L7748" s="111" t="str">
        <f>IF(H7748="","",IF($C$29="상세법",FPV(H7748,K7748),IF(H7748="EI",4,IF(H7748="EO",5.2,IF(H7748="EQ",3.9,IF(H7748="ILF",7.5,IF(H7748="EIF",5.4)))))))</f>
        <v/>
      </c>
      <c r="M7748" s="112" t="str">
        <f t="shared" si="124"/>
        <v/>
      </c>
      <c r="N7748" s="113"/>
    </row>
    <row r="7749" spans="2:14">
      <c r="B7749" s="105"/>
      <c r="C7749" s="106"/>
      <c r="D7749" s="107"/>
      <c r="E7749" s="65"/>
      <c r="F7749" s="64"/>
      <c r="G7749" s="64"/>
      <c r="H7749" s="64"/>
      <c r="I7749" s="70"/>
      <c r="J7749" s="70"/>
      <c r="K7749" s="110" t="str">
        <f>IF(H7749="","",IF($C$29="간이법","",FPR(H7749,I7749,J7749)))</f>
        <v/>
      </c>
      <c r="L7749" s="111" t="str">
        <f>IF(H7749="","",IF($C$29="상세법",FPV(H7749,K7749),IF(H7749="EI",4,IF(H7749="EO",5.2,IF(H7749="EQ",3.9,IF(H7749="ILF",7.5,IF(H7749="EIF",5.4)))))))</f>
        <v/>
      </c>
      <c r="M7749" s="112" t="str">
        <f t="shared" si="124"/>
        <v/>
      </c>
      <c r="N7749" s="113"/>
    </row>
    <row r="7750" spans="2:14">
      <c r="B7750" s="105"/>
      <c r="C7750" s="106"/>
      <c r="D7750" s="107"/>
      <c r="E7750" s="65"/>
      <c r="F7750" s="64"/>
      <c r="G7750" s="64"/>
      <c r="H7750" s="64"/>
      <c r="I7750" s="70"/>
      <c r="J7750" s="70"/>
      <c r="K7750" s="110" t="str">
        <f>IF(H7750="","",IF($C$29="간이법","",FPR(H7750,I7750,J7750)))</f>
        <v/>
      </c>
      <c r="L7750" s="111" t="str">
        <f>IF(H7750="","",IF($C$29="상세법",FPV(H7750,K7750),IF(H7750="EI",4,IF(H7750="EO",5.2,IF(H7750="EQ",3.9,IF(H7750="ILF",7.5,IF(H7750="EIF",5.4)))))))</f>
        <v/>
      </c>
      <c r="M7750" s="112" t="str">
        <f t="shared" si="124"/>
        <v/>
      </c>
      <c r="N7750" s="113"/>
    </row>
    <row r="7751" spans="2:14">
      <c r="B7751" s="105"/>
      <c r="C7751" s="106"/>
      <c r="D7751" s="107"/>
      <c r="E7751" s="65"/>
      <c r="F7751" s="64"/>
      <c r="G7751" s="64"/>
      <c r="H7751" s="64"/>
      <c r="I7751" s="70"/>
      <c r="J7751" s="70"/>
      <c r="K7751" s="110" t="str">
        <f>IF(H7751="","",IF($C$29="간이법","",FPR(H7751,I7751,J7751)))</f>
        <v/>
      </c>
      <c r="L7751" s="111" t="str">
        <f>IF(H7751="","",IF($C$29="상세법",FPV(H7751,K7751),IF(H7751="EI",4,IF(H7751="EO",5.2,IF(H7751="EQ",3.9,IF(H7751="ILF",7.5,IF(H7751="EIF",5.4)))))))</f>
        <v/>
      </c>
      <c r="M7751" s="112" t="str">
        <f t="shared" si="124"/>
        <v/>
      </c>
      <c r="N7751" s="113"/>
    </row>
    <row r="7752" spans="2:14">
      <c r="B7752" s="105"/>
      <c r="C7752" s="106"/>
      <c r="D7752" s="107"/>
      <c r="E7752" s="65"/>
      <c r="F7752" s="64"/>
      <c r="G7752" s="64"/>
      <c r="H7752" s="64"/>
      <c r="I7752" s="70"/>
      <c r="J7752" s="70"/>
      <c r="K7752" s="110" t="str">
        <f>IF(H7752="","",IF($C$29="간이법","",FPR(H7752,I7752,J7752)))</f>
        <v/>
      </c>
      <c r="L7752" s="111" t="str">
        <f>IF(H7752="","",IF($C$29="상세법",FPV(H7752,K7752),IF(H7752="EI",4,IF(H7752="EO",5.2,IF(H7752="EQ",3.9,IF(H7752="ILF",7.5,IF(H7752="EIF",5.4)))))))</f>
        <v/>
      </c>
      <c r="M7752" s="112" t="str">
        <f t="shared" si="124"/>
        <v/>
      </c>
      <c r="N7752" s="113"/>
    </row>
    <row r="7753" spans="2:14">
      <c r="B7753" s="105"/>
      <c r="C7753" s="106"/>
      <c r="D7753" s="107"/>
      <c r="E7753" s="65"/>
      <c r="F7753" s="64"/>
      <c r="G7753" s="64"/>
      <c r="H7753" s="64"/>
      <c r="I7753" s="70"/>
      <c r="J7753" s="70"/>
      <c r="K7753" s="110" t="str">
        <f>IF(H7753="","",IF($C$29="간이법","",FPR(H7753,I7753,J7753)))</f>
        <v/>
      </c>
      <c r="L7753" s="111" t="str">
        <f>IF(H7753="","",IF($C$29="상세법",FPV(H7753,K7753),IF(H7753="EI",4,IF(H7753="EO",5.2,IF(H7753="EQ",3.9,IF(H7753="ILF",7.5,IF(H7753="EIF",5.4)))))))</f>
        <v/>
      </c>
      <c r="M7753" s="112" t="str">
        <f t="shared" si="124"/>
        <v/>
      </c>
      <c r="N7753" s="113"/>
    </row>
    <row r="7754" spans="2:14">
      <c r="B7754" s="105"/>
      <c r="C7754" s="106"/>
      <c r="D7754" s="107"/>
      <c r="E7754" s="65"/>
      <c r="F7754" s="64"/>
      <c r="G7754" s="64"/>
      <c r="H7754" s="64"/>
      <c r="I7754" s="70"/>
      <c r="J7754" s="70"/>
      <c r="K7754" s="110" t="str">
        <f>IF(H7754="","",IF($C$29="간이법","",FPR(H7754,I7754,J7754)))</f>
        <v/>
      </c>
      <c r="L7754" s="111" t="str">
        <f>IF(H7754="","",IF($C$29="상세법",FPV(H7754,K7754),IF(H7754="EI",4,IF(H7754="EO",5.2,IF(H7754="EQ",3.9,IF(H7754="ILF",7.5,IF(H7754="EIF",5.4)))))))</f>
        <v/>
      </c>
      <c r="M7754" s="112" t="str">
        <f t="shared" si="124"/>
        <v/>
      </c>
      <c r="N7754" s="113"/>
    </row>
    <row r="7755" spans="2:14">
      <c r="B7755" s="105"/>
      <c r="C7755" s="106"/>
      <c r="D7755" s="107"/>
      <c r="E7755" s="65"/>
      <c r="F7755" s="64"/>
      <c r="G7755" s="64"/>
      <c r="H7755" s="64"/>
      <c r="I7755" s="70"/>
      <c r="J7755" s="70"/>
      <c r="K7755" s="110" t="str">
        <f>IF(H7755="","",IF($C$29="간이법","",FPR(H7755,I7755,J7755)))</f>
        <v/>
      </c>
      <c r="L7755" s="111" t="str">
        <f>IF(H7755="","",IF($C$29="상세법",FPV(H7755,K7755),IF(H7755="EI",4,IF(H7755="EO",5.2,IF(H7755="EQ",3.9,IF(H7755="ILF",7.5,IF(H7755="EIF",5.4)))))))</f>
        <v/>
      </c>
      <c r="M7755" s="112" t="str">
        <f t="shared" si="124"/>
        <v/>
      </c>
      <c r="N7755" s="113"/>
    </row>
    <row r="7756" spans="2:14">
      <c r="B7756" s="105"/>
      <c r="C7756" s="106"/>
      <c r="D7756" s="107"/>
      <c r="E7756" s="65"/>
      <c r="F7756" s="64"/>
      <c r="G7756" s="64"/>
      <c r="H7756" s="64"/>
      <c r="I7756" s="70"/>
      <c r="J7756" s="70"/>
      <c r="K7756" s="110" t="str">
        <f>IF(H7756="","",IF($C$29="간이법","",FPR(H7756,I7756,J7756)))</f>
        <v/>
      </c>
      <c r="L7756" s="111" t="str">
        <f>IF(H7756="","",IF($C$29="상세법",FPV(H7756,K7756),IF(H7756="EI",4,IF(H7756="EO",5.2,IF(H7756="EQ",3.9,IF(H7756="ILF",7.5,IF(H7756="EIF",5.4)))))))</f>
        <v/>
      </c>
      <c r="M7756" s="112" t="str">
        <f t="shared" si="124"/>
        <v/>
      </c>
      <c r="N7756" s="113"/>
    </row>
    <row r="7757" spans="2:14">
      <c r="B7757" s="105"/>
      <c r="C7757" s="106"/>
      <c r="D7757" s="107"/>
      <c r="E7757" s="65"/>
      <c r="F7757" s="64"/>
      <c r="G7757" s="64"/>
      <c r="H7757" s="64"/>
      <c r="I7757" s="70"/>
      <c r="J7757" s="70"/>
      <c r="K7757" s="110" t="str">
        <f>IF(H7757="","",IF($C$29="간이법","",FPR(H7757,I7757,J7757)))</f>
        <v/>
      </c>
      <c r="L7757" s="111" t="str">
        <f>IF(H7757="","",IF($C$29="상세법",FPV(H7757,K7757),IF(H7757="EI",4,IF(H7757="EO",5.2,IF(H7757="EQ",3.9,IF(H7757="ILF",7.5,IF(H7757="EIF",5.4)))))))</f>
        <v/>
      </c>
      <c r="M7757" s="112" t="str">
        <f t="shared" si="124"/>
        <v/>
      </c>
      <c r="N7757" s="113"/>
    </row>
    <row r="7758" spans="2:14">
      <c r="B7758" s="105"/>
      <c r="C7758" s="106"/>
      <c r="D7758" s="107"/>
      <c r="E7758" s="65"/>
      <c r="F7758" s="64"/>
      <c r="G7758" s="64"/>
      <c r="H7758" s="64"/>
      <c r="I7758" s="70"/>
      <c r="J7758" s="70"/>
      <c r="K7758" s="110" t="str">
        <f>IF(H7758="","",IF($C$29="간이법","",FPR(H7758,I7758,J7758)))</f>
        <v/>
      </c>
      <c r="L7758" s="111" t="str">
        <f>IF(H7758="","",IF($C$29="상세법",FPV(H7758,K7758),IF(H7758="EI",4,IF(H7758="EO",5.2,IF(H7758="EQ",3.9,IF(H7758="ILF",7.5,IF(H7758="EIF",5.4)))))))</f>
        <v/>
      </c>
      <c r="M7758" s="112" t="str">
        <f t="shared" si="124"/>
        <v/>
      </c>
      <c r="N7758" s="113"/>
    </row>
    <row r="7759" spans="2:14">
      <c r="B7759" s="105"/>
      <c r="C7759" s="106"/>
      <c r="D7759" s="107"/>
      <c r="E7759" s="65"/>
      <c r="F7759" s="64"/>
      <c r="G7759" s="64"/>
      <c r="H7759" s="64"/>
      <c r="I7759" s="70"/>
      <c r="J7759" s="70"/>
      <c r="K7759" s="110" t="str">
        <f>IF(H7759="","",IF($C$29="간이법","",FPR(H7759,I7759,J7759)))</f>
        <v/>
      </c>
      <c r="L7759" s="111" t="str">
        <f>IF(H7759="","",IF($C$29="상세법",FPV(H7759,K7759),IF(H7759="EI",4,IF(H7759="EO",5.2,IF(H7759="EQ",3.9,IF(H7759="ILF",7.5,IF(H7759="EIF",5.4)))))))</f>
        <v/>
      </c>
      <c r="M7759" s="112" t="str">
        <f t="shared" si="124"/>
        <v/>
      </c>
      <c r="N7759" s="113"/>
    </row>
    <row r="7760" spans="2:14">
      <c r="B7760" s="105"/>
      <c r="C7760" s="106"/>
      <c r="D7760" s="107"/>
      <c r="E7760" s="65"/>
      <c r="F7760" s="64"/>
      <c r="G7760" s="64"/>
      <c r="H7760" s="64"/>
      <c r="I7760" s="70"/>
      <c r="J7760" s="70"/>
      <c r="K7760" s="110" t="str">
        <f>IF(H7760="","",IF($C$29="간이법","",FPR(H7760,I7760,J7760)))</f>
        <v/>
      </c>
      <c r="L7760" s="111" t="str">
        <f>IF(H7760="","",IF($C$29="상세법",FPV(H7760,K7760),IF(H7760="EI",4,IF(H7760="EO",5.2,IF(H7760="EQ",3.9,IF(H7760="ILF",7.5,IF(H7760="EIF",5.4)))))))</f>
        <v/>
      </c>
      <c r="M7760" s="112" t="str">
        <f t="shared" si="124"/>
        <v/>
      </c>
      <c r="N7760" s="113"/>
    </row>
    <row r="7761" spans="2:14">
      <c r="B7761" s="105"/>
      <c r="C7761" s="106"/>
      <c r="D7761" s="107"/>
      <c r="E7761" s="65"/>
      <c r="F7761" s="64"/>
      <c r="G7761" s="64"/>
      <c r="H7761" s="64"/>
      <c r="I7761" s="70"/>
      <c r="J7761" s="70"/>
      <c r="K7761" s="110" t="str">
        <f>IF(H7761="","",IF($C$29="간이법","",FPR(H7761,I7761,J7761)))</f>
        <v/>
      </c>
      <c r="L7761" s="111" t="str">
        <f>IF(H7761="","",IF($C$29="상세법",FPV(H7761,K7761),IF(H7761="EI",4,IF(H7761="EO",5.2,IF(H7761="EQ",3.9,IF(H7761="ILF",7.5,IF(H7761="EIF",5.4)))))))</f>
        <v/>
      </c>
      <c r="M7761" s="112" t="str">
        <f t="shared" si="124"/>
        <v/>
      </c>
      <c r="N7761" s="113"/>
    </row>
    <row r="7762" spans="2:14">
      <c r="B7762" s="105"/>
      <c r="C7762" s="106"/>
      <c r="D7762" s="107"/>
      <c r="E7762" s="65"/>
      <c r="F7762" s="64"/>
      <c r="G7762" s="64"/>
      <c r="H7762" s="64"/>
      <c r="I7762" s="70"/>
      <c r="J7762" s="70"/>
      <c r="K7762" s="110" t="str">
        <f>IF(H7762="","",IF($C$29="간이법","",FPR(H7762,I7762,J7762)))</f>
        <v/>
      </c>
      <c r="L7762" s="111" t="str">
        <f>IF(H7762="","",IF($C$29="상세법",FPV(H7762,K7762),IF(H7762="EI",4,IF(H7762="EO",5.2,IF(H7762="EQ",3.9,IF(H7762="ILF",7.5,IF(H7762="EIF",5.4)))))))</f>
        <v/>
      </c>
      <c r="M7762" s="112" t="str">
        <f t="shared" si="124"/>
        <v/>
      </c>
      <c r="N7762" s="113"/>
    </row>
    <row r="7763" spans="2:14">
      <c r="B7763" s="105"/>
      <c r="C7763" s="106"/>
      <c r="D7763" s="107"/>
      <c r="E7763" s="65"/>
      <c r="F7763" s="64"/>
      <c r="G7763" s="64"/>
      <c r="H7763" s="64"/>
      <c r="I7763" s="70"/>
      <c r="J7763" s="70"/>
      <c r="K7763" s="110" t="str">
        <f>IF(H7763="","",IF($C$29="간이법","",FPR(H7763,I7763,J7763)))</f>
        <v/>
      </c>
      <c r="L7763" s="111" t="str">
        <f>IF(H7763="","",IF($C$29="상세법",FPV(H7763,K7763),IF(H7763="EI",4,IF(H7763="EO",5.2,IF(H7763="EQ",3.9,IF(H7763="ILF",7.5,IF(H7763="EIF",5.4)))))))</f>
        <v/>
      </c>
      <c r="M7763" s="112" t="str">
        <f t="shared" si="124"/>
        <v/>
      </c>
      <c r="N7763" s="113"/>
    </row>
    <row r="7764" spans="2:14">
      <c r="B7764" s="105"/>
      <c r="C7764" s="106"/>
      <c r="D7764" s="107"/>
      <c r="E7764" s="65"/>
      <c r="F7764" s="64"/>
      <c r="G7764" s="64"/>
      <c r="H7764" s="64"/>
      <c r="I7764" s="70"/>
      <c r="J7764" s="70"/>
      <c r="K7764" s="110" t="str">
        <f>IF(H7764="","",IF($C$29="간이법","",FPR(H7764,I7764,J7764)))</f>
        <v/>
      </c>
      <c r="L7764" s="111" t="str">
        <f>IF(H7764="","",IF($C$29="상세법",FPV(H7764,K7764),IF(H7764="EI",4,IF(H7764="EO",5.2,IF(H7764="EQ",3.9,IF(H7764="ILF",7.5,IF(H7764="EIF",5.4)))))))</f>
        <v/>
      </c>
      <c r="M7764" s="112" t="str">
        <f t="shared" si="124"/>
        <v/>
      </c>
      <c r="N7764" s="113"/>
    </row>
    <row r="7765" spans="2:14">
      <c r="B7765" s="105"/>
      <c r="C7765" s="106"/>
      <c r="D7765" s="107"/>
      <c r="E7765" s="65"/>
      <c r="F7765" s="64"/>
      <c r="G7765" s="64"/>
      <c r="H7765" s="64"/>
      <c r="I7765" s="70"/>
      <c r="J7765" s="70"/>
      <c r="K7765" s="110" t="str">
        <f>IF(H7765="","",IF($C$29="간이법","",FPR(H7765,I7765,J7765)))</f>
        <v/>
      </c>
      <c r="L7765" s="111" t="str">
        <f>IF(H7765="","",IF($C$29="상세법",FPV(H7765,K7765),IF(H7765="EI",4,IF(H7765="EO",5.2,IF(H7765="EQ",3.9,IF(H7765="ILF",7.5,IF(H7765="EIF",5.4)))))))</f>
        <v/>
      </c>
      <c r="M7765" s="112" t="str">
        <f t="shared" si="124"/>
        <v/>
      </c>
      <c r="N7765" s="113"/>
    </row>
    <row r="7766" spans="2:14">
      <c r="B7766" s="105"/>
      <c r="C7766" s="106"/>
      <c r="D7766" s="107"/>
      <c r="E7766" s="65"/>
      <c r="F7766" s="64"/>
      <c r="G7766" s="64"/>
      <c r="H7766" s="64"/>
      <c r="I7766" s="70"/>
      <c r="J7766" s="70"/>
      <c r="K7766" s="110" t="str">
        <f>IF(H7766="","",IF($C$29="간이법","",FPR(H7766,I7766,J7766)))</f>
        <v/>
      </c>
      <c r="L7766" s="111" t="str">
        <f>IF(H7766="","",IF($C$29="상세법",FPV(H7766,K7766),IF(H7766="EI",4,IF(H7766="EO",5.2,IF(H7766="EQ",3.9,IF(H7766="ILF",7.5,IF(H7766="EIF",5.4)))))))</f>
        <v/>
      </c>
      <c r="M7766" s="112" t="str">
        <f t="shared" si="124"/>
        <v/>
      </c>
      <c r="N7766" s="113"/>
    </row>
    <row r="7767" spans="2:14">
      <c r="B7767" s="105"/>
      <c r="C7767" s="106"/>
      <c r="D7767" s="107"/>
      <c r="E7767" s="65"/>
      <c r="F7767" s="64"/>
      <c r="G7767" s="64"/>
      <c r="H7767" s="64"/>
      <c r="I7767" s="70"/>
      <c r="J7767" s="70"/>
      <c r="K7767" s="110" t="str">
        <f>IF(H7767="","",IF($C$29="간이법","",FPR(H7767,I7767,J7767)))</f>
        <v/>
      </c>
      <c r="L7767" s="111" t="str">
        <f>IF(H7767="","",IF($C$29="상세법",FPV(H7767,K7767),IF(H7767="EI",4,IF(H7767="EO",5.2,IF(H7767="EQ",3.9,IF(H7767="ILF",7.5,IF(H7767="EIF",5.4)))))))</f>
        <v/>
      </c>
      <c r="M7767" s="112" t="str">
        <f t="shared" si="124"/>
        <v/>
      </c>
      <c r="N7767" s="113"/>
    </row>
    <row r="7768" spans="2:14">
      <c r="B7768" s="105"/>
      <c r="C7768" s="106"/>
      <c r="D7768" s="107"/>
      <c r="E7768" s="65"/>
      <c r="F7768" s="64"/>
      <c r="G7768" s="64"/>
      <c r="H7768" s="64"/>
      <c r="I7768" s="70"/>
      <c r="J7768" s="70"/>
      <c r="K7768" s="110" t="str">
        <f>IF(H7768="","",IF($C$29="간이법","",FPR(H7768,I7768,J7768)))</f>
        <v/>
      </c>
      <c r="L7768" s="111" t="str">
        <f>IF(H7768="","",IF($C$29="상세법",FPV(H7768,K7768),IF(H7768="EI",4,IF(H7768="EO",5.2,IF(H7768="EQ",3.9,IF(H7768="ILF",7.5,IF(H7768="EIF",5.4)))))))</f>
        <v/>
      </c>
      <c r="M7768" s="112" t="str">
        <f t="shared" si="124"/>
        <v/>
      </c>
      <c r="N7768" s="113"/>
    </row>
    <row r="7769" spans="2:14">
      <c r="B7769" s="105"/>
      <c r="C7769" s="106"/>
      <c r="D7769" s="107"/>
      <c r="E7769" s="65"/>
      <c r="F7769" s="64"/>
      <c r="G7769" s="64"/>
      <c r="H7769" s="64"/>
      <c r="I7769" s="70"/>
      <c r="J7769" s="70"/>
      <c r="K7769" s="110" t="str">
        <f>IF(H7769="","",IF($C$29="간이법","",FPR(H7769,I7769,J7769)))</f>
        <v/>
      </c>
      <c r="L7769" s="111" t="str">
        <f>IF(H7769="","",IF($C$29="상세법",FPV(H7769,K7769),IF(H7769="EI",4,IF(H7769="EO",5.2,IF(H7769="EQ",3.9,IF(H7769="ILF",7.5,IF(H7769="EIF",5.4)))))))</f>
        <v/>
      </c>
      <c r="M7769" s="112" t="str">
        <f t="shared" si="124"/>
        <v/>
      </c>
      <c r="N7769" s="113"/>
    </row>
    <row r="7770" spans="2:14">
      <c r="B7770" s="105"/>
      <c r="C7770" s="106"/>
      <c r="D7770" s="107"/>
      <c r="E7770" s="65"/>
      <c r="F7770" s="64"/>
      <c r="G7770" s="64"/>
      <c r="H7770" s="64"/>
      <c r="I7770" s="70"/>
      <c r="J7770" s="70"/>
      <c r="K7770" s="110" t="str">
        <f>IF(H7770="","",IF($C$29="간이법","",FPR(H7770,I7770,J7770)))</f>
        <v/>
      </c>
      <c r="L7770" s="111" t="str">
        <f>IF(H7770="","",IF($C$29="상세법",FPV(H7770,K7770),IF(H7770="EI",4,IF(H7770="EO",5.2,IF(H7770="EQ",3.9,IF(H7770="ILF",7.5,IF(H7770="EIF",5.4)))))))</f>
        <v/>
      </c>
      <c r="M7770" s="112" t="str">
        <f t="shared" si="124"/>
        <v/>
      </c>
      <c r="N7770" s="113"/>
    </row>
    <row r="7771" spans="2:14">
      <c r="B7771" s="105"/>
      <c r="C7771" s="106"/>
      <c r="D7771" s="107"/>
      <c r="E7771" s="65"/>
      <c r="F7771" s="64"/>
      <c r="G7771" s="64"/>
      <c r="H7771" s="64"/>
      <c r="I7771" s="70"/>
      <c r="J7771" s="70"/>
      <c r="K7771" s="110" t="str">
        <f>IF(H7771="","",IF($C$29="간이법","",FPR(H7771,I7771,J7771)))</f>
        <v/>
      </c>
      <c r="L7771" s="111" t="str">
        <f>IF(H7771="","",IF($C$29="상세법",FPV(H7771,K7771),IF(H7771="EI",4,IF(H7771="EO",5.2,IF(H7771="EQ",3.9,IF(H7771="ILF",7.5,IF(H7771="EIF",5.4)))))))</f>
        <v/>
      </c>
      <c r="M7771" s="112" t="str">
        <f t="shared" si="124"/>
        <v/>
      </c>
      <c r="N7771" s="113"/>
    </row>
    <row r="7772" spans="2:14">
      <c r="B7772" s="105"/>
      <c r="C7772" s="106"/>
      <c r="D7772" s="107"/>
      <c r="E7772" s="65"/>
      <c r="F7772" s="64"/>
      <c r="G7772" s="64"/>
      <c r="H7772" s="64"/>
      <c r="I7772" s="70"/>
      <c r="J7772" s="70"/>
      <c r="K7772" s="110" t="str">
        <f>IF(H7772="","",IF($C$29="간이법","",FPR(H7772,I7772,J7772)))</f>
        <v/>
      </c>
      <c r="L7772" s="111" t="str">
        <f>IF(H7772="","",IF($C$29="상세법",FPV(H7772,K7772),IF(H7772="EI",4,IF(H7772="EO",5.2,IF(H7772="EQ",3.9,IF(H7772="ILF",7.5,IF(H7772="EIF",5.4)))))))</f>
        <v/>
      </c>
      <c r="M7772" s="112" t="str">
        <f t="shared" si="124"/>
        <v/>
      </c>
      <c r="N7772" s="113"/>
    </row>
    <row r="7773" spans="2:14">
      <c r="B7773" s="105"/>
      <c r="C7773" s="106"/>
      <c r="D7773" s="107"/>
      <c r="E7773" s="65"/>
      <c r="F7773" s="64"/>
      <c r="G7773" s="64"/>
      <c r="H7773" s="64"/>
      <c r="I7773" s="70"/>
      <c r="J7773" s="70"/>
      <c r="K7773" s="110" t="str">
        <f>IF(H7773="","",IF($C$29="간이법","",FPR(H7773,I7773,J7773)))</f>
        <v/>
      </c>
      <c r="L7773" s="111" t="str">
        <f>IF(H7773="","",IF($C$29="상세법",FPV(H7773,K7773),IF(H7773="EI",4,IF(H7773="EO",5.2,IF(H7773="EQ",3.9,IF(H7773="ILF",7.5,IF(H7773="EIF",5.4)))))))</f>
        <v/>
      </c>
      <c r="M7773" s="112" t="str">
        <f t="shared" si="124"/>
        <v/>
      </c>
      <c r="N7773" s="113"/>
    </row>
    <row r="7774" spans="2:14">
      <c r="B7774" s="105"/>
      <c r="C7774" s="106"/>
      <c r="D7774" s="107"/>
      <c r="E7774" s="65"/>
      <c r="F7774" s="64"/>
      <c r="G7774" s="64"/>
      <c r="H7774" s="64"/>
      <c r="I7774" s="70"/>
      <c r="J7774" s="70"/>
      <c r="K7774" s="110" t="str">
        <f>IF(H7774="","",IF($C$29="간이법","",FPR(H7774,I7774,J7774)))</f>
        <v/>
      </c>
      <c r="L7774" s="111" t="str">
        <f>IF(H7774="","",IF($C$29="상세법",FPV(H7774,K7774),IF(H7774="EI",4,IF(H7774="EO",5.2,IF(H7774="EQ",3.9,IF(H7774="ILF",7.5,IF(H7774="EIF",5.4)))))))</f>
        <v/>
      </c>
      <c r="M7774" s="112" t="str">
        <f t="shared" si="124"/>
        <v/>
      </c>
      <c r="N7774" s="113"/>
    </row>
    <row r="7775" spans="2:14">
      <c r="B7775" s="105"/>
      <c r="C7775" s="106"/>
      <c r="D7775" s="107"/>
      <c r="E7775" s="65"/>
      <c r="F7775" s="64"/>
      <c r="G7775" s="64"/>
      <c r="H7775" s="64"/>
      <c r="I7775" s="70"/>
      <c r="J7775" s="70"/>
      <c r="K7775" s="110" t="str">
        <f>IF(H7775="","",IF($C$29="간이법","",FPR(H7775,I7775,J7775)))</f>
        <v/>
      </c>
      <c r="L7775" s="111" t="str">
        <f>IF(H7775="","",IF($C$29="상세법",FPV(H7775,K7775),IF(H7775="EI",4,IF(H7775="EO",5.2,IF(H7775="EQ",3.9,IF(H7775="ILF",7.5,IF(H7775="EIF",5.4)))))))</f>
        <v/>
      </c>
      <c r="M7775" s="112" t="str">
        <f t="shared" si="124"/>
        <v/>
      </c>
      <c r="N7775" s="113"/>
    </row>
    <row r="7776" spans="2:14">
      <c r="B7776" s="105"/>
      <c r="C7776" s="106"/>
      <c r="D7776" s="107"/>
      <c r="E7776" s="65"/>
      <c r="F7776" s="64"/>
      <c r="G7776" s="64"/>
      <c r="H7776" s="64"/>
      <c r="I7776" s="70"/>
      <c r="J7776" s="70"/>
      <c r="K7776" s="110" t="str">
        <f>IF(H7776="","",IF($C$29="간이법","",FPR(H7776,I7776,J7776)))</f>
        <v/>
      </c>
      <c r="L7776" s="111" t="str">
        <f>IF(H7776="","",IF($C$29="상세법",FPV(H7776,K7776),IF(H7776="EI",4,IF(H7776="EO",5.2,IF(H7776="EQ",3.9,IF(H7776="ILF",7.5,IF(H7776="EIF",5.4)))))))</f>
        <v/>
      </c>
      <c r="M7776" s="112" t="str">
        <f t="shared" si="124"/>
        <v/>
      </c>
      <c r="N7776" s="113"/>
    </row>
    <row r="7777" spans="2:14">
      <c r="B7777" s="105"/>
      <c r="C7777" s="106"/>
      <c r="D7777" s="107"/>
      <c r="E7777" s="65"/>
      <c r="F7777" s="64"/>
      <c r="G7777" s="64"/>
      <c r="H7777" s="64"/>
      <c r="I7777" s="70"/>
      <c r="J7777" s="70"/>
      <c r="K7777" s="110" t="str">
        <f>IF(H7777="","",IF($C$29="간이법","",FPR(H7777,I7777,J7777)))</f>
        <v/>
      </c>
      <c r="L7777" s="111" t="str">
        <f>IF(H7777="","",IF($C$29="상세법",FPV(H7777,K7777),IF(H7777="EI",4,IF(H7777="EO",5.2,IF(H7777="EQ",3.9,IF(H7777="ILF",7.5,IF(H7777="EIF",5.4)))))))</f>
        <v/>
      </c>
      <c r="M7777" s="112" t="str">
        <f t="shared" si="124"/>
        <v/>
      </c>
      <c r="N7777" s="113"/>
    </row>
    <row r="7778" spans="2:14">
      <c r="B7778" s="105"/>
      <c r="C7778" s="106"/>
      <c r="D7778" s="107"/>
      <c r="E7778" s="65"/>
      <c r="F7778" s="64"/>
      <c r="G7778" s="64"/>
      <c r="H7778" s="64"/>
      <c r="I7778" s="70"/>
      <c r="J7778" s="70"/>
      <c r="K7778" s="110" t="str">
        <f>IF(H7778="","",IF($C$29="간이법","",FPR(H7778,I7778,J7778)))</f>
        <v/>
      </c>
      <c r="L7778" s="111" t="str">
        <f>IF(H7778="","",IF($C$29="상세법",FPV(H7778,K7778),IF(H7778="EI",4,IF(H7778="EO",5.2,IF(H7778="EQ",3.9,IF(H7778="ILF",7.5,IF(H7778="EIF",5.4)))))))</f>
        <v/>
      </c>
      <c r="M7778" s="112" t="str">
        <f t="shared" si="124"/>
        <v/>
      </c>
      <c r="N7778" s="113"/>
    </row>
    <row r="7779" spans="2:14">
      <c r="B7779" s="105"/>
      <c r="C7779" s="106"/>
      <c r="D7779" s="107"/>
      <c r="E7779" s="65"/>
      <c r="F7779" s="64"/>
      <c r="G7779" s="64"/>
      <c r="H7779" s="64"/>
      <c r="I7779" s="70"/>
      <c r="J7779" s="70"/>
      <c r="K7779" s="110" t="str">
        <f>IF(H7779="","",IF($C$29="간이법","",FPR(H7779,I7779,J7779)))</f>
        <v/>
      </c>
      <c r="L7779" s="111" t="str">
        <f>IF(H7779="","",IF($C$29="상세법",FPV(H7779,K7779),IF(H7779="EI",4,IF(H7779="EO",5.2,IF(H7779="EQ",3.9,IF(H7779="ILF",7.5,IF(H7779="EIF",5.4)))))))</f>
        <v/>
      </c>
      <c r="M7779" s="112" t="str">
        <f t="shared" si="124"/>
        <v/>
      </c>
      <c r="N7779" s="113"/>
    </row>
    <row r="7780" spans="2:14">
      <c r="B7780" s="105"/>
      <c r="C7780" s="106"/>
      <c r="D7780" s="107"/>
      <c r="E7780" s="65"/>
      <c r="F7780" s="64"/>
      <c r="G7780" s="64"/>
      <c r="H7780" s="64"/>
      <c r="I7780" s="70"/>
      <c r="J7780" s="70"/>
      <c r="K7780" s="110" t="str">
        <f>IF(H7780="","",IF($C$29="간이법","",FPR(H7780,I7780,J7780)))</f>
        <v/>
      </c>
      <c r="L7780" s="111" t="str">
        <f>IF(H7780="","",IF($C$29="상세법",FPV(H7780,K7780),IF(H7780="EI",4,IF(H7780="EO",5.2,IF(H7780="EQ",3.9,IF(H7780="ILF",7.5,IF(H7780="EIF",5.4)))))))</f>
        <v/>
      </c>
      <c r="M7780" s="112" t="str">
        <f t="shared" si="124"/>
        <v/>
      </c>
      <c r="N7780" s="113"/>
    </row>
    <row r="7781" spans="2:14">
      <c r="B7781" s="105"/>
      <c r="C7781" s="106"/>
      <c r="D7781" s="107"/>
      <c r="E7781" s="65"/>
      <c r="F7781" s="64"/>
      <c r="G7781" s="64"/>
      <c r="H7781" s="64"/>
      <c r="I7781" s="70"/>
      <c r="J7781" s="70"/>
      <c r="K7781" s="110" t="str">
        <f>IF(H7781="","",IF($C$29="간이법","",FPR(H7781,I7781,J7781)))</f>
        <v/>
      </c>
      <c r="L7781" s="111" t="str">
        <f>IF(H7781="","",IF($C$29="상세법",FPV(H7781,K7781),IF(H7781="EI",4,IF(H7781="EO",5.2,IF(H7781="EQ",3.9,IF(H7781="ILF",7.5,IF(H7781="EIF",5.4)))))))</f>
        <v/>
      </c>
      <c r="M7781" s="112" t="str">
        <f t="shared" si="124"/>
        <v/>
      </c>
      <c r="N7781" s="113"/>
    </row>
    <row r="7782" spans="2:14">
      <c r="B7782" s="105"/>
      <c r="C7782" s="106"/>
      <c r="D7782" s="107"/>
      <c r="E7782" s="65"/>
      <c r="F7782" s="64"/>
      <c r="G7782" s="64"/>
      <c r="H7782" s="64"/>
      <c r="I7782" s="70"/>
      <c r="J7782" s="70"/>
      <c r="K7782" s="110" t="str">
        <f>IF(H7782="","",IF($C$29="간이법","",FPR(H7782,I7782,J7782)))</f>
        <v/>
      </c>
      <c r="L7782" s="111" t="str">
        <f>IF(H7782="","",IF($C$29="상세법",FPV(H7782,K7782),IF(H7782="EI",4,IF(H7782="EO",5.2,IF(H7782="EQ",3.9,IF(H7782="ILF",7.5,IF(H7782="EIF",5.4)))))))</f>
        <v/>
      </c>
      <c r="M7782" s="112" t="str">
        <f t="shared" si="124"/>
        <v/>
      </c>
      <c r="N7782" s="113"/>
    </row>
    <row r="7783" spans="2:14">
      <c r="B7783" s="105"/>
      <c r="C7783" s="106"/>
      <c r="D7783" s="107"/>
      <c r="E7783" s="65"/>
      <c r="F7783" s="64"/>
      <c r="G7783" s="64"/>
      <c r="H7783" s="64"/>
      <c r="I7783" s="70"/>
      <c r="J7783" s="70"/>
      <c r="K7783" s="110" t="str">
        <f>IF(H7783="","",IF($C$29="간이법","",FPR(H7783,I7783,J7783)))</f>
        <v/>
      </c>
      <c r="L7783" s="111" t="str">
        <f>IF(H7783="","",IF($C$29="상세법",FPV(H7783,K7783),IF(H7783="EI",4,IF(H7783="EO",5.2,IF(H7783="EQ",3.9,IF(H7783="ILF",7.5,IF(H7783="EIF",5.4)))))))</f>
        <v/>
      </c>
      <c r="M7783" s="112" t="str">
        <f t="shared" si="124"/>
        <v/>
      </c>
      <c r="N7783" s="113"/>
    </row>
    <row r="7784" spans="2:14">
      <c r="B7784" s="105"/>
      <c r="C7784" s="106"/>
      <c r="D7784" s="107"/>
      <c r="E7784" s="65"/>
      <c r="F7784" s="64"/>
      <c r="G7784" s="64"/>
      <c r="H7784" s="64"/>
      <c r="I7784" s="70"/>
      <c r="J7784" s="70"/>
      <c r="K7784" s="110" t="str">
        <f>IF(H7784="","",IF($C$29="간이법","",FPR(H7784,I7784,J7784)))</f>
        <v/>
      </c>
      <c r="L7784" s="111" t="str">
        <f>IF(H7784="","",IF($C$29="상세법",FPV(H7784,K7784),IF(H7784="EI",4,IF(H7784="EO",5.2,IF(H7784="EQ",3.9,IF(H7784="ILF",7.5,IF(H7784="EIF",5.4)))))))</f>
        <v/>
      </c>
      <c r="M7784" s="112" t="str">
        <f t="shared" si="124"/>
        <v/>
      </c>
      <c r="N7784" s="113"/>
    </row>
    <row r="7785" spans="2:14">
      <c r="B7785" s="105"/>
      <c r="C7785" s="106"/>
      <c r="D7785" s="107"/>
      <c r="E7785" s="65"/>
      <c r="F7785" s="64"/>
      <c r="G7785" s="64"/>
      <c r="H7785" s="64"/>
      <c r="I7785" s="70"/>
      <c r="J7785" s="70"/>
      <c r="K7785" s="110" t="str">
        <f>IF(H7785="","",IF($C$29="간이법","",FPR(H7785,I7785,J7785)))</f>
        <v/>
      </c>
      <c r="L7785" s="111" t="str">
        <f>IF(H7785="","",IF($C$29="상세법",FPV(H7785,K7785),IF(H7785="EI",4,IF(H7785="EO",5.2,IF(H7785="EQ",3.9,IF(H7785="ILF",7.5,IF(H7785="EIF",5.4)))))))</f>
        <v/>
      </c>
      <c r="M7785" s="112" t="str">
        <f t="shared" si="124"/>
        <v/>
      </c>
      <c r="N7785" s="113"/>
    </row>
    <row r="7786" spans="2:14">
      <c r="B7786" s="105"/>
      <c r="C7786" s="106"/>
      <c r="D7786" s="107"/>
      <c r="E7786" s="65"/>
      <c r="F7786" s="64"/>
      <c r="G7786" s="64"/>
      <c r="H7786" s="64"/>
      <c r="I7786" s="70"/>
      <c r="J7786" s="70"/>
      <c r="K7786" s="110" t="str">
        <f>IF(H7786="","",IF($C$29="간이법","",FPR(H7786,I7786,J7786)))</f>
        <v/>
      </c>
      <c r="L7786" s="111" t="str">
        <f>IF(H7786="","",IF($C$29="상세법",FPV(H7786,K7786),IF(H7786="EI",4,IF(H7786="EO",5.2,IF(H7786="EQ",3.9,IF(H7786="ILF",7.5,IF(H7786="EIF",5.4)))))))</f>
        <v/>
      </c>
      <c r="M7786" s="112" t="str">
        <f t="shared" si="124"/>
        <v/>
      </c>
      <c r="N7786" s="113"/>
    </row>
    <row r="7787" spans="2:14">
      <c r="B7787" s="105"/>
      <c r="C7787" s="106"/>
      <c r="D7787" s="107"/>
      <c r="E7787" s="65"/>
      <c r="F7787" s="64"/>
      <c r="G7787" s="64"/>
      <c r="H7787" s="64"/>
      <c r="I7787" s="70"/>
      <c r="J7787" s="70"/>
      <c r="K7787" s="110" t="str">
        <f>IF(H7787="","",IF($C$29="간이법","",FPR(H7787,I7787,J7787)))</f>
        <v/>
      </c>
      <c r="L7787" s="111" t="str">
        <f>IF(H7787="","",IF($C$29="상세법",FPV(H7787,K7787),IF(H7787="EI",4,IF(H7787="EO",5.2,IF(H7787="EQ",3.9,IF(H7787="ILF",7.5,IF(H7787="EIF",5.4)))))))</f>
        <v/>
      </c>
      <c r="M7787" s="112" t="str">
        <f t="shared" si="124"/>
        <v/>
      </c>
      <c r="N7787" s="113"/>
    </row>
    <row r="7788" spans="2:14">
      <c r="B7788" s="105"/>
      <c r="C7788" s="106"/>
      <c r="D7788" s="107"/>
      <c r="E7788" s="65"/>
      <c r="F7788" s="64"/>
      <c r="G7788" s="64"/>
      <c r="H7788" s="64"/>
      <c r="I7788" s="70"/>
      <c r="J7788" s="70"/>
      <c r="K7788" s="110" t="str">
        <f>IF(H7788="","",IF($C$29="간이법","",FPR(H7788,I7788,J7788)))</f>
        <v/>
      </c>
      <c r="L7788" s="111" t="str">
        <f>IF(H7788="","",IF($C$29="상세법",FPV(H7788,K7788),IF(H7788="EI",4,IF(H7788="EO",5.2,IF(H7788="EQ",3.9,IF(H7788="ILF",7.5,IF(H7788="EIF",5.4)))))))</f>
        <v/>
      </c>
      <c r="M7788" s="112" t="str">
        <f t="shared" si="124"/>
        <v/>
      </c>
      <c r="N7788" s="113"/>
    </row>
    <row r="7789" spans="2:14">
      <c r="B7789" s="105"/>
      <c r="C7789" s="106"/>
      <c r="D7789" s="107"/>
      <c r="E7789" s="65"/>
      <c r="F7789" s="64"/>
      <c r="G7789" s="64"/>
      <c r="H7789" s="64"/>
      <c r="I7789" s="70"/>
      <c r="J7789" s="70"/>
      <c r="K7789" s="110" t="str">
        <f>IF(H7789="","",IF($C$29="간이법","",FPR(H7789,I7789,J7789)))</f>
        <v/>
      </c>
      <c r="L7789" s="111" t="str">
        <f>IF(H7789="","",IF($C$29="상세법",FPV(H7789,K7789),IF(H7789="EI",4,IF(H7789="EO",5.2,IF(H7789="EQ",3.9,IF(H7789="ILF",7.5,IF(H7789="EIF",5.4)))))))</f>
        <v/>
      </c>
      <c r="M7789" s="112" t="str">
        <f t="shared" si="124"/>
        <v/>
      </c>
      <c r="N7789" s="113"/>
    </row>
    <row r="7790" spans="2:14">
      <c r="B7790" s="105"/>
      <c r="C7790" s="106"/>
      <c r="D7790" s="107"/>
      <c r="E7790" s="65"/>
      <c r="F7790" s="64"/>
      <c r="G7790" s="64"/>
      <c r="H7790" s="64"/>
      <c r="I7790" s="70"/>
      <c r="J7790" s="70"/>
      <c r="K7790" s="110" t="str">
        <f>IF(H7790="","",IF($C$29="간이법","",FPR(H7790,I7790,J7790)))</f>
        <v/>
      </c>
      <c r="L7790" s="111" t="str">
        <f>IF(H7790="","",IF($C$29="상세법",FPV(H7790,K7790),IF(H7790="EI",4,IF(H7790="EO",5.2,IF(H7790="EQ",3.9,IF(H7790="ILF",7.5,IF(H7790="EIF",5.4)))))))</f>
        <v/>
      </c>
      <c r="M7790" s="112" t="str">
        <f t="shared" si="124"/>
        <v/>
      </c>
      <c r="N7790" s="113"/>
    </row>
    <row r="7791" spans="2:14">
      <c r="B7791" s="105"/>
      <c r="C7791" s="106"/>
      <c r="D7791" s="107"/>
      <c r="E7791" s="65"/>
      <c r="F7791" s="64"/>
      <c r="G7791" s="64"/>
      <c r="H7791" s="64"/>
      <c r="I7791" s="70"/>
      <c r="J7791" s="70"/>
      <c r="K7791" s="110" t="str">
        <f>IF(H7791="","",IF($C$29="간이법","",FPR(H7791,I7791,J7791)))</f>
        <v/>
      </c>
      <c r="L7791" s="111" t="str">
        <f>IF(H7791="","",IF($C$29="상세법",FPV(H7791,K7791),IF(H7791="EI",4,IF(H7791="EO",5.2,IF(H7791="EQ",3.9,IF(H7791="ILF",7.5,IF(H7791="EIF",5.4)))))))</f>
        <v/>
      </c>
      <c r="M7791" s="112" t="str">
        <f t="shared" si="124"/>
        <v/>
      </c>
      <c r="N7791" s="113"/>
    </row>
    <row r="7792" spans="2:14">
      <c r="B7792" s="105"/>
      <c r="C7792" s="106"/>
      <c r="D7792" s="107"/>
      <c r="E7792" s="65"/>
      <c r="F7792" s="64"/>
      <c r="G7792" s="64"/>
      <c r="H7792" s="64"/>
      <c r="I7792" s="70"/>
      <c r="J7792" s="70"/>
      <c r="K7792" s="110" t="str">
        <f>IF(H7792="","",IF($C$29="간이법","",FPR(H7792,I7792,J7792)))</f>
        <v/>
      </c>
      <c r="L7792" s="111" t="str">
        <f>IF(H7792="","",IF($C$29="상세법",FPV(H7792,K7792),IF(H7792="EI",4,IF(H7792="EO",5.2,IF(H7792="EQ",3.9,IF(H7792="ILF",7.5,IF(H7792="EIF",5.4)))))))</f>
        <v/>
      </c>
      <c r="M7792" s="112" t="str">
        <f t="shared" si="124"/>
        <v/>
      </c>
      <c r="N7792" s="113"/>
    </row>
    <row r="7793" spans="2:14">
      <c r="B7793" s="105"/>
      <c r="C7793" s="106"/>
      <c r="D7793" s="107"/>
      <c r="E7793" s="65"/>
      <c r="F7793" s="64"/>
      <c r="G7793" s="64"/>
      <c r="H7793" s="64"/>
      <c r="I7793" s="70"/>
      <c r="J7793" s="70"/>
      <c r="K7793" s="110" t="str">
        <f>IF(H7793="","",IF($C$29="간이법","",FPR(H7793,I7793,J7793)))</f>
        <v/>
      </c>
      <c r="L7793" s="111" t="str">
        <f>IF(H7793="","",IF($C$29="상세법",FPV(H7793,K7793),IF(H7793="EI",4,IF(H7793="EO",5.2,IF(H7793="EQ",3.9,IF(H7793="ILF",7.5,IF(H7793="EIF",5.4)))))))</f>
        <v/>
      </c>
      <c r="M7793" s="112" t="str">
        <f t="shared" si="124"/>
        <v/>
      </c>
      <c r="N7793" s="113"/>
    </row>
    <row r="7794" spans="2:14">
      <c r="B7794" s="105"/>
      <c r="C7794" s="106"/>
      <c r="D7794" s="107"/>
      <c r="E7794" s="65"/>
      <c r="F7794" s="64"/>
      <c r="G7794" s="64"/>
      <c r="H7794" s="64"/>
      <c r="I7794" s="70"/>
      <c r="J7794" s="70"/>
      <c r="K7794" s="110" t="str">
        <f>IF(H7794="","",IF($C$29="간이법","",FPR(H7794,I7794,J7794)))</f>
        <v/>
      </c>
      <c r="L7794" s="111" t="str">
        <f>IF(H7794="","",IF($C$29="상세법",FPV(H7794,K7794),IF(H7794="EI",4,IF(H7794="EO",5.2,IF(H7794="EQ",3.9,IF(H7794="ILF",7.5,IF(H7794="EIF",5.4)))))))</f>
        <v/>
      </c>
      <c r="M7794" s="112" t="str">
        <f t="shared" si="124"/>
        <v/>
      </c>
      <c r="N7794" s="113"/>
    </row>
    <row r="7795" spans="2:14">
      <c r="B7795" s="105"/>
      <c r="C7795" s="106"/>
      <c r="D7795" s="107"/>
      <c r="E7795" s="65"/>
      <c r="F7795" s="64"/>
      <c r="G7795" s="64"/>
      <c r="H7795" s="64"/>
      <c r="I7795" s="70"/>
      <c r="J7795" s="70"/>
      <c r="K7795" s="110" t="str">
        <f>IF(H7795="","",IF($C$29="간이법","",FPR(H7795,I7795,J7795)))</f>
        <v/>
      </c>
      <c r="L7795" s="111" t="str">
        <f>IF(H7795="","",IF($C$29="상세법",FPV(H7795,K7795),IF(H7795="EI",4,IF(H7795="EO",5.2,IF(H7795="EQ",3.9,IF(H7795="ILF",7.5,IF(H7795="EIF",5.4)))))))</f>
        <v/>
      </c>
      <c r="M7795" s="112" t="str">
        <f t="shared" si="124"/>
        <v/>
      </c>
      <c r="N7795" s="113"/>
    </row>
    <row r="7796" spans="2:14">
      <c r="B7796" s="105"/>
      <c r="C7796" s="106"/>
      <c r="D7796" s="107"/>
      <c r="E7796" s="65"/>
      <c r="F7796" s="64"/>
      <c r="G7796" s="64"/>
      <c r="H7796" s="64"/>
      <c r="I7796" s="70"/>
      <c r="J7796" s="70"/>
      <c r="K7796" s="110" t="str">
        <f>IF(H7796="","",IF($C$29="간이법","",FPR(H7796,I7796,J7796)))</f>
        <v/>
      </c>
      <c r="L7796" s="111" t="str">
        <f>IF(H7796="","",IF($C$29="상세법",FPV(H7796,K7796),IF(H7796="EI",4,IF(H7796="EO",5.2,IF(H7796="EQ",3.9,IF(H7796="ILF",7.5,IF(H7796="EIF",5.4)))))))</f>
        <v/>
      </c>
      <c r="M7796" s="112" t="str">
        <f t="shared" si="124"/>
        <v/>
      </c>
      <c r="N7796" s="113"/>
    </row>
    <row r="7797" spans="2:14">
      <c r="B7797" s="105"/>
      <c r="C7797" s="106"/>
      <c r="D7797" s="107"/>
      <c r="E7797" s="65"/>
      <c r="F7797" s="64"/>
      <c r="G7797" s="64"/>
      <c r="H7797" s="64"/>
      <c r="I7797" s="70"/>
      <c r="J7797" s="70"/>
      <c r="K7797" s="110" t="str">
        <f>IF(H7797="","",IF($C$29="간이법","",FPR(H7797,I7797,J7797)))</f>
        <v/>
      </c>
      <c r="L7797" s="111" t="str">
        <f>IF(H7797="","",IF($C$29="상세법",FPV(H7797,K7797),IF(H7797="EI",4,IF(H7797="EO",5.2,IF(H7797="EQ",3.9,IF(H7797="ILF",7.5,IF(H7797="EIF",5.4)))))))</f>
        <v/>
      </c>
      <c r="M7797" s="112" t="str">
        <f t="shared" si="124"/>
        <v/>
      </c>
      <c r="N7797" s="113"/>
    </row>
    <row r="7798" spans="2:14">
      <c r="B7798" s="105"/>
      <c r="C7798" s="106"/>
      <c r="D7798" s="107"/>
      <c r="E7798" s="65"/>
      <c r="F7798" s="64"/>
      <c r="G7798" s="64"/>
      <c r="H7798" s="64"/>
      <c r="I7798" s="70"/>
      <c r="J7798" s="70"/>
      <c r="K7798" s="110" t="str">
        <f>IF(H7798="","",IF($C$29="간이법","",FPR(H7798,I7798,J7798)))</f>
        <v/>
      </c>
      <c r="L7798" s="111" t="str">
        <f>IF(H7798="","",IF($C$29="상세법",FPV(H7798,K7798),IF(H7798="EI",4,IF(H7798="EO",5.2,IF(H7798="EQ",3.9,IF(H7798="ILF",7.5,IF(H7798="EIF",5.4)))))))</f>
        <v/>
      </c>
      <c r="M7798" s="112" t="str">
        <f t="shared" si="124"/>
        <v/>
      </c>
      <c r="N7798" s="113"/>
    </row>
    <row r="7799" spans="2:14">
      <c r="B7799" s="105"/>
      <c r="C7799" s="106"/>
      <c r="D7799" s="107"/>
      <c r="E7799" s="65"/>
      <c r="F7799" s="64"/>
      <c r="G7799" s="64"/>
      <c r="H7799" s="64"/>
      <c r="I7799" s="70"/>
      <c r="J7799" s="70"/>
      <c r="K7799" s="110" t="str">
        <f>IF(H7799="","",IF($C$29="간이법","",FPR(H7799,I7799,J7799)))</f>
        <v/>
      </c>
      <c r="L7799" s="111" t="str">
        <f>IF(H7799="","",IF($C$29="상세법",FPV(H7799,K7799),IF(H7799="EI",4,IF(H7799="EO",5.2,IF(H7799="EQ",3.9,IF(H7799="ILF",7.5,IF(H7799="EIF",5.4)))))))</f>
        <v/>
      </c>
      <c r="M7799" s="112" t="str">
        <f t="shared" si="124"/>
        <v/>
      </c>
      <c r="N7799" s="113"/>
    </row>
    <row r="7800" spans="2:14">
      <c r="B7800" s="105"/>
      <c r="C7800" s="106"/>
      <c r="D7800" s="107"/>
      <c r="E7800" s="65"/>
      <c r="F7800" s="64"/>
      <c r="G7800" s="64"/>
      <c r="H7800" s="64"/>
      <c r="I7800" s="70"/>
      <c r="J7800" s="70"/>
      <c r="K7800" s="110" t="str">
        <f>IF(H7800="","",IF($C$29="간이법","",FPR(H7800,I7800,J7800)))</f>
        <v/>
      </c>
      <c r="L7800" s="111" t="str">
        <f>IF(H7800="","",IF($C$29="상세법",FPV(H7800,K7800),IF(H7800="EI",4,IF(H7800="EO",5.2,IF(H7800="EQ",3.9,IF(H7800="ILF",7.5,IF(H7800="EIF",5.4)))))))</f>
        <v/>
      </c>
      <c r="M7800" s="112" t="str">
        <f t="shared" si="124"/>
        <v/>
      </c>
      <c r="N7800" s="113"/>
    </row>
    <row r="7801" spans="2:14">
      <c r="B7801" s="105"/>
      <c r="C7801" s="106"/>
      <c r="D7801" s="107"/>
      <c r="E7801" s="65"/>
      <c r="F7801" s="64"/>
      <c r="G7801" s="64"/>
      <c r="H7801" s="64"/>
      <c r="I7801" s="70"/>
      <c r="J7801" s="70"/>
      <c r="K7801" s="110" t="str">
        <f>IF(H7801="","",IF($C$29="간이법","",FPR(H7801,I7801,J7801)))</f>
        <v/>
      </c>
      <c r="L7801" s="111" t="str">
        <f>IF(H7801="","",IF($C$29="상세법",FPV(H7801,K7801),IF(H7801="EI",4,IF(H7801="EO",5.2,IF(H7801="EQ",3.9,IF(H7801="ILF",7.5,IF(H7801="EIF",5.4)))))))</f>
        <v/>
      </c>
      <c r="M7801" s="112" t="str">
        <f t="shared" ref="M7801:M7864" si="125">IF(L7801="","",L7801*IF(G7801="상",0.7,IF(G7801="중",0.5,IF(G7801="하",0.2,1))))</f>
        <v/>
      </c>
      <c r="N7801" s="113"/>
    </row>
    <row r="7802" spans="2:14">
      <c r="B7802" s="105"/>
      <c r="C7802" s="106"/>
      <c r="D7802" s="107"/>
      <c r="E7802" s="65"/>
      <c r="F7802" s="64"/>
      <c r="G7802" s="64"/>
      <c r="H7802" s="64"/>
      <c r="I7802" s="70"/>
      <c r="J7802" s="70"/>
      <c r="K7802" s="110" t="str">
        <f>IF(H7802="","",IF($C$29="간이법","",FPR(H7802,I7802,J7802)))</f>
        <v/>
      </c>
      <c r="L7802" s="111" t="str">
        <f>IF(H7802="","",IF($C$29="상세법",FPV(H7802,K7802),IF(H7802="EI",4,IF(H7802="EO",5.2,IF(H7802="EQ",3.9,IF(H7802="ILF",7.5,IF(H7802="EIF",5.4)))))))</f>
        <v/>
      </c>
      <c r="M7802" s="112" t="str">
        <f t="shared" si="125"/>
        <v/>
      </c>
      <c r="N7802" s="113"/>
    </row>
    <row r="7803" spans="2:14">
      <c r="B7803" s="105"/>
      <c r="C7803" s="106"/>
      <c r="D7803" s="107"/>
      <c r="E7803" s="65"/>
      <c r="F7803" s="64"/>
      <c r="G7803" s="64"/>
      <c r="H7803" s="64"/>
      <c r="I7803" s="70"/>
      <c r="J7803" s="70"/>
      <c r="K7803" s="110" t="str">
        <f>IF(H7803="","",IF($C$29="간이법","",FPR(H7803,I7803,J7803)))</f>
        <v/>
      </c>
      <c r="L7803" s="111" t="str">
        <f>IF(H7803="","",IF($C$29="상세법",FPV(H7803,K7803),IF(H7803="EI",4,IF(H7803="EO",5.2,IF(H7803="EQ",3.9,IF(H7803="ILF",7.5,IF(H7803="EIF",5.4)))))))</f>
        <v/>
      </c>
      <c r="M7803" s="112" t="str">
        <f t="shared" si="125"/>
        <v/>
      </c>
      <c r="N7803" s="113"/>
    </row>
    <row r="7804" spans="2:14">
      <c r="B7804" s="105"/>
      <c r="C7804" s="106"/>
      <c r="D7804" s="107"/>
      <c r="E7804" s="65"/>
      <c r="F7804" s="64"/>
      <c r="G7804" s="64"/>
      <c r="H7804" s="64"/>
      <c r="I7804" s="70"/>
      <c r="J7804" s="70"/>
      <c r="K7804" s="110" t="str">
        <f>IF(H7804="","",IF($C$29="간이법","",FPR(H7804,I7804,J7804)))</f>
        <v/>
      </c>
      <c r="L7804" s="111" t="str">
        <f>IF(H7804="","",IF($C$29="상세법",FPV(H7804,K7804),IF(H7804="EI",4,IF(H7804="EO",5.2,IF(H7804="EQ",3.9,IF(H7804="ILF",7.5,IF(H7804="EIF",5.4)))))))</f>
        <v/>
      </c>
      <c r="M7804" s="112" t="str">
        <f t="shared" si="125"/>
        <v/>
      </c>
      <c r="N7804" s="113"/>
    </row>
    <row r="7805" spans="2:14">
      <c r="B7805" s="105"/>
      <c r="C7805" s="106"/>
      <c r="D7805" s="107"/>
      <c r="E7805" s="65"/>
      <c r="F7805" s="64"/>
      <c r="G7805" s="64"/>
      <c r="H7805" s="64"/>
      <c r="I7805" s="70"/>
      <c r="J7805" s="70"/>
      <c r="K7805" s="110" t="str">
        <f>IF(H7805="","",IF($C$29="간이법","",FPR(H7805,I7805,J7805)))</f>
        <v/>
      </c>
      <c r="L7805" s="111" t="str">
        <f>IF(H7805="","",IF($C$29="상세법",FPV(H7805,K7805),IF(H7805="EI",4,IF(H7805="EO",5.2,IF(H7805="EQ",3.9,IF(H7805="ILF",7.5,IF(H7805="EIF",5.4)))))))</f>
        <v/>
      </c>
      <c r="M7805" s="112" t="str">
        <f t="shared" si="125"/>
        <v/>
      </c>
      <c r="N7805" s="113"/>
    </row>
    <row r="7806" spans="2:14">
      <c r="B7806" s="105"/>
      <c r="C7806" s="106"/>
      <c r="D7806" s="107"/>
      <c r="E7806" s="65"/>
      <c r="F7806" s="64"/>
      <c r="G7806" s="64"/>
      <c r="H7806" s="64"/>
      <c r="I7806" s="70"/>
      <c r="J7806" s="70"/>
      <c r="K7806" s="110" t="str">
        <f>IF(H7806="","",IF($C$29="간이법","",FPR(H7806,I7806,J7806)))</f>
        <v/>
      </c>
      <c r="L7806" s="111" t="str">
        <f>IF(H7806="","",IF($C$29="상세법",FPV(H7806,K7806),IF(H7806="EI",4,IF(H7806="EO",5.2,IF(H7806="EQ",3.9,IF(H7806="ILF",7.5,IF(H7806="EIF",5.4)))))))</f>
        <v/>
      </c>
      <c r="M7806" s="112" t="str">
        <f t="shared" si="125"/>
        <v/>
      </c>
      <c r="N7806" s="113"/>
    </row>
    <row r="7807" spans="2:14">
      <c r="B7807" s="105"/>
      <c r="C7807" s="106"/>
      <c r="D7807" s="107"/>
      <c r="E7807" s="65"/>
      <c r="F7807" s="64"/>
      <c r="G7807" s="64"/>
      <c r="H7807" s="64"/>
      <c r="I7807" s="70"/>
      <c r="J7807" s="70"/>
      <c r="K7807" s="110" t="str">
        <f>IF(H7807="","",IF($C$29="간이법","",FPR(H7807,I7807,J7807)))</f>
        <v/>
      </c>
      <c r="L7807" s="111" t="str">
        <f>IF(H7807="","",IF($C$29="상세법",FPV(H7807,K7807),IF(H7807="EI",4,IF(H7807="EO",5.2,IF(H7807="EQ",3.9,IF(H7807="ILF",7.5,IF(H7807="EIF",5.4)))))))</f>
        <v/>
      </c>
      <c r="M7807" s="112" t="str">
        <f t="shared" si="125"/>
        <v/>
      </c>
      <c r="N7807" s="113"/>
    </row>
    <row r="7808" spans="2:14">
      <c r="B7808" s="105"/>
      <c r="C7808" s="106"/>
      <c r="D7808" s="107"/>
      <c r="E7808" s="65"/>
      <c r="F7808" s="64"/>
      <c r="G7808" s="64"/>
      <c r="H7808" s="64"/>
      <c r="I7808" s="70"/>
      <c r="J7808" s="70"/>
      <c r="K7808" s="110" t="str">
        <f>IF(H7808="","",IF($C$29="간이법","",FPR(H7808,I7808,J7808)))</f>
        <v/>
      </c>
      <c r="L7808" s="111" t="str">
        <f>IF(H7808="","",IF($C$29="상세법",FPV(H7808,K7808),IF(H7808="EI",4,IF(H7808="EO",5.2,IF(H7808="EQ",3.9,IF(H7808="ILF",7.5,IF(H7808="EIF",5.4)))))))</f>
        <v/>
      </c>
      <c r="M7808" s="112" t="str">
        <f t="shared" si="125"/>
        <v/>
      </c>
      <c r="N7808" s="113"/>
    </row>
    <row r="7809" spans="2:14">
      <c r="B7809" s="105"/>
      <c r="C7809" s="106"/>
      <c r="D7809" s="107"/>
      <c r="E7809" s="65"/>
      <c r="F7809" s="64"/>
      <c r="G7809" s="64"/>
      <c r="H7809" s="64"/>
      <c r="I7809" s="70"/>
      <c r="J7809" s="70"/>
      <c r="K7809" s="110" t="str">
        <f>IF(H7809="","",IF($C$29="간이법","",FPR(H7809,I7809,J7809)))</f>
        <v/>
      </c>
      <c r="L7809" s="111" t="str">
        <f>IF(H7809="","",IF($C$29="상세법",FPV(H7809,K7809),IF(H7809="EI",4,IF(H7809="EO",5.2,IF(H7809="EQ",3.9,IF(H7809="ILF",7.5,IF(H7809="EIF",5.4)))))))</f>
        <v/>
      </c>
      <c r="M7809" s="112" t="str">
        <f t="shared" si="125"/>
        <v/>
      </c>
      <c r="N7809" s="113"/>
    </row>
    <row r="7810" spans="2:14">
      <c r="B7810" s="105"/>
      <c r="C7810" s="106"/>
      <c r="D7810" s="107"/>
      <c r="E7810" s="65"/>
      <c r="F7810" s="64"/>
      <c r="G7810" s="64"/>
      <c r="H7810" s="64"/>
      <c r="I7810" s="70"/>
      <c r="J7810" s="70"/>
      <c r="K7810" s="110" t="str">
        <f>IF(H7810="","",IF($C$29="간이법","",FPR(H7810,I7810,J7810)))</f>
        <v/>
      </c>
      <c r="L7810" s="111" t="str">
        <f>IF(H7810="","",IF($C$29="상세법",FPV(H7810,K7810),IF(H7810="EI",4,IF(H7810="EO",5.2,IF(H7810="EQ",3.9,IF(H7810="ILF",7.5,IF(H7810="EIF",5.4)))))))</f>
        <v/>
      </c>
      <c r="M7810" s="112" t="str">
        <f t="shared" si="125"/>
        <v/>
      </c>
      <c r="N7810" s="113"/>
    </row>
    <row r="7811" spans="2:14">
      <c r="B7811" s="105"/>
      <c r="C7811" s="106"/>
      <c r="D7811" s="107"/>
      <c r="E7811" s="65"/>
      <c r="F7811" s="64"/>
      <c r="G7811" s="64"/>
      <c r="H7811" s="64"/>
      <c r="I7811" s="70"/>
      <c r="J7811" s="70"/>
      <c r="K7811" s="110" t="str">
        <f>IF(H7811="","",IF($C$29="간이법","",FPR(H7811,I7811,J7811)))</f>
        <v/>
      </c>
      <c r="L7811" s="111" t="str">
        <f>IF(H7811="","",IF($C$29="상세법",FPV(H7811,K7811),IF(H7811="EI",4,IF(H7811="EO",5.2,IF(H7811="EQ",3.9,IF(H7811="ILF",7.5,IF(H7811="EIF",5.4)))))))</f>
        <v/>
      </c>
      <c r="M7811" s="112" t="str">
        <f t="shared" si="125"/>
        <v/>
      </c>
      <c r="N7811" s="113"/>
    </row>
    <row r="7812" spans="2:14">
      <c r="B7812" s="105"/>
      <c r="C7812" s="106"/>
      <c r="D7812" s="107"/>
      <c r="E7812" s="65"/>
      <c r="F7812" s="64"/>
      <c r="G7812" s="64"/>
      <c r="H7812" s="64"/>
      <c r="I7812" s="70"/>
      <c r="J7812" s="70"/>
      <c r="K7812" s="110" t="str">
        <f>IF(H7812="","",IF($C$29="간이법","",FPR(H7812,I7812,J7812)))</f>
        <v/>
      </c>
      <c r="L7812" s="111" t="str">
        <f>IF(H7812="","",IF($C$29="상세법",FPV(H7812,K7812),IF(H7812="EI",4,IF(H7812="EO",5.2,IF(H7812="EQ",3.9,IF(H7812="ILF",7.5,IF(H7812="EIF",5.4)))))))</f>
        <v/>
      </c>
      <c r="M7812" s="112" t="str">
        <f t="shared" si="125"/>
        <v/>
      </c>
      <c r="N7812" s="113"/>
    </row>
    <row r="7813" spans="2:14">
      <c r="B7813" s="105"/>
      <c r="C7813" s="106"/>
      <c r="D7813" s="107"/>
      <c r="E7813" s="65"/>
      <c r="F7813" s="64"/>
      <c r="G7813" s="64"/>
      <c r="H7813" s="64"/>
      <c r="I7813" s="70"/>
      <c r="J7813" s="70"/>
      <c r="K7813" s="110" t="str">
        <f>IF(H7813="","",IF($C$29="간이법","",FPR(H7813,I7813,J7813)))</f>
        <v/>
      </c>
      <c r="L7813" s="111" t="str">
        <f>IF(H7813="","",IF($C$29="상세법",FPV(H7813,K7813),IF(H7813="EI",4,IF(H7813="EO",5.2,IF(H7813="EQ",3.9,IF(H7813="ILF",7.5,IF(H7813="EIF",5.4)))))))</f>
        <v/>
      </c>
      <c r="M7813" s="112" t="str">
        <f t="shared" si="125"/>
        <v/>
      </c>
      <c r="N7813" s="113"/>
    </row>
    <row r="7814" spans="2:14">
      <c r="B7814" s="105"/>
      <c r="C7814" s="106"/>
      <c r="D7814" s="107"/>
      <c r="E7814" s="65"/>
      <c r="F7814" s="64"/>
      <c r="G7814" s="64"/>
      <c r="H7814" s="64"/>
      <c r="I7814" s="70"/>
      <c r="J7814" s="70"/>
      <c r="K7814" s="110" t="str">
        <f>IF(H7814="","",IF($C$29="간이법","",FPR(H7814,I7814,J7814)))</f>
        <v/>
      </c>
      <c r="L7814" s="111" t="str">
        <f>IF(H7814="","",IF($C$29="상세법",FPV(H7814,K7814),IF(H7814="EI",4,IF(H7814="EO",5.2,IF(H7814="EQ",3.9,IF(H7814="ILF",7.5,IF(H7814="EIF",5.4)))))))</f>
        <v/>
      </c>
      <c r="M7814" s="112" t="str">
        <f t="shared" si="125"/>
        <v/>
      </c>
      <c r="N7814" s="113"/>
    </row>
    <row r="7815" spans="2:14">
      <c r="B7815" s="105"/>
      <c r="C7815" s="106"/>
      <c r="D7815" s="107"/>
      <c r="E7815" s="65"/>
      <c r="F7815" s="64"/>
      <c r="G7815" s="64"/>
      <c r="H7815" s="64"/>
      <c r="I7815" s="70"/>
      <c r="J7815" s="70"/>
      <c r="K7815" s="110" t="str">
        <f>IF(H7815="","",IF($C$29="간이법","",FPR(H7815,I7815,J7815)))</f>
        <v/>
      </c>
      <c r="L7815" s="111" t="str">
        <f>IF(H7815="","",IF($C$29="상세법",FPV(H7815,K7815),IF(H7815="EI",4,IF(H7815="EO",5.2,IF(H7815="EQ",3.9,IF(H7815="ILF",7.5,IF(H7815="EIF",5.4)))))))</f>
        <v/>
      </c>
      <c r="M7815" s="112" t="str">
        <f t="shared" si="125"/>
        <v/>
      </c>
      <c r="N7815" s="113"/>
    </row>
    <row r="7816" spans="2:14">
      <c r="B7816" s="105"/>
      <c r="C7816" s="106"/>
      <c r="D7816" s="107"/>
      <c r="E7816" s="65"/>
      <c r="F7816" s="64"/>
      <c r="G7816" s="64"/>
      <c r="H7816" s="64"/>
      <c r="I7816" s="70"/>
      <c r="J7816" s="70"/>
      <c r="K7816" s="110" t="str">
        <f>IF(H7816="","",IF($C$29="간이법","",FPR(H7816,I7816,J7816)))</f>
        <v/>
      </c>
      <c r="L7816" s="111" t="str">
        <f>IF(H7816="","",IF($C$29="상세법",FPV(H7816,K7816),IF(H7816="EI",4,IF(H7816="EO",5.2,IF(H7816="EQ",3.9,IF(H7816="ILF",7.5,IF(H7816="EIF",5.4)))))))</f>
        <v/>
      </c>
      <c r="M7816" s="112" t="str">
        <f t="shared" si="125"/>
        <v/>
      </c>
      <c r="N7816" s="113"/>
    </row>
    <row r="7817" spans="2:14">
      <c r="B7817" s="105"/>
      <c r="C7817" s="106"/>
      <c r="D7817" s="107"/>
      <c r="E7817" s="65"/>
      <c r="F7817" s="64"/>
      <c r="G7817" s="64"/>
      <c r="H7817" s="64"/>
      <c r="I7817" s="70"/>
      <c r="J7817" s="70"/>
      <c r="K7817" s="110" t="str">
        <f>IF(H7817="","",IF($C$29="간이법","",FPR(H7817,I7817,J7817)))</f>
        <v/>
      </c>
      <c r="L7817" s="111" t="str">
        <f>IF(H7817="","",IF($C$29="상세법",FPV(H7817,K7817),IF(H7817="EI",4,IF(H7817="EO",5.2,IF(H7817="EQ",3.9,IF(H7817="ILF",7.5,IF(H7817="EIF",5.4)))))))</f>
        <v/>
      </c>
      <c r="M7817" s="112" t="str">
        <f t="shared" si="125"/>
        <v/>
      </c>
      <c r="N7817" s="113"/>
    </row>
    <row r="7818" spans="2:14">
      <c r="B7818" s="105"/>
      <c r="C7818" s="106"/>
      <c r="D7818" s="107"/>
      <c r="E7818" s="65"/>
      <c r="F7818" s="64"/>
      <c r="G7818" s="64"/>
      <c r="H7818" s="64"/>
      <c r="I7818" s="70"/>
      <c r="J7818" s="70"/>
      <c r="K7818" s="110" t="str">
        <f>IF(H7818="","",IF($C$29="간이법","",FPR(H7818,I7818,J7818)))</f>
        <v/>
      </c>
      <c r="L7818" s="111" t="str">
        <f>IF(H7818="","",IF($C$29="상세법",FPV(H7818,K7818),IF(H7818="EI",4,IF(H7818="EO",5.2,IF(H7818="EQ",3.9,IF(H7818="ILF",7.5,IF(H7818="EIF",5.4)))))))</f>
        <v/>
      </c>
      <c r="M7818" s="112" t="str">
        <f t="shared" si="125"/>
        <v/>
      </c>
      <c r="N7818" s="113"/>
    </row>
    <row r="7819" spans="2:14">
      <c r="B7819" s="105"/>
      <c r="C7819" s="106"/>
      <c r="D7819" s="107"/>
      <c r="E7819" s="65"/>
      <c r="F7819" s="64"/>
      <c r="G7819" s="64"/>
      <c r="H7819" s="64"/>
      <c r="I7819" s="70"/>
      <c r="J7819" s="70"/>
      <c r="K7819" s="110" t="str">
        <f>IF(H7819="","",IF($C$29="간이법","",FPR(H7819,I7819,J7819)))</f>
        <v/>
      </c>
      <c r="L7819" s="111" t="str">
        <f>IF(H7819="","",IF($C$29="상세법",FPV(H7819,K7819),IF(H7819="EI",4,IF(H7819="EO",5.2,IF(H7819="EQ",3.9,IF(H7819="ILF",7.5,IF(H7819="EIF",5.4)))))))</f>
        <v/>
      </c>
      <c r="M7819" s="112" t="str">
        <f t="shared" si="125"/>
        <v/>
      </c>
      <c r="N7819" s="113"/>
    </row>
    <row r="7820" spans="2:14">
      <c r="B7820" s="105"/>
      <c r="C7820" s="106"/>
      <c r="D7820" s="107"/>
      <c r="E7820" s="65"/>
      <c r="F7820" s="64"/>
      <c r="G7820" s="64"/>
      <c r="H7820" s="64"/>
      <c r="I7820" s="70"/>
      <c r="J7820" s="70"/>
      <c r="K7820" s="110" t="str">
        <f>IF(H7820="","",IF($C$29="간이법","",FPR(H7820,I7820,J7820)))</f>
        <v/>
      </c>
      <c r="L7820" s="111" t="str">
        <f>IF(H7820="","",IF($C$29="상세법",FPV(H7820,K7820),IF(H7820="EI",4,IF(H7820="EO",5.2,IF(H7820="EQ",3.9,IF(H7820="ILF",7.5,IF(H7820="EIF",5.4)))))))</f>
        <v/>
      </c>
      <c r="M7820" s="112" t="str">
        <f t="shared" si="125"/>
        <v/>
      </c>
      <c r="N7820" s="113"/>
    </row>
    <row r="7821" spans="2:14">
      <c r="B7821" s="105"/>
      <c r="C7821" s="106"/>
      <c r="D7821" s="107"/>
      <c r="E7821" s="65"/>
      <c r="F7821" s="64"/>
      <c r="G7821" s="64"/>
      <c r="H7821" s="64"/>
      <c r="I7821" s="70"/>
      <c r="J7821" s="70"/>
      <c r="K7821" s="110" t="str">
        <f>IF(H7821="","",IF($C$29="간이법","",FPR(H7821,I7821,J7821)))</f>
        <v/>
      </c>
      <c r="L7821" s="111" t="str">
        <f>IF(H7821="","",IF($C$29="상세법",FPV(H7821,K7821),IF(H7821="EI",4,IF(H7821="EO",5.2,IF(H7821="EQ",3.9,IF(H7821="ILF",7.5,IF(H7821="EIF",5.4)))))))</f>
        <v/>
      </c>
      <c r="M7821" s="112" t="str">
        <f t="shared" si="125"/>
        <v/>
      </c>
      <c r="N7821" s="113"/>
    </row>
    <row r="7822" spans="2:14">
      <c r="B7822" s="105"/>
      <c r="C7822" s="106"/>
      <c r="D7822" s="107"/>
      <c r="E7822" s="65"/>
      <c r="F7822" s="64"/>
      <c r="G7822" s="64"/>
      <c r="H7822" s="64"/>
      <c r="I7822" s="70"/>
      <c r="J7822" s="70"/>
      <c r="K7822" s="110" t="str">
        <f>IF(H7822="","",IF($C$29="간이법","",FPR(H7822,I7822,J7822)))</f>
        <v/>
      </c>
      <c r="L7822" s="111" t="str">
        <f>IF(H7822="","",IF($C$29="상세법",FPV(H7822,K7822),IF(H7822="EI",4,IF(H7822="EO",5.2,IF(H7822="EQ",3.9,IF(H7822="ILF",7.5,IF(H7822="EIF",5.4)))))))</f>
        <v/>
      </c>
      <c r="M7822" s="112" t="str">
        <f t="shared" si="125"/>
        <v/>
      </c>
      <c r="N7822" s="113"/>
    </row>
    <row r="7823" spans="2:14">
      <c r="B7823" s="105"/>
      <c r="C7823" s="106"/>
      <c r="D7823" s="107"/>
      <c r="E7823" s="65"/>
      <c r="F7823" s="64"/>
      <c r="G7823" s="64"/>
      <c r="H7823" s="64"/>
      <c r="I7823" s="70"/>
      <c r="J7823" s="70"/>
      <c r="K7823" s="110" t="str">
        <f>IF(H7823="","",IF($C$29="간이법","",FPR(H7823,I7823,J7823)))</f>
        <v/>
      </c>
      <c r="L7823" s="111" t="str">
        <f>IF(H7823="","",IF($C$29="상세법",FPV(H7823,K7823),IF(H7823="EI",4,IF(H7823="EO",5.2,IF(H7823="EQ",3.9,IF(H7823="ILF",7.5,IF(H7823="EIF",5.4)))))))</f>
        <v/>
      </c>
      <c r="M7823" s="112" t="str">
        <f t="shared" si="125"/>
        <v/>
      </c>
      <c r="N7823" s="113"/>
    </row>
    <row r="7824" spans="2:14">
      <c r="B7824" s="105"/>
      <c r="C7824" s="106"/>
      <c r="D7824" s="107"/>
      <c r="E7824" s="65"/>
      <c r="F7824" s="64"/>
      <c r="G7824" s="64"/>
      <c r="H7824" s="64"/>
      <c r="I7824" s="70"/>
      <c r="J7824" s="70"/>
      <c r="K7824" s="110" t="str">
        <f>IF(H7824="","",IF($C$29="간이법","",FPR(H7824,I7824,J7824)))</f>
        <v/>
      </c>
      <c r="L7824" s="111" t="str">
        <f>IF(H7824="","",IF($C$29="상세법",FPV(H7824,K7824),IF(H7824="EI",4,IF(H7824="EO",5.2,IF(H7824="EQ",3.9,IF(H7824="ILF",7.5,IF(H7824="EIF",5.4)))))))</f>
        <v/>
      </c>
      <c r="M7824" s="112" t="str">
        <f t="shared" si="125"/>
        <v/>
      </c>
      <c r="N7824" s="113"/>
    </row>
    <row r="7825" spans="2:14">
      <c r="B7825" s="105"/>
      <c r="C7825" s="106"/>
      <c r="D7825" s="107"/>
      <c r="E7825" s="65"/>
      <c r="F7825" s="64"/>
      <c r="G7825" s="64"/>
      <c r="H7825" s="64"/>
      <c r="I7825" s="70"/>
      <c r="J7825" s="70"/>
      <c r="K7825" s="110" t="str">
        <f>IF(H7825="","",IF($C$29="간이법","",FPR(H7825,I7825,J7825)))</f>
        <v/>
      </c>
      <c r="L7825" s="111" t="str">
        <f>IF(H7825="","",IF($C$29="상세법",FPV(H7825,K7825),IF(H7825="EI",4,IF(H7825="EO",5.2,IF(H7825="EQ",3.9,IF(H7825="ILF",7.5,IF(H7825="EIF",5.4)))))))</f>
        <v/>
      </c>
      <c r="M7825" s="112" t="str">
        <f t="shared" si="125"/>
        <v/>
      </c>
      <c r="N7825" s="113"/>
    </row>
    <row r="7826" spans="2:14">
      <c r="B7826" s="105"/>
      <c r="C7826" s="106"/>
      <c r="D7826" s="107"/>
      <c r="E7826" s="65"/>
      <c r="F7826" s="64"/>
      <c r="G7826" s="64"/>
      <c r="H7826" s="64"/>
      <c r="I7826" s="70"/>
      <c r="J7826" s="70"/>
      <c r="K7826" s="110" t="str">
        <f>IF(H7826="","",IF($C$29="간이법","",FPR(H7826,I7826,J7826)))</f>
        <v/>
      </c>
      <c r="L7826" s="111" t="str">
        <f>IF(H7826="","",IF($C$29="상세법",FPV(H7826,K7826),IF(H7826="EI",4,IF(H7826="EO",5.2,IF(H7826="EQ",3.9,IF(H7826="ILF",7.5,IF(H7826="EIF",5.4)))))))</f>
        <v/>
      </c>
      <c r="M7826" s="112" t="str">
        <f t="shared" si="125"/>
        <v/>
      </c>
      <c r="N7826" s="113"/>
    </row>
    <row r="7827" spans="2:14">
      <c r="B7827" s="105"/>
      <c r="C7827" s="106"/>
      <c r="D7827" s="107"/>
      <c r="E7827" s="65"/>
      <c r="F7827" s="64"/>
      <c r="G7827" s="64"/>
      <c r="H7827" s="64"/>
      <c r="I7827" s="70"/>
      <c r="J7827" s="70"/>
      <c r="K7827" s="110" t="str">
        <f>IF(H7827="","",IF($C$29="간이법","",FPR(H7827,I7827,J7827)))</f>
        <v/>
      </c>
      <c r="L7827" s="111" t="str">
        <f>IF(H7827="","",IF($C$29="상세법",FPV(H7827,K7827),IF(H7827="EI",4,IF(H7827="EO",5.2,IF(H7827="EQ",3.9,IF(H7827="ILF",7.5,IF(H7827="EIF",5.4)))))))</f>
        <v/>
      </c>
      <c r="M7827" s="112" t="str">
        <f t="shared" si="125"/>
        <v/>
      </c>
      <c r="N7827" s="113"/>
    </row>
    <row r="7828" spans="2:14">
      <c r="B7828" s="105"/>
      <c r="C7828" s="106"/>
      <c r="D7828" s="107"/>
      <c r="E7828" s="65"/>
      <c r="F7828" s="64"/>
      <c r="G7828" s="64"/>
      <c r="H7828" s="64"/>
      <c r="I7828" s="70"/>
      <c r="J7828" s="70"/>
      <c r="K7828" s="110" t="str">
        <f>IF(H7828="","",IF($C$29="간이법","",FPR(H7828,I7828,J7828)))</f>
        <v/>
      </c>
      <c r="L7828" s="111" t="str">
        <f>IF(H7828="","",IF($C$29="상세법",FPV(H7828,K7828),IF(H7828="EI",4,IF(H7828="EO",5.2,IF(H7828="EQ",3.9,IF(H7828="ILF",7.5,IF(H7828="EIF",5.4)))))))</f>
        <v/>
      </c>
      <c r="M7828" s="112" t="str">
        <f t="shared" si="125"/>
        <v/>
      </c>
      <c r="N7828" s="113"/>
    </row>
    <row r="7829" spans="2:14">
      <c r="B7829" s="105"/>
      <c r="C7829" s="106"/>
      <c r="D7829" s="107"/>
      <c r="E7829" s="65"/>
      <c r="F7829" s="64"/>
      <c r="G7829" s="64"/>
      <c r="H7829" s="64"/>
      <c r="I7829" s="70"/>
      <c r="J7829" s="70"/>
      <c r="K7829" s="110" t="str">
        <f>IF(H7829="","",IF($C$29="간이법","",FPR(H7829,I7829,J7829)))</f>
        <v/>
      </c>
      <c r="L7829" s="111" t="str">
        <f>IF(H7829="","",IF($C$29="상세법",FPV(H7829,K7829),IF(H7829="EI",4,IF(H7829="EO",5.2,IF(H7829="EQ",3.9,IF(H7829="ILF",7.5,IF(H7829="EIF",5.4)))))))</f>
        <v/>
      </c>
      <c r="M7829" s="112" t="str">
        <f t="shared" si="125"/>
        <v/>
      </c>
      <c r="N7829" s="113"/>
    </row>
    <row r="7830" spans="2:14">
      <c r="B7830" s="105"/>
      <c r="C7830" s="106"/>
      <c r="D7830" s="107"/>
      <c r="E7830" s="65"/>
      <c r="F7830" s="64"/>
      <c r="G7830" s="64"/>
      <c r="H7830" s="64"/>
      <c r="I7830" s="70"/>
      <c r="J7830" s="70"/>
      <c r="K7830" s="110" t="str">
        <f>IF(H7830="","",IF($C$29="간이법","",FPR(H7830,I7830,J7830)))</f>
        <v/>
      </c>
      <c r="L7830" s="111" t="str">
        <f>IF(H7830="","",IF($C$29="상세법",FPV(H7830,K7830),IF(H7830="EI",4,IF(H7830="EO",5.2,IF(H7830="EQ",3.9,IF(H7830="ILF",7.5,IF(H7830="EIF",5.4)))))))</f>
        <v/>
      </c>
      <c r="M7830" s="112" t="str">
        <f t="shared" si="125"/>
        <v/>
      </c>
      <c r="N7830" s="113"/>
    </row>
    <row r="7831" spans="2:14">
      <c r="B7831" s="105"/>
      <c r="C7831" s="106"/>
      <c r="D7831" s="107"/>
      <c r="E7831" s="65"/>
      <c r="F7831" s="64"/>
      <c r="G7831" s="64"/>
      <c r="H7831" s="64"/>
      <c r="I7831" s="70"/>
      <c r="J7831" s="70"/>
      <c r="K7831" s="110" t="str">
        <f>IF(H7831="","",IF($C$29="간이법","",FPR(H7831,I7831,J7831)))</f>
        <v/>
      </c>
      <c r="L7831" s="111" t="str">
        <f>IF(H7831="","",IF($C$29="상세법",FPV(H7831,K7831),IF(H7831="EI",4,IF(H7831="EO",5.2,IF(H7831="EQ",3.9,IF(H7831="ILF",7.5,IF(H7831="EIF",5.4)))))))</f>
        <v/>
      </c>
      <c r="M7831" s="112" t="str">
        <f t="shared" si="125"/>
        <v/>
      </c>
      <c r="N7831" s="113"/>
    </row>
    <row r="7832" spans="2:14">
      <c r="B7832" s="105"/>
      <c r="C7832" s="106"/>
      <c r="D7832" s="107"/>
      <c r="E7832" s="65"/>
      <c r="F7832" s="64"/>
      <c r="G7832" s="64"/>
      <c r="H7832" s="64"/>
      <c r="I7832" s="70"/>
      <c r="J7832" s="70"/>
      <c r="K7832" s="110" t="str">
        <f>IF(H7832="","",IF($C$29="간이법","",FPR(H7832,I7832,J7832)))</f>
        <v/>
      </c>
      <c r="L7832" s="111" t="str">
        <f>IF(H7832="","",IF($C$29="상세법",FPV(H7832,K7832),IF(H7832="EI",4,IF(H7832="EO",5.2,IF(H7832="EQ",3.9,IF(H7832="ILF",7.5,IF(H7832="EIF",5.4)))))))</f>
        <v/>
      </c>
      <c r="M7832" s="112" t="str">
        <f t="shared" si="125"/>
        <v/>
      </c>
      <c r="N7832" s="113"/>
    </row>
    <row r="7833" spans="2:14">
      <c r="B7833" s="105"/>
      <c r="C7833" s="106"/>
      <c r="D7833" s="107"/>
      <c r="E7833" s="65"/>
      <c r="F7833" s="64"/>
      <c r="G7833" s="64"/>
      <c r="H7833" s="64"/>
      <c r="I7833" s="70"/>
      <c r="J7833" s="70"/>
      <c r="K7833" s="110" t="str">
        <f>IF(H7833="","",IF($C$29="간이법","",FPR(H7833,I7833,J7833)))</f>
        <v/>
      </c>
      <c r="L7833" s="111" t="str">
        <f>IF(H7833="","",IF($C$29="상세법",FPV(H7833,K7833),IF(H7833="EI",4,IF(H7833="EO",5.2,IF(H7833="EQ",3.9,IF(H7833="ILF",7.5,IF(H7833="EIF",5.4)))))))</f>
        <v/>
      </c>
      <c r="M7833" s="112" t="str">
        <f t="shared" si="125"/>
        <v/>
      </c>
      <c r="N7833" s="113"/>
    </row>
    <row r="7834" spans="2:14">
      <c r="B7834" s="105"/>
      <c r="C7834" s="106"/>
      <c r="D7834" s="107"/>
      <c r="E7834" s="65"/>
      <c r="F7834" s="64"/>
      <c r="G7834" s="64"/>
      <c r="H7834" s="64"/>
      <c r="I7834" s="70"/>
      <c r="J7834" s="70"/>
      <c r="K7834" s="110" t="str">
        <f>IF(H7834="","",IF($C$29="간이법","",FPR(H7834,I7834,J7834)))</f>
        <v/>
      </c>
      <c r="L7834" s="111" t="str">
        <f>IF(H7834="","",IF($C$29="상세법",FPV(H7834,K7834),IF(H7834="EI",4,IF(H7834="EO",5.2,IF(H7834="EQ",3.9,IF(H7834="ILF",7.5,IF(H7834="EIF",5.4)))))))</f>
        <v/>
      </c>
      <c r="M7834" s="112" t="str">
        <f t="shared" si="125"/>
        <v/>
      </c>
      <c r="N7834" s="113"/>
    </row>
    <row r="7835" spans="2:14">
      <c r="B7835" s="105"/>
      <c r="C7835" s="106"/>
      <c r="D7835" s="107"/>
      <c r="E7835" s="65"/>
      <c r="F7835" s="64"/>
      <c r="G7835" s="64"/>
      <c r="H7835" s="64"/>
      <c r="I7835" s="70"/>
      <c r="J7835" s="70"/>
      <c r="K7835" s="110" t="str">
        <f>IF(H7835="","",IF($C$29="간이법","",FPR(H7835,I7835,J7835)))</f>
        <v/>
      </c>
      <c r="L7835" s="111" t="str">
        <f>IF(H7835="","",IF($C$29="상세법",FPV(H7835,K7835),IF(H7835="EI",4,IF(H7835="EO",5.2,IF(H7835="EQ",3.9,IF(H7835="ILF",7.5,IF(H7835="EIF",5.4)))))))</f>
        <v/>
      </c>
      <c r="M7835" s="112" t="str">
        <f t="shared" si="125"/>
        <v/>
      </c>
      <c r="N7835" s="113"/>
    </row>
    <row r="7836" spans="2:14">
      <c r="B7836" s="105"/>
      <c r="C7836" s="106"/>
      <c r="D7836" s="107"/>
      <c r="E7836" s="65"/>
      <c r="F7836" s="64"/>
      <c r="G7836" s="64"/>
      <c r="H7836" s="64"/>
      <c r="I7836" s="70"/>
      <c r="J7836" s="70"/>
      <c r="K7836" s="110" t="str">
        <f>IF(H7836="","",IF($C$29="간이법","",FPR(H7836,I7836,J7836)))</f>
        <v/>
      </c>
      <c r="L7836" s="111" t="str">
        <f>IF(H7836="","",IF($C$29="상세법",FPV(H7836,K7836),IF(H7836="EI",4,IF(H7836="EO",5.2,IF(H7836="EQ",3.9,IF(H7836="ILF",7.5,IF(H7836="EIF",5.4)))))))</f>
        <v/>
      </c>
      <c r="M7836" s="112" t="str">
        <f t="shared" si="125"/>
        <v/>
      </c>
      <c r="N7836" s="113"/>
    </row>
    <row r="7837" spans="2:14">
      <c r="B7837" s="105"/>
      <c r="C7837" s="106"/>
      <c r="D7837" s="107"/>
      <c r="E7837" s="65"/>
      <c r="F7837" s="64"/>
      <c r="G7837" s="64"/>
      <c r="H7837" s="64"/>
      <c r="I7837" s="70"/>
      <c r="J7837" s="70"/>
      <c r="K7837" s="110" t="str">
        <f>IF(H7837="","",IF($C$29="간이법","",FPR(H7837,I7837,J7837)))</f>
        <v/>
      </c>
      <c r="L7837" s="111" t="str">
        <f>IF(H7837="","",IF($C$29="상세법",FPV(H7837,K7837),IF(H7837="EI",4,IF(H7837="EO",5.2,IF(H7837="EQ",3.9,IF(H7837="ILF",7.5,IF(H7837="EIF",5.4)))))))</f>
        <v/>
      </c>
      <c r="M7837" s="112" t="str">
        <f t="shared" si="125"/>
        <v/>
      </c>
      <c r="N7837" s="113"/>
    </row>
    <row r="7838" spans="2:14">
      <c r="B7838" s="105"/>
      <c r="C7838" s="106"/>
      <c r="D7838" s="107"/>
      <c r="E7838" s="65"/>
      <c r="F7838" s="64"/>
      <c r="G7838" s="64"/>
      <c r="H7838" s="64"/>
      <c r="I7838" s="70"/>
      <c r="J7838" s="70"/>
      <c r="K7838" s="110" t="str">
        <f>IF(H7838="","",IF($C$29="간이법","",FPR(H7838,I7838,J7838)))</f>
        <v/>
      </c>
      <c r="L7838" s="111" t="str">
        <f>IF(H7838="","",IF($C$29="상세법",FPV(H7838,K7838),IF(H7838="EI",4,IF(H7838="EO",5.2,IF(H7838="EQ",3.9,IF(H7838="ILF",7.5,IF(H7838="EIF",5.4)))))))</f>
        <v/>
      </c>
      <c r="M7838" s="112" t="str">
        <f t="shared" si="125"/>
        <v/>
      </c>
      <c r="N7838" s="113"/>
    </row>
    <row r="7839" spans="2:14">
      <c r="B7839" s="105"/>
      <c r="C7839" s="106"/>
      <c r="D7839" s="107"/>
      <c r="E7839" s="65"/>
      <c r="F7839" s="64"/>
      <c r="G7839" s="64"/>
      <c r="H7839" s="64"/>
      <c r="I7839" s="70"/>
      <c r="J7839" s="70"/>
      <c r="K7839" s="110" t="str">
        <f>IF(H7839="","",IF($C$29="간이법","",FPR(H7839,I7839,J7839)))</f>
        <v/>
      </c>
      <c r="L7839" s="111" t="str">
        <f>IF(H7839="","",IF($C$29="상세법",FPV(H7839,K7839),IF(H7839="EI",4,IF(H7839="EO",5.2,IF(H7839="EQ",3.9,IF(H7839="ILF",7.5,IF(H7839="EIF",5.4)))))))</f>
        <v/>
      </c>
      <c r="M7839" s="112" t="str">
        <f t="shared" si="125"/>
        <v/>
      </c>
      <c r="N7839" s="113"/>
    </row>
    <row r="7840" spans="2:14">
      <c r="B7840" s="105"/>
      <c r="C7840" s="106"/>
      <c r="D7840" s="107"/>
      <c r="E7840" s="65"/>
      <c r="F7840" s="64"/>
      <c r="G7840" s="64"/>
      <c r="H7840" s="64"/>
      <c r="I7840" s="70"/>
      <c r="J7840" s="70"/>
      <c r="K7840" s="110" t="str">
        <f>IF(H7840="","",IF($C$29="간이법","",FPR(H7840,I7840,J7840)))</f>
        <v/>
      </c>
      <c r="L7840" s="111" t="str">
        <f>IF(H7840="","",IF($C$29="상세법",FPV(H7840,K7840),IF(H7840="EI",4,IF(H7840="EO",5.2,IF(H7840="EQ",3.9,IF(H7840="ILF",7.5,IF(H7840="EIF",5.4)))))))</f>
        <v/>
      </c>
      <c r="M7840" s="112" t="str">
        <f t="shared" si="125"/>
        <v/>
      </c>
      <c r="N7840" s="113"/>
    </row>
    <row r="7841" spans="2:14">
      <c r="B7841" s="105"/>
      <c r="C7841" s="106"/>
      <c r="D7841" s="107"/>
      <c r="E7841" s="65"/>
      <c r="F7841" s="64"/>
      <c r="G7841" s="64"/>
      <c r="H7841" s="64"/>
      <c r="I7841" s="70"/>
      <c r="J7841" s="70"/>
      <c r="K7841" s="110" t="str">
        <f>IF(H7841="","",IF($C$29="간이법","",FPR(H7841,I7841,J7841)))</f>
        <v/>
      </c>
      <c r="L7841" s="111" t="str">
        <f>IF(H7841="","",IF($C$29="상세법",FPV(H7841,K7841),IF(H7841="EI",4,IF(H7841="EO",5.2,IF(H7841="EQ",3.9,IF(H7841="ILF",7.5,IF(H7841="EIF",5.4)))))))</f>
        <v/>
      </c>
      <c r="M7841" s="112" t="str">
        <f t="shared" si="125"/>
        <v/>
      </c>
      <c r="N7841" s="113"/>
    </row>
    <row r="7842" spans="2:14">
      <c r="B7842" s="105"/>
      <c r="C7842" s="106"/>
      <c r="D7842" s="107"/>
      <c r="E7842" s="65"/>
      <c r="F7842" s="64"/>
      <c r="G7842" s="64"/>
      <c r="H7842" s="64"/>
      <c r="I7842" s="70"/>
      <c r="J7842" s="70"/>
      <c r="K7842" s="110" t="str">
        <f>IF(H7842="","",IF($C$29="간이법","",FPR(H7842,I7842,J7842)))</f>
        <v/>
      </c>
      <c r="L7842" s="111" t="str">
        <f>IF(H7842="","",IF($C$29="상세법",FPV(H7842,K7842),IF(H7842="EI",4,IF(H7842="EO",5.2,IF(H7842="EQ",3.9,IF(H7842="ILF",7.5,IF(H7842="EIF",5.4)))))))</f>
        <v/>
      </c>
      <c r="M7842" s="112" t="str">
        <f t="shared" si="125"/>
        <v/>
      </c>
      <c r="N7842" s="113"/>
    </row>
    <row r="7843" spans="2:14">
      <c r="B7843" s="105"/>
      <c r="C7843" s="106"/>
      <c r="D7843" s="107"/>
      <c r="E7843" s="65"/>
      <c r="F7843" s="64"/>
      <c r="G7843" s="64"/>
      <c r="H7843" s="64"/>
      <c r="I7843" s="70"/>
      <c r="J7843" s="70"/>
      <c r="K7843" s="110" t="str">
        <f>IF(H7843="","",IF($C$29="간이법","",FPR(H7843,I7843,J7843)))</f>
        <v/>
      </c>
      <c r="L7843" s="111" t="str">
        <f>IF(H7843="","",IF($C$29="상세법",FPV(H7843,K7843),IF(H7843="EI",4,IF(H7843="EO",5.2,IF(H7843="EQ",3.9,IF(H7843="ILF",7.5,IF(H7843="EIF",5.4)))))))</f>
        <v/>
      </c>
      <c r="M7843" s="112" t="str">
        <f t="shared" si="125"/>
        <v/>
      </c>
      <c r="N7843" s="113"/>
    </row>
    <row r="7844" spans="2:14">
      <c r="B7844" s="105"/>
      <c r="C7844" s="106"/>
      <c r="D7844" s="107"/>
      <c r="E7844" s="65"/>
      <c r="F7844" s="64"/>
      <c r="G7844" s="64"/>
      <c r="H7844" s="64"/>
      <c r="I7844" s="70"/>
      <c r="J7844" s="70"/>
      <c r="K7844" s="110" t="str">
        <f>IF(H7844="","",IF($C$29="간이법","",FPR(H7844,I7844,J7844)))</f>
        <v/>
      </c>
      <c r="L7844" s="111" t="str">
        <f>IF(H7844="","",IF($C$29="상세법",FPV(H7844,K7844),IF(H7844="EI",4,IF(H7844="EO",5.2,IF(H7844="EQ",3.9,IF(H7844="ILF",7.5,IF(H7844="EIF",5.4)))))))</f>
        <v/>
      </c>
      <c r="M7844" s="112" t="str">
        <f t="shared" si="125"/>
        <v/>
      </c>
      <c r="N7844" s="113"/>
    </row>
    <row r="7845" spans="2:14">
      <c r="B7845" s="105"/>
      <c r="C7845" s="106"/>
      <c r="D7845" s="107"/>
      <c r="E7845" s="65"/>
      <c r="F7845" s="64"/>
      <c r="G7845" s="64"/>
      <c r="H7845" s="64"/>
      <c r="I7845" s="70"/>
      <c r="J7845" s="70"/>
      <c r="K7845" s="110" t="str">
        <f>IF(H7845="","",IF($C$29="간이법","",FPR(H7845,I7845,J7845)))</f>
        <v/>
      </c>
      <c r="L7845" s="111" t="str">
        <f>IF(H7845="","",IF($C$29="상세법",FPV(H7845,K7845),IF(H7845="EI",4,IF(H7845="EO",5.2,IF(H7845="EQ",3.9,IF(H7845="ILF",7.5,IF(H7845="EIF",5.4)))))))</f>
        <v/>
      </c>
      <c r="M7845" s="112" t="str">
        <f t="shared" si="125"/>
        <v/>
      </c>
      <c r="N7845" s="113"/>
    </row>
    <row r="7846" spans="2:14">
      <c r="B7846" s="105"/>
      <c r="C7846" s="106"/>
      <c r="D7846" s="107"/>
      <c r="E7846" s="65"/>
      <c r="F7846" s="64"/>
      <c r="G7846" s="64"/>
      <c r="H7846" s="64"/>
      <c r="I7846" s="70"/>
      <c r="J7846" s="70"/>
      <c r="K7846" s="110" t="str">
        <f>IF(H7846="","",IF($C$29="간이법","",FPR(H7846,I7846,J7846)))</f>
        <v/>
      </c>
      <c r="L7846" s="111" t="str">
        <f>IF(H7846="","",IF($C$29="상세법",FPV(H7846,K7846),IF(H7846="EI",4,IF(H7846="EO",5.2,IF(H7846="EQ",3.9,IF(H7846="ILF",7.5,IF(H7846="EIF",5.4)))))))</f>
        <v/>
      </c>
      <c r="M7846" s="112" t="str">
        <f t="shared" si="125"/>
        <v/>
      </c>
      <c r="N7846" s="113"/>
    </row>
    <row r="7847" spans="2:14">
      <c r="B7847" s="105"/>
      <c r="C7847" s="106"/>
      <c r="D7847" s="107"/>
      <c r="E7847" s="65"/>
      <c r="F7847" s="64"/>
      <c r="G7847" s="64"/>
      <c r="H7847" s="64"/>
      <c r="I7847" s="70"/>
      <c r="J7847" s="70"/>
      <c r="K7847" s="110" t="str">
        <f>IF(H7847="","",IF($C$29="간이법","",FPR(H7847,I7847,J7847)))</f>
        <v/>
      </c>
      <c r="L7847" s="111" t="str">
        <f>IF(H7847="","",IF($C$29="상세법",FPV(H7847,K7847),IF(H7847="EI",4,IF(H7847="EO",5.2,IF(H7847="EQ",3.9,IF(H7847="ILF",7.5,IF(H7847="EIF",5.4)))))))</f>
        <v/>
      </c>
      <c r="M7847" s="112" t="str">
        <f t="shared" si="125"/>
        <v/>
      </c>
      <c r="N7847" s="113"/>
    </row>
    <row r="7848" spans="2:14">
      <c r="B7848" s="105"/>
      <c r="C7848" s="106"/>
      <c r="D7848" s="107"/>
      <c r="E7848" s="65"/>
      <c r="F7848" s="64"/>
      <c r="G7848" s="64"/>
      <c r="H7848" s="64"/>
      <c r="I7848" s="70"/>
      <c r="J7848" s="70"/>
      <c r="K7848" s="110" t="str">
        <f>IF(H7848="","",IF($C$29="간이법","",FPR(H7848,I7848,J7848)))</f>
        <v/>
      </c>
      <c r="L7848" s="111" t="str">
        <f>IF(H7848="","",IF($C$29="상세법",FPV(H7848,K7848),IF(H7848="EI",4,IF(H7848="EO",5.2,IF(H7848="EQ",3.9,IF(H7848="ILF",7.5,IF(H7848="EIF",5.4)))))))</f>
        <v/>
      </c>
      <c r="M7848" s="112" t="str">
        <f t="shared" si="125"/>
        <v/>
      </c>
      <c r="N7848" s="113"/>
    </row>
    <row r="7849" spans="2:14">
      <c r="B7849" s="105"/>
      <c r="C7849" s="106"/>
      <c r="D7849" s="107"/>
      <c r="E7849" s="65"/>
      <c r="F7849" s="64"/>
      <c r="G7849" s="64"/>
      <c r="H7849" s="64"/>
      <c r="I7849" s="70"/>
      <c r="J7849" s="70"/>
      <c r="K7849" s="110" t="str">
        <f>IF(H7849="","",IF($C$29="간이법","",FPR(H7849,I7849,J7849)))</f>
        <v/>
      </c>
      <c r="L7849" s="111" t="str">
        <f>IF(H7849="","",IF($C$29="상세법",FPV(H7849,K7849),IF(H7849="EI",4,IF(H7849="EO",5.2,IF(H7849="EQ",3.9,IF(H7849="ILF",7.5,IF(H7849="EIF",5.4)))))))</f>
        <v/>
      </c>
      <c r="M7849" s="112" t="str">
        <f t="shared" si="125"/>
        <v/>
      </c>
      <c r="N7849" s="113"/>
    </row>
    <row r="7850" spans="2:14">
      <c r="B7850" s="105"/>
      <c r="C7850" s="106"/>
      <c r="D7850" s="107"/>
      <c r="E7850" s="65"/>
      <c r="F7850" s="64"/>
      <c r="G7850" s="64"/>
      <c r="H7850" s="64"/>
      <c r="I7850" s="70"/>
      <c r="J7850" s="70"/>
      <c r="K7850" s="110" t="str">
        <f>IF(H7850="","",IF($C$29="간이법","",FPR(H7850,I7850,J7850)))</f>
        <v/>
      </c>
      <c r="L7850" s="111" t="str">
        <f>IF(H7850="","",IF($C$29="상세법",FPV(H7850,K7850),IF(H7850="EI",4,IF(H7850="EO",5.2,IF(H7850="EQ",3.9,IF(H7850="ILF",7.5,IF(H7850="EIF",5.4)))))))</f>
        <v/>
      </c>
      <c r="M7850" s="112" t="str">
        <f t="shared" si="125"/>
        <v/>
      </c>
      <c r="N7850" s="113"/>
    </row>
    <row r="7851" spans="2:14">
      <c r="B7851" s="105"/>
      <c r="C7851" s="106"/>
      <c r="D7851" s="107"/>
      <c r="E7851" s="65"/>
      <c r="F7851" s="64"/>
      <c r="G7851" s="64"/>
      <c r="H7851" s="64"/>
      <c r="I7851" s="70"/>
      <c r="J7851" s="70"/>
      <c r="K7851" s="110" t="str">
        <f>IF(H7851="","",IF($C$29="간이법","",FPR(H7851,I7851,J7851)))</f>
        <v/>
      </c>
      <c r="L7851" s="111" t="str">
        <f>IF(H7851="","",IF($C$29="상세법",FPV(H7851,K7851),IF(H7851="EI",4,IF(H7851="EO",5.2,IF(H7851="EQ",3.9,IF(H7851="ILF",7.5,IF(H7851="EIF",5.4)))))))</f>
        <v/>
      </c>
      <c r="M7851" s="112" t="str">
        <f t="shared" si="125"/>
        <v/>
      </c>
      <c r="N7851" s="113"/>
    </row>
    <row r="7852" spans="2:14">
      <c r="B7852" s="105"/>
      <c r="C7852" s="106"/>
      <c r="D7852" s="107"/>
      <c r="E7852" s="65"/>
      <c r="F7852" s="64"/>
      <c r="G7852" s="64"/>
      <c r="H7852" s="64"/>
      <c r="I7852" s="70"/>
      <c r="J7852" s="70"/>
      <c r="K7852" s="110" t="str">
        <f>IF(H7852="","",IF($C$29="간이법","",FPR(H7852,I7852,J7852)))</f>
        <v/>
      </c>
      <c r="L7852" s="111" t="str">
        <f>IF(H7852="","",IF($C$29="상세법",FPV(H7852,K7852),IF(H7852="EI",4,IF(H7852="EO",5.2,IF(H7852="EQ",3.9,IF(H7852="ILF",7.5,IF(H7852="EIF",5.4)))))))</f>
        <v/>
      </c>
      <c r="M7852" s="112" t="str">
        <f t="shared" si="125"/>
        <v/>
      </c>
      <c r="N7852" s="113"/>
    </row>
    <row r="7853" spans="2:14">
      <c r="B7853" s="105"/>
      <c r="C7853" s="106"/>
      <c r="D7853" s="107"/>
      <c r="E7853" s="65"/>
      <c r="F7853" s="64"/>
      <c r="G7853" s="64"/>
      <c r="H7853" s="64"/>
      <c r="I7853" s="70"/>
      <c r="J7853" s="70"/>
      <c r="K7853" s="110" t="str">
        <f>IF(H7853="","",IF($C$29="간이법","",FPR(H7853,I7853,J7853)))</f>
        <v/>
      </c>
      <c r="L7853" s="111" t="str">
        <f>IF(H7853="","",IF($C$29="상세법",FPV(H7853,K7853),IF(H7853="EI",4,IF(H7853="EO",5.2,IF(H7853="EQ",3.9,IF(H7853="ILF",7.5,IF(H7853="EIF",5.4)))))))</f>
        <v/>
      </c>
      <c r="M7853" s="112" t="str">
        <f t="shared" si="125"/>
        <v/>
      </c>
      <c r="N7853" s="113"/>
    </row>
    <row r="7854" spans="2:14">
      <c r="B7854" s="105"/>
      <c r="C7854" s="106"/>
      <c r="D7854" s="107"/>
      <c r="E7854" s="65"/>
      <c r="F7854" s="64"/>
      <c r="G7854" s="64"/>
      <c r="H7854" s="64"/>
      <c r="I7854" s="70"/>
      <c r="J7854" s="70"/>
      <c r="K7854" s="110" t="str">
        <f>IF(H7854="","",IF($C$29="간이법","",FPR(H7854,I7854,J7854)))</f>
        <v/>
      </c>
      <c r="L7854" s="111" t="str">
        <f>IF(H7854="","",IF($C$29="상세법",FPV(H7854,K7854),IF(H7854="EI",4,IF(H7854="EO",5.2,IF(H7854="EQ",3.9,IF(H7854="ILF",7.5,IF(H7854="EIF",5.4)))))))</f>
        <v/>
      </c>
      <c r="M7854" s="112" t="str">
        <f t="shared" si="125"/>
        <v/>
      </c>
      <c r="N7854" s="113"/>
    </row>
    <row r="7855" spans="2:14">
      <c r="B7855" s="105"/>
      <c r="C7855" s="106"/>
      <c r="D7855" s="107"/>
      <c r="E7855" s="65"/>
      <c r="F7855" s="64"/>
      <c r="G7855" s="64"/>
      <c r="H7855" s="64"/>
      <c r="I7855" s="70"/>
      <c r="J7855" s="70"/>
      <c r="K7855" s="110" t="str">
        <f>IF(H7855="","",IF($C$29="간이법","",FPR(H7855,I7855,J7855)))</f>
        <v/>
      </c>
      <c r="L7855" s="111" t="str">
        <f>IF(H7855="","",IF($C$29="상세법",FPV(H7855,K7855),IF(H7855="EI",4,IF(H7855="EO",5.2,IF(H7855="EQ",3.9,IF(H7855="ILF",7.5,IF(H7855="EIF",5.4)))))))</f>
        <v/>
      </c>
      <c r="M7855" s="112" t="str">
        <f t="shared" si="125"/>
        <v/>
      </c>
      <c r="N7855" s="113"/>
    </row>
    <row r="7856" spans="2:14">
      <c r="B7856" s="105"/>
      <c r="C7856" s="106"/>
      <c r="D7856" s="107"/>
      <c r="E7856" s="65"/>
      <c r="F7856" s="64"/>
      <c r="G7856" s="64"/>
      <c r="H7856" s="64"/>
      <c r="I7856" s="70"/>
      <c r="J7856" s="70"/>
      <c r="K7856" s="110" t="str">
        <f>IF(H7856="","",IF($C$29="간이법","",FPR(H7856,I7856,J7856)))</f>
        <v/>
      </c>
      <c r="L7856" s="111" t="str">
        <f>IF(H7856="","",IF($C$29="상세법",FPV(H7856,K7856),IF(H7856="EI",4,IF(H7856="EO",5.2,IF(H7856="EQ",3.9,IF(H7856="ILF",7.5,IF(H7856="EIF",5.4)))))))</f>
        <v/>
      </c>
      <c r="M7856" s="112" t="str">
        <f t="shared" si="125"/>
        <v/>
      </c>
      <c r="N7856" s="113"/>
    </row>
    <row r="7857" spans="2:14">
      <c r="B7857" s="105"/>
      <c r="C7857" s="106"/>
      <c r="D7857" s="107"/>
      <c r="E7857" s="65"/>
      <c r="F7857" s="64"/>
      <c r="G7857" s="64"/>
      <c r="H7857" s="64"/>
      <c r="I7857" s="70"/>
      <c r="J7857" s="70"/>
      <c r="K7857" s="110" t="str">
        <f>IF(H7857="","",IF($C$29="간이법","",FPR(H7857,I7857,J7857)))</f>
        <v/>
      </c>
      <c r="L7857" s="111" t="str">
        <f>IF(H7857="","",IF($C$29="상세법",FPV(H7857,K7857),IF(H7857="EI",4,IF(H7857="EO",5.2,IF(H7857="EQ",3.9,IF(H7857="ILF",7.5,IF(H7857="EIF",5.4)))))))</f>
        <v/>
      </c>
      <c r="M7857" s="112" t="str">
        <f t="shared" si="125"/>
        <v/>
      </c>
      <c r="N7857" s="113"/>
    </row>
    <row r="7858" spans="2:14">
      <c r="B7858" s="105"/>
      <c r="C7858" s="106"/>
      <c r="D7858" s="107"/>
      <c r="E7858" s="65"/>
      <c r="F7858" s="64"/>
      <c r="G7858" s="64"/>
      <c r="H7858" s="64"/>
      <c r="I7858" s="70"/>
      <c r="J7858" s="70"/>
      <c r="K7858" s="110" t="str">
        <f>IF(H7858="","",IF($C$29="간이법","",FPR(H7858,I7858,J7858)))</f>
        <v/>
      </c>
      <c r="L7858" s="111" t="str">
        <f>IF(H7858="","",IF($C$29="상세법",FPV(H7858,K7858),IF(H7858="EI",4,IF(H7858="EO",5.2,IF(H7858="EQ",3.9,IF(H7858="ILF",7.5,IF(H7858="EIF",5.4)))))))</f>
        <v/>
      </c>
      <c r="M7858" s="112" t="str">
        <f t="shared" si="125"/>
        <v/>
      </c>
      <c r="N7858" s="113"/>
    </row>
    <row r="7859" spans="2:14">
      <c r="B7859" s="105"/>
      <c r="C7859" s="106"/>
      <c r="D7859" s="107"/>
      <c r="E7859" s="65"/>
      <c r="F7859" s="64"/>
      <c r="G7859" s="64"/>
      <c r="H7859" s="64"/>
      <c r="I7859" s="70"/>
      <c r="J7859" s="70"/>
      <c r="K7859" s="110" t="str">
        <f>IF(H7859="","",IF($C$29="간이법","",FPR(H7859,I7859,J7859)))</f>
        <v/>
      </c>
      <c r="L7859" s="111" t="str">
        <f>IF(H7859="","",IF($C$29="상세법",FPV(H7859,K7859),IF(H7859="EI",4,IF(H7859="EO",5.2,IF(H7859="EQ",3.9,IF(H7859="ILF",7.5,IF(H7859="EIF",5.4)))))))</f>
        <v/>
      </c>
      <c r="M7859" s="112" t="str">
        <f t="shared" si="125"/>
        <v/>
      </c>
      <c r="N7859" s="113"/>
    </row>
    <row r="7860" spans="2:14">
      <c r="B7860" s="105"/>
      <c r="C7860" s="106"/>
      <c r="D7860" s="107"/>
      <c r="E7860" s="65"/>
      <c r="F7860" s="64"/>
      <c r="G7860" s="64"/>
      <c r="H7860" s="64"/>
      <c r="I7860" s="70"/>
      <c r="J7860" s="70"/>
      <c r="K7860" s="110" t="str">
        <f>IF(H7860="","",IF($C$29="간이법","",FPR(H7860,I7860,J7860)))</f>
        <v/>
      </c>
      <c r="L7860" s="111" t="str">
        <f>IF(H7860="","",IF($C$29="상세법",FPV(H7860,K7860),IF(H7860="EI",4,IF(H7860="EO",5.2,IF(H7860="EQ",3.9,IF(H7860="ILF",7.5,IF(H7860="EIF",5.4)))))))</f>
        <v/>
      </c>
      <c r="M7860" s="112" t="str">
        <f t="shared" si="125"/>
        <v/>
      </c>
      <c r="N7860" s="113"/>
    </row>
    <row r="7861" spans="2:14">
      <c r="B7861" s="105"/>
      <c r="C7861" s="106"/>
      <c r="D7861" s="107"/>
      <c r="E7861" s="65"/>
      <c r="F7861" s="64"/>
      <c r="G7861" s="64"/>
      <c r="H7861" s="64"/>
      <c r="I7861" s="70"/>
      <c r="J7861" s="70"/>
      <c r="K7861" s="110" t="str">
        <f>IF(H7861="","",IF($C$29="간이법","",FPR(H7861,I7861,J7861)))</f>
        <v/>
      </c>
      <c r="L7861" s="111" t="str">
        <f>IF(H7861="","",IF($C$29="상세법",FPV(H7861,K7861),IF(H7861="EI",4,IF(H7861="EO",5.2,IF(H7861="EQ",3.9,IF(H7861="ILF",7.5,IF(H7861="EIF",5.4)))))))</f>
        <v/>
      </c>
      <c r="M7861" s="112" t="str">
        <f t="shared" si="125"/>
        <v/>
      </c>
      <c r="N7861" s="113"/>
    </row>
    <row r="7862" spans="2:14">
      <c r="B7862" s="105"/>
      <c r="C7862" s="106"/>
      <c r="D7862" s="107"/>
      <c r="E7862" s="65"/>
      <c r="F7862" s="64"/>
      <c r="G7862" s="64"/>
      <c r="H7862" s="64"/>
      <c r="I7862" s="70"/>
      <c r="J7862" s="70"/>
      <c r="K7862" s="110" t="str">
        <f>IF(H7862="","",IF($C$29="간이법","",FPR(H7862,I7862,J7862)))</f>
        <v/>
      </c>
      <c r="L7862" s="111" t="str">
        <f>IF(H7862="","",IF($C$29="상세법",FPV(H7862,K7862),IF(H7862="EI",4,IF(H7862="EO",5.2,IF(H7862="EQ",3.9,IF(H7862="ILF",7.5,IF(H7862="EIF",5.4)))))))</f>
        <v/>
      </c>
      <c r="M7862" s="112" t="str">
        <f t="shared" si="125"/>
        <v/>
      </c>
      <c r="N7862" s="113"/>
    </row>
    <row r="7863" spans="2:14">
      <c r="B7863" s="105"/>
      <c r="C7863" s="106"/>
      <c r="D7863" s="107"/>
      <c r="E7863" s="65"/>
      <c r="F7863" s="64"/>
      <c r="G7863" s="64"/>
      <c r="H7863" s="64"/>
      <c r="I7863" s="70"/>
      <c r="J7863" s="70"/>
      <c r="K7863" s="110" t="str">
        <f>IF(H7863="","",IF($C$29="간이법","",FPR(H7863,I7863,J7863)))</f>
        <v/>
      </c>
      <c r="L7863" s="111" t="str">
        <f>IF(H7863="","",IF($C$29="상세법",FPV(H7863,K7863),IF(H7863="EI",4,IF(H7863="EO",5.2,IF(H7863="EQ",3.9,IF(H7863="ILF",7.5,IF(H7863="EIF",5.4)))))))</f>
        <v/>
      </c>
      <c r="M7863" s="112" t="str">
        <f t="shared" si="125"/>
        <v/>
      </c>
      <c r="N7863" s="113"/>
    </row>
    <row r="7864" spans="2:14">
      <c r="B7864" s="105"/>
      <c r="C7864" s="106"/>
      <c r="D7864" s="107"/>
      <c r="E7864" s="65"/>
      <c r="F7864" s="64"/>
      <c r="G7864" s="64"/>
      <c r="H7864" s="64"/>
      <c r="I7864" s="70"/>
      <c r="J7864" s="70"/>
      <c r="K7864" s="110" t="str">
        <f>IF(H7864="","",IF($C$29="간이법","",FPR(H7864,I7864,J7864)))</f>
        <v/>
      </c>
      <c r="L7864" s="111" t="str">
        <f>IF(H7864="","",IF($C$29="상세법",FPV(H7864,K7864),IF(H7864="EI",4,IF(H7864="EO",5.2,IF(H7864="EQ",3.9,IF(H7864="ILF",7.5,IF(H7864="EIF",5.4)))))))</f>
        <v/>
      </c>
      <c r="M7864" s="112" t="str">
        <f t="shared" si="125"/>
        <v/>
      </c>
      <c r="N7864" s="113"/>
    </row>
    <row r="7865" spans="2:14">
      <c r="B7865" s="105"/>
      <c r="C7865" s="106"/>
      <c r="D7865" s="107"/>
      <c r="E7865" s="65"/>
      <c r="F7865" s="64"/>
      <c r="G7865" s="64"/>
      <c r="H7865" s="64"/>
      <c r="I7865" s="70"/>
      <c r="J7865" s="70"/>
      <c r="K7865" s="110" t="str">
        <f>IF(H7865="","",IF($C$29="간이법","",FPR(H7865,I7865,J7865)))</f>
        <v/>
      </c>
      <c r="L7865" s="111" t="str">
        <f>IF(H7865="","",IF($C$29="상세법",FPV(H7865,K7865),IF(H7865="EI",4,IF(H7865="EO",5.2,IF(H7865="EQ",3.9,IF(H7865="ILF",7.5,IF(H7865="EIF",5.4)))))))</f>
        <v/>
      </c>
      <c r="M7865" s="112" t="str">
        <f t="shared" ref="M7865:M7928" si="126">IF(L7865="","",L7865*IF(G7865="상",0.7,IF(G7865="중",0.5,IF(G7865="하",0.2,1))))</f>
        <v/>
      </c>
      <c r="N7865" s="113"/>
    </row>
    <row r="7866" spans="2:14">
      <c r="B7866" s="105"/>
      <c r="C7866" s="106"/>
      <c r="D7866" s="107"/>
      <c r="E7866" s="65"/>
      <c r="F7866" s="64"/>
      <c r="G7866" s="64"/>
      <c r="H7866" s="64"/>
      <c r="I7866" s="70"/>
      <c r="J7866" s="70"/>
      <c r="K7866" s="110" t="str">
        <f>IF(H7866="","",IF($C$29="간이법","",FPR(H7866,I7866,J7866)))</f>
        <v/>
      </c>
      <c r="L7866" s="111" t="str">
        <f>IF(H7866="","",IF($C$29="상세법",FPV(H7866,K7866),IF(H7866="EI",4,IF(H7866="EO",5.2,IF(H7866="EQ",3.9,IF(H7866="ILF",7.5,IF(H7866="EIF",5.4)))))))</f>
        <v/>
      </c>
      <c r="M7866" s="112" t="str">
        <f t="shared" si="126"/>
        <v/>
      </c>
      <c r="N7866" s="113"/>
    </row>
    <row r="7867" spans="2:14">
      <c r="B7867" s="105"/>
      <c r="C7867" s="106"/>
      <c r="D7867" s="107"/>
      <c r="E7867" s="65"/>
      <c r="F7867" s="64"/>
      <c r="G7867" s="64"/>
      <c r="H7867" s="64"/>
      <c r="I7867" s="70"/>
      <c r="J7867" s="70"/>
      <c r="K7867" s="110" t="str">
        <f>IF(H7867="","",IF($C$29="간이법","",FPR(H7867,I7867,J7867)))</f>
        <v/>
      </c>
      <c r="L7867" s="111" t="str">
        <f>IF(H7867="","",IF($C$29="상세법",FPV(H7867,K7867),IF(H7867="EI",4,IF(H7867="EO",5.2,IF(H7867="EQ",3.9,IF(H7867="ILF",7.5,IF(H7867="EIF",5.4)))))))</f>
        <v/>
      </c>
      <c r="M7867" s="112" t="str">
        <f t="shared" si="126"/>
        <v/>
      </c>
      <c r="N7867" s="113"/>
    </row>
    <row r="7868" spans="2:14">
      <c r="B7868" s="105"/>
      <c r="C7868" s="106"/>
      <c r="D7868" s="107"/>
      <c r="E7868" s="65"/>
      <c r="F7868" s="64"/>
      <c r="G7868" s="64"/>
      <c r="H7868" s="64"/>
      <c r="I7868" s="70"/>
      <c r="J7868" s="70"/>
      <c r="K7868" s="110" t="str">
        <f>IF(H7868="","",IF($C$29="간이법","",FPR(H7868,I7868,J7868)))</f>
        <v/>
      </c>
      <c r="L7868" s="111" t="str">
        <f>IF(H7868="","",IF($C$29="상세법",FPV(H7868,K7868),IF(H7868="EI",4,IF(H7868="EO",5.2,IF(H7868="EQ",3.9,IF(H7868="ILF",7.5,IF(H7868="EIF",5.4)))))))</f>
        <v/>
      </c>
      <c r="M7868" s="112" t="str">
        <f t="shared" si="126"/>
        <v/>
      </c>
      <c r="N7868" s="113"/>
    </row>
    <row r="7869" spans="2:14">
      <c r="B7869" s="105"/>
      <c r="C7869" s="106"/>
      <c r="D7869" s="107"/>
      <c r="E7869" s="65"/>
      <c r="F7869" s="64"/>
      <c r="G7869" s="64"/>
      <c r="H7869" s="64"/>
      <c r="I7869" s="70"/>
      <c r="J7869" s="70"/>
      <c r="K7869" s="110" t="str">
        <f>IF(H7869="","",IF($C$29="간이법","",FPR(H7869,I7869,J7869)))</f>
        <v/>
      </c>
      <c r="L7869" s="111" t="str">
        <f>IF(H7869="","",IF($C$29="상세법",FPV(H7869,K7869),IF(H7869="EI",4,IF(H7869="EO",5.2,IF(H7869="EQ",3.9,IF(H7869="ILF",7.5,IF(H7869="EIF",5.4)))))))</f>
        <v/>
      </c>
      <c r="M7869" s="112" t="str">
        <f t="shared" si="126"/>
        <v/>
      </c>
      <c r="N7869" s="113"/>
    </row>
    <row r="7870" spans="2:14">
      <c r="B7870" s="105"/>
      <c r="C7870" s="106"/>
      <c r="D7870" s="107"/>
      <c r="E7870" s="65"/>
      <c r="F7870" s="64"/>
      <c r="G7870" s="64"/>
      <c r="H7870" s="64"/>
      <c r="I7870" s="70"/>
      <c r="J7870" s="70"/>
      <c r="K7870" s="110" t="str">
        <f>IF(H7870="","",IF($C$29="간이법","",FPR(H7870,I7870,J7870)))</f>
        <v/>
      </c>
      <c r="L7870" s="111" t="str">
        <f>IF(H7870="","",IF($C$29="상세법",FPV(H7870,K7870),IF(H7870="EI",4,IF(H7870="EO",5.2,IF(H7870="EQ",3.9,IF(H7870="ILF",7.5,IF(H7870="EIF",5.4)))))))</f>
        <v/>
      </c>
      <c r="M7870" s="112" t="str">
        <f t="shared" si="126"/>
        <v/>
      </c>
      <c r="N7870" s="113"/>
    </row>
    <row r="7871" spans="2:14">
      <c r="B7871" s="105"/>
      <c r="C7871" s="106"/>
      <c r="D7871" s="107"/>
      <c r="E7871" s="65"/>
      <c r="F7871" s="64"/>
      <c r="G7871" s="64"/>
      <c r="H7871" s="64"/>
      <c r="I7871" s="70"/>
      <c r="J7871" s="70"/>
      <c r="K7871" s="110" t="str">
        <f>IF(H7871="","",IF($C$29="간이법","",FPR(H7871,I7871,J7871)))</f>
        <v/>
      </c>
      <c r="L7871" s="111" t="str">
        <f>IF(H7871="","",IF($C$29="상세법",FPV(H7871,K7871),IF(H7871="EI",4,IF(H7871="EO",5.2,IF(H7871="EQ",3.9,IF(H7871="ILF",7.5,IF(H7871="EIF",5.4)))))))</f>
        <v/>
      </c>
      <c r="M7871" s="112" t="str">
        <f t="shared" si="126"/>
        <v/>
      </c>
      <c r="N7871" s="113"/>
    </row>
    <row r="7872" spans="2:14">
      <c r="B7872" s="105"/>
      <c r="C7872" s="106"/>
      <c r="D7872" s="107"/>
      <c r="E7872" s="65"/>
      <c r="F7872" s="64"/>
      <c r="G7872" s="64"/>
      <c r="H7872" s="64"/>
      <c r="I7872" s="70"/>
      <c r="J7872" s="70"/>
      <c r="K7872" s="110" t="str">
        <f>IF(H7872="","",IF($C$29="간이법","",FPR(H7872,I7872,J7872)))</f>
        <v/>
      </c>
      <c r="L7872" s="111" t="str">
        <f>IF(H7872="","",IF($C$29="상세법",FPV(H7872,K7872),IF(H7872="EI",4,IF(H7872="EO",5.2,IF(H7872="EQ",3.9,IF(H7872="ILF",7.5,IF(H7872="EIF",5.4)))))))</f>
        <v/>
      </c>
      <c r="M7872" s="112" t="str">
        <f t="shared" si="126"/>
        <v/>
      </c>
      <c r="N7872" s="113"/>
    </row>
    <row r="7873" spans="2:14">
      <c r="B7873" s="105"/>
      <c r="C7873" s="106"/>
      <c r="D7873" s="107"/>
      <c r="E7873" s="65"/>
      <c r="F7873" s="64"/>
      <c r="G7873" s="64"/>
      <c r="H7873" s="64"/>
      <c r="I7873" s="70"/>
      <c r="J7873" s="70"/>
      <c r="K7873" s="110" t="str">
        <f>IF(H7873="","",IF($C$29="간이법","",FPR(H7873,I7873,J7873)))</f>
        <v/>
      </c>
      <c r="L7873" s="111" t="str">
        <f>IF(H7873="","",IF($C$29="상세법",FPV(H7873,K7873),IF(H7873="EI",4,IF(H7873="EO",5.2,IF(H7873="EQ",3.9,IF(H7873="ILF",7.5,IF(H7873="EIF",5.4)))))))</f>
        <v/>
      </c>
      <c r="M7873" s="112" t="str">
        <f t="shared" si="126"/>
        <v/>
      </c>
      <c r="N7873" s="113"/>
    </row>
    <row r="7874" spans="2:14">
      <c r="B7874" s="105"/>
      <c r="C7874" s="106"/>
      <c r="D7874" s="107"/>
      <c r="E7874" s="65"/>
      <c r="F7874" s="64"/>
      <c r="G7874" s="64"/>
      <c r="H7874" s="64"/>
      <c r="I7874" s="70"/>
      <c r="J7874" s="70"/>
      <c r="K7874" s="110" t="str">
        <f>IF(H7874="","",IF($C$29="간이법","",FPR(H7874,I7874,J7874)))</f>
        <v/>
      </c>
      <c r="L7874" s="111" t="str">
        <f>IF(H7874="","",IF($C$29="상세법",FPV(H7874,K7874),IF(H7874="EI",4,IF(H7874="EO",5.2,IF(H7874="EQ",3.9,IF(H7874="ILF",7.5,IF(H7874="EIF",5.4)))))))</f>
        <v/>
      </c>
      <c r="M7874" s="112" t="str">
        <f t="shared" si="126"/>
        <v/>
      </c>
      <c r="N7874" s="113"/>
    </row>
    <row r="7875" spans="2:14">
      <c r="B7875" s="105"/>
      <c r="C7875" s="106"/>
      <c r="D7875" s="107"/>
      <c r="E7875" s="65"/>
      <c r="F7875" s="64"/>
      <c r="G7875" s="64"/>
      <c r="H7875" s="64"/>
      <c r="I7875" s="70"/>
      <c r="J7875" s="70"/>
      <c r="K7875" s="110" t="str">
        <f>IF(H7875="","",IF($C$29="간이법","",FPR(H7875,I7875,J7875)))</f>
        <v/>
      </c>
      <c r="L7875" s="111" t="str">
        <f>IF(H7875="","",IF($C$29="상세법",FPV(H7875,K7875),IF(H7875="EI",4,IF(H7875="EO",5.2,IF(H7875="EQ",3.9,IF(H7875="ILF",7.5,IF(H7875="EIF",5.4)))))))</f>
        <v/>
      </c>
      <c r="M7875" s="112" t="str">
        <f t="shared" si="126"/>
        <v/>
      </c>
      <c r="N7875" s="113"/>
    </row>
    <row r="7876" spans="2:14">
      <c r="B7876" s="105"/>
      <c r="C7876" s="106"/>
      <c r="D7876" s="107"/>
      <c r="E7876" s="65"/>
      <c r="F7876" s="64"/>
      <c r="G7876" s="64"/>
      <c r="H7876" s="64"/>
      <c r="I7876" s="70"/>
      <c r="J7876" s="70"/>
      <c r="K7876" s="110" t="str">
        <f>IF(H7876="","",IF($C$29="간이법","",FPR(H7876,I7876,J7876)))</f>
        <v/>
      </c>
      <c r="L7876" s="111" t="str">
        <f>IF(H7876="","",IF($C$29="상세법",FPV(H7876,K7876),IF(H7876="EI",4,IF(H7876="EO",5.2,IF(H7876="EQ",3.9,IF(H7876="ILF",7.5,IF(H7876="EIF",5.4)))))))</f>
        <v/>
      </c>
      <c r="M7876" s="112" t="str">
        <f t="shared" si="126"/>
        <v/>
      </c>
      <c r="N7876" s="113"/>
    </row>
    <row r="7877" spans="2:14">
      <c r="B7877" s="105"/>
      <c r="C7877" s="106"/>
      <c r="D7877" s="107"/>
      <c r="E7877" s="65"/>
      <c r="F7877" s="64"/>
      <c r="G7877" s="64"/>
      <c r="H7877" s="64"/>
      <c r="I7877" s="70"/>
      <c r="J7877" s="70"/>
      <c r="K7877" s="110" t="str">
        <f>IF(H7877="","",IF($C$29="간이법","",FPR(H7877,I7877,J7877)))</f>
        <v/>
      </c>
      <c r="L7877" s="111" t="str">
        <f>IF(H7877="","",IF($C$29="상세법",FPV(H7877,K7877),IF(H7877="EI",4,IF(H7877="EO",5.2,IF(H7877="EQ",3.9,IF(H7877="ILF",7.5,IF(H7877="EIF",5.4)))))))</f>
        <v/>
      </c>
      <c r="M7877" s="112" t="str">
        <f t="shared" si="126"/>
        <v/>
      </c>
      <c r="N7877" s="113"/>
    </row>
    <row r="7878" spans="2:14">
      <c r="B7878" s="105"/>
      <c r="C7878" s="106"/>
      <c r="D7878" s="107"/>
      <c r="E7878" s="65"/>
      <c r="F7878" s="64"/>
      <c r="G7878" s="64"/>
      <c r="H7878" s="64"/>
      <c r="I7878" s="70"/>
      <c r="J7878" s="70"/>
      <c r="K7878" s="110" t="str">
        <f>IF(H7878="","",IF($C$29="간이법","",FPR(H7878,I7878,J7878)))</f>
        <v/>
      </c>
      <c r="L7878" s="111" t="str">
        <f>IF(H7878="","",IF($C$29="상세법",FPV(H7878,K7878),IF(H7878="EI",4,IF(H7878="EO",5.2,IF(H7878="EQ",3.9,IF(H7878="ILF",7.5,IF(H7878="EIF",5.4)))))))</f>
        <v/>
      </c>
      <c r="M7878" s="112" t="str">
        <f t="shared" si="126"/>
        <v/>
      </c>
      <c r="N7878" s="113"/>
    </row>
    <row r="7879" spans="2:14">
      <c r="B7879" s="105"/>
      <c r="C7879" s="106"/>
      <c r="D7879" s="107"/>
      <c r="E7879" s="65"/>
      <c r="F7879" s="64"/>
      <c r="G7879" s="64"/>
      <c r="H7879" s="64"/>
      <c r="I7879" s="70"/>
      <c r="J7879" s="70"/>
      <c r="K7879" s="110" t="str">
        <f>IF(H7879="","",IF($C$29="간이법","",FPR(H7879,I7879,J7879)))</f>
        <v/>
      </c>
      <c r="L7879" s="111" t="str">
        <f>IF(H7879="","",IF($C$29="상세법",FPV(H7879,K7879),IF(H7879="EI",4,IF(H7879="EO",5.2,IF(H7879="EQ",3.9,IF(H7879="ILF",7.5,IF(H7879="EIF",5.4)))))))</f>
        <v/>
      </c>
      <c r="M7879" s="112" t="str">
        <f t="shared" si="126"/>
        <v/>
      </c>
      <c r="N7879" s="113"/>
    </row>
    <row r="7880" spans="2:14">
      <c r="B7880" s="105"/>
      <c r="C7880" s="106"/>
      <c r="D7880" s="107"/>
      <c r="E7880" s="65"/>
      <c r="F7880" s="64"/>
      <c r="G7880" s="64"/>
      <c r="H7880" s="64"/>
      <c r="I7880" s="70"/>
      <c r="J7880" s="70"/>
      <c r="K7880" s="110" t="str">
        <f>IF(H7880="","",IF($C$29="간이법","",FPR(H7880,I7880,J7880)))</f>
        <v/>
      </c>
      <c r="L7880" s="111" t="str">
        <f>IF(H7880="","",IF($C$29="상세법",FPV(H7880,K7880),IF(H7880="EI",4,IF(H7880="EO",5.2,IF(H7880="EQ",3.9,IF(H7880="ILF",7.5,IF(H7880="EIF",5.4)))))))</f>
        <v/>
      </c>
      <c r="M7880" s="112" t="str">
        <f t="shared" si="126"/>
        <v/>
      </c>
      <c r="N7880" s="113"/>
    </row>
    <row r="7881" spans="2:14">
      <c r="B7881" s="105"/>
      <c r="C7881" s="106"/>
      <c r="D7881" s="107"/>
      <c r="E7881" s="65"/>
      <c r="F7881" s="64"/>
      <c r="G7881" s="64"/>
      <c r="H7881" s="64"/>
      <c r="I7881" s="70"/>
      <c r="J7881" s="70"/>
      <c r="K7881" s="110" t="str">
        <f>IF(H7881="","",IF($C$29="간이법","",FPR(H7881,I7881,J7881)))</f>
        <v/>
      </c>
      <c r="L7881" s="111" t="str">
        <f>IF(H7881="","",IF($C$29="상세법",FPV(H7881,K7881),IF(H7881="EI",4,IF(H7881="EO",5.2,IF(H7881="EQ",3.9,IF(H7881="ILF",7.5,IF(H7881="EIF",5.4)))))))</f>
        <v/>
      </c>
      <c r="M7881" s="112" t="str">
        <f t="shared" si="126"/>
        <v/>
      </c>
      <c r="N7881" s="113"/>
    </row>
    <row r="7882" spans="2:14">
      <c r="B7882" s="105"/>
      <c r="C7882" s="106"/>
      <c r="D7882" s="107"/>
      <c r="E7882" s="65"/>
      <c r="F7882" s="64"/>
      <c r="G7882" s="64"/>
      <c r="H7882" s="64"/>
      <c r="I7882" s="70"/>
      <c r="J7882" s="70"/>
      <c r="K7882" s="110" t="str">
        <f>IF(H7882="","",IF($C$29="간이법","",FPR(H7882,I7882,J7882)))</f>
        <v/>
      </c>
      <c r="L7882" s="111" t="str">
        <f>IF(H7882="","",IF($C$29="상세법",FPV(H7882,K7882),IF(H7882="EI",4,IF(H7882="EO",5.2,IF(H7882="EQ",3.9,IF(H7882="ILF",7.5,IF(H7882="EIF",5.4)))))))</f>
        <v/>
      </c>
      <c r="M7882" s="112" t="str">
        <f t="shared" si="126"/>
        <v/>
      </c>
      <c r="N7882" s="113"/>
    </row>
    <row r="7883" spans="2:14">
      <c r="B7883" s="105"/>
      <c r="C7883" s="106"/>
      <c r="D7883" s="107"/>
      <c r="E7883" s="65"/>
      <c r="F7883" s="64"/>
      <c r="G7883" s="64"/>
      <c r="H7883" s="64"/>
      <c r="I7883" s="70"/>
      <c r="J7883" s="70"/>
      <c r="K7883" s="110" t="str">
        <f>IF(H7883="","",IF($C$29="간이법","",FPR(H7883,I7883,J7883)))</f>
        <v/>
      </c>
      <c r="L7883" s="111" t="str">
        <f>IF(H7883="","",IF($C$29="상세법",FPV(H7883,K7883),IF(H7883="EI",4,IF(H7883="EO",5.2,IF(H7883="EQ",3.9,IF(H7883="ILF",7.5,IF(H7883="EIF",5.4)))))))</f>
        <v/>
      </c>
      <c r="M7883" s="112" t="str">
        <f t="shared" si="126"/>
        <v/>
      </c>
      <c r="N7883" s="113"/>
    </row>
    <row r="7884" spans="2:14">
      <c r="B7884" s="105"/>
      <c r="C7884" s="106"/>
      <c r="D7884" s="107"/>
      <c r="E7884" s="65"/>
      <c r="F7884" s="64"/>
      <c r="G7884" s="64"/>
      <c r="H7884" s="64"/>
      <c r="I7884" s="70"/>
      <c r="J7884" s="70"/>
      <c r="K7884" s="110" t="str">
        <f>IF(H7884="","",IF($C$29="간이법","",FPR(H7884,I7884,J7884)))</f>
        <v/>
      </c>
      <c r="L7884" s="111" t="str">
        <f>IF(H7884="","",IF($C$29="상세법",FPV(H7884,K7884),IF(H7884="EI",4,IF(H7884="EO",5.2,IF(H7884="EQ",3.9,IF(H7884="ILF",7.5,IF(H7884="EIF",5.4)))))))</f>
        <v/>
      </c>
      <c r="M7884" s="112" t="str">
        <f t="shared" si="126"/>
        <v/>
      </c>
      <c r="N7884" s="113"/>
    </row>
    <row r="7885" spans="2:14">
      <c r="B7885" s="105"/>
      <c r="C7885" s="106"/>
      <c r="D7885" s="107"/>
      <c r="E7885" s="65"/>
      <c r="F7885" s="64"/>
      <c r="G7885" s="64"/>
      <c r="H7885" s="64"/>
      <c r="I7885" s="70"/>
      <c r="J7885" s="70"/>
      <c r="K7885" s="110" t="str">
        <f>IF(H7885="","",IF($C$29="간이법","",FPR(H7885,I7885,J7885)))</f>
        <v/>
      </c>
      <c r="L7885" s="111" t="str">
        <f>IF(H7885="","",IF($C$29="상세법",FPV(H7885,K7885),IF(H7885="EI",4,IF(H7885="EO",5.2,IF(H7885="EQ",3.9,IF(H7885="ILF",7.5,IF(H7885="EIF",5.4)))))))</f>
        <v/>
      </c>
      <c r="M7885" s="112" t="str">
        <f t="shared" si="126"/>
        <v/>
      </c>
      <c r="N7885" s="113"/>
    </row>
    <row r="7886" spans="2:14">
      <c r="B7886" s="105"/>
      <c r="C7886" s="106"/>
      <c r="D7886" s="107"/>
      <c r="E7886" s="65"/>
      <c r="F7886" s="64"/>
      <c r="G7886" s="64"/>
      <c r="H7886" s="64"/>
      <c r="I7886" s="70"/>
      <c r="J7886" s="70"/>
      <c r="K7886" s="110" t="str">
        <f>IF(H7886="","",IF($C$29="간이법","",FPR(H7886,I7886,J7886)))</f>
        <v/>
      </c>
      <c r="L7886" s="111" t="str">
        <f>IF(H7886="","",IF($C$29="상세법",FPV(H7886,K7886),IF(H7886="EI",4,IF(H7886="EO",5.2,IF(H7886="EQ",3.9,IF(H7886="ILF",7.5,IF(H7886="EIF",5.4)))))))</f>
        <v/>
      </c>
      <c r="M7886" s="112" t="str">
        <f t="shared" si="126"/>
        <v/>
      </c>
      <c r="N7886" s="113"/>
    </row>
    <row r="7887" spans="2:14">
      <c r="B7887" s="105"/>
      <c r="C7887" s="106"/>
      <c r="D7887" s="107"/>
      <c r="E7887" s="65"/>
      <c r="F7887" s="64"/>
      <c r="G7887" s="64"/>
      <c r="H7887" s="64"/>
      <c r="I7887" s="70"/>
      <c r="J7887" s="70"/>
      <c r="K7887" s="110" t="str">
        <f>IF(H7887="","",IF($C$29="간이법","",FPR(H7887,I7887,J7887)))</f>
        <v/>
      </c>
      <c r="L7887" s="111" t="str">
        <f>IF(H7887="","",IF($C$29="상세법",FPV(H7887,K7887),IF(H7887="EI",4,IF(H7887="EO",5.2,IF(H7887="EQ",3.9,IF(H7887="ILF",7.5,IF(H7887="EIF",5.4)))))))</f>
        <v/>
      </c>
      <c r="M7887" s="112" t="str">
        <f t="shared" si="126"/>
        <v/>
      </c>
      <c r="N7887" s="113"/>
    </row>
    <row r="7888" spans="2:14">
      <c r="B7888" s="105"/>
      <c r="C7888" s="106"/>
      <c r="D7888" s="107"/>
      <c r="E7888" s="65"/>
      <c r="F7888" s="64"/>
      <c r="G7888" s="64"/>
      <c r="H7888" s="64"/>
      <c r="I7888" s="70"/>
      <c r="J7888" s="70"/>
      <c r="K7888" s="110" t="str">
        <f>IF(H7888="","",IF($C$29="간이법","",FPR(H7888,I7888,J7888)))</f>
        <v/>
      </c>
      <c r="L7888" s="111" t="str">
        <f>IF(H7888="","",IF($C$29="상세법",FPV(H7888,K7888),IF(H7888="EI",4,IF(H7888="EO",5.2,IF(H7888="EQ",3.9,IF(H7888="ILF",7.5,IF(H7888="EIF",5.4)))))))</f>
        <v/>
      </c>
      <c r="M7888" s="112" t="str">
        <f t="shared" si="126"/>
        <v/>
      </c>
      <c r="N7888" s="113"/>
    </row>
    <row r="7889" spans="2:14">
      <c r="B7889" s="105"/>
      <c r="C7889" s="106"/>
      <c r="D7889" s="107"/>
      <c r="E7889" s="65"/>
      <c r="F7889" s="64"/>
      <c r="G7889" s="64"/>
      <c r="H7889" s="64"/>
      <c r="I7889" s="70"/>
      <c r="J7889" s="70"/>
      <c r="K7889" s="110" t="str">
        <f>IF(H7889="","",IF($C$29="간이법","",FPR(H7889,I7889,J7889)))</f>
        <v/>
      </c>
      <c r="L7889" s="111" t="str">
        <f>IF(H7889="","",IF($C$29="상세법",FPV(H7889,K7889),IF(H7889="EI",4,IF(H7889="EO",5.2,IF(H7889="EQ",3.9,IF(H7889="ILF",7.5,IF(H7889="EIF",5.4)))))))</f>
        <v/>
      </c>
      <c r="M7889" s="112" t="str">
        <f t="shared" si="126"/>
        <v/>
      </c>
      <c r="N7889" s="113"/>
    </row>
    <row r="7890" spans="2:14">
      <c r="B7890" s="105"/>
      <c r="C7890" s="106"/>
      <c r="D7890" s="107"/>
      <c r="E7890" s="65"/>
      <c r="F7890" s="64"/>
      <c r="G7890" s="64"/>
      <c r="H7890" s="64"/>
      <c r="I7890" s="70"/>
      <c r="J7890" s="70"/>
      <c r="K7890" s="110" t="str">
        <f>IF(H7890="","",IF($C$29="간이법","",FPR(H7890,I7890,J7890)))</f>
        <v/>
      </c>
      <c r="L7890" s="111" t="str">
        <f>IF(H7890="","",IF($C$29="상세법",FPV(H7890,K7890),IF(H7890="EI",4,IF(H7890="EO",5.2,IF(H7890="EQ",3.9,IF(H7890="ILF",7.5,IF(H7890="EIF",5.4)))))))</f>
        <v/>
      </c>
      <c r="M7890" s="112" t="str">
        <f t="shared" si="126"/>
        <v/>
      </c>
      <c r="N7890" s="113"/>
    </row>
    <row r="7891" spans="2:14">
      <c r="B7891" s="105"/>
      <c r="C7891" s="106"/>
      <c r="D7891" s="107"/>
      <c r="E7891" s="65"/>
      <c r="F7891" s="64"/>
      <c r="G7891" s="64"/>
      <c r="H7891" s="64"/>
      <c r="I7891" s="70"/>
      <c r="J7891" s="70"/>
      <c r="K7891" s="110" t="str">
        <f>IF(H7891="","",IF($C$29="간이법","",FPR(H7891,I7891,J7891)))</f>
        <v/>
      </c>
      <c r="L7891" s="111" t="str">
        <f>IF(H7891="","",IF($C$29="상세법",FPV(H7891,K7891),IF(H7891="EI",4,IF(H7891="EO",5.2,IF(H7891="EQ",3.9,IF(H7891="ILF",7.5,IF(H7891="EIF",5.4)))))))</f>
        <v/>
      </c>
      <c r="M7891" s="112" t="str">
        <f t="shared" si="126"/>
        <v/>
      </c>
      <c r="N7891" s="113"/>
    </row>
    <row r="7892" spans="2:14">
      <c r="B7892" s="105"/>
      <c r="C7892" s="106"/>
      <c r="D7892" s="107"/>
      <c r="E7892" s="65"/>
      <c r="F7892" s="64"/>
      <c r="G7892" s="64"/>
      <c r="H7892" s="64"/>
      <c r="I7892" s="70"/>
      <c r="J7892" s="70"/>
      <c r="K7892" s="110" t="str">
        <f>IF(H7892="","",IF($C$29="간이법","",FPR(H7892,I7892,J7892)))</f>
        <v/>
      </c>
      <c r="L7892" s="111" t="str">
        <f>IF(H7892="","",IF($C$29="상세법",FPV(H7892,K7892),IF(H7892="EI",4,IF(H7892="EO",5.2,IF(H7892="EQ",3.9,IF(H7892="ILF",7.5,IF(H7892="EIF",5.4)))))))</f>
        <v/>
      </c>
      <c r="M7892" s="112" t="str">
        <f t="shared" si="126"/>
        <v/>
      </c>
      <c r="N7892" s="113"/>
    </row>
    <row r="7893" spans="2:14">
      <c r="B7893" s="105"/>
      <c r="C7893" s="106"/>
      <c r="D7893" s="107"/>
      <c r="E7893" s="65"/>
      <c r="F7893" s="64"/>
      <c r="G7893" s="64"/>
      <c r="H7893" s="64"/>
      <c r="I7893" s="70"/>
      <c r="J7893" s="70"/>
      <c r="K7893" s="110" t="str">
        <f>IF(H7893="","",IF($C$29="간이법","",FPR(H7893,I7893,J7893)))</f>
        <v/>
      </c>
      <c r="L7893" s="111" t="str">
        <f>IF(H7893="","",IF($C$29="상세법",FPV(H7893,K7893),IF(H7893="EI",4,IF(H7893="EO",5.2,IF(H7893="EQ",3.9,IF(H7893="ILF",7.5,IF(H7893="EIF",5.4)))))))</f>
        <v/>
      </c>
      <c r="M7893" s="112" t="str">
        <f t="shared" si="126"/>
        <v/>
      </c>
      <c r="N7893" s="113"/>
    </row>
    <row r="7894" spans="2:14">
      <c r="B7894" s="105"/>
      <c r="C7894" s="106"/>
      <c r="D7894" s="107"/>
      <c r="E7894" s="65"/>
      <c r="F7894" s="64"/>
      <c r="G7894" s="64"/>
      <c r="H7894" s="64"/>
      <c r="I7894" s="70"/>
      <c r="J7894" s="70"/>
      <c r="K7894" s="110" t="str">
        <f>IF(H7894="","",IF($C$29="간이법","",FPR(H7894,I7894,J7894)))</f>
        <v/>
      </c>
      <c r="L7894" s="111" t="str">
        <f>IF(H7894="","",IF($C$29="상세법",FPV(H7894,K7894),IF(H7894="EI",4,IF(H7894="EO",5.2,IF(H7894="EQ",3.9,IF(H7894="ILF",7.5,IF(H7894="EIF",5.4)))))))</f>
        <v/>
      </c>
      <c r="M7894" s="112" t="str">
        <f t="shared" si="126"/>
        <v/>
      </c>
      <c r="N7894" s="113"/>
    </row>
    <row r="7895" spans="2:14">
      <c r="B7895" s="105"/>
      <c r="C7895" s="106"/>
      <c r="D7895" s="107"/>
      <c r="E7895" s="65"/>
      <c r="F7895" s="64"/>
      <c r="G7895" s="64"/>
      <c r="H7895" s="64"/>
      <c r="I7895" s="70"/>
      <c r="J7895" s="70"/>
      <c r="K7895" s="110" t="str">
        <f>IF(H7895="","",IF($C$29="간이법","",FPR(H7895,I7895,J7895)))</f>
        <v/>
      </c>
      <c r="L7895" s="111" t="str">
        <f>IF(H7895="","",IF($C$29="상세법",FPV(H7895,K7895),IF(H7895="EI",4,IF(H7895="EO",5.2,IF(H7895="EQ",3.9,IF(H7895="ILF",7.5,IF(H7895="EIF",5.4)))))))</f>
        <v/>
      </c>
      <c r="M7895" s="112" t="str">
        <f t="shared" si="126"/>
        <v/>
      </c>
      <c r="N7895" s="113"/>
    </row>
    <row r="7896" spans="2:14">
      <c r="B7896" s="105"/>
      <c r="C7896" s="106"/>
      <c r="D7896" s="107"/>
      <c r="E7896" s="65"/>
      <c r="F7896" s="64"/>
      <c r="G7896" s="64"/>
      <c r="H7896" s="64"/>
      <c r="I7896" s="70"/>
      <c r="J7896" s="70"/>
      <c r="K7896" s="110" t="str">
        <f>IF(H7896="","",IF($C$29="간이법","",FPR(H7896,I7896,J7896)))</f>
        <v/>
      </c>
      <c r="L7896" s="111" t="str">
        <f>IF(H7896="","",IF($C$29="상세법",FPV(H7896,K7896),IF(H7896="EI",4,IF(H7896="EO",5.2,IF(H7896="EQ",3.9,IF(H7896="ILF",7.5,IF(H7896="EIF",5.4)))))))</f>
        <v/>
      </c>
      <c r="M7896" s="112" t="str">
        <f t="shared" si="126"/>
        <v/>
      </c>
      <c r="N7896" s="113"/>
    </row>
    <row r="7897" spans="2:14">
      <c r="B7897" s="105"/>
      <c r="C7897" s="106"/>
      <c r="D7897" s="107"/>
      <c r="E7897" s="65"/>
      <c r="F7897" s="64"/>
      <c r="G7897" s="64"/>
      <c r="H7897" s="64"/>
      <c r="I7897" s="70"/>
      <c r="J7897" s="70"/>
      <c r="K7897" s="110" t="str">
        <f>IF(H7897="","",IF($C$29="간이법","",FPR(H7897,I7897,J7897)))</f>
        <v/>
      </c>
      <c r="L7897" s="111" t="str">
        <f>IF(H7897="","",IF($C$29="상세법",FPV(H7897,K7897),IF(H7897="EI",4,IF(H7897="EO",5.2,IF(H7897="EQ",3.9,IF(H7897="ILF",7.5,IF(H7897="EIF",5.4)))))))</f>
        <v/>
      </c>
      <c r="M7897" s="112" t="str">
        <f t="shared" si="126"/>
        <v/>
      </c>
      <c r="N7897" s="113"/>
    </row>
    <row r="7898" spans="2:14">
      <c r="B7898" s="105"/>
      <c r="C7898" s="106"/>
      <c r="D7898" s="107"/>
      <c r="E7898" s="65"/>
      <c r="F7898" s="64"/>
      <c r="G7898" s="64"/>
      <c r="H7898" s="64"/>
      <c r="I7898" s="70"/>
      <c r="J7898" s="70"/>
      <c r="K7898" s="110" t="str">
        <f>IF(H7898="","",IF($C$29="간이법","",FPR(H7898,I7898,J7898)))</f>
        <v/>
      </c>
      <c r="L7898" s="111" t="str">
        <f>IF(H7898="","",IF($C$29="상세법",FPV(H7898,K7898),IF(H7898="EI",4,IF(H7898="EO",5.2,IF(H7898="EQ",3.9,IF(H7898="ILF",7.5,IF(H7898="EIF",5.4)))))))</f>
        <v/>
      </c>
      <c r="M7898" s="112" t="str">
        <f t="shared" si="126"/>
        <v/>
      </c>
      <c r="N7898" s="113"/>
    </row>
    <row r="7899" spans="2:14">
      <c r="B7899" s="105"/>
      <c r="C7899" s="106"/>
      <c r="D7899" s="107"/>
      <c r="E7899" s="65"/>
      <c r="F7899" s="64"/>
      <c r="G7899" s="64"/>
      <c r="H7899" s="64"/>
      <c r="I7899" s="70"/>
      <c r="J7899" s="70"/>
      <c r="K7899" s="110" t="str">
        <f>IF(H7899="","",IF($C$29="간이법","",FPR(H7899,I7899,J7899)))</f>
        <v/>
      </c>
      <c r="L7899" s="111" t="str">
        <f>IF(H7899="","",IF($C$29="상세법",FPV(H7899,K7899),IF(H7899="EI",4,IF(H7899="EO",5.2,IF(H7899="EQ",3.9,IF(H7899="ILF",7.5,IF(H7899="EIF",5.4)))))))</f>
        <v/>
      </c>
      <c r="M7899" s="112" t="str">
        <f t="shared" si="126"/>
        <v/>
      </c>
      <c r="N7899" s="113"/>
    </row>
    <row r="7900" spans="2:14">
      <c r="B7900" s="105"/>
      <c r="C7900" s="106"/>
      <c r="D7900" s="107"/>
      <c r="E7900" s="65"/>
      <c r="F7900" s="64"/>
      <c r="G7900" s="64"/>
      <c r="H7900" s="64"/>
      <c r="I7900" s="70"/>
      <c r="J7900" s="70"/>
      <c r="K7900" s="110" t="str">
        <f>IF(H7900="","",IF($C$29="간이법","",FPR(H7900,I7900,J7900)))</f>
        <v/>
      </c>
      <c r="L7900" s="111" t="str">
        <f>IF(H7900="","",IF($C$29="상세법",FPV(H7900,K7900),IF(H7900="EI",4,IF(H7900="EO",5.2,IF(H7900="EQ",3.9,IF(H7900="ILF",7.5,IF(H7900="EIF",5.4)))))))</f>
        <v/>
      </c>
      <c r="M7900" s="112" t="str">
        <f t="shared" si="126"/>
        <v/>
      </c>
      <c r="N7900" s="113"/>
    </row>
    <row r="7901" spans="2:14">
      <c r="B7901" s="105"/>
      <c r="C7901" s="106"/>
      <c r="D7901" s="107"/>
      <c r="E7901" s="65"/>
      <c r="F7901" s="64"/>
      <c r="G7901" s="64"/>
      <c r="H7901" s="64"/>
      <c r="I7901" s="70"/>
      <c r="J7901" s="70"/>
      <c r="K7901" s="110" t="str">
        <f>IF(H7901="","",IF($C$29="간이법","",FPR(H7901,I7901,J7901)))</f>
        <v/>
      </c>
      <c r="L7901" s="111" t="str">
        <f>IF(H7901="","",IF($C$29="상세법",FPV(H7901,K7901),IF(H7901="EI",4,IF(H7901="EO",5.2,IF(H7901="EQ",3.9,IF(H7901="ILF",7.5,IF(H7901="EIF",5.4)))))))</f>
        <v/>
      </c>
      <c r="M7901" s="112" t="str">
        <f t="shared" si="126"/>
        <v/>
      </c>
      <c r="N7901" s="113"/>
    </row>
    <row r="7902" spans="2:14">
      <c r="B7902" s="105"/>
      <c r="C7902" s="106"/>
      <c r="D7902" s="107"/>
      <c r="E7902" s="65"/>
      <c r="F7902" s="64"/>
      <c r="G7902" s="64"/>
      <c r="H7902" s="64"/>
      <c r="I7902" s="70"/>
      <c r="J7902" s="70"/>
      <c r="K7902" s="110" t="str">
        <f>IF(H7902="","",IF($C$29="간이법","",FPR(H7902,I7902,J7902)))</f>
        <v/>
      </c>
      <c r="L7902" s="111" t="str">
        <f>IF(H7902="","",IF($C$29="상세법",FPV(H7902,K7902),IF(H7902="EI",4,IF(H7902="EO",5.2,IF(H7902="EQ",3.9,IF(H7902="ILF",7.5,IF(H7902="EIF",5.4)))))))</f>
        <v/>
      </c>
      <c r="M7902" s="112" t="str">
        <f t="shared" si="126"/>
        <v/>
      </c>
      <c r="N7902" s="113"/>
    </row>
    <row r="7903" spans="2:14">
      <c r="B7903" s="105"/>
      <c r="C7903" s="106"/>
      <c r="D7903" s="107"/>
      <c r="E7903" s="65"/>
      <c r="F7903" s="64"/>
      <c r="G7903" s="64"/>
      <c r="H7903" s="64"/>
      <c r="I7903" s="70"/>
      <c r="J7903" s="70"/>
      <c r="K7903" s="110" t="str">
        <f>IF(H7903="","",IF($C$29="간이법","",FPR(H7903,I7903,J7903)))</f>
        <v/>
      </c>
      <c r="L7903" s="111" t="str">
        <f>IF(H7903="","",IF($C$29="상세법",FPV(H7903,K7903),IF(H7903="EI",4,IF(H7903="EO",5.2,IF(H7903="EQ",3.9,IF(H7903="ILF",7.5,IF(H7903="EIF",5.4)))))))</f>
        <v/>
      </c>
      <c r="M7903" s="112" t="str">
        <f t="shared" si="126"/>
        <v/>
      </c>
      <c r="N7903" s="113"/>
    </row>
    <row r="7904" spans="2:14">
      <c r="B7904" s="105"/>
      <c r="C7904" s="106"/>
      <c r="D7904" s="107"/>
      <c r="E7904" s="65"/>
      <c r="F7904" s="64"/>
      <c r="G7904" s="64"/>
      <c r="H7904" s="64"/>
      <c r="I7904" s="70"/>
      <c r="J7904" s="70"/>
      <c r="K7904" s="110" t="str">
        <f>IF(H7904="","",IF($C$29="간이법","",FPR(H7904,I7904,J7904)))</f>
        <v/>
      </c>
      <c r="L7904" s="111" t="str">
        <f>IF(H7904="","",IF($C$29="상세법",FPV(H7904,K7904),IF(H7904="EI",4,IF(H7904="EO",5.2,IF(H7904="EQ",3.9,IF(H7904="ILF",7.5,IF(H7904="EIF",5.4)))))))</f>
        <v/>
      </c>
      <c r="M7904" s="112" t="str">
        <f t="shared" si="126"/>
        <v/>
      </c>
      <c r="N7904" s="113"/>
    </row>
    <row r="7905" spans="2:14">
      <c r="B7905" s="105"/>
      <c r="C7905" s="106"/>
      <c r="D7905" s="107"/>
      <c r="E7905" s="65"/>
      <c r="F7905" s="64"/>
      <c r="G7905" s="64"/>
      <c r="H7905" s="64"/>
      <c r="I7905" s="70"/>
      <c r="J7905" s="70"/>
      <c r="K7905" s="110" t="str">
        <f>IF(H7905="","",IF($C$29="간이법","",FPR(H7905,I7905,J7905)))</f>
        <v/>
      </c>
      <c r="L7905" s="111" t="str">
        <f>IF(H7905="","",IF($C$29="상세법",FPV(H7905,K7905),IF(H7905="EI",4,IF(H7905="EO",5.2,IF(H7905="EQ",3.9,IF(H7905="ILF",7.5,IF(H7905="EIF",5.4)))))))</f>
        <v/>
      </c>
      <c r="M7905" s="112" t="str">
        <f t="shared" si="126"/>
        <v/>
      </c>
      <c r="N7905" s="113"/>
    </row>
    <row r="7906" spans="2:14">
      <c r="B7906" s="105"/>
      <c r="C7906" s="106"/>
      <c r="D7906" s="107"/>
      <c r="E7906" s="65"/>
      <c r="F7906" s="64"/>
      <c r="G7906" s="64"/>
      <c r="H7906" s="64"/>
      <c r="I7906" s="70"/>
      <c r="J7906" s="70"/>
      <c r="K7906" s="110" t="str">
        <f>IF(H7906="","",IF($C$29="간이법","",FPR(H7906,I7906,J7906)))</f>
        <v/>
      </c>
      <c r="L7906" s="111" t="str">
        <f>IF(H7906="","",IF($C$29="상세법",FPV(H7906,K7906),IF(H7906="EI",4,IF(H7906="EO",5.2,IF(H7906="EQ",3.9,IF(H7906="ILF",7.5,IF(H7906="EIF",5.4)))))))</f>
        <v/>
      </c>
      <c r="M7906" s="112" t="str">
        <f t="shared" si="126"/>
        <v/>
      </c>
      <c r="N7906" s="113"/>
    </row>
    <row r="7907" spans="2:14">
      <c r="B7907" s="105"/>
      <c r="C7907" s="106"/>
      <c r="D7907" s="107"/>
      <c r="E7907" s="65"/>
      <c r="F7907" s="64"/>
      <c r="G7907" s="64"/>
      <c r="H7907" s="64"/>
      <c r="I7907" s="70"/>
      <c r="J7907" s="70"/>
      <c r="K7907" s="110" t="str">
        <f>IF(H7907="","",IF($C$29="간이법","",FPR(H7907,I7907,J7907)))</f>
        <v/>
      </c>
      <c r="L7907" s="111" t="str">
        <f>IF(H7907="","",IF($C$29="상세법",FPV(H7907,K7907),IF(H7907="EI",4,IF(H7907="EO",5.2,IF(H7907="EQ",3.9,IF(H7907="ILF",7.5,IF(H7907="EIF",5.4)))))))</f>
        <v/>
      </c>
      <c r="M7907" s="112" t="str">
        <f t="shared" si="126"/>
        <v/>
      </c>
      <c r="N7907" s="113"/>
    </row>
    <row r="7908" spans="2:14">
      <c r="B7908" s="105"/>
      <c r="C7908" s="106"/>
      <c r="D7908" s="107"/>
      <c r="E7908" s="65"/>
      <c r="F7908" s="64"/>
      <c r="G7908" s="64"/>
      <c r="H7908" s="64"/>
      <c r="I7908" s="70"/>
      <c r="J7908" s="70"/>
      <c r="K7908" s="110" t="str">
        <f>IF(H7908="","",IF($C$29="간이법","",FPR(H7908,I7908,J7908)))</f>
        <v/>
      </c>
      <c r="L7908" s="111" t="str">
        <f>IF(H7908="","",IF($C$29="상세법",FPV(H7908,K7908),IF(H7908="EI",4,IF(H7908="EO",5.2,IF(H7908="EQ",3.9,IF(H7908="ILF",7.5,IF(H7908="EIF",5.4)))))))</f>
        <v/>
      </c>
      <c r="M7908" s="112" t="str">
        <f t="shared" si="126"/>
        <v/>
      </c>
      <c r="N7908" s="113"/>
    </row>
    <row r="7909" spans="2:14">
      <c r="B7909" s="105"/>
      <c r="C7909" s="106"/>
      <c r="D7909" s="107"/>
      <c r="E7909" s="65"/>
      <c r="F7909" s="64"/>
      <c r="G7909" s="64"/>
      <c r="H7909" s="64"/>
      <c r="I7909" s="70"/>
      <c r="J7909" s="70"/>
      <c r="K7909" s="110" t="str">
        <f>IF(H7909="","",IF($C$29="간이법","",FPR(H7909,I7909,J7909)))</f>
        <v/>
      </c>
      <c r="L7909" s="111" t="str">
        <f>IF(H7909="","",IF($C$29="상세법",FPV(H7909,K7909),IF(H7909="EI",4,IF(H7909="EO",5.2,IF(H7909="EQ",3.9,IF(H7909="ILF",7.5,IF(H7909="EIF",5.4)))))))</f>
        <v/>
      </c>
      <c r="M7909" s="112" t="str">
        <f t="shared" si="126"/>
        <v/>
      </c>
      <c r="N7909" s="113"/>
    </row>
    <row r="7910" spans="2:14">
      <c r="B7910" s="105"/>
      <c r="C7910" s="106"/>
      <c r="D7910" s="107"/>
      <c r="E7910" s="65"/>
      <c r="F7910" s="64"/>
      <c r="G7910" s="64"/>
      <c r="H7910" s="64"/>
      <c r="I7910" s="70"/>
      <c r="J7910" s="70"/>
      <c r="K7910" s="110" t="str">
        <f>IF(H7910="","",IF($C$29="간이법","",FPR(H7910,I7910,J7910)))</f>
        <v/>
      </c>
      <c r="L7910" s="111" t="str">
        <f>IF(H7910="","",IF($C$29="상세법",FPV(H7910,K7910),IF(H7910="EI",4,IF(H7910="EO",5.2,IF(H7910="EQ",3.9,IF(H7910="ILF",7.5,IF(H7910="EIF",5.4)))))))</f>
        <v/>
      </c>
      <c r="M7910" s="112" t="str">
        <f t="shared" si="126"/>
        <v/>
      </c>
      <c r="N7910" s="113"/>
    </row>
    <row r="7911" spans="2:14">
      <c r="B7911" s="105"/>
      <c r="C7911" s="106"/>
      <c r="D7911" s="107"/>
      <c r="E7911" s="65"/>
      <c r="F7911" s="64"/>
      <c r="G7911" s="64"/>
      <c r="H7911" s="64"/>
      <c r="I7911" s="70"/>
      <c r="J7911" s="70"/>
      <c r="K7911" s="110" t="str">
        <f>IF(H7911="","",IF($C$29="간이법","",FPR(H7911,I7911,J7911)))</f>
        <v/>
      </c>
      <c r="L7911" s="111" t="str">
        <f>IF(H7911="","",IF($C$29="상세법",FPV(H7911,K7911),IF(H7911="EI",4,IF(H7911="EO",5.2,IF(H7911="EQ",3.9,IF(H7911="ILF",7.5,IF(H7911="EIF",5.4)))))))</f>
        <v/>
      </c>
      <c r="M7911" s="112" t="str">
        <f t="shared" si="126"/>
        <v/>
      </c>
      <c r="N7911" s="113"/>
    </row>
    <row r="7912" spans="2:14">
      <c r="B7912" s="105"/>
      <c r="C7912" s="106"/>
      <c r="D7912" s="107"/>
      <c r="E7912" s="65"/>
      <c r="F7912" s="64"/>
      <c r="G7912" s="64"/>
      <c r="H7912" s="64"/>
      <c r="I7912" s="70"/>
      <c r="J7912" s="70"/>
      <c r="K7912" s="110" t="str">
        <f>IF(H7912="","",IF($C$29="간이법","",FPR(H7912,I7912,J7912)))</f>
        <v/>
      </c>
      <c r="L7912" s="111" t="str">
        <f>IF(H7912="","",IF($C$29="상세법",FPV(H7912,K7912),IF(H7912="EI",4,IF(H7912="EO",5.2,IF(H7912="EQ",3.9,IF(H7912="ILF",7.5,IF(H7912="EIF",5.4)))))))</f>
        <v/>
      </c>
      <c r="M7912" s="112" t="str">
        <f t="shared" si="126"/>
        <v/>
      </c>
      <c r="N7912" s="113"/>
    </row>
    <row r="7913" spans="2:14">
      <c r="B7913" s="105"/>
      <c r="C7913" s="106"/>
      <c r="D7913" s="107"/>
      <c r="E7913" s="65"/>
      <c r="F7913" s="64"/>
      <c r="G7913" s="64"/>
      <c r="H7913" s="64"/>
      <c r="I7913" s="70"/>
      <c r="J7913" s="70"/>
      <c r="K7913" s="110" t="str">
        <f>IF(H7913="","",IF($C$29="간이법","",FPR(H7913,I7913,J7913)))</f>
        <v/>
      </c>
      <c r="L7913" s="111" t="str">
        <f>IF(H7913="","",IF($C$29="상세법",FPV(H7913,K7913),IF(H7913="EI",4,IF(H7913="EO",5.2,IF(H7913="EQ",3.9,IF(H7913="ILF",7.5,IF(H7913="EIF",5.4)))))))</f>
        <v/>
      </c>
      <c r="M7913" s="112" t="str">
        <f t="shared" si="126"/>
        <v/>
      </c>
      <c r="N7913" s="113"/>
    </row>
    <row r="7914" spans="2:14">
      <c r="B7914" s="105"/>
      <c r="C7914" s="106"/>
      <c r="D7914" s="107"/>
      <c r="E7914" s="65"/>
      <c r="F7914" s="64"/>
      <c r="G7914" s="64"/>
      <c r="H7914" s="64"/>
      <c r="I7914" s="70"/>
      <c r="J7914" s="70"/>
      <c r="K7914" s="110" t="str">
        <f>IF(H7914="","",IF($C$29="간이법","",FPR(H7914,I7914,J7914)))</f>
        <v/>
      </c>
      <c r="L7914" s="111" t="str">
        <f>IF(H7914="","",IF($C$29="상세법",FPV(H7914,K7914),IF(H7914="EI",4,IF(H7914="EO",5.2,IF(H7914="EQ",3.9,IF(H7914="ILF",7.5,IF(H7914="EIF",5.4)))))))</f>
        <v/>
      </c>
      <c r="M7914" s="112" t="str">
        <f t="shared" si="126"/>
        <v/>
      </c>
      <c r="N7914" s="113"/>
    </row>
    <row r="7915" spans="2:14">
      <c r="B7915" s="105"/>
      <c r="C7915" s="106"/>
      <c r="D7915" s="107"/>
      <c r="E7915" s="65"/>
      <c r="F7915" s="64"/>
      <c r="G7915" s="64"/>
      <c r="H7915" s="64"/>
      <c r="I7915" s="70"/>
      <c r="J7915" s="70"/>
      <c r="K7915" s="110" t="str">
        <f>IF(H7915="","",IF($C$29="간이법","",FPR(H7915,I7915,J7915)))</f>
        <v/>
      </c>
      <c r="L7915" s="111" t="str">
        <f>IF(H7915="","",IF($C$29="상세법",FPV(H7915,K7915),IF(H7915="EI",4,IF(H7915="EO",5.2,IF(H7915="EQ",3.9,IF(H7915="ILF",7.5,IF(H7915="EIF",5.4)))))))</f>
        <v/>
      </c>
      <c r="M7915" s="112" t="str">
        <f t="shared" si="126"/>
        <v/>
      </c>
      <c r="N7915" s="113"/>
    </row>
    <row r="7916" spans="2:14">
      <c r="B7916" s="105"/>
      <c r="C7916" s="106"/>
      <c r="D7916" s="107"/>
      <c r="E7916" s="65"/>
      <c r="F7916" s="64"/>
      <c r="G7916" s="64"/>
      <c r="H7916" s="64"/>
      <c r="I7916" s="70"/>
      <c r="J7916" s="70"/>
      <c r="K7916" s="110" t="str">
        <f>IF(H7916="","",IF($C$29="간이법","",FPR(H7916,I7916,J7916)))</f>
        <v/>
      </c>
      <c r="L7916" s="111" t="str">
        <f>IF(H7916="","",IF($C$29="상세법",FPV(H7916,K7916),IF(H7916="EI",4,IF(H7916="EO",5.2,IF(H7916="EQ",3.9,IF(H7916="ILF",7.5,IF(H7916="EIF",5.4)))))))</f>
        <v/>
      </c>
      <c r="M7916" s="112" t="str">
        <f t="shared" si="126"/>
        <v/>
      </c>
      <c r="N7916" s="113"/>
    </row>
    <row r="7917" spans="2:14">
      <c r="B7917" s="105"/>
      <c r="C7917" s="106"/>
      <c r="D7917" s="107"/>
      <c r="E7917" s="65"/>
      <c r="F7917" s="64"/>
      <c r="G7917" s="64"/>
      <c r="H7917" s="64"/>
      <c r="I7917" s="70"/>
      <c r="J7917" s="70"/>
      <c r="K7917" s="110" t="str">
        <f>IF(H7917="","",IF($C$29="간이법","",FPR(H7917,I7917,J7917)))</f>
        <v/>
      </c>
      <c r="L7917" s="111" t="str">
        <f>IF(H7917="","",IF($C$29="상세법",FPV(H7917,K7917),IF(H7917="EI",4,IF(H7917="EO",5.2,IF(H7917="EQ",3.9,IF(H7917="ILF",7.5,IF(H7917="EIF",5.4)))))))</f>
        <v/>
      </c>
      <c r="M7917" s="112" t="str">
        <f t="shared" si="126"/>
        <v/>
      </c>
      <c r="N7917" s="113"/>
    </row>
    <row r="7918" spans="2:14">
      <c r="B7918" s="105"/>
      <c r="C7918" s="106"/>
      <c r="D7918" s="107"/>
      <c r="E7918" s="65"/>
      <c r="F7918" s="64"/>
      <c r="G7918" s="64"/>
      <c r="H7918" s="64"/>
      <c r="I7918" s="70"/>
      <c r="J7918" s="70"/>
      <c r="K7918" s="110" t="str">
        <f>IF(H7918="","",IF($C$29="간이법","",FPR(H7918,I7918,J7918)))</f>
        <v/>
      </c>
      <c r="L7918" s="111" t="str">
        <f>IF(H7918="","",IF($C$29="상세법",FPV(H7918,K7918),IF(H7918="EI",4,IF(H7918="EO",5.2,IF(H7918="EQ",3.9,IF(H7918="ILF",7.5,IF(H7918="EIF",5.4)))))))</f>
        <v/>
      </c>
      <c r="M7918" s="112" t="str">
        <f t="shared" si="126"/>
        <v/>
      </c>
      <c r="N7918" s="113"/>
    </row>
    <row r="7919" spans="2:14">
      <c r="B7919" s="105"/>
      <c r="C7919" s="106"/>
      <c r="D7919" s="107"/>
      <c r="E7919" s="65"/>
      <c r="F7919" s="64"/>
      <c r="G7919" s="64"/>
      <c r="H7919" s="64"/>
      <c r="I7919" s="70"/>
      <c r="J7919" s="70"/>
      <c r="K7919" s="110" t="str">
        <f>IF(H7919="","",IF($C$29="간이법","",FPR(H7919,I7919,J7919)))</f>
        <v/>
      </c>
      <c r="L7919" s="111" t="str">
        <f>IF(H7919="","",IF($C$29="상세법",FPV(H7919,K7919),IF(H7919="EI",4,IF(H7919="EO",5.2,IF(H7919="EQ",3.9,IF(H7919="ILF",7.5,IF(H7919="EIF",5.4)))))))</f>
        <v/>
      </c>
      <c r="M7919" s="112" t="str">
        <f t="shared" si="126"/>
        <v/>
      </c>
      <c r="N7919" s="113"/>
    </row>
    <row r="7920" spans="2:14">
      <c r="B7920" s="105"/>
      <c r="C7920" s="106"/>
      <c r="D7920" s="107"/>
      <c r="E7920" s="65"/>
      <c r="F7920" s="64"/>
      <c r="G7920" s="64"/>
      <c r="H7920" s="64"/>
      <c r="I7920" s="70"/>
      <c r="J7920" s="70"/>
      <c r="K7920" s="110" t="str">
        <f>IF(H7920="","",IF($C$29="간이법","",FPR(H7920,I7920,J7920)))</f>
        <v/>
      </c>
      <c r="L7920" s="111" t="str">
        <f>IF(H7920="","",IF($C$29="상세법",FPV(H7920,K7920),IF(H7920="EI",4,IF(H7920="EO",5.2,IF(H7920="EQ",3.9,IF(H7920="ILF",7.5,IF(H7920="EIF",5.4)))))))</f>
        <v/>
      </c>
      <c r="M7920" s="112" t="str">
        <f t="shared" si="126"/>
        <v/>
      </c>
      <c r="N7920" s="113"/>
    </row>
    <row r="7921" spans="2:14">
      <c r="B7921" s="105"/>
      <c r="C7921" s="106"/>
      <c r="D7921" s="107"/>
      <c r="E7921" s="65"/>
      <c r="F7921" s="64"/>
      <c r="G7921" s="64"/>
      <c r="H7921" s="64"/>
      <c r="I7921" s="70"/>
      <c r="J7921" s="70"/>
      <c r="K7921" s="110" t="str">
        <f>IF(H7921="","",IF($C$29="간이법","",FPR(H7921,I7921,J7921)))</f>
        <v/>
      </c>
      <c r="L7921" s="111" t="str">
        <f>IF(H7921="","",IF($C$29="상세법",FPV(H7921,K7921),IF(H7921="EI",4,IF(H7921="EO",5.2,IF(H7921="EQ",3.9,IF(H7921="ILF",7.5,IF(H7921="EIF",5.4)))))))</f>
        <v/>
      </c>
      <c r="M7921" s="112" t="str">
        <f t="shared" si="126"/>
        <v/>
      </c>
      <c r="N7921" s="113"/>
    </row>
    <row r="7922" spans="2:14">
      <c r="B7922" s="105"/>
      <c r="C7922" s="106"/>
      <c r="D7922" s="107"/>
      <c r="E7922" s="65"/>
      <c r="F7922" s="64"/>
      <c r="G7922" s="64"/>
      <c r="H7922" s="64"/>
      <c r="I7922" s="70"/>
      <c r="J7922" s="70"/>
      <c r="K7922" s="110" t="str">
        <f>IF(H7922="","",IF($C$29="간이법","",FPR(H7922,I7922,J7922)))</f>
        <v/>
      </c>
      <c r="L7922" s="111" t="str">
        <f>IF(H7922="","",IF($C$29="상세법",FPV(H7922,K7922),IF(H7922="EI",4,IF(H7922="EO",5.2,IF(H7922="EQ",3.9,IF(H7922="ILF",7.5,IF(H7922="EIF",5.4)))))))</f>
        <v/>
      </c>
      <c r="M7922" s="112" t="str">
        <f t="shared" si="126"/>
        <v/>
      </c>
      <c r="N7922" s="113"/>
    </row>
    <row r="7923" spans="2:14">
      <c r="B7923" s="105"/>
      <c r="C7923" s="106"/>
      <c r="D7923" s="107"/>
      <c r="E7923" s="65"/>
      <c r="F7923" s="64"/>
      <c r="G7923" s="64"/>
      <c r="H7923" s="64"/>
      <c r="I7923" s="70"/>
      <c r="J7923" s="70"/>
      <c r="K7923" s="110" t="str">
        <f>IF(H7923="","",IF($C$29="간이법","",FPR(H7923,I7923,J7923)))</f>
        <v/>
      </c>
      <c r="L7923" s="111" t="str">
        <f>IF(H7923="","",IF($C$29="상세법",FPV(H7923,K7923),IF(H7923="EI",4,IF(H7923="EO",5.2,IF(H7923="EQ",3.9,IF(H7923="ILF",7.5,IF(H7923="EIF",5.4)))))))</f>
        <v/>
      </c>
      <c r="M7923" s="112" t="str">
        <f t="shared" si="126"/>
        <v/>
      </c>
      <c r="N7923" s="113"/>
    </row>
    <row r="7924" spans="2:14">
      <c r="B7924" s="105"/>
      <c r="C7924" s="106"/>
      <c r="D7924" s="107"/>
      <c r="E7924" s="65"/>
      <c r="F7924" s="64"/>
      <c r="G7924" s="64"/>
      <c r="H7924" s="64"/>
      <c r="I7924" s="70"/>
      <c r="J7924" s="70"/>
      <c r="K7924" s="110" t="str">
        <f>IF(H7924="","",IF($C$29="간이법","",FPR(H7924,I7924,J7924)))</f>
        <v/>
      </c>
      <c r="L7924" s="111" t="str">
        <f>IF(H7924="","",IF($C$29="상세법",FPV(H7924,K7924),IF(H7924="EI",4,IF(H7924="EO",5.2,IF(H7924="EQ",3.9,IF(H7924="ILF",7.5,IF(H7924="EIF",5.4)))))))</f>
        <v/>
      </c>
      <c r="M7924" s="112" t="str">
        <f t="shared" si="126"/>
        <v/>
      </c>
      <c r="N7924" s="113"/>
    </row>
    <row r="7925" spans="2:14">
      <c r="B7925" s="105"/>
      <c r="C7925" s="106"/>
      <c r="D7925" s="107"/>
      <c r="E7925" s="65"/>
      <c r="F7925" s="64"/>
      <c r="G7925" s="64"/>
      <c r="H7925" s="64"/>
      <c r="I7925" s="70"/>
      <c r="J7925" s="70"/>
      <c r="K7925" s="110" t="str">
        <f>IF(H7925="","",IF($C$29="간이법","",FPR(H7925,I7925,J7925)))</f>
        <v/>
      </c>
      <c r="L7925" s="111" t="str">
        <f>IF(H7925="","",IF($C$29="상세법",FPV(H7925,K7925),IF(H7925="EI",4,IF(H7925="EO",5.2,IF(H7925="EQ",3.9,IF(H7925="ILF",7.5,IF(H7925="EIF",5.4)))))))</f>
        <v/>
      </c>
      <c r="M7925" s="112" t="str">
        <f t="shared" si="126"/>
        <v/>
      </c>
      <c r="N7925" s="113"/>
    </row>
    <row r="7926" spans="2:14">
      <c r="B7926" s="105"/>
      <c r="C7926" s="106"/>
      <c r="D7926" s="107"/>
      <c r="E7926" s="65"/>
      <c r="F7926" s="64"/>
      <c r="G7926" s="64"/>
      <c r="H7926" s="64"/>
      <c r="I7926" s="70"/>
      <c r="J7926" s="70"/>
      <c r="K7926" s="110" t="str">
        <f>IF(H7926="","",IF($C$29="간이법","",FPR(H7926,I7926,J7926)))</f>
        <v/>
      </c>
      <c r="L7926" s="111" t="str">
        <f>IF(H7926="","",IF($C$29="상세법",FPV(H7926,K7926),IF(H7926="EI",4,IF(H7926="EO",5.2,IF(H7926="EQ",3.9,IF(H7926="ILF",7.5,IF(H7926="EIF",5.4)))))))</f>
        <v/>
      </c>
      <c r="M7926" s="112" t="str">
        <f t="shared" si="126"/>
        <v/>
      </c>
      <c r="N7926" s="113"/>
    </row>
    <row r="7927" spans="2:14">
      <c r="B7927" s="105"/>
      <c r="C7927" s="106"/>
      <c r="D7927" s="107"/>
      <c r="E7927" s="65"/>
      <c r="F7927" s="64"/>
      <c r="G7927" s="64"/>
      <c r="H7927" s="64"/>
      <c r="I7927" s="70"/>
      <c r="J7927" s="70"/>
      <c r="K7927" s="110" t="str">
        <f>IF(H7927="","",IF($C$29="간이법","",FPR(H7927,I7927,J7927)))</f>
        <v/>
      </c>
      <c r="L7927" s="111" t="str">
        <f>IF(H7927="","",IF($C$29="상세법",FPV(H7927,K7927),IF(H7927="EI",4,IF(H7927="EO",5.2,IF(H7927="EQ",3.9,IF(H7927="ILF",7.5,IF(H7927="EIF",5.4)))))))</f>
        <v/>
      </c>
      <c r="M7927" s="112" t="str">
        <f t="shared" si="126"/>
        <v/>
      </c>
      <c r="N7927" s="113"/>
    </row>
    <row r="7928" spans="2:14">
      <c r="B7928" s="105"/>
      <c r="C7928" s="106"/>
      <c r="D7928" s="107"/>
      <c r="E7928" s="65"/>
      <c r="F7928" s="64"/>
      <c r="G7928" s="64"/>
      <c r="H7928" s="64"/>
      <c r="I7928" s="70"/>
      <c r="J7928" s="70"/>
      <c r="K7928" s="110" t="str">
        <f>IF(H7928="","",IF($C$29="간이법","",FPR(H7928,I7928,J7928)))</f>
        <v/>
      </c>
      <c r="L7928" s="111" t="str">
        <f>IF(H7928="","",IF($C$29="상세법",FPV(H7928,K7928),IF(H7928="EI",4,IF(H7928="EO",5.2,IF(H7928="EQ",3.9,IF(H7928="ILF",7.5,IF(H7928="EIF",5.4)))))))</f>
        <v/>
      </c>
      <c r="M7928" s="112" t="str">
        <f t="shared" si="126"/>
        <v/>
      </c>
      <c r="N7928" s="113"/>
    </row>
    <row r="7929" spans="2:14">
      <c r="B7929" s="105"/>
      <c r="C7929" s="106"/>
      <c r="D7929" s="107"/>
      <c r="E7929" s="65"/>
      <c r="F7929" s="64"/>
      <c r="G7929" s="64"/>
      <c r="H7929" s="64"/>
      <c r="I7929" s="70"/>
      <c r="J7929" s="70"/>
      <c r="K7929" s="110" t="str">
        <f>IF(H7929="","",IF($C$29="간이법","",FPR(H7929,I7929,J7929)))</f>
        <v/>
      </c>
      <c r="L7929" s="111" t="str">
        <f>IF(H7929="","",IF($C$29="상세법",FPV(H7929,K7929),IF(H7929="EI",4,IF(H7929="EO",5.2,IF(H7929="EQ",3.9,IF(H7929="ILF",7.5,IF(H7929="EIF",5.4)))))))</f>
        <v/>
      </c>
      <c r="M7929" s="112" t="str">
        <f t="shared" ref="M7929:M7992" si="127">IF(L7929="","",L7929*IF(G7929="상",0.7,IF(G7929="중",0.5,IF(G7929="하",0.2,1))))</f>
        <v/>
      </c>
      <c r="N7929" s="113"/>
    </row>
    <row r="7930" spans="2:14">
      <c r="B7930" s="105"/>
      <c r="C7930" s="106"/>
      <c r="D7930" s="107"/>
      <c r="E7930" s="65"/>
      <c r="F7930" s="64"/>
      <c r="G7930" s="64"/>
      <c r="H7930" s="64"/>
      <c r="I7930" s="70"/>
      <c r="J7930" s="70"/>
      <c r="K7930" s="110" t="str">
        <f>IF(H7930="","",IF($C$29="간이법","",FPR(H7930,I7930,J7930)))</f>
        <v/>
      </c>
      <c r="L7930" s="111" t="str">
        <f>IF(H7930="","",IF($C$29="상세법",FPV(H7930,K7930),IF(H7930="EI",4,IF(H7930="EO",5.2,IF(H7930="EQ",3.9,IF(H7930="ILF",7.5,IF(H7930="EIF",5.4)))))))</f>
        <v/>
      </c>
      <c r="M7930" s="112" t="str">
        <f t="shared" si="127"/>
        <v/>
      </c>
      <c r="N7930" s="113"/>
    </row>
    <row r="7931" spans="2:14">
      <c r="B7931" s="105"/>
      <c r="C7931" s="106"/>
      <c r="D7931" s="107"/>
      <c r="E7931" s="65"/>
      <c r="F7931" s="64"/>
      <c r="G7931" s="64"/>
      <c r="H7931" s="64"/>
      <c r="I7931" s="70"/>
      <c r="J7931" s="70"/>
      <c r="K7931" s="110" t="str">
        <f>IF(H7931="","",IF($C$29="간이법","",FPR(H7931,I7931,J7931)))</f>
        <v/>
      </c>
      <c r="L7931" s="111" t="str">
        <f>IF(H7931="","",IF($C$29="상세법",FPV(H7931,K7931),IF(H7931="EI",4,IF(H7931="EO",5.2,IF(H7931="EQ",3.9,IF(H7931="ILF",7.5,IF(H7931="EIF",5.4)))))))</f>
        <v/>
      </c>
      <c r="M7931" s="112" t="str">
        <f t="shared" si="127"/>
        <v/>
      </c>
      <c r="N7931" s="113"/>
    </row>
    <row r="7932" spans="2:14">
      <c r="B7932" s="105"/>
      <c r="C7932" s="106"/>
      <c r="D7932" s="107"/>
      <c r="E7932" s="65"/>
      <c r="F7932" s="64"/>
      <c r="G7932" s="64"/>
      <c r="H7932" s="64"/>
      <c r="I7932" s="70"/>
      <c r="J7932" s="70"/>
      <c r="K7932" s="110" t="str">
        <f>IF(H7932="","",IF($C$29="간이법","",FPR(H7932,I7932,J7932)))</f>
        <v/>
      </c>
      <c r="L7932" s="111" t="str">
        <f>IF(H7932="","",IF($C$29="상세법",FPV(H7932,K7932),IF(H7932="EI",4,IF(H7932="EO",5.2,IF(H7932="EQ",3.9,IF(H7932="ILF",7.5,IF(H7932="EIF",5.4)))))))</f>
        <v/>
      </c>
      <c r="M7932" s="112" t="str">
        <f t="shared" si="127"/>
        <v/>
      </c>
      <c r="N7932" s="113"/>
    </row>
    <row r="7933" spans="2:14">
      <c r="B7933" s="105"/>
      <c r="C7933" s="106"/>
      <c r="D7933" s="107"/>
      <c r="E7933" s="65"/>
      <c r="F7933" s="64"/>
      <c r="G7933" s="64"/>
      <c r="H7933" s="64"/>
      <c r="I7933" s="70"/>
      <c r="J7933" s="70"/>
      <c r="K7933" s="110" t="str">
        <f>IF(H7933="","",IF($C$29="간이법","",FPR(H7933,I7933,J7933)))</f>
        <v/>
      </c>
      <c r="L7933" s="111" t="str">
        <f>IF(H7933="","",IF($C$29="상세법",FPV(H7933,K7933),IF(H7933="EI",4,IF(H7933="EO",5.2,IF(H7933="EQ",3.9,IF(H7933="ILF",7.5,IF(H7933="EIF",5.4)))))))</f>
        <v/>
      </c>
      <c r="M7933" s="112" t="str">
        <f t="shared" si="127"/>
        <v/>
      </c>
      <c r="N7933" s="113"/>
    </row>
    <row r="7934" spans="2:14">
      <c r="B7934" s="105"/>
      <c r="C7934" s="106"/>
      <c r="D7934" s="107"/>
      <c r="E7934" s="65"/>
      <c r="F7934" s="64"/>
      <c r="G7934" s="64"/>
      <c r="H7934" s="64"/>
      <c r="I7934" s="70"/>
      <c r="J7934" s="70"/>
      <c r="K7934" s="110" t="str">
        <f>IF(H7934="","",IF($C$29="간이법","",FPR(H7934,I7934,J7934)))</f>
        <v/>
      </c>
      <c r="L7934" s="111" t="str">
        <f>IF(H7934="","",IF($C$29="상세법",FPV(H7934,K7934),IF(H7934="EI",4,IF(H7934="EO",5.2,IF(H7934="EQ",3.9,IF(H7934="ILF",7.5,IF(H7934="EIF",5.4)))))))</f>
        <v/>
      </c>
      <c r="M7934" s="112" t="str">
        <f t="shared" si="127"/>
        <v/>
      </c>
      <c r="N7934" s="113"/>
    </row>
    <row r="7935" spans="2:14">
      <c r="B7935" s="105"/>
      <c r="C7935" s="106"/>
      <c r="D7935" s="107"/>
      <c r="E7935" s="65"/>
      <c r="F7935" s="64"/>
      <c r="G7935" s="64"/>
      <c r="H7935" s="64"/>
      <c r="I7935" s="70"/>
      <c r="J7935" s="70"/>
      <c r="K7935" s="110" t="str">
        <f>IF(H7935="","",IF($C$29="간이법","",FPR(H7935,I7935,J7935)))</f>
        <v/>
      </c>
      <c r="L7935" s="111" t="str">
        <f>IF(H7935="","",IF($C$29="상세법",FPV(H7935,K7935),IF(H7935="EI",4,IF(H7935="EO",5.2,IF(H7935="EQ",3.9,IF(H7935="ILF",7.5,IF(H7935="EIF",5.4)))))))</f>
        <v/>
      </c>
      <c r="M7935" s="112" t="str">
        <f t="shared" si="127"/>
        <v/>
      </c>
      <c r="N7935" s="113"/>
    </row>
    <row r="7936" spans="2:14">
      <c r="B7936" s="105"/>
      <c r="C7936" s="106"/>
      <c r="D7936" s="107"/>
      <c r="E7936" s="65"/>
      <c r="F7936" s="64"/>
      <c r="G7936" s="64"/>
      <c r="H7936" s="64"/>
      <c r="I7936" s="70"/>
      <c r="J7936" s="70"/>
      <c r="K7936" s="110" t="str">
        <f>IF(H7936="","",IF($C$29="간이법","",FPR(H7936,I7936,J7936)))</f>
        <v/>
      </c>
      <c r="L7936" s="111" t="str">
        <f>IF(H7936="","",IF($C$29="상세법",FPV(H7936,K7936),IF(H7936="EI",4,IF(H7936="EO",5.2,IF(H7936="EQ",3.9,IF(H7936="ILF",7.5,IF(H7936="EIF",5.4)))))))</f>
        <v/>
      </c>
      <c r="M7936" s="112" t="str">
        <f t="shared" si="127"/>
        <v/>
      </c>
      <c r="N7936" s="113"/>
    </row>
    <row r="7937" spans="2:14">
      <c r="B7937" s="105"/>
      <c r="C7937" s="106"/>
      <c r="D7937" s="107"/>
      <c r="E7937" s="65"/>
      <c r="F7937" s="64"/>
      <c r="G7937" s="64"/>
      <c r="H7937" s="64"/>
      <c r="I7937" s="70"/>
      <c r="J7937" s="70"/>
      <c r="K7937" s="110" t="str">
        <f>IF(H7937="","",IF($C$29="간이법","",FPR(H7937,I7937,J7937)))</f>
        <v/>
      </c>
      <c r="L7937" s="111" t="str">
        <f>IF(H7937="","",IF($C$29="상세법",FPV(H7937,K7937),IF(H7937="EI",4,IF(H7937="EO",5.2,IF(H7937="EQ",3.9,IF(H7937="ILF",7.5,IF(H7937="EIF",5.4)))))))</f>
        <v/>
      </c>
      <c r="M7937" s="112" t="str">
        <f t="shared" si="127"/>
        <v/>
      </c>
      <c r="N7937" s="113"/>
    </row>
    <row r="7938" spans="2:14">
      <c r="B7938" s="105"/>
      <c r="C7938" s="106"/>
      <c r="D7938" s="107"/>
      <c r="E7938" s="65"/>
      <c r="F7938" s="64"/>
      <c r="G7938" s="64"/>
      <c r="H7938" s="64"/>
      <c r="I7938" s="70"/>
      <c r="J7938" s="70"/>
      <c r="K7938" s="110" t="str">
        <f>IF(H7938="","",IF($C$29="간이법","",FPR(H7938,I7938,J7938)))</f>
        <v/>
      </c>
      <c r="L7938" s="111" t="str">
        <f>IF(H7938="","",IF($C$29="상세법",FPV(H7938,K7938),IF(H7938="EI",4,IF(H7938="EO",5.2,IF(H7938="EQ",3.9,IF(H7938="ILF",7.5,IF(H7938="EIF",5.4)))))))</f>
        <v/>
      </c>
      <c r="M7938" s="112" t="str">
        <f t="shared" si="127"/>
        <v/>
      </c>
      <c r="N7938" s="113"/>
    </row>
    <row r="7939" spans="2:14">
      <c r="B7939" s="105"/>
      <c r="C7939" s="106"/>
      <c r="D7939" s="107"/>
      <c r="E7939" s="65"/>
      <c r="F7939" s="64"/>
      <c r="G7939" s="64"/>
      <c r="H7939" s="64"/>
      <c r="I7939" s="70"/>
      <c r="J7939" s="70"/>
      <c r="K7939" s="110" t="str">
        <f>IF(H7939="","",IF($C$29="간이법","",FPR(H7939,I7939,J7939)))</f>
        <v/>
      </c>
      <c r="L7939" s="111" t="str">
        <f>IF(H7939="","",IF($C$29="상세법",FPV(H7939,K7939),IF(H7939="EI",4,IF(H7939="EO",5.2,IF(H7939="EQ",3.9,IF(H7939="ILF",7.5,IF(H7939="EIF",5.4)))))))</f>
        <v/>
      </c>
      <c r="M7939" s="112" t="str">
        <f t="shared" si="127"/>
        <v/>
      </c>
      <c r="N7939" s="113"/>
    </row>
    <row r="7940" spans="2:14">
      <c r="B7940" s="105"/>
      <c r="C7940" s="106"/>
      <c r="D7940" s="107"/>
      <c r="E7940" s="65"/>
      <c r="F7940" s="64"/>
      <c r="G7940" s="64"/>
      <c r="H7940" s="64"/>
      <c r="I7940" s="70"/>
      <c r="J7940" s="70"/>
      <c r="K7940" s="110" t="str">
        <f>IF(H7940="","",IF($C$29="간이법","",FPR(H7940,I7940,J7940)))</f>
        <v/>
      </c>
      <c r="L7940" s="111" t="str">
        <f>IF(H7940="","",IF($C$29="상세법",FPV(H7940,K7940),IF(H7940="EI",4,IF(H7940="EO",5.2,IF(H7940="EQ",3.9,IF(H7940="ILF",7.5,IF(H7940="EIF",5.4)))))))</f>
        <v/>
      </c>
      <c r="M7940" s="112" t="str">
        <f t="shared" si="127"/>
        <v/>
      </c>
      <c r="N7940" s="113"/>
    </row>
    <row r="7941" spans="2:14">
      <c r="B7941" s="105"/>
      <c r="C7941" s="106"/>
      <c r="D7941" s="107"/>
      <c r="E7941" s="65"/>
      <c r="F7941" s="64"/>
      <c r="G7941" s="64"/>
      <c r="H7941" s="64"/>
      <c r="I7941" s="70"/>
      <c r="J7941" s="70"/>
      <c r="K7941" s="110" t="str">
        <f>IF(H7941="","",IF($C$29="간이법","",FPR(H7941,I7941,J7941)))</f>
        <v/>
      </c>
      <c r="L7941" s="111" t="str">
        <f>IF(H7941="","",IF($C$29="상세법",FPV(H7941,K7941),IF(H7941="EI",4,IF(H7941="EO",5.2,IF(H7941="EQ",3.9,IF(H7941="ILF",7.5,IF(H7941="EIF",5.4)))))))</f>
        <v/>
      </c>
      <c r="M7941" s="112" t="str">
        <f t="shared" si="127"/>
        <v/>
      </c>
      <c r="N7941" s="113"/>
    </row>
    <row r="7942" spans="2:14">
      <c r="B7942" s="105"/>
      <c r="C7942" s="106"/>
      <c r="D7942" s="107"/>
      <c r="E7942" s="65"/>
      <c r="F7942" s="64"/>
      <c r="G7942" s="64"/>
      <c r="H7942" s="64"/>
      <c r="I7942" s="70"/>
      <c r="J7942" s="70"/>
      <c r="K7942" s="110" t="str">
        <f>IF(H7942="","",IF($C$29="간이법","",FPR(H7942,I7942,J7942)))</f>
        <v/>
      </c>
      <c r="L7942" s="111" t="str">
        <f>IF(H7942="","",IF($C$29="상세법",FPV(H7942,K7942),IF(H7942="EI",4,IF(H7942="EO",5.2,IF(H7942="EQ",3.9,IF(H7942="ILF",7.5,IF(H7942="EIF",5.4)))))))</f>
        <v/>
      </c>
      <c r="M7942" s="112" t="str">
        <f t="shared" si="127"/>
        <v/>
      </c>
      <c r="N7942" s="113"/>
    </row>
    <row r="7943" spans="2:14">
      <c r="B7943" s="105"/>
      <c r="C7943" s="106"/>
      <c r="D7943" s="107"/>
      <c r="E7943" s="65"/>
      <c r="F7943" s="64"/>
      <c r="G7943" s="64"/>
      <c r="H7943" s="64"/>
      <c r="I7943" s="70"/>
      <c r="J7943" s="70"/>
      <c r="K7943" s="110" t="str">
        <f>IF(H7943="","",IF($C$29="간이법","",FPR(H7943,I7943,J7943)))</f>
        <v/>
      </c>
      <c r="L7943" s="111" t="str">
        <f>IF(H7943="","",IF($C$29="상세법",FPV(H7943,K7943),IF(H7943="EI",4,IF(H7943="EO",5.2,IF(H7943="EQ",3.9,IF(H7943="ILF",7.5,IF(H7943="EIF",5.4)))))))</f>
        <v/>
      </c>
      <c r="M7943" s="112" t="str">
        <f t="shared" si="127"/>
        <v/>
      </c>
      <c r="N7943" s="113"/>
    </row>
    <row r="7944" spans="2:14">
      <c r="B7944" s="105"/>
      <c r="C7944" s="106"/>
      <c r="D7944" s="107"/>
      <c r="E7944" s="65"/>
      <c r="F7944" s="64"/>
      <c r="G7944" s="64"/>
      <c r="H7944" s="64"/>
      <c r="I7944" s="70"/>
      <c r="J7944" s="70"/>
      <c r="K7944" s="110" t="str">
        <f>IF(H7944="","",IF($C$29="간이법","",FPR(H7944,I7944,J7944)))</f>
        <v/>
      </c>
      <c r="L7944" s="111" t="str">
        <f>IF(H7944="","",IF($C$29="상세법",FPV(H7944,K7944),IF(H7944="EI",4,IF(H7944="EO",5.2,IF(H7944="EQ",3.9,IF(H7944="ILF",7.5,IF(H7944="EIF",5.4)))))))</f>
        <v/>
      </c>
      <c r="M7944" s="112" t="str">
        <f t="shared" si="127"/>
        <v/>
      </c>
      <c r="N7944" s="113"/>
    </row>
    <row r="7945" spans="2:14">
      <c r="B7945" s="105"/>
      <c r="C7945" s="106"/>
      <c r="D7945" s="107"/>
      <c r="E7945" s="65"/>
      <c r="F7945" s="64"/>
      <c r="G7945" s="64"/>
      <c r="H7945" s="64"/>
      <c r="I7945" s="70"/>
      <c r="J7945" s="70"/>
      <c r="K7945" s="110" t="str">
        <f>IF(H7945="","",IF($C$29="간이법","",FPR(H7945,I7945,J7945)))</f>
        <v/>
      </c>
      <c r="L7945" s="111" t="str">
        <f>IF(H7945="","",IF($C$29="상세법",FPV(H7945,K7945),IF(H7945="EI",4,IF(H7945="EO",5.2,IF(H7945="EQ",3.9,IF(H7945="ILF",7.5,IF(H7945="EIF",5.4)))))))</f>
        <v/>
      </c>
      <c r="M7945" s="112" t="str">
        <f t="shared" si="127"/>
        <v/>
      </c>
      <c r="N7945" s="113"/>
    </row>
    <row r="7946" spans="2:14">
      <c r="B7946" s="105"/>
      <c r="C7946" s="106"/>
      <c r="D7946" s="107"/>
      <c r="E7946" s="65"/>
      <c r="F7946" s="64"/>
      <c r="G7946" s="64"/>
      <c r="H7946" s="64"/>
      <c r="I7946" s="70"/>
      <c r="J7946" s="70"/>
      <c r="K7946" s="110" t="str">
        <f>IF(H7946="","",IF($C$29="간이법","",FPR(H7946,I7946,J7946)))</f>
        <v/>
      </c>
      <c r="L7946" s="111" t="str">
        <f>IF(H7946="","",IF($C$29="상세법",FPV(H7946,K7946),IF(H7946="EI",4,IF(H7946="EO",5.2,IF(H7946="EQ",3.9,IF(H7946="ILF",7.5,IF(H7946="EIF",5.4)))))))</f>
        <v/>
      </c>
      <c r="M7946" s="112" t="str">
        <f t="shared" si="127"/>
        <v/>
      </c>
      <c r="N7946" s="113"/>
    </row>
    <row r="7947" spans="2:14">
      <c r="B7947" s="105"/>
      <c r="C7947" s="106"/>
      <c r="D7947" s="107"/>
      <c r="E7947" s="65"/>
      <c r="F7947" s="64"/>
      <c r="G7947" s="64"/>
      <c r="H7947" s="64"/>
      <c r="I7947" s="70"/>
      <c r="J7947" s="70"/>
      <c r="K7947" s="110" t="str">
        <f>IF(H7947="","",IF($C$29="간이법","",FPR(H7947,I7947,J7947)))</f>
        <v/>
      </c>
      <c r="L7947" s="111" t="str">
        <f>IF(H7947="","",IF($C$29="상세법",FPV(H7947,K7947),IF(H7947="EI",4,IF(H7947="EO",5.2,IF(H7947="EQ",3.9,IF(H7947="ILF",7.5,IF(H7947="EIF",5.4)))))))</f>
        <v/>
      </c>
      <c r="M7947" s="112" t="str">
        <f t="shared" si="127"/>
        <v/>
      </c>
      <c r="N7947" s="113"/>
    </row>
    <row r="7948" spans="2:14">
      <c r="B7948" s="105"/>
      <c r="C7948" s="106"/>
      <c r="D7948" s="107"/>
      <c r="E7948" s="65"/>
      <c r="F7948" s="64"/>
      <c r="G7948" s="64"/>
      <c r="H7948" s="64"/>
      <c r="I7948" s="70"/>
      <c r="J7948" s="70"/>
      <c r="K7948" s="110" t="str">
        <f>IF(H7948="","",IF($C$29="간이법","",FPR(H7948,I7948,J7948)))</f>
        <v/>
      </c>
      <c r="L7948" s="111" t="str">
        <f>IF(H7948="","",IF($C$29="상세법",FPV(H7948,K7948),IF(H7948="EI",4,IF(H7948="EO",5.2,IF(H7948="EQ",3.9,IF(H7948="ILF",7.5,IF(H7948="EIF",5.4)))))))</f>
        <v/>
      </c>
      <c r="M7948" s="112" t="str">
        <f t="shared" si="127"/>
        <v/>
      </c>
      <c r="N7948" s="113"/>
    </row>
    <row r="7949" spans="2:14">
      <c r="B7949" s="105"/>
      <c r="C7949" s="106"/>
      <c r="D7949" s="107"/>
      <c r="E7949" s="65"/>
      <c r="F7949" s="64"/>
      <c r="G7949" s="64"/>
      <c r="H7949" s="64"/>
      <c r="I7949" s="70"/>
      <c r="J7949" s="70"/>
      <c r="K7949" s="110" t="str">
        <f>IF(H7949="","",IF($C$29="간이법","",FPR(H7949,I7949,J7949)))</f>
        <v/>
      </c>
      <c r="L7949" s="111" t="str">
        <f>IF(H7949="","",IF($C$29="상세법",FPV(H7949,K7949),IF(H7949="EI",4,IF(H7949="EO",5.2,IF(H7949="EQ",3.9,IF(H7949="ILF",7.5,IF(H7949="EIF",5.4)))))))</f>
        <v/>
      </c>
      <c r="M7949" s="112" t="str">
        <f t="shared" si="127"/>
        <v/>
      </c>
      <c r="N7949" s="113"/>
    </row>
    <row r="7950" spans="2:14">
      <c r="B7950" s="105"/>
      <c r="C7950" s="106"/>
      <c r="D7950" s="107"/>
      <c r="E7950" s="65"/>
      <c r="F7950" s="64"/>
      <c r="G7950" s="64"/>
      <c r="H7950" s="64"/>
      <c r="I7950" s="70"/>
      <c r="J7950" s="70"/>
      <c r="K7950" s="110" t="str">
        <f>IF(H7950="","",IF($C$29="간이법","",FPR(H7950,I7950,J7950)))</f>
        <v/>
      </c>
      <c r="L7950" s="111" t="str">
        <f>IF(H7950="","",IF($C$29="상세법",FPV(H7950,K7950),IF(H7950="EI",4,IF(H7950="EO",5.2,IF(H7950="EQ",3.9,IF(H7950="ILF",7.5,IF(H7950="EIF",5.4)))))))</f>
        <v/>
      </c>
      <c r="M7950" s="112" t="str">
        <f t="shared" si="127"/>
        <v/>
      </c>
      <c r="N7950" s="113"/>
    </row>
    <row r="7951" spans="2:14">
      <c r="B7951" s="105"/>
      <c r="C7951" s="106"/>
      <c r="D7951" s="107"/>
      <c r="E7951" s="65"/>
      <c r="F7951" s="64"/>
      <c r="G7951" s="64"/>
      <c r="H7951" s="64"/>
      <c r="I7951" s="70"/>
      <c r="J7951" s="70"/>
      <c r="K7951" s="110" t="str">
        <f>IF(H7951="","",IF($C$29="간이법","",FPR(H7951,I7951,J7951)))</f>
        <v/>
      </c>
      <c r="L7951" s="111" t="str">
        <f>IF(H7951="","",IF($C$29="상세법",FPV(H7951,K7951),IF(H7951="EI",4,IF(H7951="EO",5.2,IF(H7951="EQ",3.9,IF(H7951="ILF",7.5,IF(H7951="EIF",5.4)))))))</f>
        <v/>
      </c>
      <c r="M7951" s="112" t="str">
        <f t="shared" si="127"/>
        <v/>
      </c>
      <c r="N7951" s="113"/>
    </row>
    <row r="7952" spans="2:14">
      <c r="B7952" s="105"/>
      <c r="C7952" s="106"/>
      <c r="D7952" s="107"/>
      <c r="E7952" s="65"/>
      <c r="F7952" s="64"/>
      <c r="G7952" s="64"/>
      <c r="H7952" s="64"/>
      <c r="I7952" s="70"/>
      <c r="J7952" s="70"/>
      <c r="K7952" s="110" t="str">
        <f>IF(H7952="","",IF($C$29="간이법","",FPR(H7952,I7952,J7952)))</f>
        <v/>
      </c>
      <c r="L7952" s="111" t="str">
        <f>IF(H7952="","",IF($C$29="상세법",FPV(H7952,K7952),IF(H7952="EI",4,IF(H7952="EO",5.2,IF(H7952="EQ",3.9,IF(H7952="ILF",7.5,IF(H7952="EIF",5.4)))))))</f>
        <v/>
      </c>
      <c r="M7952" s="112" t="str">
        <f t="shared" si="127"/>
        <v/>
      </c>
      <c r="N7952" s="113"/>
    </row>
    <row r="7953" spans="2:14">
      <c r="B7953" s="105"/>
      <c r="C7953" s="106"/>
      <c r="D7953" s="107"/>
      <c r="E7953" s="65"/>
      <c r="F7953" s="64"/>
      <c r="G7953" s="64"/>
      <c r="H7953" s="64"/>
      <c r="I7953" s="70"/>
      <c r="J7953" s="70"/>
      <c r="K7953" s="110" t="str">
        <f>IF(H7953="","",IF($C$29="간이법","",FPR(H7953,I7953,J7953)))</f>
        <v/>
      </c>
      <c r="L7953" s="111" t="str">
        <f>IF(H7953="","",IF($C$29="상세법",FPV(H7953,K7953),IF(H7953="EI",4,IF(H7953="EO",5.2,IF(H7953="EQ",3.9,IF(H7953="ILF",7.5,IF(H7953="EIF",5.4)))))))</f>
        <v/>
      </c>
      <c r="M7953" s="112" t="str">
        <f t="shared" si="127"/>
        <v/>
      </c>
      <c r="N7953" s="113"/>
    </row>
    <row r="7954" spans="2:14">
      <c r="B7954" s="105"/>
      <c r="C7954" s="106"/>
      <c r="D7954" s="107"/>
      <c r="E7954" s="65"/>
      <c r="F7954" s="64"/>
      <c r="G7954" s="64"/>
      <c r="H7954" s="64"/>
      <c r="I7954" s="70"/>
      <c r="J7954" s="70"/>
      <c r="K7954" s="110" t="str">
        <f>IF(H7954="","",IF($C$29="간이법","",FPR(H7954,I7954,J7954)))</f>
        <v/>
      </c>
      <c r="L7954" s="111" t="str">
        <f>IF(H7954="","",IF($C$29="상세법",FPV(H7954,K7954),IF(H7954="EI",4,IF(H7954="EO",5.2,IF(H7954="EQ",3.9,IF(H7954="ILF",7.5,IF(H7954="EIF",5.4)))))))</f>
        <v/>
      </c>
      <c r="M7954" s="112" t="str">
        <f t="shared" si="127"/>
        <v/>
      </c>
      <c r="N7954" s="113"/>
    </row>
    <row r="7955" spans="2:14">
      <c r="B7955" s="105"/>
      <c r="C7955" s="106"/>
      <c r="D7955" s="107"/>
      <c r="E7955" s="65"/>
      <c r="F7955" s="64"/>
      <c r="G7955" s="64"/>
      <c r="H7955" s="64"/>
      <c r="I7955" s="70"/>
      <c r="J7955" s="70"/>
      <c r="K7955" s="110" t="str">
        <f>IF(H7955="","",IF($C$29="간이법","",FPR(H7955,I7955,J7955)))</f>
        <v/>
      </c>
      <c r="L7955" s="111" t="str">
        <f>IF(H7955="","",IF($C$29="상세법",FPV(H7955,K7955),IF(H7955="EI",4,IF(H7955="EO",5.2,IF(H7955="EQ",3.9,IF(H7955="ILF",7.5,IF(H7955="EIF",5.4)))))))</f>
        <v/>
      </c>
      <c r="M7955" s="112" t="str">
        <f t="shared" si="127"/>
        <v/>
      </c>
      <c r="N7955" s="113"/>
    </row>
    <row r="7956" spans="2:14">
      <c r="B7956" s="105"/>
      <c r="C7956" s="106"/>
      <c r="D7956" s="107"/>
      <c r="E7956" s="65"/>
      <c r="F7956" s="64"/>
      <c r="G7956" s="64"/>
      <c r="H7956" s="64"/>
      <c r="I7956" s="70"/>
      <c r="J7956" s="70"/>
      <c r="K7956" s="110" t="str">
        <f>IF(H7956="","",IF($C$29="간이법","",FPR(H7956,I7956,J7956)))</f>
        <v/>
      </c>
      <c r="L7956" s="111" t="str">
        <f>IF(H7956="","",IF($C$29="상세법",FPV(H7956,K7956),IF(H7956="EI",4,IF(H7956="EO",5.2,IF(H7956="EQ",3.9,IF(H7956="ILF",7.5,IF(H7956="EIF",5.4)))))))</f>
        <v/>
      </c>
      <c r="M7956" s="112" t="str">
        <f t="shared" si="127"/>
        <v/>
      </c>
      <c r="N7956" s="113"/>
    </row>
    <row r="7957" spans="2:14">
      <c r="B7957" s="105"/>
      <c r="C7957" s="106"/>
      <c r="D7957" s="107"/>
      <c r="E7957" s="65"/>
      <c r="F7957" s="64"/>
      <c r="G7957" s="64"/>
      <c r="H7957" s="64"/>
      <c r="I7957" s="70"/>
      <c r="J7957" s="70"/>
      <c r="K7957" s="110" t="str">
        <f>IF(H7957="","",IF($C$29="간이법","",FPR(H7957,I7957,J7957)))</f>
        <v/>
      </c>
      <c r="L7957" s="111" t="str">
        <f>IF(H7957="","",IF($C$29="상세법",FPV(H7957,K7957),IF(H7957="EI",4,IF(H7957="EO",5.2,IF(H7957="EQ",3.9,IF(H7957="ILF",7.5,IF(H7957="EIF",5.4)))))))</f>
        <v/>
      </c>
      <c r="M7957" s="112" t="str">
        <f t="shared" si="127"/>
        <v/>
      </c>
      <c r="N7957" s="113"/>
    </row>
    <row r="7958" spans="2:14">
      <c r="B7958" s="105"/>
      <c r="C7958" s="106"/>
      <c r="D7958" s="107"/>
      <c r="E7958" s="65"/>
      <c r="F7958" s="64"/>
      <c r="G7958" s="64"/>
      <c r="H7958" s="64"/>
      <c r="I7958" s="70"/>
      <c r="J7958" s="70"/>
      <c r="K7958" s="110" t="str">
        <f>IF(H7958="","",IF($C$29="간이법","",FPR(H7958,I7958,J7958)))</f>
        <v/>
      </c>
      <c r="L7958" s="111" t="str">
        <f>IF(H7958="","",IF($C$29="상세법",FPV(H7958,K7958),IF(H7958="EI",4,IF(H7958="EO",5.2,IF(H7958="EQ",3.9,IF(H7958="ILF",7.5,IF(H7958="EIF",5.4)))))))</f>
        <v/>
      </c>
      <c r="M7958" s="112" t="str">
        <f t="shared" si="127"/>
        <v/>
      </c>
      <c r="N7958" s="113"/>
    </row>
    <row r="7959" spans="2:14">
      <c r="B7959" s="105"/>
      <c r="C7959" s="106"/>
      <c r="D7959" s="107"/>
      <c r="E7959" s="65"/>
      <c r="F7959" s="64"/>
      <c r="G7959" s="64"/>
      <c r="H7959" s="64"/>
      <c r="I7959" s="70"/>
      <c r="J7959" s="70"/>
      <c r="K7959" s="110" t="str">
        <f>IF(H7959="","",IF($C$29="간이법","",FPR(H7959,I7959,J7959)))</f>
        <v/>
      </c>
      <c r="L7959" s="111" t="str">
        <f>IF(H7959="","",IF($C$29="상세법",FPV(H7959,K7959),IF(H7959="EI",4,IF(H7959="EO",5.2,IF(H7959="EQ",3.9,IF(H7959="ILF",7.5,IF(H7959="EIF",5.4)))))))</f>
        <v/>
      </c>
      <c r="M7959" s="112" t="str">
        <f t="shared" si="127"/>
        <v/>
      </c>
      <c r="N7959" s="113"/>
    </row>
    <row r="7960" spans="2:14">
      <c r="B7960" s="105"/>
      <c r="C7960" s="106"/>
      <c r="D7960" s="107"/>
      <c r="E7960" s="65"/>
      <c r="F7960" s="64"/>
      <c r="G7960" s="64"/>
      <c r="H7960" s="64"/>
      <c r="I7960" s="70"/>
      <c r="J7960" s="70"/>
      <c r="K7960" s="110" t="str">
        <f>IF(H7960="","",IF($C$29="간이법","",FPR(H7960,I7960,J7960)))</f>
        <v/>
      </c>
      <c r="L7960" s="111" t="str">
        <f>IF(H7960="","",IF($C$29="상세법",FPV(H7960,K7960),IF(H7960="EI",4,IF(H7960="EO",5.2,IF(H7960="EQ",3.9,IF(H7960="ILF",7.5,IF(H7960="EIF",5.4)))))))</f>
        <v/>
      </c>
      <c r="M7960" s="112" t="str">
        <f t="shared" si="127"/>
        <v/>
      </c>
      <c r="N7960" s="113"/>
    </row>
    <row r="7961" spans="2:14">
      <c r="B7961" s="105"/>
      <c r="C7961" s="106"/>
      <c r="D7961" s="107"/>
      <c r="E7961" s="65"/>
      <c r="F7961" s="64"/>
      <c r="G7961" s="64"/>
      <c r="H7961" s="64"/>
      <c r="I7961" s="70"/>
      <c r="J7961" s="70"/>
      <c r="K7961" s="110" t="str">
        <f>IF(H7961="","",IF($C$29="간이법","",FPR(H7961,I7961,J7961)))</f>
        <v/>
      </c>
      <c r="L7961" s="111" t="str">
        <f>IF(H7961="","",IF($C$29="상세법",FPV(H7961,K7961),IF(H7961="EI",4,IF(H7961="EO",5.2,IF(H7961="EQ",3.9,IF(H7961="ILF",7.5,IF(H7961="EIF",5.4)))))))</f>
        <v/>
      </c>
      <c r="M7961" s="112" t="str">
        <f t="shared" si="127"/>
        <v/>
      </c>
      <c r="N7961" s="113"/>
    </row>
    <row r="7962" spans="2:14">
      <c r="B7962" s="105"/>
      <c r="C7962" s="106"/>
      <c r="D7962" s="107"/>
      <c r="E7962" s="65"/>
      <c r="F7962" s="64"/>
      <c r="G7962" s="64"/>
      <c r="H7962" s="64"/>
      <c r="I7962" s="70"/>
      <c r="J7962" s="70"/>
      <c r="K7962" s="110" t="str">
        <f>IF(H7962="","",IF($C$29="간이법","",FPR(H7962,I7962,J7962)))</f>
        <v/>
      </c>
      <c r="L7962" s="111" t="str">
        <f>IF(H7962="","",IF($C$29="상세법",FPV(H7962,K7962),IF(H7962="EI",4,IF(H7962="EO",5.2,IF(H7962="EQ",3.9,IF(H7962="ILF",7.5,IF(H7962="EIF",5.4)))))))</f>
        <v/>
      </c>
      <c r="M7962" s="112" t="str">
        <f t="shared" si="127"/>
        <v/>
      </c>
      <c r="N7962" s="113"/>
    </row>
    <row r="7963" spans="2:14">
      <c r="B7963" s="105"/>
      <c r="C7963" s="106"/>
      <c r="D7963" s="107"/>
      <c r="E7963" s="65"/>
      <c r="F7963" s="64"/>
      <c r="G7963" s="64"/>
      <c r="H7963" s="64"/>
      <c r="I7963" s="70"/>
      <c r="J7963" s="70"/>
      <c r="K7963" s="110" t="str">
        <f>IF(H7963="","",IF($C$29="간이법","",FPR(H7963,I7963,J7963)))</f>
        <v/>
      </c>
      <c r="L7963" s="111" t="str">
        <f>IF(H7963="","",IF($C$29="상세법",FPV(H7963,K7963),IF(H7963="EI",4,IF(H7963="EO",5.2,IF(H7963="EQ",3.9,IF(H7963="ILF",7.5,IF(H7963="EIF",5.4)))))))</f>
        <v/>
      </c>
      <c r="M7963" s="112" t="str">
        <f t="shared" si="127"/>
        <v/>
      </c>
      <c r="N7963" s="113"/>
    </row>
    <row r="7964" spans="2:14">
      <c r="B7964" s="105"/>
      <c r="C7964" s="106"/>
      <c r="D7964" s="107"/>
      <c r="E7964" s="65"/>
      <c r="F7964" s="64"/>
      <c r="G7964" s="64"/>
      <c r="H7964" s="64"/>
      <c r="I7964" s="70"/>
      <c r="J7964" s="70"/>
      <c r="K7964" s="110" t="str">
        <f>IF(H7964="","",IF($C$29="간이법","",FPR(H7964,I7964,J7964)))</f>
        <v/>
      </c>
      <c r="L7964" s="111" t="str">
        <f>IF(H7964="","",IF($C$29="상세법",FPV(H7964,K7964),IF(H7964="EI",4,IF(H7964="EO",5.2,IF(H7964="EQ",3.9,IF(H7964="ILF",7.5,IF(H7964="EIF",5.4)))))))</f>
        <v/>
      </c>
      <c r="M7964" s="112" t="str">
        <f t="shared" si="127"/>
        <v/>
      </c>
      <c r="N7964" s="113"/>
    </row>
    <row r="7965" spans="2:14">
      <c r="B7965" s="105"/>
      <c r="C7965" s="106"/>
      <c r="D7965" s="107"/>
      <c r="E7965" s="65"/>
      <c r="F7965" s="64"/>
      <c r="G7965" s="64"/>
      <c r="H7965" s="64"/>
      <c r="I7965" s="70"/>
      <c r="J7965" s="70"/>
      <c r="K7965" s="110" t="str">
        <f>IF(H7965="","",IF($C$29="간이법","",FPR(H7965,I7965,J7965)))</f>
        <v/>
      </c>
      <c r="L7965" s="111" t="str">
        <f>IF(H7965="","",IF($C$29="상세법",FPV(H7965,K7965),IF(H7965="EI",4,IF(H7965="EO",5.2,IF(H7965="EQ",3.9,IF(H7965="ILF",7.5,IF(H7965="EIF",5.4)))))))</f>
        <v/>
      </c>
      <c r="M7965" s="112" t="str">
        <f t="shared" si="127"/>
        <v/>
      </c>
      <c r="N7965" s="113"/>
    </row>
    <row r="7966" spans="2:14">
      <c r="B7966" s="105"/>
      <c r="C7966" s="106"/>
      <c r="D7966" s="107"/>
      <c r="E7966" s="65"/>
      <c r="F7966" s="64"/>
      <c r="G7966" s="64"/>
      <c r="H7966" s="64"/>
      <c r="I7966" s="70"/>
      <c r="J7966" s="70"/>
      <c r="K7966" s="110" t="str">
        <f>IF(H7966="","",IF($C$29="간이법","",FPR(H7966,I7966,J7966)))</f>
        <v/>
      </c>
      <c r="L7966" s="111" t="str">
        <f>IF(H7966="","",IF($C$29="상세법",FPV(H7966,K7966),IF(H7966="EI",4,IF(H7966="EO",5.2,IF(H7966="EQ",3.9,IF(H7966="ILF",7.5,IF(H7966="EIF",5.4)))))))</f>
        <v/>
      </c>
      <c r="M7966" s="112" t="str">
        <f t="shared" si="127"/>
        <v/>
      </c>
      <c r="N7966" s="113"/>
    </row>
    <row r="7967" spans="2:14">
      <c r="B7967" s="105"/>
      <c r="C7967" s="106"/>
      <c r="D7967" s="107"/>
      <c r="E7967" s="65"/>
      <c r="F7967" s="64"/>
      <c r="G7967" s="64"/>
      <c r="H7967" s="64"/>
      <c r="I7967" s="70"/>
      <c r="J7967" s="70"/>
      <c r="K7967" s="110" t="str">
        <f>IF(H7967="","",IF($C$29="간이법","",FPR(H7967,I7967,J7967)))</f>
        <v/>
      </c>
      <c r="L7967" s="111" t="str">
        <f>IF(H7967="","",IF($C$29="상세법",FPV(H7967,K7967),IF(H7967="EI",4,IF(H7967="EO",5.2,IF(H7967="EQ",3.9,IF(H7967="ILF",7.5,IF(H7967="EIF",5.4)))))))</f>
        <v/>
      </c>
      <c r="M7967" s="112" t="str">
        <f t="shared" si="127"/>
        <v/>
      </c>
      <c r="N7967" s="113"/>
    </row>
    <row r="7968" spans="2:14">
      <c r="B7968" s="105"/>
      <c r="C7968" s="106"/>
      <c r="D7968" s="107"/>
      <c r="E7968" s="65"/>
      <c r="F7968" s="64"/>
      <c r="G7968" s="64"/>
      <c r="H7968" s="64"/>
      <c r="I7968" s="70"/>
      <c r="J7968" s="70"/>
      <c r="K7968" s="110" t="str">
        <f>IF(H7968="","",IF($C$29="간이법","",FPR(H7968,I7968,J7968)))</f>
        <v/>
      </c>
      <c r="L7968" s="111" t="str">
        <f>IF(H7968="","",IF($C$29="상세법",FPV(H7968,K7968),IF(H7968="EI",4,IF(H7968="EO",5.2,IF(H7968="EQ",3.9,IF(H7968="ILF",7.5,IF(H7968="EIF",5.4)))))))</f>
        <v/>
      </c>
      <c r="M7968" s="112" t="str">
        <f t="shared" si="127"/>
        <v/>
      </c>
      <c r="N7968" s="113"/>
    </row>
    <row r="7969" spans="2:14">
      <c r="B7969" s="105"/>
      <c r="C7969" s="106"/>
      <c r="D7969" s="107"/>
      <c r="E7969" s="65"/>
      <c r="F7969" s="64"/>
      <c r="G7969" s="64"/>
      <c r="H7969" s="64"/>
      <c r="I7969" s="70"/>
      <c r="J7969" s="70"/>
      <c r="K7969" s="110" t="str">
        <f>IF(H7969="","",IF($C$29="간이법","",FPR(H7969,I7969,J7969)))</f>
        <v/>
      </c>
      <c r="L7969" s="111" t="str">
        <f>IF(H7969="","",IF($C$29="상세법",FPV(H7969,K7969),IF(H7969="EI",4,IF(H7969="EO",5.2,IF(H7969="EQ",3.9,IF(H7969="ILF",7.5,IF(H7969="EIF",5.4)))))))</f>
        <v/>
      </c>
      <c r="M7969" s="112" t="str">
        <f t="shared" si="127"/>
        <v/>
      </c>
      <c r="N7969" s="113"/>
    </row>
    <row r="7970" spans="2:14">
      <c r="B7970" s="105"/>
      <c r="C7970" s="106"/>
      <c r="D7970" s="107"/>
      <c r="E7970" s="65"/>
      <c r="F7970" s="64"/>
      <c r="G7970" s="64"/>
      <c r="H7970" s="64"/>
      <c r="I7970" s="70"/>
      <c r="J7970" s="70"/>
      <c r="K7970" s="110" t="str">
        <f>IF(H7970="","",IF($C$29="간이법","",FPR(H7970,I7970,J7970)))</f>
        <v/>
      </c>
      <c r="L7970" s="111" t="str">
        <f>IF(H7970="","",IF($C$29="상세법",FPV(H7970,K7970),IF(H7970="EI",4,IF(H7970="EO",5.2,IF(H7970="EQ",3.9,IF(H7970="ILF",7.5,IF(H7970="EIF",5.4)))))))</f>
        <v/>
      </c>
      <c r="M7970" s="112" t="str">
        <f t="shared" si="127"/>
        <v/>
      </c>
      <c r="N7970" s="113"/>
    </row>
    <row r="7971" spans="2:14">
      <c r="B7971" s="105"/>
      <c r="C7971" s="106"/>
      <c r="D7971" s="107"/>
      <c r="E7971" s="65"/>
      <c r="F7971" s="64"/>
      <c r="G7971" s="64"/>
      <c r="H7971" s="64"/>
      <c r="I7971" s="70"/>
      <c r="J7971" s="70"/>
      <c r="K7971" s="110" t="str">
        <f>IF(H7971="","",IF($C$29="간이법","",FPR(H7971,I7971,J7971)))</f>
        <v/>
      </c>
      <c r="L7971" s="111" t="str">
        <f>IF(H7971="","",IF($C$29="상세법",FPV(H7971,K7971),IF(H7971="EI",4,IF(H7971="EO",5.2,IF(H7971="EQ",3.9,IF(H7971="ILF",7.5,IF(H7971="EIF",5.4)))))))</f>
        <v/>
      </c>
      <c r="M7971" s="112" t="str">
        <f t="shared" si="127"/>
        <v/>
      </c>
      <c r="N7971" s="113"/>
    </row>
    <row r="7972" spans="2:14">
      <c r="B7972" s="105"/>
      <c r="C7972" s="106"/>
      <c r="D7972" s="107"/>
      <c r="E7972" s="65"/>
      <c r="F7972" s="64"/>
      <c r="G7972" s="64"/>
      <c r="H7972" s="64"/>
      <c r="I7972" s="70"/>
      <c r="J7972" s="70"/>
      <c r="K7972" s="110" t="str">
        <f>IF(H7972="","",IF($C$29="간이법","",FPR(H7972,I7972,J7972)))</f>
        <v/>
      </c>
      <c r="L7972" s="111" t="str">
        <f>IF(H7972="","",IF($C$29="상세법",FPV(H7972,K7972),IF(H7972="EI",4,IF(H7972="EO",5.2,IF(H7972="EQ",3.9,IF(H7972="ILF",7.5,IF(H7972="EIF",5.4)))))))</f>
        <v/>
      </c>
      <c r="M7972" s="112" t="str">
        <f t="shared" si="127"/>
        <v/>
      </c>
      <c r="N7972" s="113"/>
    </row>
    <row r="7973" spans="2:14">
      <c r="B7973" s="105"/>
      <c r="C7973" s="106"/>
      <c r="D7973" s="107"/>
      <c r="E7973" s="65"/>
      <c r="F7973" s="64"/>
      <c r="G7973" s="64"/>
      <c r="H7973" s="64"/>
      <c r="I7973" s="70"/>
      <c r="J7973" s="70"/>
      <c r="K7973" s="110" t="str">
        <f>IF(H7973="","",IF($C$29="간이법","",FPR(H7973,I7973,J7973)))</f>
        <v/>
      </c>
      <c r="L7973" s="111" t="str">
        <f>IF(H7973="","",IF($C$29="상세법",FPV(H7973,K7973),IF(H7973="EI",4,IF(H7973="EO",5.2,IF(H7973="EQ",3.9,IF(H7973="ILF",7.5,IF(H7973="EIF",5.4)))))))</f>
        <v/>
      </c>
      <c r="M7973" s="112" t="str">
        <f t="shared" si="127"/>
        <v/>
      </c>
      <c r="N7973" s="113"/>
    </row>
    <row r="7974" spans="2:14">
      <c r="B7974" s="105"/>
      <c r="C7974" s="106"/>
      <c r="D7974" s="107"/>
      <c r="E7974" s="65"/>
      <c r="F7974" s="64"/>
      <c r="G7974" s="64"/>
      <c r="H7974" s="64"/>
      <c r="I7974" s="70"/>
      <c r="J7974" s="70"/>
      <c r="K7974" s="110" t="str">
        <f>IF(H7974="","",IF($C$29="간이법","",FPR(H7974,I7974,J7974)))</f>
        <v/>
      </c>
      <c r="L7974" s="111" t="str">
        <f>IF(H7974="","",IF($C$29="상세법",FPV(H7974,K7974),IF(H7974="EI",4,IF(H7974="EO",5.2,IF(H7974="EQ",3.9,IF(H7974="ILF",7.5,IF(H7974="EIF",5.4)))))))</f>
        <v/>
      </c>
      <c r="M7974" s="112" t="str">
        <f t="shared" si="127"/>
        <v/>
      </c>
      <c r="N7974" s="113"/>
    </row>
    <row r="7975" spans="2:14">
      <c r="B7975" s="105"/>
      <c r="C7975" s="106"/>
      <c r="D7975" s="107"/>
      <c r="E7975" s="65"/>
      <c r="F7975" s="64"/>
      <c r="G7975" s="64"/>
      <c r="H7975" s="64"/>
      <c r="I7975" s="70"/>
      <c r="J7975" s="70"/>
      <c r="K7975" s="110" t="str">
        <f>IF(H7975="","",IF($C$29="간이법","",FPR(H7975,I7975,J7975)))</f>
        <v/>
      </c>
      <c r="L7975" s="111" t="str">
        <f>IF(H7975="","",IF($C$29="상세법",FPV(H7975,K7975),IF(H7975="EI",4,IF(H7975="EO",5.2,IF(H7975="EQ",3.9,IF(H7975="ILF",7.5,IF(H7975="EIF",5.4)))))))</f>
        <v/>
      </c>
      <c r="M7975" s="112" t="str">
        <f t="shared" si="127"/>
        <v/>
      </c>
      <c r="N7975" s="113"/>
    </row>
    <row r="7976" spans="2:14">
      <c r="B7976" s="105"/>
      <c r="C7976" s="106"/>
      <c r="D7976" s="107"/>
      <c r="E7976" s="65"/>
      <c r="F7976" s="64"/>
      <c r="G7976" s="64"/>
      <c r="H7976" s="64"/>
      <c r="I7976" s="70"/>
      <c r="J7976" s="70"/>
      <c r="K7976" s="110" t="str">
        <f>IF(H7976="","",IF($C$29="간이법","",FPR(H7976,I7976,J7976)))</f>
        <v/>
      </c>
      <c r="L7976" s="111" t="str">
        <f>IF(H7976="","",IF($C$29="상세법",FPV(H7976,K7976),IF(H7976="EI",4,IF(H7976="EO",5.2,IF(H7976="EQ",3.9,IF(H7976="ILF",7.5,IF(H7976="EIF",5.4)))))))</f>
        <v/>
      </c>
      <c r="M7976" s="112" t="str">
        <f t="shared" si="127"/>
        <v/>
      </c>
      <c r="N7976" s="113"/>
    </row>
    <row r="7977" spans="2:14">
      <c r="B7977" s="105"/>
      <c r="C7977" s="106"/>
      <c r="D7977" s="107"/>
      <c r="E7977" s="65"/>
      <c r="F7977" s="64"/>
      <c r="G7977" s="64"/>
      <c r="H7977" s="64"/>
      <c r="I7977" s="70"/>
      <c r="J7977" s="70"/>
      <c r="K7977" s="110" t="str">
        <f>IF(H7977="","",IF($C$29="간이법","",FPR(H7977,I7977,J7977)))</f>
        <v/>
      </c>
      <c r="L7977" s="111" t="str">
        <f>IF(H7977="","",IF($C$29="상세법",FPV(H7977,K7977),IF(H7977="EI",4,IF(H7977="EO",5.2,IF(H7977="EQ",3.9,IF(H7977="ILF",7.5,IF(H7977="EIF",5.4)))))))</f>
        <v/>
      </c>
      <c r="M7977" s="112" t="str">
        <f t="shared" si="127"/>
        <v/>
      </c>
      <c r="N7977" s="113"/>
    </row>
    <row r="7978" spans="2:14">
      <c r="B7978" s="105"/>
      <c r="C7978" s="106"/>
      <c r="D7978" s="107"/>
      <c r="E7978" s="65"/>
      <c r="F7978" s="64"/>
      <c r="G7978" s="64"/>
      <c r="H7978" s="64"/>
      <c r="I7978" s="70"/>
      <c r="J7978" s="70"/>
      <c r="K7978" s="110" t="str">
        <f>IF(H7978="","",IF($C$29="간이법","",FPR(H7978,I7978,J7978)))</f>
        <v/>
      </c>
      <c r="L7978" s="111" t="str">
        <f>IF(H7978="","",IF($C$29="상세법",FPV(H7978,K7978),IF(H7978="EI",4,IF(H7978="EO",5.2,IF(H7978="EQ",3.9,IF(H7978="ILF",7.5,IF(H7978="EIF",5.4)))))))</f>
        <v/>
      </c>
      <c r="M7978" s="112" t="str">
        <f t="shared" si="127"/>
        <v/>
      </c>
      <c r="N7978" s="113"/>
    </row>
    <row r="7979" spans="2:14">
      <c r="B7979" s="105"/>
      <c r="C7979" s="106"/>
      <c r="D7979" s="107"/>
      <c r="E7979" s="65"/>
      <c r="F7979" s="64"/>
      <c r="G7979" s="64"/>
      <c r="H7979" s="64"/>
      <c r="I7979" s="70"/>
      <c r="J7979" s="70"/>
      <c r="K7979" s="110" t="str">
        <f>IF(H7979="","",IF($C$29="간이법","",FPR(H7979,I7979,J7979)))</f>
        <v/>
      </c>
      <c r="L7979" s="111" t="str">
        <f>IF(H7979="","",IF($C$29="상세법",FPV(H7979,K7979),IF(H7979="EI",4,IF(H7979="EO",5.2,IF(H7979="EQ",3.9,IF(H7979="ILF",7.5,IF(H7979="EIF",5.4)))))))</f>
        <v/>
      </c>
      <c r="M7979" s="112" t="str">
        <f t="shared" si="127"/>
        <v/>
      </c>
      <c r="N7979" s="113"/>
    </row>
    <row r="7980" spans="2:14">
      <c r="B7980" s="105"/>
      <c r="C7980" s="106"/>
      <c r="D7980" s="107"/>
      <c r="E7980" s="65"/>
      <c r="F7980" s="64"/>
      <c r="G7980" s="64"/>
      <c r="H7980" s="64"/>
      <c r="I7980" s="70"/>
      <c r="J7980" s="70"/>
      <c r="K7980" s="110" t="str">
        <f>IF(H7980="","",IF($C$29="간이법","",FPR(H7980,I7980,J7980)))</f>
        <v/>
      </c>
      <c r="L7980" s="111" t="str">
        <f>IF(H7980="","",IF($C$29="상세법",FPV(H7980,K7980),IF(H7980="EI",4,IF(H7980="EO",5.2,IF(H7980="EQ",3.9,IF(H7980="ILF",7.5,IF(H7980="EIF",5.4)))))))</f>
        <v/>
      </c>
      <c r="M7980" s="112" t="str">
        <f t="shared" si="127"/>
        <v/>
      </c>
      <c r="N7980" s="113"/>
    </row>
    <row r="7981" spans="2:14">
      <c r="B7981" s="105"/>
      <c r="C7981" s="106"/>
      <c r="D7981" s="107"/>
      <c r="E7981" s="65"/>
      <c r="F7981" s="64"/>
      <c r="G7981" s="64"/>
      <c r="H7981" s="64"/>
      <c r="I7981" s="70"/>
      <c r="J7981" s="70"/>
      <c r="K7981" s="110" t="str">
        <f>IF(H7981="","",IF($C$29="간이법","",FPR(H7981,I7981,J7981)))</f>
        <v/>
      </c>
      <c r="L7981" s="111" t="str">
        <f>IF(H7981="","",IF($C$29="상세법",FPV(H7981,K7981),IF(H7981="EI",4,IF(H7981="EO",5.2,IF(H7981="EQ",3.9,IF(H7981="ILF",7.5,IF(H7981="EIF",5.4)))))))</f>
        <v/>
      </c>
      <c r="M7981" s="112" t="str">
        <f t="shared" si="127"/>
        <v/>
      </c>
      <c r="N7981" s="113"/>
    </row>
    <row r="7982" spans="2:14">
      <c r="B7982" s="105"/>
      <c r="C7982" s="106"/>
      <c r="D7982" s="107"/>
      <c r="E7982" s="65"/>
      <c r="F7982" s="64"/>
      <c r="G7982" s="64"/>
      <c r="H7982" s="64"/>
      <c r="I7982" s="70"/>
      <c r="J7982" s="70"/>
      <c r="K7982" s="110" t="str">
        <f>IF(H7982="","",IF($C$29="간이법","",FPR(H7982,I7982,J7982)))</f>
        <v/>
      </c>
      <c r="L7982" s="111" t="str">
        <f>IF(H7982="","",IF($C$29="상세법",FPV(H7982,K7982),IF(H7982="EI",4,IF(H7982="EO",5.2,IF(H7982="EQ",3.9,IF(H7982="ILF",7.5,IF(H7982="EIF",5.4)))))))</f>
        <v/>
      </c>
      <c r="M7982" s="112" t="str">
        <f t="shared" si="127"/>
        <v/>
      </c>
      <c r="N7982" s="113"/>
    </row>
    <row r="7983" spans="2:14">
      <c r="B7983" s="105"/>
      <c r="C7983" s="106"/>
      <c r="D7983" s="107"/>
      <c r="E7983" s="65"/>
      <c r="F7983" s="64"/>
      <c r="G7983" s="64"/>
      <c r="H7983" s="64"/>
      <c r="I7983" s="70"/>
      <c r="J7983" s="70"/>
      <c r="K7983" s="110" t="str">
        <f>IF(H7983="","",IF($C$29="간이법","",FPR(H7983,I7983,J7983)))</f>
        <v/>
      </c>
      <c r="L7983" s="111" t="str">
        <f>IF(H7983="","",IF($C$29="상세법",FPV(H7983,K7983),IF(H7983="EI",4,IF(H7983="EO",5.2,IF(H7983="EQ",3.9,IF(H7983="ILF",7.5,IF(H7983="EIF",5.4)))))))</f>
        <v/>
      </c>
      <c r="M7983" s="112" t="str">
        <f t="shared" si="127"/>
        <v/>
      </c>
      <c r="N7983" s="113"/>
    </row>
    <row r="7984" spans="2:14">
      <c r="B7984" s="105"/>
      <c r="C7984" s="106"/>
      <c r="D7984" s="107"/>
      <c r="E7984" s="65"/>
      <c r="F7984" s="64"/>
      <c r="G7984" s="64"/>
      <c r="H7984" s="64"/>
      <c r="I7984" s="70"/>
      <c r="J7984" s="70"/>
      <c r="K7984" s="110" t="str">
        <f>IF(H7984="","",IF($C$29="간이법","",FPR(H7984,I7984,J7984)))</f>
        <v/>
      </c>
      <c r="L7984" s="111" t="str">
        <f>IF(H7984="","",IF($C$29="상세법",FPV(H7984,K7984),IF(H7984="EI",4,IF(H7984="EO",5.2,IF(H7984="EQ",3.9,IF(H7984="ILF",7.5,IF(H7984="EIF",5.4)))))))</f>
        <v/>
      </c>
      <c r="M7984" s="112" t="str">
        <f t="shared" si="127"/>
        <v/>
      </c>
      <c r="N7984" s="113"/>
    </row>
    <row r="7985" spans="2:14">
      <c r="B7985" s="105"/>
      <c r="C7985" s="106"/>
      <c r="D7985" s="107"/>
      <c r="E7985" s="65"/>
      <c r="F7985" s="64"/>
      <c r="G7985" s="64"/>
      <c r="H7985" s="64"/>
      <c r="I7985" s="70"/>
      <c r="J7985" s="70"/>
      <c r="K7985" s="110" t="str">
        <f>IF(H7985="","",IF($C$29="간이법","",FPR(H7985,I7985,J7985)))</f>
        <v/>
      </c>
      <c r="L7985" s="111" t="str">
        <f>IF(H7985="","",IF($C$29="상세법",FPV(H7985,K7985),IF(H7985="EI",4,IF(H7985="EO",5.2,IF(H7985="EQ",3.9,IF(H7985="ILF",7.5,IF(H7985="EIF",5.4)))))))</f>
        <v/>
      </c>
      <c r="M7985" s="112" t="str">
        <f t="shared" si="127"/>
        <v/>
      </c>
      <c r="N7985" s="113"/>
    </row>
    <row r="7986" spans="2:14">
      <c r="B7986" s="105"/>
      <c r="C7986" s="106"/>
      <c r="D7986" s="107"/>
      <c r="E7986" s="65"/>
      <c r="F7986" s="64"/>
      <c r="G7986" s="64"/>
      <c r="H7986" s="64"/>
      <c r="I7986" s="70"/>
      <c r="J7986" s="70"/>
      <c r="K7986" s="110" t="str">
        <f>IF(H7986="","",IF($C$29="간이법","",FPR(H7986,I7986,J7986)))</f>
        <v/>
      </c>
      <c r="L7986" s="111" t="str">
        <f>IF(H7986="","",IF($C$29="상세법",FPV(H7986,K7986),IF(H7986="EI",4,IF(H7986="EO",5.2,IF(H7986="EQ",3.9,IF(H7986="ILF",7.5,IF(H7986="EIF",5.4)))))))</f>
        <v/>
      </c>
      <c r="M7986" s="112" t="str">
        <f t="shared" si="127"/>
        <v/>
      </c>
      <c r="N7986" s="113"/>
    </row>
    <row r="7987" spans="2:14">
      <c r="B7987" s="105"/>
      <c r="C7987" s="106"/>
      <c r="D7987" s="107"/>
      <c r="E7987" s="65"/>
      <c r="F7987" s="64"/>
      <c r="G7987" s="64"/>
      <c r="H7987" s="64"/>
      <c r="I7987" s="70"/>
      <c r="J7987" s="70"/>
      <c r="K7987" s="110" t="str">
        <f>IF(H7987="","",IF($C$29="간이법","",FPR(H7987,I7987,J7987)))</f>
        <v/>
      </c>
      <c r="L7987" s="111" t="str">
        <f>IF(H7987="","",IF($C$29="상세법",FPV(H7987,K7987),IF(H7987="EI",4,IF(H7987="EO",5.2,IF(H7987="EQ",3.9,IF(H7987="ILF",7.5,IF(H7987="EIF",5.4)))))))</f>
        <v/>
      </c>
      <c r="M7987" s="112" t="str">
        <f t="shared" si="127"/>
        <v/>
      </c>
      <c r="N7987" s="113"/>
    </row>
    <row r="7988" spans="2:14">
      <c r="B7988" s="105"/>
      <c r="C7988" s="106"/>
      <c r="D7988" s="107"/>
      <c r="E7988" s="65"/>
      <c r="F7988" s="64"/>
      <c r="G7988" s="64"/>
      <c r="H7988" s="64"/>
      <c r="I7988" s="70"/>
      <c r="J7988" s="70"/>
      <c r="K7988" s="110" t="str">
        <f>IF(H7988="","",IF($C$29="간이법","",FPR(H7988,I7988,J7988)))</f>
        <v/>
      </c>
      <c r="L7988" s="111" t="str">
        <f>IF(H7988="","",IF($C$29="상세법",FPV(H7988,K7988),IF(H7988="EI",4,IF(H7988="EO",5.2,IF(H7988="EQ",3.9,IF(H7988="ILF",7.5,IF(H7988="EIF",5.4)))))))</f>
        <v/>
      </c>
      <c r="M7988" s="112" t="str">
        <f t="shared" si="127"/>
        <v/>
      </c>
      <c r="N7988" s="113"/>
    </row>
    <row r="7989" spans="2:14">
      <c r="B7989" s="105"/>
      <c r="C7989" s="106"/>
      <c r="D7989" s="107"/>
      <c r="E7989" s="65"/>
      <c r="F7989" s="64"/>
      <c r="G7989" s="64"/>
      <c r="H7989" s="64"/>
      <c r="I7989" s="70"/>
      <c r="J7989" s="70"/>
      <c r="K7989" s="110" t="str">
        <f>IF(H7989="","",IF($C$29="간이법","",FPR(H7989,I7989,J7989)))</f>
        <v/>
      </c>
      <c r="L7989" s="111" t="str">
        <f>IF(H7989="","",IF($C$29="상세법",FPV(H7989,K7989),IF(H7989="EI",4,IF(H7989="EO",5.2,IF(H7989="EQ",3.9,IF(H7989="ILF",7.5,IF(H7989="EIF",5.4)))))))</f>
        <v/>
      </c>
      <c r="M7989" s="112" t="str">
        <f t="shared" si="127"/>
        <v/>
      </c>
      <c r="N7989" s="113"/>
    </row>
    <row r="7990" spans="2:14">
      <c r="B7990" s="105"/>
      <c r="C7990" s="106"/>
      <c r="D7990" s="107"/>
      <c r="E7990" s="65"/>
      <c r="F7990" s="64"/>
      <c r="G7990" s="64"/>
      <c r="H7990" s="64"/>
      <c r="I7990" s="70"/>
      <c r="J7990" s="70"/>
      <c r="K7990" s="110" t="str">
        <f>IF(H7990="","",IF($C$29="간이법","",FPR(H7990,I7990,J7990)))</f>
        <v/>
      </c>
      <c r="L7990" s="111" t="str">
        <f>IF(H7990="","",IF($C$29="상세법",FPV(H7990,K7990),IF(H7990="EI",4,IF(H7990="EO",5.2,IF(H7990="EQ",3.9,IF(H7990="ILF",7.5,IF(H7990="EIF",5.4)))))))</f>
        <v/>
      </c>
      <c r="M7990" s="112" t="str">
        <f t="shared" si="127"/>
        <v/>
      </c>
      <c r="N7990" s="113"/>
    </row>
    <row r="7991" spans="2:14">
      <c r="B7991" s="105"/>
      <c r="C7991" s="106"/>
      <c r="D7991" s="107"/>
      <c r="E7991" s="65"/>
      <c r="F7991" s="64"/>
      <c r="G7991" s="64"/>
      <c r="H7991" s="64"/>
      <c r="I7991" s="70"/>
      <c r="J7991" s="70"/>
      <c r="K7991" s="110" t="str">
        <f>IF(H7991="","",IF($C$29="간이법","",FPR(H7991,I7991,J7991)))</f>
        <v/>
      </c>
      <c r="L7991" s="111" t="str">
        <f>IF(H7991="","",IF($C$29="상세법",FPV(H7991,K7991),IF(H7991="EI",4,IF(H7991="EO",5.2,IF(H7991="EQ",3.9,IF(H7991="ILF",7.5,IF(H7991="EIF",5.4)))))))</f>
        <v/>
      </c>
      <c r="M7991" s="112" t="str">
        <f t="shared" si="127"/>
        <v/>
      </c>
      <c r="N7991" s="113"/>
    </row>
    <row r="7992" spans="2:14">
      <c r="B7992" s="105"/>
      <c r="C7992" s="106"/>
      <c r="D7992" s="107"/>
      <c r="E7992" s="65"/>
      <c r="F7992" s="64"/>
      <c r="G7992" s="64"/>
      <c r="H7992" s="64"/>
      <c r="I7992" s="70"/>
      <c r="J7992" s="70"/>
      <c r="K7992" s="110" t="str">
        <f>IF(H7992="","",IF($C$29="간이법","",FPR(H7992,I7992,J7992)))</f>
        <v/>
      </c>
      <c r="L7992" s="111" t="str">
        <f>IF(H7992="","",IF($C$29="상세법",FPV(H7992,K7992),IF(H7992="EI",4,IF(H7992="EO",5.2,IF(H7992="EQ",3.9,IF(H7992="ILF",7.5,IF(H7992="EIF",5.4)))))))</f>
        <v/>
      </c>
      <c r="M7992" s="112" t="str">
        <f t="shared" si="127"/>
        <v/>
      </c>
      <c r="N7992" s="113"/>
    </row>
    <row r="7993" spans="2:14">
      <c r="B7993" s="105"/>
      <c r="C7993" s="106"/>
      <c r="D7993" s="107"/>
      <c r="E7993" s="65"/>
      <c r="F7993" s="64"/>
      <c r="G7993" s="64"/>
      <c r="H7993" s="64"/>
      <c r="I7993" s="70"/>
      <c r="J7993" s="70"/>
      <c r="K7993" s="110" t="str">
        <f>IF(H7993="","",IF($C$29="간이법","",FPR(H7993,I7993,J7993)))</f>
        <v/>
      </c>
      <c r="L7993" s="111" t="str">
        <f>IF(H7993="","",IF($C$29="상세법",FPV(H7993,K7993),IF(H7993="EI",4,IF(H7993="EO",5.2,IF(H7993="EQ",3.9,IF(H7993="ILF",7.5,IF(H7993="EIF",5.4)))))))</f>
        <v/>
      </c>
      <c r="M7993" s="112" t="str">
        <f t="shared" ref="M7993:M8056" si="128">IF(L7993="","",L7993*IF(G7993="상",0.7,IF(G7993="중",0.5,IF(G7993="하",0.2,1))))</f>
        <v/>
      </c>
      <c r="N7993" s="113"/>
    </row>
    <row r="7994" spans="2:14">
      <c r="B7994" s="105"/>
      <c r="C7994" s="106"/>
      <c r="D7994" s="107"/>
      <c r="E7994" s="65"/>
      <c r="F7994" s="64"/>
      <c r="G7994" s="64"/>
      <c r="H7994" s="64"/>
      <c r="I7994" s="70"/>
      <c r="J7994" s="70"/>
      <c r="K7994" s="110" t="str">
        <f>IF(H7994="","",IF($C$29="간이법","",FPR(H7994,I7994,J7994)))</f>
        <v/>
      </c>
      <c r="L7994" s="111" t="str">
        <f>IF(H7994="","",IF($C$29="상세법",FPV(H7994,K7994),IF(H7994="EI",4,IF(H7994="EO",5.2,IF(H7994="EQ",3.9,IF(H7994="ILF",7.5,IF(H7994="EIF",5.4)))))))</f>
        <v/>
      </c>
      <c r="M7994" s="112" t="str">
        <f t="shared" si="128"/>
        <v/>
      </c>
      <c r="N7994" s="113"/>
    </row>
    <row r="7995" spans="2:14">
      <c r="B7995" s="105"/>
      <c r="C7995" s="106"/>
      <c r="D7995" s="107"/>
      <c r="E7995" s="65"/>
      <c r="F7995" s="64"/>
      <c r="G7995" s="64"/>
      <c r="H7995" s="64"/>
      <c r="I7995" s="70"/>
      <c r="J7995" s="70"/>
      <c r="K7995" s="110" t="str">
        <f>IF(H7995="","",IF($C$29="간이법","",FPR(H7995,I7995,J7995)))</f>
        <v/>
      </c>
      <c r="L7995" s="111" t="str">
        <f>IF(H7995="","",IF($C$29="상세법",FPV(H7995,K7995),IF(H7995="EI",4,IF(H7995="EO",5.2,IF(H7995="EQ",3.9,IF(H7995="ILF",7.5,IF(H7995="EIF",5.4)))))))</f>
        <v/>
      </c>
      <c r="M7995" s="112" t="str">
        <f t="shared" si="128"/>
        <v/>
      </c>
      <c r="N7995" s="113"/>
    </row>
    <row r="7996" spans="2:14">
      <c r="B7996" s="105"/>
      <c r="C7996" s="106"/>
      <c r="D7996" s="107"/>
      <c r="E7996" s="65"/>
      <c r="F7996" s="64"/>
      <c r="G7996" s="64"/>
      <c r="H7996" s="64"/>
      <c r="I7996" s="70"/>
      <c r="J7996" s="70"/>
      <c r="K7996" s="110" t="str">
        <f>IF(H7996="","",IF($C$29="간이법","",FPR(H7996,I7996,J7996)))</f>
        <v/>
      </c>
      <c r="L7996" s="111" t="str">
        <f>IF(H7996="","",IF($C$29="상세법",FPV(H7996,K7996),IF(H7996="EI",4,IF(H7996="EO",5.2,IF(H7996="EQ",3.9,IF(H7996="ILF",7.5,IF(H7996="EIF",5.4)))))))</f>
        <v/>
      </c>
      <c r="M7996" s="112" t="str">
        <f t="shared" si="128"/>
        <v/>
      </c>
      <c r="N7996" s="113"/>
    </row>
    <row r="7997" spans="2:14">
      <c r="B7997" s="105"/>
      <c r="C7997" s="106"/>
      <c r="D7997" s="107"/>
      <c r="E7997" s="65"/>
      <c r="F7997" s="64"/>
      <c r="G7997" s="64"/>
      <c r="H7997" s="64"/>
      <c r="I7997" s="70"/>
      <c r="J7997" s="70"/>
      <c r="K7997" s="110" t="str">
        <f>IF(H7997="","",IF($C$29="간이법","",FPR(H7997,I7997,J7997)))</f>
        <v/>
      </c>
      <c r="L7997" s="111" t="str">
        <f>IF(H7997="","",IF($C$29="상세법",FPV(H7997,K7997),IF(H7997="EI",4,IF(H7997="EO",5.2,IF(H7997="EQ",3.9,IF(H7997="ILF",7.5,IF(H7997="EIF",5.4)))))))</f>
        <v/>
      </c>
      <c r="M7997" s="112" t="str">
        <f t="shared" si="128"/>
        <v/>
      </c>
      <c r="N7997" s="113"/>
    </row>
    <row r="7998" spans="2:14">
      <c r="B7998" s="105"/>
      <c r="C7998" s="106"/>
      <c r="D7998" s="107"/>
      <c r="E7998" s="65"/>
      <c r="F7998" s="64"/>
      <c r="G7998" s="64"/>
      <c r="H7998" s="64"/>
      <c r="I7998" s="70"/>
      <c r="J7998" s="70"/>
      <c r="K7998" s="110" t="str">
        <f>IF(H7998="","",IF($C$29="간이법","",FPR(H7998,I7998,J7998)))</f>
        <v/>
      </c>
      <c r="L7998" s="111" t="str">
        <f>IF(H7998="","",IF($C$29="상세법",FPV(H7998,K7998),IF(H7998="EI",4,IF(H7998="EO",5.2,IF(H7998="EQ",3.9,IF(H7998="ILF",7.5,IF(H7998="EIF",5.4)))))))</f>
        <v/>
      </c>
      <c r="M7998" s="112" t="str">
        <f t="shared" si="128"/>
        <v/>
      </c>
      <c r="N7998" s="113"/>
    </row>
    <row r="7999" spans="2:14">
      <c r="B7999" s="105"/>
      <c r="C7999" s="106"/>
      <c r="D7999" s="107"/>
      <c r="E7999" s="65"/>
      <c r="F7999" s="64"/>
      <c r="G7999" s="64"/>
      <c r="H7999" s="64"/>
      <c r="I7999" s="70"/>
      <c r="J7999" s="70"/>
      <c r="K7999" s="110" t="str">
        <f>IF(H7999="","",IF($C$29="간이법","",FPR(H7999,I7999,J7999)))</f>
        <v/>
      </c>
      <c r="L7999" s="111" t="str">
        <f>IF(H7999="","",IF($C$29="상세법",FPV(H7999,K7999),IF(H7999="EI",4,IF(H7999="EO",5.2,IF(H7999="EQ",3.9,IF(H7999="ILF",7.5,IF(H7999="EIF",5.4)))))))</f>
        <v/>
      </c>
      <c r="M7999" s="112" t="str">
        <f t="shared" si="128"/>
        <v/>
      </c>
      <c r="N7999" s="113"/>
    </row>
    <row r="8000" spans="2:14">
      <c r="B8000" s="105"/>
      <c r="C8000" s="106"/>
      <c r="D8000" s="107"/>
      <c r="E8000" s="65"/>
      <c r="F8000" s="64"/>
      <c r="G8000" s="64"/>
      <c r="H8000" s="64"/>
      <c r="I8000" s="70"/>
      <c r="J8000" s="70"/>
      <c r="K8000" s="110" t="str">
        <f>IF(H8000="","",IF($C$29="간이법","",FPR(H8000,I8000,J8000)))</f>
        <v/>
      </c>
      <c r="L8000" s="111" t="str">
        <f>IF(H8000="","",IF($C$29="상세법",FPV(H8000,K8000),IF(H8000="EI",4,IF(H8000="EO",5.2,IF(H8000="EQ",3.9,IF(H8000="ILF",7.5,IF(H8000="EIF",5.4)))))))</f>
        <v/>
      </c>
      <c r="M8000" s="112" t="str">
        <f t="shared" si="128"/>
        <v/>
      </c>
      <c r="N8000" s="113"/>
    </row>
    <row r="8001" spans="2:14">
      <c r="B8001" s="105"/>
      <c r="C8001" s="106"/>
      <c r="D8001" s="107"/>
      <c r="E8001" s="65"/>
      <c r="F8001" s="64"/>
      <c r="G8001" s="64"/>
      <c r="H8001" s="64"/>
      <c r="I8001" s="70"/>
      <c r="J8001" s="70"/>
      <c r="K8001" s="110" t="str">
        <f>IF(H8001="","",IF($C$29="간이법","",FPR(H8001,I8001,J8001)))</f>
        <v/>
      </c>
      <c r="L8001" s="111" t="str">
        <f>IF(H8001="","",IF($C$29="상세법",FPV(H8001,K8001),IF(H8001="EI",4,IF(H8001="EO",5.2,IF(H8001="EQ",3.9,IF(H8001="ILF",7.5,IF(H8001="EIF",5.4)))))))</f>
        <v/>
      </c>
      <c r="M8001" s="112" t="str">
        <f t="shared" si="128"/>
        <v/>
      </c>
      <c r="N8001" s="113"/>
    </row>
    <row r="8002" spans="2:14">
      <c r="B8002" s="105"/>
      <c r="C8002" s="106"/>
      <c r="D8002" s="107"/>
      <c r="E8002" s="65"/>
      <c r="F8002" s="64"/>
      <c r="G8002" s="64"/>
      <c r="H8002" s="64"/>
      <c r="I8002" s="70"/>
      <c r="J8002" s="70"/>
      <c r="K8002" s="110" t="str">
        <f>IF(H8002="","",IF($C$29="간이법","",FPR(H8002,I8002,J8002)))</f>
        <v/>
      </c>
      <c r="L8002" s="111" t="str">
        <f>IF(H8002="","",IF($C$29="상세법",FPV(H8002,K8002),IF(H8002="EI",4,IF(H8002="EO",5.2,IF(H8002="EQ",3.9,IF(H8002="ILF",7.5,IF(H8002="EIF",5.4)))))))</f>
        <v/>
      </c>
      <c r="M8002" s="112" t="str">
        <f t="shared" si="128"/>
        <v/>
      </c>
      <c r="N8002" s="113"/>
    </row>
    <row r="8003" spans="2:14">
      <c r="B8003" s="105"/>
      <c r="C8003" s="106"/>
      <c r="D8003" s="107"/>
      <c r="E8003" s="65"/>
      <c r="F8003" s="64"/>
      <c r="G8003" s="64"/>
      <c r="H8003" s="64"/>
      <c r="I8003" s="70"/>
      <c r="J8003" s="70"/>
      <c r="K8003" s="110" t="str">
        <f>IF(H8003="","",IF($C$29="간이법","",FPR(H8003,I8003,J8003)))</f>
        <v/>
      </c>
      <c r="L8003" s="111" t="str">
        <f>IF(H8003="","",IF($C$29="상세법",FPV(H8003,K8003),IF(H8003="EI",4,IF(H8003="EO",5.2,IF(H8003="EQ",3.9,IF(H8003="ILF",7.5,IF(H8003="EIF",5.4)))))))</f>
        <v/>
      </c>
      <c r="M8003" s="112" t="str">
        <f t="shared" si="128"/>
        <v/>
      </c>
      <c r="N8003" s="113"/>
    </row>
    <row r="8004" spans="2:14">
      <c r="B8004" s="105"/>
      <c r="C8004" s="106"/>
      <c r="D8004" s="107"/>
      <c r="E8004" s="65"/>
      <c r="F8004" s="64"/>
      <c r="G8004" s="64"/>
      <c r="H8004" s="64"/>
      <c r="I8004" s="70"/>
      <c r="J8004" s="70"/>
      <c r="K8004" s="110" t="str">
        <f>IF(H8004="","",IF($C$29="간이법","",FPR(H8004,I8004,J8004)))</f>
        <v/>
      </c>
      <c r="L8004" s="111" t="str">
        <f>IF(H8004="","",IF($C$29="상세법",FPV(H8004,K8004),IF(H8004="EI",4,IF(H8004="EO",5.2,IF(H8004="EQ",3.9,IF(H8004="ILF",7.5,IF(H8004="EIF",5.4)))))))</f>
        <v/>
      </c>
      <c r="M8004" s="112" t="str">
        <f t="shared" si="128"/>
        <v/>
      </c>
      <c r="N8004" s="113"/>
    </row>
    <row r="8005" spans="2:14">
      <c r="B8005" s="105"/>
      <c r="C8005" s="106"/>
      <c r="D8005" s="107"/>
      <c r="E8005" s="65"/>
      <c r="F8005" s="64"/>
      <c r="G8005" s="64"/>
      <c r="H8005" s="64"/>
      <c r="I8005" s="70"/>
      <c r="J8005" s="70"/>
      <c r="K8005" s="110" t="str">
        <f>IF(H8005="","",IF($C$29="간이법","",FPR(H8005,I8005,J8005)))</f>
        <v/>
      </c>
      <c r="L8005" s="111" t="str">
        <f>IF(H8005="","",IF($C$29="상세법",FPV(H8005,K8005),IF(H8005="EI",4,IF(H8005="EO",5.2,IF(H8005="EQ",3.9,IF(H8005="ILF",7.5,IF(H8005="EIF",5.4)))))))</f>
        <v/>
      </c>
      <c r="M8005" s="112" t="str">
        <f t="shared" si="128"/>
        <v/>
      </c>
      <c r="N8005" s="113"/>
    </row>
    <row r="8006" spans="2:14">
      <c r="B8006" s="105"/>
      <c r="C8006" s="106"/>
      <c r="D8006" s="107"/>
      <c r="E8006" s="65"/>
      <c r="F8006" s="64"/>
      <c r="G8006" s="64"/>
      <c r="H8006" s="64"/>
      <c r="I8006" s="70"/>
      <c r="J8006" s="70"/>
      <c r="K8006" s="110" t="str">
        <f>IF(H8006="","",IF($C$29="간이법","",FPR(H8006,I8006,J8006)))</f>
        <v/>
      </c>
      <c r="L8006" s="111" t="str">
        <f>IF(H8006="","",IF($C$29="상세법",FPV(H8006,K8006),IF(H8006="EI",4,IF(H8006="EO",5.2,IF(H8006="EQ",3.9,IF(H8006="ILF",7.5,IF(H8006="EIF",5.4)))))))</f>
        <v/>
      </c>
      <c r="M8006" s="112" t="str">
        <f t="shared" si="128"/>
        <v/>
      </c>
      <c r="N8006" s="113"/>
    </row>
    <row r="8007" spans="2:14">
      <c r="B8007" s="105"/>
      <c r="C8007" s="106"/>
      <c r="D8007" s="107"/>
      <c r="E8007" s="65"/>
      <c r="F8007" s="64"/>
      <c r="G8007" s="64"/>
      <c r="H8007" s="64"/>
      <c r="I8007" s="70"/>
      <c r="J8007" s="70"/>
      <c r="K8007" s="110" t="str">
        <f>IF(H8007="","",IF($C$29="간이법","",FPR(H8007,I8007,J8007)))</f>
        <v/>
      </c>
      <c r="L8007" s="111" t="str">
        <f>IF(H8007="","",IF($C$29="상세법",FPV(H8007,K8007),IF(H8007="EI",4,IF(H8007="EO",5.2,IF(H8007="EQ",3.9,IF(H8007="ILF",7.5,IF(H8007="EIF",5.4)))))))</f>
        <v/>
      </c>
      <c r="M8007" s="112" t="str">
        <f t="shared" si="128"/>
        <v/>
      </c>
      <c r="N8007" s="113"/>
    </row>
    <row r="8008" spans="2:14">
      <c r="B8008" s="105"/>
      <c r="C8008" s="106"/>
      <c r="D8008" s="107"/>
      <c r="E8008" s="65"/>
      <c r="F8008" s="64"/>
      <c r="G8008" s="64"/>
      <c r="H8008" s="64"/>
      <c r="I8008" s="70"/>
      <c r="J8008" s="70"/>
      <c r="K8008" s="110" t="str">
        <f>IF(H8008="","",IF($C$29="간이법","",FPR(H8008,I8008,J8008)))</f>
        <v/>
      </c>
      <c r="L8008" s="111" t="str">
        <f>IF(H8008="","",IF($C$29="상세법",FPV(H8008,K8008),IF(H8008="EI",4,IF(H8008="EO",5.2,IF(H8008="EQ",3.9,IF(H8008="ILF",7.5,IF(H8008="EIF",5.4)))))))</f>
        <v/>
      </c>
      <c r="M8008" s="112" t="str">
        <f t="shared" si="128"/>
        <v/>
      </c>
      <c r="N8008" s="113"/>
    </row>
    <row r="8009" spans="2:14">
      <c r="B8009" s="105"/>
      <c r="C8009" s="106"/>
      <c r="D8009" s="107"/>
      <c r="E8009" s="65"/>
      <c r="F8009" s="64"/>
      <c r="G8009" s="64"/>
      <c r="H8009" s="64"/>
      <c r="I8009" s="70"/>
      <c r="J8009" s="70"/>
      <c r="K8009" s="110" t="str">
        <f>IF(H8009="","",IF($C$29="간이법","",FPR(H8009,I8009,J8009)))</f>
        <v/>
      </c>
      <c r="L8009" s="111" t="str">
        <f>IF(H8009="","",IF($C$29="상세법",FPV(H8009,K8009),IF(H8009="EI",4,IF(H8009="EO",5.2,IF(H8009="EQ",3.9,IF(H8009="ILF",7.5,IF(H8009="EIF",5.4)))))))</f>
        <v/>
      </c>
      <c r="M8009" s="112" t="str">
        <f t="shared" si="128"/>
        <v/>
      </c>
      <c r="N8009" s="113"/>
    </row>
    <row r="8010" spans="2:14">
      <c r="B8010" s="105"/>
      <c r="C8010" s="106"/>
      <c r="D8010" s="107"/>
      <c r="E8010" s="65"/>
      <c r="F8010" s="64"/>
      <c r="G8010" s="64"/>
      <c r="H8010" s="64"/>
      <c r="I8010" s="70"/>
      <c r="J8010" s="70"/>
      <c r="K8010" s="110" t="str">
        <f>IF(H8010="","",IF($C$29="간이법","",FPR(H8010,I8010,J8010)))</f>
        <v/>
      </c>
      <c r="L8010" s="111" t="str">
        <f>IF(H8010="","",IF($C$29="상세법",FPV(H8010,K8010),IF(H8010="EI",4,IF(H8010="EO",5.2,IF(H8010="EQ",3.9,IF(H8010="ILF",7.5,IF(H8010="EIF",5.4)))))))</f>
        <v/>
      </c>
      <c r="M8010" s="112" t="str">
        <f t="shared" si="128"/>
        <v/>
      </c>
      <c r="N8010" s="113"/>
    </row>
    <row r="8011" spans="2:14">
      <c r="B8011" s="105"/>
      <c r="C8011" s="106"/>
      <c r="D8011" s="107"/>
      <c r="E8011" s="65"/>
      <c r="F8011" s="64"/>
      <c r="G8011" s="64"/>
      <c r="H8011" s="64"/>
      <c r="I8011" s="70"/>
      <c r="J8011" s="70"/>
      <c r="K8011" s="110" t="str">
        <f>IF(H8011="","",IF($C$29="간이법","",FPR(H8011,I8011,J8011)))</f>
        <v/>
      </c>
      <c r="L8011" s="111" t="str">
        <f>IF(H8011="","",IF($C$29="상세법",FPV(H8011,K8011),IF(H8011="EI",4,IF(H8011="EO",5.2,IF(H8011="EQ",3.9,IF(H8011="ILF",7.5,IF(H8011="EIF",5.4)))))))</f>
        <v/>
      </c>
      <c r="M8011" s="112" t="str">
        <f t="shared" si="128"/>
        <v/>
      </c>
      <c r="N8011" s="113"/>
    </row>
    <row r="8012" spans="2:14">
      <c r="B8012" s="105"/>
      <c r="C8012" s="106"/>
      <c r="D8012" s="107"/>
      <c r="E8012" s="65"/>
      <c r="F8012" s="64"/>
      <c r="G8012" s="64"/>
      <c r="H8012" s="64"/>
      <c r="I8012" s="70"/>
      <c r="J8012" s="70"/>
      <c r="K8012" s="110" t="str">
        <f>IF(H8012="","",IF($C$29="간이법","",FPR(H8012,I8012,J8012)))</f>
        <v/>
      </c>
      <c r="L8012" s="111" t="str">
        <f>IF(H8012="","",IF($C$29="상세법",FPV(H8012,K8012),IF(H8012="EI",4,IF(H8012="EO",5.2,IF(H8012="EQ",3.9,IF(H8012="ILF",7.5,IF(H8012="EIF",5.4)))))))</f>
        <v/>
      </c>
      <c r="M8012" s="112" t="str">
        <f t="shared" si="128"/>
        <v/>
      </c>
      <c r="N8012" s="113"/>
    </row>
    <row r="8013" spans="2:14">
      <c r="B8013" s="105"/>
      <c r="C8013" s="106"/>
      <c r="D8013" s="107"/>
      <c r="E8013" s="65"/>
      <c r="F8013" s="64"/>
      <c r="G8013" s="64"/>
      <c r="H8013" s="64"/>
      <c r="I8013" s="70"/>
      <c r="J8013" s="70"/>
      <c r="K8013" s="110" t="str">
        <f>IF(H8013="","",IF($C$29="간이법","",FPR(H8013,I8013,J8013)))</f>
        <v/>
      </c>
      <c r="L8013" s="111" t="str">
        <f>IF(H8013="","",IF($C$29="상세법",FPV(H8013,K8013),IF(H8013="EI",4,IF(H8013="EO",5.2,IF(H8013="EQ",3.9,IF(H8013="ILF",7.5,IF(H8013="EIF",5.4)))))))</f>
        <v/>
      </c>
      <c r="M8013" s="112" t="str">
        <f t="shared" si="128"/>
        <v/>
      </c>
      <c r="N8013" s="113"/>
    </row>
    <row r="8014" spans="2:14">
      <c r="B8014" s="105"/>
      <c r="C8014" s="106"/>
      <c r="D8014" s="107"/>
      <c r="E8014" s="65"/>
      <c r="F8014" s="64"/>
      <c r="G8014" s="64"/>
      <c r="H8014" s="64"/>
      <c r="I8014" s="70"/>
      <c r="J8014" s="70"/>
      <c r="K8014" s="110" t="str">
        <f>IF(H8014="","",IF($C$29="간이법","",FPR(H8014,I8014,J8014)))</f>
        <v/>
      </c>
      <c r="L8014" s="111" t="str">
        <f>IF(H8014="","",IF($C$29="상세법",FPV(H8014,K8014),IF(H8014="EI",4,IF(H8014="EO",5.2,IF(H8014="EQ",3.9,IF(H8014="ILF",7.5,IF(H8014="EIF",5.4)))))))</f>
        <v/>
      </c>
      <c r="M8014" s="112" t="str">
        <f t="shared" si="128"/>
        <v/>
      </c>
      <c r="N8014" s="113"/>
    </row>
    <row r="8015" spans="2:14">
      <c r="B8015" s="105"/>
      <c r="C8015" s="106"/>
      <c r="D8015" s="107"/>
      <c r="E8015" s="65"/>
      <c r="F8015" s="64"/>
      <c r="G8015" s="64"/>
      <c r="H8015" s="64"/>
      <c r="I8015" s="70"/>
      <c r="J8015" s="70"/>
      <c r="K8015" s="110" t="str">
        <f>IF(H8015="","",IF($C$29="간이법","",FPR(H8015,I8015,J8015)))</f>
        <v/>
      </c>
      <c r="L8015" s="111" t="str">
        <f>IF(H8015="","",IF($C$29="상세법",FPV(H8015,K8015),IF(H8015="EI",4,IF(H8015="EO",5.2,IF(H8015="EQ",3.9,IF(H8015="ILF",7.5,IF(H8015="EIF",5.4)))))))</f>
        <v/>
      </c>
      <c r="M8015" s="112" t="str">
        <f t="shared" si="128"/>
        <v/>
      </c>
      <c r="N8015" s="113"/>
    </row>
    <row r="8016" spans="2:14">
      <c r="B8016" s="105"/>
      <c r="C8016" s="106"/>
      <c r="D8016" s="107"/>
      <c r="E8016" s="65"/>
      <c r="F8016" s="64"/>
      <c r="G8016" s="64"/>
      <c r="H8016" s="64"/>
      <c r="I8016" s="70"/>
      <c r="J8016" s="70"/>
      <c r="K8016" s="110" t="str">
        <f>IF(H8016="","",IF($C$29="간이법","",FPR(H8016,I8016,J8016)))</f>
        <v/>
      </c>
      <c r="L8016" s="111" t="str">
        <f>IF(H8016="","",IF($C$29="상세법",FPV(H8016,K8016),IF(H8016="EI",4,IF(H8016="EO",5.2,IF(H8016="EQ",3.9,IF(H8016="ILF",7.5,IF(H8016="EIF",5.4)))))))</f>
        <v/>
      </c>
      <c r="M8016" s="112" t="str">
        <f t="shared" si="128"/>
        <v/>
      </c>
      <c r="N8016" s="113"/>
    </row>
    <row r="8017" spans="2:14">
      <c r="B8017" s="105"/>
      <c r="C8017" s="106"/>
      <c r="D8017" s="107"/>
      <c r="E8017" s="65"/>
      <c r="F8017" s="64"/>
      <c r="G8017" s="64"/>
      <c r="H8017" s="64"/>
      <c r="I8017" s="70"/>
      <c r="J8017" s="70"/>
      <c r="K8017" s="110" t="str">
        <f>IF(H8017="","",IF($C$29="간이법","",FPR(H8017,I8017,J8017)))</f>
        <v/>
      </c>
      <c r="L8017" s="111" t="str">
        <f>IF(H8017="","",IF($C$29="상세법",FPV(H8017,K8017),IF(H8017="EI",4,IF(H8017="EO",5.2,IF(H8017="EQ",3.9,IF(H8017="ILF",7.5,IF(H8017="EIF",5.4)))))))</f>
        <v/>
      </c>
      <c r="M8017" s="112" t="str">
        <f t="shared" si="128"/>
        <v/>
      </c>
      <c r="N8017" s="113"/>
    </row>
    <row r="8018" spans="2:14">
      <c r="B8018" s="105"/>
      <c r="C8018" s="106"/>
      <c r="D8018" s="107"/>
      <c r="E8018" s="65"/>
      <c r="F8018" s="64"/>
      <c r="G8018" s="64"/>
      <c r="H8018" s="64"/>
      <c r="I8018" s="70"/>
      <c r="J8018" s="70"/>
      <c r="K8018" s="110" t="str">
        <f>IF(H8018="","",IF($C$29="간이법","",FPR(H8018,I8018,J8018)))</f>
        <v/>
      </c>
      <c r="L8018" s="111" t="str">
        <f>IF(H8018="","",IF($C$29="상세법",FPV(H8018,K8018),IF(H8018="EI",4,IF(H8018="EO",5.2,IF(H8018="EQ",3.9,IF(H8018="ILF",7.5,IF(H8018="EIF",5.4)))))))</f>
        <v/>
      </c>
      <c r="M8018" s="112" t="str">
        <f t="shared" si="128"/>
        <v/>
      </c>
      <c r="N8018" s="113"/>
    </row>
    <row r="8019" spans="2:14">
      <c r="B8019" s="105"/>
      <c r="C8019" s="106"/>
      <c r="D8019" s="107"/>
      <c r="E8019" s="65"/>
      <c r="F8019" s="64"/>
      <c r="G8019" s="64"/>
      <c r="H8019" s="64"/>
      <c r="I8019" s="70"/>
      <c r="J8019" s="70"/>
      <c r="K8019" s="110" t="str">
        <f>IF(H8019="","",IF($C$29="간이법","",FPR(H8019,I8019,J8019)))</f>
        <v/>
      </c>
      <c r="L8019" s="111" t="str">
        <f>IF(H8019="","",IF($C$29="상세법",FPV(H8019,K8019),IF(H8019="EI",4,IF(H8019="EO",5.2,IF(H8019="EQ",3.9,IF(H8019="ILF",7.5,IF(H8019="EIF",5.4)))))))</f>
        <v/>
      </c>
      <c r="M8019" s="112" t="str">
        <f t="shared" si="128"/>
        <v/>
      </c>
      <c r="N8019" s="113"/>
    </row>
    <row r="8020" spans="2:14">
      <c r="B8020" s="105"/>
      <c r="C8020" s="106"/>
      <c r="D8020" s="107"/>
      <c r="E8020" s="65"/>
      <c r="F8020" s="64"/>
      <c r="G8020" s="64"/>
      <c r="H8020" s="64"/>
      <c r="I8020" s="70"/>
      <c r="J8020" s="70"/>
      <c r="K8020" s="110" t="str">
        <f>IF(H8020="","",IF($C$29="간이법","",FPR(H8020,I8020,J8020)))</f>
        <v/>
      </c>
      <c r="L8020" s="111" t="str">
        <f>IF(H8020="","",IF($C$29="상세법",FPV(H8020,K8020),IF(H8020="EI",4,IF(H8020="EO",5.2,IF(H8020="EQ",3.9,IF(H8020="ILF",7.5,IF(H8020="EIF",5.4)))))))</f>
        <v/>
      </c>
      <c r="M8020" s="112" t="str">
        <f t="shared" si="128"/>
        <v/>
      </c>
      <c r="N8020" s="113"/>
    </row>
    <row r="8021" spans="2:14">
      <c r="B8021" s="105"/>
      <c r="C8021" s="106"/>
      <c r="D8021" s="107"/>
      <c r="E8021" s="65"/>
      <c r="F8021" s="64"/>
      <c r="G8021" s="64"/>
      <c r="H8021" s="64"/>
      <c r="I8021" s="70"/>
      <c r="J8021" s="70"/>
      <c r="K8021" s="110" t="str">
        <f>IF(H8021="","",IF($C$29="간이법","",FPR(H8021,I8021,J8021)))</f>
        <v/>
      </c>
      <c r="L8021" s="111" t="str">
        <f>IF(H8021="","",IF($C$29="상세법",FPV(H8021,K8021),IF(H8021="EI",4,IF(H8021="EO",5.2,IF(H8021="EQ",3.9,IF(H8021="ILF",7.5,IF(H8021="EIF",5.4)))))))</f>
        <v/>
      </c>
      <c r="M8021" s="112" t="str">
        <f t="shared" si="128"/>
        <v/>
      </c>
      <c r="N8021" s="113"/>
    </row>
    <row r="8022" spans="2:14">
      <c r="B8022" s="105"/>
      <c r="C8022" s="106"/>
      <c r="D8022" s="107"/>
      <c r="E8022" s="65"/>
      <c r="F8022" s="64"/>
      <c r="G8022" s="64"/>
      <c r="H8022" s="64"/>
      <c r="I8022" s="70"/>
      <c r="J8022" s="70"/>
      <c r="K8022" s="110" t="str">
        <f>IF(H8022="","",IF($C$29="간이법","",FPR(H8022,I8022,J8022)))</f>
        <v/>
      </c>
      <c r="L8022" s="111" t="str">
        <f>IF(H8022="","",IF($C$29="상세법",FPV(H8022,K8022),IF(H8022="EI",4,IF(H8022="EO",5.2,IF(H8022="EQ",3.9,IF(H8022="ILF",7.5,IF(H8022="EIF",5.4)))))))</f>
        <v/>
      </c>
      <c r="M8022" s="112" t="str">
        <f t="shared" si="128"/>
        <v/>
      </c>
      <c r="N8022" s="113"/>
    </row>
    <row r="8023" spans="2:14">
      <c r="B8023" s="105"/>
      <c r="C8023" s="106"/>
      <c r="D8023" s="107"/>
      <c r="E8023" s="65"/>
      <c r="F8023" s="64"/>
      <c r="G8023" s="64"/>
      <c r="H8023" s="64"/>
      <c r="I8023" s="70"/>
      <c r="J8023" s="70"/>
      <c r="K8023" s="110" t="str">
        <f>IF(H8023="","",IF($C$29="간이법","",FPR(H8023,I8023,J8023)))</f>
        <v/>
      </c>
      <c r="L8023" s="111" t="str">
        <f>IF(H8023="","",IF($C$29="상세법",FPV(H8023,K8023),IF(H8023="EI",4,IF(H8023="EO",5.2,IF(H8023="EQ",3.9,IF(H8023="ILF",7.5,IF(H8023="EIF",5.4)))))))</f>
        <v/>
      </c>
      <c r="M8023" s="112" t="str">
        <f t="shared" si="128"/>
        <v/>
      </c>
      <c r="N8023" s="113"/>
    </row>
    <row r="8024" spans="2:14">
      <c r="B8024" s="105"/>
      <c r="C8024" s="106"/>
      <c r="D8024" s="107"/>
      <c r="E8024" s="65"/>
      <c r="F8024" s="64"/>
      <c r="G8024" s="64"/>
      <c r="H8024" s="64"/>
      <c r="I8024" s="70"/>
      <c r="J8024" s="70"/>
      <c r="K8024" s="110" t="str">
        <f>IF(H8024="","",IF($C$29="간이법","",FPR(H8024,I8024,J8024)))</f>
        <v/>
      </c>
      <c r="L8024" s="111" t="str">
        <f>IF(H8024="","",IF($C$29="상세법",FPV(H8024,K8024),IF(H8024="EI",4,IF(H8024="EO",5.2,IF(H8024="EQ",3.9,IF(H8024="ILF",7.5,IF(H8024="EIF",5.4)))))))</f>
        <v/>
      </c>
      <c r="M8024" s="112" t="str">
        <f t="shared" si="128"/>
        <v/>
      </c>
      <c r="N8024" s="113"/>
    </row>
    <row r="8025" spans="2:14">
      <c r="B8025" s="105"/>
      <c r="C8025" s="106"/>
      <c r="D8025" s="107"/>
      <c r="E8025" s="65"/>
      <c r="F8025" s="64"/>
      <c r="G8025" s="64"/>
      <c r="H8025" s="64"/>
      <c r="I8025" s="70"/>
      <c r="J8025" s="70"/>
      <c r="K8025" s="110" t="str">
        <f>IF(H8025="","",IF($C$29="간이법","",FPR(H8025,I8025,J8025)))</f>
        <v/>
      </c>
      <c r="L8025" s="111" t="str">
        <f>IF(H8025="","",IF($C$29="상세법",FPV(H8025,K8025),IF(H8025="EI",4,IF(H8025="EO",5.2,IF(H8025="EQ",3.9,IF(H8025="ILF",7.5,IF(H8025="EIF",5.4)))))))</f>
        <v/>
      </c>
      <c r="M8025" s="112" t="str">
        <f t="shared" si="128"/>
        <v/>
      </c>
      <c r="N8025" s="113"/>
    </row>
    <row r="8026" spans="2:14">
      <c r="B8026" s="105"/>
      <c r="C8026" s="106"/>
      <c r="D8026" s="107"/>
      <c r="E8026" s="65"/>
      <c r="F8026" s="64"/>
      <c r="G8026" s="64"/>
      <c r="H8026" s="64"/>
      <c r="I8026" s="70"/>
      <c r="J8026" s="70"/>
      <c r="K8026" s="110" t="str">
        <f>IF(H8026="","",IF($C$29="간이법","",FPR(H8026,I8026,J8026)))</f>
        <v/>
      </c>
      <c r="L8026" s="111" t="str">
        <f>IF(H8026="","",IF($C$29="상세법",FPV(H8026,K8026),IF(H8026="EI",4,IF(H8026="EO",5.2,IF(H8026="EQ",3.9,IF(H8026="ILF",7.5,IF(H8026="EIF",5.4)))))))</f>
        <v/>
      </c>
      <c r="M8026" s="112" t="str">
        <f t="shared" si="128"/>
        <v/>
      </c>
      <c r="N8026" s="113"/>
    </row>
    <row r="8027" spans="2:14">
      <c r="B8027" s="105"/>
      <c r="C8027" s="106"/>
      <c r="D8027" s="107"/>
      <c r="E8027" s="65"/>
      <c r="F8027" s="64"/>
      <c r="G8027" s="64"/>
      <c r="H8027" s="64"/>
      <c r="I8027" s="70"/>
      <c r="J8027" s="70"/>
      <c r="K8027" s="110" t="str">
        <f>IF(H8027="","",IF($C$29="간이법","",FPR(H8027,I8027,J8027)))</f>
        <v/>
      </c>
      <c r="L8027" s="111" t="str">
        <f>IF(H8027="","",IF($C$29="상세법",FPV(H8027,K8027),IF(H8027="EI",4,IF(H8027="EO",5.2,IF(H8027="EQ",3.9,IF(H8027="ILF",7.5,IF(H8027="EIF",5.4)))))))</f>
        <v/>
      </c>
      <c r="M8027" s="112" t="str">
        <f t="shared" si="128"/>
        <v/>
      </c>
      <c r="N8027" s="113"/>
    </row>
    <row r="8028" spans="2:14">
      <c r="B8028" s="105"/>
      <c r="C8028" s="106"/>
      <c r="D8028" s="107"/>
      <c r="E8028" s="65"/>
      <c r="F8028" s="64"/>
      <c r="G8028" s="64"/>
      <c r="H8028" s="64"/>
      <c r="I8028" s="70"/>
      <c r="J8028" s="70"/>
      <c r="K8028" s="110" t="str">
        <f>IF(H8028="","",IF($C$29="간이법","",FPR(H8028,I8028,J8028)))</f>
        <v/>
      </c>
      <c r="L8028" s="111" t="str">
        <f>IF(H8028="","",IF($C$29="상세법",FPV(H8028,K8028),IF(H8028="EI",4,IF(H8028="EO",5.2,IF(H8028="EQ",3.9,IF(H8028="ILF",7.5,IF(H8028="EIF",5.4)))))))</f>
        <v/>
      </c>
      <c r="M8028" s="112" t="str">
        <f t="shared" si="128"/>
        <v/>
      </c>
      <c r="N8028" s="113"/>
    </row>
    <row r="8029" spans="2:14">
      <c r="B8029" s="105"/>
      <c r="C8029" s="106"/>
      <c r="D8029" s="107"/>
      <c r="E8029" s="65"/>
      <c r="F8029" s="64"/>
      <c r="G8029" s="64"/>
      <c r="H8029" s="64"/>
      <c r="I8029" s="70"/>
      <c r="J8029" s="70"/>
      <c r="K8029" s="110" t="str">
        <f>IF(H8029="","",IF($C$29="간이법","",FPR(H8029,I8029,J8029)))</f>
        <v/>
      </c>
      <c r="L8029" s="111" t="str">
        <f>IF(H8029="","",IF($C$29="상세법",FPV(H8029,K8029),IF(H8029="EI",4,IF(H8029="EO",5.2,IF(H8029="EQ",3.9,IF(H8029="ILF",7.5,IF(H8029="EIF",5.4)))))))</f>
        <v/>
      </c>
      <c r="M8029" s="112" t="str">
        <f t="shared" si="128"/>
        <v/>
      </c>
      <c r="N8029" s="113"/>
    </row>
    <row r="8030" spans="2:14">
      <c r="B8030" s="105"/>
      <c r="C8030" s="106"/>
      <c r="D8030" s="107"/>
      <c r="E8030" s="65"/>
      <c r="F8030" s="64"/>
      <c r="G8030" s="64"/>
      <c r="H8030" s="64"/>
      <c r="I8030" s="70"/>
      <c r="J8030" s="70"/>
      <c r="K8030" s="110" t="str">
        <f>IF(H8030="","",IF($C$29="간이법","",FPR(H8030,I8030,J8030)))</f>
        <v/>
      </c>
      <c r="L8030" s="111" t="str">
        <f>IF(H8030="","",IF($C$29="상세법",FPV(H8030,K8030),IF(H8030="EI",4,IF(H8030="EO",5.2,IF(H8030="EQ",3.9,IF(H8030="ILF",7.5,IF(H8030="EIF",5.4)))))))</f>
        <v/>
      </c>
      <c r="M8030" s="112" t="str">
        <f t="shared" si="128"/>
        <v/>
      </c>
      <c r="N8030" s="113"/>
    </row>
    <row r="8031" spans="2:14">
      <c r="B8031" s="105"/>
      <c r="C8031" s="106"/>
      <c r="D8031" s="107"/>
      <c r="E8031" s="65"/>
      <c r="F8031" s="64"/>
      <c r="G8031" s="64"/>
      <c r="H8031" s="64"/>
      <c r="I8031" s="70"/>
      <c r="J8031" s="70"/>
      <c r="K8031" s="110" t="str">
        <f>IF(H8031="","",IF($C$29="간이법","",FPR(H8031,I8031,J8031)))</f>
        <v/>
      </c>
      <c r="L8031" s="111" t="str">
        <f>IF(H8031="","",IF($C$29="상세법",FPV(H8031,K8031),IF(H8031="EI",4,IF(H8031="EO",5.2,IF(H8031="EQ",3.9,IF(H8031="ILF",7.5,IF(H8031="EIF",5.4)))))))</f>
        <v/>
      </c>
      <c r="M8031" s="112" t="str">
        <f t="shared" si="128"/>
        <v/>
      </c>
      <c r="N8031" s="113"/>
    </row>
    <row r="8032" spans="2:14">
      <c r="B8032" s="105"/>
      <c r="C8032" s="106"/>
      <c r="D8032" s="107"/>
      <c r="E8032" s="65"/>
      <c r="F8032" s="64"/>
      <c r="G8032" s="64"/>
      <c r="H8032" s="64"/>
      <c r="I8032" s="70"/>
      <c r="J8032" s="70"/>
      <c r="K8032" s="110" t="str">
        <f>IF(H8032="","",IF($C$29="간이법","",FPR(H8032,I8032,J8032)))</f>
        <v/>
      </c>
      <c r="L8032" s="111" t="str">
        <f>IF(H8032="","",IF($C$29="상세법",FPV(H8032,K8032),IF(H8032="EI",4,IF(H8032="EO",5.2,IF(H8032="EQ",3.9,IF(H8032="ILF",7.5,IF(H8032="EIF",5.4)))))))</f>
        <v/>
      </c>
      <c r="M8032" s="112" t="str">
        <f t="shared" si="128"/>
        <v/>
      </c>
      <c r="N8032" s="113"/>
    </row>
    <row r="8033" spans="2:14">
      <c r="B8033" s="105"/>
      <c r="C8033" s="106"/>
      <c r="D8033" s="107"/>
      <c r="E8033" s="65"/>
      <c r="F8033" s="64"/>
      <c r="G8033" s="64"/>
      <c r="H8033" s="64"/>
      <c r="I8033" s="70"/>
      <c r="J8033" s="70"/>
      <c r="K8033" s="110" t="str">
        <f>IF(H8033="","",IF($C$29="간이법","",FPR(H8033,I8033,J8033)))</f>
        <v/>
      </c>
      <c r="L8033" s="111" t="str">
        <f>IF(H8033="","",IF($C$29="상세법",FPV(H8033,K8033),IF(H8033="EI",4,IF(H8033="EO",5.2,IF(H8033="EQ",3.9,IF(H8033="ILF",7.5,IF(H8033="EIF",5.4)))))))</f>
        <v/>
      </c>
      <c r="M8033" s="112" t="str">
        <f t="shared" si="128"/>
        <v/>
      </c>
      <c r="N8033" s="113"/>
    </row>
    <row r="8034" spans="2:14">
      <c r="B8034" s="105"/>
      <c r="C8034" s="106"/>
      <c r="D8034" s="107"/>
      <c r="E8034" s="65"/>
      <c r="F8034" s="64"/>
      <c r="G8034" s="64"/>
      <c r="H8034" s="64"/>
      <c r="I8034" s="70"/>
      <c r="J8034" s="70"/>
      <c r="K8034" s="110" t="str">
        <f>IF(H8034="","",IF($C$29="간이법","",FPR(H8034,I8034,J8034)))</f>
        <v/>
      </c>
      <c r="L8034" s="111" t="str">
        <f>IF(H8034="","",IF($C$29="상세법",FPV(H8034,K8034),IF(H8034="EI",4,IF(H8034="EO",5.2,IF(H8034="EQ",3.9,IF(H8034="ILF",7.5,IF(H8034="EIF",5.4)))))))</f>
        <v/>
      </c>
      <c r="M8034" s="112" t="str">
        <f t="shared" si="128"/>
        <v/>
      </c>
      <c r="N8034" s="113"/>
    </row>
    <row r="8035" spans="2:14">
      <c r="B8035" s="105"/>
      <c r="C8035" s="106"/>
      <c r="D8035" s="107"/>
      <c r="E8035" s="65"/>
      <c r="F8035" s="64"/>
      <c r="G8035" s="64"/>
      <c r="H8035" s="64"/>
      <c r="I8035" s="70"/>
      <c r="J8035" s="70"/>
      <c r="K8035" s="110" t="str">
        <f>IF(H8035="","",IF($C$29="간이법","",FPR(H8035,I8035,J8035)))</f>
        <v/>
      </c>
      <c r="L8035" s="111" t="str">
        <f>IF(H8035="","",IF($C$29="상세법",FPV(H8035,K8035),IF(H8035="EI",4,IF(H8035="EO",5.2,IF(H8035="EQ",3.9,IF(H8035="ILF",7.5,IF(H8035="EIF",5.4)))))))</f>
        <v/>
      </c>
      <c r="M8035" s="112" t="str">
        <f t="shared" si="128"/>
        <v/>
      </c>
      <c r="N8035" s="113"/>
    </row>
    <row r="8036" spans="2:14">
      <c r="B8036" s="105"/>
      <c r="C8036" s="106"/>
      <c r="D8036" s="107"/>
      <c r="E8036" s="65"/>
      <c r="F8036" s="64"/>
      <c r="G8036" s="64"/>
      <c r="H8036" s="64"/>
      <c r="I8036" s="70"/>
      <c r="J8036" s="70"/>
      <c r="K8036" s="110" t="str">
        <f>IF(H8036="","",IF($C$29="간이법","",FPR(H8036,I8036,J8036)))</f>
        <v/>
      </c>
      <c r="L8036" s="111" t="str">
        <f>IF(H8036="","",IF($C$29="상세법",FPV(H8036,K8036),IF(H8036="EI",4,IF(H8036="EO",5.2,IF(H8036="EQ",3.9,IF(H8036="ILF",7.5,IF(H8036="EIF",5.4)))))))</f>
        <v/>
      </c>
      <c r="M8036" s="112" t="str">
        <f t="shared" si="128"/>
        <v/>
      </c>
      <c r="N8036" s="113"/>
    </row>
    <row r="8037" spans="2:14">
      <c r="B8037" s="105"/>
      <c r="C8037" s="106"/>
      <c r="D8037" s="107"/>
      <c r="E8037" s="65"/>
      <c r="F8037" s="64"/>
      <c r="G8037" s="64"/>
      <c r="H8037" s="64"/>
      <c r="I8037" s="70"/>
      <c r="J8037" s="70"/>
      <c r="K8037" s="110" t="str">
        <f>IF(H8037="","",IF($C$29="간이법","",FPR(H8037,I8037,J8037)))</f>
        <v/>
      </c>
      <c r="L8037" s="111" t="str">
        <f>IF(H8037="","",IF($C$29="상세법",FPV(H8037,K8037),IF(H8037="EI",4,IF(H8037="EO",5.2,IF(H8037="EQ",3.9,IF(H8037="ILF",7.5,IF(H8037="EIF",5.4)))))))</f>
        <v/>
      </c>
      <c r="M8037" s="112" t="str">
        <f t="shared" si="128"/>
        <v/>
      </c>
      <c r="N8037" s="113"/>
    </row>
    <row r="8038" spans="2:14">
      <c r="B8038" s="105"/>
      <c r="C8038" s="106"/>
      <c r="D8038" s="107"/>
      <c r="E8038" s="65"/>
      <c r="F8038" s="64"/>
      <c r="G8038" s="64"/>
      <c r="H8038" s="64"/>
      <c r="I8038" s="70"/>
      <c r="J8038" s="70"/>
      <c r="K8038" s="110" t="str">
        <f>IF(H8038="","",IF($C$29="간이법","",FPR(H8038,I8038,J8038)))</f>
        <v/>
      </c>
      <c r="L8038" s="111" t="str">
        <f>IF(H8038="","",IF($C$29="상세법",FPV(H8038,K8038),IF(H8038="EI",4,IF(H8038="EO",5.2,IF(H8038="EQ",3.9,IF(H8038="ILF",7.5,IF(H8038="EIF",5.4)))))))</f>
        <v/>
      </c>
      <c r="M8038" s="112" t="str">
        <f t="shared" si="128"/>
        <v/>
      </c>
      <c r="N8038" s="113"/>
    </row>
    <row r="8039" spans="2:14">
      <c r="B8039" s="105"/>
      <c r="C8039" s="106"/>
      <c r="D8039" s="107"/>
      <c r="E8039" s="65"/>
      <c r="F8039" s="64"/>
      <c r="G8039" s="64"/>
      <c r="H8039" s="64"/>
      <c r="I8039" s="70"/>
      <c r="J8039" s="70"/>
      <c r="K8039" s="110" t="str">
        <f>IF(H8039="","",IF($C$29="간이법","",FPR(H8039,I8039,J8039)))</f>
        <v/>
      </c>
      <c r="L8039" s="111" t="str">
        <f>IF(H8039="","",IF($C$29="상세법",FPV(H8039,K8039),IF(H8039="EI",4,IF(H8039="EO",5.2,IF(H8039="EQ",3.9,IF(H8039="ILF",7.5,IF(H8039="EIF",5.4)))))))</f>
        <v/>
      </c>
      <c r="M8039" s="112" t="str">
        <f t="shared" si="128"/>
        <v/>
      </c>
      <c r="N8039" s="113"/>
    </row>
    <row r="8040" spans="2:14">
      <c r="B8040" s="105"/>
      <c r="C8040" s="106"/>
      <c r="D8040" s="107"/>
      <c r="E8040" s="65"/>
      <c r="F8040" s="64"/>
      <c r="G8040" s="64"/>
      <c r="H8040" s="64"/>
      <c r="I8040" s="70"/>
      <c r="J8040" s="70"/>
      <c r="K8040" s="110" t="str">
        <f>IF(H8040="","",IF($C$29="간이법","",FPR(H8040,I8040,J8040)))</f>
        <v/>
      </c>
      <c r="L8040" s="111" t="str">
        <f>IF(H8040="","",IF($C$29="상세법",FPV(H8040,K8040),IF(H8040="EI",4,IF(H8040="EO",5.2,IF(H8040="EQ",3.9,IF(H8040="ILF",7.5,IF(H8040="EIF",5.4)))))))</f>
        <v/>
      </c>
      <c r="M8040" s="112" t="str">
        <f t="shared" si="128"/>
        <v/>
      </c>
      <c r="N8040" s="113"/>
    </row>
    <row r="8041" spans="2:14">
      <c r="B8041" s="105"/>
      <c r="C8041" s="106"/>
      <c r="D8041" s="107"/>
      <c r="E8041" s="65"/>
      <c r="F8041" s="64"/>
      <c r="G8041" s="64"/>
      <c r="H8041" s="64"/>
      <c r="I8041" s="70"/>
      <c r="J8041" s="70"/>
      <c r="K8041" s="110" t="str">
        <f>IF(H8041="","",IF($C$29="간이법","",FPR(H8041,I8041,J8041)))</f>
        <v/>
      </c>
      <c r="L8041" s="111" t="str">
        <f>IF(H8041="","",IF($C$29="상세법",FPV(H8041,K8041),IF(H8041="EI",4,IF(H8041="EO",5.2,IF(H8041="EQ",3.9,IF(H8041="ILF",7.5,IF(H8041="EIF",5.4)))))))</f>
        <v/>
      </c>
      <c r="M8041" s="112" t="str">
        <f t="shared" si="128"/>
        <v/>
      </c>
      <c r="N8041" s="113"/>
    </row>
    <row r="8042" spans="2:14">
      <c r="B8042" s="105"/>
      <c r="C8042" s="106"/>
      <c r="D8042" s="107"/>
      <c r="E8042" s="65"/>
      <c r="F8042" s="64"/>
      <c r="G8042" s="64"/>
      <c r="H8042" s="64"/>
      <c r="I8042" s="70"/>
      <c r="J8042" s="70"/>
      <c r="K8042" s="110" t="str">
        <f>IF(H8042="","",IF($C$29="간이법","",FPR(H8042,I8042,J8042)))</f>
        <v/>
      </c>
      <c r="L8042" s="111" t="str">
        <f>IF(H8042="","",IF($C$29="상세법",FPV(H8042,K8042),IF(H8042="EI",4,IF(H8042="EO",5.2,IF(H8042="EQ",3.9,IF(H8042="ILF",7.5,IF(H8042="EIF",5.4)))))))</f>
        <v/>
      </c>
      <c r="M8042" s="112" t="str">
        <f t="shared" si="128"/>
        <v/>
      </c>
      <c r="N8042" s="113"/>
    </row>
    <row r="8043" spans="2:14">
      <c r="B8043" s="105"/>
      <c r="C8043" s="106"/>
      <c r="D8043" s="107"/>
      <c r="E8043" s="65"/>
      <c r="F8043" s="64"/>
      <c r="G8043" s="64"/>
      <c r="H8043" s="64"/>
      <c r="I8043" s="70"/>
      <c r="J8043" s="70"/>
      <c r="K8043" s="110" t="str">
        <f>IF(H8043="","",IF($C$29="간이법","",FPR(H8043,I8043,J8043)))</f>
        <v/>
      </c>
      <c r="L8043" s="111" t="str">
        <f>IF(H8043="","",IF($C$29="상세법",FPV(H8043,K8043),IF(H8043="EI",4,IF(H8043="EO",5.2,IF(H8043="EQ",3.9,IF(H8043="ILF",7.5,IF(H8043="EIF",5.4)))))))</f>
        <v/>
      </c>
      <c r="M8043" s="112" t="str">
        <f t="shared" si="128"/>
        <v/>
      </c>
      <c r="N8043" s="113"/>
    </row>
    <row r="8044" spans="2:14">
      <c r="B8044" s="105"/>
      <c r="C8044" s="106"/>
      <c r="D8044" s="107"/>
      <c r="E8044" s="65"/>
      <c r="F8044" s="64"/>
      <c r="G8044" s="64"/>
      <c r="H8044" s="64"/>
      <c r="I8044" s="70"/>
      <c r="J8044" s="70"/>
      <c r="K8044" s="110" t="str">
        <f>IF(H8044="","",IF($C$29="간이법","",FPR(H8044,I8044,J8044)))</f>
        <v/>
      </c>
      <c r="L8044" s="111" t="str">
        <f>IF(H8044="","",IF($C$29="상세법",FPV(H8044,K8044),IF(H8044="EI",4,IF(H8044="EO",5.2,IF(H8044="EQ",3.9,IF(H8044="ILF",7.5,IF(H8044="EIF",5.4)))))))</f>
        <v/>
      </c>
      <c r="M8044" s="112" t="str">
        <f t="shared" si="128"/>
        <v/>
      </c>
      <c r="N8044" s="113"/>
    </row>
    <row r="8045" spans="2:14">
      <c r="B8045" s="105"/>
      <c r="C8045" s="106"/>
      <c r="D8045" s="107"/>
      <c r="E8045" s="65"/>
      <c r="F8045" s="64"/>
      <c r="G8045" s="64"/>
      <c r="H8045" s="64"/>
      <c r="I8045" s="70"/>
      <c r="J8045" s="70"/>
      <c r="K8045" s="110" t="str">
        <f>IF(H8045="","",IF($C$29="간이법","",FPR(H8045,I8045,J8045)))</f>
        <v/>
      </c>
      <c r="L8045" s="111" t="str">
        <f>IF(H8045="","",IF($C$29="상세법",FPV(H8045,K8045),IF(H8045="EI",4,IF(H8045="EO",5.2,IF(H8045="EQ",3.9,IF(H8045="ILF",7.5,IF(H8045="EIF",5.4)))))))</f>
        <v/>
      </c>
      <c r="M8045" s="112" t="str">
        <f t="shared" si="128"/>
        <v/>
      </c>
      <c r="N8045" s="113"/>
    </row>
    <row r="8046" spans="2:14">
      <c r="B8046" s="105"/>
      <c r="C8046" s="106"/>
      <c r="D8046" s="107"/>
      <c r="E8046" s="65"/>
      <c r="F8046" s="64"/>
      <c r="G8046" s="64"/>
      <c r="H8046" s="64"/>
      <c r="I8046" s="70"/>
      <c r="J8046" s="70"/>
      <c r="K8046" s="110" t="str">
        <f>IF(H8046="","",IF($C$29="간이법","",FPR(H8046,I8046,J8046)))</f>
        <v/>
      </c>
      <c r="L8046" s="111" t="str">
        <f>IF(H8046="","",IF($C$29="상세법",FPV(H8046,K8046),IF(H8046="EI",4,IF(H8046="EO",5.2,IF(H8046="EQ",3.9,IF(H8046="ILF",7.5,IF(H8046="EIF",5.4)))))))</f>
        <v/>
      </c>
      <c r="M8046" s="112" t="str">
        <f t="shared" si="128"/>
        <v/>
      </c>
      <c r="N8046" s="113"/>
    </row>
    <row r="8047" spans="2:14">
      <c r="B8047" s="105"/>
      <c r="C8047" s="106"/>
      <c r="D8047" s="107"/>
      <c r="E8047" s="65"/>
      <c r="F8047" s="64"/>
      <c r="G8047" s="64"/>
      <c r="H8047" s="64"/>
      <c r="I8047" s="70"/>
      <c r="J8047" s="70"/>
      <c r="K8047" s="110" t="str">
        <f>IF(H8047="","",IF($C$29="간이법","",FPR(H8047,I8047,J8047)))</f>
        <v/>
      </c>
      <c r="L8047" s="111" t="str">
        <f>IF(H8047="","",IF($C$29="상세법",FPV(H8047,K8047),IF(H8047="EI",4,IF(H8047="EO",5.2,IF(H8047="EQ",3.9,IF(H8047="ILF",7.5,IF(H8047="EIF",5.4)))))))</f>
        <v/>
      </c>
      <c r="M8047" s="112" t="str">
        <f t="shared" si="128"/>
        <v/>
      </c>
      <c r="N8047" s="113"/>
    </row>
    <row r="8048" spans="2:14">
      <c r="B8048" s="105"/>
      <c r="C8048" s="106"/>
      <c r="D8048" s="107"/>
      <c r="E8048" s="65"/>
      <c r="F8048" s="64"/>
      <c r="G8048" s="64"/>
      <c r="H8048" s="64"/>
      <c r="I8048" s="70"/>
      <c r="J8048" s="70"/>
      <c r="K8048" s="110" t="str">
        <f>IF(H8048="","",IF($C$29="간이법","",FPR(H8048,I8048,J8048)))</f>
        <v/>
      </c>
      <c r="L8048" s="111" t="str">
        <f>IF(H8048="","",IF($C$29="상세법",FPV(H8048,K8048),IF(H8048="EI",4,IF(H8048="EO",5.2,IF(H8048="EQ",3.9,IF(H8048="ILF",7.5,IF(H8048="EIF",5.4)))))))</f>
        <v/>
      </c>
      <c r="M8048" s="112" t="str">
        <f t="shared" si="128"/>
        <v/>
      </c>
      <c r="N8048" s="113"/>
    </row>
    <row r="8049" spans="2:14">
      <c r="B8049" s="105"/>
      <c r="C8049" s="106"/>
      <c r="D8049" s="107"/>
      <c r="E8049" s="65"/>
      <c r="F8049" s="64"/>
      <c r="G8049" s="64"/>
      <c r="H8049" s="64"/>
      <c r="I8049" s="70"/>
      <c r="J8049" s="70"/>
      <c r="K8049" s="110" t="str">
        <f>IF(H8049="","",IF($C$29="간이법","",FPR(H8049,I8049,J8049)))</f>
        <v/>
      </c>
      <c r="L8049" s="111" t="str">
        <f>IF(H8049="","",IF($C$29="상세법",FPV(H8049,K8049),IF(H8049="EI",4,IF(H8049="EO",5.2,IF(H8049="EQ",3.9,IF(H8049="ILF",7.5,IF(H8049="EIF",5.4)))))))</f>
        <v/>
      </c>
      <c r="M8049" s="112" t="str">
        <f t="shared" si="128"/>
        <v/>
      </c>
      <c r="N8049" s="113"/>
    </row>
    <row r="8050" spans="2:14">
      <c r="B8050" s="105"/>
      <c r="C8050" s="106"/>
      <c r="D8050" s="107"/>
      <c r="E8050" s="65"/>
      <c r="F8050" s="64"/>
      <c r="G8050" s="64"/>
      <c r="H8050" s="64"/>
      <c r="I8050" s="70"/>
      <c r="J8050" s="70"/>
      <c r="K8050" s="110" t="str">
        <f>IF(H8050="","",IF($C$29="간이법","",FPR(H8050,I8050,J8050)))</f>
        <v/>
      </c>
      <c r="L8050" s="111" t="str">
        <f>IF(H8050="","",IF($C$29="상세법",FPV(H8050,K8050),IF(H8050="EI",4,IF(H8050="EO",5.2,IF(H8050="EQ",3.9,IF(H8050="ILF",7.5,IF(H8050="EIF",5.4)))))))</f>
        <v/>
      </c>
      <c r="M8050" s="112" t="str">
        <f t="shared" si="128"/>
        <v/>
      </c>
      <c r="N8050" s="113"/>
    </row>
    <row r="8051" spans="2:14">
      <c r="B8051" s="105"/>
      <c r="C8051" s="106"/>
      <c r="D8051" s="107"/>
      <c r="E8051" s="65"/>
      <c r="F8051" s="64"/>
      <c r="G8051" s="64"/>
      <c r="H8051" s="64"/>
      <c r="I8051" s="70"/>
      <c r="J8051" s="70"/>
      <c r="K8051" s="110" t="str">
        <f>IF(H8051="","",IF($C$29="간이법","",FPR(H8051,I8051,J8051)))</f>
        <v/>
      </c>
      <c r="L8051" s="111" t="str">
        <f>IF(H8051="","",IF($C$29="상세법",FPV(H8051,K8051),IF(H8051="EI",4,IF(H8051="EO",5.2,IF(H8051="EQ",3.9,IF(H8051="ILF",7.5,IF(H8051="EIF",5.4)))))))</f>
        <v/>
      </c>
      <c r="M8051" s="112" t="str">
        <f t="shared" si="128"/>
        <v/>
      </c>
      <c r="N8051" s="113"/>
    </row>
    <row r="8052" spans="2:14">
      <c r="B8052" s="105"/>
      <c r="C8052" s="106"/>
      <c r="D8052" s="107"/>
      <c r="E8052" s="65"/>
      <c r="F8052" s="64"/>
      <c r="G8052" s="64"/>
      <c r="H8052" s="64"/>
      <c r="I8052" s="70"/>
      <c r="J8052" s="70"/>
      <c r="K8052" s="110" t="str">
        <f>IF(H8052="","",IF($C$29="간이법","",FPR(H8052,I8052,J8052)))</f>
        <v/>
      </c>
      <c r="L8052" s="111" t="str">
        <f>IF(H8052="","",IF($C$29="상세법",FPV(H8052,K8052),IF(H8052="EI",4,IF(H8052="EO",5.2,IF(H8052="EQ",3.9,IF(H8052="ILF",7.5,IF(H8052="EIF",5.4)))))))</f>
        <v/>
      </c>
      <c r="M8052" s="112" t="str">
        <f t="shared" si="128"/>
        <v/>
      </c>
      <c r="N8052" s="113"/>
    </row>
    <row r="8053" spans="2:14">
      <c r="B8053" s="105"/>
      <c r="C8053" s="106"/>
      <c r="D8053" s="107"/>
      <c r="E8053" s="65"/>
      <c r="F8053" s="64"/>
      <c r="G8053" s="64"/>
      <c r="H8053" s="64"/>
      <c r="I8053" s="70"/>
      <c r="J8053" s="70"/>
      <c r="K8053" s="110" t="str">
        <f>IF(H8053="","",IF($C$29="간이법","",FPR(H8053,I8053,J8053)))</f>
        <v/>
      </c>
      <c r="L8053" s="111" t="str">
        <f>IF(H8053="","",IF($C$29="상세법",FPV(H8053,K8053),IF(H8053="EI",4,IF(H8053="EO",5.2,IF(H8053="EQ",3.9,IF(H8053="ILF",7.5,IF(H8053="EIF",5.4)))))))</f>
        <v/>
      </c>
      <c r="M8053" s="112" t="str">
        <f t="shared" si="128"/>
        <v/>
      </c>
      <c r="N8053" s="113"/>
    </row>
    <row r="8054" spans="2:14">
      <c r="B8054" s="105"/>
      <c r="C8054" s="106"/>
      <c r="D8054" s="107"/>
      <c r="E8054" s="65"/>
      <c r="F8054" s="64"/>
      <c r="G8054" s="64"/>
      <c r="H8054" s="64"/>
      <c r="I8054" s="70"/>
      <c r="J8054" s="70"/>
      <c r="K8054" s="110" t="str">
        <f>IF(H8054="","",IF($C$29="간이법","",FPR(H8054,I8054,J8054)))</f>
        <v/>
      </c>
      <c r="L8054" s="111" t="str">
        <f>IF(H8054="","",IF($C$29="상세법",FPV(H8054,K8054),IF(H8054="EI",4,IF(H8054="EO",5.2,IF(H8054="EQ",3.9,IF(H8054="ILF",7.5,IF(H8054="EIF",5.4)))))))</f>
        <v/>
      </c>
      <c r="M8054" s="112" t="str">
        <f t="shared" si="128"/>
        <v/>
      </c>
      <c r="N8054" s="113"/>
    </row>
    <row r="8055" spans="2:14">
      <c r="B8055" s="105"/>
      <c r="C8055" s="106"/>
      <c r="D8055" s="107"/>
      <c r="E8055" s="65"/>
      <c r="F8055" s="64"/>
      <c r="G8055" s="64"/>
      <c r="H8055" s="64"/>
      <c r="I8055" s="70"/>
      <c r="J8055" s="70"/>
      <c r="K8055" s="110" t="str">
        <f>IF(H8055="","",IF($C$29="간이법","",FPR(H8055,I8055,J8055)))</f>
        <v/>
      </c>
      <c r="L8055" s="111" t="str">
        <f>IF(H8055="","",IF($C$29="상세법",FPV(H8055,K8055),IF(H8055="EI",4,IF(H8055="EO",5.2,IF(H8055="EQ",3.9,IF(H8055="ILF",7.5,IF(H8055="EIF",5.4)))))))</f>
        <v/>
      </c>
      <c r="M8055" s="112" t="str">
        <f t="shared" si="128"/>
        <v/>
      </c>
      <c r="N8055" s="113"/>
    </row>
    <row r="8056" spans="2:14">
      <c r="B8056" s="105"/>
      <c r="C8056" s="106"/>
      <c r="D8056" s="107"/>
      <c r="E8056" s="65"/>
      <c r="F8056" s="64"/>
      <c r="G8056" s="64"/>
      <c r="H8056" s="64"/>
      <c r="I8056" s="70"/>
      <c r="J8056" s="70"/>
      <c r="K8056" s="110" t="str">
        <f>IF(H8056="","",IF($C$29="간이법","",FPR(H8056,I8056,J8056)))</f>
        <v/>
      </c>
      <c r="L8056" s="111" t="str">
        <f>IF(H8056="","",IF($C$29="상세법",FPV(H8056,K8056),IF(H8056="EI",4,IF(H8056="EO",5.2,IF(H8056="EQ",3.9,IF(H8056="ILF",7.5,IF(H8056="EIF",5.4)))))))</f>
        <v/>
      </c>
      <c r="M8056" s="112" t="str">
        <f t="shared" si="128"/>
        <v/>
      </c>
      <c r="N8056" s="113"/>
    </row>
    <row r="8057" spans="2:14">
      <c r="B8057" s="105"/>
      <c r="C8057" s="106"/>
      <c r="D8057" s="107"/>
      <c r="E8057" s="65"/>
      <c r="F8057" s="64"/>
      <c r="G8057" s="64"/>
      <c r="H8057" s="64"/>
      <c r="I8057" s="70"/>
      <c r="J8057" s="70"/>
      <c r="K8057" s="110" t="str">
        <f>IF(H8057="","",IF($C$29="간이법","",FPR(H8057,I8057,J8057)))</f>
        <v/>
      </c>
      <c r="L8057" s="111" t="str">
        <f>IF(H8057="","",IF($C$29="상세법",FPV(H8057,K8057),IF(H8057="EI",4,IF(H8057="EO",5.2,IF(H8057="EQ",3.9,IF(H8057="ILF",7.5,IF(H8057="EIF",5.4)))))))</f>
        <v/>
      </c>
      <c r="M8057" s="112" t="str">
        <f t="shared" ref="M8057:M8120" si="129">IF(L8057="","",L8057*IF(G8057="상",0.7,IF(G8057="중",0.5,IF(G8057="하",0.2,1))))</f>
        <v/>
      </c>
      <c r="N8057" s="113"/>
    </row>
    <row r="8058" spans="2:14">
      <c r="B8058" s="105"/>
      <c r="C8058" s="106"/>
      <c r="D8058" s="107"/>
      <c r="E8058" s="65"/>
      <c r="F8058" s="64"/>
      <c r="G8058" s="64"/>
      <c r="H8058" s="64"/>
      <c r="I8058" s="70"/>
      <c r="J8058" s="70"/>
      <c r="K8058" s="110" t="str">
        <f>IF(H8058="","",IF($C$29="간이법","",FPR(H8058,I8058,J8058)))</f>
        <v/>
      </c>
      <c r="L8058" s="111" t="str">
        <f>IF(H8058="","",IF($C$29="상세법",FPV(H8058,K8058),IF(H8058="EI",4,IF(H8058="EO",5.2,IF(H8058="EQ",3.9,IF(H8058="ILF",7.5,IF(H8058="EIF",5.4)))))))</f>
        <v/>
      </c>
      <c r="M8058" s="112" t="str">
        <f t="shared" si="129"/>
        <v/>
      </c>
      <c r="N8058" s="113"/>
    </row>
    <row r="8059" spans="2:14">
      <c r="B8059" s="105"/>
      <c r="C8059" s="106"/>
      <c r="D8059" s="107"/>
      <c r="E8059" s="65"/>
      <c r="F8059" s="64"/>
      <c r="G8059" s="64"/>
      <c r="H8059" s="64"/>
      <c r="I8059" s="70"/>
      <c r="J8059" s="70"/>
      <c r="K8059" s="110" t="str">
        <f>IF(H8059="","",IF($C$29="간이법","",FPR(H8059,I8059,J8059)))</f>
        <v/>
      </c>
      <c r="L8059" s="111" t="str">
        <f>IF(H8059="","",IF($C$29="상세법",FPV(H8059,K8059),IF(H8059="EI",4,IF(H8059="EO",5.2,IF(H8059="EQ",3.9,IF(H8059="ILF",7.5,IF(H8059="EIF",5.4)))))))</f>
        <v/>
      </c>
      <c r="M8059" s="112" t="str">
        <f t="shared" si="129"/>
        <v/>
      </c>
      <c r="N8059" s="113"/>
    </row>
    <row r="8060" spans="2:14">
      <c r="B8060" s="105"/>
      <c r="C8060" s="106"/>
      <c r="D8060" s="107"/>
      <c r="E8060" s="65"/>
      <c r="F8060" s="64"/>
      <c r="G8060" s="64"/>
      <c r="H8060" s="64"/>
      <c r="I8060" s="70"/>
      <c r="J8060" s="70"/>
      <c r="K8060" s="110" t="str">
        <f>IF(H8060="","",IF($C$29="간이법","",FPR(H8060,I8060,J8060)))</f>
        <v/>
      </c>
      <c r="L8060" s="111" t="str">
        <f>IF(H8060="","",IF($C$29="상세법",FPV(H8060,K8060),IF(H8060="EI",4,IF(H8060="EO",5.2,IF(H8060="EQ",3.9,IF(H8060="ILF",7.5,IF(H8060="EIF",5.4)))))))</f>
        <v/>
      </c>
      <c r="M8060" s="112" t="str">
        <f t="shared" si="129"/>
        <v/>
      </c>
      <c r="N8060" s="113"/>
    </row>
    <row r="8061" spans="2:14">
      <c r="B8061" s="105"/>
      <c r="C8061" s="106"/>
      <c r="D8061" s="107"/>
      <c r="E8061" s="65"/>
      <c r="F8061" s="64"/>
      <c r="G8061" s="64"/>
      <c r="H8061" s="64"/>
      <c r="I8061" s="70"/>
      <c r="J8061" s="70"/>
      <c r="K8061" s="110" t="str">
        <f>IF(H8061="","",IF($C$29="간이법","",FPR(H8061,I8061,J8061)))</f>
        <v/>
      </c>
      <c r="L8061" s="111" t="str">
        <f>IF(H8061="","",IF($C$29="상세법",FPV(H8061,K8061),IF(H8061="EI",4,IF(H8061="EO",5.2,IF(H8061="EQ",3.9,IF(H8061="ILF",7.5,IF(H8061="EIF",5.4)))))))</f>
        <v/>
      </c>
      <c r="M8061" s="112" t="str">
        <f t="shared" si="129"/>
        <v/>
      </c>
      <c r="N8061" s="113"/>
    </row>
    <row r="8062" spans="2:14">
      <c r="B8062" s="105"/>
      <c r="C8062" s="106"/>
      <c r="D8062" s="107"/>
      <c r="E8062" s="65"/>
      <c r="F8062" s="64"/>
      <c r="G8062" s="64"/>
      <c r="H8062" s="64"/>
      <c r="I8062" s="70"/>
      <c r="J8062" s="70"/>
      <c r="K8062" s="110" t="str">
        <f>IF(H8062="","",IF($C$29="간이법","",FPR(H8062,I8062,J8062)))</f>
        <v/>
      </c>
      <c r="L8062" s="111" t="str">
        <f>IF(H8062="","",IF($C$29="상세법",FPV(H8062,K8062),IF(H8062="EI",4,IF(H8062="EO",5.2,IF(H8062="EQ",3.9,IF(H8062="ILF",7.5,IF(H8062="EIF",5.4)))))))</f>
        <v/>
      </c>
      <c r="M8062" s="112" t="str">
        <f t="shared" si="129"/>
        <v/>
      </c>
      <c r="N8062" s="113"/>
    </row>
    <row r="8063" spans="2:14">
      <c r="B8063" s="105"/>
      <c r="C8063" s="106"/>
      <c r="D8063" s="107"/>
      <c r="E8063" s="65"/>
      <c r="F8063" s="64"/>
      <c r="G8063" s="64"/>
      <c r="H8063" s="64"/>
      <c r="I8063" s="70"/>
      <c r="J8063" s="70"/>
      <c r="K8063" s="110" t="str">
        <f>IF(H8063="","",IF($C$29="간이법","",FPR(H8063,I8063,J8063)))</f>
        <v/>
      </c>
      <c r="L8063" s="111" t="str">
        <f>IF(H8063="","",IF($C$29="상세법",FPV(H8063,K8063),IF(H8063="EI",4,IF(H8063="EO",5.2,IF(H8063="EQ",3.9,IF(H8063="ILF",7.5,IF(H8063="EIF",5.4)))))))</f>
        <v/>
      </c>
      <c r="M8063" s="112" t="str">
        <f t="shared" si="129"/>
        <v/>
      </c>
      <c r="N8063" s="113"/>
    </row>
    <row r="8064" spans="2:14">
      <c r="B8064" s="105"/>
      <c r="C8064" s="106"/>
      <c r="D8064" s="107"/>
      <c r="E8064" s="65"/>
      <c r="F8064" s="64"/>
      <c r="G8064" s="64"/>
      <c r="H8064" s="64"/>
      <c r="I8064" s="70"/>
      <c r="J8064" s="70"/>
      <c r="K8064" s="110" t="str">
        <f>IF(H8064="","",IF($C$29="간이법","",FPR(H8064,I8064,J8064)))</f>
        <v/>
      </c>
      <c r="L8064" s="111" t="str">
        <f>IF(H8064="","",IF($C$29="상세법",FPV(H8064,K8064),IF(H8064="EI",4,IF(H8064="EO",5.2,IF(H8064="EQ",3.9,IF(H8064="ILF",7.5,IF(H8064="EIF",5.4)))))))</f>
        <v/>
      </c>
      <c r="M8064" s="112" t="str">
        <f t="shared" si="129"/>
        <v/>
      </c>
      <c r="N8064" s="113"/>
    </row>
    <row r="8065" spans="2:14">
      <c r="B8065" s="105"/>
      <c r="C8065" s="106"/>
      <c r="D8065" s="107"/>
      <c r="E8065" s="65"/>
      <c r="F8065" s="64"/>
      <c r="G8065" s="64"/>
      <c r="H8065" s="64"/>
      <c r="I8065" s="70"/>
      <c r="J8065" s="70"/>
      <c r="K8065" s="110" t="str">
        <f>IF(H8065="","",IF($C$29="간이법","",FPR(H8065,I8065,J8065)))</f>
        <v/>
      </c>
      <c r="L8065" s="111" t="str">
        <f>IF(H8065="","",IF($C$29="상세법",FPV(H8065,K8065),IF(H8065="EI",4,IF(H8065="EO",5.2,IF(H8065="EQ",3.9,IF(H8065="ILF",7.5,IF(H8065="EIF",5.4)))))))</f>
        <v/>
      </c>
      <c r="M8065" s="112" t="str">
        <f t="shared" si="129"/>
        <v/>
      </c>
      <c r="N8065" s="113"/>
    </row>
    <row r="8066" spans="2:14">
      <c r="B8066" s="105"/>
      <c r="C8066" s="106"/>
      <c r="D8066" s="107"/>
      <c r="E8066" s="65"/>
      <c r="F8066" s="64"/>
      <c r="G8066" s="64"/>
      <c r="H8066" s="64"/>
      <c r="I8066" s="70"/>
      <c r="J8066" s="70"/>
      <c r="K8066" s="110" t="str">
        <f>IF(H8066="","",IF($C$29="간이법","",FPR(H8066,I8066,J8066)))</f>
        <v/>
      </c>
      <c r="L8066" s="111" t="str">
        <f>IF(H8066="","",IF($C$29="상세법",FPV(H8066,K8066),IF(H8066="EI",4,IF(H8066="EO",5.2,IF(H8066="EQ",3.9,IF(H8066="ILF",7.5,IF(H8066="EIF",5.4)))))))</f>
        <v/>
      </c>
      <c r="M8066" s="112" t="str">
        <f t="shared" si="129"/>
        <v/>
      </c>
      <c r="N8066" s="113"/>
    </row>
    <row r="8067" spans="2:14">
      <c r="B8067" s="105"/>
      <c r="C8067" s="106"/>
      <c r="D8067" s="107"/>
      <c r="E8067" s="65"/>
      <c r="F8067" s="64"/>
      <c r="G8067" s="64"/>
      <c r="H8067" s="64"/>
      <c r="I8067" s="70"/>
      <c r="J8067" s="70"/>
      <c r="K8067" s="110" t="str">
        <f>IF(H8067="","",IF($C$29="간이법","",FPR(H8067,I8067,J8067)))</f>
        <v/>
      </c>
      <c r="L8067" s="111" t="str">
        <f>IF(H8067="","",IF($C$29="상세법",FPV(H8067,K8067),IF(H8067="EI",4,IF(H8067="EO",5.2,IF(H8067="EQ",3.9,IF(H8067="ILF",7.5,IF(H8067="EIF",5.4)))))))</f>
        <v/>
      </c>
      <c r="M8067" s="112" t="str">
        <f t="shared" si="129"/>
        <v/>
      </c>
      <c r="N8067" s="113"/>
    </row>
    <row r="8068" spans="2:14">
      <c r="B8068" s="105"/>
      <c r="C8068" s="106"/>
      <c r="D8068" s="107"/>
      <c r="E8068" s="65"/>
      <c r="F8068" s="64"/>
      <c r="G8068" s="64"/>
      <c r="H8068" s="64"/>
      <c r="I8068" s="70"/>
      <c r="J8068" s="70"/>
      <c r="K8068" s="110" t="str">
        <f>IF(H8068="","",IF($C$29="간이법","",FPR(H8068,I8068,J8068)))</f>
        <v/>
      </c>
      <c r="L8068" s="111" t="str">
        <f>IF(H8068="","",IF($C$29="상세법",FPV(H8068,K8068),IF(H8068="EI",4,IF(H8068="EO",5.2,IF(H8068="EQ",3.9,IF(H8068="ILF",7.5,IF(H8068="EIF",5.4)))))))</f>
        <v/>
      </c>
      <c r="M8068" s="112" t="str">
        <f t="shared" si="129"/>
        <v/>
      </c>
      <c r="N8068" s="113"/>
    </row>
    <row r="8069" spans="2:14">
      <c r="B8069" s="105"/>
      <c r="C8069" s="106"/>
      <c r="D8069" s="107"/>
      <c r="E8069" s="65"/>
      <c r="F8069" s="64"/>
      <c r="G8069" s="64"/>
      <c r="H8069" s="64"/>
      <c r="I8069" s="70"/>
      <c r="J8069" s="70"/>
      <c r="K8069" s="110" t="str">
        <f>IF(H8069="","",IF($C$29="간이법","",FPR(H8069,I8069,J8069)))</f>
        <v/>
      </c>
      <c r="L8069" s="111" t="str">
        <f>IF(H8069="","",IF($C$29="상세법",FPV(H8069,K8069),IF(H8069="EI",4,IF(H8069="EO",5.2,IF(H8069="EQ",3.9,IF(H8069="ILF",7.5,IF(H8069="EIF",5.4)))))))</f>
        <v/>
      </c>
      <c r="M8069" s="112" t="str">
        <f t="shared" si="129"/>
        <v/>
      </c>
      <c r="N8069" s="113"/>
    </row>
    <row r="8070" spans="2:14">
      <c r="B8070" s="105"/>
      <c r="C8070" s="106"/>
      <c r="D8070" s="107"/>
      <c r="E8070" s="65"/>
      <c r="F8070" s="64"/>
      <c r="G8070" s="64"/>
      <c r="H8070" s="64"/>
      <c r="I8070" s="70"/>
      <c r="J8070" s="70"/>
      <c r="K8070" s="110" t="str">
        <f>IF(H8070="","",IF($C$29="간이법","",FPR(H8070,I8070,J8070)))</f>
        <v/>
      </c>
      <c r="L8070" s="111" t="str">
        <f>IF(H8070="","",IF($C$29="상세법",FPV(H8070,K8070),IF(H8070="EI",4,IF(H8070="EO",5.2,IF(H8070="EQ",3.9,IF(H8070="ILF",7.5,IF(H8070="EIF",5.4)))))))</f>
        <v/>
      </c>
      <c r="M8070" s="112" t="str">
        <f t="shared" si="129"/>
        <v/>
      </c>
      <c r="N8070" s="113"/>
    </row>
    <row r="8071" spans="2:14">
      <c r="B8071" s="105"/>
      <c r="C8071" s="106"/>
      <c r="D8071" s="107"/>
      <c r="E8071" s="65"/>
      <c r="F8071" s="64"/>
      <c r="G8071" s="64"/>
      <c r="H8071" s="64"/>
      <c r="I8071" s="70"/>
      <c r="J8071" s="70"/>
      <c r="K8071" s="110" t="str">
        <f>IF(H8071="","",IF($C$29="간이법","",FPR(H8071,I8071,J8071)))</f>
        <v/>
      </c>
      <c r="L8071" s="111" t="str">
        <f>IF(H8071="","",IF($C$29="상세법",FPV(H8071,K8071),IF(H8071="EI",4,IF(H8071="EO",5.2,IF(H8071="EQ",3.9,IF(H8071="ILF",7.5,IF(H8071="EIF",5.4)))))))</f>
        <v/>
      </c>
      <c r="M8071" s="112" t="str">
        <f t="shared" si="129"/>
        <v/>
      </c>
      <c r="N8071" s="113"/>
    </row>
    <row r="8072" spans="2:14">
      <c r="B8072" s="105"/>
      <c r="C8072" s="106"/>
      <c r="D8072" s="107"/>
      <c r="E8072" s="65"/>
      <c r="F8072" s="64"/>
      <c r="G8072" s="64"/>
      <c r="H8072" s="64"/>
      <c r="I8072" s="70"/>
      <c r="J8072" s="70"/>
      <c r="K8072" s="110" t="str">
        <f>IF(H8072="","",IF($C$29="간이법","",FPR(H8072,I8072,J8072)))</f>
        <v/>
      </c>
      <c r="L8072" s="111" t="str">
        <f>IF(H8072="","",IF($C$29="상세법",FPV(H8072,K8072),IF(H8072="EI",4,IF(H8072="EO",5.2,IF(H8072="EQ",3.9,IF(H8072="ILF",7.5,IF(H8072="EIF",5.4)))))))</f>
        <v/>
      </c>
      <c r="M8072" s="112" t="str">
        <f t="shared" si="129"/>
        <v/>
      </c>
      <c r="N8072" s="113"/>
    </row>
    <row r="8073" spans="2:14">
      <c r="B8073" s="105"/>
      <c r="C8073" s="106"/>
      <c r="D8073" s="107"/>
      <c r="E8073" s="65"/>
      <c r="F8073" s="64"/>
      <c r="G8073" s="64"/>
      <c r="H8073" s="64"/>
      <c r="I8073" s="70"/>
      <c r="J8073" s="70"/>
      <c r="K8073" s="110" t="str">
        <f>IF(H8073="","",IF($C$29="간이법","",FPR(H8073,I8073,J8073)))</f>
        <v/>
      </c>
      <c r="L8073" s="111" t="str">
        <f>IF(H8073="","",IF($C$29="상세법",FPV(H8073,K8073),IF(H8073="EI",4,IF(H8073="EO",5.2,IF(H8073="EQ",3.9,IF(H8073="ILF",7.5,IF(H8073="EIF",5.4)))))))</f>
        <v/>
      </c>
      <c r="M8073" s="112" t="str">
        <f t="shared" si="129"/>
        <v/>
      </c>
      <c r="N8073" s="113"/>
    </row>
    <row r="8074" spans="2:14">
      <c r="B8074" s="105"/>
      <c r="C8074" s="106"/>
      <c r="D8074" s="107"/>
      <c r="E8074" s="65"/>
      <c r="F8074" s="64"/>
      <c r="G8074" s="64"/>
      <c r="H8074" s="64"/>
      <c r="I8074" s="70"/>
      <c r="J8074" s="70"/>
      <c r="K8074" s="110" t="str">
        <f>IF(H8074="","",IF($C$29="간이법","",FPR(H8074,I8074,J8074)))</f>
        <v/>
      </c>
      <c r="L8074" s="111" t="str">
        <f>IF(H8074="","",IF($C$29="상세법",FPV(H8074,K8074),IF(H8074="EI",4,IF(H8074="EO",5.2,IF(H8074="EQ",3.9,IF(H8074="ILF",7.5,IF(H8074="EIF",5.4)))))))</f>
        <v/>
      </c>
      <c r="M8074" s="112" t="str">
        <f t="shared" si="129"/>
        <v/>
      </c>
      <c r="N8074" s="113"/>
    </row>
    <row r="8075" spans="2:14">
      <c r="B8075" s="105"/>
      <c r="C8075" s="106"/>
      <c r="D8075" s="107"/>
      <c r="E8075" s="65"/>
      <c r="F8075" s="64"/>
      <c r="G8075" s="64"/>
      <c r="H8075" s="64"/>
      <c r="I8075" s="70"/>
      <c r="J8075" s="70"/>
      <c r="K8075" s="110" t="str">
        <f>IF(H8075="","",IF($C$29="간이법","",FPR(H8075,I8075,J8075)))</f>
        <v/>
      </c>
      <c r="L8075" s="111" t="str">
        <f>IF(H8075="","",IF($C$29="상세법",FPV(H8075,K8075),IF(H8075="EI",4,IF(H8075="EO",5.2,IF(H8075="EQ",3.9,IF(H8075="ILF",7.5,IF(H8075="EIF",5.4)))))))</f>
        <v/>
      </c>
      <c r="M8075" s="112" t="str">
        <f t="shared" si="129"/>
        <v/>
      </c>
      <c r="N8075" s="113"/>
    </row>
    <row r="8076" spans="2:14">
      <c r="B8076" s="105"/>
      <c r="C8076" s="106"/>
      <c r="D8076" s="107"/>
      <c r="E8076" s="65"/>
      <c r="F8076" s="64"/>
      <c r="G8076" s="64"/>
      <c r="H8076" s="64"/>
      <c r="I8076" s="70"/>
      <c r="J8076" s="70"/>
      <c r="K8076" s="110" t="str">
        <f>IF(H8076="","",IF($C$29="간이법","",FPR(H8076,I8076,J8076)))</f>
        <v/>
      </c>
      <c r="L8076" s="111" t="str">
        <f>IF(H8076="","",IF($C$29="상세법",FPV(H8076,K8076),IF(H8076="EI",4,IF(H8076="EO",5.2,IF(H8076="EQ",3.9,IF(H8076="ILF",7.5,IF(H8076="EIF",5.4)))))))</f>
        <v/>
      </c>
      <c r="M8076" s="112" t="str">
        <f t="shared" si="129"/>
        <v/>
      </c>
      <c r="N8076" s="113"/>
    </row>
    <row r="8077" spans="2:14">
      <c r="B8077" s="105"/>
      <c r="C8077" s="106"/>
      <c r="D8077" s="107"/>
      <c r="E8077" s="65"/>
      <c r="F8077" s="64"/>
      <c r="G8077" s="64"/>
      <c r="H8077" s="64"/>
      <c r="I8077" s="70"/>
      <c r="J8077" s="70"/>
      <c r="K8077" s="110" t="str">
        <f>IF(H8077="","",IF($C$29="간이법","",FPR(H8077,I8077,J8077)))</f>
        <v/>
      </c>
      <c r="L8077" s="111" t="str">
        <f>IF(H8077="","",IF($C$29="상세법",FPV(H8077,K8077),IF(H8077="EI",4,IF(H8077="EO",5.2,IF(H8077="EQ",3.9,IF(H8077="ILF",7.5,IF(H8077="EIF",5.4)))))))</f>
        <v/>
      </c>
      <c r="M8077" s="112" t="str">
        <f t="shared" si="129"/>
        <v/>
      </c>
      <c r="N8077" s="113"/>
    </row>
    <row r="8078" spans="2:14">
      <c r="B8078" s="105"/>
      <c r="C8078" s="106"/>
      <c r="D8078" s="107"/>
      <c r="E8078" s="65"/>
      <c r="F8078" s="64"/>
      <c r="G8078" s="64"/>
      <c r="H8078" s="64"/>
      <c r="I8078" s="70"/>
      <c r="J8078" s="70"/>
      <c r="K8078" s="110" t="str">
        <f>IF(H8078="","",IF($C$29="간이법","",FPR(H8078,I8078,J8078)))</f>
        <v/>
      </c>
      <c r="L8078" s="111" t="str">
        <f>IF(H8078="","",IF($C$29="상세법",FPV(H8078,K8078),IF(H8078="EI",4,IF(H8078="EO",5.2,IF(H8078="EQ",3.9,IF(H8078="ILF",7.5,IF(H8078="EIF",5.4)))))))</f>
        <v/>
      </c>
      <c r="M8078" s="112" t="str">
        <f t="shared" si="129"/>
        <v/>
      </c>
      <c r="N8078" s="113"/>
    </row>
    <row r="8079" spans="2:14">
      <c r="B8079" s="105"/>
      <c r="C8079" s="106"/>
      <c r="D8079" s="107"/>
      <c r="E8079" s="65"/>
      <c r="F8079" s="64"/>
      <c r="G8079" s="64"/>
      <c r="H8079" s="64"/>
      <c r="I8079" s="70"/>
      <c r="J8079" s="70"/>
      <c r="K8079" s="110" t="str">
        <f>IF(H8079="","",IF($C$29="간이법","",FPR(H8079,I8079,J8079)))</f>
        <v/>
      </c>
      <c r="L8079" s="111" t="str">
        <f>IF(H8079="","",IF($C$29="상세법",FPV(H8079,K8079),IF(H8079="EI",4,IF(H8079="EO",5.2,IF(H8079="EQ",3.9,IF(H8079="ILF",7.5,IF(H8079="EIF",5.4)))))))</f>
        <v/>
      </c>
      <c r="M8079" s="112" t="str">
        <f t="shared" si="129"/>
        <v/>
      </c>
      <c r="N8079" s="113"/>
    </row>
    <row r="8080" spans="2:14">
      <c r="B8080" s="105"/>
      <c r="C8080" s="106"/>
      <c r="D8080" s="107"/>
      <c r="E8080" s="65"/>
      <c r="F8080" s="64"/>
      <c r="G8080" s="64"/>
      <c r="H8080" s="64"/>
      <c r="I8080" s="70"/>
      <c r="J8080" s="70"/>
      <c r="K8080" s="110" t="str">
        <f>IF(H8080="","",IF($C$29="간이법","",FPR(H8080,I8080,J8080)))</f>
        <v/>
      </c>
      <c r="L8080" s="111" t="str">
        <f>IF(H8080="","",IF($C$29="상세법",FPV(H8080,K8080),IF(H8080="EI",4,IF(H8080="EO",5.2,IF(H8080="EQ",3.9,IF(H8080="ILF",7.5,IF(H8080="EIF",5.4)))))))</f>
        <v/>
      </c>
      <c r="M8080" s="112" t="str">
        <f t="shared" si="129"/>
        <v/>
      </c>
      <c r="N8080" s="113"/>
    </row>
    <row r="8081" spans="2:14">
      <c r="B8081" s="105"/>
      <c r="C8081" s="106"/>
      <c r="D8081" s="107"/>
      <c r="E8081" s="65"/>
      <c r="F8081" s="64"/>
      <c r="G8081" s="64"/>
      <c r="H8081" s="64"/>
      <c r="I8081" s="70"/>
      <c r="J8081" s="70"/>
      <c r="K8081" s="110" t="str">
        <f>IF(H8081="","",IF($C$29="간이법","",FPR(H8081,I8081,J8081)))</f>
        <v/>
      </c>
      <c r="L8081" s="111" t="str">
        <f>IF(H8081="","",IF($C$29="상세법",FPV(H8081,K8081),IF(H8081="EI",4,IF(H8081="EO",5.2,IF(H8081="EQ",3.9,IF(H8081="ILF",7.5,IF(H8081="EIF",5.4)))))))</f>
        <v/>
      </c>
      <c r="M8081" s="112" t="str">
        <f t="shared" si="129"/>
        <v/>
      </c>
      <c r="N8081" s="113"/>
    </row>
    <row r="8082" spans="2:14">
      <c r="B8082" s="105"/>
      <c r="C8082" s="106"/>
      <c r="D8082" s="107"/>
      <c r="E8082" s="65"/>
      <c r="F8082" s="64"/>
      <c r="G8082" s="64"/>
      <c r="H8082" s="64"/>
      <c r="I8082" s="70"/>
      <c r="J8082" s="70"/>
      <c r="K8082" s="110" t="str">
        <f>IF(H8082="","",IF($C$29="간이법","",FPR(H8082,I8082,J8082)))</f>
        <v/>
      </c>
      <c r="L8082" s="111" t="str">
        <f>IF(H8082="","",IF($C$29="상세법",FPV(H8082,K8082),IF(H8082="EI",4,IF(H8082="EO",5.2,IF(H8082="EQ",3.9,IF(H8082="ILF",7.5,IF(H8082="EIF",5.4)))))))</f>
        <v/>
      </c>
      <c r="M8082" s="112" t="str">
        <f t="shared" si="129"/>
        <v/>
      </c>
      <c r="N8082" s="113"/>
    </row>
    <row r="8083" spans="2:14">
      <c r="B8083" s="105"/>
      <c r="C8083" s="106"/>
      <c r="D8083" s="107"/>
      <c r="E8083" s="65"/>
      <c r="F8083" s="64"/>
      <c r="G8083" s="64"/>
      <c r="H8083" s="64"/>
      <c r="I8083" s="70"/>
      <c r="J8083" s="70"/>
      <c r="K8083" s="110" t="str">
        <f>IF(H8083="","",IF($C$29="간이법","",FPR(H8083,I8083,J8083)))</f>
        <v/>
      </c>
      <c r="L8083" s="111" t="str">
        <f>IF(H8083="","",IF($C$29="상세법",FPV(H8083,K8083),IF(H8083="EI",4,IF(H8083="EO",5.2,IF(H8083="EQ",3.9,IF(H8083="ILF",7.5,IF(H8083="EIF",5.4)))))))</f>
        <v/>
      </c>
      <c r="M8083" s="112" t="str">
        <f t="shared" si="129"/>
        <v/>
      </c>
      <c r="N8083" s="113"/>
    </row>
    <row r="8084" spans="2:14">
      <c r="B8084" s="105"/>
      <c r="C8084" s="106"/>
      <c r="D8084" s="107"/>
      <c r="E8084" s="65"/>
      <c r="F8084" s="64"/>
      <c r="G8084" s="64"/>
      <c r="H8084" s="64"/>
      <c r="I8084" s="70"/>
      <c r="J8084" s="70"/>
      <c r="K8084" s="110" t="str">
        <f>IF(H8084="","",IF($C$29="간이법","",FPR(H8084,I8084,J8084)))</f>
        <v/>
      </c>
      <c r="L8084" s="111" t="str">
        <f>IF(H8084="","",IF($C$29="상세법",FPV(H8084,K8084),IF(H8084="EI",4,IF(H8084="EO",5.2,IF(H8084="EQ",3.9,IF(H8084="ILF",7.5,IF(H8084="EIF",5.4)))))))</f>
        <v/>
      </c>
      <c r="M8084" s="112" t="str">
        <f t="shared" si="129"/>
        <v/>
      </c>
      <c r="N8084" s="113"/>
    </row>
    <row r="8085" spans="2:14">
      <c r="B8085" s="105"/>
      <c r="C8085" s="106"/>
      <c r="D8085" s="107"/>
      <c r="E8085" s="65"/>
      <c r="F8085" s="64"/>
      <c r="G8085" s="64"/>
      <c r="H8085" s="64"/>
      <c r="I8085" s="70"/>
      <c r="J8085" s="70"/>
      <c r="K8085" s="110" t="str">
        <f>IF(H8085="","",IF($C$29="간이법","",FPR(H8085,I8085,J8085)))</f>
        <v/>
      </c>
      <c r="L8085" s="111" t="str">
        <f>IF(H8085="","",IF($C$29="상세법",FPV(H8085,K8085),IF(H8085="EI",4,IF(H8085="EO",5.2,IF(H8085="EQ",3.9,IF(H8085="ILF",7.5,IF(H8085="EIF",5.4)))))))</f>
        <v/>
      </c>
      <c r="M8085" s="112" t="str">
        <f t="shared" si="129"/>
        <v/>
      </c>
      <c r="N8085" s="113"/>
    </row>
    <row r="8086" spans="2:14">
      <c r="B8086" s="105"/>
      <c r="C8086" s="106"/>
      <c r="D8086" s="107"/>
      <c r="E8086" s="65"/>
      <c r="F8086" s="64"/>
      <c r="G8086" s="64"/>
      <c r="H8086" s="64"/>
      <c r="I8086" s="70"/>
      <c r="J8086" s="70"/>
      <c r="K8086" s="110" t="str">
        <f>IF(H8086="","",IF($C$29="간이법","",FPR(H8086,I8086,J8086)))</f>
        <v/>
      </c>
      <c r="L8086" s="111" t="str">
        <f>IF(H8086="","",IF($C$29="상세법",FPV(H8086,K8086),IF(H8086="EI",4,IF(H8086="EO",5.2,IF(H8086="EQ",3.9,IF(H8086="ILF",7.5,IF(H8086="EIF",5.4)))))))</f>
        <v/>
      </c>
      <c r="M8086" s="112" t="str">
        <f t="shared" si="129"/>
        <v/>
      </c>
      <c r="N8086" s="113"/>
    </row>
    <row r="8087" spans="2:14">
      <c r="B8087" s="105"/>
      <c r="C8087" s="106"/>
      <c r="D8087" s="107"/>
      <c r="E8087" s="65"/>
      <c r="F8087" s="64"/>
      <c r="G8087" s="64"/>
      <c r="H8087" s="64"/>
      <c r="I8087" s="70"/>
      <c r="J8087" s="70"/>
      <c r="K8087" s="110" t="str">
        <f>IF(H8087="","",IF($C$29="간이법","",FPR(H8087,I8087,J8087)))</f>
        <v/>
      </c>
      <c r="L8087" s="111" t="str">
        <f>IF(H8087="","",IF($C$29="상세법",FPV(H8087,K8087),IF(H8087="EI",4,IF(H8087="EO",5.2,IF(H8087="EQ",3.9,IF(H8087="ILF",7.5,IF(H8087="EIF",5.4)))))))</f>
        <v/>
      </c>
      <c r="M8087" s="112" t="str">
        <f t="shared" si="129"/>
        <v/>
      </c>
      <c r="N8087" s="113"/>
    </row>
    <row r="8088" spans="2:14">
      <c r="B8088" s="105"/>
      <c r="C8088" s="106"/>
      <c r="D8088" s="107"/>
      <c r="E8088" s="65"/>
      <c r="F8088" s="64"/>
      <c r="G8088" s="64"/>
      <c r="H8088" s="64"/>
      <c r="I8088" s="70"/>
      <c r="J8088" s="70"/>
      <c r="K8088" s="110" t="str">
        <f>IF(H8088="","",IF($C$29="간이법","",FPR(H8088,I8088,J8088)))</f>
        <v/>
      </c>
      <c r="L8088" s="111" t="str">
        <f>IF(H8088="","",IF($C$29="상세법",FPV(H8088,K8088),IF(H8088="EI",4,IF(H8088="EO",5.2,IF(H8088="EQ",3.9,IF(H8088="ILF",7.5,IF(H8088="EIF",5.4)))))))</f>
        <v/>
      </c>
      <c r="M8088" s="112" t="str">
        <f t="shared" si="129"/>
        <v/>
      </c>
      <c r="N8088" s="113"/>
    </row>
    <row r="8089" spans="2:14">
      <c r="B8089" s="105"/>
      <c r="C8089" s="106"/>
      <c r="D8089" s="107"/>
      <c r="E8089" s="65"/>
      <c r="F8089" s="64"/>
      <c r="G8089" s="64"/>
      <c r="H8089" s="64"/>
      <c r="I8089" s="70"/>
      <c r="J8089" s="70"/>
      <c r="K8089" s="110" t="str">
        <f>IF(H8089="","",IF($C$29="간이법","",FPR(H8089,I8089,J8089)))</f>
        <v/>
      </c>
      <c r="L8089" s="111" t="str">
        <f>IF(H8089="","",IF($C$29="상세법",FPV(H8089,K8089),IF(H8089="EI",4,IF(H8089="EO",5.2,IF(H8089="EQ",3.9,IF(H8089="ILF",7.5,IF(H8089="EIF",5.4)))))))</f>
        <v/>
      </c>
      <c r="M8089" s="112" t="str">
        <f t="shared" si="129"/>
        <v/>
      </c>
      <c r="N8089" s="113"/>
    </row>
    <row r="8090" spans="2:14">
      <c r="B8090" s="105"/>
      <c r="C8090" s="106"/>
      <c r="D8090" s="107"/>
      <c r="E8090" s="65"/>
      <c r="F8090" s="64"/>
      <c r="G8090" s="64"/>
      <c r="H8090" s="64"/>
      <c r="I8090" s="70"/>
      <c r="J8090" s="70"/>
      <c r="K8090" s="110" t="str">
        <f>IF(H8090="","",IF($C$29="간이법","",FPR(H8090,I8090,J8090)))</f>
        <v/>
      </c>
      <c r="L8090" s="111" t="str">
        <f>IF(H8090="","",IF($C$29="상세법",FPV(H8090,K8090),IF(H8090="EI",4,IF(H8090="EO",5.2,IF(H8090="EQ",3.9,IF(H8090="ILF",7.5,IF(H8090="EIF",5.4)))))))</f>
        <v/>
      </c>
      <c r="M8090" s="112" t="str">
        <f t="shared" si="129"/>
        <v/>
      </c>
      <c r="N8090" s="113"/>
    </row>
    <row r="8091" spans="2:14">
      <c r="B8091" s="105"/>
      <c r="C8091" s="106"/>
      <c r="D8091" s="107"/>
      <c r="E8091" s="65"/>
      <c r="F8091" s="64"/>
      <c r="G8091" s="64"/>
      <c r="H8091" s="64"/>
      <c r="I8091" s="70"/>
      <c r="J8091" s="70"/>
      <c r="K8091" s="110" t="str">
        <f>IF(H8091="","",IF($C$29="간이법","",FPR(H8091,I8091,J8091)))</f>
        <v/>
      </c>
      <c r="L8091" s="111" t="str">
        <f>IF(H8091="","",IF($C$29="상세법",FPV(H8091,K8091),IF(H8091="EI",4,IF(H8091="EO",5.2,IF(H8091="EQ",3.9,IF(H8091="ILF",7.5,IF(H8091="EIF",5.4)))))))</f>
        <v/>
      </c>
      <c r="M8091" s="112" t="str">
        <f t="shared" si="129"/>
        <v/>
      </c>
      <c r="N8091" s="113"/>
    </row>
    <row r="8092" spans="2:14">
      <c r="B8092" s="105"/>
      <c r="C8092" s="106"/>
      <c r="D8092" s="107"/>
      <c r="E8092" s="65"/>
      <c r="F8092" s="64"/>
      <c r="G8092" s="64"/>
      <c r="H8092" s="64"/>
      <c r="I8092" s="70"/>
      <c r="J8092" s="70"/>
      <c r="K8092" s="110" t="str">
        <f>IF(H8092="","",IF($C$29="간이법","",FPR(H8092,I8092,J8092)))</f>
        <v/>
      </c>
      <c r="L8092" s="111" t="str">
        <f>IF(H8092="","",IF($C$29="상세법",FPV(H8092,K8092),IF(H8092="EI",4,IF(H8092="EO",5.2,IF(H8092="EQ",3.9,IF(H8092="ILF",7.5,IF(H8092="EIF",5.4)))))))</f>
        <v/>
      </c>
      <c r="M8092" s="112" t="str">
        <f t="shared" si="129"/>
        <v/>
      </c>
      <c r="N8092" s="113"/>
    </row>
    <row r="8093" spans="2:14">
      <c r="B8093" s="105"/>
      <c r="C8093" s="106"/>
      <c r="D8093" s="107"/>
      <c r="E8093" s="65"/>
      <c r="F8093" s="64"/>
      <c r="G8093" s="64"/>
      <c r="H8093" s="64"/>
      <c r="I8093" s="70"/>
      <c r="J8093" s="70"/>
      <c r="K8093" s="110" t="str">
        <f>IF(H8093="","",IF($C$29="간이법","",FPR(H8093,I8093,J8093)))</f>
        <v/>
      </c>
      <c r="L8093" s="111" t="str">
        <f>IF(H8093="","",IF($C$29="상세법",FPV(H8093,K8093),IF(H8093="EI",4,IF(H8093="EO",5.2,IF(H8093="EQ",3.9,IF(H8093="ILF",7.5,IF(H8093="EIF",5.4)))))))</f>
        <v/>
      </c>
      <c r="M8093" s="112" t="str">
        <f t="shared" si="129"/>
        <v/>
      </c>
      <c r="N8093" s="113"/>
    </row>
    <row r="8094" spans="2:14">
      <c r="B8094" s="105"/>
      <c r="C8094" s="106"/>
      <c r="D8094" s="107"/>
      <c r="E8094" s="65"/>
      <c r="F8094" s="64"/>
      <c r="G8094" s="64"/>
      <c r="H8094" s="64"/>
      <c r="I8094" s="70"/>
      <c r="J8094" s="70"/>
      <c r="K8094" s="110" t="str">
        <f>IF(H8094="","",IF($C$29="간이법","",FPR(H8094,I8094,J8094)))</f>
        <v/>
      </c>
      <c r="L8094" s="111" t="str">
        <f>IF(H8094="","",IF($C$29="상세법",FPV(H8094,K8094),IF(H8094="EI",4,IF(H8094="EO",5.2,IF(H8094="EQ",3.9,IF(H8094="ILF",7.5,IF(H8094="EIF",5.4)))))))</f>
        <v/>
      </c>
      <c r="M8094" s="112" t="str">
        <f t="shared" si="129"/>
        <v/>
      </c>
      <c r="N8094" s="113"/>
    </row>
    <row r="8095" spans="2:14">
      <c r="B8095" s="105"/>
      <c r="C8095" s="106"/>
      <c r="D8095" s="107"/>
      <c r="E8095" s="65"/>
      <c r="F8095" s="64"/>
      <c r="G8095" s="64"/>
      <c r="H8095" s="64"/>
      <c r="I8095" s="70"/>
      <c r="J8095" s="70"/>
      <c r="K8095" s="110" t="str">
        <f>IF(H8095="","",IF($C$29="간이법","",FPR(H8095,I8095,J8095)))</f>
        <v/>
      </c>
      <c r="L8095" s="111" t="str">
        <f>IF(H8095="","",IF($C$29="상세법",FPV(H8095,K8095),IF(H8095="EI",4,IF(H8095="EO",5.2,IF(H8095="EQ",3.9,IF(H8095="ILF",7.5,IF(H8095="EIF",5.4)))))))</f>
        <v/>
      </c>
      <c r="M8095" s="112" t="str">
        <f t="shared" si="129"/>
        <v/>
      </c>
      <c r="N8095" s="113"/>
    </row>
    <row r="8096" spans="2:14">
      <c r="B8096" s="105"/>
      <c r="C8096" s="106"/>
      <c r="D8096" s="107"/>
      <c r="E8096" s="65"/>
      <c r="F8096" s="64"/>
      <c r="G8096" s="64"/>
      <c r="H8096" s="64"/>
      <c r="I8096" s="70"/>
      <c r="J8096" s="70"/>
      <c r="K8096" s="110" t="str">
        <f>IF(H8096="","",IF($C$29="간이법","",FPR(H8096,I8096,J8096)))</f>
        <v/>
      </c>
      <c r="L8096" s="111" t="str">
        <f>IF(H8096="","",IF($C$29="상세법",FPV(H8096,K8096),IF(H8096="EI",4,IF(H8096="EO",5.2,IF(H8096="EQ",3.9,IF(H8096="ILF",7.5,IF(H8096="EIF",5.4)))))))</f>
        <v/>
      </c>
      <c r="M8096" s="112" t="str">
        <f t="shared" si="129"/>
        <v/>
      </c>
      <c r="N8096" s="113"/>
    </row>
    <row r="8097" spans="2:14">
      <c r="B8097" s="105"/>
      <c r="C8097" s="106"/>
      <c r="D8097" s="107"/>
      <c r="E8097" s="65"/>
      <c r="F8097" s="64"/>
      <c r="G8097" s="64"/>
      <c r="H8097" s="64"/>
      <c r="I8097" s="70"/>
      <c r="J8097" s="70"/>
      <c r="K8097" s="110" t="str">
        <f>IF(H8097="","",IF($C$29="간이법","",FPR(H8097,I8097,J8097)))</f>
        <v/>
      </c>
      <c r="L8097" s="111" t="str">
        <f>IF(H8097="","",IF($C$29="상세법",FPV(H8097,K8097),IF(H8097="EI",4,IF(H8097="EO",5.2,IF(H8097="EQ",3.9,IF(H8097="ILF",7.5,IF(H8097="EIF",5.4)))))))</f>
        <v/>
      </c>
      <c r="M8097" s="112" t="str">
        <f t="shared" si="129"/>
        <v/>
      </c>
      <c r="N8097" s="113"/>
    </row>
    <row r="8098" spans="2:14">
      <c r="B8098" s="105"/>
      <c r="C8098" s="106"/>
      <c r="D8098" s="107"/>
      <c r="E8098" s="65"/>
      <c r="F8098" s="64"/>
      <c r="G8098" s="64"/>
      <c r="H8098" s="64"/>
      <c r="I8098" s="70"/>
      <c r="J8098" s="70"/>
      <c r="K8098" s="110" t="str">
        <f>IF(H8098="","",IF($C$29="간이법","",FPR(H8098,I8098,J8098)))</f>
        <v/>
      </c>
      <c r="L8098" s="111" t="str">
        <f>IF(H8098="","",IF($C$29="상세법",FPV(H8098,K8098),IF(H8098="EI",4,IF(H8098="EO",5.2,IF(H8098="EQ",3.9,IF(H8098="ILF",7.5,IF(H8098="EIF",5.4)))))))</f>
        <v/>
      </c>
      <c r="M8098" s="112" t="str">
        <f t="shared" si="129"/>
        <v/>
      </c>
      <c r="N8098" s="113"/>
    </row>
    <row r="8099" spans="2:14">
      <c r="B8099" s="105"/>
      <c r="C8099" s="106"/>
      <c r="D8099" s="107"/>
      <c r="E8099" s="65"/>
      <c r="F8099" s="64"/>
      <c r="G8099" s="64"/>
      <c r="H8099" s="64"/>
      <c r="I8099" s="70"/>
      <c r="J8099" s="70"/>
      <c r="K8099" s="110" t="str">
        <f>IF(H8099="","",IF($C$29="간이법","",FPR(H8099,I8099,J8099)))</f>
        <v/>
      </c>
      <c r="L8099" s="111" t="str">
        <f>IF(H8099="","",IF($C$29="상세법",FPV(H8099,K8099),IF(H8099="EI",4,IF(H8099="EO",5.2,IF(H8099="EQ",3.9,IF(H8099="ILF",7.5,IF(H8099="EIF",5.4)))))))</f>
        <v/>
      </c>
      <c r="M8099" s="112" t="str">
        <f t="shared" si="129"/>
        <v/>
      </c>
      <c r="N8099" s="113"/>
    </row>
    <row r="8100" spans="2:14">
      <c r="B8100" s="105"/>
      <c r="C8100" s="106"/>
      <c r="D8100" s="107"/>
      <c r="E8100" s="65"/>
      <c r="F8100" s="64"/>
      <c r="G8100" s="64"/>
      <c r="H8100" s="64"/>
      <c r="I8100" s="70"/>
      <c r="J8100" s="70"/>
      <c r="K8100" s="110" t="str">
        <f>IF(H8100="","",IF($C$29="간이법","",FPR(H8100,I8100,J8100)))</f>
        <v/>
      </c>
      <c r="L8100" s="111" t="str">
        <f>IF(H8100="","",IF($C$29="상세법",FPV(H8100,K8100),IF(H8100="EI",4,IF(H8100="EO",5.2,IF(H8100="EQ",3.9,IF(H8100="ILF",7.5,IF(H8100="EIF",5.4)))))))</f>
        <v/>
      </c>
      <c r="M8100" s="112" t="str">
        <f t="shared" si="129"/>
        <v/>
      </c>
      <c r="N8100" s="113"/>
    </row>
    <row r="8101" spans="2:14">
      <c r="B8101" s="105"/>
      <c r="C8101" s="106"/>
      <c r="D8101" s="107"/>
      <c r="E8101" s="65"/>
      <c r="F8101" s="64"/>
      <c r="G8101" s="64"/>
      <c r="H8101" s="64"/>
      <c r="I8101" s="70"/>
      <c r="J8101" s="70"/>
      <c r="K8101" s="110" t="str">
        <f>IF(H8101="","",IF($C$29="간이법","",FPR(H8101,I8101,J8101)))</f>
        <v/>
      </c>
      <c r="L8101" s="111" t="str">
        <f>IF(H8101="","",IF($C$29="상세법",FPV(H8101,K8101),IF(H8101="EI",4,IF(H8101="EO",5.2,IF(H8101="EQ",3.9,IF(H8101="ILF",7.5,IF(H8101="EIF",5.4)))))))</f>
        <v/>
      </c>
      <c r="M8101" s="112" t="str">
        <f t="shared" si="129"/>
        <v/>
      </c>
      <c r="N8101" s="113"/>
    </row>
    <row r="8102" spans="2:14">
      <c r="B8102" s="105"/>
      <c r="C8102" s="106"/>
      <c r="D8102" s="107"/>
      <c r="E8102" s="65"/>
      <c r="F8102" s="64"/>
      <c r="G8102" s="64"/>
      <c r="H8102" s="64"/>
      <c r="I8102" s="70"/>
      <c r="J8102" s="70"/>
      <c r="K8102" s="110" t="str">
        <f>IF(H8102="","",IF($C$29="간이법","",FPR(H8102,I8102,J8102)))</f>
        <v/>
      </c>
      <c r="L8102" s="111" t="str">
        <f>IF(H8102="","",IF($C$29="상세법",FPV(H8102,K8102),IF(H8102="EI",4,IF(H8102="EO",5.2,IF(H8102="EQ",3.9,IF(H8102="ILF",7.5,IF(H8102="EIF",5.4)))))))</f>
        <v/>
      </c>
      <c r="M8102" s="112" t="str">
        <f t="shared" si="129"/>
        <v/>
      </c>
      <c r="N8102" s="113"/>
    </row>
    <row r="8103" spans="2:14">
      <c r="B8103" s="105"/>
      <c r="C8103" s="106"/>
      <c r="D8103" s="107"/>
      <c r="E8103" s="65"/>
      <c r="F8103" s="64"/>
      <c r="G8103" s="64"/>
      <c r="H8103" s="64"/>
      <c r="I8103" s="70"/>
      <c r="J8103" s="70"/>
      <c r="K8103" s="110" t="str">
        <f>IF(H8103="","",IF($C$29="간이법","",FPR(H8103,I8103,J8103)))</f>
        <v/>
      </c>
      <c r="L8103" s="111" t="str">
        <f>IF(H8103="","",IF($C$29="상세법",FPV(H8103,K8103),IF(H8103="EI",4,IF(H8103="EO",5.2,IF(H8103="EQ",3.9,IF(H8103="ILF",7.5,IF(H8103="EIF",5.4)))))))</f>
        <v/>
      </c>
      <c r="M8103" s="112" t="str">
        <f t="shared" si="129"/>
        <v/>
      </c>
      <c r="N8103" s="113"/>
    </row>
    <row r="8104" spans="2:14">
      <c r="B8104" s="105"/>
      <c r="C8104" s="106"/>
      <c r="D8104" s="107"/>
      <c r="E8104" s="65"/>
      <c r="F8104" s="64"/>
      <c r="G8104" s="64"/>
      <c r="H8104" s="64"/>
      <c r="I8104" s="70"/>
      <c r="J8104" s="70"/>
      <c r="K8104" s="110" t="str">
        <f>IF(H8104="","",IF($C$29="간이법","",FPR(H8104,I8104,J8104)))</f>
        <v/>
      </c>
      <c r="L8104" s="111" t="str">
        <f>IF(H8104="","",IF($C$29="상세법",FPV(H8104,K8104),IF(H8104="EI",4,IF(H8104="EO",5.2,IF(H8104="EQ",3.9,IF(H8104="ILF",7.5,IF(H8104="EIF",5.4)))))))</f>
        <v/>
      </c>
      <c r="M8104" s="112" t="str">
        <f t="shared" si="129"/>
        <v/>
      </c>
      <c r="N8104" s="113"/>
    </row>
    <row r="8105" spans="2:14">
      <c r="B8105" s="105"/>
      <c r="C8105" s="106"/>
      <c r="D8105" s="107"/>
      <c r="E8105" s="65"/>
      <c r="F8105" s="64"/>
      <c r="G8105" s="64"/>
      <c r="H8105" s="64"/>
      <c r="I8105" s="70"/>
      <c r="J8105" s="70"/>
      <c r="K8105" s="110" t="str">
        <f>IF(H8105="","",IF($C$29="간이법","",FPR(H8105,I8105,J8105)))</f>
        <v/>
      </c>
      <c r="L8105" s="111" t="str">
        <f>IF(H8105="","",IF($C$29="상세법",FPV(H8105,K8105),IF(H8105="EI",4,IF(H8105="EO",5.2,IF(H8105="EQ",3.9,IF(H8105="ILF",7.5,IF(H8105="EIF",5.4)))))))</f>
        <v/>
      </c>
      <c r="M8105" s="112" t="str">
        <f t="shared" si="129"/>
        <v/>
      </c>
      <c r="N8105" s="113"/>
    </row>
    <row r="8106" spans="2:14">
      <c r="B8106" s="105"/>
      <c r="C8106" s="106"/>
      <c r="D8106" s="107"/>
      <c r="E8106" s="65"/>
      <c r="F8106" s="64"/>
      <c r="G8106" s="64"/>
      <c r="H8106" s="64"/>
      <c r="I8106" s="70"/>
      <c r="J8106" s="70"/>
      <c r="K8106" s="110" t="str">
        <f>IF(H8106="","",IF($C$29="간이법","",FPR(H8106,I8106,J8106)))</f>
        <v/>
      </c>
      <c r="L8106" s="111" t="str">
        <f>IF(H8106="","",IF($C$29="상세법",FPV(H8106,K8106),IF(H8106="EI",4,IF(H8106="EO",5.2,IF(H8106="EQ",3.9,IF(H8106="ILF",7.5,IF(H8106="EIF",5.4)))))))</f>
        <v/>
      </c>
      <c r="M8106" s="112" t="str">
        <f t="shared" si="129"/>
        <v/>
      </c>
      <c r="N8106" s="113"/>
    </row>
    <row r="8107" spans="2:14">
      <c r="B8107" s="105"/>
      <c r="C8107" s="106"/>
      <c r="D8107" s="107"/>
      <c r="E8107" s="65"/>
      <c r="F8107" s="64"/>
      <c r="G8107" s="64"/>
      <c r="H8107" s="64"/>
      <c r="I8107" s="70"/>
      <c r="J8107" s="70"/>
      <c r="K8107" s="110" t="str">
        <f>IF(H8107="","",IF($C$29="간이법","",FPR(H8107,I8107,J8107)))</f>
        <v/>
      </c>
      <c r="L8107" s="111" t="str">
        <f>IF(H8107="","",IF($C$29="상세법",FPV(H8107,K8107),IF(H8107="EI",4,IF(H8107="EO",5.2,IF(H8107="EQ",3.9,IF(H8107="ILF",7.5,IF(H8107="EIF",5.4)))))))</f>
        <v/>
      </c>
      <c r="M8107" s="112" t="str">
        <f t="shared" si="129"/>
        <v/>
      </c>
      <c r="N8107" s="113"/>
    </row>
    <row r="8108" spans="2:14">
      <c r="B8108" s="105"/>
      <c r="C8108" s="106"/>
      <c r="D8108" s="107"/>
      <c r="E8108" s="65"/>
      <c r="F8108" s="64"/>
      <c r="G8108" s="64"/>
      <c r="H8108" s="64"/>
      <c r="I8108" s="70"/>
      <c r="J8108" s="70"/>
      <c r="K8108" s="110" t="str">
        <f>IF(H8108="","",IF($C$29="간이법","",FPR(H8108,I8108,J8108)))</f>
        <v/>
      </c>
      <c r="L8108" s="111" t="str">
        <f>IF(H8108="","",IF($C$29="상세법",FPV(H8108,K8108),IF(H8108="EI",4,IF(H8108="EO",5.2,IF(H8108="EQ",3.9,IF(H8108="ILF",7.5,IF(H8108="EIF",5.4)))))))</f>
        <v/>
      </c>
      <c r="M8108" s="112" t="str">
        <f t="shared" si="129"/>
        <v/>
      </c>
      <c r="N8108" s="113"/>
    </row>
    <row r="8109" spans="2:14">
      <c r="B8109" s="105"/>
      <c r="C8109" s="106"/>
      <c r="D8109" s="107"/>
      <c r="E8109" s="65"/>
      <c r="F8109" s="64"/>
      <c r="G8109" s="64"/>
      <c r="H8109" s="64"/>
      <c r="I8109" s="70"/>
      <c r="J8109" s="70"/>
      <c r="K8109" s="110" t="str">
        <f>IF(H8109="","",IF($C$29="간이법","",FPR(H8109,I8109,J8109)))</f>
        <v/>
      </c>
      <c r="L8109" s="111" t="str">
        <f>IF(H8109="","",IF($C$29="상세법",FPV(H8109,K8109),IF(H8109="EI",4,IF(H8109="EO",5.2,IF(H8109="EQ",3.9,IF(H8109="ILF",7.5,IF(H8109="EIF",5.4)))))))</f>
        <v/>
      </c>
      <c r="M8109" s="112" t="str">
        <f t="shared" si="129"/>
        <v/>
      </c>
      <c r="N8109" s="113"/>
    </row>
    <row r="8110" spans="2:14">
      <c r="B8110" s="105"/>
      <c r="C8110" s="106"/>
      <c r="D8110" s="107"/>
      <c r="E8110" s="65"/>
      <c r="F8110" s="64"/>
      <c r="G8110" s="64"/>
      <c r="H8110" s="64"/>
      <c r="I8110" s="70"/>
      <c r="J8110" s="70"/>
      <c r="K8110" s="110" t="str">
        <f>IF(H8110="","",IF($C$29="간이법","",FPR(H8110,I8110,J8110)))</f>
        <v/>
      </c>
      <c r="L8110" s="111" t="str">
        <f>IF(H8110="","",IF($C$29="상세법",FPV(H8110,K8110),IF(H8110="EI",4,IF(H8110="EO",5.2,IF(H8110="EQ",3.9,IF(H8110="ILF",7.5,IF(H8110="EIF",5.4)))))))</f>
        <v/>
      </c>
      <c r="M8110" s="112" t="str">
        <f t="shared" si="129"/>
        <v/>
      </c>
      <c r="N8110" s="113"/>
    </row>
    <row r="8111" spans="2:14">
      <c r="B8111" s="105"/>
      <c r="C8111" s="106"/>
      <c r="D8111" s="107"/>
      <c r="E8111" s="65"/>
      <c r="F8111" s="64"/>
      <c r="G8111" s="64"/>
      <c r="H8111" s="64"/>
      <c r="I8111" s="70"/>
      <c r="J8111" s="70"/>
      <c r="K8111" s="110" t="str">
        <f>IF(H8111="","",IF($C$29="간이법","",FPR(H8111,I8111,J8111)))</f>
        <v/>
      </c>
      <c r="L8111" s="111" t="str">
        <f>IF(H8111="","",IF($C$29="상세법",FPV(H8111,K8111),IF(H8111="EI",4,IF(H8111="EO",5.2,IF(H8111="EQ",3.9,IF(H8111="ILF",7.5,IF(H8111="EIF",5.4)))))))</f>
        <v/>
      </c>
      <c r="M8111" s="112" t="str">
        <f t="shared" si="129"/>
        <v/>
      </c>
      <c r="N8111" s="113"/>
    </row>
    <row r="8112" spans="2:14">
      <c r="B8112" s="105"/>
      <c r="C8112" s="106"/>
      <c r="D8112" s="107"/>
      <c r="E8112" s="65"/>
      <c r="F8112" s="64"/>
      <c r="G8112" s="64"/>
      <c r="H8112" s="64"/>
      <c r="I8112" s="70"/>
      <c r="J8112" s="70"/>
      <c r="K8112" s="110" t="str">
        <f>IF(H8112="","",IF($C$29="간이법","",FPR(H8112,I8112,J8112)))</f>
        <v/>
      </c>
      <c r="L8112" s="111" t="str">
        <f>IF(H8112="","",IF($C$29="상세법",FPV(H8112,K8112),IF(H8112="EI",4,IF(H8112="EO",5.2,IF(H8112="EQ",3.9,IF(H8112="ILF",7.5,IF(H8112="EIF",5.4)))))))</f>
        <v/>
      </c>
      <c r="M8112" s="112" t="str">
        <f t="shared" si="129"/>
        <v/>
      </c>
      <c r="N8112" s="113"/>
    </row>
    <row r="8113" spans="2:14">
      <c r="B8113" s="105"/>
      <c r="C8113" s="106"/>
      <c r="D8113" s="107"/>
      <c r="E8113" s="65"/>
      <c r="F8113" s="64"/>
      <c r="G8113" s="64"/>
      <c r="H8113" s="64"/>
      <c r="I8113" s="70"/>
      <c r="J8113" s="70"/>
      <c r="K8113" s="110" t="str">
        <f>IF(H8113="","",IF($C$29="간이법","",FPR(H8113,I8113,J8113)))</f>
        <v/>
      </c>
      <c r="L8113" s="111" t="str">
        <f>IF(H8113="","",IF($C$29="상세법",FPV(H8113,K8113),IF(H8113="EI",4,IF(H8113="EO",5.2,IF(H8113="EQ",3.9,IF(H8113="ILF",7.5,IF(H8113="EIF",5.4)))))))</f>
        <v/>
      </c>
      <c r="M8113" s="112" t="str">
        <f t="shared" si="129"/>
        <v/>
      </c>
      <c r="N8113" s="113"/>
    </row>
    <row r="8114" spans="2:14">
      <c r="B8114" s="105"/>
      <c r="C8114" s="106"/>
      <c r="D8114" s="107"/>
      <c r="E8114" s="65"/>
      <c r="F8114" s="64"/>
      <c r="G8114" s="64"/>
      <c r="H8114" s="64"/>
      <c r="I8114" s="70"/>
      <c r="J8114" s="70"/>
      <c r="K8114" s="110" t="str">
        <f>IF(H8114="","",IF($C$29="간이법","",FPR(H8114,I8114,J8114)))</f>
        <v/>
      </c>
      <c r="L8114" s="111" t="str">
        <f>IF(H8114="","",IF($C$29="상세법",FPV(H8114,K8114),IF(H8114="EI",4,IF(H8114="EO",5.2,IF(H8114="EQ",3.9,IF(H8114="ILF",7.5,IF(H8114="EIF",5.4)))))))</f>
        <v/>
      </c>
      <c r="M8114" s="112" t="str">
        <f t="shared" si="129"/>
        <v/>
      </c>
      <c r="N8114" s="113"/>
    </row>
    <row r="8115" spans="2:14">
      <c r="B8115" s="105"/>
      <c r="C8115" s="106"/>
      <c r="D8115" s="107"/>
      <c r="E8115" s="65"/>
      <c r="F8115" s="64"/>
      <c r="G8115" s="64"/>
      <c r="H8115" s="64"/>
      <c r="I8115" s="70"/>
      <c r="J8115" s="70"/>
      <c r="K8115" s="110" t="str">
        <f>IF(H8115="","",IF($C$29="간이법","",FPR(H8115,I8115,J8115)))</f>
        <v/>
      </c>
      <c r="L8115" s="111" t="str">
        <f>IF(H8115="","",IF($C$29="상세법",FPV(H8115,K8115),IF(H8115="EI",4,IF(H8115="EO",5.2,IF(H8115="EQ",3.9,IF(H8115="ILF",7.5,IF(H8115="EIF",5.4)))))))</f>
        <v/>
      </c>
      <c r="M8115" s="112" t="str">
        <f t="shared" si="129"/>
        <v/>
      </c>
      <c r="N8115" s="113"/>
    </row>
    <row r="8116" spans="2:14">
      <c r="B8116" s="105"/>
      <c r="C8116" s="106"/>
      <c r="D8116" s="107"/>
      <c r="E8116" s="65"/>
      <c r="F8116" s="64"/>
      <c r="G8116" s="64"/>
      <c r="H8116" s="64"/>
      <c r="I8116" s="70"/>
      <c r="J8116" s="70"/>
      <c r="K8116" s="110" t="str">
        <f>IF(H8116="","",IF($C$29="간이법","",FPR(H8116,I8116,J8116)))</f>
        <v/>
      </c>
      <c r="L8116" s="111" t="str">
        <f>IF(H8116="","",IF($C$29="상세법",FPV(H8116,K8116),IF(H8116="EI",4,IF(H8116="EO",5.2,IF(H8116="EQ",3.9,IF(H8116="ILF",7.5,IF(H8116="EIF",5.4)))))))</f>
        <v/>
      </c>
      <c r="M8116" s="112" t="str">
        <f t="shared" si="129"/>
        <v/>
      </c>
      <c r="N8116" s="113"/>
    </row>
    <row r="8117" spans="2:14">
      <c r="B8117" s="105"/>
      <c r="C8117" s="106"/>
      <c r="D8117" s="107"/>
      <c r="E8117" s="65"/>
      <c r="F8117" s="64"/>
      <c r="G8117" s="64"/>
      <c r="H8117" s="64"/>
      <c r="I8117" s="70"/>
      <c r="J8117" s="70"/>
      <c r="K8117" s="110" t="str">
        <f>IF(H8117="","",IF($C$29="간이법","",FPR(H8117,I8117,J8117)))</f>
        <v/>
      </c>
      <c r="L8117" s="111" t="str">
        <f>IF(H8117="","",IF($C$29="상세법",FPV(H8117,K8117),IF(H8117="EI",4,IF(H8117="EO",5.2,IF(H8117="EQ",3.9,IF(H8117="ILF",7.5,IF(H8117="EIF",5.4)))))))</f>
        <v/>
      </c>
      <c r="M8117" s="112" t="str">
        <f t="shared" si="129"/>
        <v/>
      </c>
      <c r="N8117" s="113"/>
    </row>
    <row r="8118" spans="2:14">
      <c r="B8118" s="105"/>
      <c r="C8118" s="106"/>
      <c r="D8118" s="107"/>
      <c r="E8118" s="65"/>
      <c r="F8118" s="64"/>
      <c r="G8118" s="64"/>
      <c r="H8118" s="64"/>
      <c r="I8118" s="70"/>
      <c r="J8118" s="70"/>
      <c r="K8118" s="110" t="str">
        <f>IF(H8118="","",IF($C$29="간이법","",FPR(H8118,I8118,J8118)))</f>
        <v/>
      </c>
      <c r="L8118" s="111" t="str">
        <f>IF(H8118="","",IF($C$29="상세법",FPV(H8118,K8118),IF(H8118="EI",4,IF(H8118="EO",5.2,IF(H8118="EQ",3.9,IF(H8118="ILF",7.5,IF(H8118="EIF",5.4)))))))</f>
        <v/>
      </c>
      <c r="M8118" s="112" t="str">
        <f t="shared" si="129"/>
        <v/>
      </c>
      <c r="N8118" s="113"/>
    </row>
    <row r="8119" spans="2:14">
      <c r="B8119" s="105"/>
      <c r="C8119" s="106"/>
      <c r="D8119" s="107"/>
      <c r="E8119" s="65"/>
      <c r="F8119" s="64"/>
      <c r="G8119" s="64"/>
      <c r="H8119" s="64"/>
      <c r="I8119" s="70"/>
      <c r="J8119" s="70"/>
      <c r="K8119" s="110" t="str">
        <f>IF(H8119="","",IF($C$29="간이법","",FPR(H8119,I8119,J8119)))</f>
        <v/>
      </c>
      <c r="L8119" s="111" t="str">
        <f>IF(H8119="","",IF($C$29="상세법",FPV(H8119,K8119),IF(H8119="EI",4,IF(H8119="EO",5.2,IF(H8119="EQ",3.9,IF(H8119="ILF",7.5,IF(H8119="EIF",5.4)))))))</f>
        <v/>
      </c>
      <c r="M8119" s="112" t="str">
        <f t="shared" si="129"/>
        <v/>
      </c>
      <c r="N8119" s="113"/>
    </row>
    <row r="8120" spans="2:14">
      <c r="B8120" s="105"/>
      <c r="C8120" s="106"/>
      <c r="D8120" s="107"/>
      <c r="E8120" s="65"/>
      <c r="F8120" s="64"/>
      <c r="G8120" s="64"/>
      <c r="H8120" s="64"/>
      <c r="I8120" s="70"/>
      <c r="J8120" s="70"/>
      <c r="K8120" s="110" t="str">
        <f>IF(H8120="","",IF($C$29="간이법","",FPR(H8120,I8120,J8120)))</f>
        <v/>
      </c>
      <c r="L8120" s="111" t="str">
        <f>IF(H8120="","",IF($C$29="상세법",FPV(H8120,K8120),IF(H8120="EI",4,IF(H8120="EO",5.2,IF(H8120="EQ",3.9,IF(H8120="ILF",7.5,IF(H8120="EIF",5.4)))))))</f>
        <v/>
      </c>
      <c r="M8120" s="112" t="str">
        <f t="shared" si="129"/>
        <v/>
      </c>
      <c r="N8120" s="113"/>
    </row>
    <row r="8121" spans="2:14">
      <c r="B8121" s="105"/>
      <c r="C8121" s="106"/>
      <c r="D8121" s="107"/>
      <c r="E8121" s="65"/>
      <c r="F8121" s="64"/>
      <c r="G8121" s="64"/>
      <c r="H8121" s="64"/>
      <c r="I8121" s="70"/>
      <c r="J8121" s="70"/>
      <c r="K8121" s="110" t="str">
        <f>IF(H8121="","",IF($C$29="간이법","",FPR(H8121,I8121,J8121)))</f>
        <v/>
      </c>
      <c r="L8121" s="111" t="str">
        <f>IF(H8121="","",IF($C$29="상세법",FPV(H8121,K8121),IF(H8121="EI",4,IF(H8121="EO",5.2,IF(H8121="EQ",3.9,IF(H8121="ILF",7.5,IF(H8121="EIF",5.4)))))))</f>
        <v/>
      </c>
      <c r="M8121" s="112" t="str">
        <f t="shared" ref="M8121:M8184" si="130">IF(L8121="","",L8121*IF(G8121="상",0.7,IF(G8121="중",0.5,IF(G8121="하",0.2,1))))</f>
        <v/>
      </c>
      <c r="N8121" s="113"/>
    </row>
    <row r="8122" spans="2:14">
      <c r="B8122" s="105"/>
      <c r="C8122" s="106"/>
      <c r="D8122" s="107"/>
      <c r="E8122" s="65"/>
      <c r="F8122" s="64"/>
      <c r="G8122" s="64"/>
      <c r="H8122" s="64"/>
      <c r="I8122" s="70"/>
      <c r="J8122" s="70"/>
      <c r="K8122" s="110" t="str">
        <f>IF(H8122="","",IF($C$29="간이법","",FPR(H8122,I8122,J8122)))</f>
        <v/>
      </c>
      <c r="L8122" s="111" t="str">
        <f>IF(H8122="","",IF($C$29="상세법",FPV(H8122,K8122),IF(H8122="EI",4,IF(H8122="EO",5.2,IF(H8122="EQ",3.9,IF(H8122="ILF",7.5,IF(H8122="EIF",5.4)))))))</f>
        <v/>
      </c>
      <c r="M8122" s="112" t="str">
        <f t="shared" si="130"/>
        <v/>
      </c>
      <c r="N8122" s="113"/>
    </row>
    <row r="8123" spans="2:14">
      <c r="B8123" s="105"/>
      <c r="C8123" s="106"/>
      <c r="D8123" s="107"/>
      <c r="E8123" s="65"/>
      <c r="F8123" s="64"/>
      <c r="G8123" s="64"/>
      <c r="H8123" s="64"/>
      <c r="I8123" s="70"/>
      <c r="J8123" s="70"/>
      <c r="K8123" s="110" t="str">
        <f>IF(H8123="","",IF($C$29="간이법","",FPR(H8123,I8123,J8123)))</f>
        <v/>
      </c>
      <c r="L8123" s="111" t="str">
        <f>IF(H8123="","",IF($C$29="상세법",FPV(H8123,K8123),IF(H8123="EI",4,IF(H8123="EO",5.2,IF(H8123="EQ",3.9,IF(H8123="ILF",7.5,IF(H8123="EIF",5.4)))))))</f>
        <v/>
      </c>
      <c r="M8123" s="112" t="str">
        <f t="shared" si="130"/>
        <v/>
      </c>
      <c r="N8123" s="113"/>
    </row>
    <row r="8124" spans="2:14">
      <c r="B8124" s="105"/>
      <c r="C8124" s="106"/>
      <c r="D8124" s="107"/>
      <c r="E8124" s="65"/>
      <c r="F8124" s="64"/>
      <c r="G8124" s="64"/>
      <c r="H8124" s="64"/>
      <c r="I8124" s="70"/>
      <c r="J8124" s="70"/>
      <c r="K8124" s="110" t="str">
        <f>IF(H8124="","",IF($C$29="간이법","",FPR(H8124,I8124,J8124)))</f>
        <v/>
      </c>
      <c r="L8124" s="111" t="str">
        <f>IF(H8124="","",IF($C$29="상세법",FPV(H8124,K8124),IF(H8124="EI",4,IF(H8124="EO",5.2,IF(H8124="EQ",3.9,IF(H8124="ILF",7.5,IF(H8124="EIF",5.4)))))))</f>
        <v/>
      </c>
      <c r="M8124" s="112" t="str">
        <f t="shared" si="130"/>
        <v/>
      </c>
      <c r="N8124" s="113"/>
    </row>
    <row r="8125" spans="2:14">
      <c r="B8125" s="105"/>
      <c r="C8125" s="106"/>
      <c r="D8125" s="107"/>
      <c r="E8125" s="65"/>
      <c r="F8125" s="64"/>
      <c r="G8125" s="64"/>
      <c r="H8125" s="64"/>
      <c r="I8125" s="70"/>
      <c r="J8125" s="70"/>
      <c r="K8125" s="110" t="str">
        <f>IF(H8125="","",IF($C$29="간이법","",FPR(H8125,I8125,J8125)))</f>
        <v/>
      </c>
      <c r="L8125" s="111" t="str">
        <f>IF(H8125="","",IF($C$29="상세법",FPV(H8125,K8125),IF(H8125="EI",4,IF(H8125="EO",5.2,IF(H8125="EQ",3.9,IF(H8125="ILF",7.5,IF(H8125="EIF",5.4)))))))</f>
        <v/>
      </c>
      <c r="M8125" s="112" t="str">
        <f t="shared" si="130"/>
        <v/>
      </c>
      <c r="N8125" s="113"/>
    </row>
    <row r="8126" spans="2:14">
      <c r="B8126" s="105"/>
      <c r="C8126" s="106"/>
      <c r="D8126" s="107"/>
      <c r="E8126" s="65"/>
      <c r="F8126" s="64"/>
      <c r="G8126" s="64"/>
      <c r="H8126" s="64"/>
      <c r="I8126" s="70"/>
      <c r="J8126" s="70"/>
      <c r="K8126" s="110" t="str">
        <f>IF(H8126="","",IF($C$29="간이법","",FPR(H8126,I8126,J8126)))</f>
        <v/>
      </c>
      <c r="L8126" s="111" t="str">
        <f>IF(H8126="","",IF($C$29="상세법",FPV(H8126,K8126),IF(H8126="EI",4,IF(H8126="EO",5.2,IF(H8126="EQ",3.9,IF(H8126="ILF",7.5,IF(H8126="EIF",5.4)))))))</f>
        <v/>
      </c>
      <c r="M8126" s="112" t="str">
        <f t="shared" si="130"/>
        <v/>
      </c>
      <c r="N8126" s="113"/>
    </row>
    <row r="8127" spans="2:14">
      <c r="B8127" s="105"/>
      <c r="C8127" s="106"/>
      <c r="D8127" s="107"/>
      <c r="E8127" s="65"/>
      <c r="F8127" s="64"/>
      <c r="G8127" s="64"/>
      <c r="H8127" s="64"/>
      <c r="I8127" s="70"/>
      <c r="J8127" s="70"/>
      <c r="K8127" s="110" t="str">
        <f>IF(H8127="","",IF($C$29="간이법","",FPR(H8127,I8127,J8127)))</f>
        <v/>
      </c>
      <c r="L8127" s="111" t="str">
        <f>IF(H8127="","",IF($C$29="상세법",FPV(H8127,K8127),IF(H8127="EI",4,IF(H8127="EO",5.2,IF(H8127="EQ",3.9,IF(H8127="ILF",7.5,IF(H8127="EIF",5.4)))))))</f>
        <v/>
      </c>
      <c r="M8127" s="112" t="str">
        <f t="shared" si="130"/>
        <v/>
      </c>
      <c r="N8127" s="113"/>
    </row>
    <row r="8128" spans="2:14">
      <c r="B8128" s="105"/>
      <c r="C8128" s="106"/>
      <c r="D8128" s="107"/>
      <c r="E8128" s="65"/>
      <c r="F8128" s="64"/>
      <c r="G8128" s="64"/>
      <c r="H8128" s="64"/>
      <c r="I8128" s="70"/>
      <c r="J8128" s="70"/>
      <c r="K8128" s="110" t="str">
        <f>IF(H8128="","",IF($C$29="간이법","",FPR(H8128,I8128,J8128)))</f>
        <v/>
      </c>
      <c r="L8128" s="111" t="str">
        <f>IF(H8128="","",IF($C$29="상세법",FPV(H8128,K8128),IF(H8128="EI",4,IF(H8128="EO",5.2,IF(H8128="EQ",3.9,IF(H8128="ILF",7.5,IF(H8128="EIF",5.4)))))))</f>
        <v/>
      </c>
      <c r="M8128" s="112" t="str">
        <f t="shared" si="130"/>
        <v/>
      </c>
      <c r="N8128" s="113"/>
    </row>
    <row r="8129" spans="2:14">
      <c r="B8129" s="105"/>
      <c r="C8129" s="106"/>
      <c r="D8129" s="107"/>
      <c r="E8129" s="65"/>
      <c r="F8129" s="64"/>
      <c r="G8129" s="64"/>
      <c r="H8129" s="64"/>
      <c r="I8129" s="70"/>
      <c r="J8129" s="70"/>
      <c r="K8129" s="110" t="str">
        <f>IF(H8129="","",IF($C$29="간이법","",FPR(H8129,I8129,J8129)))</f>
        <v/>
      </c>
      <c r="L8129" s="111" t="str">
        <f>IF(H8129="","",IF($C$29="상세법",FPV(H8129,K8129),IF(H8129="EI",4,IF(H8129="EO",5.2,IF(H8129="EQ",3.9,IF(H8129="ILF",7.5,IF(H8129="EIF",5.4)))))))</f>
        <v/>
      </c>
      <c r="M8129" s="112" t="str">
        <f t="shared" si="130"/>
        <v/>
      </c>
      <c r="N8129" s="113"/>
    </row>
    <row r="8130" spans="2:14">
      <c r="B8130" s="105"/>
      <c r="C8130" s="106"/>
      <c r="D8130" s="107"/>
      <c r="E8130" s="65"/>
      <c r="F8130" s="64"/>
      <c r="G8130" s="64"/>
      <c r="H8130" s="64"/>
      <c r="I8130" s="70"/>
      <c r="J8130" s="70"/>
      <c r="K8130" s="110" t="str">
        <f>IF(H8130="","",IF($C$29="간이법","",FPR(H8130,I8130,J8130)))</f>
        <v/>
      </c>
      <c r="L8130" s="111" t="str">
        <f>IF(H8130="","",IF($C$29="상세법",FPV(H8130,K8130),IF(H8130="EI",4,IF(H8130="EO",5.2,IF(H8130="EQ",3.9,IF(H8130="ILF",7.5,IF(H8130="EIF",5.4)))))))</f>
        <v/>
      </c>
      <c r="M8130" s="112" t="str">
        <f t="shared" si="130"/>
        <v/>
      </c>
      <c r="N8130" s="113"/>
    </row>
    <row r="8131" spans="2:14">
      <c r="B8131" s="105"/>
      <c r="C8131" s="106"/>
      <c r="D8131" s="107"/>
      <c r="E8131" s="65"/>
      <c r="F8131" s="64"/>
      <c r="G8131" s="64"/>
      <c r="H8131" s="64"/>
      <c r="I8131" s="70"/>
      <c r="J8131" s="70"/>
      <c r="K8131" s="110" t="str">
        <f>IF(H8131="","",IF($C$29="간이법","",FPR(H8131,I8131,J8131)))</f>
        <v/>
      </c>
      <c r="L8131" s="111" t="str">
        <f>IF(H8131="","",IF($C$29="상세법",FPV(H8131,K8131),IF(H8131="EI",4,IF(H8131="EO",5.2,IF(H8131="EQ",3.9,IF(H8131="ILF",7.5,IF(H8131="EIF",5.4)))))))</f>
        <v/>
      </c>
      <c r="M8131" s="112" t="str">
        <f t="shared" si="130"/>
        <v/>
      </c>
      <c r="N8131" s="113"/>
    </row>
    <row r="8132" spans="2:14">
      <c r="B8132" s="105"/>
      <c r="C8132" s="106"/>
      <c r="D8132" s="107"/>
      <c r="E8132" s="65"/>
      <c r="F8132" s="64"/>
      <c r="G8132" s="64"/>
      <c r="H8132" s="64"/>
      <c r="I8132" s="70"/>
      <c r="J8132" s="70"/>
      <c r="K8132" s="110" t="str">
        <f>IF(H8132="","",IF($C$29="간이법","",FPR(H8132,I8132,J8132)))</f>
        <v/>
      </c>
      <c r="L8132" s="111" t="str">
        <f>IF(H8132="","",IF($C$29="상세법",FPV(H8132,K8132),IF(H8132="EI",4,IF(H8132="EO",5.2,IF(H8132="EQ",3.9,IF(H8132="ILF",7.5,IF(H8132="EIF",5.4)))))))</f>
        <v/>
      </c>
      <c r="M8132" s="112" t="str">
        <f t="shared" si="130"/>
        <v/>
      </c>
      <c r="N8132" s="113"/>
    </row>
    <row r="8133" spans="2:14">
      <c r="B8133" s="105"/>
      <c r="C8133" s="106"/>
      <c r="D8133" s="107"/>
      <c r="E8133" s="65"/>
      <c r="F8133" s="64"/>
      <c r="G8133" s="64"/>
      <c r="H8133" s="64"/>
      <c r="I8133" s="70"/>
      <c r="J8133" s="70"/>
      <c r="K8133" s="110" t="str">
        <f>IF(H8133="","",IF($C$29="간이법","",FPR(H8133,I8133,J8133)))</f>
        <v/>
      </c>
      <c r="L8133" s="111" t="str">
        <f>IF(H8133="","",IF($C$29="상세법",FPV(H8133,K8133),IF(H8133="EI",4,IF(H8133="EO",5.2,IF(H8133="EQ",3.9,IF(H8133="ILF",7.5,IF(H8133="EIF",5.4)))))))</f>
        <v/>
      </c>
      <c r="M8133" s="112" t="str">
        <f t="shared" si="130"/>
        <v/>
      </c>
      <c r="N8133" s="113"/>
    </row>
    <row r="8134" spans="2:14">
      <c r="B8134" s="105"/>
      <c r="C8134" s="106"/>
      <c r="D8134" s="107"/>
      <c r="E8134" s="65"/>
      <c r="F8134" s="64"/>
      <c r="G8134" s="64"/>
      <c r="H8134" s="64"/>
      <c r="I8134" s="70"/>
      <c r="J8134" s="70"/>
      <c r="K8134" s="110" t="str">
        <f>IF(H8134="","",IF($C$29="간이법","",FPR(H8134,I8134,J8134)))</f>
        <v/>
      </c>
      <c r="L8134" s="111" t="str">
        <f>IF(H8134="","",IF($C$29="상세법",FPV(H8134,K8134),IF(H8134="EI",4,IF(H8134="EO",5.2,IF(H8134="EQ",3.9,IF(H8134="ILF",7.5,IF(H8134="EIF",5.4)))))))</f>
        <v/>
      </c>
      <c r="M8134" s="112" t="str">
        <f t="shared" si="130"/>
        <v/>
      </c>
      <c r="N8134" s="113"/>
    </row>
    <row r="8135" spans="2:14">
      <c r="B8135" s="105"/>
      <c r="C8135" s="106"/>
      <c r="D8135" s="107"/>
      <c r="E8135" s="65"/>
      <c r="F8135" s="64"/>
      <c r="G8135" s="64"/>
      <c r="H8135" s="64"/>
      <c r="I8135" s="70"/>
      <c r="J8135" s="70"/>
      <c r="K8135" s="110" t="str">
        <f>IF(H8135="","",IF($C$29="간이법","",FPR(H8135,I8135,J8135)))</f>
        <v/>
      </c>
      <c r="L8135" s="111" t="str">
        <f>IF(H8135="","",IF($C$29="상세법",FPV(H8135,K8135),IF(H8135="EI",4,IF(H8135="EO",5.2,IF(H8135="EQ",3.9,IF(H8135="ILF",7.5,IF(H8135="EIF",5.4)))))))</f>
        <v/>
      </c>
      <c r="M8135" s="112" t="str">
        <f t="shared" si="130"/>
        <v/>
      </c>
      <c r="N8135" s="113"/>
    </row>
    <row r="8136" spans="2:14">
      <c r="B8136" s="105"/>
      <c r="C8136" s="106"/>
      <c r="D8136" s="107"/>
      <c r="E8136" s="65"/>
      <c r="F8136" s="64"/>
      <c r="G8136" s="64"/>
      <c r="H8136" s="64"/>
      <c r="I8136" s="70"/>
      <c r="J8136" s="70"/>
      <c r="K8136" s="110" t="str">
        <f>IF(H8136="","",IF($C$29="간이법","",FPR(H8136,I8136,J8136)))</f>
        <v/>
      </c>
      <c r="L8136" s="111" t="str">
        <f>IF(H8136="","",IF($C$29="상세법",FPV(H8136,K8136),IF(H8136="EI",4,IF(H8136="EO",5.2,IF(H8136="EQ",3.9,IF(H8136="ILF",7.5,IF(H8136="EIF",5.4)))))))</f>
        <v/>
      </c>
      <c r="M8136" s="112" t="str">
        <f t="shared" si="130"/>
        <v/>
      </c>
      <c r="N8136" s="113"/>
    </row>
    <row r="8137" spans="2:14">
      <c r="B8137" s="105"/>
      <c r="C8137" s="106"/>
      <c r="D8137" s="107"/>
      <c r="E8137" s="65"/>
      <c r="F8137" s="64"/>
      <c r="G8137" s="64"/>
      <c r="H8137" s="64"/>
      <c r="I8137" s="70"/>
      <c r="J8137" s="70"/>
      <c r="K8137" s="110" t="str">
        <f>IF(H8137="","",IF($C$29="간이법","",FPR(H8137,I8137,J8137)))</f>
        <v/>
      </c>
      <c r="L8137" s="111" t="str">
        <f>IF(H8137="","",IF($C$29="상세법",FPV(H8137,K8137),IF(H8137="EI",4,IF(H8137="EO",5.2,IF(H8137="EQ",3.9,IF(H8137="ILF",7.5,IF(H8137="EIF",5.4)))))))</f>
        <v/>
      </c>
      <c r="M8137" s="112" t="str">
        <f t="shared" si="130"/>
        <v/>
      </c>
      <c r="N8137" s="113"/>
    </row>
    <row r="8138" spans="2:14">
      <c r="B8138" s="105"/>
      <c r="C8138" s="106"/>
      <c r="D8138" s="107"/>
      <c r="E8138" s="65"/>
      <c r="F8138" s="64"/>
      <c r="G8138" s="64"/>
      <c r="H8138" s="64"/>
      <c r="I8138" s="70"/>
      <c r="J8138" s="70"/>
      <c r="K8138" s="110" t="str">
        <f>IF(H8138="","",IF($C$29="간이법","",FPR(H8138,I8138,J8138)))</f>
        <v/>
      </c>
      <c r="L8138" s="111" t="str">
        <f>IF(H8138="","",IF($C$29="상세법",FPV(H8138,K8138),IF(H8138="EI",4,IF(H8138="EO",5.2,IF(H8138="EQ",3.9,IF(H8138="ILF",7.5,IF(H8138="EIF",5.4)))))))</f>
        <v/>
      </c>
      <c r="M8138" s="112" t="str">
        <f t="shared" si="130"/>
        <v/>
      </c>
      <c r="N8138" s="113"/>
    </row>
    <row r="8139" spans="2:14">
      <c r="B8139" s="105"/>
      <c r="C8139" s="106"/>
      <c r="D8139" s="107"/>
      <c r="E8139" s="65"/>
      <c r="F8139" s="64"/>
      <c r="G8139" s="64"/>
      <c r="H8139" s="64"/>
      <c r="I8139" s="70"/>
      <c r="J8139" s="70"/>
      <c r="K8139" s="110" t="str">
        <f>IF(H8139="","",IF($C$29="간이법","",FPR(H8139,I8139,J8139)))</f>
        <v/>
      </c>
      <c r="L8139" s="111" t="str">
        <f>IF(H8139="","",IF($C$29="상세법",FPV(H8139,K8139),IF(H8139="EI",4,IF(H8139="EO",5.2,IF(H8139="EQ",3.9,IF(H8139="ILF",7.5,IF(H8139="EIF",5.4)))))))</f>
        <v/>
      </c>
      <c r="M8139" s="112" t="str">
        <f t="shared" si="130"/>
        <v/>
      </c>
      <c r="N8139" s="113"/>
    </row>
    <row r="8140" spans="2:14">
      <c r="B8140" s="105"/>
      <c r="C8140" s="106"/>
      <c r="D8140" s="107"/>
      <c r="E8140" s="65"/>
      <c r="F8140" s="64"/>
      <c r="G8140" s="64"/>
      <c r="H8140" s="64"/>
      <c r="I8140" s="70"/>
      <c r="J8140" s="70"/>
      <c r="K8140" s="110" t="str">
        <f>IF(H8140="","",IF($C$29="간이법","",FPR(H8140,I8140,J8140)))</f>
        <v/>
      </c>
      <c r="L8140" s="111" t="str">
        <f>IF(H8140="","",IF($C$29="상세법",FPV(H8140,K8140),IF(H8140="EI",4,IF(H8140="EO",5.2,IF(H8140="EQ",3.9,IF(H8140="ILF",7.5,IF(H8140="EIF",5.4)))))))</f>
        <v/>
      </c>
      <c r="M8140" s="112" t="str">
        <f t="shared" si="130"/>
        <v/>
      </c>
      <c r="N8140" s="113"/>
    </row>
    <row r="8141" spans="2:14">
      <c r="B8141" s="105"/>
      <c r="C8141" s="106"/>
      <c r="D8141" s="107"/>
      <c r="E8141" s="65"/>
      <c r="F8141" s="64"/>
      <c r="G8141" s="64"/>
      <c r="H8141" s="64"/>
      <c r="I8141" s="70"/>
      <c r="J8141" s="70"/>
      <c r="K8141" s="110" t="str">
        <f>IF(H8141="","",IF($C$29="간이법","",FPR(H8141,I8141,J8141)))</f>
        <v/>
      </c>
      <c r="L8141" s="111" t="str">
        <f>IF(H8141="","",IF($C$29="상세법",FPV(H8141,K8141),IF(H8141="EI",4,IF(H8141="EO",5.2,IF(H8141="EQ",3.9,IF(H8141="ILF",7.5,IF(H8141="EIF",5.4)))))))</f>
        <v/>
      </c>
      <c r="M8141" s="112" t="str">
        <f t="shared" si="130"/>
        <v/>
      </c>
      <c r="N8141" s="113"/>
    </row>
    <row r="8142" spans="2:14">
      <c r="B8142" s="105"/>
      <c r="C8142" s="106"/>
      <c r="D8142" s="107"/>
      <c r="E8142" s="65"/>
      <c r="F8142" s="64"/>
      <c r="G8142" s="64"/>
      <c r="H8142" s="64"/>
      <c r="I8142" s="70"/>
      <c r="J8142" s="70"/>
      <c r="K8142" s="110" t="str">
        <f>IF(H8142="","",IF($C$29="간이법","",FPR(H8142,I8142,J8142)))</f>
        <v/>
      </c>
      <c r="L8142" s="111" t="str">
        <f>IF(H8142="","",IF($C$29="상세법",FPV(H8142,K8142),IF(H8142="EI",4,IF(H8142="EO",5.2,IF(H8142="EQ",3.9,IF(H8142="ILF",7.5,IF(H8142="EIF",5.4)))))))</f>
        <v/>
      </c>
      <c r="M8142" s="112" t="str">
        <f t="shared" si="130"/>
        <v/>
      </c>
      <c r="N8142" s="113"/>
    </row>
    <row r="8143" spans="2:14">
      <c r="B8143" s="105"/>
      <c r="C8143" s="106"/>
      <c r="D8143" s="107"/>
      <c r="E8143" s="65"/>
      <c r="F8143" s="64"/>
      <c r="G8143" s="64"/>
      <c r="H8143" s="64"/>
      <c r="I8143" s="70"/>
      <c r="J8143" s="70"/>
      <c r="K8143" s="110" t="str">
        <f>IF(H8143="","",IF($C$29="간이법","",FPR(H8143,I8143,J8143)))</f>
        <v/>
      </c>
      <c r="L8143" s="111" t="str">
        <f>IF(H8143="","",IF($C$29="상세법",FPV(H8143,K8143),IF(H8143="EI",4,IF(H8143="EO",5.2,IF(H8143="EQ",3.9,IF(H8143="ILF",7.5,IF(H8143="EIF",5.4)))))))</f>
        <v/>
      </c>
      <c r="M8143" s="112" t="str">
        <f t="shared" si="130"/>
        <v/>
      </c>
      <c r="N8143" s="113"/>
    </row>
    <row r="8144" spans="2:14">
      <c r="B8144" s="105"/>
      <c r="C8144" s="106"/>
      <c r="D8144" s="107"/>
      <c r="E8144" s="65"/>
      <c r="F8144" s="64"/>
      <c r="G8144" s="64"/>
      <c r="H8144" s="64"/>
      <c r="I8144" s="70"/>
      <c r="J8144" s="70"/>
      <c r="K8144" s="110" t="str">
        <f>IF(H8144="","",IF($C$29="간이법","",FPR(H8144,I8144,J8144)))</f>
        <v/>
      </c>
      <c r="L8144" s="111" t="str">
        <f>IF(H8144="","",IF($C$29="상세법",FPV(H8144,K8144),IF(H8144="EI",4,IF(H8144="EO",5.2,IF(H8144="EQ",3.9,IF(H8144="ILF",7.5,IF(H8144="EIF",5.4)))))))</f>
        <v/>
      </c>
      <c r="M8144" s="112" t="str">
        <f t="shared" si="130"/>
        <v/>
      </c>
      <c r="N8144" s="113"/>
    </row>
    <row r="8145" spans="2:14">
      <c r="B8145" s="105"/>
      <c r="C8145" s="106"/>
      <c r="D8145" s="107"/>
      <c r="E8145" s="65"/>
      <c r="F8145" s="64"/>
      <c r="G8145" s="64"/>
      <c r="H8145" s="64"/>
      <c r="I8145" s="70"/>
      <c r="J8145" s="70"/>
      <c r="K8145" s="110" t="str">
        <f>IF(H8145="","",IF($C$29="간이법","",FPR(H8145,I8145,J8145)))</f>
        <v/>
      </c>
      <c r="L8145" s="111" t="str">
        <f>IF(H8145="","",IF($C$29="상세법",FPV(H8145,K8145),IF(H8145="EI",4,IF(H8145="EO",5.2,IF(H8145="EQ",3.9,IF(H8145="ILF",7.5,IF(H8145="EIF",5.4)))))))</f>
        <v/>
      </c>
      <c r="M8145" s="112" t="str">
        <f t="shared" si="130"/>
        <v/>
      </c>
      <c r="N8145" s="113"/>
    </row>
    <row r="8146" spans="2:14">
      <c r="B8146" s="105"/>
      <c r="C8146" s="106"/>
      <c r="D8146" s="107"/>
      <c r="E8146" s="65"/>
      <c r="F8146" s="64"/>
      <c r="G8146" s="64"/>
      <c r="H8146" s="64"/>
      <c r="I8146" s="70"/>
      <c r="J8146" s="70"/>
      <c r="K8146" s="110" t="str">
        <f>IF(H8146="","",IF($C$29="간이법","",FPR(H8146,I8146,J8146)))</f>
        <v/>
      </c>
      <c r="L8146" s="111" t="str">
        <f>IF(H8146="","",IF($C$29="상세법",FPV(H8146,K8146),IF(H8146="EI",4,IF(H8146="EO",5.2,IF(H8146="EQ",3.9,IF(H8146="ILF",7.5,IF(H8146="EIF",5.4)))))))</f>
        <v/>
      </c>
      <c r="M8146" s="112" t="str">
        <f t="shared" si="130"/>
        <v/>
      </c>
      <c r="N8146" s="113"/>
    </row>
    <row r="8147" spans="2:14">
      <c r="B8147" s="105"/>
      <c r="C8147" s="106"/>
      <c r="D8147" s="107"/>
      <c r="E8147" s="65"/>
      <c r="F8147" s="64"/>
      <c r="G8147" s="64"/>
      <c r="H8147" s="64"/>
      <c r="I8147" s="70"/>
      <c r="J8147" s="70"/>
      <c r="K8147" s="110" t="str">
        <f>IF(H8147="","",IF($C$29="간이법","",FPR(H8147,I8147,J8147)))</f>
        <v/>
      </c>
      <c r="L8147" s="111" t="str">
        <f>IF(H8147="","",IF($C$29="상세법",FPV(H8147,K8147),IF(H8147="EI",4,IF(H8147="EO",5.2,IF(H8147="EQ",3.9,IF(H8147="ILF",7.5,IF(H8147="EIF",5.4)))))))</f>
        <v/>
      </c>
      <c r="M8147" s="112" t="str">
        <f t="shared" si="130"/>
        <v/>
      </c>
      <c r="N8147" s="113"/>
    </row>
    <row r="8148" spans="2:14">
      <c r="B8148" s="105"/>
      <c r="C8148" s="106"/>
      <c r="D8148" s="107"/>
      <c r="E8148" s="65"/>
      <c r="F8148" s="64"/>
      <c r="G8148" s="64"/>
      <c r="H8148" s="64"/>
      <c r="I8148" s="70"/>
      <c r="J8148" s="70"/>
      <c r="K8148" s="110" t="str">
        <f>IF(H8148="","",IF($C$29="간이법","",FPR(H8148,I8148,J8148)))</f>
        <v/>
      </c>
      <c r="L8148" s="111" t="str">
        <f>IF(H8148="","",IF($C$29="상세법",FPV(H8148,K8148),IF(H8148="EI",4,IF(H8148="EO",5.2,IF(H8148="EQ",3.9,IF(H8148="ILF",7.5,IF(H8148="EIF",5.4)))))))</f>
        <v/>
      </c>
      <c r="M8148" s="112" t="str">
        <f t="shared" si="130"/>
        <v/>
      </c>
      <c r="N8148" s="113"/>
    </row>
    <row r="8149" spans="2:14">
      <c r="B8149" s="105"/>
      <c r="C8149" s="106"/>
      <c r="D8149" s="107"/>
      <c r="E8149" s="65"/>
      <c r="F8149" s="64"/>
      <c r="G8149" s="64"/>
      <c r="H8149" s="64"/>
      <c r="I8149" s="70"/>
      <c r="J8149" s="70"/>
      <c r="K8149" s="110" t="str">
        <f>IF(H8149="","",IF($C$29="간이법","",FPR(H8149,I8149,J8149)))</f>
        <v/>
      </c>
      <c r="L8149" s="111" t="str">
        <f>IF(H8149="","",IF($C$29="상세법",FPV(H8149,K8149),IF(H8149="EI",4,IF(H8149="EO",5.2,IF(H8149="EQ",3.9,IF(H8149="ILF",7.5,IF(H8149="EIF",5.4)))))))</f>
        <v/>
      </c>
      <c r="M8149" s="112" t="str">
        <f t="shared" si="130"/>
        <v/>
      </c>
      <c r="N8149" s="113"/>
    </row>
    <row r="8150" spans="2:14">
      <c r="B8150" s="105"/>
      <c r="C8150" s="106"/>
      <c r="D8150" s="107"/>
      <c r="E8150" s="65"/>
      <c r="F8150" s="64"/>
      <c r="G8150" s="64"/>
      <c r="H8150" s="64"/>
      <c r="I8150" s="70"/>
      <c r="J8150" s="70"/>
      <c r="K8150" s="110" t="str">
        <f>IF(H8150="","",IF($C$29="간이법","",FPR(H8150,I8150,J8150)))</f>
        <v/>
      </c>
      <c r="L8150" s="111" t="str">
        <f>IF(H8150="","",IF($C$29="상세법",FPV(H8150,K8150),IF(H8150="EI",4,IF(H8150="EO",5.2,IF(H8150="EQ",3.9,IF(H8150="ILF",7.5,IF(H8150="EIF",5.4)))))))</f>
        <v/>
      </c>
      <c r="M8150" s="112" t="str">
        <f t="shared" si="130"/>
        <v/>
      </c>
      <c r="N8150" s="113"/>
    </row>
    <row r="8151" spans="2:14">
      <c r="B8151" s="105"/>
      <c r="C8151" s="106"/>
      <c r="D8151" s="107"/>
      <c r="E8151" s="65"/>
      <c r="F8151" s="64"/>
      <c r="G8151" s="64"/>
      <c r="H8151" s="64"/>
      <c r="I8151" s="70"/>
      <c r="J8151" s="70"/>
      <c r="K8151" s="110" t="str">
        <f>IF(H8151="","",IF($C$29="간이법","",FPR(H8151,I8151,J8151)))</f>
        <v/>
      </c>
      <c r="L8151" s="111" t="str">
        <f>IF(H8151="","",IF($C$29="상세법",FPV(H8151,K8151),IF(H8151="EI",4,IF(H8151="EO",5.2,IF(H8151="EQ",3.9,IF(H8151="ILF",7.5,IF(H8151="EIF",5.4)))))))</f>
        <v/>
      </c>
      <c r="M8151" s="112" t="str">
        <f t="shared" si="130"/>
        <v/>
      </c>
      <c r="N8151" s="113"/>
    </row>
    <row r="8152" spans="2:14">
      <c r="B8152" s="105"/>
      <c r="C8152" s="106"/>
      <c r="D8152" s="107"/>
      <c r="E8152" s="65"/>
      <c r="F8152" s="64"/>
      <c r="G8152" s="64"/>
      <c r="H8152" s="64"/>
      <c r="I8152" s="70"/>
      <c r="J8152" s="70"/>
      <c r="K8152" s="110" t="str">
        <f>IF(H8152="","",IF($C$29="간이법","",FPR(H8152,I8152,J8152)))</f>
        <v/>
      </c>
      <c r="L8152" s="111" t="str">
        <f>IF(H8152="","",IF($C$29="상세법",FPV(H8152,K8152),IF(H8152="EI",4,IF(H8152="EO",5.2,IF(H8152="EQ",3.9,IF(H8152="ILF",7.5,IF(H8152="EIF",5.4)))))))</f>
        <v/>
      </c>
      <c r="M8152" s="112" t="str">
        <f t="shared" si="130"/>
        <v/>
      </c>
      <c r="N8152" s="113"/>
    </row>
    <row r="8153" spans="2:14">
      <c r="B8153" s="105"/>
      <c r="C8153" s="106"/>
      <c r="D8153" s="107"/>
      <c r="E8153" s="65"/>
      <c r="F8153" s="64"/>
      <c r="G8153" s="64"/>
      <c r="H8153" s="64"/>
      <c r="I8153" s="70"/>
      <c r="J8153" s="70"/>
      <c r="K8153" s="110" t="str">
        <f>IF(H8153="","",IF($C$29="간이법","",FPR(H8153,I8153,J8153)))</f>
        <v/>
      </c>
      <c r="L8153" s="111" t="str">
        <f>IF(H8153="","",IF($C$29="상세법",FPV(H8153,K8153),IF(H8153="EI",4,IF(H8153="EO",5.2,IF(H8153="EQ",3.9,IF(H8153="ILF",7.5,IF(H8153="EIF",5.4)))))))</f>
        <v/>
      </c>
      <c r="M8153" s="112" t="str">
        <f t="shared" si="130"/>
        <v/>
      </c>
      <c r="N8153" s="113"/>
    </row>
    <row r="8154" spans="2:14">
      <c r="B8154" s="105"/>
      <c r="C8154" s="106"/>
      <c r="D8154" s="107"/>
      <c r="E8154" s="65"/>
      <c r="F8154" s="64"/>
      <c r="G8154" s="64"/>
      <c r="H8154" s="64"/>
      <c r="I8154" s="70"/>
      <c r="J8154" s="70"/>
      <c r="K8154" s="110" t="str">
        <f>IF(H8154="","",IF($C$29="간이법","",FPR(H8154,I8154,J8154)))</f>
        <v/>
      </c>
      <c r="L8154" s="111" t="str">
        <f>IF(H8154="","",IF($C$29="상세법",FPV(H8154,K8154),IF(H8154="EI",4,IF(H8154="EO",5.2,IF(H8154="EQ",3.9,IF(H8154="ILF",7.5,IF(H8154="EIF",5.4)))))))</f>
        <v/>
      </c>
      <c r="M8154" s="112" t="str">
        <f t="shared" si="130"/>
        <v/>
      </c>
      <c r="N8154" s="113"/>
    </row>
    <row r="8155" spans="2:14">
      <c r="B8155" s="105"/>
      <c r="C8155" s="106"/>
      <c r="D8155" s="107"/>
      <c r="E8155" s="65"/>
      <c r="F8155" s="64"/>
      <c r="G8155" s="64"/>
      <c r="H8155" s="64"/>
      <c r="I8155" s="70"/>
      <c r="J8155" s="70"/>
      <c r="K8155" s="110" t="str">
        <f>IF(H8155="","",IF($C$29="간이법","",FPR(H8155,I8155,J8155)))</f>
        <v/>
      </c>
      <c r="L8155" s="111" t="str">
        <f>IF(H8155="","",IF($C$29="상세법",FPV(H8155,K8155),IF(H8155="EI",4,IF(H8155="EO",5.2,IF(H8155="EQ",3.9,IF(H8155="ILF",7.5,IF(H8155="EIF",5.4)))))))</f>
        <v/>
      </c>
      <c r="M8155" s="112" t="str">
        <f t="shared" si="130"/>
        <v/>
      </c>
      <c r="N8155" s="113"/>
    </row>
    <row r="8156" spans="2:14">
      <c r="B8156" s="105"/>
      <c r="C8156" s="106"/>
      <c r="D8156" s="107"/>
      <c r="E8156" s="65"/>
      <c r="F8156" s="64"/>
      <c r="G8156" s="64"/>
      <c r="H8156" s="64"/>
      <c r="I8156" s="70"/>
      <c r="J8156" s="70"/>
      <c r="K8156" s="110" t="str">
        <f>IF(H8156="","",IF($C$29="간이법","",FPR(H8156,I8156,J8156)))</f>
        <v/>
      </c>
      <c r="L8156" s="111" t="str">
        <f>IF(H8156="","",IF($C$29="상세법",FPV(H8156,K8156),IF(H8156="EI",4,IF(H8156="EO",5.2,IF(H8156="EQ",3.9,IF(H8156="ILF",7.5,IF(H8156="EIF",5.4)))))))</f>
        <v/>
      </c>
      <c r="M8156" s="112" t="str">
        <f t="shared" si="130"/>
        <v/>
      </c>
      <c r="N8156" s="113"/>
    </row>
    <row r="8157" spans="2:14">
      <c r="B8157" s="105"/>
      <c r="C8157" s="106"/>
      <c r="D8157" s="107"/>
      <c r="E8157" s="65"/>
      <c r="F8157" s="64"/>
      <c r="G8157" s="64"/>
      <c r="H8157" s="64"/>
      <c r="I8157" s="70"/>
      <c r="J8157" s="70"/>
      <c r="K8157" s="110" t="str">
        <f>IF(H8157="","",IF($C$29="간이법","",FPR(H8157,I8157,J8157)))</f>
        <v/>
      </c>
      <c r="L8157" s="111" t="str">
        <f>IF(H8157="","",IF($C$29="상세법",FPV(H8157,K8157),IF(H8157="EI",4,IF(H8157="EO",5.2,IF(H8157="EQ",3.9,IF(H8157="ILF",7.5,IF(H8157="EIF",5.4)))))))</f>
        <v/>
      </c>
      <c r="M8157" s="112" t="str">
        <f t="shared" si="130"/>
        <v/>
      </c>
      <c r="N8157" s="113"/>
    </row>
    <row r="8158" spans="2:14">
      <c r="B8158" s="105"/>
      <c r="C8158" s="106"/>
      <c r="D8158" s="107"/>
      <c r="E8158" s="65"/>
      <c r="F8158" s="64"/>
      <c r="G8158" s="64"/>
      <c r="H8158" s="64"/>
      <c r="I8158" s="70"/>
      <c r="J8158" s="70"/>
      <c r="K8158" s="110" t="str">
        <f>IF(H8158="","",IF($C$29="간이법","",FPR(H8158,I8158,J8158)))</f>
        <v/>
      </c>
      <c r="L8158" s="111" t="str">
        <f>IF(H8158="","",IF($C$29="상세법",FPV(H8158,K8158),IF(H8158="EI",4,IF(H8158="EO",5.2,IF(H8158="EQ",3.9,IF(H8158="ILF",7.5,IF(H8158="EIF",5.4)))))))</f>
        <v/>
      </c>
      <c r="M8158" s="112" t="str">
        <f t="shared" si="130"/>
        <v/>
      </c>
      <c r="N8158" s="113"/>
    </row>
    <row r="8159" spans="2:14">
      <c r="B8159" s="105"/>
      <c r="C8159" s="106"/>
      <c r="D8159" s="107"/>
      <c r="E8159" s="65"/>
      <c r="F8159" s="64"/>
      <c r="G8159" s="64"/>
      <c r="H8159" s="64"/>
      <c r="I8159" s="70"/>
      <c r="J8159" s="70"/>
      <c r="K8159" s="110" t="str">
        <f>IF(H8159="","",IF($C$29="간이법","",FPR(H8159,I8159,J8159)))</f>
        <v/>
      </c>
      <c r="L8159" s="111" t="str">
        <f>IF(H8159="","",IF($C$29="상세법",FPV(H8159,K8159),IF(H8159="EI",4,IF(H8159="EO",5.2,IF(H8159="EQ",3.9,IF(H8159="ILF",7.5,IF(H8159="EIF",5.4)))))))</f>
        <v/>
      </c>
      <c r="M8159" s="112" t="str">
        <f t="shared" si="130"/>
        <v/>
      </c>
      <c r="N8159" s="113"/>
    </row>
    <row r="8160" spans="2:14">
      <c r="B8160" s="105"/>
      <c r="C8160" s="106"/>
      <c r="D8160" s="107"/>
      <c r="E8160" s="65"/>
      <c r="F8160" s="64"/>
      <c r="G8160" s="64"/>
      <c r="H8160" s="64"/>
      <c r="I8160" s="70"/>
      <c r="J8160" s="70"/>
      <c r="K8160" s="110" t="str">
        <f>IF(H8160="","",IF($C$29="간이법","",FPR(H8160,I8160,J8160)))</f>
        <v/>
      </c>
      <c r="L8160" s="111" t="str">
        <f>IF(H8160="","",IF($C$29="상세법",FPV(H8160,K8160),IF(H8160="EI",4,IF(H8160="EO",5.2,IF(H8160="EQ",3.9,IF(H8160="ILF",7.5,IF(H8160="EIF",5.4)))))))</f>
        <v/>
      </c>
      <c r="M8160" s="112" t="str">
        <f t="shared" si="130"/>
        <v/>
      </c>
      <c r="N8160" s="113"/>
    </row>
    <row r="8161" spans="2:14">
      <c r="B8161" s="105"/>
      <c r="C8161" s="106"/>
      <c r="D8161" s="107"/>
      <c r="E8161" s="65"/>
      <c r="F8161" s="64"/>
      <c r="G8161" s="64"/>
      <c r="H8161" s="64"/>
      <c r="I8161" s="70"/>
      <c r="J8161" s="70"/>
      <c r="K8161" s="110" t="str">
        <f>IF(H8161="","",IF($C$29="간이법","",FPR(H8161,I8161,J8161)))</f>
        <v/>
      </c>
      <c r="L8161" s="111" t="str">
        <f>IF(H8161="","",IF($C$29="상세법",FPV(H8161,K8161),IF(H8161="EI",4,IF(H8161="EO",5.2,IF(H8161="EQ",3.9,IF(H8161="ILF",7.5,IF(H8161="EIF",5.4)))))))</f>
        <v/>
      </c>
      <c r="M8161" s="112" t="str">
        <f t="shared" si="130"/>
        <v/>
      </c>
      <c r="N8161" s="113"/>
    </row>
    <row r="8162" spans="2:14">
      <c r="B8162" s="105"/>
      <c r="C8162" s="106"/>
      <c r="D8162" s="107"/>
      <c r="E8162" s="65"/>
      <c r="F8162" s="64"/>
      <c r="G8162" s="64"/>
      <c r="H8162" s="64"/>
      <c r="I8162" s="70"/>
      <c r="J8162" s="70"/>
      <c r="K8162" s="110" t="str">
        <f>IF(H8162="","",IF($C$29="간이법","",FPR(H8162,I8162,J8162)))</f>
        <v/>
      </c>
      <c r="L8162" s="111" t="str">
        <f>IF(H8162="","",IF($C$29="상세법",FPV(H8162,K8162),IF(H8162="EI",4,IF(H8162="EO",5.2,IF(H8162="EQ",3.9,IF(H8162="ILF",7.5,IF(H8162="EIF",5.4)))))))</f>
        <v/>
      </c>
      <c r="M8162" s="112" t="str">
        <f t="shared" si="130"/>
        <v/>
      </c>
      <c r="N8162" s="113"/>
    </row>
    <row r="8163" spans="2:14">
      <c r="B8163" s="105"/>
      <c r="C8163" s="106"/>
      <c r="D8163" s="107"/>
      <c r="E8163" s="65"/>
      <c r="F8163" s="64"/>
      <c r="G8163" s="64"/>
      <c r="H8163" s="64"/>
      <c r="I8163" s="70"/>
      <c r="J8163" s="70"/>
      <c r="K8163" s="110" t="str">
        <f>IF(H8163="","",IF($C$29="간이법","",FPR(H8163,I8163,J8163)))</f>
        <v/>
      </c>
      <c r="L8163" s="111" t="str">
        <f>IF(H8163="","",IF($C$29="상세법",FPV(H8163,K8163),IF(H8163="EI",4,IF(H8163="EO",5.2,IF(H8163="EQ",3.9,IF(H8163="ILF",7.5,IF(H8163="EIF",5.4)))))))</f>
        <v/>
      </c>
      <c r="M8163" s="112" t="str">
        <f t="shared" si="130"/>
        <v/>
      </c>
      <c r="N8163" s="113"/>
    </row>
    <row r="8164" spans="2:14">
      <c r="B8164" s="105"/>
      <c r="C8164" s="106"/>
      <c r="D8164" s="107"/>
      <c r="E8164" s="65"/>
      <c r="F8164" s="64"/>
      <c r="G8164" s="64"/>
      <c r="H8164" s="64"/>
      <c r="I8164" s="70"/>
      <c r="J8164" s="70"/>
      <c r="K8164" s="110" t="str">
        <f>IF(H8164="","",IF($C$29="간이법","",FPR(H8164,I8164,J8164)))</f>
        <v/>
      </c>
      <c r="L8164" s="111" t="str">
        <f>IF(H8164="","",IF($C$29="상세법",FPV(H8164,K8164),IF(H8164="EI",4,IF(H8164="EO",5.2,IF(H8164="EQ",3.9,IF(H8164="ILF",7.5,IF(H8164="EIF",5.4)))))))</f>
        <v/>
      </c>
      <c r="M8164" s="112" t="str">
        <f t="shared" si="130"/>
        <v/>
      </c>
      <c r="N8164" s="113"/>
    </row>
    <row r="8165" spans="2:14">
      <c r="B8165" s="105"/>
      <c r="C8165" s="106"/>
      <c r="D8165" s="107"/>
      <c r="E8165" s="65"/>
      <c r="F8165" s="64"/>
      <c r="G8165" s="64"/>
      <c r="H8165" s="64"/>
      <c r="I8165" s="70"/>
      <c r="J8165" s="70"/>
      <c r="K8165" s="110" t="str">
        <f>IF(H8165="","",IF($C$29="간이법","",FPR(H8165,I8165,J8165)))</f>
        <v/>
      </c>
      <c r="L8165" s="111" t="str">
        <f>IF(H8165="","",IF($C$29="상세법",FPV(H8165,K8165),IF(H8165="EI",4,IF(H8165="EO",5.2,IF(H8165="EQ",3.9,IF(H8165="ILF",7.5,IF(H8165="EIF",5.4)))))))</f>
        <v/>
      </c>
      <c r="M8165" s="112" t="str">
        <f t="shared" si="130"/>
        <v/>
      </c>
      <c r="N8165" s="113"/>
    </row>
    <row r="8166" spans="2:14">
      <c r="B8166" s="105"/>
      <c r="C8166" s="106"/>
      <c r="D8166" s="107"/>
      <c r="E8166" s="65"/>
      <c r="F8166" s="64"/>
      <c r="G8166" s="64"/>
      <c r="H8166" s="64"/>
      <c r="I8166" s="70"/>
      <c r="J8166" s="70"/>
      <c r="K8166" s="110" t="str">
        <f>IF(H8166="","",IF($C$29="간이법","",FPR(H8166,I8166,J8166)))</f>
        <v/>
      </c>
      <c r="L8166" s="111" t="str">
        <f>IF(H8166="","",IF($C$29="상세법",FPV(H8166,K8166),IF(H8166="EI",4,IF(H8166="EO",5.2,IF(H8166="EQ",3.9,IF(H8166="ILF",7.5,IF(H8166="EIF",5.4)))))))</f>
        <v/>
      </c>
      <c r="M8166" s="112" t="str">
        <f t="shared" si="130"/>
        <v/>
      </c>
      <c r="N8166" s="113"/>
    </row>
    <row r="8167" spans="2:14">
      <c r="B8167" s="105"/>
      <c r="C8167" s="106"/>
      <c r="D8167" s="107"/>
      <c r="E8167" s="65"/>
      <c r="F8167" s="64"/>
      <c r="G8167" s="64"/>
      <c r="H8167" s="64"/>
      <c r="I8167" s="70"/>
      <c r="J8167" s="70"/>
      <c r="K8167" s="110" t="str">
        <f>IF(H8167="","",IF($C$29="간이법","",FPR(H8167,I8167,J8167)))</f>
        <v/>
      </c>
      <c r="L8167" s="111" t="str">
        <f>IF(H8167="","",IF($C$29="상세법",FPV(H8167,K8167),IF(H8167="EI",4,IF(H8167="EO",5.2,IF(H8167="EQ",3.9,IF(H8167="ILF",7.5,IF(H8167="EIF",5.4)))))))</f>
        <v/>
      </c>
      <c r="M8167" s="112" t="str">
        <f t="shared" si="130"/>
        <v/>
      </c>
      <c r="N8167" s="113"/>
    </row>
    <row r="8168" spans="2:14">
      <c r="B8168" s="105"/>
      <c r="C8168" s="106"/>
      <c r="D8168" s="107"/>
      <c r="E8168" s="65"/>
      <c r="F8168" s="64"/>
      <c r="G8168" s="64"/>
      <c r="H8168" s="64"/>
      <c r="I8168" s="70"/>
      <c r="J8168" s="70"/>
      <c r="K8168" s="110" t="str">
        <f>IF(H8168="","",IF($C$29="간이법","",FPR(H8168,I8168,J8168)))</f>
        <v/>
      </c>
      <c r="L8168" s="111" t="str">
        <f>IF(H8168="","",IF($C$29="상세법",FPV(H8168,K8168),IF(H8168="EI",4,IF(H8168="EO",5.2,IF(H8168="EQ",3.9,IF(H8168="ILF",7.5,IF(H8168="EIF",5.4)))))))</f>
        <v/>
      </c>
      <c r="M8168" s="112" t="str">
        <f t="shared" si="130"/>
        <v/>
      </c>
      <c r="N8168" s="113"/>
    </row>
    <row r="8169" spans="2:14">
      <c r="B8169" s="105"/>
      <c r="C8169" s="106"/>
      <c r="D8169" s="107"/>
      <c r="E8169" s="65"/>
      <c r="F8169" s="64"/>
      <c r="G8169" s="64"/>
      <c r="H8169" s="64"/>
      <c r="I8169" s="70"/>
      <c r="J8169" s="70"/>
      <c r="K8169" s="110" t="str">
        <f>IF(H8169="","",IF($C$29="간이법","",FPR(H8169,I8169,J8169)))</f>
        <v/>
      </c>
      <c r="L8169" s="111" t="str">
        <f>IF(H8169="","",IF($C$29="상세법",FPV(H8169,K8169),IF(H8169="EI",4,IF(H8169="EO",5.2,IF(H8169="EQ",3.9,IF(H8169="ILF",7.5,IF(H8169="EIF",5.4)))))))</f>
        <v/>
      </c>
      <c r="M8169" s="112" t="str">
        <f t="shared" si="130"/>
        <v/>
      </c>
      <c r="N8169" s="113"/>
    </row>
    <row r="8170" spans="2:14">
      <c r="B8170" s="105"/>
      <c r="C8170" s="106"/>
      <c r="D8170" s="107"/>
      <c r="E8170" s="65"/>
      <c r="F8170" s="64"/>
      <c r="G8170" s="64"/>
      <c r="H8170" s="64"/>
      <c r="I8170" s="70"/>
      <c r="J8170" s="70"/>
      <c r="K8170" s="110" t="str">
        <f>IF(H8170="","",IF($C$29="간이법","",FPR(H8170,I8170,J8170)))</f>
        <v/>
      </c>
      <c r="L8170" s="111" t="str">
        <f>IF(H8170="","",IF($C$29="상세법",FPV(H8170,K8170),IF(H8170="EI",4,IF(H8170="EO",5.2,IF(H8170="EQ",3.9,IF(H8170="ILF",7.5,IF(H8170="EIF",5.4)))))))</f>
        <v/>
      </c>
      <c r="M8170" s="112" t="str">
        <f t="shared" si="130"/>
        <v/>
      </c>
      <c r="N8170" s="113"/>
    </row>
    <row r="8171" spans="2:14">
      <c r="B8171" s="105"/>
      <c r="C8171" s="106"/>
      <c r="D8171" s="107"/>
      <c r="E8171" s="65"/>
      <c r="F8171" s="64"/>
      <c r="G8171" s="64"/>
      <c r="H8171" s="64"/>
      <c r="I8171" s="70"/>
      <c r="J8171" s="70"/>
      <c r="K8171" s="110" t="str">
        <f>IF(H8171="","",IF($C$29="간이법","",FPR(H8171,I8171,J8171)))</f>
        <v/>
      </c>
      <c r="L8171" s="111" t="str">
        <f>IF(H8171="","",IF($C$29="상세법",FPV(H8171,K8171),IF(H8171="EI",4,IF(H8171="EO",5.2,IF(H8171="EQ",3.9,IF(H8171="ILF",7.5,IF(H8171="EIF",5.4)))))))</f>
        <v/>
      </c>
      <c r="M8171" s="112" t="str">
        <f t="shared" si="130"/>
        <v/>
      </c>
      <c r="N8171" s="113"/>
    </row>
    <row r="8172" spans="2:14">
      <c r="B8172" s="105"/>
      <c r="C8172" s="106"/>
      <c r="D8172" s="107"/>
      <c r="E8172" s="65"/>
      <c r="F8172" s="64"/>
      <c r="G8172" s="64"/>
      <c r="H8172" s="64"/>
      <c r="I8172" s="70"/>
      <c r="J8172" s="70"/>
      <c r="K8172" s="110" t="str">
        <f>IF(H8172="","",IF($C$29="간이법","",FPR(H8172,I8172,J8172)))</f>
        <v/>
      </c>
      <c r="L8172" s="111" t="str">
        <f>IF(H8172="","",IF($C$29="상세법",FPV(H8172,K8172),IF(H8172="EI",4,IF(H8172="EO",5.2,IF(H8172="EQ",3.9,IF(H8172="ILF",7.5,IF(H8172="EIF",5.4)))))))</f>
        <v/>
      </c>
      <c r="M8172" s="112" t="str">
        <f t="shared" si="130"/>
        <v/>
      </c>
      <c r="N8172" s="113"/>
    </row>
    <row r="8173" spans="2:14">
      <c r="B8173" s="105"/>
      <c r="C8173" s="106"/>
      <c r="D8173" s="107"/>
      <c r="E8173" s="65"/>
      <c r="F8173" s="64"/>
      <c r="G8173" s="64"/>
      <c r="H8173" s="64"/>
      <c r="I8173" s="70"/>
      <c r="J8173" s="70"/>
      <c r="K8173" s="110" t="str">
        <f>IF(H8173="","",IF($C$29="간이법","",FPR(H8173,I8173,J8173)))</f>
        <v/>
      </c>
      <c r="L8173" s="111" t="str">
        <f>IF(H8173="","",IF($C$29="상세법",FPV(H8173,K8173),IF(H8173="EI",4,IF(H8173="EO",5.2,IF(H8173="EQ",3.9,IF(H8173="ILF",7.5,IF(H8173="EIF",5.4)))))))</f>
        <v/>
      </c>
      <c r="M8173" s="112" t="str">
        <f t="shared" si="130"/>
        <v/>
      </c>
      <c r="N8173" s="113"/>
    </row>
    <row r="8174" spans="2:14">
      <c r="B8174" s="105"/>
      <c r="C8174" s="106"/>
      <c r="D8174" s="107"/>
      <c r="E8174" s="65"/>
      <c r="F8174" s="64"/>
      <c r="G8174" s="64"/>
      <c r="H8174" s="64"/>
      <c r="I8174" s="70"/>
      <c r="J8174" s="70"/>
      <c r="K8174" s="110" t="str">
        <f>IF(H8174="","",IF($C$29="간이법","",FPR(H8174,I8174,J8174)))</f>
        <v/>
      </c>
      <c r="L8174" s="111" t="str">
        <f>IF(H8174="","",IF($C$29="상세법",FPV(H8174,K8174),IF(H8174="EI",4,IF(H8174="EO",5.2,IF(H8174="EQ",3.9,IF(H8174="ILF",7.5,IF(H8174="EIF",5.4)))))))</f>
        <v/>
      </c>
      <c r="M8174" s="112" t="str">
        <f t="shared" si="130"/>
        <v/>
      </c>
      <c r="N8174" s="113"/>
    </row>
    <row r="8175" spans="2:14">
      <c r="B8175" s="105"/>
      <c r="C8175" s="106"/>
      <c r="D8175" s="107"/>
      <c r="E8175" s="65"/>
      <c r="F8175" s="64"/>
      <c r="G8175" s="64"/>
      <c r="H8175" s="64"/>
      <c r="I8175" s="70"/>
      <c r="J8175" s="70"/>
      <c r="K8175" s="110" t="str">
        <f>IF(H8175="","",IF($C$29="간이법","",FPR(H8175,I8175,J8175)))</f>
        <v/>
      </c>
      <c r="L8175" s="111" t="str">
        <f>IF(H8175="","",IF($C$29="상세법",FPV(H8175,K8175),IF(H8175="EI",4,IF(H8175="EO",5.2,IF(H8175="EQ",3.9,IF(H8175="ILF",7.5,IF(H8175="EIF",5.4)))))))</f>
        <v/>
      </c>
      <c r="M8175" s="112" t="str">
        <f t="shared" si="130"/>
        <v/>
      </c>
      <c r="N8175" s="113"/>
    </row>
    <row r="8176" spans="2:14">
      <c r="B8176" s="105"/>
      <c r="C8176" s="106"/>
      <c r="D8176" s="107"/>
      <c r="E8176" s="65"/>
      <c r="F8176" s="64"/>
      <c r="G8176" s="64"/>
      <c r="H8176" s="64"/>
      <c r="I8176" s="70"/>
      <c r="J8176" s="70"/>
      <c r="K8176" s="110" t="str">
        <f>IF(H8176="","",IF($C$29="간이법","",FPR(H8176,I8176,J8176)))</f>
        <v/>
      </c>
      <c r="L8176" s="111" t="str">
        <f>IF(H8176="","",IF($C$29="상세법",FPV(H8176,K8176),IF(H8176="EI",4,IF(H8176="EO",5.2,IF(H8176="EQ",3.9,IF(H8176="ILF",7.5,IF(H8176="EIF",5.4)))))))</f>
        <v/>
      </c>
      <c r="M8176" s="112" t="str">
        <f t="shared" si="130"/>
        <v/>
      </c>
      <c r="N8176" s="113"/>
    </row>
    <row r="8177" spans="2:14">
      <c r="B8177" s="105"/>
      <c r="C8177" s="106"/>
      <c r="D8177" s="107"/>
      <c r="E8177" s="65"/>
      <c r="F8177" s="64"/>
      <c r="G8177" s="64"/>
      <c r="H8177" s="64"/>
      <c r="I8177" s="70"/>
      <c r="J8177" s="70"/>
      <c r="K8177" s="110" t="str">
        <f>IF(H8177="","",IF($C$29="간이법","",FPR(H8177,I8177,J8177)))</f>
        <v/>
      </c>
      <c r="L8177" s="111" t="str">
        <f>IF(H8177="","",IF($C$29="상세법",FPV(H8177,K8177),IF(H8177="EI",4,IF(H8177="EO",5.2,IF(H8177="EQ",3.9,IF(H8177="ILF",7.5,IF(H8177="EIF",5.4)))))))</f>
        <v/>
      </c>
      <c r="M8177" s="112" t="str">
        <f t="shared" si="130"/>
        <v/>
      </c>
      <c r="N8177" s="113"/>
    </row>
    <row r="8178" spans="2:14">
      <c r="B8178" s="105"/>
      <c r="C8178" s="106"/>
      <c r="D8178" s="107"/>
      <c r="E8178" s="65"/>
      <c r="F8178" s="64"/>
      <c r="G8178" s="64"/>
      <c r="H8178" s="64"/>
      <c r="I8178" s="70"/>
      <c r="J8178" s="70"/>
      <c r="K8178" s="110" t="str">
        <f>IF(H8178="","",IF($C$29="간이법","",FPR(H8178,I8178,J8178)))</f>
        <v/>
      </c>
      <c r="L8178" s="111" t="str">
        <f>IF(H8178="","",IF($C$29="상세법",FPV(H8178,K8178),IF(H8178="EI",4,IF(H8178="EO",5.2,IF(H8178="EQ",3.9,IF(H8178="ILF",7.5,IF(H8178="EIF",5.4)))))))</f>
        <v/>
      </c>
      <c r="M8178" s="112" t="str">
        <f t="shared" si="130"/>
        <v/>
      </c>
      <c r="N8178" s="113"/>
    </row>
    <row r="8179" spans="2:14">
      <c r="B8179" s="105"/>
      <c r="C8179" s="106"/>
      <c r="D8179" s="107"/>
      <c r="E8179" s="65"/>
      <c r="F8179" s="64"/>
      <c r="G8179" s="64"/>
      <c r="H8179" s="64"/>
      <c r="I8179" s="70"/>
      <c r="J8179" s="70"/>
      <c r="K8179" s="110" t="str">
        <f>IF(H8179="","",IF($C$29="간이법","",FPR(H8179,I8179,J8179)))</f>
        <v/>
      </c>
      <c r="L8179" s="111" t="str">
        <f>IF(H8179="","",IF($C$29="상세법",FPV(H8179,K8179),IF(H8179="EI",4,IF(H8179="EO",5.2,IF(H8179="EQ",3.9,IF(H8179="ILF",7.5,IF(H8179="EIF",5.4)))))))</f>
        <v/>
      </c>
      <c r="M8179" s="112" t="str">
        <f t="shared" si="130"/>
        <v/>
      </c>
      <c r="N8179" s="113"/>
    </row>
    <row r="8180" spans="2:14">
      <c r="B8180" s="105"/>
      <c r="C8180" s="106"/>
      <c r="D8180" s="107"/>
      <c r="E8180" s="65"/>
      <c r="F8180" s="64"/>
      <c r="G8180" s="64"/>
      <c r="H8180" s="64"/>
      <c r="I8180" s="70"/>
      <c r="J8180" s="70"/>
      <c r="K8180" s="110" t="str">
        <f>IF(H8180="","",IF($C$29="간이법","",FPR(H8180,I8180,J8180)))</f>
        <v/>
      </c>
      <c r="L8180" s="111" t="str">
        <f>IF(H8180="","",IF($C$29="상세법",FPV(H8180,K8180),IF(H8180="EI",4,IF(H8180="EO",5.2,IF(H8180="EQ",3.9,IF(H8180="ILF",7.5,IF(H8180="EIF",5.4)))))))</f>
        <v/>
      </c>
      <c r="M8180" s="112" t="str">
        <f t="shared" si="130"/>
        <v/>
      </c>
      <c r="N8180" s="113"/>
    </row>
    <row r="8181" spans="2:14">
      <c r="B8181" s="105"/>
      <c r="C8181" s="106"/>
      <c r="D8181" s="107"/>
      <c r="E8181" s="65"/>
      <c r="F8181" s="64"/>
      <c r="G8181" s="64"/>
      <c r="H8181" s="64"/>
      <c r="I8181" s="70"/>
      <c r="J8181" s="70"/>
      <c r="K8181" s="110" t="str">
        <f>IF(H8181="","",IF($C$29="간이법","",FPR(H8181,I8181,J8181)))</f>
        <v/>
      </c>
      <c r="L8181" s="111" t="str">
        <f>IF(H8181="","",IF($C$29="상세법",FPV(H8181,K8181),IF(H8181="EI",4,IF(H8181="EO",5.2,IF(H8181="EQ",3.9,IF(H8181="ILF",7.5,IF(H8181="EIF",5.4)))))))</f>
        <v/>
      </c>
      <c r="M8181" s="112" t="str">
        <f t="shared" si="130"/>
        <v/>
      </c>
      <c r="N8181" s="113"/>
    </row>
    <row r="8182" spans="2:14">
      <c r="B8182" s="105"/>
      <c r="C8182" s="106"/>
      <c r="D8182" s="107"/>
      <c r="E8182" s="65"/>
      <c r="F8182" s="64"/>
      <c r="G8182" s="64"/>
      <c r="H8182" s="64"/>
      <c r="I8182" s="70"/>
      <c r="J8182" s="70"/>
      <c r="K8182" s="110" t="str">
        <f>IF(H8182="","",IF($C$29="간이법","",FPR(H8182,I8182,J8182)))</f>
        <v/>
      </c>
      <c r="L8182" s="111" t="str">
        <f>IF(H8182="","",IF($C$29="상세법",FPV(H8182,K8182),IF(H8182="EI",4,IF(H8182="EO",5.2,IF(H8182="EQ",3.9,IF(H8182="ILF",7.5,IF(H8182="EIF",5.4)))))))</f>
        <v/>
      </c>
      <c r="M8182" s="112" t="str">
        <f t="shared" si="130"/>
        <v/>
      </c>
      <c r="N8182" s="113"/>
    </row>
    <row r="8183" spans="2:14">
      <c r="B8183" s="105"/>
      <c r="C8183" s="106"/>
      <c r="D8183" s="107"/>
      <c r="E8183" s="65"/>
      <c r="F8183" s="64"/>
      <c r="G8183" s="64"/>
      <c r="H8183" s="64"/>
      <c r="I8183" s="70"/>
      <c r="J8183" s="70"/>
      <c r="K8183" s="110" t="str">
        <f>IF(H8183="","",IF($C$29="간이법","",FPR(H8183,I8183,J8183)))</f>
        <v/>
      </c>
      <c r="L8183" s="111" t="str">
        <f>IF(H8183="","",IF($C$29="상세법",FPV(H8183,K8183),IF(H8183="EI",4,IF(H8183="EO",5.2,IF(H8183="EQ",3.9,IF(H8183="ILF",7.5,IF(H8183="EIF",5.4)))))))</f>
        <v/>
      </c>
      <c r="M8183" s="112" t="str">
        <f t="shared" si="130"/>
        <v/>
      </c>
      <c r="N8183" s="113"/>
    </row>
    <row r="8184" spans="2:14">
      <c r="B8184" s="105"/>
      <c r="C8184" s="106"/>
      <c r="D8184" s="107"/>
      <c r="E8184" s="65"/>
      <c r="F8184" s="64"/>
      <c r="G8184" s="64"/>
      <c r="H8184" s="64"/>
      <c r="I8184" s="70"/>
      <c r="J8184" s="70"/>
      <c r="K8184" s="110" t="str">
        <f>IF(H8184="","",IF($C$29="간이법","",FPR(H8184,I8184,J8184)))</f>
        <v/>
      </c>
      <c r="L8184" s="111" t="str">
        <f>IF(H8184="","",IF($C$29="상세법",FPV(H8184,K8184),IF(H8184="EI",4,IF(H8184="EO",5.2,IF(H8184="EQ",3.9,IF(H8184="ILF",7.5,IF(H8184="EIF",5.4)))))))</f>
        <v/>
      </c>
      <c r="M8184" s="112" t="str">
        <f t="shared" si="130"/>
        <v/>
      </c>
      <c r="N8184" s="113"/>
    </row>
    <row r="8185" spans="2:14">
      <c r="B8185" s="105"/>
      <c r="C8185" s="106"/>
      <c r="D8185" s="107"/>
      <c r="E8185" s="65"/>
      <c r="F8185" s="64"/>
      <c r="G8185" s="64"/>
      <c r="H8185" s="64"/>
      <c r="I8185" s="70"/>
      <c r="J8185" s="70"/>
      <c r="K8185" s="110" t="str">
        <f>IF(H8185="","",IF($C$29="간이법","",FPR(H8185,I8185,J8185)))</f>
        <v/>
      </c>
      <c r="L8185" s="111" t="str">
        <f>IF(H8185="","",IF($C$29="상세법",FPV(H8185,K8185),IF(H8185="EI",4,IF(H8185="EO",5.2,IF(H8185="EQ",3.9,IF(H8185="ILF",7.5,IF(H8185="EIF",5.4)))))))</f>
        <v/>
      </c>
      <c r="M8185" s="112" t="str">
        <f t="shared" ref="M8185:M8248" si="131">IF(L8185="","",L8185*IF(G8185="상",0.7,IF(G8185="중",0.5,IF(G8185="하",0.2,1))))</f>
        <v/>
      </c>
      <c r="N8185" s="113"/>
    </row>
    <row r="8186" spans="2:14">
      <c r="B8186" s="105"/>
      <c r="C8186" s="106"/>
      <c r="D8186" s="107"/>
      <c r="E8186" s="65"/>
      <c r="F8186" s="64"/>
      <c r="G8186" s="64"/>
      <c r="H8186" s="64"/>
      <c r="I8186" s="70"/>
      <c r="J8186" s="70"/>
      <c r="K8186" s="110" t="str">
        <f>IF(H8186="","",IF($C$29="간이법","",FPR(H8186,I8186,J8186)))</f>
        <v/>
      </c>
      <c r="L8186" s="111" t="str">
        <f>IF(H8186="","",IF($C$29="상세법",FPV(H8186,K8186),IF(H8186="EI",4,IF(H8186="EO",5.2,IF(H8186="EQ",3.9,IF(H8186="ILF",7.5,IF(H8186="EIF",5.4)))))))</f>
        <v/>
      </c>
      <c r="M8186" s="112" t="str">
        <f t="shared" si="131"/>
        <v/>
      </c>
      <c r="N8186" s="113"/>
    </row>
    <row r="8187" spans="2:14">
      <c r="B8187" s="105"/>
      <c r="C8187" s="106"/>
      <c r="D8187" s="107"/>
      <c r="E8187" s="65"/>
      <c r="F8187" s="64"/>
      <c r="G8187" s="64"/>
      <c r="H8187" s="64"/>
      <c r="I8187" s="70"/>
      <c r="J8187" s="70"/>
      <c r="K8187" s="110" t="str">
        <f>IF(H8187="","",IF($C$29="간이법","",FPR(H8187,I8187,J8187)))</f>
        <v/>
      </c>
      <c r="L8187" s="111" t="str">
        <f>IF(H8187="","",IF($C$29="상세법",FPV(H8187,K8187),IF(H8187="EI",4,IF(H8187="EO",5.2,IF(H8187="EQ",3.9,IF(H8187="ILF",7.5,IF(H8187="EIF",5.4)))))))</f>
        <v/>
      </c>
      <c r="M8187" s="112" t="str">
        <f t="shared" si="131"/>
        <v/>
      </c>
      <c r="N8187" s="113"/>
    </row>
    <row r="8188" spans="2:14">
      <c r="B8188" s="105"/>
      <c r="C8188" s="106"/>
      <c r="D8188" s="107"/>
      <c r="E8188" s="65"/>
      <c r="F8188" s="64"/>
      <c r="G8188" s="64"/>
      <c r="H8188" s="64"/>
      <c r="I8188" s="70"/>
      <c r="J8188" s="70"/>
      <c r="K8188" s="110" t="str">
        <f>IF(H8188="","",IF($C$29="간이법","",FPR(H8188,I8188,J8188)))</f>
        <v/>
      </c>
      <c r="L8188" s="111" t="str">
        <f>IF(H8188="","",IF($C$29="상세법",FPV(H8188,K8188),IF(H8188="EI",4,IF(H8188="EO",5.2,IF(H8188="EQ",3.9,IF(H8188="ILF",7.5,IF(H8188="EIF",5.4)))))))</f>
        <v/>
      </c>
      <c r="M8188" s="112" t="str">
        <f t="shared" si="131"/>
        <v/>
      </c>
      <c r="N8188" s="113"/>
    </row>
    <row r="8189" spans="2:14">
      <c r="B8189" s="105"/>
      <c r="C8189" s="106"/>
      <c r="D8189" s="107"/>
      <c r="E8189" s="65"/>
      <c r="F8189" s="64"/>
      <c r="G8189" s="64"/>
      <c r="H8189" s="64"/>
      <c r="I8189" s="70"/>
      <c r="J8189" s="70"/>
      <c r="K8189" s="110" t="str">
        <f>IF(H8189="","",IF($C$29="간이법","",FPR(H8189,I8189,J8189)))</f>
        <v/>
      </c>
      <c r="L8189" s="111" t="str">
        <f>IF(H8189="","",IF($C$29="상세법",FPV(H8189,K8189),IF(H8189="EI",4,IF(H8189="EO",5.2,IF(H8189="EQ",3.9,IF(H8189="ILF",7.5,IF(H8189="EIF",5.4)))))))</f>
        <v/>
      </c>
      <c r="M8189" s="112" t="str">
        <f t="shared" si="131"/>
        <v/>
      </c>
      <c r="N8189" s="113"/>
    </row>
    <row r="8190" spans="2:14">
      <c r="B8190" s="105"/>
      <c r="C8190" s="106"/>
      <c r="D8190" s="107"/>
      <c r="E8190" s="65"/>
      <c r="F8190" s="64"/>
      <c r="G8190" s="64"/>
      <c r="H8190" s="64"/>
      <c r="I8190" s="70"/>
      <c r="J8190" s="70"/>
      <c r="K8190" s="110" t="str">
        <f>IF(H8190="","",IF($C$29="간이법","",FPR(H8190,I8190,J8190)))</f>
        <v/>
      </c>
      <c r="L8190" s="111" t="str">
        <f>IF(H8190="","",IF($C$29="상세법",FPV(H8190,K8190),IF(H8190="EI",4,IF(H8190="EO",5.2,IF(H8190="EQ",3.9,IF(H8190="ILF",7.5,IF(H8190="EIF",5.4)))))))</f>
        <v/>
      </c>
      <c r="M8190" s="112" t="str">
        <f t="shared" si="131"/>
        <v/>
      </c>
      <c r="N8190" s="113"/>
    </row>
    <row r="8191" spans="2:14">
      <c r="B8191" s="105"/>
      <c r="C8191" s="106"/>
      <c r="D8191" s="107"/>
      <c r="E8191" s="65"/>
      <c r="F8191" s="64"/>
      <c r="G8191" s="64"/>
      <c r="H8191" s="64"/>
      <c r="I8191" s="70"/>
      <c r="J8191" s="70"/>
      <c r="K8191" s="110" t="str">
        <f>IF(H8191="","",IF($C$29="간이법","",FPR(H8191,I8191,J8191)))</f>
        <v/>
      </c>
      <c r="L8191" s="111" t="str">
        <f>IF(H8191="","",IF($C$29="상세법",FPV(H8191,K8191),IF(H8191="EI",4,IF(H8191="EO",5.2,IF(H8191="EQ",3.9,IF(H8191="ILF",7.5,IF(H8191="EIF",5.4)))))))</f>
        <v/>
      </c>
      <c r="M8191" s="112" t="str">
        <f t="shared" si="131"/>
        <v/>
      </c>
      <c r="N8191" s="113"/>
    </row>
    <row r="8192" spans="2:14">
      <c r="B8192" s="105"/>
      <c r="C8192" s="106"/>
      <c r="D8192" s="107"/>
      <c r="E8192" s="65"/>
      <c r="F8192" s="64"/>
      <c r="G8192" s="64"/>
      <c r="H8192" s="64"/>
      <c r="I8192" s="70"/>
      <c r="J8192" s="70"/>
      <c r="K8192" s="110" t="str">
        <f>IF(H8192="","",IF($C$29="간이법","",FPR(H8192,I8192,J8192)))</f>
        <v/>
      </c>
      <c r="L8192" s="111" t="str">
        <f>IF(H8192="","",IF($C$29="상세법",FPV(H8192,K8192),IF(H8192="EI",4,IF(H8192="EO",5.2,IF(H8192="EQ",3.9,IF(H8192="ILF",7.5,IF(H8192="EIF",5.4)))))))</f>
        <v/>
      </c>
      <c r="M8192" s="112" t="str">
        <f t="shared" si="131"/>
        <v/>
      </c>
      <c r="N8192" s="113"/>
    </row>
    <row r="8193" spans="2:14">
      <c r="B8193" s="105"/>
      <c r="C8193" s="106"/>
      <c r="D8193" s="107"/>
      <c r="E8193" s="65"/>
      <c r="F8193" s="64"/>
      <c r="G8193" s="64"/>
      <c r="H8193" s="64"/>
      <c r="I8193" s="70"/>
      <c r="J8193" s="70"/>
      <c r="K8193" s="110" t="str">
        <f>IF(H8193="","",IF($C$29="간이법","",FPR(H8193,I8193,J8193)))</f>
        <v/>
      </c>
      <c r="L8193" s="111" t="str">
        <f>IF(H8193="","",IF($C$29="상세법",FPV(H8193,K8193),IF(H8193="EI",4,IF(H8193="EO",5.2,IF(H8193="EQ",3.9,IF(H8193="ILF",7.5,IF(H8193="EIF",5.4)))))))</f>
        <v/>
      </c>
      <c r="M8193" s="112" t="str">
        <f t="shared" si="131"/>
        <v/>
      </c>
      <c r="N8193" s="113"/>
    </row>
    <row r="8194" spans="2:14">
      <c r="B8194" s="105"/>
      <c r="C8194" s="106"/>
      <c r="D8194" s="107"/>
      <c r="E8194" s="65"/>
      <c r="F8194" s="64"/>
      <c r="G8194" s="64"/>
      <c r="H8194" s="64"/>
      <c r="I8194" s="70"/>
      <c r="J8194" s="70"/>
      <c r="K8194" s="110" t="str">
        <f>IF(H8194="","",IF($C$29="간이법","",FPR(H8194,I8194,J8194)))</f>
        <v/>
      </c>
      <c r="L8194" s="111" t="str">
        <f>IF(H8194="","",IF($C$29="상세법",FPV(H8194,K8194),IF(H8194="EI",4,IF(H8194="EO",5.2,IF(H8194="EQ",3.9,IF(H8194="ILF",7.5,IF(H8194="EIF",5.4)))))))</f>
        <v/>
      </c>
      <c r="M8194" s="112" t="str">
        <f t="shared" si="131"/>
        <v/>
      </c>
      <c r="N8194" s="113"/>
    </row>
    <row r="8195" spans="2:14">
      <c r="B8195" s="105"/>
      <c r="C8195" s="106"/>
      <c r="D8195" s="107"/>
      <c r="E8195" s="65"/>
      <c r="F8195" s="64"/>
      <c r="G8195" s="64"/>
      <c r="H8195" s="64"/>
      <c r="I8195" s="70"/>
      <c r="J8195" s="70"/>
      <c r="K8195" s="110" t="str">
        <f>IF(H8195="","",IF($C$29="간이법","",FPR(H8195,I8195,J8195)))</f>
        <v/>
      </c>
      <c r="L8195" s="111" t="str">
        <f>IF(H8195="","",IF($C$29="상세법",FPV(H8195,K8195),IF(H8195="EI",4,IF(H8195="EO",5.2,IF(H8195="EQ",3.9,IF(H8195="ILF",7.5,IF(H8195="EIF",5.4)))))))</f>
        <v/>
      </c>
      <c r="M8195" s="112" t="str">
        <f t="shared" si="131"/>
        <v/>
      </c>
      <c r="N8195" s="113"/>
    </row>
    <row r="8196" spans="2:14">
      <c r="B8196" s="105"/>
      <c r="C8196" s="106"/>
      <c r="D8196" s="107"/>
      <c r="E8196" s="65"/>
      <c r="F8196" s="64"/>
      <c r="G8196" s="64"/>
      <c r="H8196" s="64"/>
      <c r="I8196" s="70"/>
      <c r="J8196" s="70"/>
      <c r="K8196" s="110" t="str">
        <f>IF(H8196="","",IF($C$29="간이법","",FPR(H8196,I8196,J8196)))</f>
        <v/>
      </c>
      <c r="L8196" s="111" t="str">
        <f>IF(H8196="","",IF($C$29="상세법",FPV(H8196,K8196),IF(H8196="EI",4,IF(H8196="EO",5.2,IF(H8196="EQ",3.9,IF(H8196="ILF",7.5,IF(H8196="EIF",5.4)))))))</f>
        <v/>
      </c>
      <c r="M8196" s="112" t="str">
        <f t="shared" si="131"/>
        <v/>
      </c>
      <c r="N8196" s="113"/>
    </row>
    <row r="8197" spans="2:14">
      <c r="B8197" s="105"/>
      <c r="C8197" s="106"/>
      <c r="D8197" s="107"/>
      <c r="E8197" s="65"/>
      <c r="F8197" s="64"/>
      <c r="G8197" s="64"/>
      <c r="H8197" s="64"/>
      <c r="I8197" s="70"/>
      <c r="J8197" s="70"/>
      <c r="K8197" s="110" t="str">
        <f>IF(H8197="","",IF($C$29="간이법","",FPR(H8197,I8197,J8197)))</f>
        <v/>
      </c>
      <c r="L8197" s="111" t="str">
        <f>IF(H8197="","",IF($C$29="상세법",FPV(H8197,K8197),IF(H8197="EI",4,IF(H8197="EO",5.2,IF(H8197="EQ",3.9,IF(H8197="ILF",7.5,IF(H8197="EIF",5.4)))))))</f>
        <v/>
      </c>
      <c r="M8197" s="112" t="str">
        <f t="shared" si="131"/>
        <v/>
      </c>
      <c r="N8197" s="113"/>
    </row>
    <row r="8198" spans="2:14">
      <c r="B8198" s="105"/>
      <c r="C8198" s="106"/>
      <c r="D8198" s="107"/>
      <c r="E8198" s="65"/>
      <c r="F8198" s="64"/>
      <c r="G8198" s="64"/>
      <c r="H8198" s="64"/>
      <c r="I8198" s="70"/>
      <c r="J8198" s="70"/>
      <c r="K8198" s="110" t="str">
        <f>IF(H8198="","",IF($C$29="간이법","",FPR(H8198,I8198,J8198)))</f>
        <v/>
      </c>
      <c r="L8198" s="111" t="str">
        <f>IF(H8198="","",IF($C$29="상세법",FPV(H8198,K8198),IF(H8198="EI",4,IF(H8198="EO",5.2,IF(H8198="EQ",3.9,IF(H8198="ILF",7.5,IF(H8198="EIF",5.4)))))))</f>
        <v/>
      </c>
      <c r="M8198" s="112" t="str">
        <f t="shared" si="131"/>
        <v/>
      </c>
      <c r="N8198" s="113"/>
    </row>
    <row r="8199" spans="2:14">
      <c r="B8199" s="105"/>
      <c r="C8199" s="106"/>
      <c r="D8199" s="107"/>
      <c r="E8199" s="65"/>
      <c r="F8199" s="64"/>
      <c r="G8199" s="64"/>
      <c r="H8199" s="64"/>
      <c r="I8199" s="70"/>
      <c r="J8199" s="70"/>
      <c r="K8199" s="110" t="str">
        <f>IF(H8199="","",IF($C$29="간이법","",FPR(H8199,I8199,J8199)))</f>
        <v/>
      </c>
      <c r="L8199" s="111" t="str">
        <f>IF(H8199="","",IF($C$29="상세법",FPV(H8199,K8199),IF(H8199="EI",4,IF(H8199="EO",5.2,IF(H8199="EQ",3.9,IF(H8199="ILF",7.5,IF(H8199="EIF",5.4)))))))</f>
        <v/>
      </c>
      <c r="M8199" s="112" t="str">
        <f t="shared" si="131"/>
        <v/>
      </c>
      <c r="N8199" s="113"/>
    </row>
    <row r="8200" spans="2:14">
      <c r="B8200" s="105"/>
      <c r="C8200" s="106"/>
      <c r="D8200" s="107"/>
      <c r="E8200" s="65"/>
      <c r="F8200" s="64"/>
      <c r="G8200" s="64"/>
      <c r="H8200" s="64"/>
      <c r="I8200" s="70"/>
      <c r="J8200" s="70"/>
      <c r="K8200" s="110" t="str">
        <f>IF(H8200="","",IF($C$29="간이법","",FPR(H8200,I8200,J8200)))</f>
        <v/>
      </c>
      <c r="L8200" s="111" t="str">
        <f>IF(H8200="","",IF($C$29="상세법",FPV(H8200,K8200),IF(H8200="EI",4,IF(H8200="EO",5.2,IF(H8200="EQ",3.9,IF(H8200="ILF",7.5,IF(H8200="EIF",5.4)))))))</f>
        <v/>
      </c>
      <c r="M8200" s="112" t="str">
        <f t="shared" si="131"/>
        <v/>
      </c>
      <c r="N8200" s="113"/>
    </row>
    <row r="8201" spans="2:14">
      <c r="B8201" s="105"/>
      <c r="C8201" s="106"/>
      <c r="D8201" s="107"/>
      <c r="E8201" s="65"/>
      <c r="F8201" s="64"/>
      <c r="G8201" s="64"/>
      <c r="H8201" s="64"/>
      <c r="I8201" s="70"/>
      <c r="J8201" s="70"/>
      <c r="K8201" s="110" t="str">
        <f>IF(H8201="","",IF($C$29="간이법","",FPR(H8201,I8201,J8201)))</f>
        <v/>
      </c>
      <c r="L8201" s="111" t="str">
        <f>IF(H8201="","",IF($C$29="상세법",FPV(H8201,K8201),IF(H8201="EI",4,IF(H8201="EO",5.2,IF(H8201="EQ",3.9,IF(H8201="ILF",7.5,IF(H8201="EIF",5.4)))))))</f>
        <v/>
      </c>
      <c r="M8201" s="112" t="str">
        <f t="shared" si="131"/>
        <v/>
      </c>
      <c r="N8201" s="113"/>
    </row>
    <row r="8202" spans="2:14">
      <c r="B8202" s="105"/>
      <c r="C8202" s="106"/>
      <c r="D8202" s="107"/>
      <c r="E8202" s="65"/>
      <c r="F8202" s="64"/>
      <c r="G8202" s="64"/>
      <c r="H8202" s="64"/>
      <c r="I8202" s="70"/>
      <c r="J8202" s="70"/>
      <c r="K8202" s="110" t="str">
        <f>IF(H8202="","",IF($C$29="간이법","",FPR(H8202,I8202,J8202)))</f>
        <v/>
      </c>
      <c r="L8202" s="111" t="str">
        <f>IF(H8202="","",IF($C$29="상세법",FPV(H8202,K8202),IF(H8202="EI",4,IF(H8202="EO",5.2,IF(H8202="EQ",3.9,IF(H8202="ILF",7.5,IF(H8202="EIF",5.4)))))))</f>
        <v/>
      </c>
      <c r="M8202" s="112" t="str">
        <f t="shared" si="131"/>
        <v/>
      </c>
      <c r="N8202" s="113"/>
    </row>
    <row r="8203" spans="2:14">
      <c r="B8203" s="105"/>
      <c r="C8203" s="106"/>
      <c r="D8203" s="107"/>
      <c r="E8203" s="65"/>
      <c r="F8203" s="64"/>
      <c r="G8203" s="64"/>
      <c r="H8203" s="64"/>
      <c r="I8203" s="70"/>
      <c r="J8203" s="70"/>
      <c r="K8203" s="110" t="str">
        <f>IF(H8203="","",IF($C$29="간이법","",FPR(H8203,I8203,J8203)))</f>
        <v/>
      </c>
      <c r="L8203" s="111" t="str">
        <f>IF(H8203="","",IF($C$29="상세법",FPV(H8203,K8203),IF(H8203="EI",4,IF(H8203="EO",5.2,IF(H8203="EQ",3.9,IF(H8203="ILF",7.5,IF(H8203="EIF",5.4)))))))</f>
        <v/>
      </c>
      <c r="M8203" s="112" t="str">
        <f t="shared" si="131"/>
        <v/>
      </c>
      <c r="N8203" s="113"/>
    </row>
    <row r="8204" spans="2:14">
      <c r="B8204" s="105"/>
      <c r="C8204" s="106"/>
      <c r="D8204" s="107"/>
      <c r="E8204" s="65"/>
      <c r="F8204" s="64"/>
      <c r="G8204" s="64"/>
      <c r="H8204" s="64"/>
      <c r="I8204" s="70"/>
      <c r="J8204" s="70"/>
      <c r="K8204" s="110" t="str">
        <f>IF(H8204="","",IF($C$29="간이법","",FPR(H8204,I8204,J8204)))</f>
        <v/>
      </c>
      <c r="L8204" s="111" t="str">
        <f>IF(H8204="","",IF($C$29="상세법",FPV(H8204,K8204),IF(H8204="EI",4,IF(H8204="EO",5.2,IF(H8204="EQ",3.9,IF(H8204="ILF",7.5,IF(H8204="EIF",5.4)))))))</f>
        <v/>
      </c>
      <c r="M8204" s="112" t="str">
        <f t="shared" si="131"/>
        <v/>
      </c>
      <c r="N8204" s="113"/>
    </row>
    <row r="8205" spans="2:14">
      <c r="B8205" s="105"/>
      <c r="C8205" s="106"/>
      <c r="D8205" s="107"/>
      <c r="E8205" s="65"/>
      <c r="F8205" s="64"/>
      <c r="G8205" s="64"/>
      <c r="H8205" s="64"/>
      <c r="I8205" s="70"/>
      <c r="J8205" s="70"/>
      <c r="K8205" s="110" t="str">
        <f>IF(H8205="","",IF($C$29="간이법","",FPR(H8205,I8205,J8205)))</f>
        <v/>
      </c>
      <c r="L8205" s="111" t="str">
        <f>IF(H8205="","",IF($C$29="상세법",FPV(H8205,K8205),IF(H8205="EI",4,IF(H8205="EO",5.2,IF(H8205="EQ",3.9,IF(H8205="ILF",7.5,IF(H8205="EIF",5.4)))))))</f>
        <v/>
      </c>
      <c r="M8205" s="112" t="str">
        <f t="shared" si="131"/>
        <v/>
      </c>
      <c r="N8205" s="113"/>
    </row>
    <row r="8206" spans="2:14">
      <c r="B8206" s="105"/>
      <c r="C8206" s="106"/>
      <c r="D8206" s="107"/>
      <c r="E8206" s="65"/>
      <c r="F8206" s="64"/>
      <c r="G8206" s="64"/>
      <c r="H8206" s="64"/>
      <c r="I8206" s="70"/>
      <c r="J8206" s="70"/>
      <c r="K8206" s="110" t="str">
        <f>IF(H8206="","",IF($C$29="간이법","",FPR(H8206,I8206,J8206)))</f>
        <v/>
      </c>
      <c r="L8206" s="111" t="str">
        <f>IF(H8206="","",IF($C$29="상세법",FPV(H8206,K8206),IF(H8206="EI",4,IF(H8206="EO",5.2,IF(H8206="EQ",3.9,IF(H8206="ILF",7.5,IF(H8206="EIF",5.4)))))))</f>
        <v/>
      </c>
      <c r="M8206" s="112" t="str">
        <f t="shared" si="131"/>
        <v/>
      </c>
      <c r="N8206" s="113"/>
    </row>
    <row r="8207" spans="2:14">
      <c r="B8207" s="105"/>
      <c r="C8207" s="106"/>
      <c r="D8207" s="107"/>
      <c r="E8207" s="65"/>
      <c r="F8207" s="64"/>
      <c r="G8207" s="64"/>
      <c r="H8207" s="64"/>
      <c r="I8207" s="70"/>
      <c r="J8207" s="70"/>
      <c r="K8207" s="110" t="str">
        <f>IF(H8207="","",IF($C$29="간이법","",FPR(H8207,I8207,J8207)))</f>
        <v/>
      </c>
      <c r="L8207" s="111" t="str">
        <f>IF(H8207="","",IF($C$29="상세법",FPV(H8207,K8207),IF(H8207="EI",4,IF(H8207="EO",5.2,IF(H8207="EQ",3.9,IF(H8207="ILF",7.5,IF(H8207="EIF",5.4)))))))</f>
        <v/>
      </c>
      <c r="M8207" s="112" t="str">
        <f t="shared" si="131"/>
        <v/>
      </c>
      <c r="N8207" s="113"/>
    </row>
    <row r="8208" spans="2:14">
      <c r="B8208" s="105"/>
      <c r="C8208" s="106"/>
      <c r="D8208" s="107"/>
      <c r="E8208" s="65"/>
      <c r="F8208" s="64"/>
      <c r="G8208" s="64"/>
      <c r="H8208" s="64"/>
      <c r="I8208" s="70"/>
      <c r="J8208" s="70"/>
      <c r="K8208" s="110" t="str">
        <f>IF(H8208="","",IF($C$29="간이법","",FPR(H8208,I8208,J8208)))</f>
        <v/>
      </c>
      <c r="L8208" s="111" t="str">
        <f>IF(H8208="","",IF($C$29="상세법",FPV(H8208,K8208),IF(H8208="EI",4,IF(H8208="EO",5.2,IF(H8208="EQ",3.9,IF(H8208="ILF",7.5,IF(H8208="EIF",5.4)))))))</f>
        <v/>
      </c>
      <c r="M8208" s="112" t="str">
        <f t="shared" si="131"/>
        <v/>
      </c>
      <c r="N8208" s="113"/>
    </row>
    <row r="8209" spans="2:14">
      <c r="B8209" s="105"/>
      <c r="C8209" s="106"/>
      <c r="D8209" s="107"/>
      <c r="E8209" s="65"/>
      <c r="F8209" s="64"/>
      <c r="G8209" s="64"/>
      <c r="H8209" s="64"/>
      <c r="I8209" s="70"/>
      <c r="J8209" s="70"/>
      <c r="K8209" s="110" t="str">
        <f>IF(H8209="","",IF($C$29="간이법","",FPR(H8209,I8209,J8209)))</f>
        <v/>
      </c>
      <c r="L8209" s="111" t="str">
        <f>IF(H8209="","",IF($C$29="상세법",FPV(H8209,K8209),IF(H8209="EI",4,IF(H8209="EO",5.2,IF(H8209="EQ",3.9,IF(H8209="ILF",7.5,IF(H8209="EIF",5.4)))))))</f>
        <v/>
      </c>
      <c r="M8209" s="112" t="str">
        <f t="shared" si="131"/>
        <v/>
      </c>
      <c r="N8209" s="113"/>
    </row>
    <row r="8210" spans="2:14">
      <c r="B8210" s="105"/>
      <c r="C8210" s="106"/>
      <c r="D8210" s="107"/>
      <c r="E8210" s="65"/>
      <c r="F8210" s="64"/>
      <c r="G8210" s="64"/>
      <c r="H8210" s="64"/>
      <c r="I8210" s="70"/>
      <c r="J8210" s="70"/>
      <c r="K8210" s="110" t="str">
        <f>IF(H8210="","",IF($C$29="간이법","",FPR(H8210,I8210,J8210)))</f>
        <v/>
      </c>
      <c r="L8210" s="111" t="str">
        <f>IF(H8210="","",IF($C$29="상세법",FPV(H8210,K8210),IF(H8210="EI",4,IF(H8210="EO",5.2,IF(H8210="EQ",3.9,IF(H8210="ILF",7.5,IF(H8210="EIF",5.4)))))))</f>
        <v/>
      </c>
      <c r="M8210" s="112" t="str">
        <f t="shared" si="131"/>
        <v/>
      </c>
      <c r="N8210" s="113"/>
    </row>
    <row r="8211" spans="2:14">
      <c r="B8211" s="105"/>
      <c r="C8211" s="106"/>
      <c r="D8211" s="107"/>
      <c r="E8211" s="65"/>
      <c r="F8211" s="64"/>
      <c r="G8211" s="64"/>
      <c r="H8211" s="64"/>
      <c r="I8211" s="70"/>
      <c r="J8211" s="70"/>
      <c r="K8211" s="110" t="str">
        <f>IF(H8211="","",IF($C$29="간이법","",FPR(H8211,I8211,J8211)))</f>
        <v/>
      </c>
      <c r="L8211" s="111" t="str">
        <f>IF(H8211="","",IF($C$29="상세법",FPV(H8211,K8211),IF(H8211="EI",4,IF(H8211="EO",5.2,IF(H8211="EQ",3.9,IF(H8211="ILF",7.5,IF(H8211="EIF",5.4)))))))</f>
        <v/>
      </c>
      <c r="M8211" s="112" t="str">
        <f t="shared" si="131"/>
        <v/>
      </c>
      <c r="N8211" s="113"/>
    </row>
    <row r="8212" spans="2:14">
      <c r="B8212" s="105"/>
      <c r="C8212" s="106"/>
      <c r="D8212" s="107"/>
      <c r="E8212" s="65"/>
      <c r="F8212" s="64"/>
      <c r="G8212" s="64"/>
      <c r="H8212" s="64"/>
      <c r="I8212" s="70"/>
      <c r="J8212" s="70"/>
      <c r="K8212" s="110" t="str">
        <f>IF(H8212="","",IF($C$29="간이법","",FPR(H8212,I8212,J8212)))</f>
        <v/>
      </c>
      <c r="L8212" s="111" t="str">
        <f>IF(H8212="","",IF($C$29="상세법",FPV(H8212,K8212),IF(H8212="EI",4,IF(H8212="EO",5.2,IF(H8212="EQ",3.9,IF(H8212="ILF",7.5,IF(H8212="EIF",5.4)))))))</f>
        <v/>
      </c>
      <c r="M8212" s="112" t="str">
        <f t="shared" si="131"/>
        <v/>
      </c>
      <c r="N8212" s="113"/>
    </row>
    <row r="8213" spans="2:14">
      <c r="B8213" s="105"/>
      <c r="C8213" s="106"/>
      <c r="D8213" s="107"/>
      <c r="E8213" s="65"/>
      <c r="F8213" s="64"/>
      <c r="G8213" s="64"/>
      <c r="H8213" s="64"/>
      <c r="I8213" s="70"/>
      <c r="J8213" s="70"/>
      <c r="K8213" s="110" t="str">
        <f>IF(H8213="","",IF($C$29="간이법","",FPR(H8213,I8213,J8213)))</f>
        <v/>
      </c>
      <c r="L8213" s="111" t="str">
        <f>IF(H8213="","",IF($C$29="상세법",FPV(H8213,K8213),IF(H8213="EI",4,IF(H8213="EO",5.2,IF(H8213="EQ",3.9,IF(H8213="ILF",7.5,IF(H8213="EIF",5.4)))))))</f>
        <v/>
      </c>
      <c r="M8213" s="112" t="str">
        <f t="shared" si="131"/>
        <v/>
      </c>
      <c r="N8213" s="113"/>
    </row>
    <row r="8214" spans="2:14">
      <c r="B8214" s="105"/>
      <c r="C8214" s="106"/>
      <c r="D8214" s="107"/>
      <c r="E8214" s="65"/>
      <c r="F8214" s="64"/>
      <c r="G8214" s="64"/>
      <c r="H8214" s="64"/>
      <c r="I8214" s="70"/>
      <c r="J8214" s="70"/>
      <c r="K8214" s="110" t="str">
        <f>IF(H8214="","",IF($C$29="간이법","",FPR(H8214,I8214,J8214)))</f>
        <v/>
      </c>
      <c r="L8214" s="111" t="str">
        <f>IF(H8214="","",IF($C$29="상세법",FPV(H8214,K8214),IF(H8214="EI",4,IF(H8214="EO",5.2,IF(H8214="EQ",3.9,IF(H8214="ILF",7.5,IF(H8214="EIF",5.4)))))))</f>
        <v/>
      </c>
      <c r="M8214" s="112" t="str">
        <f t="shared" si="131"/>
        <v/>
      </c>
      <c r="N8214" s="113"/>
    </row>
    <row r="8215" spans="2:14">
      <c r="B8215" s="105"/>
      <c r="C8215" s="106"/>
      <c r="D8215" s="107"/>
      <c r="E8215" s="65"/>
      <c r="F8215" s="64"/>
      <c r="G8215" s="64"/>
      <c r="H8215" s="64"/>
      <c r="I8215" s="70"/>
      <c r="J8215" s="70"/>
      <c r="K8215" s="110" t="str">
        <f>IF(H8215="","",IF($C$29="간이법","",FPR(H8215,I8215,J8215)))</f>
        <v/>
      </c>
      <c r="L8215" s="111" t="str">
        <f>IF(H8215="","",IF($C$29="상세법",FPV(H8215,K8215),IF(H8215="EI",4,IF(H8215="EO",5.2,IF(H8215="EQ",3.9,IF(H8215="ILF",7.5,IF(H8215="EIF",5.4)))))))</f>
        <v/>
      </c>
      <c r="M8215" s="112" t="str">
        <f t="shared" si="131"/>
        <v/>
      </c>
      <c r="N8215" s="113"/>
    </row>
    <row r="8216" spans="2:14">
      <c r="B8216" s="105"/>
      <c r="C8216" s="106"/>
      <c r="D8216" s="107"/>
      <c r="E8216" s="65"/>
      <c r="F8216" s="64"/>
      <c r="G8216" s="64"/>
      <c r="H8216" s="64"/>
      <c r="I8216" s="70"/>
      <c r="J8216" s="70"/>
      <c r="K8216" s="110" t="str">
        <f>IF(H8216="","",IF($C$29="간이법","",FPR(H8216,I8216,J8216)))</f>
        <v/>
      </c>
      <c r="L8216" s="111" t="str">
        <f>IF(H8216="","",IF($C$29="상세법",FPV(H8216,K8216),IF(H8216="EI",4,IF(H8216="EO",5.2,IF(H8216="EQ",3.9,IF(H8216="ILF",7.5,IF(H8216="EIF",5.4)))))))</f>
        <v/>
      </c>
      <c r="M8216" s="112" t="str">
        <f t="shared" si="131"/>
        <v/>
      </c>
      <c r="N8216" s="113"/>
    </row>
    <row r="8217" spans="2:14">
      <c r="B8217" s="105"/>
      <c r="C8217" s="106"/>
      <c r="D8217" s="107"/>
      <c r="E8217" s="65"/>
      <c r="F8217" s="64"/>
      <c r="G8217" s="64"/>
      <c r="H8217" s="64"/>
      <c r="I8217" s="70"/>
      <c r="J8217" s="70"/>
      <c r="K8217" s="110" t="str">
        <f>IF(H8217="","",IF($C$29="간이법","",FPR(H8217,I8217,J8217)))</f>
        <v/>
      </c>
      <c r="L8217" s="111" t="str">
        <f>IF(H8217="","",IF($C$29="상세법",FPV(H8217,K8217),IF(H8217="EI",4,IF(H8217="EO",5.2,IF(H8217="EQ",3.9,IF(H8217="ILF",7.5,IF(H8217="EIF",5.4)))))))</f>
        <v/>
      </c>
      <c r="M8217" s="112" t="str">
        <f t="shared" si="131"/>
        <v/>
      </c>
      <c r="N8217" s="113"/>
    </row>
    <row r="8218" spans="2:14">
      <c r="B8218" s="105"/>
      <c r="C8218" s="106"/>
      <c r="D8218" s="107"/>
      <c r="E8218" s="65"/>
      <c r="F8218" s="64"/>
      <c r="G8218" s="64"/>
      <c r="H8218" s="64"/>
      <c r="I8218" s="70"/>
      <c r="J8218" s="70"/>
      <c r="K8218" s="110" t="str">
        <f>IF(H8218="","",IF($C$29="간이법","",FPR(H8218,I8218,J8218)))</f>
        <v/>
      </c>
      <c r="L8218" s="111" t="str">
        <f>IF(H8218="","",IF($C$29="상세법",FPV(H8218,K8218),IF(H8218="EI",4,IF(H8218="EO",5.2,IF(H8218="EQ",3.9,IF(H8218="ILF",7.5,IF(H8218="EIF",5.4)))))))</f>
        <v/>
      </c>
      <c r="M8218" s="112" t="str">
        <f t="shared" si="131"/>
        <v/>
      </c>
      <c r="N8218" s="113"/>
    </row>
    <row r="8219" spans="2:14">
      <c r="B8219" s="105"/>
      <c r="C8219" s="106"/>
      <c r="D8219" s="107"/>
      <c r="E8219" s="65"/>
      <c r="F8219" s="64"/>
      <c r="G8219" s="64"/>
      <c r="H8219" s="64"/>
      <c r="I8219" s="70"/>
      <c r="J8219" s="70"/>
      <c r="K8219" s="110" t="str">
        <f>IF(H8219="","",IF($C$29="간이법","",FPR(H8219,I8219,J8219)))</f>
        <v/>
      </c>
      <c r="L8219" s="111" t="str">
        <f>IF(H8219="","",IF($C$29="상세법",FPV(H8219,K8219),IF(H8219="EI",4,IF(H8219="EO",5.2,IF(H8219="EQ",3.9,IF(H8219="ILF",7.5,IF(H8219="EIF",5.4)))))))</f>
        <v/>
      </c>
      <c r="M8219" s="112" t="str">
        <f t="shared" si="131"/>
        <v/>
      </c>
      <c r="N8219" s="113"/>
    </row>
    <row r="8220" spans="2:14">
      <c r="B8220" s="105"/>
      <c r="C8220" s="106"/>
      <c r="D8220" s="107"/>
      <c r="E8220" s="65"/>
      <c r="F8220" s="64"/>
      <c r="G8220" s="64"/>
      <c r="H8220" s="64"/>
      <c r="I8220" s="70"/>
      <c r="J8220" s="70"/>
      <c r="K8220" s="110" t="str">
        <f>IF(H8220="","",IF($C$29="간이법","",FPR(H8220,I8220,J8220)))</f>
        <v/>
      </c>
      <c r="L8220" s="111" t="str">
        <f>IF(H8220="","",IF($C$29="상세법",FPV(H8220,K8220),IF(H8220="EI",4,IF(H8220="EO",5.2,IF(H8220="EQ",3.9,IF(H8220="ILF",7.5,IF(H8220="EIF",5.4)))))))</f>
        <v/>
      </c>
      <c r="M8220" s="112" t="str">
        <f t="shared" si="131"/>
        <v/>
      </c>
      <c r="N8220" s="113"/>
    </row>
    <row r="8221" spans="2:14">
      <c r="B8221" s="105"/>
      <c r="C8221" s="106"/>
      <c r="D8221" s="107"/>
      <c r="E8221" s="65"/>
      <c r="F8221" s="64"/>
      <c r="G8221" s="64"/>
      <c r="H8221" s="64"/>
      <c r="I8221" s="70"/>
      <c r="J8221" s="70"/>
      <c r="K8221" s="110" t="str">
        <f>IF(H8221="","",IF($C$29="간이법","",FPR(H8221,I8221,J8221)))</f>
        <v/>
      </c>
      <c r="L8221" s="111" t="str">
        <f>IF(H8221="","",IF($C$29="상세법",FPV(H8221,K8221),IF(H8221="EI",4,IF(H8221="EO",5.2,IF(H8221="EQ",3.9,IF(H8221="ILF",7.5,IF(H8221="EIF",5.4)))))))</f>
        <v/>
      </c>
      <c r="M8221" s="112" t="str">
        <f t="shared" si="131"/>
        <v/>
      </c>
      <c r="N8221" s="113"/>
    </row>
    <row r="8222" spans="2:14">
      <c r="B8222" s="105"/>
      <c r="C8222" s="106"/>
      <c r="D8222" s="107"/>
      <c r="E8222" s="65"/>
      <c r="F8222" s="64"/>
      <c r="G8222" s="64"/>
      <c r="H8222" s="64"/>
      <c r="I8222" s="70"/>
      <c r="J8222" s="70"/>
      <c r="K8222" s="110" t="str">
        <f>IF(H8222="","",IF($C$29="간이법","",FPR(H8222,I8222,J8222)))</f>
        <v/>
      </c>
      <c r="L8222" s="111" t="str">
        <f>IF(H8222="","",IF($C$29="상세법",FPV(H8222,K8222),IF(H8222="EI",4,IF(H8222="EO",5.2,IF(H8222="EQ",3.9,IF(H8222="ILF",7.5,IF(H8222="EIF",5.4)))))))</f>
        <v/>
      </c>
      <c r="M8222" s="112" t="str">
        <f t="shared" si="131"/>
        <v/>
      </c>
      <c r="N8222" s="113"/>
    </row>
    <row r="8223" spans="2:14">
      <c r="B8223" s="105"/>
      <c r="C8223" s="106"/>
      <c r="D8223" s="107"/>
      <c r="E8223" s="65"/>
      <c r="F8223" s="64"/>
      <c r="G8223" s="64"/>
      <c r="H8223" s="64"/>
      <c r="I8223" s="70"/>
      <c r="J8223" s="70"/>
      <c r="K8223" s="110" t="str">
        <f>IF(H8223="","",IF($C$29="간이법","",FPR(H8223,I8223,J8223)))</f>
        <v/>
      </c>
      <c r="L8223" s="111" t="str">
        <f>IF(H8223="","",IF($C$29="상세법",FPV(H8223,K8223),IF(H8223="EI",4,IF(H8223="EO",5.2,IF(H8223="EQ",3.9,IF(H8223="ILF",7.5,IF(H8223="EIF",5.4)))))))</f>
        <v/>
      </c>
      <c r="M8223" s="112" t="str">
        <f t="shared" si="131"/>
        <v/>
      </c>
      <c r="N8223" s="113"/>
    </row>
    <row r="8224" spans="2:14">
      <c r="B8224" s="105"/>
      <c r="C8224" s="106"/>
      <c r="D8224" s="107"/>
      <c r="E8224" s="65"/>
      <c r="F8224" s="64"/>
      <c r="G8224" s="64"/>
      <c r="H8224" s="64"/>
      <c r="I8224" s="70"/>
      <c r="J8224" s="70"/>
      <c r="K8224" s="110" t="str">
        <f>IF(H8224="","",IF($C$29="간이법","",FPR(H8224,I8224,J8224)))</f>
        <v/>
      </c>
      <c r="L8224" s="111" t="str">
        <f>IF(H8224="","",IF($C$29="상세법",FPV(H8224,K8224),IF(H8224="EI",4,IF(H8224="EO",5.2,IF(H8224="EQ",3.9,IF(H8224="ILF",7.5,IF(H8224="EIF",5.4)))))))</f>
        <v/>
      </c>
      <c r="M8224" s="112" t="str">
        <f t="shared" si="131"/>
        <v/>
      </c>
      <c r="N8224" s="113"/>
    </row>
    <row r="8225" spans="2:14">
      <c r="B8225" s="105"/>
      <c r="C8225" s="106"/>
      <c r="D8225" s="107"/>
      <c r="E8225" s="65"/>
      <c r="F8225" s="64"/>
      <c r="G8225" s="64"/>
      <c r="H8225" s="64"/>
      <c r="I8225" s="70"/>
      <c r="J8225" s="70"/>
      <c r="K8225" s="110" t="str">
        <f>IF(H8225="","",IF($C$29="간이법","",FPR(H8225,I8225,J8225)))</f>
        <v/>
      </c>
      <c r="L8225" s="111" t="str">
        <f>IF(H8225="","",IF($C$29="상세법",FPV(H8225,K8225),IF(H8225="EI",4,IF(H8225="EO",5.2,IF(H8225="EQ",3.9,IF(H8225="ILF",7.5,IF(H8225="EIF",5.4)))))))</f>
        <v/>
      </c>
      <c r="M8225" s="112" t="str">
        <f t="shared" si="131"/>
        <v/>
      </c>
      <c r="N8225" s="113"/>
    </row>
    <row r="8226" spans="2:14">
      <c r="B8226" s="105"/>
      <c r="C8226" s="106"/>
      <c r="D8226" s="107"/>
      <c r="E8226" s="65"/>
      <c r="F8226" s="64"/>
      <c r="G8226" s="64"/>
      <c r="H8226" s="64"/>
      <c r="I8226" s="70"/>
      <c r="J8226" s="70"/>
      <c r="K8226" s="110" t="str">
        <f>IF(H8226="","",IF($C$29="간이법","",FPR(H8226,I8226,J8226)))</f>
        <v/>
      </c>
      <c r="L8226" s="111" t="str">
        <f>IF(H8226="","",IF($C$29="상세법",FPV(H8226,K8226),IF(H8226="EI",4,IF(H8226="EO",5.2,IF(H8226="EQ",3.9,IF(H8226="ILF",7.5,IF(H8226="EIF",5.4)))))))</f>
        <v/>
      </c>
      <c r="M8226" s="112" t="str">
        <f t="shared" si="131"/>
        <v/>
      </c>
      <c r="N8226" s="113"/>
    </row>
    <row r="8227" spans="2:14">
      <c r="B8227" s="105"/>
      <c r="C8227" s="106"/>
      <c r="D8227" s="107"/>
      <c r="E8227" s="65"/>
      <c r="F8227" s="64"/>
      <c r="G8227" s="64"/>
      <c r="H8227" s="64"/>
      <c r="I8227" s="70"/>
      <c r="J8227" s="70"/>
      <c r="K8227" s="110" t="str">
        <f>IF(H8227="","",IF($C$29="간이법","",FPR(H8227,I8227,J8227)))</f>
        <v/>
      </c>
      <c r="L8227" s="111" t="str">
        <f>IF(H8227="","",IF($C$29="상세법",FPV(H8227,K8227),IF(H8227="EI",4,IF(H8227="EO",5.2,IF(H8227="EQ",3.9,IF(H8227="ILF",7.5,IF(H8227="EIF",5.4)))))))</f>
        <v/>
      </c>
      <c r="M8227" s="112" t="str">
        <f t="shared" si="131"/>
        <v/>
      </c>
      <c r="N8227" s="113"/>
    </row>
    <row r="8228" spans="2:14">
      <c r="B8228" s="105"/>
      <c r="C8228" s="106"/>
      <c r="D8228" s="107"/>
      <c r="E8228" s="65"/>
      <c r="F8228" s="64"/>
      <c r="G8228" s="64"/>
      <c r="H8228" s="64"/>
      <c r="I8228" s="70"/>
      <c r="J8228" s="70"/>
      <c r="K8228" s="110" t="str">
        <f>IF(H8228="","",IF($C$29="간이법","",FPR(H8228,I8228,J8228)))</f>
        <v/>
      </c>
      <c r="L8228" s="111" t="str">
        <f>IF(H8228="","",IF($C$29="상세법",FPV(H8228,K8228),IF(H8228="EI",4,IF(H8228="EO",5.2,IF(H8228="EQ",3.9,IF(H8228="ILF",7.5,IF(H8228="EIF",5.4)))))))</f>
        <v/>
      </c>
      <c r="M8228" s="112" t="str">
        <f t="shared" si="131"/>
        <v/>
      </c>
      <c r="N8228" s="113"/>
    </row>
    <row r="8229" spans="2:14">
      <c r="B8229" s="105"/>
      <c r="C8229" s="106"/>
      <c r="D8229" s="107"/>
      <c r="E8229" s="65"/>
      <c r="F8229" s="64"/>
      <c r="G8229" s="64"/>
      <c r="H8229" s="64"/>
      <c r="I8229" s="70"/>
      <c r="J8229" s="70"/>
      <c r="K8229" s="110" t="str">
        <f>IF(H8229="","",IF($C$29="간이법","",FPR(H8229,I8229,J8229)))</f>
        <v/>
      </c>
      <c r="L8229" s="111" t="str">
        <f>IF(H8229="","",IF($C$29="상세법",FPV(H8229,K8229),IF(H8229="EI",4,IF(H8229="EO",5.2,IF(H8229="EQ",3.9,IF(H8229="ILF",7.5,IF(H8229="EIF",5.4)))))))</f>
        <v/>
      </c>
      <c r="M8229" s="112" t="str">
        <f t="shared" si="131"/>
        <v/>
      </c>
      <c r="N8229" s="113"/>
    </row>
    <row r="8230" spans="2:14">
      <c r="B8230" s="105"/>
      <c r="C8230" s="106"/>
      <c r="D8230" s="107"/>
      <c r="E8230" s="65"/>
      <c r="F8230" s="64"/>
      <c r="G8230" s="64"/>
      <c r="H8230" s="64"/>
      <c r="I8230" s="70"/>
      <c r="J8230" s="70"/>
      <c r="K8230" s="110" t="str">
        <f>IF(H8230="","",IF($C$29="간이법","",FPR(H8230,I8230,J8230)))</f>
        <v/>
      </c>
      <c r="L8230" s="111" t="str">
        <f>IF(H8230="","",IF($C$29="상세법",FPV(H8230,K8230),IF(H8230="EI",4,IF(H8230="EO",5.2,IF(H8230="EQ",3.9,IF(H8230="ILF",7.5,IF(H8230="EIF",5.4)))))))</f>
        <v/>
      </c>
      <c r="M8230" s="112" t="str">
        <f t="shared" si="131"/>
        <v/>
      </c>
      <c r="N8230" s="113"/>
    </row>
    <row r="8231" spans="2:14">
      <c r="B8231" s="105"/>
      <c r="C8231" s="106"/>
      <c r="D8231" s="107"/>
      <c r="E8231" s="65"/>
      <c r="F8231" s="64"/>
      <c r="G8231" s="64"/>
      <c r="H8231" s="64"/>
      <c r="I8231" s="70"/>
      <c r="J8231" s="70"/>
      <c r="K8231" s="110" t="str">
        <f>IF(H8231="","",IF($C$29="간이법","",FPR(H8231,I8231,J8231)))</f>
        <v/>
      </c>
      <c r="L8231" s="111" t="str">
        <f>IF(H8231="","",IF($C$29="상세법",FPV(H8231,K8231),IF(H8231="EI",4,IF(H8231="EO",5.2,IF(H8231="EQ",3.9,IF(H8231="ILF",7.5,IF(H8231="EIF",5.4)))))))</f>
        <v/>
      </c>
      <c r="M8231" s="112" t="str">
        <f t="shared" si="131"/>
        <v/>
      </c>
      <c r="N8231" s="113"/>
    </row>
    <row r="8232" spans="2:14">
      <c r="B8232" s="105"/>
      <c r="C8232" s="106"/>
      <c r="D8232" s="107"/>
      <c r="E8232" s="65"/>
      <c r="F8232" s="64"/>
      <c r="G8232" s="64"/>
      <c r="H8232" s="64"/>
      <c r="I8232" s="70"/>
      <c r="J8232" s="70"/>
      <c r="K8232" s="110" t="str">
        <f>IF(H8232="","",IF($C$29="간이법","",FPR(H8232,I8232,J8232)))</f>
        <v/>
      </c>
      <c r="L8232" s="111" t="str">
        <f>IF(H8232="","",IF($C$29="상세법",FPV(H8232,K8232),IF(H8232="EI",4,IF(H8232="EO",5.2,IF(H8232="EQ",3.9,IF(H8232="ILF",7.5,IF(H8232="EIF",5.4)))))))</f>
        <v/>
      </c>
      <c r="M8232" s="112" t="str">
        <f t="shared" si="131"/>
        <v/>
      </c>
      <c r="N8232" s="113"/>
    </row>
    <row r="8233" spans="2:14">
      <c r="B8233" s="105"/>
      <c r="C8233" s="106"/>
      <c r="D8233" s="107"/>
      <c r="E8233" s="65"/>
      <c r="F8233" s="64"/>
      <c r="G8233" s="64"/>
      <c r="H8233" s="64"/>
      <c r="I8233" s="70"/>
      <c r="J8233" s="70"/>
      <c r="K8233" s="110" t="str">
        <f>IF(H8233="","",IF($C$29="간이법","",FPR(H8233,I8233,J8233)))</f>
        <v/>
      </c>
      <c r="L8233" s="111" t="str">
        <f>IF(H8233="","",IF($C$29="상세법",FPV(H8233,K8233),IF(H8233="EI",4,IF(H8233="EO",5.2,IF(H8233="EQ",3.9,IF(H8233="ILF",7.5,IF(H8233="EIF",5.4)))))))</f>
        <v/>
      </c>
      <c r="M8233" s="112" t="str">
        <f t="shared" si="131"/>
        <v/>
      </c>
      <c r="N8233" s="113"/>
    </row>
    <row r="8234" spans="2:14">
      <c r="B8234" s="105"/>
      <c r="C8234" s="106"/>
      <c r="D8234" s="107"/>
      <c r="E8234" s="65"/>
      <c r="F8234" s="64"/>
      <c r="G8234" s="64"/>
      <c r="H8234" s="64"/>
      <c r="I8234" s="70"/>
      <c r="J8234" s="70"/>
      <c r="K8234" s="110" t="str">
        <f>IF(H8234="","",IF($C$29="간이법","",FPR(H8234,I8234,J8234)))</f>
        <v/>
      </c>
      <c r="L8234" s="111" t="str">
        <f>IF(H8234="","",IF($C$29="상세법",FPV(H8234,K8234),IF(H8234="EI",4,IF(H8234="EO",5.2,IF(H8234="EQ",3.9,IF(H8234="ILF",7.5,IF(H8234="EIF",5.4)))))))</f>
        <v/>
      </c>
      <c r="M8234" s="112" t="str">
        <f t="shared" si="131"/>
        <v/>
      </c>
      <c r="N8234" s="113"/>
    </row>
    <row r="8235" spans="2:14">
      <c r="B8235" s="105"/>
      <c r="C8235" s="106"/>
      <c r="D8235" s="107"/>
      <c r="E8235" s="65"/>
      <c r="F8235" s="64"/>
      <c r="G8235" s="64"/>
      <c r="H8235" s="64"/>
      <c r="I8235" s="70"/>
      <c r="J8235" s="70"/>
      <c r="K8235" s="110" t="str">
        <f>IF(H8235="","",IF($C$29="간이법","",FPR(H8235,I8235,J8235)))</f>
        <v/>
      </c>
      <c r="L8235" s="111" t="str">
        <f>IF(H8235="","",IF($C$29="상세법",FPV(H8235,K8235),IF(H8235="EI",4,IF(H8235="EO",5.2,IF(H8235="EQ",3.9,IF(H8235="ILF",7.5,IF(H8235="EIF",5.4)))))))</f>
        <v/>
      </c>
      <c r="M8235" s="112" t="str">
        <f t="shared" si="131"/>
        <v/>
      </c>
      <c r="N8235" s="113"/>
    </row>
    <row r="8236" spans="2:14">
      <c r="B8236" s="105"/>
      <c r="C8236" s="106"/>
      <c r="D8236" s="107"/>
      <c r="E8236" s="65"/>
      <c r="F8236" s="64"/>
      <c r="G8236" s="64"/>
      <c r="H8236" s="64"/>
      <c r="I8236" s="70"/>
      <c r="J8236" s="70"/>
      <c r="K8236" s="110" t="str">
        <f>IF(H8236="","",IF($C$29="간이법","",FPR(H8236,I8236,J8236)))</f>
        <v/>
      </c>
      <c r="L8236" s="111" t="str">
        <f>IF(H8236="","",IF($C$29="상세법",FPV(H8236,K8236),IF(H8236="EI",4,IF(H8236="EO",5.2,IF(H8236="EQ",3.9,IF(H8236="ILF",7.5,IF(H8236="EIF",5.4)))))))</f>
        <v/>
      </c>
      <c r="M8236" s="112" t="str">
        <f t="shared" si="131"/>
        <v/>
      </c>
      <c r="N8236" s="113"/>
    </row>
    <row r="8237" spans="2:14">
      <c r="B8237" s="105"/>
      <c r="C8237" s="106"/>
      <c r="D8237" s="107"/>
      <c r="E8237" s="65"/>
      <c r="F8237" s="64"/>
      <c r="G8237" s="64"/>
      <c r="H8237" s="64"/>
      <c r="I8237" s="70"/>
      <c r="J8237" s="70"/>
      <c r="K8237" s="110" t="str">
        <f>IF(H8237="","",IF($C$29="간이법","",FPR(H8237,I8237,J8237)))</f>
        <v/>
      </c>
      <c r="L8237" s="111" t="str">
        <f>IF(H8237="","",IF($C$29="상세법",FPV(H8237,K8237),IF(H8237="EI",4,IF(H8237="EO",5.2,IF(H8237="EQ",3.9,IF(H8237="ILF",7.5,IF(H8237="EIF",5.4)))))))</f>
        <v/>
      </c>
      <c r="M8237" s="112" t="str">
        <f t="shared" si="131"/>
        <v/>
      </c>
      <c r="N8237" s="113"/>
    </row>
    <row r="8238" spans="2:14">
      <c r="B8238" s="105"/>
      <c r="C8238" s="106"/>
      <c r="D8238" s="107"/>
      <c r="E8238" s="65"/>
      <c r="F8238" s="64"/>
      <c r="G8238" s="64"/>
      <c r="H8238" s="64"/>
      <c r="I8238" s="70"/>
      <c r="J8238" s="70"/>
      <c r="K8238" s="110" t="str">
        <f>IF(H8238="","",IF($C$29="간이법","",FPR(H8238,I8238,J8238)))</f>
        <v/>
      </c>
      <c r="L8238" s="111" t="str">
        <f>IF(H8238="","",IF($C$29="상세법",FPV(H8238,K8238),IF(H8238="EI",4,IF(H8238="EO",5.2,IF(H8238="EQ",3.9,IF(H8238="ILF",7.5,IF(H8238="EIF",5.4)))))))</f>
        <v/>
      </c>
      <c r="M8238" s="112" t="str">
        <f t="shared" si="131"/>
        <v/>
      </c>
      <c r="N8238" s="113"/>
    </row>
    <row r="8239" spans="2:14">
      <c r="B8239" s="105"/>
      <c r="C8239" s="106"/>
      <c r="D8239" s="107"/>
      <c r="E8239" s="65"/>
      <c r="F8239" s="64"/>
      <c r="G8239" s="64"/>
      <c r="H8239" s="64"/>
      <c r="I8239" s="70"/>
      <c r="J8239" s="70"/>
      <c r="K8239" s="110" t="str">
        <f>IF(H8239="","",IF($C$29="간이법","",FPR(H8239,I8239,J8239)))</f>
        <v/>
      </c>
      <c r="L8239" s="111" t="str">
        <f>IF(H8239="","",IF($C$29="상세법",FPV(H8239,K8239),IF(H8239="EI",4,IF(H8239="EO",5.2,IF(H8239="EQ",3.9,IF(H8239="ILF",7.5,IF(H8239="EIF",5.4)))))))</f>
        <v/>
      </c>
      <c r="M8239" s="112" t="str">
        <f t="shared" si="131"/>
        <v/>
      </c>
      <c r="N8239" s="113"/>
    </row>
    <row r="8240" spans="2:14">
      <c r="B8240" s="105"/>
      <c r="C8240" s="106"/>
      <c r="D8240" s="107"/>
      <c r="E8240" s="65"/>
      <c r="F8240" s="64"/>
      <c r="G8240" s="64"/>
      <c r="H8240" s="64"/>
      <c r="I8240" s="70"/>
      <c r="J8240" s="70"/>
      <c r="K8240" s="110" t="str">
        <f>IF(H8240="","",IF($C$29="간이법","",FPR(H8240,I8240,J8240)))</f>
        <v/>
      </c>
      <c r="L8240" s="111" t="str">
        <f>IF(H8240="","",IF($C$29="상세법",FPV(H8240,K8240),IF(H8240="EI",4,IF(H8240="EO",5.2,IF(H8240="EQ",3.9,IF(H8240="ILF",7.5,IF(H8240="EIF",5.4)))))))</f>
        <v/>
      </c>
      <c r="M8240" s="112" t="str">
        <f t="shared" si="131"/>
        <v/>
      </c>
      <c r="N8240" s="113"/>
    </row>
    <row r="8241" spans="2:14">
      <c r="B8241" s="105"/>
      <c r="C8241" s="106"/>
      <c r="D8241" s="107"/>
      <c r="E8241" s="65"/>
      <c r="F8241" s="64"/>
      <c r="G8241" s="64"/>
      <c r="H8241" s="64"/>
      <c r="I8241" s="70"/>
      <c r="J8241" s="70"/>
      <c r="K8241" s="110" t="str">
        <f>IF(H8241="","",IF($C$29="간이법","",FPR(H8241,I8241,J8241)))</f>
        <v/>
      </c>
      <c r="L8241" s="111" t="str">
        <f>IF(H8241="","",IF($C$29="상세법",FPV(H8241,K8241),IF(H8241="EI",4,IF(H8241="EO",5.2,IF(H8241="EQ",3.9,IF(H8241="ILF",7.5,IF(H8241="EIF",5.4)))))))</f>
        <v/>
      </c>
      <c r="M8241" s="112" t="str">
        <f t="shared" si="131"/>
        <v/>
      </c>
      <c r="N8241" s="113"/>
    </row>
    <row r="8242" spans="2:14">
      <c r="B8242" s="105"/>
      <c r="C8242" s="106"/>
      <c r="D8242" s="107"/>
      <c r="E8242" s="65"/>
      <c r="F8242" s="64"/>
      <c r="G8242" s="64"/>
      <c r="H8242" s="64"/>
      <c r="I8242" s="70"/>
      <c r="J8242" s="70"/>
      <c r="K8242" s="110" t="str">
        <f>IF(H8242="","",IF($C$29="간이법","",FPR(H8242,I8242,J8242)))</f>
        <v/>
      </c>
      <c r="L8242" s="111" t="str">
        <f>IF(H8242="","",IF($C$29="상세법",FPV(H8242,K8242),IF(H8242="EI",4,IF(H8242="EO",5.2,IF(H8242="EQ",3.9,IF(H8242="ILF",7.5,IF(H8242="EIF",5.4)))))))</f>
        <v/>
      </c>
      <c r="M8242" s="112" t="str">
        <f t="shared" si="131"/>
        <v/>
      </c>
      <c r="N8242" s="113"/>
    </row>
    <row r="8243" spans="2:14">
      <c r="B8243" s="105"/>
      <c r="C8243" s="106"/>
      <c r="D8243" s="107"/>
      <c r="E8243" s="65"/>
      <c r="F8243" s="64"/>
      <c r="G8243" s="64"/>
      <c r="H8243" s="64"/>
      <c r="I8243" s="70"/>
      <c r="J8243" s="70"/>
      <c r="K8243" s="110" t="str">
        <f>IF(H8243="","",IF($C$29="간이법","",FPR(H8243,I8243,J8243)))</f>
        <v/>
      </c>
      <c r="L8243" s="111" t="str">
        <f>IF(H8243="","",IF($C$29="상세법",FPV(H8243,K8243),IF(H8243="EI",4,IF(H8243="EO",5.2,IF(H8243="EQ",3.9,IF(H8243="ILF",7.5,IF(H8243="EIF",5.4)))))))</f>
        <v/>
      </c>
      <c r="M8243" s="112" t="str">
        <f t="shared" si="131"/>
        <v/>
      </c>
      <c r="N8243" s="113"/>
    </row>
    <row r="8244" spans="2:14">
      <c r="B8244" s="105"/>
      <c r="C8244" s="106"/>
      <c r="D8244" s="107"/>
      <c r="E8244" s="65"/>
      <c r="F8244" s="64"/>
      <c r="G8244" s="64"/>
      <c r="H8244" s="64"/>
      <c r="I8244" s="70"/>
      <c r="J8244" s="70"/>
      <c r="K8244" s="110" t="str">
        <f>IF(H8244="","",IF($C$29="간이법","",FPR(H8244,I8244,J8244)))</f>
        <v/>
      </c>
      <c r="L8244" s="111" t="str">
        <f>IF(H8244="","",IF($C$29="상세법",FPV(H8244,K8244),IF(H8244="EI",4,IF(H8244="EO",5.2,IF(H8244="EQ",3.9,IF(H8244="ILF",7.5,IF(H8244="EIF",5.4)))))))</f>
        <v/>
      </c>
      <c r="M8244" s="112" t="str">
        <f t="shared" si="131"/>
        <v/>
      </c>
      <c r="N8244" s="113"/>
    </row>
    <row r="8245" spans="2:14">
      <c r="B8245" s="105"/>
      <c r="C8245" s="106"/>
      <c r="D8245" s="107"/>
      <c r="E8245" s="65"/>
      <c r="F8245" s="64"/>
      <c r="G8245" s="64"/>
      <c r="H8245" s="64"/>
      <c r="I8245" s="70"/>
      <c r="J8245" s="70"/>
      <c r="K8245" s="110" t="str">
        <f>IF(H8245="","",IF($C$29="간이법","",FPR(H8245,I8245,J8245)))</f>
        <v/>
      </c>
      <c r="L8245" s="111" t="str">
        <f>IF(H8245="","",IF($C$29="상세법",FPV(H8245,K8245),IF(H8245="EI",4,IF(H8245="EO",5.2,IF(H8245="EQ",3.9,IF(H8245="ILF",7.5,IF(H8245="EIF",5.4)))))))</f>
        <v/>
      </c>
      <c r="M8245" s="112" t="str">
        <f t="shared" si="131"/>
        <v/>
      </c>
      <c r="N8245" s="113"/>
    </row>
    <row r="8246" spans="2:14">
      <c r="B8246" s="105"/>
      <c r="C8246" s="106"/>
      <c r="D8246" s="107"/>
      <c r="E8246" s="65"/>
      <c r="F8246" s="64"/>
      <c r="G8246" s="64"/>
      <c r="H8246" s="64"/>
      <c r="I8246" s="70"/>
      <c r="J8246" s="70"/>
      <c r="K8246" s="110" t="str">
        <f>IF(H8246="","",IF($C$29="간이법","",FPR(H8246,I8246,J8246)))</f>
        <v/>
      </c>
      <c r="L8246" s="111" t="str">
        <f>IF(H8246="","",IF($C$29="상세법",FPV(H8246,K8246),IF(H8246="EI",4,IF(H8246="EO",5.2,IF(H8246="EQ",3.9,IF(H8246="ILF",7.5,IF(H8246="EIF",5.4)))))))</f>
        <v/>
      </c>
      <c r="M8246" s="112" t="str">
        <f t="shared" si="131"/>
        <v/>
      </c>
      <c r="N8246" s="113"/>
    </row>
    <row r="8247" spans="2:14">
      <c r="B8247" s="105"/>
      <c r="C8247" s="106"/>
      <c r="D8247" s="107"/>
      <c r="E8247" s="65"/>
      <c r="F8247" s="64"/>
      <c r="G8247" s="64"/>
      <c r="H8247" s="64"/>
      <c r="I8247" s="70"/>
      <c r="J8247" s="70"/>
      <c r="K8247" s="110" t="str">
        <f>IF(H8247="","",IF($C$29="간이법","",FPR(H8247,I8247,J8247)))</f>
        <v/>
      </c>
      <c r="L8247" s="111" t="str">
        <f>IF(H8247="","",IF($C$29="상세법",FPV(H8247,K8247),IF(H8247="EI",4,IF(H8247="EO",5.2,IF(H8247="EQ",3.9,IF(H8247="ILF",7.5,IF(H8247="EIF",5.4)))))))</f>
        <v/>
      </c>
      <c r="M8247" s="112" t="str">
        <f t="shared" si="131"/>
        <v/>
      </c>
      <c r="N8247" s="113"/>
    </row>
    <row r="8248" spans="2:14">
      <c r="B8248" s="105"/>
      <c r="C8248" s="106"/>
      <c r="D8248" s="107"/>
      <c r="E8248" s="65"/>
      <c r="F8248" s="64"/>
      <c r="G8248" s="64"/>
      <c r="H8248" s="64"/>
      <c r="I8248" s="70"/>
      <c r="J8248" s="70"/>
      <c r="K8248" s="110" t="str">
        <f>IF(H8248="","",IF($C$29="간이법","",FPR(H8248,I8248,J8248)))</f>
        <v/>
      </c>
      <c r="L8248" s="111" t="str">
        <f>IF(H8248="","",IF($C$29="상세법",FPV(H8248,K8248),IF(H8248="EI",4,IF(H8248="EO",5.2,IF(H8248="EQ",3.9,IF(H8248="ILF",7.5,IF(H8248="EIF",5.4)))))))</f>
        <v/>
      </c>
      <c r="M8248" s="112" t="str">
        <f t="shared" si="131"/>
        <v/>
      </c>
      <c r="N8248" s="113"/>
    </row>
    <row r="8249" spans="2:14">
      <c r="B8249" s="105"/>
      <c r="C8249" s="106"/>
      <c r="D8249" s="107"/>
      <c r="E8249" s="65"/>
      <c r="F8249" s="64"/>
      <c r="G8249" s="64"/>
      <c r="H8249" s="64"/>
      <c r="I8249" s="70"/>
      <c r="J8249" s="70"/>
      <c r="K8249" s="110" t="str">
        <f>IF(H8249="","",IF($C$29="간이법","",FPR(H8249,I8249,J8249)))</f>
        <v/>
      </c>
      <c r="L8249" s="111" t="str">
        <f>IF(H8249="","",IF($C$29="상세법",FPV(H8249,K8249),IF(H8249="EI",4,IF(H8249="EO",5.2,IF(H8249="EQ",3.9,IF(H8249="ILF",7.5,IF(H8249="EIF",5.4)))))))</f>
        <v/>
      </c>
      <c r="M8249" s="112" t="str">
        <f t="shared" ref="M8249:M8312" si="132">IF(L8249="","",L8249*IF(G8249="상",0.7,IF(G8249="중",0.5,IF(G8249="하",0.2,1))))</f>
        <v/>
      </c>
      <c r="N8249" s="113"/>
    </row>
    <row r="8250" spans="2:14">
      <c r="B8250" s="105"/>
      <c r="C8250" s="106"/>
      <c r="D8250" s="107"/>
      <c r="E8250" s="65"/>
      <c r="F8250" s="64"/>
      <c r="G8250" s="64"/>
      <c r="H8250" s="64"/>
      <c r="I8250" s="70"/>
      <c r="J8250" s="70"/>
      <c r="K8250" s="110" t="str">
        <f>IF(H8250="","",IF($C$29="간이법","",FPR(H8250,I8250,J8250)))</f>
        <v/>
      </c>
      <c r="L8250" s="111" t="str">
        <f>IF(H8250="","",IF($C$29="상세법",FPV(H8250,K8250),IF(H8250="EI",4,IF(H8250="EO",5.2,IF(H8250="EQ",3.9,IF(H8250="ILF",7.5,IF(H8250="EIF",5.4)))))))</f>
        <v/>
      </c>
      <c r="M8250" s="112" t="str">
        <f t="shared" si="132"/>
        <v/>
      </c>
      <c r="N8250" s="113"/>
    </row>
    <row r="8251" spans="2:14">
      <c r="B8251" s="105"/>
      <c r="C8251" s="106"/>
      <c r="D8251" s="107"/>
      <c r="E8251" s="65"/>
      <c r="F8251" s="64"/>
      <c r="G8251" s="64"/>
      <c r="H8251" s="64"/>
      <c r="I8251" s="70"/>
      <c r="J8251" s="70"/>
      <c r="K8251" s="110" t="str">
        <f>IF(H8251="","",IF($C$29="간이법","",FPR(H8251,I8251,J8251)))</f>
        <v/>
      </c>
      <c r="L8251" s="111" t="str">
        <f>IF(H8251="","",IF($C$29="상세법",FPV(H8251,K8251),IF(H8251="EI",4,IF(H8251="EO",5.2,IF(H8251="EQ",3.9,IF(H8251="ILF",7.5,IF(H8251="EIF",5.4)))))))</f>
        <v/>
      </c>
      <c r="M8251" s="112" t="str">
        <f t="shared" si="132"/>
        <v/>
      </c>
      <c r="N8251" s="113"/>
    </row>
    <row r="8252" spans="2:14">
      <c r="B8252" s="105"/>
      <c r="C8252" s="106"/>
      <c r="D8252" s="107"/>
      <c r="E8252" s="65"/>
      <c r="F8252" s="64"/>
      <c r="G8252" s="64"/>
      <c r="H8252" s="64"/>
      <c r="I8252" s="70"/>
      <c r="J8252" s="70"/>
      <c r="K8252" s="110" t="str">
        <f>IF(H8252="","",IF($C$29="간이법","",FPR(H8252,I8252,J8252)))</f>
        <v/>
      </c>
      <c r="L8252" s="111" t="str">
        <f>IF(H8252="","",IF($C$29="상세법",FPV(H8252,K8252),IF(H8252="EI",4,IF(H8252="EO",5.2,IF(H8252="EQ",3.9,IF(H8252="ILF",7.5,IF(H8252="EIF",5.4)))))))</f>
        <v/>
      </c>
      <c r="M8252" s="112" t="str">
        <f t="shared" si="132"/>
        <v/>
      </c>
      <c r="N8252" s="113"/>
    </row>
    <row r="8253" spans="2:14">
      <c r="B8253" s="105"/>
      <c r="C8253" s="106"/>
      <c r="D8253" s="107"/>
      <c r="E8253" s="65"/>
      <c r="F8253" s="64"/>
      <c r="G8253" s="64"/>
      <c r="H8253" s="64"/>
      <c r="I8253" s="70"/>
      <c r="J8253" s="70"/>
      <c r="K8253" s="110" t="str">
        <f>IF(H8253="","",IF($C$29="간이법","",FPR(H8253,I8253,J8253)))</f>
        <v/>
      </c>
      <c r="L8253" s="111" t="str">
        <f>IF(H8253="","",IF($C$29="상세법",FPV(H8253,K8253),IF(H8253="EI",4,IF(H8253="EO",5.2,IF(H8253="EQ",3.9,IF(H8253="ILF",7.5,IF(H8253="EIF",5.4)))))))</f>
        <v/>
      </c>
      <c r="M8253" s="112" t="str">
        <f t="shared" si="132"/>
        <v/>
      </c>
      <c r="N8253" s="113"/>
    </row>
    <row r="8254" spans="2:14">
      <c r="B8254" s="105"/>
      <c r="C8254" s="106"/>
      <c r="D8254" s="107"/>
      <c r="E8254" s="65"/>
      <c r="F8254" s="64"/>
      <c r="G8254" s="64"/>
      <c r="H8254" s="64"/>
      <c r="I8254" s="70"/>
      <c r="J8254" s="70"/>
      <c r="K8254" s="110" t="str">
        <f>IF(H8254="","",IF($C$29="간이법","",FPR(H8254,I8254,J8254)))</f>
        <v/>
      </c>
      <c r="L8254" s="111" t="str">
        <f>IF(H8254="","",IF($C$29="상세법",FPV(H8254,K8254),IF(H8254="EI",4,IF(H8254="EO",5.2,IF(H8254="EQ",3.9,IF(H8254="ILF",7.5,IF(H8254="EIF",5.4)))))))</f>
        <v/>
      </c>
      <c r="M8254" s="112" t="str">
        <f t="shared" si="132"/>
        <v/>
      </c>
      <c r="N8254" s="113"/>
    </row>
    <row r="8255" spans="2:14">
      <c r="B8255" s="105"/>
      <c r="C8255" s="106"/>
      <c r="D8255" s="107"/>
      <c r="E8255" s="65"/>
      <c r="F8255" s="64"/>
      <c r="G8255" s="64"/>
      <c r="H8255" s="64"/>
      <c r="I8255" s="70"/>
      <c r="J8255" s="70"/>
      <c r="K8255" s="110" t="str">
        <f>IF(H8255="","",IF($C$29="간이법","",FPR(H8255,I8255,J8255)))</f>
        <v/>
      </c>
      <c r="L8255" s="111" t="str">
        <f>IF(H8255="","",IF($C$29="상세법",FPV(H8255,K8255),IF(H8255="EI",4,IF(H8255="EO",5.2,IF(H8255="EQ",3.9,IF(H8255="ILF",7.5,IF(H8255="EIF",5.4)))))))</f>
        <v/>
      </c>
      <c r="M8255" s="112" t="str">
        <f t="shared" si="132"/>
        <v/>
      </c>
      <c r="N8255" s="113"/>
    </row>
    <row r="8256" spans="2:14">
      <c r="B8256" s="105"/>
      <c r="C8256" s="106"/>
      <c r="D8256" s="107"/>
      <c r="E8256" s="65"/>
      <c r="F8256" s="64"/>
      <c r="G8256" s="64"/>
      <c r="H8256" s="64"/>
      <c r="I8256" s="70"/>
      <c r="J8256" s="70"/>
      <c r="K8256" s="110" t="str">
        <f>IF(H8256="","",IF($C$29="간이법","",FPR(H8256,I8256,J8256)))</f>
        <v/>
      </c>
      <c r="L8256" s="111" t="str">
        <f>IF(H8256="","",IF($C$29="상세법",FPV(H8256,K8256),IF(H8256="EI",4,IF(H8256="EO",5.2,IF(H8256="EQ",3.9,IF(H8256="ILF",7.5,IF(H8256="EIF",5.4)))))))</f>
        <v/>
      </c>
      <c r="M8256" s="112" t="str">
        <f t="shared" si="132"/>
        <v/>
      </c>
      <c r="N8256" s="113"/>
    </row>
    <row r="8257" spans="2:14">
      <c r="B8257" s="105"/>
      <c r="C8257" s="106"/>
      <c r="D8257" s="107"/>
      <c r="E8257" s="65"/>
      <c r="F8257" s="64"/>
      <c r="G8257" s="64"/>
      <c r="H8257" s="64"/>
      <c r="I8257" s="70"/>
      <c r="J8257" s="70"/>
      <c r="K8257" s="110" t="str">
        <f>IF(H8257="","",IF($C$29="간이법","",FPR(H8257,I8257,J8257)))</f>
        <v/>
      </c>
      <c r="L8257" s="111" t="str">
        <f>IF(H8257="","",IF($C$29="상세법",FPV(H8257,K8257),IF(H8257="EI",4,IF(H8257="EO",5.2,IF(H8257="EQ",3.9,IF(H8257="ILF",7.5,IF(H8257="EIF",5.4)))))))</f>
        <v/>
      </c>
      <c r="M8257" s="112" t="str">
        <f t="shared" si="132"/>
        <v/>
      </c>
      <c r="N8257" s="113"/>
    </row>
    <row r="8258" spans="2:14">
      <c r="B8258" s="105"/>
      <c r="C8258" s="106"/>
      <c r="D8258" s="107"/>
      <c r="E8258" s="65"/>
      <c r="F8258" s="64"/>
      <c r="G8258" s="64"/>
      <c r="H8258" s="64"/>
      <c r="I8258" s="70"/>
      <c r="J8258" s="70"/>
      <c r="K8258" s="110" t="str">
        <f>IF(H8258="","",IF($C$29="간이법","",FPR(H8258,I8258,J8258)))</f>
        <v/>
      </c>
      <c r="L8258" s="111" t="str">
        <f>IF(H8258="","",IF($C$29="상세법",FPV(H8258,K8258),IF(H8258="EI",4,IF(H8258="EO",5.2,IF(H8258="EQ",3.9,IF(H8258="ILF",7.5,IF(H8258="EIF",5.4)))))))</f>
        <v/>
      </c>
      <c r="M8258" s="112" t="str">
        <f t="shared" si="132"/>
        <v/>
      </c>
      <c r="N8258" s="113"/>
    </row>
    <row r="8259" spans="2:14">
      <c r="B8259" s="105"/>
      <c r="C8259" s="106"/>
      <c r="D8259" s="107"/>
      <c r="E8259" s="65"/>
      <c r="F8259" s="64"/>
      <c r="G8259" s="64"/>
      <c r="H8259" s="64"/>
      <c r="I8259" s="70"/>
      <c r="J8259" s="70"/>
      <c r="K8259" s="110" t="str">
        <f>IF(H8259="","",IF($C$29="간이법","",FPR(H8259,I8259,J8259)))</f>
        <v/>
      </c>
      <c r="L8259" s="111" t="str">
        <f>IF(H8259="","",IF($C$29="상세법",FPV(H8259,K8259),IF(H8259="EI",4,IF(H8259="EO",5.2,IF(H8259="EQ",3.9,IF(H8259="ILF",7.5,IF(H8259="EIF",5.4)))))))</f>
        <v/>
      </c>
      <c r="M8259" s="112" t="str">
        <f t="shared" si="132"/>
        <v/>
      </c>
      <c r="N8259" s="113"/>
    </row>
    <row r="8260" spans="2:14">
      <c r="B8260" s="105"/>
      <c r="C8260" s="106"/>
      <c r="D8260" s="107"/>
      <c r="E8260" s="65"/>
      <c r="F8260" s="64"/>
      <c r="G8260" s="64"/>
      <c r="H8260" s="64"/>
      <c r="I8260" s="70"/>
      <c r="J8260" s="70"/>
      <c r="K8260" s="110" t="str">
        <f>IF(H8260="","",IF($C$29="간이법","",FPR(H8260,I8260,J8260)))</f>
        <v/>
      </c>
      <c r="L8260" s="111" t="str">
        <f>IF(H8260="","",IF($C$29="상세법",FPV(H8260,K8260),IF(H8260="EI",4,IF(H8260="EO",5.2,IF(H8260="EQ",3.9,IF(H8260="ILF",7.5,IF(H8260="EIF",5.4)))))))</f>
        <v/>
      </c>
      <c r="M8260" s="112" t="str">
        <f t="shared" si="132"/>
        <v/>
      </c>
      <c r="N8260" s="113"/>
    </row>
    <row r="8261" spans="2:14">
      <c r="B8261" s="105"/>
      <c r="C8261" s="106"/>
      <c r="D8261" s="107"/>
      <c r="E8261" s="65"/>
      <c r="F8261" s="64"/>
      <c r="G8261" s="64"/>
      <c r="H8261" s="64"/>
      <c r="I8261" s="70"/>
      <c r="J8261" s="70"/>
      <c r="K8261" s="110" t="str">
        <f>IF(H8261="","",IF($C$29="간이법","",FPR(H8261,I8261,J8261)))</f>
        <v/>
      </c>
      <c r="L8261" s="111" t="str">
        <f>IF(H8261="","",IF($C$29="상세법",FPV(H8261,K8261),IF(H8261="EI",4,IF(H8261="EO",5.2,IF(H8261="EQ",3.9,IF(H8261="ILF",7.5,IF(H8261="EIF",5.4)))))))</f>
        <v/>
      </c>
      <c r="M8261" s="112" t="str">
        <f t="shared" si="132"/>
        <v/>
      </c>
      <c r="N8261" s="113"/>
    </row>
    <row r="8262" spans="2:14">
      <c r="B8262" s="105"/>
      <c r="C8262" s="106"/>
      <c r="D8262" s="107"/>
      <c r="E8262" s="65"/>
      <c r="F8262" s="64"/>
      <c r="G8262" s="64"/>
      <c r="H8262" s="64"/>
      <c r="I8262" s="70"/>
      <c r="J8262" s="70"/>
      <c r="K8262" s="110" t="str">
        <f>IF(H8262="","",IF($C$29="간이법","",FPR(H8262,I8262,J8262)))</f>
        <v/>
      </c>
      <c r="L8262" s="111" t="str">
        <f>IF(H8262="","",IF($C$29="상세법",FPV(H8262,K8262),IF(H8262="EI",4,IF(H8262="EO",5.2,IF(H8262="EQ",3.9,IF(H8262="ILF",7.5,IF(H8262="EIF",5.4)))))))</f>
        <v/>
      </c>
      <c r="M8262" s="112" t="str">
        <f t="shared" si="132"/>
        <v/>
      </c>
      <c r="N8262" s="113"/>
    </row>
    <row r="8263" spans="2:14">
      <c r="B8263" s="105"/>
      <c r="C8263" s="106"/>
      <c r="D8263" s="107"/>
      <c r="E8263" s="65"/>
      <c r="F8263" s="64"/>
      <c r="G8263" s="64"/>
      <c r="H8263" s="64"/>
      <c r="I8263" s="70"/>
      <c r="J8263" s="70"/>
      <c r="K8263" s="110" t="str">
        <f>IF(H8263="","",IF($C$29="간이법","",FPR(H8263,I8263,J8263)))</f>
        <v/>
      </c>
      <c r="L8263" s="111" t="str">
        <f>IF(H8263="","",IF($C$29="상세법",FPV(H8263,K8263),IF(H8263="EI",4,IF(H8263="EO",5.2,IF(H8263="EQ",3.9,IF(H8263="ILF",7.5,IF(H8263="EIF",5.4)))))))</f>
        <v/>
      </c>
      <c r="M8263" s="112" t="str">
        <f t="shared" si="132"/>
        <v/>
      </c>
      <c r="N8263" s="113"/>
    </row>
    <row r="8264" spans="2:14">
      <c r="B8264" s="105"/>
      <c r="C8264" s="106"/>
      <c r="D8264" s="107"/>
      <c r="E8264" s="65"/>
      <c r="F8264" s="64"/>
      <c r="G8264" s="64"/>
      <c r="H8264" s="64"/>
      <c r="I8264" s="70"/>
      <c r="J8264" s="70"/>
      <c r="K8264" s="110" t="str">
        <f>IF(H8264="","",IF($C$29="간이법","",FPR(H8264,I8264,J8264)))</f>
        <v/>
      </c>
      <c r="L8264" s="111" t="str">
        <f>IF(H8264="","",IF($C$29="상세법",FPV(H8264,K8264),IF(H8264="EI",4,IF(H8264="EO",5.2,IF(H8264="EQ",3.9,IF(H8264="ILF",7.5,IF(H8264="EIF",5.4)))))))</f>
        <v/>
      </c>
      <c r="M8264" s="112" t="str">
        <f t="shared" si="132"/>
        <v/>
      </c>
      <c r="N8264" s="113"/>
    </row>
    <row r="8265" spans="2:14">
      <c r="B8265" s="105"/>
      <c r="C8265" s="106"/>
      <c r="D8265" s="107"/>
      <c r="E8265" s="65"/>
      <c r="F8265" s="64"/>
      <c r="G8265" s="64"/>
      <c r="H8265" s="64"/>
      <c r="I8265" s="70"/>
      <c r="J8265" s="70"/>
      <c r="K8265" s="110" t="str">
        <f>IF(H8265="","",IF($C$29="간이법","",FPR(H8265,I8265,J8265)))</f>
        <v/>
      </c>
      <c r="L8265" s="111" t="str">
        <f>IF(H8265="","",IF($C$29="상세법",FPV(H8265,K8265),IF(H8265="EI",4,IF(H8265="EO",5.2,IF(H8265="EQ",3.9,IF(H8265="ILF",7.5,IF(H8265="EIF",5.4)))))))</f>
        <v/>
      </c>
      <c r="M8265" s="112" t="str">
        <f t="shared" si="132"/>
        <v/>
      </c>
      <c r="N8265" s="113"/>
    </row>
    <row r="8266" spans="2:14">
      <c r="B8266" s="105"/>
      <c r="C8266" s="106"/>
      <c r="D8266" s="107"/>
      <c r="E8266" s="65"/>
      <c r="F8266" s="64"/>
      <c r="G8266" s="64"/>
      <c r="H8266" s="64"/>
      <c r="I8266" s="70"/>
      <c r="J8266" s="70"/>
      <c r="K8266" s="110" t="str">
        <f>IF(H8266="","",IF($C$29="간이법","",FPR(H8266,I8266,J8266)))</f>
        <v/>
      </c>
      <c r="L8266" s="111" t="str">
        <f>IF(H8266="","",IF($C$29="상세법",FPV(H8266,K8266),IF(H8266="EI",4,IF(H8266="EO",5.2,IF(H8266="EQ",3.9,IF(H8266="ILF",7.5,IF(H8266="EIF",5.4)))))))</f>
        <v/>
      </c>
      <c r="M8266" s="112" t="str">
        <f t="shared" si="132"/>
        <v/>
      </c>
      <c r="N8266" s="113"/>
    </row>
    <row r="8267" spans="2:14">
      <c r="B8267" s="105"/>
      <c r="C8267" s="106"/>
      <c r="D8267" s="107"/>
      <c r="E8267" s="65"/>
      <c r="F8267" s="64"/>
      <c r="G8267" s="64"/>
      <c r="H8267" s="64"/>
      <c r="I8267" s="70"/>
      <c r="J8267" s="70"/>
      <c r="K8267" s="110" t="str">
        <f>IF(H8267="","",IF($C$29="간이법","",FPR(H8267,I8267,J8267)))</f>
        <v/>
      </c>
      <c r="L8267" s="111" t="str">
        <f>IF(H8267="","",IF($C$29="상세법",FPV(H8267,K8267),IF(H8267="EI",4,IF(H8267="EO",5.2,IF(H8267="EQ",3.9,IF(H8267="ILF",7.5,IF(H8267="EIF",5.4)))))))</f>
        <v/>
      </c>
      <c r="M8267" s="112" t="str">
        <f t="shared" si="132"/>
        <v/>
      </c>
      <c r="N8267" s="113"/>
    </row>
    <row r="8268" spans="2:14">
      <c r="B8268" s="105"/>
      <c r="C8268" s="106"/>
      <c r="D8268" s="107"/>
      <c r="E8268" s="65"/>
      <c r="F8268" s="64"/>
      <c r="G8268" s="64"/>
      <c r="H8268" s="64"/>
      <c r="I8268" s="70"/>
      <c r="J8268" s="70"/>
      <c r="K8268" s="110" t="str">
        <f>IF(H8268="","",IF($C$29="간이법","",FPR(H8268,I8268,J8268)))</f>
        <v/>
      </c>
      <c r="L8268" s="111" t="str">
        <f>IF(H8268="","",IF($C$29="상세법",FPV(H8268,K8268),IF(H8268="EI",4,IF(H8268="EO",5.2,IF(H8268="EQ",3.9,IF(H8268="ILF",7.5,IF(H8268="EIF",5.4)))))))</f>
        <v/>
      </c>
      <c r="M8268" s="112" t="str">
        <f t="shared" si="132"/>
        <v/>
      </c>
      <c r="N8268" s="113"/>
    </row>
    <row r="8269" spans="2:14">
      <c r="B8269" s="105"/>
      <c r="C8269" s="106"/>
      <c r="D8269" s="107"/>
      <c r="E8269" s="65"/>
      <c r="F8269" s="64"/>
      <c r="G8269" s="64"/>
      <c r="H8269" s="64"/>
      <c r="I8269" s="70"/>
      <c r="J8269" s="70"/>
      <c r="K8269" s="110" t="str">
        <f>IF(H8269="","",IF($C$29="간이법","",FPR(H8269,I8269,J8269)))</f>
        <v/>
      </c>
      <c r="L8269" s="111" t="str">
        <f>IF(H8269="","",IF($C$29="상세법",FPV(H8269,K8269),IF(H8269="EI",4,IF(H8269="EO",5.2,IF(H8269="EQ",3.9,IF(H8269="ILF",7.5,IF(H8269="EIF",5.4)))))))</f>
        <v/>
      </c>
      <c r="M8269" s="112" t="str">
        <f t="shared" si="132"/>
        <v/>
      </c>
      <c r="N8269" s="113"/>
    </row>
    <row r="8270" spans="2:14">
      <c r="B8270" s="105"/>
      <c r="C8270" s="106"/>
      <c r="D8270" s="107"/>
      <c r="E8270" s="65"/>
      <c r="F8270" s="64"/>
      <c r="G8270" s="64"/>
      <c r="H8270" s="64"/>
      <c r="I8270" s="70"/>
      <c r="J8270" s="70"/>
      <c r="K8270" s="110" t="str">
        <f>IF(H8270="","",IF($C$29="간이법","",FPR(H8270,I8270,J8270)))</f>
        <v/>
      </c>
      <c r="L8270" s="111" t="str">
        <f>IF(H8270="","",IF($C$29="상세법",FPV(H8270,K8270),IF(H8270="EI",4,IF(H8270="EO",5.2,IF(H8270="EQ",3.9,IF(H8270="ILF",7.5,IF(H8270="EIF",5.4)))))))</f>
        <v/>
      </c>
      <c r="M8270" s="112" t="str">
        <f t="shared" si="132"/>
        <v/>
      </c>
      <c r="N8270" s="113"/>
    </row>
    <row r="8271" spans="2:14">
      <c r="B8271" s="105"/>
      <c r="C8271" s="106"/>
      <c r="D8271" s="107"/>
      <c r="E8271" s="65"/>
      <c r="F8271" s="64"/>
      <c r="G8271" s="64"/>
      <c r="H8271" s="64"/>
      <c r="I8271" s="70"/>
      <c r="J8271" s="70"/>
      <c r="K8271" s="110" t="str">
        <f>IF(H8271="","",IF($C$29="간이법","",FPR(H8271,I8271,J8271)))</f>
        <v/>
      </c>
      <c r="L8271" s="111" t="str">
        <f>IF(H8271="","",IF($C$29="상세법",FPV(H8271,K8271),IF(H8271="EI",4,IF(H8271="EO",5.2,IF(H8271="EQ",3.9,IF(H8271="ILF",7.5,IF(H8271="EIF",5.4)))))))</f>
        <v/>
      </c>
      <c r="M8271" s="112" t="str">
        <f t="shared" si="132"/>
        <v/>
      </c>
      <c r="N8271" s="113"/>
    </row>
    <row r="8272" spans="2:14">
      <c r="B8272" s="105"/>
      <c r="C8272" s="106"/>
      <c r="D8272" s="107"/>
      <c r="E8272" s="65"/>
      <c r="F8272" s="64"/>
      <c r="G8272" s="64"/>
      <c r="H8272" s="64"/>
      <c r="I8272" s="70"/>
      <c r="J8272" s="70"/>
      <c r="K8272" s="110" t="str">
        <f>IF(H8272="","",IF($C$29="간이법","",FPR(H8272,I8272,J8272)))</f>
        <v/>
      </c>
      <c r="L8272" s="111" t="str">
        <f>IF(H8272="","",IF($C$29="상세법",FPV(H8272,K8272),IF(H8272="EI",4,IF(H8272="EO",5.2,IF(H8272="EQ",3.9,IF(H8272="ILF",7.5,IF(H8272="EIF",5.4)))))))</f>
        <v/>
      </c>
      <c r="M8272" s="112" t="str">
        <f t="shared" si="132"/>
        <v/>
      </c>
      <c r="N8272" s="113"/>
    </row>
    <row r="8273" spans="2:14">
      <c r="B8273" s="105"/>
      <c r="C8273" s="106"/>
      <c r="D8273" s="107"/>
      <c r="E8273" s="65"/>
      <c r="F8273" s="64"/>
      <c r="G8273" s="64"/>
      <c r="H8273" s="64"/>
      <c r="I8273" s="70"/>
      <c r="J8273" s="70"/>
      <c r="K8273" s="110" t="str">
        <f>IF(H8273="","",IF($C$29="간이법","",FPR(H8273,I8273,J8273)))</f>
        <v/>
      </c>
      <c r="L8273" s="111" t="str">
        <f>IF(H8273="","",IF($C$29="상세법",FPV(H8273,K8273),IF(H8273="EI",4,IF(H8273="EO",5.2,IF(H8273="EQ",3.9,IF(H8273="ILF",7.5,IF(H8273="EIF",5.4)))))))</f>
        <v/>
      </c>
      <c r="M8273" s="112" t="str">
        <f t="shared" si="132"/>
        <v/>
      </c>
      <c r="N8273" s="113"/>
    </row>
    <row r="8274" spans="2:14">
      <c r="B8274" s="105"/>
      <c r="C8274" s="106"/>
      <c r="D8274" s="107"/>
      <c r="E8274" s="65"/>
      <c r="F8274" s="64"/>
      <c r="G8274" s="64"/>
      <c r="H8274" s="64"/>
      <c r="I8274" s="70"/>
      <c r="J8274" s="70"/>
      <c r="K8274" s="110" t="str">
        <f>IF(H8274="","",IF($C$29="간이법","",FPR(H8274,I8274,J8274)))</f>
        <v/>
      </c>
      <c r="L8274" s="111" t="str">
        <f>IF(H8274="","",IF($C$29="상세법",FPV(H8274,K8274),IF(H8274="EI",4,IF(H8274="EO",5.2,IF(H8274="EQ",3.9,IF(H8274="ILF",7.5,IF(H8274="EIF",5.4)))))))</f>
        <v/>
      </c>
      <c r="M8274" s="112" t="str">
        <f t="shared" si="132"/>
        <v/>
      </c>
      <c r="N8274" s="113"/>
    </row>
    <row r="8275" spans="2:14">
      <c r="B8275" s="105"/>
      <c r="C8275" s="106"/>
      <c r="D8275" s="107"/>
      <c r="E8275" s="65"/>
      <c r="F8275" s="64"/>
      <c r="G8275" s="64"/>
      <c r="H8275" s="64"/>
      <c r="I8275" s="70"/>
      <c r="J8275" s="70"/>
      <c r="K8275" s="110" t="str">
        <f>IF(H8275="","",IF($C$29="간이법","",FPR(H8275,I8275,J8275)))</f>
        <v/>
      </c>
      <c r="L8275" s="111" t="str">
        <f>IF(H8275="","",IF($C$29="상세법",FPV(H8275,K8275),IF(H8275="EI",4,IF(H8275="EO",5.2,IF(H8275="EQ",3.9,IF(H8275="ILF",7.5,IF(H8275="EIF",5.4)))))))</f>
        <v/>
      </c>
      <c r="M8275" s="112" t="str">
        <f t="shared" si="132"/>
        <v/>
      </c>
      <c r="N8275" s="113"/>
    </row>
    <row r="8276" spans="2:14">
      <c r="B8276" s="105"/>
      <c r="C8276" s="106"/>
      <c r="D8276" s="107"/>
      <c r="E8276" s="65"/>
      <c r="F8276" s="64"/>
      <c r="G8276" s="64"/>
      <c r="H8276" s="64"/>
      <c r="I8276" s="70"/>
      <c r="J8276" s="70"/>
      <c r="K8276" s="110" t="str">
        <f>IF(H8276="","",IF($C$29="간이법","",FPR(H8276,I8276,J8276)))</f>
        <v/>
      </c>
      <c r="L8276" s="111" t="str">
        <f>IF(H8276="","",IF($C$29="상세법",FPV(H8276,K8276),IF(H8276="EI",4,IF(H8276="EO",5.2,IF(H8276="EQ",3.9,IF(H8276="ILF",7.5,IF(H8276="EIF",5.4)))))))</f>
        <v/>
      </c>
      <c r="M8276" s="112" t="str">
        <f t="shared" si="132"/>
        <v/>
      </c>
      <c r="N8276" s="113"/>
    </row>
    <row r="8277" spans="2:14">
      <c r="B8277" s="105"/>
      <c r="C8277" s="106"/>
      <c r="D8277" s="107"/>
      <c r="E8277" s="65"/>
      <c r="F8277" s="64"/>
      <c r="G8277" s="64"/>
      <c r="H8277" s="64"/>
      <c r="I8277" s="70"/>
      <c r="J8277" s="70"/>
      <c r="K8277" s="110" t="str">
        <f>IF(H8277="","",IF($C$29="간이법","",FPR(H8277,I8277,J8277)))</f>
        <v/>
      </c>
      <c r="L8277" s="111" t="str">
        <f>IF(H8277="","",IF($C$29="상세법",FPV(H8277,K8277),IF(H8277="EI",4,IF(H8277="EO",5.2,IF(H8277="EQ",3.9,IF(H8277="ILF",7.5,IF(H8277="EIF",5.4)))))))</f>
        <v/>
      </c>
      <c r="M8277" s="112" t="str">
        <f t="shared" si="132"/>
        <v/>
      </c>
      <c r="N8277" s="113"/>
    </row>
    <row r="8278" spans="2:14">
      <c r="B8278" s="105"/>
      <c r="C8278" s="106"/>
      <c r="D8278" s="107"/>
      <c r="E8278" s="65"/>
      <c r="F8278" s="64"/>
      <c r="G8278" s="64"/>
      <c r="H8278" s="64"/>
      <c r="I8278" s="70"/>
      <c r="J8278" s="70"/>
      <c r="K8278" s="110" t="str">
        <f>IF(H8278="","",IF($C$29="간이법","",FPR(H8278,I8278,J8278)))</f>
        <v/>
      </c>
      <c r="L8278" s="111" t="str">
        <f>IF(H8278="","",IF($C$29="상세법",FPV(H8278,K8278),IF(H8278="EI",4,IF(H8278="EO",5.2,IF(H8278="EQ",3.9,IF(H8278="ILF",7.5,IF(H8278="EIF",5.4)))))))</f>
        <v/>
      </c>
      <c r="M8278" s="112" t="str">
        <f t="shared" si="132"/>
        <v/>
      </c>
      <c r="N8278" s="113"/>
    </row>
    <row r="8279" spans="2:14">
      <c r="B8279" s="105"/>
      <c r="C8279" s="106"/>
      <c r="D8279" s="107"/>
      <c r="E8279" s="65"/>
      <c r="F8279" s="64"/>
      <c r="G8279" s="64"/>
      <c r="H8279" s="64"/>
      <c r="I8279" s="70"/>
      <c r="J8279" s="70"/>
      <c r="K8279" s="110" t="str">
        <f>IF(H8279="","",IF($C$29="간이법","",FPR(H8279,I8279,J8279)))</f>
        <v/>
      </c>
      <c r="L8279" s="111" t="str">
        <f>IF(H8279="","",IF($C$29="상세법",FPV(H8279,K8279),IF(H8279="EI",4,IF(H8279="EO",5.2,IF(H8279="EQ",3.9,IF(H8279="ILF",7.5,IF(H8279="EIF",5.4)))))))</f>
        <v/>
      </c>
      <c r="M8279" s="112" t="str">
        <f t="shared" si="132"/>
        <v/>
      </c>
      <c r="N8279" s="113"/>
    </row>
    <row r="8280" spans="2:14">
      <c r="B8280" s="105"/>
      <c r="C8280" s="106"/>
      <c r="D8280" s="107"/>
      <c r="E8280" s="65"/>
      <c r="F8280" s="64"/>
      <c r="G8280" s="64"/>
      <c r="H8280" s="64"/>
      <c r="I8280" s="70"/>
      <c r="J8280" s="70"/>
      <c r="K8280" s="110" t="str">
        <f>IF(H8280="","",IF($C$29="간이법","",FPR(H8280,I8280,J8280)))</f>
        <v/>
      </c>
      <c r="L8280" s="111" t="str">
        <f>IF(H8280="","",IF($C$29="상세법",FPV(H8280,K8280),IF(H8280="EI",4,IF(H8280="EO",5.2,IF(H8280="EQ",3.9,IF(H8280="ILF",7.5,IF(H8280="EIF",5.4)))))))</f>
        <v/>
      </c>
      <c r="M8280" s="112" t="str">
        <f t="shared" si="132"/>
        <v/>
      </c>
      <c r="N8280" s="113"/>
    </row>
    <row r="8281" spans="2:14">
      <c r="B8281" s="105"/>
      <c r="C8281" s="106"/>
      <c r="D8281" s="107"/>
      <c r="E8281" s="65"/>
      <c r="F8281" s="64"/>
      <c r="G8281" s="64"/>
      <c r="H8281" s="64"/>
      <c r="I8281" s="70"/>
      <c r="J8281" s="70"/>
      <c r="K8281" s="110" t="str">
        <f>IF(H8281="","",IF($C$29="간이법","",FPR(H8281,I8281,J8281)))</f>
        <v/>
      </c>
      <c r="L8281" s="111" t="str">
        <f>IF(H8281="","",IF($C$29="상세법",FPV(H8281,K8281),IF(H8281="EI",4,IF(H8281="EO",5.2,IF(H8281="EQ",3.9,IF(H8281="ILF",7.5,IF(H8281="EIF",5.4)))))))</f>
        <v/>
      </c>
      <c r="M8281" s="112" t="str">
        <f t="shared" si="132"/>
        <v/>
      </c>
      <c r="N8281" s="113"/>
    </row>
    <row r="8282" spans="2:14">
      <c r="B8282" s="105"/>
      <c r="C8282" s="106"/>
      <c r="D8282" s="107"/>
      <c r="E8282" s="65"/>
      <c r="F8282" s="64"/>
      <c r="G8282" s="64"/>
      <c r="H8282" s="64"/>
      <c r="I8282" s="70"/>
      <c r="J8282" s="70"/>
      <c r="K8282" s="110" t="str">
        <f>IF(H8282="","",IF($C$29="간이법","",FPR(H8282,I8282,J8282)))</f>
        <v/>
      </c>
      <c r="L8282" s="111" t="str">
        <f>IF(H8282="","",IF($C$29="상세법",FPV(H8282,K8282),IF(H8282="EI",4,IF(H8282="EO",5.2,IF(H8282="EQ",3.9,IF(H8282="ILF",7.5,IF(H8282="EIF",5.4)))))))</f>
        <v/>
      </c>
      <c r="M8282" s="112" t="str">
        <f t="shared" si="132"/>
        <v/>
      </c>
      <c r="N8282" s="113"/>
    </row>
    <row r="8283" spans="2:14">
      <c r="B8283" s="105"/>
      <c r="C8283" s="106"/>
      <c r="D8283" s="107"/>
      <c r="E8283" s="65"/>
      <c r="F8283" s="64"/>
      <c r="G8283" s="64"/>
      <c r="H8283" s="64"/>
      <c r="I8283" s="70"/>
      <c r="J8283" s="70"/>
      <c r="K8283" s="110" t="str">
        <f>IF(H8283="","",IF($C$29="간이법","",FPR(H8283,I8283,J8283)))</f>
        <v/>
      </c>
      <c r="L8283" s="111" t="str">
        <f>IF(H8283="","",IF($C$29="상세법",FPV(H8283,K8283),IF(H8283="EI",4,IF(H8283="EO",5.2,IF(H8283="EQ",3.9,IF(H8283="ILF",7.5,IF(H8283="EIF",5.4)))))))</f>
        <v/>
      </c>
      <c r="M8283" s="112" t="str">
        <f t="shared" si="132"/>
        <v/>
      </c>
      <c r="N8283" s="113"/>
    </row>
    <row r="8284" spans="2:14">
      <c r="B8284" s="105"/>
      <c r="C8284" s="106"/>
      <c r="D8284" s="107"/>
      <c r="E8284" s="65"/>
      <c r="F8284" s="64"/>
      <c r="G8284" s="64"/>
      <c r="H8284" s="64"/>
      <c r="I8284" s="70"/>
      <c r="J8284" s="70"/>
      <c r="K8284" s="110" t="str">
        <f>IF(H8284="","",IF($C$29="간이법","",FPR(H8284,I8284,J8284)))</f>
        <v/>
      </c>
      <c r="L8284" s="111" t="str">
        <f>IF(H8284="","",IF($C$29="상세법",FPV(H8284,K8284),IF(H8284="EI",4,IF(H8284="EO",5.2,IF(H8284="EQ",3.9,IF(H8284="ILF",7.5,IF(H8284="EIF",5.4)))))))</f>
        <v/>
      </c>
      <c r="M8284" s="112" t="str">
        <f t="shared" si="132"/>
        <v/>
      </c>
      <c r="N8284" s="113"/>
    </row>
    <row r="8285" spans="2:14">
      <c r="B8285" s="105"/>
      <c r="C8285" s="106"/>
      <c r="D8285" s="107"/>
      <c r="E8285" s="65"/>
      <c r="F8285" s="64"/>
      <c r="G8285" s="64"/>
      <c r="H8285" s="64"/>
      <c r="I8285" s="70"/>
      <c r="J8285" s="70"/>
      <c r="K8285" s="110" t="str">
        <f>IF(H8285="","",IF($C$29="간이법","",FPR(H8285,I8285,J8285)))</f>
        <v/>
      </c>
      <c r="L8285" s="111" t="str">
        <f>IF(H8285="","",IF($C$29="상세법",FPV(H8285,K8285),IF(H8285="EI",4,IF(H8285="EO",5.2,IF(H8285="EQ",3.9,IF(H8285="ILF",7.5,IF(H8285="EIF",5.4)))))))</f>
        <v/>
      </c>
      <c r="M8285" s="112" t="str">
        <f t="shared" si="132"/>
        <v/>
      </c>
      <c r="N8285" s="113"/>
    </row>
    <row r="8286" spans="2:14">
      <c r="B8286" s="105"/>
      <c r="C8286" s="106"/>
      <c r="D8286" s="107"/>
      <c r="E8286" s="65"/>
      <c r="F8286" s="64"/>
      <c r="G8286" s="64"/>
      <c r="H8286" s="64"/>
      <c r="I8286" s="70"/>
      <c r="J8286" s="70"/>
      <c r="K8286" s="110" t="str">
        <f>IF(H8286="","",IF($C$29="간이법","",FPR(H8286,I8286,J8286)))</f>
        <v/>
      </c>
      <c r="L8286" s="111" t="str">
        <f>IF(H8286="","",IF($C$29="상세법",FPV(H8286,K8286),IF(H8286="EI",4,IF(H8286="EO",5.2,IF(H8286="EQ",3.9,IF(H8286="ILF",7.5,IF(H8286="EIF",5.4)))))))</f>
        <v/>
      </c>
      <c r="M8286" s="112" t="str">
        <f t="shared" si="132"/>
        <v/>
      </c>
      <c r="N8286" s="113"/>
    </row>
    <row r="8287" spans="2:14">
      <c r="B8287" s="105"/>
      <c r="C8287" s="106"/>
      <c r="D8287" s="107"/>
      <c r="E8287" s="65"/>
      <c r="F8287" s="64"/>
      <c r="G8287" s="64"/>
      <c r="H8287" s="64"/>
      <c r="I8287" s="70"/>
      <c r="J8287" s="70"/>
      <c r="K8287" s="110" t="str">
        <f>IF(H8287="","",IF($C$29="간이법","",FPR(H8287,I8287,J8287)))</f>
        <v/>
      </c>
      <c r="L8287" s="111" t="str">
        <f>IF(H8287="","",IF($C$29="상세법",FPV(H8287,K8287),IF(H8287="EI",4,IF(H8287="EO",5.2,IF(H8287="EQ",3.9,IF(H8287="ILF",7.5,IF(H8287="EIF",5.4)))))))</f>
        <v/>
      </c>
      <c r="M8287" s="112" t="str">
        <f t="shared" si="132"/>
        <v/>
      </c>
      <c r="N8287" s="113"/>
    </row>
    <row r="8288" spans="2:14">
      <c r="B8288" s="105"/>
      <c r="C8288" s="106"/>
      <c r="D8288" s="107"/>
      <c r="E8288" s="65"/>
      <c r="F8288" s="64"/>
      <c r="G8288" s="64"/>
      <c r="H8288" s="64"/>
      <c r="I8288" s="70"/>
      <c r="J8288" s="70"/>
      <c r="K8288" s="110" t="str">
        <f>IF(H8288="","",IF($C$29="간이법","",FPR(H8288,I8288,J8288)))</f>
        <v/>
      </c>
      <c r="L8288" s="111" t="str">
        <f>IF(H8288="","",IF($C$29="상세법",FPV(H8288,K8288),IF(H8288="EI",4,IF(H8288="EO",5.2,IF(H8288="EQ",3.9,IF(H8288="ILF",7.5,IF(H8288="EIF",5.4)))))))</f>
        <v/>
      </c>
      <c r="M8288" s="112" t="str">
        <f t="shared" si="132"/>
        <v/>
      </c>
      <c r="N8288" s="113"/>
    </row>
    <row r="8289" spans="2:14">
      <c r="B8289" s="105"/>
      <c r="C8289" s="106"/>
      <c r="D8289" s="107"/>
      <c r="E8289" s="65"/>
      <c r="F8289" s="64"/>
      <c r="G8289" s="64"/>
      <c r="H8289" s="64"/>
      <c r="I8289" s="70"/>
      <c r="J8289" s="70"/>
      <c r="K8289" s="110" t="str">
        <f>IF(H8289="","",IF($C$29="간이법","",FPR(H8289,I8289,J8289)))</f>
        <v/>
      </c>
      <c r="L8289" s="111" t="str">
        <f>IF(H8289="","",IF($C$29="상세법",FPV(H8289,K8289),IF(H8289="EI",4,IF(H8289="EO",5.2,IF(H8289="EQ",3.9,IF(H8289="ILF",7.5,IF(H8289="EIF",5.4)))))))</f>
        <v/>
      </c>
      <c r="M8289" s="112" t="str">
        <f t="shared" si="132"/>
        <v/>
      </c>
      <c r="N8289" s="113"/>
    </row>
    <row r="8290" spans="2:14">
      <c r="B8290" s="105"/>
      <c r="C8290" s="106"/>
      <c r="D8290" s="107"/>
      <c r="E8290" s="65"/>
      <c r="F8290" s="64"/>
      <c r="G8290" s="64"/>
      <c r="H8290" s="64"/>
      <c r="I8290" s="70"/>
      <c r="J8290" s="70"/>
      <c r="K8290" s="110" t="str">
        <f>IF(H8290="","",IF($C$29="간이법","",FPR(H8290,I8290,J8290)))</f>
        <v/>
      </c>
      <c r="L8290" s="111" t="str">
        <f>IF(H8290="","",IF($C$29="상세법",FPV(H8290,K8290),IF(H8290="EI",4,IF(H8290="EO",5.2,IF(H8290="EQ",3.9,IF(H8290="ILF",7.5,IF(H8290="EIF",5.4)))))))</f>
        <v/>
      </c>
      <c r="M8290" s="112" t="str">
        <f t="shared" si="132"/>
        <v/>
      </c>
      <c r="N8290" s="113"/>
    </row>
    <row r="8291" spans="2:14">
      <c r="B8291" s="105"/>
      <c r="C8291" s="106"/>
      <c r="D8291" s="107"/>
      <c r="E8291" s="65"/>
      <c r="F8291" s="64"/>
      <c r="G8291" s="64"/>
      <c r="H8291" s="64"/>
      <c r="I8291" s="70"/>
      <c r="J8291" s="70"/>
      <c r="K8291" s="110" t="str">
        <f>IF(H8291="","",IF($C$29="간이법","",FPR(H8291,I8291,J8291)))</f>
        <v/>
      </c>
      <c r="L8291" s="111" t="str">
        <f>IF(H8291="","",IF($C$29="상세법",FPV(H8291,K8291),IF(H8291="EI",4,IF(H8291="EO",5.2,IF(H8291="EQ",3.9,IF(H8291="ILF",7.5,IF(H8291="EIF",5.4)))))))</f>
        <v/>
      </c>
      <c r="M8291" s="112" t="str">
        <f t="shared" si="132"/>
        <v/>
      </c>
      <c r="N8291" s="113"/>
    </row>
    <row r="8292" spans="2:14">
      <c r="B8292" s="105"/>
      <c r="C8292" s="106"/>
      <c r="D8292" s="107"/>
      <c r="E8292" s="65"/>
      <c r="F8292" s="64"/>
      <c r="G8292" s="64"/>
      <c r="H8292" s="64"/>
      <c r="I8292" s="70"/>
      <c r="J8292" s="70"/>
      <c r="K8292" s="110" t="str">
        <f>IF(H8292="","",IF($C$29="간이법","",FPR(H8292,I8292,J8292)))</f>
        <v/>
      </c>
      <c r="L8292" s="111" t="str">
        <f>IF(H8292="","",IF($C$29="상세법",FPV(H8292,K8292),IF(H8292="EI",4,IF(H8292="EO",5.2,IF(H8292="EQ",3.9,IF(H8292="ILF",7.5,IF(H8292="EIF",5.4)))))))</f>
        <v/>
      </c>
      <c r="M8292" s="112" t="str">
        <f t="shared" si="132"/>
        <v/>
      </c>
      <c r="N8292" s="113"/>
    </row>
    <row r="8293" spans="2:14">
      <c r="B8293" s="105"/>
      <c r="C8293" s="106"/>
      <c r="D8293" s="107"/>
      <c r="E8293" s="65"/>
      <c r="F8293" s="64"/>
      <c r="G8293" s="64"/>
      <c r="H8293" s="64"/>
      <c r="I8293" s="70"/>
      <c r="J8293" s="70"/>
      <c r="K8293" s="110" t="str">
        <f>IF(H8293="","",IF($C$29="간이법","",FPR(H8293,I8293,J8293)))</f>
        <v/>
      </c>
      <c r="L8293" s="111" t="str">
        <f>IF(H8293="","",IF($C$29="상세법",FPV(H8293,K8293),IF(H8293="EI",4,IF(H8293="EO",5.2,IF(H8293="EQ",3.9,IF(H8293="ILF",7.5,IF(H8293="EIF",5.4)))))))</f>
        <v/>
      </c>
      <c r="M8293" s="112" t="str">
        <f t="shared" si="132"/>
        <v/>
      </c>
      <c r="N8293" s="113"/>
    </row>
    <row r="8294" spans="2:14">
      <c r="B8294" s="105"/>
      <c r="C8294" s="106"/>
      <c r="D8294" s="107"/>
      <c r="E8294" s="65"/>
      <c r="F8294" s="64"/>
      <c r="G8294" s="64"/>
      <c r="H8294" s="64"/>
      <c r="I8294" s="70"/>
      <c r="J8294" s="70"/>
      <c r="K8294" s="110" t="str">
        <f>IF(H8294="","",IF($C$29="간이법","",FPR(H8294,I8294,J8294)))</f>
        <v/>
      </c>
      <c r="L8294" s="111" t="str">
        <f>IF(H8294="","",IF($C$29="상세법",FPV(H8294,K8294),IF(H8294="EI",4,IF(H8294="EO",5.2,IF(H8294="EQ",3.9,IF(H8294="ILF",7.5,IF(H8294="EIF",5.4)))))))</f>
        <v/>
      </c>
      <c r="M8294" s="112" t="str">
        <f t="shared" si="132"/>
        <v/>
      </c>
      <c r="N8294" s="113"/>
    </row>
    <row r="8295" spans="2:14">
      <c r="B8295" s="105"/>
      <c r="C8295" s="106"/>
      <c r="D8295" s="107"/>
      <c r="E8295" s="65"/>
      <c r="F8295" s="64"/>
      <c r="G8295" s="64"/>
      <c r="H8295" s="64"/>
      <c r="I8295" s="70"/>
      <c r="J8295" s="70"/>
      <c r="K8295" s="110" t="str">
        <f>IF(H8295="","",IF($C$29="간이법","",FPR(H8295,I8295,J8295)))</f>
        <v/>
      </c>
      <c r="L8295" s="111" t="str">
        <f>IF(H8295="","",IF($C$29="상세법",FPV(H8295,K8295),IF(H8295="EI",4,IF(H8295="EO",5.2,IF(H8295="EQ",3.9,IF(H8295="ILF",7.5,IF(H8295="EIF",5.4)))))))</f>
        <v/>
      </c>
      <c r="M8295" s="112" t="str">
        <f t="shared" si="132"/>
        <v/>
      </c>
      <c r="N8295" s="113"/>
    </row>
    <row r="8296" spans="2:14">
      <c r="B8296" s="105"/>
      <c r="C8296" s="106"/>
      <c r="D8296" s="107"/>
      <c r="E8296" s="65"/>
      <c r="F8296" s="64"/>
      <c r="G8296" s="64"/>
      <c r="H8296" s="64"/>
      <c r="I8296" s="70"/>
      <c r="J8296" s="70"/>
      <c r="K8296" s="110" t="str">
        <f>IF(H8296="","",IF($C$29="간이법","",FPR(H8296,I8296,J8296)))</f>
        <v/>
      </c>
      <c r="L8296" s="111" t="str">
        <f>IF(H8296="","",IF($C$29="상세법",FPV(H8296,K8296),IF(H8296="EI",4,IF(H8296="EO",5.2,IF(H8296="EQ",3.9,IF(H8296="ILF",7.5,IF(H8296="EIF",5.4)))))))</f>
        <v/>
      </c>
      <c r="M8296" s="112" t="str">
        <f t="shared" si="132"/>
        <v/>
      </c>
      <c r="N8296" s="113"/>
    </row>
    <row r="8297" spans="2:14">
      <c r="B8297" s="105"/>
      <c r="C8297" s="106"/>
      <c r="D8297" s="107"/>
      <c r="E8297" s="65"/>
      <c r="F8297" s="64"/>
      <c r="G8297" s="64"/>
      <c r="H8297" s="64"/>
      <c r="I8297" s="70"/>
      <c r="J8297" s="70"/>
      <c r="K8297" s="110" t="str">
        <f>IF(H8297="","",IF($C$29="간이법","",FPR(H8297,I8297,J8297)))</f>
        <v/>
      </c>
      <c r="L8297" s="111" t="str">
        <f>IF(H8297="","",IF($C$29="상세법",FPV(H8297,K8297),IF(H8297="EI",4,IF(H8297="EO",5.2,IF(H8297="EQ",3.9,IF(H8297="ILF",7.5,IF(H8297="EIF",5.4)))))))</f>
        <v/>
      </c>
      <c r="M8297" s="112" t="str">
        <f t="shared" si="132"/>
        <v/>
      </c>
      <c r="N8297" s="113"/>
    </row>
    <row r="8298" spans="2:14">
      <c r="B8298" s="105"/>
      <c r="C8298" s="106"/>
      <c r="D8298" s="107"/>
      <c r="E8298" s="65"/>
      <c r="F8298" s="64"/>
      <c r="G8298" s="64"/>
      <c r="H8298" s="64"/>
      <c r="I8298" s="70"/>
      <c r="J8298" s="70"/>
      <c r="K8298" s="110" t="str">
        <f>IF(H8298="","",IF($C$29="간이법","",FPR(H8298,I8298,J8298)))</f>
        <v/>
      </c>
      <c r="L8298" s="111" t="str">
        <f>IF(H8298="","",IF($C$29="상세법",FPV(H8298,K8298),IF(H8298="EI",4,IF(H8298="EO",5.2,IF(H8298="EQ",3.9,IF(H8298="ILF",7.5,IF(H8298="EIF",5.4)))))))</f>
        <v/>
      </c>
      <c r="M8298" s="112" t="str">
        <f t="shared" si="132"/>
        <v/>
      </c>
      <c r="N8298" s="113"/>
    </row>
    <row r="8299" spans="2:14">
      <c r="B8299" s="105"/>
      <c r="C8299" s="106"/>
      <c r="D8299" s="107"/>
      <c r="E8299" s="65"/>
      <c r="F8299" s="64"/>
      <c r="G8299" s="64"/>
      <c r="H8299" s="64"/>
      <c r="I8299" s="70"/>
      <c r="J8299" s="70"/>
      <c r="K8299" s="110" t="str">
        <f>IF(H8299="","",IF($C$29="간이법","",FPR(H8299,I8299,J8299)))</f>
        <v/>
      </c>
      <c r="L8299" s="111" t="str">
        <f>IF(H8299="","",IF($C$29="상세법",FPV(H8299,K8299),IF(H8299="EI",4,IF(H8299="EO",5.2,IF(H8299="EQ",3.9,IF(H8299="ILF",7.5,IF(H8299="EIF",5.4)))))))</f>
        <v/>
      </c>
      <c r="M8299" s="112" t="str">
        <f t="shared" si="132"/>
        <v/>
      </c>
      <c r="N8299" s="113"/>
    </row>
    <row r="8300" spans="2:14">
      <c r="B8300" s="105"/>
      <c r="C8300" s="106"/>
      <c r="D8300" s="107"/>
      <c r="E8300" s="65"/>
      <c r="F8300" s="64"/>
      <c r="G8300" s="64"/>
      <c r="H8300" s="64"/>
      <c r="I8300" s="70"/>
      <c r="J8300" s="70"/>
      <c r="K8300" s="110" t="str">
        <f>IF(H8300="","",IF($C$29="간이법","",FPR(H8300,I8300,J8300)))</f>
        <v/>
      </c>
      <c r="L8300" s="111" t="str">
        <f>IF(H8300="","",IF($C$29="상세법",FPV(H8300,K8300),IF(H8300="EI",4,IF(H8300="EO",5.2,IF(H8300="EQ",3.9,IF(H8300="ILF",7.5,IF(H8300="EIF",5.4)))))))</f>
        <v/>
      </c>
      <c r="M8300" s="112" t="str">
        <f t="shared" si="132"/>
        <v/>
      </c>
      <c r="N8300" s="113"/>
    </row>
    <row r="8301" spans="2:14">
      <c r="B8301" s="105"/>
      <c r="C8301" s="106"/>
      <c r="D8301" s="107"/>
      <c r="E8301" s="65"/>
      <c r="F8301" s="64"/>
      <c r="G8301" s="64"/>
      <c r="H8301" s="64"/>
      <c r="I8301" s="70"/>
      <c r="J8301" s="70"/>
      <c r="K8301" s="110" t="str">
        <f>IF(H8301="","",IF($C$29="간이법","",FPR(H8301,I8301,J8301)))</f>
        <v/>
      </c>
      <c r="L8301" s="111" t="str">
        <f>IF(H8301="","",IF($C$29="상세법",FPV(H8301,K8301),IF(H8301="EI",4,IF(H8301="EO",5.2,IF(H8301="EQ",3.9,IF(H8301="ILF",7.5,IF(H8301="EIF",5.4)))))))</f>
        <v/>
      </c>
      <c r="M8301" s="112" t="str">
        <f t="shared" si="132"/>
        <v/>
      </c>
      <c r="N8301" s="113"/>
    </row>
    <row r="8302" spans="2:14">
      <c r="B8302" s="105"/>
      <c r="C8302" s="106"/>
      <c r="D8302" s="107"/>
      <c r="E8302" s="65"/>
      <c r="F8302" s="64"/>
      <c r="G8302" s="64"/>
      <c r="H8302" s="64"/>
      <c r="I8302" s="70"/>
      <c r="J8302" s="70"/>
      <c r="K8302" s="110" t="str">
        <f>IF(H8302="","",IF($C$29="간이법","",FPR(H8302,I8302,J8302)))</f>
        <v/>
      </c>
      <c r="L8302" s="111" t="str">
        <f>IF(H8302="","",IF($C$29="상세법",FPV(H8302,K8302),IF(H8302="EI",4,IF(H8302="EO",5.2,IF(H8302="EQ",3.9,IF(H8302="ILF",7.5,IF(H8302="EIF",5.4)))))))</f>
        <v/>
      </c>
      <c r="M8302" s="112" t="str">
        <f t="shared" si="132"/>
        <v/>
      </c>
      <c r="N8302" s="113"/>
    </row>
    <row r="8303" spans="2:14">
      <c r="B8303" s="105"/>
      <c r="C8303" s="106"/>
      <c r="D8303" s="107"/>
      <c r="E8303" s="65"/>
      <c r="F8303" s="64"/>
      <c r="G8303" s="64"/>
      <c r="H8303" s="64"/>
      <c r="I8303" s="70"/>
      <c r="J8303" s="70"/>
      <c r="K8303" s="110" t="str">
        <f>IF(H8303="","",IF($C$29="간이법","",FPR(H8303,I8303,J8303)))</f>
        <v/>
      </c>
      <c r="L8303" s="111" t="str">
        <f>IF(H8303="","",IF($C$29="상세법",FPV(H8303,K8303),IF(H8303="EI",4,IF(H8303="EO",5.2,IF(H8303="EQ",3.9,IF(H8303="ILF",7.5,IF(H8303="EIF",5.4)))))))</f>
        <v/>
      </c>
      <c r="M8303" s="112" t="str">
        <f t="shared" si="132"/>
        <v/>
      </c>
      <c r="N8303" s="113"/>
    </row>
    <row r="8304" spans="2:14">
      <c r="B8304" s="105"/>
      <c r="C8304" s="106"/>
      <c r="D8304" s="107"/>
      <c r="E8304" s="65"/>
      <c r="F8304" s="64"/>
      <c r="G8304" s="64"/>
      <c r="H8304" s="64"/>
      <c r="I8304" s="70"/>
      <c r="J8304" s="70"/>
      <c r="K8304" s="110" t="str">
        <f>IF(H8304="","",IF($C$29="간이법","",FPR(H8304,I8304,J8304)))</f>
        <v/>
      </c>
      <c r="L8304" s="111" t="str">
        <f>IF(H8304="","",IF($C$29="상세법",FPV(H8304,K8304),IF(H8304="EI",4,IF(H8304="EO",5.2,IF(H8304="EQ",3.9,IF(H8304="ILF",7.5,IF(H8304="EIF",5.4)))))))</f>
        <v/>
      </c>
      <c r="M8304" s="112" t="str">
        <f t="shared" si="132"/>
        <v/>
      </c>
      <c r="N8304" s="113"/>
    </row>
    <row r="8305" spans="2:14">
      <c r="B8305" s="105"/>
      <c r="C8305" s="106"/>
      <c r="D8305" s="107"/>
      <c r="E8305" s="65"/>
      <c r="F8305" s="64"/>
      <c r="G8305" s="64"/>
      <c r="H8305" s="64"/>
      <c r="I8305" s="70"/>
      <c r="J8305" s="70"/>
      <c r="K8305" s="110" t="str">
        <f>IF(H8305="","",IF($C$29="간이법","",FPR(H8305,I8305,J8305)))</f>
        <v/>
      </c>
      <c r="L8305" s="111" t="str">
        <f>IF(H8305="","",IF($C$29="상세법",FPV(H8305,K8305),IF(H8305="EI",4,IF(H8305="EO",5.2,IF(H8305="EQ",3.9,IF(H8305="ILF",7.5,IF(H8305="EIF",5.4)))))))</f>
        <v/>
      </c>
      <c r="M8305" s="112" t="str">
        <f t="shared" si="132"/>
        <v/>
      </c>
      <c r="N8305" s="113"/>
    </row>
    <row r="8306" spans="2:14">
      <c r="B8306" s="105"/>
      <c r="C8306" s="106"/>
      <c r="D8306" s="107"/>
      <c r="E8306" s="65"/>
      <c r="F8306" s="64"/>
      <c r="G8306" s="64"/>
      <c r="H8306" s="64"/>
      <c r="I8306" s="70"/>
      <c r="J8306" s="70"/>
      <c r="K8306" s="110" t="str">
        <f>IF(H8306="","",IF($C$29="간이법","",FPR(H8306,I8306,J8306)))</f>
        <v/>
      </c>
      <c r="L8306" s="111" t="str">
        <f>IF(H8306="","",IF($C$29="상세법",FPV(H8306,K8306),IF(H8306="EI",4,IF(H8306="EO",5.2,IF(H8306="EQ",3.9,IF(H8306="ILF",7.5,IF(H8306="EIF",5.4)))))))</f>
        <v/>
      </c>
      <c r="M8306" s="112" t="str">
        <f t="shared" si="132"/>
        <v/>
      </c>
      <c r="N8306" s="113"/>
    </row>
    <row r="8307" spans="2:14">
      <c r="B8307" s="105"/>
      <c r="C8307" s="106"/>
      <c r="D8307" s="107"/>
      <c r="E8307" s="65"/>
      <c r="F8307" s="64"/>
      <c r="G8307" s="64"/>
      <c r="H8307" s="64"/>
      <c r="I8307" s="70"/>
      <c r="J8307" s="70"/>
      <c r="K8307" s="110" t="str">
        <f>IF(H8307="","",IF($C$29="간이법","",FPR(H8307,I8307,J8307)))</f>
        <v/>
      </c>
      <c r="L8307" s="111" t="str">
        <f>IF(H8307="","",IF($C$29="상세법",FPV(H8307,K8307),IF(H8307="EI",4,IF(H8307="EO",5.2,IF(H8307="EQ",3.9,IF(H8307="ILF",7.5,IF(H8307="EIF",5.4)))))))</f>
        <v/>
      </c>
      <c r="M8307" s="112" t="str">
        <f t="shared" si="132"/>
        <v/>
      </c>
      <c r="N8307" s="113"/>
    </row>
    <row r="8308" spans="2:14">
      <c r="B8308" s="105"/>
      <c r="C8308" s="106"/>
      <c r="D8308" s="107"/>
      <c r="E8308" s="65"/>
      <c r="F8308" s="64"/>
      <c r="G8308" s="64"/>
      <c r="H8308" s="64"/>
      <c r="I8308" s="70"/>
      <c r="J8308" s="70"/>
      <c r="K8308" s="110" t="str">
        <f>IF(H8308="","",IF($C$29="간이법","",FPR(H8308,I8308,J8308)))</f>
        <v/>
      </c>
      <c r="L8308" s="111" t="str">
        <f>IF(H8308="","",IF($C$29="상세법",FPV(H8308,K8308),IF(H8308="EI",4,IF(H8308="EO",5.2,IF(H8308="EQ",3.9,IF(H8308="ILF",7.5,IF(H8308="EIF",5.4)))))))</f>
        <v/>
      </c>
      <c r="M8308" s="112" t="str">
        <f t="shared" si="132"/>
        <v/>
      </c>
      <c r="N8308" s="113"/>
    </row>
    <row r="8309" spans="2:14">
      <c r="B8309" s="105"/>
      <c r="C8309" s="106"/>
      <c r="D8309" s="107"/>
      <c r="E8309" s="65"/>
      <c r="F8309" s="64"/>
      <c r="G8309" s="64"/>
      <c r="H8309" s="64"/>
      <c r="I8309" s="70"/>
      <c r="J8309" s="70"/>
      <c r="K8309" s="110" t="str">
        <f>IF(H8309="","",IF($C$29="간이법","",FPR(H8309,I8309,J8309)))</f>
        <v/>
      </c>
      <c r="L8309" s="111" t="str">
        <f>IF(H8309="","",IF($C$29="상세법",FPV(H8309,K8309),IF(H8309="EI",4,IF(H8309="EO",5.2,IF(H8309="EQ",3.9,IF(H8309="ILF",7.5,IF(H8309="EIF",5.4)))))))</f>
        <v/>
      </c>
      <c r="M8309" s="112" t="str">
        <f t="shared" si="132"/>
        <v/>
      </c>
      <c r="N8309" s="113"/>
    </row>
    <row r="8310" spans="2:14">
      <c r="B8310" s="105"/>
      <c r="C8310" s="106"/>
      <c r="D8310" s="107"/>
      <c r="E8310" s="65"/>
      <c r="F8310" s="64"/>
      <c r="G8310" s="64"/>
      <c r="H8310" s="64"/>
      <c r="I8310" s="70"/>
      <c r="J8310" s="70"/>
      <c r="K8310" s="110" t="str">
        <f>IF(H8310="","",IF($C$29="간이법","",FPR(H8310,I8310,J8310)))</f>
        <v/>
      </c>
      <c r="L8310" s="111" t="str">
        <f>IF(H8310="","",IF($C$29="상세법",FPV(H8310,K8310),IF(H8310="EI",4,IF(H8310="EO",5.2,IF(H8310="EQ",3.9,IF(H8310="ILF",7.5,IF(H8310="EIF",5.4)))))))</f>
        <v/>
      </c>
      <c r="M8310" s="112" t="str">
        <f t="shared" si="132"/>
        <v/>
      </c>
      <c r="N8310" s="113"/>
    </row>
    <row r="8311" spans="2:14">
      <c r="B8311" s="105"/>
      <c r="C8311" s="106"/>
      <c r="D8311" s="107"/>
      <c r="E8311" s="65"/>
      <c r="F8311" s="64"/>
      <c r="G8311" s="64"/>
      <c r="H8311" s="64"/>
      <c r="I8311" s="70"/>
      <c r="J8311" s="70"/>
      <c r="K8311" s="110" t="str">
        <f>IF(H8311="","",IF($C$29="간이법","",FPR(H8311,I8311,J8311)))</f>
        <v/>
      </c>
      <c r="L8311" s="111" t="str">
        <f>IF(H8311="","",IF($C$29="상세법",FPV(H8311,K8311),IF(H8311="EI",4,IF(H8311="EO",5.2,IF(H8311="EQ",3.9,IF(H8311="ILF",7.5,IF(H8311="EIF",5.4)))))))</f>
        <v/>
      </c>
      <c r="M8311" s="112" t="str">
        <f t="shared" si="132"/>
        <v/>
      </c>
      <c r="N8311" s="113"/>
    </row>
    <row r="8312" spans="2:14">
      <c r="B8312" s="105"/>
      <c r="C8312" s="106"/>
      <c r="D8312" s="107"/>
      <c r="E8312" s="65"/>
      <c r="F8312" s="64"/>
      <c r="G8312" s="64"/>
      <c r="H8312" s="64"/>
      <c r="I8312" s="70"/>
      <c r="J8312" s="70"/>
      <c r="K8312" s="110" t="str">
        <f>IF(H8312="","",IF($C$29="간이법","",FPR(H8312,I8312,J8312)))</f>
        <v/>
      </c>
      <c r="L8312" s="111" t="str">
        <f>IF(H8312="","",IF($C$29="상세법",FPV(H8312,K8312),IF(H8312="EI",4,IF(H8312="EO",5.2,IF(H8312="EQ",3.9,IF(H8312="ILF",7.5,IF(H8312="EIF",5.4)))))))</f>
        <v/>
      </c>
      <c r="M8312" s="112" t="str">
        <f t="shared" si="132"/>
        <v/>
      </c>
      <c r="N8312" s="113"/>
    </row>
    <row r="8313" spans="2:14">
      <c r="B8313" s="105"/>
      <c r="C8313" s="106"/>
      <c r="D8313" s="107"/>
      <c r="E8313" s="65"/>
      <c r="F8313" s="64"/>
      <c r="G8313" s="64"/>
      <c r="H8313" s="64"/>
      <c r="I8313" s="70"/>
      <c r="J8313" s="70"/>
      <c r="K8313" s="110" t="str">
        <f>IF(H8313="","",IF($C$29="간이법","",FPR(H8313,I8313,J8313)))</f>
        <v/>
      </c>
      <c r="L8313" s="111" t="str">
        <f>IF(H8313="","",IF($C$29="상세법",FPV(H8313,K8313),IF(H8313="EI",4,IF(H8313="EO",5.2,IF(H8313="EQ",3.9,IF(H8313="ILF",7.5,IF(H8313="EIF",5.4)))))))</f>
        <v/>
      </c>
      <c r="M8313" s="112" t="str">
        <f t="shared" ref="M8313:M8376" si="133">IF(L8313="","",L8313*IF(G8313="상",0.7,IF(G8313="중",0.5,IF(G8313="하",0.2,1))))</f>
        <v/>
      </c>
      <c r="N8313" s="113"/>
    </row>
    <row r="8314" spans="2:14">
      <c r="B8314" s="105"/>
      <c r="C8314" s="106"/>
      <c r="D8314" s="107"/>
      <c r="E8314" s="65"/>
      <c r="F8314" s="64"/>
      <c r="G8314" s="64"/>
      <c r="H8314" s="64"/>
      <c r="I8314" s="70"/>
      <c r="J8314" s="70"/>
      <c r="K8314" s="110" t="str">
        <f>IF(H8314="","",IF($C$29="간이법","",FPR(H8314,I8314,J8314)))</f>
        <v/>
      </c>
      <c r="L8314" s="111" t="str">
        <f>IF(H8314="","",IF($C$29="상세법",FPV(H8314,K8314),IF(H8314="EI",4,IF(H8314="EO",5.2,IF(H8314="EQ",3.9,IF(H8314="ILF",7.5,IF(H8314="EIF",5.4)))))))</f>
        <v/>
      </c>
      <c r="M8314" s="112" t="str">
        <f t="shared" si="133"/>
        <v/>
      </c>
      <c r="N8314" s="113"/>
    </row>
    <row r="8315" spans="2:14">
      <c r="B8315" s="105"/>
      <c r="C8315" s="106"/>
      <c r="D8315" s="107"/>
      <c r="E8315" s="65"/>
      <c r="F8315" s="64"/>
      <c r="G8315" s="64"/>
      <c r="H8315" s="64"/>
      <c r="I8315" s="70"/>
      <c r="J8315" s="70"/>
      <c r="K8315" s="110" t="str">
        <f>IF(H8315="","",IF($C$29="간이법","",FPR(H8315,I8315,J8315)))</f>
        <v/>
      </c>
      <c r="L8315" s="111" t="str">
        <f>IF(H8315="","",IF($C$29="상세법",FPV(H8315,K8315),IF(H8315="EI",4,IF(H8315="EO",5.2,IF(H8315="EQ",3.9,IF(H8315="ILF",7.5,IF(H8315="EIF",5.4)))))))</f>
        <v/>
      </c>
      <c r="M8315" s="112" t="str">
        <f t="shared" si="133"/>
        <v/>
      </c>
      <c r="N8315" s="113"/>
    </row>
    <row r="8316" spans="2:14">
      <c r="B8316" s="105"/>
      <c r="C8316" s="106"/>
      <c r="D8316" s="107"/>
      <c r="E8316" s="65"/>
      <c r="F8316" s="64"/>
      <c r="G8316" s="64"/>
      <c r="H8316" s="64"/>
      <c r="I8316" s="70"/>
      <c r="J8316" s="70"/>
      <c r="K8316" s="110" t="str">
        <f>IF(H8316="","",IF($C$29="간이법","",FPR(H8316,I8316,J8316)))</f>
        <v/>
      </c>
      <c r="L8316" s="111" t="str">
        <f>IF(H8316="","",IF($C$29="상세법",FPV(H8316,K8316),IF(H8316="EI",4,IF(H8316="EO",5.2,IF(H8316="EQ",3.9,IF(H8316="ILF",7.5,IF(H8316="EIF",5.4)))))))</f>
        <v/>
      </c>
      <c r="M8316" s="112" t="str">
        <f t="shared" si="133"/>
        <v/>
      </c>
      <c r="N8316" s="113"/>
    </row>
    <row r="8317" spans="2:14">
      <c r="B8317" s="105"/>
      <c r="C8317" s="106"/>
      <c r="D8317" s="107"/>
      <c r="E8317" s="65"/>
      <c r="F8317" s="64"/>
      <c r="G8317" s="64"/>
      <c r="H8317" s="64"/>
      <c r="I8317" s="70"/>
      <c r="J8317" s="70"/>
      <c r="K8317" s="110" t="str">
        <f>IF(H8317="","",IF($C$29="간이법","",FPR(H8317,I8317,J8317)))</f>
        <v/>
      </c>
      <c r="L8317" s="111" t="str">
        <f>IF(H8317="","",IF($C$29="상세법",FPV(H8317,K8317),IF(H8317="EI",4,IF(H8317="EO",5.2,IF(H8317="EQ",3.9,IF(H8317="ILF",7.5,IF(H8317="EIF",5.4)))))))</f>
        <v/>
      </c>
      <c r="M8317" s="112" t="str">
        <f t="shared" si="133"/>
        <v/>
      </c>
      <c r="N8317" s="113"/>
    </row>
    <row r="8318" spans="2:14">
      <c r="B8318" s="105"/>
      <c r="C8318" s="106"/>
      <c r="D8318" s="107"/>
      <c r="E8318" s="65"/>
      <c r="F8318" s="64"/>
      <c r="G8318" s="64"/>
      <c r="H8318" s="64"/>
      <c r="I8318" s="70"/>
      <c r="J8318" s="70"/>
      <c r="K8318" s="110" t="str">
        <f>IF(H8318="","",IF($C$29="간이법","",FPR(H8318,I8318,J8318)))</f>
        <v/>
      </c>
      <c r="L8318" s="111" t="str">
        <f>IF(H8318="","",IF($C$29="상세법",FPV(H8318,K8318),IF(H8318="EI",4,IF(H8318="EO",5.2,IF(H8318="EQ",3.9,IF(H8318="ILF",7.5,IF(H8318="EIF",5.4)))))))</f>
        <v/>
      </c>
      <c r="M8318" s="112" t="str">
        <f t="shared" si="133"/>
        <v/>
      </c>
      <c r="N8318" s="113"/>
    </row>
    <row r="8319" spans="2:14">
      <c r="B8319" s="105"/>
      <c r="C8319" s="106"/>
      <c r="D8319" s="107"/>
      <c r="E8319" s="65"/>
      <c r="F8319" s="64"/>
      <c r="G8319" s="64"/>
      <c r="H8319" s="64"/>
      <c r="I8319" s="70"/>
      <c r="J8319" s="70"/>
      <c r="K8319" s="110" t="str">
        <f>IF(H8319="","",IF($C$29="간이법","",FPR(H8319,I8319,J8319)))</f>
        <v/>
      </c>
      <c r="L8319" s="111" t="str">
        <f>IF(H8319="","",IF($C$29="상세법",FPV(H8319,K8319),IF(H8319="EI",4,IF(H8319="EO",5.2,IF(H8319="EQ",3.9,IF(H8319="ILF",7.5,IF(H8319="EIF",5.4)))))))</f>
        <v/>
      </c>
      <c r="M8319" s="112" t="str">
        <f t="shared" si="133"/>
        <v/>
      </c>
      <c r="N8319" s="113"/>
    </row>
    <row r="8320" spans="2:14">
      <c r="B8320" s="105"/>
      <c r="C8320" s="106"/>
      <c r="D8320" s="107"/>
      <c r="E8320" s="65"/>
      <c r="F8320" s="64"/>
      <c r="G8320" s="64"/>
      <c r="H8320" s="64"/>
      <c r="I8320" s="70"/>
      <c r="J8320" s="70"/>
      <c r="K8320" s="110" t="str">
        <f>IF(H8320="","",IF($C$29="간이법","",FPR(H8320,I8320,J8320)))</f>
        <v/>
      </c>
      <c r="L8320" s="111" t="str">
        <f>IF(H8320="","",IF($C$29="상세법",FPV(H8320,K8320),IF(H8320="EI",4,IF(H8320="EO",5.2,IF(H8320="EQ",3.9,IF(H8320="ILF",7.5,IF(H8320="EIF",5.4)))))))</f>
        <v/>
      </c>
      <c r="M8320" s="112" t="str">
        <f t="shared" si="133"/>
        <v/>
      </c>
      <c r="N8320" s="113"/>
    </row>
    <row r="8321" spans="2:14">
      <c r="B8321" s="105"/>
      <c r="C8321" s="106"/>
      <c r="D8321" s="107"/>
      <c r="E8321" s="65"/>
      <c r="F8321" s="64"/>
      <c r="G8321" s="64"/>
      <c r="H8321" s="64"/>
      <c r="I8321" s="70"/>
      <c r="J8321" s="70"/>
      <c r="K8321" s="110" t="str">
        <f>IF(H8321="","",IF($C$29="간이법","",FPR(H8321,I8321,J8321)))</f>
        <v/>
      </c>
      <c r="L8321" s="111" t="str">
        <f>IF(H8321="","",IF($C$29="상세법",FPV(H8321,K8321),IF(H8321="EI",4,IF(H8321="EO",5.2,IF(H8321="EQ",3.9,IF(H8321="ILF",7.5,IF(H8321="EIF",5.4)))))))</f>
        <v/>
      </c>
      <c r="M8321" s="112" t="str">
        <f t="shared" si="133"/>
        <v/>
      </c>
      <c r="N8321" s="113"/>
    </row>
    <row r="8322" spans="2:14">
      <c r="B8322" s="105"/>
      <c r="C8322" s="106"/>
      <c r="D8322" s="107"/>
      <c r="E8322" s="65"/>
      <c r="F8322" s="64"/>
      <c r="G8322" s="64"/>
      <c r="H8322" s="64"/>
      <c r="I8322" s="70"/>
      <c r="J8322" s="70"/>
      <c r="K8322" s="110" t="str">
        <f>IF(H8322="","",IF($C$29="간이법","",FPR(H8322,I8322,J8322)))</f>
        <v/>
      </c>
      <c r="L8322" s="111" t="str">
        <f>IF(H8322="","",IF($C$29="상세법",FPV(H8322,K8322),IF(H8322="EI",4,IF(H8322="EO",5.2,IF(H8322="EQ",3.9,IF(H8322="ILF",7.5,IF(H8322="EIF",5.4)))))))</f>
        <v/>
      </c>
      <c r="M8322" s="112" t="str">
        <f t="shared" si="133"/>
        <v/>
      </c>
      <c r="N8322" s="113"/>
    </row>
    <row r="8323" spans="2:14">
      <c r="B8323" s="105"/>
      <c r="C8323" s="106"/>
      <c r="D8323" s="107"/>
      <c r="E8323" s="65"/>
      <c r="F8323" s="64"/>
      <c r="G8323" s="64"/>
      <c r="H8323" s="64"/>
      <c r="I8323" s="70"/>
      <c r="J8323" s="70"/>
      <c r="K8323" s="110" t="str">
        <f>IF(H8323="","",IF($C$29="간이법","",FPR(H8323,I8323,J8323)))</f>
        <v/>
      </c>
      <c r="L8323" s="111" t="str">
        <f>IF(H8323="","",IF($C$29="상세법",FPV(H8323,K8323),IF(H8323="EI",4,IF(H8323="EO",5.2,IF(H8323="EQ",3.9,IF(H8323="ILF",7.5,IF(H8323="EIF",5.4)))))))</f>
        <v/>
      </c>
      <c r="M8323" s="112" t="str">
        <f t="shared" si="133"/>
        <v/>
      </c>
      <c r="N8323" s="113"/>
    </row>
    <row r="8324" spans="2:14">
      <c r="B8324" s="105"/>
      <c r="C8324" s="106"/>
      <c r="D8324" s="107"/>
      <c r="E8324" s="65"/>
      <c r="F8324" s="64"/>
      <c r="G8324" s="64"/>
      <c r="H8324" s="64"/>
      <c r="I8324" s="70"/>
      <c r="J8324" s="70"/>
      <c r="K8324" s="110" t="str">
        <f>IF(H8324="","",IF($C$29="간이법","",FPR(H8324,I8324,J8324)))</f>
        <v/>
      </c>
      <c r="L8324" s="111" t="str">
        <f>IF(H8324="","",IF($C$29="상세법",FPV(H8324,K8324),IF(H8324="EI",4,IF(H8324="EO",5.2,IF(H8324="EQ",3.9,IF(H8324="ILF",7.5,IF(H8324="EIF",5.4)))))))</f>
        <v/>
      </c>
      <c r="M8324" s="112" t="str">
        <f t="shared" si="133"/>
        <v/>
      </c>
      <c r="N8324" s="113"/>
    </row>
    <row r="8325" spans="2:14">
      <c r="B8325" s="105"/>
      <c r="C8325" s="106"/>
      <c r="D8325" s="107"/>
      <c r="E8325" s="65"/>
      <c r="F8325" s="64"/>
      <c r="G8325" s="64"/>
      <c r="H8325" s="64"/>
      <c r="I8325" s="70"/>
      <c r="J8325" s="70"/>
      <c r="K8325" s="110" t="str">
        <f>IF(H8325="","",IF($C$29="간이법","",FPR(H8325,I8325,J8325)))</f>
        <v/>
      </c>
      <c r="L8325" s="111" t="str">
        <f>IF(H8325="","",IF($C$29="상세법",FPV(H8325,K8325),IF(H8325="EI",4,IF(H8325="EO",5.2,IF(H8325="EQ",3.9,IF(H8325="ILF",7.5,IF(H8325="EIF",5.4)))))))</f>
        <v/>
      </c>
      <c r="M8325" s="112" t="str">
        <f t="shared" si="133"/>
        <v/>
      </c>
      <c r="N8325" s="113"/>
    </row>
    <row r="8326" spans="2:14">
      <c r="B8326" s="105"/>
      <c r="C8326" s="106"/>
      <c r="D8326" s="107"/>
      <c r="E8326" s="65"/>
      <c r="F8326" s="64"/>
      <c r="G8326" s="64"/>
      <c r="H8326" s="64"/>
      <c r="I8326" s="70"/>
      <c r="J8326" s="70"/>
      <c r="K8326" s="110" t="str">
        <f>IF(H8326="","",IF($C$29="간이법","",FPR(H8326,I8326,J8326)))</f>
        <v/>
      </c>
      <c r="L8326" s="111" t="str">
        <f>IF(H8326="","",IF($C$29="상세법",FPV(H8326,K8326),IF(H8326="EI",4,IF(H8326="EO",5.2,IF(H8326="EQ",3.9,IF(H8326="ILF",7.5,IF(H8326="EIF",5.4)))))))</f>
        <v/>
      </c>
      <c r="M8326" s="112" t="str">
        <f t="shared" si="133"/>
        <v/>
      </c>
      <c r="N8326" s="113"/>
    </row>
    <row r="8327" spans="2:14">
      <c r="B8327" s="105"/>
      <c r="C8327" s="106"/>
      <c r="D8327" s="107"/>
      <c r="E8327" s="65"/>
      <c r="F8327" s="64"/>
      <c r="G8327" s="64"/>
      <c r="H8327" s="64"/>
      <c r="I8327" s="70"/>
      <c r="J8327" s="70"/>
      <c r="K8327" s="110" t="str">
        <f>IF(H8327="","",IF($C$29="간이법","",FPR(H8327,I8327,J8327)))</f>
        <v/>
      </c>
      <c r="L8327" s="111" t="str">
        <f>IF(H8327="","",IF($C$29="상세법",FPV(H8327,K8327),IF(H8327="EI",4,IF(H8327="EO",5.2,IF(H8327="EQ",3.9,IF(H8327="ILF",7.5,IF(H8327="EIF",5.4)))))))</f>
        <v/>
      </c>
      <c r="M8327" s="112" t="str">
        <f t="shared" si="133"/>
        <v/>
      </c>
      <c r="N8327" s="113"/>
    </row>
    <row r="8328" spans="2:14">
      <c r="B8328" s="105"/>
      <c r="C8328" s="106"/>
      <c r="D8328" s="107"/>
      <c r="E8328" s="65"/>
      <c r="F8328" s="64"/>
      <c r="G8328" s="64"/>
      <c r="H8328" s="64"/>
      <c r="I8328" s="70"/>
      <c r="J8328" s="70"/>
      <c r="K8328" s="110" t="str">
        <f>IF(H8328="","",IF($C$29="간이법","",FPR(H8328,I8328,J8328)))</f>
        <v/>
      </c>
      <c r="L8328" s="111" t="str">
        <f>IF(H8328="","",IF($C$29="상세법",FPV(H8328,K8328),IF(H8328="EI",4,IF(H8328="EO",5.2,IF(H8328="EQ",3.9,IF(H8328="ILF",7.5,IF(H8328="EIF",5.4)))))))</f>
        <v/>
      </c>
      <c r="M8328" s="112" t="str">
        <f t="shared" si="133"/>
        <v/>
      </c>
      <c r="N8328" s="113"/>
    </row>
    <row r="8329" spans="2:14">
      <c r="B8329" s="105"/>
      <c r="C8329" s="106"/>
      <c r="D8329" s="107"/>
      <c r="E8329" s="65"/>
      <c r="F8329" s="64"/>
      <c r="G8329" s="64"/>
      <c r="H8329" s="64"/>
      <c r="I8329" s="70"/>
      <c r="J8329" s="70"/>
      <c r="K8329" s="110" t="str">
        <f>IF(H8329="","",IF($C$29="간이법","",FPR(H8329,I8329,J8329)))</f>
        <v/>
      </c>
      <c r="L8329" s="111" t="str">
        <f>IF(H8329="","",IF($C$29="상세법",FPV(H8329,K8329),IF(H8329="EI",4,IF(H8329="EO",5.2,IF(H8329="EQ",3.9,IF(H8329="ILF",7.5,IF(H8329="EIF",5.4)))))))</f>
        <v/>
      </c>
      <c r="M8329" s="112" t="str">
        <f t="shared" si="133"/>
        <v/>
      </c>
      <c r="N8329" s="113"/>
    </row>
    <row r="8330" spans="2:14">
      <c r="B8330" s="105"/>
      <c r="C8330" s="106"/>
      <c r="D8330" s="107"/>
      <c r="E8330" s="65"/>
      <c r="F8330" s="64"/>
      <c r="G8330" s="64"/>
      <c r="H8330" s="64"/>
      <c r="I8330" s="70"/>
      <c r="J8330" s="70"/>
      <c r="K8330" s="110" t="str">
        <f>IF(H8330="","",IF($C$29="간이법","",FPR(H8330,I8330,J8330)))</f>
        <v/>
      </c>
      <c r="L8330" s="111" t="str">
        <f>IF(H8330="","",IF($C$29="상세법",FPV(H8330,K8330),IF(H8330="EI",4,IF(H8330="EO",5.2,IF(H8330="EQ",3.9,IF(H8330="ILF",7.5,IF(H8330="EIF",5.4)))))))</f>
        <v/>
      </c>
      <c r="M8330" s="112" t="str">
        <f t="shared" si="133"/>
        <v/>
      </c>
      <c r="N8330" s="113"/>
    </row>
    <row r="8331" spans="2:14">
      <c r="B8331" s="105"/>
      <c r="C8331" s="106"/>
      <c r="D8331" s="107"/>
      <c r="E8331" s="65"/>
      <c r="F8331" s="64"/>
      <c r="G8331" s="64"/>
      <c r="H8331" s="64"/>
      <c r="I8331" s="70"/>
      <c r="J8331" s="70"/>
      <c r="K8331" s="110" t="str">
        <f>IF(H8331="","",IF($C$29="간이법","",FPR(H8331,I8331,J8331)))</f>
        <v/>
      </c>
      <c r="L8331" s="111" t="str">
        <f>IF(H8331="","",IF($C$29="상세법",FPV(H8331,K8331),IF(H8331="EI",4,IF(H8331="EO",5.2,IF(H8331="EQ",3.9,IF(H8331="ILF",7.5,IF(H8331="EIF",5.4)))))))</f>
        <v/>
      </c>
      <c r="M8331" s="112" t="str">
        <f t="shared" si="133"/>
        <v/>
      </c>
      <c r="N8331" s="113"/>
    </row>
    <row r="8332" spans="2:14">
      <c r="B8332" s="105"/>
      <c r="C8332" s="106"/>
      <c r="D8332" s="107"/>
      <c r="E8332" s="65"/>
      <c r="F8332" s="64"/>
      <c r="G8332" s="64"/>
      <c r="H8332" s="64"/>
      <c r="I8332" s="70"/>
      <c r="J8332" s="70"/>
      <c r="K8332" s="110" t="str">
        <f>IF(H8332="","",IF($C$29="간이법","",FPR(H8332,I8332,J8332)))</f>
        <v/>
      </c>
      <c r="L8332" s="111" t="str">
        <f>IF(H8332="","",IF($C$29="상세법",FPV(H8332,K8332),IF(H8332="EI",4,IF(H8332="EO",5.2,IF(H8332="EQ",3.9,IF(H8332="ILF",7.5,IF(H8332="EIF",5.4)))))))</f>
        <v/>
      </c>
      <c r="M8332" s="112" t="str">
        <f t="shared" si="133"/>
        <v/>
      </c>
      <c r="N8332" s="113"/>
    </row>
    <row r="8333" spans="2:14">
      <c r="B8333" s="105"/>
      <c r="C8333" s="106"/>
      <c r="D8333" s="107"/>
      <c r="E8333" s="65"/>
      <c r="F8333" s="64"/>
      <c r="G8333" s="64"/>
      <c r="H8333" s="64"/>
      <c r="I8333" s="70"/>
      <c r="J8333" s="70"/>
      <c r="K8333" s="110" t="str">
        <f>IF(H8333="","",IF($C$29="간이법","",FPR(H8333,I8333,J8333)))</f>
        <v/>
      </c>
      <c r="L8333" s="111" t="str">
        <f>IF(H8333="","",IF($C$29="상세법",FPV(H8333,K8333),IF(H8333="EI",4,IF(H8333="EO",5.2,IF(H8333="EQ",3.9,IF(H8333="ILF",7.5,IF(H8333="EIF",5.4)))))))</f>
        <v/>
      </c>
      <c r="M8333" s="112" t="str">
        <f t="shared" si="133"/>
        <v/>
      </c>
      <c r="N8333" s="113"/>
    </row>
    <row r="8334" spans="2:14">
      <c r="B8334" s="105"/>
      <c r="C8334" s="106"/>
      <c r="D8334" s="107"/>
      <c r="E8334" s="65"/>
      <c r="F8334" s="64"/>
      <c r="G8334" s="64"/>
      <c r="H8334" s="64"/>
      <c r="I8334" s="70"/>
      <c r="J8334" s="70"/>
      <c r="K8334" s="110" t="str">
        <f>IF(H8334="","",IF($C$29="간이법","",FPR(H8334,I8334,J8334)))</f>
        <v/>
      </c>
      <c r="L8334" s="111" t="str">
        <f>IF(H8334="","",IF($C$29="상세법",FPV(H8334,K8334),IF(H8334="EI",4,IF(H8334="EO",5.2,IF(H8334="EQ",3.9,IF(H8334="ILF",7.5,IF(H8334="EIF",5.4)))))))</f>
        <v/>
      </c>
      <c r="M8334" s="112" t="str">
        <f t="shared" si="133"/>
        <v/>
      </c>
      <c r="N8334" s="113"/>
    </row>
    <row r="8335" spans="2:14">
      <c r="B8335" s="105"/>
      <c r="C8335" s="106"/>
      <c r="D8335" s="107"/>
      <c r="E8335" s="65"/>
      <c r="F8335" s="64"/>
      <c r="G8335" s="64"/>
      <c r="H8335" s="64"/>
      <c r="I8335" s="70"/>
      <c r="J8335" s="70"/>
      <c r="K8335" s="110" t="str">
        <f>IF(H8335="","",IF($C$29="간이법","",FPR(H8335,I8335,J8335)))</f>
        <v/>
      </c>
      <c r="L8335" s="111" t="str">
        <f>IF(H8335="","",IF($C$29="상세법",FPV(H8335,K8335),IF(H8335="EI",4,IF(H8335="EO",5.2,IF(H8335="EQ",3.9,IF(H8335="ILF",7.5,IF(H8335="EIF",5.4)))))))</f>
        <v/>
      </c>
      <c r="M8335" s="112" t="str">
        <f t="shared" si="133"/>
        <v/>
      </c>
      <c r="N8335" s="113"/>
    </row>
    <row r="8336" spans="2:14">
      <c r="B8336" s="105"/>
      <c r="C8336" s="106"/>
      <c r="D8336" s="107"/>
      <c r="E8336" s="65"/>
      <c r="F8336" s="64"/>
      <c r="G8336" s="64"/>
      <c r="H8336" s="64"/>
      <c r="I8336" s="70"/>
      <c r="J8336" s="70"/>
      <c r="K8336" s="110" t="str">
        <f>IF(H8336="","",IF($C$29="간이법","",FPR(H8336,I8336,J8336)))</f>
        <v/>
      </c>
      <c r="L8336" s="111" t="str">
        <f>IF(H8336="","",IF($C$29="상세법",FPV(H8336,K8336),IF(H8336="EI",4,IF(H8336="EO",5.2,IF(H8336="EQ",3.9,IF(H8336="ILF",7.5,IF(H8336="EIF",5.4)))))))</f>
        <v/>
      </c>
      <c r="M8336" s="112" t="str">
        <f t="shared" si="133"/>
        <v/>
      </c>
      <c r="N8336" s="113"/>
    </row>
    <row r="8337" spans="2:14">
      <c r="B8337" s="105"/>
      <c r="C8337" s="106"/>
      <c r="D8337" s="107"/>
      <c r="E8337" s="65"/>
      <c r="F8337" s="64"/>
      <c r="G8337" s="64"/>
      <c r="H8337" s="64"/>
      <c r="I8337" s="70"/>
      <c r="J8337" s="70"/>
      <c r="K8337" s="110" t="str">
        <f>IF(H8337="","",IF($C$29="간이법","",FPR(H8337,I8337,J8337)))</f>
        <v/>
      </c>
      <c r="L8337" s="111" t="str">
        <f>IF(H8337="","",IF($C$29="상세법",FPV(H8337,K8337),IF(H8337="EI",4,IF(H8337="EO",5.2,IF(H8337="EQ",3.9,IF(H8337="ILF",7.5,IF(H8337="EIF",5.4)))))))</f>
        <v/>
      </c>
      <c r="M8337" s="112" t="str">
        <f t="shared" si="133"/>
        <v/>
      </c>
      <c r="N8337" s="113"/>
    </row>
    <row r="8338" spans="2:14">
      <c r="B8338" s="105"/>
      <c r="C8338" s="106"/>
      <c r="D8338" s="107"/>
      <c r="E8338" s="65"/>
      <c r="F8338" s="64"/>
      <c r="G8338" s="64"/>
      <c r="H8338" s="64"/>
      <c r="I8338" s="70"/>
      <c r="J8338" s="70"/>
      <c r="K8338" s="110" t="str">
        <f>IF(H8338="","",IF($C$29="간이법","",FPR(H8338,I8338,J8338)))</f>
        <v/>
      </c>
      <c r="L8338" s="111" t="str">
        <f>IF(H8338="","",IF($C$29="상세법",FPV(H8338,K8338),IF(H8338="EI",4,IF(H8338="EO",5.2,IF(H8338="EQ",3.9,IF(H8338="ILF",7.5,IF(H8338="EIF",5.4)))))))</f>
        <v/>
      </c>
      <c r="M8338" s="112" t="str">
        <f t="shared" si="133"/>
        <v/>
      </c>
      <c r="N8338" s="113"/>
    </row>
    <row r="8339" spans="2:14">
      <c r="B8339" s="105"/>
      <c r="C8339" s="106"/>
      <c r="D8339" s="107"/>
      <c r="E8339" s="65"/>
      <c r="F8339" s="64"/>
      <c r="G8339" s="64"/>
      <c r="H8339" s="64"/>
      <c r="I8339" s="70"/>
      <c r="J8339" s="70"/>
      <c r="K8339" s="110" t="str">
        <f>IF(H8339="","",IF($C$29="간이법","",FPR(H8339,I8339,J8339)))</f>
        <v/>
      </c>
      <c r="L8339" s="111" t="str">
        <f>IF(H8339="","",IF($C$29="상세법",FPV(H8339,K8339),IF(H8339="EI",4,IF(H8339="EO",5.2,IF(H8339="EQ",3.9,IF(H8339="ILF",7.5,IF(H8339="EIF",5.4)))))))</f>
        <v/>
      </c>
      <c r="M8339" s="112" t="str">
        <f t="shared" si="133"/>
        <v/>
      </c>
      <c r="N8339" s="113"/>
    </row>
    <row r="8340" spans="2:14">
      <c r="B8340" s="105"/>
      <c r="C8340" s="106"/>
      <c r="D8340" s="107"/>
      <c r="E8340" s="65"/>
      <c r="F8340" s="64"/>
      <c r="G8340" s="64"/>
      <c r="H8340" s="64"/>
      <c r="I8340" s="70"/>
      <c r="J8340" s="70"/>
      <c r="K8340" s="110" t="str">
        <f>IF(H8340="","",IF($C$29="간이법","",FPR(H8340,I8340,J8340)))</f>
        <v/>
      </c>
      <c r="L8340" s="111" t="str">
        <f>IF(H8340="","",IF($C$29="상세법",FPV(H8340,K8340),IF(H8340="EI",4,IF(H8340="EO",5.2,IF(H8340="EQ",3.9,IF(H8340="ILF",7.5,IF(H8340="EIF",5.4)))))))</f>
        <v/>
      </c>
      <c r="M8340" s="112" t="str">
        <f t="shared" si="133"/>
        <v/>
      </c>
      <c r="N8340" s="113"/>
    </row>
    <row r="8341" spans="2:14">
      <c r="B8341" s="105"/>
      <c r="C8341" s="106"/>
      <c r="D8341" s="107"/>
      <c r="E8341" s="65"/>
      <c r="F8341" s="64"/>
      <c r="G8341" s="64"/>
      <c r="H8341" s="64"/>
      <c r="I8341" s="70"/>
      <c r="J8341" s="70"/>
      <c r="K8341" s="110" t="str">
        <f>IF(H8341="","",IF($C$29="간이법","",FPR(H8341,I8341,J8341)))</f>
        <v/>
      </c>
      <c r="L8341" s="111" t="str">
        <f>IF(H8341="","",IF($C$29="상세법",FPV(H8341,K8341),IF(H8341="EI",4,IF(H8341="EO",5.2,IF(H8341="EQ",3.9,IF(H8341="ILF",7.5,IF(H8341="EIF",5.4)))))))</f>
        <v/>
      </c>
      <c r="M8341" s="112" t="str">
        <f t="shared" si="133"/>
        <v/>
      </c>
      <c r="N8341" s="113"/>
    </row>
    <row r="8342" spans="2:14">
      <c r="B8342" s="105"/>
      <c r="C8342" s="106"/>
      <c r="D8342" s="107"/>
      <c r="E8342" s="65"/>
      <c r="F8342" s="64"/>
      <c r="G8342" s="64"/>
      <c r="H8342" s="64"/>
      <c r="I8342" s="70"/>
      <c r="J8342" s="70"/>
      <c r="K8342" s="110" t="str">
        <f>IF(H8342="","",IF($C$29="간이법","",FPR(H8342,I8342,J8342)))</f>
        <v/>
      </c>
      <c r="L8342" s="111" t="str">
        <f>IF(H8342="","",IF($C$29="상세법",FPV(H8342,K8342),IF(H8342="EI",4,IF(H8342="EO",5.2,IF(H8342="EQ",3.9,IF(H8342="ILF",7.5,IF(H8342="EIF",5.4)))))))</f>
        <v/>
      </c>
      <c r="M8342" s="112" t="str">
        <f t="shared" si="133"/>
        <v/>
      </c>
      <c r="N8342" s="113"/>
    </row>
    <row r="8343" spans="2:14">
      <c r="B8343" s="105"/>
      <c r="C8343" s="106"/>
      <c r="D8343" s="107"/>
      <c r="E8343" s="65"/>
      <c r="F8343" s="64"/>
      <c r="G8343" s="64"/>
      <c r="H8343" s="64"/>
      <c r="I8343" s="70"/>
      <c r="J8343" s="70"/>
      <c r="K8343" s="110" t="str">
        <f>IF(H8343="","",IF($C$29="간이법","",FPR(H8343,I8343,J8343)))</f>
        <v/>
      </c>
      <c r="L8343" s="111" t="str">
        <f>IF(H8343="","",IF($C$29="상세법",FPV(H8343,K8343),IF(H8343="EI",4,IF(H8343="EO",5.2,IF(H8343="EQ",3.9,IF(H8343="ILF",7.5,IF(H8343="EIF",5.4)))))))</f>
        <v/>
      </c>
      <c r="M8343" s="112" t="str">
        <f t="shared" si="133"/>
        <v/>
      </c>
      <c r="N8343" s="113"/>
    </row>
    <row r="8344" spans="2:14">
      <c r="B8344" s="105"/>
      <c r="C8344" s="106"/>
      <c r="D8344" s="107"/>
      <c r="E8344" s="65"/>
      <c r="F8344" s="64"/>
      <c r="G8344" s="64"/>
      <c r="H8344" s="64"/>
      <c r="I8344" s="70"/>
      <c r="J8344" s="70"/>
      <c r="K8344" s="110" t="str">
        <f>IF(H8344="","",IF($C$29="간이법","",FPR(H8344,I8344,J8344)))</f>
        <v/>
      </c>
      <c r="L8344" s="111" t="str">
        <f>IF(H8344="","",IF($C$29="상세법",FPV(H8344,K8344),IF(H8344="EI",4,IF(H8344="EO",5.2,IF(H8344="EQ",3.9,IF(H8344="ILF",7.5,IF(H8344="EIF",5.4)))))))</f>
        <v/>
      </c>
      <c r="M8344" s="112" t="str">
        <f t="shared" si="133"/>
        <v/>
      </c>
      <c r="N8344" s="113"/>
    </row>
    <row r="8345" spans="2:14">
      <c r="B8345" s="105"/>
      <c r="C8345" s="106"/>
      <c r="D8345" s="107"/>
      <c r="E8345" s="65"/>
      <c r="F8345" s="64"/>
      <c r="G8345" s="64"/>
      <c r="H8345" s="64"/>
      <c r="I8345" s="70"/>
      <c r="J8345" s="70"/>
      <c r="K8345" s="110" t="str">
        <f>IF(H8345="","",IF($C$29="간이법","",FPR(H8345,I8345,J8345)))</f>
        <v/>
      </c>
      <c r="L8345" s="111" t="str">
        <f>IF(H8345="","",IF($C$29="상세법",FPV(H8345,K8345),IF(H8345="EI",4,IF(H8345="EO",5.2,IF(H8345="EQ",3.9,IF(H8345="ILF",7.5,IF(H8345="EIF",5.4)))))))</f>
        <v/>
      </c>
      <c r="M8345" s="112" t="str">
        <f t="shared" si="133"/>
        <v/>
      </c>
      <c r="N8345" s="113"/>
    </row>
    <row r="8346" spans="2:14">
      <c r="B8346" s="105"/>
      <c r="C8346" s="106"/>
      <c r="D8346" s="107"/>
      <c r="E8346" s="65"/>
      <c r="F8346" s="64"/>
      <c r="G8346" s="64"/>
      <c r="H8346" s="64"/>
      <c r="I8346" s="70"/>
      <c r="J8346" s="70"/>
      <c r="K8346" s="110" t="str">
        <f>IF(H8346="","",IF($C$29="간이법","",FPR(H8346,I8346,J8346)))</f>
        <v/>
      </c>
      <c r="L8346" s="111" t="str">
        <f>IF(H8346="","",IF($C$29="상세법",FPV(H8346,K8346),IF(H8346="EI",4,IF(H8346="EO",5.2,IF(H8346="EQ",3.9,IF(H8346="ILF",7.5,IF(H8346="EIF",5.4)))))))</f>
        <v/>
      </c>
      <c r="M8346" s="112" t="str">
        <f t="shared" si="133"/>
        <v/>
      </c>
      <c r="N8346" s="113"/>
    </row>
    <row r="8347" spans="2:14">
      <c r="B8347" s="105"/>
      <c r="C8347" s="106"/>
      <c r="D8347" s="107"/>
      <c r="E8347" s="65"/>
      <c r="F8347" s="64"/>
      <c r="G8347" s="64"/>
      <c r="H8347" s="64"/>
      <c r="I8347" s="70"/>
      <c r="J8347" s="70"/>
      <c r="K8347" s="110" t="str">
        <f>IF(H8347="","",IF($C$29="간이법","",FPR(H8347,I8347,J8347)))</f>
        <v/>
      </c>
      <c r="L8347" s="111" t="str">
        <f>IF(H8347="","",IF($C$29="상세법",FPV(H8347,K8347),IF(H8347="EI",4,IF(H8347="EO",5.2,IF(H8347="EQ",3.9,IF(H8347="ILF",7.5,IF(H8347="EIF",5.4)))))))</f>
        <v/>
      </c>
      <c r="M8347" s="112" t="str">
        <f t="shared" si="133"/>
        <v/>
      </c>
      <c r="N8347" s="113"/>
    </row>
    <row r="8348" spans="2:14">
      <c r="B8348" s="105"/>
      <c r="C8348" s="106"/>
      <c r="D8348" s="107"/>
      <c r="E8348" s="65"/>
      <c r="F8348" s="64"/>
      <c r="G8348" s="64"/>
      <c r="H8348" s="64"/>
      <c r="I8348" s="70"/>
      <c r="J8348" s="70"/>
      <c r="K8348" s="110" t="str">
        <f>IF(H8348="","",IF($C$29="간이법","",FPR(H8348,I8348,J8348)))</f>
        <v/>
      </c>
      <c r="L8348" s="111" t="str">
        <f>IF(H8348="","",IF($C$29="상세법",FPV(H8348,K8348),IF(H8348="EI",4,IF(H8348="EO",5.2,IF(H8348="EQ",3.9,IF(H8348="ILF",7.5,IF(H8348="EIF",5.4)))))))</f>
        <v/>
      </c>
      <c r="M8348" s="112" t="str">
        <f t="shared" si="133"/>
        <v/>
      </c>
      <c r="N8348" s="113"/>
    </row>
    <row r="8349" spans="2:14">
      <c r="B8349" s="105"/>
      <c r="C8349" s="106"/>
      <c r="D8349" s="107"/>
      <c r="E8349" s="65"/>
      <c r="F8349" s="64"/>
      <c r="G8349" s="64"/>
      <c r="H8349" s="64"/>
      <c r="I8349" s="70"/>
      <c r="J8349" s="70"/>
      <c r="K8349" s="110" t="str">
        <f>IF(H8349="","",IF($C$29="간이법","",FPR(H8349,I8349,J8349)))</f>
        <v/>
      </c>
      <c r="L8349" s="111" t="str">
        <f>IF(H8349="","",IF($C$29="상세법",FPV(H8349,K8349),IF(H8349="EI",4,IF(H8349="EO",5.2,IF(H8349="EQ",3.9,IF(H8349="ILF",7.5,IF(H8349="EIF",5.4)))))))</f>
        <v/>
      </c>
      <c r="M8349" s="112" t="str">
        <f t="shared" si="133"/>
        <v/>
      </c>
      <c r="N8349" s="113"/>
    </row>
    <row r="8350" spans="2:14">
      <c r="B8350" s="105"/>
      <c r="C8350" s="106"/>
      <c r="D8350" s="107"/>
      <c r="E8350" s="65"/>
      <c r="F8350" s="64"/>
      <c r="G8350" s="64"/>
      <c r="H8350" s="64"/>
      <c r="I8350" s="70"/>
      <c r="J8350" s="70"/>
      <c r="K8350" s="110" t="str">
        <f>IF(H8350="","",IF($C$29="간이법","",FPR(H8350,I8350,J8350)))</f>
        <v/>
      </c>
      <c r="L8350" s="111" t="str">
        <f>IF(H8350="","",IF($C$29="상세법",FPV(H8350,K8350),IF(H8350="EI",4,IF(H8350="EO",5.2,IF(H8350="EQ",3.9,IF(H8350="ILF",7.5,IF(H8350="EIF",5.4)))))))</f>
        <v/>
      </c>
      <c r="M8350" s="112" t="str">
        <f t="shared" si="133"/>
        <v/>
      </c>
      <c r="N8350" s="113"/>
    </row>
    <row r="8351" spans="2:14">
      <c r="B8351" s="105"/>
      <c r="C8351" s="106"/>
      <c r="D8351" s="107"/>
      <c r="E8351" s="65"/>
      <c r="F8351" s="64"/>
      <c r="G8351" s="64"/>
      <c r="H8351" s="64"/>
      <c r="I8351" s="70"/>
      <c r="J8351" s="70"/>
      <c r="K8351" s="110" t="str">
        <f>IF(H8351="","",IF($C$29="간이법","",FPR(H8351,I8351,J8351)))</f>
        <v/>
      </c>
      <c r="L8351" s="111" t="str">
        <f>IF(H8351="","",IF($C$29="상세법",FPV(H8351,K8351),IF(H8351="EI",4,IF(H8351="EO",5.2,IF(H8351="EQ",3.9,IF(H8351="ILF",7.5,IF(H8351="EIF",5.4)))))))</f>
        <v/>
      </c>
      <c r="M8351" s="112" t="str">
        <f t="shared" si="133"/>
        <v/>
      </c>
      <c r="N8351" s="113"/>
    </row>
    <row r="8352" spans="2:14">
      <c r="B8352" s="105"/>
      <c r="C8352" s="106"/>
      <c r="D8352" s="107"/>
      <c r="E8352" s="65"/>
      <c r="F8352" s="64"/>
      <c r="G8352" s="64"/>
      <c r="H8352" s="64"/>
      <c r="I8352" s="70"/>
      <c r="J8352" s="70"/>
      <c r="K8352" s="110" t="str">
        <f>IF(H8352="","",IF($C$29="간이법","",FPR(H8352,I8352,J8352)))</f>
        <v/>
      </c>
      <c r="L8352" s="111" t="str">
        <f>IF(H8352="","",IF($C$29="상세법",FPV(H8352,K8352),IF(H8352="EI",4,IF(H8352="EO",5.2,IF(H8352="EQ",3.9,IF(H8352="ILF",7.5,IF(H8352="EIF",5.4)))))))</f>
        <v/>
      </c>
      <c r="M8352" s="112" t="str">
        <f t="shared" si="133"/>
        <v/>
      </c>
      <c r="N8352" s="113"/>
    </row>
    <row r="8353" spans="2:14">
      <c r="B8353" s="105"/>
      <c r="C8353" s="106"/>
      <c r="D8353" s="107"/>
      <c r="E8353" s="65"/>
      <c r="F8353" s="64"/>
      <c r="G8353" s="64"/>
      <c r="H8353" s="64"/>
      <c r="I8353" s="70"/>
      <c r="J8353" s="70"/>
      <c r="K8353" s="110" t="str">
        <f>IF(H8353="","",IF($C$29="간이법","",FPR(H8353,I8353,J8353)))</f>
        <v/>
      </c>
      <c r="L8353" s="111" t="str">
        <f>IF(H8353="","",IF($C$29="상세법",FPV(H8353,K8353),IF(H8353="EI",4,IF(H8353="EO",5.2,IF(H8353="EQ",3.9,IF(H8353="ILF",7.5,IF(H8353="EIF",5.4)))))))</f>
        <v/>
      </c>
      <c r="M8353" s="112" t="str">
        <f t="shared" si="133"/>
        <v/>
      </c>
      <c r="N8353" s="113"/>
    </row>
    <row r="8354" spans="2:14">
      <c r="B8354" s="105"/>
      <c r="C8354" s="106"/>
      <c r="D8354" s="107"/>
      <c r="E8354" s="65"/>
      <c r="F8354" s="64"/>
      <c r="G8354" s="64"/>
      <c r="H8354" s="64"/>
      <c r="I8354" s="70"/>
      <c r="J8354" s="70"/>
      <c r="K8354" s="110" t="str">
        <f>IF(H8354="","",IF($C$29="간이법","",FPR(H8354,I8354,J8354)))</f>
        <v/>
      </c>
      <c r="L8354" s="111" t="str">
        <f>IF(H8354="","",IF($C$29="상세법",FPV(H8354,K8354),IF(H8354="EI",4,IF(H8354="EO",5.2,IF(H8354="EQ",3.9,IF(H8354="ILF",7.5,IF(H8354="EIF",5.4)))))))</f>
        <v/>
      </c>
      <c r="M8354" s="112" t="str">
        <f t="shared" si="133"/>
        <v/>
      </c>
      <c r="N8354" s="113"/>
    </row>
    <row r="8355" spans="2:14">
      <c r="B8355" s="105"/>
      <c r="C8355" s="106"/>
      <c r="D8355" s="107"/>
      <c r="E8355" s="65"/>
      <c r="F8355" s="64"/>
      <c r="G8355" s="64"/>
      <c r="H8355" s="64"/>
      <c r="I8355" s="70"/>
      <c r="J8355" s="70"/>
      <c r="K8355" s="110" t="str">
        <f>IF(H8355="","",IF($C$29="간이법","",FPR(H8355,I8355,J8355)))</f>
        <v/>
      </c>
      <c r="L8355" s="111" t="str">
        <f>IF(H8355="","",IF($C$29="상세법",FPV(H8355,K8355),IF(H8355="EI",4,IF(H8355="EO",5.2,IF(H8355="EQ",3.9,IF(H8355="ILF",7.5,IF(H8355="EIF",5.4)))))))</f>
        <v/>
      </c>
      <c r="M8355" s="112" t="str">
        <f t="shared" si="133"/>
        <v/>
      </c>
      <c r="N8355" s="113"/>
    </row>
    <row r="8356" spans="2:14">
      <c r="B8356" s="105"/>
      <c r="C8356" s="106"/>
      <c r="D8356" s="107"/>
      <c r="E8356" s="65"/>
      <c r="F8356" s="64"/>
      <c r="G8356" s="64"/>
      <c r="H8356" s="64"/>
      <c r="I8356" s="70"/>
      <c r="J8356" s="70"/>
      <c r="K8356" s="110" t="str">
        <f>IF(H8356="","",IF($C$29="간이법","",FPR(H8356,I8356,J8356)))</f>
        <v/>
      </c>
      <c r="L8356" s="111" t="str">
        <f>IF(H8356="","",IF($C$29="상세법",FPV(H8356,K8356),IF(H8356="EI",4,IF(H8356="EO",5.2,IF(H8356="EQ",3.9,IF(H8356="ILF",7.5,IF(H8356="EIF",5.4)))))))</f>
        <v/>
      </c>
      <c r="M8356" s="112" t="str">
        <f t="shared" si="133"/>
        <v/>
      </c>
      <c r="N8356" s="113"/>
    </row>
    <row r="8357" spans="2:14">
      <c r="B8357" s="105"/>
      <c r="C8357" s="106"/>
      <c r="D8357" s="107"/>
      <c r="E8357" s="65"/>
      <c r="F8357" s="64"/>
      <c r="G8357" s="64"/>
      <c r="H8357" s="64"/>
      <c r="I8357" s="70"/>
      <c r="J8357" s="70"/>
      <c r="K8357" s="110" t="str">
        <f>IF(H8357="","",IF($C$29="간이법","",FPR(H8357,I8357,J8357)))</f>
        <v/>
      </c>
      <c r="L8357" s="111" t="str">
        <f>IF(H8357="","",IF($C$29="상세법",FPV(H8357,K8357),IF(H8357="EI",4,IF(H8357="EO",5.2,IF(H8357="EQ",3.9,IF(H8357="ILF",7.5,IF(H8357="EIF",5.4)))))))</f>
        <v/>
      </c>
      <c r="M8357" s="112" t="str">
        <f t="shared" si="133"/>
        <v/>
      </c>
      <c r="N8357" s="113"/>
    </row>
    <row r="8358" spans="2:14">
      <c r="B8358" s="105"/>
      <c r="C8358" s="106"/>
      <c r="D8358" s="107"/>
      <c r="E8358" s="65"/>
      <c r="F8358" s="64"/>
      <c r="G8358" s="64"/>
      <c r="H8358" s="64"/>
      <c r="I8358" s="70"/>
      <c r="J8358" s="70"/>
      <c r="K8358" s="110" t="str">
        <f>IF(H8358="","",IF($C$29="간이법","",FPR(H8358,I8358,J8358)))</f>
        <v/>
      </c>
      <c r="L8358" s="111" t="str">
        <f>IF(H8358="","",IF($C$29="상세법",FPV(H8358,K8358),IF(H8358="EI",4,IF(H8358="EO",5.2,IF(H8358="EQ",3.9,IF(H8358="ILF",7.5,IF(H8358="EIF",5.4)))))))</f>
        <v/>
      </c>
      <c r="M8358" s="112" t="str">
        <f t="shared" si="133"/>
        <v/>
      </c>
      <c r="N8358" s="113"/>
    </row>
    <row r="8359" spans="2:14">
      <c r="B8359" s="105"/>
      <c r="C8359" s="106"/>
      <c r="D8359" s="107"/>
      <c r="E8359" s="65"/>
      <c r="F8359" s="64"/>
      <c r="G8359" s="64"/>
      <c r="H8359" s="64"/>
      <c r="I8359" s="70"/>
      <c r="J8359" s="70"/>
      <c r="K8359" s="110" t="str">
        <f>IF(H8359="","",IF($C$29="간이법","",FPR(H8359,I8359,J8359)))</f>
        <v/>
      </c>
      <c r="L8359" s="111" t="str">
        <f>IF(H8359="","",IF($C$29="상세법",FPV(H8359,K8359),IF(H8359="EI",4,IF(H8359="EO",5.2,IF(H8359="EQ",3.9,IF(H8359="ILF",7.5,IF(H8359="EIF",5.4)))))))</f>
        <v/>
      </c>
      <c r="M8359" s="112" t="str">
        <f t="shared" si="133"/>
        <v/>
      </c>
      <c r="N8359" s="113"/>
    </row>
    <row r="8360" spans="2:14">
      <c r="B8360" s="105"/>
      <c r="C8360" s="106"/>
      <c r="D8360" s="107"/>
      <c r="E8360" s="65"/>
      <c r="F8360" s="64"/>
      <c r="G8360" s="64"/>
      <c r="H8360" s="64"/>
      <c r="I8360" s="70"/>
      <c r="J8360" s="70"/>
      <c r="K8360" s="110" t="str">
        <f>IF(H8360="","",IF($C$29="간이법","",FPR(H8360,I8360,J8360)))</f>
        <v/>
      </c>
      <c r="L8360" s="111" t="str">
        <f>IF(H8360="","",IF($C$29="상세법",FPV(H8360,K8360),IF(H8360="EI",4,IF(H8360="EO",5.2,IF(H8360="EQ",3.9,IF(H8360="ILF",7.5,IF(H8360="EIF",5.4)))))))</f>
        <v/>
      </c>
      <c r="M8360" s="112" t="str">
        <f t="shared" si="133"/>
        <v/>
      </c>
      <c r="N8360" s="113"/>
    </row>
    <row r="8361" spans="2:14">
      <c r="B8361" s="105"/>
      <c r="C8361" s="106"/>
      <c r="D8361" s="107"/>
      <c r="E8361" s="65"/>
      <c r="F8361" s="64"/>
      <c r="G8361" s="64"/>
      <c r="H8361" s="64"/>
      <c r="I8361" s="70"/>
      <c r="J8361" s="70"/>
      <c r="K8361" s="110" t="str">
        <f>IF(H8361="","",IF($C$29="간이법","",FPR(H8361,I8361,J8361)))</f>
        <v/>
      </c>
      <c r="L8361" s="111" t="str">
        <f>IF(H8361="","",IF($C$29="상세법",FPV(H8361,K8361),IF(H8361="EI",4,IF(H8361="EO",5.2,IF(H8361="EQ",3.9,IF(H8361="ILF",7.5,IF(H8361="EIF",5.4)))))))</f>
        <v/>
      </c>
      <c r="M8361" s="112" t="str">
        <f t="shared" si="133"/>
        <v/>
      </c>
      <c r="N8361" s="113"/>
    </row>
    <row r="8362" spans="2:14">
      <c r="B8362" s="105"/>
      <c r="C8362" s="106"/>
      <c r="D8362" s="107"/>
      <c r="E8362" s="65"/>
      <c r="F8362" s="64"/>
      <c r="G8362" s="64"/>
      <c r="H8362" s="64"/>
      <c r="I8362" s="70"/>
      <c r="J8362" s="70"/>
      <c r="K8362" s="110" t="str">
        <f>IF(H8362="","",IF($C$29="간이법","",FPR(H8362,I8362,J8362)))</f>
        <v/>
      </c>
      <c r="L8362" s="111" t="str">
        <f>IF(H8362="","",IF($C$29="상세법",FPV(H8362,K8362),IF(H8362="EI",4,IF(H8362="EO",5.2,IF(H8362="EQ",3.9,IF(H8362="ILF",7.5,IF(H8362="EIF",5.4)))))))</f>
        <v/>
      </c>
      <c r="M8362" s="112" t="str">
        <f t="shared" si="133"/>
        <v/>
      </c>
      <c r="N8362" s="113"/>
    </row>
    <row r="8363" spans="2:14">
      <c r="B8363" s="105"/>
      <c r="C8363" s="106"/>
      <c r="D8363" s="107"/>
      <c r="E8363" s="65"/>
      <c r="F8363" s="64"/>
      <c r="G8363" s="64"/>
      <c r="H8363" s="64"/>
      <c r="I8363" s="70"/>
      <c r="J8363" s="70"/>
      <c r="K8363" s="110" t="str">
        <f>IF(H8363="","",IF($C$29="간이법","",FPR(H8363,I8363,J8363)))</f>
        <v/>
      </c>
      <c r="L8363" s="111" t="str">
        <f>IF(H8363="","",IF($C$29="상세법",FPV(H8363,K8363),IF(H8363="EI",4,IF(H8363="EO",5.2,IF(H8363="EQ",3.9,IF(H8363="ILF",7.5,IF(H8363="EIF",5.4)))))))</f>
        <v/>
      </c>
      <c r="M8363" s="112" t="str">
        <f t="shared" si="133"/>
        <v/>
      </c>
      <c r="N8363" s="113"/>
    </row>
    <row r="8364" spans="2:14">
      <c r="B8364" s="105"/>
      <c r="C8364" s="106"/>
      <c r="D8364" s="107"/>
      <c r="E8364" s="65"/>
      <c r="F8364" s="64"/>
      <c r="G8364" s="64"/>
      <c r="H8364" s="64"/>
      <c r="I8364" s="70"/>
      <c r="J8364" s="70"/>
      <c r="K8364" s="110" t="str">
        <f>IF(H8364="","",IF($C$29="간이법","",FPR(H8364,I8364,J8364)))</f>
        <v/>
      </c>
      <c r="L8364" s="111" t="str">
        <f>IF(H8364="","",IF($C$29="상세법",FPV(H8364,K8364),IF(H8364="EI",4,IF(H8364="EO",5.2,IF(H8364="EQ",3.9,IF(H8364="ILF",7.5,IF(H8364="EIF",5.4)))))))</f>
        <v/>
      </c>
      <c r="M8364" s="112" t="str">
        <f t="shared" si="133"/>
        <v/>
      </c>
      <c r="N8364" s="113"/>
    </row>
    <row r="8365" spans="2:14">
      <c r="B8365" s="105"/>
      <c r="C8365" s="106"/>
      <c r="D8365" s="107"/>
      <c r="E8365" s="65"/>
      <c r="F8365" s="64"/>
      <c r="G8365" s="64"/>
      <c r="H8365" s="64"/>
      <c r="I8365" s="70"/>
      <c r="J8365" s="70"/>
      <c r="K8365" s="110" t="str">
        <f>IF(H8365="","",IF($C$29="간이법","",FPR(H8365,I8365,J8365)))</f>
        <v/>
      </c>
      <c r="L8365" s="111" t="str">
        <f>IF(H8365="","",IF($C$29="상세법",FPV(H8365,K8365),IF(H8365="EI",4,IF(H8365="EO",5.2,IF(H8365="EQ",3.9,IF(H8365="ILF",7.5,IF(H8365="EIF",5.4)))))))</f>
        <v/>
      </c>
      <c r="M8365" s="112" t="str">
        <f t="shared" si="133"/>
        <v/>
      </c>
      <c r="N8365" s="113"/>
    </row>
    <row r="8366" spans="2:14">
      <c r="B8366" s="105"/>
      <c r="C8366" s="106"/>
      <c r="D8366" s="107"/>
      <c r="E8366" s="65"/>
      <c r="F8366" s="64"/>
      <c r="G8366" s="64"/>
      <c r="H8366" s="64"/>
      <c r="I8366" s="70"/>
      <c r="J8366" s="70"/>
      <c r="K8366" s="110" t="str">
        <f>IF(H8366="","",IF($C$29="간이법","",FPR(H8366,I8366,J8366)))</f>
        <v/>
      </c>
      <c r="L8366" s="111" t="str">
        <f>IF(H8366="","",IF($C$29="상세법",FPV(H8366,K8366),IF(H8366="EI",4,IF(H8366="EO",5.2,IF(H8366="EQ",3.9,IF(H8366="ILF",7.5,IF(H8366="EIF",5.4)))))))</f>
        <v/>
      </c>
      <c r="M8366" s="112" t="str">
        <f t="shared" si="133"/>
        <v/>
      </c>
      <c r="N8366" s="113"/>
    </row>
    <row r="8367" spans="2:14">
      <c r="B8367" s="105"/>
      <c r="C8367" s="106"/>
      <c r="D8367" s="107"/>
      <c r="E8367" s="65"/>
      <c r="F8367" s="64"/>
      <c r="G8367" s="64"/>
      <c r="H8367" s="64"/>
      <c r="I8367" s="70"/>
      <c r="J8367" s="70"/>
      <c r="K8367" s="110" t="str">
        <f>IF(H8367="","",IF($C$29="간이법","",FPR(H8367,I8367,J8367)))</f>
        <v/>
      </c>
      <c r="L8367" s="111" t="str">
        <f>IF(H8367="","",IF($C$29="상세법",FPV(H8367,K8367),IF(H8367="EI",4,IF(H8367="EO",5.2,IF(H8367="EQ",3.9,IF(H8367="ILF",7.5,IF(H8367="EIF",5.4)))))))</f>
        <v/>
      </c>
      <c r="M8367" s="112" t="str">
        <f t="shared" si="133"/>
        <v/>
      </c>
      <c r="N8367" s="113"/>
    </row>
    <row r="8368" spans="2:14">
      <c r="B8368" s="105"/>
      <c r="C8368" s="106"/>
      <c r="D8368" s="107"/>
      <c r="E8368" s="65"/>
      <c r="F8368" s="64"/>
      <c r="G8368" s="64"/>
      <c r="H8368" s="64"/>
      <c r="I8368" s="70"/>
      <c r="J8368" s="70"/>
      <c r="K8368" s="110" t="str">
        <f>IF(H8368="","",IF($C$29="간이법","",FPR(H8368,I8368,J8368)))</f>
        <v/>
      </c>
      <c r="L8368" s="111" t="str">
        <f>IF(H8368="","",IF($C$29="상세법",FPV(H8368,K8368),IF(H8368="EI",4,IF(H8368="EO",5.2,IF(H8368="EQ",3.9,IF(H8368="ILF",7.5,IF(H8368="EIF",5.4)))))))</f>
        <v/>
      </c>
      <c r="M8368" s="112" t="str">
        <f t="shared" si="133"/>
        <v/>
      </c>
      <c r="N8368" s="113"/>
    </row>
    <row r="8369" spans="2:14">
      <c r="B8369" s="105"/>
      <c r="C8369" s="106"/>
      <c r="D8369" s="107"/>
      <c r="E8369" s="65"/>
      <c r="F8369" s="64"/>
      <c r="G8369" s="64"/>
      <c r="H8369" s="64"/>
      <c r="I8369" s="70"/>
      <c r="J8369" s="70"/>
      <c r="K8369" s="110" t="str">
        <f>IF(H8369="","",IF($C$29="간이법","",FPR(H8369,I8369,J8369)))</f>
        <v/>
      </c>
      <c r="L8369" s="111" t="str">
        <f>IF(H8369="","",IF($C$29="상세법",FPV(H8369,K8369),IF(H8369="EI",4,IF(H8369="EO",5.2,IF(H8369="EQ",3.9,IF(H8369="ILF",7.5,IF(H8369="EIF",5.4)))))))</f>
        <v/>
      </c>
      <c r="M8369" s="112" t="str">
        <f t="shared" si="133"/>
        <v/>
      </c>
      <c r="N8369" s="113"/>
    </row>
    <row r="8370" spans="2:14">
      <c r="B8370" s="105"/>
      <c r="C8370" s="106"/>
      <c r="D8370" s="107"/>
      <c r="E8370" s="65"/>
      <c r="F8370" s="64"/>
      <c r="G8370" s="64"/>
      <c r="H8370" s="64"/>
      <c r="I8370" s="70"/>
      <c r="J8370" s="70"/>
      <c r="K8370" s="110" t="str">
        <f>IF(H8370="","",IF($C$29="간이법","",FPR(H8370,I8370,J8370)))</f>
        <v/>
      </c>
      <c r="L8370" s="111" t="str">
        <f>IF(H8370="","",IF($C$29="상세법",FPV(H8370,K8370),IF(H8370="EI",4,IF(H8370="EO",5.2,IF(H8370="EQ",3.9,IF(H8370="ILF",7.5,IF(H8370="EIF",5.4)))))))</f>
        <v/>
      </c>
      <c r="M8370" s="112" t="str">
        <f t="shared" si="133"/>
        <v/>
      </c>
      <c r="N8370" s="113"/>
    </row>
    <row r="8371" spans="2:14">
      <c r="B8371" s="105"/>
      <c r="C8371" s="106"/>
      <c r="D8371" s="107"/>
      <c r="E8371" s="65"/>
      <c r="F8371" s="64"/>
      <c r="G8371" s="64"/>
      <c r="H8371" s="64"/>
      <c r="I8371" s="70"/>
      <c r="J8371" s="70"/>
      <c r="K8371" s="110" t="str">
        <f>IF(H8371="","",IF($C$29="간이법","",FPR(H8371,I8371,J8371)))</f>
        <v/>
      </c>
      <c r="L8371" s="111" t="str">
        <f>IF(H8371="","",IF($C$29="상세법",FPV(H8371,K8371),IF(H8371="EI",4,IF(H8371="EO",5.2,IF(H8371="EQ",3.9,IF(H8371="ILF",7.5,IF(H8371="EIF",5.4)))))))</f>
        <v/>
      </c>
      <c r="M8371" s="112" t="str">
        <f t="shared" si="133"/>
        <v/>
      </c>
      <c r="N8371" s="113"/>
    </row>
    <row r="8372" spans="2:14">
      <c r="B8372" s="105"/>
      <c r="C8372" s="106"/>
      <c r="D8372" s="107"/>
      <c r="E8372" s="65"/>
      <c r="F8372" s="64"/>
      <c r="G8372" s="64"/>
      <c r="H8372" s="64"/>
      <c r="I8372" s="70"/>
      <c r="J8372" s="70"/>
      <c r="K8372" s="110" t="str">
        <f>IF(H8372="","",IF($C$29="간이법","",FPR(H8372,I8372,J8372)))</f>
        <v/>
      </c>
      <c r="L8372" s="111" t="str">
        <f>IF(H8372="","",IF($C$29="상세법",FPV(H8372,K8372),IF(H8372="EI",4,IF(H8372="EO",5.2,IF(H8372="EQ",3.9,IF(H8372="ILF",7.5,IF(H8372="EIF",5.4)))))))</f>
        <v/>
      </c>
      <c r="M8372" s="112" t="str">
        <f t="shared" si="133"/>
        <v/>
      </c>
      <c r="N8372" s="113"/>
    </row>
    <row r="8373" spans="2:14">
      <c r="B8373" s="105"/>
      <c r="C8373" s="106"/>
      <c r="D8373" s="107"/>
      <c r="E8373" s="65"/>
      <c r="F8373" s="64"/>
      <c r="G8373" s="64"/>
      <c r="H8373" s="64"/>
      <c r="I8373" s="70"/>
      <c r="J8373" s="70"/>
      <c r="K8373" s="110" t="str">
        <f>IF(H8373="","",IF($C$29="간이법","",FPR(H8373,I8373,J8373)))</f>
        <v/>
      </c>
      <c r="L8373" s="111" t="str">
        <f>IF(H8373="","",IF($C$29="상세법",FPV(H8373,K8373),IF(H8373="EI",4,IF(H8373="EO",5.2,IF(H8373="EQ",3.9,IF(H8373="ILF",7.5,IF(H8373="EIF",5.4)))))))</f>
        <v/>
      </c>
      <c r="M8373" s="112" t="str">
        <f t="shared" si="133"/>
        <v/>
      </c>
      <c r="N8373" s="113"/>
    </row>
    <row r="8374" spans="2:14">
      <c r="B8374" s="105"/>
      <c r="C8374" s="106"/>
      <c r="D8374" s="107"/>
      <c r="E8374" s="65"/>
      <c r="F8374" s="64"/>
      <c r="G8374" s="64"/>
      <c r="H8374" s="64"/>
      <c r="I8374" s="70"/>
      <c r="J8374" s="70"/>
      <c r="K8374" s="110" t="str">
        <f>IF(H8374="","",IF($C$29="간이법","",FPR(H8374,I8374,J8374)))</f>
        <v/>
      </c>
      <c r="L8374" s="111" t="str">
        <f>IF(H8374="","",IF($C$29="상세법",FPV(H8374,K8374),IF(H8374="EI",4,IF(H8374="EO",5.2,IF(H8374="EQ",3.9,IF(H8374="ILF",7.5,IF(H8374="EIF",5.4)))))))</f>
        <v/>
      </c>
      <c r="M8374" s="112" t="str">
        <f t="shared" si="133"/>
        <v/>
      </c>
      <c r="N8374" s="113"/>
    </row>
    <row r="8375" spans="2:14">
      <c r="B8375" s="105"/>
      <c r="C8375" s="106"/>
      <c r="D8375" s="107"/>
      <c r="E8375" s="65"/>
      <c r="F8375" s="64"/>
      <c r="G8375" s="64"/>
      <c r="H8375" s="64"/>
      <c r="I8375" s="70"/>
      <c r="J8375" s="70"/>
      <c r="K8375" s="110" t="str">
        <f>IF(H8375="","",IF($C$29="간이법","",FPR(H8375,I8375,J8375)))</f>
        <v/>
      </c>
      <c r="L8375" s="111" t="str">
        <f>IF(H8375="","",IF($C$29="상세법",FPV(H8375,K8375),IF(H8375="EI",4,IF(H8375="EO",5.2,IF(H8375="EQ",3.9,IF(H8375="ILF",7.5,IF(H8375="EIF",5.4)))))))</f>
        <v/>
      </c>
      <c r="M8375" s="112" t="str">
        <f t="shared" si="133"/>
        <v/>
      </c>
      <c r="N8375" s="113"/>
    </row>
    <row r="8376" spans="2:14">
      <c r="B8376" s="105"/>
      <c r="C8376" s="106"/>
      <c r="D8376" s="107"/>
      <c r="E8376" s="65"/>
      <c r="F8376" s="64"/>
      <c r="G8376" s="64"/>
      <c r="H8376" s="64"/>
      <c r="I8376" s="70"/>
      <c r="J8376" s="70"/>
      <c r="K8376" s="110" t="str">
        <f>IF(H8376="","",IF($C$29="간이법","",FPR(H8376,I8376,J8376)))</f>
        <v/>
      </c>
      <c r="L8376" s="111" t="str">
        <f>IF(H8376="","",IF($C$29="상세법",FPV(H8376,K8376),IF(H8376="EI",4,IF(H8376="EO",5.2,IF(H8376="EQ",3.9,IF(H8376="ILF",7.5,IF(H8376="EIF",5.4)))))))</f>
        <v/>
      </c>
      <c r="M8376" s="112" t="str">
        <f t="shared" si="133"/>
        <v/>
      </c>
      <c r="N8376" s="113"/>
    </row>
    <row r="8377" spans="2:14">
      <c r="B8377" s="105"/>
      <c r="C8377" s="106"/>
      <c r="D8377" s="107"/>
      <c r="E8377" s="65"/>
      <c r="F8377" s="64"/>
      <c r="G8377" s="64"/>
      <c r="H8377" s="64"/>
      <c r="I8377" s="70"/>
      <c r="J8377" s="70"/>
      <c r="K8377" s="110" t="str">
        <f>IF(H8377="","",IF($C$29="간이법","",FPR(H8377,I8377,J8377)))</f>
        <v/>
      </c>
      <c r="L8377" s="111" t="str">
        <f>IF(H8377="","",IF($C$29="상세법",FPV(H8377,K8377),IF(H8377="EI",4,IF(H8377="EO",5.2,IF(H8377="EQ",3.9,IF(H8377="ILF",7.5,IF(H8377="EIF",5.4)))))))</f>
        <v/>
      </c>
      <c r="M8377" s="112" t="str">
        <f t="shared" ref="M8377:M8440" si="134">IF(L8377="","",L8377*IF(G8377="상",0.7,IF(G8377="중",0.5,IF(G8377="하",0.2,1))))</f>
        <v/>
      </c>
      <c r="N8377" s="113"/>
    </row>
    <row r="8378" spans="2:14">
      <c r="B8378" s="105"/>
      <c r="C8378" s="106"/>
      <c r="D8378" s="107"/>
      <c r="E8378" s="65"/>
      <c r="F8378" s="64"/>
      <c r="G8378" s="64"/>
      <c r="H8378" s="64"/>
      <c r="I8378" s="70"/>
      <c r="J8378" s="70"/>
      <c r="K8378" s="110" t="str">
        <f>IF(H8378="","",IF($C$29="간이법","",FPR(H8378,I8378,J8378)))</f>
        <v/>
      </c>
      <c r="L8378" s="111" t="str">
        <f>IF(H8378="","",IF($C$29="상세법",FPV(H8378,K8378),IF(H8378="EI",4,IF(H8378="EO",5.2,IF(H8378="EQ",3.9,IF(H8378="ILF",7.5,IF(H8378="EIF",5.4)))))))</f>
        <v/>
      </c>
      <c r="M8378" s="112" t="str">
        <f t="shared" si="134"/>
        <v/>
      </c>
      <c r="N8378" s="113"/>
    </row>
    <row r="8379" spans="2:14">
      <c r="B8379" s="105"/>
      <c r="C8379" s="106"/>
      <c r="D8379" s="107"/>
      <c r="E8379" s="65"/>
      <c r="F8379" s="64"/>
      <c r="G8379" s="64"/>
      <c r="H8379" s="64"/>
      <c r="I8379" s="70"/>
      <c r="J8379" s="70"/>
      <c r="K8379" s="110" t="str">
        <f>IF(H8379="","",IF($C$29="간이법","",FPR(H8379,I8379,J8379)))</f>
        <v/>
      </c>
      <c r="L8379" s="111" t="str">
        <f>IF(H8379="","",IF($C$29="상세법",FPV(H8379,K8379),IF(H8379="EI",4,IF(H8379="EO",5.2,IF(H8379="EQ",3.9,IF(H8379="ILF",7.5,IF(H8379="EIF",5.4)))))))</f>
        <v/>
      </c>
      <c r="M8379" s="112" t="str">
        <f t="shared" si="134"/>
        <v/>
      </c>
      <c r="N8379" s="113"/>
    </row>
    <row r="8380" spans="2:14">
      <c r="B8380" s="105"/>
      <c r="C8380" s="106"/>
      <c r="D8380" s="107"/>
      <c r="E8380" s="65"/>
      <c r="F8380" s="64"/>
      <c r="G8380" s="64"/>
      <c r="H8380" s="64"/>
      <c r="I8380" s="70"/>
      <c r="J8380" s="70"/>
      <c r="K8380" s="110" t="str">
        <f>IF(H8380="","",IF($C$29="간이법","",FPR(H8380,I8380,J8380)))</f>
        <v/>
      </c>
      <c r="L8380" s="111" t="str">
        <f>IF(H8380="","",IF($C$29="상세법",FPV(H8380,K8380),IF(H8380="EI",4,IF(H8380="EO",5.2,IF(H8380="EQ",3.9,IF(H8380="ILF",7.5,IF(H8380="EIF",5.4)))))))</f>
        <v/>
      </c>
      <c r="M8380" s="112" t="str">
        <f t="shared" si="134"/>
        <v/>
      </c>
      <c r="N8380" s="113"/>
    </row>
    <row r="8381" spans="2:14">
      <c r="B8381" s="105"/>
      <c r="C8381" s="106"/>
      <c r="D8381" s="107"/>
      <c r="E8381" s="65"/>
      <c r="F8381" s="64"/>
      <c r="G8381" s="64"/>
      <c r="H8381" s="64"/>
      <c r="I8381" s="70"/>
      <c r="J8381" s="70"/>
      <c r="K8381" s="110" t="str">
        <f>IF(H8381="","",IF($C$29="간이법","",FPR(H8381,I8381,J8381)))</f>
        <v/>
      </c>
      <c r="L8381" s="111" t="str">
        <f>IF(H8381="","",IF($C$29="상세법",FPV(H8381,K8381),IF(H8381="EI",4,IF(H8381="EO",5.2,IF(H8381="EQ",3.9,IF(H8381="ILF",7.5,IF(H8381="EIF",5.4)))))))</f>
        <v/>
      </c>
      <c r="M8381" s="112" t="str">
        <f t="shared" si="134"/>
        <v/>
      </c>
      <c r="N8381" s="113"/>
    </row>
    <row r="8382" spans="2:14">
      <c r="B8382" s="105"/>
      <c r="C8382" s="106"/>
      <c r="D8382" s="107"/>
      <c r="E8382" s="65"/>
      <c r="F8382" s="64"/>
      <c r="G8382" s="64"/>
      <c r="H8382" s="64"/>
      <c r="I8382" s="70"/>
      <c r="J8382" s="70"/>
      <c r="K8382" s="110" t="str">
        <f>IF(H8382="","",IF($C$29="간이법","",FPR(H8382,I8382,J8382)))</f>
        <v/>
      </c>
      <c r="L8382" s="111" t="str">
        <f>IF(H8382="","",IF($C$29="상세법",FPV(H8382,K8382),IF(H8382="EI",4,IF(H8382="EO",5.2,IF(H8382="EQ",3.9,IF(H8382="ILF",7.5,IF(H8382="EIF",5.4)))))))</f>
        <v/>
      </c>
      <c r="M8382" s="112" t="str">
        <f t="shared" si="134"/>
        <v/>
      </c>
      <c r="N8382" s="113"/>
    </row>
    <row r="8383" spans="2:14">
      <c r="B8383" s="105"/>
      <c r="C8383" s="106"/>
      <c r="D8383" s="107"/>
      <c r="E8383" s="65"/>
      <c r="F8383" s="64"/>
      <c r="G8383" s="64"/>
      <c r="H8383" s="64"/>
      <c r="I8383" s="70"/>
      <c r="J8383" s="70"/>
      <c r="K8383" s="110" t="str">
        <f>IF(H8383="","",IF($C$29="간이법","",FPR(H8383,I8383,J8383)))</f>
        <v/>
      </c>
      <c r="L8383" s="111" t="str">
        <f>IF(H8383="","",IF($C$29="상세법",FPV(H8383,K8383),IF(H8383="EI",4,IF(H8383="EO",5.2,IF(H8383="EQ",3.9,IF(H8383="ILF",7.5,IF(H8383="EIF",5.4)))))))</f>
        <v/>
      </c>
      <c r="M8383" s="112" t="str">
        <f t="shared" si="134"/>
        <v/>
      </c>
      <c r="N8383" s="113"/>
    </row>
    <row r="8384" spans="2:14">
      <c r="B8384" s="105"/>
      <c r="C8384" s="106"/>
      <c r="D8384" s="107"/>
      <c r="E8384" s="65"/>
      <c r="F8384" s="64"/>
      <c r="G8384" s="64"/>
      <c r="H8384" s="64"/>
      <c r="I8384" s="70"/>
      <c r="J8384" s="70"/>
      <c r="K8384" s="110" t="str">
        <f>IF(H8384="","",IF($C$29="간이법","",FPR(H8384,I8384,J8384)))</f>
        <v/>
      </c>
      <c r="L8384" s="111" t="str">
        <f>IF(H8384="","",IF($C$29="상세법",FPV(H8384,K8384),IF(H8384="EI",4,IF(H8384="EO",5.2,IF(H8384="EQ",3.9,IF(H8384="ILF",7.5,IF(H8384="EIF",5.4)))))))</f>
        <v/>
      </c>
      <c r="M8384" s="112" t="str">
        <f t="shared" si="134"/>
        <v/>
      </c>
      <c r="N8384" s="113"/>
    </row>
    <row r="8385" spans="2:14">
      <c r="B8385" s="105"/>
      <c r="C8385" s="106"/>
      <c r="D8385" s="107"/>
      <c r="E8385" s="65"/>
      <c r="F8385" s="64"/>
      <c r="G8385" s="64"/>
      <c r="H8385" s="64"/>
      <c r="I8385" s="70"/>
      <c r="J8385" s="70"/>
      <c r="K8385" s="110" t="str">
        <f>IF(H8385="","",IF($C$29="간이법","",FPR(H8385,I8385,J8385)))</f>
        <v/>
      </c>
      <c r="L8385" s="111" t="str">
        <f>IF(H8385="","",IF($C$29="상세법",FPV(H8385,K8385),IF(H8385="EI",4,IF(H8385="EO",5.2,IF(H8385="EQ",3.9,IF(H8385="ILF",7.5,IF(H8385="EIF",5.4)))))))</f>
        <v/>
      </c>
      <c r="M8385" s="112" t="str">
        <f t="shared" si="134"/>
        <v/>
      </c>
      <c r="N8385" s="113"/>
    </row>
    <row r="8386" spans="2:14">
      <c r="B8386" s="105"/>
      <c r="C8386" s="106"/>
      <c r="D8386" s="107"/>
      <c r="E8386" s="65"/>
      <c r="F8386" s="64"/>
      <c r="G8386" s="64"/>
      <c r="H8386" s="64"/>
      <c r="I8386" s="70"/>
      <c r="J8386" s="70"/>
      <c r="K8386" s="110" t="str">
        <f>IF(H8386="","",IF($C$29="간이법","",FPR(H8386,I8386,J8386)))</f>
        <v/>
      </c>
      <c r="L8386" s="111" t="str">
        <f>IF(H8386="","",IF($C$29="상세법",FPV(H8386,K8386),IF(H8386="EI",4,IF(H8386="EO",5.2,IF(H8386="EQ",3.9,IF(H8386="ILF",7.5,IF(H8386="EIF",5.4)))))))</f>
        <v/>
      </c>
      <c r="M8386" s="112" t="str">
        <f t="shared" si="134"/>
        <v/>
      </c>
      <c r="N8386" s="113"/>
    </row>
    <row r="8387" spans="2:14">
      <c r="B8387" s="105"/>
      <c r="C8387" s="106"/>
      <c r="D8387" s="107"/>
      <c r="E8387" s="65"/>
      <c r="F8387" s="64"/>
      <c r="G8387" s="64"/>
      <c r="H8387" s="64"/>
      <c r="I8387" s="70"/>
      <c r="J8387" s="70"/>
      <c r="K8387" s="110" t="str">
        <f>IF(H8387="","",IF($C$29="간이법","",FPR(H8387,I8387,J8387)))</f>
        <v/>
      </c>
      <c r="L8387" s="111" t="str">
        <f>IF(H8387="","",IF($C$29="상세법",FPV(H8387,K8387),IF(H8387="EI",4,IF(H8387="EO",5.2,IF(H8387="EQ",3.9,IF(H8387="ILF",7.5,IF(H8387="EIF",5.4)))))))</f>
        <v/>
      </c>
      <c r="M8387" s="112" t="str">
        <f t="shared" si="134"/>
        <v/>
      </c>
      <c r="N8387" s="113"/>
    </row>
    <row r="8388" spans="2:14">
      <c r="B8388" s="105"/>
      <c r="C8388" s="106"/>
      <c r="D8388" s="107"/>
      <c r="E8388" s="65"/>
      <c r="F8388" s="64"/>
      <c r="G8388" s="64"/>
      <c r="H8388" s="64"/>
      <c r="I8388" s="70"/>
      <c r="J8388" s="70"/>
      <c r="K8388" s="110" t="str">
        <f>IF(H8388="","",IF($C$29="간이법","",FPR(H8388,I8388,J8388)))</f>
        <v/>
      </c>
      <c r="L8388" s="111" t="str">
        <f>IF(H8388="","",IF($C$29="상세법",FPV(H8388,K8388),IF(H8388="EI",4,IF(H8388="EO",5.2,IF(H8388="EQ",3.9,IF(H8388="ILF",7.5,IF(H8388="EIF",5.4)))))))</f>
        <v/>
      </c>
      <c r="M8388" s="112" t="str">
        <f t="shared" si="134"/>
        <v/>
      </c>
      <c r="N8388" s="113"/>
    </row>
    <row r="8389" spans="2:14">
      <c r="B8389" s="105"/>
      <c r="C8389" s="106"/>
      <c r="D8389" s="107"/>
      <c r="E8389" s="65"/>
      <c r="F8389" s="64"/>
      <c r="G8389" s="64"/>
      <c r="H8389" s="64"/>
      <c r="I8389" s="70"/>
      <c r="J8389" s="70"/>
      <c r="K8389" s="110" t="str">
        <f>IF(H8389="","",IF($C$29="간이법","",FPR(H8389,I8389,J8389)))</f>
        <v/>
      </c>
      <c r="L8389" s="111" t="str">
        <f>IF(H8389="","",IF($C$29="상세법",FPV(H8389,K8389),IF(H8389="EI",4,IF(H8389="EO",5.2,IF(H8389="EQ",3.9,IF(H8389="ILF",7.5,IF(H8389="EIF",5.4)))))))</f>
        <v/>
      </c>
      <c r="M8389" s="112" t="str">
        <f t="shared" si="134"/>
        <v/>
      </c>
      <c r="N8389" s="113"/>
    </row>
    <row r="8390" spans="2:14">
      <c r="B8390" s="105"/>
      <c r="C8390" s="106"/>
      <c r="D8390" s="107"/>
      <c r="E8390" s="65"/>
      <c r="F8390" s="64"/>
      <c r="G8390" s="64"/>
      <c r="H8390" s="64"/>
      <c r="I8390" s="70"/>
      <c r="J8390" s="70"/>
      <c r="K8390" s="110" t="str">
        <f>IF(H8390="","",IF($C$29="간이법","",FPR(H8390,I8390,J8390)))</f>
        <v/>
      </c>
      <c r="L8390" s="111" t="str">
        <f>IF(H8390="","",IF($C$29="상세법",FPV(H8390,K8390),IF(H8390="EI",4,IF(H8390="EO",5.2,IF(H8390="EQ",3.9,IF(H8390="ILF",7.5,IF(H8390="EIF",5.4)))))))</f>
        <v/>
      </c>
      <c r="M8390" s="112" t="str">
        <f t="shared" si="134"/>
        <v/>
      </c>
      <c r="N8390" s="113"/>
    </row>
    <row r="8391" spans="2:14">
      <c r="B8391" s="105"/>
      <c r="C8391" s="106"/>
      <c r="D8391" s="107"/>
      <c r="E8391" s="65"/>
      <c r="F8391" s="64"/>
      <c r="G8391" s="64"/>
      <c r="H8391" s="64"/>
      <c r="I8391" s="70"/>
      <c r="J8391" s="70"/>
      <c r="K8391" s="110" t="str">
        <f>IF(H8391="","",IF($C$29="간이법","",FPR(H8391,I8391,J8391)))</f>
        <v/>
      </c>
      <c r="L8391" s="111" t="str">
        <f>IF(H8391="","",IF($C$29="상세법",FPV(H8391,K8391),IF(H8391="EI",4,IF(H8391="EO",5.2,IF(H8391="EQ",3.9,IF(H8391="ILF",7.5,IF(H8391="EIF",5.4)))))))</f>
        <v/>
      </c>
      <c r="M8391" s="112" t="str">
        <f t="shared" si="134"/>
        <v/>
      </c>
      <c r="N8391" s="113"/>
    </row>
    <row r="8392" spans="2:14">
      <c r="B8392" s="105"/>
      <c r="C8392" s="106"/>
      <c r="D8392" s="107"/>
      <c r="E8392" s="65"/>
      <c r="F8392" s="64"/>
      <c r="G8392" s="64"/>
      <c r="H8392" s="64"/>
      <c r="I8392" s="70"/>
      <c r="J8392" s="70"/>
      <c r="K8392" s="110" t="str">
        <f>IF(H8392="","",IF($C$29="간이법","",FPR(H8392,I8392,J8392)))</f>
        <v/>
      </c>
      <c r="L8392" s="111" t="str">
        <f>IF(H8392="","",IF($C$29="상세법",FPV(H8392,K8392),IF(H8392="EI",4,IF(H8392="EO",5.2,IF(H8392="EQ",3.9,IF(H8392="ILF",7.5,IF(H8392="EIF",5.4)))))))</f>
        <v/>
      </c>
      <c r="M8392" s="112" t="str">
        <f t="shared" si="134"/>
        <v/>
      </c>
      <c r="N8392" s="113"/>
    </row>
    <row r="8393" spans="2:14">
      <c r="B8393" s="105"/>
      <c r="C8393" s="106"/>
      <c r="D8393" s="107"/>
      <c r="E8393" s="65"/>
      <c r="F8393" s="64"/>
      <c r="G8393" s="64"/>
      <c r="H8393" s="64"/>
      <c r="I8393" s="70"/>
      <c r="J8393" s="70"/>
      <c r="K8393" s="110" t="str">
        <f>IF(H8393="","",IF($C$29="간이법","",FPR(H8393,I8393,J8393)))</f>
        <v/>
      </c>
      <c r="L8393" s="111" t="str">
        <f>IF(H8393="","",IF($C$29="상세법",FPV(H8393,K8393),IF(H8393="EI",4,IF(H8393="EO",5.2,IF(H8393="EQ",3.9,IF(H8393="ILF",7.5,IF(H8393="EIF",5.4)))))))</f>
        <v/>
      </c>
      <c r="M8393" s="112" t="str">
        <f t="shared" si="134"/>
        <v/>
      </c>
      <c r="N8393" s="113"/>
    </row>
    <row r="8394" spans="2:14">
      <c r="B8394" s="105"/>
      <c r="C8394" s="106"/>
      <c r="D8394" s="107"/>
      <c r="E8394" s="65"/>
      <c r="F8394" s="64"/>
      <c r="G8394" s="64"/>
      <c r="H8394" s="64"/>
      <c r="I8394" s="70"/>
      <c r="J8394" s="70"/>
      <c r="K8394" s="110" t="str">
        <f>IF(H8394="","",IF($C$29="간이법","",FPR(H8394,I8394,J8394)))</f>
        <v/>
      </c>
      <c r="L8394" s="111" t="str">
        <f>IF(H8394="","",IF($C$29="상세법",FPV(H8394,K8394),IF(H8394="EI",4,IF(H8394="EO",5.2,IF(H8394="EQ",3.9,IF(H8394="ILF",7.5,IF(H8394="EIF",5.4)))))))</f>
        <v/>
      </c>
      <c r="M8394" s="112" t="str">
        <f t="shared" si="134"/>
        <v/>
      </c>
      <c r="N8394" s="113"/>
    </row>
    <row r="8395" spans="2:14">
      <c r="B8395" s="105"/>
      <c r="C8395" s="106"/>
      <c r="D8395" s="107"/>
      <c r="E8395" s="65"/>
      <c r="F8395" s="64"/>
      <c r="G8395" s="64"/>
      <c r="H8395" s="64"/>
      <c r="I8395" s="70"/>
      <c r="J8395" s="70"/>
      <c r="K8395" s="110" t="str">
        <f>IF(H8395="","",IF($C$29="간이법","",FPR(H8395,I8395,J8395)))</f>
        <v/>
      </c>
      <c r="L8395" s="111" t="str">
        <f>IF(H8395="","",IF($C$29="상세법",FPV(H8395,K8395),IF(H8395="EI",4,IF(H8395="EO",5.2,IF(H8395="EQ",3.9,IF(H8395="ILF",7.5,IF(H8395="EIF",5.4)))))))</f>
        <v/>
      </c>
      <c r="M8395" s="112" t="str">
        <f t="shared" si="134"/>
        <v/>
      </c>
      <c r="N8395" s="113"/>
    </row>
    <row r="8396" spans="2:14">
      <c r="B8396" s="105"/>
      <c r="C8396" s="106"/>
      <c r="D8396" s="107"/>
      <c r="E8396" s="65"/>
      <c r="F8396" s="64"/>
      <c r="G8396" s="64"/>
      <c r="H8396" s="64"/>
      <c r="I8396" s="70"/>
      <c r="J8396" s="70"/>
      <c r="K8396" s="110" t="str">
        <f>IF(H8396="","",IF($C$29="간이법","",FPR(H8396,I8396,J8396)))</f>
        <v/>
      </c>
      <c r="L8396" s="111" t="str">
        <f>IF(H8396="","",IF($C$29="상세법",FPV(H8396,K8396),IF(H8396="EI",4,IF(H8396="EO",5.2,IF(H8396="EQ",3.9,IF(H8396="ILF",7.5,IF(H8396="EIF",5.4)))))))</f>
        <v/>
      </c>
      <c r="M8396" s="112" t="str">
        <f t="shared" si="134"/>
        <v/>
      </c>
      <c r="N8396" s="113"/>
    </row>
    <row r="8397" spans="2:14">
      <c r="B8397" s="105"/>
      <c r="C8397" s="106"/>
      <c r="D8397" s="107"/>
      <c r="E8397" s="65"/>
      <c r="F8397" s="64"/>
      <c r="G8397" s="64"/>
      <c r="H8397" s="64"/>
      <c r="I8397" s="70"/>
      <c r="J8397" s="70"/>
      <c r="K8397" s="110" t="str">
        <f>IF(H8397="","",IF($C$29="간이법","",FPR(H8397,I8397,J8397)))</f>
        <v/>
      </c>
      <c r="L8397" s="111" t="str">
        <f>IF(H8397="","",IF($C$29="상세법",FPV(H8397,K8397),IF(H8397="EI",4,IF(H8397="EO",5.2,IF(H8397="EQ",3.9,IF(H8397="ILF",7.5,IF(H8397="EIF",5.4)))))))</f>
        <v/>
      </c>
      <c r="M8397" s="112" t="str">
        <f t="shared" si="134"/>
        <v/>
      </c>
      <c r="N8397" s="113"/>
    </row>
    <row r="8398" spans="2:14">
      <c r="B8398" s="105"/>
      <c r="C8398" s="106"/>
      <c r="D8398" s="107"/>
      <c r="E8398" s="65"/>
      <c r="F8398" s="64"/>
      <c r="G8398" s="64"/>
      <c r="H8398" s="64"/>
      <c r="I8398" s="70"/>
      <c r="J8398" s="70"/>
      <c r="K8398" s="110" t="str">
        <f>IF(H8398="","",IF($C$29="간이법","",FPR(H8398,I8398,J8398)))</f>
        <v/>
      </c>
      <c r="L8398" s="111" t="str">
        <f>IF(H8398="","",IF($C$29="상세법",FPV(H8398,K8398),IF(H8398="EI",4,IF(H8398="EO",5.2,IF(H8398="EQ",3.9,IF(H8398="ILF",7.5,IF(H8398="EIF",5.4)))))))</f>
        <v/>
      </c>
      <c r="M8398" s="112" t="str">
        <f t="shared" si="134"/>
        <v/>
      </c>
      <c r="N8398" s="113"/>
    </row>
    <row r="8399" spans="2:14">
      <c r="B8399" s="105"/>
      <c r="C8399" s="106"/>
      <c r="D8399" s="107"/>
      <c r="E8399" s="65"/>
      <c r="F8399" s="64"/>
      <c r="G8399" s="64"/>
      <c r="H8399" s="64"/>
      <c r="I8399" s="70"/>
      <c r="J8399" s="70"/>
      <c r="K8399" s="110" t="str">
        <f>IF(H8399="","",IF($C$29="간이법","",FPR(H8399,I8399,J8399)))</f>
        <v/>
      </c>
      <c r="L8399" s="111" t="str">
        <f>IF(H8399="","",IF($C$29="상세법",FPV(H8399,K8399),IF(H8399="EI",4,IF(H8399="EO",5.2,IF(H8399="EQ",3.9,IF(H8399="ILF",7.5,IF(H8399="EIF",5.4)))))))</f>
        <v/>
      </c>
      <c r="M8399" s="112" t="str">
        <f t="shared" si="134"/>
        <v/>
      </c>
      <c r="N8399" s="113"/>
    </row>
    <row r="8400" spans="2:14">
      <c r="B8400" s="105"/>
      <c r="C8400" s="106"/>
      <c r="D8400" s="107"/>
      <c r="E8400" s="65"/>
      <c r="F8400" s="64"/>
      <c r="G8400" s="64"/>
      <c r="H8400" s="64"/>
      <c r="I8400" s="70"/>
      <c r="J8400" s="70"/>
      <c r="K8400" s="110" t="str">
        <f>IF(H8400="","",IF($C$29="간이법","",FPR(H8400,I8400,J8400)))</f>
        <v/>
      </c>
      <c r="L8400" s="111" t="str">
        <f>IF(H8400="","",IF($C$29="상세법",FPV(H8400,K8400),IF(H8400="EI",4,IF(H8400="EO",5.2,IF(H8400="EQ",3.9,IF(H8400="ILF",7.5,IF(H8400="EIF",5.4)))))))</f>
        <v/>
      </c>
      <c r="M8400" s="112" t="str">
        <f t="shared" si="134"/>
        <v/>
      </c>
      <c r="N8400" s="113"/>
    </row>
    <row r="8401" spans="2:14">
      <c r="B8401" s="105"/>
      <c r="C8401" s="106"/>
      <c r="D8401" s="107"/>
      <c r="E8401" s="65"/>
      <c r="F8401" s="64"/>
      <c r="G8401" s="64"/>
      <c r="H8401" s="64"/>
      <c r="I8401" s="70"/>
      <c r="J8401" s="70"/>
      <c r="K8401" s="110" t="str">
        <f>IF(H8401="","",IF($C$29="간이법","",FPR(H8401,I8401,J8401)))</f>
        <v/>
      </c>
      <c r="L8401" s="111" t="str">
        <f>IF(H8401="","",IF($C$29="상세법",FPV(H8401,K8401),IF(H8401="EI",4,IF(H8401="EO",5.2,IF(H8401="EQ",3.9,IF(H8401="ILF",7.5,IF(H8401="EIF",5.4)))))))</f>
        <v/>
      </c>
      <c r="M8401" s="112" t="str">
        <f t="shared" si="134"/>
        <v/>
      </c>
      <c r="N8401" s="113"/>
    </row>
    <row r="8402" spans="2:14">
      <c r="B8402" s="105"/>
      <c r="C8402" s="106"/>
      <c r="D8402" s="107"/>
      <c r="E8402" s="65"/>
      <c r="F8402" s="64"/>
      <c r="G8402" s="64"/>
      <c r="H8402" s="64"/>
      <c r="I8402" s="70"/>
      <c r="J8402" s="70"/>
      <c r="K8402" s="110" t="str">
        <f>IF(H8402="","",IF($C$29="간이법","",FPR(H8402,I8402,J8402)))</f>
        <v/>
      </c>
      <c r="L8402" s="111" t="str">
        <f>IF(H8402="","",IF($C$29="상세법",FPV(H8402,K8402),IF(H8402="EI",4,IF(H8402="EO",5.2,IF(H8402="EQ",3.9,IF(H8402="ILF",7.5,IF(H8402="EIF",5.4)))))))</f>
        <v/>
      </c>
      <c r="M8402" s="112" t="str">
        <f t="shared" si="134"/>
        <v/>
      </c>
      <c r="N8402" s="113"/>
    </row>
    <row r="8403" spans="2:14">
      <c r="B8403" s="105"/>
      <c r="C8403" s="106"/>
      <c r="D8403" s="107"/>
      <c r="E8403" s="65"/>
      <c r="F8403" s="64"/>
      <c r="G8403" s="64"/>
      <c r="H8403" s="64"/>
      <c r="I8403" s="70"/>
      <c r="J8403" s="70"/>
      <c r="K8403" s="110" t="str">
        <f>IF(H8403="","",IF($C$29="간이법","",FPR(H8403,I8403,J8403)))</f>
        <v/>
      </c>
      <c r="L8403" s="111" t="str">
        <f>IF(H8403="","",IF($C$29="상세법",FPV(H8403,K8403),IF(H8403="EI",4,IF(H8403="EO",5.2,IF(H8403="EQ",3.9,IF(H8403="ILF",7.5,IF(H8403="EIF",5.4)))))))</f>
        <v/>
      </c>
      <c r="M8403" s="112" t="str">
        <f t="shared" si="134"/>
        <v/>
      </c>
      <c r="N8403" s="113"/>
    </row>
    <row r="8404" spans="2:14">
      <c r="B8404" s="105"/>
      <c r="C8404" s="106"/>
      <c r="D8404" s="107"/>
      <c r="E8404" s="65"/>
      <c r="F8404" s="64"/>
      <c r="G8404" s="64"/>
      <c r="H8404" s="64"/>
      <c r="I8404" s="70"/>
      <c r="J8404" s="70"/>
      <c r="K8404" s="110" t="str">
        <f>IF(H8404="","",IF($C$29="간이법","",FPR(H8404,I8404,J8404)))</f>
        <v/>
      </c>
      <c r="L8404" s="111" t="str">
        <f>IF(H8404="","",IF($C$29="상세법",FPV(H8404,K8404),IF(H8404="EI",4,IF(H8404="EO",5.2,IF(H8404="EQ",3.9,IF(H8404="ILF",7.5,IF(H8404="EIF",5.4)))))))</f>
        <v/>
      </c>
      <c r="M8404" s="112" t="str">
        <f t="shared" si="134"/>
        <v/>
      </c>
      <c r="N8404" s="113"/>
    </row>
    <row r="8405" spans="2:14">
      <c r="B8405" s="105"/>
      <c r="C8405" s="106"/>
      <c r="D8405" s="107"/>
      <c r="E8405" s="65"/>
      <c r="F8405" s="64"/>
      <c r="G8405" s="64"/>
      <c r="H8405" s="64"/>
      <c r="I8405" s="70"/>
      <c r="J8405" s="70"/>
      <c r="K8405" s="110" t="str">
        <f>IF(H8405="","",IF($C$29="간이법","",FPR(H8405,I8405,J8405)))</f>
        <v/>
      </c>
      <c r="L8405" s="111" t="str">
        <f>IF(H8405="","",IF($C$29="상세법",FPV(H8405,K8405),IF(H8405="EI",4,IF(H8405="EO",5.2,IF(H8405="EQ",3.9,IF(H8405="ILF",7.5,IF(H8405="EIF",5.4)))))))</f>
        <v/>
      </c>
      <c r="M8405" s="112" t="str">
        <f t="shared" si="134"/>
        <v/>
      </c>
      <c r="N8405" s="113"/>
    </row>
    <row r="8406" spans="2:14">
      <c r="B8406" s="105"/>
      <c r="C8406" s="106"/>
      <c r="D8406" s="107"/>
      <c r="E8406" s="65"/>
      <c r="F8406" s="64"/>
      <c r="G8406" s="64"/>
      <c r="H8406" s="64"/>
      <c r="I8406" s="70"/>
      <c r="J8406" s="70"/>
      <c r="K8406" s="110" t="str">
        <f>IF(H8406="","",IF($C$29="간이법","",FPR(H8406,I8406,J8406)))</f>
        <v/>
      </c>
      <c r="L8406" s="111" t="str">
        <f>IF(H8406="","",IF($C$29="상세법",FPV(H8406,K8406),IF(H8406="EI",4,IF(H8406="EO",5.2,IF(H8406="EQ",3.9,IF(H8406="ILF",7.5,IF(H8406="EIF",5.4)))))))</f>
        <v/>
      </c>
      <c r="M8406" s="112" t="str">
        <f t="shared" si="134"/>
        <v/>
      </c>
      <c r="N8406" s="113"/>
    </row>
    <row r="8407" spans="2:14">
      <c r="B8407" s="105"/>
      <c r="C8407" s="106"/>
      <c r="D8407" s="107"/>
      <c r="E8407" s="65"/>
      <c r="F8407" s="64"/>
      <c r="G8407" s="64"/>
      <c r="H8407" s="64"/>
      <c r="I8407" s="70"/>
      <c r="J8407" s="70"/>
      <c r="K8407" s="110" t="str">
        <f>IF(H8407="","",IF($C$29="간이법","",FPR(H8407,I8407,J8407)))</f>
        <v/>
      </c>
      <c r="L8407" s="111" t="str">
        <f>IF(H8407="","",IF($C$29="상세법",FPV(H8407,K8407),IF(H8407="EI",4,IF(H8407="EO",5.2,IF(H8407="EQ",3.9,IF(H8407="ILF",7.5,IF(H8407="EIF",5.4)))))))</f>
        <v/>
      </c>
      <c r="M8407" s="112" t="str">
        <f t="shared" si="134"/>
        <v/>
      </c>
      <c r="N8407" s="113"/>
    </row>
    <row r="8408" spans="2:14">
      <c r="B8408" s="105"/>
      <c r="C8408" s="106"/>
      <c r="D8408" s="107"/>
      <c r="E8408" s="65"/>
      <c r="F8408" s="64"/>
      <c r="G8408" s="64"/>
      <c r="H8408" s="64"/>
      <c r="I8408" s="70"/>
      <c r="J8408" s="70"/>
      <c r="K8408" s="110" t="str">
        <f>IF(H8408="","",IF($C$29="간이법","",FPR(H8408,I8408,J8408)))</f>
        <v/>
      </c>
      <c r="L8408" s="111" t="str">
        <f>IF(H8408="","",IF($C$29="상세법",FPV(H8408,K8408),IF(H8408="EI",4,IF(H8408="EO",5.2,IF(H8408="EQ",3.9,IF(H8408="ILF",7.5,IF(H8408="EIF",5.4)))))))</f>
        <v/>
      </c>
      <c r="M8408" s="112" t="str">
        <f t="shared" si="134"/>
        <v/>
      </c>
      <c r="N8408" s="113"/>
    </row>
    <row r="8409" spans="2:14">
      <c r="B8409" s="105"/>
      <c r="C8409" s="106"/>
      <c r="D8409" s="107"/>
      <c r="E8409" s="65"/>
      <c r="F8409" s="64"/>
      <c r="G8409" s="64"/>
      <c r="H8409" s="64"/>
      <c r="I8409" s="70"/>
      <c r="J8409" s="70"/>
      <c r="K8409" s="110" t="str">
        <f>IF(H8409="","",IF($C$29="간이법","",FPR(H8409,I8409,J8409)))</f>
        <v/>
      </c>
      <c r="L8409" s="111" t="str">
        <f>IF(H8409="","",IF($C$29="상세법",FPV(H8409,K8409),IF(H8409="EI",4,IF(H8409="EO",5.2,IF(H8409="EQ",3.9,IF(H8409="ILF",7.5,IF(H8409="EIF",5.4)))))))</f>
        <v/>
      </c>
      <c r="M8409" s="112" t="str">
        <f t="shared" si="134"/>
        <v/>
      </c>
      <c r="N8409" s="113"/>
    </row>
    <row r="8410" spans="2:14">
      <c r="B8410" s="105"/>
      <c r="C8410" s="106"/>
      <c r="D8410" s="107"/>
      <c r="E8410" s="65"/>
      <c r="F8410" s="64"/>
      <c r="G8410" s="64"/>
      <c r="H8410" s="64"/>
      <c r="I8410" s="70"/>
      <c r="J8410" s="70"/>
      <c r="K8410" s="110" t="str">
        <f>IF(H8410="","",IF($C$29="간이법","",FPR(H8410,I8410,J8410)))</f>
        <v/>
      </c>
      <c r="L8410" s="111" t="str">
        <f>IF(H8410="","",IF($C$29="상세법",FPV(H8410,K8410),IF(H8410="EI",4,IF(H8410="EO",5.2,IF(H8410="EQ",3.9,IF(H8410="ILF",7.5,IF(H8410="EIF",5.4)))))))</f>
        <v/>
      </c>
      <c r="M8410" s="112" t="str">
        <f t="shared" si="134"/>
        <v/>
      </c>
      <c r="N8410" s="113"/>
    </row>
    <row r="8411" spans="2:14">
      <c r="B8411" s="105"/>
      <c r="C8411" s="106"/>
      <c r="D8411" s="107"/>
      <c r="E8411" s="65"/>
      <c r="F8411" s="64"/>
      <c r="G8411" s="64"/>
      <c r="H8411" s="64"/>
      <c r="I8411" s="70"/>
      <c r="J8411" s="70"/>
      <c r="K8411" s="110" t="str">
        <f>IF(H8411="","",IF($C$29="간이법","",FPR(H8411,I8411,J8411)))</f>
        <v/>
      </c>
      <c r="L8411" s="111" t="str">
        <f>IF(H8411="","",IF($C$29="상세법",FPV(H8411,K8411),IF(H8411="EI",4,IF(H8411="EO",5.2,IF(H8411="EQ",3.9,IF(H8411="ILF",7.5,IF(H8411="EIF",5.4)))))))</f>
        <v/>
      </c>
      <c r="M8411" s="112" t="str">
        <f t="shared" si="134"/>
        <v/>
      </c>
      <c r="N8411" s="113"/>
    </row>
    <row r="8412" spans="2:14">
      <c r="B8412" s="105"/>
      <c r="C8412" s="106"/>
      <c r="D8412" s="107"/>
      <c r="E8412" s="65"/>
      <c r="F8412" s="64"/>
      <c r="G8412" s="64"/>
      <c r="H8412" s="64"/>
      <c r="I8412" s="70"/>
      <c r="J8412" s="70"/>
      <c r="K8412" s="110" t="str">
        <f>IF(H8412="","",IF($C$29="간이법","",FPR(H8412,I8412,J8412)))</f>
        <v/>
      </c>
      <c r="L8412" s="111" t="str">
        <f>IF(H8412="","",IF($C$29="상세법",FPV(H8412,K8412),IF(H8412="EI",4,IF(H8412="EO",5.2,IF(H8412="EQ",3.9,IF(H8412="ILF",7.5,IF(H8412="EIF",5.4)))))))</f>
        <v/>
      </c>
      <c r="M8412" s="112" t="str">
        <f t="shared" si="134"/>
        <v/>
      </c>
      <c r="N8412" s="113"/>
    </row>
    <row r="8413" spans="2:14">
      <c r="B8413" s="105"/>
      <c r="C8413" s="106"/>
      <c r="D8413" s="107"/>
      <c r="E8413" s="65"/>
      <c r="F8413" s="64"/>
      <c r="G8413" s="64"/>
      <c r="H8413" s="64"/>
      <c r="I8413" s="70"/>
      <c r="J8413" s="70"/>
      <c r="K8413" s="110" t="str">
        <f>IF(H8413="","",IF($C$29="간이법","",FPR(H8413,I8413,J8413)))</f>
        <v/>
      </c>
      <c r="L8413" s="111" t="str">
        <f>IF(H8413="","",IF($C$29="상세법",FPV(H8413,K8413),IF(H8413="EI",4,IF(H8413="EO",5.2,IF(H8413="EQ",3.9,IF(H8413="ILF",7.5,IF(H8413="EIF",5.4)))))))</f>
        <v/>
      </c>
      <c r="M8413" s="112" t="str">
        <f t="shared" si="134"/>
        <v/>
      </c>
      <c r="N8413" s="113"/>
    </row>
    <row r="8414" spans="2:14">
      <c r="B8414" s="105"/>
      <c r="C8414" s="106"/>
      <c r="D8414" s="107"/>
      <c r="E8414" s="65"/>
      <c r="F8414" s="64"/>
      <c r="G8414" s="64"/>
      <c r="H8414" s="64"/>
      <c r="I8414" s="70"/>
      <c r="J8414" s="70"/>
      <c r="K8414" s="110" t="str">
        <f>IF(H8414="","",IF($C$29="간이법","",FPR(H8414,I8414,J8414)))</f>
        <v/>
      </c>
      <c r="L8414" s="111" t="str">
        <f>IF(H8414="","",IF($C$29="상세법",FPV(H8414,K8414),IF(H8414="EI",4,IF(H8414="EO",5.2,IF(H8414="EQ",3.9,IF(H8414="ILF",7.5,IF(H8414="EIF",5.4)))))))</f>
        <v/>
      </c>
      <c r="M8414" s="112" t="str">
        <f t="shared" si="134"/>
        <v/>
      </c>
      <c r="N8414" s="113"/>
    </row>
    <row r="8415" spans="2:14">
      <c r="B8415" s="105"/>
      <c r="C8415" s="106"/>
      <c r="D8415" s="107"/>
      <c r="E8415" s="65"/>
      <c r="F8415" s="64"/>
      <c r="G8415" s="64"/>
      <c r="H8415" s="64"/>
      <c r="I8415" s="70"/>
      <c r="J8415" s="70"/>
      <c r="K8415" s="110" t="str">
        <f>IF(H8415="","",IF($C$29="간이법","",FPR(H8415,I8415,J8415)))</f>
        <v/>
      </c>
      <c r="L8415" s="111" t="str">
        <f>IF(H8415="","",IF($C$29="상세법",FPV(H8415,K8415),IF(H8415="EI",4,IF(H8415="EO",5.2,IF(H8415="EQ",3.9,IF(H8415="ILF",7.5,IF(H8415="EIF",5.4)))))))</f>
        <v/>
      </c>
      <c r="M8415" s="112" t="str">
        <f t="shared" si="134"/>
        <v/>
      </c>
      <c r="N8415" s="113"/>
    </row>
    <row r="8416" spans="2:14">
      <c r="B8416" s="105"/>
      <c r="C8416" s="106"/>
      <c r="D8416" s="107"/>
      <c r="E8416" s="65"/>
      <c r="F8416" s="64"/>
      <c r="G8416" s="64"/>
      <c r="H8416" s="64"/>
      <c r="I8416" s="70"/>
      <c r="J8416" s="70"/>
      <c r="K8416" s="110" t="str">
        <f>IF(H8416="","",IF($C$29="간이법","",FPR(H8416,I8416,J8416)))</f>
        <v/>
      </c>
      <c r="L8416" s="111" t="str">
        <f>IF(H8416="","",IF($C$29="상세법",FPV(H8416,K8416),IF(H8416="EI",4,IF(H8416="EO",5.2,IF(H8416="EQ",3.9,IF(H8416="ILF",7.5,IF(H8416="EIF",5.4)))))))</f>
        <v/>
      </c>
      <c r="M8416" s="112" t="str">
        <f t="shared" si="134"/>
        <v/>
      </c>
      <c r="N8416" s="113"/>
    </row>
    <row r="8417" spans="2:14">
      <c r="B8417" s="105"/>
      <c r="C8417" s="106"/>
      <c r="D8417" s="107"/>
      <c r="E8417" s="65"/>
      <c r="F8417" s="64"/>
      <c r="G8417" s="64"/>
      <c r="H8417" s="64"/>
      <c r="I8417" s="70"/>
      <c r="J8417" s="70"/>
      <c r="K8417" s="110" t="str">
        <f>IF(H8417="","",IF($C$29="간이법","",FPR(H8417,I8417,J8417)))</f>
        <v/>
      </c>
      <c r="L8417" s="111" t="str">
        <f>IF(H8417="","",IF($C$29="상세법",FPV(H8417,K8417),IF(H8417="EI",4,IF(H8417="EO",5.2,IF(H8417="EQ",3.9,IF(H8417="ILF",7.5,IF(H8417="EIF",5.4)))))))</f>
        <v/>
      </c>
      <c r="M8417" s="112" t="str">
        <f t="shared" si="134"/>
        <v/>
      </c>
      <c r="N8417" s="113"/>
    </row>
    <row r="8418" spans="2:14">
      <c r="B8418" s="105"/>
      <c r="C8418" s="106"/>
      <c r="D8418" s="107"/>
      <c r="E8418" s="65"/>
      <c r="F8418" s="64"/>
      <c r="G8418" s="64"/>
      <c r="H8418" s="64"/>
      <c r="I8418" s="70"/>
      <c r="J8418" s="70"/>
      <c r="K8418" s="110" t="str">
        <f>IF(H8418="","",IF($C$29="간이법","",FPR(H8418,I8418,J8418)))</f>
        <v/>
      </c>
      <c r="L8418" s="111" t="str">
        <f>IF(H8418="","",IF($C$29="상세법",FPV(H8418,K8418),IF(H8418="EI",4,IF(H8418="EO",5.2,IF(H8418="EQ",3.9,IF(H8418="ILF",7.5,IF(H8418="EIF",5.4)))))))</f>
        <v/>
      </c>
      <c r="M8418" s="112" t="str">
        <f t="shared" si="134"/>
        <v/>
      </c>
      <c r="N8418" s="113"/>
    </row>
    <row r="8419" spans="2:14">
      <c r="B8419" s="105"/>
      <c r="C8419" s="106"/>
      <c r="D8419" s="107"/>
      <c r="E8419" s="65"/>
      <c r="F8419" s="64"/>
      <c r="G8419" s="64"/>
      <c r="H8419" s="64"/>
      <c r="I8419" s="70"/>
      <c r="J8419" s="70"/>
      <c r="K8419" s="110" t="str">
        <f>IF(H8419="","",IF($C$29="간이법","",FPR(H8419,I8419,J8419)))</f>
        <v/>
      </c>
      <c r="L8419" s="111" t="str">
        <f>IF(H8419="","",IF($C$29="상세법",FPV(H8419,K8419),IF(H8419="EI",4,IF(H8419="EO",5.2,IF(H8419="EQ",3.9,IF(H8419="ILF",7.5,IF(H8419="EIF",5.4)))))))</f>
        <v/>
      </c>
      <c r="M8419" s="112" t="str">
        <f t="shared" si="134"/>
        <v/>
      </c>
      <c r="N8419" s="113"/>
    </row>
    <row r="8420" spans="2:14">
      <c r="B8420" s="105"/>
      <c r="C8420" s="106"/>
      <c r="D8420" s="107"/>
      <c r="E8420" s="65"/>
      <c r="F8420" s="64"/>
      <c r="G8420" s="64"/>
      <c r="H8420" s="64"/>
      <c r="I8420" s="70"/>
      <c r="J8420" s="70"/>
      <c r="K8420" s="110" t="str">
        <f>IF(H8420="","",IF($C$29="간이법","",FPR(H8420,I8420,J8420)))</f>
        <v/>
      </c>
      <c r="L8420" s="111" t="str">
        <f>IF(H8420="","",IF($C$29="상세법",FPV(H8420,K8420),IF(H8420="EI",4,IF(H8420="EO",5.2,IF(H8420="EQ",3.9,IF(H8420="ILF",7.5,IF(H8420="EIF",5.4)))))))</f>
        <v/>
      </c>
      <c r="M8420" s="112" t="str">
        <f t="shared" si="134"/>
        <v/>
      </c>
      <c r="N8420" s="113"/>
    </row>
    <row r="8421" spans="2:14">
      <c r="B8421" s="105"/>
      <c r="C8421" s="106"/>
      <c r="D8421" s="107"/>
      <c r="E8421" s="65"/>
      <c r="F8421" s="64"/>
      <c r="G8421" s="64"/>
      <c r="H8421" s="64"/>
      <c r="I8421" s="70"/>
      <c r="J8421" s="70"/>
      <c r="K8421" s="110" t="str">
        <f>IF(H8421="","",IF($C$29="간이법","",FPR(H8421,I8421,J8421)))</f>
        <v/>
      </c>
      <c r="L8421" s="111" t="str">
        <f>IF(H8421="","",IF($C$29="상세법",FPV(H8421,K8421),IF(H8421="EI",4,IF(H8421="EO",5.2,IF(H8421="EQ",3.9,IF(H8421="ILF",7.5,IF(H8421="EIF",5.4)))))))</f>
        <v/>
      </c>
      <c r="M8421" s="112" t="str">
        <f t="shared" si="134"/>
        <v/>
      </c>
      <c r="N8421" s="113"/>
    </row>
    <row r="8422" spans="2:14">
      <c r="B8422" s="105"/>
      <c r="C8422" s="106"/>
      <c r="D8422" s="107"/>
      <c r="E8422" s="65"/>
      <c r="F8422" s="64"/>
      <c r="G8422" s="64"/>
      <c r="H8422" s="64"/>
      <c r="I8422" s="70"/>
      <c r="J8422" s="70"/>
      <c r="K8422" s="110" t="str">
        <f>IF(H8422="","",IF($C$29="간이법","",FPR(H8422,I8422,J8422)))</f>
        <v/>
      </c>
      <c r="L8422" s="111" t="str">
        <f>IF(H8422="","",IF($C$29="상세법",FPV(H8422,K8422),IF(H8422="EI",4,IF(H8422="EO",5.2,IF(H8422="EQ",3.9,IF(H8422="ILF",7.5,IF(H8422="EIF",5.4)))))))</f>
        <v/>
      </c>
      <c r="M8422" s="112" t="str">
        <f t="shared" si="134"/>
        <v/>
      </c>
      <c r="N8422" s="113"/>
    </row>
    <row r="8423" spans="2:14">
      <c r="B8423" s="105"/>
      <c r="C8423" s="106"/>
      <c r="D8423" s="107"/>
      <c r="E8423" s="65"/>
      <c r="F8423" s="64"/>
      <c r="G8423" s="64"/>
      <c r="H8423" s="64"/>
      <c r="I8423" s="70"/>
      <c r="J8423" s="70"/>
      <c r="K8423" s="110" t="str">
        <f>IF(H8423="","",IF($C$29="간이법","",FPR(H8423,I8423,J8423)))</f>
        <v/>
      </c>
      <c r="L8423" s="111" t="str">
        <f>IF(H8423="","",IF($C$29="상세법",FPV(H8423,K8423),IF(H8423="EI",4,IF(H8423="EO",5.2,IF(H8423="EQ",3.9,IF(H8423="ILF",7.5,IF(H8423="EIF",5.4)))))))</f>
        <v/>
      </c>
      <c r="M8423" s="112" t="str">
        <f t="shared" si="134"/>
        <v/>
      </c>
      <c r="N8423" s="113"/>
    </row>
    <row r="8424" spans="2:14">
      <c r="B8424" s="105"/>
      <c r="C8424" s="106"/>
      <c r="D8424" s="107"/>
      <c r="E8424" s="65"/>
      <c r="F8424" s="64"/>
      <c r="G8424" s="64"/>
      <c r="H8424" s="64"/>
      <c r="I8424" s="70"/>
      <c r="J8424" s="70"/>
      <c r="K8424" s="110" t="str">
        <f>IF(H8424="","",IF($C$29="간이법","",FPR(H8424,I8424,J8424)))</f>
        <v/>
      </c>
      <c r="L8424" s="111" t="str">
        <f>IF(H8424="","",IF($C$29="상세법",FPV(H8424,K8424),IF(H8424="EI",4,IF(H8424="EO",5.2,IF(H8424="EQ",3.9,IF(H8424="ILF",7.5,IF(H8424="EIF",5.4)))))))</f>
        <v/>
      </c>
      <c r="M8424" s="112" t="str">
        <f t="shared" si="134"/>
        <v/>
      </c>
      <c r="N8424" s="113"/>
    </row>
    <row r="8425" spans="2:14">
      <c r="B8425" s="105"/>
      <c r="C8425" s="106"/>
      <c r="D8425" s="107"/>
      <c r="E8425" s="65"/>
      <c r="F8425" s="64"/>
      <c r="G8425" s="64"/>
      <c r="H8425" s="64"/>
      <c r="I8425" s="70"/>
      <c r="J8425" s="70"/>
      <c r="K8425" s="110" t="str">
        <f>IF(H8425="","",IF($C$29="간이법","",FPR(H8425,I8425,J8425)))</f>
        <v/>
      </c>
      <c r="L8425" s="111" t="str">
        <f>IF(H8425="","",IF($C$29="상세법",FPV(H8425,K8425),IF(H8425="EI",4,IF(H8425="EO",5.2,IF(H8425="EQ",3.9,IF(H8425="ILF",7.5,IF(H8425="EIF",5.4)))))))</f>
        <v/>
      </c>
      <c r="M8425" s="112" t="str">
        <f t="shared" si="134"/>
        <v/>
      </c>
      <c r="N8425" s="113"/>
    </row>
    <row r="8426" spans="2:14">
      <c r="B8426" s="105"/>
      <c r="C8426" s="106"/>
      <c r="D8426" s="107"/>
      <c r="E8426" s="65"/>
      <c r="F8426" s="64"/>
      <c r="G8426" s="64"/>
      <c r="H8426" s="64"/>
      <c r="I8426" s="70"/>
      <c r="J8426" s="70"/>
      <c r="K8426" s="110" t="str">
        <f>IF(H8426="","",IF($C$29="간이법","",FPR(H8426,I8426,J8426)))</f>
        <v/>
      </c>
      <c r="L8426" s="111" t="str">
        <f>IF(H8426="","",IF($C$29="상세법",FPV(H8426,K8426),IF(H8426="EI",4,IF(H8426="EO",5.2,IF(H8426="EQ",3.9,IF(H8426="ILF",7.5,IF(H8426="EIF",5.4)))))))</f>
        <v/>
      </c>
      <c r="M8426" s="112" t="str">
        <f t="shared" si="134"/>
        <v/>
      </c>
      <c r="N8426" s="113"/>
    </row>
    <row r="8427" spans="2:14">
      <c r="B8427" s="105"/>
      <c r="C8427" s="106"/>
      <c r="D8427" s="107"/>
      <c r="E8427" s="65"/>
      <c r="F8427" s="64"/>
      <c r="G8427" s="64"/>
      <c r="H8427" s="64"/>
      <c r="I8427" s="70"/>
      <c r="J8427" s="70"/>
      <c r="K8427" s="110" t="str">
        <f>IF(H8427="","",IF($C$29="간이법","",FPR(H8427,I8427,J8427)))</f>
        <v/>
      </c>
      <c r="L8427" s="111" t="str">
        <f>IF(H8427="","",IF($C$29="상세법",FPV(H8427,K8427),IF(H8427="EI",4,IF(H8427="EO",5.2,IF(H8427="EQ",3.9,IF(H8427="ILF",7.5,IF(H8427="EIF",5.4)))))))</f>
        <v/>
      </c>
      <c r="M8427" s="112" t="str">
        <f t="shared" si="134"/>
        <v/>
      </c>
      <c r="N8427" s="113"/>
    </row>
    <row r="8428" spans="2:14">
      <c r="B8428" s="105"/>
      <c r="C8428" s="106"/>
      <c r="D8428" s="107"/>
      <c r="E8428" s="65"/>
      <c r="F8428" s="64"/>
      <c r="G8428" s="64"/>
      <c r="H8428" s="64"/>
      <c r="I8428" s="70"/>
      <c r="J8428" s="70"/>
      <c r="K8428" s="110" t="str">
        <f>IF(H8428="","",IF($C$29="간이법","",FPR(H8428,I8428,J8428)))</f>
        <v/>
      </c>
      <c r="L8428" s="111" t="str">
        <f>IF(H8428="","",IF($C$29="상세법",FPV(H8428,K8428),IF(H8428="EI",4,IF(H8428="EO",5.2,IF(H8428="EQ",3.9,IF(H8428="ILF",7.5,IF(H8428="EIF",5.4)))))))</f>
        <v/>
      </c>
      <c r="M8428" s="112" t="str">
        <f t="shared" si="134"/>
        <v/>
      </c>
      <c r="N8428" s="113"/>
    </row>
    <row r="8429" spans="2:14">
      <c r="B8429" s="105"/>
      <c r="C8429" s="106"/>
      <c r="D8429" s="107"/>
      <c r="E8429" s="65"/>
      <c r="F8429" s="64"/>
      <c r="G8429" s="64"/>
      <c r="H8429" s="64"/>
      <c r="I8429" s="70"/>
      <c r="J8429" s="70"/>
      <c r="K8429" s="110" t="str">
        <f>IF(H8429="","",IF($C$29="간이법","",FPR(H8429,I8429,J8429)))</f>
        <v/>
      </c>
      <c r="L8429" s="111" t="str">
        <f>IF(H8429="","",IF($C$29="상세법",FPV(H8429,K8429),IF(H8429="EI",4,IF(H8429="EO",5.2,IF(H8429="EQ",3.9,IF(H8429="ILF",7.5,IF(H8429="EIF",5.4)))))))</f>
        <v/>
      </c>
      <c r="M8429" s="112" t="str">
        <f t="shared" si="134"/>
        <v/>
      </c>
      <c r="N8429" s="113"/>
    </row>
    <row r="8430" spans="2:14">
      <c r="B8430" s="105"/>
      <c r="C8430" s="106"/>
      <c r="D8430" s="107"/>
      <c r="E8430" s="65"/>
      <c r="F8430" s="64"/>
      <c r="G8430" s="64"/>
      <c r="H8430" s="64"/>
      <c r="I8430" s="70"/>
      <c r="J8430" s="70"/>
      <c r="K8430" s="110" t="str">
        <f>IF(H8430="","",IF($C$29="간이법","",FPR(H8430,I8430,J8430)))</f>
        <v/>
      </c>
      <c r="L8430" s="111" t="str">
        <f>IF(H8430="","",IF($C$29="상세법",FPV(H8430,K8430),IF(H8430="EI",4,IF(H8430="EO",5.2,IF(H8430="EQ",3.9,IF(H8430="ILF",7.5,IF(H8430="EIF",5.4)))))))</f>
        <v/>
      </c>
      <c r="M8430" s="112" t="str">
        <f t="shared" si="134"/>
        <v/>
      </c>
      <c r="N8430" s="113"/>
    </row>
    <row r="8431" spans="2:14">
      <c r="B8431" s="105"/>
      <c r="C8431" s="106"/>
      <c r="D8431" s="107"/>
      <c r="E8431" s="65"/>
      <c r="F8431" s="64"/>
      <c r="G8431" s="64"/>
      <c r="H8431" s="64"/>
      <c r="I8431" s="70"/>
      <c r="J8431" s="70"/>
      <c r="K8431" s="110" t="str">
        <f>IF(H8431="","",IF($C$29="간이법","",FPR(H8431,I8431,J8431)))</f>
        <v/>
      </c>
      <c r="L8431" s="111" t="str">
        <f>IF(H8431="","",IF($C$29="상세법",FPV(H8431,K8431),IF(H8431="EI",4,IF(H8431="EO",5.2,IF(H8431="EQ",3.9,IF(H8431="ILF",7.5,IF(H8431="EIF",5.4)))))))</f>
        <v/>
      </c>
      <c r="M8431" s="112" t="str">
        <f t="shared" si="134"/>
        <v/>
      </c>
      <c r="N8431" s="113"/>
    </row>
    <row r="8432" spans="2:14">
      <c r="B8432" s="105"/>
      <c r="C8432" s="106"/>
      <c r="D8432" s="107"/>
      <c r="E8432" s="65"/>
      <c r="F8432" s="64"/>
      <c r="G8432" s="64"/>
      <c r="H8432" s="64"/>
      <c r="I8432" s="70"/>
      <c r="J8432" s="70"/>
      <c r="K8432" s="110" t="str">
        <f>IF(H8432="","",IF($C$29="간이법","",FPR(H8432,I8432,J8432)))</f>
        <v/>
      </c>
      <c r="L8432" s="111" t="str">
        <f>IF(H8432="","",IF($C$29="상세법",FPV(H8432,K8432),IF(H8432="EI",4,IF(H8432="EO",5.2,IF(H8432="EQ",3.9,IF(H8432="ILF",7.5,IF(H8432="EIF",5.4)))))))</f>
        <v/>
      </c>
      <c r="M8432" s="112" t="str">
        <f t="shared" si="134"/>
        <v/>
      </c>
      <c r="N8432" s="113"/>
    </row>
    <row r="8433" spans="2:14">
      <c r="B8433" s="105"/>
      <c r="C8433" s="106"/>
      <c r="D8433" s="107"/>
      <c r="E8433" s="65"/>
      <c r="F8433" s="64"/>
      <c r="G8433" s="64"/>
      <c r="H8433" s="64"/>
      <c r="I8433" s="70"/>
      <c r="J8433" s="70"/>
      <c r="K8433" s="110" t="str">
        <f>IF(H8433="","",IF($C$29="간이법","",FPR(H8433,I8433,J8433)))</f>
        <v/>
      </c>
      <c r="L8433" s="111" t="str">
        <f>IF(H8433="","",IF($C$29="상세법",FPV(H8433,K8433),IF(H8433="EI",4,IF(H8433="EO",5.2,IF(H8433="EQ",3.9,IF(H8433="ILF",7.5,IF(H8433="EIF",5.4)))))))</f>
        <v/>
      </c>
      <c r="M8433" s="112" t="str">
        <f t="shared" si="134"/>
        <v/>
      </c>
      <c r="N8433" s="113"/>
    </row>
    <row r="8434" spans="2:14">
      <c r="B8434" s="105"/>
      <c r="C8434" s="106"/>
      <c r="D8434" s="107"/>
      <c r="E8434" s="65"/>
      <c r="F8434" s="64"/>
      <c r="G8434" s="64"/>
      <c r="H8434" s="64"/>
      <c r="I8434" s="70"/>
      <c r="J8434" s="70"/>
      <c r="K8434" s="110" t="str">
        <f>IF(H8434="","",IF($C$29="간이법","",FPR(H8434,I8434,J8434)))</f>
        <v/>
      </c>
      <c r="L8434" s="111" t="str">
        <f>IF(H8434="","",IF($C$29="상세법",FPV(H8434,K8434),IF(H8434="EI",4,IF(H8434="EO",5.2,IF(H8434="EQ",3.9,IF(H8434="ILF",7.5,IF(H8434="EIF",5.4)))))))</f>
        <v/>
      </c>
      <c r="M8434" s="112" t="str">
        <f t="shared" si="134"/>
        <v/>
      </c>
      <c r="N8434" s="113"/>
    </row>
    <row r="8435" spans="2:14">
      <c r="B8435" s="105"/>
      <c r="C8435" s="106"/>
      <c r="D8435" s="107"/>
      <c r="E8435" s="65"/>
      <c r="F8435" s="64"/>
      <c r="G8435" s="64"/>
      <c r="H8435" s="64"/>
      <c r="I8435" s="70"/>
      <c r="J8435" s="70"/>
      <c r="K8435" s="110" t="str">
        <f>IF(H8435="","",IF($C$29="간이법","",FPR(H8435,I8435,J8435)))</f>
        <v/>
      </c>
      <c r="L8435" s="111" t="str">
        <f>IF(H8435="","",IF($C$29="상세법",FPV(H8435,K8435),IF(H8435="EI",4,IF(H8435="EO",5.2,IF(H8435="EQ",3.9,IF(H8435="ILF",7.5,IF(H8435="EIF",5.4)))))))</f>
        <v/>
      </c>
      <c r="M8435" s="112" t="str">
        <f t="shared" si="134"/>
        <v/>
      </c>
      <c r="N8435" s="113"/>
    </row>
    <row r="8436" spans="2:14">
      <c r="B8436" s="105"/>
      <c r="C8436" s="106"/>
      <c r="D8436" s="107"/>
      <c r="E8436" s="65"/>
      <c r="F8436" s="64"/>
      <c r="G8436" s="64"/>
      <c r="H8436" s="64"/>
      <c r="I8436" s="70"/>
      <c r="J8436" s="70"/>
      <c r="K8436" s="110" t="str">
        <f>IF(H8436="","",IF($C$29="간이법","",FPR(H8436,I8436,J8436)))</f>
        <v/>
      </c>
      <c r="L8436" s="111" t="str">
        <f>IF(H8436="","",IF($C$29="상세법",FPV(H8436,K8436),IF(H8436="EI",4,IF(H8436="EO",5.2,IF(H8436="EQ",3.9,IF(H8436="ILF",7.5,IF(H8436="EIF",5.4)))))))</f>
        <v/>
      </c>
      <c r="M8436" s="112" t="str">
        <f t="shared" si="134"/>
        <v/>
      </c>
      <c r="N8436" s="113"/>
    </row>
    <row r="8437" spans="2:14">
      <c r="B8437" s="105"/>
      <c r="C8437" s="106"/>
      <c r="D8437" s="107"/>
      <c r="E8437" s="65"/>
      <c r="F8437" s="64"/>
      <c r="G8437" s="64"/>
      <c r="H8437" s="64"/>
      <c r="I8437" s="70"/>
      <c r="J8437" s="70"/>
      <c r="K8437" s="110" t="str">
        <f>IF(H8437="","",IF($C$29="간이법","",FPR(H8437,I8437,J8437)))</f>
        <v/>
      </c>
      <c r="L8437" s="111" t="str">
        <f>IF(H8437="","",IF($C$29="상세법",FPV(H8437,K8437),IF(H8437="EI",4,IF(H8437="EO",5.2,IF(H8437="EQ",3.9,IF(H8437="ILF",7.5,IF(H8437="EIF",5.4)))))))</f>
        <v/>
      </c>
      <c r="M8437" s="112" t="str">
        <f t="shared" si="134"/>
        <v/>
      </c>
      <c r="N8437" s="113"/>
    </row>
    <row r="8438" spans="2:14">
      <c r="B8438" s="105"/>
      <c r="C8438" s="106"/>
      <c r="D8438" s="107"/>
      <c r="E8438" s="65"/>
      <c r="F8438" s="64"/>
      <c r="G8438" s="64"/>
      <c r="H8438" s="64"/>
      <c r="I8438" s="70"/>
      <c r="J8438" s="70"/>
      <c r="K8438" s="110" t="str">
        <f>IF(H8438="","",IF($C$29="간이법","",FPR(H8438,I8438,J8438)))</f>
        <v/>
      </c>
      <c r="L8438" s="111" t="str">
        <f>IF(H8438="","",IF($C$29="상세법",FPV(H8438,K8438),IF(H8438="EI",4,IF(H8438="EO",5.2,IF(H8438="EQ",3.9,IF(H8438="ILF",7.5,IF(H8438="EIF",5.4)))))))</f>
        <v/>
      </c>
      <c r="M8438" s="112" t="str">
        <f t="shared" si="134"/>
        <v/>
      </c>
      <c r="N8438" s="113"/>
    </row>
    <row r="8439" spans="2:14">
      <c r="B8439" s="105"/>
      <c r="C8439" s="106"/>
      <c r="D8439" s="107"/>
      <c r="E8439" s="65"/>
      <c r="F8439" s="64"/>
      <c r="G8439" s="64"/>
      <c r="H8439" s="64"/>
      <c r="I8439" s="70"/>
      <c r="J8439" s="70"/>
      <c r="K8439" s="110" t="str">
        <f>IF(H8439="","",IF($C$29="간이법","",FPR(H8439,I8439,J8439)))</f>
        <v/>
      </c>
      <c r="L8439" s="111" t="str">
        <f>IF(H8439="","",IF($C$29="상세법",FPV(H8439,K8439),IF(H8439="EI",4,IF(H8439="EO",5.2,IF(H8439="EQ",3.9,IF(H8439="ILF",7.5,IF(H8439="EIF",5.4)))))))</f>
        <v/>
      </c>
      <c r="M8439" s="112" t="str">
        <f t="shared" si="134"/>
        <v/>
      </c>
      <c r="N8439" s="113"/>
    </row>
    <row r="8440" spans="2:14">
      <c r="B8440" s="105"/>
      <c r="C8440" s="106"/>
      <c r="D8440" s="107"/>
      <c r="E8440" s="65"/>
      <c r="F8440" s="64"/>
      <c r="G8440" s="64"/>
      <c r="H8440" s="64"/>
      <c r="I8440" s="70"/>
      <c r="J8440" s="70"/>
      <c r="K8440" s="110" t="str">
        <f>IF(H8440="","",IF($C$29="간이법","",FPR(H8440,I8440,J8440)))</f>
        <v/>
      </c>
      <c r="L8440" s="111" t="str">
        <f>IF(H8440="","",IF($C$29="상세법",FPV(H8440,K8440),IF(H8440="EI",4,IF(H8440="EO",5.2,IF(H8440="EQ",3.9,IF(H8440="ILF",7.5,IF(H8440="EIF",5.4)))))))</f>
        <v/>
      </c>
      <c r="M8440" s="112" t="str">
        <f t="shared" si="134"/>
        <v/>
      </c>
      <c r="N8440" s="113"/>
    </row>
    <row r="8441" spans="2:14">
      <c r="B8441" s="105"/>
      <c r="C8441" s="106"/>
      <c r="D8441" s="107"/>
      <c r="E8441" s="65"/>
      <c r="F8441" s="64"/>
      <c r="G8441" s="64"/>
      <c r="H8441" s="64"/>
      <c r="I8441" s="70"/>
      <c r="J8441" s="70"/>
      <c r="K8441" s="110" t="str">
        <f>IF(H8441="","",IF($C$29="간이법","",FPR(H8441,I8441,J8441)))</f>
        <v/>
      </c>
      <c r="L8441" s="111" t="str">
        <f>IF(H8441="","",IF($C$29="상세법",FPV(H8441,K8441),IF(H8441="EI",4,IF(H8441="EO",5.2,IF(H8441="EQ",3.9,IF(H8441="ILF",7.5,IF(H8441="EIF",5.4)))))))</f>
        <v/>
      </c>
      <c r="M8441" s="112" t="str">
        <f t="shared" ref="M8441:M8504" si="135">IF(L8441="","",L8441*IF(G8441="상",0.7,IF(G8441="중",0.5,IF(G8441="하",0.2,1))))</f>
        <v/>
      </c>
      <c r="N8441" s="113"/>
    </row>
    <row r="8442" spans="2:14">
      <c r="B8442" s="105"/>
      <c r="C8442" s="106"/>
      <c r="D8442" s="107"/>
      <c r="E8442" s="65"/>
      <c r="F8442" s="64"/>
      <c r="G8442" s="64"/>
      <c r="H8442" s="64"/>
      <c r="I8442" s="70"/>
      <c r="J8442" s="70"/>
      <c r="K8442" s="110" t="str">
        <f>IF(H8442="","",IF($C$29="간이법","",FPR(H8442,I8442,J8442)))</f>
        <v/>
      </c>
      <c r="L8442" s="111" t="str">
        <f>IF(H8442="","",IF($C$29="상세법",FPV(H8442,K8442),IF(H8442="EI",4,IF(H8442="EO",5.2,IF(H8442="EQ",3.9,IF(H8442="ILF",7.5,IF(H8442="EIF",5.4)))))))</f>
        <v/>
      </c>
      <c r="M8442" s="112" t="str">
        <f t="shared" si="135"/>
        <v/>
      </c>
      <c r="N8442" s="113"/>
    </row>
    <row r="8443" spans="2:14">
      <c r="B8443" s="105"/>
      <c r="C8443" s="106"/>
      <c r="D8443" s="107"/>
      <c r="E8443" s="65"/>
      <c r="F8443" s="64"/>
      <c r="G8443" s="64"/>
      <c r="H8443" s="64"/>
      <c r="I8443" s="70"/>
      <c r="J8443" s="70"/>
      <c r="K8443" s="110" t="str">
        <f>IF(H8443="","",IF($C$29="간이법","",FPR(H8443,I8443,J8443)))</f>
        <v/>
      </c>
      <c r="L8443" s="111" t="str">
        <f>IF(H8443="","",IF($C$29="상세법",FPV(H8443,K8443),IF(H8443="EI",4,IF(H8443="EO",5.2,IF(H8443="EQ",3.9,IF(H8443="ILF",7.5,IF(H8443="EIF",5.4)))))))</f>
        <v/>
      </c>
      <c r="M8443" s="112" t="str">
        <f t="shared" si="135"/>
        <v/>
      </c>
      <c r="N8443" s="113"/>
    </row>
    <row r="8444" spans="2:14">
      <c r="B8444" s="105"/>
      <c r="C8444" s="106"/>
      <c r="D8444" s="107"/>
      <c r="E8444" s="65"/>
      <c r="F8444" s="64"/>
      <c r="G8444" s="64"/>
      <c r="H8444" s="64"/>
      <c r="I8444" s="70"/>
      <c r="J8444" s="70"/>
      <c r="K8444" s="110" t="str">
        <f>IF(H8444="","",IF($C$29="간이법","",FPR(H8444,I8444,J8444)))</f>
        <v/>
      </c>
      <c r="L8444" s="111" t="str">
        <f>IF(H8444="","",IF($C$29="상세법",FPV(H8444,K8444),IF(H8444="EI",4,IF(H8444="EO",5.2,IF(H8444="EQ",3.9,IF(H8444="ILF",7.5,IF(H8444="EIF",5.4)))))))</f>
        <v/>
      </c>
      <c r="M8444" s="112" t="str">
        <f t="shared" si="135"/>
        <v/>
      </c>
      <c r="N8444" s="113"/>
    </row>
    <row r="8445" spans="2:14">
      <c r="B8445" s="105"/>
      <c r="C8445" s="106"/>
      <c r="D8445" s="107"/>
      <c r="E8445" s="65"/>
      <c r="F8445" s="64"/>
      <c r="G8445" s="64"/>
      <c r="H8445" s="64"/>
      <c r="I8445" s="70"/>
      <c r="J8445" s="70"/>
      <c r="K8445" s="110" t="str">
        <f>IF(H8445="","",IF($C$29="간이법","",FPR(H8445,I8445,J8445)))</f>
        <v/>
      </c>
      <c r="L8445" s="111" t="str">
        <f>IF(H8445="","",IF($C$29="상세법",FPV(H8445,K8445),IF(H8445="EI",4,IF(H8445="EO",5.2,IF(H8445="EQ",3.9,IF(H8445="ILF",7.5,IF(H8445="EIF",5.4)))))))</f>
        <v/>
      </c>
      <c r="M8445" s="112" t="str">
        <f t="shared" si="135"/>
        <v/>
      </c>
      <c r="N8445" s="113"/>
    </row>
    <row r="8446" spans="2:14">
      <c r="B8446" s="105"/>
      <c r="C8446" s="106"/>
      <c r="D8446" s="107"/>
      <c r="E8446" s="65"/>
      <c r="F8446" s="64"/>
      <c r="G8446" s="64"/>
      <c r="H8446" s="64"/>
      <c r="I8446" s="70"/>
      <c r="J8446" s="70"/>
      <c r="K8446" s="110" t="str">
        <f>IF(H8446="","",IF($C$29="간이법","",FPR(H8446,I8446,J8446)))</f>
        <v/>
      </c>
      <c r="L8446" s="111" t="str">
        <f>IF(H8446="","",IF($C$29="상세법",FPV(H8446,K8446),IF(H8446="EI",4,IF(H8446="EO",5.2,IF(H8446="EQ",3.9,IF(H8446="ILF",7.5,IF(H8446="EIF",5.4)))))))</f>
        <v/>
      </c>
      <c r="M8446" s="112" t="str">
        <f t="shared" si="135"/>
        <v/>
      </c>
      <c r="N8446" s="113"/>
    </row>
    <row r="8447" spans="2:14">
      <c r="B8447" s="105"/>
      <c r="C8447" s="106"/>
      <c r="D8447" s="107"/>
      <c r="E8447" s="65"/>
      <c r="F8447" s="64"/>
      <c r="G8447" s="64"/>
      <c r="H8447" s="64"/>
      <c r="I8447" s="70"/>
      <c r="J8447" s="70"/>
      <c r="K8447" s="110" t="str">
        <f>IF(H8447="","",IF($C$29="간이법","",FPR(H8447,I8447,J8447)))</f>
        <v/>
      </c>
      <c r="L8447" s="111" t="str">
        <f>IF(H8447="","",IF($C$29="상세법",FPV(H8447,K8447),IF(H8447="EI",4,IF(H8447="EO",5.2,IF(H8447="EQ",3.9,IF(H8447="ILF",7.5,IF(H8447="EIF",5.4)))))))</f>
        <v/>
      </c>
      <c r="M8447" s="112" t="str">
        <f t="shared" si="135"/>
        <v/>
      </c>
      <c r="N8447" s="113"/>
    </row>
    <row r="8448" spans="2:14">
      <c r="B8448" s="105"/>
      <c r="C8448" s="106"/>
      <c r="D8448" s="107"/>
      <c r="E8448" s="65"/>
      <c r="F8448" s="64"/>
      <c r="G8448" s="64"/>
      <c r="H8448" s="64"/>
      <c r="I8448" s="70"/>
      <c r="J8448" s="70"/>
      <c r="K8448" s="110" t="str">
        <f>IF(H8448="","",IF($C$29="간이법","",FPR(H8448,I8448,J8448)))</f>
        <v/>
      </c>
      <c r="L8448" s="111" t="str">
        <f>IF(H8448="","",IF($C$29="상세법",FPV(H8448,K8448),IF(H8448="EI",4,IF(H8448="EO",5.2,IF(H8448="EQ",3.9,IF(H8448="ILF",7.5,IF(H8448="EIF",5.4)))))))</f>
        <v/>
      </c>
      <c r="M8448" s="112" t="str">
        <f t="shared" si="135"/>
        <v/>
      </c>
      <c r="N8448" s="113"/>
    </row>
    <row r="8449" spans="2:14">
      <c r="B8449" s="105"/>
      <c r="C8449" s="106"/>
      <c r="D8449" s="107"/>
      <c r="E8449" s="65"/>
      <c r="F8449" s="64"/>
      <c r="G8449" s="64"/>
      <c r="H8449" s="64"/>
      <c r="I8449" s="70"/>
      <c r="J8449" s="70"/>
      <c r="K8449" s="110" t="str">
        <f>IF(H8449="","",IF($C$29="간이법","",FPR(H8449,I8449,J8449)))</f>
        <v/>
      </c>
      <c r="L8449" s="111" t="str">
        <f>IF(H8449="","",IF($C$29="상세법",FPV(H8449,K8449),IF(H8449="EI",4,IF(H8449="EO",5.2,IF(H8449="EQ",3.9,IF(H8449="ILF",7.5,IF(H8449="EIF",5.4)))))))</f>
        <v/>
      </c>
      <c r="M8449" s="112" t="str">
        <f t="shared" si="135"/>
        <v/>
      </c>
      <c r="N8449" s="113"/>
    </row>
    <row r="8450" spans="2:14">
      <c r="B8450" s="105"/>
      <c r="C8450" s="106"/>
      <c r="D8450" s="107"/>
      <c r="E8450" s="65"/>
      <c r="F8450" s="64"/>
      <c r="G8450" s="64"/>
      <c r="H8450" s="64"/>
      <c r="I8450" s="70"/>
      <c r="J8450" s="70"/>
      <c r="K8450" s="110" t="str">
        <f>IF(H8450="","",IF($C$29="간이법","",FPR(H8450,I8450,J8450)))</f>
        <v/>
      </c>
      <c r="L8450" s="111" t="str">
        <f>IF(H8450="","",IF($C$29="상세법",FPV(H8450,K8450),IF(H8450="EI",4,IF(H8450="EO",5.2,IF(H8450="EQ",3.9,IF(H8450="ILF",7.5,IF(H8450="EIF",5.4)))))))</f>
        <v/>
      </c>
      <c r="M8450" s="112" t="str">
        <f t="shared" si="135"/>
        <v/>
      </c>
      <c r="N8450" s="113"/>
    </row>
    <row r="8451" spans="2:14">
      <c r="B8451" s="105"/>
      <c r="C8451" s="106"/>
      <c r="D8451" s="107"/>
      <c r="E8451" s="65"/>
      <c r="F8451" s="64"/>
      <c r="G8451" s="64"/>
      <c r="H8451" s="64"/>
      <c r="I8451" s="70"/>
      <c r="J8451" s="70"/>
      <c r="K8451" s="110" t="str">
        <f>IF(H8451="","",IF($C$29="간이법","",FPR(H8451,I8451,J8451)))</f>
        <v/>
      </c>
      <c r="L8451" s="111" t="str">
        <f>IF(H8451="","",IF($C$29="상세법",FPV(H8451,K8451),IF(H8451="EI",4,IF(H8451="EO",5.2,IF(H8451="EQ",3.9,IF(H8451="ILF",7.5,IF(H8451="EIF",5.4)))))))</f>
        <v/>
      </c>
      <c r="M8451" s="112" t="str">
        <f t="shared" si="135"/>
        <v/>
      </c>
      <c r="N8451" s="113"/>
    </row>
    <row r="8452" spans="2:14">
      <c r="B8452" s="105"/>
      <c r="C8452" s="106"/>
      <c r="D8452" s="107"/>
      <c r="E8452" s="65"/>
      <c r="F8452" s="64"/>
      <c r="G8452" s="64"/>
      <c r="H8452" s="64"/>
      <c r="I8452" s="70"/>
      <c r="J8452" s="70"/>
      <c r="K8452" s="110" t="str">
        <f>IF(H8452="","",IF($C$29="간이법","",FPR(H8452,I8452,J8452)))</f>
        <v/>
      </c>
      <c r="L8452" s="111" t="str">
        <f>IF(H8452="","",IF($C$29="상세법",FPV(H8452,K8452),IF(H8452="EI",4,IF(H8452="EO",5.2,IF(H8452="EQ",3.9,IF(H8452="ILF",7.5,IF(H8452="EIF",5.4)))))))</f>
        <v/>
      </c>
      <c r="M8452" s="112" t="str">
        <f t="shared" si="135"/>
        <v/>
      </c>
      <c r="N8452" s="113"/>
    </row>
    <row r="8453" spans="2:14">
      <c r="B8453" s="105"/>
      <c r="C8453" s="106"/>
      <c r="D8453" s="107"/>
      <c r="E8453" s="65"/>
      <c r="F8453" s="64"/>
      <c r="G8453" s="64"/>
      <c r="H8453" s="64"/>
      <c r="I8453" s="70"/>
      <c r="J8453" s="70"/>
      <c r="K8453" s="110" t="str">
        <f>IF(H8453="","",IF($C$29="간이법","",FPR(H8453,I8453,J8453)))</f>
        <v/>
      </c>
      <c r="L8453" s="111" t="str">
        <f>IF(H8453="","",IF($C$29="상세법",FPV(H8453,K8453),IF(H8453="EI",4,IF(H8453="EO",5.2,IF(H8453="EQ",3.9,IF(H8453="ILF",7.5,IF(H8453="EIF",5.4)))))))</f>
        <v/>
      </c>
      <c r="M8453" s="112" t="str">
        <f t="shared" si="135"/>
        <v/>
      </c>
      <c r="N8453" s="113"/>
    </row>
    <row r="8454" spans="2:14">
      <c r="B8454" s="105"/>
      <c r="C8454" s="106"/>
      <c r="D8454" s="107"/>
      <c r="E8454" s="65"/>
      <c r="F8454" s="64"/>
      <c r="G8454" s="64"/>
      <c r="H8454" s="64"/>
      <c r="I8454" s="70"/>
      <c r="J8454" s="70"/>
      <c r="K8454" s="110" t="str">
        <f>IF(H8454="","",IF($C$29="간이법","",FPR(H8454,I8454,J8454)))</f>
        <v/>
      </c>
      <c r="L8454" s="111" t="str">
        <f>IF(H8454="","",IF($C$29="상세법",FPV(H8454,K8454),IF(H8454="EI",4,IF(H8454="EO",5.2,IF(H8454="EQ",3.9,IF(H8454="ILF",7.5,IF(H8454="EIF",5.4)))))))</f>
        <v/>
      </c>
      <c r="M8454" s="112" t="str">
        <f t="shared" si="135"/>
        <v/>
      </c>
      <c r="N8454" s="113"/>
    </row>
    <row r="8455" spans="2:14">
      <c r="B8455" s="105"/>
      <c r="C8455" s="106"/>
      <c r="D8455" s="107"/>
      <c r="E8455" s="65"/>
      <c r="F8455" s="64"/>
      <c r="G8455" s="64"/>
      <c r="H8455" s="64"/>
      <c r="I8455" s="70"/>
      <c r="J8455" s="70"/>
      <c r="K8455" s="110" t="str">
        <f>IF(H8455="","",IF($C$29="간이법","",FPR(H8455,I8455,J8455)))</f>
        <v/>
      </c>
      <c r="L8455" s="111" t="str">
        <f>IF(H8455="","",IF($C$29="상세법",FPV(H8455,K8455),IF(H8455="EI",4,IF(H8455="EO",5.2,IF(H8455="EQ",3.9,IF(H8455="ILF",7.5,IF(H8455="EIF",5.4)))))))</f>
        <v/>
      </c>
      <c r="M8455" s="112" t="str">
        <f t="shared" si="135"/>
        <v/>
      </c>
      <c r="N8455" s="113"/>
    </row>
    <row r="8456" spans="2:14">
      <c r="B8456" s="105"/>
      <c r="C8456" s="106"/>
      <c r="D8456" s="107"/>
      <c r="E8456" s="65"/>
      <c r="F8456" s="64"/>
      <c r="G8456" s="64"/>
      <c r="H8456" s="64"/>
      <c r="I8456" s="70"/>
      <c r="J8456" s="70"/>
      <c r="K8456" s="110" t="str">
        <f>IF(H8456="","",IF($C$29="간이법","",FPR(H8456,I8456,J8456)))</f>
        <v/>
      </c>
      <c r="L8456" s="111" t="str">
        <f>IF(H8456="","",IF($C$29="상세법",FPV(H8456,K8456),IF(H8456="EI",4,IF(H8456="EO",5.2,IF(H8456="EQ",3.9,IF(H8456="ILF",7.5,IF(H8456="EIF",5.4)))))))</f>
        <v/>
      </c>
      <c r="M8456" s="112" t="str">
        <f t="shared" si="135"/>
        <v/>
      </c>
      <c r="N8456" s="113"/>
    </row>
    <row r="8457" spans="2:14">
      <c r="B8457" s="105"/>
      <c r="C8457" s="106"/>
      <c r="D8457" s="107"/>
      <c r="E8457" s="65"/>
      <c r="F8457" s="64"/>
      <c r="G8457" s="64"/>
      <c r="H8457" s="64"/>
      <c r="I8457" s="70"/>
      <c r="J8457" s="70"/>
      <c r="K8457" s="110" t="str">
        <f>IF(H8457="","",IF($C$29="간이법","",FPR(H8457,I8457,J8457)))</f>
        <v/>
      </c>
      <c r="L8457" s="111" t="str">
        <f>IF(H8457="","",IF($C$29="상세법",FPV(H8457,K8457),IF(H8457="EI",4,IF(H8457="EO",5.2,IF(H8457="EQ",3.9,IF(H8457="ILF",7.5,IF(H8457="EIF",5.4)))))))</f>
        <v/>
      </c>
      <c r="M8457" s="112" t="str">
        <f t="shared" si="135"/>
        <v/>
      </c>
      <c r="N8457" s="113"/>
    </row>
    <row r="8458" spans="2:14">
      <c r="B8458" s="105"/>
      <c r="C8458" s="106"/>
      <c r="D8458" s="107"/>
      <c r="E8458" s="65"/>
      <c r="F8458" s="64"/>
      <c r="G8458" s="64"/>
      <c r="H8458" s="64"/>
      <c r="I8458" s="70"/>
      <c r="J8458" s="70"/>
      <c r="K8458" s="110" t="str">
        <f>IF(H8458="","",IF($C$29="간이법","",FPR(H8458,I8458,J8458)))</f>
        <v/>
      </c>
      <c r="L8458" s="111" t="str">
        <f>IF(H8458="","",IF($C$29="상세법",FPV(H8458,K8458),IF(H8458="EI",4,IF(H8458="EO",5.2,IF(H8458="EQ",3.9,IF(H8458="ILF",7.5,IF(H8458="EIF",5.4)))))))</f>
        <v/>
      </c>
      <c r="M8458" s="112" t="str">
        <f t="shared" si="135"/>
        <v/>
      </c>
      <c r="N8458" s="113"/>
    </row>
    <row r="8459" spans="2:14">
      <c r="B8459" s="105"/>
      <c r="C8459" s="106"/>
      <c r="D8459" s="107"/>
      <c r="E8459" s="65"/>
      <c r="F8459" s="64"/>
      <c r="G8459" s="64"/>
      <c r="H8459" s="64"/>
      <c r="I8459" s="70"/>
      <c r="J8459" s="70"/>
      <c r="K8459" s="110" t="str">
        <f>IF(H8459="","",IF($C$29="간이법","",FPR(H8459,I8459,J8459)))</f>
        <v/>
      </c>
      <c r="L8459" s="111" t="str">
        <f>IF(H8459="","",IF($C$29="상세법",FPV(H8459,K8459),IF(H8459="EI",4,IF(H8459="EO",5.2,IF(H8459="EQ",3.9,IF(H8459="ILF",7.5,IF(H8459="EIF",5.4)))))))</f>
        <v/>
      </c>
      <c r="M8459" s="112" t="str">
        <f t="shared" si="135"/>
        <v/>
      </c>
      <c r="N8459" s="113"/>
    </row>
    <row r="8460" spans="2:14">
      <c r="B8460" s="105"/>
      <c r="C8460" s="106"/>
      <c r="D8460" s="107"/>
      <c r="E8460" s="65"/>
      <c r="F8460" s="64"/>
      <c r="G8460" s="64"/>
      <c r="H8460" s="64"/>
      <c r="I8460" s="70"/>
      <c r="J8460" s="70"/>
      <c r="K8460" s="110" t="str">
        <f>IF(H8460="","",IF($C$29="간이법","",FPR(H8460,I8460,J8460)))</f>
        <v/>
      </c>
      <c r="L8460" s="111" t="str">
        <f>IF(H8460="","",IF($C$29="상세법",FPV(H8460,K8460),IF(H8460="EI",4,IF(H8460="EO",5.2,IF(H8460="EQ",3.9,IF(H8460="ILF",7.5,IF(H8460="EIF",5.4)))))))</f>
        <v/>
      </c>
      <c r="M8460" s="112" t="str">
        <f t="shared" si="135"/>
        <v/>
      </c>
      <c r="N8460" s="113"/>
    </row>
    <row r="8461" spans="2:14">
      <c r="B8461" s="105"/>
      <c r="C8461" s="106"/>
      <c r="D8461" s="107"/>
      <c r="E8461" s="65"/>
      <c r="F8461" s="64"/>
      <c r="G8461" s="64"/>
      <c r="H8461" s="64"/>
      <c r="I8461" s="70"/>
      <c r="J8461" s="70"/>
      <c r="K8461" s="110" t="str">
        <f>IF(H8461="","",IF($C$29="간이법","",FPR(H8461,I8461,J8461)))</f>
        <v/>
      </c>
      <c r="L8461" s="111" t="str">
        <f>IF(H8461="","",IF($C$29="상세법",FPV(H8461,K8461),IF(H8461="EI",4,IF(H8461="EO",5.2,IF(H8461="EQ",3.9,IF(H8461="ILF",7.5,IF(H8461="EIF",5.4)))))))</f>
        <v/>
      </c>
      <c r="M8461" s="112" t="str">
        <f t="shared" si="135"/>
        <v/>
      </c>
      <c r="N8461" s="113"/>
    </row>
    <row r="8462" spans="2:14">
      <c r="B8462" s="105"/>
      <c r="C8462" s="106"/>
      <c r="D8462" s="107"/>
      <c r="E8462" s="65"/>
      <c r="F8462" s="64"/>
      <c r="G8462" s="64"/>
      <c r="H8462" s="64"/>
      <c r="I8462" s="70"/>
      <c r="J8462" s="70"/>
      <c r="K8462" s="110" t="str">
        <f>IF(H8462="","",IF($C$29="간이법","",FPR(H8462,I8462,J8462)))</f>
        <v/>
      </c>
      <c r="L8462" s="111" t="str">
        <f>IF(H8462="","",IF($C$29="상세법",FPV(H8462,K8462),IF(H8462="EI",4,IF(H8462="EO",5.2,IF(H8462="EQ",3.9,IF(H8462="ILF",7.5,IF(H8462="EIF",5.4)))))))</f>
        <v/>
      </c>
      <c r="M8462" s="112" t="str">
        <f t="shared" si="135"/>
        <v/>
      </c>
      <c r="N8462" s="113"/>
    </row>
    <row r="8463" spans="2:14">
      <c r="B8463" s="105"/>
      <c r="C8463" s="106"/>
      <c r="D8463" s="107"/>
      <c r="E8463" s="65"/>
      <c r="F8463" s="64"/>
      <c r="G8463" s="64"/>
      <c r="H8463" s="64"/>
      <c r="I8463" s="70"/>
      <c r="J8463" s="70"/>
      <c r="K8463" s="110" t="str">
        <f>IF(H8463="","",IF($C$29="간이법","",FPR(H8463,I8463,J8463)))</f>
        <v/>
      </c>
      <c r="L8463" s="111" t="str">
        <f>IF(H8463="","",IF($C$29="상세법",FPV(H8463,K8463),IF(H8463="EI",4,IF(H8463="EO",5.2,IF(H8463="EQ",3.9,IF(H8463="ILF",7.5,IF(H8463="EIF",5.4)))))))</f>
        <v/>
      </c>
      <c r="M8463" s="112" t="str">
        <f t="shared" si="135"/>
        <v/>
      </c>
      <c r="N8463" s="113"/>
    </row>
    <row r="8464" spans="2:14">
      <c r="B8464" s="105"/>
      <c r="C8464" s="106"/>
      <c r="D8464" s="107"/>
      <c r="E8464" s="65"/>
      <c r="F8464" s="64"/>
      <c r="G8464" s="64"/>
      <c r="H8464" s="64"/>
      <c r="I8464" s="70"/>
      <c r="J8464" s="70"/>
      <c r="K8464" s="110" t="str">
        <f>IF(H8464="","",IF($C$29="간이법","",FPR(H8464,I8464,J8464)))</f>
        <v/>
      </c>
      <c r="L8464" s="111" t="str">
        <f>IF(H8464="","",IF($C$29="상세법",FPV(H8464,K8464),IF(H8464="EI",4,IF(H8464="EO",5.2,IF(H8464="EQ",3.9,IF(H8464="ILF",7.5,IF(H8464="EIF",5.4)))))))</f>
        <v/>
      </c>
      <c r="M8464" s="112" t="str">
        <f t="shared" si="135"/>
        <v/>
      </c>
      <c r="N8464" s="113"/>
    </row>
    <row r="8465" spans="2:14">
      <c r="B8465" s="105"/>
      <c r="C8465" s="106"/>
      <c r="D8465" s="107"/>
      <c r="E8465" s="65"/>
      <c r="F8465" s="64"/>
      <c r="G8465" s="64"/>
      <c r="H8465" s="64"/>
      <c r="I8465" s="70"/>
      <c r="J8465" s="70"/>
      <c r="K8465" s="110" t="str">
        <f>IF(H8465="","",IF($C$29="간이법","",FPR(H8465,I8465,J8465)))</f>
        <v/>
      </c>
      <c r="L8465" s="111" t="str">
        <f>IF(H8465="","",IF($C$29="상세법",FPV(H8465,K8465),IF(H8465="EI",4,IF(H8465="EO",5.2,IF(H8465="EQ",3.9,IF(H8465="ILF",7.5,IF(H8465="EIF",5.4)))))))</f>
        <v/>
      </c>
      <c r="M8465" s="112" t="str">
        <f t="shared" si="135"/>
        <v/>
      </c>
      <c r="N8465" s="113"/>
    </row>
    <row r="8466" spans="2:14">
      <c r="B8466" s="105"/>
      <c r="C8466" s="106"/>
      <c r="D8466" s="107"/>
      <c r="E8466" s="65"/>
      <c r="F8466" s="64"/>
      <c r="G8466" s="64"/>
      <c r="H8466" s="64"/>
      <c r="I8466" s="70"/>
      <c r="J8466" s="70"/>
      <c r="K8466" s="110" t="str">
        <f>IF(H8466="","",IF($C$29="간이법","",FPR(H8466,I8466,J8466)))</f>
        <v/>
      </c>
      <c r="L8466" s="111" t="str">
        <f>IF(H8466="","",IF($C$29="상세법",FPV(H8466,K8466),IF(H8466="EI",4,IF(H8466="EO",5.2,IF(H8466="EQ",3.9,IF(H8466="ILF",7.5,IF(H8466="EIF",5.4)))))))</f>
        <v/>
      </c>
      <c r="M8466" s="112" t="str">
        <f t="shared" si="135"/>
        <v/>
      </c>
      <c r="N8466" s="113"/>
    </row>
    <row r="8467" spans="2:14">
      <c r="B8467" s="105"/>
      <c r="C8467" s="106"/>
      <c r="D8467" s="107"/>
      <c r="E8467" s="65"/>
      <c r="F8467" s="64"/>
      <c r="G8467" s="64"/>
      <c r="H8467" s="64"/>
      <c r="I8467" s="70"/>
      <c r="J8467" s="70"/>
      <c r="K8467" s="110" t="str">
        <f>IF(H8467="","",IF($C$29="간이법","",FPR(H8467,I8467,J8467)))</f>
        <v/>
      </c>
      <c r="L8467" s="111" t="str">
        <f>IF(H8467="","",IF($C$29="상세법",FPV(H8467,K8467),IF(H8467="EI",4,IF(H8467="EO",5.2,IF(H8467="EQ",3.9,IF(H8467="ILF",7.5,IF(H8467="EIF",5.4)))))))</f>
        <v/>
      </c>
      <c r="M8467" s="112" t="str">
        <f t="shared" si="135"/>
        <v/>
      </c>
      <c r="N8467" s="113"/>
    </row>
    <row r="8468" spans="2:14">
      <c r="B8468" s="105"/>
      <c r="C8468" s="106"/>
      <c r="D8468" s="107"/>
      <c r="E8468" s="65"/>
      <c r="F8468" s="64"/>
      <c r="G8468" s="64"/>
      <c r="H8468" s="64"/>
      <c r="I8468" s="70"/>
      <c r="J8468" s="70"/>
      <c r="K8468" s="110" t="str">
        <f>IF(H8468="","",IF($C$29="간이법","",FPR(H8468,I8468,J8468)))</f>
        <v/>
      </c>
      <c r="L8468" s="111" t="str">
        <f>IF(H8468="","",IF($C$29="상세법",FPV(H8468,K8468),IF(H8468="EI",4,IF(H8468="EO",5.2,IF(H8468="EQ",3.9,IF(H8468="ILF",7.5,IF(H8468="EIF",5.4)))))))</f>
        <v/>
      </c>
      <c r="M8468" s="112" t="str">
        <f t="shared" si="135"/>
        <v/>
      </c>
      <c r="N8468" s="113"/>
    </row>
    <row r="8469" spans="2:14">
      <c r="B8469" s="105"/>
      <c r="C8469" s="106"/>
      <c r="D8469" s="107"/>
      <c r="E8469" s="65"/>
      <c r="F8469" s="64"/>
      <c r="G8469" s="64"/>
      <c r="H8469" s="64"/>
      <c r="I8469" s="70"/>
      <c r="J8469" s="70"/>
      <c r="K8469" s="110" t="str">
        <f>IF(H8469="","",IF($C$29="간이법","",FPR(H8469,I8469,J8469)))</f>
        <v/>
      </c>
      <c r="L8469" s="111" t="str">
        <f>IF(H8469="","",IF($C$29="상세법",FPV(H8469,K8469),IF(H8469="EI",4,IF(H8469="EO",5.2,IF(H8469="EQ",3.9,IF(H8469="ILF",7.5,IF(H8469="EIF",5.4)))))))</f>
        <v/>
      </c>
      <c r="M8469" s="112" t="str">
        <f t="shared" si="135"/>
        <v/>
      </c>
      <c r="N8469" s="113"/>
    </row>
    <row r="8470" spans="2:14">
      <c r="B8470" s="105"/>
      <c r="C8470" s="106"/>
      <c r="D8470" s="107"/>
      <c r="E8470" s="65"/>
      <c r="F8470" s="64"/>
      <c r="G8470" s="64"/>
      <c r="H8470" s="64"/>
      <c r="I8470" s="70"/>
      <c r="J8470" s="70"/>
      <c r="K8470" s="110" t="str">
        <f>IF(H8470="","",IF($C$29="간이법","",FPR(H8470,I8470,J8470)))</f>
        <v/>
      </c>
      <c r="L8470" s="111" t="str">
        <f>IF(H8470="","",IF($C$29="상세법",FPV(H8470,K8470),IF(H8470="EI",4,IF(H8470="EO",5.2,IF(H8470="EQ",3.9,IF(H8470="ILF",7.5,IF(H8470="EIF",5.4)))))))</f>
        <v/>
      </c>
      <c r="M8470" s="112" t="str">
        <f t="shared" si="135"/>
        <v/>
      </c>
      <c r="N8470" s="113"/>
    </row>
    <row r="8471" spans="2:14">
      <c r="B8471" s="105"/>
      <c r="C8471" s="106"/>
      <c r="D8471" s="107"/>
      <c r="E8471" s="65"/>
      <c r="F8471" s="64"/>
      <c r="G8471" s="64"/>
      <c r="H8471" s="64"/>
      <c r="I8471" s="70"/>
      <c r="J8471" s="70"/>
      <c r="K8471" s="110" t="str">
        <f>IF(H8471="","",IF($C$29="간이법","",FPR(H8471,I8471,J8471)))</f>
        <v/>
      </c>
      <c r="L8471" s="111" t="str">
        <f>IF(H8471="","",IF($C$29="상세법",FPV(H8471,K8471),IF(H8471="EI",4,IF(H8471="EO",5.2,IF(H8471="EQ",3.9,IF(H8471="ILF",7.5,IF(H8471="EIF",5.4)))))))</f>
        <v/>
      </c>
      <c r="M8471" s="112" t="str">
        <f t="shared" si="135"/>
        <v/>
      </c>
      <c r="N8471" s="113"/>
    </row>
    <row r="8472" spans="2:14">
      <c r="B8472" s="105"/>
      <c r="C8472" s="106"/>
      <c r="D8472" s="107"/>
      <c r="E8472" s="65"/>
      <c r="F8472" s="64"/>
      <c r="G8472" s="64"/>
      <c r="H8472" s="64"/>
      <c r="I8472" s="70"/>
      <c r="J8472" s="70"/>
      <c r="K8472" s="110" t="str">
        <f>IF(H8472="","",IF($C$29="간이법","",FPR(H8472,I8472,J8472)))</f>
        <v/>
      </c>
      <c r="L8472" s="111" t="str">
        <f>IF(H8472="","",IF($C$29="상세법",FPV(H8472,K8472),IF(H8472="EI",4,IF(H8472="EO",5.2,IF(H8472="EQ",3.9,IF(H8472="ILF",7.5,IF(H8472="EIF",5.4)))))))</f>
        <v/>
      </c>
      <c r="M8472" s="112" t="str">
        <f t="shared" si="135"/>
        <v/>
      </c>
      <c r="N8472" s="113"/>
    </row>
    <row r="8473" spans="2:14">
      <c r="B8473" s="105"/>
      <c r="C8473" s="106"/>
      <c r="D8473" s="107"/>
      <c r="E8473" s="65"/>
      <c r="F8473" s="64"/>
      <c r="G8473" s="64"/>
      <c r="H8473" s="64"/>
      <c r="I8473" s="70"/>
      <c r="J8473" s="70"/>
      <c r="K8473" s="110" t="str">
        <f>IF(H8473="","",IF($C$29="간이법","",FPR(H8473,I8473,J8473)))</f>
        <v/>
      </c>
      <c r="L8473" s="111" t="str">
        <f>IF(H8473="","",IF($C$29="상세법",FPV(H8473,K8473),IF(H8473="EI",4,IF(H8473="EO",5.2,IF(H8473="EQ",3.9,IF(H8473="ILF",7.5,IF(H8473="EIF",5.4)))))))</f>
        <v/>
      </c>
      <c r="M8473" s="112" t="str">
        <f t="shared" si="135"/>
        <v/>
      </c>
      <c r="N8473" s="113"/>
    </row>
    <row r="8474" spans="2:14">
      <c r="B8474" s="105"/>
      <c r="C8474" s="106"/>
      <c r="D8474" s="107"/>
      <c r="E8474" s="65"/>
      <c r="F8474" s="64"/>
      <c r="G8474" s="64"/>
      <c r="H8474" s="64"/>
      <c r="I8474" s="70"/>
      <c r="J8474" s="70"/>
      <c r="K8474" s="110" t="str">
        <f>IF(H8474="","",IF($C$29="간이법","",FPR(H8474,I8474,J8474)))</f>
        <v/>
      </c>
      <c r="L8474" s="111" t="str">
        <f>IF(H8474="","",IF($C$29="상세법",FPV(H8474,K8474),IF(H8474="EI",4,IF(H8474="EO",5.2,IF(H8474="EQ",3.9,IF(H8474="ILF",7.5,IF(H8474="EIF",5.4)))))))</f>
        <v/>
      </c>
      <c r="M8474" s="112" t="str">
        <f t="shared" si="135"/>
        <v/>
      </c>
      <c r="N8474" s="113"/>
    </row>
    <row r="8475" spans="2:14">
      <c r="B8475" s="105"/>
      <c r="C8475" s="106"/>
      <c r="D8475" s="107"/>
      <c r="E8475" s="65"/>
      <c r="F8475" s="64"/>
      <c r="G8475" s="64"/>
      <c r="H8475" s="64"/>
      <c r="I8475" s="70"/>
      <c r="J8475" s="70"/>
      <c r="K8475" s="110" t="str">
        <f>IF(H8475="","",IF($C$29="간이법","",FPR(H8475,I8475,J8475)))</f>
        <v/>
      </c>
      <c r="L8475" s="111" t="str">
        <f>IF(H8475="","",IF($C$29="상세법",FPV(H8475,K8475),IF(H8475="EI",4,IF(H8475="EO",5.2,IF(H8475="EQ",3.9,IF(H8475="ILF",7.5,IF(H8475="EIF",5.4)))))))</f>
        <v/>
      </c>
      <c r="M8475" s="112" t="str">
        <f t="shared" si="135"/>
        <v/>
      </c>
      <c r="N8475" s="113"/>
    </row>
    <row r="8476" spans="2:14">
      <c r="B8476" s="105"/>
      <c r="C8476" s="106"/>
      <c r="D8476" s="107"/>
      <c r="E8476" s="65"/>
      <c r="F8476" s="64"/>
      <c r="G8476" s="64"/>
      <c r="H8476" s="64"/>
      <c r="I8476" s="70"/>
      <c r="J8476" s="70"/>
      <c r="K8476" s="110" t="str">
        <f>IF(H8476="","",IF($C$29="간이법","",FPR(H8476,I8476,J8476)))</f>
        <v/>
      </c>
      <c r="L8476" s="111" t="str">
        <f>IF(H8476="","",IF($C$29="상세법",FPV(H8476,K8476),IF(H8476="EI",4,IF(H8476="EO",5.2,IF(H8476="EQ",3.9,IF(H8476="ILF",7.5,IF(H8476="EIF",5.4)))))))</f>
        <v/>
      </c>
      <c r="M8476" s="112" t="str">
        <f t="shared" si="135"/>
        <v/>
      </c>
      <c r="N8476" s="113"/>
    </row>
    <row r="8477" spans="2:14">
      <c r="B8477" s="105"/>
      <c r="C8477" s="106"/>
      <c r="D8477" s="107"/>
      <c r="E8477" s="65"/>
      <c r="F8477" s="64"/>
      <c r="G8477" s="64"/>
      <c r="H8477" s="64"/>
      <c r="I8477" s="70"/>
      <c r="J8477" s="70"/>
      <c r="K8477" s="110" t="str">
        <f>IF(H8477="","",IF($C$29="간이법","",FPR(H8477,I8477,J8477)))</f>
        <v/>
      </c>
      <c r="L8477" s="111" t="str">
        <f>IF(H8477="","",IF($C$29="상세법",FPV(H8477,K8477),IF(H8477="EI",4,IF(H8477="EO",5.2,IF(H8477="EQ",3.9,IF(H8477="ILF",7.5,IF(H8477="EIF",5.4)))))))</f>
        <v/>
      </c>
      <c r="M8477" s="112" t="str">
        <f t="shared" si="135"/>
        <v/>
      </c>
      <c r="N8477" s="113"/>
    </row>
    <row r="8478" spans="2:14">
      <c r="B8478" s="105"/>
      <c r="C8478" s="106"/>
      <c r="D8478" s="107"/>
      <c r="E8478" s="65"/>
      <c r="F8478" s="64"/>
      <c r="G8478" s="64"/>
      <c r="H8478" s="64"/>
      <c r="I8478" s="70"/>
      <c r="J8478" s="70"/>
      <c r="K8478" s="110" t="str">
        <f>IF(H8478="","",IF($C$29="간이법","",FPR(H8478,I8478,J8478)))</f>
        <v/>
      </c>
      <c r="L8478" s="111" t="str">
        <f>IF(H8478="","",IF($C$29="상세법",FPV(H8478,K8478),IF(H8478="EI",4,IF(H8478="EO",5.2,IF(H8478="EQ",3.9,IF(H8478="ILF",7.5,IF(H8478="EIF",5.4)))))))</f>
        <v/>
      </c>
      <c r="M8478" s="112" t="str">
        <f t="shared" si="135"/>
        <v/>
      </c>
      <c r="N8478" s="113"/>
    </row>
    <row r="8479" spans="2:14">
      <c r="B8479" s="105"/>
      <c r="C8479" s="106"/>
      <c r="D8479" s="107"/>
      <c r="E8479" s="65"/>
      <c r="F8479" s="64"/>
      <c r="G8479" s="64"/>
      <c r="H8479" s="64"/>
      <c r="I8479" s="70"/>
      <c r="J8479" s="70"/>
      <c r="K8479" s="110" t="str">
        <f>IF(H8479="","",IF($C$29="간이법","",FPR(H8479,I8479,J8479)))</f>
        <v/>
      </c>
      <c r="L8479" s="111" t="str">
        <f>IF(H8479="","",IF($C$29="상세법",FPV(H8479,K8479),IF(H8479="EI",4,IF(H8479="EO",5.2,IF(H8479="EQ",3.9,IF(H8479="ILF",7.5,IF(H8479="EIF",5.4)))))))</f>
        <v/>
      </c>
      <c r="M8479" s="112" t="str">
        <f t="shared" si="135"/>
        <v/>
      </c>
      <c r="N8479" s="113"/>
    </row>
    <row r="8480" spans="2:14">
      <c r="B8480" s="105"/>
      <c r="C8480" s="106"/>
      <c r="D8480" s="107"/>
      <c r="E8480" s="65"/>
      <c r="F8480" s="64"/>
      <c r="G8480" s="64"/>
      <c r="H8480" s="64"/>
      <c r="I8480" s="70"/>
      <c r="J8480" s="70"/>
      <c r="K8480" s="110" t="str">
        <f>IF(H8480="","",IF($C$29="간이법","",FPR(H8480,I8480,J8480)))</f>
        <v/>
      </c>
      <c r="L8480" s="111" t="str">
        <f>IF(H8480="","",IF($C$29="상세법",FPV(H8480,K8480),IF(H8480="EI",4,IF(H8480="EO",5.2,IF(H8480="EQ",3.9,IF(H8480="ILF",7.5,IF(H8480="EIF",5.4)))))))</f>
        <v/>
      </c>
      <c r="M8480" s="112" t="str">
        <f t="shared" si="135"/>
        <v/>
      </c>
      <c r="N8480" s="113"/>
    </row>
    <row r="8481" spans="2:14">
      <c r="B8481" s="105"/>
      <c r="C8481" s="106"/>
      <c r="D8481" s="107"/>
      <c r="E8481" s="65"/>
      <c r="F8481" s="64"/>
      <c r="G8481" s="64"/>
      <c r="H8481" s="64"/>
      <c r="I8481" s="70"/>
      <c r="J8481" s="70"/>
      <c r="K8481" s="110" t="str">
        <f>IF(H8481="","",IF($C$29="간이법","",FPR(H8481,I8481,J8481)))</f>
        <v/>
      </c>
      <c r="L8481" s="111" t="str">
        <f>IF(H8481="","",IF($C$29="상세법",FPV(H8481,K8481),IF(H8481="EI",4,IF(H8481="EO",5.2,IF(H8481="EQ",3.9,IF(H8481="ILF",7.5,IF(H8481="EIF",5.4)))))))</f>
        <v/>
      </c>
      <c r="M8481" s="112" t="str">
        <f t="shared" si="135"/>
        <v/>
      </c>
      <c r="N8481" s="113"/>
    </row>
    <row r="8482" spans="2:14">
      <c r="B8482" s="105"/>
      <c r="C8482" s="106"/>
      <c r="D8482" s="107"/>
      <c r="E8482" s="65"/>
      <c r="F8482" s="64"/>
      <c r="G8482" s="64"/>
      <c r="H8482" s="64"/>
      <c r="I8482" s="70"/>
      <c r="J8482" s="70"/>
      <c r="K8482" s="110" t="str">
        <f>IF(H8482="","",IF($C$29="간이법","",FPR(H8482,I8482,J8482)))</f>
        <v/>
      </c>
      <c r="L8482" s="111" t="str">
        <f>IF(H8482="","",IF($C$29="상세법",FPV(H8482,K8482),IF(H8482="EI",4,IF(H8482="EO",5.2,IF(H8482="EQ",3.9,IF(H8482="ILF",7.5,IF(H8482="EIF",5.4)))))))</f>
        <v/>
      </c>
      <c r="M8482" s="112" t="str">
        <f t="shared" si="135"/>
        <v/>
      </c>
      <c r="N8482" s="113"/>
    </row>
    <row r="8483" spans="2:14">
      <c r="B8483" s="105"/>
      <c r="C8483" s="106"/>
      <c r="D8483" s="107"/>
      <c r="E8483" s="65"/>
      <c r="F8483" s="64"/>
      <c r="G8483" s="64"/>
      <c r="H8483" s="64"/>
      <c r="I8483" s="70"/>
      <c r="J8483" s="70"/>
      <c r="K8483" s="110" t="str">
        <f>IF(H8483="","",IF($C$29="간이법","",FPR(H8483,I8483,J8483)))</f>
        <v/>
      </c>
      <c r="L8483" s="111" t="str">
        <f>IF(H8483="","",IF($C$29="상세법",FPV(H8483,K8483),IF(H8483="EI",4,IF(H8483="EO",5.2,IF(H8483="EQ",3.9,IF(H8483="ILF",7.5,IF(H8483="EIF",5.4)))))))</f>
        <v/>
      </c>
      <c r="M8483" s="112" t="str">
        <f t="shared" si="135"/>
        <v/>
      </c>
      <c r="N8483" s="113"/>
    </row>
    <row r="8484" spans="2:14">
      <c r="B8484" s="105"/>
      <c r="C8484" s="106"/>
      <c r="D8484" s="107"/>
      <c r="E8484" s="65"/>
      <c r="F8484" s="64"/>
      <c r="G8484" s="64"/>
      <c r="H8484" s="64"/>
      <c r="I8484" s="70"/>
      <c r="J8484" s="70"/>
      <c r="K8484" s="110" t="str">
        <f>IF(H8484="","",IF($C$29="간이법","",FPR(H8484,I8484,J8484)))</f>
        <v/>
      </c>
      <c r="L8484" s="111" t="str">
        <f>IF(H8484="","",IF($C$29="상세법",FPV(H8484,K8484),IF(H8484="EI",4,IF(H8484="EO",5.2,IF(H8484="EQ",3.9,IF(H8484="ILF",7.5,IF(H8484="EIF",5.4)))))))</f>
        <v/>
      </c>
      <c r="M8484" s="112" t="str">
        <f t="shared" si="135"/>
        <v/>
      </c>
      <c r="N8484" s="113"/>
    </row>
    <row r="8485" spans="2:14">
      <c r="B8485" s="105"/>
      <c r="C8485" s="106"/>
      <c r="D8485" s="107"/>
      <c r="E8485" s="65"/>
      <c r="F8485" s="64"/>
      <c r="G8485" s="64"/>
      <c r="H8485" s="64"/>
      <c r="I8485" s="70"/>
      <c r="J8485" s="70"/>
      <c r="K8485" s="110" t="str">
        <f>IF(H8485="","",IF($C$29="간이법","",FPR(H8485,I8485,J8485)))</f>
        <v/>
      </c>
      <c r="L8485" s="111" t="str">
        <f>IF(H8485="","",IF($C$29="상세법",FPV(H8485,K8485),IF(H8485="EI",4,IF(H8485="EO",5.2,IF(H8485="EQ",3.9,IF(H8485="ILF",7.5,IF(H8485="EIF",5.4)))))))</f>
        <v/>
      </c>
      <c r="M8485" s="112" t="str">
        <f t="shared" si="135"/>
        <v/>
      </c>
      <c r="N8485" s="113"/>
    </row>
    <row r="8486" spans="2:14">
      <c r="B8486" s="105"/>
      <c r="C8486" s="106"/>
      <c r="D8486" s="107"/>
      <c r="E8486" s="65"/>
      <c r="F8486" s="64"/>
      <c r="G8486" s="64"/>
      <c r="H8486" s="64"/>
      <c r="I8486" s="70"/>
      <c r="J8486" s="70"/>
      <c r="K8486" s="110" t="str">
        <f>IF(H8486="","",IF($C$29="간이법","",FPR(H8486,I8486,J8486)))</f>
        <v/>
      </c>
      <c r="L8486" s="111" t="str">
        <f>IF(H8486="","",IF($C$29="상세법",FPV(H8486,K8486),IF(H8486="EI",4,IF(H8486="EO",5.2,IF(H8486="EQ",3.9,IF(H8486="ILF",7.5,IF(H8486="EIF",5.4)))))))</f>
        <v/>
      </c>
      <c r="M8486" s="112" t="str">
        <f t="shared" si="135"/>
        <v/>
      </c>
      <c r="N8486" s="113"/>
    </row>
    <row r="8487" spans="2:14">
      <c r="B8487" s="105"/>
      <c r="C8487" s="106"/>
      <c r="D8487" s="107"/>
      <c r="E8487" s="65"/>
      <c r="F8487" s="64"/>
      <c r="G8487" s="64"/>
      <c r="H8487" s="64"/>
      <c r="I8487" s="70"/>
      <c r="J8487" s="70"/>
      <c r="K8487" s="110" t="str">
        <f>IF(H8487="","",IF($C$29="간이법","",FPR(H8487,I8487,J8487)))</f>
        <v/>
      </c>
      <c r="L8487" s="111" t="str">
        <f>IF(H8487="","",IF($C$29="상세법",FPV(H8487,K8487),IF(H8487="EI",4,IF(H8487="EO",5.2,IF(H8487="EQ",3.9,IF(H8487="ILF",7.5,IF(H8487="EIF",5.4)))))))</f>
        <v/>
      </c>
      <c r="M8487" s="112" t="str">
        <f t="shared" si="135"/>
        <v/>
      </c>
      <c r="N8487" s="113"/>
    </row>
    <row r="8488" spans="2:14">
      <c r="B8488" s="105"/>
      <c r="C8488" s="106"/>
      <c r="D8488" s="107"/>
      <c r="E8488" s="65"/>
      <c r="F8488" s="64"/>
      <c r="G8488" s="64"/>
      <c r="H8488" s="64"/>
      <c r="I8488" s="70"/>
      <c r="J8488" s="70"/>
      <c r="K8488" s="110" t="str">
        <f>IF(H8488="","",IF($C$29="간이법","",FPR(H8488,I8488,J8488)))</f>
        <v/>
      </c>
      <c r="L8488" s="111" t="str">
        <f>IF(H8488="","",IF($C$29="상세법",FPV(H8488,K8488),IF(H8488="EI",4,IF(H8488="EO",5.2,IF(H8488="EQ",3.9,IF(H8488="ILF",7.5,IF(H8488="EIF",5.4)))))))</f>
        <v/>
      </c>
      <c r="M8488" s="112" t="str">
        <f t="shared" si="135"/>
        <v/>
      </c>
      <c r="N8488" s="113"/>
    </row>
    <row r="8489" spans="2:14">
      <c r="B8489" s="105"/>
      <c r="C8489" s="106"/>
      <c r="D8489" s="107"/>
      <c r="E8489" s="65"/>
      <c r="F8489" s="64"/>
      <c r="G8489" s="64"/>
      <c r="H8489" s="64"/>
      <c r="I8489" s="70"/>
      <c r="J8489" s="70"/>
      <c r="K8489" s="110" t="str">
        <f>IF(H8489="","",IF($C$29="간이법","",FPR(H8489,I8489,J8489)))</f>
        <v/>
      </c>
      <c r="L8489" s="111" t="str">
        <f>IF(H8489="","",IF($C$29="상세법",FPV(H8489,K8489),IF(H8489="EI",4,IF(H8489="EO",5.2,IF(H8489="EQ",3.9,IF(H8489="ILF",7.5,IF(H8489="EIF",5.4)))))))</f>
        <v/>
      </c>
      <c r="M8489" s="112" t="str">
        <f t="shared" si="135"/>
        <v/>
      </c>
      <c r="N8489" s="113"/>
    </row>
    <row r="8490" spans="2:14">
      <c r="B8490" s="105"/>
      <c r="C8490" s="106"/>
      <c r="D8490" s="107"/>
      <c r="E8490" s="65"/>
      <c r="F8490" s="64"/>
      <c r="G8490" s="64"/>
      <c r="H8490" s="64"/>
      <c r="I8490" s="70"/>
      <c r="J8490" s="70"/>
      <c r="K8490" s="110" t="str">
        <f>IF(H8490="","",IF($C$29="간이법","",FPR(H8490,I8490,J8490)))</f>
        <v/>
      </c>
      <c r="L8490" s="111" t="str">
        <f>IF(H8490="","",IF($C$29="상세법",FPV(H8490,K8490),IF(H8490="EI",4,IF(H8490="EO",5.2,IF(H8490="EQ",3.9,IF(H8490="ILF",7.5,IF(H8490="EIF",5.4)))))))</f>
        <v/>
      </c>
      <c r="M8490" s="112" t="str">
        <f t="shared" si="135"/>
        <v/>
      </c>
      <c r="N8490" s="113"/>
    </row>
    <row r="8491" spans="2:14">
      <c r="B8491" s="105"/>
      <c r="C8491" s="106"/>
      <c r="D8491" s="107"/>
      <c r="E8491" s="65"/>
      <c r="F8491" s="64"/>
      <c r="G8491" s="64"/>
      <c r="H8491" s="64"/>
      <c r="I8491" s="70"/>
      <c r="J8491" s="70"/>
      <c r="K8491" s="110" t="str">
        <f>IF(H8491="","",IF($C$29="간이법","",FPR(H8491,I8491,J8491)))</f>
        <v/>
      </c>
      <c r="L8491" s="111" t="str">
        <f>IF(H8491="","",IF($C$29="상세법",FPV(H8491,K8491),IF(H8491="EI",4,IF(H8491="EO",5.2,IF(H8491="EQ",3.9,IF(H8491="ILF",7.5,IF(H8491="EIF",5.4)))))))</f>
        <v/>
      </c>
      <c r="M8491" s="112" t="str">
        <f t="shared" si="135"/>
        <v/>
      </c>
      <c r="N8491" s="113"/>
    </row>
    <row r="8492" spans="2:14">
      <c r="B8492" s="105"/>
      <c r="C8492" s="106"/>
      <c r="D8492" s="107"/>
      <c r="E8492" s="65"/>
      <c r="F8492" s="64"/>
      <c r="G8492" s="64"/>
      <c r="H8492" s="64"/>
      <c r="I8492" s="70"/>
      <c r="J8492" s="70"/>
      <c r="K8492" s="110" t="str">
        <f>IF(H8492="","",IF($C$29="간이법","",FPR(H8492,I8492,J8492)))</f>
        <v/>
      </c>
      <c r="L8492" s="111" t="str">
        <f>IF(H8492="","",IF($C$29="상세법",FPV(H8492,K8492),IF(H8492="EI",4,IF(H8492="EO",5.2,IF(H8492="EQ",3.9,IF(H8492="ILF",7.5,IF(H8492="EIF",5.4)))))))</f>
        <v/>
      </c>
      <c r="M8492" s="112" t="str">
        <f t="shared" si="135"/>
        <v/>
      </c>
      <c r="N8492" s="113"/>
    </row>
    <row r="8493" spans="2:14">
      <c r="B8493" s="105"/>
      <c r="C8493" s="106"/>
      <c r="D8493" s="107"/>
      <c r="E8493" s="65"/>
      <c r="F8493" s="64"/>
      <c r="G8493" s="64"/>
      <c r="H8493" s="64"/>
      <c r="I8493" s="70"/>
      <c r="J8493" s="70"/>
      <c r="K8493" s="110" t="str">
        <f>IF(H8493="","",IF($C$29="간이법","",FPR(H8493,I8493,J8493)))</f>
        <v/>
      </c>
      <c r="L8493" s="111" t="str">
        <f>IF(H8493="","",IF($C$29="상세법",FPV(H8493,K8493),IF(H8493="EI",4,IF(H8493="EO",5.2,IF(H8493="EQ",3.9,IF(H8493="ILF",7.5,IF(H8493="EIF",5.4)))))))</f>
        <v/>
      </c>
      <c r="M8493" s="112" t="str">
        <f t="shared" si="135"/>
        <v/>
      </c>
      <c r="N8493" s="113"/>
    </row>
    <row r="8494" spans="2:14">
      <c r="B8494" s="105"/>
      <c r="C8494" s="106"/>
      <c r="D8494" s="107"/>
      <c r="E8494" s="65"/>
      <c r="F8494" s="64"/>
      <c r="G8494" s="64"/>
      <c r="H8494" s="64"/>
      <c r="I8494" s="70"/>
      <c r="J8494" s="70"/>
      <c r="K8494" s="110" t="str">
        <f>IF(H8494="","",IF($C$29="간이법","",FPR(H8494,I8494,J8494)))</f>
        <v/>
      </c>
      <c r="L8494" s="111" t="str">
        <f>IF(H8494="","",IF($C$29="상세법",FPV(H8494,K8494),IF(H8494="EI",4,IF(H8494="EO",5.2,IF(H8494="EQ",3.9,IF(H8494="ILF",7.5,IF(H8494="EIF",5.4)))))))</f>
        <v/>
      </c>
      <c r="M8494" s="112" t="str">
        <f t="shared" si="135"/>
        <v/>
      </c>
      <c r="N8494" s="113"/>
    </row>
    <row r="8495" spans="2:14">
      <c r="B8495" s="105"/>
      <c r="C8495" s="106"/>
      <c r="D8495" s="107"/>
      <c r="E8495" s="65"/>
      <c r="F8495" s="64"/>
      <c r="G8495" s="64"/>
      <c r="H8495" s="64"/>
      <c r="I8495" s="70"/>
      <c r="J8495" s="70"/>
      <c r="K8495" s="110" t="str">
        <f>IF(H8495="","",IF($C$29="간이법","",FPR(H8495,I8495,J8495)))</f>
        <v/>
      </c>
      <c r="L8495" s="111" t="str">
        <f>IF(H8495="","",IF($C$29="상세법",FPV(H8495,K8495),IF(H8495="EI",4,IF(H8495="EO",5.2,IF(H8495="EQ",3.9,IF(H8495="ILF",7.5,IF(H8495="EIF",5.4)))))))</f>
        <v/>
      </c>
      <c r="M8495" s="112" t="str">
        <f t="shared" si="135"/>
        <v/>
      </c>
      <c r="N8495" s="113"/>
    </row>
    <row r="8496" spans="2:14">
      <c r="B8496" s="105"/>
      <c r="C8496" s="106"/>
      <c r="D8496" s="107"/>
      <c r="E8496" s="65"/>
      <c r="F8496" s="64"/>
      <c r="G8496" s="64"/>
      <c r="H8496" s="64"/>
      <c r="I8496" s="70"/>
      <c r="J8496" s="70"/>
      <c r="K8496" s="110" t="str">
        <f>IF(H8496="","",IF($C$29="간이법","",FPR(H8496,I8496,J8496)))</f>
        <v/>
      </c>
      <c r="L8496" s="111" t="str">
        <f>IF(H8496="","",IF($C$29="상세법",FPV(H8496,K8496),IF(H8496="EI",4,IF(H8496="EO",5.2,IF(H8496="EQ",3.9,IF(H8496="ILF",7.5,IF(H8496="EIF",5.4)))))))</f>
        <v/>
      </c>
      <c r="M8496" s="112" t="str">
        <f t="shared" si="135"/>
        <v/>
      </c>
      <c r="N8496" s="113"/>
    </row>
    <row r="8497" spans="2:14">
      <c r="B8497" s="105"/>
      <c r="C8497" s="106"/>
      <c r="D8497" s="107"/>
      <c r="E8497" s="65"/>
      <c r="F8497" s="64"/>
      <c r="G8497" s="64"/>
      <c r="H8497" s="64"/>
      <c r="I8497" s="70"/>
      <c r="J8497" s="70"/>
      <c r="K8497" s="110" t="str">
        <f>IF(H8497="","",IF($C$29="간이법","",FPR(H8497,I8497,J8497)))</f>
        <v/>
      </c>
      <c r="L8497" s="111" t="str">
        <f>IF(H8497="","",IF($C$29="상세법",FPV(H8497,K8497),IF(H8497="EI",4,IF(H8497="EO",5.2,IF(H8497="EQ",3.9,IF(H8497="ILF",7.5,IF(H8497="EIF",5.4)))))))</f>
        <v/>
      </c>
      <c r="M8497" s="112" t="str">
        <f t="shared" si="135"/>
        <v/>
      </c>
      <c r="N8497" s="113"/>
    </row>
    <row r="8498" spans="2:14">
      <c r="B8498" s="105"/>
      <c r="C8498" s="106"/>
      <c r="D8498" s="107"/>
      <c r="E8498" s="65"/>
      <c r="F8498" s="64"/>
      <c r="G8498" s="64"/>
      <c r="H8498" s="64"/>
      <c r="I8498" s="70"/>
      <c r="J8498" s="70"/>
      <c r="K8498" s="110" t="str">
        <f>IF(H8498="","",IF($C$29="간이법","",FPR(H8498,I8498,J8498)))</f>
        <v/>
      </c>
      <c r="L8498" s="111" t="str">
        <f>IF(H8498="","",IF($C$29="상세법",FPV(H8498,K8498),IF(H8498="EI",4,IF(H8498="EO",5.2,IF(H8498="EQ",3.9,IF(H8498="ILF",7.5,IF(H8498="EIF",5.4)))))))</f>
        <v/>
      </c>
      <c r="M8498" s="112" t="str">
        <f t="shared" si="135"/>
        <v/>
      </c>
      <c r="N8498" s="113"/>
    </row>
    <row r="8499" spans="2:14">
      <c r="B8499" s="105"/>
      <c r="C8499" s="106"/>
      <c r="D8499" s="107"/>
      <c r="E8499" s="65"/>
      <c r="F8499" s="64"/>
      <c r="G8499" s="64"/>
      <c r="H8499" s="64"/>
      <c r="I8499" s="70"/>
      <c r="J8499" s="70"/>
      <c r="K8499" s="110" t="str">
        <f>IF(H8499="","",IF($C$29="간이법","",FPR(H8499,I8499,J8499)))</f>
        <v/>
      </c>
      <c r="L8499" s="111" t="str">
        <f>IF(H8499="","",IF($C$29="상세법",FPV(H8499,K8499),IF(H8499="EI",4,IF(H8499="EO",5.2,IF(H8499="EQ",3.9,IF(H8499="ILF",7.5,IF(H8499="EIF",5.4)))))))</f>
        <v/>
      </c>
      <c r="M8499" s="112" t="str">
        <f t="shared" si="135"/>
        <v/>
      </c>
      <c r="N8499" s="113"/>
    </row>
    <row r="8500" spans="2:14">
      <c r="B8500" s="105"/>
      <c r="C8500" s="106"/>
      <c r="D8500" s="107"/>
      <c r="E8500" s="65"/>
      <c r="F8500" s="64"/>
      <c r="G8500" s="64"/>
      <c r="H8500" s="64"/>
      <c r="I8500" s="70"/>
      <c r="J8500" s="70"/>
      <c r="K8500" s="110" t="str">
        <f>IF(H8500="","",IF($C$29="간이법","",FPR(H8500,I8500,J8500)))</f>
        <v/>
      </c>
      <c r="L8500" s="111" t="str">
        <f>IF(H8500="","",IF($C$29="상세법",FPV(H8500,K8500),IF(H8500="EI",4,IF(H8500="EO",5.2,IF(H8500="EQ",3.9,IF(H8500="ILF",7.5,IF(H8500="EIF",5.4)))))))</f>
        <v/>
      </c>
      <c r="M8500" s="112" t="str">
        <f t="shared" si="135"/>
        <v/>
      </c>
      <c r="N8500" s="113"/>
    </row>
    <row r="8501" spans="2:14">
      <c r="B8501" s="105"/>
      <c r="C8501" s="106"/>
      <c r="D8501" s="107"/>
      <c r="E8501" s="65"/>
      <c r="F8501" s="64"/>
      <c r="G8501" s="64"/>
      <c r="H8501" s="64"/>
      <c r="I8501" s="70"/>
      <c r="J8501" s="70"/>
      <c r="K8501" s="110" t="str">
        <f>IF(H8501="","",IF($C$29="간이법","",FPR(H8501,I8501,J8501)))</f>
        <v/>
      </c>
      <c r="L8501" s="111" t="str">
        <f>IF(H8501="","",IF($C$29="상세법",FPV(H8501,K8501),IF(H8501="EI",4,IF(H8501="EO",5.2,IF(H8501="EQ",3.9,IF(H8501="ILF",7.5,IF(H8501="EIF",5.4)))))))</f>
        <v/>
      </c>
      <c r="M8501" s="112" t="str">
        <f t="shared" si="135"/>
        <v/>
      </c>
      <c r="N8501" s="113"/>
    </row>
    <row r="8502" spans="2:14">
      <c r="B8502" s="105"/>
      <c r="C8502" s="106"/>
      <c r="D8502" s="107"/>
      <c r="E8502" s="65"/>
      <c r="F8502" s="64"/>
      <c r="G8502" s="64"/>
      <c r="H8502" s="64"/>
      <c r="I8502" s="70"/>
      <c r="J8502" s="70"/>
      <c r="K8502" s="110" t="str">
        <f>IF(H8502="","",IF($C$29="간이법","",FPR(H8502,I8502,J8502)))</f>
        <v/>
      </c>
      <c r="L8502" s="111" t="str">
        <f>IF(H8502="","",IF($C$29="상세법",FPV(H8502,K8502),IF(H8502="EI",4,IF(H8502="EO",5.2,IF(H8502="EQ",3.9,IF(H8502="ILF",7.5,IF(H8502="EIF",5.4)))))))</f>
        <v/>
      </c>
      <c r="M8502" s="112" t="str">
        <f t="shared" si="135"/>
        <v/>
      </c>
      <c r="N8502" s="113"/>
    </row>
    <row r="8503" spans="2:14">
      <c r="B8503" s="105"/>
      <c r="C8503" s="106"/>
      <c r="D8503" s="107"/>
      <c r="E8503" s="65"/>
      <c r="F8503" s="64"/>
      <c r="G8503" s="64"/>
      <c r="H8503" s="64"/>
      <c r="I8503" s="70"/>
      <c r="J8503" s="70"/>
      <c r="K8503" s="110" t="str">
        <f>IF(H8503="","",IF($C$29="간이법","",FPR(H8503,I8503,J8503)))</f>
        <v/>
      </c>
      <c r="L8503" s="111" t="str">
        <f>IF(H8503="","",IF($C$29="상세법",FPV(H8503,K8503),IF(H8503="EI",4,IF(H8503="EO",5.2,IF(H8503="EQ",3.9,IF(H8503="ILF",7.5,IF(H8503="EIF",5.4)))))))</f>
        <v/>
      </c>
      <c r="M8503" s="112" t="str">
        <f t="shared" si="135"/>
        <v/>
      </c>
      <c r="N8503" s="113"/>
    </row>
    <row r="8504" spans="2:14">
      <c r="B8504" s="105"/>
      <c r="C8504" s="106"/>
      <c r="D8504" s="107"/>
      <c r="E8504" s="65"/>
      <c r="F8504" s="64"/>
      <c r="G8504" s="64"/>
      <c r="H8504" s="64"/>
      <c r="I8504" s="70"/>
      <c r="J8504" s="70"/>
      <c r="K8504" s="110" t="str">
        <f>IF(H8504="","",IF($C$29="간이법","",FPR(H8504,I8504,J8504)))</f>
        <v/>
      </c>
      <c r="L8504" s="111" t="str">
        <f>IF(H8504="","",IF($C$29="상세법",FPV(H8504,K8504),IF(H8504="EI",4,IF(H8504="EO",5.2,IF(H8504="EQ",3.9,IF(H8504="ILF",7.5,IF(H8504="EIF",5.4)))))))</f>
        <v/>
      </c>
      <c r="M8504" s="112" t="str">
        <f t="shared" si="135"/>
        <v/>
      </c>
      <c r="N8504" s="113"/>
    </row>
    <row r="8505" spans="2:14">
      <c r="B8505" s="105"/>
      <c r="C8505" s="106"/>
      <c r="D8505" s="107"/>
      <c r="E8505" s="65"/>
      <c r="F8505" s="64"/>
      <c r="G8505" s="64"/>
      <c r="H8505" s="64"/>
      <c r="I8505" s="70"/>
      <c r="J8505" s="70"/>
      <c r="K8505" s="110" t="str">
        <f>IF(H8505="","",IF($C$29="간이법","",FPR(H8505,I8505,J8505)))</f>
        <v/>
      </c>
      <c r="L8505" s="111" t="str">
        <f>IF(H8505="","",IF($C$29="상세법",FPV(H8505,K8505),IF(H8505="EI",4,IF(H8505="EO",5.2,IF(H8505="EQ",3.9,IF(H8505="ILF",7.5,IF(H8505="EIF",5.4)))))))</f>
        <v/>
      </c>
      <c r="M8505" s="112" t="str">
        <f t="shared" ref="M8505:M8568" si="136">IF(L8505="","",L8505*IF(G8505="상",0.7,IF(G8505="중",0.5,IF(G8505="하",0.2,1))))</f>
        <v/>
      </c>
      <c r="N8505" s="113"/>
    </row>
    <row r="8506" spans="2:14">
      <c r="B8506" s="105"/>
      <c r="C8506" s="106"/>
      <c r="D8506" s="107"/>
      <c r="E8506" s="65"/>
      <c r="F8506" s="64"/>
      <c r="G8506" s="64"/>
      <c r="H8506" s="64"/>
      <c r="I8506" s="70"/>
      <c r="J8506" s="70"/>
      <c r="K8506" s="110" t="str">
        <f>IF(H8506="","",IF($C$29="간이법","",FPR(H8506,I8506,J8506)))</f>
        <v/>
      </c>
      <c r="L8506" s="111" t="str">
        <f>IF(H8506="","",IF($C$29="상세법",FPV(H8506,K8506),IF(H8506="EI",4,IF(H8506="EO",5.2,IF(H8506="EQ",3.9,IF(H8506="ILF",7.5,IF(H8506="EIF",5.4)))))))</f>
        <v/>
      </c>
      <c r="M8506" s="112" t="str">
        <f t="shared" si="136"/>
        <v/>
      </c>
      <c r="N8506" s="113"/>
    </row>
    <row r="8507" spans="2:14">
      <c r="B8507" s="105"/>
      <c r="C8507" s="106"/>
      <c r="D8507" s="107"/>
      <c r="E8507" s="65"/>
      <c r="F8507" s="64"/>
      <c r="G8507" s="64"/>
      <c r="H8507" s="64"/>
      <c r="I8507" s="70"/>
      <c r="J8507" s="70"/>
      <c r="K8507" s="110" t="str">
        <f>IF(H8507="","",IF($C$29="간이법","",FPR(H8507,I8507,J8507)))</f>
        <v/>
      </c>
      <c r="L8507" s="111" t="str">
        <f>IF(H8507="","",IF($C$29="상세법",FPV(H8507,K8507),IF(H8507="EI",4,IF(H8507="EO",5.2,IF(H8507="EQ",3.9,IF(H8507="ILF",7.5,IF(H8507="EIF",5.4)))))))</f>
        <v/>
      </c>
      <c r="M8507" s="112" t="str">
        <f t="shared" si="136"/>
        <v/>
      </c>
      <c r="N8507" s="113"/>
    </row>
    <row r="8508" spans="2:14">
      <c r="B8508" s="105"/>
      <c r="C8508" s="106"/>
      <c r="D8508" s="107"/>
      <c r="E8508" s="65"/>
      <c r="F8508" s="64"/>
      <c r="G8508" s="64"/>
      <c r="H8508" s="64"/>
      <c r="I8508" s="70"/>
      <c r="J8508" s="70"/>
      <c r="K8508" s="110" t="str">
        <f>IF(H8508="","",IF($C$29="간이법","",FPR(H8508,I8508,J8508)))</f>
        <v/>
      </c>
      <c r="L8508" s="111" t="str">
        <f>IF(H8508="","",IF($C$29="상세법",FPV(H8508,K8508),IF(H8508="EI",4,IF(H8508="EO",5.2,IF(H8508="EQ",3.9,IF(H8508="ILF",7.5,IF(H8508="EIF",5.4)))))))</f>
        <v/>
      </c>
      <c r="M8508" s="112" t="str">
        <f t="shared" si="136"/>
        <v/>
      </c>
      <c r="N8508" s="113"/>
    </row>
    <row r="8509" spans="2:14">
      <c r="B8509" s="105"/>
      <c r="C8509" s="106"/>
      <c r="D8509" s="107"/>
      <c r="E8509" s="65"/>
      <c r="F8509" s="64"/>
      <c r="G8509" s="64"/>
      <c r="H8509" s="64"/>
      <c r="I8509" s="70"/>
      <c r="J8509" s="70"/>
      <c r="K8509" s="110" t="str">
        <f>IF(H8509="","",IF($C$29="간이법","",FPR(H8509,I8509,J8509)))</f>
        <v/>
      </c>
      <c r="L8509" s="111" t="str">
        <f>IF(H8509="","",IF($C$29="상세법",FPV(H8509,K8509),IF(H8509="EI",4,IF(H8509="EO",5.2,IF(H8509="EQ",3.9,IF(H8509="ILF",7.5,IF(H8509="EIF",5.4)))))))</f>
        <v/>
      </c>
      <c r="M8509" s="112" t="str">
        <f t="shared" si="136"/>
        <v/>
      </c>
      <c r="N8509" s="113"/>
    </row>
    <row r="8510" spans="2:14">
      <c r="B8510" s="105"/>
      <c r="C8510" s="106"/>
      <c r="D8510" s="107"/>
      <c r="E8510" s="65"/>
      <c r="F8510" s="64"/>
      <c r="G8510" s="64"/>
      <c r="H8510" s="64"/>
      <c r="I8510" s="70"/>
      <c r="J8510" s="70"/>
      <c r="K8510" s="110" t="str">
        <f>IF(H8510="","",IF($C$29="간이법","",FPR(H8510,I8510,J8510)))</f>
        <v/>
      </c>
      <c r="L8510" s="111" t="str">
        <f>IF(H8510="","",IF($C$29="상세법",FPV(H8510,K8510),IF(H8510="EI",4,IF(H8510="EO",5.2,IF(H8510="EQ",3.9,IF(H8510="ILF",7.5,IF(H8510="EIF",5.4)))))))</f>
        <v/>
      </c>
      <c r="M8510" s="112" t="str">
        <f t="shared" si="136"/>
        <v/>
      </c>
      <c r="N8510" s="113"/>
    </row>
    <row r="8511" spans="2:14">
      <c r="B8511" s="105"/>
      <c r="C8511" s="106"/>
      <c r="D8511" s="107"/>
      <c r="E8511" s="65"/>
      <c r="F8511" s="64"/>
      <c r="G8511" s="64"/>
      <c r="H8511" s="64"/>
      <c r="I8511" s="70"/>
      <c r="J8511" s="70"/>
      <c r="K8511" s="110" t="str">
        <f>IF(H8511="","",IF($C$29="간이법","",FPR(H8511,I8511,J8511)))</f>
        <v/>
      </c>
      <c r="L8511" s="111" t="str">
        <f>IF(H8511="","",IF($C$29="상세법",FPV(H8511,K8511),IF(H8511="EI",4,IF(H8511="EO",5.2,IF(H8511="EQ",3.9,IF(H8511="ILF",7.5,IF(H8511="EIF",5.4)))))))</f>
        <v/>
      </c>
      <c r="M8511" s="112" t="str">
        <f t="shared" si="136"/>
        <v/>
      </c>
      <c r="N8511" s="113"/>
    </row>
    <row r="8512" spans="2:14">
      <c r="B8512" s="105"/>
      <c r="C8512" s="106"/>
      <c r="D8512" s="107"/>
      <c r="E8512" s="65"/>
      <c r="F8512" s="64"/>
      <c r="G8512" s="64"/>
      <c r="H8512" s="64"/>
      <c r="I8512" s="70"/>
      <c r="J8512" s="70"/>
      <c r="K8512" s="110" t="str">
        <f>IF(H8512="","",IF($C$29="간이법","",FPR(H8512,I8512,J8512)))</f>
        <v/>
      </c>
      <c r="L8512" s="111" t="str">
        <f>IF(H8512="","",IF($C$29="상세법",FPV(H8512,K8512),IF(H8512="EI",4,IF(H8512="EO",5.2,IF(H8512="EQ",3.9,IF(H8512="ILF",7.5,IF(H8512="EIF",5.4)))))))</f>
        <v/>
      </c>
      <c r="M8512" s="112" t="str">
        <f t="shared" si="136"/>
        <v/>
      </c>
      <c r="N8512" s="113"/>
    </row>
    <row r="8513" spans="2:14">
      <c r="B8513" s="105"/>
      <c r="C8513" s="106"/>
      <c r="D8513" s="107"/>
      <c r="E8513" s="65"/>
      <c r="F8513" s="64"/>
      <c r="G8513" s="64"/>
      <c r="H8513" s="64"/>
      <c r="I8513" s="70"/>
      <c r="J8513" s="70"/>
      <c r="K8513" s="110" t="str">
        <f>IF(H8513="","",IF($C$29="간이법","",FPR(H8513,I8513,J8513)))</f>
        <v/>
      </c>
      <c r="L8513" s="111" t="str">
        <f>IF(H8513="","",IF($C$29="상세법",FPV(H8513,K8513),IF(H8513="EI",4,IF(H8513="EO",5.2,IF(H8513="EQ",3.9,IF(H8513="ILF",7.5,IF(H8513="EIF",5.4)))))))</f>
        <v/>
      </c>
      <c r="M8513" s="112" t="str">
        <f t="shared" si="136"/>
        <v/>
      </c>
      <c r="N8513" s="113"/>
    </row>
    <row r="8514" spans="2:14">
      <c r="B8514" s="105"/>
      <c r="C8514" s="106"/>
      <c r="D8514" s="107"/>
      <c r="E8514" s="65"/>
      <c r="F8514" s="64"/>
      <c r="G8514" s="64"/>
      <c r="H8514" s="64"/>
      <c r="I8514" s="70"/>
      <c r="J8514" s="70"/>
      <c r="K8514" s="110" t="str">
        <f>IF(H8514="","",IF($C$29="간이법","",FPR(H8514,I8514,J8514)))</f>
        <v/>
      </c>
      <c r="L8514" s="111" t="str">
        <f>IF(H8514="","",IF($C$29="상세법",FPV(H8514,K8514),IF(H8514="EI",4,IF(H8514="EO",5.2,IF(H8514="EQ",3.9,IF(H8514="ILF",7.5,IF(H8514="EIF",5.4)))))))</f>
        <v/>
      </c>
      <c r="M8514" s="112" t="str">
        <f t="shared" si="136"/>
        <v/>
      </c>
      <c r="N8514" s="113"/>
    </row>
    <row r="8515" spans="2:14">
      <c r="B8515" s="105"/>
      <c r="C8515" s="106"/>
      <c r="D8515" s="107"/>
      <c r="E8515" s="65"/>
      <c r="F8515" s="64"/>
      <c r="G8515" s="64"/>
      <c r="H8515" s="64"/>
      <c r="I8515" s="70"/>
      <c r="J8515" s="70"/>
      <c r="K8515" s="110" t="str">
        <f>IF(H8515="","",IF($C$29="간이법","",FPR(H8515,I8515,J8515)))</f>
        <v/>
      </c>
      <c r="L8515" s="111" t="str">
        <f>IF(H8515="","",IF($C$29="상세법",FPV(H8515,K8515),IF(H8515="EI",4,IF(H8515="EO",5.2,IF(H8515="EQ",3.9,IF(H8515="ILF",7.5,IF(H8515="EIF",5.4)))))))</f>
        <v/>
      </c>
      <c r="M8515" s="112" t="str">
        <f t="shared" si="136"/>
        <v/>
      </c>
      <c r="N8515" s="113"/>
    </row>
    <row r="8516" spans="2:14">
      <c r="B8516" s="105"/>
      <c r="C8516" s="106"/>
      <c r="D8516" s="107"/>
      <c r="E8516" s="65"/>
      <c r="F8516" s="64"/>
      <c r="G8516" s="64"/>
      <c r="H8516" s="64"/>
      <c r="I8516" s="70"/>
      <c r="J8516" s="70"/>
      <c r="K8516" s="110" t="str">
        <f>IF(H8516="","",IF($C$29="간이법","",FPR(H8516,I8516,J8516)))</f>
        <v/>
      </c>
      <c r="L8516" s="111" t="str">
        <f>IF(H8516="","",IF($C$29="상세법",FPV(H8516,K8516),IF(H8516="EI",4,IF(H8516="EO",5.2,IF(H8516="EQ",3.9,IF(H8516="ILF",7.5,IF(H8516="EIF",5.4)))))))</f>
        <v/>
      </c>
      <c r="M8516" s="112" t="str">
        <f t="shared" si="136"/>
        <v/>
      </c>
      <c r="N8516" s="113"/>
    </row>
    <row r="8517" spans="2:14">
      <c r="B8517" s="105"/>
      <c r="C8517" s="106"/>
      <c r="D8517" s="107"/>
      <c r="E8517" s="65"/>
      <c r="F8517" s="64"/>
      <c r="G8517" s="64"/>
      <c r="H8517" s="64"/>
      <c r="I8517" s="70"/>
      <c r="J8517" s="70"/>
      <c r="K8517" s="110" t="str">
        <f>IF(H8517="","",IF($C$29="간이법","",FPR(H8517,I8517,J8517)))</f>
        <v/>
      </c>
      <c r="L8517" s="111" t="str">
        <f>IF(H8517="","",IF($C$29="상세법",FPV(H8517,K8517),IF(H8517="EI",4,IF(H8517="EO",5.2,IF(H8517="EQ",3.9,IF(H8517="ILF",7.5,IF(H8517="EIF",5.4)))))))</f>
        <v/>
      </c>
      <c r="M8517" s="112" t="str">
        <f t="shared" si="136"/>
        <v/>
      </c>
      <c r="N8517" s="113"/>
    </row>
    <row r="8518" spans="2:14">
      <c r="B8518" s="105"/>
      <c r="C8518" s="106"/>
      <c r="D8518" s="107"/>
      <c r="E8518" s="65"/>
      <c r="F8518" s="64"/>
      <c r="G8518" s="64"/>
      <c r="H8518" s="64"/>
      <c r="I8518" s="70"/>
      <c r="J8518" s="70"/>
      <c r="K8518" s="110" t="str">
        <f>IF(H8518="","",IF($C$29="간이법","",FPR(H8518,I8518,J8518)))</f>
        <v/>
      </c>
      <c r="L8518" s="111" t="str">
        <f>IF(H8518="","",IF($C$29="상세법",FPV(H8518,K8518),IF(H8518="EI",4,IF(H8518="EO",5.2,IF(H8518="EQ",3.9,IF(H8518="ILF",7.5,IF(H8518="EIF",5.4)))))))</f>
        <v/>
      </c>
      <c r="M8518" s="112" t="str">
        <f t="shared" si="136"/>
        <v/>
      </c>
      <c r="N8518" s="113"/>
    </row>
    <row r="8519" spans="2:14">
      <c r="B8519" s="105"/>
      <c r="C8519" s="106"/>
      <c r="D8519" s="107"/>
      <c r="E8519" s="65"/>
      <c r="F8519" s="64"/>
      <c r="G8519" s="64"/>
      <c r="H8519" s="64"/>
      <c r="I8519" s="70"/>
      <c r="J8519" s="70"/>
      <c r="K8519" s="110" t="str">
        <f>IF(H8519="","",IF($C$29="간이법","",FPR(H8519,I8519,J8519)))</f>
        <v/>
      </c>
      <c r="L8519" s="111" t="str">
        <f>IF(H8519="","",IF($C$29="상세법",FPV(H8519,K8519),IF(H8519="EI",4,IF(H8519="EO",5.2,IF(H8519="EQ",3.9,IF(H8519="ILF",7.5,IF(H8519="EIF",5.4)))))))</f>
        <v/>
      </c>
      <c r="M8519" s="112" t="str">
        <f t="shared" si="136"/>
        <v/>
      </c>
      <c r="N8519" s="113"/>
    </row>
    <row r="8520" spans="2:14">
      <c r="B8520" s="105"/>
      <c r="C8520" s="106"/>
      <c r="D8520" s="107"/>
      <c r="E8520" s="65"/>
      <c r="F8520" s="64"/>
      <c r="G8520" s="64"/>
      <c r="H8520" s="64"/>
      <c r="I8520" s="70"/>
      <c r="J8520" s="70"/>
      <c r="K8520" s="110" t="str">
        <f>IF(H8520="","",IF($C$29="간이법","",FPR(H8520,I8520,J8520)))</f>
        <v/>
      </c>
      <c r="L8520" s="111" t="str">
        <f>IF(H8520="","",IF($C$29="상세법",FPV(H8520,K8520),IF(H8520="EI",4,IF(H8520="EO",5.2,IF(H8520="EQ",3.9,IF(H8520="ILF",7.5,IF(H8520="EIF",5.4)))))))</f>
        <v/>
      </c>
      <c r="M8520" s="112" t="str">
        <f t="shared" si="136"/>
        <v/>
      </c>
      <c r="N8520" s="113"/>
    </row>
    <row r="8521" spans="2:14">
      <c r="B8521" s="105"/>
      <c r="C8521" s="106"/>
      <c r="D8521" s="107"/>
      <c r="E8521" s="65"/>
      <c r="F8521" s="64"/>
      <c r="G8521" s="64"/>
      <c r="H8521" s="64"/>
      <c r="I8521" s="70"/>
      <c r="J8521" s="70"/>
      <c r="K8521" s="110" t="str">
        <f>IF(H8521="","",IF($C$29="간이법","",FPR(H8521,I8521,J8521)))</f>
        <v/>
      </c>
      <c r="L8521" s="111" t="str">
        <f>IF(H8521="","",IF($C$29="상세법",FPV(H8521,K8521),IF(H8521="EI",4,IF(H8521="EO",5.2,IF(H8521="EQ",3.9,IF(H8521="ILF",7.5,IF(H8521="EIF",5.4)))))))</f>
        <v/>
      </c>
      <c r="M8521" s="112" t="str">
        <f t="shared" si="136"/>
        <v/>
      </c>
      <c r="N8521" s="113"/>
    </row>
    <row r="8522" spans="2:14">
      <c r="B8522" s="105"/>
      <c r="C8522" s="106"/>
      <c r="D8522" s="107"/>
      <c r="E8522" s="65"/>
      <c r="F8522" s="64"/>
      <c r="G8522" s="64"/>
      <c r="H8522" s="64"/>
      <c r="I8522" s="70"/>
      <c r="J8522" s="70"/>
      <c r="K8522" s="110" t="str">
        <f>IF(H8522="","",IF($C$29="간이법","",FPR(H8522,I8522,J8522)))</f>
        <v/>
      </c>
      <c r="L8522" s="111" t="str">
        <f>IF(H8522="","",IF($C$29="상세법",FPV(H8522,K8522),IF(H8522="EI",4,IF(H8522="EO",5.2,IF(H8522="EQ",3.9,IF(H8522="ILF",7.5,IF(H8522="EIF",5.4)))))))</f>
        <v/>
      </c>
      <c r="M8522" s="112" t="str">
        <f t="shared" si="136"/>
        <v/>
      </c>
      <c r="N8522" s="113"/>
    </row>
    <row r="8523" spans="2:14">
      <c r="B8523" s="105"/>
      <c r="C8523" s="106"/>
      <c r="D8523" s="107"/>
      <c r="E8523" s="65"/>
      <c r="F8523" s="64"/>
      <c r="G8523" s="64"/>
      <c r="H8523" s="64"/>
      <c r="I8523" s="70"/>
      <c r="J8523" s="70"/>
      <c r="K8523" s="110" t="str">
        <f>IF(H8523="","",IF($C$29="간이법","",FPR(H8523,I8523,J8523)))</f>
        <v/>
      </c>
      <c r="L8523" s="111" t="str">
        <f>IF(H8523="","",IF($C$29="상세법",FPV(H8523,K8523),IF(H8523="EI",4,IF(H8523="EO",5.2,IF(H8523="EQ",3.9,IF(H8523="ILF",7.5,IF(H8523="EIF",5.4)))))))</f>
        <v/>
      </c>
      <c r="M8523" s="112" t="str">
        <f t="shared" si="136"/>
        <v/>
      </c>
      <c r="N8523" s="113"/>
    </row>
    <row r="8524" spans="2:14">
      <c r="B8524" s="105"/>
      <c r="C8524" s="106"/>
      <c r="D8524" s="107"/>
      <c r="E8524" s="65"/>
      <c r="F8524" s="64"/>
      <c r="G8524" s="64"/>
      <c r="H8524" s="64"/>
      <c r="I8524" s="70"/>
      <c r="J8524" s="70"/>
      <c r="K8524" s="110" t="str">
        <f>IF(H8524="","",IF($C$29="간이법","",FPR(H8524,I8524,J8524)))</f>
        <v/>
      </c>
      <c r="L8524" s="111" t="str">
        <f>IF(H8524="","",IF($C$29="상세법",FPV(H8524,K8524),IF(H8524="EI",4,IF(H8524="EO",5.2,IF(H8524="EQ",3.9,IF(H8524="ILF",7.5,IF(H8524="EIF",5.4)))))))</f>
        <v/>
      </c>
      <c r="M8524" s="112" t="str">
        <f t="shared" si="136"/>
        <v/>
      </c>
      <c r="N8524" s="113"/>
    </row>
    <row r="8525" spans="2:14">
      <c r="B8525" s="105"/>
      <c r="C8525" s="106"/>
      <c r="D8525" s="107"/>
      <c r="E8525" s="65"/>
      <c r="F8525" s="64"/>
      <c r="G8525" s="64"/>
      <c r="H8525" s="64"/>
      <c r="I8525" s="70"/>
      <c r="J8525" s="70"/>
      <c r="K8525" s="110" t="str">
        <f>IF(H8525="","",IF($C$29="간이법","",FPR(H8525,I8525,J8525)))</f>
        <v/>
      </c>
      <c r="L8525" s="111" t="str">
        <f>IF(H8525="","",IF($C$29="상세법",FPV(H8525,K8525),IF(H8525="EI",4,IF(H8525="EO",5.2,IF(H8525="EQ",3.9,IF(H8525="ILF",7.5,IF(H8525="EIF",5.4)))))))</f>
        <v/>
      </c>
      <c r="M8525" s="112" t="str">
        <f t="shared" si="136"/>
        <v/>
      </c>
      <c r="N8525" s="113"/>
    </row>
    <row r="8526" spans="2:14">
      <c r="B8526" s="105"/>
      <c r="C8526" s="106"/>
      <c r="D8526" s="107"/>
      <c r="E8526" s="65"/>
      <c r="F8526" s="64"/>
      <c r="G8526" s="64"/>
      <c r="H8526" s="64"/>
      <c r="I8526" s="70"/>
      <c r="J8526" s="70"/>
      <c r="K8526" s="110" t="str">
        <f>IF(H8526="","",IF($C$29="간이법","",FPR(H8526,I8526,J8526)))</f>
        <v/>
      </c>
      <c r="L8526" s="111" t="str">
        <f>IF(H8526="","",IF($C$29="상세법",FPV(H8526,K8526),IF(H8526="EI",4,IF(H8526="EO",5.2,IF(H8526="EQ",3.9,IF(H8526="ILF",7.5,IF(H8526="EIF",5.4)))))))</f>
        <v/>
      </c>
      <c r="M8526" s="112" t="str">
        <f t="shared" si="136"/>
        <v/>
      </c>
      <c r="N8526" s="113"/>
    </row>
    <row r="8527" spans="2:14">
      <c r="B8527" s="105"/>
      <c r="C8527" s="106"/>
      <c r="D8527" s="107"/>
      <c r="E8527" s="65"/>
      <c r="F8527" s="64"/>
      <c r="G8527" s="64"/>
      <c r="H8527" s="64"/>
      <c r="I8527" s="70"/>
      <c r="J8527" s="70"/>
      <c r="K8527" s="110" t="str">
        <f>IF(H8527="","",IF($C$29="간이법","",FPR(H8527,I8527,J8527)))</f>
        <v/>
      </c>
      <c r="L8527" s="111" t="str">
        <f>IF(H8527="","",IF($C$29="상세법",FPV(H8527,K8527),IF(H8527="EI",4,IF(H8527="EO",5.2,IF(H8527="EQ",3.9,IF(H8527="ILF",7.5,IF(H8527="EIF",5.4)))))))</f>
        <v/>
      </c>
      <c r="M8527" s="112" t="str">
        <f t="shared" si="136"/>
        <v/>
      </c>
      <c r="N8527" s="113"/>
    </row>
    <row r="8528" spans="2:14">
      <c r="B8528" s="105"/>
      <c r="C8528" s="106"/>
      <c r="D8528" s="107"/>
      <c r="E8528" s="65"/>
      <c r="F8528" s="64"/>
      <c r="G8528" s="64"/>
      <c r="H8528" s="64"/>
      <c r="I8528" s="70"/>
      <c r="J8528" s="70"/>
      <c r="K8528" s="110" t="str">
        <f>IF(H8528="","",IF($C$29="간이법","",FPR(H8528,I8528,J8528)))</f>
        <v/>
      </c>
      <c r="L8528" s="111" t="str">
        <f>IF(H8528="","",IF($C$29="상세법",FPV(H8528,K8528),IF(H8528="EI",4,IF(H8528="EO",5.2,IF(H8528="EQ",3.9,IF(H8528="ILF",7.5,IF(H8528="EIF",5.4)))))))</f>
        <v/>
      </c>
      <c r="M8528" s="112" t="str">
        <f t="shared" si="136"/>
        <v/>
      </c>
      <c r="N8528" s="113"/>
    </row>
    <row r="8529" spans="2:14">
      <c r="B8529" s="105"/>
      <c r="C8529" s="106"/>
      <c r="D8529" s="107"/>
      <c r="E8529" s="65"/>
      <c r="F8529" s="64"/>
      <c r="G8529" s="64"/>
      <c r="H8529" s="64"/>
      <c r="I8529" s="70"/>
      <c r="J8529" s="70"/>
      <c r="K8529" s="110" t="str">
        <f>IF(H8529="","",IF($C$29="간이법","",FPR(H8529,I8529,J8529)))</f>
        <v/>
      </c>
      <c r="L8529" s="111" t="str">
        <f>IF(H8529="","",IF($C$29="상세법",FPV(H8529,K8529),IF(H8529="EI",4,IF(H8529="EO",5.2,IF(H8529="EQ",3.9,IF(H8529="ILF",7.5,IF(H8529="EIF",5.4)))))))</f>
        <v/>
      </c>
      <c r="M8529" s="112" t="str">
        <f t="shared" si="136"/>
        <v/>
      </c>
      <c r="N8529" s="113"/>
    </row>
    <row r="8530" spans="2:14">
      <c r="B8530" s="105"/>
      <c r="C8530" s="106"/>
      <c r="D8530" s="107"/>
      <c r="E8530" s="65"/>
      <c r="F8530" s="64"/>
      <c r="G8530" s="64"/>
      <c r="H8530" s="64"/>
      <c r="I8530" s="70"/>
      <c r="J8530" s="70"/>
      <c r="K8530" s="110" t="str">
        <f>IF(H8530="","",IF($C$29="간이법","",FPR(H8530,I8530,J8530)))</f>
        <v/>
      </c>
      <c r="L8530" s="111" t="str">
        <f>IF(H8530="","",IF($C$29="상세법",FPV(H8530,K8530),IF(H8530="EI",4,IF(H8530="EO",5.2,IF(H8530="EQ",3.9,IF(H8530="ILF",7.5,IF(H8530="EIF",5.4)))))))</f>
        <v/>
      </c>
      <c r="M8530" s="112" t="str">
        <f t="shared" si="136"/>
        <v/>
      </c>
      <c r="N8530" s="113"/>
    </row>
    <row r="8531" spans="2:14">
      <c r="B8531" s="105"/>
      <c r="C8531" s="106"/>
      <c r="D8531" s="107"/>
      <c r="E8531" s="65"/>
      <c r="F8531" s="64"/>
      <c r="G8531" s="64"/>
      <c r="H8531" s="64"/>
      <c r="I8531" s="70"/>
      <c r="J8531" s="70"/>
      <c r="K8531" s="110" t="str">
        <f>IF(H8531="","",IF($C$29="간이법","",FPR(H8531,I8531,J8531)))</f>
        <v/>
      </c>
      <c r="L8531" s="111" t="str">
        <f>IF(H8531="","",IF($C$29="상세법",FPV(H8531,K8531),IF(H8531="EI",4,IF(H8531="EO",5.2,IF(H8531="EQ",3.9,IF(H8531="ILF",7.5,IF(H8531="EIF",5.4)))))))</f>
        <v/>
      </c>
      <c r="M8531" s="112" t="str">
        <f t="shared" si="136"/>
        <v/>
      </c>
      <c r="N8531" s="113"/>
    </row>
    <row r="8532" spans="2:14">
      <c r="B8532" s="105"/>
      <c r="C8532" s="106"/>
      <c r="D8532" s="107"/>
      <c r="E8532" s="65"/>
      <c r="F8532" s="64"/>
      <c r="G8532" s="64"/>
      <c r="H8532" s="64"/>
      <c r="I8532" s="70"/>
      <c r="J8532" s="70"/>
      <c r="K8532" s="110" t="str">
        <f>IF(H8532="","",IF($C$29="간이법","",FPR(H8532,I8532,J8532)))</f>
        <v/>
      </c>
      <c r="L8532" s="111" t="str">
        <f>IF(H8532="","",IF($C$29="상세법",FPV(H8532,K8532),IF(H8532="EI",4,IF(H8532="EO",5.2,IF(H8532="EQ",3.9,IF(H8532="ILF",7.5,IF(H8532="EIF",5.4)))))))</f>
        <v/>
      </c>
      <c r="M8532" s="112" t="str">
        <f t="shared" si="136"/>
        <v/>
      </c>
      <c r="N8532" s="113"/>
    </row>
    <row r="8533" spans="2:14">
      <c r="B8533" s="105"/>
      <c r="C8533" s="106"/>
      <c r="D8533" s="107"/>
      <c r="E8533" s="65"/>
      <c r="F8533" s="64"/>
      <c r="G8533" s="64"/>
      <c r="H8533" s="64"/>
      <c r="I8533" s="70"/>
      <c r="J8533" s="70"/>
      <c r="K8533" s="110" t="str">
        <f>IF(H8533="","",IF($C$29="간이법","",FPR(H8533,I8533,J8533)))</f>
        <v/>
      </c>
      <c r="L8533" s="111" t="str">
        <f>IF(H8533="","",IF($C$29="상세법",FPV(H8533,K8533),IF(H8533="EI",4,IF(H8533="EO",5.2,IF(H8533="EQ",3.9,IF(H8533="ILF",7.5,IF(H8533="EIF",5.4)))))))</f>
        <v/>
      </c>
      <c r="M8533" s="112" t="str">
        <f t="shared" si="136"/>
        <v/>
      </c>
      <c r="N8533" s="113"/>
    </row>
    <row r="8534" spans="2:14">
      <c r="B8534" s="105"/>
      <c r="C8534" s="106"/>
      <c r="D8534" s="107"/>
      <c r="E8534" s="65"/>
      <c r="F8534" s="64"/>
      <c r="G8534" s="64"/>
      <c r="H8534" s="64"/>
      <c r="I8534" s="70"/>
      <c r="J8534" s="70"/>
      <c r="K8534" s="110" t="str">
        <f>IF(H8534="","",IF($C$29="간이법","",FPR(H8534,I8534,J8534)))</f>
        <v/>
      </c>
      <c r="L8534" s="111" t="str">
        <f>IF(H8534="","",IF($C$29="상세법",FPV(H8534,K8534),IF(H8534="EI",4,IF(H8534="EO",5.2,IF(H8534="EQ",3.9,IF(H8534="ILF",7.5,IF(H8534="EIF",5.4)))))))</f>
        <v/>
      </c>
      <c r="M8534" s="112" t="str">
        <f t="shared" si="136"/>
        <v/>
      </c>
      <c r="N8534" s="113"/>
    </row>
    <row r="8535" spans="2:14">
      <c r="B8535" s="105"/>
      <c r="C8535" s="106"/>
      <c r="D8535" s="107"/>
      <c r="E8535" s="65"/>
      <c r="F8535" s="64"/>
      <c r="G8535" s="64"/>
      <c r="H8535" s="64"/>
      <c r="I8535" s="70"/>
      <c r="J8535" s="70"/>
      <c r="K8535" s="110" t="str">
        <f>IF(H8535="","",IF($C$29="간이법","",FPR(H8535,I8535,J8535)))</f>
        <v/>
      </c>
      <c r="L8535" s="111" t="str">
        <f>IF(H8535="","",IF($C$29="상세법",FPV(H8535,K8535),IF(H8535="EI",4,IF(H8535="EO",5.2,IF(H8535="EQ",3.9,IF(H8535="ILF",7.5,IF(H8535="EIF",5.4)))))))</f>
        <v/>
      </c>
      <c r="M8535" s="112" t="str">
        <f t="shared" si="136"/>
        <v/>
      </c>
      <c r="N8535" s="113"/>
    </row>
    <row r="8536" spans="2:14">
      <c r="B8536" s="105"/>
      <c r="C8536" s="106"/>
      <c r="D8536" s="107"/>
      <c r="E8536" s="65"/>
      <c r="F8536" s="64"/>
      <c r="G8536" s="64"/>
      <c r="H8536" s="64"/>
      <c r="I8536" s="70"/>
      <c r="J8536" s="70"/>
      <c r="K8536" s="110" t="str">
        <f>IF(H8536="","",IF($C$29="간이법","",FPR(H8536,I8536,J8536)))</f>
        <v/>
      </c>
      <c r="L8536" s="111" t="str">
        <f>IF(H8536="","",IF($C$29="상세법",FPV(H8536,K8536),IF(H8536="EI",4,IF(H8536="EO",5.2,IF(H8536="EQ",3.9,IF(H8536="ILF",7.5,IF(H8536="EIF",5.4)))))))</f>
        <v/>
      </c>
      <c r="M8536" s="112" t="str">
        <f t="shared" si="136"/>
        <v/>
      </c>
      <c r="N8536" s="113"/>
    </row>
    <row r="8537" spans="2:14">
      <c r="B8537" s="105"/>
      <c r="C8537" s="106"/>
      <c r="D8537" s="107"/>
      <c r="E8537" s="65"/>
      <c r="F8537" s="64"/>
      <c r="G8537" s="64"/>
      <c r="H8537" s="64"/>
      <c r="I8537" s="70"/>
      <c r="J8537" s="70"/>
      <c r="K8537" s="110" t="str">
        <f>IF(H8537="","",IF($C$29="간이법","",FPR(H8537,I8537,J8537)))</f>
        <v/>
      </c>
      <c r="L8537" s="111" t="str">
        <f>IF(H8537="","",IF($C$29="상세법",FPV(H8537,K8537),IF(H8537="EI",4,IF(H8537="EO",5.2,IF(H8537="EQ",3.9,IF(H8537="ILF",7.5,IF(H8537="EIF",5.4)))))))</f>
        <v/>
      </c>
      <c r="M8537" s="112" t="str">
        <f t="shared" si="136"/>
        <v/>
      </c>
      <c r="N8537" s="113"/>
    </row>
    <row r="8538" spans="2:14">
      <c r="B8538" s="105"/>
      <c r="C8538" s="106"/>
      <c r="D8538" s="107"/>
      <c r="E8538" s="65"/>
      <c r="F8538" s="64"/>
      <c r="G8538" s="64"/>
      <c r="H8538" s="64"/>
      <c r="I8538" s="70"/>
      <c r="J8538" s="70"/>
      <c r="K8538" s="110" t="str">
        <f>IF(H8538="","",IF($C$29="간이법","",FPR(H8538,I8538,J8538)))</f>
        <v/>
      </c>
      <c r="L8538" s="111" t="str">
        <f>IF(H8538="","",IF($C$29="상세법",FPV(H8538,K8538),IF(H8538="EI",4,IF(H8538="EO",5.2,IF(H8538="EQ",3.9,IF(H8538="ILF",7.5,IF(H8538="EIF",5.4)))))))</f>
        <v/>
      </c>
      <c r="M8538" s="112" t="str">
        <f t="shared" si="136"/>
        <v/>
      </c>
      <c r="N8538" s="113"/>
    </row>
    <row r="8539" spans="2:14">
      <c r="B8539" s="105"/>
      <c r="C8539" s="106"/>
      <c r="D8539" s="107"/>
      <c r="E8539" s="65"/>
      <c r="F8539" s="64"/>
      <c r="G8539" s="64"/>
      <c r="H8539" s="64"/>
      <c r="I8539" s="70"/>
      <c r="J8539" s="70"/>
      <c r="K8539" s="110" t="str">
        <f>IF(H8539="","",IF($C$29="간이법","",FPR(H8539,I8539,J8539)))</f>
        <v/>
      </c>
      <c r="L8539" s="111" t="str">
        <f>IF(H8539="","",IF($C$29="상세법",FPV(H8539,K8539),IF(H8539="EI",4,IF(H8539="EO",5.2,IF(H8539="EQ",3.9,IF(H8539="ILF",7.5,IF(H8539="EIF",5.4)))))))</f>
        <v/>
      </c>
      <c r="M8539" s="112" t="str">
        <f t="shared" si="136"/>
        <v/>
      </c>
      <c r="N8539" s="113"/>
    </row>
    <row r="8540" spans="2:14">
      <c r="B8540" s="105"/>
      <c r="C8540" s="106"/>
      <c r="D8540" s="107"/>
      <c r="E8540" s="65"/>
      <c r="F8540" s="64"/>
      <c r="G8540" s="64"/>
      <c r="H8540" s="64"/>
      <c r="I8540" s="70"/>
      <c r="J8540" s="70"/>
      <c r="K8540" s="110" t="str">
        <f>IF(H8540="","",IF($C$29="간이법","",FPR(H8540,I8540,J8540)))</f>
        <v/>
      </c>
      <c r="L8540" s="111" t="str">
        <f>IF(H8540="","",IF($C$29="상세법",FPV(H8540,K8540),IF(H8540="EI",4,IF(H8540="EO",5.2,IF(H8540="EQ",3.9,IF(H8540="ILF",7.5,IF(H8540="EIF",5.4)))))))</f>
        <v/>
      </c>
      <c r="M8540" s="112" t="str">
        <f t="shared" si="136"/>
        <v/>
      </c>
      <c r="N8540" s="113"/>
    </row>
    <row r="8541" spans="2:14">
      <c r="B8541" s="105"/>
      <c r="C8541" s="106"/>
      <c r="D8541" s="107"/>
      <c r="E8541" s="65"/>
      <c r="F8541" s="64"/>
      <c r="G8541" s="64"/>
      <c r="H8541" s="64"/>
      <c r="I8541" s="70"/>
      <c r="J8541" s="70"/>
      <c r="K8541" s="110" t="str">
        <f>IF(H8541="","",IF($C$29="간이법","",FPR(H8541,I8541,J8541)))</f>
        <v/>
      </c>
      <c r="L8541" s="111" t="str">
        <f>IF(H8541="","",IF($C$29="상세법",FPV(H8541,K8541),IF(H8541="EI",4,IF(H8541="EO",5.2,IF(H8541="EQ",3.9,IF(H8541="ILF",7.5,IF(H8541="EIF",5.4)))))))</f>
        <v/>
      </c>
      <c r="M8541" s="112" t="str">
        <f t="shared" si="136"/>
        <v/>
      </c>
      <c r="N8541" s="113"/>
    </row>
    <row r="8542" spans="2:14">
      <c r="B8542" s="105"/>
      <c r="C8542" s="106"/>
      <c r="D8542" s="107"/>
      <c r="E8542" s="65"/>
      <c r="F8542" s="64"/>
      <c r="G8542" s="64"/>
      <c r="H8542" s="64"/>
      <c r="I8542" s="70"/>
      <c r="J8542" s="70"/>
      <c r="K8542" s="110" t="str">
        <f>IF(H8542="","",IF($C$29="간이법","",FPR(H8542,I8542,J8542)))</f>
        <v/>
      </c>
      <c r="L8542" s="111" t="str">
        <f>IF(H8542="","",IF($C$29="상세법",FPV(H8542,K8542),IF(H8542="EI",4,IF(H8542="EO",5.2,IF(H8542="EQ",3.9,IF(H8542="ILF",7.5,IF(H8542="EIF",5.4)))))))</f>
        <v/>
      </c>
      <c r="M8542" s="112" t="str">
        <f t="shared" si="136"/>
        <v/>
      </c>
      <c r="N8542" s="113"/>
    </row>
    <row r="8543" spans="2:14">
      <c r="B8543" s="105"/>
      <c r="C8543" s="106"/>
      <c r="D8543" s="107"/>
      <c r="E8543" s="65"/>
      <c r="F8543" s="64"/>
      <c r="G8543" s="64"/>
      <c r="H8543" s="64"/>
      <c r="I8543" s="70"/>
      <c r="J8543" s="70"/>
      <c r="K8543" s="110" t="str">
        <f>IF(H8543="","",IF($C$29="간이법","",FPR(H8543,I8543,J8543)))</f>
        <v/>
      </c>
      <c r="L8543" s="111" t="str">
        <f>IF(H8543="","",IF($C$29="상세법",FPV(H8543,K8543),IF(H8543="EI",4,IF(H8543="EO",5.2,IF(H8543="EQ",3.9,IF(H8543="ILF",7.5,IF(H8543="EIF",5.4)))))))</f>
        <v/>
      </c>
      <c r="M8543" s="112" t="str">
        <f t="shared" si="136"/>
        <v/>
      </c>
      <c r="N8543" s="113"/>
    </row>
    <row r="8544" spans="2:14">
      <c r="B8544" s="105"/>
      <c r="C8544" s="106"/>
      <c r="D8544" s="107"/>
      <c r="E8544" s="65"/>
      <c r="F8544" s="64"/>
      <c r="G8544" s="64"/>
      <c r="H8544" s="64"/>
      <c r="I8544" s="70"/>
      <c r="J8544" s="70"/>
      <c r="K8544" s="110" t="str">
        <f>IF(H8544="","",IF($C$29="간이법","",FPR(H8544,I8544,J8544)))</f>
        <v/>
      </c>
      <c r="L8544" s="111" t="str">
        <f>IF(H8544="","",IF($C$29="상세법",FPV(H8544,K8544),IF(H8544="EI",4,IF(H8544="EO",5.2,IF(H8544="EQ",3.9,IF(H8544="ILF",7.5,IF(H8544="EIF",5.4)))))))</f>
        <v/>
      </c>
      <c r="M8544" s="112" t="str">
        <f t="shared" si="136"/>
        <v/>
      </c>
      <c r="N8544" s="113"/>
    </row>
    <row r="8545" spans="2:14">
      <c r="B8545" s="105"/>
      <c r="C8545" s="106"/>
      <c r="D8545" s="107"/>
      <c r="E8545" s="65"/>
      <c r="F8545" s="64"/>
      <c r="G8545" s="64"/>
      <c r="H8545" s="64"/>
      <c r="I8545" s="70"/>
      <c r="J8545" s="70"/>
      <c r="K8545" s="110" t="str">
        <f>IF(H8545="","",IF($C$29="간이법","",FPR(H8545,I8545,J8545)))</f>
        <v/>
      </c>
      <c r="L8545" s="111" t="str">
        <f>IF(H8545="","",IF($C$29="상세법",FPV(H8545,K8545),IF(H8545="EI",4,IF(H8545="EO",5.2,IF(H8545="EQ",3.9,IF(H8545="ILF",7.5,IF(H8545="EIF",5.4)))))))</f>
        <v/>
      </c>
      <c r="M8545" s="112" t="str">
        <f t="shared" si="136"/>
        <v/>
      </c>
      <c r="N8545" s="113"/>
    </row>
    <row r="8546" spans="2:14">
      <c r="B8546" s="105"/>
      <c r="C8546" s="106"/>
      <c r="D8546" s="107"/>
      <c r="E8546" s="65"/>
      <c r="F8546" s="64"/>
      <c r="G8546" s="64"/>
      <c r="H8546" s="64"/>
      <c r="I8546" s="70"/>
      <c r="J8546" s="70"/>
      <c r="K8546" s="110" t="str">
        <f>IF(H8546="","",IF($C$29="간이법","",FPR(H8546,I8546,J8546)))</f>
        <v/>
      </c>
      <c r="L8546" s="111" t="str">
        <f>IF(H8546="","",IF($C$29="상세법",FPV(H8546,K8546),IF(H8546="EI",4,IF(H8546="EO",5.2,IF(H8546="EQ",3.9,IF(H8546="ILF",7.5,IF(H8546="EIF",5.4)))))))</f>
        <v/>
      </c>
      <c r="M8546" s="112" t="str">
        <f t="shared" si="136"/>
        <v/>
      </c>
      <c r="N8546" s="113"/>
    </row>
    <row r="8547" spans="2:14">
      <c r="B8547" s="105"/>
      <c r="C8547" s="106"/>
      <c r="D8547" s="107"/>
      <c r="E8547" s="65"/>
      <c r="F8547" s="64"/>
      <c r="G8547" s="64"/>
      <c r="H8547" s="64"/>
      <c r="I8547" s="70"/>
      <c r="J8547" s="70"/>
      <c r="K8547" s="110" t="str">
        <f>IF(H8547="","",IF($C$29="간이법","",FPR(H8547,I8547,J8547)))</f>
        <v/>
      </c>
      <c r="L8547" s="111" t="str">
        <f>IF(H8547="","",IF($C$29="상세법",FPV(H8547,K8547),IF(H8547="EI",4,IF(H8547="EO",5.2,IF(H8547="EQ",3.9,IF(H8547="ILF",7.5,IF(H8547="EIF",5.4)))))))</f>
        <v/>
      </c>
      <c r="M8547" s="112" t="str">
        <f t="shared" si="136"/>
        <v/>
      </c>
      <c r="N8547" s="113"/>
    </row>
    <row r="8548" spans="2:14">
      <c r="B8548" s="105"/>
      <c r="C8548" s="106"/>
      <c r="D8548" s="107"/>
      <c r="E8548" s="65"/>
      <c r="F8548" s="64"/>
      <c r="G8548" s="64"/>
      <c r="H8548" s="64"/>
      <c r="I8548" s="70"/>
      <c r="J8548" s="70"/>
      <c r="K8548" s="110" t="str">
        <f>IF(H8548="","",IF($C$29="간이법","",FPR(H8548,I8548,J8548)))</f>
        <v/>
      </c>
      <c r="L8548" s="111" t="str">
        <f>IF(H8548="","",IF($C$29="상세법",FPV(H8548,K8548),IF(H8548="EI",4,IF(H8548="EO",5.2,IF(H8548="EQ",3.9,IF(H8548="ILF",7.5,IF(H8548="EIF",5.4)))))))</f>
        <v/>
      </c>
      <c r="M8548" s="112" t="str">
        <f t="shared" si="136"/>
        <v/>
      </c>
      <c r="N8548" s="113"/>
    </row>
    <row r="8549" spans="2:14">
      <c r="B8549" s="105"/>
      <c r="C8549" s="106"/>
      <c r="D8549" s="107"/>
      <c r="E8549" s="65"/>
      <c r="F8549" s="64"/>
      <c r="G8549" s="64"/>
      <c r="H8549" s="64"/>
      <c r="I8549" s="70"/>
      <c r="J8549" s="70"/>
      <c r="K8549" s="110" t="str">
        <f>IF(H8549="","",IF($C$29="간이법","",FPR(H8549,I8549,J8549)))</f>
        <v/>
      </c>
      <c r="L8549" s="111" t="str">
        <f>IF(H8549="","",IF($C$29="상세법",FPV(H8549,K8549),IF(H8549="EI",4,IF(H8549="EO",5.2,IF(H8549="EQ",3.9,IF(H8549="ILF",7.5,IF(H8549="EIF",5.4)))))))</f>
        <v/>
      </c>
      <c r="M8549" s="112" t="str">
        <f t="shared" si="136"/>
        <v/>
      </c>
      <c r="N8549" s="113"/>
    </row>
    <row r="8550" spans="2:14">
      <c r="B8550" s="105"/>
      <c r="C8550" s="106"/>
      <c r="D8550" s="107"/>
      <c r="E8550" s="65"/>
      <c r="F8550" s="64"/>
      <c r="G8550" s="64"/>
      <c r="H8550" s="64"/>
      <c r="I8550" s="70"/>
      <c r="J8550" s="70"/>
      <c r="K8550" s="110" t="str">
        <f>IF(H8550="","",IF($C$29="간이법","",FPR(H8550,I8550,J8550)))</f>
        <v/>
      </c>
      <c r="L8550" s="111" t="str">
        <f>IF(H8550="","",IF($C$29="상세법",FPV(H8550,K8550),IF(H8550="EI",4,IF(H8550="EO",5.2,IF(H8550="EQ",3.9,IF(H8550="ILF",7.5,IF(H8550="EIF",5.4)))))))</f>
        <v/>
      </c>
      <c r="M8550" s="112" t="str">
        <f t="shared" si="136"/>
        <v/>
      </c>
      <c r="N8550" s="113"/>
    </row>
    <row r="8551" spans="2:14">
      <c r="B8551" s="105"/>
      <c r="C8551" s="106"/>
      <c r="D8551" s="107"/>
      <c r="E8551" s="65"/>
      <c r="F8551" s="64"/>
      <c r="G8551" s="64"/>
      <c r="H8551" s="64"/>
      <c r="I8551" s="70"/>
      <c r="J8551" s="70"/>
      <c r="K8551" s="110" t="str">
        <f>IF(H8551="","",IF($C$29="간이법","",FPR(H8551,I8551,J8551)))</f>
        <v/>
      </c>
      <c r="L8551" s="111" t="str">
        <f>IF(H8551="","",IF($C$29="상세법",FPV(H8551,K8551),IF(H8551="EI",4,IF(H8551="EO",5.2,IF(H8551="EQ",3.9,IF(H8551="ILF",7.5,IF(H8551="EIF",5.4)))))))</f>
        <v/>
      </c>
      <c r="M8551" s="112" t="str">
        <f t="shared" si="136"/>
        <v/>
      </c>
      <c r="N8551" s="113"/>
    </row>
    <row r="8552" spans="2:14">
      <c r="B8552" s="105"/>
      <c r="C8552" s="106"/>
      <c r="D8552" s="107"/>
      <c r="E8552" s="65"/>
      <c r="F8552" s="64"/>
      <c r="G8552" s="64"/>
      <c r="H8552" s="64"/>
      <c r="I8552" s="70"/>
      <c r="J8552" s="70"/>
      <c r="K8552" s="110" t="str">
        <f>IF(H8552="","",IF($C$29="간이법","",FPR(H8552,I8552,J8552)))</f>
        <v/>
      </c>
      <c r="L8552" s="111" t="str">
        <f>IF(H8552="","",IF($C$29="상세법",FPV(H8552,K8552),IF(H8552="EI",4,IF(H8552="EO",5.2,IF(H8552="EQ",3.9,IF(H8552="ILF",7.5,IF(H8552="EIF",5.4)))))))</f>
        <v/>
      </c>
      <c r="M8552" s="112" t="str">
        <f t="shared" si="136"/>
        <v/>
      </c>
      <c r="N8552" s="113"/>
    </row>
    <row r="8553" spans="2:14">
      <c r="B8553" s="105"/>
      <c r="C8553" s="106"/>
      <c r="D8553" s="107"/>
      <c r="E8553" s="65"/>
      <c r="F8553" s="64"/>
      <c r="G8553" s="64"/>
      <c r="H8553" s="64"/>
      <c r="I8553" s="70"/>
      <c r="J8553" s="70"/>
      <c r="K8553" s="110" t="str">
        <f>IF(H8553="","",IF($C$29="간이법","",FPR(H8553,I8553,J8553)))</f>
        <v/>
      </c>
      <c r="L8553" s="111" t="str">
        <f>IF(H8553="","",IF($C$29="상세법",FPV(H8553,K8553),IF(H8553="EI",4,IF(H8553="EO",5.2,IF(H8553="EQ",3.9,IF(H8553="ILF",7.5,IF(H8553="EIF",5.4)))))))</f>
        <v/>
      </c>
      <c r="M8553" s="112" t="str">
        <f t="shared" si="136"/>
        <v/>
      </c>
      <c r="N8553" s="113"/>
    </row>
    <row r="8554" spans="2:14">
      <c r="B8554" s="105"/>
      <c r="C8554" s="106"/>
      <c r="D8554" s="107"/>
      <c r="E8554" s="65"/>
      <c r="F8554" s="64"/>
      <c r="G8554" s="64"/>
      <c r="H8554" s="64"/>
      <c r="I8554" s="70"/>
      <c r="J8554" s="70"/>
      <c r="K8554" s="110" t="str">
        <f>IF(H8554="","",IF($C$29="간이법","",FPR(H8554,I8554,J8554)))</f>
        <v/>
      </c>
      <c r="L8554" s="111" t="str">
        <f>IF(H8554="","",IF($C$29="상세법",FPV(H8554,K8554),IF(H8554="EI",4,IF(H8554="EO",5.2,IF(H8554="EQ",3.9,IF(H8554="ILF",7.5,IF(H8554="EIF",5.4)))))))</f>
        <v/>
      </c>
      <c r="M8554" s="112" t="str">
        <f t="shared" si="136"/>
        <v/>
      </c>
      <c r="N8554" s="113"/>
    </row>
    <row r="8555" spans="2:14">
      <c r="B8555" s="105"/>
      <c r="C8555" s="106"/>
      <c r="D8555" s="107"/>
      <c r="E8555" s="65"/>
      <c r="F8555" s="64"/>
      <c r="G8555" s="64"/>
      <c r="H8555" s="64"/>
      <c r="I8555" s="70"/>
      <c r="J8555" s="70"/>
      <c r="K8555" s="110" t="str">
        <f>IF(H8555="","",IF($C$29="간이법","",FPR(H8555,I8555,J8555)))</f>
        <v/>
      </c>
      <c r="L8555" s="111" t="str">
        <f>IF(H8555="","",IF($C$29="상세법",FPV(H8555,K8555),IF(H8555="EI",4,IF(H8555="EO",5.2,IF(H8555="EQ",3.9,IF(H8555="ILF",7.5,IF(H8555="EIF",5.4)))))))</f>
        <v/>
      </c>
      <c r="M8555" s="112" t="str">
        <f t="shared" si="136"/>
        <v/>
      </c>
      <c r="N8555" s="113"/>
    </row>
    <row r="8556" spans="2:14">
      <c r="B8556" s="105"/>
      <c r="C8556" s="106"/>
      <c r="D8556" s="107"/>
      <c r="E8556" s="65"/>
      <c r="F8556" s="64"/>
      <c r="G8556" s="64"/>
      <c r="H8556" s="64"/>
      <c r="I8556" s="70"/>
      <c r="J8556" s="70"/>
      <c r="K8556" s="110" t="str">
        <f>IF(H8556="","",IF($C$29="간이법","",FPR(H8556,I8556,J8556)))</f>
        <v/>
      </c>
      <c r="L8556" s="111" t="str">
        <f>IF(H8556="","",IF($C$29="상세법",FPV(H8556,K8556),IF(H8556="EI",4,IF(H8556="EO",5.2,IF(H8556="EQ",3.9,IF(H8556="ILF",7.5,IF(H8556="EIF",5.4)))))))</f>
        <v/>
      </c>
      <c r="M8556" s="112" t="str">
        <f t="shared" si="136"/>
        <v/>
      </c>
      <c r="N8556" s="113"/>
    </row>
    <row r="8557" spans="2:14">
      <c r="B8557" s="105"/>
      <c r="C8557" s="106"/>
      <c r="D8557" s="107"/>
      <c r="E8557" s="65"/>
      <c r="F8557" s="64"/>
      <c r="G8557" s="64"/>
      <c r="H8557" s="64"/>
      <c r="I8557" s="70"/>
      <c r="J8557" s="70"/>
      <c r="K8557" s="110" t="str">
        <f>IF(H8557="","",IF($C$29="간이법","",FPR(H8557,I8557,J8557)))</f>
        <v/>
      </c>
      <c r="L8557" s="111" t="str">
        <f>IF(H8557="","",IF($C$29="상세법",FPV(H8557,K8557),IF(H8557="EI",4,IF(H8557="EO",5.2,IF(H8557="EQ",3.9,IF(H8557="ILF",7.5,IF(H8557="EIF",5.4)))))))</f>
        <v/>
      </c>
      <c r="M8557" s="112" t="str">
        <f t="shared" si="136"/>
        <v/>
      </c>
      <c r="N8557" s="113"/>
    </row>
    <row r="8558" spans="2:14">
      <c r="B8558" s="105"/>
      <c r="C8558" s="106"/>
      <c r="D8558" s="107"/>
      <c r="E8558" s="65"/>
      <c r="F8558" s="64"/>
      <c r="G8558" s="64"/>
      <c r="H8558" s="64"/>
      <c r="I8558" s="70"/>
      <c r="J8558" s="70"/>
      <c r="K8558" s="110" t="str">
        <f>IF(H8558="","",IF($C$29="간이법","",FPR(H8558,I8558,J8558)))</f>
        <v/>
      </c>
      <c r="L8558" s="111" t="str">
        <f>IF(H8558="","",IF($C$29="상세법",FPV(H8558,K8558),IF(H8558="EI",4,IF(H8558="EO",5.2,IF(H8558="EQ",3.9,IF(H8558="ILF",7.5,IF(H8558="EIF",5.4)))))))</f>
        <v/>
      </c>
      <c r="M8558" s="112" t="str">
        <f t="shared" si="136"/>
        <v/>
      </c>
      <c r="N8558" s="113"/>
    </row>
    <row r="8559" spans="2:14">
      <c r="B8559" s="105"/>
      <c r="C8559" s="106"/>
      <c r="D8559" s="107"/>
      <c r="E8559" s="65"/>
      <c r="F8559" s="64"/>
      <c r="G8559" s="64"/>
      <c r="H8559" s="64"/>
      <c r="I8559" s="70"/>
      <c r="J8559" s="70"/>
      <c r="K8559" s="110" t="str">
        <f>IF(H8559="","",IF($C$29="간이법","",FPR(H8559,I8559,J8559)))</f>
        <v/>
      </c>
      <c r="L8559" s="111" t="str">
        <f>IF(H8559="","",IF($C$29="상세법",FPV(H8559,K8559),IF(H8559="EI",4,IF(H8559="EO",5.2,IF(H8559="EQ",3.9,IF(H8559="ILF",7.5,IF(H8559="EIF",5.4)))))))</f>
        <v/>
      </c>
      <c r="M8559" s="112" t="str">
        <f t="shared" si="136"/>
        <v/>
      </c>
      <c r="N8559" s="113"/>
    </row>
    <row r="8560" spans="2:14">
      <c r="B8560" s="105"/>
      <c r="C8560" s="106"/>
      <c r="D8560" s="107"/>
      <c r="E8560" s="65"/>
      <c r="F8560" s="64"/>
      <c r="G8560" s="64"/>
      <c r="H8560" s="64"/>
      <c r="I8560" s="70"/>
      <c r="J8560" s="70"/>
      <c r="K8560" s="110" t="str">
        <f>IF(H8560="","",IF($C$29="간이법","",FPR(H8560,I8560,J8560)))</f>
        <v/>
      </c>
      <c r="L8560" s="111" t="str">
        <f>IF(H8560="","",IF($C$29="상세법",FPV(H8560,K8560),IF(H8560="EI",4,IF(H8560="EO",5.2,IF(H8560="EQ",3.9,IF(H8560="ILF",7.5,IF(H8560="EIF",5.4)))))))</f>
        <v/>
      </c>
      <c r="M8560" s="112" t="str">
        <f t="shared" si="136"/>
        <v/>
      </c>
      <c r="N8560" s="113"/>
    </row>
    <row r="8561" spans="2:14">
      <c r="B8561" s="105"/>
      <c r="C8561" s="106"/>
      <c r="D8561" s="107"/>
      <c r="E8561" s="65"/>
      <c r="F8561" s="64"/>
      <c r="G8561" s="64"/>
      <c r="H8561" s="64"/>
      <c r="I8561" s="70"/>
      <c r="J8561" s="70"/>
      <c r="K8561" s="110" t="str">
        <f>IF(H8561="","",IF($C$29="간이법","",FPR(H8561,I8561,J8561)))</f>
        <v/>
      </c>
      <c r="L8561" s="111" t="str">
        <f>IF(H8561="","",IF($C$29="상세법",FPV(H8561,K8561),IF(H8561="EI",4,IF(H8561="EO",5.2,IF(H8561="EQ",3.9,IF(H8561="ILF",7.5,IF(H8561="EIF",5.4)))))))</f>
        <v/>
      </c>
      <c r="M8561" s="112" t="str">
        <f t="shared" si="136"/>
        <v/>
      </c>
      <c r="N8561" s="113"/>
    </row>
    <row r="8562" spans="2:14">
      <c r="B8562" s="105"/>
      <c r="C8562" s="106"/>
      <c r="D8562" s="107"/>
      <c r="E8562" s="65"/>
      <c r="F8562" s="64"/>
      <c r="G8562" s="64"/>
      <c r="H8562" s="64"/>
      <c r="I8562" s="70"/>
      <c r="J8562" s="70"/>
      <c r="K8562" s="110" t="str">
        <f>IF(H8562="","",IF($C$29="간이법","",FPR(H8562,I8562,J8562)))</f>
        <v/>
      </c>
      <c r="L8562" s="111" t="str">
        <f>IF(H8562="","",IF($C$29="상세법",FPV(H8562,K8562),IF(H8562="EI",4,IF(H8562="EO",5.2,IF(H8562="EQ",3.9,IF(H8562="ILF",7.5,IF(H8562="EIF",5.4)))))))</f>
        <v/>
      </c>
      <c r="M8562" s="112" t="str">
        <f t="shared" si="136"/>
        <v/>
      </c>
      <c r="N8562" s="113"/>
    </row>
    <row r="8563" spans="2:14">
      <c r="B8563" s="105"/>
      <c r="C8563" s="106"/>
      <c r="D8563" s="107"/>
      <c r="E8563" s="65"/>
      <c r="F8563" s="64"/>
      <c r="G8563" s="64"/>
      <c r="H8563" s="64"/>
      <c r="I8563" s="70"/>
      <c r="J8563" s="70"/>
      <c r="K8563" s="110" t="str">
        <f>IF(H8563="","",IF($C$29="간이법","",FPR(H8563,I8563,J8563)))</f>
        <v/>
      </c>
      <c r="L8563" s="111" t="str">
        <f>IF(H8563="","",IF($C$29="상세법",FPV(H8563,K8563),IF(H8563="EI",4,IF(H8563="EO",5.2,IF(H8563="EQ",3.9,IF(H8563="ILF",7.5,IF(H8563="EIF",5.4)))))))</f>
        <v/>
      </c>
      <c r="M8563" s="112" t="str">
        <f t="shared" si="136"/>
        <v/>
      </c>
      <c r="N8563" s="113"/>
    </row>
    <row r="8564" spans="2:14">
      <c r="B8564" s="105"/>
      <c r="C8564" s="106"/>
      <c r="D8564" s="107"/>
      <c r="E8564" s="65"/>
      <c r="F8564" s="64"/>
      <c r="G8564" s="64"/>
      <c r="H8564" s="64"/>
      <c r="I8564" s="70"/>
      <c r="J8564" s="70"/>
      <c r="K8564" s="110" t="str">
        <f>IF(H8564="","",IF($C$29="간이법","",FPR(H8564,I8564,J8564)))</f>
        <v/>
      </c>
      <c r="L8564" s="111" t="str">
        <f>IF(H8564="","",IF($C$29="상세법",FPV(H8564,K8564),IF(H8564="EI",4,IF(H8564="EO",5.2,IF(H8564="EQ",3.9,IF(H8564="ILF",7.5,IF(H8564="EIF",5.4)))))))</f>
        <v/>
      </c>
      <c r="M8564" s="112" t="str">
        <f t="shared" si="136"/>
        <v/>
      </c>
      <c r="N8564" s="113"/>
    </row>
    <row r="8565" spans="2:14">
      <c r="B8565" s="105"/>
      <c r="C8565" s="106"/>
      <c r="D8565" s="107"/>
      <c r="E8565" s="65"/>
      <c r="F8565" s="64"/>
      <c r="G8565" s="64"/>
      <c r="H8565" s="64"/>
      <c r="I8565" s="70"/>
      <c r="J8565" s="70"/>
      <c r="K8565" s="110" t="str">
        <f>IF(H8565="","",IF($C$29="간이법","",FPR(H8565,I8565,J8565)))</f>
        <v/>
      </c>
      <c r="L8565" s="111" t="str">
        <f>IF(H8565="","",IF($C$29="상세법",FPV(H8565,K8565),IF(H8565="EI",4,IF(H8565="EO",5.2,IF(H8565="EQ",3.9,IF(H8565="ILF",7.5,IF(H8565="EIF",5.4)))))))</f>
        <v/>
      </c>
      <c r="M8565" s="112" t="str">
        <f t="shared" si="136"/>
        <v/>
      </c>
      <c r="N8565" s="113"/>
    </row>
    <row r="8566" spans="2:14">
      <c r="B8566" s="105"/>
      <c r="C8566" s="106"/>
      <c r="D8566" s="107"/>
      <c r="E8566" s="65"/>
      <c r="F8566" s="64"/>
      <c r="G8566" s="64"/>
      <c r="H8566" s="64"/>
      <c r="I8566" s="70"/>
      <c r="J8566" s="70"/>
      <c r="K8566" s="110" t="str">
        <f>IF(H8566="","",IF($C$29="간이법","",FPR(H8566,I8566,J8566)))</f>
        <v/>
      </c>
      <c r="L8566" s="111" t="str">
        <f>IF(H8566="","",IF($C$29="상세법",FPV(H8566,K8566),IF(H8566="EI",4,IF(H8566="EO",5.2,IF(H8566="EQ",3.9,IF(H8566="ILF",7.5,IF(H8566="EIF",5.4)))))))</f>
        <v/>
      </c>
      <c r="M8566" s="112" t="str">
        <f t="shared" si="136"/>
        <v/>
      </c>
      <c r="N8566" s="113"/>
    </row>
    <row r="8567" spans="2:14">
      <c r="B8567" s="105"/>
      <c r="C8567" s="106"/>
      <c r="D8567" s="107"/>
      <c r="E8567" s="65"/>
      <c r="F8567" s="64"/>
      <c r="G8567" s="64"/>
      <c r="H8567" s="64"/>
      <c r="I8567" s="70"/>
      <c r="J8567" s="70"/>
      <c r="K8567" s="110" t="str">
        <f>IF(H8567="","",IF($C$29="간이법","",FPR(H8567,I8567,J8567)))</f>
        <v/>
      </c>
      <c r="L8567" s="111" t="str">
        <f>IF(H8567="","",IF($C$29="상세법",FPV(H8567,K8567),IF(H8567="EI",4,IF(H8567="EO",5.2,IF(H8567="EQ",3.9,IF(H8567="ILF",7.5,IF(H8567="EIF",5.4)))))))</f>
        <v/>
      </c>
      <c r="M8567" s="112" t="str">
        <f t="shared" si="136"/>
        <v/>
      </c>
      <c r="N8567" s="113"/>
    </row>
    <row r="8568" spans="2:14">
      <c r="B8568" s="105"/>
      <c r="C8568" s="106"/>
      <c r="D8568" s="107"/>
      <c r="E8568" s="65"/>
      <c r="F8568" s="64"/>
      <c r="G8568" s="64"/>
      <c r="H8568" s="64"/>
      <c r="I8568" s="70"/>
      <c r="J8568" s="70"/>
      <c r="K8568" s="110" t="str">
        <f>IF(H8568="","",IF($C$29="간이법","",FPR(H8568,I8568,J8568)))</f>
        <v/>
      </c>
      <c r="L8568" s="111" t="str">
        <f>IF(H8568="","",IF($C$29="상세법",FPV(H8568,K8568),IF(H8568="EI",4,IF(H8568="EO",5.2,IF(H8568="EQ",3.9,IF(H8568="ILF",7.5,IF(H8568="EIF",5.4)))))))</f>
        <v/>
      </c>
      <c r="M8568" s="112" t="str">
        <f t="shared" si="136"/>
        <v/>
      </c>
      <c r="N8568" s="113"/>
    </row>
    <row r="8569" spans="2:14">
      <c r="B8569" s="105"/>
      <c r="C8569" s="106"/>
      <c r="D8569" s="107"/>
      <c r="E8569" s="65"/>
      <c r="F8569" s="64"/>
      <c r="G8569" s="64"/>
      <c r="H8569" s="64"/>
      <c r="I8569" s="70"/>
      <c r="J8569" s="70"/>
      <c r="K8569" s="110" t="str">
        <f>IF(H8569="","",IF($C$29="간이법","",FPR(H8569,I8569,J8569)))</f>
        <v/>
      </c>
      <c r="L8569" s="111" t="str">
        <f>IF(H8569="","",IF($C$29="상세법",FPV(H8569,K8569),IF(H8569="EI",4,IF(H8569="EO",5.2,IF(H8569="EQ",3.9,IF(H8569="ILF",7.5,IF(H8569="EIF",5.4)))))))</f>
        <v/>
      </c>
      <c r="M8569" s="112" t="str">
        <f t="shared" ref="M8569:M8632" si="137">IF(L8569="","",L8569*IF(G8569="상",0.7,IF(G8569="중",0.5,IF(G8569="하",0.2,1))))</f>
        <v/>
      </c>
      <c r="N8569" s="113"/>
    </row>
    <row r="8570" spans="2:14">
      <c r="B8570" s="105"/>
      <c r="C8570" s="106"/>
      <c r="D8570" s="107"/>
      <c r="E8570" s="65"/>
      <c r="F8570" s="64"/>
      <c r="G8570" s="64"/>
      <c r="H8570" s="64"/>
      <c r="I8570" s="70"/>
      <c r="J8570" s="70"/>
      <c r="K8570" s="110" t="str">
        <f>IF(H8570="","",IF($C$29="간이법","",FPR(H8570,I8570,J8570)))</f>
        <v/>
      </c>
      <c r="L8570" s="111" t="str">
        <f>IF(H8570="","",IF($C$29="상세법",FPV(H8570,K8570),IF(H8570="EI",4,IF(H8570="EO",5.2,IF(H8570="EQ",3.9,IF(H8570="ILF",7.5,IF(H8570="EIF",5.4)))))))</f>
        <v/>
      </c>
      <c r="M8570" s="112" t="str">
        <f t="shared" si="137"/>
        <v/>
      </c>
      <c r="N8570" s="113"/>
    </row>
    <row r="8571" spans="2:14">
      <c r="B8571" s="105"/>
      <c r="C8571" s="106"/>
      <c r="D8571" s="107"/>
      <c r="E8571" s="65"/>
      <c r="F8571" s="64"/>
      <c r="G8571" s="64"/>
      <c r="H8571" s="64"/>
      <c r="I8571" s="70"/>
      <c r="J8571" s="70"/>
      <c r="K8571" s="110" t="str">
        <f>IF(H8571="","",IF($C$29="간이법","",FPR(H8571,I8571,J8571)))</f>
        <v/>
      </c>
      <c r="L8571" s="111" t="str">
        <f>IF(H8571="","",IF($C$29="상세법",FPV(H8571,K8571),IF(H8571="EI",4,IF(H8571="EO",5.2,IF(H8571="EQ",3.9,IF(H8571="ILF",7.5,IF(H8571="EIF",5.4)))))))</f>
        <v/>
      </c>
      <c r="M8571" s="112" t="str">
        <f t="shared" si="137"/>
        <v/>
      </c>
      <c r="N8571" s="113"/>
    </row>
    <row r="8572" spans="2:14">
      <c r="B8572" s="105"/>
      <c r="C8572" s="106"/>
      <c r="D8572" s="107"/>
      <c r="E8572" s="65"/>
      <c r="F8572" s="64"/>
      <c r="G8572" s="64"/>
      <c r="H8572" s="64"/>
      <c r="I8572" s="70"/>
      <c r="J8572" s="70"/>
      <c r="K8572" s="110" t="str">
        <f>IF(H8572="","",IF($C$29="간이법","",FPR(H8572,I8572,J8572)))</f>
        <v/>
      </c>
      <c r="L8572" s="111" t="str">
        <f>IF(H8572="","",IF($C$29="상세법",FPV(H8572,K8572),IF(H8572="EI",4,IF(H8572="EO",5.2,IF(H8572="EQ",3.9,IF(H8572="ILF",7.5,IF(H8572="EIF",5.4)))))))</f>
        <v/>
      </c>
      <c r="M8572" s="112" t="str">
        <f t="shared" si="137"/>
        <v/>
      </c>
      <c r="N8572" s="113"/>
    </row>
    <row r="8573" spans="2:14">
      <c r="B8573" s="105"/>
      <c r="C8573" s="106"/>
      <c r="D8573" s="107"/>
      <c r="E8573" s="65"/>
      <c r="F8573" s="64"/>
      <c r="G8573" s="64"/>
      <c r="H8573" s="64"/>
      <c r="I8573" s="70"/>
      <c r="J8573" s="70"/>
      <c r="K8573" s="110" t="str">
        <f>IF(H8573="","",IF($C$29="간이법","",FPR(H8573,I8573,J8573)))</f>
        <v/>
      </c>
      <c r="L8573" s="111" t="str">
        <f>IF(H8573="","",IF($C$29="상세법",FPV(H8573,K8573),IF(H8573="EI",4,IF(H8573="EO",5.2,IF(H8573="EQ",3.9,IF(H8573="ILF",7.5,IF(H8573="EIF",5.4)))))))</f>
        <v/>
      </c>
      <c r="M8573" s="112" t="str">
        <f t="shared" si="137"/>
        <v/>
      </c>
      <c r="N8573" s="113"/>
    </row>
    <row r="8574" spans="2:14">
      <c r="B8574" s="105"/>
      <c r="C8574" s="106"/>
      <c r="D8574" s="107"/>
      <c r="E8574" s="65"/>
      <c r="F8574" s="64"/>
      <c r="G8574" s="64"/>
      <c r="H8574" s="64"/>
      <c r="I8574" s="70"/>
      <c r="J8574" s="70"/>
      <c r="K8574" s="110" t="str">
        <f>IF(H8574="","",IF($C$29="간이법","",FPR(H8574,I8574,J8574)))</f>
        <v/>
      </c>
      <c r="L8574" s="111" t="str">
        <f>IF(H8574="","",IF($C$29="상세법",FPV(H8574,K8574),IF(H8574="EI",4,IF(H8574="EO",5.2,IF(H8574="EQ",3.9,IF(H8574="ILF",7.5,IF(H8574="EIF",5.4)))))))</f>
        <v/>
      </c>
      <c r="M8574" s="112" t="str">
        <f t="shared" si="137"/>
        <v/>
      </c>
      <c r="N8574" s="113"/>
    </row>
    <row r="8575" spans="2:14">
      <c r="B8575" s="105"/>
      <c r="C8575" s="106"/>
      <c r="D8575" s="107"/>
      <c r="E8575" s="65"/>
      <c r="F8575" s="64"/>
      <c r="G8575" s="64"/>
      <c r="H8575" s="64"/>
      <c r="I8575" s="70"/>
      <c r="J8575" s="70"/>
      <c r="K8575" s="110" t="str">
        <f>IF(H8575="","",IF($C$29="간이법","",FPR(H8575,I8575,J8575)))</f>
        <v/>
      </c>
      <c r="L8575" s="111" t="str">
        <f>IF(H8575="","",IF($C$29="상세법",FPV(H8575,K8575),IF(H8575="EI",4,IF(H8575="EO",5.2,IF(H8575="EQ",3.9,IF(H8575="ILF",7.5,IF(H8575="EIF",5.4)))))))</f>
        <v/>
      </c>
      <c r="M8575" s="112" t="str">
        <f t="shared" si="137"/>
        <v/>
      </c>
      <c r="N8575" s="113"/>
    </row>
    <row r="8576" spans="2:14">
      <c r="B8576" s="105"/>
      <c r="C8576" s="106"/>
      <c r="D8576" s="107"/>
      <c r="E8576" s="65"/>
      <c r="F8576" s="64"/>
      <c r="G8576" s="64"/>
      <c r="H8576" s="64"/>
      <c r="I8576" s="70"/>
      <c r="J8576" s="70"/>
      <c r="K8576" s="110" t="str">
        <f>IF(H8576="","",IF($C$29="간이법","",FPR(H8576,I8576,J8576)))</f>
        <v/>
      </c>
      <c r="L8576" s="111" t="str">
        <f>IF(H8576="","",IF($C$29="상세법",FPV(H8576,K8576),IF(H8576="EI",4,IF(H8576="EO",5.2,IF(H8576="EQ",3.9,IF(H8576="ILF",7.5,IF(H8576="EIF",5.4)))))))</f>
        <v/>
      </c>
      <c r="M8576" s="112" t="str">
        <f t="shared" si="137"/>
        <v/>
      </c>
      <c r="N8576" s="113"/>
    </row>
    <row r="8577" spans="2:14">
      <c r="B8577" s="105"/>
      <c r="C8577" s="106"/>
      <c r="D8577" s="107"/>
      <c r="E8577" s="65"/>
      <c r="F8577" s="64"/>
      <c r="G8577" s="64"/>
      <c r="H8577" s="64"/>
      <c r="I8577" s="70"/>
      <c r="J8577" s="70"/>
      <c r="K8577" s="110" t="str">
        <f>IF(H8577="","",IF($C$29="간이법","",FPR(H8577,I8577,J8577)))</f>
        <v/>
      </c>
      <c r="L8577" s="111" t="str">
        <f>IF(H8577="","",IF($C$29="상세법",FPV(H8577,K8577),IF(H8577="EI",4,IF(H8577="EO",5.2,IF(H8577="EQ",3.9,IF(H8577="ILF",7.5,IF(H8577="EIF",5.4)))))))</f>
        <v/>
      </c>
      <c r="M8577" s="112" t="str">
        <f t="shared" si="137"/>
        <v/>
      </c>
      <c r="N8577" s="113"/>
    </row>
    <row r="8578" spans="2:14">
      <c r="B8578" s="105"/>
      <c r="C8578" s="106"/>
      <c r="D8578" s="107"/>
      <c r="E8578" s="65"/>
      <c r="F8578" s="64"/>
      <c r="G8578" s="64"/>
      <c r="H8578" s="64"/>
      <c r="I8578" s="70"/>
      <c r="J8578" s="70"/>
      <c r="K8578" s="110" t="str">
        <f>IF(H8578="","",IF($C$29="간이법","",FPR(H8578,I8578,J8578)))</f>
        <v/>
      </c>
      <c r="L8578" s="111" t="str">
        <f>IF(H8578="","",IF($C$29="상세법",FPV(H8578,K8578),IF(H8578="EI",4,IF(H8578="EO",5.2,IF(H8578="EQ",3.9,IF(H8578="ILF",7.5,IF(H8578="EIF",5.4)))))))</f>
        <v/>
      </c>
      <c r="M8578" s="112" t="str">
        <f t="shared" si="137"/>
        <v/>
      </c>
      <c r="N8578" s="113"/>
    </row>
    <row r="8579" spans="2:14">
      <c r="B8579" s="105"/>
      <c r="C8579" s="106"/>
      <c r="D8579" s="107"/>
      <c r="E8579" s="65"/>
      <c r="F8579" s="64"/>
      <c r="G8579" s="64"/>
      <c r="H8579" s="64"/>
      <c r="I8579" s="70"/>
      <c r="J8579" s="70"/>
      <c r="K8579" s="110" t="str">
        <f>IF(H8579="","",IF($C$29="간이법","",FPR(H8579,I8579,J8579)))</f>
        <v/>
      </c>
      <c r="L8579" s="111" t="str">
        <f>IF(H8579="","",IF($C$29="상세법",FPV(H8579,K8579),IF(H8579="EI",4,IF(H8579="EO",5.2,IF(H8579="EQ",3.9,IF(H8579="ILF",7.5,IF(H8579="EIF",5.4)))))))</f>
        <v/>
      </c>
      <c r="M8579" s="112" t="str">
        <f t="shared" si="137"/>
        <v/>
      </c>
      <c r="N8579" s="113"/>
    </row>
    <row r="8580" spans="2:14">
      <c r="B8580" s="105"/>
      <c r="C8580" s="106"/>
      <c r="D8580" s="107"/>
      <c r="E8580" s="65"/>
      <c r="F8580" s="64"/>
      <c r="G8580" s="64"/>
      <c r="H8580" s="64"/>
      <c r="I8580" s="70"/>
      <c r="J8580" s="70"/>
      <c r="K8580" s="110" t="str">
        <f>IF(H8580="","",IF($C$29="간이법","",FPR(H8580,I8580,J8580)))</f>
        <v/>
      </c>
      <c r="L8580" s="111" t="str">
        <f>IF(H8580="","",IF($C$29="상세법",FPV(H8580,K8580),IF(H8580="EI",4,IF(H8580="EO",5.2,IF(H8580="EQ",3.9,IF(H8580="ILF",7.5,IF(H8580="EIF",5.4)))))))</f>
        <v/>
      </c>
      <c r="M8580" s="112" t="str">
        <f t="shared" si="137"/>
        <v/>
      </c>
      <c r="N8580" s="113"/>
    </row>
    <row r="8581" spans="2:14">
      <c r="B8581" s="105"/>
      <c r="C8581" s="106"/>
      <c r="D8581" s="107"/>
      <c r="E8581" s="65"/>
      <c r="F8581" s="64"/>
      <c r="G8581" s="64"/>
      <c r="H8581" s="64"/>
      <c r="I8581" s="70"/>
      <c r="J8581" s="70"/>
      <c r="K8581" s="110" t="str">
        <f>IF(H8581="","",IF($C$29="간이법","",FPR(H8581,I8581,J8581)))</f>
        <v/>
      </c>
      <c r="L8581" s="111" t="str">
        <f>IF(H8581="","",IF($C$29="상세법",FPV(H8581,K8581),IF(H8581="EI",4,IF(H8581="EO",5.2,IF(H8581="EQ",3.9,IF(H8581="ILF",7.5,IF(H8581="EIF",5.4)))))))</f>
        <v/>
      </c>
      <c r="M8581" s="112" t="str">
        <f t="shared" si="137"/>
        <v/>
      </c>
      <c r="N8581" s="113"/>
    </row>
    <row r="8582" spans="2:14">
      <c r="B8582" s="105"/>
      <c r="C8582" s="106"/>
      <c r="D8582" s="107"/>
      <c r="E8582" s="65"/>
      <c r="F8582" s="64"/>
      <c r="G8582" s="64"/>
      <c r="H8582" s="64"/>
      <c r="I8582" s="70"/>
      <c r="J8582" s="70"/>
      <c r="K8582" s="110" t="str">
        <f>IF(H8582="","",IF($C$29="간이법","",FPR(H8582,I8582,J8582)))</f>
        <v/>
      </c>
      <c r="L8582" s="111" t="str">
        <f>IF(H8582="","",IF($C$29="상세법",FPV(H8582,K8582),IF(H8582="EI",4,IF(H8582="EO",5.2,IF(H8582="EQ",3.9,IF(H8582="ILF",7.5,IF(H8582="EIF",5.4)))))))</f>
        <v/>
      </c>
      <c r="M8582" s="112" t="str">
        <f t="shared" si="137"/>
        <v/>
      </c>
      <c r="N8582" s="113"/>
    </row>
    <row r="8583" spans="2:14">
      <c r="B8583" s="105"/>
      <c r="C8583" s="106"/>
      <c r="D8583" s="107"/>
      <c r="E8583" s="65"/>
      <c r="F8583" s="64"/>
      <c r="G8583" s="64"/>
      <c r="H8583" s="64"/>
      <c r="I8583" s="70"/>
      <c r="J8583" s="70"/>
      <c r="K8583" s="110" t="str">
        <f>IF(H8583="","",IF($C$29="간이법","",FPR(H8583,I8583,J8583)))</f>
        <v/>
      </c>
      <c r="L8583" s="111" t="str">
        <f>IF(H8583="","",IF($C$29="상세법",FPV(H8583,K8583),IF(H8583="EI",4,IF(H8583="EO",5.2,IF(H8583="EQ",3.9,IF(H8583="ILF",7.5,IF(H8583="EIF",5.4)))))))</f>
        <v/>
      </c>
      <c r="M8583" s="112" t="str">
        <f t="shared" si="137"/>
        <v/>
      </c>
      <c r="N8583" s="113"/>
    </row>
    <row r="8584" spans="2:14">
      <c r="B8584" s="105"/>
      <c r="C8584" s="106"/>
      <c r="D8584" s="107"/>
      <c r="E8584" s="65"/>
      <c r="F8584" s="64"/>
      <c r="G8584" s="64"/>
      <c r="H8584" s="64"/>
      <c r="I8584" s="70"/>
      <c r="J8584" s="70"/>
      <c r="K8584" s="110" t="str">
        <f>IF(H8584="","",IF($C$29="간이법","",FPR(H8584,I8584,J8584)))</f>
        <v/>
      </c>
      <c r="L8584" s="111" t="str">
        <f>IF(H8584="","",IF($C$29="상세법",FPV(H8584,K8584),IF(H8584="EI",4,IF(H8584="EO",5.2,IF(H8584="EQ",3.9,IF(H8584="ILF",7.5,IF(H8584="EIF",5.4)))))))</f>
        <v/>
      </c>
      <c r="M8584" s="112" t="str">
        <f t="shared" si="137"/>
        <v/>
      </c>
      <c r="N8584" s="113"/>
    </row>
    <row r="8585" spans="2:14">
      <c r="B8585" s="105"/>
      <c r="C8585" s="106"/>
      <c r="D8585" s="107"/>
      <c r="E8585" s="65"/>
      <c r="F8585" s="64"/>
      <c r="G8585" s="64"/>
      <c r="H8585" s="64"/>
      <c r="I8585" s="70"/>
      <c r="J8585" s="70"/>
      <c r="K8585" s="110" t="str">
        <f>IF(H8585="","",IF($C$29="간이법","",FPR(H8585,I8585,J8585)))</f>
        <v/>
      </c>
      <c r="L8585" s="111" t="str">
        <f>IF(H8585="","",IF($C$29="상세법",FPV(H8585,K8585),IF(H8585="EI",4,IF(H8585="EO",5.2,IF(H8585="EQ",3.9,IF(H8585="ILF",7.5,IF(H8585="EIF",5.4)))))))</f>
        <v/>
      </c>
      <c r="M8585" s="112" t="str">
        <f t="shared" si="137"/>
        <v/>
      </c>
      <c r="N8585" s="113"/>
    </row>
    <row r="8586" spans="2:14">
      <c r="B8586" s="105"/>
      <c r="C8586" s="106"/>
      <c r="D8586" s="107"/>
      <c r="E8586" s="65"/>
      <c r="F8586" s="64"/>
      <c r="G8586" s="64"/>
      <c r="H8586" s="64"/>
      <c r="I8586" s="70"/>
      <c r="J8586" s="70"/>
      <c r="K8586" s="110" t="str">
        <f>IF(H8586="","",IF($C$29="간이법","",FPR(H8586,I8586,J8586)))</f>
        <v/>
      </c>
      <c r="L8586" s="111" t="str">
        <f>IF(H8586="","",IF($C$29="상세법",FPV(H8586,K8586),IF(H8586="EI",4,IF(H8586="EO",5.2,IF(H8586="EQ",3.9,IF(H8586="ILF",7.5,IF(H8586="EIF",5.4)))))))</f>
        <v/>
      </c>
      <c r="M8586" s="112" t="str">
        <f t="shared" si="137"/>
        <v/>
      </c>
      <c r="N8586" s="113"/>
    </row>
    <row r="8587" spans="2:14">
      <c r="B8587" s="105"/>
      <c r="C8587" s="106"/>
      <c r="D8587" s="107"/>
      <c r="E8587" s="65"/>
      <c r="F8587" s="64"/>
      <c r="G8587" s="64"/>
      <c r="H8587" s="64"/>
      <c r="I8587" s="70"/>
      <c r="J8587" s="70"/>
      <c r="K8587" s="110" t="str">
        <f>IF(H8587="","",IF($C$29="간이법","",FPR(H8587,I8587,J8587)))</f>
        <v/>
      </c>
      <c r="L8587" s="111" t="str">
        <f>IF(H8587="","",IF($C$29="상세법",FPV(H8587,K8587),IF(H8587="EI",4,IF(H8587="EO",5.2,IF(H8587="EQ",3.9,IF(H8587="ILF",7.5,IF(H8587="EIF",5.4)))))))</f>
        <v/>
      </c>
      <c r="M8587" s="112" t="str">
        <f t="shared" si="137"/>
        <v/>
      </c>
      <c r="N8587" s="113"/>
    </row>
    <row r="8588" spans="2:14">
      <c r="B8588" s="105"/>
      <c r="C8588" s="106"/>
      <c r="D8588" s="107"/>
      <c r="E8588" s="65"/>
      <c r="F8588" s="64"/>
      <c r="G8588" s="64"/>
      <c r="H8588" s="64"/>
      <c r="I8588" s="70"/>
      <c r="J8588" s="70"/>
      <c r="K8588" s="110" t="str">
        <f>IF(H8588="","",IF($C$29="간이법","",FPR(H8588,I8588,J8588)))</f>
        <v/>
      </c>
      <c r="L8588" s="111" t="str">
        <f>IF(H8588="","",IF($C$29="상세법",FPV(H8588,K8588),IF(H8588="EI",4,IF(H8588="EO",5.2,IF(H8588="EQ",3.9,IF(H8588="ILF",7.5,IF(H8588="EIF",5.4)))))))</f>
        <v/>
      </c>
      <c r="M8588" s="112" t="str">
        <f t="shared" si="137"/>
        <v/>
      </c>
      <c r="N8588" s="113"/>
    </row>
    <row r="8589" spans="2:14">
      <c r="B8589" s="105"/>
      <c r="C8589" s="106"/>
      <c r="D8589" s="107"/>
      <c r="E8589" s="65"/>
      <c r="F8589" s="64"/>
      <c r="G8589" s="64"/>
      <c r="H8589" s="64"/>
      <c r="I8589" s="70"/>
      <c r="J8589" s="70"/>
      <c r="K8589" s="110" t="str">
        <f>IF(H8589="","",IF($C$29="간이법","",FPR(H8589,I8589,J8589)))</f>
        <v/>
      </c>
      <c r="L8589" s="111" t="str">
        <f>IF(H8589="","",IF($C$29="상세법",FPV(H8589,K8589),IF(H8589="EI",4,IF(H8589="EO",5.2,IF(H8589="EQ",3.9,IF(H8589="ILF",7.5,IF(H8589="EIF",5.4)))))))</f>
        <v/>
      </c>
      <c r="M8589" s="112" t="str">
        <f t="shared" si="137"/>
        <v/>
      </c>
      <c r="N8589" s="113"/>
    </row>
    <row r="8590" spans="2:14">
      <c r="B8590" s="105"/>
      <c r="C8590" s="106"/>
      <c r="D8590" s="107"/>
      <c r="E8590" s="65"/>
      <c r="F8590" s="64"/>
      <c r="G8590" s="64"/>
      <c r="H8590" s="64"/>
      <c r="I8590" s="70"/>
      <c r="J8590" s="70"/>
      <c r="K8590" s="110" t="str">
        <f>IF(H8590="","",IF($C$29="간이법","",FPR(H8590,I8590,J8590)))</f>
        <v/>
      </c>
      <c r="L8590" s="111" t="str">
        <f>IF(H8590="","",IF($C$29="상세법",FPV(H8590,K8590),IF(H8590="EI",4,IF(H8590="EO",5.2,IF(H8590="EQ",3.9,IF(H8590="ILF",7.5,IF(H8590="EIF",5.4)))))))</f>
        <v/>
      </c>
      <c r="M8590" s="112" t="str">
        <f t="shared" si="137"/>
        <v/>
      </c>
      <c r="N8590" s="113"/>
    </row>
    <row r="8591" spans="2:14">
      <c r="B8591" s="105"/>
      <c r="C8591" s="106"/>
      <c r="D8591" s="107"/>
      <c r="E8591" s="65"/>
      <c r="F8591" s="64"/>
      <c r="G8591" s="64"/>
      <c r="H8591" s="64"/>
      <c r="I8591" s="70"/>
      <c r="J8591" s="70"/>
      <c r="K8591" s="110" t="str">
        <f>IF(H8591="","",IF($C$29="간이법","",FPR(H8591,I8591,J8591)))</f>
        <v/>
      </c>
      <c r="L8591" s="111" t="str">
        <f>IF(H8591="","",IF($C$29="상세법",FPV(H8591,K8591),IF(H8591="EI",4,IF(H8591="EO",5.2,IF(H8591="EQ",3.9,IF(H8591="ILF",7.5,IF(H8591="EIF",5.4)))))))</f>
        <v/>
      </c>
      <c r="M8591" s="112" t="str">
        <f t="shared" si="137"/>
        <v/>
      </c>
      <c r="N8591" s="113"/>
    </row>
    <row r="8592" spans="2:14">
      <c r="B8592" s="105"/>
      <c r="C8592" s="106"/>
      <c r="D8592" s="107"/>
      <c r="E8592" s="65"/>
      <c r="F8592" s="64"/>
      <c r="G8592" s="64"/>
      <c r="H8592" s="64"/>
      <c r="I8592" s="70"/>
      <c r="J8592" s="70"/>
      <c r="K8592" s="110" t="str">
        <f>IF(H8592="","",IF($C$29="간이법","",FPR(H8592,I8592,J8592)))</f>
        <v/>
      </c>
      <c r="L8592" s="111" t="str">
        <f>IF(H8592="","",IF($C$29="상세법",FPV(H8592,K8592),IF(H8592="EI",4,IF(H8592="EO",5.2,IF(H8592="EQ",3.9,IF(H8592="ILF",7.5,IF(H8592="EIF",5.4)))))))</f>
        <v/>
      </c>
      <c r="M8592" s="112" t="str">
        <f t="shared" si="137"/>
        <v/>
      </c>
      <c r="N8592" s="113"/>
    </row>
    <row r="8593" spans="2:14">
      <c r="B8593" s="105"/>
      <c r="C8593" s="106"/>
      <c r="D8593" s="107"/>
      <c r="E8593" s="65"/>
      <c r="F8593" s="64"/>
      <c r="G8593" s="64"/>
      <c r="H8593" s="64"/>
      <c r="I8593" s="70"/>
      <c r="J8593" s="70"/>
      <c r="K8593" s="110" t="str">
        <f>IF(H8593="","",IF($C$29="간이법","",FPR(H8593,I8593,J8593)))</f>
        <v/>
      </c>
      <c r="L8593" s="111" t="str">
        <f>IF(H8593="","",IF($C$29="상세법",FPV(H8593,K8593),IF(H8593="EI",4,IF(H8593="EO",5.2,IF(H8593="EQ",3.9,IF(H8593="ILF",7.5,IF(H8593="EIF",5.4)))))))</f>
        <v/>
      </c>
      <c r="M8593" s="112" t="str">
        <f t="shared" si="137"/>
        <v/>
      </c>
      <c r="N8593" s="113"/>
    </row>
    <row r="8594" spans="2:14">
      <c r="B8594" s="105"/>
      <c r="C8594" s="106"/>
      <c r="D8594" s="107"/>
      <c r="E8594" s="65"/>
      <c r="F8594" s="64"/>
      <c r="G8594" s="64"/>
      <c r="H8594" s="64"/>
      <c r="I8594" s="70"/>
      <c r="J8594" s="70"/>
      <c r="K8594" s="110" t="str">
        <f>IF(H8594="","",IF($C$29="간이법","",FPR(H8594,I8594,J8594)))</f>
        <v/>
      </c>
      <c r="L8594" s="111" t="str">
        <f>IF(H8594="","",IF($C$29="상세법",FPV(H8594,K8594),IF(H8594="EI",4,IF(H8594="EO",5.2,IF(H8594="EQ",3.9,IF(H8594="ILF",7.5,IF(H8594="EIF",5.4)))))))</f>
        <v/>
      </c>
      <c r="M8594" s="112" t="str">
        <f t="shared" si="137"/>
        <v/>
      </c>
      <c r="N8594" s="113"/>
    </row>
    <row r="8595" spans="2:14">
      <c r="B8595" s="105"/>
      <c r="C8595" s="106"/>
      <c r="D8595" s="107"/>
      <c r="E8595" s="65"/>
      <c r="F8595" s="64"/>
      <c r="G8595" s="64"/>
      <c r="H8595" s="64"/>
      <c r="I8595" s="70"/>
      <c r="J8595" s="70"/>
      <c r="K8595" s="110" t="str">
        <f>IF(H8595="","",IF($C$29="간이법","",FPR(H8595,I8595,J8595)))</f>
        <v/>
      </c>
      <c r="L8595" s="111" t="str">
        <f>IF(H8595="","",IF($C$29="상세법",FPV(H8595,K8595),IF(H8595="EI",4,IF(H8595="EO",5.2,IF(H8595="EQ",3.9,IF(H8595="ILF",7.5,IF(H8595="EIF",5.4)))))))</f>
        <v/>
      </c>
      <c r="M8595" s="112" t="str">
        <f t="shared" si="137"/>
        <v/>
      </c>
      <c r="N8595" s="113"/>
    </row>
    <row r="8596" spans="2:14">
      <c r="B8596" s="105"/>
      <c r="C8596" s="106"/>
      <c r="D8596" s="107"/>
      <c r="E8596" s="65"/>
      <c r="F8596" s="64"/>
      <c r="G8596" s="64"/>
      <c r="H8596" s="64"/>
      <c r="I8596" s="70"/>
      <c r="J8596" s="70"/>
      <c r="K8596" s="110" t="str">
        <f>IF(H8596="","",IF($C$29="간이법","",FPR(H8596,I8596,J8596)))</f>
        <v/>
      </c>
      <c r="L8596" s="111" t="str">
        <f>IF(H8596="","",IF($C$29="상세법",FPV(H8596,K8596),IF(H8596="EI",4,IF(H8596="EO",5.2,IF(H8596="EQ",3.9,IF(H8596="ILF",7.5,IF(H8596="EIF",5.4)))))))</f>
        <v/>
      </c>
      <c r="M8596" s="112" t="str">
        <f t="shared" si="137"/>
        <v/>
      </c>
      <c r="N8596" s="113"/>
    </row>
    <row r="8597" spans="2:14">
      <c r="B8597" s="105"/>
      <c r="C8597" s="106"/>
      <c r="D8597" s="107"/>
      <c r="E8597" s="65"/>
      <c r="F8597" s="64"/>
      <c r="G8597" s="64"/>
      <c r="H8597" s="64"/>
      <c r="I8597" s="70"/>
      <c r="J8597" s="70"/>
      <c r="K8597" s="110" t="str">
        <f>IF(H8597="","",IF($C$29="간이법","",FPR(H8597,I8597,J8597)))</f>
        <v/>
      </c>
      <c r="L8597" s="111" t="str">
        <f>IF(H8597="","",IF($C$29="상세법",FPV(H8597,K8597),IF(H8597="EI",4,IF(H8597="EO",5.2,IF(H8597="EQ",3.9,IF(H8597="ILF",7.5,IF(H8597="EIF",5.4)))))))</f>
        <v/>
      </c>
      <c r="M8597" s="112" t="str">
        <f t="shared" si="137"/>
        <v/>
      </c>
      <c r="N8597" s="113"/>
    </row>
    <row r="8598" spans="2:14">
      <c r="B8598" s="105"/>
      <c r="C8598" s="106"/>
      <c r="D8598" s="107"/>
      <c r="E8598" s="65"/>
      <c r="F8598" s="64"/>
      <c r="G8598" s="64"/>
      <c r="H8598" s="64"/>
      <c r="I8598" s="70"/>
      <c r="J8598" s="70"/>
      <c r="K8598" s="110" t="str">
        <f>IF(H8598="","",IF($C$29="간이법","",FPR(H8598,I8598,J8598)))</f>
        <v/>
      </c>
      <c r="L8598" s="111" t="str">
        <f>IF(H8598="","",IF($C$29="상세법",FPV(H8598,K8598),IF(H8598="EI",4,IF(H8598="EO",5.2,IF(H8598="EQ",3.9,IF(H8598="ILF",7.5,IF(H8598="EIF",5.4)))))))</f>
        <v/>
      </c>
      <c r="M8598" s="112" t="str">
        <f t="shared" si="137"/>
        <v/>
      </c>
      <c r="N8598" s="113"/>
    </row>
    <row r="8599" spans="2:14">
      <c r="B8599" s="105"/>
      <c r="C8599" s="106"/>
      <c r="D8599" s="107"/>
      <c r="E8599" s="65"/>
      <c r="F8599" s="64"/>
      <c r="G8599" s="64"/>
      <c r="H8599" s="64"/>
      <c r="I8599" s="70"/>
      <c r="J8599" s="70"/>
      <c r="K8599" s="110" t="str">
        <f>IF(H8599="","",IF($C$29="간이법","",FPR(H8599,I8599,J8599)))</f>
        <v/>
      </c>
      <c r="L8599" s="111" t="str">
        <f>IF(H8599="","",IF($C$29="상세법",FPV(H8599,K8599),IF(H8599="EI",4,IF(H8599="EO",5.2,IF(H8599="EQ",3.9,IF(H8599="ILF",7.5,IF(H8599="EIF",5.4)))))))</f>
        <v/>
      </c>
      <c r="M8599" s="112" t="str">
        <f t="shared" si="137"/>
        <v/>
      </c>
      <c r="N8599" s="113"/>
    </row>
    <row r="8600" spans="2:14">
      <c r="B8600" s="105"/>
      <c r="C8600" s="106"/>
      <c r="D8600" s="107"/>
      <c r="E8600" s="65"/>
      <c r="F8600" s="64"/>
      <c r="G8600" s="64"/>
      <c r="H8600" s="64"/>
      <c r="I8600" s="70"/>
      <c r="J8600" s="70"/>
      <c r="K8600" s="110" t="str">
        <f>IF(H8600="","",IF($C$29="간이법","",FPR(H8600,I8600,J8600)))</f>
        <v/>
      </c>
      <c r="L8600" s="111" t="str">
        <f>IF(H8600="","",IF($C$29="상세법",FPV(H8600,K8600),IF(H8600="EI",4,IF(H8600="EO",5.2,IF(H8600="EQ",3.9,IF(H8600="ILF",7.5,IF(H8600="EIF",5.4)))))))</f>
        <v/>
      </c>
      <c r="M8600" s="112" t="str">
        <f t="shared" si="137"/>
        <v/>
      </c>
      <c r="N8600" s="113"/>
    </row>
    <row r="8601" spans="2:14">
      <c r="B8601" s="105"/>
      <c r="C8601" s="106"/>
      <c r="D8601" s="107"/>
      <c r="E8601" s="65"/>
      <c r="F8601" s="64"/>
      <c r="G8601" s="64"/>
      <c r="H8601" s="64"/>
      <c r="I8601" s="70"/>
      <c r="J8601" s="70"/>
      <c r="K8601" s="110" t="str">
        <f>IF(H8601="","",IF($C$29="간이법","",FPR(H8601,I8601,J8601)))</f>
        <v/>
      </c>
      <c r="L8601" s="111" t="str">
        <f>IF(H8601="","",IF($C$29="상세법",FPV(H8601,K8601),IF(H8601="EI",4,IF(H8601="EO",5.2,IF(H8601="EQ",3.9,IF(H8601="ILF",7.5,IF(H8601="EIF",5.4)))))))</f>
        <v/>
      </c>
      <c r="M8601" s="112" t="str">
        <f t="shared" si="137"/>
        <v/>
      </c>
      <c r="N8601" s="113"/>
    </row>
    <row r="8602" spans="2:14">
      <c r="B8602" s="105"/>
      <c r="C8602" s="106"/>
      <c r="D8602" s="107"/>
      <c r="E8602" s="65"/>
      <c r="F8602" s="64"/>
      <c r="G8602" s="64"/>
      <c r="H8602" s="64"/>
      <c r="I8602" s="70"/>
      <c r="J8602" s="70"/>
      <c r="K8602" s="110" t="str">
        <f>IF(H8602="","",IF($C$29="간이법","",FPR(H8602,I8602,J8602)))</f>
        <v/>
      </c>
      <c r="L8602" s="111" t="str">
        <f>IF(H8602="","",IF($C$29="상세법",FPV(H8602,K8602),IF(H8602="EI",4,IF(H8602="EO",5.2,IF(H8602="EQ",3.9,IF(H8602="ILF",7.5,IF(H8602="EIF",5.4)))))))</f>
        <v/>
      </c>
      <c r="M8602" s="112" t="str">
        <f t="shared" si="137"/>
        <v/>
      </c>
      <c r="N8602" s="113"/>
    </row>
    <row r="8603" spans="2:14">
      <c r="B8603" s="105"/>
      <c r="C8603" s="106"/>
      <c r="D8603" s="107"/>
      <c r="E8603" s="65"/>
      <c r="F8603" s="64"/>
      <c r="G8603" s="64"/>
      <c r="H8603" s="64"/>
      <c r="I8603" s="70"/>
      <c r="J8603" s="70"/>
      <c r="K8603" s="110" t="str">
        <f>IF(H8603="","",IF($C$29="간이법","",FPR(H8603,I8603,J8603)))</f>
        <v/>
      </c>
      <c r="L8603" s="111" t="str">
        <f>IF(H8603="","",IF($C$29="상세법",FPV(H8603,K8603),IF(H8603="EI",4,IF(H8603="EO",5.2,IF(H8603="EQ",3.9,IF(H8603="ILF",7.5,IF(H8603="EIF",5.4)))))))</f>
        <v/>
      </c>
      <c r="M8603" s="112" t="str">
        <f t="shared" si="137"/>
        <v/>
      </c>
      <c r="N8603" s="113"/>
    </row>
    <row r="8604" spans="2:14">
      <c r="B8604" s="105"/>
      <c r="C8604" s="106"/>
      <c r="D8604" s="107"/>
      <c r="E8604" s="65"/>
      <c r="F8604" s="64"/>
      <c r="G8604" s="64"/>
      <c r="H8604" s="64"/>
      <c r="I8604" s="70"/>
      <c r="J8604" s="70"/>
      <c r="K8604" s="110" t="str">
        <f>IF(H8604="","",IF($C$29="간이법","",FPR(H8604,I8604,J8604)))</f>
        <v/>
      </c>
      <c r="L8604" s="111" t="str">
        <f>IF(H8604="","",IF($C$29="상세법",FPV(H8604,K8604),IF(H8604="EI",4,IF(H8604="EO",5.2,IF(H8604="EQ",3.9,IF(H8604="ILF",7.5,IF(H8604="EIF",5.4)))))))</f>
        <v/>
      </c>
      <c r="M8604" s="112" t="str">
        <f t="shared" si="137"/>
        <v/>
      </c>
      <c r="N8604" s="113"/>
    </row>
    <row r="8605" spans="2:14">
      <c r="B8605" s="105"/>
      <c r="C8605" s="106"/>
      <c r="D8605" s="107"/>
      <c r="E8605" s="65"/>
      <c r="F8605" s="64"/>
      <c r="G8605" s="64"/>
      <c r="H8605" s="64"/>
      <c r="I8605" s="70"/>
      <c r="J8605" s="70"/>
      <c r="K8605" s="110" t="str">
        <f>IF(H8605="","",IF($C$29="간이법","",FPR(H8605,I8605,J8605)))</f>
        <v/>
      </c>
      <c r="L8605" s="111" t="str">
        <f>IF(H8605="","",IF($C$29="상세법",FPV(H8605,K8605),IF(H8605="EI",4,IF(H8605="EO",5.2,IF(H8605="EQ",3.9,IF(H8605="ILF",7.5,IF(H8605="EIF",5.4)))))))</f>
        <v/>
      </c>
      <c r="M8605" s="112" t="str">
        <f t="shared" si="137"/>
        <v/>
      </c>
      <c r="N8605" s="113"/>
    </row>
    <row r="8606" spans="2:14">
      <c r="B8606" s="105"/>
      <c r="C8606" s="106"/>
      <c r="D8606" s="107"/>
      <c r="E8606" s="65"/>
      <c r="F8606" s="64"/>
      <c r="G8606" s="64"/>
      <c r="H8606" s="64"/>
      <c r="I8606" s="70"/>
      <c r="J8606" s="70"/>
      <c r="K8606" s="110" t="str">
        <f>IF(H8606="","",IF($C$29="간이법","",FPR(H8606,I8606,J8606)))</f>
        <v/>
      </c>
      <c r="L8606" s="111" t="str">
        <f>IF(H8606="","",IF($C$29="상세법",FPV(H8606,K8606),IF(H8606="EI",4,IF(H8606="EO",5.2,IF(H8606="EQ",3.9,IF(H8606="ILF",7.5,IF(H8606="EIF",5.4)))))))</f>
        <v/>
      </c>
      <c r="M8606" s="112" t="str">
        <f t="shared" si="137"/>
        <v/>
      </c>
      <c r="N8606" s="113"/>
    </row>
    <row r="8607" spans="2:14">
      <c r="B8607" s="105"/>
      <c r="C8607" s="106"/>
      <c r="D8607" s="107"/>
      <c r="E8607" s="65"/>
      <c r="F8607" s="64"/>
      <c r="G8607" s="64"/>
      <c r="H8607" s="64"/>
      <c r="I8607" s="70"/>
      <c r="J8607" s="70"/>
      <c r="K8607" s="110" t="str">
        <f>IF(H8607="","",IF($C$29="간이법","",FPR(H8607,I8607,J8607)))</f>
        <v/>
      </c>
      <c r="L8607" s="111" t="str">
        <f>IF(H8607="","",IF($C$29="상세법",FPV(H8607,K8607),IF(H8607="EI",4,IF(H8607="EO",5.2,IF(H8607="EQ",3.9,IF(H8607="ILF",7.5,IF(H8607="EIF",5.4)))))))</f>
        <v/>
      </c>
      <c r="M8607" s="112" t="str">
        <f t="shared" si="137"/>
        <v/>
      </c>
      <c r="N8607" s="113"/>
    </row>
    <row r="8608" spans="2:14">
      <c r="B8608" s="105"/>
      <c r="C8608" s="106"/>
      <c r="D8608" s="107"/>
      <c r="E8608" s="65"/>
      <c r="F8608" s="64"/>
      <c r="G8608" s="64"/>
      <c r="H8608" s="64"/>
      <c r="I8608" s="70"/>
      <c r="J8608" s="70"/>
      <c r="K8608" s="110" t="str">
        <f>IF(H8608="","",IF($C$29="간이법","",FPR(H8608,I8608,J8608)))</f>
        <v/>
      </c>
      <c r="L8608" s="111" t="str">
        <f>IF(H8608="","",IF($C$29="상세법",FPV(H8608,K8608),IF(H8608="EI",4,IF(H8608="EO",5.2,IF(H8608="EQ",3.9,IF(H8608="ILF",7.5,IF(H8608="EIF",5.4)))))))</f>
        <v/>
      </c>
      <c r="M8608" s="112" t="str">
        <f t="shared" si="137"/>
        <v/>
      </c>
      <c r="N8608" s="113"/>
    </row>
    <row r="8609" spans="2:14">
      <c r="B8609" s="105"/>
      <c r="C8609" s="106"/>
      <c r="D8609" s="107"/>
      <c r="E8609" s="65"/>
      <c r="F8609" s="64"/>
      <c r="G8609" s="64"/>
      <c r="H8609" s="64"/>
      <c r="I8609" s="70"/>
      <c r="J8609" s="70"/>
      <c r="K8609" s="110" t="str">
        <f>IF(H8609="","",IF($C$29="간이법","",FPR(H8609,I8609,J8609)))</f>
        <v/>
      </c>
      <c r="L8609" s="111" t="str">
        <f>IF(H8609="","",IF($C$29="상세법",FPV(H8609,K8609),IF(H8609="EI",4,IF(H8609="EO",5.2,IF(H8609="EQ",3.9,IF(H8609="ILF",7.5,IF(H8609="EIF",5.4)))))))</f>
        <v/>
      </c>
      <c r="M8609" s="112" t="str">
        <f t="shared" si="137"/>
        <v/>
      </c>
      <c r="N8609" s="113"/>
    </row>
    <row r="8610" spans="2:14">
      <c r="B8610" s="105"/>
      <c r="C8610" s="106"/>
      <c r="D8610" s="107"/>
      <c r="E8610" s="65"/>
      <c r="F8610" s="64"/>
      <c r="G8610" s="64"/>
      <c r="H8610" s="64"/>
      <c r="I8610" s="70"/>
      <c r="J8610" s="70"/>
      <c r="K8610" s="110" t="str">
        <f>IF(H8610="","",IF($C$29="간이법","",FPR(H8610,I8610,J8610)))</f>
        <v/>
      </c>
      <c r="L8610" s="111" t="str">
        <f>IF(H8610="","",IF($C$29="상세법",FPV(H8610,K8610),IF(H8610="EI",4,IF(H8610="EO",5.2,IF(H8610="EQ",3.9,IF(H8610="ILF",7.5,IF(H8610="EIF",5.4)))))))</f>
        <v/>
      </c>
      <c r="M8610" s="112" t="str">
        <f t="shared" si="137"/>
        <v/>
      </c>
      <c r="N8610" s="113"/>
    </row>
    <row r="8611" spans="2:14">
      <c r="B8611" s="105"/>
      <c r="C8611" s="106"/>
      <c r="D8611" s="107"/>
      <c r="E8611" s="65"/>
      <c r="F8611" s="64"/>
      <c r="G8611" s="64"/>
      <c r="H8611" s="64"/>
      <c r="I8611" s="70"/>
      <c r="J8611" s="70"/>
      <c r="K8611" s="110" t="str">
        <f>IF(H8611="","",IF($C$29="간이법","",FPR(H8611,I8611,J8611)))</f>
        <v/>
      </c>
      <c r="L8611" s="111" t="str">
        <f>IF(H8611="","",IF($C$29="상세법",FPV(H8611,K8611),IF(H8611="EI",4,IF(H8611="EO",5.2,IF(H8611="EQ",3.9,IF(H8611="ILF",7.5,IF(H8611="EIF",5.4)))))))</f>
        <v/>
      </c>
      <c r="M8611" s="112" t="str">
        <f t="shared" si="137"/>
        <v/>
      </c>
      <c r="N8611" s="113"/>
    </row>
    <row r="8612" spans="2:14">
      <c r="B8612" s="105"/>
      <c r="C8612" s="106"/>
      <c r="D8612" s="107"/>
      <c r="E8612" s="65"/>
      <c r="F8612" s="64"/>
      <c r="G8612" s="64"/>
      <c r="H8612" s="64"/>
      <c r="I8612" s="70"/>
      <c r="J8612" s="70"/>
      <c r="K8612" s="110" t="str">
        <f>IF(H8612="","",IF($C$29="간이법","",FPR(H8612,I8612,J8612)))</f>
        <v/>
      </c>
      <c r="L8612" s="111" t="str">
        <f>IF(H8612="","",IF($C$29="상세법",FPV(H8612,K8612),IF(H8612="EI",4,IF(H8612="EO",5.2,IF(H8612="EQ",3.9,IF(H8612="ILF",7.5,IF(H8612="EIF",5.4)))))))</f>
        <v/>
      </c>
      <c r="M8612" s="112" t="str">
        <f t="shared" si="137"/>
        <v/>
      </c>
      <c r="N8612" s="113"/>
    </row>
    <row r="8613" spans="2:14">
      <c r="B8613" s="105"/>
      <c r="C8613" s="106"/>
      <c r="D8613" s="107"/>
      <c r="E8613" s="65"/>
      <c r="F8613" s="64"/>
      <c r="G8613" s="64"/>
      <c r="H8613" s="64"/>
      <c r="I8613" s="70"/>
      <c r="J8613" s="70"/>
      <c r="K8613" s="110" t="str">
        <f>IF(H8613="","",IF($C$29="간이법","",FPR(H8613,I8613,J8613)))</f>
        <v/>
      </c>
      <c r="L8613" s="111" t="str">
        <f>IF(H8613="","",IF($C$29="상세법",FPV(H8613,K8613),IF(H8613="EI",4,IF(H8613="EO",5.2,IF(H8613="EQ",3.9,IF(H8613="ILF",7.5,IF(H8613="EIF",5.4)))))))</f>
        <v/>
      </c>
      <c r="M8613" s="112" t="str">
        <f t="shared" si="137"/>
        <v/>
      </c>
      <c r="N8613" s="113"/>
    </row>
    <row r="8614" spans="2:14">
      <c r="B8614" s="105"/>
      <c r="C8614" s="106"/>
      <c r="D8614" s="107"/>
      <c r="E8614" s="65"/>
      <c r="F8614" s="64"/>
      <c r="G8614" s="64"/>
      <c r="H8614" s="64"/>
      <c r="I8614" s="70"/>
      <c r="J8614" s="70"/>
      <c r="K8614" s="110" t="str">
        <f>IF(H8614="","",IF($C$29="간이법","",FPR(H8614,I8614,J8614)))</f>
        <v/>
      </c>
      <c r="L8614" s="111" t="str">
        <f>IF(H8614="","",IF($C$29="상세법",FPV(H8614,K8614),IF(H8614="EI",4,IF(H8614="EO",5.2,IF(H8614="EQ",3.9,IF(H8614="ILF",7.5,IF(H8614="EIF",5.4)))))))</f>
        <v/>
      </c>
      <c r="M8614" s="112" t="str">
        <f t="shared" si="137"/>
        <v/>
      </c>
      <c r="N8614" s="113"/>
    </row>
    <row r="8615" spans="2:14">
      <c r="B8615" s="105"/>
      <c r="C8615" s="106"/>
      <c r="D8615" s="107"/>
      <c r="E8615" s="65"/>
      <c r="F8615" s="64"/>
      <c r="G8615" s="64"/>
      <c r="H8615" s="64"/>
      <c r="I8615" s="70"/>
      <c r="J8615" s="70"/>
      <c r="K8615" s="110" t="str">
        <f>IF(H8615="","",IF($C$29="간이법","",FPR(H8615,I8615,J8615)))</f>
        <v/>
      </c>
      <c r="L8615" s="111" t="str">
        <f>IF(H8615="","",IF($C$29="상세법",FPV(H8615,K8615),IF(H8615="EI",4,IF(H8615="EO",5.2,IF(H8615="EQ",3.9,IF(H8615="ILF",7.5,IF(H8615="EIF",5.4)))))))</f>
        <v/>
      </c>
      <c r="M8615" s="112" t="str">
        <f t="shared" si="137"/>
        <v/>
      </c>
      <c r="N8615" s="113"/>
    </row>
    <row r="8616" spans="2:14">
      <c r="B8616" s="105"/>
      <c r="C8616" s="106"/>
      <c r="D8616" s="107"/>
      <c r="E8616" s="65"/>
      <c r="F8616" s="64"/>
      <c r="G8616" s="64"/>
      <c r="H8616" s="64"/>
      <c r="I8616" s="70"/>
      <c r="J8616" s="70"/>
      <c r="K8616" s="110" t="str">
        <f>IF(H8616="","",IF($C$29="간이법","",FPR(H8616,I8616,J8616)))</f>
        <v/>
      </c>
      <c r="L8616" s="111" t="str">
        <f>IF(H8616="","",IF($C$29="상세법",FPV(H8616,K8616),IF(H8616="EI",4,IF(H8616="EO",5.2,IF(H8616="EQ",3.9,IF(H8616="ILF",7.5,IF(H8616="EIF",5.4)))))))</f>
        <v/>
      </c>
      <c r="M8616" s="112" t="str">
        <f t="shared" si="137"/>
        <v/>
      </c>
      <c r="N8616" s="113"/>
    </row>
    <row r="8617" spans="2:14">
      <c r="B8617" s="105"/>
      <c r="C8617" s="106"/>
      <c r="D8617" s="107"/>
      <c r="E8617" s="65"/>
      <c r="F8617" s="64"/>
      <c r="G8617" s="64"/>
      <c r="H8617" s="64"/>
      <c r="I8617" s="70"/>
      <c r="J8617" s="70"/>
      <c r="K8617" s="110" t="str">
        <f>IF(H8617="","",IF($C$29="간이법","",FPR(H8617,I8617,J8617)))</f>
        <v/>
      </c>
      <c r="L8617" s="111" t="str">
        <f>IF(H8617="","",IF($C$29="상세법",FPV(H8617,K8617),IF(H8617="EI",4,IF(H8617="EO",5.2,IF(H8617="EQ",3.9,IF(H8617="ILF",7.5,IF(H8617="EIF",5.4)))))))</f>
        <v/>
      </c>
      <c r="M8617" s="112" t="str">
        <f t="shared" si="137"/>
        <v/>
      </c>
      <c r="N8617" s="113"/>
    </row>
    <row r="8618" spans="2:14">
      <c r="B8618" s="105"/>
      <c r="C8618" s="106"/>
      <c r="D8618" s="107"/>
      <c r="E8618" s="65"/>
      <c r="F8618" s="64"/>
      <c r="G8618" s="64"/>
      <c r="H8618" s="64"/>
      <c r="I8618" s="70"/>
      <c r="J8618" s="70"/>
      <c r="K8618" s="110" t="str">
        <f>IF(H8618="","",IF($C$29="간이법","",FPR(H8618,I8618,J8618)))</f>
        <v/>
      </c>
      <c r="L8618" s="111" t="str">
        <f>IF(H8618="","",IF($C$29="상세법",FPV(H8618,K8618),IF(H8618="EI",4,IF(H8618="EO",5.2,IF(H8618="EQ",3.9,IF(H8618="ILF",7.5,IF(H8618="EIF",5.4)))))))</f>
        <v/>
      </c>
      <c r="M8618" s="112" t="str">
        <f t="shared" si="137"/>
        <v/>
      </c>
      <c r="N8618" s="113"/>
    </row>
    <row r="8619" spans="2:14">
      <c r="B8619" s="105"/>
      <c r="C8619" s="106"/>
      <c r="D8619" s="107"/>
      <c r="E8619" s="65"/>
      <c r="F8619" s="64"/>
      <c r="G8619" s="64"/>
      <c r="H8619" s="64"/>
      <c r="I8619" s="70"/>
      <c r="J8619" s="70"/>
      <c r="K8619" s="110" t="str">
        <f>IF(H8619="","",IF($C$29="간이법","",FPR(H8619,I8619,J8619)))</f>
        <v/>
      </c>
      <c r="L8619" s="111" t="str">
        <f>IF(H8619="","",IF($C$29="상세법",FPV(H8619,K8619),IF(H8619="EI",4,IF(H8619="EO",5.2,IF(H8619="EQ",3.9,IF(H8619="ILF",7.5,IF(H8619="EIF",5.4)))))))</f>
        <v/>
      </c>
      <c r="M8619" s="112" t="str">
        <f t="shared" si="137"/>
        <v/>
      </c>
      <c r="N8619" s="113"/>
    </row>
    <row r="8620" spans="2:14">
      <c r="B8620" s="105"/>
      <c r="C8620" s="106"/>
      <c r="D8620" s="107"/>
      <c r="E8620" s="65"/>
      <c r="F8620" s="64"/>
      <c r="G8620" s="64"/>
      <c r="H8620" s="64"/>
      <c r="I8620" s="70"/>
      <c r="J8620" s="70"/>
      <c r="K8620" s="110" t="str">
        <f>IF(H8620="","",IF($C$29="간이법","",FPR(H8620,I8620,J8620)))</f>
        <v/>
      </c>
      <c r="L8620" s="111" t="str">
        <f>IF(H8620="","",IF($C$29="상세법",FPV(H8620,K8620),IF(H8620="EI",4,IF(H8620="EO",5.2,IF(H8620="EQ",3.9,IF(H8620="ILF",7.5,IF(H8620="EIF",5.4)))))))</f>
        <v/>
      </c>
      <c r="M8620" s="112" t="str">
        <f t="shared" si="137"/>
        <v/>
      </c>
      <c r="N8620" s="113"/>
    </row>
    <row r="8621" spans="2:14">
      <c r="B8621" s="105"/>
      <c r="C8621" s="106"/>
      <c r="D8621" s="107"/>
      <c r="E8621" s="65"/>
      <c r="F8621" s="64"/>
      <c r="G8621" s="64"/>
      <c r="H8621" s="64"/>
      <c r="I8621" s="70"/>
      <c r="J8621" s="70"/>
      <c r="K8621" s="110" t="str">
        <f>IF(H8621="","",IF($C$29="간이법","",FPR(H8621,I8621,J8621)))</f>
        <v/>
      </c>
      <c r="L8621" s="111" t="str">
        <f>IF(H8621="","",IF($C$29="상세법",FPV(H8621,K8621),IF(H8621="EI",4,IF(H8621="EO",5.2,IF(H8621="EQ",3.9,IF(H8621="ILF",7.5,IF(H8621="EIF",5.4)))))))</f>
        <v/>
      </c>
      <c r="M8621" s="112" t="str">
        <f t="shared" si="137"/>
        <v/>
      </c>
      <c r="N8621" s="113"/>
    </row>
    <row r="8622" spans="2:14">
      <c r="B8622" s="105"/>
      <c r="C8622" s="106"/>
      <c r="D8622" s="107"/>
      <c r="E8622" s="65"/>
      <c r="F8622" s="64"/>
      <c r="G8622" s="64"/>
      <c r="H8622" s="64"/>
      <c r="I8622" s="70"/>
      <c r="J8622" s="70"/>
      <c r="K8622" s="110" t="str">
        <f>IF(H8622="","",IF($C$29="간이법","",FPR(H8622,I8622,J8622)))</f>
        <v/>
      </c>
      <c r="L8622" s="111" t="str">
        <f>IF(H8622="","",IF($C$29="상세법",FPV(H8622,K8622),IF(H8622="EI",4,IF(H8622="EO",5.2,IF(H8622="EQ",3.9,IF(H8622="ILF",7.5,IF(H8622="EIF",5.4)))))))</f>
        <v/>
      </c>
      <c r="M8622" s="112" t="str">
        <f t="shared" si="137"/>
        <v/>
      </c>
      <c r="N8622" s="113"/>
    </row>
    <row r="8623" spans="2:14">
      <c r="B8623" s="105"/>
      <c r="C8623" s="106"/>
      <c r="D8623" s="107"/>
      <c r="E8623" s="65"/>
      <c r="F8623" s="64"/>
      <c r="G8623" s="64"/>
      <c r="H8623" s="64"/>
      <c r="I8623" s="70"/>
      <c r="J8623" s="70"/>
      <c r="K8623" s="110" t="str">
        <f>IF(H8623="","",IF($C$29="간이법","",FPR(H8623,I8623,J8623)))</f>
        <v/>
      </c>
      <c r="L8623" s="111" t="str">
        <f>IF(H8623="","",IF($C$29="상세법",FPV(H8623,K8623),IF(H8623="EI",4,IF(H8623="EO",5.2,IF(H8623="EQ",3.9,IF(H8623="ILF",7.5,IF(H8623="EIF",5.4)))))))</f>
        <v/>
      </c>
      <c r="M8623" s="112" t="str">
        <f t="shared" si="137"/>
        <v/>
      </c>
      <c r="N8623" s="113"/>
    </row>
    <row r="8624" spans="2:14">
      <c r="B8624" s="105"/>
      <c r="C8624" s="106"/>
      <c r="D8624" s="107"/>
      <c r="E8624" s="65"/>
      <c r="F8624" s="64"/>
      <c r="G8624" s="64"/>
      <c r="H8624" s="64"/>
      <c r="I8624" s="70"/>
      <c r="J8624" s="70"/>
      <c r="K8624" s="110" t="str">
        <f>IF(H8624="","",IF($C$29="간이법","",FPR(H8624,I8624,J8624)))</f>
        <v/>
      </c>
      <c r="L8624" s="111" t="str">
        <f>IF(H8624="","",IF($C$29="상세법",FPV(H8624,K8624),IF(H8624="EI",4,IF(H8624="EO",5.2,IF(H8624="EQ",3.9,IF(H8624="ILF",7.5,IF(H8624="EIF",5.4)))))))</f>
        <v/>
      </c>
      <c r="M8624" s="112" t="str">
        <f t="shared" si="137"/>
        <v/>
      </c>
      <c r="N8624" s="113"/>
    </row>
    <row r="8625" spans="2:14">
      <c r="B8625" s="105"/>
      <c r="C8625" s="106"/>
      <c r="D8625" s="107"/>
      <c r="E8625" s="65"/>
      <c r="F8625" s="64"/>
      <c r="G8625" s="64"/>
      <c r="H8625" s="64"/>
      <c r="I8625" s="70"/>
      <c r="J8625" s="70"/>
      <c r="K8625" s="110" t="str">
        <f>IF(H8625="","",IF($C$29="간이법","",FPR(H8625,I8625,J8625)))</f>
        <v/>
      </c>
      <c r="L8625" s="111" t="str">
        <f>IF(H8625="","",IF($C$29="상세법",FPV(H8625,K8625),IF(H8625="EI",4,IF(H8625="EO",5.2,IF(H8625="EQ",3.9,IF(H8625="ILF",7.5,IF(H8625="EIF",5.4)))))))</f>
        <v/>
      </c>
      <c r="M8625" s="112" t="str">
        <f t="shared" si="137"/>
        <v/>
      </c>
      <c r="N8625" s="113"/>
    </row>
    <row r="8626" spans="2:14">
      <c r="B8626" s="105"/>
      <c r="C8626" s="106"/>
      <c r="D8626" s="107"/>
      <c r="E8626" s="65"/>
      <c r="F8626" s="64"/>
      <c r="G8626" s="64"/>
      <c r="H8626" s="64"/>
      <c r="I8626" s="70"/>
      <c r="J8626" s="70"/>
      <c r="K8626" s="110" t="str">
        <f>IF(H8626="","",IF($C$29="간이법","",FPR(H8626,I8626,J8626)))</f>
        <v/>
      </c>
      <c r="L8626" s="111" t="str">
        <f>IF(H8626="","",IF($C$29="상세법",FPV(H8626,K8626),IF(H8626="EI",4,IF(H8626="EO",5.2,IF(H8626="EQ",3.9,IF(H8626="ILF",7.5,IF(H8626="EIF",5.4)))))))</f>
        <v/>
      </c>
      <c r="M8626" s="112" t="str">
        <f t="shared" si="137"/>
        <v/>
      </c>
      <c r="N8626" s="113"/>
    </row>
    <row r="8627" spans="2:14">
      <c r="B8627" s="105"/>
      <c r="C8627" s="106"/>
      <c r="D8627" s="107"/>
      <c r="E8627" s="65"/>
      <c r="F8627" s="64"/>
      <c r="G8627" s="64"/>
      <c r="H8627" s="64"/>
      <c r="I8627" s="70"/>
      <c r="J8627" s="70"/>
      <c r="K8627" s="110" t="str">
        <f>IF(H8627="","",IF($C$29="간이법","",FPR(H8627,I8627,J8627)))</f>
        <v/>
      </c>
      <c r="L8627" s="111" t="str">
        <f>IF(H8627="","",IF($C$29="상세법",FPV(H8627,K8627),IF(H8627="EI",4,IF(H8627="EO",5.2,IF(H8627="EQ",3.9,IF(H8627="ILF",7.5,IF(H8627="EIF",5.4)))))))</f>
        <v/>
      </c>
      <c r="M8627" s="112" t="str">
        <f t="shared" si="137"/>
        <v/>
      </c>
      <c r="N8627" s="113"/>
    </row>
    <row r="8628" spans="2:14">
      <c r="B8628" s="105"/>
      <c r="C8628" s="106"/>
      <c r="D8628" s="107"/>
      <c r="E8628" s="65"/>
      <c r="F8628" s="64"/>
      <c r="G8628" s="64"/>
      <c r="H8628" s="64"/>
      <c r="I8628" s="70"/>
      <c r="J8628" s="70"/>
      <c r="K8628" s="110" t="str">
        <f>IF(H8628="","",IF($C$29="간이법","",FPR(H8628,I8628,J8628)))</f>
        <v/>
      </c>
      <c r="L8628" s="111" t="str">
        <f>IF(H8628="","",IF($C$29="상세법",FPV(H8628,K8628),IF(H8628="EI",4,IF(H8628="EO",5.2,IF(H8628="EQ",3.9,IF(H8628="ILF",7.5,IF(H8628="EIF",5.4)))))))</f>
        <v/>
      </c>
      <c r="M8628" s="112" t="str">
        <f t="shared" si="137"/>
        <v/>
      </c>
      <c r="N8628" s="113"/>
    </row>
    <row r="8629" spans="2:14">
      <c r="B8629" s="105"/>
      <c r="C8629" s="106"/>
      <c r="D8629" s="107"/>
      <c r="E8629" s="65"/>
      <c r="F8629" s="64"/>
      <c r="G8629" s="64"/>
      <c r="H8629" s="64"/>
      <c r="I8629" s="70"/>
      <c r="J8629" s="70"/>
      <c r="K8629" s="110" t="str">
        <f>IF(H8629="","",IF($C$29="간이법","",FPR(H8629,I8629,J8629)))</f>
        <v/>
      </c>
      <c r="L8629" s="111" t="str">
        <f>IF(H8629="","",IF($C$29="상세법",FPV(H8629,K8629),IF(H8629="EI",4,IF(H8629="EO",5.2,IF(H8629="EQ",3.9,IF(H8629="ILF",7.5,IF(H8629="EIF",5.4)))))))</f>
        <v/>
      </c>
      <c r="M8629" s="112" t="str">
        <f t="shared" si="137"/>
        <v/>
      </c>
      <c r="N8629" s="113"/>
    </row>
    <row r="8630" spans="2:14">
      <c r="B8630" s="105"/>
      <c r="C8630" s="106"/>
      <c r="D8630" s="107"/>
      <c r="E8630" s="65"/>
      <c r="F8630" s="64"/>
      <c r="G8630" s="64"/>
      <c r="H8630" s="64"/>
      <c r="I8630" s="70"/>
      <c r="J8630" s="70"/>
      <c r="K8630" s="110" t="str">
        <f>IF(H8630="","",IF($C$29="간이법","",FPR(H8630,I8630,J8630)))</f>
        <v/>
      </c>
      <c r="L8630" s="111" t="str">
        <f>IF(H8630="","",IF($C$29="상세법",FPV(H8630,K8630),IF(H8630="EI",4,IF(H8630="EO",5.2,IF(H8630="EQ",3.9,IF(H8630="ILF",7.5,IF(H8630="EIF",5.4)))))))</f>
        <v/>
      </c>
      <c r="M8630" s="112" t="str">
        <f t="shared" si="137"/>
        <v/>
      </c>
      <c r="N8630" s="113"/>
    </row>
    <row r="8631" spans="2:14">
      <c r="B8631" s="105"/>
      <c r="C8631" s="106"/>
      <c r="D8631" s="107"/>
      <c r="E8631" s="65"/>
      <c r="F8631" s="64"/>
      <c r="G8631" s="64"/>
      <c r="H8631" s="64"/>
      <c r="I8631" s="70"/>
      <c r="J8631" s="70"/>
      <c r="K8631" s="110" t="str">
        <f>IF(H8631="","",IF($C$29="간이법","",FPR(H8631,I8631,J8631)))</f>
        <v/>
      </c>
      <c r="L8631" s="111" t="str">
        <f>IF(H8631="","",IF($C$29="상세법",FPV(H8631,K8631),IF(H8631="EI",4,IF(H8631="EO",5.2,IF(H8631="EQ",3.9,IF(H8631="ILF",7.5,IF(H8631="EIF",5.4)))))))</f>
        <v/>
      </c>
      <c r="M8631" s="112" t="str">
        <f t="shared" si="137"/>
        <v/>
      </c>
      <c r="N8631" s="113"/>
    </row>
    <row r="8632" spans="2:14">
      <c r="B8632" s="105"/>
      <c r="C8632" s="106"/>
      <c r="D8632" s="107"/>
      <c r="E8632" s="65"/>
      <c r="F8632" s="64"/>
      <c r="G8632" s="64"/>
      <c r="H8632" s="64"/>
      <c r="I8632" s="70"/>
      <c r="J8632" s="70"/>
      <c r="K8632" s="110" t="str">
        <f>IF(H8632="","",IF($C$29="간이법","",FPR(H8632,I8632,J8632)))</f>
        <v/>
      </c>
      <c r="L8632" s="111" t="str">
        <f>IF(H8632="","",IF($C$29="상세법",FPV(H8632,K8632),IF(H8632="EI",4,IF(H8632="EO",5.2,IF(H8632="EQ",3.9,IF(H8632="ILF",7.5,IF(H8632="EIF",5.4)))))))</f>
        <v/>
      </c>
      <c r="M8632" s="112" t="str">
        <f t="shared" si="137"/>
        <v/>
      </c>
      <c r="N8632" s="113"/>
    </row>
    <row r="8633" spans="2:14">
      <c r="B8633" s="105"/>
      <c r="C8633" s="106"/>
      <c r="D8633" s="107"/>
      <c r="E8633" s="65"/>
      <c r="F8633" s="64"/>
      <c r="G8633" s="64"/>
      <c r="H8633" s="64"/>
      <c r="I8633" s="70"/>
      <c r="J8633" s="70"/>
      <c r="K8633" s="110" t="str">
        <f>IF(H8633="","",IF($C$29="간이법","",FPR(H8633,I8633,J8633)))</f>
        <v/>
      </c>
      <c r="L8633" s="111" t="str">
        <f>IF(H8633="","",IF($C$29="상세법",FPV(H8633,K8633),IF(H8633="EI",4,IF(H8633="EO",5.2,IF(H8633="EQ",3.9,IF(H8633="ILF",7.5,IF(H8633="EIF",5.4)))))))</f>
        <v/>
      </c>
      <c r="M8633" s="112" t="str">
        <f t="shared" ref="M8633:M8696" si="138">IF(L8633="","",L8633*IF(G8633="상",0.7,IF(G8633="중",0.5,IF(G8633="하",0.2,1))))</f>
        <v/>
      </c>
      <c r="N8633" s="113"/>
    </row>
    <row r="8634" spans="2:14">
      <c r="B8634" s="105"/>
      <c r="C8634" s="106"/>
      <c r="D8634" s="107"/>
      <c r="E8634" s="65"/>
      <c r="F8634" s="64"/>
      <c r="G8634" s="64"/>
      <c r="H8634" s="64"/>
      <c r="I8634" s="70"/>
      <c r="J8634" s="70"/>
      <c r="K8634" s="110" t="str">
        <f>IF(H8634="","",IF($C$29="간이법","",FPR(H8634,I8634,J8634)))</f>
        <v/>
      </c>
      <c r="L8634" s="111" t="str">
        <f>IF(H8634="","",IF($C$29="상세법",FPV(H8634,K8634),IF(H8634="EI",4,IF(H8634="EO",5.2,IF(H8634="EQ",3.9,IF(H8634="ILF",7.5,IF(H8634="EIF",5.4)))))))</f>
        <v/>
      </c>
      <c r="M8634" s="112" t="str">
        <f t="shared" si="138"/>
        <v/>
      </c>
      <c r="N8634" s="113"/>
    </row>
    <row r="8635" spans="2:14">
      <c r="B8635" s="105"/>
      <c r="C8635" s="106"/>
      <c r="D8635" s="107"/>
      <c r="E8635" s="65"/>
      <c r="F8635" s="64"/>
      <c r="G8635" s="64"/>
      <c r="H8635" s="64"/>
      <c r="I8635" s="70"/>
      <c r="J8635" s="70"/>
      <c r="K8635" s="110" t="str">
        <f>IF(H8635="","",IF($C$29="간이법","",FPR(H8635,I8635,J8635)))</f>
        <v/>
      </c>
      <c r="L8635" s="111" t="str">
        <f>IF(H8635="","",IF($C$29="상세법",FPV(H8635,K8635),IF(H8635="EI",4,IF(H8635="EO",5.2,IF(H8635="EQ",3.9,IF(H8635="ILF",7.5,IF(H8635="EIF",5.4)))))))</f>
        <v/>
      </c>
      <c r="M8635" s="112" t="str">
        <f t="shared" si="138"/>
        <v/>
      </c>
      <c r="N8635" s="113"/>
    </row>
    <row r="8636" spans="2:14">
      <c r="B8636" s="105"/>
      <c r="C8636" s="106"/>
      <c r="D8636" s="107"/>
      <c r="E8636" s="65"/>
      <c r="F8636" s="64"/>
      <c r="G8636" s="64"/>
      <c r="H8636" s="64"/>
      <c r="I8636" s="70"/>
      <c r="J8636" s="70"/>
      <c r="K8636" s="110" t="str">
        <f>IF(H8636="","",IF($C$29="간이법","",FPR(H8636,I8636,J8636)))</f>
        <v/>
      </c>
      <c r="L8636" s="111" t="str">
        <f>IF(H8636="","",IF($C$29="상세법",FPV(H8636,K8636),IF(H8636="EI",4,IF(H8636="EO",5.2,IF(H8636="EQ",3.9,IF(H8636="ILF",7.5,IF(H8636="EIF",5.4)))))))</f>
        <v/>
      </c>
      <c r="M8636" s="112" t="str">
        <f t="shared" si="138"/>
        <v/>
      </c>
      <c r="N8636" s="113"/>
    </row>
    <row r="8637" spans="2:14">
      <c r="B8637" s="105"/>
      <c r="C8637" s="106"/>
      <c r="D8637" s="107"/>
      <c r="E8637" s="65"/>
      <c r="F8637" s="64"/>
      <c r="G8637" s="64"/>
      <c r="H8637" s="64"/>
      <c r="I8637" s="70"/>
      <c r="J8637" s="70"/>
      <c r="K8637" s="110" t="str">
        <f>IF(H8637="","",IF($C$29="간이법","",FPR(H8637,I8637,J8637)))</f>
        <v/>
      </c>
      <c r="L8637" s="111" t="str">
        <f>IF(H8637="","",IF($C$29="상세법",FPV(H8637,K8637),IF(H8637="EI",4,IF(H8637="EO",5.2,IF(H8637="EQ",3.9,IF(H8637="ILF",7.5,IF(H8637="EIF",5.4)))))))</f>
        <v/>
      </c>
      <c r="M8637" s="112" t="str">
        <f t="shared" si="138"/>
        <v/>
      </c>
      <c r="N8637" s="113"/>
    </row>
    <row r="8638" spans="2:14">
      <c r="B8638" s="105"/>
      <c r="C8638" s="106"/>
      <c r="D8638" s="107"/>
      <c r="E8638" s="65"/>
      <c r="F8638" s="64"/>
      <c r="G8638" s="64"/>
      <c r="H8638" s="64"/>
      <c r="I8638" s="70"/>
      <c r="J8638" s="70"/>
      <c r="K8638" s="110" t="str">
        <f>IF(H8638="","",IF($C$29="간이법","",FPR(H8638,I8638,J8638)))</f>
        <v/>
      </c>
      <c r="L8638" s="111" t="str">
        <f>IF(H8638="","",IF($C$29="상세법",FPV(H8638,K8638),IF(H8638="EI",4,IF(H8638="EO",5.2,IF(H8638="EQ",3.9,IF(H8638="ILF",7.5,IF(H8638="EIF",5.4)))))))</f>
        <v/>
      </c>
      <c r="M8638" s="112" t="str">
        <f t="shared" si="138"/>
        <v/>
      </c>
      <c r="N8638" s="113"/>
    </row>
    <row r="8639" spans="2:14">
      <c r="B8639" s="105"/>
      <c r="C8639" s="106"/>
      <c r="D8639" s="107"/>
      <c r="E8639" s="65"/>
      <c r="F8639" s="64"/>
      <c r="G8639" s="64"/>
      <c r="H8639" s="64"/>
      <c r="I8639" s="70"/>
      <c r="J8639" s="70"/>
      <c r="K8639" s="110" t="str">
        <f>IF(H8639="","",IF($C$29="간이법","",FPR(H8639,I8639,J8639)))</f>
        <v/>
      </c>
      <c r="L8639" s="111" t="str">
        <f>IF(H8639="","",IF($C$29="상세법",FPV(H8639,K8639),IF(H8639="EI",4,IF(H8639="EO",5.2,IF(H8639="EQ",3.9,IF(H8639="ILF",7.5,IF(H8639="EIF",5.4)))))))</f>
        <v/>
      </c>
      <c r="M8639" s="112" t="str">
        <f t="shared" si="138"/>
        <v/>
      </c>
      <c r="N8639" s="113"/>
    </row>
    <row r="8640" spans="2:14">
      <c r="B8640" s="105"/>
      <c r="C8640" s="106"/>
      <c r="D8640" s="107"/>
      <c r="E8640" s="65"/>
      <c r="F8640" s="64"/>
      <c r="G8640" s="64"/>
      <c r="H8640" s="64"/>
      <c r="I8640" s="70"/>
      <c r="J8640" s="70"/>
      <c r="K8640" s="110" t="str">
        <f>IF(H8640="","",IF($C$29="간이법","",FPR(H8640,I8640,J8640)))</f>
        <v/>
      </c>
      <c r="L8640" s="111" t="str">
        <f>IF(H8640="","",IF($C$29="상세법",FPV(H8640,K8640),IF(H8640="EI",4,IF(H8640="EO",5.2,IF(H8640="EQ",3.9,IF(H8640="ILF",7.5,IF(H8640="EIF",5.4)))))))</f>
        <v/>
      </c>
      <c r="M8640" s="112" t="str">
        <f t="shared" si="138"/>
        <v/>
      </c>
      <c r="N8640" s="113"/>
    </row>
    <row r="8641" spans="2:14">
      <c r="B8641" s="105"/>
      <c r="C8641" s="106"/>
      <c r="D8641" s="107"/>
      <c r="E8641" s="65"/>
      <c r="F8641" s="64"/>
      <c r="G8641" s="64"/>
      <c r="H8641" s="64"/>
      <c r="I8641" s="70"/>
      <c r="J8641" s="70"/>
      <c r="K8641" s="110" t="str">
        <f>IF(H8641="","",IF($C$29="간이법","",FPR(H8641,I8641,J8641)))</f>
        <v/>
      </c>
      <c r="L8641" s="111" t="str">
        <f>IF(H8641="","",IF($C$29="상세법",FPV(H8641,K8641),IF(H8641="EI",4,IF(H8641="EO",5.2,IF(H8641="EQ",3.9,IF(H8641="ILF",7.5,IF(H8641="EIF",5.4)))))))</f>
        <v/>
      </c>
      <c r="M8641" s="112" t="str">
        <f t="shared" si="138"/>
        <v/>
      </c>
      <c r="N8641" s="113"/>
    </row>
    <row r="8642" spans="2:14">
      <c r="B8642" s="105"/>
      <c r="C8642" s="106"/>
      <c r="D8642" s="107"/>
      <c r="E8642" s="65"/>
      <c r="F8642" s="64"/>
      <c r="G8642" s="64"/>
      <c r="H8642" s="64"/>
      <c r="I8642" s="70"/>
      <c r="J8642" s="70"/>
      <c r="K8642" s="110" t="str">
        <f>IF(H8642="","",IF($C$29="간이법","",FPR(H8642,I8642,J8642)))</f>
        <v/>
      </c>
      <c r="L8642" s="111" t="str">
        <f>IF(H8642="","",IF($C$29="상세법",FPV(H8642,K8642),IF(H8642="EI",4,IF(H8642="EO",5.2,IF(H8642="EQ",3.9,IF(H8642="ILF",7.5,IF(H8642="EIF",5.4)))))))</f>
        <v/>
      </c>
      <c r="M8642" s="112" t="str">
        <f t="shared" si="138"/>
        <v/>
      </c>
      <c r="N8642" s="113"/>
    </row>
    <row r="8643" spans="2:14">
      <c r="B8643" s="105"/>
      <c r="C8643" s="106"/>
      <c r="D8643" s="107"/>
      <c r="E8643" s="65"/>
      <c r="F8643" s="64"/>
      <c r="G8643" s="64"/>
      <c r="H8643" s="64"/>
      <c r="I8643" s="70"/>
      <c r="J8643" s="70"/>
      <c r="K8643" s="110" t="str">
        <f>IF(H8643="","",IF($C$29="간이법","",FPR(H8643,I8643,J8643)))</f>
        <v/>
      </c>
      <c r="L8643" s="111" t="str">
        <f>IF(H8643="","",IF($C$29="상세법",FPV(H8643,K8643),IF(H8643="EI",4,IF(H8643="EO",5.2,IF(H8643="EQ",3.9,IF(H8643="ILF",7.5,IF(H8643="EIF",5.4)))))))</f>
        <v/>
      </c>
      <c r="M8643" s="112" t="str">
        <f t="shared" si="138"/>
        <v/>
      </c>
      <c r="N8643" s="113"/>
    </row>
    <row r="8644" spans="2:14">
      <c r="B8644" s="105"/>
      <c r="C8644" s="106"/>
      <c r="D8644" s="107"/>
      <c r="E8644" s="65"/>
      <c r="F8644" s="64"/>
      <c r="G8644" s="64"/>
      <c r="H8644" s="64"/>
      <c r="I8644" s="70"/>
      <c r="J8644" s="70"/>
      <c r="K8644" s="110" t="str">
        <f>IF(H8644="","",IF($C$29="간이법","",FPR(H8644,I8644,J8644)))</f>
        <v/>
      </c>
      <c r="L8644" s="111" t="str">
        <f>IF(H8644="","",IF($C$29="상세법",FPV(H8644,K8644),IF(H8644="EI",4,IF(H8644="EO",5.2,IF(H8644="EQ",3.9,IF(H8644="ILF",7.5,IF(H8644="EIF",5.4)))))))</f>
        <v/>
      </c>
      <c r="M8644" s="112" t="str">
        <f t="shared" si="138"/>
        <v/>
      </c>
      <c r="N8644" s="113"/>
    </row>
    <row r="8645" spans="2:14">
      <c r="B8645" s="105"/>
      <c r="C8645" s="106"/>
      <c r="D8645" s="107"/>
      <c r="E8645" s="65"/>
      <c r="F8645" s="64"/>
      <c r="G8645" s="64"/>
      <c r="H8645" s="64"/>
      <c r="I8645" s="70"/>
      <c r="J8645" s="70"/>
      <c r="K8645" s="110" t="str">
        <f>IF(H8645="","",IF($C$29="간이법","",FPR(H8645,I8645,J8645)))</f>
        <v/>
      </c>
      <c r="L8645" s="111" t="str">
        <f>IF(H8645="","",IF($C$29="상세법",FPV(H8645,K8645),IF(H8645="EI",4,IF(H8645="EO",5.2,IF(H8645="EQ",3.9,IF(H8645="ILF",7.5,IF(H8645="EIF",5.4)))))))</f>
        <v/>
      </c>
      <c r="M8645" s="112" t="str">
        <f t="shared" si="138"/>
        <v/>
      </c>
      <c r="N8645" s="113"/>
    </row>
    <row r="8646" spans="2:14">
      <c r="B8646" s="105"/>
      <c r="C8646" s="106"/>
      <c r="D8646" s="107"/>
      <c r="E8646" s="65"/>
      <c r="F8646" s="64"/>
      <c r="G8646" s="64"/>
      <c r="H8646" s="64"/>
      <c r="I8646" s="70"/>
      <c r="J8646" s="70"/>
      <c r="K8646" s="110" t="str">
        <f>IF(H8646="","",IF($C$29="간이법","",FPR(H8646,I8646,J8646)))</f>
        <v/>
      </c>
      <c r="L8646" s="111" t="str">
        <f>IF(H8646="","",IF($C$29="상세법",FPV(H8646,K8646),IF(H8646="EI",4,IF(H8646="EO",5.2,IF(H8646="EQ",3.9,IF(H8646="ILF",7.5,IF(H8646="EIF",5.4)))))))</f>
        <v/>
      </c>
      <c r="M8646" s="112" t="str">
        <f t="shared" si="138"/>
        <v/>
      </c>
      <c r="N8646" s="113"/>
    </row>
    <row r="8647" spans="2:14">
      <c r="B8647" s="105"/>
      <c r="C8647" s="106"/>
      <c r="D8647" s="107"/>
      <c r="E8647" s="65"/>
      <c r="F8647" s="64"/>
      <c r="G8647" s="64"/>
      <c r="H8647" s="64"/>
      <c r="I8647" s="70"/>
      <c r="J8647" s="70"/>
      <c r="K8647" s="110" t="str">
        <f>IF(H8647="","",IF($C$29="간이법","",FPR(H8647,I8647,J8647)))</f>
        <v/>
      </c>
      <c r="L8647" s="111" t="str">
        <f>IF(H8647="","",IF($C$29="상세법",FPV(H8647,K8647),IF(H8647="EI",4,IF(H8647="EO",5.2,IF(H8647="EQ",3.9,IF(H8647="ILF",7.5,IF(H8647="EIF",5.4)))))))</f>
        <v/>
      </c>
      <c r="M8647" s="112" t="str">
        <f t="shared" si="138"/>
        <v/>
      </c>
      <c r="N8647" s="113"/>
    </row>
    <row r="8648" spans="2:14">
      <c r="B8648" s="105"/>
      <c r="C8648" s="106"/>
      <c r="D8648" s="107"/>
      <c r="E8648" s="65"/>
      <c r="F8648" s="64"/>
      <c r="G8648" s="64"/>
      <c r="H8648" s="64"/>
      <c r="I8648" s="70"/>
      <c r="J8648" s="70"/>
      <c r="K8648" s="110" t="str">
        <f>IF(H8648="","",IF($C$29="간이법","",FPR(H8648,I8648,J8648)))</f>
        <v/>
      </c>
      <c r="L8648" s="111" t="str">
        <f>IF(H8648="","",IF($C$29="상세법",FPV(H8648,K8648),IF(H8648="EI",4,IF(H8648="EO",5.2,IF(H8648="EQ",3.9,IF(H8648="ILF",7.5,IF(H8648="EIF",5.4)))))))</f>
        <v/>
      </c>
      <c r="M8648" s="112" t="str">
        <f t="shared" si="138"/>
        <v/>
      </c>
      <c r="N8648" s="113"/>
    </row>
    <row r="8649" spans="2:14">
      <c r="B8649" s="105"/>
      <c r="C8649" s="106"/>
      <c r="D8649" s="107"/>
      <c r="E8649" s="65"/>
      <c r="F8649" s="64"/>
      <c r="G8649" s="64"/>
      <c r="H8649" s="64"/>
      <c r="I8649" s="70"/>
      <c r="J8649" s="70"/>
      <c r="K8649" s="110" t="str">
        <f>IF(H8649="","",IF($C$29="간이법","",FPR(H8649,I8649,J8649)))</f>
        <v/>
      </c>
      <c r="L8649" s="111" t="str">
        <f>IF(H8649="","",IF($C$29="상세법",FPV(H8649,K8649),IF(H8649="EI",4,IF(H8649="EO",5.2,IF(H8649="EQ",3.9,IF(H8649="ILF",7.5,IF(H8649="EIF",5.4)))))))</f>
        <v/>
      </c>
      <c r="M8649" s="112" t="str">
        <f t="shared" si="138"/>
        <v/>
      </c>
      <c r="N8649" s="113"/>
    </row>
    <row r="8650" spans="2:14">
      <c r="B8650" s="105"/>
      <c r="C8650" s="106"/>
      <c r="D8650" s="107"/>
      <c r="E8650" s="65"/>
      <c r="F8650" s="64"/>
      <c r="G8650" s="64"/>
      <c r="H8650" s="64"/>
      <c r="I8650" s="70"/>
      <c r="J8650" s="70"/>
      <c r="K8650" s="110" t="str">
        <f>IF(H8650="","",IF($C$29="간이법","",FPR(H8650,I8650,J8650)))</f>
        <v/>
      </c>
      <c r="L8650" s="111" t="str">
        <f>IF(H8650="","",IF($C$29="상세법",FPV(H8650,K8650),IF(H8650="EI",4,IF(H8650="EO",5.2,IF(H8650="EQ",3.9,IF(H8650="ILF",7.5,IF(H8650="EIF",5.4)))))))</f>
        <v/>
      </c>
      <c r="M8650" s="112" t="str">
        <f t="shared" si="138"/>
        <v/>
      </c>
      <c r="N8650" s="113"/>
    </row>
    <row r="8651" spans="2:14">
      <c r="B8651" s="105"/>
      <c r="C8651" s="106"/>
      <c r="D8651" s="107"/>
      <c r="E8651" s="65"/>
      <c r="F8651" s="64"/>
      <c r="G8651" s="64"/>
      <c r="H8651" s="64"/>
      <c r="I8651" s="70"/>
      <c r="J8651" s="70"/>
      <c r="K8651" s="110" t="str">
        <f>IF(H8651="","",IF($C$29="간이법","",FPR(H8651,I8651,J8651)))</f>
        <v/>
      </c>
      <c r="L8651" s="111" t="str">
        <f>IF(H8651="","",IF($C$29="상세법",FPV(H8651,K8651),IF(H8651="EI",4,IF(H8651="EO",5.2,IF(H8651="EQ",3.9,IF(H8651="ILF",7.5,IF(H8651="EIF",5.4)))))))</f>
        <v/>
      </c>
      <c r="M8651" s="112" t="str">
        <f t="shared" si="138"/>
        <v/>
      </c>
      <c r="N8651" s="113"/>
    </row>
    <row r="8652" spans="2:14">
      <c r="B8652" s="105"/>
      <c r="C8652" s="106"/>
      <c r="D8652" s="107"/>
      <c r="E8652" s="65"/>
      <c r="F8652" s="64"/>
      <c r="G8652" s="64"/>
      <c r="H8652" s="64"/>
      <c r="I8652" s="70"/>
      <c r="J8652" s="70"/>
      <c r="K8652" s="110" t="str">
        <f>IF(H8652="","",IF($C$29="간이법","",FPR(H8652,I8652,J8652)))</f>
        <v/>
      </c>
      <c r="L8652" s="111" t="str">
        <f>IF(H8652="","",IF($C$29="상세법",FPV(H8652,K8652),IF(H8652="EI",4,IF(H8652="EO",5.2,IF(H8652="EQ",3.9,IF(H8652="ILF",7.5,IF(H8652="EIF",5.4)))))))</f>
        <v/>
      </c>
      <c r="M8652" s="112" t="str">
        <f t="shared" si="138"/>
        <v/>
      </c>
      <c r="N8652" s="113"/>
    </row>
    <row r="8653" spans="2:14">
      <c r="B8653" s="105"/>
      <c r="C8653" s="106"/>
      <c r="D8653" s="107"/>
      <c r="E8653" s="65"/>
      <c r="F8653" s="64"/>
      <c r="G8653" s="64"/>
      <c r="H8653" s="64"/>
      <c r="I8653" s="70"/>
      <c r="J8653" s="70"/>
      <c r="K8653" s="110" t="str">
        <f>IF(H8653="","",IF($C$29="간이법","",FPR(H8653,I8653,J8653)))</f>
        <v/>
      </c>
      <c r="L8653" s="111" t="str">
        <f>IF(H8653="","",IF($C$29="상세법",FPV(H8653,K8653),IF(H8653="EI",4,IF(H8653="EO",5.2,IF(H8653="EQ",3.9,IF(H8653="ILF",7.5,IF(H8653="EIF",5.4)))))))</f>
        <v/>
      </c>
      <c r="M8653" s="112" t="str">
        <f t="shared" si="138"/>
        <v/>
      </c>
      <c r="N8653" s="113"/>
    </row>
    <row r="8654" spans="2:14">
      <c r="B8654" s="105"/>
      <c r="C8654" s="106"/>
      <c r="D8654" s="107"/>
      <c r="E8654" s="65"/>
      <c r="F8654" s="64"/>
      <c r="G8654" s="64"/>
      <c r="H8654" s="64"/>
      <c r="I8654" s="70"/>
      <c r="J8654" s="70"/>
      <c r="K8654" s="110" t="str">
        <f>IF(H8654="","",IF($C$29="간이법","",FPR(H8654,I8654,J8654)))</f>
        <v/>
      </c>
      <c r="L8654" s="111" t="str">
        <f>IF(H8654="","",IF($C$29="상세법",FPV(H8654,K8654),IF(H8654="EI",4,IF(H8654="EO",5.2,IF(H8654="EQ",3.9,IF(H8654="ILF",7.5,IF(H8654="EIF",5.4)))))))</f>
        <v/>
      </c>
      <c r="M8654" s="112" t="str">
        <f t="shared" si="138"/>
        <v/>
      </c>
      <c r="N8654" s="113"/>
    </row>
    <row r="8655" spans="2:14">
      <c r="B8655" s="105"/>
      <c r="C8655" s="106"/>
      <c r="D8655" s="107"/>
      <c r="E8655" s="65"/>
      <c r="F8655" s="64"/>
      <c r="G8655" s="64"/>
      <c r="H8655" s="64"/>
      <c r="I8655" s="70"/>
      <c r="J8655" s="70"/>
      <c r="K8655" s="110" t="str">
        <f>IF(H8655="","",IF($C$29="간이법","",FPR(H8655,I8655,J8655)))</f>
        <v/>
      </c>
      <c r="L8655" s="111" t="str">
        <f>IF(H8655="","",IF($C$29="상세법",FPV(H8655,K8655),IF(H8655="EI",4,IF(H8655="EO",5.2,IF(H8655="EQ",3.9,IF(H8655="ILF",7.5,IF(H8655="EIF",5.4)))))))</f>
        <v/>
      </c>
      <c r="M8655" s="112" t="str">
        <f t="shared" si="138"/>
        <v/>
      </c>
      <c r="N8655" s="113"/>
    </row>
    <row r="8656" spans="2:14">
      <c r="B8656" s="105"/>
      <c r="C8656" s="106"/>
      <c r="D8656" s="107"/>
      <c r="E8656" s="65"/>
      <c r="F8656" s="64"/>
      <c r="G8656" s="64"/>
      <c r="H8656" s="64"/>
      <c r="I8656" s="70"/>
      <c r="J8656" s="70"/>
      <c r="K8656" s="110" t="str">
        <f>IF(H8656="","",IF($C$29="간이법","",FPR(H8656,I8656,J8656)))</f>
        <v/>
      </c>
      <c r="L8656" s="111" t="str">
        <f>IF(H8656="","",IF($C$29="상세법",FPV(H8656,K8656),IF(H8656="EI",4,IF(H8656="EO",5.2,IF(H8656="EQ",3.9,IF(H8656="ILF",7.5,IF(H8656="EIF",5.4)))))))</f>
        <v/>
      </c>
      <c r="M8656" s="112" t="str">
        <f t="shared" si="138"/>
        <v/>
      </c>
      <c r="N8656" s="113"/>
    </row>
    <row r="8657" spans="2:14">
      <c r="B8657" s="105"/>
      <c r="C8657" s="106"/>
      <c r="D8657" s="107"/>
      <c r="E8657" s="65"/>
      <c r="F8657" s="64"/>
      <c r="G8657" s="64"/>
      <c r="H8657" s="64"/>
      <c r="I8657" s="70"/>
      <c r="J8657" s="70"/>
      <c r="K8657" s="110" t="str">
        <f>IF(H8657="","",IF($C$29="간이법","",FPR(H8657,I8657,J8657)))</f>
        <v/>
      </c>
      <c r="L8657" s="111" t="str">
        <f>IF(H8657="","",IF($C$29="상세법",FPV(H8657,K8657),IF(H8657="EI",4,IF(H8657="EO",5.2,IF(H8657="EQ",3.9,IF(H8657="ILF",7.5,IF(H8657="EIF",5.4)))))))</f>
        <v/>
      </c>
      <c r="M8657" s="112" t="str">
        <f t="shared" si="138"/>
        <v/>
      </c>
      <c r="N8657" s="113"/>
    </row>
    <row r="8658" spans="2:14">
      <c r="B8658" s="105"/>
      <c r="C8658" s="106"/>
      <c r="D8658" s="107"/>
      <c r="E8658" s="65"/>
      <c r="F8658" s="64"/>
      <c r="G8658" s="64"/>
      <c r="H8658" s="64"/>
      <c r="I8658" s="70"/>
      <c r="J8658" s="70"/>
      <c r="K8658" s="110" t="str">
        <f>IF(H8658="","",IF($C$29="간이법","",FPR(H8658,I8658,J8658)))</f>
        <v/>
      </c>
      <c r="L8658" s="111" t="str">
        <f>IF(H8658="","",IF($C$29="상세법",FPV(H8658,K8658),IF(H8658="EI",4,IF(H8658="EO",5.2,IF(H8658="EQ",3.9,IF(H8658="ILF",7.5,IF(H8658="EIF",5.4)))))))</f>
        <v/>
      </c>
      <c r="M8658" s="112" t="str">
        <f t="shared" si="138"/>
        <v/>
      </c>
      <c r="N8658" s="113"/>
    </row>
    <row r="8659" spans="2:14">
      <c r="B8659" s="105"/>
      <c r="C8659" s="106"/>
      <c r="D8659" s="107"/>
      <c r="E8659" s="65"/>
      <c r="F8659" s="64"/>
      <c r="G8659" s="64"/>
      <c r="H8659" s="64"/>
      <c r="I8659" s="70"/>
      <c r="J8659" s="70"/>
      <c r="K8659" s="110" t="str">
        <f>IF(H8659="","",IF($C$29="간이법","",FPR(H8659,I8659,J8659)))</f>
        <v/>
      </c>
      <c r="L8659" s="111" t="str">
        <f>IF(H8659="","",IF($C$29="상세법",FPV(H8659,K8659),IF(H8659="EI",4,IF(H8659="EO",5.2,IF(H8659="EQ",3.9,IF(H8659="ILF",7.5,IF(H8659="EIF",5.4)))))))</f>
        <v/>
      </c>
      <c r="M8659" s="112" t="str">
        <f t="shared" si="138"/>
        <v/>
      </c>
      <c r="N8659" s="113"/>
    </row>
    <row r="8660" spans="2:14">
      <c r="B8660" s="105"/>
      <c r="C8660" s="106"/>
      <c r="D8660" s="107"/>
      <c r="E8660" s="65"/>
      <c r="F8660" s="64"/>
      <c r="G8660" s="64"/>
      <c r="H8660" s="64"/>
      <c r="I8660" s="70"/>
      <c r="J8660" s="70"/>
      <c r="K8660" s="110" t="str">
        <f>IF(H8660="","",IF($C$29="간이법","",FPR(H8660,I8660,J8660)))</f>
        <v/>
      </c>
      <c r="L8660" s="111" t="str">
        <f>IF(H8660="","",IF($C$29="상세법",FPV(H8660,K8660),IF(H8660="EI",4,IF(H8660="EO",5.2,IF(H8660="EQ",3.9,IF(H8660="ILF",7.5,IF(H8660="EIF",5.4)))))))</f>
        <v/>
      </c>
      <c r="M8660" s="112" t="str">
        <f t="shared" si="138"/>
        <v/>
      </c>
      <c r="N8660" s="113"/>
    </row>
    <row r="8661" spans="2:14">
      <c r="B8661" s="105"/>
      <c r="C8661" s="106"/>
      <c r="D8661" s="107"/>
      <c r="E8661" s="65"/>
      <c r="F8661" s="64"/>
      <c r="G8661" s="64"/>
      <c r="H8661" s="64"/>
      <c r="I8661" s="70"/>
      <c r="J8661" s="70"/>
      <c r="K8661" s="110" t="str">
        <f>IF(H8661="","",IF($C$29="간이법","",FPR(H8661,I8661,J8661)))</f>
        <v/>
      </c>
      <c r="L8661" s="111" t="str">
        <f>IF(H8661="","",IF($C$29="상세법",FPV(H8661,K8661),IF(H8661="EI",4,IF(H8661="EO",5.2,IF(H8661="EQ",3.9,IF(H8661="ILF",7.5,IF(H8661="EIF",5.4)))))))</f>
        <v/>
      </c>
      <c r="M8661" s="112" t="str">
        <f t="shared" si="138"/>
        <v/>
      </c>
      <c r="N8661" s="113"/>
    </row>
    <row r="8662" spans="2:14">
      <c r="B8662" s="105"/>
      <c r="C8662" s="106"/>
      <c r="D8662" s="107"/>
      <c r="E8662" s="65"/>
      <c r="F8662" s="64"/>
      <c r="G8662" s="64"/>
      <c r="H8662" s="64"/>
      <c r="I8662" s="70"/>
      <c r="J8662" s="70"/>
      <c r="K8662" s="110" t="str">
        <f>IF(H8662="","",IF($C$29="간이법","",FPR(H8662,I8662,J8662)))</f>
        <v/>
      </c>
      <c r="L8662" s="111" t="str">
        <f>IF(H8662="","",IF($C$29="상세법",FPV(H8662,K8662),IF(H8662="EI",4,IF(H8662="EO",5.2,IF(H8662="EQ",3.9,IF(H8662="ILF",7.5,IF(H8662="EIF",5.4)))))))</f>
        <v/>
      </c>
      <c r="M8662" s="112" t="str">
        <f t="shared" si="138"/>
        <v/>
      </c>
      <c r="N8662" s="113"/>
    </row>
    <row r="8663" spans="2:14">
      <c r="B8663" s="105"/>
      <c r="C8663" s="106"/>
      <c r="D8663" s="107"/>
      <c r="E8663" s="65"/>
      <c r="F8663" s="64"/>
      <c r="G8663" s="64"/>
      <c r="H8663" s="64"/>
      <c r="I8663" s="70"/>
      <c r="J8663" s="70"/>
      <c r="K8663" s="110" t="str">
        <f>IF(H8663="","",IF($C$29="간이법","",FPR(H8663,I8663,J8663)))</f>
        <v/>
      </c>
      <c r="L8663" s="111" t="str">
        <f>IF(H8663="","",IF($C$29="상세법",FPV(H8663,K8663),IF(H8663="EI",4,IF(H8663="EO",5.2,IF(H8663="EQ",3.9,IF(H8663="ILF",7.5,IF(H8663="EIF",5.4)))))))</f>
        <v/>
      </c>
      <c r="M8663" s="112" t="str">
        <f t="shared" si="138"/>
        <v/>
      </c>
      <c r="N8663" s="113"/>
    </row>
    <row r="8664" spans="2:14">
      <c r="B8664" s="105"/>
      <c r="C8664" s="106"/>
      <c r="D8664" s="107"/>
      <c r="E8664" s="65"/>
      <c r="F8664" s="64"/>
      <c r="G8664" s="64"/>
      <c r="H8664" s="64"/>
      <c r="I8664" s="70"/>
      <c r="J8664" s="70"/>
      <c r="K8664" s="110" t="str">
        <f>IF(H8664="","",IF($C$29="간이법","",FPR(H8664,I8664,J8664)))</f>
        <v/>
      </c>
      <c r="L8664" s="111" t="str">
        <f>IF(H8664="","",IF($C$29="상세법",FPV(H8664,K8664),IF(H8664="EI",4,IF(H8664="EO",5.2,IF(H8664="EQ",3.9,IF(H8664="ILF",7.5,IF(H8664="EIF",5.4)))))))</f>
        <v/>
      </c>
      <c r="M8664" s="112" t="str">
        <f t="shared" si="138"/>
        <v/>
      </c>
      <c r="N8664" s="113"/>
    </row>
    <row r="8665" spans="2:14">
      <c r="B8665" s="105"/>
      <c r="C8665" s="106"/>
      <c r="D8665" s="107"/>
      <c r="E8665" s="65"/>
      <c r="F8665" s="64"/>
      <c r="G8665" s="64"/>
      <c r="H8665" s="64"/>
      <c r="I8665" s="70"/>
      <c r="J8665" s="70"/>
      <c r="K8665" s="110" t="str">
        <f>IF(H8665="","",IF($C$29="간이법","",FPR(H8665,I8665,J8665)))</f>
        <v/>
      </c>
      <c r="L8665" s="111" t="str">
        <f>IF(H8665="","",IF($C$29="상세법",FPV(H8665,K8665),IF(H8665="EI",4,IF(H8665="EO",5.2,IF(H8665="EQ",3.9,IF(H8665="ILF",7.5,IF(H8665="EIF",5.4)))))))</f>
        <v/>
      </c>
      <c r="M8665" s="112" t="str">
        <f t="shared" si="138"/>
        <v/>
      </c>
      <c r="N8665" s="113"/>
    </row>
    <row r="8666" spans="2:14">
      <c r="B8666" s="105"/>
      <c r="C8666" s="106"/>
      <c r="D8666" s="107"/>
      <c r="E8666" s="65"/>
      <c r="F8666" s="64"/>
      <c r="G8666" s="64"/>
      <c r="H8666" s="64"/>
      <c r="I8666" s="70"/>
      <c r="J8666" s="70"/>
      <c r="K8666" s="110" t="str">
        <f>IF(H8666="","",IF($C$29="간이법","",FPR(H8666,I8666,J8666)))</f>
        <v/>
      </c>
      <c r="L8666" s="111" t="str">
        <f>IF(H8666="","",IF($C$29="상세법",FPV(H8666,K8666),IF(H8666="EI",4,IF(H8666="EO",5.2,IF(H8666="EQ",3.9,IF(H8666="ILF",7.5,IF(H8666="EIF",5.4)))))))</f>
        <v/>
      </c>
      <c r="M8666" s="112" t="str">
        <f t="shared" si="138"/>
        <v/>
      </c>
      <c r="N8666" s="113"/>
    </row>
    <row r="8667" spans="2:14">
      <c r="B8667" s="105"/>
      <c r="C8667" s="106"/>
      <c r="D8667" s="107"/>
      <c r="E8667" s="65"/>
      <c r="F8667" s="64"/>
      <c r="G8667" s="64"/>
      <c r="H8667" s="64"/>
      <c r="I8667" s="70"/>
      <c r="J8667" s="70"/>
      <c r="K8667" s="110" t="str">
        <f>IF(H8667="","",IF($C$29="간이법","",FPR(H8667,I8667,J8667)))</f>
        <v/>
      </c>
      <c r="L8667" s="111" t="str">
        <f>IF(H8667="","",IF($C$29="상세법",FPV(H8667,K8667),IF(H8667="EI",4,IF(H8667="EO",5.2,IF(H8667="EQ",3.9,IF(H8667="ILF",7.5,IF(H8667="EIF",5.4)))))))</f>
        <v/>
      </c>
      <c r="M8667" s="112" t="str">
        <f t="shared" si="138"/>
        <v/>
      </c>
      <c r="N8667" s="113"/>
    </row>
    <row r="8668" spans="2:14">
      <c r="B8668" s="105"/>
      <c r="C8668" s="106"/>
      <c r="D8668" s="107"/>
      <c r="E8668" s="65"/>
      <c r="F8668" s="64"/>
      <c r="G8668" s="64"/>
      <c r="H8668" s="64"/>
      <c r="I8668" s="70"/>
      <c r="J8668" s="70"/>
      <c r="K8668" s="110" t="str">
        <f>IF(H8668="","",IF($C$29="간이법","",FPR(H8668,I8668,J8668)))</f>
        <v/>
      </c>
      <c r="L8668" s="111" t="str">
        <f>IF(H8668="","",IF($C$29="상세법",FPV(H8668,K8668),IF(H8668="EI",4,IF(H8668="EO",5.2,IF(H8668="EQ",3.9,IF(H8668="ILF",7.5,IF(H8668="EIF",5.4)))))))</f>
        <v/>
      </c>
      <c r="M8668" s="112" t="str">
        <f t="shared" si="138"/>
        <v/>
      </c>
      <c r="N8668" s="113"/>
    </row>
    <row r="8669" spans="2:14">
      <c r="B8669" s="105"/>
      <c r="C8669" s="106"/>
      <c r="D8669" s="107"/>
      <c r="E8669" s="65"/>
      <c r="F8669" s="64"/>
      <c r="G8669" s="64"/>
      <c r="H8669" s="64"/>
      <c r="I8669" s="70"/>
      <c r="J8669" s="70"/>
      <c r="K8669" s="110" t="str">
        <f>IF(H8669="","",IF($C$29="간이법","",FPR(H8669,I8669,J8669)))</f>
        <v/>
      </c>
      <c r="L8669" s="111" t="str">
        <f>IF(H8669="","",IF($C$29="상세법",FPV(H8669,K8669),IF(H8669="EI",4,IF(H8669="EO",5.2,IF(H8669="EQ",3.9,IF(H8669="ILF",7.5,IF(H8669="EIF",5.4)))))))</f>
        <v/>
      </c>
      <c r="M8669" s="112" t="str">
        <f t="shared" si="138"/>
        <v/>
      </c>
      <c r="N8669" s="113"/>
    </row>
    <row r="8670" spans="2:14">
      <c r="B8670" s="105"/>
      <c r="C8670" s="106"/>
      <c r="D8670" s="107"/>
      <c r="E8670" s="65"/>
      <c r="F8670" s="64"/>
      <c r="G8670" s="64"/>
      <c r="H8670" s="64"/>
      <c r="I8670" s="70"/>
      <c r="J8670" s="70"/>
      <c r="K8670" s="110" t="str">
        <f>IF(H8670="","",IF($C$29="간이법","",FPR(H8670,I8670,J8670)))</f>
        <v/>
      </c>
      <c r="L8670" s="111" t="str">
        <f>IF(H8670="","",IF($C$29="상세법",FPV(H8670,K8670),IF(H8670="EI",4,IF(H8670="EO",5.2,IF(H8670="EQ",3.9,IF(H8670="ILF",7.5,IF(H8670="EIF",5.4)))))))</f>
        <v/>
      </c>
      <c r="M8670" s="112" t="str">
        <f t="shared" si="138"/>
        <v/>
      </c>
      <c r="N8670" s="113"/>
    </row>
    <row r="8671" spans="2:14">
      <c r="B8671" s="105"/>
      <c r="C8671" s="106"/>
      <c r="D8671" s="107"/>
      <c r="E8671" s="65"/>
      <c r="F8671" s="64"/>
      <c r="G8671" s="64"/>
      <c r="H8671" s="64"/>
      <c r="I8671" s="70"/>
      <c r="J8671" s="70"/>
      <c r="K8671" s="110" t="str">
        <f>IF(H8671="","",IF($C$29="간이법","",FPR(H8671,I8671,J8671)))</f>
        <v/>
      </c>
      <c r="L8671" s="111" t="str">
        <f>IF(H8671="","",IF($C$29="상세법",FPV(H8671,K8671),IF(H8671="EI",4,IF(H8671="EO",5.2,IF(H8671="EQ",3.9,IF(H8671="ILF",7.5,IF(H8671="EIF",5.4)))))))</f>
        <v/>
      </c>
      <c r="M8671" s="112" t="str">
        <f t="shared" si="138"/>
        <v/>
      </c>
      <c r="N8671" s="113"/>
    </row>
    <row r="8672" spans="2:14">
      <c r="B8672" s="105"/>
      <c r="C8672" s="106"/>
      <c r="D8672" s="107"/>
      <c r="E8672" s="65"/>
      <c r="F8672" s="64"/>
      <c r="G8672" s="64"/>
      <c r="H8672" s="64"/>
      <c r="I8672" s="70"/>
      <c r="J8672" s="70"/>
      <c r="K8672" s="110" t="str">
        <f>IF(H8672="","",IF($C$29="간이법","",FPR(H8672,I8672,J8672)))</f>
        <v/>
      </c>
      <c r="L8672" s="111" t="str">
        <f>IF(H8672="","",IF($C$29="상세법",FPV(H8672,K8672),IF(H8672="EI",4,IF(H8672="EO",5.2,IF(H8672="EQ",3.9,IF(H8672="ILF",7.5,IF(H8672="EIF",5.4)))))))</f>
        <v/>
      </c>
      <c r="M8672" s="112" t="str">
        <f t="shared" si="138"/>
        <v/>
      </c>
      <c r="N8672" s="113"/>
    </row>
    <row r="8673" spans="2:14">
      <c r="B8673" s="105"/>
      <c r="C8673" s="106"/>
      <c r="D8673" s="107"/>
      <c r="E8673" s="65"/>
      <c r="F8673" s="64"/>
      <c r="G8673" s="64"/>
      <c r="H8673" s="64"/>
      <c r="I8673" s="70"/>
      <c r="J8673" s="70"/>
      <c r="K8673" s="110" t="str">
        <f>IF(H8673="","",IF($C$29="간이법","",FPR(H8673,I8673,J8673)))</f>
        <v/>
      </c>
      <c r="L8673" s="111" t="str">
        <f>IF(H8673="","",IF($C$29="상세법",FPV(H8673,K8673),IF(H8673="EI",4,IF(H8673="EO",5.2,IF(H8673="EQ",3.9,IF(H8673="ILF",7.5,IF(H8673="EIF",5.4)))))))</f>
        <v/>
      </c>
      <c r="M8673" s="112" t="str">
        <f t="shared" si="138"/>
        <v/>
      </c>
      <c r="N8673" s="113"/>
    </row>
    <row r="8674" spans="2:14">
      <c r="B8674" s="105"/>
      <c r="C8674" s="106"/>
      <c r="D8674" s="107"/>
      <c r="E8674" s="65"/>
      <c r="F8674" s="64"/>
      <c r="G8674" s="64"/>
      <c r="H8674" s="64"/>
      <c r="I8674" s="70"/>
      <c r="J8674" s="70"/>
      <c r="K8674" s="110" t="str">
        <f>IF(H8674="","",IF($C$29="간이법","",FPR(H8674,I8674,J8674)))</f>
        <v/>
      </c>
      <c r="L8674" s="111" t="str">
        <f>IF(H8674="","",IF($C$29="상세법",FPV(H8674,K8674),IF(H8674="EI",4,IF(H8674="EO",5.2,IF(H8674="EQ",3.9,IF(H8674="ILF",7.5,IF(H8674="EIF",5.4)))))))</f>
        <v/>
      </c>
      <c r="M8674" s="112" t="str">
        <f t="shared" si="138"/>
        <v/>
      </c>
      <c r="N8674" s="113"/>
    </row>
    <row r="8675" spans="2:14">
      <c r="B8675" s="105"/>
      <c r="C8675" s="106"/>
      <c r="D8675" s="107"/>
      <c r="E8675" s="65"/>
      <c r="F8675" s="64"/>
      <c r="G8675" s="64"/>
      <c r="H8675" s="64"/>
      <c r="I8675" s="70"/>
      <c r="J8675" s="70"/>
      <c r="K8675" s="110" t="str">
        <f>IF(H8675="","",IF($C$29="간이법","",FPR(H8675,I8675,J8675)))</f>
        <v/>
      </c>
      <c r="L8675" s="111" t="str">
        <f>IF(H8675="","",IF($C$29="상세법",FPV(H8675,K8675),IF(H8675="EI",4,IF(H8675="EO",5.2,IF(H8675="EQ",3.9,IF(H8675="ILF",7.5,IF(H8675="EIF",5.4)))))))</f>
        <v/>
      </c>
      <c r="M8675" s="112" t="str">
        <f t="shared" si="138"/>
        <v/>
      </c>
      <c r="N8675" s="113"/>
    </row>
    <row r="8676" spans="2:14">
      <c r="B8676" s="105"/>
      <c r="C8676" s="106"/>
      <c r="D8676" s="107"/>
      <c r="E8676" s="65"/>
      <c r="F8676" s="64"/>
      <c r="G8676" s="64"/>
      <c r="H8676" s="64"/>
      <c r="I8676" s="70"/>
      <c r="J8676" s="70"/>
      <c r="K8676" s="110" t="str">
        <f>IF(H8676="","",IF($C$29="간이법","",FPR(H8676,I8676,J8676)))</f>
        <v/>
      </c>
      <c r="L8676" s="111" t="str">
        <f>IF(H8676="","",IF($C$29="상세법",FPV(H8676,K8676),IF(H8676="EI",4,IF(H8676="EO",5.2,IF(H8676="EQ",3.9,IF(H8676="ILF",7.5,IF(H8676="EIF",5.4)))))))</f>
        <v/>
      </c>
      <c r="M8676" s="112" t="str">
        <f t="shared" si="138"/>
        <v/>
      </c>
      <c r="N8676" s="113"/>
    </row>
    <row r="8677" spans="2:14">
      <c r="B8677" s="105"/>
      <c r="C8677" s="106"/>
      <c r="D8677" s="107"/>
      <c r="E8677" s="65"/>
      <c r="F8677" s="64"/>
      <c r="G8677" s="64"/>
      <c r="H8677" s="64"/>
      <c r="I8677" s="70"/>
      <c r="J8677" s="70"/>
      <c r="K8677" s="110" t="str">
        <f>IF(H8677="","",IF($C$29="간이법","",FPR(H8677,I8677,J8677)))</f>
        <v/>
      </c>
      <c r="L8677" s="111" t="str">
        <f>IF(H8677="","",IF($C$29="상세법",FPV(H8677,K8677),IF(H8677="EI",4,IF(H8677="EO",5.2,IF(H8677="EQ",3.9,IF(H8677="ILF",7.5,IF(H8677="EIF",5.4)))))))</f>
        <v/>
      </c>
      <c r="M8677" s="112" t="str">
        <f t="shared" si="138"/>
        <v/>
      </c>
      <c r="N8677" s="113"/>
    </row>
    <row r="8678" spans="2:14">
      <c r="B8678" s="105"/>
      <c r="C8678" s="106"/>
      <c r="D8678" s="107"/>
      <c r="E8678" s="65"/>
      <c r="F8678" s="64"/>
      <c r="G8678" s="64"/>
      <c r="H8678" s="64"/>
      <c r="I8678" s="70"/>
      <c r="J8678" s="70"/>
      <c r="K8678" s="110" t="str">
        <f>IF(H8678="","",IF($C$29="간이법","",FPR(H8678,I8678,J8678)))</f>
        <v/>
      </c>
      <c r="L8678" s="111" t="str">
        <f>IF(H8678="","",IF($C$29="상세법",FPV(H8678,K8678),IF(H8678="EI",4,IF(H8678="EO",5.2,IF(H8678="EQ",3.9,IF(H8678="ILF",7.5,IF(H8678="EIF",5.4)))))))</f>
        <v/>
      </c>
      <c r="M8678" s="112" t="str">
        <f t="shared" si="138"/>
        <v/>
      </c>
      <c r="N8678" s="113"/>
    </row>
    <row r="8679" spans="2:14">
      <c r="B8679" s="105"/>
      <c r="C8679" s="106"/>
      <c r="D8679" s="107"/>
      <c r="E8679" s="65"/>
      <c r="F8679" s="64"/>
      <c r="G8679" s="64"/>
      <c r="H8679" s="64"/>
      <c r="I8679" s="70"/>
      <c r="J8679" s="70"/>
      <c r="K8679" s="110" t="str">
        <f>IF(H8679="","",IF($C$29="간이법","",FPR(H8679,I8679,J8679)))</f>
        <v/>
      </c>
      <c r="L8679" s="111" t="str">
        <f>IF(H8679="","",IF($C$29="상세법",FPV(H8679,K8679),IF(H8679="EI",4,IF(H8679="EO",5.2,IF(H8679="EQ",3.9,IF(H8679="ILF",7.5,IF(H8679="EIF",5.4)))))))</f>
        <v/>
      </c>
      <c r="M8679" s="112" t="str">
        <f t="shared" si="138"/>
        <v/>
      </c>
      <c r="N8679" s="113"/>
    </row>
    <row r="8680" spans="2:14">
      <c r="B8680" s="105"/>
      <c r="C8680" s="106"/>
      <c r="D8680" s="107"/>
      <c r="E8680" s="65"/>
      <c r="F8680" s="64"/>
      <c r="G8680" s="64"/>
      <c r="H8680" s="64"/>
      <c r="I8680" s="70"/>
      <c r="J8680" s="70"/>
      <c r="K8680" s="110" t="str">
        <f>IF(H8680="","",IF($C$29="간이법","",FPR(H8680,I8680,J8680)))</f>
        <v/>
      </c>
      <c r="L8680" s="111" t="str">
        <f>IF(H8680="","",IF($C$29="상세법",FPV(H8680,K8680),IF(H8680="EI",4,IF(H8680="EO",5.2,IF(H8680="EQ",3.9,IF(H8680="ILF",7.5,IF(H8680="EIF",5.4)))))))</f>
        <v/>
      </c>
      <c r="M8680" s="112" t="str">
        <f t="shared" si="138"/>
        <v/>
      </c>
      <c r="N8680" s="113"/>
    </row>
    <row r="8681" spans="2:14">
      <c r="B8681" s="105"/>
      <c r="C8681" s="106"/>
      <c r="D8681" s="107"/>
      <c r="E8681" s="65"/>
      <c r="F8681" s="64"/>
      <c r="G8681" s="64"/>
      <c r="H8681" s="64"/>
      <c r="I8681" s="70"/>
      <c r="J8681" s="70"/>
      <c r="K8681" s="110" t="str">
        <f>IF(H8681="","",IF($C$29="간이법","",FPR(H8681,I8681,J8681)))</f>
        <v/>
      </c>
      <c r="L8681" s="111" t="str">
        <f>IF(H8681="","",IF($C$29="상세법",FPV(H8681,K8681),IF(H8681="EI",4,IF(H8681="EO",5.2,IF(H8681="EQ",3.9,IF(H8681="ILF",7.5,IF(H8681="EIF",5.4)))))))</f>
        <v/>
      </c>
      <c r="M8681" s="112" t="str">
        <f t="shared" si="138"/>
        <v/>
      </c>
      <c r="N8681" s="113"/>
    </row>
    <row r="8682" spans="2:14">
      <c r="B8682" s="105"/>
      <c r="C8682" s="106"/>
      <c r="D8682" s="107"/>
      <c r="E8682" s="65"/>
      <c r="F8682" s="64"/>
      <c r="G8682" s="64"/>
      <c r="H8682" s="64"/>
      <c r="I8682" s="70"/>
      <c r="J8682" s="70"/>
      <c r="K8682" s="110" t="str">
        <f>IF(H8682="","",IF($C$29="간이법","",FPR(H8682,I8682,J8682)))</f>
        <v/>
      </c>
      <c r="L8682" s="111" t="str">
        <f>IF(H8682="","",IF($C$29="상세법",FPV(H8682,K8682),IF(H8682="EI",4,IF(H8682="EO",5.2,IF(H8682="EQ",3.9,IF(H8682="ILF",7.5,IF(H8682="EIF",5.4)))))))</f>
        <v/>
      </c>
      <c r="M8682" s="112" t="str">
        <f t="shared" si="138"/>
        <v/>
      </c>
      <c r="N8682" s="113"/>
    </row>
    <row r="8683" spans="2:14">
      <c r="B8683" s="105"/>
      <c r="C8683" s="106"/>
      <c r="D8683" s="107"/>
      <c r="E8683" s="65"/>
      <c r="F8683" s="64"/>
      <c r="G8683" s="64"/>
      <c r="H8683" s="64"/>
      <c r="I8683" s="70"/>
      <c r="J8683" s="70"/>
      <c r="K8683" s="110" t="str">
        <f>IF(H8683="","",IF($C$29="간이법","",FPR(H8683,I8683,J8683)))</f>
        <v/>
      </c>
      <c r="L8683" s="111" t="str">
        <f>IF(H8683="","",IF($C$29="상세법",FPV(H8683,K8683),IF(H8683="EI",4,IF(H8683="EO",5.2,IF(H8683="EQ",3.9,IF(H8683="ILF",7.5,IF(H8683="EIF",5.4)))))))</f>
        <v/>
      </c>
      <c r="M8683" s="112" t="str">
        <f t="shared" si="138"/>
        <v/>
      </c>
      <c r="N8683" s="113"/>
    </row>
    <row r="8684" spans="2:14">
      <c r="B8684" s="105"/>
      <c r="C8684" s="106"/>
      <c r="D8684" s="107"/>
      <c r="E8684" s="65"/>
      <c r="F8684" s="64"/>
      <c r="G8684" s="64"/>
      <c r="H8684" s="64"/>
      <c r="I8684" s="70"/>
      <c r="J8684" s="70"/>
      <c r="K8684" s="110" t="str">
        <f>IF(H8684="","",IF($C$29="간이법","",FPR(H8684,I8684,J8684)))</f>
        <v/>
      </c>
      <c r="L8684" s="111" t="str">
        <f>IF(H8684="","",IF($C$29="상세법",FPV(H8684,K8684),IF(H8684="EI",4,IF(H8684="EO",5.2,IF(H8684="EQ",3.9,IF(H8684="ILF",7.5,IF(H8684="EIF",5.4)))))))</f>
        <v/>
      </c>
      <c r="M8684" s="112" t="str">
        <f t="shared" si="138"/>
        <v/>
      </c>
      <c r="N8684" s="113"/>
    </row>
    <row r="8685" spans="2:14">
      <c r="B8685" s="105"/>
      <c r="C8685" s="106"/>
      <c r="D8685" s="107"/>
      <c r="E8685" s="65"/>
      <c r="F8685" s="64"/>
      <c r="G8685" s="64"/>
      <c r="H8685" s="64"/>
      <c r="I8685" s="70"/>
      <c r="J8685" s="70"/>
      <c r="K8685" s="110" t="str">
        <f>IF(H8685="","",IF($C$29="간이법","",FPR(H8685,I8685,J8685)))</f>
        <v/>
      </c>
      <c r="L8685" s="111" t="str">
        <f>IF(H8685="","",IF($C$29="상세법",FPV(H8685,K8685),IF(H8685="EI",4,IF(H8685="EO",5.2,IF(H8685="EQ",3.9,IF(H8685="ILF",7.5,IF(H8685="EIF",5.4)))))))</f>
        <v/>
      </c>
      <c r="M8685" s="112" t="str">
        <f t="shared" si="138"/>
        <v/>
      </c>
      <c r="N8685" s="113"/>
    </row>
    <row r="8686" spans="2:14">
      <c r="B8686" s="105"/>
      <c r="C8686" s="106"/>
      <c r="D8686" s="107"/>
      <c r="E8686" s="65"/>
      <c r="F8686" s="64"/>
      <c r="G8686" s="64"/>
      <c r="H8686" s="64"/>
      <c r="I8686" s="70"/>
      <c r="J8686" s="70"/>
      <c r="K8686" s="110" t="str">
        <f>IF(H8686="","",IF($C$29="간이법","",FPR(H8686,I8686,J8686)))</f>
        <v/>
      </c>
      <c r="L8686" s="111" t="str">
        <f>IF(H8686="","",IF($C$29="상세법",FPV(H8686,K8686),IF(H8686="EI",4,IF(H8686="EO",5.2,IF(H8686="EQ",3.9,IF(H8686="ILF",7.5,IF(H8686="EIF",5.4)))))))</f>
        <v/>
      </c>
      <c r="M8686" s="112" t="str">
        <f t="shared" si="138"/>
        <v/>
      </c>
      <c r="N8686" s="113"/>
    </row>
    <row r="8687" spans="2:14">
      <c r="B8687" s="105"/>
      <c r="C8687" s="106"/>
      <c r="D8687" s="107"/>
      <c r="E8687" s="65"/>
      <c r="F8687" s="64"/>
      <c r="G8687" s="64"/>
      <c r="H8687" s="64"/>
      <c r="I8687" s="70"/>
      <c r="J8687" s="70"/>
      <c r="K8687" s="110" t="str">
        <f>IF(H8687="","",IF($C$29="간이법","",FPR(H8687,I8687,J8687)))</f>
        <v/>
      </c>
      <c r="L8687" s="111" t="str">
        <f>IF(H8687="","",IF($C$29="상세법",FPV(H8687,K8687),IF(H8687="EI",4,IF(H8687="EO",5.2,IF(H8687="EQ",3.9,IF(H8687="ILF",7.5,IF(H8687="EIF",5.4)))))))</f>
        <v/>
      </c>
      <c r="M8687" s="112" t="str">
        <f t="shared" si="138"/>
        <v/>
      </c>
      <c r="N8687" s="113"/>
    </row>
    <row r="8688" spans="2:14">
      <c r="B8688" s="105"/>
      <c r="C8688" s="106"/>
      <c r="D8688" s="107"/>
      <c r="E8688" s="65"/>
      <c r="F8688" s="64"/>
      <c r="G8688" s="64"/>
      <c r="H8688" s="64"/>
      <c r="I8688" s="70"/>
      <c r="J8688" s="70"/>
      <c r="K8688" s="110" t="str">
        <f>IF(H8688="","",IF($C$29="간이법","",FPR(H8688,I8688,J8688)))</f>
        <v/>
      </c>
      <c r="L8688" s="111" t="str">
        <f>IF(H8688="","",IF($C$29="상세법",FPV(H8688,K8688),IF(H8688="EI",4,IF(H8688="EO",5.2,IF(H8688="EQ",3.9,IF(H8688="ILF",7.5,IF(H8688="EIF",5.4)))))))</f>
        <v/>
      </c>
      <c r="M8688" s="112" t="str">
        <f t="shared" si="138"/>
        <v/>
      </c>
      <c r="N8688" s="113"/>
    </row>
    <row r="8689" spans="2:14">
      <c r="B8689" s="105"/>
      <c r="C8689" s="106"/>
      <c r="D8689" s="107"/>
      <c r="E8689" s="65"/>
      <c r="F8689" s="64"/>
      <c r="G8689" s="64"/>
      <c r="H8689" s="64"/>
      <c r="I8689" s="70"/>
      <c r="J8689" s="70"/>
      <c r="K8689" s="110" t="str">
        <f>IF(H8689="","",IF($C$29="간이법","",FPR(H8689,I8689,J8689)))</f>
        <v/>
      </c>
      <c r="L8689" s="111" t="str">
        <f>IF(H8689="","",IF($C$29="상세법",FPV(H8689,K8689),IF(H8689="EI",4,IF(H8689="EO",5.2,IF(H8689="EQ",3.9,IF(H8689="ILF",7.5,IF(H8689="EIF",5.4)))))))</f>
        <v/>
      </c>
      <c r="M8689" s="112" t="str">
        <f t="shared" si="138"/>
        <v/>
      </c>
      <c r="N8689" s="113"/>
    </row>
    <row r="8690" spans="2:14">
      <c r="B8690" s="105"/>
      <c r="C8690" s="106"/>
      <c r="D8690" s="107"/>
      <c r="E8690" s="65"/>
      <c r="F8690" s="64"/>
      <c r="G8690" s="64"/>
      <c r="H8690" s="64"/>
      <c r="I8690" s="70"/>
      <c r="J8690" s="70"/>
      <c r="K8690" s="110" t="str">
        <f>IF(H8690="","",IF($C$29="간이법","",FPR(H8690,I8690,J8690)))</f>
        <v/>
      </c>
      <c r="L8690" s="111" t="str">
        <f>IF(H8690="","",IF($C$29="상세법",FPV(H8690,K8690),IF(H8690="EI",4,IF(H8690="EO",5.2,IF(H8690="EQ",3.9,IF(H8690="ILF",7.5,IF(H8690="EIF",5.4)))))))</f>
        <v/>
      </c>
      <c r="M8690" s="112" t="str">
        <f t="shared" si="138"/>
        <v/>
      </c>
      <c r="N8690" s="113"/>
    </row>
    <row r="8691" spans="2:14">
      <c r="B8691" s="105"/>
      <c r="C8691" s="106"/>
      <c r="D8691" s="107"/>
      <c r="E8691" s="65"/>
      <c r="F8691" s="64"/>
      <c r="G8691" s="64"/>
      <c r="H8691" s="64"/>
      <c r="I8691" s="70"/>
      <c r="J8691" s="70"/>
      <c r="K8691" s="110" t="str">
        <f>IF(H8691="","",IF($C$29="간이법","",FPR(H8691,I8691,J8691)))</f>
        <v/>
      </c>
      <c r="L8691" s="111" t="str">
        <f>IF(H8691="","",IF($C$29="상세법",FPV(H8691,K8691),IF(H8691="EI",4,IF(H8691="EO",5.2,IF(H8691="EQ",3.9,IF(H8691="ILF",7.5,IF(H8691="EIF",5.4)))))))</f>
        <v/>
      </c>
      <c r="M8691" s="112" t="str">
        <f t="shared" si="138"/>
        <v/>
      </c>
      <c r="N8691" s="113"/>
    </row>
    <row r="8692" spans="2:14">
      <c r="B8692" s="105"/>
      <c r="C8692" s="106"/>
      <c r="D8692" s="107"/>
      <c r="E8692" s="65"/>
      <c r="F8692" s="64"/>
      <c r="G8692" s="64"/>
      <c r="H8692" s="64"/>
      <c r="I8692" s="70"/>
      <c r="J8692" s="70"/>
      <c r="K8692" s="110" t="str">
        <f>IF(H8692="","",IF($C$29="간이법","",FPR(H8692,I8692,J8692)))</f>
        <v/>
      </c>
      <c r="L8692" s="111" t="str">
        <f>IF(H8692="","",IF($C$29="상세법",FPV(H8692,K8692),IF(H8692="EI",4,IF(H8692="EO",5.2,IF(H8692="EQ",3.9,IF(H8692="ILF",7.5,IF(H8692="EIF",5.4)))))))</f>
        <v/>
      </c>
      <c r="M8692" s="112" t="str">
        <f t="shared" si="138"/>
        <v/>
      </c>
      <c r="N8692" s="113"/>
    </row>
    <row r="8693" spans="2:14">
      <c r="B8693" s="105"/>
      <c r="C8693" s="106"/>
      <c r="D8693" s="107"/>
      <c r="E8693" s="65"/>
      <c r="F8693" s="64"/>
      <c r="G8693" s="64"/>
      <c r="H8693" s="64"/>
      <c r="I8693" s="70"/>
      <c r="J8693" s="70"/>
      <c r="K8693" s="110" t="str">
        <f>IF(H8693="","",IF($C$29="간이법","",FPR(H8693,I8693,J8693)))</f>
        <v/>
      </c>
      <c r="L8693" s="111" t="str">
        <f>IF(H8693="","",IF($C$29="상세법",FPV(H8693,K8693),IF(H8693="EI",4,IF(H8693="EO",5.2,IF(H8693="EQ",3.9,IF(H8693="ILF",7.5,IF(H8693="EIF",5.4)))))))</f>
        <v/>
      </c>
      <c r="M8693" s="112" t="str">
        <f t="shared" si="138"/>
        <v/>
      </c>
      <c r="N8693" s="113"/>
    </row>
    <row r="8694" spans="2:14">
      <c r="B8694" s="105"/>
      <c r="C8694" s="106"/>
      <c r="D8694" s="107"/>
      <c r="E8694" s="65"/>
      <c r="F8694" s="64"/>
      <c r="G8694" s="64"/>
      <c r="H8694" s="64"/>
      <c r="I8694" s="70"/>
      <c r="J8694" s="70"/>
      <c r="K8694" s="110" t="str">
        <f>IF(H8694="","",IF($C$29="간이법","",FPR(H8694,I8694,J8694)))</f>
        <v/>
      </c>
      <c r="L8694" s="111" t="str">
        <f>IF(H8694="","",IF($C$29="상세법",FPV(H8694,K8694),IF(H8694="EI",4,IF(H8694="EO",5.2,IF(H8694="EQ",3.9,IF(H8694="ILF",7.5,IF(H8694="EIF",5.4)))))))</f>
        <v/>
      </c>
      <c r="M8694" s="112" t="str">
        <f t="shared" si="138"/>
        <v/>
      </c>
      <c r="N8694" s="113"/>
    </row>
    <row r="8695" spans="2:14">
      <c r="B8695" s="105"/>
      <c r="C8695" s="106"/>
      <c r="D8695" s="107"/>
      <c r="E8695" s="65"/>
      <c r="F8695" s="64"/>
      <c r="G8695" s="64"/>
      <c r="H8695" s="64"/>
      <c r="I8695" s="70"/>
      <c r="J8695" s="70"/>
      <c r="K8695" s="110" t="str">
        <f>IF(H8695="","",IF($C$29="간이법","",FPR(H8695,I8695,J8695)))</f>
        <v/>
      </c>
      <c r="L8695" s="111" t="str">
        <f>IF(H8695="","",IF($C$29="상세법",FPV(H8695,K8695),IF(H8695="EI",4,IF(H8695="EO",5.2,IF(H8695="EQ",3.9,IF(H8695="ILF",7.5,IF(H8695="EIF",5.4)))))))</f>
        <v/>
      </c>
      <c r="M8695" s="112" t="str">
        <f t="shared" si="138"/>
        <v/>
      </c>
      <c r="N8695" s="113"/>
    </row>
    <row r="8696" spans="2:14">
      <c r="B8696" s="105"/>
      <c r="C8696" s="106"/>
      <c r="D8696" s="107"/>
      <c r="E8696" s="65"/>
      <c r="F8696" s="64"/>
      <c r="G8696" s="64"/>
      <c r="H8696" s="64"/>
      <c r="I8696" s="70"/>
      <c r="J8696" s="70"/>
      <c r="K8696" s="110" t="str">
        <f>IF(H8696="","",IF($C$29="간이법","",FPR(H8696,I8696,J8696)))</f>
        <v/>
      </c>
      <c r="L8696" s="111" t="str">
        <f>IF(H8696="","",IF($C$29="상세법",FPV(H8696,K8696),IF(H8696="EI",4,IF(H8696="EO",5.2,IF(H8696="EQ",3.9,IF(H8696="ILF",7.5,IF(H8696="EIF",5.4)))))))</f>
        <v/>
      </c>
      <c r="M8696" s="112" t="str">
        <f t="shared" si="138"/>
        <v/>
      </c>
      <c r="N8696" s="113"/>
    </row>
    <row r="8697" spans="2:14">
      <c r="B8697" s="105"/>
      <c r="C8697" s="106"/>
      <c r="D8697" s="107"/>
      <c r="E8697" s="65"/>
      <c r="F8697" s="64"/>
      <c r="G8697" s="64"/>
      <c r="H8697" s="64"/>
      <c r="I8697" s="70"/>
      <c r="J8697" s="70"/>
      <c r="K8697" s="110" t="str">
        <f>IF(H8697="","",IF($C$29="간이법","",FPR(H8697,I8697,J8697)))</f>
        <v/>
      </c>
      <c r="L8697" s="111" t="str">
        <f>IF(H8697="","",IF($C$29="상세법",FPV(H8697,K8697),IF(H8697="EI",4,IF(H8697="EO",5.2,IF(H8697="EQ",3.9,IF(H8697="ILF",7.5,IF(H8697="EIF",5.4)))))))</f>
        <v/>
      </c>
      <c r="M8697" s="112" t="str">
        <f t="shared" ref="M8697:M8760" si="139">IF(L8697="","",L8697*IF(G8697="상",0.7,IF(G8697="중",0.5,IF(G8697="하",0.2,1))))</f>
        <v/>
      </c>
      <c r="N8697" s="113"/>
    </row>
    <row r="8698" spans="2:14">
      <c r="B8698" s="105"/>
      <c r="C8698" s="106"/>
      <c r="D8698" s="107"/>
      <c r="E8698" s="65"/>
      <c r="F8698" s="64"/>
      <c r="G8698" s="64"/>
      <c r="H8698" s="64"/>
      <c r="I8698" s="70"/>
      <c r="J8698" s="70"/>
      <c r="K8698" s="110" t="str">
        <f>IF(H8698="","",IF($C$29="간이법","",FPR(H8698,I8698,J8698)))</f>
        <v/>
      </c>
      <c r="L8698" s="111" t="str">
        <f>IF(H8698="","",IF($C$29="상세법",FPV(H8698,K8698),IF(H8698="EI",4,IF(H8698="EO",5.2,IF(H8698="EQ",3.9,IF(H8698="ILF",7.5,IF(H8698="EIF",5.4)))))))</f>
        <v/>
      </c>
      <c r="M8698" s="112" t="str">
        <f t="shared" si="139"/>
        <v/>
      </c>
      <c r="N8698" s="113"/>
    </row>
    <row r="8699" spans="2:14">
      <c r="B8699" s="105"/>
      <c r="C8699" s="106"/>
      <c r="D8699" s="107"/>
      <c r="E8699" s="65"/>
      <c r="F8699" s="64"/>
      <c r="G8699" s="64"/>
      <c r="H8699" s="64"/>
      <c r="I8699" s="70"/>
      <c r="J8699" s="70"/>
      <c r="K8699" s="110" t="str">
        <f>IF(H8699="","",IF($C$29="간이법","",FPR(H8699,I8699,J8699)))</f>
        <v/>
      </c>
      <c r="L8699" s="111" t="str">
        <f>IF(H8699="","",IF($C$29="상세법",FPV(H8699,K8699),IF(H8699="EI",4,IF(H8699="EO",5.2,IF(H8699="EQ",3.9,IF(H8699="ILF",7.5,IF(H8699="EIF",5.4)))))))</f>
        <v/>
      </c>
      <c r="M8699" s="112" t="str">
        <f t="shared" si="139"/>
        <v/>
      </c>
      <c r="N8699" s="113"/>
    </row>
    <row r="8700" spans="2:14">
      <c r="B8700" s="105"/>
      <c r="C8700" s="106"/>
      <c r="D8700" s="107"/>
      <c r="E8700" s="65"/>
      <c r="F8700" s="64"/>
      <c r="G8700" s="64"/>
      <c r="H8700" s="64"/>
      <c r="I8700" s="70"/>
      <c r="J8700" s="70"/>
      <c r="K8700" s="110" t="str">
        <f>IF(H8700="","",IF($C$29="간이법","",FPR(H8700,I8700,J8700)))</f>
        <v/>
      </c>
      <c r="L8700" s="111" t="str">
        <f>IF(H8700="","",IF($C$29="상세법",FPV(H8700,K8700),IF(H8700="EI",4,IF(H8700="EO",5.2,IF(H8700="EQ",3.9,IF(H8700="ILF",7.5,IF(H8700="EIF",5.4)))))))</f>
        <v/>
      </c>
      <c r="M8700" s="112" t="str">
        <f t="shared" si="139"/>
        <v/>
      </c>
      <c r="N8700" s="113"/>
    </row>
    <row r="8701" spans="2:14">
      <c r="B8701" s="105"/>
      <c r="C8701" s="106"/>
      <c r="D8701" s="107"/>
      <c r="E8701" s="65"/>
      <c r="F8701" s="64"/>
      <c r="G8701" s="64"/>
      <c r="H8701" s="64"/>
      <c r="I8701" s="70"/>
      <c r="J8701" s="70"/>
      <c r="K8701" s="110" t="str">
        <f>IF(H8701="","",IF($C$29="간이법","",FPR(H8701,I8701,J8701)))</f>
        <v/>
      </c>
      <c r="L8701" s="111" t="str">
        <f>IF(H8701="","",IF($C$29="상세법",FPV(H8701,K8701),IF(H8701="EI",4,IF(H8701="EO",5.2,IF(H8701="EQ",3.9,IF(H8701="ILF",7.5,IF(H8701="EIF",5.4)))))))</f>
        <v/>
      </c>
      <c r="M8701" s="112" t="str">
        <f t="shared" si="139"/>
        <v/>
      </c>
      <c r="N8701" s="113"/>
    </row>
    <row r="8702" spans="2:14">
      <c r="B8702" s="105"/>
      <c r="C8702" s="106"/>
      <c r="D8702" s="107"/>
      <c r="E8702" s="65"/>
      <c r="F8702" s="64"/>
      <c r="G8702" s="64"/>
      <c r="H8702" s="64"/>
      <c r="I8702" s="70"/>
      <c r="J8702" s="70"/>
      <c r="K8702" s="110" t="str">
        <f>IF(H8702="","",IF($C$29="간이법","",FPR(H8702,I8702,J8702)))</f>
        <v/>
      </c>
      <c r="L8702" s="111" t="str">
        <f>IF(H8702="","",IF($C$29="상세법",FPV(H8702,K8702),IF(H8702="EI",4,IF(H8702="EO",5.2,IF(H8702="EQ",3.9,IF(H8702="ILF",7.5,IF(H8702="EIF",5.4)))))))</f>
        <v/>
      </c>
      <c r="M8702" s="112" t="str">
        <f t="shared" si="139"/>
        <v/>
      </c>
      <c r="N8702" s="113"/>
    </row>
    <row r="8703" spans="2:14">
      <c r="B8703" s="105"/>
      <c r="C8703" s="106"/>
      <c r="D8703" s="107"/>
      <c r="E8703" s="65"/>
      <c r="F8703" s="64"/>
      <c r="G8703" s="64"/>
      <c r="H8703" s="64"/>
      <c r="I8703" s="70"/>
      <c r="J8703" s="70"/>
      <c r="K8703" s="110" t="str">
        <f>IF(H8703="","",IF($C$29="간이법","",FPR(H8703,I8703,J8703)))</f>
        <v/>
      </c>
      <c r="L8703" s="111" t="str">
        <f>IF(H8703="","",IF($C$29="상세법",FPV(H8703,K8703),IF(H8703="EI",4,IF(H8703="EO",5.2,IF(H8703="EQ",3.9,IF(H8703="ILF",7.5,IF(H8703="EIF",5.4)))))))</f>
        <v/>
      </c>
      <c r="M8703" s="112" t="str">
        <f t="shared" si="139"/>
        <v/>
      </c>
      <c r="N8703" s="113"/>
    </row>
    <row r="8704" spans="2:14">
      <c r="B8704" s="105"/>
      <c r="C8704" s="106"/>
      <c r="D8704" s="107"/>
      <c r="E8704" s="65"/>
      <c r="F8704" s="64"/>
      <c r="G8704" s="64"/>
      <c r="H8704" s="64"/>
      <c r="I8704" s="70"/>
      <c r="J8704" s="70"/>
      <c r="K8704" s="110" t="str">
        <f>IF(H8704="","",IF($C$29="간이법","",FPR(H8704,I8704,J8704)))</f>
        <v/>
      </c>
      <c r="L8704" s="111" t="str">
        <f>IF(H8704="","",IF($C$29="상세법",FPV(H8704,K8704),IF(H8704="EI",4,IF(H8704="EO",5.2,IF(H8704="EQ",3.9,IF(H8704="ILF",7.5,IF(H8704="EIF",5.4)))))))</f>
        <v/>
      </c>
      <c r="M8704" s="112" t="str">
        <f t="shared" si="139"/>
        <v/>
      </c>
      <c r="N8704" s="113"/>
    </row>
    <row r="8705" spans="2:14">
      <c r="B8705" s="105"/>
      <c r="C8705" s="106"/>
      <c r="D8705" s="107"/>
      <c r="E8705" s="65"/>
      <c r="F8705" s="64"/>
      <c r="G8705" s="64"/>
      <c r="H8705" s="64"/>
      <c r="I8705" s="70"/>
      <c r="J8705" s="70"/>
      <c r="K8705" s="110" t="str">
        <f>IF(H8705="","",IF($C$29="간이법","",FPR(H8705,I8705,J8705)))</f>
        <v/>
      </c>
      <c r="L8705" s="111" t="str">
        <f>IF(H8705="","",IF($C$29="상세법",FPV(H8705,K8705),IF(H8705="EI",4,IF(H8705="EO",5.2,IF(H8705="EQ",3.9,IF(H8705="ILF",7.5,IF(H8705="EIF",5.4)))))))</f>
        <v/>
      </c>
      <c r="M8705" s="112" t="str">
        <f t="shared" si="139"/>
        <v/>
      </c>
      <c r="N8705" s="113"/>
    </row>
    <row r="8706" spans="2:14">
      <c r="B8706" s="105"/>
      <c r="C8706" s="106"/>
      <c r="D8706" s="107"/>
      <c r="E8706" s="65"/>
      <c r="F8706" s="64"/>
      <c r="G8706" s="64"/>
      <c r="H8706" s="64"/>
      <c r="I8706" s="70"/>
      <c r="J8706" s="70"/>
      <c r="K8706" s="110" t="str">
        <f>IF(H8706="","",IF($C$29="간이법","",FPR(H8706,I8706,J8706)))</f>
        <v/>
      </c>
      <c r="L8706" s="111" t="str">
        <f>IF(H8706="","",IF($C$29="상세법",FPV(H8706,K8706),IF(H8706="EI",4,IF(H8706="EO",5.2,IF(H8706="EQ",3.9,IF(H8706="ILF",7.5,IF(H8706="EIF",5.4)))))))</f>
        <v/>
      </c>
      <c r="M8706" s="112" t="str">
        <f t="shared" si="139"/>
        <v/>
      </c>
      <c r="N8706" s="113"/>
    </row>
    <row r="8707" spans="2:14">
      <c r="B8707" s="105"/>
      <c r="C8707" s="106"/>
      <c r="D8707" s="107"/>
      <c r="E8707" s="65"/>
      <c r="F8707" s="64"/>
      <c r="G8707" s="64"/>
      <c r="H8707" s="64"/>
      <c r="I8707" s="70"/>
      <c r="J8707" s="70"/>
      <c r="K8707" s="110" t="str">
        <f>IF(H8707="","",IF($C$29="간이법","",FPR(H8707,I8707,J8707)))</f>
        <v/>
      </c>
      <c r="L8707" s="111" t="str">
        <f>IF(H8707="","",IF($C$29="상세법",FPV(H8707,K8707),IF(H8707="EI",4,IF(H8707="EO",5.2,IF(H8707="EQ",3.9,IF(H8707="ILF",7.5,IF(H8707="EIF",5.4)))))))</f>
        <v/>
      </c>
      <c r="M8707" s="112" t="str">
        <f t="shared" si="139"/>
        <v/>
      </c>
      <c r="N8707" s="113"/>
    </row>
    <row r="8708" spans="2:14">
      <c r="B8708" s="105"/>
      <c r="C8708" s="106"/>
      <c r="D8708" s="107"/>
      <c r="E8708" s="65"/>
      <c r="F8708" s="64"/>
      <c r="G8708" s="64"/>
      <c r="H8708" s="64"/>
      <c r="I8708" s="70"/>
      <c r="J8708" s="70"/>
      <c r="K8708" s="110" t="str">
        <f>IF(H8708="","",IF($C$29="간이법","",FPR(H8708,I8708,J8708)))</f>
        <v/>
      </c>
      <c r="L8708" s="111" t="str">
        <f>IF(H8708="","",IF($C$29="상세법",FPV(H8708,K8708),IF(H8708="EI",4,IF(H8708="EO",5.2,IF(H8708="EQ",3.9,IF(H8708="ILF",7.5,IF(H8708="EIF",5.4)))))))</f>
        <v/>
      </c>
      <c r="M8708" s="112" t="str">
        <f t="shared" si="139"/>
        <v/>
      </c>
      <c r="N8708" s="113"/>
    </row>
    <row r="8709" spans="2:14">
      <c r="B8709" s="105"/>
      <c r="C8709" s="106"/>
      <c r="D8709" s="107"/>
      <c r="E8709" s="65"/>
      <c r="F8709" s="64"/>
      <c r="G8709" s="64"/>
      <c r="H8709" s="64"/>
      <c r="I8709" s="70"/>
      <c r="J8709" s="70"/>
      <c r="K8709" s="110" t="str">
        <f>IF(H8709="","",IF($C$29="간이법","",FPR(H8709,I8709,J8709)))</f>
        <v/>
      </c>
      <c r="L8709" s="111" t="str">
        <f>IF(H8709="","",IF($C$29="상세법",FPV(H8709,K8709),IF(H8709="EI",4,IF(H8709="EO",5.2,IF(H8709="EQ",3.9,IF(H8709="ILF",7.5,IF(H8709="EIF",5.4)))))))</f>
        <v/>
      </c>
      <c r="M8709" s="112" t="str">
        <f t="shared" si="139"/>
        <v/>
      </c>
      <c r="N8709" s="113"/>
    </row>
    <row r="8710" spans="2:14">
      <c r="B8710" s="105"/>
      <c r="C8710" s="106"/>
      <c r="D8710" s="107"/>
      <c r="E8710" s="65"/>
      <c r="F8710" s="64"/>
      <c r="G8710" s="64"/>
      <c r="H8710" s="64"/>
      <c r="I8710" s="70"/>
      <c r="J8710" s="70"/>
      <c r="K8710" s="110" t="str">
        <f>IF(H8710="","",IF($C$29="간이법","",FPR(H8710,I8710,J8710)))</f>
        <v/>
      </c>
      <c r="L8710" s="111" t="str">
        <f>IF(H8710="","",IF($C$29="상세법",FPV(H8710,K8710),IF(H8710="EI",4,IF(H8710="EO",5.2,IF(H8710="EQ",3.9,IF(H8710="ILF",7.5,IF(H8710="EIF",5.4)))))))</f>
        <v/>
      </c>
      <c r="M8710" s="112" t="str">
        <f t="shared" si="139"/>
        <v/>
      </c>
      <c r="N8710" s="113"/>
    </row>
    <row r="8711" spans="2:14">
      <c r="B8711" s="105"/>
      <c r="C8711" s="106"/>
      <c r="D8711" s="107"/>
      <c r="E8711" s="65"/>
      <c r="F8711" s="64"/>
      <c r="G8711" s="64"/>
      <c r="H8711" s="64"/>
      <c r="I8711" s="70"/>
      <c r="J8711" s="70"/>
      <c r="K8711" s="110" t="str">
        <f>IF(H8711="","",IF($C$29="간이법","",FPR(H8711,I8711,J8711)))</f>
        <v/>
      </c>
      <c r="L8711" s="111" t="str">
        <f>IF(H8711="","",IF($C$29="상세법",FPV(H8711,K8711),IF(H8711="EI",4,IF(H8711="EO",5.2,IF(H8711="EQ",3.9,IF(H8711="ILF",7.5,IF(H8711="EIF",5.4)))))))</f>
        <v/>
      </c>
      <c r="M8711" s="112" t="str">
        <f t="shared" si="139"/>
        <v/>
      </c>
      <c r="N8711" s="113"/>
    </row>
    <row r="8712" spans="2:14">
      <c r="B8712" s="105"/>
      <c r="C8712" s="106"/>
      <c r="D8712" s="107"/>
      <c r="E8712" s="65"/>
      <c r="F8712" s="64"/>
      <c r="G8712" s="64"/>
      <c r="H8712" s="64"/>
      <c r="I8712" s="70"/>
      <c r="J8712" s="70"/>
      <c r="K8712" s="110" t="str">
        <f>IF(H8712="","",IF($C$29="간이법","",FPR(H8712,I8712,J8712)))</f>
        <v/>
      </c>
      <c r="L8712" s="111" t="str">
        <f>IF(H8712="","",IF($C$29="상세법",FPV(H8712,K8712),IF(H8712="EI",4,IF(H8712="EO",5.2,IF(H8712="EQ",3.9,IF(H8712="ILF",7.5,IF(H8712="EIF",5.4)))))))</f>
        <v/>
      </c>
      <c r="M8712" s="112" t="str">
        <f t="shared" si="139"/>
        <v/>
      </c>
      <c r="N8712" s="113"/>
    </row>
    <row r="8713" spans="2:14">
      <c r="B8713" s="105"/>
      <c r="C8713" s="106"/>
      <c r="D8713" s="107"/>
      <c r="E8713" s="65"/>
      <c r="F8713" s="64"/>
      <c r="G8713" s="64"/>
      <c r="H8713" s="64"/>
      <c r="I8713" s="70"/>
      <c r="J8713" s="70"/>
      <c r="K8713" s="110" t="str">
        <f>IF(H8713="","",IF($C$29="간이법","",FPR(H8713,I8713,J8713)))</f>
        <v/>
      </c>
      <c r="L8713" s="111" t="str">
        <f>IF(H8713="","",IF($C$29="상세법",FPV(H8713,K8713),IF(H8713="EI",4,IF(H8713="EO",5.2,IF(H8713="EQ",3.9,IF(H8713="ILF",7.5,IF(H8713="EIF",5.4)))))))</f>
        <v/>
      </c>
      <c r="M8713" s="112" t="str">
        <f t="shared" si="139"/>
        <v/>
      </c>
      <c r="N8713" s="113"/>
    </row>
    <row r="8714" spans="2:14">
      <c r="B8714" s="105"/>
      <c r="C8714" s="106"/>
      <c r="D8714" s="107"/>
      <c r="E8714" s="65"/>
      <c r="F8714" s="64"/>
      <c r="G8714" s="64"/>
      <c r="H8714" s="64"/>
      <c r="I8714" s="70"/>
      <c r="J8714" s="70"/>
      <c r="K8714" s="110" t="str">
        <f>IF(H8714="","",IF($C$29="간이법","",FPR(H8714,I8714,J8714)))</f>
        <v/>
      </c>
      <c r="L8714" s="111" t="str">
        <f>IF(H8714="","",IF($C$29="상세법",FPV(H8714,K8714),IF(H8714="EI",4,IF(H8714="EO",5.2,IF(H8714="EQ",3.9,IF(H8714="ILF",7.5,IF(H8714="EIF",5.4)))))))</f>
        <v/>
      </c>
      <c r="M8714" s="112" t="str">
        <f t="shared" si="139"/>
        <v/>
      </c>
      <c r="N8714" s="113"/>
    </row>
    <row r="8715" spans="2:14">
      <c r="B8715" s="105"/>
      <c r="C8715" s="106"/>
      <c r="D8715" s="107"/>
      <c r="E8715" s="65"/>
      <c r="F8715" s="64"/>
      <c r="G8715" s="64"/>
      <c r="H8715" s="64"/>
      <c r="I8715" s="70"/>
      <c r="J8715" s="70"/>
      <c r="K8715" s="110" t="str">
        <f>IF(H8715="","",IF($C$29="간이법","",FPR(H8715,I8715,J8715)))</f>
        <v/>
      </c>
      <c r="L8715" s="111" t="str">
        <f>IF(H8715="","",IF($C$29="상세법",FPV(H8715,K8715),IF(H8715="EI",4,IF(H8715="EO",5.2,IF(H8715="EQ",3.9,IF(H8715="ILF",7.5,IF(H8715="EIF",5.4)))))))</f>
        <v/>
      </c>
      <c r="M8715" s="112" t="str">
        <f t="shared" si="139"/>
        <v/>
      </c>
      <c r="N8715" s="113"/>
    </row>
    <row r="8716" spans="2:14">
      <c r="B8716" s="105"/>
      <c r="C8716" s="106"/>
      <c r="D8716" s="107"/>
      <c r="E8716" s="65"/>
      <c r="F8716" s="64"/>
      <c r="G8716" s="64"/>
      <c r="H8716" s="64"/>
      <c r="I8716" s="70"/>
      <c r="J8716" s="70"/>
      <c r="K8716" s="110" t="str">
        <f>IF(H8716="","",IF($C$29="간이법","",FPR(H8716,I8716,J8716)))</f>
        <v/>
      </c>
      <c r="L8716" s="111" t="str">
        <f>IF(H8716="","",IF($C$29="상세법",FPV(H8716,K8716),IF(H8716="EI",4,IF(H8716="EO",5.2,IF(H8716="EQ",3.9,IF(H8716="ILF",7.5,IF(H8716="EIF",5.4)))))))</f>
        <v/>
      </c>
      <c r="M8716" s="112" t="str">
        <f t="shared" si="139"/>
        <v/>
      </c>
      <c r="N8716" s="113"/>
    </row>
    <row r="8717" spans="2:14">
      <c r="B8717" s="105"/>
      <c r="C8717" s="106"/>
      <c r="D8717" s="107"/>
      <c r="E8717" s="65"/>
      <c r="F8717" s="64"/>
      <c r="G8717" s="64"/>
      <c r="H8717" s="64"/>
      <c r="I8717" s="70"/>
      <c r="J8717" s="70"/>
      <c r="K8717" s="110" t="str">
        <f>IF(H8717="","",IF($C$29="간이법","",FPR(H8717,I8717,J8717)))</f>
        <v/>
      </c>
      <c r="L8717" s="111" t="str">
        <f>IF(H8717="","",IF($C$29="상세법",FPV(H8717,K8717),IF(H8717="EI",4,IF(H8717="EO",5.2,IF(H8717="EQ",3.9,IF(H8717="ILF",7.5,IF(H8717="EIF",5.4)))))))</f>
        <v/>
      </c>
      <c r="M8717" s="112" t="str">
        <f t="shared" si="139"/>
        <v/>
      </c>
      <c r="N8717" s="113"/>
    </row>
    <row r="8718" spans="2:14">
      <c r="B8718" s="105"/>
      <c r="C8718" s="106"/>
      <c r="D8718" s="107"/>
      <c r="E8718" s="65"/>
      <c r="F8718" s="64"/>
      <c r="G8718" s="64"/>
      <c r="H8718" s="64"/>
      <c r="I8718" s="70"/>
      <c r="J8718" s="70"/>
      <c r="K8718" s="110" t="str">
        <f>IF(H8718="","",IF($C$29="간이법","",FPR(H8718,I8718,J8718)))</f>
        <v/>
      </c>
      <c r="L8718" s="111" t="str">
        <f>IF(H8718="","",IF($C$29="상세법",FPV(H8718,K8718),IF(H8718="EI",4,IF(H8718="EO",5.2,IF(H8718="EQ",3.9,IF(H8718="ILF",7.5,IF(H8718="EIF",5.4)))))))</f>
        <v/>
      </c>
      <c r="M8718" s="112" t="str">
        <f t="shared" si="139"/>
        <v/>
      </c>
      <c r="N8718" s="113"/>
    </row>
    <row r="8719" spans="2:14">
      <c r="B8719" s="105"/>
      <c r="C8719" s="106"/>
      <c r="D8719" s="107"/>
      <c r="E8719" s="65"/>
      <c r="F8719" s="64"/>
      <c r="G8719" s="64"/>
      <c r="H8719" s="64"/>
      <c r="I8719" s="70"/>
      <c r="J8719" s="70"/>
      <c r="K8719" s="110" t="str">
        <f>IF(H8719="","",IF($C$29="간이법","",FPR(H8719,I8719,J8719)))</f>
        <v/>
      </c>
      <c r="L8719" s="111" t="str">
        <f>IF(H8719="","",IF($C$29="상세법",FPV(H8719,K8719),IF(H8719="EI",4,IF(H8719="EO",5.2,IF(H8719="EQ",3.9,IF(H8719="ILF",7.5,IF(H8719="EIF",5.4)))))))</f>
        <v/>
      </c>
      <c r="M8719" s="112" t="str">
        <f t="shared" si="139"/>
        <v/>
      </c>
      <c r="N8719" s="113"/>
    </row>
    <row r="8720" spans="2:14">
      <c r="B8720" s="105"/>
      <c r="C8720" s="106"/>
      <c r="D8720" s="107"/>
      <c r="E8720" s="65"/>
      <c r="F8720" s="64"/>
      <c r="G8720" s="64"/>
      <c r="H8720" s="64"/>
      <c r="I8720" s="70"/>
      <c r="J8720" s="70"/>
      <c r="K8720" s="110" t="str">
        <f>IF(H8720="","",IF($C$29="간이법","",FPR(H8720,I8720,J8720)))</f>
        <v/>
      </c>
      <c r="L8720" s="111" t="str">
        <f>IF(H8720="","",IF($C$29="상세법",FPV(H8720,K8720),IF(H8720="EI",4,IF(H8720="EO",5.2,IF(H8720="EQ",3.9,IF(H8720="ILF",7.5,IF(H8720="EIF",5.4)))))))</f>
        <v/>
      </c>
      <c r="M8720" s="112" t="str">
        <f t="shared" si="139"/>
        <v/>
      </c>
      <c r="N8720" s="113"/>
    </row>
    <row r="8721" spans="2:14">
      <c r="B8721" s="105"/>
      <c r="C8721" s="106"/>
      <c r="D8721" s="107"/>
      <c r="E8721" s="65"/>
      <c r="F8721" s="64"/>
      <c r="G8721" s="64"/>
      <c r="H8721" s="64"/>
      <c r="I8721" s="70"/>
      <c r="J8721" s="70"/>
      <c r="K8721" s="110" t="str">
        <f>IF(H8721="","",IF($C$29="간이법","",FPR(H8721,I8721,J8721)))</f>
        <v/>
      </c>
      <c r="L8721" s="111" t="str">
        <f>IF(H8721="","",IF($C$29="상세법",FPV(H8721,K8721),IF(H8721="EI",4,IF(H8721="EO",5.2,IF(H8721="EQ",3.9,IF(H8721="ILF",7.5,IF(H8721="EIF",5.4)))))))</f>
        <v/>
      </c>
      <c r="M8721" s="112" t="str">
        <f t="shared" si="139"/>
        <v/>
      </c>
      <c r="N8721" s="113"/>
    </row>
    <row r="8722" spans="2:14">
      <c r="B8722" s="105"/>
      <c r="C8722" s="106"/>
      <c r="D8722" s="107"/>
      <c r="E8722" s="65"/>
      <c r="F8722" s="64"/>
      <c r="G8722" s="64"/>
      <c r="H8722" s="64"/>
      <c r="I8722" s="70"/>
      <c r="J8722" s="70"/>
      <c r="K8722" s="110" t="str">
        <f>IF(H8722="","",IF($C$29="간이법","",FPR(H8722,I8722,J8722)))</f>
        <v/>
      </c>
      <c r="L8722" s="111" t="str">
        <f>IF(H8722="","",IF($C$29="상세법",FPV(H8722,K8722),IF(H8722="EI",4,IF(H8722="EO",5.2,IF(H8722="EQ",3.9,IF(H8722="ILF",7.5,IF(H8722="EIF",5.4)))))))</f>
        <v/>
      </c>
      <c r="M8722" s="112" t="str">
        <f t="shared" si="139"/>
        <v/>
      </c>
      <c r="N8722" s="113"/>
    </row>
    <row r="8723" spans="2:14">
      <c r="B8723" s="105"/>
      <c r="C8723" s="106"/>
      <c r="D8723" s="107"/>
      <c r="E8723" s="65"/>
      <c r="F8723" s="64"/>
      <c r="G8723" s="64"/>
      <c r="H8723" s="64"/>
      <c r="I8723" s="70"/>
      <c r="J8723" s="70"/>
      <c r="K8723" s="110" t="str">
        <f>IF(H8723="","",IF($C$29="간이법","",FPR(H8723,I8723,J8723)))</f>
        <v/>
      </c>
      <c r="L8723" s="111" t="str">
        <f>IF(H8723="","",IF($C$29="상세법",FPV(H8723,K8723),IF(H8723="EI",4,IF(H8723="EO",5.2,IF(H8723="EQ",3.9,IF(H8723="ILF",7.5,IF(H8723="EIF",5.4)))))))</f>
        <v/>
      </c>
      <c r="M8723" s="112" t="str">
        <f t="shared" si="139"/>
        <v/>
      </c>
      <c r="N8723" s="113"/>
    </row>
    <row r="8724" spans="2:14">
      <c r="B8724" s="105"/>
      <c r="C8724" s="106"/>
      <c r="D8724" s="107"/>
      <c r="E8724" s="65"/>
      <c r="F8724" s="64"/>
      <c r="G8724" s="64"/>
      <c r="H8724" s="64"/>
      <c r="I8724" s="70"/>
      <c r="J8724" s="70"/>
      <c r="K8724" s="110" t="str">
        <f>IF(H8724="","",IF($C$29="간이법","",FPR(H8724,I8724,J8724)))</f>
        <v/>
      </c>
      <c r="L8724" s="111" t="str">
        <f>IF(H8724="","",IF($C$29="상세법",FPV(H8724,K8724),IF(H8724="EI",4,IF(H8724="EO",5.2,IF(H8724="EQ",3.9,IF(H8724="ILF",7.5,IF(H8724="EIF",5.4)))))))</f>
        <v/>
      </c>
      <c r="M8724" s="112" t="str">
        <f t="shared" si="139"/>
        <v/>
      </c>
      <c r="N8724" s="113"/>
    </row>
    <row r="8725" spans="2:14">
      <c r="B8725" s="105"/>
      <c r="C8725" s="106"/>
      <c r="D8725" s="107"/>
      <c r="E8725" s="65"/>
      <c r="F8725" s="64"/>
      <c r="G8725" s="64"/>
      <c r="H8725" s="64"/>
      <c r="I8725" s="70"/>
      <c r="J8725" s="70"/>
      <c r="K8725" s="110" t="str">
        <f>IF(H8725="","",IF($C$29="간이법","",FPR(H8725,I8725,J8725)))</f>
        <v/>
      </c>
      <c r="L8725" s="111" t="str">
        <f>IF(H8725="","",IF($C$29="상세법",FPV(H8725,K8725),IF(H8725="EI",4,IF(H8725="EO",5.2,IF(H8725="EQ",3.9,IF(H8725="ILF",7.5,IF(H8725="EIF",5.4)))))))</f>
        <v/>
      </c>
      <c r="M8725" s="112" t="str">
        <f t="shared" si="139"/>
        <v/>
      </c>
      <c r="N8725" s="113"/>
    </row>
    <row r="8726" spans="2:14">
      <c r="B8726" s="105"/>
      <c r="C8726" s="106"/>
      <c r="D8726" s="107"/>
      <c r="E8726" s="65"/>
      <c r="F8726" s="64"/>
      <c r="G8726" s="64"/>
      <c r="H8726" s="64"/>
      <c r="I8726" s="70"/>
      <c r="J8726" s="70"/>
      <c r="K8726" s="110" t="str">
        <f>IF(H8726="","",IF($C$29="간이법","",FPR(H8726,I8726,J8726)))</f>
        <v/>
      </c>
      <c r="L8726" s="111" t="str">
        <f>IF(H8726="","",IF($C$29="상세법",FPV(H8726,K8726),IF(H8726="EI",4,IF(H8726="EO",5.2,IF(H8726="EQ",3.9,IF(H8726="ILF",7.5,IF(H8726="EIF",5.4)))))))</f>
        <v/>
      </c>
      <c r="M8726" s="112" t="str">
        <f t="shared" si="139"/>
        <v/>
      </c>
      <c r="N8726" s="113"/>
    </row>
    <row r="8727" spans="2:14">
      <c r="B8727" s="105"/>
      <c r="C8727" s="106"/>
      <c r="D8727" s="107"/>
      <c r="E8727" s="65"/>
      <c r="F8727" s="64"/>
      <c r="G8727" s="64"/>
      <c r="H8727" s="64"/>
      <c r="I8727" s="70"/>
      <c r="J8727" s="70"/>
      <c r="K8727" s="110" t="str">
        <f>IF(H8727="","",IF($C$29="간이법","",FPR(H8727,I8727,J8727)))</f>
        <v/>
      </c>
      <c r="L8727" s="111" t="str">
        <f>IF(H8727="","",IF($C$29="상세법",FPV(H8727,K8727),IF(H8727="EI",4,IF(H8727="EO",5.2,IF(H8727="EQ",3.9,IF(H8727="ILF",7.5,IF(H8727="EIF",5.4)))))))</f>
        <v/>
      </c>
      <c r="M8727" s="112" t="str">
        <f t="shared" si="139"/>
        <v/>
      </c>
      <c r="N8727" s="113"/>
    </row>
    <row r="8728" spans="2:14">
      <c r="B8728" s="105"/>
      <c r="C8728" s="106"/>
      <c r="D8728" s="107"/>
      <c r="E8728" s="65"/>
      <c r="F8728" s="64"/>
      <c r="G8728" s="64"/>
      <c r="H8728" s="64"/>
      <c r="I8728" s="70"/>
      <c r="J8728" s="70"/>
      <c r="K8728" s="110" t="str">
        <f>IF(H8728="","",IF($C$29="간이법","",FPR(H8728,I8728,J8728)))</f>
        <v/>
      </c>
      <c r="L8728" s="111" t="str">
        <f>IF(H8728="","",IF($C$29="상세법",FPV(H8728,K8728),IF(H8728="EI",4,IF(H8728="EO",5.2,IF(H8728="EQ",3.9,IF(H8728="ILF",7.5,IF(H8728="EIF",5.4)))))))</f>
        <v/>
      </c>
      <c r="M8728" s="112" t="str">
        <f t="shared" si="139"/>
        <v/>
      </c>
      <c r="N8728" s="113"/>
    </row>
    <row r="8729" spans="2:14">
      <c r="B8729" s="105"/>
      <c r="C8729" s="106"/>
      <c r="D8729" s="107"/>
      <c r="E8729" s="65"/>
      <c r="F8729" s="64"/>
      <c r="G8729" s="64"/>
      <c r="H8729" s="64"/>
      <c r="I8729" s="70"/>
      <c r="J8729" s="70"/>
      <c r="K8729" s="110" t="str">
        <f>IF(H8729="","",IF($C$29="간이법","",FPR(H8729,I8729,J8729)))</f>
        <v/>
      </c>
      <c r="L8729" s="111" t="str">
        <f>IF(H8729="","",IF($C$29="상세법",FPV(H8729,K8729),IF(H8729="EI",4,IF(H8729="EO",5.2,IF(H8729="EQ",3.9,IF(H8729="ILF",7.5,IF(H8729="EIF",5.4)))))))</f>
        <v/>
      </c>
      <c r="M8729" s="112" t="str">
        <f t="shared" si="139"/>
        <v/>
      </c>
      <c r="N8729" s="113"/>
    </row>
    <row r="8730" spans="2:14">
      <c r="B8730" s="105"/>
      <c r="C8730" s="106"/>
      <c r="D8730" s="107"/>
      <c r="E8730" s="65"/>
      <c r="F8730" s="64"/>
      <c r="G8730" s="64"/>
      <c r="H8730" s="64"/>
      <c r="I8730" s="70"/>
      <c r="J8730" s="70"/>
      <c r="K8730" s="110" t="str">
        <f>IF(H8730="","",IF($C$29="간이법","",FPR(H8730,I8730,J8730)))</f>
        <v/>
      </c>
      <c r="L8730" s="111" t="str">
        <f>IF(H8730="","",IF($C$29="상세법",FPV(H8730,K8730),IF(H8730="EI",4,IF(H8730="EO",5.2,IF(H8730="EQ",3.9,IF(H8730="ILF",7.5,IF(H8730="EIF",5.4)))))))</f>
        <v/>
      </c>
      <c r="M8730" s="112" t="str">
        <f t="shared" si="139"/>
        <v/>
      </c>
      <c r="N8730" s="113"/>
    </row>
    <row r="8731" spans="2:14">
      <c r="B8731" s="105"/>
      <c r="C8731" s="106"/>
      <c r="D8731" s="107"/>
      <c r="E8731" s="65"/>
      <c r="F8731" s="64"/>
      <c r="G8731" s="64"/>
      <c r="H8731" s="64"/>
      <c r="I8731" s="70"/>
      <c r="J8731" s="70"/>
      <c r="K8731" s="110" t="str">
        <f>IF(H8731="","",IF($C$29="간이법","",FPR(H8731,I8731,J8731)))</f>
        <v/>
      </c>
      <c r="L8731" s="111" t="str">
        <f>IF(H8731="","",IF($C$29="상세법",FPV(H8731,K8731),IF(H8731="EI",4,IF(H8731="EO",5.2,IF(H8731="EQ",3.9,IF(H8731="ILF",7.5,IF(H8731="EIF",5.4)))))))</f>
        <v/>
      </c>
      <c r="M8731" s="112" t="str">
        <f t="shared" si="139"/>
        <v/>
      </c>
      <c r="N8731" s="113"/>
    </row>
    <row r="8732" spans="2:14">
      <c r="B8732" s="105"/>
      <c r="C8732" s="106"/>
      <c r="D8732" s="107"/>
      <c r="E8732" s="65"/>
      <c r="F8732" s="64"/>
      <c r="G8732" s="64"/>
      <c r="H8732" s="64"/>
      <c r="I8732" s="70"/>
      <c r="J8732" s="70"/>
      <c r="K8732" s="110" t="str">
        <f>IF(H8732="","",IF($C$29="간이법","",FPR(H8732,I8732,J8732)))</f>
        <v/>
      </c>
      <c r="L8732" s="111" t="str">
        <f>IF(H8732="","",IF($C$29="상세법",FPV(H8732,K8732),IF(H8732="EI",4,IF(H8732="EO",5.2,IF(H8732="EQ",3.9,IF(H8732="ILF",7.5,IF(H8732="EIF",5.4)))))))</f>
        <v/>
      </c>
      <c r="M8732" s="112" t="str">
        <f t="shared" si="139"/>
        <v/>
      </c>
      <c r="N8732" s="113"/>
    </row>
    <row r="8733" spans="2:14">
      <c r="B8733" s="105"/>
      <c r="C8733" s="106"/>
      <c r="D8733" s="107"/>
      <c r="E8733" s="65"/>
      <c r="F8733" s="64"/>
      <c r="G8733" s="64"/>
      <c r="H8733" s="64"/>
      <c r="I8733" s="70"/>
      <c r="J8733" s="70"/>
      <c r="K8733" s="110" t="str">
        <f>IF(H8733="","",IF($C$29="간이법","",FPR(H8733,I8733,J8733)))</f>
        <v/>
      </c>
      <c r="L8733" s="111" t="str">
        <f>IF(H8733="","",IF($C$29="상세법",FPV(H8733,K8733),IF(H8733="EI",4,IF(H8733="EO",5.2,IF(H8733="EQ",3.9,IF(H8733="ILF",7.5,IF(H8733="EIF",5.4)))))))</f>
        <v/>
      </c>
      <c r="M8733" s="112" t="str">
        <f t="shared" si="139"/>
        <v/>
      </c>
      <c r="N8733" s="113"/>
    </row>
    <row r="8734" spans="2:14">
      <c r="B8734" s="105"/>
      <c r="C8734" s="106"/>
      <c r="D8734" s="107"/>
      <c r="E8734" s="65"/>
      <c r="F8734" s="64"/>
      <c r="G8734" s="64"/>
      <c r="H8734" s="64"/>
      <c r="I8734" s="70"/>
      <c r="J8734" s="70"/>
      <c r="K8734" s="110" t="str">
        <f>IF(H8734="","",IF($C$29="간이법","",FPR(H8734,I8734,J8734)))</f>
        <v/>
      </c>
      <c r="L8734" s="111" t="str">
        <f>IF(H8734="","",IF($C$29="상세법",FPV(H8734,K8734),IF(H8734="EI",4,IF(H8734="EO",5.2,IF(H8734="EQ",3.9,IF(H8734="ILF",7.5,IF(H8734="EIF",5.4)))))))</f>
        <v/>
      </c>
      <c r="M8734" s="112" t="str">
        <f t="shared" si="139"/>
        <v/>
      </c>
      <c r="N8734" s="113"/>
    </row>
    <row r="8735" spans="2:14">
      <c r="B8735" s="105"/>
      <c r="C8735" s="106"/>
      <c r="D8735" s="107"/>
      <c r="E8735" s="65"/>
      <c r="F8735" s="64"/>
      <c r="G8735" s="64"/>
      <c r="H8735" s="64"/>
      <c r="I8735" s="70"/>
      <c r="J8735" s="70"/>
      <c r="K8735" s="110" t="str">
        <f>IF(H8735="","",IF($C$29="간이법","",FPR(H8735,I8735,J8735)))</f>
        <v/>
      </c>
      <c r="L8735" s="111" t="str">
        <f>IF(H8735="","",IF($C$29="상세법",FPV(H8735,K8735),IF(H8735="EI",4,IF(H8735="EO",5.2,IF(H8735="EQ",3.9,IF(H8735="ILF",7.5,IF(H8735="EIF",5.4)))))))</f>
        <v/>
      </c>
      <c r="M8735" s="112" t="str">
        <f t="shared" si="139"/>
        <v/>
      </c>
      <c r="N8735" s="113"/>
    </row>
    <row r="8736" spans="2:14">
      <c r="B8736" s="105"/>
      <c r="C8736" s="106"/>
      <c r="D8736" s="107"/>
      <c r="E8736" s="65"/>
      <c r="F8736" s="64"/>
      <c r="G8736" s="64"/>
      <c r="H8736" s="64"/>
      <c r="I8736" s="70"/>
      <c r="J8736" s="70"/>
      <c r="K8736" s="110" t="str">
        <f>IF(H8736="","",IF($C$29="간이법","",FPR(H8736,I8736,J8736)))</f>
        <v/>
      </c>
      <c r="L8736" s="111" t="str">
        <f>IF(H8736="","",IF($C$29="상세법",FPV(H8736,K8736),IF(H8736="EI",4,IF(H8736="EO",5.2,IF(H8736="EQ",3.9,IF(H8736="ILF",7.5,IF(H8736="EIF",5.4)))))))</f>
        <v/>
      </c>
      <c r="M8736" s="112" t="str">
        <f t="shared" si="139"/>
        <v/>
      </c>
      <c r="N8736" s="113"/>
    </row>
    <row r="8737" spans="2:14">
      <c r="B8737" s="105"/>
      <c r="C8737" s="106"/>
      <c r="D8737" s="107"/>
      <c r="E8737" s="65"/>
      <c r="F8737" s="64"/>
      <c r="G8737" s="64"/>
      <c r="H8737" s="64"/>
      <c r="I8737" s="70"/>
      <c r="J8737" s="70"/>
      <c r="K8737" s="110" t="str">
        <f>IF(H8737="","",IF($C$29="간이법","",FPR(H8737,I8737,J8737)))</f>
        <v/>
      </c>
      <c r="L8737" s="111" t="str">
        <f>IF(H8737="","",IF($C$29="상세법",FPV(H8737,K8737),IF(H8737="EI",4,IF(H8737="EO",5.2,IF(H8737="EQ",3.9,IF(H8737="ILF",7.5,IF(H8737="EIF",5.4)))))))</f>
        <v/>
      </c>
      <c r="M8737" s="112" t="str">
        <f t="shared" si="139"/>
        <v/>
      </c>
      <c r="N8737" s="113"/>
    </row>
    <row r="8738" spans="2:14">
      <c r="B8738" s="105"/>
      <c r="C8738" s="106"/>
      <c r="D8738" s="107"/>
      <c r="E8738" s="65"/>
      <c r="F8738" s="64"/>
      <c r="G8738" s="64"/>
      <c r="H8738" s="64"/>
      <c r="I8738" s="70"/>
      <c r="J8738" s="70"/>
      <c r="K8738" s="110" t="str">
        <f>IF(H8738="","",IF($C$29="간이법","",FPR(H8738,I8738,J8738)))</f>
        <v/>
      </c>
      <c r="L8738" s="111" t="str">
        <f>IF(H8738="","",IF($C$29="상세법",FPV(H8738,K8738),IF(H8738="EI",4,IF(H8738="EO",5.2,IF(H8738="EQ",3.9,IF(H8738="ILF",7.5,IF(H8738="EIF",5.4)))))))</f>
        <v/>
      </c>
      <c r="M8738" s="112" t="str">
        <f t="shared" si="139"/>
        <v/>
      </c>
      <c r="N8738" s="113"/>
    </row>
    <row r="8739" spans="2:14">
      <c r="B8739" s="105"/>
      <c r="C8739" s="106"/>
      <c r="D8739" s="107"/>
      <c r="E8739" s="65"/>
      <c r="F8739" s="64"/>
      <c r="G8739" s="64"/>
      <c r="H8739" s="64"/>
      <c r="I8739" s="70"/>
      <c r="J8739" s="70"/>
      <c r="K8739" s="110" t="str">
        <f>IF(H8739="","",IF($C$29="간이법","",FPR(H8739,I8739,J8739)))</f>
        <v/>
      </c>
      <c r="L8739" s="111" t="str">
        <f>IF(H8739="","",IF($C$29="상세법",FPV(H8739,K8739),IF(H8739="EI",4,IF(H8739="EO",5.2,IF(H8739="EQ",3.9,IF(H8739="ILF",7.5,IF(H8739="EIF",5.4)))))))</f>
        <v/>
      </c>
      <c r="M8739" s="112" t="str">
        <f t="shared" si="139"/>
        <v/>
      </c>
      <c r="N8739" s="113"/>
    </row>
    <row r="8740" spans="2:14">
      <c r="B8740" s="105"/>
      <c r="C8740" s="106"/>
      <c r="D8740" s="107"/>
      <c r="E8740" s="65"/>
      <c r="F8740" s="64"/>
      <c r="G8740" s="64"/>
      <c r="H8740" s="64"/>
      <c r="I8740" s="70"/>
      <c r="J8740" s="70"/>
      <c r="K8740" s="110" t="str">
        <f>IF(H8740="","",IF($C$29="간이법","",FPR(H8740,I8740,J8740)))</f>
        <v/>
      </c>
      <c r="L8740" s="111" t="str">
        <f>IF(H8740="","",IF($C$29="상세법",FPV(H8740,K8740),IF(H8740="EI",4,IF(H8740="EO",5.2,IF(H8740="EQ",3.9,IF(H8740="ILF",7.5,IF(H8740="EIF",5.4)))))))</f>
        <v/>
      </c>
      <c r="M8740" s="112" t="str">
        <f t="shared" si="139"/>
        <v/>
      </c>
      <c r="N8740" s="113"/>
    </row>
    <row r="8741" spans="2:14">
      <c r="B8741" s="105"/>
      <c r="C8741" s="106"/>
      <c r="D8741" s="107"/>
      <c r="E8741" s="65"/>
      <c r="F8741" s="64"/>
      <c r="G8741" s="64"/>
      <c r="H8741" s="64"/>
      <c r="I8741" s="70"/>
      <c r="J8741" s="70"/>
      <c r="K8741" s="110" t="str">
        <f>IF(H8741="","",IF($C$29="간이법","",FPR(H8741,I8741,J8741)))</f>
        <v/>
      </c>
      <c r="L8741" s="111" t="str">
        <f>IF(H8741="","",IF($C$29="상세법",FPV(H8741,K8741),IF(H8741="EI",4,IF(H8741="EO",5.2,IF(H8741="EQ",3.9,IF(H8741="ILF",7.5,IF(H8741="EIF",5.4)))))))</f>
        <v/>
      </c>
      <c r="M8741" s="112" t="str">
        <f t="shared" si="139"/>
        <v/>
      </c>
      <c r="N8741" s="113"/>
    </row>
    <row r="8742" spans="2:14">
      <c r="B8742" s="105"/>
      <c r="C8742" s="106"/>
      <c r="D8742" s="107"/>
      <c r="E8742" s="65"/>
      <c r="F8742" s="64"/>
      <c r="G8742" s="64"/>
      <c r="H8742" s="64"/>
      <c r="I8742" s="70"/>
      <c r="J8742" s="70"/>
      <c r="K8742" s="110" t="str">
        <f>IF(H8742="","",IF($C$29="간이법","",FPR(H8742,I8742,J8742)))</f>
        <v/>
      </c>
      <c r="L8742" s="111" t="str">
        <f>IF(H8742="","",IF($C$29="상세법",FPV(H8742,K8742),IF(H8742="EI",4,IF(H8742="EO",5.2,IF(H8742="EQ",3.9,IF(H8742="ILF",7.5,IF(H8742="EIF",5.4)))))))</f>
        <v/>
      </c>
      <c r="M8742" s="112" t="str">
        <f t="shared" si="139"/>
        <v/>
      </c>
      <c r="N8742" s="113"/>
    </row>
    <row r="8743" spans="2:14">
      <c r="B8743" s="105"/>
      <c r="C8743" s="106"/>
      <c r="D8743" s="107"/>
      <c r="E8743" s="65"/>
      <c r="F8743" s="64"/>
      <c r="G8743" s="64"/>
      <c r="H8743" s="64"/>
      <c r="I8743" s="70"/>
      <c r="J8743" s="70"/>
      <c r="K8743" s="110" t="str">
        <f>IF(H8743="","",IF($C$29="간이법","",FPR(H8743,I8743,J8743)))</f>
        <v/>
      </c>
      <c r="L8743" s="111" t="str">
        <f>IF(H8743="","",IF($C$29="상세법",FPV(H8743,K8743),IF(H8743="EI",4,IF(H8743="EO",5.2,IF(H8743="EQ",3.9,IF(H8743="ILF",7.5,IF(H8743="EIF",5.4)))))))</f>
        <v/>
      </c>
      <c r="M8743" s="112" t="str">
        <f t="shared" si="139"/>
        <v/>
      </c>
      <c r="N8743" s="113"/>
    </row>
    <row r="8744" spans="2:14">
      <c r="B8744" s="105"/>
      <c r="C8744" s="106"/>
      <c r="D8744" s="107"/>
      <c r="E8744" s="65"/>
      <c r="F8744" s="64"/>
      <c r="G8744" s="64"/>
      <c r="H8744" s="64"/>
      <c r="I8744" s="70"/>
      <c r="J8744" s="70"/>
      <c r="K8744" s="110" t="str">
        <f>IF(H8744="","",IF($C$29="간이법","",FPR(H8744,I8744,J8744)))</f>
        <v/>
      </c>
      <c r="L8744" s="111" t="str">
        <f>IF(H8744="","",IF($C$29="상세법",FPV(H8744,K8744),IF(H8744="EI",4,IF(H8744="EO",5.2,IF(H8744="EQ",3.9,IF(H8744="ILF",7.5,IF(H8744="EIF",5.4)))))))</f>
        <v/>
      </c>
      <c r="M8744" s="112" t="str">
        <f t="shared" si="139"/>
        <v/>
      </c>
      <c r="N8744" s="113"/>
    </row>
    <row r="8745" spans="2:14">
      <c r="B8745" s="105"/>
      <c r="C8745" s="106"/>
      <c r="D8745" s="107"/>
      <c r="E8745" s="65"/>
      <c r="F8745" s="64"/>
      <c r="G8745" s="64"/>
      <c r="H8745" s="64"/>
      <c r="I8745" s="70"/>
      <c r="J8745" s="70"/>
      <c r="K8745" s="110" t="str">
        <f>IF(H8745="","",IF($C$29="간이법","",FPR(H8745,I8745,J8745)))</f>
        <v/>
      </c>
      <c r="L8745" s="111" t="str">
        <f>IF(H8745="","",IF($C$29="상세법",FPV(H8745,K8745),IF(H8745="EI",4,IF(H8745="EO",5.2,IF(H8745="EQ",3.9,IF(H8745="ILF",7.5,IF(H8745="EIF",5.4)))))))</f>
        <v/>
      </c>
      <c r="M8745" s="112" t="str">
        <f t="shared" si="139"/>
        <v/>
      </c>
      <c r="N8745" s="113"/>
    </row>
    <row r="8746" spans="2:14">
      <c r="B8746" s="105"/>
      <c r="C8746" s="106"/>
      <c r="D8746" s="107"/>
      <c r="E8746" s="65"/>
      <c r="F8746" s="64"/>
      <c r="G8746" s="64"/>
      <c r="H8746" s="64"/>
      <c r="I8746" s="70"/>
      <c r="J8746" s="70"/>
      <c r="K8746" s="110" t="str">
        <f>IF(H8746="","",IF($C$29="간이법","",FPR(H8746,I8746,J8746)))</f>
        <v/>
      </c>
      <c r="L8746" s="111" t="str">
        <f>IF(H8746="","",IF($C$29="상세법",FPV(H8746,K8746),IF(H8746="EI",4,IF(H8746="EO",5.2,IF(H8746="EQ",3.9,IF(H8746="ILF",7.5,IF(H8746="EIF",5.4)))))))</f>
        <v/>
      </c>
      <c r="M8746" s="112" t="str">
        <f t="shared" si="139"/>
        <v/>
      </c>
      <c r="N8746" s="113"/>
    </row>
    <row r="8747" spans="2:14">
      <c r="B8747" s="105"/>
      <c r="C8747" s="106"/>
      <c r="D8747" s="107"/>
      <c r="E8747" s="65"/>
      <c r="F8747" s="64"/>
      <c r="G8747" s="64"/>
      <c r="H8747" s="64"/>
      <c r="I8747" s="70"/>
      <c r="J8747" s="70"/>
      <c r="K8747" s="110" t="str">
        <f>IF(H8747="","",IF($C$29="간이법","",FPR(H8747,I8747,J8747)))</f>
        <v/>
      </c>
      <c r="L8747" s="111" t="str">
        <f>IF(H8747="","",IF($C$29="상세법",FPV(H8747,K8747),IF(H8747="EI",4,IF(H8747="EO",5.2,IF(H8747="EQ",3.9,IF(H8747="ILF",7.5,IF(H8747="EIF",5.4)))))))</f>
        <v/>
      </c>
      <c r="M8747" s="112" t="str">
        <f t="shared" si="139"/>
        <v/>
      </c>
      <c r="N8747" s="113"/>
    </row>
    <row r="8748" spans="2:14">
      <c r="B8748" s="105"/>
      <c r="C8748" s="106"/>
      <c r="D8748" s="107"/>
      <c r="E8748" s="65"/>
      <c r="F8748" s="64"/>
      <c r="G8748" s="64"/>
      <c r="H8748" s="64"/>
      <c r="I8748" s="70"/>
      <c r="J8748" s="70"/>
      <c r="K8748" s="110" t="str">
        <f>IF(H8748="","",IF($C$29="간이법","",FPR(H8748,I8748,J8748)))</f>
        <v/>
      </c>
      <c r="L8748" s="111" t="str">
        <f>IF(H8748="","",IF($C$29="상세법",FPV(H8748,K8748),IF(H8748="EI",4,IF(H8748="EO",5.2,IF(H8748="EQ",3.9,IF(H8748="ILF",7.5,IF(H8748="EIF",5.4)))))))</f>
        <v/>
      </c>
      <c r="M8748" s="112" t="str">
        <f t="shared" si="139"/>
        <v/>
      </c>
      <c r="N8748" s="113"/>
    </row>
    <row r="8749" spans="2:14">
      <c r="B8749" s="105"/>
      <c r="C8749" s="106"/>
      <c r="D8749" s="107"/>
      <c r="E8749" s="65"/>
      <c r="F8749" s="64"/>
      <c r="G8749" s="64"/>
      <c r="H8749" s="64"/>
      <c r="I8749" s="70"/>
      <c r="J8749" s="70"/>
      <c r="K8749" s="110" t="str">
        <f>IF(H8749="","",IF($C$29="간이법","",FPR(H8749,I8749,J8749)))</f>
        <v/>
      </c>
      <c r="L8749" s="111" t="str">
        <f>IF(H8749="","",IF($C$29="상세법",FPV(H8749,K8749),IF(H8749="EI",4,IF(H8749="EO",5.2,IF(H8749="EQ",3.9,IF(H8749="ILF",7.5,IF(H8749="EIF",5.4)))))))</f>
        <v/>
      </c>
      <c r="M8749" s="112" t="str">
        <f t="shared" si="139"/>
        <v/>
      </c>
      <c r="N8749" s="113"/>
    </row>
    <row r="8750" spans="2:14">
      <c r="B8750" s="105"/>
      <c r="C8750" s="106"/>
      <c r="D8750" s="107"/>
      <c r="E8750" s="65"/>
      <c r="F8750" s="64"/>
      <c r="G8750" s="64"/>
      <c r="H8750" s="64"/>
      <c r="I8750" s="70"/>
      <c r="J8750" s="70"/>
      <c r="K8750" s="110" t="str">
        <f>IF(H8750="","",IF($C$29="간이법","",FPR(H8750,I8750,J8750)))</f>
        <v/>
      </c>
      <c r="L8750" s="111" t="str">
        <f>IF(H8750="","",IF($C$29="상세법",FPV(H8750,K8750),IF(H8750="EI",4,IF(H8750="EO",5.2,IF(H8750="EQ",3.9,IF(H8750="ILF",7.5,IF(H8750="EIF",5.4)))))))</f>
        <v/>
      </c>
      <c r="M8750" s="112" t="str">
        <f t="shared" si="139"/>
        <v/>
      </c>
      <c r="N8750" s="113"/>
    </row>
    <row r="8751" spans="2:14">
      <c r="B8751" s="105"/>
      <c r="C8751" s="106"/>
      <c r="D8751" s="107"/>
      <c r="E8751" s="65"/>
      <c r="F8751" s="64"/>
      <c r="G8751" s="64"/>
      <c r="H8751" s="64"/>
      <c r="I8751" s="70"/>
      <c r="J8751" s="70"/>
      <c r="K8751" s="110" t="str">
        <f>IF(H8751="","",IF($C$29="간이법","",FPR(H8751,I8751,J8751)))</f>
        <v/>
      </c>
      <c r="L8751" s="111" t="str">
        <f>IF(H8751="","",IF($C$29="상세법",FPV(H8751,K8751),IF(H8751="EI",4,IF(H8751="EO",5.2,IF(H8751="EQ",3.9,IF(H8751="ILF",7.5,IF(H8751="EIF",5.4)))))))</f>
        <v/>
      </c>
      <c r="M8751" s="112" t="str">
        <f t="shared" si="139"/>
        <v/>
      </c>
      <c r="N8751" s="113"/>
    </row>
    <row r="8752" spans="2:14">
      <c r="B8752" s="105"/>
      <c r="C8752" s="106"/>
      <c r="D8752" s="107"/>
      <c r="E8752" s="65"/>
      <c r="F8752" s="64"/>
      <c r="G8752" s="64"/>
      <c r="H8752" s="64"/>
      <c r="I8752" s="70"/>
      <c r="J8752" s="70"/>
      <c r="K8752" s="110" t="str">
        <f>IF(H8752="","",IF($C$29="간이법","",FPR(H8752,I8752,J8752)))</f>
        <v/>
      </c>
      <c r="L8752" s="111" t="str">
        <f>IF(H8752="","",IF($C$29="상세법",FPV(H8752,K8752),IF(H8752="EI",4,IF(H8752="EO",5.2,IF(H8752="EQ",3.9,IF(H8752="ILF",7.5,IF(H8752="EIF",5.4)))))))</f>
        <v/>
      </c>
      <c r="M8752" s="112" t="str">
        <f t="shared" si="139"/>
        <v/>
      </c>
      <c r="N8752" s="113"/>
    </row>
    <row r="8753" spans="2:14">
      <c r="B8753" s="105"/>
      <c r="C8753" s="106"/>
      <c r="D8753" s="107"/>
      <c r="E8753" s="65"/>
      <c r="F8753" s="64"/>
      <c r="G8753" s="64"/>
      <c r="H8753" s="64"/>
      <c r="I8753" s="70"/>
      <c r="J8753" s="70"/>
      <c r="K8753" s="110" t="str">
        <f>IF(H8753="","",IF($C$29="간이법","",FPR(H8753,I8753,J8753)))</f>
        <v/>
      </c>
      <c r="L8753" s="111" t="str">
        <f>IF(H8753="","",IF($C$29="상세법",FPV(H8753,K8753),IF(H8753="EI",4,IF(H8753="EO",5.2,IF(H8753="EQ",3.9,IF(H8753="ILF",7.5,IF(H8753="EIF",5.4)))))))</f>
        <v/>
      </c>
      <c r="M8753" s="112" t="str">
        <f t="shared" si="139"/>
        <v/>
      </c>
      <c r="N8753" s="113"/>
    </row>
    <row r="8754" spans="2:14">
      <c r="B8754" s="105"/>
      <c r="C8754" s="106"/>
      <c r="D8754" s="107"/>
      <c r="E8754" s="65"/>
      <c r="F8754" s="64"/>
      <c r="G8754" s="64"/>
      <c r="H8754" s="64"/>
      <c r="I8754" s="70"/>
      <c r="J8754" s="70"/>
      <c r="K8754" s="110" t="str">
        <f>IF(H8754="","",IF($C$29="간이법","",FPR(H8754,I8754,J8754)))</f>
        <v/>
      </c>
      <c r="L8754" s="111" t="str">
        <f>IF(H8754="","",IF($C$29="상세법",FPV(H8754,K8754),IF(H8754="EI",4,IF(H8754="EO",5.2,IF(H8754="EQ",3.9,IF(H8754="ILF",7.5,IF(H8754="EIF",5.4)))))))</f>
        <v/>
      </c>
      <c r="M8754" s="112" t="str">
        <f t="shared" si="139"/>
        <v/>
      </c>
      <c r="N8754" s="113"/>
    </row>
    <row r="8755" spans="2:14">
      <c r="B8755" s="105"/>
      <c r="C8755" s="106"/>
      <c r="D8755" s="107"/>
      <c r="E8755" s="65"/>
      <c r="F8755" s="64"/>
      <c r="G8755" s="64"/>
      <c r="H8755" s="64"/>
      <c r="I8755" s="70"/>
      <c r="J8755" s="70"/>
      <c r="K8755" s="110" t="str">
        <f>IF(H8755="","",IF($C$29="간이법","",FPR(H8755,I8755,J8755)))</f>
        <v/>
      </c>
      <c r="L8755" s="111" t="str">
        <f>IF(H8755="","",IF($C$29="상세법",FPV(H8755,K8755),IF(H8755="EI",4,IF(H8755="EO",5.2,IF(H8755="EQ",3.9,IF(H8755="ILF",7.5,IF(H8755="EIF",5.4)))))))</f>
        <v/>
      </c>
      <c r="M8755" s="112" t="str">
        <f t="shared" si="139"/>
        <v/>
      </c>
      <c r="N8755" s="113"/>
    </row>
    <row r="8756" spans="2:14">
      <c r="B8756" s="105"/>
      <c r="C8756" s="106"/>
      <c r="D8756" s="107"/>
      <c r="E8756" s="65"/>
      <c r="F8756" s="64"/>
      <c r="G8756" s="64"/>
      <c r="H8756" s="64"/>
      <c r="I8756" s="70"/>
      <c r="J8756" s="70"/>
      <c r="K8756" s="110" t="str">
        <f>IF(H8756="","",IF($C$29="간이법","",FPR(H8756,I8756,J8756)))</f>
        <v/>
      </c>
      <c r="L8756" s="111" t="str">
        <f>IF(H8756="","",IF($C$29="상세법",FPV(H8756,K8756),IF(H8756="EI",4,IF(H8756="EO",5.2,IF(H8756="EQ",3.9,IF(H8756="ILF",7.5,IF(H8756="EIF",5.4)))))))</f>
        <v/>
      </c>
      <c r="M8756" s="112" t="str">
        <f t="shared" si="139"/>
        <v/>
      </c>
      <c r="N8756" s="113"/>
    </row>
    <row r="8757" spans="2:14">
      <c r="B8757" s="105"/>
      <c r="C8757" s="106"/>
      <c r="D8757" s="107"/>
      <c r="E8757" s="65"/>
      <c r="F8757" s="64"/>
      <c r="G8757" s="64"/>
      <c r="H8757" s="64"/>
      <c r="I8757" s="70"/>
      <c r="J8757" s="70"/>
      <c r="K8757" s="110" t="str">
        <f>IF(H8757="","",IF($C$29="간이법","",FPR(H8757,I8757,J8757)))</f>
        <v/>
      </c>
      <c r="L8757" s="111" t="str">
        <f>IF(H8757="","",IF($C$29="상세법",FPV(H8757,K8757),IF(H8757="EI",4,IF(H8757="EO",5.2,IF(H8757="EQ",3.9,IF(H8757="ILF",7.5,IF(H8757="EIF",5.4)))))))</f>
        <v/>
      </c>
      <c r="M8757" s="112" t="str">
        <f t="shared" si="139"/>
        <v/>
      </c>
      <c r="N8757" s="113"/>
    </row>
    <row r="8758" spans="2:14">
      <c r="B8758" s="105"/>
      <c r="C8758" s="106"/>
      <c r="D8758" s="107"/>
      <c r="E8758" s="65"/>
      <c r="F8758" s="64"/>
      <c r="G8758" s="64"/>
      <c r="H8758" s="64"/>
      <c r="I8758" s="70"/>
      <c r="J8758" s="70"/>
      <c r="K8758" s="110" t="str">
        <f>IF(H8758="","",IF($C$29="간이법","",FPR(H8758,I8758,J8758)))</f>
        <v/>
      </c>
      <c r="L8758" s="111" t="str">
        <f>IF(H8758="","",IF($C$29="상세법",FPV(H8758,K8758),IF(H8758="EI",4,IF(H8758="EO",5.2,IF(H8758="EQ",3.9,IF(H8758="ILF",7.5,IF(H8758="EIF",5.4)))))))</f>
        <v/>
      </c>
      <c r="M8758" s="112" t="str">
        <f t="shared" si="139"/>
        <v/>
      </c>
      <c r="N8758" s="113"/>
    </row>
    <row r="8759" spans="2:14">
      <c r="B8759" s="105"/>
      <c r="C8759" s="106"/>
      <c r="D8759" s="107"/>
      <c r="E8759" s="65"/>
      <c r="F8759" s="64"/>
      <c r="G8759" s="64"/>
      <c r="H8759" s="64"/>
      <c r="I8759" s="70"/>
      <c r="J8759" s="70"/>
      <c r="K8759" s="110" t="str">
        <f>IF(H8759="","",IF($C$29="간이법","",FPR(H8759,I8759,J8759)))</f>
        <v/>
      </c>
      <c r="L8759" s="111" t="str">
        <f>IF(H8759="","",IF($C$29="상세법",FPV(H8759,K8759),IF(H8759="EI",4,IF(H8759="EO",5.2,IF(H8759="EQ",3.9,IF(H8759="ILF",7.5,IF(H8759="EIF",5.4)))))))</f>
        <v/>
      </c>
      <c r="M8759" s="112" t="str">
        <f t="shared" si="139"/>
        <v/>
      </c>
      <c r="N8759" s="113"/>
    </row>
    <row r="8760" spans="2:14">
      <c r="B8760" s="105"/>
      <c r="C8760" s="106"/>
      <c r="D8760" s="107"/>
      <c r="E8760" s="65"/>
      <c r="F8760" s="64"/>
      <c r="G8760" s="64"/>
      <c r="H8760" s="64"/>
      <c r="I8760" s="70"/>
      <c r="J8760" s="70"/>
      <c r="K8760" s="110" t="str">
        <f>IF(H8760="","",IF($C$29="간이법","",FPR(H8760,I8760,J8760)))</f>
        <v/>
      </c>
      <c r="L8760" s="111" t="str">
        <f>IF(H8760="","",IF($C$29="상세법",FPV(H8760,K8760),IF(H8760="EI",4,IF(H8760="EO",5.2,IF(H8760="EQ",3.9,IF(H8760="ILF",7.5,IF(H8760="EIF",5.4)))))))</f>
        <v/>
      </c>
      <c r="M8760" s="112" t="str">
        <f t="shared" si="139"/>
        <v/>
      </c>
      <c r="N8760" s="113"/>
    </row>
    <row r="8761" spans="2:14">
      <c r="B8761" s="105"/>
      <c r="C8761" s="106"/>
      <c r="D8761" s="107"/>
      <c r="E8761" s="65"/>
      <c r="F8761" s="64"/>
      <c r="G8761" s="64"/>
      <c r="H8761" s="64"/>
      <c r="I8761" s="70"/>
      <c r="J8761" s="70"/>
      <c r="K8761" s="110" t="str">
        <f>IF(H8761="","",IF($C$29="간이법","",FPR(H8761,I8761,J8761)))</f>
        <v/>
      </c>
      <c r="L8761" s="111" t="str">
        <f>IF(H8761="","",IF($C$29="상세법",FPV(H8761,K8761),IF(H8761="EI",4,IF(H8761="EO",5.2,IF(H8761="EQ",3.9,IF(H8761="ILF",7.5,IF(H8761="EIF",5.4)))))))</f>
        <v/>
      </c>
      <c r="M8761" s="112" t="str">
        <f t="shared" ref="M8761:M8824" si="140">IF(L8761="","",L8761*IF(G8761="상",0.7,IF(G8761="중",0.5,IF(G8761="하",0.2,1))))</f>
        <v/>
      </c>
      <c r="N8761" s="113"/>
    </row>
    <row r="8762" spans="2:14">
      <c r="B8762" s="105"/>
      <c r="C8762" s="106"/>
      <c r="D8762" s="107"/>
      <c r="E8762" s="65"/>
      <c r="F8762" s="64"/>
      <c r="G8762" s="64"/>
      <c r="H8762" s="64"/>
      <c r="I8762" s="70"/>
      <c r="J8762" s="70"/>
      <c r="K8762" s="110" t="str">
        <f>IF(H8762="","",IF($C$29="간이법","",FPR(H8762,I8762,J8762)))</f>
        <v/>
      </c>
      <c r="L8762" s="111" t="str">
        <f>IF(H8762="","",IF($C$29="상세법",FPV(H8762,K8762),IF(H8762="EI",4,IF(H8762="EO",5.2,IF(H8762="EQ",3.9,IF(H8762="ILF",7.5,IF(H8762="EIF",5.4)))))))</f>
        <v/>
      </c>
      <c r="M8762" s="112" t="str">
        <f t="shared" si="140"/>
        <v/>
      </c>
      <c r="N8762" s="113"/>
    </row>
    <row r="8763" spans="2:14">
      <c r="B8763" s="105"/>
      <c r="C8763" s="106"/>
      <c r="D8763" s="107"/>
      <c r="E8763" s="65"/>
      <c r="F8763" s="64"/>
      <c r="G8763" s="64"/>
      <c r="H8763" s="64"/>
      <c r="I8763" s="70"/>
      <c r="J8763" s="70"/>
      <c r="K8763" s="110" t="str">
        <f>IF(H8763="","",IF($C$29="간이법","",FPR(H8763,I8763,J8763)))</f>
        <v/>
      </c>
      <c r="L8763" s="111" t="str">
        <f>IF(H8763="","",IF($C$29="상세법",FPV(H8763,K8763),IF(H8763="EI",4,IF(H8763="EO",5.2,IF(H8763="EQ",3.9,IF(H8763="ILF",7.5,IF(H8763="EIF",5.4)))))))</f>
        <v/>
      </c>
      <c r="M8763" s="112" t="str">
        <f t="shared" si="140"/>
        <v/>
      </c>
      <c r="N8763" s="113"/>
    </row>
    <row r="8764" spans="2:14">
      <c r="B8764" s="105"/>
      <c r="C8764" s="106"/>
      <c r="D8764" s="107"/>
      <c r="E8764" s="65"/>
      <c r="F8764" s="64"/>
      <c r="G8764" s="64"/>
      <c r="H8764" s="64"/>
      <c r="I8764" s="70"/>
      <c r="J8764" s="70"/>
      <c r="K8764" s="110" t="str">
        <f>IF(H8764="","",IF($C$29="간이법","",FPR(H8764,I8764,J8764)))</f>
        <v/>
      </c>
      <c r="L8764" s="111" t="str">
        <f>IF(H8764="","",IF($C$29="상세법",FPV(H8764,K8764),IF(H8764="EI",4,IF(H8764="EO",5.2,IF(H8764="EQ",3.9,IF(H8764="ILF",7.5,IF(H8764="EIF",5.4)))))))</f>
        <v/>
      </c>
      <c r="M8764" s="112" t="str">
        <f t="shared" si="140"/>
        <v/>
      </c>
      <c r="N8764" s="113"/>
    </row>
    <row r="8765" spans="2:14">
      <c r="B8765" s="105"/>
      <c r="C8765" s="106"/>
      <c r="D8765" s="107"/>
      <c r="E8765" s="65"/>
      <c r="F8765" s="64"/>
      <c r="G8765" s="64"/>
      <c r="H8765" s="64"/>
      <c r="I8765" s="70"/>
      <c r="J8765" s="70"/>
      <c r="K8765" s="110" t="str">
        <f>IF(H8765="","",IF($C$29="간이법","",FPR(H8765,I8765,J8765)))</f>
        <v/>
      </c>
      <c r="L8765" s="111" t="str">
        <f>IF(H8765="","",IF($C$29="상세법",FPV(H8765,K8765),IF(H8765="EI",4,IF(H8765="EO",5.2,IF(H8765="EQ",3.9,IF(H8765="ILF",7.5,IF(H8765="EIF",5.4)))))))</f>
        <v/>
      </c>
      <c r="M8765" s="112" t="str">
        <f t="shared" si="140"/>
        <v/>
      </c>
      <c r="N8765" s="113"/>
    </row>
    <row r="8766" spans="2:14">
      <c r="B8766" s="105"/>
      <c r="C8766" s="106"/>
      <c r="D8766" s="107"/>
      <c r="E8766" s="65"/>
      <c r="F8766" s="64"/>
      <c r="G8766" s="64"/>
      <c r="H8766" s="64"/>
      <c r="I8766" s="70"/>
      <c r="J8766" s="70"/>
      <c r="K8766" s="110" t="str">
        <f>IF(H8766="","",IF($C$29="간이법","",FPR(H8766,I8766,J8766)))</f>
        <v/>
      </c>
      <c r="L8766" s="111" t="str">
        <f>IF(H8766="","",IF($C$29="상세법",FPV(H8766,K8766),IF(H8766="EI",4,IF(H8766="EO",5.2,IF(H8766="EQ",3.9,IF(H8766="ILF",7.5,IF(H8766="EIF",5.4)))))))</f>
        <v/>
      </c>
      <c r="M8766" s="112" t="str">
        <f t="shared" si="140"/>
        <v/>
      </c>
      <c r="N8766" s="113"/>
    </row>
    <row r="8767" spans="2:14">
      <c r="B8767" s="105"/>
      <c r="C8767" s="106"/>
      <c r="D8767" s="107"/>
      <c r="E8767" s="65"/>
      <c r="F8767" s="64"/>
      <c r="G8767" s="64"/>
      <c r="H8767" s="64"/>
      <c r="I8767" s="70"/>
      <c r="J8767" s="70"/>
      <c r="K8767" s="110" t="str">
        <f>IF(H8767="","",IF($C$29="간이법","",FPR(H8767,I8767,J8767)))</f>
        <v/>
      </c>
      <c r="L8767" s="111" t="str">
        <f>IF(H8767="","",IF($C$29="상세법",FPV(H8767,K8767),IF(H8767="EI",4,IF(H8767="EO",5.2,IF(H8767="EQ",3.9,IF(H8767="ILF",7.5,IF(H8767="EIF",5.4)))))))</f>
        <v/>
      </c>
      <c r="M8767" s="112" t="str">
        <f t="shared" si="140"/>
        <v/>
      </c>
      <c r="N8767" s="113"/>
    </row>
    <row r="8768" spans="2:14">
      <c r="B8768" s="105"/>
      <c r="C8768" s="106"/>
      <c r="D8768" s="107"/>
      <c r="E8768" s="65"/>
      <c r="F8768" s="64"/>
      <c r="G8768" s="64"/>
      <c r="H8768" s="64"/>
      <c r="I8768" s="70"/>
      <c r="J8768" s="70"/>
      <c r="K8768" s="110" t="str">
        <f>IF(H8768="","",IF($C$29="간이법","",FPR(H8768,I8768,J8768)))</f>
        <v/>
      </c>
      <c r="L8768" s="111" t="str">
        <f>IF(H8768="","",IF($C$29="상세법",FPV(H8768,K8768),IF(H8768="EI",4,IF(H8768="EO",5.2,IF(H8768="EQ",3.9,IF(H8768="ILF",7.5,IF(H8768="EIF",5.4)))))))</f>
        <v/>
      </c>
      <c r="M8768" s="112" t="str">
        <f t="shared" si="140"/>
        <v/>
      </c>
      <c r="N8768" s="113"/>
    </row>
    <row r="8769" spans="2:14">
      <c r="B8769" s="105"/>
      <c r="C8769" s="106"/>
      <c r="D8769" s="107"/>
      <c r="E8769" s="65"/>
      <c r="F8769" s="64"/>
      <c r="G8769" s="64"/>
      <c r="H8769" s="64"/>
      <c r="I8769" s="70"/>
      <c r="J8769" s="70"/>
      <c r="K8769" s="110" t="str">
        <f>IF(H8769="","",IF($C$29="간이법","",FPR(H8769,I8769,J8769)))</f>
        <v/>
      </c>
      <c r="L8769" s="111" t="str">
        <f>IF(H8769="","",IF($C$29="상세법",FPV(H8769,K8769),IF(H8769="EI",4,IF(H8769="EO",5.2,IF(H8769="EQ",3.9,IF(H8769="ILF",7.5,IF(H8769="EIF",5.4)))))))</f>
        <v/>
      </c>
      <c r="M8769" s="112" t="str">
        <f t="shared" si="140"/>
        <v/>
      </c>
      <c r="N8769" s="113"/>
    </row>
    <row r="8770" spans="2:14">
      <c r="B8770" s="105"/>
      <c r="C8770" s="106"/>
      <c r="D8770" s="107"/>
      <c r="E8770" s="65"/>
      <c r="F8770" s="64"/>
      <c r="G8770" s="64"/>
      <c r="H8770" s="64"/>
      <c r="I8770" s="70"/>
      <c r="J8770" s="70"/>
      <c r="K8770" s="110" t="str">
        <f>IF(H8770="","",IF($C$29="간이법","",FPR(H8770,I8770,J8770)))</f>
        <v/>
      </c>
      <c r="L8770" s="111" t="str">
        <f>IF(H8770="","",IF($C$29="상세법",FPV(H8770,K8770),IF(H8770="EI",4,IF(H8770="EO",5.2,IF(H8770="EQ",3.9,IF(H8770="ILF",7.5,IF(H8770="EIF",5.4)))))))</f>
        <v/>
      </c>
      <c r="M8770" s="112" t="str">
        <f t="shared" si="140"/>
        <v/>
      </c>
      <c r="N8770" s="113"/>
    </row>
    <row r="8771" spans="2:14">
      <c r="B8771" s="105"/>
      <c r="C8771" s="106"/>
      <c r="D8771" s="107"/>
      <c r="E8771" s="65"/>
      <c r="F8771" s="64"/>
      <c r="G8771" s="64"/>
      <c r="H8771" s="64"/>
      <c r="I8771" s="70"/>
      <c r="J8771" s="70"/>
      <c r="K8771" s="110" t="str">
        <f>IF(H8771="","",IF($C$29="간이법","",FPR(H8771,I8771,J8771)))</f>
        <v/>
      </c>
      <c r="L8771" s="111" t="str">
        <f>IF(H8771="","",IF($C$29="상세법",FPV(H8771,K8771),IF(H8771="EI",4,IF(H8771="EO",5.2,IF(H8771="EQ",3.9,IF(H8771="ILF",7.5,IF(H8771="EIF",5.4)))))))</f>
        <v/>
      </c>
      <c r="M8771" s="112" t="str">
        <f t="shared" si="140"/>
        <v/>
      </c>
      <c r="N8771" s="113"/>
    </row>
    <row r="8772" spans="2:14">
      <c r="B8772" s="105"/>
      <c r="C8772" s="106"/>
      <c r="D8772" s="107"/>
      <c r="E8772" s="65"/>
      <c r="F8772" s="64"/>
      <c r="G8772" s="64"/>
      <c r="H8772" s="64"/>
      <c r="I8772" s="70"/>
      <c r="J8772" s="70"/>
      <c r="K8772" s="110" t="str">
        <f>IF(H8772="","",IF($C$29="간이법","",FPR(H8772,I8772,J8772)))</f>
        <v/>
      </c>
      <c r="L8772" s="111" t="str">
        <f>IF(H8772="","",IF($C$29="상세법",FPV(H8772,K8772),IF(H8772="EI",4,IF(H8772="EO",5.2,IF(H8772="EQ",3.9,IF(H8772="ILF",7.5,IF(H8772="EIF",5.4)))))))</f>
        <v/>
      </c>
      <c r="M8772" s="112" t="str">
        <f t="shared" si="140"/>
        <v/>
      </c>
      <c r="N8772" s="113"/>
    </row>
    <row r="8773" spans="2:14">
      <c r="B8773" s="105"/>
      <c r="C8773" s="106"/>
      <c r="D8773" s="107"/>
      <c r="E8773" s="65"/>
      <c r="F8773" s="64"/>
      <c r="G8773" s="64"/>
      <c r="H8773" s="64"/>
      <c r="I8773" s="70"/>
      <c r="J8773" s="70"/>
      <c r="K8773" s="110" t="str">
        <f>IF(H8773="","",IF($C$29="간이법","",FPR(H8773,I8773,J8773)))</f>
        <v/>
      </c>
      <c r="L8773" s="111" t="str">
        <f>IF(H8773="","",IF($C$29="상세법",FPV(H8773,K8773),IF(H8773="EI",4,IF(H8773="EO",5.2,IF(H8773="EQ",3.9,IF(H8773="ILF",7.5,IF(H8773="EIF",5.4)))))))</f>
        <v/>
      </c>
      <c r="M8773" s="112" t="str">
        <f t="shared" si="140"/>
        <v/>
      </c>
      <c r="N8773" s="113"/>
    </row>
    <row r="8774" spans="2:14">
      <c r="B8774" s="105"/>
      <c r="C8774" s="106"/>
      <c r="D8774" s="107"/>
      <c r="E8774" s="65"/>
      <c r="F8774" s="64"/>
      <c r="G8774" s="64"/>
      <c r="H8774" s="64"/>
      <c r="I8774" s="70"/>
      <c r="J8774" s="70"/>
      <c r="K8774" s="110" t="str">
        <f>IF(H8774="","",IF($C$29="간이법","",FPR(H8774,I8774,J8774)))</f>
        <v/>
      </c>
      <c r="L8774" s="111" t="str">
        <f>IF(H8774="","",IF($C$29="상세법",FPV(H8774,K8774),IF(H8774="EI",4,IF(H8774="EO",5.2,IF(H8774="EQ",3.9,IF(H8774="ILF",7.5,IF(H8774="EIF",5.4)))))))</f>
        <v/>
      </c>
      <c r="M8774" s="112" t="str">
        <f t="shared" si="140"/>
        <v/>
      </c>
      <c r="N8774" s="113"/>
    </row>
    <row r="8775" spans="2:14">
      <c r="B8775" s="105"/>
      <c r="C8775" s="106"/>
      <c r="D8775" s="107"/>
      <c r="E8775" s="65"/>
      <c r="F8775" s="64"/>
      <c r="G8775" s="64"/>
      <c r="H8775" s="64"/>
      <c r="I8775" s="70"/>
      <c r="J8775" s="70"/>
      <c r="K8775" s="110" t="str">
        <f>IF(H8775="","",IF($C$29="간이법","",FPR(H8775,I8775,J8775)))</f>
        <v/>
      </c>
      <c r="L8775" s="111" t="str">
        <f>IF(H8775="","",IF($C$29="상세법",FPV(H8775,K8775),IF(H8775="EI",4,IF(H8775="EO",5.2,IF(H8775="EQ",3.9,IF(H8775="ILF",7.5,IF(H8775="EIF",5.4)))))))</f>
        <v/>
      </c>
      <c r="M8775" s="112" t="str">
        <f t="shared" si="140"/>
        <v/>
      </c>
      <c r="N8775" s="113"/>
    </row>
    <row r="8776" spans="2:14">
      <c r="B8776" s="105"/>
      <c r="C8776" s="106"/>
      <c r="D8776" s="107"/>
      <c r="E8776" s="65"/>
      <c r="F8776" s="64"/>
      <c r="G8776" s="64"/>
      <c r="H8776" s="64"/>
      <c r="I8776" s="70"/>
      <c r="J8776" s="70"/>
      <c r="K8776" s="110" t="str">
        <f>IF(H8776="","",IF($C$29="간이법","",FPR(H8776,I8776,J8776)))</f>
        <v/>
      </c>
      <c r="L8776" s="111" t="str">
        <f>IF(H8776="","",IF($C$29="상세법",FPV(H8776,K8776),IF(H8776="EI",4,IF(H8776="EO",5.2,IF(H8776="EQ",3.9,IF(H8776="ILF",7.5,IF(H8776="EIF",5.4)))))))</f>
        <v/>
      </c>
      <c r="M8776" s="112" t="str">
        <f t="shared" si="140"/>
        <v/>
      </c>
      <c r="N8776" s="113"/>
    </row>
    <row r="8777" spans="2:14">
      <c r="B8777" s="105"/>
      <c r="C8777" s="106"/>
      <c r="D8777" s="107"/>
      <c r="E8777" s="65"/>
      <c r="F8777" s="64"/>
      <c r="G8777" s="64"/>
      <c r="H8777" s="64"/>
      <c r="I8777" s="70"/>
      <c r="J8777" s="70"/>
      <c r="K8777" s="110" t="str">
        <f>IF(H8777="","",IF($C$29="간이법","",FPR(H8777,I8777,J8777)))</f>
        <v/>
      </c>
      <c r="L8777" s="111" t="str">
        <f>IF(H8777="","",IF($C$29="상세법",FPV(H8777,K8777),IF(H8777="EI",4,IF(H8777="EO",5.2,IF(H8777="EQ",3.9,IF(H8777="ILF",7.5,IF(H8777="EIF",5.4)))))))</f>
        <v/>
      </c>
      <c r="M8777" s="112" t="str">
        <f t="shared" si="140"/>
        <v/>
      </c>
      <c r="N8777" s="113"/>
    </row>
    <row r="8778" spans="2:14">
      <c r="B8778" s="105"/>
      <c r="C8778" s="106"/>
      <c r="D8778" s="107"/>
      <c r="E8778" s="65"/>
      <c r="F8778" s="64"/>
      <c r="G8778" s="64"/>
      <c r="H8778" s="64"/>
      <c r="I8778" s="70"/>
      <c r="J8778" s="70"/>
      <c r="K8778" s="110" t="str">
        <f>IF(H8778="","",IF($C$29="간이법","",FPR(H8778,I8778,J8778)))</f>
        <v/>
      </c>
      <c r="L8778" s="111" t="str">
        <f>IF(H8778="","",IF($C$29="상세법",FPV(H8778,K8778),IF(H8778="EI",4,IF(H8778="EO",5.2,IF(H8778="EQ",3.9,IF(H8778="ILF",7.5,IF(H8778="EIF",5.4)))))))</f>
        <v/>
      </c>
      <c r="M8778" s="112" t="str">
        <f t="shared" si="140"/>
        <v/>
      </c>
      <c r="N8778" s="113"/>
    </row>
    <row r="8779" spans="2:14">
      <c r="B8779" s="105"/>
      <c r="C8779" s="106"/>
      <c r="D8779" s="107"/>
      <c r="E8779" s="65"/>
      <c r="F8779" s="64"/>
      <c r="G8779" s="64"/>
      <c r="H8779" s="64"/>
      <c r="I8779" s="70"/>
      <c r="J8779" s="70"/>
      <c r="K8779" s="110" t="str">
        <f>IF(H8779="","",IF($C$29="간이법","",FPR(H8779,I8779,J8779)))</f>
        <v/>
      </c>
      <c r="L8779" s="111" t="str">
        <f>IF(H8779="","",IF($C$29="상세법",FPV(H8779,K8779),IF(H8779="EI",4,IF(H8779="EO",5.2,IF(H8779="EQ",3.9,IF(H8779="ILF",7.5,IF(H8779="EIF",5.4)))))))</f>
        <v/>
      </c>
      <c r="M8779" s="112" t="str">
        <f t="shared" si="140"/>
        <v/>
      </c>
      <c r="N8779" s="113"/>
    </row>
    <row r="8780" spans="2:14">
      <c r="B8780" s="105"/>
      <c r="C8780" s="106"/>
      <c r="D8780" s="107"/>
      <c r="E8780" s="65"/>
      <c r="F8780" s="64"/>
      <c r="G8780" s="64"/>
      <c r="H8780" s="64"/>
      <c r="I8780" s="70"/>
      <c r="J8780" s="70"/>
      <c r="K8780" s="110" t="str">
        <f>IF(H8780="","",IF($C$29="간이법","",FPR(H8780,I8780,J8780)))</f>
        <v/>
      </c>
      <c r="L8780" s="111" t="str">
        <f>IF(H8780="","",IF($C$29="상세법",FPV(H8780,K8780),IF(H8780="EI",4,IF(H8780="EO",5.2,IF(H8780="EQ",3.9,IF(H8780="ILF",7.5,IF(H8780="EIF",5.4)))))))</f>
        <v/>
      </c>
      <c r="M8780" s="112" t="str">
        <f t="shared" si="140"/>
        <v/>
      </c>
      <c r="N8780" s="113"/>
    </row>
    <row r="8781" spans="2:14">
      <c r="B8781" s="105"/>
      <c r="C8781" s="106"/>
      <c r="D8781" s="107"/>
      <c r="E8781" s="65"/>
      <c r="F8781" s="64"/>
      <c r="G8781" s="64"/>
      <c r="H8781" s="64"/>
      <c r="I8781" s="70"/>
      <c r="J8781" s="70"/>
      <c r="K8781" s="110" t="str">
        <f>IF(H8781="","",IF($C$29="간이법","",FPR(H8781,I8781,J8781)))</f>
        <v/>
      </c>
      <c r="L8781" s="111" t="str">
        <f>IF(H8781="","",IF($C$29="상세법",FPV(H8781,K8781),IF(H8781="EI",4,IF(H8781="EO",5.2,IF(H8781="EQ",3.9,IF(H8781="ILF",7.5,IF(H8781="EIF",5.4)))))))</f>
        <v/>
      </c>
      <c r="M8781" s="112" t="str">
        <f t="shared" si="140"/>
        <v/>
      </c>
      <c r="N8781" s="113"/>
    </row>
    <row r="8782" spans="2:14">
      <c r="B8782" s="105"/>
      <c r="C8782" s="106"/>
      <c r="D8782" s="107"/>
      <c r="E8782" s="65"/>
      <c r="F8782" s="64"/>
      <c r="G8782" s="64"/>
      <c r="H8782" s="64"/>
      <c r="I8782" s="70"/>
      <c r="J8782" s="70"/>
      <c r="K8782" s="110" t="str">
        <f>IF(H8782="","",IF($C$29="간이법","",FPR(H8782,I8782,J8782)))</f>
        <v/>
      </c>
      <c r="L8782" s="111" t="str">
        <f>IF(H8782="","",IF($C$29="상세법",FPV(H8782,K8782),IF(H8782="EI",4,IF(H8782="EO",5.2,IF(H8782="EQ",3.9,IF(H8782="ILF",7.5,IF(H8782="EIF",5.4)))))))</f>
        <v/>
      </c>
      <c r="M8782" s="112" t="str">
        <f t="shared" si="140"/>
        <v/>
      </c>
      <c r="N8782" s="113"/>
    </row>
    <row r="8783" spans="2:14">
      <c r="B8783" s="105"/>
      <c r="C8783" s="106"/>
      <c r="D8783" s="107"/>
      <c r="E8783" s="65"/>
      <c r="F8783" s="64"/>
      <c r="G8783" s="64"/>
      <c r="H8783" s="64"/>
      <c r="I8783" s="70"/>
      <c r="J8783" s="70"/>
      <c r="K8783" s="110" t="str">
        <f>IF(H8783="","",IF($C$29="간이법","",FPR(H8783,I8783,J8783)))</f>
        <v/>
      </c>
      <c r="L8783" s="111" t="str">
        <f>IF(H8783="","",IF($C$29="상세법",FPV(H8783,K8783),IF(H8783="EI",4,IF(H8783="EO",5.2,IF(H8783="EQ",3.9,IF(H8783="ILF",7.5,IF(H8783="EIF",5.4)))))))</f>
        <v/>
      </c>
      <c r="M8783" s="112" t="str">
        <f t="shared" si="140"/>
        <v/>
      </c>
      <c r="N8783" s="113"/>
    </row>
    <row r="8784" spans="2:14">
      <c r="B8784" s="105"/>
      <c r="C8784" s="106"/>
      <c r="D8784" s="107"/>
      <c r="E8784" s="65"/>
      <c r="F8784" s="64"/>
      <c r="G8784" s="64"/>
      <c r="H8784" s="64"/>
      <c r="I8784" s="70"/>
      <c r="J8784" s="70"/>
      <c r="K8784" s="110" t="str">
        <f>IF(H8784="","",IF($C$29="간이법","",FPR(H8784,I8784,J8784)))</f>
        <v/>
      </c>
      <c r="L8784" s="111" t="str">
        <f>IF(H8784="","",IF($C$29="상세법",FPV(H8784,K8784),IF(H8784="EI",4,IF(H8784="EO",5.2,IF(H8784="EQ",3.9,IF(H8784="ILF",7.5,IF(H8784="EIF",5.4)))))))</f>
        <v/>
      </c>
      <c r="M8784" s="112" t="str">
        <f t="shared" si="140"/>
        <v/>
      </c>
      <c r="N8784" s="113"/>
    </row>
    <row r="8785" spans="2:14">
      <c r="B8785" s="105"/>
      <c r="C8785" s="106"/>
      <c r="D8785" s="107"/>
      <c r="E8785" s="65"/>
      <c r="F8785" s="64"/>
      <c r="G8785" s="64"/>
      <c r="H8785" s="64"/>
      <c r="I8785" s="70"/>
      <c r="J8785" s="70"/>
      <c r="K8785" s="110" t="str">
        <f>IF(H8785="","",IF($C$29="간이법","",FPR(H8785,I8785,J8785)))</f>
        <v/>
      </c>
      <c r="L8785" s="111" t="str">
        <f>IF(H8785="","",IF($C$29="상세법",FPV(H8785,K8785),IF(H8785="EI",4,IF(H8785="EO",5.2,IF(H8785="EQ",3.9,IF(H8785="ILF",7.5,IF(H8785="EIF",5.4)))))))</f>
        <v/>
      </c>
      <c r="M8785" s="112" t="str">
        <f t="shared" si="140"/>
        <v/>
      </c>
      <c r="N8785" s="113"/>
    </row>
    <row r="8786" spans="2:14">
      <c r="B8786" s="105"/>
      <c r="C8786" s="106"/>
      <c r="D8786" s="107"/>
      <c r="E8786" s="65"/>
      <c r="F8786" s="64"/>
      <c r="G8786" s="64"/>
      <c r="H8786" s="64"/>
      <c r="I8786" s="70"/>
      <c r="J8786" s="70"/>
      <c r="K8786" s="110" t="str">
        <f>IF(H8786="","",IF($C$29="간이법","",FPR(H8786,I8786,J8786)))</f>
        <v/>
      </c>
      <c r="L8786" s="111" t="str">
        <f>IF(H8786="","",IF($C$29="상세법",FPV(H8786,K8786),IF(H8786="EI",4,IF(H8786="EO",5.2,IF(H8786="EQ",3.9,IF(H8786="ILF",7.5,IF(H8786="EIF",5.4)))))))</f>
        <v/>
      </c>
      <c r="M8786" s="112" t="str">
        <f t="shared" si="140"/>
        <v/>
      </c>
      <c r="N8786" s="113"/>
    </row>
    <row r="8787" spans="2:14">
      <c r="B8787" s="105"/>
      <c r="C8787" s="106"/>
      <c r="D8787" s="107"/>
      <c r="E8787" s="65"/>
      <c r="F8787" s="64"/>
      <c r="G8787" s="64"/>
      <c r="H8787" s="64"/>
      <c r="I8787" s="70"/>
      <c r="J8787" s="70"/>
      <c r="K8787" s="110" t="str">
        <f>IF(H8787="","",IF($C$29="간이법","",FPR(H8787,I8787,J8787)))</f>
        <v/>
      </c>
      <c r="L8787" s="111" t="str">
        <f>IF(H8787="","",IF($C$29="상세법",FPV(H8787,K8787),IF(H8787="EI",4,IF(H8787="EO",5.2,IF(H8787="EQ",3.9,IF(H8787="ILF",7.5,IF(H8787="EIF",5.4)))))))</f>
        <v/>
      </c>
      <c r="M8787" s="112" t="str">
        <f t="shared" si="140"/>
        <v/>
      </c>
      <c r="N8787" s="113"/>
    </row>
    <row r="8788" spans="2:14">
      <c r="B8788" s="105"/>
      <c r="C8788" s="106"/>
      <c r="D8788" s="107"/>
      <c r="E8788" s="65"/>
      <c r="F8788" s="64"/>
      <c r="G8788" s="64"/>
      <c r="H8788" s="64"/>
      <c r="I8788" s="70"/>
      <c r="J8788" s="70"/>
      <c r="K8788" s="110" t="str">
        <f>IF(H8788="","",IF($C$29="간이법","",FPR(H8788,I8788,J8788)))</f>
        <v/>
      </c>
      <c r="L8788" s="111" t="str">
        <f>IF(H8788="","",IF($C$29="상세법",FPV(H8788,K8788),IF(H8788="EI",4,IF(H8788="EO",5.2,IF(H8788="EQ",3.9,IF(H8788="ILF",7.5,IF(H8788="EIF",5.4)))))))</f>
        <v/>
      </c>
      <c r="M8788" s="112" t="str">
        <f t="shared" si="140"/>
        <v/>
      </c>
      <c r="N8788" s="113"/>
    </row>
    <row r="8789" spans="2:14">
      <c r="B8789" s="105"/>
      <c r="C8789" s="106"/>
      <c r="D8789" s="107"/>
      <c r="E8789" s="65"/>
      <c r="F8789" s="64"/>
      <c r="G8789" s="64"/>
      <c r="H8789" s="64"/>
      <c r="I8789" s="70"/>
      <c r="J8789" s="70"/>
      <c r="K8789" s="110" t="str">
        <f>IF(H8789="","",IF($C$29="간이법","",FPR(H8789,I8789,J8789)))</f>
        <v/>
      </c>
      <c r="L8789" s="111" t="str">
        <f>IF(H8789="","",IF($C$29="상세법",FPV(H8789,K8789),IF(H8789="EI",4,IF(H8789="EO",5.2,IF(H8789="EQ",3.9,IF(H8789="ILF",7.5,IF(H8789="EIF",5.4)))))))</f>
        <v/>
      </c>
      <c r="M8789" s="112" t="str">
        <f t="shared" si="140"/>
        <v/>
      </c>
      <c r="N8789" s="113"/>
    </row>
    <row r="8790" spans="2:14">
      <c r="B8790" s="105"/>
      <c r="C8790" s="106"/>
      <c r="D8790" s="107"/>
      <c r="E8790" s="65"/>
      <c r="F8790" s="64"/>
      <c r="G8790" s="64"/>
      <c r="H8790" s="64"/>
      <c r="I8790" s="70"/>
      <c r="J8790" s="70"/>
      <c r="K8790" s="110" t="str">
        <f>IF(H8790="","",IF($C$29="간이법","",FPR(H8790,I8790,J8790)))</f>
        <v/>
      </c>
      <c r="L8790" s="111" t="str">
        <f>IF(H8790="","",IF($C$29="상세법",FPV(H8790,K8790),IF(H8790="EI",4,IF(H8790="EO",5.2,IF(H8790="EQ",3.9,IF(H8790="ILF",7.5,IF(H8790="EIF",5.4)))))))</f>
        <v/>
      </c>
      <c r="M8790" s="112" t="str">
        <f t="shared" si="140"/>
        <v/>
      </c>
      <c r="N8790" s="113"/>
    </row>
    <row r="8791" spans="2:14">
      <c r="B8791" s="105"/>
      <c r="C8791" s="106"/>
      <c r="D8791" s="107"/>
      <c r="E8791" s="65"/>
      <c r="F8791" s="64"/>
      <c r="G8791" s="64"/>
      <c r="H8791" s="64"/>
      <c r="I8791" s="70"/>
      <c r="J8791" s="70"/>
      <c r="K8791" s="110" t="str">
        <f>IF(H8791="","",IF($C$29="간이법","",FPR(H8791,I8791,J8791)))</f>
        <v/>
      </c>
      <c r="L8791" s="111" t="str">
        <f>IF(H8791="","",IF($C$29="상세법",FPV(H8791,K8791),IF(H8791="EI",4,IF(H8791="EO",5.2,IF(H8791="EQ",3.9,IF(H8791="ILF",7.5,IF(H8791="EIF",5.4)))))))</f>
        <v/>
      </c>
      <c r="M8791" s="112" t="str">
        <f t="shared" si="140"/>
        <v/>
      </c>
      <c r="N8791" s="113"/>
    </row>
    <row r="8792" spans="2:14">
      <c r="B8792" s="105"/>
      <c r="C8792" s="106"/>
      <c r="D8792" s="107"/>
      <c r="E8792" s="65"/>
      <c r="F8792" s="64"/>
      <c r="G8792" s="64"/>
      <c r="H8792" s="64"/>
      <c r="I8792" s="70"/>
      <c r="J8792" s="70"/>
      <c r="K8792" s="110" t="str">
        <f>IF(H8792="","",IF($C$29="간이법","",FPR(H8792,I8792,J8792)))</f>
        <v/>
      </c>
      <c r="L8792" s="111" t="str">
        <f>IF(H8792="","",IF($C$29="상세법",FPV(H8792,K8792),IF(H8792="EI",4,IF(H8792="EO",5.2,IF(H8792="EQ",3.9,IF(H8792="ILF",7.5,IF(H8792="EIF",5.4)))))))</f>
        <v/>
      </c>
      <c r="M8792" s="112" t="str">
        <f t="shared" si="140"/>
        <v/>
      </c>
      <c r="N8792" s="113"/>
    </row>
    <row r="8793" spans="2:14">
      <c r="B8793" s="105"/>
      <c r="C8793" s="106"/>
      <c r="D8793" s="107"/>
      <c r="E8793" s="65"/>
      <c r="F8793" s="64"/>
      <c r="G8793" s="64"/>
      <c r="H8793" s="64"/>
      <c r="I8793" s="70"/>
      <c r="J8793" s="70"/>
      <c r="K8793" s="110" t="str">
        <f>IF(H8793="","",IF($C$29="간이법","",FPR(H8793,I8793,J8793)))</f>
        <v/>
      </c>
      <c r="L8793" s="111" t="str">
        <f>IF(H8793="","",IF($C$29="상세법",FPV(H8793,K8793),IF(H8793="EI",4,IF(H8793="EO",5.2,IF(H8793="EQ",3.9,IF(H8793="ILF",7.5,IF(H8793="EIF",5.4)))))))</f>
        <v/>
      </c>
      <c r="M8793" s="112" t="str">
        <f t="shared" si="140"/>
        <v/>
      </c>
      <c r="N8793" s="113"/>
    </row>
    <row r="8794" spans="2:14">
      <c r="B8794" s="105"/>
      <c r="C8794" s="106"/>
      <c r="D8794" s="107"/>
      <c r="E8794" s="65"/>
      <c r="F8794" s="64"/>
      <c r="G8794" s="64"/>
      <c r="H8794" s="64"/>
      <c r="I8794" s="70"/>
      <c r="J8794" s="70"/>
      <c r="K8794" s="110" t="str">
        <f>IF(H8794="","",IF($C$29="간이법","",FPR(H8794,I8794,J8794)))</f>
        <v/>
      </c>
      <c r="L8794" s="111" t="str">
        <f>IF(H8794="","",IF($C$29="상세법",FPV(H8794,K8794),IF(H8794="EI",4,IF(H8794="EO",5.2,IF(H8794="EQ",3.9,IF(H8794="ILF",7.5,IF(H8794="EIF",5.4)))))))</f>
        <v/>
      </c>
      <c r="M8794" s="112" t="str">
        <f t="shared" si="140"/>
        <v/>
      </c>
      <c r="N8794" s="113"/>
    </row>
    <row r="8795" spans="2:14">
      <c r="B8795" s="105"/>
      <c r="C8795" s="106"/>
      <c r="D8795" s="107"/>
      <c r="E8795" s="65"/>
      <c r="F8795" s="64"/>
      <c r="G8795" s="64"/>
      <c r="H8795" s="64"/>
      <c r="I8795" s="70"/>
      <c r="J8795" s="70"/>
      <c r="K8795" s="110" t="str">
        <f>IF(H8795="","",IF($C$29="간이법","",FPR(H8795,I8795,J8795)))</f>
        <v/>
      </c>
      <c r="L8795" s="111" t="str">
        <f>IF(H8795="","",IF($C$29="상세법",FPV(H8795,K8795),IF(H8795="EI",4,IF(H8795="EO",5.2,IF(H8795="EQ",3.9,IF(H8795="ILF",7.5,IF(H8795="EIF",5.4)))))))</f>
        <v/>
      </c>
      <c r="M8795" s="112" t="str">
        <f t="shared" si="140"/>
        <v/>
      </c>
      <c r="N8795" s="113"/>
    </row>
    <row r="8796" spans="2:14">
      <c r="B8796" s="105"/>
      <c r="C8796" s="106"/>
      <c r="D8796" s="107"/>
      <c r="E8796" s="65"/>
      <c r="F8796" s="64"/>
      <c r="G8796" s="64"/>
      <c r="H8796" s="64"/>
      <c r="I8796" s="70"/>
      <c r="J8796" s="70"/>
      <c r="K8796" s="110" t="str">
        <f>IF(H8796="","",IF($C$29="간이법","",FPR(H8796,I8796,J8796)))</f>
        <v/>
      </c>
      <c r="L8796" s="111" t="str">
        <f>IF(H8796="","",IF($C$29="상세법",FPV(H8796,K8796),IF(H8796="EI",4,IF(H8796="EO",5.2,IF(H8796="EQ",3.9,IF(H8796="ILF",7.5,IF(H8796="EIF",5.4)))))))</f>
        <v/>
      </c>
      <c r="M8796" s="112" t="str">
        <f t="shared" si="140"/>
        <v/>
      </c>
      <c r="N8796" s="113"/>
    </row>
    <row r="8797" spans="2:14">
      <c r="B8797" s="105"/>
      <c r="C8797" s="106"/>
      <c r="D8797" s="107"/>
      <c r="E8797" s="65"/>
      <c r="F8797" s="64"/>
      <c r="G8797" s="64"/>
      <c r="H8797" s="64"/>
      <c r="I8797" s="70"/>
      <c r="J8797" s="70"/>
      <c r="K8797" s="110" t="str">
        <f>IF(H8797="","",IF($C$29="간이법","",FPR(H8797,I8797,J8797)))</f>
        <v/>
      </c>
      <c r="L8797" s="111" t="str">
        <f>IF(H8797="","",IF($C$29="상세법",FPV(H8797,K8797),IF(H8797="EI",4,IF(H8797="EO",5.2,IF(H8797="EQ",3.9,IF(H8797="ILF",7.5,IF(H8797="EIF",5.4)))))))</f>
        <v/>
      </c>
      <c r="M8797" s="112" t="str">
        <f t="shared" si="140"/>
        <v/>
      </c>
      <c r="N8797" s="113"/>
    </row>
    <row r="8798" spans="2:14">
      <c r="B8798" s="105"/>
      <c r="C8798" s="106"/>
      <c r="D8798" s="107"/>
      <c r="E8798" s="65"/>
      <c r="F8798" s="64"/>
      <c r="G8798" s="64"/>
      <c r="H8798" s="64"/>
      <c r="I8798" s="70"/>
      <c r="J8798" s="70"/>
      <c r="K8798" s="110" t="str">
        <f>IF(H8798="","",IF($C$29="간이법","",FPR(H8798,I8798,J8798)))</f>
        <v/>
      </c>
      <c r="L8798" s="111" t="str">
        <f>IF(H8798="","",IF($C$29="상세법",FPV(H8798,K8798),IF(H8798="EI",4,IF(H8798="EO",5.2,IF(H8798="EQ",3.9,IF(H8798="ILF",7.5,IF(H8798="EIF",5.4)))))))</f>
        <v/>
      </c>
      <c r="M8798" s="112" t="str">
        <f t="shared" si="140"/>
        <v/>
      </c>
      <c r="N8798" s="113"/>
    </row>
    <row r="8799" spans="2:14">
      <c r="B8799" s="105"/>
      <c r="C8799" s="106"/>
      <c r="D8799" s="107"/>
      <c r="E8799" s="65"/>
      <c r="F8799" s="64"/>
      <c r="G8799" s="64"/>
      <c r="H8799" s="64"/>
      <c r="I8799" s="70"/>
      <c r="J8799" s="70"/>
      <c r="K8799" s="110" t="str">
        <f>IF(H8799="","",IF($C$29="간이법","",FPR(H8799,I8799,J8799)))</f>
        <v/>
      </c>
      <c r="L8799" s="111" t="str">
        <f>IF(H8799="","",IF($C$29="상세법",FPV(H8799,K8799),IF(H8799="EI",4,IF(H8799="EO",5.2,IF(H8799="EQ",3.9,IF(H8799="ILF",7.5,IF(H8799="EIF",5.4)))))))</f>
        <v/>
      </c>
      <c r="M8799" s="112" t="str">
        <f t="shared" si="140"/>
        <v/>
      </c>
      <c r="N8799" s="113"/>
    </row>
    <row r="8800" spans="2:14">
      <c r="B8800" s="105"/>
      <c r="C8800" s="106"/>
      <c r="D8800" s="107"/>
      <c r="E8800" s="65"/>
      <c r="F8800" s="64"/>
      <c r="G8800" s="64"/>
      <c r="H8800" s="64"/>
      <c r="I8800" s="70"/>
      <c r="J8800" s="70"/>
      <c r="K8800" s="110" t="str">
        <f>IF(H8800="","",IF($C$29="간이법","",FPR(H8800,I8800,J8800)))</f>
        <v/>
      </c>
      <c r="L8800" s="111" t="str">
        <f>IF(H8800="","",IF($C$29="상세법",FPV(H8800,K8800),IF(H8800="EI",4,IF(H8800="EO",5.2,IF(H8800="EQ",3.9,IF(H8800="ILF",7.5,IF(H8800="EIF",5.4)))))))</f>
        <v/>
      </c>
      <c r="M8800" s="112" t="str">
        <f t="shared" si="140"/>
        <v/>
      </c>
      <c r="N8800" s="113"/>
    </row>
    <row r="8801" spans="2:14">
      <c r="B8801" s="105"/>
      <c r="C8801" s="106"/>
      <c r="D8801" s="107"/>
      <c r="E8801" s="65"/>
      <c r="F8801" s="64"/>
      <c r="G8801" s="64"/>
      <c r="H8801" s="64"/>
      <c r="I8801" s="70"/>
      <c r="J8801" s="70"/>
      <c r="K8801" s="110" t="str">
        <f>IF(H8801="","",IF($C$29="간이법","",FPR(H8801,I8801,J8801)))</f>
        <v/>
      </c>
      <c r="L8801" s="111" t="str">
        <f>IF(H8801="","",IF($C$29="상세법",FPV(H8801,K8801),IF(H8801="EI",4,IF(H8801="EO",5.2,IF(H8801="EQ",3.9,IF(H8801="ILF",7.5,IF(H8801="EIF",5.4)))))))</f>
        <v/>
      </c>
      <c r="M8801" s="112" t="str">
        <f t="shared" si="140"/>
        <v/>
      </c>
      <c r="N8801" s="113"/>
    </row>
    <row r="8802" spans="2:14">
      <c r="B8802" s="105"/>
      <c r="C8802" s="106"/>
      <c r="D8802" s="107"/>
      <c r="E8802" s="65"/>
      <c r="F8802" s="64"/>
      <c r="G8802" s="64"/>
      <c r="H8802" s="64"/>
      <c r="I8802" s="70"/>
      <c r="J8802" s="70"/>
      <c r="K8802" s="110" t="str">
        <f>IF(H8802="","",IF($C$29="간이법","",FPR(H8802,I8802,J8802)))</f>
        <v/>
      </c>
      <c r="L8802" s="111" t="str">
        <f>IF(H8802="","",IF($C$29="상세법",FPV(H8802,K8802),IF(H8802="EI",4,IF(H8802="EO",5.2,IF(H8802="EQ",3.9,IF(H8802="ILF",7.5,IF(H8802="EIF",5.4)))))))</f>
        <v/>
      </c>
      <c r="M8802" s="112" t="str">
        <f t="shared" si="140"/>
        <v/>
      </c>
      <c r="N8802" s="113"/>
    </row>
    <row r="8803" spans="2:14">
      <c r="B8803" s="105"/>
      <c r="C8803" s="106"/>
      <c r="D8803" s="107"/>
      <c r="E8803" s="65"/>
      <c r="F8803" s="64"/>
      <c r="G8803" s="64"/>
      <c r="H8803" s="64"/>
      <c r="I8803" s="70"/>
      <c r="J8803" s="70"/>
      <c r="K8803" s="110" t="str">
        <f>IF(H8803="","",IF($C$29="간이법","",FPR(H8803,I8803,J8803)))</f>
        <v/>
      </c>
      <c r="L8803" s="111" t="str">
        <f>IF(H8803="","",IF($C$29="상세법",FPV(H8803,K8803),IF(H8803="EI",4,IF(H8803="EO",5.2,IF(H8803="EQ",3.9,IF(H8803="ILF",7.5,IF(H8803="EIF",5.4)))))))</f>
        <v/>
      </c>
      <c r="M8803" s="112" t="str">
        <f t="shared" si="140"/>
        <v/>
      </c>
      <c r="N8803" s="113"/>
    </row>
    <row r="8804" spans="2:14">
      <c r="B8804" s="105"/>
      <c r="C8804" s="106"/>
      <c r="D8804" s="107"/>
      <c r="E8804" s="65"/>
      <c r="F8804" s="64"/>
      <c r="G8804" s="64"/>
      <c r="H8804" s="64"/>
      <c r="I8804" s="70"/>
      <c r="J8804" s="70"/>
      <c r="K8804" s="110" t="str">
        <f>IF(H8804="","",IF($C$29="간이법","",FPR(H8804,I8804,J8804)))</f>
        <v/>
      </c>
      <c r="L8804" s="111" t="str">
        <f>IF(H8804="","",IF($C$29="상세법",FPV(H8804,K8804),IF(H8804="EI",4,IF(H8804="EO",5.2,IF(H8804="EQ",3.9,IF(H8804="ILF",7.5,IF(H8804="EIF",5.4)))))))</f>
        <v/>
      </c>
      <c r="M8804" s="112" t="str">
        <f t="shared" si="140"/>
        <v/>
      </c>
      <c r="N8804" s="113"/>
    </row>
    <row r="8805" spans="2:14">
      <c r="B8805" s="105"/>
      <c r="C8805" s="106"/>
      <c r="D8805" s="107"/>
      <c r="E8805" s="65"/>
      <c r="F8805" s="64"/>
      <c r="G8805" s="64"/>
      <c r="H8805" s="64"/>
      <c r="I8805" s="70"/>
      <c r="J8805" s="70"/>
      <c r="K8805" s="110" t="str">
        <f>IF(H8805="","",IF($C$29="간이법","",FPR(H8805,I8805,J8805)))</f>
        <v/>
      </c>
      <c r="L8805" s="111" t="str">
        <f>IF(H8805="","",IF($C$29="상세법",FPV(H8805,K8805),IF(H8805="EI",4,IF(H8805="EO",5.2,IF(H8805="EQ",3.9,IF(H8805="ILF",7.5,IF(H8805="EIF",5.4)))))))</f>
        <v/>
      </c>
      <c r="M8805" s="112" t="str">
        <f t="shared" si="140"/>
        <v/>
      </c>
      <c r="N8805" s="113"/>
    </row>
    <row r="8806" spans="2:14">
      <c r="B8806" s="105"/>
      <c r="C8806" s="106"/>
      <c r="D8806" s="107"/>
      <c r="E8806" s="65"/>
      <c r="F8806" s="64"/>
      <c r="G8806" s="64"/>
      <c r="H8806" s="64"/>
      <c r="I8806" s="70"/>
      <c r="J8806" s="70"/>
      <c r="K8806" s="110" t="str">
        <f>IF(H8806="","",IF($C$29="간이법","",FPR(H8806,I8806,J8806)))</f>
        <v/>
      </c>
      <c r="L8806" s="111" t="str">
        <f>IF(H8806="","",IF($C$29="상세법",FPV(H8806,K8806),IF(H8806="EI",4,IF(H8806="EO",5.2,IF(H8806="EQ",3.9,IF(H8806="ILF",7.5,IF(H8806="EIF",5.4)))))))</f>
        <v/>
      </c>
      <c r="M8806" s="112" t="str">
        <f t="shared" si="140"/>
        <v/>
      </c>
      <c r="N8806" s="113"/>
    </row>
    <row r="8807" spans="2:14">
      <c r="B8807" s="105"/>
      <c r="C8807" s="106"/>
      <c r="D8807" s="107"/>
      <c r="E8807" s="65"/>
      <c r="F8807" s="64"/>
      <c r="G8807" s="64"/>
      <c r="H8807" s="64"/>
      <c r="I8807" s="70"/>
      <c r="J8807" s="70"/>
      <c r="K8807" s="110" t="str">
        <f>IF(H8807="","",IF($C$29="간이법","",FPR(H8807,I8807,J8807)))</f>
        <v/>
      </c>
      <c r="L8807" s="111" t="str">
        <f>IF(H8807="","",IF($C$29="상세법",FPV(H8807,K8807),IF(H8807="EI",4,IF(H8807="EO",5.2,IF(H8807="EQ",3.9,IF(H8807="ILF",7.5,IF(H8807="EIF",5.4)))))))</f>
        <v/>
      </c>
      <c r="M8807" s="112" t="str">
        <f t="shared" si="140"/>
        <v/>
      </c>
      <c r="N8807" s="113"/>
    </row>
    <row r="8808" spans="2:14">
      <c r="B8808" s="105"/>
      <c r="C8808" s="106"/>
      <c r="D8808" s="107"/>
      <c r="E8808" s="65"/>
      <c r="F8808" s="64"/>
      <c r="G8808" s="64"/>
      <c r="H8808" s="64"/>
      <c r="I8808" s="70"/>
      <c r="J8808" s="70"/>
      <c r="K8808" s="110" t="str">
        <f>IF(H8808="","",IF($C$29="간이법","",FPR(H8808,I8808,J8808)))</f>
        <v/>
      </c>
      <c r="L8808" s="111" t="str">
        <f>IF(H8808="","",IF($C$29="상세법",FPV(H8808,K8808),IF(H8808="EI",4,IF(H8808="EO",5.2,IF(H8808="EQ",3.9,IF(H8808="ILF",7.5,IF(H8808="EIF",5.4)))))))</f>
        <v/>
      </c>
      <c r="M8808" s="112" t="str">
        <f t="shared" si="140"/>
        <v/>
      </c>
      <c r="N8808" s="113"/>
    </row>
    <row r="8809" spans="2:14">
      <c r="B8809" s="105"/>
      <c r="C8809" s="106"/>
      <c r="D8809" s="107"/>
      <c r="E8809" s="65"/>
      <c r="F8809" s="64"/>
      <c r="G8809" s="64"/>
      <c r="H8809" s="64"/>
      <c r="I8809" s="70"/>
      <c r="J8809" s="70"/>
      <c r="K8809" s="110" t="str">
        <f>IF(H8809="","",IF($C$29="간이법","",FPR(H8809,I8809,J8809)))</f>
        <v/>
      </c>
      <c r="L8809" s="111" t="str">
        <f>IF(H8809="","",IF($C$29="상세법",FPV(H8809,K8809),IF(H8809="EI",4,IF(H8809="EO",5.2,IF(H8809="EQ",3.9,IF(H8809="ILF",7.5,IF(H8809="EIF",5.4)))))))</f>
        <v/>
      </c>
      <c r="M8809" s="112" t="str">
        <f t="shared" si="140"/>
        <v/>
      </c>
      <c r="N8809" s="113"/>
    </row>
    <row r="8810" spans="2:14">
      <c r="B8810" s="105"/>
      <c r="C8810" s="106"/>
      <c r="D8810" s="107"/>
      <c r="E8810" s="65"/>
      <c r="F8810" s="64"/>
      <c r="G8810" s="64"/>
      <c r="H8810" s="64"/>
      <c r="I8810" s="70"/>
      <c r="J8810" s="70"/>
      <c r="K8810" s="110" t="str">
        <f>IF(H8810="","",IF($C$29="간이법","",FPR(H8810,I8810,J8810)))</f>
        <v/>
      </c>
      <c r="L8810" s="111" t="str">
        <f>IF(H8810="","",IF($C$29="상세법",FPV(H8810,K8810),IF(H8810="EI",4,IF(H8810="EO",5.2,IF(H8810="EQ",3.9,IF(H8810="ILF",7.5,IF(H8810="EIF",5.4)))))))</f>
        <v/>
      </c>
      <c r="M8810" s="112" t="str">
        <f t="shared" si="140"/>
        <v/>
      </c>
      <c r="N8810" s="113"/>
    </row>
    <row r="8811" spans="2:14">
      <c r="B8811" s="105"/>
      <c r="C8811" s="106"/>
      <c r="D8811" s="107"/>
      <c r="E8811" s="65"/>
      <c r="F8811" s="64"/>
      <c r="G8811" s="64"/>
      <c r="H8811" s="64"/>
      <c r="I8811" s="70"/>
      <c r="J8811" s="70"/>
      <c r="K8811" s="110" t="str">
        <f>IF(H8811="","",IF($C$29="간이법","",FPR(H8811,I8811,J8811)))</f>
        <v/>
      </c>
      <c r="L8811" s="111" t="str">
        <f>IF(H8811="","",IF($C$29="상세법",FPV(H8811,K8811),IF(H8811="EI",4,IF(H8811="EO",5.2,IF(H8811="EQ",3.9,IF(H8811="ILF",7.5,IF(H8811="EIF",5.4)))))))</f>
        <v/>
      </c>
      <c r="M8811" s="112" t="str">
        <f t="shared" si="140"/>
        <v/>
      </c>
      <c r="N8811" s="113"/>
    </row>
    <row r="8812" spans="2:14">
      <c r="B8812" s="105"/>
      <c r="C8812" s="106"/>
      <c r="D8812" s="107"/>
      <c r="E8812" s="65"/>
      <c r="F8812" s="64"/>
      <c r="G8812" s="64"/>
      <c r="H8812" s="64"/>
      <c r="I8812" s="70"/>
      <c r="J8812" s="70"/>
      <c r="K8812" s="110" t="str">
        <f>IF(H8812="","",IF($C$29="간이법","",FPR(H8812,I8812,J8812)))</f>
        <v/>
      </c>
      <c r="L8812" s="111" t="str">
        <f>IF(H8812="","",IF($C$29="상세법",FPV(H8812,K8812),IF(H8812="EI",4,IF(H8812="EO",5.2,IF(H8812="EQ",3.9,IF(H8812="ILF",7.5,IF(H8812="EIF",5.4)))))))</f>
        <v/>
      </c>
      <c r="M8812" s="112" t="str">
        <f t="shared" si="140"/>
        <v/>
      </c>
      <c r="N8812" s="113"/>
    </row>
    <row r="8813" spans="2:14">
      <c r="B8813" s="105"/>
      <c r="C8813" s="106"/>
      <c r="D8813" s="107"/>
      <c r="E8813" s="65"/>
      <c r="F8813" s="64"/>
      <c r="G8813" s="64"/>
      <c r="H8813" s="64"/>
      <c r="I8813" s="70"/>
      <c r="J8813" s="70"/>
      <c r="K8813" s="110" t="str">
        <f>IF(H8813="","",IF($C$29="간이법","",FPR(H8813,I8813,J8813)))</f>
        <v/>
      </c>
      <c r="L8813" s="111" t="str">
        <f>IF(H8813="","",IF($C$29="상세법",FPV(H8813,K8813),IF(H8813="EI",4,IF(H8813="EO",5.2,IF(H8813="EQ",3.9,IF(H8813="ILF",7.5,IF(H8813="EIF",5.4)))))))</f>
        <v/>
      </c>
      <c r="M8813" s="112" t="str">
        <f t="shared" si="140"/>
        <v/>
      </c>
      <c r="N8813" s="113"/>
    </row>
    <row r="8814" spans="2:14">
      <c r="B8814" s="105"/>
      <c r="C8814" s="106"/>
      <c r="D8814" s="107"/>
      <c r="E8814" s="65"/>
      <c r="F8814" s="64"/>
      <c r="G8814" s="64"/>
      <c r="H8814" s="64"/>
      <c r="I8814" s="70"/>
      <c r="J8814" s="70"/>
      <c r="K8814" s="110" t="str">
        <f>IF(H8814="","",IF($C$29="간이법","",FPR(H8814,I8814,J8814)))</f>
        <v/>
      </c>
      <c r="L8814" s="111" t="str">
        <f>IF(H8814="","",IF($C$29="상세법",FPV(H8814,K8814),IF(H8814="EI",4,IF(H8814="EO",5.2,IF(H8814="EQ",3.9,IF(H8814="ILF",7.5,IF(H8814="EIF",5.4)))))))</f>
        <v/>
      </c>
      <c r="M8814" s="112" t="str">
        <f t="shared" si="140"/>
        <v/>
      </c>
      <c r="N8814" s="113"/>
    </row>
    <row r="8815" spans="2:14">
      <c r="B8815" s="105"/>
      <c r="C8815" s="106"/>
      <c r="D8815" s="107"/>
      <c r="E8815" s="65"/>
      <c r="F8815" s="64"/>
      <c r="G8815" s="64"/>
      <c r="H8815" s="64"/>
      <c r="I8815" s="70"/>
      <c r="J8815" s="70"/>
      <c r="K8815" s="110" t="str">
        <f>IF(H8815="","",IF($C$29="간이법","",FPR(H8815,I8815,J8815)))</f>
        <v/>
      </c>
      <c r="L8815" s="111" t="str">
        <f>IF(H8815="","",IF($C$29="상세법",FPV(H8815,K8815),IF(H8815="EI",4,IF(H8815="EO",5.2,IF(H8815="EQ",3.9,IF(H8815="ILF",7.5,IF(H8815="EIF",5.4)))))))</f>
        <v/>
      </c>
      <c r="M8815" s="112" t="str">
        <f t="shared" si="140"/>
        <v/>
      </c>
      <c r="N8815" s="113"/>
    </row>
    <row r="8816" spans="2:14">
      <c r="B8816" s="105"/>
      <c r="C8816" s="106"/>
      <c r="D8816" s="107"/>
      <c r="E8816" s="65"/>
      <c r="F8816" s="64"/>
      <c r="G8816" s="64"/>
      <c r="H8816" s="64"/>
      <c r="I8816" s="70"/>
      <c r="J8816" s="70"/>
      <c r="K8816" s="110" t="str">
        <f>IF(H8816="","",IF($C$29="간이법","",FPR(H8816,I8816,J8816)))</f>
        <v/>
      </c>
      <c r="L8816" s="111" t="str">
        <f>IF(H8816="","",IF($C$29="상세법",FPV(H8816,K8816),IF(H8816="EI",4,IF(H8816="EO",5.2,IF(H8816="EQ",3.9,IF(H8816="ILF",7.5,IF(H8816="EIF",5.4)))))))</f>
        <v/>
      </c>
      <c r="M8816" s="112" t="str">
        <f t="shared" si="140"/>
        <v/>
      </c>
      <c r="N8816" s="113"/>
    </row>
    <row r="8817" spans="2:14">
      <c r="B8817" s="105"/>
      <c r="C8817" s="106"/>
      <c r="D8817" s="107"/>
      <c r="E8817" s="65"/>
      <c r="F8817" s="64"/>
      <c r="G8817" s="64"/>
      <c r="H8817" s="64"/>
      <c r="I8817" s="70"/>
      <c r="J8817" s="70"/>
      <c r="K8817" s="110" t="str">
        <f>IF(H8817="","",IF($C$29="간이법","",FPR(H8817,I8817,J8817)))</f>
        <v/>
      </c>
      <c r="L8817" s="111" t="str">
        <f>IF(H8817="","",IF($C$29="상세법",FPV(H8817,K8817),IF(H8817="EI",4,IF(H8817="EO",5.2,IF(H8817="EQ",3.9,IF(H8817="ILF",7.5,IF(H8817="EIF",5.4)))))))</f>
        <v/>
      </c>
      <c r="M8817" s="112" t="str">
        <f t="shared" si="140"/>
        <v/>
      </c>
      <c r="N8817" s="113"/>
    </row>
    <row r="8818" spans="2:14">
      <c r="B8818" s="105"/>
      <c r="C8818" s="106"/>
      <c r="D8818" s="107"/>
      <c r="E8818" s="65"/>
      <c r="F8818" s="64"/>
      <c r="G8818" s="64"/>
      <c r="H8818" s="64"/>
      <c r="I8818" s="70"/>
      <c r="J8818" s="70"/>
      <c r="K8818" s="110" t="str">
        <f>IF(H8818="","",IF($C$29="간이법","",FPR(H8818,I8818,J8818)))</f>
        <v/>
      </c>
      <c r="L8818" s="111" t="str">
        <f>IF(H8818="","",IF($C$29="상세법",FPV(H8818,K8818),IF(H8818="EI",4,IF(H8818="EO",5.2,IF(H8818="EQ",3.9,IF(H8818="ILF",7.5,IF(H8818="EIF",5.4)))))))</f>
        <v/>
      </c>
      <c r="M8818" s="112" t="str">
        <f t="shared" si="140"/>
        <v/>
      </c>
      <c r="N8818" s="113"/>
    </row>
    <row r="8819" spans="2:14">
      <c r="B8819" s="105"/>
      <c r="C8819" s="106"/>
      <c r="D8819" s="107"/>
      <c r="E8819" s="65"/>
      <c r="F8819" s="64"/>
      <c r="G8819" s="64"/>
      <c r="H8819" s="64"/>
      <c r="I8819" s="70"/>
      <c r="J8819" s="70"/>
      <c r="K8819" s="110" t="str">
        <f>IF(H8819="","",IF($C$29="간이법","",FPR(H8819,I8819,J8819)))</f>
        <v/>
      </c>
      <c r="L8819" s="111" t="str">
        <f>IF(H8819="","",IF($C$29="상세법",FPV(H8819,K8819),IF(H8819="EI",4,IF(H8819="EO",5.2,IF(H8819="EQ",3.9,IF(H8819="ILF",7.5,IF(H8819="EIF",5.4)))))))</f>
        <v/>
      </c>
      <c r="M8819" s="112" t="str">
        <f t="shared" si="140"/>
        <v/>
      </c>
      <c r="N8819" s="113"/>
    </row>
    <row r="8820" spans="2:14">
      <c r="B8820" s="105"/>
      <c r="C8820" s="106"/>
      <c r="D8820" s="107"/>
      <c r="E8820" s="65"/>
      <c r="F8820" s="64"/>
      <c r="G8820" s="64"/>
      <c r="H8820" s="64"/>
      <c r="I8820" s="70"/>
      <c r="J8820" s="70"/>
      <c r="K8820" s="110" t="str">
        <f>IF(H8820="","",IF($C$29="간이법","",FPR(H8820,I8820,J8820)))</f>
        <v/>
      </c>
      <c r="L8820" s="111" t="str">
        <f>IF(H8820="","",IF($C$29="상세법",FPV(H8820,K8820),IF(H8820="EI",4,IF(H8820="EO",5.2,IF(H8820="EQ",3.9,IF(H8820="ILF",7.5,IF(H8820="EIF",5.4)))))))</f>
        <v/>
      </c>
      <c r="M8820" s="112" t="str">
        <f t="shared" si="140"/>
        <v/>
      </c>
      <c r="N8820" s="113"/>
    </row>
    <row r="8821" spans="2:14">
      <c r="B8821" s="105"/>
      <c r="C8821" s="106"/>
      <c r="D8821" s="107"/>
      <c r="E8821" s="65"/>
      <c r="F8821" s="64"/>
      <c r="G8821" s="64"/>
      <c r="H8821" s="64"/>
      <c r="I8821" s="70"/>
      <c r="J8821" s="70"/>
      <c r="K8821" s="110" t="str">
        <f>IF(H8821="","",IF($C$29="간이법","",FPR(H8821,I8821,J8821)))</f>
        <v/>
      </c>
      <c r="L8821" s="111" t="str">
        <f>IF(H8821="","",IF($C$29="상세법",FPV(H8821,K8821),IF(H8821="EI",4,IF(H8821="EO",5.2,IF(H8821="EQ",3.9,IF(H8821="ILF",7.5,IF(H8821="EIF",5.4)))))))</f>
        <v/>
      </c>
      <c r="M8821" s="112" t="str">
        <f t="shared" si="140"/>
        <v/>
      </c>
      <c r="N8821" s="113"/>
    </row>
    <row r="8822" spans="2:14">
      <c r="B8822" s="105"/>
      <c r="C8822" s="106"/>
      <c r="D8822" s="107"/>
      <c r="E8822" s="65"/>
      <c r="F8822" s="64"/>
      <c r="G8822" s="64"/>
      <c r="H8822" s="64"/>
      <c r="I8822" s="70"/>
      <c r="J8822" s="70"/>
      <c r="K8822" s="110" t="str">
        <f>IF(H8822="","",IF($C$29="간이법","",FPR(H8822,I8822,J8822)))</f>
        <v/>
      </c>
      <c r="L8822" s="111" t="str">
        <f>IF(H8822="","",IF($C$29="상세법",FPV(H8822,K8822),IF(H8822="EI",4,IF(H8822="EO",5.2,IF(H8822="EQ",3.9,IF(H8822="ILF",7.5,IF(H8822="EIF",5.4)))))))</f>
        <v/>
      </c>
      <c r="M8822" s="112" t="str">
        <f t="shared" si="140"/>
        <v/>
      </c>
      <c r="N8822" s="113"/>
    </row>
    <row r="8823" spans="2:14">
      <c r="B8823" s="105"/>
      <c r="C8823" s="106"/>
      <c r="D8823" s="107"/>
      <c r="E8823" s="65"/>
      <c r="F8823" s="64"/>
      <c r="G8823" s="64"/>
      <c r="H8823" s="64"/>
      <c r="I8823" s="70"/>
      <c r="J8823" s="70"/>
      <c r="K8823" s="110" t="str">
        <f>IF(H8823="","",IF($C$29="간이법","",FPR(H8823,I8823,J8823)))</f>
        <v/>
      </c>
      <c r="L8823" s="111" t="str">
        <f>IF(H8823="","",IF($C$29="상세법",FPV(H8823,K8823),IF(H8823="EI",4,IF(H8823="EO",5.2,IF(H8823="EQ",3.9,IF(H8823="ILF",7.5,IF(H8823="EIF",5.4)))))))</f>
        <v/>
      </c>
      <c r="M8823" s="112" t="str">
        <f t="shared" si="140"/>
        <v/>
      </c>
      <c r="N8823" s="113"/>
    </row>
    <row r="8824" spans="2:14">
      <c r="B8824" s="105"/>
      <c r="C8824" s="106"/>
      <c r="D8824" s="107"/>
      <c r="E8824" s="65"/>
      <c r="F8824" s="64"/>
      <c r="G8824" s="64"/>
      <c r="H8824" s="64"/>
      <c r="I8824" s="70"/>
      <c r="J8824" s="70"/>
      <c r="K8824" s="110" t="str">
        <f>IF(H8824="","",IF($C$29="간이법","",FPR(H8824,I8824,J8824)))</f>
        <v/>
      </c>
      <c r="L8824" s="111" t="str">
        <f>IF(H8824="","",IF($C$29="상세법",FPV(H8824,K8824),IF(H8824="EI",4,IF(H8824="EO",5.2,IF(H8824="EQ",3.9,IF(H8824="ILF",7.5,IF(H8824="EIF",5.4)))))))</f>
        <v/>
      </c>
      <c r="M8824" s="112" t="str">
        <f t="shared" si="140"/>
        <v/>
      </c>
      <c r="N8824" s="113"/>
    </row>
    <row r="8825" spans="2:14">
      <c r="B8825" s="105"/>
      <c r="C8825" s="106"/>
      <c r="D8825" s="107"/>
      <c r="E8825" s="65"/>
      <c r="F8825" s="64"/>
      <c r="G8825" s="64"/>
      <c r="H8825" s="64"/>
      <c r="I8825" s="70"/>
      <c r="J8825" s="70"/>
      <c r="K8825" s="110" t="str">
        <f>IF(H8825="","",IF($C$29="간이법","",FPR(H8825,I8825,J8825)))</f>
        <v/>
      </c>
      <c r="L8825" s="111" t="str">
        <f>IF(H8825="","",IF($C$29="상세법",FPV(H8825,K8825),IF(H8825="EI",4,IF(H8825="EO",5.2,IF(H8825="EQ",3.9,IF(H8825="ILF",7.5,IF(H8825="EIF",5.4)))))))</f>
        <v/>
      </c>
      <c r="M8825" s="112" t="str">
        <f t="shared" ref="M8825:M8888" si="141">IF(L8825="","",L8825*IF(G8825="상",0.7,IF(G8825="중",0.5,IF(G8825="하",0.2,1))))</f>
        <v/>
      </c>
      <c r="N8825" s="113"/>
    </row>
    <row r="8826" spans="2:14">
      <c r="B8826" s="105"/>
      <c r="C8826" s="106"/>
      <c r="D8826" s="107"/>
      <c r="E8826" s="65"/>
      <c r="F8826" s="64"/>
      <c r="G8826" s="64"/>
      <c r="H8826" s="64"/>
      <c r="I8826" s="70"/>
      <c r="J8826" s="70"/>
      <c r="K8826" s="110" t="str">
        <f>IF(H8826="","",IF($C$29="간이법","",FPR(H8826,I8826,J8826)))</f>
        <v/>
      </c>
      <c r="L8826" s="111" t="str">
        <f>IF(H8826="","",IF($C$29="상세법",FPV(H8826,K8826),IF(H8826="EI",4,IF(H8826="EO",5.2,IF(H8826="EQ",3.9,IF(H8826="ILF",7.5,IF(H8826="EIF",5.4)))))))</f>
        <v/>
      </c>
      <c r="M8826" s="112" t="str">
        <f t="shared" si="141"/>
        <v/>
      </c>
      <c r="N8826" s="113"/>
    </row>
    <row r="8827" spans="2:14">
      <c r="B8827" s="105"/>
      <c r="C8827" s="106"/>
      <c r="D8827" s="107"/>
      <c r="E8827" s="65"/>
      <c r="F8827" s="64"/>
      <c r="G8827" s="64"/>
      <c r="H8827" s="64"/>
      <c r="I8827" s="70"/>
      <c r="J8827" s="70"/>
      <c r="K8827" s="110" t="str">
        <f>IF(H8827="","",IF($C$29="간이법","",FPR(H8827,I8827,J8827)))</f>
        <v/>
      </c>
      <c r="L8827" s="111" t="str">
        <f>IF(H8827="","",IF($C$29="상세법",FPV(H8827,K8827),IF(H8827="EI",4,IF(H8827="EO",5.2,IF(H8827="EQ",3.9,IF(H8827="ILF",7.5,IF(H8827="EIF",5.4)))))))</f>
        <v/>
      </c>
      <c r="M8827" s="112" t="str">
        <f t="shared" si="141"/>
        <v/>
      </c>
      <c r="N8827" s="113"/>
    </row>
    <row r="8828" spans="2:14">
      <c r="B8828" s="105"/>
      <c r="C8828" s="106"/>
      <c r="D8828" s="107"/>
      <c r="E8828" s="65"/>
      <c r="F8828" s="64"/>
      <c r="G8828" s="64"/>
      <c r="H8828" s="64"/>
      <c r="I8828" s="70"/>
      <c r="J8828" s="70"/>
      <c r="K8828" s="110" t="str">
        <f>IF(H8828="","",IF($C$29="간이법","",FPR(H8828,I8828,J8828)))</f>
        <v/>
      </c>
      <c r="L8828" s="111" t="str">
        <f>IF(H8828="","",IF($C$29="상세법",FPV(H8828,K8828),IF(H8828="EI",4,IF(H8828="EO",5.2,IF(H8828="EQ",3.9,IF(H8828="ILF",7.5,IF(H8828="EIF",5.4)))))))</f>
        <v/>
      </c>
      <c r="M8828" s="112" t="str">
        <f t="shared" si="141"/>
        <v/>
      </c>
      <c r="N8828" s="113"/>
    </row>
    <row r="8829" spans="2:14">
      <c r="B8829" s="105"/>
      <c r="C8829" s="106"/>
      <c r="D8829" s="107"/>
      <c r="E8829" s="65"/>
      <c r="F8829" s="64"/>
      <c r="G8829" s="64"/>
      <c r="H8829" s="64"/>
      <c r="I8829" s="70"/>
      <c r="J8829" s="70"/>
      <c r="K8829" s="110" t="str">
        <f>IF(H8829="","",IF($C$29="간이법","",FPR(H8829,I8829,J8829)))</f>
        <v/>
      </c>
      <c r="L8829" s="111" t="str">
        <f>IF(H8829="","",IF($C$29="상세법",FPV(H8829,K8829),IF(H8829="EI",4,IF(H8829="EO",5.2,IF(H8829="EQ",3.9,IF(H8829="ILF",7.5,IF(H8829="EIF",5.4)))))))</f>
        <v/>
      </c>
      <c r="M8829" s="112" t="str">
        <f t="shared" si="141"/>
        <v/>
      </c>
      <c r="N8829" s="113"/>
    </row>
    <row r="8830" spans="2:14">
      <c r="B8830" s="105"/>
      <c r="C8830" s="106"/>
      <c r="D8830" s="107"/>
      <c r="E8830" s="65"/>
      <c r="F8830" s="64"/>
      <c r="G8830" s="64"/>
      <c r="H8830" s="64"/>
      <c r="I8830" s="70"/>
      <c r="J8830" s="70"/>
      <c r="K8830" s="110" t="str">
        <f>IF(H8830="","",IF($C$29="간이법","",FPR(H8830,I8830,J8830)))</f>
        <v/>
      </c>
      <c r="L8830" s="111" t="str">
        <f>IF(H8830="","",IF($C$29="상세법",FPV(H8830,K8830),IF(H8830="EI",4,IF(H8830="EO",5.2,IF(H8830="EQ",3.9,IF(H8830="ILF",7.5,IF(H8830="EIF",5.4)))))))</f>
        <v/>
      </c>
      <c r="M8830" s="112" t="str">
        <f t="shared" si="141"/>
        <v/>
      </c>
      <c r="N8830" s="113"/>
    </row>
    <row r="8831" spans="2:14">
      <c r="B8831" s="105"/>
      <c r="C8831" s="106"/>
      <c r="D8831" s="107"/>
      <c r="E8831" s="65"/>
      <c r="F8831" s="64"/>
      <c r="G8831" s="64"/>
      <c r="H8831" s="64"/>
      <c r="I8831" s="70"/>
      <c r="J8831" s="70"/>
      <c r="K8831" s="110" t="str">
        <f>IF(H8831="","",IF($C$29="간이법","",FPR(H8831,I8831,J8831)))</f>
        <v/>
      </c>
      <c r="L8831" s="111" t="str">
        <f>IF(H8831="","",IF($C$29="상세법",FPV(H8831,K8831),IF(H8831="EI",4,IF(H8831="EO",5.2,IF(H8831="EQ",3.9,IF(H8831="ILF",7.5,IF(H8831="EIF",5.4)))))))</f>
        <v/>
      </c>
      <c r="M8831" s="112" t="str">
        <f t="shared" si="141"/>
        <v/>
      </c>
      <c r="N8831" s="113"/>
    </row>
    <row r="8832" spans="2:14">
      <c r="B8832" s="105"/>
      <c r="C8832" s="106"/>
      <c r="D8832" s="107"/>
      <c r="E8832" s="65"/>
      <c r="F8832" s="64"/>
      <c r="G8832" s="64"/>
      <c r="H8832" s="64"/>
      <c r="I8832" s="70"/>
      <c r="J8832" s="70"/>
      <c r="K8832" s="110" t="str">
        <f>IF(H8832="","",IF($C$29="간이법","",FPR(H8832,I8832,J8832)))</f>
        <v/>
      </c>
      <c r="L8832" s="111" t="str">
        <f>IF(H8832="","",IF($C$29="상세법",FPV(H8832,K8832),IF(H8832="EI",4,IF(H8832="EO",5.2,IF(H8832="EQ",3.9,IF(H8832="ILF",7.5,IF(H8832="EIF",5.4)))))))</f>
        <v/>
      </c>
      <c r="M8832" s="112" t="str">
        <f t="shared" si="141"/>
        <v/>
      </c>
      <c r="N8832" s="113"/>
    </row>
    <row r="8833" spans="2:14">
      <c r="B8833" s="105"/>
      <c r="C8833" s="106"/>
      <c r="D8833" s="107"/>
      <c r="E8833" s="65"/>
      <c r="F8833" s="64"/>
      <c r="G8833" s="64"/>
      <c r="H8833" s="64"/>
      <c r="I8833" s="70"/>
      <c r="J8833" s="70"/>
      <c r="K8833" s="110" t="str">
        <f>IF(H8833="","",IF($C$29="간이법","",FPR(H8833,I8833,J8833)))</f>
        <v/>
      </c>
      <c r="L8833" s="111" t="str">
        <f>IF(H8833="","",IF($C$29="상세법",FPV(H8833,K8833),IF(H8833="EI",4,IF(H8833="EO",5.2,IF(H8833="EQ",3.9,IF(H8833="ILF",7.5,IF(H8833="EIF",5.4)))))))</f>
        <v/>
      </c>
      <c r="M8833" s="112" t="str">
        <f t="shared" si="141"/>
        <v/>
      </c>
      <c r="N8833" s="113"/>
    </row>
    <row r="8834" spans="2:14">
      <c r="B8834" s="105"/>
      <c r="C8834" s="106"/>
      <c r="D8834" s="107"/>
      <c r="E8834" s="65"/>
      <c r="F8834" s="64"/>
      <c r="G8834" s="64"/>
      <c r="H8834" s="64"/>
      <c r="I8834" s="70"/>
      <c r="J8834" s="70"/>
      <c r="K8834" s="110" t="str">
        <f>IF(H8834="","",IF($C$29="간이법","",FPR(H8834,I8834,J8834)))</f>
        <v/>
      </c>
      <c r="L8834" s="111" t="str">
        <f>IF(H8834="","",IF($C$29="상세법",FPV(H8834,K8834),IF(H8834="EI",4,IF(H8834="EO",5.2,IF(H8834="EQ",3.9,IF(H8834="ILF",7.5,IF(H8834="EIF",5.4)))))))</f>
        <v/>
      </c>
      <c r="M8834" s="112" t="str">
        <f t="shared" si="141"/>
        <v/>
      </c>
      <c r="N8834" s="113"/>
    </row>
    <row r="8835" spans="2:14">
      <c r="B8835" s="105"/>
      <c r="C8835" s="106"/>
      <c r="D8835" s="107"/>
      <c r="E8835" s="65"/>
      <c r="F8835" s="64"/>
      <c r="G8835" s="64"/>
      <c r="H8835" s="64"/>
      <c r="I8835" s="70"/>
      <c r="J8835" s="70"/>
      <c r="K8835" s="110" t="str">
        <f>IF(H8835="","",IF($C$29="간이법","",FPR(H8835,I8835,J8835)))</f>
        <v/>
      </c>
      <c r="L8835" s="111" t="str">
        <f>IF(H8835="","",IF($C$29="상세법",FPV(H8835,K8835),IF(H8835="EI",4,IF(H8835="EO",5.2,IF(H8835="EQ",3.9,IF(H8835="ILF",7.5,IF(H8835="EIF",5.4)))))))</f>
        <v/>
      </c>
      <c r="M8835" s="112" t="str">
        <f t="shared" si="141"/>
        <v/>
      </c>
      <c r="N8835" s="113"/>
    </row>
    <row r="8836" spans="2:14">
      <c r="B8836" s="105"/>
      <c r="C8836" s="106"/>
      <c r="D8836" s="107"/>
      <c r="E8836" s="65"/>
      <c r="F8836" s="64"/>
      <c r="G8836" s="64"/>
      <c r="H8836" s="64"/>
      <c r="I8836" s="70"/>
      <c r="J8836" s="70"/>
      <c r="K8836" s="110" t="str">
        <f>IF(H8836="","",IF($C$29="간이법","",FPR(H8836,I8836,J8836)))</f>
        <v/>
      </c>
      <c r="L8836" s="111" t="str">
        <f>IF(H8836="","",IF($C$29="상세법",FPV(H8836,K8836),IF(H8836="EI",4,IF(H8836="EO",5.2,IF(H8836="EQ",3.9,IF(H8836="ILF",7.5,IF(H8836="EIF",5.4)))))))</f>
        <v/>
      </c>
      <c r="M8836" s="112" t="str">
        <f t="shared" si="141"/>
        <v/>
      </c>
      <c r="N8836" s="113"/>
    </row>
    <row r="8837" spans="2:14">
      <c r="B8837" s="105"/>
      <c r="C8837" s="106"/>
      <c r="D8837" s="107"/>
      <c r="E8837" s="65"/>
      <c r="F8837" s="64"/>
      <c r="G8837" s="64"/>
      <c r="H8837" s="64"/>
      <c r="I8837" s="70"/>
      <c r="J8837" s="70"/>
      <c r="K8837" s="110" t="str">
        <f>IF(H8837="","",IF($C$29="간이법","",FPR(H8837,I8837,J8837)))</f>
        <v/>
      </c>
      <c r="L8837" s="111" t="str">
        <f>IF(H8837="","",IF($C$29="상세법",FPV(H8837,K8837),IF(H8837="EI",4,IF(H8837="EO",5.2,IF(H8837="EQ",3.9,IF(H8837="ILF",7.5,IF(H8837="EIF",5.4)))))))</f>
        <v/>
      </c>
      <c r="M8837" s="112" t="str">
        <f t="shared" si="141"/>
        <v/>
      </c>
      <c r="N8837" s="113"/>
    </row>
    <row r="8838" spans="2:14">
      <c r="B8838" s="105"/>
      <c r="C8838" s="106"/>
      <c r="D8838" s="107"/>
      <c r="E8838" s="65"/>
      <c r="F8838" s="64"/>
      <c r="G8838" s="64"/>
      <c r="H8838" s="64"/>
      <c r="I8838" s="70"/>
      <c r="J8838" s="70"/>
      <c r="K8838" s="110" t="str">
        <f>IF(H8838="","",IF($C$29="간이법","",FPR(H8838,I8838,J8838)))</f>
        <v/>
      </c>
      <c r="L8838" s="111" t="str">
        <f>IF(H8838="","",IF($C$29="상세법",FPV(H8838,K8838),IF(H8838="EI",4,IF(H8838="EO",5.2,IF(H8838="EQ",3.9,IF(H8838="ILF",7.5,IF(H8838="EIF",5.4)))))))</f>
        <v/>
      </c>
      <c r="M8838" s="112" t="str">
        <f t="shared" si="141"/>
        <v/>
      </c>
      <c r="N8838" s="113"/>
    </row>
    <row r="8839" spans="2:14">
      <c r="B8839" s="105"/>
      <c r="C8839" s="106"/>
      <c r="D8839" s="107"/>
      <c r="E8839" s="65"/>
      <c r="F8839" s="64"/>
      <c r="G8839" s="64"/>
      <c r="H8839" s="64"/>
      <c r="I8839" s="70"/>
      <c r="J8839" s="70"/>
      <c r="K8839" s="110" t="str">
        <f>IF(H8839="","",IF($C$29="간이법","",FPR(H8839,I8839,J8839)))</f>
        <v/>
      </c>
      <c r="L8839" s="111" t="str">
        <f>IF(H8839="","",IF($C$29="상세법",FPV(H8839,K8839),IF(H8839="EI",4,IF(H8839="EO",5.2,IF(H8839="EQ",3.9,IF(H8839="ILF",7.5,IF(H8839="EIF",5.4)))))))</f>
        <v/>
      </c>
      <c r="M8839" s="112" t="str">
        <f t="shared" si="141"/>
        <v/>
      </c>
      <c r="N8839" s="113"/>
    </row>
    <row r="8840" spans="2:14">
      <c r="B8840" s="105"/>
      <c r="C8840" s="106"/>
      <c r="D8840" s="107"/>
      <c r="E8840" s="65"/>
      <c r="F8840" s="64"/>
      <c r="G8840" s="64"/>
      <c r="H8840" s="64"/>
      <c r="I8840" s="70"/>
      <c r="J8840" s="70"/>
      <c r="K8840" s="110" t="str">
        <f>IF(H8840="","",IF($C$29="간이법","",FPR(H8840,I8840,J8840)))</f>
        <v/>
      </c>
      <c r="L8840" s="111" t="str">
        <f>IF(H8840="","",IF($C$29="상세법",FPV(H8840,K8840),IF(H8840="EI",4,IF(H8840="EO",5.2,IF(H8840="EQ",3.9,IF(H8840="ILF",7.5,IF(H8840="EIF",5.4)))))))</f>
        <v/>
      </c>
      <c r="M8840" s="112" t="str">
        <f t="shared" si="141"/>
        <v/>
      </c>
      <c r="N8840" s="113"/>
    </row>
    <row r="8841" spans="2:14">
      <c r="B8841" s="105"/>
      <c r="C8841" s="106"/>
      <c r="D8841" s="107"/>
      <c r="E8841" s="65"/>
      <c r="F8841" s="64"/>
      <c r="G8841" s="64"/>
      <c r="H8841" s="64"/>
      <c r="I8841" s="70"/>
      <c r="J8841" s="70"/>
      <c r="K8841" s="110" t="str">
        <f>IF(H8841="","",IF($C$29="간이법","",FPR(H8841,I8841,J8841)))</f>
        <v/>
      </c>
      <c r="L8841" s="111" t="str">
        <f>IF(H8841="","",IF($C$29="상세법",FPV(H8841,K8841),IF(H8841="EI",4,IF(H8841="EO",5.2,IF(H8841="EQ",3.9,IF(H8841="ILF",7.5,IF(H8841="EIF",5.4)))))))</f>
        <v/>
      </c>
      <c r="M8841" s="112" t="str">
        <f t="shared" si="141"/>
        <v/>
      </c>
      <c r="N8841" s="113"/>
    </row>
    <row r="8842" spans="2:14">
      <c r="B8842" s="105"/>
      <c r="C8842" s="106"/>
      <c r="D8842" s="107"/>
      <c r="E8842" s="65"/>
      <c r="F8842" s="64"/>
      <c r="G8842" s="64"/>
      <c r="H8842" s="64"/>
      <c r="I8842" s="70"/>
      <c r="J8842" s="70"/>
      <c r="K8842" s="110" t="str">
        <f>IF(H8842="","",IF($C$29="간이법","",FPR(H8842,I8842,J8842)))</f>
        <v/>
      </c>
      <c r="L8842" s="111" t="str">
        <f>IF(H8842="","",IF($C$29="상세법",FPV(H8842,K8842),IF(H8842="EI",4,IF(H8842="EO",5.2,IF(H8842="EQ",3.9,IF(H8842="ILF",7.5,IF(H8842="EIF",5.4)))))))</f>
        <v/>
      </c>
      <c r="M8842" s="112" t="str">
        <f t="shared" si="141"/>
        <v/>
      </c>
      <c r="N8842" s="113"/>
    </row>
    <row r="8843" spans="2:14">
      <c r="B8843" s="105"/>
      <c r="C8843" s="106"/>
      <c r="D8843" s="107"/>
      <c r="E8843" s="65"/>
      <c r="F8843" s="64"/>
      <c r="G8843" s="64"/>
      <c r="H8843" s="64"/>
      <c r="I8843" s="70"/>
      <c r="J8843" s="70"/>
      <c r="K8843" s="110" t="str">
        <f>IF(H8843="","",IF($C$29="간이법","",FPR(H8843,I8843,J8843)))</f>
        <v/>
      </c>
      <c r="L8843" s="111" t="str">
        <f>IF(H8843="","",IF($C$29="상세법",FPV(H8843,K8843),IF(H8843="EI",4,IF(H8843="EO",5.2,IF(H8843="EQ",3.9,IF(H8843="ILF",7.5,IF(H8843="EIF",5.4)))))))</f>
        <v/>
      </c>
      <c r="M8843" s="112" t="str">
        <f t="shared" si="141"/>
        <v/>
      </c>
      <c r="N8843" s="113"/>
    </row>
    <row r="8844" spans="2:14">
      <c r="B8844" s="105"/>
      <c r="C8844" s="106"/>
      <c r="D8844" s="107"/>
      <c r="E8844" s="65"/>
      <c r="F8844" s="64"/>
      <c r="G8844" s="64"/>
      <c r="H8844" s="64"/>
      <c r="I8844" s="70"/>
      <c r="J8844" s="70"/>
      <c r="K8844" s="110" t="str">
        <f>IF(H8844="","",IF($C$29="간이법","",FPR(H8844,I8844,J8844)))</f>
        <v/>
      </c>
      <c r="L8844" s="111" t="str">
        <f>IF(H8844="","",IF($C$29="상세법",FPV(H8844,K8844),IF(H8844="EI",4,IF(H8844="EO",5.2,IF(H8844="EQ",3.9,IF(H8844="ILF",7.5,IF(H8844="EIF",5.4)))))))</f>
        <v/>
      </c>
      <c r="M8844" s="112" t="str">
        <f t="shared" si="141"/>
        <v/>
      </c>
      <c r="N8844" s="113"/>
    </row>
    <row r="8845" spans="2:14">
      <c r="B8845" s="105"/>
      <c r="C8845" s="106"/>
      <c r="D8845" s="107"/>
      <c r="E8845" s="65"/>
      <c r="F8845" s="64"/>
      <c r="G8845" s="64"/>
      <c r="H8845" s="64"/>
      <c r="I8845" s="70"/>
      <c r="J8845" s="70"/>
      <c r="K8845" s="110" t="str">
        <f>IF(H8845="","",IF($C$29="간이법","",FPR(H8845,I8845,J8845)))</f>
        <v/>
      </c>
      <c r="L8845" s="111" t="str">
        <f>IF(H8845="","",IF($C$29="상세법",FPV(H8845,K8845),IF(H8845="EI",4,IF(H8845="EO",5.2,IF(H8845="EQ",3.9,IF(H8845="ILF",7.5,IF(H8845="EIF",5.4)))))))</f>
        <v/>
      </c>
      <c r="M8845" s="112" t="str">
        <f t="shared" si="141"/>
        <v/>
      </c>
      <c r="N8845" s="113"/>
    </row>
    <row r="8846" spans="2:14">
      <c r="B8846" s="105"/>
      <c r="C8846" s="106"/>
      <c r="D8846" s="107"/>
      <c r="E8846" s="65"/>
      <c r="F8846" s="64"/>
      <c r="G8846" s="64"/>
      <c r="H8846" s="64"/>
      <c r="I8846" s="70"/>
      <c r="J8846" s="70"/>
      <c r="K8846" s="110" t="str">
        <f>IF(H8846="","",IF($C$29="간이법","",FPR(H8846,I8846,J8846)))</f>
        <v/>
      </c>
      <c r="L8846" s="111" t="str">
        <f>IF(H8846="","",IF($C$29="상세법",FPV(H8846,K8846),IF(H8846="EI",4,IF(H8846="EO",5.2,IF(H8846="EQ",3.9,IF(H8846="ILF",7.5,IF(H8846="EIF",5.4)))))))</f>
        <v/>
      </c>
      <c r="M8846" s="112" t="str">
        <f t="shared" si="141"/>
        <v/>
      </c>
      <c r="N8846" s="113"/>
    </row>
    <row r="8847" spans="2:14">
      <c r="B8847" s="105"/>
      <c r="C8847" s="106"/>
      <c r="D8847" s="107"/>
      <c r="E8847" s="65"/>
      <c r="F8847" s="64"/>
      <c r="G8847" s="64"/>
      <c r="H8847" s="64"/>
      <c r="I8847" s="70"/>
      <c r="J8847" s="70"/>
      <c r="K8847" s="110" t="str">
        <f>IF(H8847="","",IF($C$29="간이법","",FPR(H8847,I8847,J8847)))</f>
        <v/>
      </c>
      <c r="L8847" s="111" t="str">
        <f>IF(H8847="","",IF($C$29="상세법",FPV(H8847,K8847),IF(H8847="EI",4,IF(H8847="EO",5.2,IF(H8847="EQ",3.9,IF(H8847="ILF",7.5,IF(H8847="EIF",5.4)))))))</f>
        <v/>
      </c>
      <c r="M8847" s="112" t="str">
        <f t="shared" si="141"/>
        <v/>
      </c>
      <c r="N8847" s="113"/>
    </row>
    <row r="8848" spans="2:14">
      <c r="B8848" s="105"/>
      <c r="C8848" s="106"/>
      <c r="D8848" s="107"/>
      <c r="E8848" s="65"/>
      <c r="F8848" s="64"/>
      <c r="G8848" s="64"/>
      <c r="H8848" s="64"/>
      <c r="I8848" s="70"/>
      <c r="J8848" s="70"/>
      <c r="K8848" s="110" t="str">
        <f>IF(H8848="","",IF($C$29="간이법","",FPR(H8848,I8848,J8848)))</f>
        <v/>
      </c>
      <c r="L8848" s="111" t="str">
        <f>IF(H8848="","",IF($C$29="상세법",FPV(H8848,K8848),IF(H8848="EI",4,IF(H8848="EO",5.2,IF(H8848="EQ",3.9,IF(H8848="ILF",7.5,IF(H8848="EIF",5.4)))))))</f>
        <v/>
      </c>
      <c r="M8848" s="112" t="str">
        <f t="shared" si="141"/>
        <v/>
      </c>
      <c r="N8848" s="113"/>
    </row>
    <row r="8849" spans="2:14">
      <c r="B8849" s="105"/>
      <c r="C8849" s="106"/>
      <c r="D8849" s="107"/>
      <c r="E8849" s="65"/>
      <c r="F8849" s="64"/>
      <c r="G8849" s="64"/>
      <c r="H8849" s="64"/>
      <c r="I8849" s="70"/>
      <c r="J8849" s="70"/>
      <c r="K8849" s="110" t="str">
        <f>IF(H8849="","",IF($C$29="간이법","",FPR(H8849,I8849,J8849)))</f>
        <v/>
      </c>
      <c r="L8849" s="111" t="str">
        <f>IF(H8849="","",IF($C$29="상세법",FPV(H8849,K8849),IF(H8849="EI",4,IF(H8849="EO",5.2,IF(H8849="EQ",3.9,IF(H8849="ILF",7.5,IF(H8849="EIF",5.4)))))))</f>
        <v/>
      </c>
      <c r="M8849" s="112" t="str">
        <f t="shared" si="141"/>
        <v/>
      </c>
      <c r="N8849" s="113"/>
    </row>
    <row r="8850" spans="2:14">
      <c r="B8850" s="105"/>
      <c r="C8850" s="106"/>
      <c r="D8850" s="107"/>
      <c r="E8850" s="65"/>
      <c r="F8850" s="64"/>
      <c r="G8850" s="64"/>
      <c r="H8850" s="64"/>
      <c r="I8850" s="70"/>
      <c r="J8850" s="70"/>
      <c r="K8850" s="110" t="str">
        <f>IF(H8850="","",IF($C$29="간이법","",FPR(H8850,I8850,J8850)))</f>
        <v/>
      </c>
      <c r="L8850" s="111" t="str">
        <f>IF(H8850="","",IF($C$29="상세법",FPV(H8850,K8850),IF(H8850="EI",4,IF(H8850="EO",5.2,IF(H8850="EQ",3.9,IF(H8850="ILF",7.5,IF(H8850="EIF",5.4)))))))</f>
        <v/>
      </c>
      <c r="M8850" s="112" t="str">
        <f t="shared" si="141"/>
        <v/>
      </c>
      <c r="N8850" s="113"/>
    </row>
    <row r="8851" spans="2:14">
      <c r="B8851" s="105"/>
      <c r="C8851" s="106"/>
      <c r="D8851" s="107"/>
      <c r="E8851" s="65"/>
      <c r="F8851" s="64"/>
      <c r="G8851" s="64"/>
      <c r="H8851" s="64"/>
      <c r="I8851" s="70"/>
      <c r="J8851" s="70"/>
      <c r="K8851" s="110" t="str">
        <f>IF(H8851="","",IF($C$29="간이법","",FPR(H8851,I8851,J8851)))</f>
        <v/>
      </c>
      <c r="L8851" s="111" t="str">
        <f>IF(H8851="","",IF($C$29="상세법",FPV(H8851,K8851),IF(H8851="EI",4,IF(H8851="EO",5.2,IF(H8851="EQ",3.9,IF(H8851="ILF",7.5,IF(H8851="EIF",5.4)))))))</f>
        <v/>
      </c>
      <c r="M8851" s="112" t="str">
        <f t="shared" si="141"/>
        <v/>
      </c>
      <c r="N8851" s="113"/>
    </row>
    <row r="8852" spans="2:14">
      <c r="B8852" s="105"/>
      <c r="C8852" s="106"/>
      <c r="D8852" s="107"/>
      <c r="E8852" s="65"/>
      <c r="F8852" s="64"/>
      <c r="G8852" s="64"/>
      <c r="H8852" s="64"/>
      <c r="I8852" s="70"/>
      <c r="J8852" s="70"/>
      <c r="K8852" s="110" t="str">
        <f>IF(H8852="","",IF($C$29="간이법","",FPR(H8852,I8852,J8852)))</f>
        <v/>
      </c>
      <c r="L8852" s="111" t="str">
        <f>IF(H8852="","",IF($C$29="상세법",FPV(H8852,K8852),IF(H8852="EI",4,IF(H8852="EO",5.2,IF(H8852="EQ",3.9,IF(H8852="ILF",7.5,IF(H8852="EIF",5.4)))))))</f>
        <v/>
      </c>
      <c r="M8852" s="112" t="str">
        <f t="shared" si="141"/>
        <v/>
      </c>
      <c r="N8852" s="113"/>
    </row>
    <row r="8853" spans="2:14">
      <c r="B8853" s="105"/>
      <c r="C8853" s="106"/>
      <c r="D8853" s="107"/>
      <c r="E8853" s="65"/>
      <c r="F8853" s="64"/>
      <c r="G8853" s="64"/>
      <c r="H8853" s="64"/>
      <c r="I8853" s="70"/>
      <c r="J8853" s="70"/>
      <c r="K8853" s="110" t="str">
        <f>IF(H8853="","",IF($C$29="간이법","",FPR(H8853,I8853,J8853)))</f>
        <v/>
      </c>
      <c r="L8853" s="111" t="str">
        <f>IF(H8853="","",IF($C$29="상세법",FPV(H8853,K8853),IF(H8853="EI",4,IF(H8853="EO",5.2,IF(H8853="EQ",3.9,IF(H8853="ILF",7.5,IF(H8853="EIF",5.4)))))))</f>
        <v/>
      </c>
      <c r="M8853" s="112" t="str">
        <f t="shared" si="141"/>
        <v/>
      </c>
      <c r="N8853" s="113"/>
    </row>
    <row r="8854" spans="2:14">
      <c r="B8854" s="105"/>
      <c r="C8854" s="106"/>
      <c r="D8854" s="107"/>
      <c r="E8854" s="65"/>
      <c r="F8854" s="64"/>
      <c r="G8854" s="64"/>
      <c r="H8854" s="64"/>
      <c r="I8854" s="70"/>
      <c r="J8854" s="70"/>
      <c r="K8854" s="110" t="str">
        <f>IF(H8854="","",IF($C$29="간이법","",FPR(H8854,I8854,J8854)))</f>
        <v/>
      </c>
      <c r="L8854" s="111" t="str">
        <f>IF(H8854="","",IF($C$29="상세법",FPV(H8854,K8854),IF(H8854="EI",4,IF(H8854="EO",5.2,IF(H8854="EQ",3.9,IF(H8854="ILF",7.5,IF(H8854="EIF",5.4)))))))</f>
        <v/>
      </c>
      <c r="M8854" s="112" t="str">
        <f t="shared" si="141"/>
        <v/>
      </c>
      <c r="N8854" s="113"/>
    </row>
    <row r="8855" spans="2:14">
      <c r="B8855" s="105"/>
      <c r="C8855" s="106"/>
      <c r="D8855" s="107"/>
      <c r="E8855" s="65"/>
      <c r="F8855" s="64"/>
      <c r="G8855" s="64"/>
      <c r="H8855" s="64"/>
      <c r="I8855" s="70"/>
      <c r="J8855" s="70"/>
      <c r="K8855" s="110" t="str">
        <f>IF(H8855="","",IF($C$29="간이법","",FPR(H8855,I8855,J8855)))</f>
        <v/>
      </c>
      <c r="L8855" s="111" t="str">
        <f>IF(H8855="","",IF($C$29="상세법",FPV(H8855,K8855),IF(H8855="EI",4,IF(H8855="EO",5.2,IF(H8855="EQ",3.9,IF(H8855="ILF",7.5,IF(H8855="EIF",5.4)))))))</f>
        <v/>
      </c>
      <c r="M8855" s="112" t="str">
        <f t="shared" si="141"/>
        <v/>
      </c>
      <c r="N8855" s="113"/>
    </row>
    <row r="8856" spans="2:14">
      <c r="B8856" s="105"/>
      <c r="C8856" s="106"/>
      <c r="D8856" s="107"/>
      <c r="E8856" s="65"/>
      <c r="F8856" s="64"/>
      <c r="G8856" s="64"/>
      <c r="H8856" s="64"/>
      <c r="I8856" s="70"/>
      <c r="J8856" s="70"/>
      <c r="K8856" s="110" t="str">
        <f>IF(H8856="","",IF($C$29="간이법","",FPR(H8856,I8856,J8856)))</f>
        <v/>
      </c>
      <c r="L8856" s="111" t="str">
        <f>IF(H8856="","",IF($C$29="상세법",FPV(H8856,K8856),IF(H8856="EI",4,IF(H8856="EO",5.2,IF(H8856="EQ",3.9,IF(H8856="ILF",7.5,IF(H8856="EIF",5.4)))))))</f>
        <v/>
      </c>
      <c r="M8856" s="112" t="str">
        <f t="shared" si="141"/>
        <v/>
      </c>
      <c r="N8856" s="113"/>
    </row>
    <row r="8857" spans="2:14">
      <c r="B8857" s="105"/>
      <c r="C8857" s="106"/>
      <c r="D8857" s="107"/>
      <c r="E8857" s="65"/>
      <c r="F8857" s="64"/>
      <c r="G8857" s="64"/>
      <c r="H8857" s="64"/>
      <c r="I8857" s="70"/>
      <c r="J8857" s="70"/>
      <c r="K8857" s="110" t="str">
        <f>IF(H8857="","",IF($C$29="간이법","",FPR(H8857,I8857,J8857)))</f>
        <v/>
      </c>
      <c r="L8857" s="111" t="str">
        <f>IF(H8857="","",IF($C$29="상세법",FPV(H8857,K8857),IF(H8857="EI",4,IF(H8857="EO",5.2,IF(H8857="EQ",3.9,IF(H8857="ILF",7.5,IF(H8857="EIF",5.4)))))))</f>
        <v/>
      </c>
      <c r="M8857" s="112" t="str">
        <f t="shared" si="141"/>
        <v/>
      </c>
      <c r="N8857" s="113"/>
    </row>
    <row r="8858" spans="2:14">
      <c r="B8858" s="105"/>
      <c r="C8858" s="106"/>
      <c r="D8858" s="107"/>
      <c r="E8858" s="65"/>
      <c r="F8858" s="64"/>
      <c r="G8858" s="64"/>
      <c r="H8858" s="64"/>
      <c r="I8858" s="70"/>
      <c r="J8858" s="70"/>
      <c r="K8858" s="110" t="str">
        <f>IF(H8858="","",IF($C$29="간이법","",FPR(H8858,I8858,J8858)))</f>
        <v/>
      </c>
      <c r="L8858" s="111" t="str">
        <f>IF(H8858="","",IF($C$29="상세법",FPV(H8858,K8858),IF(H8858="EI",4,IF(H8858="EO",5.2,IF(H8858="EQ",3.9,IF(H8858="ILF",7.5,IF(H8858="EIF",5.4)))))))</f>
        <v/>
      </c>
      <c r="M8858" s="112" t="str">
        <f t="shared" si="141"/>
        <v/>
      </c>
      <c r="N8858" s="113"/>
    </row>
    <row r="8859" spans="2:14">
      <c r="B8859" s="105"/>
      <c r="C8859" s="106"/>
      <c r="D8859" s="107"/>
      <c r="E8859" s="65"/>
      <c r="F8859" s="64"/>
      <c r="G8859" s="64"/>
      <c r="H8859" s="64"/>
      <c r="I8859" s="70"/>
      <c r="J8859" s="70"/>
      <c r="K8859" s="110" t="str">
        <f>IF(H8859="","",IF($C$29="간이법","",FPR(H8859,I8859,J8859)))</f>
        <v/>
      </c>
      <c r="L8859" s="111" t="str">
        <f>IF(H8859="","",IF($C$29="상세법",FPV(H8859,K8859),IF(H8859="EI",4,IF(H8859="EO",5.2,IF(H8859="EQ",3.9,IF(H8859="ILF",7.5,IF(H8859="EIF",5.4)))))))</f>
        <v/>
      </c>
      <c r="M8859" s="112" t="str">
        <f t="shared" si="141"/>
        <v/>
      </c>
      <c r="N8859" s="113"/>
    </row>
    <row r="8860" spans="2:14">
      <c r="B8860" s="105"/>
      <c r="C8860" s="106"/>
      <c r="D8860" s="107"/>
      <c r="E8860" s="65"/>
      <c r="F8860" s="64"/>
      <c r="G8860" s="64"/>
      <c r="H8860" s="64"/>
      <c r="I8860" s="70"/>
      <c r="J8860" s="70"/>
      <c r="K8860" s="110" t="str">
        <f>IF(H8860="","",IF($C$29="간이법","",FPR(H8860,I8860,J8860)))</f>
        <v/>
      </c>
      <c r="L8860" s="111" t="str">
        <f>IF(H8860="","",IF($C$29="상세법",FPV(H8860,K8860),IF(H8860="EI",4,IF(H8860="EO",5.2,IF(H8860="EQ",3.9,IF(H8860="ILF",7.5,IF(H8860="EIF",5.4)))))))</f>
        <v/>
      </c>
      <c r="M8860" s="112" t="str">
        <f t="shared" si="141"/>
        <v/>
      </c>
      <c r="N8860" s="113"/>
    </row>
    <row r="8861" spans="2:14">
      <c r="B8861" s="105"/>
      <c r="C8861" s="106"/>
      <c r="D8861" s="107"/>
      <c r="E8861" s="65"/>
      <c r="F8861" s="64"/>
      <c r="G8861" s="64"/>
      <c r="H8861" s="64"/>
      <c r="I8861" s="70"/>
      <c r="J8861" s="70"/>
      <c r="K8861" s="110" t="str">
        <f>IF(H8861="","",IF($C$29="간이법","",FPR(H8861,I8861,J8861)))</f>
        <v/>
      </c>
      <c r="L8861" s="111" t="str">
        <f>IF(H8861="","",IF($C$29="상세법",FPV(H8861,K8861),IF(H8861="EI",4,IF(H8861="EO",5.2,IF(H8861="EQ",3.9,IF(H8861="ILF",7.5,IF(H8861="EIF",5.4)))))))</f>
        <v/>
      </c>
      <c r="M8861" s="112" t="str">
        <f t="shared" si="141"/>
        <v/>
      </c>
      <c r="N8861" s="113"/>
    </row>
    <row r="8862" spans="2:14">
      <c r="B8862" s="105"/>
      <c r="C8862" s="106"/>
      <c r="D8862" s="107"/>
      <c r="E8862" s="65"/>
      <c r="F8862" s="64"/>
      <c r="G8862" s="64"/>
      <c r="H8862" s="64"/>
      <c r="I8862" s="70"/>
      <c r="J8862" s="70"/>
      <c r="K8862" s="110" t="str">
        <f>IF(H8862="","",IF($C$29="간이법","",FPR(H8862,I8862,J8862)))</f>
        <v/>
      </c>
      <c r="L8862" s="111" t="str">
        <f>IF(H8862="","",IF($C$29="상세법",FPV(H8862,K8862),IF(H8862="EI",4,IF(H8862="EO",5.2,IF(H8862="EQ",3.9,IF(H8862="ILF",7.5,IF(H8862="EIF",5.4)))))))</f>
        <v/>
      </c>
      <c r="M8862" s="112" t="str">
        <f t="shared" si="141"/>
        <v/>
      </c>
      <c r="N8862" s="113"/>
    </row>
    <row r="8863" spans="2:14">
      <c r="B8863" s="105"/>
      <c r="C8863" s="106"/>
      <c r="D8863" s="107"/>
      <c r="E8863" s="65"/>
      <c r="F8863" s="64"/>
      <c r="G8863" s="64"/>
      <c r="H8863" s="64"/>
      <c r="I8863" s="70"/>
      <c r="J8863" s="70"/>
      <c r="K8863" s="110" t="str">
        <f>IF(H8863="","",IF($C$29="간이법","",FPR(H8863,I8863,J8863)))</f>
        <v/>
      </c>
      <c r="L8863" s="111" t="str">
        <f>IF(H8863="","",IF($C$29="상세법",FPV(H8863,K8863),IF(H8863="EI",4,IF(H8863="EO",5.2,IF(H8863="EQ",3.9,IF(H8863="ILF",7.5,IF(H8863="EIF",5.4)))))))</f>
        <v/>
      </c>
      <c r="M8863" s="112" t="str">
        <f t="shared" si="141"/>
        <v/>
      </c>
      <c r="N8863" s="113"/>
    </row>
    <row r="8864" spans="2:14">
      <c r="B8864" s="105"/>
      <c r="C8864" s="106"/>
      <c r="D8864" s="107"/>
      <c r="E8864" s="65"/>
      <c r="F8864" s="64"/>
      <c r="G8864" s="64"/>
      <c r="H8864" s="64"/>
      <c r="I8864" s="70"/>
      <c r="J8864" s="70"/>
      <c r="K8864" s="110" t="str">
        <f>IF(H8864="","",IF($C$29="간이법","",FPR(H8864,I8864,J8864)))</f>
        <v/>
      </c>
      <c r="L8864" s="111" t="str">
        <f>IF(H8864="","",IF($C$29="상세법",FPV(H8864,K8864),IF(H8864="EI",4,IF(H8864="EO",5.2,IF(H8864="EQ",3.9,IF(H8864="ILF",7.5,IF(H8864="EIF",5.4)))))))</f>
        <v/>
      </c>
      <c r="M8864" s="112" t="str">
        <f t="shared" si="141"/>
        <v/>
      </c>
      <c r="N8864" s="113"/>
    </row>
    <row r="8865" spans="2:14">
      <c r="B8865" s="105"/>
      <c r="C8865" s="106"/>
      <c r="D8865" s="107"/>
      <c r="E8865" s="65"/>
      <c r="F8865" s="64"/>
      <c r="G8865" s="64"/>
      <c r="H8865" s="64"/>
      <c r="I8865" s="70"/>
      <c r="J8865" s="70"/>
      <c r="K8865" s="110" t="str">
        <f>IF(H8865="","",IF($C$29="간이법","",FPR(H8865,I8865,J8865)))</f>
        <v/>
      </c>
      <c r="L8865" s="111" t="str">
        <f>IF(H8865="","",IF($C$29="상세법",FPV(H8865,K8865),IF(H8865="EI",4,IF(H8865="EO",5.2,IF(H8865="EQ",3.9,IF(H8865="ILF",7.5,IF(H8865="EIF",5.4)))))))</f>
        <v/>
      </c>
      <c r="M8865" s="112" t="str">
        <f t="shared" si="141"/>
        <v/>
      </c>
      <c r="N8865" s="113"/>
    </row>
    <row r="8866" spans="2:14">
      <c r="B8866" s="105"/>
      <c r="C8866" s="106"/>
      <c r="D8866" s="107"/>
      <c r="E8866" s="65"/>
      <c r="F8866" s="64"/>
      <c r="G8866" s="64"/>
      <c r="H8866" s="64"/>
      <c r="I8866" s="70"/>
      <c r="J8866" s="70"/>
      <c r="K8866" s="110" t="str">
        <f>IF(H8866="","",IF($C$29="간이법","",FPR(H8866,I8866,J8866)))</f>
        <v/>
      </c>
      <c r="L8866" s="111" t="str">
        <f>IF(H8866="","",IF($C$29="상세법",FPV(H8866,K8866),IF(H8866="EI",4,IF(H8866="EO",5.2,IF(H8866="EQ",3.9,IF(H8866="ILF",7.5,IF(H8866="EIF",5.4)))))))</f>
        <v/>
      </c>
      <c r="M8866" s="112" t="str">
        <f t="shared" si="141"/>
        <v/>
      </c>
      <c r="N8866" s="113"/>
    </row>
    <row r="8867" spans="2:14">
      <c r="B8867" s="105"/>
      <c r="C8867" s="106"/>
      <c r="D8867" s="107"/>
      <c r="E8867" s="65"/>
      <c r="F8867" s="64"/>
      <c r="G8867" s="64"/>
      <c r="H8867" s="64"/>
      <c r="I8867" s="70"/>
      <c r="J8867" s="70"/>
      <c r="K8867" s="110" t="str">
        <f>IF(H8867="","",IF($C$29="간이법","",FPR(H8867,I8867,J8867)))</f>
        <v/>
      </c>
      <c r="L8867" s="111" t="str">
        <f>IF(H8867="","",IF($C$29="상세법",FPV(H8867,K8867),IF(H8867="EI",4,IF(H8867="EO",5.2,IF(H8867="EQ",3.9,IF(H8867="ILF",7.5,IF(H8867="EIF",5.4)))))))</f>
        <v/>
      </c>
      <c r="M8867" s="112" t="str">
        <f t="shared" si="141"/>
        <v/>
      </c>
      <c r="N8867" s="113"/>
    </row>
    <row r="8868" spans="2:14">
      <c r="B8868" s="105"/>
      <c r="C8868" s="106"/>
      <c r="D8868" s="107"/>
      <c r="E8868" s="65"/>
      <c r="F8868" s="64"/>
      <c r="G8868" s="64"/>
      <c r="H8868" s="64"/>
      <c r="I8868" s="70"/>
      <c r="J8868" s="70"/>
      <c r="K8868" s="110" t="str">
        <f>IF(H8868="","",IF($C$29="간이법","",FPR(H8868,I8868,J8868)))</f>
        <v/>
      </c>
      <c r="L8868" s="111" t="str">
        <f>IF(H8868="","",IF($C$29="상세법",FPV(H8868,K8868),IF(H8868="EI",4,IF(H8868="EO",5.2,IF(H8868="EQ",3.9,IF(H8868="ILF",7.5,IF(H8868="EIF",5.4)))))))</f>
        <v/>
      </c>
      <c r="M8868" s="112" t="str">
        <f t="shared" si="141"/>
        <v/>
      </c>
      <c r="N8868" s="113"/>
    </row>
    <row r="8869" spans="2:14">
      <c r="B8869" s="105"/>
      <c r="C8869" s="106"/>
      <c r="D8869" s="107"/>
      <c r="E8869" s="65"/>
      <c r="F8869" s="64"/>
      <c r="G8869" s="64"/>
      <c r="H8869" s="64"/>
      <c r="I8869" s="70"/>
      <c r="J8869" s="70"/>
      <c r="K8869" s="110" t="str">
        <f>IF(H8869="","",IF($C$29="간이법","",FPR(H8869,I8869,J8869)))</f>
        <v/>
      </c>
      <c r="L8869" s="111" t="str">
        <f>IF(H8869="","",IF($C$29="상세법",FPV(H8869,K8869),IF(H8869="EI",4,IF(H8869="EO",5.2,IF(H8869="EQ",3.9,IF(H8869="ILF",7.5,IF(H8869="EIF",5.4)))))))</f>
        <v/>
      </c>
      <c r="M8869" s="112" t="str">
        <f t="shared" si="141"/>
        <v/>
      </c>
      <c r="N8869" s="113"/>
    </row>
    <row r="8870" spans="2:14">
      <c r="B8870" s="105"/>
      <c r="C8870" s="106"/>
      <c r="D8870" s="107"/>
      <c r="E8870" s="65"/>
      <c r="F8870" s="64"/>
      <c r="G8870" s="64"/>
      <c r="H8870" s="64"/>
      <c r="I8870" s="70"/>
      <c r="J8870" s="70"/>
      <c r="K8870" s="110" t="str">
        <f>IF(H8870="","",IF($C$29="간이법","",FPR(H8870,I8870,J8870)))</f>
        <v/>
      </c>
      <c r="L8870" s="111" t="str">
        <f>IF(H8870="","",IF($C$29="상세법",FPV(H8870,K8870),IF(H8870="EI",4,IF(H8870="EO",5.2,IF(H8870="EQ",3.9,IF(H8870="ILF",7.5,IF(H8870="EIF",5.4)))))))</f>
        <v/>
      </c>
      <c r="M8870" s="112" t="str">
        <f t="shared" si="141"/>
        <v/>
      </c>
      <c r="N8870" s="113"/>
    </row>
    <row r="8871" spans="2:14">
      <c r="B8871" s="105"/>
      <c r="C8871" s="106"/>
      <c r="D8871" s="107"/>
      <c r="E8871" s="65"/>
      <c r="F8871" s="64"/>
      <c r="G8871" s="64"/>
      <c r="H8871" s="64"/>
      <c r="I8871" s="70"/>
      <c r="J8871" s="70"/>
      <c r="K8871" s="110" t="str">
        <f>IF(H8871="","",IF($C$29="간이법","",FPR(H8871,I8871,J8871)))</f>
        <v/>
      </c>
      <c r="L8871" s="111" t="str">
        <f>IF(H8871="","",IF($C$29="상세법",FPV(H8871,K8871),IF(H8871="EI",4,IF(H8871="EO",5.2,IF(H8871="EQ",3.9,IF(H8871="ILF",7.5,IF(H8871="EIF",5.4)))))))</f>
        <v/>
      </c>
      <c r="M8871" s="112" t="str">
        <f t="shared" si="141"/>
        <v/>
      </c>
      <c r="N8871" s="113"/>
    </row>
    <row r="8872" spans="2:14">
      <c r="B8872" s="105"/>
      <c r="C8872" s="106"/>
      <c r="D8872" s="107"/>
      <c r="E8872" s="65"/>
      <c r="F8872" s="64"/>
      <c r="G8872" s="64"/>
      <c r="H8872" s="64"/>
      <c r="I8872" s="70"/>
      <c r="J8872" s="70"/>
      <c r="K8872" s="110" t="str">
        <f>IF(H8872="","",IF($C$29="간이법","",FPR(H8872,I8872,J8872)))</f>
        <v/>
      </c>
      <c r="L8872" s="111" t="str">
        <f>IF(H8872="","",IF($C$29="상세법",FPV(H8872,K8872),IF(H8872="EI",4,IF(H8872="EO",5.2,IF(H8872="EQ",3.9,IF(H8872="ILF",7.5,IF(H8872="EIF",5.4)))))))</f>
        <v/>
      </c>
      <c r="M8872" s="112" t="str">
        <f t="shared" si="141"/>
        <v/>
      </c>
      <c r="N8872" s="113"/>
    </row>
    <row r="8873" spans="2:14">
      <c r="B8873" s="105"/>
      <c r="C8873" s="106"/>
      <c r="D8873" s="107"/>
      <c r="E8873" s="65"/>
      <c r="F8873" s="64"/>
      <c r="G8873" s="64"/>
      <c r="H8873" s="64"/>
      <c r="I8873" s="70"/>
      <c r="J8873" s="70"/>
      <c r="K8873" s="110" t="str">
        <f>IF(H8873="","",IF($C$29="간이법","",FPR(H8873,I8873,J8873)))</f>
        <v/>
      </c>
      <c r="L8873" s="111" t="str">
        <f>IF(H8873="","",IF($C$29="상세법",FPV(H8873,K8873),IF(H8873="EI",4,IF(H8873="EO",5.2,IF(H8873="EQ",3.9,IF(H8873="ILF",7.5,IF(H8873="EIF",5.4)))))))</f>
        <v/>
      </c>
      <c r="M8873" s="112" t="str">
        <f t="shared" si="141"/>
        <v/>
      </c>
      <c r="N8873" s="113"/>
    </row>
    <row r="8874" spans="2:14">
      <c r="B8874" s="105"/>
      <c r="C8874" s="106"/>
      <c r="D8874" s="107"/>
      <c r="E8874" s="65"/>
      <c r="F8874" s="64"/>
      <c r="G8874" s="64"/>
      <c r="H8874" s="64"/>
      <c r="I8874" s="70"/>
      <c r="J8874" s="70"/>
      <c r="K8874" s="110" t="str">
        <f>IF(H8874="","",IF($C$29="간이법","",FPR(H8874,I8874,J8874)))</f>
        <v/>
      </c>
      <c r="L8874" s="111" t="str">
        <f>IF(H8874="","",IF($C$29="상세법",FPV(H8874,K8874),IF(H8874="EI",4,IF(H8874="EO",5.2,IF(H8874="EQ",3.9,IF(H8874="ILF",7.5,IF(H8874="EIF",5.4)))))))</f>
        <v/>
      </c>
      <c r="M8874" s="112" t="str">
        <f t="shared" si="141"/>
        <v/>
      </c>
      <c r="N8874" s="113"/>
    </row>
    <row r="8875" spans="2:14">
      <c r="B8875" s="105"/>
      <c r="C8875" s="106"/>
      <c r="D8875" s="107"/>
      <c r="E8875" s="65"/>
      <c r="F8875" s="64"/>
      <c r="G8875" s="64"/>
      <c r="H8875" s="64"/>
      <c r="I8875" s="70"/>
      <c r="J8875" s="70"/>
      <c r="K8875" s="110" t="str">
        <f>IF(H8875="","",IF($C$29="간이법","",FPR(H8875,I8875,J8875)))</f>
        <v/>
      </c>
      <c r="L8875" s="111" t="str">
        <f>IF(H8875="","",IF($C$29="상세법",FPV(H8875,K8875),IF(H8875="EI",4,IF(H8875="EO",5.2,IF(H8875="EQ",3.9,IF(H8875="ILF",7.5,IF(H8875="EIF",5.4)))))))</f>
        <v/>
      </c>
      <c r="M8875" s="112" t="str">
        <f t="shared" si="141"/>
        <v/>
      </c>
      <c r="N8875" s="113"/>
    </row>
    <row r="8876" spans="2:14">
      <c r="B8876" s="105"/>
      <c r="C8876" s="106"/>
      <c r="D8876" s="107"/>
      <c r="E8876" s="65"/>
      <c r="F8876" s="64"/>
      <c r="G8876" s="64"/>
      <c r="H8876" s="64"/>
      <c r="I8876" s="70"/>
      <c r="J8876" s="70"/>
      <c r="K8876" s="110" t="str">
        <f>IF(H8876="","",IF($C$29="간이법","",FPR(H8876,I8876,J8876)))</f>
        <v/>
      </c>
      <c r="L8876" s="111" t="str">
        <f>IF(H8876="","",IF($C$29="상세법",FPV(H8876,K8876),IF(H8876="EI",4,IF(H8876="EO",5.2,IF(H8876="EQ",3.9,IF(H8876="ILF",7.5,IF(H8876="EIF",5.4)))))))</f>
        <v/>
      </c>
      <c r="M8876" s="112" t="str">
        <f t="shared" si="141"/>
        <v/>
      </c>
      <c r="N8876" s="113"/>
    </row>
    <row r="8877" spans="2:14">
      <c r="B8877" s="105"/>
      <c r="C8877" s="106"/>
      <c r="D8877" s="107"/>
      <c r="E8877" s="65"/>
      <c r="F8877" s="64"/>
      <c r="G8877" s="64"/>
      <c r="H8877" s="64"/>
      <c r="I8877" s="70"/>
      <c r="J8877" s="70"/>
      <c r="K8877" s="110" t="str">
        <f>IF(H8877="","",IF($C$29="간이법","",FPR(H8877,I8877,J8877)))</f>
        <v/>
      </c>
      <c r="L8877" s="111" t="str">
        <f>IF(H8877="","",IF($C$29="상세법",FPV(H8877,K8877),IF(H8877="EI",4,IF(H8877="EO",5.2,IF(H8877="EQ",3.9,IF(H8877="ILF",7.5,IF(H8877="EIF",5.4)))))))</f>
        <v/>
      </c>
      <c r="M8877" s="112" t="str">
        <f t="shared" si="141"/>
        <v/>
      </c>
      <c r="N8877" s="113"/>
    </row>
    <row r="8878" spans="2:14">
      <c r="B8878" s="105"/>
      <c r="C8878" s="106"/>
      <c r="D8878" s="107"/>
      <c r="E8878" s="65"/>
      <c r="F8878" s="64"/>
      <c r="G8878" s="64"/>
      <c r="H8878" s="64"/>
      <c r="I8878" s="70"/>
      <c r="J8878" s="70"/>
      <c r="K8878" s="110" t="str">
        <f>IF(H8878="","",IF($C$29="간이법","",FPR(H8878,I8878,J8878)))</f>
        <v/>
      </c>
      <c r="L8878" s="111" t="str">
        <f>IF(H8878="","",IF($C$29="상세법",FPV(H8878,K8878),IF(H8878="EI",4,IF(H8878="EO",5.2,IF(H8878="EQ",3.9,IF(H8878="ILF",7.5,IF(H8878="EIF",5.4)))))))</f>
        <v/>
      </c>
      <c r="M8878" s="112" t="str">
        <f t="shared" si="141"/>
        <v/>
      </c>
      <c r="N8878" s="113"/>
    </row>
    <row r="8879" spans="2:14">
      <c r="B8879" s="105"/>
      <c r="C8879" s="106"/>
      <c r="D8879" s="107"/>
      <c r="E8879" s="65"/>
      <c r="F8879" s="64"/>
      <c r="G8879" s="64"/>
      <c r="H8879" s="64"/>
      <c r="I8879" s="70"/>
      <c r="J8879" s="70"/>
      <c r="K8879" s="110" t="str">
        <f>IF(H8879="","",IF($C$29="간이법","",FPR(H8879,I8879,J8879)))</f>
        <v/>
      </c>
      <c r="L8879" s="111" t="str">
        <f>IF(H8879="","",IF($C$29="상세법",FPV(H8879,K8879),IF(H8879="EI",4,IF(H8879="EO",5.2,IF(H8879="EQ",3.9,IF(H8879="ILF",7.5,IF(H8879="EIF",5.4)))))))</f>
        <v/>
      </c>
      <c r="M8879" s="112" t="str">
        <f t="shared" si="141"/>
        <v/>
      </c>
      <c r="N8879" s="113"/>
    </row>
    <row r="8880" spans="2:14">
      <c r="B8880" s="105"/>
      <c r="C8880" s="106"/>
      <c r="D8880" s="107"/>
      <c r="E8880" s="65"/>
      <c r="F8880" s="64"/>
      <c r="G8880" s="64"/>
      <c r="H8880" s="64"/>
      <c r="I8880" s="70"/>
      <c r="J8880" s="70"/>
      <c r="K8880" s="110" t="str">
        <f>IF(H8880="","",IF($C$29="간이법","",FPR(H8880,I8880,J8880)))</f>
        <v/>
      </c>
      <c r="L8880" s="111" t="str">
        <f>IF(H8880="","",IF($C$29="상세법",FPV(H8880,K8880),IF(H8880="EI",4,IF(H8880="EO",5.2,IF(H8880="EQ",3.9,IF(H8880="ILF",7.5,IF(H8880="EIF",5.4)))))))</f>
        <v/>
      </c>
      <c r="M8880" s="112" t="str">
        <f t="shared" si="141"/>
        <v/>
      </c>
      <c r="N8880" s="113"/>
    </row>
    <row r="8881" spans="2:14">
      <c r="B8881" s="105"/>
      <c r="C8881" s="106"/>
      <c r="D8881" s="107"/>
      <c r="E8881" s="65"/>
      <c r="F8881" s="64"/>
      <c r="G8881" s="64"/>
      <c r="H8881" s="64"/>
      <c r="I8881" s="70"/>
      <c r="J8881" s="70"/>
      <c r="K8881" s="110" t="str">
        <f>IF(H8881="","",IF($C$29="간이법","",FPR(H8881,I8881,J8881)))</f>
        <v/>
      </c>
      <c r="L8881" s="111" t="str">
        <f>IF(H8881="","",IF($C$29="상세법",FPV(H8881,K8881),IF(H8881="EI",4,IF(H8881="EO",5.2,IF(H8881="EQ",3.9,IF(H8881="ILF",7.5,IF(H8881="EIF",5.4)))))))</f>
        <v/>
      </c>
      <c r="M8881" s="112" t="str">
        <f t="shared" si="141"/>
        <v/>
      </c>
      <c r="N8881" s="113"/>
    </row>
    <row r="8882" spans="2:14">
      <c r="B8882" s="105"/>
      <c r="C8882" s="106"/>
      <c r="D8882" s="107"/>
      <c r="E8882" s="65"/>
      <c r="F8882" s="64"/>
      <c r="G8882" s="64"/>
      <c r="H8882" s="64"/>
      <c r="I8882" s="70"/>
      <c r="J8882" s="70"/>
      <c r="K8882" s="110" t="str">
        <f>IF(H8882="","",IF($C$29="간이법","",FPR(H8882,I8882,J8882)))</f>
        <v/>
      </c>
      <c r="L8882" s="111" t="str">
        <f>IF(H8882="","",IF($C$29="상세법",FPV(H8882,K8882),IF(H8882="EI",4,IF(H8882="EO",5.2,IF(H8882="EQ",3.9,IF(H8882="ILF",7.5,IF(H8882="EIF",5.4)))))))</f>
        <v/>
      </c>
      <c r="M8882" s="112" t="str">
        <f t="shared" si="141"/>
        <v/>
      </c>
      <c r="N8882" s="113"/>
    </row>
    <row r="8883" spans="2:14">
      <c r="B8883" s="105"/>
      <c r="C8883" s="106"/>
      <c r="D8883" s="107"/>
      <c r="E8883" s="65"/>
      <c r="F8883" s="64"/>
      <c r="G8883" s="64"/>
      <c r="H8883" s="64"/>
      <c r="I8883" s="70"/>
      <c r="J8883" s="70"/>
      <c r="K8883" s="110" t="str">
        <f>IF(H8883="","",IF($C$29="간이법","",FPR(H8883,I8883,J8883)))</f>
        <v/>
      </c>
      <c r="L8883" s="111" t="str">
        <f>IF(H8883="","",IF($C$29="상세법",FPV(H8883,K8883),IF(H8883="EI",4,IF(H8883="EO",5.2,IF(H8883="EQ",3.9,IF(H8883="ILF",7.5,IF(H8883="EIF",5.4)))))))</f>
        <v/>
      </c>
      <c r="M8883" s="112" t="str">
        <f t="shared" si="141"/>
        <v/>
      </c>
      <c r="N8883" s="113"/>
    </row>
    <row r="8884" spans="2:14">
      <c r="B8884" s="105"/>
      <c r="C8884" s="106"/>
      <c r="D8884" s="107"/>
      <c r="E8884" s="65"/>
      <c r="F8884" s="64"/>
      <c r="G8884" s="64"/>
      <c r="H8884" s="64"/>
      <c r="I8884" s="70"/>
      <c r="J8884" s="70"/>
      <c r="K8884" s="110" t="str">
        <f>IF(H8884="","",IF($C$29="간이법","",FPR(H8884,I8884,J8884)))</f>
        <v/>
      </c>
      <c r="L8884" s="111" t="str">
        <f>IF(H8884="","",IF($C$29="상세법",FPV(H8884,K8884),IF(H8884="EI",4,IF(H8884="EO",5.2,IF(H8884="EQ",3.9,IF(H8884="ILF",7.5,IF(H8884="EIF",5.4)))))))</f>
        <v/>
      </c>
      <c r="M8884" s="112" t="str">
        <f t="shared" si="141"/>
        <v/>
      </c>
      <c r="N8884" s="113"/>
    </row>
    <row r="8885" spans="2:14">
      <c r="B8885" s="105"/>
      <c r="C8885" s="106"/>
      <c r="D8885" s="107"/>
      <c r="E8885" s="65"/>
      <c r="F8885" s="64"/>
      <c r="G8885" s="64"/>
      <c r="H8885" s="64"/>
      <c r="I8885" s="70"/>
      <c r="J8885" s="70"/>
      <c r="K8885" s="110" t="str">
        <f>IF(H8885="","",IF($C$29="간이법","",FPR(H8885,I8885,J8885)))</f>
        <v/>
      </c>
      <c r="L8885" s="111" t="str">
        <f>IF(H8885="","",IF($C$29="상세법",FPV(H8885,K8885),IF(H8885="EI",4,IF(H8885="EO",5.2,IF(H8885="EQ",3.9,IF(H8885="ILF",7.5,IF(H8885="EIF",5.4)))))))</f>
        <v/>
      </c>
      <c r="M8885" s="112" t="str">
        <f t="shared" si="141"/>
        <v/>
      </c>
      <c r="N8885" s="113"/>
    </row>
    <row r="8886" spans="2:14">
      <c r="B8886" s="105"/>
      <c r="C8886" s="106"/>
      <c r="D8886" s="107"/>
      <c r="E8886" s="65"/>
      <c r="F8886" s="64"/>
      <c r="G8886" s="64"/>
      <c r="H8886" s="64"/>
      <c r="I8886" s="70"/>
      <c r="J8886" s="70"/>
      <c r="K8886" s="110" t="str">
        <f>IF(H8886="","",IF($C$29="간이법","",FPR(H8886,I8886,J8886)))</f>
        <v/>
      </c>
      <c r="L8886" s="111" t="str">
        <f>IF(H8886="","",IF($C$29="상세법",FPV(H8886,K8886),IF(H8886="EI",4,IF(H8886="EO",5.2,IF(H8886="EQ",3.9,IF(H8886="ILF",7.5,IF(H8886="EIF",5.4)))))))</f>
        <v/>
      </c>
      <c r="M8886" s="112" t="str">
        <f t="shared" si="141"/>
        <v/>
      </c>
      <c r="N8886" s="113"/>
    </row>
    <row r="8887" spans="2:14">
      <c r="B8887" s="105"/>
      <c r="C8887" s="106"/>
      <c r="D8887" s="107"/>
      <c r="E8887" s="65"/>
      <c r="F8887" s="64"/>
      <c r="G8887" s="64"/>
      <c r="H8887" s="64"/>
      <c r="I8887" s="70"/>
      <c r="J8887" s="70"/>
      <c r="K8887" s="110" t="str">
        <f>IF(H8887="","",IF($C$29="간이법","",FPR(H8887,I8887,J8887)))</f>
        <v/>
      </c>
      <c r="L8887" s="111" t="str">
        <f>IF(H8887="","",IF($C$29="상세법",FPV(H8887,K8887),IF(H8887="EI",4,IF(H8887="EO",5.2,IF(H8887="EQ",3.9,IF(H8887="ILF",7.5,IF(H8887="EIF",5.4)))))))</f>
        <v/>
      </c>
      <c r="M8887" s="112" t="str">
        <f t="shared" si="141"/>
        <v/>
      </c>
      <c r="N8887" s="113"/>
    </row>
    <row r="8888" spans="2:14">
      <c r="B8888" s="105"/>
      <c r="C8888" s="106"/>
      <c r="D8888" s="107"/>
      <c r="E8888" s="65"/>
      <c r="F8888" s="64"/>
      <c r="G8888" s="64"/>
      <c r="H8888" s="64"/>
      <c r="I8888" s="70"/>
      <c r="J8888" s="70"/>
      <c r="K8888" s="110" t="str">
        <f>IF(H8888="","",IF($C$29="간이법","",FPR(H8888,I8888,J8888)))</f>
        <v/>
      </c>
      <c r="L8888" s="111" t="str">
        <f>IF(H8888="","",IF($C$29="상세법",FPV(H8888,K8888),IF(H8888="EI",4,IF(H8888="EO",5.2,IF(H8888="EQ",3.9,IF(H8888="ILF",7.5,IF(H8888="EIF",5.4)))))))</f>
        <v/>
      </c>
      <c r="M8888" s="112" t="str">
        <f t="shared" si="141"/>
        <v/>
      </c>
      <c r="N8888" s="113"/>
    </row>
    <row r="8889" spans="2:14">
      <c r="B8889" s="105"/>
      <c r="C8889" s="106"/>
      <c r="D8889" s="107"/>
      <c r="E8889" s="65"/>
      <c r="F8889" s="64"/>
      <c r="G8889" s="64"/>
      <c r="H8889" s="64"/>
      <c r="I8889" s="70"/>
      <c r="J8889" s="70"/>
      <c r="K8889" s="110" t="str">
        <f>IF(H8889="","",IF($C$29="간이법","",FPR(H8889,I8889,J8889)))</f>
        <v/>
      </c>
      <c r="L8889" s="111" t="str">
        <f>IF(H8889="","",IF($C$29="상세법",FPV(H8889,K8889),IF(H8889="EI",4,IF(H8889="EO",5.2,IF(H8889="EQ",3.9,IF(H8889="ILF",7.5,IF(H8889="EIF",5.4)))))))</f>
        <v/>
      </c>
      <c r="M8889" s="112" t="str">
        <f t="shared" ref="M8889:M8952" si="142">IF(L8889="","",L8889*IF(G8889="상",0.7,IF(G8889="중",0.5,IF(G8889="하",0.2,1))))</f>
        <v/>
      </c>
      <c r="N8889" s="113"/>
    </row>
    <row r="8890" spans="2:14">
      <c r="B8890" s="105"/>
      <c r="C8890" s="106"/>
      <c r="D8890" s="107"/>
      <c r="E8890" s="65"/>
      <c r="F8890" s="64"/>
      <c r="G8890" s="64"/>
      <c r="H8890" s="64"/>
      <c r="I8890" s="70"/>
      <c r="J8890" s="70"/>
      <c r="K8890" s="110" t="str">
        <f>IF(H8890="","",IF($C$29="간이법","",FPR(H8890,I8890,J8890)))</f>
        <v/>
      </c>
      <c r="L8890" s="111" t="str">
        <f>IF(H8890="","",IF($C$29="상세법",FPV(H8890,K8890),IF(H8890="EI",4,IF(H8890="EO",5.2,IF(H8890="EQ",3.9,IF(H8890="ILF",7.5,IF(H8890="EIF",5.4)))))))</f>
        <v/>
      </c>
      <c r="M8890" s="112" t="str">
        <f t="shared" si="142"/>
        <v/>
      </c>
      <c r="N8890" s="113"/>
    </row>
    <row r="8891" spans="2:14">
      <c r="B8891" s="105"/>
      <c r="C8891" s="106"/>
      <c r="D8891" s="107"/>
      <c r="E8891" s="65"/>
      <c r="F8891" s="64"/>
      <c r="G8891" s="64"/>
      <c r="H8891" s="64"/>
      <c r="I8891" s="70"/>
      <c r="J8891" s="70"/>
      <c r="K8891" s="110" t="str">
        <f>IF(H8891="","",IF($C$29="간이법","",FPR(H8891,I8891,J8891)))</f>
        <v/>
      </c>
      <c r="L8891" s="111" t="str">
        <f>IF(H8891="","",IF($C$29="상세법",FPV(H8891,K8891),IF(H8891="EI",4,IF(H8891="EO",5.2,IF(H8891="EQ",3.9,IF(H8891="ILF",7.5,IF(H8891="EIF",5.4)))))))</f>
        <v/>
      </c>
      <c r="M8891" s="112" t="str">
        <f t="shared" si="142"/>
        <v/>
      </c>
      <c r="N8891" s="113"/>
    </row>
    <row r="8892" spans="2:14">
      <c r="B8892" s="105"/>
      <c r="C8892" s="106"/>
      <c r="D8892" s="107"/>
      <c r="E8892" s="65"/>
      <c r="F8892" s="64"/>
      <c r="G8892" s="64"/>
      <c r="H8892" s="64"/>
      <c r="I8892" s="70"/>
      <c r="J8892" s="70"/>
      <c r="K8892" s="110" t="str">
        <f>IF(H8892="","",IF($C$29="간이법","",FPR(H8892,I8892,J8892)))</f>
        <v/>
      </c>
      <c r="L8892" s="111" t="str">
        <f>IF(H8892="","",IF($C$29="상세법",FPV(H8892,K8892),IF(H8892="EI",4,IF(H8892="EO",5.2,IF(H8892="EQ",3.9,IF(H8892="ILF",7.5,IF(H8892="EIF",5.4)))))))</f>
        <v/>
      </c>
      <c r="M8892" s="112" t="str">
        <f t="shared" si="142"/>
        <v/>
      </c>
      <c r="N8892" s="113"/>
    </row>
    <row r="8893" spans="2:14">
      <c r="B8893" s="105"/>
      <c r="C8893" s="106"/>
      <c r="D8893" s="107"/>
      <c r="E8893" s="65"/>
      <c r="F8893" s="64"/>
      <c r="G8893" s="64"/>
      <c r="H8893" s="64"/>
      <c r="I8893" s="70"/>
      <c r="J8893" s="70"/>
      <c r="K8893" s="110" t="str">
        <f>IF(H8893="","",IF($C$29="간이법","",FPR(H8893,I8893,J8893)))</f>
        <v/>
      </c>
      <c r="L8893" s="111" t="str">
        <f>IF(H8893="","",IF($C$29="상세법",FPV(H8893,K8893),IF(H8893="EI",4,IF(H8893="EO",5.2,IF(H8893="EQ",3.9,IF(H8893="ILF",7.5,IF(H8893="EIF",5.4)))))))</f>
        <v/>
      </c>
      <c r="M8893" s="112" t="str">
        <f t="shared" si="142"/>
        <v/>
      </c>
      <c r="N8893" s="113"/>
    </row>
    <row r="8894" spans="2:14">
      <c r="B8894" s="105"/>
      <c r="C8894" s="106"/>
      <c r="D8894" s="107"/>
      <c r="E8894" s="65"/>
      <c r="F8894" s="64"/>
      <c r="G8894" s="64"/>
      <c r="H8894" s="64"/>
      <c r="I8894" s="70"/>
      <c r="J8894" s="70"/>
      <c r="K8894" s="110" t="str">
        <f>IF(H8894="","",IF($C$29="간이법","",FPR(H8894,I8894,J8894)))</f>
        <v/>
      </c>
      <c r="L8894" s="111" t="str">
        <f>IF(H8894="","",IF($C$29="상세법",FPV(H8894,K8894),IF(H8894="EI",4,IF(H8894="EO",5.2,IF(H8894="EQ",3.9,IF(H8894="ILF",7.5,IF(H8894="EIF",5.4)))))))</f>
        <v/>
      </c>
      <c r="M8894" s="112" t="str">
        <f t="shared" si="142"/>
        <v/>
      </c>
      <c r="N8894" s="113"/>
    </row>
    <row r="8895" spans="2:14">
      <c r="B8895" s="105"/>
      <c r="C8895" s="106"/>
      <c r="D8895" s="107"/>
      <c r="E8895" s="65"/>
      <c r="F8895" s="64"/>
      <c r="G8895" s="64"/>
      <c r="H8895" s="64"/>
      <c r="I8895" s="70"/>
      <c r="J8895" s="70"/>
      <c r="K8895" s="110" t="str">
        <f>IF(H8895="","",IF($C$29="간이법","",FPR(H8895,I8895,J8895)))</f>
        <v/>
      </c>
      <c r="L8895" s="111" t="str">
        <f>IF(H8895="","",IF($C$29="상세법",FPV(H8895,K8895),IF(H8895="EI",4,IF(H8895="EO",5.2,IF(H8895="EQ",3.9,IF(H8895="ILF",7.5,IF(H8895="EIF",5.4)))))))</f>
        <v/>
      </c>
      <c r="M8895" s="112" t="str">
        <f t="shared" si="142"/>
        <v/>
      </c>
      <c r="N8895" s="113"/>
    </row>
    <row r="8896" spans="2:14">
      <c r="B8896" s="105"/>
      <c r="C8896" s="106"/>
      <c r="D8896" s="107"/>
      <c r="E8896" s="65"/>
      <c r="F8896" s="64"/>
      <c r="G8896" s="64"/>
      <c r="H8896" s="64"/>
      <c r="I8896" s="70"/>
      <c r="J8896" s="70"/>
      <c r="K8896" s="110" t="str">
        <f>IF(H8896="","",IF($C$29="간이법","",FPR(H8896,I8896,J8896)))</f>
        <v/>
      </c>
      <c r="L8896" s="111" t="str">
        <f>IF(H8896="","",IF($C$29="상세법",FPV(H8896,K8896),IF(H8896="EI",4,IF(H8896="EO",5.2,IF(H8896="EQ",3.9,IF(H8896="ILF",7.5,IF(H8896="EIF",5.4)))))))</f>
        <v/>
      </c>
      <c r="M8896" s="112" t="str">
        <f t="shared" si="142"/>
        <v/>
      </c>
      <c r="N8896" s="113"/>
    </row>
    <row r="8897" spans="2:14">
      <c r="B8897" s="105"/>
      <c r="C8897" s="106"/>
      <c r="D8897" s="107"/>
      <c r="E8897" s="65"/>
      <c r="F8897" s="64"/>
      <c r="G8897" s="64"/>
      <c r="H8897" s="64"/>
      <c r="I8897" s="70"/>
      <c r="J8897" s="70"/>
      <c r="K8897" s="110" t="str">
        <f>IF(H8897="","",IF($C$29="간이법","",FPR(H8897,I8897,J8897)))</f>
        <v/>
      </c>
      <c r="L8897" s="111" t="str">
        <f>IF(H8897="","",IF($C$29="상세법",FPV(H8897,K8897),IF(H8897="EI",4,IF(H8897="EO",5.2,IF(H8897="EQ",3.9,IF(H8897="ILF",7.5,IF(H8897="EIF",5.4)))))))</f>
        <v/>
      </c>
      <c r="M8897" s="112" t="str">
        <f t="shared" si="142"/>
        <v/>
      </c>
      <c r="N8897" s="113"/>
    </row>
    <row r="8898" spans="2:14">
      <c r="B8898" s="105"/>
      <c r="C8898" s="106"/>
      <c r="D8898" s="107"/>
      <c r="E8898" s="65"/>
      <c r="F8898" s="64"/>
      <c r="G8898" s="64"/>
      <c r="H8898" s="64"/>
      <c r="I8898" s="70"/>
      <c r="J8898" s="70"/>
      <c r="K8898" s="110" t="str">
        <f>IF(H8898="","",IF($C$29="간이법","",FPR(H8898,I8898,J8898)))</f>
        <v/>
      </c>
      <c r="L8898" s="111" t="str">
        <f>IF(H8898="","",IF($C$29="상세법",FPV(H8898,K8898),IF(H8898="EI",4,IF(H8898="EO",5.2,IF(H8898="EQ",3.9,IF(H8898="ILF",7.5,IF(H8898="EIF",5.4)))))))</f>
        <v/>
      </c>
      <c r="M8898" s="112" t="str">
        <f t="shared" si="142"/>
        <v/>
      </c>
      <c r="N8898" s="113"/>
    </row>
    <row r="8899" spans="2:14">
      <c r="B8899" s="105"/>
      <c r="C8899" s="106"/>
      <c r="D8899" s="107"/>
      <c r="E8899" s="65"/>
      <c r="F8899" s="64"/>
      <c r="G8899" s="64"/>
      <c r="H8899" s="64"/>
      <c r="I8899" s="70"/>
      <c r="J8899" s="70"/>
      <c r="K8899" s="110" t="str">
        <f>IF(H8899="","",IF($C$29="간이법","",FPR(H8899,I8899,J8899)))</f>
        <v/>
      </c>
      <c r="L8899" s="111" t="str">
        <f>IF(H8899="","",IF($C$29="상세법",FPV(H8899,K8899),IF(H8899="EI",4,IF(H8899="EO",5.2,IF(H8899="EQ",3.9,IF(H8899="ILF",7.5,IF(H8899="EIF",5.4)))))))</f>
        <v/>
      </c>
      <c r="M8899" s="112" t="str">
        <f t="shared" si="142"/>
        <v/>
      </c>
      <c r="N8899" s="113"/>
    </row>
    <row r="8900" spans="2:14">
      <c r="B8900" s="105"/>
      <c r="C8900" s="106"/>
      <c r="D8900" s="107"/>
      <c r="E8900" s="65"/>
      <c r="F8900" s="64"/>
      <c r="G8900" s="64"/>
      <c r="H8900" s="64"/>
      <c r="I8900" s="70"/>
      <c r="J8900" s="70"/>
      <c r="K8900" s="110" t="str">
        <f>IF(H8900="","",IF($C$29="간이법","",FPR(H8900,I8900,J8900)))</f>
        <v/>
      </c>
      <c r="L8900" s="111" t="str">
        <f>IF(H8900="","",IF($C$29="상세법",FPV(H8900,K8900),IF(H8900="EI",4,IF(H8900="EO",5.2,IF(H8900="EQ",3.9,IF(H8900="ILF",7.5,IF(H8900="EIF",5.4)))))))</f>
        <v/>
      </c>
      <c r="M8900" s="112" t="str">
        <f t="shared" si="142"/>
        <v/>
      </c>
      <c r="N8900" s="113"/>
    </row>
    <row r="8901" spans="2:14">
      <c r="B8901" s="105"/>
      <c r="C8901" s="106"/>
      <c r="D8901" s="107"/>
      <c r="E8901" s="65"/>
      <c r="F8901" s="64"/>
      <c r="G8901" s="64"/>
      <c r="H8901" s="64"/>
      <c r="I8901" s="70"/>
      <c r="J8901" s="70"/>
      <c r="K8901" s="110" t="str">
        <f>IF(H8901="","",IF($C$29="간이법","",FPR(H8901,I8901,J8901)))</f>
        <v/>
      </c>
      <c r="L8901" s="111" t="str">
        <f>IF(H8901="","",IF($C$29="상세법",FPV(H8901,K8901),IF(H8901="EI",4,IF(H8901="EO",5.2,IF(H8901="EQ",3.9,IF(H8901="ILF",7.5,IF(H8901="EIF",5.4)))))))</f>
        <v/>
      </c>
      <c r="M8901" s="112" t="str">
        <f t="shared" si="142"/>
        <v/>
      </c>
      <c r="N8901" s="113"/>
    </row>
    <row r="8902" spans="2:14">
      <c r="B8902" s="105"/>
      <c r="C8902" s="106"/>
      <c r="D8902" s="107"/>
      <c r="E8902" s="65"/>
      <c r="F8902" s="64"/>
      <c r="G8902" s="64"/>
      <c r="H8902" s="64"/>
      <c r="I8902" s="70"/>
      <c r="J8902" s="70"/>
      <c r="K8902" s="110" t="str">
        <f>IF(H8902="","",IF($C$29="간이법","",FPR(H8902,I8902,J8902)))</f>
        <v/>
      </c>
      <c r="L8902" s="111" t="str">
        <f>IF(H8902="","",IF($C$29="상세법",FPV(H8902,K8902),IF(H8902="EI",4,IF(H8902="EO",5.2,IF(H8902="EQ",3.9,IF(H8902="ILF",7.5,IF(H8902="EIF",5.4)))))))</f>
        <v/>
      </c>
      <c r="M8902" s="112" t="str">
        <f t="shared" si="142"/>
        <v/>
      </c>
      <c r="N8902" s="113"/>
    </row>
    <row r="8903" spans="2:14">
      <c r="B8903" s="105"/>
      <c r="C8903" s="106"/>
      <c r="D8903" s="107"/>
      <c r="E8903" s="65"/>
      <c r="F8903" s="64"/>
      <c r="G8903" s="64"/>
      <c r="H8903" s="64"/>
      <c r="I8903" s="70"/>
      <c r="J8903" s="70"/>
      <c r="K8903" s="110" t="str">
        <f>IF(H8903="","",IF($C$29="간이법","",FPR(H8903,I8903,J8903)))</f>
        <v/>
      </c>
      <c r="L8903" s="111" t="str">
        <f>IF(H8903="","",IF($C$29="상세법",FPV(H8903,K8903),IF(H8903="EI",4,IF(H8903="EO",5.2,IF(H8903="EQ",3.9,IF(H8903="ILF",7.5,IF(H8903="EIF",5.4)))))))</f>
        <v/>
      </c>
      <c r="M8903" s="112" t="str">
        <f t="shared" si="142"/>
        <v/>
      </c>
      <c r="N8903" s="113"/>
    </row>
    <row r="8904" spans="2:14">
      <c r="B8904" s="105"/>
      <c r="C8904" s="106"/>
      <c r="D8904" s="107"/>
      <c r="E8904" s="65"/>
      <c r="F8904" s="64"/>
      <c r="G8904" s="64"/>
      <c r="H8904" s="64"/>
      <c r="I8904" s="70"/>
      <c r="J8904" s="70"/>
      <c r="K8904" s="110" t="str">
        <f>IF(H8904="","",IF($C$29="간이법","",FPR(H8904,I8904,J8904)))</f>
        <v/>
      </c>
      <c r="L8904" s="111" t="str">
        <f>IF(H8904="","",IF($C$29="상세법",FPV(H8904,K8904),IF(H8904="EI",4,IF(H8904="EO",5.2,IF(H8904="EQ",3.9,IF(H8904="ILF",7.5,IF(H8904="EIF",5.4)))))))</f>
        <v/>
      </c>
      <c r="M8904" s="112" t="str">
        <f t="shared" si="142"/>
        <v/>
      </c>
      <c r="N8904" s="113"/>
    </row>
    <row r="8905" spans="2:14">
      <c r="B8905" s="105"/>
      <c r="C8905" s="106"/>
      <c r="D8905" s="107"/>
      <c r="E8905" s="65"/>
      <c r="F8905" s="64"/>
      <c r="G8905" s="64"/>
      <c r="H8905" s="64"/>
      <c r="I8905" s="70"/>
      <c r="J8905" s="70"/>
      <c r="K8905" s="110" t="str">
        <f>IF(H8905="","",IF($C$29="간이법","",FPR(H8905,I8905,J8905)))</f>
        <v/>
      </c>
      <c r="L8905" s="111" t="str">
        <f>IF(H8905="","",IF($C$29="상세법",FPV(H8905,K8905),IF(H8905="EI",4,IF(H8905="EO",5.2,IF(H8905="EQ",3.9,IF(H8905="ILF",7.5,IF(H8905="EIF",5.4)))))))</f>
        <v/>
      </c>
      <c r="M8905" s="112" t="str">
        <f t="shared" si="142"/>
        <v/>
      </c>
      <c r="N8905" s="113"/>
    </row>
    <row r="8906" spans="2:14">
      <c r="B8906" s="105"/>
      <c r="C8906" s="106"/>
      <c r="D8906" s="107"/>
      <c r="E8906" s="65"/>
      <c r="F8906" s="64"/>
      <c r="G8906" s="64"/>
      <c r="H8906" s="64"/>
      <c r="I8906" s="70"/>
      <c r="J8906" s="70"/>
      <c r="K8906" s="110" t="str">
        <f>IF(H8906="","",IF($C$29="간이법","",FPR(H8906,I8906,J8906)))</f>
        <v/>
      </c>
      <c r="L8906" s="111" t="str">
        <f>IF(H8906="","",IF($C$29="상세법",FPV(H8906,K8906),IF(H8906="EI",4,IF(H8906="EO",5.2,IF(H8906="EQ",3.9,IF(H8906="ILF",7.5,IF(H8906="EIF",5.4)))))))</f>
        <v/>
      </c>
      <c r="M8906" s="112" t="str">
        <f t="shared" si="142"/>
        <v/>
      </c>
      <c r="N8906" s="113"/>
    </row>
    <row r="8907" spans="2:14">
      <c r="B8907" s="105"/>
      <c r="C8907" s="106"/>
      <c r="D8907" s="107"/>
      <c r="E8907" s="65"/>
      <c r="F8907" s="64"/>
      <c r="G8907" s="64"/>
      <c r="H8907" s="64"/>
      <c r="I8907" s="70"/>
      <c r="J8907" s="70"/>
      <c r="K8907" s="110" t="str">
        <f>IF(H8907="","",IF($C$29="간이법","",FPR(H8907,I8907,J8907)))</f>
        <v/>
      </c>
      <c r="L8907" s="111" t="str">
        <f>IF(H8907="","",IF($C$29="상세법",FPV(H8907,K8907),IF(H8907="EI",4,IF(H8907="EO",5.2,IF(H8907="EQ",3.9,IF(H8907="ILF",7.5,IF(H8907="EIF",5.4)))))))</f>
        <v/>
      </c>
      <c r="M8907" s="112" t="str">
        <f t="shared" si="142"/>
        <v/>
      </c>
      <c r="N8907" s="113"/>
    </row>
    <row r="8908" spans="2:14">
      <c r="B8908" s="105"/>
      <c r="C8908" s="106"/>
      <c r="D8908" s="107"/>
      <c r="E8908" s="65"/>
      <c r="F8908" s="64"/>
      <c r="G8908" s="64"/>
      <c r="H8908" s="64"/>
      <c r="I8908" s="70"/>
      <c r="J8908" s="70"/>
      <c r="K8908" s="110" t="str">
        <f>IF(H8908="","",IF($C$29="간이법","",FPR(H8908,I8908,J8908)))</f>
        <v/>
      </c>
      <c r="L8908" s="111" t="str">
        <f>IF(H8908="","",IF($C$29="상세법",FPV(H8908,K8908),IF(H8908="EI",4,IF(H8908="EO",5.2,IF(H8908="EQ",3.9,IF(H8908="ILF",7.5,IF(H8908="EIF",5.4)))))))</f>
        <v/>
      </c>
      <c r="M8908" s="112" t="str">
        <f t="shared" si="142"/>
        <v/>
      </c>
      <c r="N8908" s="113"/>
    </row>
    <row r="8909" spans="2:14">
      <c r="B8909" s="105"/>
      <c r="C8909" s="106"/>
      <c r="D8909" s="107"/>
      <c r="E8909" s="65"/>
      <c r="F8909" s="64"/>
      <c r="G8909" s="64"/>
      <c r="H8909" s="64"/>
      <c r="I8909" s="70"/>
      <c r="J8909" s="70"/>
      <c r="K8909" s="110" t="str">
        <f>IF(H8909="","",IF($C$29="간이법","",FPR(H8909,I8909,J8909)))</f>
        <v/>
      </c>
      <c r="L8909" s="111" t="str">
        <f>IF(H8909="","",IF($C$29="상세법",FPV(H8909,K8909),IF(H8909="EI",4,IF(H8909="EO",5.2,IF(H8909="EQ",3.9,IF(H8909="ILF",7.5,IF(H8909="EIF",5.4)))))))</f>
        <v/>
      </c>
      <c r="M8909" s="112" t="str">
        <f t="shared" si="142"/>
        <v/>
      </c>
      <c r="N8909" s="113"/>
    </row>
    <row r="8910" spans="2:14">
      <c r="B8910" s="105"/>
      <c r="C8910" s="106"/>
      <c r="D8910" s="107"/>
      <c r="E8910" s="65"/>
      <c r="F8910" s="64"/>
      <c r="G8910" s="64"/>
      <c r="H8910" s="64"/>
      <c r="I8910" s="70"/>
      <c r="J8910" s="70"/>
      <c r="K8910" s="110" t="str">
        <f>IF(H8910="","",IF($C$29="간이법","",FPR(H8910,I8910,J8910)))</f>
        <v/>
      </c>
      <c r="L8910" s="111" t="str">
        <f>IF(H8910="","",IF($C$29="상세법",FPV(H8910,K8910),IF(H8910="EI",4,IF(H8910="EO",5.2,IF(H8910="EQ",3.9,IF(H8910="ILF",7.5,IF(H8910="EIF",5.4)))))))</f>
        <v/>
      </c>
      <c r="M8910" s="112" t="str">
        <f t="shared" si="142"/>
        <v/>
      </c>
      <c r="N8910" s="113"/>
    </row>
    <row r="8911" spans="2:14">
      <c r="B8911" s="105"/>
      <c r="C8911" s="106"/>
      <c r="D8911" s="107"/>
      <c r="E8911" s="65"/>
      <c r="F8911" s="64"/>
      <c r="G8911" s="64"/>
      <c r="H8911" s="64"/>
      <c r="I8911" s="70"/>
      <c r="J8911" s="70"/>
      <c r="K8911" s="110" t="str">
        <f>IF(H8911="","",IF($C$29="간이법","",FPR(H8911,I8911,J8911)))</f>
        <v/>
      </c>
      <c r="L8911" s="111" t="str">
        <f>IF(H8911="","",IF($C$29="상세법",FPV(H8911,K8911),IF(H8911="EI",4,IF(H8911="EO",5.2,IF(H8911="EQ",3.9,IF(H8911="ILF",7.5,IF(H8911="EIF",5.4)))))))</f>
        <v/>
      </c>
      <c r="M8911" s="112" t="str">
        <f t="shared" si="142"/>
        <v/>
      </c>
      <c r="N8911" s="113"/>
    </row>
    <row r="8912" spans="2:14">
      <c r="B8912" s="105"/>
      <c r="C8912" s="106"/>
      <c r="D8912" s="107"/>
      <c r="E8912" s="65"/>
      <c r="F8912" s="64"/>
      <c r="G8912" s="64"/>
      <c r="H8912" s="64"/>
      <c r="I8912" s="70"/>
      <c r="J8912" s="70"/>
      <c r="K8912" s="110" t="str">
        <f>IF(H8912="","",IF($C$29="간이법","",FPR(H8912,I8912,J8912)))</f>
        <v/>
      </c>
      <c r="L8912" s="111" t="str">
        <f>IF(H8912="","",IF($C$29="상세법",FPV(H8912,K8912),IF(H8912="EI",4,IF(H8912="EO",5.2,IF(H8912="EQ",3.9,IF(H8912="ILF",7.5,IF(H8912="EIF",5.4)))))))</f>
        <v/>
      </c>
      <c r="M8912" s="112" t="str">
        <f t="shared" si="142"/>
        <v/>
      </c>
      <c r="N8912" s="113"/>
    </row>
    <row r="8913" spans="2:14">
      <c r="B8913" s="105"/>
      <c r="C8913" s="106"/>
      <c r="D8913" s="107"/>
      <c r="E8913" s="65"/>
      <c r="F8913" s="64"/>
      <c r="G8913" s="64"/>
      <c r="H8913" s="64"/>
      <c r="I8913" s="70"/>
      <c r="J8913" s="70"/>
      <c r="K8913" s="110" t="str">
        <f>IF(H8913="","",IF($C$29="간이법","",FPR(H8913,I8913,J8913)))</f>
        <v/>
      </c>
      <c r="L8913" s="111" t="str">
        <f>IF(H8913="","",IF($C$29="상세법",FPV(H8913,K8913),IF(H8913="EI",4,IF(H8913="EO",5.2,IF(H8913="EQ",3.9,IF(H8913="ILF",7.5,IF(H8913="EIF",5.4)))))))</f>
        <v/>
      </c>
      <c r="M8913" s="112" t="str">
        <f t="shared" si="142"/>
        <v/>
      </c>
      <c r="N8913" s="113"/>
    </row>
    <row r="8914" spans="2:14">
      <c r="B8914" s="105"/>
      <c r="C8914" s="106"/>
      <c r="D8914" s="107"/>
      <c r="E8914" s="65"/>
      <c r="F8914" s="64"/>
      <c r="G8914" s="64"/>
      <c r="H8914" s="64"/>
      <c r="I8914" s="70"/>
      <c r="J8914" s="70"/>
      <c r="K8914" s="110" t="str">
        <f>IF(H8914="","",IF($C$29="간이법","",FPR(H8914,I8914,J8914)))</f>
        <v/>
      </c>
      <c r="L8914" s="111" t="str">
        <f>IF(H8914="","",IF($C$29="상세법",FPV(H8914,K8914),IF(H8914="EI",4,IF(H8914="EO",5.2,IF(H8914="EQ",3.9,IF(H8914="ILF",7.5,IF(H8914="EIF",5.4)))))))</f>
        <v/>
      </c>
      <c r="M8914" s="112" t="str">
        <f t="shared" si="142"/>
        <v/>
      </c>
      <c r="N8914" s="113"/>
    </row>
    <row r="8915" spans="2:14">
      <c r="B8915" s="105"/>
      <c r="C8915" s="106"/>
      <c r="D8915" s="107"/>
      <c r="E8915" s="65"/>
      <c r="F8915" s="64"/>
      <c r="G8915" s="64"/>
      <c r="H8915" s="64"/>
      <c r="I8915" s="70"/>
      <c r="J8915" s="70"/>
      <c r="K8915" s="110" t="str">
        <f>IF(H8915="","",IF($C$29="간이법","",FPR(H8915,I8915,J8915)))</f>
        <v/>
      </c>
      <c r="L8915" s="111" t="str">
        <f>IF(H8915="","",IF($C$29="상세법",FPV(H8915,K8915),IF(H8915="EI",4,IF(H8915="EO",5.2,IF(H8915="EQ",3.9,IF(H8915="ILF",7.5,IF(H8915="EIF",5.4)))))))</f>
        <v/>
      </c>
      <c r="M8915" s="112" t="str">
        <f t="shared" si="142"/>
        <v/>
      </c>
      <c r="N8915" s="113"/>
    </row>
    <row r="8916" spans="2:14">
      <c r="B8916" s="105"/>
      <c r="C8916" s="106"/>
      <c r="D8916" s="107"/>
      <c r="E8916" s="65"/>
      <c r="F8916" s="64"/>
      <c r="G8916" s="64"/>
      <c r="H8916" s="64"/>
      <c r="I8916" s="70"/>
      <c r="J8916" s="70"/>
      <c r="K8916" s="110" t="str">
        <f>IF(H8916="","",IF($C$29="간이법","",FPR(H8916,I8916,J8916)))</f>
        <v/>
      </c>
      <c r="L8916" s="111" t="str">
        <f>IF(H8916="","",IF($C$29="상세법",FPV(H8916,K8916),IF(H8916="EI",4,IF(H8916="EO",5.2,IF(H8916="EQ",3.9,IF(H8916="ILF",7.5,IF(H8916="EIF",5.4)))))))</f>
        <v/>
      </c>
      <c r="M8916" s="112" t="str">
        <f t="shared" si="142"/>
        <v/>
      </c>
      <c r="N8916" s="113"/>
    </row>
    <row r="8917" spans="2:14">
      <c r="B8917" s="105"/>
      <c r="C8917" s="106"/>
      <c r="D8917" s="107"/>
      <c r="E8917" s="65"/>
      <c r="F8917" s="64"/>
      <c r="G8917" s="64"/>
      <c r="H8917" s="64"/>
      <c r="I8917" s="70"/>
      <c r="J8917" s="70"/>
      <c r="K8917" s="110" t="str">
        <f>IF(H8917="","",IF($C$29="간이법","",FPR(H8917,I8917,J8917)))</f>
        <v/>
      </c>
      <c r="L8917" s="111" t="str">
        <f>IF(H8917="","",IF($C$29="상세법",FPV(H8917,K8917),IF(H8917="EI",4,IF(H8917="EO",5.2,IF(H8917="EQ",3.9,IF(H8917="ILF",7.5,IF(H8917="EIF",5.4)))))))</f>
        <v/>
      </c>
      <c r="M8917" s="112" t="str">
        <f t="shared" si="142"/>
        <v/>
      </c>
      <c r="N8917" s="113"/>
    </row>
    <row r="8918" spans="2:14">
      <c r="B8918" s="105"/>
      <c r="C8918" s="106"/>
      <c r="D8918" s="107"/>
      <c r="E8918" s="65"/>
      <c r="F8918" s="64"/>
      <c r="G8918" s="64"/>
      <c r="H8918" s="64"/>
      <c r="I8918" s="70"/>
      <c r="J8918" s="70"/>
      <c r="K8918" s="110" t="str">
        <f>IF(H8918="","",IF($C$29="간이법","",FPR(H8918,I8918,J8918)))</f>
        <v/>
      </c>
      <c r="L8918" s="111" t="str">
        <f>IF(H8918="","",IF($C$29="상세법",FPV(H8918,K8918),IF(H8918="EI",4,IF(H8918="EO",5.2,IF(H8918="EQ",3.9,IF(H8918="ILF",7.5,IF(H8918="EIF",5.4)))))))</f>
        <v/>
      </c>
      <c r="M8918" s="112" t="str">
        <f t="shared" si="142"/>
        <v/>
      </c>
      <c r="N8918" s="113"/>
    </row>
    <row r="8919" spans="2:14">
      <c r="B8919" s="105"/>
      <c r="C8919" s="106"/>
      <c r="D8919" s="107"/>
      <c r="E8919" s="65"/>
      <c r="F8919" s="64"/>
      <c r="G8919" s="64"/>
      <c r="H8919" s="64"/>
      <c r="I8919" s="70"/>
      <c r="J8919" s="70"/>
      <c r="K8919" s="110" t="str">
        <f>IF(H8919="","",IF($C$29="간이법","",FPR(H8919,I8919,J8919)))</f>
        <v/>
      </c>
      <c r="L8919" s="111" t="str">
        <f>IF(H8919="","",IF($C$29="상세법",FPV(H8919,K8919),IF(H8919="EI",4,IF(H8919="EO",5.2,IF(H8919="EQ",3.9,IF(H8919="ILF",7.5,IF(H8919="EIF",5.4)))))))</f>
        <v/>
      </c>
      <c r="M8919" s="112" t="str">
        <f t="shared" si="142"/>
        <v/>
      </c>
      <c r="N8919" s="113"/>
    </row>
    <row r="8920" spans="2:14">
      <c r="B8920" s="105"/>
      <c r="C8920" s="106"/>
      <c r="D8920" s="107"/>
      <c r="E8920" s="65"/>
      <c r="F8920" s="64"/>
      <c r="G8920" s="64"/>
      <c r="H8920" s="64"/>
      <c r="I8920" s="70"/>
      <c r="J8920" s="70"/>
      <c r="K8920" s="110" t="str">
        <f>IF(H8920="","",IF($C$29="간이법","",FPR(H8920,I8920,J8920)))</f>
        <v/>
      </c>
      <c r="L8920" s="111" t="str">
        <f>IF(H8920="","",IF($C$29="상세법",FPV(H8920,K8920),IF(H8920="EI",4,IF(H8920="EO",5.2,IF(H8920="EQ",3.9,IF(H8920="ILF",7.5,IF(H8920="EIF",5.4)))))))</f>
        <v/>
      </c>
      <c r="M8920" s="112" t="str">
        <f t="shared" si="142"/>
        <v/>
      </c>
      <c r="N8920" s="113"/>
    </row>
    <row r="8921" spans="2:14">
      <c r="B8921" s="105"/>
      <c r="C8921" s="106"/>
      <c r="D8921" s="107"/>
      <c r="E8921" s="65"/>
      <c r="F8921" s="64"/>
      <c r="G8921" s="64"/>
      <c r="H8921" s="64"/>
      <c r="I8921" s="70"/>
      <c r="J8921" s="70"/>
      <c r="K8921" s="110" t="str">
        <f>IF(H8921="","",IF($C$29="간이법","",FPR(H8921,I8921,J8921)))</f>
        <v/>
      </c>
      <c r="L8921" s="111" t="str">
        <f>IF(H8921="","",IF($C$29="상세법",FPV(H8921,K8921),IF(H8921="EI",4,IF(H8921="EO",5.2,IF(H8921="EQ",3.9,IF(H8921="ILF",7.5,IF(H8921="EIF",5.4)))))))</f>
        <v/>
      </c>
      <c r="M8921" s="112" t="str">
        <f t="shared" si="142"/>
        <v/>
      </c>
      <c r="N8921" s="113"/>
    </row>
    <row r="8922" spans="2:14">
      <c r="B8922" s="105"/>
      <c r="C8922" s="106"/>
      <c r="D8922" s="107"/>
      <c r="E8922" s="65"/>
      <c r="F8922" s="64"/>
      <c r="G8922" s="64"/>
      <c r="H8922" s="64"/>
      <c r="I8922" s="70"/>
      <c r="J8922" s="70"/>
      <c r="K8922" s="110" t="str">
        <f>IF(H8922="","",IF($C$29="간이법","",FPR(H8922,I8922,J8922)))</f>
        <v/>
      </c>
      <c r="L8922" s="111" t="str">
        <f>IF(H8922="","",IF($C$29="상세법",FPV(H8922,K8922),IF(H8922="EI",4,IF(H8922="EO",5.2,IF(H8922="EQ",3.9,IF(H8922="ILF",7.5,IF(H8922="EIF",5.4)))))))</f>
        <v/>
      </c>
      <c r="M8922" s="112" t="str">
        <f t="shared" si="142"/>
        <v/>
      </c>
      <c r="N8922" s="113"/>
    </row>
    <row r="8923" spans="2:14">
      <c r="B8923" s="105"/>
      <c r="C8923" s="106"/>
      <c r="D8923" s="107"/>
      <c r="E8923" s="65"/>
      <c r="F8923" s="64"/>
      <c r="G8923" s="64"/>
      <c r="H8923" s="64"/>
      <c r="I8923" s="70"/>
      <c r="J8923" s="70"/>
      <c r="K8923" s="110" t="str">
        <f>IF(H8923="","",IF($C$29="간이법","",FPR(H8923,I8923,J8923)))</f>
        <v/>
      </c>
      <c r="L8923" s="111" t="str">
        <f>IF(H8923="","",IF($C$29="상세법",FPV(H8923,K8923),IF(H8923="EI",4,IF(H8923="EO",5.2,IF(H8923="EQ",3.9,IF(H8923="ILF",7.5,IF(H8923="EIF",5.4)))))))</f>
        <v/>
      </c>
      <c r="M8923" s="112" t="str">
        <f t="shared" si="142"/>
        <v/>
      </c>
      <c r="N8923" s="113"/>
    </row>
    <row r="8924" spans="2:14">
      <c r="B8924" s="105"/>
      <c r="C8924" s="106"/>
      <c r="D8924" s="107"/>
      <c r="E8924" s="65"/>
      <c r="F8924" s="64"/>
      <c r="G8924" s="64"/>
      <c r="H8924" s="64"/>
      <c r="I8924" s="70"/>
      <c r="J8924" s="70"/>
      <c r="K8924" s="110" t="str">
        <f>IF(H8924="","",IF($C$29="간이법","",FPR(H8924,I8924,J8924)))</f>
        <v/>
      </c>
      <c r="L8924" s="111" t="str">
        <f>IF(H8924="","",IF($C$29="상세법",FPV(H8924,K8924),IF(H8924="EI",4,IF(H8924="EO",5.2,IF(H8924="EQ",3.9,IF(H8924="ILF",7.5,IF(H8924="EIF",5.4)))))))</f>
        <v/>
      </c>
      <c r="M8924" s="112" t="str">
        <f t="shared" si="142"/>
        <v/>
      </c>
      <c r="N8924" s="113"/>
    </row>
    <row r="8925" spans="2:14">
      <c r="B8925" s="105"/>
      <c r="C8925" s="106"/>
      <c r="D8925" s="107"/>
      <c r="E8925" s="65"/>
      <c r="F8925" s="64"/>
      <c r="G8925" s="64"/>
      <c r="H8925" s="64"/>
      <c r="I8925" s="70"/>
      <c r="J8925" s="70"/>
      <c r="K8925" s="110" t="str">
        <f>IF(H8925="","",IF($C$29="간이법","",FPR(H8925,I8925,J8925)))</f>
        <v/>
      </c>
      <c r="L8925" s="111" t="str">
        <f>IF(H8925="","",IF($C$29="상세법",FPV(H8925,K8925),IF(H8925="EI",4,IF(H8925="EO",5.2,IF(H8925="EQ",3.9,IF(H8925="ILF",7.5,IF(H8925="EIF",5.4)))))))</f>
        <v/>
      </c>
      <c r="M8925" s="112" t="str">
        <f t="shared" si="142"/>
        <v/>
      </c>
      <c r="N8925" s="113"/>
    </row>
    <row r="8926" spans="2:14">
      <c r="B8926" s="105"/>
      <c r="C8926" s="106"/>
      <c r="D8926" s="107"/>
      <c r="E8926" s="65"/>
      <c r="F8926" s="64"/>
      <c r="G8926" s="64"/>
      <c r="H8926" s="64"/>
      <c r="I8926" s="70"/>
      <c r="J8926" s="70"/>
      <c r="K8926" s="110" t="str">
        <f>IF(H8926="","",IF($C$29="간이법","",FPR(H8926,I8926,J8926)))</f>
        <v/>
      </c>
      <c r="L8926" s="111" t="str">
        <f>IF(H8926="","",IF($C$29="상세법",FPV(H8926,K8926),IF(H8926="EI",4,IF(H8926="EO",5.2,IF(H8926="EQ",3.9,IF(H8926="ILF",7.5,IF(H8926="EIF",5.4)))))))</f>
        <v/>
      </c>
      <c r="M8926" s="112" t="str">
        <f t="shared" si="142"/>
        <v/>
      </c>
      <c r="N8926" s="113"/>
    </row>
    <row r="8927" spans="2:14">
      <c r="B8927" s="105"/>
      <c r="C8927" s="106"/>
      <c r="D8927" s="107"/>
      <c r="E8927" s="65"/>
      <c r="F8927" s="64"/>
      <c r="G8927" s="64"/>
      <c r="H8927" s="64"/>
      <c r="I8927" s="70"/>
      <c r="J8927" s="70"/>
      <c r="K8927" s="110" t="str">
        <f>IF(H8927="","",IF($C$29="간이법","",FPR(H8927,I8927,J8927)))</f>
        <v/>
      </c>
      <c r="L8927" s="111" t="str">
        <f>IF(H8927="","",IF($C$29="상세법",FPV(H8927,K8927),IF(H8927="EI",4,IF(H8927="EO",5.2,IF(H8927="EQ",3.9,IF(H8927="ILF",7.5,IF(H8927="EIF",5.4)))))))</f>
        <v/>
      </c>
      <c r="M8927" s="112" t="str">
        <f t="shared" si="142"/>
        <v/>
      </c>
      <c r="N8927" s="113"/>
    </row>
    <row r="8928" spans="2:14">
      <c r="B8928" s="105"/>
      <c r="C8928" s="106"/>
      <c r="D8928" s="107"/>
      <c r="E8928" s="65"/>
      <c r="F8928" s="64"/>
      <c r="G8928" s="64"/>
      <c r="H8928" s="64"/>
      <c r="I8928" s="70"/>
      <c r="J8928" s="70"/>
      <c r="K8928" s="110" t="str">
        <f>IF(H8928="","",IF($C$29="간이법","",FPR(H8928,I8928,J8928)))</f>
        <v/>
      </c>
      <c r="L8928" s="111" t="str">
        <f>IF(H8928="","",IF($C$29="상세법",FPV(H8928,K8928),IF(H8928="EI",4,IF(H8928="EO",5.2,IF(H8928="EQ",3.9,IF(H8928="ILF",7.5,IF(H8928="EIF",5.4)))))))</f>
        <v/>
      </c>
      <c r="M8928" s="112" t="str">
        <f t="shared" si="142"/>
        <v/>
      </c>
      <c r="N8928" s="113"/>
    </row>
    <row r="8929" spans="2:14">
      <c r="B8929" s="105"/>
      <c r="C8929" s="106"/>
      <c r="D8929" s="107"/>
      <c r="E8929" s="65"/>
      <c r="F8929" s="64"/>
      <c r="G8929" s="64"/>
      <c r="H8929" s="64"/>
      <c r="I8929" s="70"/>
      <c r="J8929" s="70"/>
      <c r="K8929" s="110" t="str">
        <f>IF(H8929="","",IF($C$29="간이법","",FPR(H8929,I8929,J8929)))</f>
        <v/>
      </c>
      <c r="L8929" s="111" t="str">
        <f>IF(H8929="","",IF($C$29="상세법",FPV(H8929,K8929),IF(H8929="EI",4,IF(H8929="EO",5.2,IF(H8929="EQ",3.9,IF(H8929="ILF",7.5,IF(H8929="EIF",5.4)))))))</f>
        <v/>
      </c>
      <c r="M8929" s="112" t="str">
        <f t="shared" si="142"/>
        <v/>
      </c>
      <c r="N8929" s="113"/>
    </row>
    <row r="8930" spans="2:14">
      <c r="B8930" s="105"/>
      <c r="C8930" s="106"/>
      <c r="D8930" s="107"/>
      <c r="E8930" s="65"/>
      <c r="F8930" s="64"/>
      <c r="G8930" s="64"/>
      <c r="H8930" s="64"/>
      <c r="I8930" s="70"/>
      <c r="J8930" s="70"/>
      <c r="K8930" s="110" t="str">
        <f>IF(H8930="","",IF($C$29="간이법","",FPR(H8930,I8930,J8930)))</f>
        <v/>
      </c>
      <c r="L8930" s="111" t="str">
        <f>IF(H8930="","",IF($C$29="상세법",FPV(H8930,K8930),IF(H8930="EI",4,IF(H8930="EO",5.2,IF(H8930="EQ",3.9,IF(H8930="ILF",7.5,IF(H8930="EIF",5.4)))))))</f>
        <v/>
      </c>
      <c r="M8930" s="112" t="str">
        <f t="shared" si="142"/>
        <v/>
      </c>
      <c r="N8930" s="113"/>
    </row>
    <row r="8931" spans="2:14">
      <c r="B8931" s="105"/>
      <c r="C8931" s="106"/>
      <c r="D8931" s="107"/>
      <c r="E8931" s="65"/>
      <c r="F8931" s="64"/>
      <c r="G8931" s="64"/>
      <c r="H8931" s="64"/>
      <c r="I8931" s="70"/>
      <c r="J8931" s="70"/>
      <c r="K8931" s="110" t="str">
        <f>IF(H8931="","",IF($C$29="간이법","",FPR(H8931,I8931,J8931)))</f>
        <v/>
      </c>
      <c r="L8931" s="111" t="str">
        <f>IF(H8931="","",IF($C$29="상세법",FPV(H8931,K8931),IF(H8931="EI",4,IF(H8931="EO",5.2,IF(H8931="EQ",3.9,IF(H8931="ILF",7.5,IF(H8931="EIF",5.4)))))))</f>
        <v/>
      </c>
      <c r="M8931" s="112" t="str">
        <f t="shared" si="142"/>
        <v/>
      </c>
      <c r="N8931" s="113"/>
    </row>
    <row r="8932" spans="2:14">
      <c r="B8932" s="105"/>
      <c r="C8932" s="106"/>
      <c r="D8932" s="107"/>
      <c r="E8932" s="65"/>
      <c r="F8932" s="64"/>
      <c r="G8932" s="64"/>
      <c r="H8932" s="64"/>
      <c r="I8932" s="70"/>
      <c r="J8932" s="70"/>
      <c r="K8932" s="110" t="str">
        <f>IF(H8932="","",IF($C$29="간이법","",FPR(H8932,I8932,J8932)))</f>
        <v/>
      </c>
      <c r="L8932" s="111" t="str">
        <f>IF(H8932="","",IF($C$29="상세법",FPV(H8932,K8932),IF(H8932="EI",4,IF(H8932="EO",5.2,IF(H8932="EQ",3.9,IF(H8932="ILF",7.5,IF(H8932="EIF",5.4)))))))</f>
        <v/>
      </c>
      <c r="M8932" s="112" t="str">
        <f t="shared" si="142"/>
        <v/>
      </c>
      <c r="N8932" s="113"/>
    </row>
    <row r="8933" spans="2:14">
      <c r="B8933" s="105"/>
      <c r="C8933" s="106"/>
      <c r="D8933" s="107"/>
      <c r="E8933" s="65"/>
      <c r="F8933" s="64"/>
      <c r="G8933" s="64"/>
      <c r="H8933" s="64"/>
      <c r="I8933" s="70"/>
      <c r="J8933" s="70"/>
      <c r="K8933" s="110" t="str">
        <f>IF(H8933="","",IF($C$29="간이법","",FPR(H8933,I8933,J8933)))</f>
        <v/>
      </c>
      <c r="L8933" s="111" t="str">
        <f>IF(H8933="","",IF($C$29="상세법",FPV(H8933,K8933),IF(H8933="EI",4,IF(H8933="EO",5.2,IF(H8933="EQ",3.9,IF(H8933="ILF",7.5,IF(H8933="EIF",5.4)))))))</f>
        <v/>
      </c>
      <c r="M8933" s="112" t="str">
        <f t="shared" si="142"/>
        <v/>
      </c>
      <c r="N8933" s="113"/>
    </row>
    <row r="8934" spans="2:14">
      <c r="B8934" s="105"/>
      <c r="C8934" s="106"/>
      <c r="D8934" s="107"/>
      <c r="E8934" s="65"/>
      <c r="F8934" s="64"/>
      <c r="G8934" s="64"/>
      <c r="H8934" s="64"/>
      <c r="I8934" s="70"/>
      <c r="J8934" s="70"/>
      <c r="K8934" s="110" t="str">
        <f>IF(H8934="","",IF($C$29="간이법","",FPR(H8934,I8934,J8934)))</f>
        <v/>
      </c>
      <c r="L8934" s="111" t="str">
        <f>IF(H8934="","",IF($C$29="상세법",FPV(H8934,K8934),IF(H8934="EI",4,IF(H8934="EO",5.2,IF(H8934="EQ",3.9,IF(H8934="ILF",7.5,IF(H8934="EIF",5.4)))))))</f>
        <v/>
      </c>
      <c r="M8934" s="112" t="str">
        <f t="shared" si="142"/>
        <v/>
      </c>
      <c r="N8934" s="113"/>
    </row>
    <row r="8935" spans="2:14">
      <c r="B8935" s="105"/>
      <c r="C8935" s="106"/>
      <c r="D8935" s="107"/>
      <c r="E8935" s="65"/>
      <c r="F8935" s="64"/>
      <c r="G8935" s="64"/>
      <c r="H8935" s="64"/>
      <c r="I8935" s="70"/>
      <c r="J8935" s="70"/>
      <c r="K8935" s="110" t="str">
        <f>IF(H8935="","",IF($C$29="간이법","",FPR(H8935,I8935,J8935)))</f>
        <v/>
      </c>
      <c r="L8935" s="111" t="str">
        <f>IF(H8935="","",IF($C$29="상세법",FPV(H8935,K8935),IF(H8935="EI",4,IF(H8935="EO",5.2,IF(H8935="EQ",3.9,IF(H8935="ILF",7.5,IF(H8935="EIF",5.4)))))))</f>
        <v/>
      </c>
      <c r="M8935" s="112" t="str">
        <f t="shared" si="142"/>
        <v/>
      </c>
      <c r="N8935" s="113"/>
    </row>
    <row r="8936" spans="2:14">
      <c r="B8936" s="105"/>
      <c r="C8936" s="106"/>
      <c r="D8936" s="107"/>
      <c r="E8936" s="65"/>
      <c r="F8936" s="64"/>
      <c r="G8936" s="64"/>
      <c r="H8936" s="64"/>
      <c r="I8936" s="70"/>
      <c r="J8936" s="70"/>
      <c r="K8936" s="110" t="str">
        <f>IF(H8936="","",IF($C$29="간이법","",FPR(H8936,I8936,J8936)))</f>
        <v/>
      </c>
      <c r="L8936" s="111" t="str">
        <f>IF(H8936="","",IF($C$29="상세법",FPV(H8936,K8936),IF(H8936="EI",4,IF(H8936="EO",5.2,IF(H8936="EQ",3.9,IF(H8936="ILF",7.5,IF(H8936="EIF",5.4)))))))</f>
        <v/>
      </c>
      <c r="M8936" s="112" t="str">
        <f t="shared" si="142"/>
        <v/>
      </c>
      <c r="N8936" s="113"/>
    </row>
    <row r="8937" spans="2:14">
      <c r="B8937" s="105"/>
      <c r="C8937" s="106"/>
      <c r="D8937" s="107"/>
      <c r="E8937" s="65"/>
      <c r="F8937" s="64"/>
      <c r="G8937" s="64"/>
      <c r="H8937" s="64"/>
      <c r="I8937" s="70"/>
      <c r="J8937" s="70"/>
      <c r="K8937" s="110" t="str">
        <f>IF(H8937="","",IF($C$29="간이법","",FPR(H8937,I8937,J8937)))</f>
        <v/>
      </c>
      <c r="L8937" s="111" t="str">
        <f>IF(H8937="","",IF($C$29="상세법",FPV(H8937,K8937),IF(H8937="EI",4,IF(H8937="EO",5.2,IF(H8937="EQ",3.9,IF(H8937="ILF",7.5,IF(H8937="EIF",5.4)))))))</f>
        <v/>
      </c>
      <c r="M8937" s="112" t="str">
        <f t="shared" si="142"/>
        <v/>
      </c>
      <c r="N8937" s="113"/>
    </row>
    <row r="8938" spans="2:14">
      <c r="B8938" s="105"/>
      <c r="C8938" s="106"/>
      <c r="D8938" s="107"/>
      <c r="E8938" s="65"/>
      <c r="F8938" s="64"/>
      <c r="G8938" s="64"/>
      <c r="H8938" s="64"/>
      <c r="I8938" s="70"/>
      <c r="J8938" s="70"/>
      <c r="K8938" s="110" t="str">
        <f>IF(H8938="","",IF($C$29="간이법","",FPR(H8938,I8938,J8938)))</f>
        <v/>
      </c>
      <c r="L8938" s="111" t="str">
        <f>IF(H8938="","",IF($C$29="상세법",FPV(H8938,K8938),IF(H8938="EI",4,IF(H8938="EO",5.2,IF(H8938="EQ",3.9,IF(H8938="ILF",7.5,IF(H8938="EIF",5.4)))))))</f>
        <v/>
      </c>
      <c r="M8938" s="112" t="str">
        <f t="shared" si="142"/>
        <v/>
      </c>
      <c r="N8938" s="113"/>
    </row>
    <row r="8939" spans="2:14">
      <c r="B8939" s="105"/>
      <c r="C8939" s="106"/>
      <c r="D8939" s="107"/>
      <c r="E8939" s="65"/>
      <c r="F8939" s="64"/>
      <c r="G8939" s="64"/>
      <c r="H8939" s="64"/>
      <c r="I8939" s="70"/>
      <c r="J8939" s="70"/>
      <c r="K8939" s="110" t="str">
        <f>IF(H8939="","",IF($C$29="간이법","",FPR(H8939,I8939,J8939)))</f>
        <v/>
      </c>
      <c r="L8939" s="111" t="str">
        <f>IF(H8939="","",IF($C$29="상세법",FPV(H8939,K8939),IF(H8939="EI",4,IF(H8939="EO",5.2,IF(H8939="EQ",3.9,IF(H8939="ILF",7.5,IF(H8939="EIF",5.4)))))))</f>
        <v/>
      </c>
      <c r="M8939" s="112" t="str">
        <f t="shared" si="142"/>
        <v/>
      </c>
      <c r="N8939" s="113"/>
    </row>
    <row r="8940" spans="2:14">
      <c r="B8940" s="105"/>
      <c r="C8940" s="106"/>
      <c r="D8940" s="107"/>
      <c r="E8940" s="65"/>
      <c r="F8940" s="64"/>
      <c r="G8940" s="64"/>
      <c r="H8940" s="64"/>
      <c r="I8940" s="70"/>
      <c r="J8940" s="70"/>
      <c r="K8940" s="110" t="str">
        <f>IF(H8940="","",IF($C$29="간이법","",FPR(H8940,I8940,J8940)))</f>
        <v/>
      </c>
      <c r="L8940" s="111" t="str">
        <f>IF(H8940="","",IF($C$29="상세법",FPV(H8940,K8940),IF(H8940="EI",4,IF(H8940="EO",5.2,IF(H8940="EQ",3.9,IF(H8940="ILF",7.5,IF(H8940="EIF",5.4)))))))</f>
        <v/>
      </c>
      <c r="M8940" s="112" t="str">
        <f t="shared" si="142"/>
        <v/>
      </c>
      <c r="N8940" s="113"/>
    </row>
    <row r="8941" spans="2:14">
      <c r="B8941" s="105"/>
      <c r="C8941" s="106"/>
      <c r="D8941" s="107"/>
      <c r="E8941" s="65"/>
      <c r="F8941" s="64"/>
      <c r="G8941" s="64"/>
      <c r="H8941" s="64"/>
      <c r="I8941" s="70"/>
      <c r="J8941" s="70"/>
      <c r="K8941" s="110" t="str">
        <f>IF(H8941="","",IF($C$29="간이법","",FPR(H8941,I8941,J8941)))</f>
        <v/>
      </c>
      <c r="L8941" s="111" t="str">
        <f>IF(H8941="","",IF($C$29="상세법",FPV(H8941,K8941),IF(H8941="EI",4,IF(H8941="EO",5.2,IF(H8941="EQ",3.9,IF(H8941="ILF",7.5,IF(H8941="EIF",5.4)))))))</f>
        <v/>
      </c>
      <c r="M8941" s="112" t="str">
        <f t="shared" si="142"/>
        <v/>
      </c>
      <c r="N8941" s="113"/>
    </row>
    <row r="8942" spans="2:14">
      <c r="B8942" s="105"/>
      <c r="C8942" s="106"/>
      <c r="D8942" s="107"/>
      <c r="E8942" s="65"/>
      <c r="F8942" s="64"/>
      <c r="G8942" s="64"/>
      <c r="H8942" s="64"/>
      <c r="I8942" s="70"/>
      <c r="J8942" s="70"/>
      <c r="K8942" s="110" t="str">
        <f>IF(H8942="","",IF($C$29="간이법","",FPR(H8942,I8942,J8942)))</f>
        <v/>
      </c>
      <c r="L8942" s="111" t="str">
        <f>IF(H8942="","",IF($C$29="상세법",FPV(H8942,K8942),IF(H8942="EI",4,IF(H8942="EO",5.2,IF(H8942="EQ",3.9,IF(H8942="ILF",7.5,IF(H8942="EIF",5.4)))))))</f>
        <v/>
      </c>
      <c r="M8942" s="112" t="str">
        <f t="shared" si="142"/>
        <v/>
      </c>
      <c r="N8942" s="113"/>
    </row>
    <row r="8943" spans="2:14">
      <c r="B8943" s="105"/>
      <c r="C8943" s="106"/>
      <c r="D8943" s="107"/>
      <c r="E8943" s="65"/>
      <c r="F8943" s="64"/>
      <c r="G8943" s="64"/>
      <c r="H8943" s="64"/>
      <c r="I8943" s="70"/>
      <c r="J8943" s="70"/>
      <c r="K8943" s="110" t="str">
        <f>IF(H8943="","",IF($C$29="간이법","",FPR(H8943,I8943,J8943)))</f>
        <v/>
      </c>
      <c r="L8943" s="111" t="str">
        <f>IF(H8943="","",IF($C$29="상세법",FPV(H8943,K8943),IF(H8943="EI",4,IF(H8943="EO",5.2,IF(H8943="EQ",3.9,IF(H8943="ILF",7.5,IF(H8943="EIF",5.4)))))))</f>
        <v/>
      </c>
      <c r="M8943" s="112" t="str">
        <f t="shared" si="142"/>
        <v/>
      </c>
      <c r="N8943" s="113"/>
    </row>
    <row r="8944" spans="2:14">
      <c r="B8944" s="105"/>
      <c r="C8944" s="106"/>
      <c r="D8944" s="107"/>
      <c r="E8944" s="65"/>
      <c r="F8944" s="64"/>
      <c r="G8944" s="64"/>
      <c r="H8944" s="64"/>
      <c r="I8944" s="70"/>
      <c r="J8944" s="70"/>
      <c r="K8944" s="110" t="str">
        <f>IF(H8944="","",IF($C$29="간이법","",FPR(H8944,I8944,J8944)))</f>
        <v/>
      </c>
      <c r="L8944" s="111" t="str">
        <f>IF(H8944="","",IF($C$29="상세법",FPV(H8944,K8944),IF(H8944="EI",4,IF(H8944="EO",5.2,IF(H8944="EQ",3.9,IF(H8944="ILF",7.5,IF(H8944="EIF",5.4)))))))</f>
        <v/>
      </c>
      <c r="M8944" s="112" t="str">
        <f t="shared" si="142"/>
        <v/>
      </c>
      <c r="N8944" s="113"/>
    </row>
    <row r="8945" spans="2:14">
      <c r="B8945" s="105"/>
      <c r="C8945" s="106"/>
      <c r="D8945" s="107"/>
      <c r="E8945" s="65"/>
      <c r="F8945" s="64"/>
      <c r="G8945" s="64"/>
      <c r="H8945" s="64"/>
      <c r="I8945" s="70"/>
      <c r="J8945" s="70"/>
      <c r="K8945" s="110" t="str">
        <f>IF(H8945="","",IF($C$29="간이법","",FPR(H8945,I8945,J8945)))</f>
        <v/>
      </c>
      <c r="L8945" s="111" t="str">
        <f>IF(H8945="","",IF($C$29="상세법",FPV(H8945,K8945),IF(H8945="EI",4,IF(H8945="EO",5.2,IF(H8945="EQ",3.9,IF(H8945="ILF",7.5,IF(H8945="EIF",5.4)))))))</f>
        <v/>
      </c>
      <c r="M8945" s="112" t="str">
        <f t="shared" si="142"/>
        <v/>
      </c>
      <c r="N8945" s="113"/>
    </row>
    <row r="8946" spans="2:14">
      <c r="B8946" s="105"/>
      <c r="C8946" s="106"/>
      <c r="D8946" s="107"/>
      <c r="E8946" s="65"/>
      <c r="F8946" s="64"/>
      <c r="G8946" s="64"/>
      <c r="H8946" s="64"/>
      <c r="I8946" s="70"/>
      <c r="J8946" s="70"/>
      <c r="K8946" s="110" t="str">
        <f>IF(H8946="","",IF($C$29="간이법","",FPR(H8946,I8946,J8946)))</f>
        <v/>
      </c>
      <c r="L8946" s="111" t="str">
        <f>IF(H8946="","",IF($C$29="상세법",FPV(H8946,K8946),IF(H8946="EI",4,IF(H8946="EO",5.2,IF(H8946="EQ",3.9,IF(H8946="ILF",7.5,IF(H8946="EIF",5.4)))))))</f>
        <v/>
      </c>
      <c r="M8946" s="112" t="str">
        <f t="shared" si="142"/>
        <v/>
      </c>
      <c r="N8946" s="113"/>
    </row>
    <row r="8947" spans="2:14">
      <c r="B8947" s="105"/>
      <c r="C8947" s="106"/>
      <c r="D8947" s="107"/>
      <c r="E8947" s="65"/>
      <c r="F8947" s="64"/>
      <c r="G8947" s="64"/>
      <c r="H8947" s="64"/>
      <c r="I8947" s="70"/>
      <c r="J8947" s="70"/>
      <c r="K8947" s="110" t="str">
        <f>IF(H8947="","",IF($C$29="간이법","",FPR(H8947,I8947,J8947)))</f>
        <v/>
      </c>
      <c r="L8947" s="111" t="str">
        <f>IF(H8947="","",IF($C$29="상세법",FPV(H8947,K8947),IF(H8947="EI",4,IF(H8947="EO",5.2,IF(H8947="EQ",3.9,IF(H8947="ILF",7.5,IF(H8947="EIF",5.4)))))))</f>
        <v/>
      </c>
      <c r="M8947" s="112" t="str">
        <f t="shared" si="142"/>
        <v/>
      </c>
      <c r="N8947" s="113"/>
    </row>
    <row r="8948" spans="2:14">
      <c r="B8948" s="105"/>
      <c r="C8948" s="106"/>
      <c r="D8948" s="107"/>
      <c r="E8948" s="65"/>
      <c r="F8948" s="64"/>
      <c r="G8948" s="64"/>
      <c r="H8948" s="64"/>
      <c r="I8948" s="70"/>
      <c r="J8948" s="70"/>
      <c r="K8948" s="110" t="str">
        <f>IF(H8948="","",IF($C$29="간이법","",FPR(H8948,I8948,J8948)))</f>
        <v/>
      </c>
      <c r="L8948" s="111" t="str">
        <f>IF(H8948="","",IF($C$29="상세법",FPV(H8948,K8948),IF(H8948="EI",4,IF(H8948="EO",5.2,IF(H8948="EQ",3.9,IF(H8948="ILF",7.5,IF(H8948="EIF",5.4)))))))</f>
        <v/>
      </c>
      <c r="M8948" s="112" t="str">
        <f t="shared" si="142"/>
        <v/>
      </c>
      <c r="N8948" s="113"/>
    </row>
    <row r="8949" spans="2:14">
      <c r="B8949" s="105"/>
      <c r="C8949" s="106"/>
      <c r="D8949" s="107"/>
      <c r="E8949" s="65"/>
      <c r="F8949" s="64"/>
      <c r="G8949" s="64"/>
      <c r="H8949" s="64"/>
      <c r="I8949" s="70"/>
      <c r="J8949" s="70"/>
      <c r="K8949" s="110" t="str">
        <f>IF(H8949="","",IF($C$29="간이법","",FPR(H8949,I8949,J8949)))</f>
        <v/>
      </c>
      <c r="L8949" s="111" t="str">
        <f>IF(H8949="","",IF($C$29="상세법",FPV(H8949,K8949),IF(H8949="EI",4,IF(H8949="EO",5.2,IF(H8949="EQ",3.9,IF(H8949="ILF",7.5,IF(H8949="EIF",5.4)))))))</f>
        <v/>
      </c>
      <c r="M8949" s="112" t="str">
        <f t="shared" si="142"/>
        <v/>
      </c>
      <c r="N8949" s="113"/>
    </row>
    <row r="8950" spans="2:14">
      <c r="B8950" s="105"/>
      <c r="C8950" s="106"/>
      <c r="D8950" s="107"/>
      <c r="E8950" s="65"/>
      <c r="F8950" s="64"/>
      <c r="G8950" s="64"/>
      <c r="H8950" s="64"/>
      <c r="I8950" s="70"/>
      <c r="J8950" s="70"/>
      <c r="K8950" s="110" t="str">
        <f>IF(H8950="","",IF($C$29="간이법","",FPR(H8950,I8950,J8950)))</f>
        <v/>
      </c>
      <c r="L8950" s="111" t="str">
        <f>IF(H8950="","",IF($C$29="상세법",FPV(H8950,K8950),IF(H8950="EI",4,IF(H8950="EO",5.2,IF(H8950="EQ",3.9,IF(H8950="ILF",7.5,IF(H8950="EIF",5.4)))))))</f>
        <v/>
      </c>
      <c r="M8950" s="112" t="str">
        <f t="shared" si="142"/>
        <v/>
      </c>
      <c r="N8950" s="113"/>
    </row>
    <row r="8951" spans="2:14">
      <c r="B8951" s="105"/>
      <c r="C8951" s="106"/>
      <c r="D8951" s="107"/>
      <c r="E8951" s="65"/>
      <c r="F8951" s="64"/>
      <c r="G8951" s="64"/>
      <c r="H8951" s="64"/>
      <c r="I8951" s="70"/>
      <c r="J8951" s="70"/>
      <c r="K8951" s="110" t="str">
        <f>IF(H8951="","",IF($C$29="간이법","",FPR(H8951,I8951,J8951)))</f>
        <v/>
      </c>
      <c r="L8951" s="111" t="str">
        <f>IF(H8951="","",IF($C$29="상세법",FPV(H8951,K8951),IF(H8951="EI",4,IF(H8951="EO",5.2,IF(H8951="EQ",3.9,IF(H8951="ILF",7.5,IF(H8951="EIF",5.4)))))))</f>
        <v/>
      </c>
      <c r="M8951" s="112" t="str">
        <f t="shared" si="142"/>
        <v/>
      </c>
      <c r="N8951" s="113"/>
    </row>
    <row r="8952" spans="2:14">
      <c r="B8952" s="105"/>
      <c r="C8952" s="106"/>
      <c r="D8952" s="107"/>
      <c r="E8952" s="65"/>
      <c r="F8952" s="64"/>
      <c r="G8952" s="64"/>
      <c r="H8952" s="64"/>
      <c r="I8952" s="70"/>
      <c r="J8952" s="70"/>
      <c r="K8952" s="110" t="str">
        <f>IF(H8952="","",IF($C$29="간이법","",FPR(H8952,I8952,J8952)))</f>
        <v/>
      </c>
      <c r="L8952" s="111" t="str">
        <f>IF(H8952="","",IF($C$29="상세법",FPV(H8952,K8952),IF(H8952="EI",4,IF(H8952="EO",5.2,IF(H8952="EQ",3.9,IF(H8952="ILF",7.5,IF(H8952="EIF",5.4)))))))</f>
        <v/>
      </c>
      <c r="M8952" s="112" t="str">
        <f t="shared" si="142"/>
        <v/>
      </c>
      <c r="N8952" s="113"/>
    </row>
    <row r="8953" spans="2:14">
      <c r="B8953" s="105"/>
      <c r="C8953" s="106"/>
      <c r="D8953" s="107"/>
      <c r="E8953" s="65"/>
      <c r="F8953" s="64"/>
      <c r="G8953" s="64"/>
      <c r="H8953" s="64"/>
      <c r="I8953" s="70"/>
      <c r="J8953" s="70"/>
      <c r="K8953" s="110" t="str">
        <f>IF(H8953="","",IF($C$29="간이법","",FPR(H8953,I8953,J8953)))</f>
        <v/>
      </c>
      <c r="L8953" s="111" t="str">
        <f>IF(H8953="","",IF($C$29="상세법",FPV(H8953,K8953),IF(H8953="EI",4,IF(H8953="EO",5.2,IF(H8953="EQ",3.9,IF(H8953="ILF",7.5,IF(H8953="EIF",5.4)))))))</f>
        <v/>
      </c>
      <c r="M8953" s="112" t="str">
        <f t="shared" ref="M8953:M9016" si="143">IF(L8953="","",L8953*IF(G8953="상",0.7,IF(G8953="중",0.5,IF(G8953="하",0.2,1))))</f>
        <v/>
      </c>
      <c r="N8953" s="113"/>
    </row>
    <row r="8954" spans="2:14">
      <c r="B8954" s="105"/>
      <c r="C8954" s="106"/>
      <c r="D8954" s="107"/>
      <c r="E8954" s="65"/>
      <c r="F8954" s="64"/>
      <c r="G8954" s="64"/>
      <c r="H8954" s="64"/>
      <c r="I8954" s="70"/>
      <c r="J8954" s="70"/>
      <c r="K8954" s="110" t="str">
        <f>IF(H8954="","",IF($C$29="간이법","",FPR(H8954,I8954,J8954)))</f>
        <v/>
      </c>
      <c r="L8954" s="111" t="str">
        <f>IF(H8954="","",IF($C$29="상세법",FPV(H8954,K8954),IF(H8954="EI",4,IF(H8954="EO",5.2,IF(H8954="EQ",3.9,IF(H8954="ILF",7.5,IF(H8954="EIF",5.4)))))))</f>
        <v/>
      </c>
      <c r="M8954" s="112" t="str">
        <f t="shared" si="143"/>
        <v/>
      </c>
      <c r="N8954" s="113"/>
    </row>
    <row r="8955" spans="2:14">
      <c r="B8955" s="105"/>
      <c r="C8955" s="106"/>
      <c r="D8955" s="107"/>
      <c r="E8955" s="65"/>
      <c r="F8955" s="64"/>
      <c r="G8955" s="64"/>
      <c r="H8955" s="64"/>
      <c r="I8955" s="70"/>
      <c r="J8955" s="70"/>
      <c r="K8955" s="110" t="str">
        <f>IF(H8955="","",IF($C$29="간이법","",FPR(H8955,I8955,J8955)))</f>
        <v/>
      </c>
      <c r="L8955" s="111" t="str">
        <f>IF(H8955="","",IF($C$29="상세법",FPV(H8955,K8955),IF(H8955="EI",4,IF(H8955="EO",5.2,IF(H8955="EQ",3.9,IF(H8955="ILF",7.5,IF(H8955="EIF",5.4)))))))</f>
        <v/>
      </c>
      <c r="M8955" s="112" t="str">
        <f t="shared" si="143"/>
        <v/>
      </c>
      <c r="N8955" s="113"/>
    </row>
    <row r="8956" spans="2:14">
      <c r="B8956" s="105"/>
      <c r="C8956" s="106"/>
      <c r="D8956" s="107"/>
      <c r="E8956" s="65"/>
      <c r="F8956" s="64"/>
      <c r="G8956" s="64"/>
      <c r="H8956" s="64"/>
      <c r="I8956" s="70"/>
      <c r="J8956" s="70"/>
      <c r="K8956" s="110" t="str">
        <f>IF(H8956="","",IF($C$29="간이법","",FPR(H8956,I8956,J8956)))</f>
        <v/>
      </c>
      <c r="L8956" s="111" t="str">
        <f>IF(H8956="","",IF($C$29="상세법",FPV(H8956,K8956),IF(H8956="EI",4,IF(H8956="EO",5.2,IF(H8956="EQ",3.9,IF(H8956="ILF",7.5,IF(H8956="EIF",5.4)))))))</f>
        <v/>
      </c>
      <c r="M8956" s="112" t="str">
        <f t="shared" si="143"/>
        <v/>
      </c>
      <c r="N8956" s="113"/>
    </row>
    <row r="8957" spans="2:14">
      <c r="B8957" s="105"/>
      <c r="C8957" s="106"/>
      <c r="D8957" s="107"/>
      <c r="E8957" s="65"/>
      <c r="F8957" s="64"/>
      <c r="G8957" s="64"/>
      <c r="H8957" s="64"/>
      <c r="I8957" s="70"/>
      <c r="J8957" s="70"/>
      <c r="K8957" s="110" t="str">
        <f>IF(H8957="","",IF($C$29="간이법","",FPR(H8957,I8957,J8957)))</f>
        <v/>
      </c>
      <c r="L8957" s="111" t="str">
        <f>IF(H8957="","",IF($C$29="상세법",FPV(H8957,K8957),IF(H8957="EI",4,IF(H8957="EO",5.2,IF(H8957="EQ",3.9,IF(H8957="ILF",7.5,IF(H8957="EIF",5.4)))))))</f>
        <v/>
      </c>
      <c r="M8957" s="112" t="str">
        <f t="shared" si="143"/>
        <v/>
      </c>
      <c r="N8957" s="113"/>
    </row>
    <row r="8958" spans="2:14">
      <c r="B8958" s="105"/>
      <c r="C8958" s="106"/>
      <c r="D8958" s="107"/>
      <c r="E8958" s="65"/>
      <c r="F8958" s="64"/>
      <c r="G8958" s="64"/>
      <c r="H8958" s="64"/>
      <c r="I8958" s="70"/>
      <c r="J8958" s="70"/>
      <c r="K8958" s="110" t="str">
        <f>IF(H8958="","",IF($C$29="간이법","",FPR(H8958,I8958,J8958)))</f>
        <v/>
      </c>
      <c r="L8958" s="111" t="str">
        <f>IF(H8958="","",IF($C$29="상세법",FPV(H8958,K8958),IF(H8958="EI",4,IF(H8958="EO",5.2,IF(H8958="EQ",3.9,IF(H8958="ILF",7.5,IF(H8958="EIF",5.4)))))))</f>
        <v/>
      </c>
      <c r="M8958" s="112" t="str">
        <f t="shared" si="143"/>
        <v/>
      </c>
      <c r="N8958" s="113"/>
    </row>
    <row r="8959" spans="2:14">
      <c r="B8959" s="105"/>
      <c r="C8959" s="106"/>
      <c r="D8959" s="107"/>
      <c r="E8959" s="65"/>
      <c r="F8959" s="64"/>
      <c r="G8959" s="64"/>
      <c r="H8959" s="64"/>
      <c r="I8959" s="70"/>
      <c r="J8959" s="70"/>
      <c r="K8959" s="110" t="str">
        <f>IF(H8959="","",IF($C$29="간이법","",FPR(H8959,I8959,J8959)))</f>
        <v/>
      </c>
      <c r="L8959" s="111" t="str">
        <f>IF(H8959="","",IF($C$29="상세법",FPV(H8959,K8959),IF(H8959="EI",4,IF(H8959="EO",5.2,IF(H8959="EQ",3.9,IF(H8959="ILF",7.5,IF(H8959="EIF",5.4)))))))</f>
        <v/>
      </c>
      <c r="M8959" s="112" t="str">
        <f t="shared" si="143"/>
        <v/>
      </c>
      <c r="N8959" s="113"/>
    </row>
    <row r="8960" spans="2:14">
      <c r="B8960" s="105"/>
      <c r="C8960" s="106"/>
      <c r="D8960" s="107"/>
      <c r="E8960" s="65"/>
      <c r="F8960" s="64"/>
      <c r="G8960" s="64"/>
      <c r="H8960" s="64"/>
      <c r="I8960" s="70"/>
      <c r="J8960" s="70"/>
      <c r="K8960" s="110" t="str">
        <f>IF(H8960="","",IF($C$29="간이법","",FPR(H8960,I8960,J8960)))</f>
        <v/>
      </c>
      <c r="L8960" s="111" t="str">
        <f>IF(H8960="","",IF($C$29="상세법",FPV(H8960,K8960),IF(H8960="EI",4,IF(H8960="EO",5.2,IF(H8960="EQ",3.9,IF(H8960="ILF",7.5,IF(H8960="EIF",5.4)))))))</f>
        <v/>
      </c>
      <c r="M8960" s="112" t="str">
        <f t="shared" si="143"/>
        <v/>
      </c>
      <c r="N8960" s="113"/>
    </row>
    <row r="8961" spans="2:14">
      <c r="B8961" s="105"/>
      <c r="C8961" s="106"/>
      <c r="D8961" s="107"/>
      <c r="E8961" s="65"/>
      <c r="F8961" s="64"/>
      <c r="G8961" s="64"/>
      <c r="H8961" s="64"/>
      <c r="I8961" s="70"/>
      <c r="J8961" s="70"/>
      <c r="K8961" s="110" t="str">
        <f>IF(H8961="","",IF($C$29="간이법","",FPR(H8961,I8961,J8961)))</f>
        <v/>
      </c>
      <c r="L8961" s="111" t="str">
        <f>IF(H8961="","",IF($C$29="상세법",FPV(H8961,K8961),IF(H8961="EI",4,IF(H8961="EO",5.2,IF(H8961="EQ",3.9,IF(H8961="ILF",7.5,IF(H8961="EIF",5.4)))))))</f>
        <v/>
      </c>
      <c r="M8961" s="112" t="str">
        <f t="shared" si="143"/>
        <v/>
      </c>
      <c r="N8961" s="113"/>
    </row>
    <row r="8962" spans="2:14">
      <c r="B8962" s="105"/>
      <c r="C8962" s="106"/>
      <c r="D8962" s="107"/>
      <c r="E8962" s="65"/>
      <c r="F8962" s="64"/>
      <c r="G8962" s="64"/>
      <c r="H8962" s="64"/>
      <c r="I8962" s="70"/>
      <c r="J8962" s="70"/>
      <c r="K8962" s="110" t="str">
        <f>IF(H8962="","",IF($C$29="간이법","",FPR(H8962,I8962,J8962)))</f>
        <v/>
      </c>
      <c r="L8962" s="111" t="str">
        <f>IF(H8962="","",IF($C$29="상세법",FPV(H8962,K8962),IF(H8962="EI",4,IF(H8962="EO",5.2,IF(H8962="EQ",3.9,IF(H8962="ILF",7.5,IF(H8962="EIF",5.4)))))))</f>
        <v/>
      </c>
      <c r="M8962" s="112" t="str">
        <f t="shared" si="143"/>
        <v/>
      </c>
      <c r="N8962" s="113"/>
    </row>
    <row r="8963" spans="2:14">
      <c r="B8963" s="105"/>
      <c r="C8963" s="106"/>
      <c r="D8963" s="107"/>
      <c r="E8963" s="65"/>
      <c r="F8963" s="64"/>
      <c r="G8963" s="64"/>
      <c r="H8963" s="64"/>
      <c r="I8963" s="70"/>
      <c r="J8963" s="70"/>
      <c r="K8963" s="110" t="str">
        <f>IF(H8963="","",IF($C$29="간이법","",FPR(H8963,I8963,J8963)))</f>
        <v/>
      </c>
      <c r="L8963" s="111" t="str">
        <f>IF(H8963="","",IF($C$29="상세법",FPV(H8963,K8963),IF(H8963="EI",4,IF(H8963="EO",5.2,IF(H8963="EQ",3.9,IF(H8963="ILF",7.5,IF(H8963="EIF",5.4)))))))</f>
        <v/>
      </c>
      <c r="M8963" s="112" t="str">
        <f t="shared" si="143"/>
        <v/>
      </c>
      <c r="N8963" s="113"/>
    </row>
    <row r="8964" spans="2:14">
      <c r="B8964" s="105"/>
      <c r="C8964" s="106"/>
      <c r="D8964" s="107"/>
      <c r="E8964" s="65"/>
      <c r="F8964" s="64"/>
      <c r="G8964" s="64"/>
      <c r="H8964" s="64"/>
      <c r="I8964" s="70"/>
      <c r="J8964" s="70"/>
      <c r="K8964" s="110" t="str">
        <f>IF(H8964="","",IF($C$29="간이법","",FPR(H8964,I8964,J8964)))</f>
        <v/>
      </c>
      <c r="L8964" s="111" t="str">
        <f>IF(H8964="","",IF($C$29="상세법",FPV(H8964,K8964),IF(H8964="EI",4,IF(H8964="EO",5.2,IF(H8964="EQ",3.9,IF(H8964="ILF",7.5,IF(H8964="EIF",5.4)))))))</f>
        <v/>
      </c>
      <c r="M8964" s="112" t="str">
        <f t="shared" si="143"/>
        <v/>
      </c>
      <c r="N8964" s="113"/>
    </row>
    <row r="8965" spans="2:14">
      <c r="B8965" s="105"/>
      <c r="C8965" s="106"/>
      <c r="D8965" s="107"/>
      <c r="E8965" s="65"/>
      <c r="F8965" s="64"/>
      <c r="G8965" s="64"/>
      <c r="H8965" s="64"/>
      <c r="I8965" s="70"/>
      <c r="J8965" s="70"/>
      <c r="K8965" s="110" t="str">
        <f>IF(H8965="","",IF($C$29="간이법","",FPR(H8965,I8965,J8965)))</f>
        <v/>
      </c>
      <c r="L8965" s="111" t="str">
        <f>IF(H8965="","",IF($C$29="상세법",FPV(H8965,K8965),IF(H8965="EI",4,IF(H8965="EO",5.2,IF(H8965="EQ",3.9,IF(H8965="ILF",7.5,IF(H8965="EIF",5.4)))))))</f>
        <v/>
      </c>
      <c r="M8965" s="112" t="str">
        <f t="shared" si="143"/>
        <v/>
      </c>
      <c r="N8965" s="113"/>
    </row>
    <row r="8966" spans="2:14">
      <c r="B8966" s="105"/>
      <c r="C8966" s="106"/>
      <c r="D8966" s="107"/>
      <c r="E8966" s="65"/>
      <c r="F8966" s="64"/>
      <c r="G8966" s="64"/>
      <c r="H8966" s="64"/>
      <c r="I8966" s="70"/>
      <c r="J8966" s="70"/>
      <c r="K8966" s="110" t="str">
        <f>IF(H8966="","",IF($C$29="간이법","",FPR(H8966,I8966,J8966)))</f>
        <v/>
      </c>
      <c r="L8966" s="111" t="str">
        <f>IF(H8966="","",IF($C$29="상세법",FPV(H8966,K8966),IF(H8966="EI",4,IF(H8966="EO",5.2,IF(H8966="EQ",3.9,IF(H8966="ILF",7.5,IF(H8966="EIF",5.4)))))))</f>
        <v/>
      </c>
      <c r="M8966" s="112" t="str">
        <f t="shared" si="143"/>
        <v/>
      </c>
      <c r="N8966" s="113"/>
    </row>
    <row r="8967" spans="2:14">
      <c r="B8967" s="105"/>
      <c r="C8967" s="106"/>
      <c r="D8967" s="107"/>
      <c r="E8967" s="65"/>
      <c r="F8967" s="64"/>
      <c r="G8967" s="64"/>
      <c r="H8967" s="64"/>
      <c r="I8967" s="70"/>
      <c r="J8967" s="70"/>
      <c r="K8967" s="110" t="str">
        <f>IF(H8967="","",IF($C$29="간이법","",FPR(H8967,I8967,J8967)))</f>
        <v/>
      </c>
      <c r="L8967" s="111" t="str">
        <f>IF(H8967="","",IF($C$29="상세법",FPV(H8967,K8967),IF(H8967="EI",4,IF(H8967="EO",5.2,IF(H8967="EQ",3.9,IF(H8967="ILF",7.5,IF(H8967="EIF",5.4)))))))</f>
        <v/>
      </c>
      <c r="M8967" s="112" t="str">
        <f t="shared" si="143"/>
        <v/>
      </c>
      <c r="N8967" s="113"/>
    </row>
    <row r="8968" spans="2:14">
      <c r="B8968" s="105"/>
      <c r="C8968" s="106"/>
      <c r="D8968" s="107"/>
      <c r="E8968" s="65"/>
      <c r="F8968" s="64"/>
      <c r="G8968" s="64"/>
      <c r="H8968" s="64"/>
      <c r="I8968" s="70"/>
      <c r="J8968" s="70"/>
      <c r="K8968" s="110" t="str">
        <f>IF(H8968="","",IF($C$29="간이법","",FPR(H8968,I8968,J8968)))</f>
        <v/>
      </c>
      <c r="L8968" s="111" t="str">
        <f>IF(H8968="","",IF($C$29="상세법",FPV(H8968,K8968),IF(H8968="EI",4,IF(H8968="EO",5.2,IF(H8968="EQ",3.9,IF(H8968="ILF",7.5,IF(H8968="EIF",5.4)))))))</f>
        <v/>
      </c>
      <c r="M8968" s="112" t="str">
        <f t="shared" si="143"/>
        <v/>
      </c>
      <c r="N8968" s="113"/>
    </row>
    <row r="8969" spans="2:14">
      <c r="B8969" s="105"/>
      <c r="C8969" s="106"/>
      <c r="D8969" s="107"/>
      <c r="E8969" s="65"/>
      <c r="F8969" s="64"/>
      <c r="G8969" s="64"/>
      <c r="H8969" s="64"/>
      <c r="I8969" s="70"/>
      <c r="J8969" s="70"/>
      <c r="K8969" s="110" t="str">
        <f>IF(H8969="","",IF($C$29="간이법","",FPR(H8969,I8969,J8969)))</f>
        <v/>
      </c>
      <c r="L8969" s="111" t="str">
        <f>IF(H8969="","",IF($C$29="상세법",FPV(H8969,K8969),IF(H8969="EI",4,IF(H8969="EO",5.2,IF(H8969="EQ",3.9,IF(H8969="ILF",7.5,IF(H8969="EIF",5.4)))))))</f>
        <v/>
      </c>
      <c r="M8969" s="112" t="str">
        <f t="shared" si="143"/>
        <v/>
      </c>
      <c r="N8969" s="113"/>
    </row>
    <row r="8970" spans="2:14">
      <c r="B8970" s="105"/>
      <c r="C8970" s="106"/>
      <c r="D8970" s="107"/>
      <c r="E8970" s="65"/>
      <c r="F8970" s="64"/>
      <c r="G8970" s="64"/>
      <c r="H8970" s="64"/>
      <c r="I8970" s="70"/>
      <c r="J8970" s="70"/>
      <c r="K8970" s="110" t="str">
        <f>IF(H8970="","",IF($C$29="간이법","",FPR(H8970,I8970,J8970)))</f>
        <v/>
      </c>
      <c r="L8970" s="111" t="str">
        <f>IF(H8970="","",IF($C$29="상세법",FPV(H8970,K8970),IF(H8970="EI",4,IF(H8970="EO",5.2,IF(H8970="EQ",3.9,IF(H8970="ILF",7.5,IF(H8970="EIF",5.4)))))))</f>
        <v/>
      </c>
      <c r="M8970" s="112" t="str">
        <f t="shared" si="143"/>
        <v/>
      </c>
      <c r="N8970" s="113"/>
    </row>
    <row r="8971" spans="2:14">
      <c r="B8971" s="105"/>
      <c r="C8971" s="106"/>
      <c r="D8971" s="107"/>
      <c r="E8971" s="65"/>
      <c r="F8971" s="64"/>
      <c r="G8971" s="64"/>
      <c r="H8971" s="64"/>
      <c r="I8971" s="70"/>
      <c r="J8971" s="70"/>
      <c r="K8971" s="110" t="str">
        <f>IF(H8971="","",IF($C$29="간이법","",FPR(H8971,I8971,J8971)))</f>
        <v/>
      </c>
      <c r="L8971" s="111" t="str">
        <f>IF(H8971="","",IF($C$29="상세법",FPV(H8971,K8971),IF(H8971="EI",4,IF(H8971="EO",5.2,IF(H8971="EQ",3.9,IF(H8971="ILF",7.5,IF(H8971="EIF",5.4)))))))</f>
        <v/>
      </c>
      <c r="M8971" s="112" t="str">
        <f t="shared" si="143"/>
        <v/>
      </c>
      <c r="N8971" s="113"/>
    </row>
    <row r="8972" spans="2:14">
      <c r="B8972" s="105"/>
      <c r="C8972" s="106"/>
      <c r="D8972" s="107"/>
      <c r="E8972" s="65"/>
      <c r="F8972" s="64"/>
      <c r="G8972" s="64"/>
      <c r="H8972" s="64"/>
      <c r="I8972" s="70"/>
      <c r="J8972" s="70"/>
      <c r="K8972" s="110" t="str">
        <f>IF(H8972="","",IF($C$29="간이법","",FPR(H8972,I8972,J8972)))</f>
        <v/>
      </c>
      <c r="L8972" s="111" t="str">
        <f>IF(H8972="","",IF($C$29="상세법",FPV(H8972,K8972),IF(H8972="EI",4,IF(H8972="EO",5.2,IF(H8972="EQ",3.9,IF(H8972="ILF",7.5,IF(H8972="EIF",5.4)))))))</f>
        <v/>
      </c>
      <c r="M8972" s="112" t="str">
        <f t="shared" si="143"/>
        <v/>
      </c>
      <c r="N8972" s="113"/>
    </row>
    <row r="8973" spans="2:14">
      <c r="B8973" s="105"/>
      <c r="C8973" s="106"/>
      <c r="D8973" s="107"/>
      <c r="E8973" s="65"/>
      <c r="F8973" s="64"/>
      <c r="G8973" s="64"/>
      <c r="H8973" s="64"/>
      <c r="I8973" s="70"/>
      <c r="J8973" s="70"/>
      <c r="K8973" s="110" t="str">
        <f>IF(H8973="","",IF($C$29="간이법","",FPR(H8973,I8973,J8973)))</f>
        <v/>
      </c>
      <c r="L8973" s="111" t="str">
        <f>IF(H8973="","",IF($C$29="상세법",FPV(H8973,K8973),IF(H8973="EI",4,IF(H8973="EO",5.2,IF(H8973="EQ",3.9,IF(H8973="ILF",7.5,IF(H8973="EIF",5.4)))))))</f>
        <v/>
      </c>
      <c r="M8973" s="112" t="str">
        <f t="shared" si="143"/>
        <v/>
      </c>
      <c r="N8973" s="113"/>
    </row>
    <row r="8974" spans="2:14">
      <c r="B8974" s="105"/>
      <c r="C8974" s="106"/>
      <c r="D8974" s="107"/>
      <c r="E8974" s="65"/>
      <c r="F8974" s="64"/>
      <c r="G8974" s="64"/>
      <c r="H8974" s="64"/>
      <c r="I8974" s="70"/>
      <c r="J8974" s="70"/>
      <c r="K8974" s="110" t="str">
        <f>IF(H8974="","",IF($C$29="간이법","",FPR(H8974,I8974,J8974)))</f>
        <v/>
      </c>
      <c r="L8974" s="111" t="str">
        <f>IF(H8974="","",IF($C$29="상세법",FPV(H8974,K8974),IF(H8974="EI",4,IF(H8974="EO",5.2,IF(H8974="EQ",3.9,IF(H8974="ILF",7.5,IF(H8974="EIF",5.4)))))))</f>
        <v/>
      </c>
      <c r="M8974" s="112" t="str">
        <f t="shared" si="143"/>
        <v/>
      </c>
      <c r="N8974" s="113"/>
    </row>
    <row r="8975" spans="2:14">
      <c r="B8975" s="105"/>
      <c r="C8975" s="106"/>
      <c r="D8975" s="107"/>
      <c r="E8975" s="65"/>
      <c r="F8975" s="64"/>
      <c r="G8975" s="64"/>
      <c r="H8975" s="64"/>
      <c r="I8975" s="70"/>
      <c r="J8975" s="70"/>
      <c r="K8975" s="110" t="str">
        <f>IF(H8975="","",IF($C$29="간이법","",FPR(H8975,I8975,J8975)))</f>
        <v/>
      </c>
      <c r="L8975" s="111" t="str">
        <f>IF(H8975="","",IF($C$29="상세법",FPV(H8975,K8975),IF(H8975="EI",4,IF(H8975="EO",5.2,IF(H8975="EQ",3.9,IF(H8975="ILF",7.5,IF(H8975="EIF",5.4)))))))</f>
        <v/>
      </c>
      <c r="M8975" s="112" t="str">
        <f t="shared" si="143"/>
        <v/>
      </c>
      <c r="N8975" s="113"/>
    </row>
    <row r="8976" spans="2:14">
      <c r="B8976" s="105"/>
      <c r="C8976" s="106"/>
      <c r="D8976" s="107"/>
      <c r="E8976" s="65"/>
      <c r="F8976" s="64"/>
      <c r="G8976" s="64"/>
      <c r="H8976" s="64"/>
      <c r="I8976" s="70"/>
      <c r="J8976" s="70"/>
      <c r="K8976" s="110" t="str">
        <f>IF(H8976="","",IF($C$29="간이법","",FPR(H8976,I8976,J8976)))</f>
        <v/>
      </c>
      <c r="L8976" s="111" t="str">
        <f>IF(H8976="","",IF($C$29="상세법",FPV(H8976,K8976),IF(H8976="EI",4,IF(H8976="EO",5.2,IF(H8976="EQ",3.9,IF(H8976="ILF",7.5,IF(H8976="EIF",5.4)))))))</f>
        <v/>
      </c>
      <c r="M8976" s="112" t="str">
        <f t="shared" si="143"/>
        <v/>
      </c>
      <c r="N8976" s="113"/>
    </row>
    <row r="8977" spans="2:14">
      <c r="B8977" s="105"/>
      <c r="C8977" s="106"/>
      <c r="D8977" s="107"/>
      <c r="E8977" s="65"/>
      <c r="F8977" s="64"/>
      <c r="G8977" s="64"/>
      <c r="H8977" s="64"/>
      <c r="I8977" s="70"/>
      <c r="J8977" s="70"/>
      <c r="K8977" s="110" t="str">
        <f>IF(H8977="","",IF($C$29="간이법","",FPR(H8977,I8977,J8977)))</f>
        <v/>
      </c>
      <c r="L8977" s="111" t="str">
        <f>IF(H8977="","",IF($C$29="상세법",FPV(H8977,K8977),IF(H8977="EI",4,IF(H8977="EO",5.2,IF(H8977="EQ",3.9,IF(H8977="ILF",7.5,IF(H8977="EIF",5.4)))))))</f>
        <v/>
      </c>
      <c r="M8977" s="112" t="str">
        <f t="shared" si="143"/>
        <v/>
      </c>
      <c r="N8977" s="113"/>
    </row>
    <row r="8978" spans="2:14">
      <c r="B8978" s="105"/>
      <c r="C8978" s="106"/>
      <c r="D8978" s="107"/>
      <c r="E8978" s="65"/>
      <c r="F8978" s="64"/>
      <c r="G8978" s="64"/>
      <c r="H8978" s="64"/>
      <c r="I8978" s="70"/>
      <c r="J8978" s="70"/>
      <c r="K8978" s="110" t="str">
        <f>IF(H8978="","",IF($C$29="간이법","",FPR(H8978,I8978,J8978)))</f>
        <v/>
      </c>
      <c r="L8978" s="111" t="str">
        <f>IF(H8978="","",IF($C$29="상세법",FPV(H8978,K8978),IF(H8978="EI",4,IF(H8978="EO",5.2,IF(H8978="EQ",3.9,IF(H8978="ILF",7.5,IF(H8978="EIF",5.4)))))))</f>
        <v/>
      </c>
      <c r="M8978" s="112" t="str">
        <f t="shared" si="143"/>
        <v/>
      </c>
      <c r="N8978" s="113"/>
    </row>
    <row r="8979" spans="2:14">
      <c r="B8979" s="105"/>
      <c r="C8979" s="106"/>
      <c r="D8979" s="107"/>
      <c r="E8979" s="65"/>
      <c r="F8979" s="64"/>
      <c r="G8979" s="64"/>
      <c r="H8979" s="64"/>
      <c r="I8979" s="70"/>
      <c r="J8979" s="70"/>
      <c r="K8979" s="110" t="str">
        <f>IF(H8979="","",IF($C$29="간이법","",FPR(H8979,I8979,J8979)))</f>
        <v/>
      </c>
      <c r="L8979" s="111" t="str">
        <f>IF(H8979="","",IF($C$29="상세법",FPV(H8979,K8979),IF(H8979="EI",4,IF(H8979="EO",5.2,IF(H8979="EQ",3.9,IF(H8979="ILF",7.5,IF(H8979="EIF",5.4)))))))</f>
        <v/>
      </c>
      <c r="M8979" s="112" t="str">
        <f t="shared" si="143"/>
        <v/>
      </c>
      <c r="N8979" s="113"/>
    </row>
    <row r="8980" spans="2:14">
      <c r="B8980" s="105"/>
      <c r="C8980" s="106"/>
      <c r="D8980" s="107"/>
      <c r="E8980" s="65"/>
      <c r="F8980" s="64"/>
      <c r="G8980" s="64"/>
      <c r="H8980" s="64"/>
      <c r="I8980" s="70"/>
      <c r="J8980" s="70"/>
      <c r="K8980" s="110" t="str">
        <f>IF(H8980="","",IF($C$29="간이법","",FPR(H8980,I8980,J8980)))</f>
        <v/>
      </c>
      <c r="L8980" s="111" t="str">
        <f>IF(H8980="","",IF($C$29="상세법",FPV(H8980,K8980),IF(H8980="EI",4,IF(H8980="EO",5.2,IF(H8980="EQ",3.9,IF(H8980="ILF",7.5,IF(H8980="EIF",5.4)))))))</f>
        <v/>
      </c>
      <c r="M8980" s="112" t="str">
        <f t="shared" si="143"/>
        <v/>
      </c>
      <c r="N8980" s="113"/>
    </row>
    <row r="8981" spans="2:14">
      <c r="B8981" s="105"/>
      <c r="C8981" s="106"/>
      <c r="D8981" s="107"/>
      <c r="E8981" s="65"/>
      <c r="F8981" s="64"/>
      <c r="G8981" s="64"/>
      <c r="H8981" s="64"/>
      <c r="I8981" s="70"/>
      <c r="J8981" s="70"/>
      <c r="K8981" s="110" t="str">
        <f>IF(H8981="","",IF($C$29="간이법","",FPR(H8981,I8981,J8981)))</f>
        <v/>
      </c>
      <c r="L8981" s="111" t="str">
        <f>IF(H8981="","",IF($C$29="상세법",FPV(H8981,K8981),IF(H8981="EI",4,IF(H8981="EO",5.2,IF(H8981="EQ",3.9,IF(H8981="ILF",7.5,IF(H8981="EIF",5.4)))))))</f>
        <v/>
      </c>
      <c r="M8981" s="112" t="str">
        <f t="shared" si="143"/>
        <v/>
      </c>
      <c r="N8981" s="113"/>
    </row>
    <row r="8982" spans="2:14">
      <c r="B8982" s="105"/>
      <c r="C8982" s="106"/>
      <c r="D8982" s="107"/>
      <c r="E8982" s="65"/>
      <c r="F8982" s="64"/>
      <c r="G8982" s="64"/>
      <c r="H8982" s="64"/>
      <c r="I8982" s="70"/>
      <c r="J8982" s="70"/>
      <c r="K8982" s="110" t="str">
        <f>IF(H8982="","",IF($C$29="간이법","",FPR(H8982,I8982,J8982)))</f>
        <v/>
      </c>
      <c r="L8982" s="111" t="str">
        <f>IF(H8982="","",IF($C$29="상세법",FPV(H8982,K8982),IF(H8982="EI",4,IF(H8982="EO",5.2,IF(H8982="EQ",3.9,IF(H8982="ILF",7.5,IF(H8982="EIF",5.4)))))))</f>
        <v/>
      </c>
      <c r="M8982" s="112" t="str">
        <f t="shared" si="143"/>
        <v/>
      </c>
      <c r="N8982" s="113"/>
    </row>
    <row r="8983" spans="2:14">
      <c r="B8983" s="105"/>
      <c r="C8983" s="106"/>
      <c r="D8983" s="107"/>
      <c r="E8983" s="65"/>
      <c r="F8983" s="64"/>
      <c r="G8983" s="64"/>
      <c r="H8983" s="64"/>
      <c r="I8983" s="70"/>
      <c r="J8983" s="70"/>
      <c r="K8983" s="110" t="str">
        <f>IF(H8983="","",IF($C$29="간이법","",FPR(H8983,I8983,J8983)))</f>
        <v/>
      </c>
      <c r="L8983" s="111" t="str">
        <f>IF(H8983="","",IF($C$29="상세법",FPV(H8983,K8983),IF(H8983="EI",4,IF(H8983="EO",5.2,IF(H8983="EQ",3.9,IF(H8983="ILF",7.5,IF(H8983="EIF",5.4)))))))</f>
        <v/>
      </c>
      <c r="M8983" s="112" t="str">
        <f t="shared" si="143"/>
        <v/>
      </c>
      <c r="N8983" s="113"/>
    </row>
    <row r="8984" spans="2:14">
      <c r="B8984" s="105"/>
      <c r="C8984" s="106"/>
      <c r="D8984" s="107"/>
      <c r="E8984" s="65"/>
      <c r="F8984" s="64"/>
      <c r="G8984" s="64"/>
      <c r="H8984" s="64"/>
      <c r="I8984" s="70"/>
      <c r="J8984" s="70"/>
      <c r="K8984" s="110" t="str">
        <f>IF(H8984="","",IF($C$29="간이법","",FPR(H8984,I8984,J8984)))</f>
        <v/>
      </c>
      <c r="L8984" s="111" t="str">
        <f>IF(H8984="","",IF($C$29="상세법",FPV(H8984,K8984),IF(H8984="EI",4,IF(H8984="EO",5.2,IF(H8984="EQ",3.9,IF(H8984="ILF",7.5,IF(H8984="EIF",5.4)))))))</f>
        <v/>
      </c>
      <c r="M8984" s="112" t="str">
        <f t="shared" si="143"/>
        <v/>
      </c>
      <c r="N8984" s="113"/>
    </row>
    <row r="8985" spans="2:14">
      <c r="B8985" s="105"/>
      <c r="C8985" s="106"/>
      <c r="D8985" s="107"/>
      <c r="E8985" s="65"/>
      <c r="F8985" s="64"/>
      <c r="G8985" s="64"/>
      <c r="H8985" s="64"/>
      <c r="I8985" s="70"/>
      <c r="J8985" s="70"/>
      <c r="K8985" s="110" t="str">
        <f>IF(H8985="","",IF($C$29="간이법","",FPR(H8985,I8985,J8985)))</f>
        <v/>
      </c>
      <c r="L8985" s="111" t="str">
        <f>IF(H8985="","",IF($C$29="상세법",FPV(H8985,K8985),IF(H8985="EI",4,IF(H8985="EO",5.2,IF(H8985="EQ",3.9,IF(H8985="ILF",7.5,IF(H8985="EIF",5.4)))))))</f>
        <v/>
      </c>
      <c r="M8985" s="112" t="str">
        <f t="shared" si="143"/>
        <v/>
      </c>
      <c r="N8985" s="113"/>
    </row>
    <row r="8986" spans="2:14">
      <c r="B8986" s="105"/>
      <c r="C8986" s="106"/>
      <c r="D8986" s="107"/>
      <c r="E8986" s="65"/>
      <c r="F8986" s="64"/>
      <c r="G8986" s="64"/>
      <c r="H8986" s="64"/>
      <c r="I8986" s="70"/>
      <c r="J8986" s="70"/>
      <c r="K8986" s="110" t="str">
        <f>IF(H8986="","",IF($C$29="간이법","",FPR(H8986,I8986,J8986)))</f>
        <v/>
      </c>
      <c r="L8986" s="111" t="str">
        <f>IF(H8986="","",IF($C$29="상세법",FPV(H8986,K8986),IF(H8986="EI",4,IF(H8986="EO",5.2,IF(H8986="EQ",3.9,IF(H8986="ILF",7.5,IF(H8986="EIF",5.4)))))))</f>
        <v/>
      </c>
      <c r="M8986" s="112" t="str">
        <f t="shared" si="143"/>
        <v/>
      </c>
      <c r="N8986" s="113"/>
    </row>
    <row r="8987" spans="2:14">
      <c r="B8987" s="105"/>
      <c r="C8987" s="106"/>
      <c r="D8987" s="107"/>
      <c r="E8987" s="65"/>
      <c r="F8987" s="64"/>
      <c r="G8987" s="64"/>
      <c r="H8987" s="64"/>
      <c r="I8987" s="70"/>
      <c r="J8987" s="70"/>
      <c r="K8987" s="110" t="str">
        <f>IF(H8987="","",IF($C$29="간이법","",FPR(H8987,I8987,J8987)))</f>
        <v/>
      </c>
      <c r="L8987" s="111" t="str">
        <f>IF(H8987="","",IF($C$29="상세법",FPV(H8987,K8987),IF(H8987="EI",4,IF(H8987="EO",5.2,IF(H8987="EQ",3.9,IF(H8987="ILF",7.5,IF(H8987="EIF",5.4)))))))</f>
        <v/>
      </c>
      <c r="M8987" s="112" t="str">
        <f t="shared" si="143"/>
        <v/>
      </c>
      <c r="N8987" s="113"/>
    </row>
    <row r="8988" spans="2:14">
      <c r="B8988" s="105"/>
      <c r="C8988" s="106"/>
      <c r="D8988" s="107"/>
      <c r="E8988" s="65"/>
      <c r="F8988" s="64"/>
      <c r="G8988" s="64"/>
      <c r="H8988" s="64"/>
      <c r="I8988" s="70"/>
      <c r="J8988" s="70"/>
      <c r="K8988" s="110" t="str">
        <f>IF(H8988="","",IF($C$29="간이법","",FPR(H8988,I8988,J8988)))</f>
        <v/>
      </c>
      <c r="L8988" s="111" t="str">
        <f>IF(H8988="","",IF($C$29="상세법",FPV(H8988,K8988),IF(H8988="EI",4,IF(H8988="EO",5.2,IF(H8988="EQ",3.9,IF(H8988="ILF",7.5,IF(H8988="EIF",5.4)))))))</f>
        <v/>
      </c>
      <c r="M8988" s="112" t="str">
        <f t="shared" si="143"/>
        <v/>
      </c>
      <c r="N8988" s="113"/>
    </row>
    <row r="8989" spans="2:14">
      <c r="B8989" s="105"/>
      <c r="C8989" s="106"/>
      <c r="D8989" s="107"/>
      <c r="E8989" s="65"/>
      <c r="F8989" s="64"/>
      <c r="G8989" s="64"/>
      <c r="H8989" s="64"/>
      <c r="I8989" s="70"/>
      <c r="J8989" s="70"/>
      <c r="K8989" s="110" t="str">
        <f>IF(H8989="","",IF($C$29="간이법","",FPR(H8989,I8989,J8989)))</f>
        <v/>
      </c>
      <c r="L8989" s="111" t="str">
        <f>IF(H8989="","",IF($C$29="상세법",FPV(H8989,K8989),IF(H8989="EI",4,IF(H8989="EO",5.2,IF(H8989="EQ",3.9,IF(H8989="ILF",7.5,IF(H8989="EIF",5.4)))))))</f>
        <v/>
      </c>
      <c r="M8989" s="112" t="str">
        <f t="shared" si="143"/>
        <v/>
      </c>
      <c r="N8989" s="113"/>
    </row>
    <row r="8990" spans="2:14">
      <c r="B8990" s="105"/>
      <c r="C8990" s="106"/>
      <c r="D8990" s="107"/>
      <c r="E8990" s="65"/>
      <c r="F8990" s="64"/>
      <c r="G8990" s="64"/>
      <c r="H8990" s="64"/>
      <c r="I8990" s="70"/>
      <c r="J8990" s="70"/>
      <c r="K8990" s="110" t="str">
        <f>IF(H8990="","",IF($C$29="간이법","",FPR(H8990,I8990,J8990)))</f>
        <v/>
      </c>
      <c r="L8990" s="111" t="str">
        <f>IF(H8990="","",IF($C$29="상세법",FPV(H8990,K8990),IF(H8990="EI",4,IF(H8990="EO",5.2,IF(H8990="EQ",3.9,IF(H8990="ILF",7.5,IF(H8990="EIF",5.4)))))))</f>
        <v/>
      </c>
      <c r="M8990" s="112" t="str">
        <f t="shared" si="143"/>
        <v/>
      </c>
      <c r="N8990" s="113"/>
    </row>
    <row r="8991" spans="2:14">
      <c r="B8991" s="105"/>
      <c r="C8991" s="106"/>
      <c r="D8991" s="107"/>
      <c r="E8991" s="65"/>
      <c r="F8991" s="64"/>
      <c r="G8991" s="64"/>
      <c r="H8991" s="64"/>
      <c r="I8991" s="70"/>
      <c r="J8991" s="70"/>
      <c r="K8991" s="110" t="str">
        <f>IF(H8991="","",IF($C$29="간이법","",FPR(H8991,I8991,J8991)))</f>
        <v/>
      </c>
      <c r="L8991" s="111" t="str">
        <f>IF(H8991="","",IF($C$29="상세법",FPV(H8991,K8991),IF(H8991="EI",4,IF(H8991="EO",5.2,IF(H8991="EQ",3.9,IF(H8991="ILF",7.5,IF(H8991="EIF",5.4)))))))</f>
        <v/>
      </c>
      <c r="M8991" s="112" t="str">
        <f t="shared" si="143"/>
        <v/>
      </c>
      <c r="N8991" s="113"/>
    </row>
    <row r="8992" spans="2:14">
      <c r="B8992" s="105"/>
      <c r="C8992" s="106"/>
      <c r="D8992" s="107"/>
      <c r="E8992" s="65"/>
      <c r="F8992" s="64"/>
      <c r="G8992" s="64"/>
      <c r="H8992" s="64"/>
      <c r="I8992" s="70"/>
      <c r="J8992" s="70"/>
      <c r="K8992" s="110" t="str">
        <f>IF(H8992="","",IF($C$29="간이법","",FPR(H8992,I8992,J8992)))</f>
        <v/>
      </c>
      <c r="L8992" s="111" t="str">
        <f>IF(H8992="","",IF($C$29="상세법",FPV(H8992,K8992),IF(H8992="EI",4,IF(H8992="EO",5.2,IF(H8992="EQ",3.9,IF(H8992="ILF",7.5,IF(H8992="EIF",5.4)))))))</f>
        <v/>
      </c>
      <c r="M8992" s="112" t="str">
        <f t="shared" si="143"/>
        <v/>
      </c>
      <c r="N8992" s="113"/>
    </row>
    <row r="8993" spans="2:14">
      <c r="B8993" s="105"/>
      <c r="C8993" s="106"/>
      <c r="D8993" s="107"/>
      <c r="E8993" s="65"/>
      <c r="F8993" s="64"/>
      <c r="G8993" s="64"/>
      <c r="H8993" s="64"/>
      <c r="I8993" s="70"/>
      <c r="J8993" s="70"/>
      <c r="K8993" s="110" t="str">
        <f>IF(H8993="","",IF($C$29="간이법","",FPR(H8993,I8993,J8993)))</f>
        <v/>
      </c>
      <c r="L8993" s="111" t="str">
        <f>IF(H8993="","",IF($C$29="상세법",FPV(H8993,K8993),IF(H8993="EI",4,IF(H8993="EO",5.2,IF(H8993="EQ",3.9,IF(H8993="ILF",7.5,IF(H8993="EIF",5.4)))))))</f>
        <v/>
      </c>
      <c r="M8993" s="112" t="str">
        <f t="shared" si="143"/>
        <v/>
      </c>
      <c r="N8993" s="113"/>
    </row>
    <row r="8994" spans="2:14">
      <c r="B8994" s="105"/>
      <c r="C8994" s="106"/>
      <c r="D8994" s="107"/>
      <c r="E8994" s="65"/>
      <c r="F8994" s="64"/>
      <c r="G8994" s="64"/>
      <c r="H8994" s="64"/>
      <c r="I8994" s="70"/>
      <c r="J8994" s="70"/>
      <c r="K8994" s="110" t="str">
        <f>IF(H8994="","",IF($C$29="간이법","",FPR(H8994,I8994,J8994)))</f>
        <v/>
      </c>
      <c r="L8994" s="111" t="str">
        <f>IF(H8994="","",IF($C$29="상세법",FPV(H8994,K8994),IF(H8994="EI",4,IF(H8994="EO",5.2,IF(H8994="EQ",3.9,IF(H8994="ILF",7.5,IF(H8994="EIF",5.4)))))))</f>
        <v/>
      </c>
      <c r="M8994" s="112" t="str">
        <f t="shared" si="143"/>
        <v/>
      </c>
      <c r="N8994" s="113"/>
    </row>
    <row r="8995" spans="2:14">
      <c r="B8995" s="105"/>
      <c r="C8995" s="106"/>
      <c r="D8995" s="107"/>
      <c r="E8995" s="65"/>
      <c r="F8995" s="64"/>
      <c r="G8995" s="64"/>
      <c r="H8995" s="64"/>
      <c r="I8995" s="70"/>
      <c r="J8995" s="70"/>
      <c r="K8995" s="110" t="str">
        <f>IF(H8995="","",IF($C$29="간이법","",FPR(H8995,I8995,J8995)))</f>
        <v/>
      </c>
      <c r="L8995" s="111" t="str">
        <f>IF(H8995="","",IF($C$29="상세법",FPV(H8995,K8995),IF(H8995="EI",4,IF(H8995="EO",5.2,IF(H8995="EQ",3.9,IF(H8995="ILF",7.5,IF(H8995="EIF",5.4)))))))</f>
        <v/>
      </c>
      <c r="M8995" s="112" t="str">
        <f t="shared" si="143"/>
        <v/>
      </c>
      <c r="N8995" s="113"/>
    </row>
    <row r="8996" spans="2:14">
      <c r="B8996" s="105"/>
      <c r="C8996" s="106"/>
      <c r="D8996" s="107"/>
      <c r="E8996" s="65"/>
      <c r="F8996" s="64"/>
      <c r="G8996" s="64"/>
      <c r="H8996" s="64"/>
      <c r="I8996" s="70"/>
      <c r="J8996" s="70"/>
      <c r="K8996" s="110" t="str">
        <f>IF(H8996="","",IF($C$29="간이법","",FPR(H8996,I8996,J8996)))</f>
        <v/>
      </c>
      <c r="L8996" s="111" t="str">
        <f>IF(H8996="","",IF($C$29="상세법",FPV(H8996,K8996),IF(H8996="EI",4,IF(H8996="EO",5.2,IF(H8996="EQ",3.9,IF(H8996="ILF",7.5,IF(H8996="EIF",5.4)))))))</f>
        <v/>
      </c>
      <c r="M8996" s="112" t="str">
        <f t="shared" si="143"/>
        <v/>
      </c>
      <c r="N8996" s="113"/>
    </row>
    <row r="8997" spans="2:14">
      <c r="B8997" s="105"/>
      <c r="C8997" s="106"/>
      <c r="D8997" s="107"/>
      <c r="E8997" s="65"/>
      <c r="F8997" s="64"/>
      <c r="G8997" s="64"/>
      <c r="H8997" s="64"/>
      <c r="I8997" s="70"/>
      <c r="J8997" s="70"/>
      <c r="K8997" s="110" t="str">
        <f>IF(H8997="","",IF($C$29="간이법","",FPR(H8997,I8997,J8997)))</f>
        <v/>
      </c>
      <c r="L8997" s="111" t="str">
        <f>IF(H8997="","",IF($C$29="상세법",FPV(H8997,K8997),IF(H8997="EI",4,IF(H8997="EO",5.2,IF(H8997="EQ",3.9,IF(H8997="ILF",7.5,IF(H8997="EIF",5.4)))))))</f>
        <v/>
      </c>
      <c r="M8997" s="112" t="str">
        <f t="shared" si="143"/>
        <v/>
      </c>
      <c r="N8997" s="113"/>
    </row>
    <row r="8998" spans="2:14">
      <c r="B8998" s="105"/>
      <c r="C8998" s="106"/>
      <c r="D8998" s="107"/>
      <c r="E8998" s="65"/>
      <c r="F8998" s="64"/>
      <c r="G8998" s="64"/>
      <c r="H8998" s="64"/>
      <c r="I8998" s="70"/>
      <c r="J8998" s="70"/>
      <c r="K8998" s="110" t="str">
        <f>IF(H8998="","",IF($C$29="간이법","",FPR(H8998,I8998,J8998)))</f>
        <v/>
      </c>
      <c r="L8998" s="111" t="str">
        <f>IF(H8998="","",IF($C$29="상세법",FPV(H8998,K8998),IF(H8998="EI",4,IF(H8998="EO",5.2,IF(H8998="EQ",3.9,IF(H8998="ILF",7.5,IF(H8998="EIF",5.4)))))))</f>
        <v/>
      </c>
      <c r="M8998" s="112" t="str">
        <f t="shared" si="143"/>
        <v/>
      </c>
      <c r="N8998" s="113"/>
    </row>
    <row r="8999" spans="2:14">
      <c r="B8999" s="105"/>
      <c r="C8999" s="106"/>
      <c r="D8999" s="107"/>
      <c r="E8999" s="65"/>
      <c r="F8999" s="64"/>
      <c r="G8999" s="64"/>
      <c r="H8999" s="64"/>
      <c r="I8999" s="70"/>
      <c r="J8999" s="70"/>
      <c r="K8999" s="110" t="str">
        <f>IF(H8999="","",IF($C$29="간이법","",FPR(H8999,I8999,J8999)))</f>
        <v/>
      </c>
      <c r="L8999" s="111" t="str">
        <f>IF(H8999="","",IF($C$29="상세법",FPV(H8999,K8999),IF(H8999="EI",4,IF(H8999="EO",5.2,IF(H8999="EQ",3.9,IF(H8999="ILF",7.5,IF(H8999="EIF",5.4)))))))</f>
        <v/>
      </c>
      <c r="M8999" s="112" t="str">
        <f t="shared" si="143"/>
        <v/>
      </c>
      <c r="N8999" s="113"/>
    </row>
    <row r="9000" spans="2:14">
      <c r="B9000" s="105"/>
      <c r="C9000" s="106"/>
      <c r="D9000" s="107"/>
      <c r="E9000" s="65"/>
      <c r="F9000" s="64"/>
      <c r="G9000" s="64"/>
      <c r="H9000" s="64"/>
      <c r="I9000" s="70"/>
      <c r="J9000" s="70"/>
      <c r="K9000" s="110" t="str">
        <f>IF(H9000="","",IF($C$29="간이법","",FPR(H9000,I9000,J9000)))</f>
        <v/>
      </c>
      <c r="L9000" s="111" t="str">
        <f>IF(H9000="","",IF($C$29="상세법",FPV(H9000,K9000),IF(H9000="EI",4,IF(H9000="EO",5.2,IF(H9000="EQ",3.9,IF(H9000="ILF",7.5,IF(H9000="EIF",5.4)))))))</f>
        <v/>
      </c>
      <c r="M9000" s="112" t="str">
        <f t="shared" si="143"/>
        <v/>
      </c>
      <c r="N9000" s="113"/>
    </row>
    <row r="9001" spans="2:14">
      <c r="B9001" s="105"/>
      <c r="C9001" s="106"/>
      <c r="D9001" s="107"/>
      <c r="E9001" s="65"/>
      <c r="F9001" s="64"/>
      <c r="G9001" s="64"/>
      <c r="H9001" s="64"/>
      <c r="I9001" s="70"/>
      <c r="J9001" s="70"/>
      <c r="K9001" s="110" t="str">
        <f>IF(H9001="","",IF($C$29="간이법","",FPR(H9001,I9001,J9001)))</f>
        <v/>
      </c>
      <c r="L9001" s="111" t="str">
        <f>IF(H9001="","",IF($C$29="상세법",FPV(H9001,K9001),IF(H9001="EI",4,IF(H9001="EO",5.2,IF(H9001="EQ",3.9,IF(H9001="ILF",7.5,IF(H9001="EIF",5.4)))))))</f>
        <v/>
      </c>
      <c r="M9001" s="112" t="str">
        <f t="shared" si="143"/>
        <v/>
      </c>
      <c r="N9001" s="113"/>
    </row>
    <row r="9002" spans="2:14">
      <c r="B9002" s="105"/>
      <c r="C9002" s="106"/>
      <c r="D9002" s="107"/>
      <c r="E9002" s="65"/>
      <c r="F9002" s="64"/>
      <c r="G9002" s="64"/>
      <c r="H9002" s="64"/>
      <c r="I9002" s="70"/>
      <c r="J9002" s="70"/>
      <c r="K9002" s="110" t="str">
        <f>IF(H9002="","",IF($C$29="간이법","",FPR(H9002,I9002,J9002)))</f>
        <v/>
      </c>
      <c r="L9002" s="111" t="str">
        <f>IF(H9002="","",IF($C$29="상세법",FPV(H9002,K9002),IF(H9002="EI",4,IF(H9002="EO",5.2,IF(H9002="EQ",3.9,IF(H9002="ILF",7.5,IF(H9002="EIF",5.4)))))))</f>
        <v/>
      </c>
      <c r="M9002" s="112" t="str">
        <f t="shared" si="143"/>
        <v/>
      </c>
      <c r="N9002" s="113"/>
    </row>
    <row r="9003" spans="2:14">
      <c r="B9003" s="105"/>
      <c r="C9003" s="106"/>
      <c r="D9003" s="107"/>
      <c r="E9003" s="65"/>
      <c r="F9003" s="64"/>
      <c r="G9003" s="64"/>
      <c r="H9003" s="64"/>
      <c r="I9003" s="70"/>
      <c r="J9003" s="70"/>
      <c r="K9003" s="110" t="str">
        <f>IF(H9003="","",IF($C$29="간이법","",FPR(H9003,I9003,J9003)))</f>
        <v/>
      </c>
      <c r="L9003" s="111" t="str">
        <f>IF(H9003="","",IF($C$29="상세법",FPV(H9003,K9003),IF(H9003="EI",4,IF(H9003="EO",5.2,IF(H9003="EQ",3.9,IF(H9003="ILF",7.5,IF(H9003="EIF",5.4)))))))</f>
        <v/>
      </c>
      <c r="M9003" s="112" t="str">
        <f t="shared" si="143"/>
        <v/>
      </c>
      <c r="N9003" s="113"/>
    </row>
    <row r="9004" spans="2:14">
      <c r="B9004" s="105"/>
      <c r="C9004" s="106"/>
      <c r="D9004" s="107"/>
      <c r="E9004" s="65"/>
      <c r="F9004" s="64"/>
      <c r="G9004" s="64"/>
      <c r="H9004" s="64"/>
      <c r="I9004" s="70"/>
      <c r="J9004" s="70"/>
      <c r="K9004" s="110" t="str">
        <f>IF(H9004="","",IF($C$29="간이법","",FPR(H9004,I9004,J9004)))</f>
        <v/>
      </c>
      <c r="L9004" s="111" t="str">
        <f>IF(H9004="","",IF($C$29="상세법",FPV(H9004,K9004),IF(H9004="EI",4,IF(H9004="EO",5.2,IF(H9004="EQ",3.9,IF(H9004="ILF",7.5,IF(H9004="EIF",5.4)))))))</f>
        <v/>
      </c>
      <c r="M9004" s="112" t="str">
        <f t="shared" si="143"/>
        <v/>
      </c>
      <c r="N9004" s="113"/>
    </row>
    <row r="9005" spans="2:14">
      <c r="B9005" s="105"/>
      <c r="C9005" s="106"/>
      <c r="D9005" s="107"/>
      <c r="E9005" s="65"/>
      <c r="F9005" s="64"/>
      <c r="G9005" s="64"/>
      <c r="H9005" s="64"/>
      <c r="I9005" s="70"/>
      <c r="J9005" s="70"/>
      <c r="K9005" s="110" t="str">
        <f>IF(H9005="","",IF($C$29="간이법","",FPR(H9005,I9005,J9005)))</f>
        <v/>
      </c>
      <c r="L9005" s="111" t="str">
        <f>IF(H9005="","",IF($C$29="상세법",FPV(H9005,K9005),IF(H9005="EI",4,IF(H9005="EO",5.2,IF(H9005="EQ",3.9,IF(H9005="ILF",7.5,IF(H9005="EIF",5.4)))))))</f>
        <v/>
      </c>
      <c r="M9005" s="112" t="str">
        <f t="shared" si="143"/>
        <v/>
      </c>
      <c r="N9005" s="113"/>
    </row>
    <row r="9006" spans="2:14">
      <c r="B9006" s="105"/>
      <c r="C9006" s="106"/>
      <c r="D9006" s="107"/>
      <c r="E9006" s="65"/>
      <c r="F9006" s="64"/>
      <c r="G9006" s="64"/>
      <c r="H9006" s="64"/>
      <c r="I9006" s="70"/>
      <c r="J9006" s="70"/>
      <c r="K9006" s="110" t="str">
        <f>IF(H9006="","",IF($C$29="간이법","",FPR(H9006,I9006,J9006)))</f>
        <v/>
      </c>
      <c r="L9006" s="111" t="str">
        <f>IF(H9006="","",IF($C$29="상세법",FPV(H9006,K9006),IF(H9006="EI",4,IF(H9006="EO",5.2,IF(H9006="EQ",3.9,IF(H9006="ILF",7.5,IF(H9006="EIF",5.4)))))))</f>
        <v/>
      </c>
      <c r="M9006" s="112" t="str">
        <f t="shared" si="143"/>
        <v/>
      </c>
      <c r="N9006" s="113"/>
    </row>
    <row r="9007" spans="2:14">
      <c r="B9007" s="105"/>
      <c r="C9007" s="106"/>
      <c r="D9007" s="107"/>
      <c r="E9007" s="65"/>
      <c r="F9007" s="64"/>
      <c r="G9007" s="64"/>
      <c r="H9007" s="64"/>
      <c r="I9007" s="70"/>
      <c r="J9007" s="70"/>
      <c r="K9007" s="110" t="str">
        <f>IF(H9007="","",IF($C$29="간이법","",FPR(H9007,I9007,J9007)))</f>
        <v/>
      </c>
      <c r="L9007" s="111" t="str">
        <f>IF(H9007="","",IF($C$29="상세법",FPV(H9007,K9007),IF(H9007="EI",4,IF(H9007="EO",5.2,IF(H9007="EQ",3.9,IF(H9007="ILF",7.5,IF(H9007="EIF",5.4)))))))</f>
        <v/>
      </c>
      <c r="M9007" s="112" t="str">
        <f t="shared" si="143"/>
        <v/>
      </c>
      <c r="N9007" s="113"/>
    </row>
    <row r="9008" spans="2:14">
      <c r="B9008" s="105"/>
      <c r="C9008" s="106"/>
      <c r="D9008" s="107"/>
      <c r="E9008" s="65"/>
      <c r="F9008" s="64"/>
      <c r="G9008" s="64"/>
      <c r="H9008" s="64"/>
      <c r="I9008" s="70"/>
      <c r="J9008" s="70"/>
      <c r="K9008" s="110" t="str">
        <f>IF(H9008="","",IF($C$29="간이법","",FPR(H9008,I9008,J9008)))</f>
        <v/>
      </c>
      <c r="L9008" s="111" t="str">
        <f>IF(H9008="","",IF($C$29="상세법",FPV(H9008,K9008),IF(H9008="EI",4,IF(H9008="EO",5.2,IF(H9008="EQ",3.9,IF(H9008="ILF",7.5,IF(H9008="EIF",5.4)))))))</f>
        <v/>
      </c>
      <c r="M9008" s="112" t="str">
        <f t="shared" si="143"/>
        <v/>
      </c>
      <c r="N9008" s="113"/>
    </row>
    <row r="9009" spans="2:14">
      <c r="B9009" s="105"/>
      <c r="C9009" s="106"/>
      <c r="D9009" s="107"/>
      <c r="E9009" s="65"/>
      <c r="F9009" s="64"/>
      <c r="G9009" s="64"/>
      <c r="H9009" s="64"/>
      <c r="I9009" s="70"/>
      <c r="J9009" s="70"/>
      <c r="K9009" s="110" t="str">
        <f>IF(H9009="","",IF($C$29="간이법","",FPR(H9009,I9009,J9009)))</f>
        <v/>
      </c>
      <c r="L9009" s="111" t="str">
        <f>IF(H9009="","",IF($C$29="상세법",FPV(H9009,K9009),IF(H9009="EI",4,IF(H9009="EO",5.2,IF(H9009="EQ",3.9,IF(H9009="ILF",7.5,IF(H9009="EIF",5.4)))))))</f>
        <v/>
      </c>
      <c r="M9009" s="112" t="str">
        <f t="shared" si="143"/>
        <v/>
      </c>
      <c r="N9009" s="113"/>
    </row>
    <row r="9010" spans="2:14">
      <c r="B9010" s="105"/>
      <c r="C9010" s="106"/>
      <c r="D9010" s="107"/>
      <c r="E9010" s="65"/>
      <c r="F9010" s="64"/>
      <c r="G9010" s="64"/>
      <c r="H9010" s="64"/>
      <c r="I9010" s="70"/>
      <c r="J9010" s="70"/>
      <c r="K9010" s="110" t="str">
        <f>IF(H9010="","",IF($C$29="간이법","",FPR(H9010,I9010,J9010)))</f>
        <v/>
      </c>
      <c r="L9010" s="111" t="str">
        <f>IF(H9010="","",IF($C$29="상세법",FPV(H9010,K9010),IF(H9010="EI",4,IF(H9010="EO",5.2,IF(H9010="EQ",3.9,IF(H9010="ILF",7.5,IF(H9010="EIF",5.4)))))))</f>
        <v/>
      </c>
      <c r="M9010" s="112" t="str">
        <f t="shared" si="143"/>
        <v/>
      </c>
      <c r="N9010" s="113"/>
    </row>
    <row r="9011" spans="2:14">
      <c r="B9011" s="105"/>
      <c r="C9011" s="106"/>
      <c r="D9011" s="107"/>
      <c r="E9011" s="65"/>
      <c r="F9011" s="64"/>
      <c r="G9011" s="64"/>
      <c r="H9011" s="64"/>
      <c r="I9011" s="70"/>
      <c r="J9011" s="70"/>
      <c r="K9011" s="110" t="str">
        <f>IF(H9011="","",IF($C$29="간이법","",FPR(H9011,I9011,J9011)))</f>
        <v/>
      </c>
      <c r="L9011" s="111" t="str">
        <f>IF(H9011="","",IF($C$29="상세법",FPV(H9011,K9011),IF(H9011="EI",4,IF(H9011="EO",5.2,IF(H9011="EQ",3.9,IF(H9011="ILF",7.5,IF(H9011="EIF",5.4)))))))</f>
        <v/>
      </c>
      <c r="M9011" s="112" t="str">
        <f t="shared" si="143"/>
        <v/>
      </c>
      <c r="N9011" s="113"/>
    </row>
    <row r="9012" spans="2:14">
      <c r="B9012" s="105"/>
      <c r="C9012" s="106"/>
      <c r="D9012" s="107"/>
      <c r="E9012" s="65"/>
      <c r="F9012" s="64"/>
      <c r="G9012" s="64"/>
      <c r="H9012" s="64"/>
      <c r="I9012" s="70"/>
      <c r="J9012" s="70"/>
      <c r="K9012" s="110" t="str">
        <f>IF(H9012="","",IF($C$29="간이법","",FPR(H9012,I9012,J9012)))</f>
        <v/>
      </c>
      <c r="L9012" s="111" t="str">
        <f>IF(H9012="","",IF($C$29="상세법",FPV(H9012,K9012),IF(H9012="EI",4,IF(H9012="EO",5.2,IF(H9012="EQ",3.9,IF(H9012="ILF",7.5,IF(H9012="EIF",5.4)))))))</f>
        <v/>
      </c>
      <c r="M9012" s="112" t="str">
        <f t="shared" si="143"/>
        <v/>
      </c>
      <c r="N9012" s="113"/>
    </row>
    <row r="9013" spans="2:14">
      <c r="B9013" s="105"/>
      <c r="C9013" s="106"/>
      <c r="D9013" s="107"/>
      <c r="E9013" s="65"/>
      <c r="F9013" s="64"/>
      <c r="G9013" s="64"/>
      <c r="H9013" s="64"/>
      <c r="I9013" s="70"/>
      <c r="J9013" s="70"/>
      <c r="K9013" s="110" t="str">
        <f>IF(H9013="","",IF($C$29="간이법","",FPR(H9013,I9013,J9013)))</f>
        <v/>
      </c>
      <c r="L9013" s="111" t="str">
        <f>IF(H9013="","",IF($C$29="상세법",FPV(H9013,K9013),IF(H9013="EI",4,IF(H9013="EO",5.2,IF(H9013="EQ",3.9,IF(H9013="ILF",7.5,IF(H9013="EIF",5.4)))))))</f>
        <v/>
      </c>
      <c r="M9013" s="112" t="str">
        <f t="shared" si="143"/>
        <v/>
      </c>
      <c r="N9013" s="113"/>
    </row>
    <row r="9014" spans="2:14">
      <c r="B9014" s="105"/>
      <c r="C9014" s="106"/>
      <c r="D9014" s="107"/>
      <c r="E9014" s="65"/>
      <c r="F9014" s="64"/>
      <c r="G9014" s="64"/>
      <c r="H9014" s="64"/>
      <c r="I9014" s="70"/>
      <c r="J9014" s="70"/>
      <c r="K9014" s="110" t="str">
        <f>IF(H9014="","",IF($C$29="간이법","",FPR(H9014,I9014,J9014)))</f>
        <v/>
      </c>
      <c r="L9014" s="111" t="str">
        <f>IF(H9014="","",IF($C$29="상세법",FPV(H9014,K9014),IF(H9014="EI",4,IF(H9014="EO",5.2,IF(H9014="EQ",3.9,IF(H9014="ILF",7.5,IF(H9014="EIF",5.4)))))))</f>
        <v/>
      </c>
      <c r="M9014" s="112" t="str">
        <f t="shared" si="143"/>
        <v/>
      </c>
      <c r="N9014" s="113"/>
    </row>
    <row r="9015" spans="2:14">
      <c r="B9015" s="105"/>
      <c r="C9015" s="106"/>
      <c r="D9015" s="107"/>
      <c r="E9015" s="65"/>
      <c r="F9015" s="64"/>
      <c r="G9015" s="64"/>
      <c r="H9015" s="64"/>
      <c r="I9015" s="70"/>
      <c r="J9015" s="70"/>
      <c r="K9015" s="110" t="str">
        <f>IF(H9015="","",IF($C$29="간이법","",FPR(H9015,I9015,J9015)))</f>
        <v/>
      </c>
      <c r="L9015" s="111" t="str">
        <f>IF(H9015="","",IF($C$29="상세법",FPV(H9015,K9015),IF(H9015="EI",4,IF(H9015="EO",5.2,IF(H9015="EQ",3.9,IF(H9015="ILF",7.5,IF(H9015="EIF",5.4)))))))</f>
        <v/>
      </c>
      <c r="M9015" s="112" t="str">
        <f t="shared" si="143"/>
        <v/>
      </c>
      <c r="N9015" s="113"/>
    </row>
    <row r="9016" spans="2:14">
      <c r="B9016" s="105"/>
      <c r="C9016" s="106"/>
      <c r="D9016" s="107"/>
      <c r="E9016" s="65"/>
      <c r="F9016" s="64"/>
      <c r="G9016" s="64"/>
      <c r="H9016" s="64"/>
      <c r="I9016" s="70"/>
      <c r="J9016" s="70"/>
      <c r="K9016" s="110" t="str">
        <f>IF(H9016="","",IF($C$29="간이법","",FPR(H9016,I9016,J9016)))</f>
        <v/>
      </c>
      <c r="L9016" s="111" t="str">
        <f>IF(H9016="","",IF($C$29="상세법",FPV(H9016,K9016),IF(H9016="EI",4,IF(H9016="EO",5.2,IF(H9016="EQ",3.9,IF(H9016="ILF",7.5,IF(H9016="EIF",5.4)))))))</f>
        <v/>
      </c>
      <c r="M9016" s="112" t="str">
        <f t="shared" si="143"/>
        <v/>
      </c>
      <c r="N9016" s="113"/>
    </row>
    <row r="9017" spans="2:14">
      <c r="B9017" s="105"/>
      <c r="C9017" s="106"/>
      <c r="D9017" s="107"/>
      <c r="E9017" s="65"/>
      <c r="F9017" s="64"/>
      <c r="G9017" s="64"/>
      <c r="H9017" s="64"/>
      <c r="I9017" s="70"/>
      <c r="J9017" s="70"/>
      <c r="K9017" s="110" t="str">
        <f>IF(H9017="","",IF($C$29="간이법","",FPR(H9017,I9017,J9017)))</f>
        <v/>
      </c>
      <c r="L9017" s="111" t="str">
        <f>IF(H9017="","",IF($C$29="상세법",FPV(H9017,K9017),IF(H9017="EI",4,IF(H9017="EO",5.2,IF(H9017="EQ",3.9,IF(H9017="ILF",7.5,IF(H9017="EIF",5.4)))))))</f>
        <v/>
      </c>
      <c r="M9017" s="112" t="str">
        <f t="shared" ref="M9017:M9080" si="144">IF(L9017="","",L9017*IF(G9017="상",0.7,IF(G9017="중",0.5,IF(G9017="하",0.2,1))))</f>
        <v/>
      </c>
      <c r="N9017" s="113"/>
    </row>
    <row r="9018" spans="2:14">
      <c r="B9018" s="105"/>
      <c r="C9018" s="106"/>
      <c r="D9018" s="107"/>
      <c r="E9018" s="65"/>
      <c r="F9018" s="64"/>
      <c r="G9018" s="64"/>
      <c r="H9018" s="64"/>
      <c r="I9018" s="70"/>
      <c r="J9018" s="70"/>
      <c r="K9018" s="110" t="str">
        <f>IF(H9018="","",IF($C$29="간이법","",FPR(H9018,I9018,J9018)))</f>
        <v/>
      </c>
      <c r="L9018" s="111" t="str">
        <f>IF(H9018="","",IF($C$29="상세법",FPV(H9018,K9018),IF(H9018="EI",4,IF(H9018="EO",5.2,IF(H9018="EQ",3.9,IF(H9018="ILF",7.5,IF(H9018="EIF",5.4)))))))</f>
        <v/>
      </c>
      <c r="M9018" s="112" t="str">
        <f t="shared" si="144"/>
        <v/>
      </c>
      <c r="N9018" s="113"/>
    </row>
    <row r="9019" spans="2:14">
      <c r="B9019" s="105"/>
      <c r="C9019" s="106"/>
      <c r="D9019" s="107"/>
      <c r="E9019" s="65"/>
      <c r="F9019" s="64"/>
      <c r="G9019" s="64"/>
      <c r="H9019" s="64"/>
      <c r="I9019" s="70"/>
      <c r="J9019" s="70"/>
      <c r="K9019" s="110" t="str">
        <f>IF(H9019="","",IF($C$29="간이법","",FPR(H9019,I9019,J9019)))</f>
        <v/>
      </c>
      <c r="L9019" s="111" t="str">
        <f>IF(H9019="","",IF($C$29="상세법",FPV(H9019,K9019),IF(H9019="EI",4,IF(H9019="EO",5.2,IF(H9019="EQ",3.9,IF(H9019="ILF",7.5,IF(H9019="EIF",5.4)))))))</f>
        <v/>
      </c>
      <c r="M9019" s="112" t="str">
        <f t="shared" si="144"/>
        <v/>
      </c>
      <c r="N9019" s="113"/>
    </row>
    <row r="9020" spans="2:14">
      <c r="B9020" s="105"/>
      <c r="C9020" s="106"/>
      <c r="D9020" s="107"/>
      <c r="E9020" s="65"/>
      <c r="F9020" s="64"/>
      <c r="G9020" s="64"/>
      <c r="H9020" s="64"/>
      <c r="I9020" s="70"/>
      <c r="J9020" s="70"/>
      <c r="K9020" s="110" t="str">
        <f>IF(H9020="","",IF($C$29="간이법","",FPR(H9020,I9020,J9020)))</f>
        <v/>
      </c>
      <c r="L9020" s="111" t="str">
        <f>IF(H9020="","",IF($C$29="상세법",FPV(H9020,K9020),IF(H9020="EI",4,IF(H9020="EO",5.2,IF(H9020="EQ",3.9,IF(H9020="ILF",7.5,IF(H9020="EIF",5.4)))))))</f>
        <v/>
      </c>
      <c r="M9020" s="112" t="str">
        <f t="shared" si="144"/>
        <v/>
      </c>
      <c r="N9020" s="113"/>
    </row>
    <row r="9021" spans="2:14">
      <c r="B9021" s="105"/>
      <c r="C9021" s="106"/>
      <c r="D9021" s="107"/>
      <c r="E9021" s="65"/>
      <c r="F9021" s="64"/>
      <c r="G9021" s="64"/>
      <c r="H9021" s="64"/>
      <c r="I9021" s="70"/>
      <c r="J9021" s="70"/>
      <c r="K9021" s="110" t="str">
        <f>IF(H9021="","",IF($C$29="간이법","",FPR(H9021,I9021,J9021)))</f>
        <v/>
      </c>
      <c r="L9021" s="111" t="str">
        <f>IF(H9021="","",IF($C$29="상세법",FPV(H9021,K9021),IF(H9021="EI",4,IF(H9021="EO",5.2,IF(H9021="EQ",3.9,IF(H9021="ILF",7.5,IF(H9021="EIF",5.4)))))))</f>
        <v/>
      </c>
      <c r="M9021" s="112" t="str">
        <f t="shared" si="144"/>
        <v/>
      </c>
      <c r="N9021" s="113"/>
    </row>
    <row r="9022" spans="2:14">
      <c r="B9022" s="105"/>
      <c r="C9022" s="106"/>
      <c r="D9022" s="107"/>
      <c r="E9022" s="65"/>
      <c r="F9022" s="64"/>
      <c r="G9022" s="64"/>
      <c r="H9022" s="64"/>
      <c r="I9022" s="70"/>
      <c r="J9022" s="70"/>
      <c r="K9022" s="110" t="str">
        <f>IF(H9022="","",IF($C$29="간이법","",FPR(H9022,I9022,J9022)))</f>
        <v/>
      </c>
      <c r="L9022" s="111" t="str">
        <f>IF(H9022="","",IF($C$29="상세법",FPV(H9022,K9022),IF(H9022="EI",4,IF(H9022="EO",5.2,IF(H9022="EQ",3.9,IF(H9022="ILF",7.5,IF(H9022="EIF",5.4)))))))</f>
        <v/>
      </c>
      <c r="M9022" s="112" t="str">
        <f t="shared" si="144"/>
        <v/>
      </c>
      <c r="N9022" s="113"/>
    </row>
    <row r="9023" spans="2:14">
      <c r="B9023" s="105"/>
      <c r="C9023" s="106"/>
      <c r="D9023" s="107"/>
      <c r="E9023" s="65"/>
      <c r="F9023" s="64"/>
      <c r="G9023" s="64"/>
      <c r="H9023" s="64"/>
      <c r="I9023" s="70"/>
      <c r="J9023" s="70"/>
      <c r="K9023" s="110" t="str">
        <f>IF(H9023="","",IF($C$29="간이법","",FPR(H9023,I9023,J9023)))</f>
        <v/>
      </c>
      <c r="L9023" s="111" t="str">
        <f>IF(H9023="","",IF($C$29="상세법",FPV(H9023,K9023),IF(H9023="EI",4,IF(H9023="EO",5.2,IF(H9023="EQ",3.9,IF(H9023="ILF",7.5,IF(H9023="EIF",5.4)))))))</f>
        <v/>
      </c>
      <c r="M9023" s="112" t="str">
        <f t="shared" si="144"/>
        <v/>
      </c>
      <c r="N9023" s="113"/>
    </row>
    <row r="9024" spans="2:14">
      <c r="B9024" s="105"/>
      <c r="C9024" s="106"/>
      <c r="D9024" s="107"/>
      <c r="E9024" s="65"/>
      <c r="F9024" s="64"/>
      <c r="G9024" s="64"/>
      <c r="H9024" s="64"/>
      <c r="I9024" s="70"/>
      <c r="J9024" s="70"/>
      <c r="K9024" s="110" t="str">
        <f>IF(H9024="","",IF($C$29="간이법","",FPR(H9024,I9024,J9024)))</f>
        <v/>
      </c>
      <c r="L9024" s="111" t="str">
        <f>IF(H9024="","",IF($C$29="상세법",FPV(H9024,K9024),IF(H9024="EI",4,IF(H9024="EO",5.2,IF(H9024="EQ",3.9,IF(H9024="ILF",7.5,IF(H9024="EIF",5.4)))))))</f>
        <v/>
      </c>
      <c r="M9024" s="112" t="str">
        <f t="shared" si="144"/>
        <v/>
      </c>
      <c r="N9024" s="113"/>
    </row>
    <row r="9025" spans="2:14">
      <c r="B9025" s="105"/>
      <c r="C9025" s="106"/>
      <c r="D9025" s="107"/>
      <c r="E9025" s="65"/>
      <c r="F9025" s="64"/>
      <c r="G9025" s="64"/>
      <c r="H9025" s="64"/>
      <c r="I9025" s="70"/>
      <c r="J9025" s="70"/>
      <c r="K9025" s="110" t="str">
        <f>IF(H9025="","",IF($C$29="간이법","",FPR(H9025,I9025,J9025)))</f>
        <v/>
      </c>
      <c r="L9025" s="111" t="str">
        <f>IF(H9025="","",IF($C$29="상세법",FPV(H9025,K9025),IF(H9025="EI",4,IF(H9025="EO",5.2,IF(H9025="EQ",3.9,IF(H9025="ILF",7.5,IF(H9025="EIF",5.4)))))))</f>
        <v/>
      </c>
      <c r="M9025" s="112" t="str">
        <f t="shared" si="144"/>
        <v/>
      </c>
      <c r="N9025" s="113"/>
    </row>
    <row r="9026" spans="2:14">
      <c r="B9026" s="105"/>
      <c r="C9026" s="106"/>
      <c r="D9026" s="107"/>
      <c r="E9026" s="65"/>
      <c r="F9026" s="64"/>
      <c r="G9026" s="64"/>
      <c r="H9026" s="64"/>
      <c r="I9026" s="70"/>
      <c r="J9026" s="70"/>
      <c r="K9026" s="110" t="str">
        <f>IF(H9026="","",IF($C$29="간이법","",FPR(H9026,I9026,J9026)))</f>
        <v/>
      </c>
      <c r="L9026" s="111" t="str">
        <f>IF(H9026="","",IF($C$29="상세법",FPV(H9026,K9026),IF(H9026="EI",4,IF(H9026="EO",5.2,IF(H9026="EQ",3.9,IF(H9026="ILF",7.5,IF(H9026="EIF",5.4)))))))</f>
        <v/>
      </c>
      <c r="M9026" s="112" t="str">
        <f t="shared" si="144"/>
        <v/>
      </c>
      <c r="N9026" s="113"/>
    </row>
    <row r="9027" spans="2:14">
      <c r="B9027" s="105"/>
      <c r="C9027" s="106"/>
      <c r="D9027" s="107"/>
      <c r="E9027" s="65"/>
      <c r="F9027" s="64"/>
      <c r="G9027" s="64"/>
      <c r="H9027" s="64"/>
      <c r="I9027" s="70"/>
      <c r="J9027" s="70"/>
      <c r="K9027" s="110" t="str">
        <f>IF(H9027="","",IF($C$29="간이법","",FPR(H9027,I9027,J9027)))</f>
        <v/>
      </c>
      <c r="L9027" s="111" t="str">
        <f>IF(H9027="","",IF($C$29="상세법",FPV(H9027,K9027),IF(H9027="EI",4,IF(H9027="EO",5.2,IF(H9027="EQ",3.9,IF(H9027="ILF",7.5,IF(H9027="EIF",5.4)))))))</f>
        <v/>
      </c>
      <c r="M9027" s="112" t="str">
        <f t="shared" si="144"/>
        <v/>
      </c>
      <c r="N9027" s="113"/>
    </row>
    <row r="9028" spans="2:14">
      <c r="B9028" s="105"/>
      <c r="C9028" s="106"/>
      <c r="D9028" s="107"/>
      <c r="E9028" s="65"/>
      <c r="F9028" s="64"/>
      <c r="G9028" s="64"/>
      <c r="H9028" s="64"/>
      <c r="I9028" s="70"/>
      <c r="J9028" s="70"/>
      <c r="K9028" s="110" t="str">
        <f>IF(H9028="","",IF($C$29="간이법","",FPR(H9028,I9028,J9028)))</f>
        <v/>
      </c>
      <c r="L9028" s="111" t="str">
        <f>IF(H9028="","",IF($C$29="상세법",FPV(H9028,K9028),IF(H9028="EI",4,IF(H9028="EO",5.2,IF(H9028="EQ",3.9,IF(H9028="ILF",7.5,IF(H9028="EIF",5.4)))))))</f>
        <v/>
      </c>
      <c r="M9028" s="112" t="str">
        <f t="shared" si="144"/>
        <v/>
      </c>
      <c r="N9028" s="113"/>
    </row>
    <row r="9029" spans="2:14">
      <c r="B9029" s="105"/>
      <c r="C9029" s="106"/>
      <c r="D9029" s="107"/>
      <c r="E9029" s="65"/>
      <c r="F9029" s="64"/>
      <c r="G9029" s="64"/>
      <c r="H9029" s="64"/>
      <c r="I9029" s="70"/>
      <c r="J9029" s="70"/>
      <c r="K9029" s="110" t="str">
        <f>IF(H9029="","",IF($C$29="간이법","",FPR(H9029,I9029,J9029)))</f>
        <v/>
      </c>
      <c r="L9029" s="111" t="str">
        <f>IF(H9029="","",IF($C$29="상세법",FPV(H9029,K9029),IF(H9029="EI",4,IF(H9029="EO",5.2,IF(H9029="EQ",3.9,IF(H9029="ILF",7.5,IF(H9029="EIF",5.4)))))))</f>
        <v/>
      </c>
      <c r="M9029" s="112" t="str">
        <f t="shared" si="144"/>
        <v/>
      </c>
      <c r="N9029" s="113"/>
    </row>
    <row r="9030" spans="2:14">
      <c r="B9030" s="105"/>
      <c r="C9030" s="106"/>
      <c r="D9030" s="107"/>
      <c r="E9030" s="65"/>
      <c r="F9030" s="64"/>
      <c r="G9030" s="64"/>
      <c r="H9030" s="64"/>
      <c r="I9030" s="70"/>
      <c r="J9030" s="70"/>
      <c r="K9030" s="110" t="str">
        <f>IF(H9030="","",IF($C$29="간이법","",FPR(H9030,I9030,J9030)))</f>
        <v/>
      </c>
      <c r="L9030" s="111" t="str">
        <f>IF(H9030="","",IF($C$29="상세법",FPV(H9030,K9030),IF(H9030="EI",4,IF(H9030="EO",5.2,IF(H9030="EQ",3.9,IF(H9030="ILF",7.5,IF(H9030="EIF",5.4)))))))</f>
        <v/>
      </c>
      <c r="M9030" s="112" t="str">
        <f t="shared" si="144"/>
        <v/>
      </c>
      <c r="N9030" s="113"/>
    </row>
    <row r="9031" spans="2:14">
      <c r="B9031" s="105"/>
      <c r="C9031" s="106"/>
      <c r="D9031" s="107"/>
      <c r="E9031" s="65"/>
      <c r="F9031" s="64"/>
      <c r="G9031" s="64"/>
      <c r="H9031" s="64"/>
      <c r="I9031" s="70"/>
      <c r="J9031" s="70"/>
      <c r="K9031" s="110" t="str">
        <f>IF(H9031="","",IF($C$29="간이법","",FPR(H9031,I9031,J9031)))</f>
        <v/>
      </c>
      <c r="L9031" s="111" t="str">
        <f>IF(H9031="","",IF($C$29="상세법",FPV(H9031,K9031),IF(H9031="EI",4,IF(H9031="EO",5.2,IF(H9031="EQ",3.9,IF(H9031="ILF",7.5,IF(H9031="EIF",5.4)))))))</f>
        <v/>
      </c>
      <c r="M9031" s="112" t="str">
        <f t="shared" si="144"/>
        <v/>
      </c>
      <c r="N9031" s="113"/>
    </row>
    <row r="9032" spans="2:14">
      <c r="B9032" s="105"/>
      <c r="C9032" s="106"/>
      <c r="D9032" s="107"/>
      <c r="E9032" s="65"/>
      <c r="F9032" s="64"/>
      <c r="G9032" s="64"/>
      <c r="H9032" s="64"/>
      <c r="I9032" s="70"/>
      <c r="J9032" s="70"/>
      <c r="K9032" s="110" t="str">
        <f>IF(H9032="","",IF($C$29="간이법","",FPR(H9032,I9032,J9032)))</f>
        <v/>
      </c>
      <c r="L9032" s="111" t="str">
        <f>IF(H9032="","",IF($C$29="상세법",FPV(H9032,K9032),IF(H9032="EI",4,IF(H9032="EO",5.2,IF(H9032="EQ",3.9,IF(H9032="ILF",7.5,IF(H9032="EIF",5.4)))))))</f>
        <v/>
      </c>
      <c r="M9032" s="112" t="str">
        <f t="shared" si="144"/>
        <v/>
      </c>
      <c r="N9032" s="113"/>
    </row>
    <row r="9033" spans="2:14">
      <c r="B9033" s="105"/>
      <c r="C9033" s="106"/>
      <c r="D9033" s="107"/>
      <c r="E9033" s="65"/>
      <c r="F9033" s="64"/>
      <c r="G9033" s="64"/>
      <c r="H9033" s="64"/>
      <c r="I9033" s="70"/>
      <c r="J9033" s="70"/>
      <c r="K9033" s="110" t="str">
        <f>IF(H9033="","",IF($C$29="간이법","",FPR(H9033,I9033,J9033)))</f>
        <v/>
      </c>
      <c r="L9033" s="111" t="str">
        <f>IF(H9033="","",IF($C$29="상세법",FPV(H9033,K9033),IF(H9033="EI",4,IF(H9033="EO",5.2,IF(H9033="EQ",3.9,IF(H9033="ILF",7.5,IF(H9033="EIF",5.4)))))))</f>
        <v/>
      </c>
      <c r="M9033" s="112" t="str">
        <f t="shared" si="144"/>
        <v/>
      </c>
      <c r="N9033" s="113"/>
    </row>
    <row r="9034" spans="2:14">
      <c r="B9034" s="105"/>
      <c r="C9034" s="106"/>
      <c r="D9034" s="107"/>
      <c r="E9034" s="65"/>
      <c r="F9034" s="64"/>
      <c r="G9034" s="64"/>
      <c r="H9034" s="64"/>
      <c r="I9034" s="70"/>
      <c r="J9034" s="70"/>
      <c r="K9034" s="110" t="str">
        <f>IF(H9034="","",IF($C$29="간이법","",FPR(H9034,I9034,J9034)))</f>
        <v/>
      </c>
      <c r="L9034" s="111" t="str">
        <f>IF(H9034="","",IF($C$29="상세법",FPV(H9034,K9034),IF(H9034="EI",4,IF(H9034="EO",5.2,IF(H9034="EQ",3.9,IF(H9034="ILF",7.5,IF(H9034="EIF",5.4)))))))</f>
        <v/>
      </c>
      <c r="M9034" s="112" t="str">
        <f t="shared" si="144"/>
        <v/>
      </c>
      <c r="N9034" s="113"/>
    </row>
    <row r="9035" spans="2:14">
      <c r="B9035" s="105"/>
      <c r="C9035" s="106"/>
      <c r="D9035" s="107"/>
      <c r="E9035" s="65"/>
      <c r="F9035" s="64"/>
      <c r="G9035" s="64"/>
      <c r="H9035" s="64"/>
      <c r="I9035" s="70"/>
      <c r="J9035" s="70"/>
      <c r="K9035" s="110" t="str">
        <f>IF(H9035="","",IF($C$29="간이법","",FPR(H9035,I9035,J9035)))</f>
        <v/>
      </c>
      <c r="L9035" s="111" t="str">
        <f>IF(H9035="","",IF($C$29="상세법",FPV(H9035,K9035),IF(H9035="EI",4,IF(H9035="EO",5.2,IF(H9035="EQ",3.9,IF(H9035="ILF",7.5,IF(H9035="EIF",5.4)))))))</f>
        <v/>
      </c>
      <c r="M9035" s="112" t="str">
        <f t="shared" si="144"/>
        <v/>
      </c>
      <c r="N9035" s="113"/>
    </row>
    <row r="9036" spans="2:14">
      <c r="B9036" s="105"/>
      <c r="C9036" s="106"/>
      <c r="D9036" s="107"/>
      <c r="E9036" s="65"/>
      <c r="F9036" s="64"/>
      <c r="G9036" s="64"/>
      <c r="H9036" s="64"/>
      <c r="I9036" s="70"/>
      <c r="J9036" s="70"/>
      <c r="K9036" s="110" t="str">
        <f>IF(H9036="","",IF($C$29="간이법","",FPR(H9036,I9036,J9036)))</f>
        <v/>
      </c>
      <c r="L9036" s="111" t="str">
        <f>IF(H9036="","",IF($C$29="상세법",FPV(H9036,K9036),IF(H9036="EI",4,IF(H9036="EO",5.2,IF(H9036="EQ",3.9,IF(H9036="ILF",7.5,IF(H9036="EIF",5.4)))))))</f>
        <v/>
      </c>
      <c r="M9036" s="112" t="str">
        <f t="shared" si="144"/>
        <v/>
      </c>
      <c r="N9036" s="113"/>
    </row>
    <row r="9037" spans="2:14">
      <c r="B9037" s="105"/>
      <c r="C9037" s="106"/>
      <c r="D9037" s="107"/>
      <c r="E9037" s="65"/>
      <c r="F9037" s="64"/>
      <c r="G9037" s="64"/>
      <c r="H9037" s="64"/>
      <c r="I9037" s="70"/>
      <c r="J9037" s="70"/>
      <c r="K9037" s="110" t="str">
        <f>IF(H9037="","",IF($C$29="간이법","",FPR(H9037,I9037,J9037)))</f>
        <v/>
      </c>
      <c r="L9037" s="111" t="str">
        <f>IF(H9037="","",IF($C$29="상세법",FPV(H9037,K9037),IF(H9037="EI",4,IF(H9037="EO",5.2,IF(H9037="EQ",3.9,IF(H9037="ILF",7.5,IF(H9037="EIF",5.4)))))))</f>
        <v/>
      </c>
      <c r="M9037" s="112" t="str">
        <f t="shared" si="144"/>
        <v/>
      </c>
      <c r="N9037" s="113"/>
    </row>
    <row r="9038" spans="2:14">
      <c r="B9038" s="105"/>
      <c r="C9038" s="106"/>
      <c r="D9038" s="107"/>
      <c r="E9038" s="65"/>
      <c r="F9038" s="64"/>
      <c r="G9038" s="64"/>
      <c r="H9038" s="64"/>
      <c r="I9038" s="70"/>
      <c r="J9038" s="70"/>
      <c r="K9038" s="110" t="str">
        <f>IF(H9038="","",IF($C$29="간이법","",FPR(H9038,I9038,J9038)))</f>
        <v/>
      </c>
      <c r="L9038" s="111" t="str">
        <f>IF(H9038="","",IF($C$29="상세법",FPV(H9038,K9038),IF(H9038="EI",4,IF(H9038="EO",5.2,IF(H9038="EQ",3.9,IF(H9038="ILF",7.5,IF(H9038="EIF",5.4)))))))</f>
        <v/>
      </c>
      <c r="M9038" s="112" t="str">
        <f t="shared" si="144"/>
        <v/>
      </c>
      <c r="N9038" s="113"/>
    </row>
    <row r="9039" spans="2:14">
      <c r="B9039" s="105"/>
      <c r="C9039" s="106"/>
      <c r="D9039" s="107"/>
      <c r="E9039" s="65"/>
      <c r="F9039" s="64"/>
      <c r="G9039" s="64"/>
      <c r="H9039" s="64"/>
      <c r="I9039" s="70"/>
      <c r="J9039" s="70"/>
      <c r="K9039" s="110" t="str">
        <f>IF(H9039="","",IF($C$29="간이법","",FPR(H9039,I9039,J9039)))</f>
        <v/>
      </c>
      <c r="L9039" s="111" t="str">
        <f>IF(H9039="","",IF($C$29="상세법",FPV(H9039,K9039),IF(H9039="EI",4,IF(H9039="EO",5.2,IF(H9039="EQ",3.9,IF(H9039="ILF",7.5,IF(H9039="EIF",5.4)))))))</f>
        <v/>
      </c>
      <c r="M9039" s="112" t="str">
        <f t="shared" si="144"/>
        <v/>
      </c>
      <c r="N9039" s="113"/>
    </row>
    <row r="9040" spans="2:14">
      <c r="B9040" s="105"/>
      <c r="C9040" s="106"/>
      <c r="D9040" s="107"/>
      <c r="E9040" s="65"/>
      <c r="F9040" s="64"/>
      <c r="G9040" s="64"/>
      <c r="H9040" s="64"/>
      <c r="I9040" s="70"/>
      <c r="J9040" s="70"/>
      <c r="K9040" s="110" t="str">
        <f>IF(H9040="","",IF($C$29="간이법","",FPR(H9040,I9040,J9040)))</f>
        <v/>
      </c>
      <c r="L9040" s="111" t="str">
        <f>IF(H9040="","",IF($C$29="상세법",FPV(H9040,K9040),IF(H9040="EI",4,IF(H9040="EO",5.2,IF(H9040="EQ",3.9,IF(H9040="ILF",7.5,IF(H9040="EIF",5.4)))))))</f>
        <v/>
      </c>
      <c r="M9040" s="112" t="str">
        <f t="shared" si="144"/>
        <v/>
      </c>
      <c r="N9040" s="113"/>
    </row>
    <row r="9041" spans="2:14">
      <c r="B9041" s="105"/>
      <c r="C9041" s="106"/>
      <c r="D9041" s="107"/>
      <c r="E9041" s="65"/>
      <c r="F9041" s="64"/>
      <c r="G9041" s="64"/>
      <c r="H9041" s="64"/>
      <c r="I9041" s="70"/>
      <c r="J9041" s="70"/>
      <c r="K9041" s="110" t="str">
        <f>IF(H9041="","",IF($C$29="간이법","",FPR(H9041,I9041,J9041)))</f>
        <v/>
      </c>
      <c r="L9041" s="111" t="str">
        <f>IF(H9041="","",IF($C$29="상세법",FPV(H9041,K9041),IF(H9041="EI",4,IF(H9041="EO",5.2,IF(H9041="EQ",3.9,IF(H9041="ILF",7.5,IF(H9041="EIF",5.4)))))))</f>
        <v/>
      </c>
      <c r="M9041" s="112" t="str">
        <f t="shared" si="144"/>
        <v/>
      </c>
      <c r="N9041" s="113"/>
    </row>
    <row r="9042" spans="2:14">
      <c r="B9042" s="105"/>
      <c r="C9042" s="106"/>
      <c r="D9042" s="107"/>
      <c r="E9042" s="65"/>
      <c r="F9042" s="64"/>
      <c r="G9042" s="64"/>
      <c r="H9042" s="64"/>
      <c r="I9042" s="70"/>
      <c r="J9042" s="70"/>
      <c r="K9042" s="110" t="str">
        <f>IF(H9042="","",IF($C$29="간이법","",FPR(H9042,I9042,J9042)))</f>
        <v/>
      </c>
      <c r="L9042" s="111" t="str">
        <f>IF(H9042="","",IF($C$29="상세법",FPV(H9042,K9042),IF(H9042="EI",4,IF(H9042="EO",5.2,IF(H9042="EQ",3.9,IF(H9042="ILF",7.5,IF(H9042="EIF",5.4)))))))</f>
        <v/>
      </c>
      <c r="M9042" s="112" t="str">
        <f t="shared" si="144"/>
        <v/>
      </c>
      <c r="N9042" s="113"/>
    </row>
    <row r="9043" spans="2:14">
      <c r="B9043" s="105"/>
      <c r="C9043" s="106"/>
      <c r="D9043" s="107"/>
      <c r="E9043" s="65"/>
      <c r="F9043" s="64"/>
      <c r="G9043" s="64"/>
      <c r="H9043" s="64"/>
      <c r="I9043" s="70"/>
      <c r="J9043" s="70"/>
      <c r="K9043" s="110" t="str">
        <f>IF(H9043="","",IF($C$29="간이법","",FPR(H9043,I9043,J9043)))</f>
        <v/>
      </c>
      <c r="L9043" s="111" t="str">
        <f>IF(H9043="","",IF($C$29="상세법",FPV(H9043,K9043),IF(H9043="EI",4,IF(H9043="EO",5.2,IF(H9043="EQ",3.9,IF(H9043="ILF",7.5,IF(H9043="EIF",5.4)))))))</f>
        <v/>
      </c>
      <c r="M9043" s="112" t="str">
        <f t="shared" si="144"/>
        <v/>
      </c>
      <c r="N9043" s="113"/>
    </row>
    <row r="9044" spans="2:14">
      <c r="B9044" s="105"/>
      <c r="C9044" s="106"/>
      <c r="D9044" s="107"/>
      <c r="E9044" s="65"/>
      <c r="F9044" s="64"/>
      <c r="G9044" s="64"/>
      <c r="H9044" s="64"/>
      <c r="I9044" s="70"/>
      <c r="J9044" s="70"/>
      <c r="K9044" s="110" t="str">
        <f>IF(H9044="","",IF($C$29="간이법","",FPR(H9044,I9044,J9044)))</f>
        <v/>
      </c>
      <c r="L9044" s="111" t="str">
        <f>IF(H9044="","",IF($C$29="상세법",FPV(H9044,K9044),IF(H9044="EI",4,IF(H9044="EO",5.2,IF(H9044="EQ",3.9,IF(H9044="ILF",7.5,IF(H9044="EIF",5.4)))))))</f>
        <v/>
      </c>
      <c r="M9044" s="112" t="str">
        <f t="shared" si="144"/>
        <v/>
      </c>
      <c r="N9044" s="113"/>
    </row>
    <row r="9045" spans="2:14">
      <c r="B9045" s="105"/>
      <c r="C9045" s="106"/>
      <c r="D9045" s="107"/>
      <c r="E9045" s="65"/>
      <c r="F9045" s="64"/>
      <c r="G9045" s="64"/>
      <c r="H9045" s="64"/>
      <c r="I9045" s="70"/>
      <c r="J9045" s="70"/>
      <c r="K9045" s="110" t="str">
        <f>IF(H9045="","",IF($C$29="간이법","",FPR(H9045,I9045,J9045)))</f>
        <v/>
      </c>
      <c r="L9045" s="111" t="str">
        <f>IF(H9045="","",IF($C$29="상세법",FPV(H9045,K9045),IF(H9045="EI",4,IF(H9045="EO",5.2,IF(H9045="EQ",3.9,IF(H9045="ILF",7.5,IF(H9045="EIF",5.4)))))))</f>
        <v/>
      </c>
      <c r="M9045" s="112" t="str">
        <f t="shared" si="144"/>
        <v/>
      </c>
      <c r="N9045" s="113"/>
    </row>
    <row r="9046" spans="2:14">
      <c r="B9046" s="105"/>
      <c r="C9046" s="106"/>
      <c r="D9046" s="107"/>
      <c r="E9046" s="65"/>
      <c r="F9046" s="64"/>
      <c r="G9046" s="64"/>
      <c r="H9046" s="64"/>
      <c r="I9046" s="70"/>
      <c r="J9046" s="70"/>
      <c r="K9046" s="110" t="str">
        <f>IF(H9046="","",IF($C$29="간이법","",FPR(H9046,I9046,J9046)))</f>
        <v/>
      </c>
      <c r="L9046" s="111" t="str">
        <f>IF(H9046="","",IF($C$29="상세법",FPV(H9046,K9046),IF(H9046="EI",4,IF(H9046="EO",5.2,IF(H9046="EQ",3.9,IF(H9046="ILF",7.5,IF(H9046="EIF",5.4)))))))</f>
        <v/>
      </c>
      <c r="M9046" s="112" t="str">
        <f t="shared" si="144"/>
        <v/>
      </c>
      <c r="N9046" s="113"/>
    </row>
    <row r="9047" spans="2:14">
      <c r="B9047" s="105"/>
      <c r="C9047" s="106"/>
      <c r="D9047" s="107"/>
      <c r="E9047" s="65"/>
      <c r="F9047" s="64"/>
      <c r="G9047" s="64"/>
      <c r="H9047" s="64"/>
      <c r="I9047" s="70"/>
      <c r="J9047" s="70"/>
      <c r="K9047" s="110" t="str">
        <f>IF(H9047="","",IF($C$29="간이법","",FPR(H9047,I9047,J9047)))</f>
        <v/>
      </c>
      <c r="L9047" s="111" t="str">
        <f>IF(H9047="","",IF($C$29="상세법",FPV(H9047,K9047),IF(H9047="EI",4,IF(H9047="EO",5.2,IF(H9047="EQ",3.9,IF(H9047="ILF",7.5,IF(H9047="EIF",5.4)))))))</f>
        <v/>
      </c>
      <c r="M9047" s="112" t="str">
        <f t="shared" si="144"/>
        <v/>
      </c>
      <c r="N9047" s="113"/>
    </row>
    <row r="9048" spans="2:14">
      <c r="B9048" s="105"/>
      <c r="C9048" s="106"/>
      <c r="D9048" s="107"/>
      <c r="E9048" s="65"/>
      <c r="F9048" s="64"/>
      <c r="G9048" s="64"/>
      <c r="H9048" s="64"/>
      <c r="I9048" s="70"/>
      <c r="J9048" s="70"/>
      <c r="K9048" s="110" t="str">
        <f>IF(H9048="","",IF($C$29="간이법","",FPR(H9048,I9048,J9048)))</f>
        <v/>
      </c>
      <c r="L9048" s="111" t="str">
        <f>IF(H9048="","",IF($C$29="상세법",FPV(H9048,K9048),IF(H9048="EI",4,IF(H9048="EO",5.2,IF(H9048="EQ",3.9,IF(H9048="ILF",7.5,IF(H9048="EIF",5.4)))))))</f>
        <v/>
      </c>
      <c r="M9048" s="112" t="str">
        <f t="shared" si="144"/>
        <v/>
      </c>
      <c r="N9048" s="113"/>
    </row>
    <row r="9049" spans="2:14">
      <c r="B9049" s="105"/>
      <c r="C9049" s="106"/>
      <c r="D9049" s="107"/>
      <c r="E9049" s="65"/>
      <c r="F9049" s="64"/>
      <c r="G9049" s="64"/>
      <c r="H9049" s="64"/>
      <c r="I9049" s="70"/>
      <c r="J9049" s="70"/>
      <c r="K9049" s="110" t="str">
        <f>IF(H9049="","",IF($C$29="간이법","",FPR(H9049,I9049,J9049)))</f>
        <v/>
      </c>
      <c r="L9049" s="111" t="str">
        <f>IF(H9049="","",IF($C$29="상세법",FPV(H9049,K9049),IF(H9049="EI",4,IF(H9049="EO",5.2,IF(H9049="EQ",3.9,IF(H9049="ILF",7.5,IF(H9049="EIF",5.4)))))))</f>
        <v/>
      </c>
      <c r="M9049" s="112" t="str">
        <f t="shared" si="144"/>
        <v/>
      </c>
      <c r="N9049" s="113"/>
    </row>
    <row r="9050" spans="2:14">
      <c r="B9050" s="105"/>
      <c r="C9050" s="106"/>
      <c r="D9050" s="107"/>
      <c r="E9050" s="65"/>
      <c r="F9050" s="64"/>
      <c r="G9050" s="64"/>
      <c r="H9050" s="64"/>
      <c r="I9050" s="70"/>
      <c r="J9050" s="70"/>
      <c r="K9050" s="110" t="str">
        <f>IF(H9050="","",IF($C$29="간이법","",FPR(H9050,I9050,J9050)))</f>
        <v/>
      </c>
      <c r="L9050" s="111" t="str">
        <f>IF(H9050="","",IF($C$29="상세법",FPV(H9050,K9050),IF(H9050="EI",4,IF(H9050="EO",5.2,IF(H9050="EQ",3.9,IF(H9050="ILF",7.5,IF(H9050="EIF",5.4)))))))</f>
        <v/>
      </c>
      <c r="M9050" s="112" t="str">
        <f t="shared" si="144"/>
        <v/>
      </c>
      <c r="N9050" s="113"/>
    </row>
    <row r="9051" spans="2:14">
      <c r="B9051" s="105"/>
      <c r="C9051" s="106"/>
      <c r="D9051" s="107"/>
      <c r="E9051" s="65"/>
      <c r="F9051" s="64"/>
      <c r="G9051" s="64"/>
      <c r="H9051" s="64"/>
      <c r="I9051" s="70"/>
      <c r="J9051" s="70"/>
      <c r="K9051" s="110" t="str">
        <f>IF(H9051="","",IF($C$29="간이법","",FPR(H9051,I9051,J9051)))</f>
        <v/>
      </c>
      <c r="L9051" s="111" t="str">
        <f>IF(H9051="","",IF($C$29="상세법",FPV(H9051,K9051),IF(H9051="EI",4,IF(H9051="EO",5.2,IF(H9051="EQ",3.9,IF(H9051="ILF",7.5,IF(H9051="EIF",5.4)))))))</f>
        <v/>
      </c>
      <c r="M9051" s="112" t="str">
        <f t="shared" si="144"/>
        <v/>
      </c>
      <c r="N9051" s="113"/>
    </row>
    <row r="9052" spans="2:14">
      <c r="B9052" s="105"/>
      <c r="C9052" s="106"/>
      <c r="D9052" s="107"/>
      <c r="E9052" s="65"/>
      <c r="F9052" s="64"/>
      <c r="G9052" s="64"/>
      <c r="H9052" s="64"/>
      <c r="I9052" s="70"/>
      <c r="J9052" s="70"/>
      <c r="K9052" s="110" t="str">
        <f>IF(H9052="","",IF($C$29="간이법","",FPR(H9052,I9052,J9052)))</f>
        <v/>
      </c>
      <c r="L9052" s="111" t="str">
        <f>IF(H9052="","",IF($C$29="상세법",FPV(H9052,K9052),IF(H9052="EI",4,IF(H9052="EO",5.2,IF(H9052="EQ",3.9,IF(H9052="ILF",7.5,IF(H9052="EIF",5.4)))))))</f>
        <v/>
      </c>
      <c r="M9052" s="112" t="str">
        <f t="shared" si="144"/>
        <v/>
      </c>
      <c r="N9052" s="113"/>
    </row>
    <row r="9053" spans="2:14">
      <c r="B9053" s="105"/>
      <c r="C9053" s="106"/>
      <c r="D9053" s="107"/>
      <c r="E9053" s="65"/>
      <c r="F9053" s="64"/>
      <c r="G9053" s="64"/>
      <c r="H9053" s="64"/>
      <c r="I9053" s="70"/>
      <c r="J9053" s="70"/>
      <c r="K9053" s="110" t="str">
        <f>IF(H9053="","",IF($C$29="간이법","",FPR(H9053,I9053,J9053)))</f>
        <v/>
      </c>
      <c r="L9053" s="111" t="str">
        <f>IF(H9053="","",IF($C$29="상세법",FPV(H9053,K9053),IF(H9053="EI",4,IF(H9053="EO",5.2,IF(H9053="EQ",3.9,IF(H9053="ILF",7.5,IF(H9053="EIF",5.4)))))))</f>
        <v/>
      </c>
      <c r="M9053" s="112" t="str">
        <f t="shared" si="144"/>
        <v/>
      </c>
      <c r="N9053" s="113"/>
    </row>
    <row r="9054" spans="2:14">
      <c r="B9054" s="105"/>
      <c r="C9054" s="106"/>
      <c r="D9054" s="107"/>
      <c r="E9054" s="65"/>
      <c r="F9054" s="64"/>
      <c r="G9054" s="64"/>
      <c r="H9054" s="64"/>
      <c r="I9054" s="70"/>
      <c r="J9054" s="70"/>
      <c r="K9054" s="110" t="str">
        <f>IF(H9054="","",IF($C$29="간이법","",FPR(H9054,I9054,J9054)))</f>
        <v/>
      </c>
      <c r="L9054" s="111" t="str">
        <f>IF(H9054="","",IF($C$29="상세법",FPV(H9054,K9054),IF(H9054="EI",4,IF(H9054="EO",5.2,IF(H9054="EQ",3.9,IF(H9054="ILF",7.5,IF(H9054="EIF",5.4)))))))</f>
        <v/>
      </c>
      <c r="M9054" s="112" t="str">
        <f t="shared" si="144"/>
        <v/>
      </c>
      <c r="N9054" s="113"/>
    </row>
    <row r="9055" spans="2:14">
      <c r="B9055" s="105"/>
      <c r="C9055" s="106"/>
      <c r="D9055" s="107"/>
      <c r="E9055" s="65"/>
      <c r="F9055" s="64"/>
      <c r="G9055" s="64"/>
      <c r="H9055" s="64"/>
      <c r="I9055" s="70"/>
      <c r="J9055" s="70"/>
      <c r="K9055" s="110" t="str">
        <f>IF(H9055="","",IF($C$29="간이법","",FPR(H9055,I9055,J9055)))</f>
        <v/>
      </c>
      <c r="L9055" s="111" t="str">
        <f>IF(H9055="","",IF($C$29="상세법",FPV(H9055,K9055),IF(H9055="EI",4,IF(H9055="EO",5.2,IF(H9055="EQ",3.9,IF(H9055="ILF",7.5,IF(H9055="EIF",5.4)))))))</f>
        <v/>
      </c>
      <c r="M9055" s="112" t="str">
        <f t="shared" si="144"/>
        <v/>
      </c>
      <c r="N9055" s="113"/>
    </row>
    <row r="9056" spans="2:14">
      <c r="B9056" s="105"/>
      <c r="C9056" s="106"/>
      <c r="D9056" s="107"/>
      <c r="E9056" s="65"/>
      <c r="F9056" s="64"/>
      <c r="G9056" s="64"/>
      <c r="H9056" s="64"/>
      <c r="I9056" s="70"/>
      <c r="J9056" s="70"/>
      <c r="K9056" s="110" t="str">
        <f>IF(H9056="","",IF($C$29="간이법","",FPR(H9056,I9056,J9056)))</f>
        <v/>
      </c>
      <c r="L9056" s="111" t="str">
        <f>IF(H9056="","",IF($C$29="상세법",FPV(H9056,K9056),IF(H9056="EI",4,IF(H9056="EO",5.2,IF(H9056="EQ",3.9,IF(H9056="ILF",7.5,IF(H9056="EIF",5.4)))))))</f>
        <v/>
      </c>
      <c r="M9056" s="112" t="str">
        <f t="shared" si="144"/>
        <v/>
      </c>
      <c r="N9056" s="113"/>
    </row>
    <row r="9057" spans="2:14">
      <c r="B9057" s="105"/>
      <c r="C9057" s="106"/>
      <c r="D9057" s="107"/>
      <c r="E9057" s="65"/>
      <c r="F9057" s="64"/>
      <c r="G9057" s="64"/>
      <c r="H9057" s="64"/>
      <c r="I9057" s="70"/>
      <c r="J9057" s="70"/>
      <c r="K9057" s="110" t="str">
        <f>IF(H9057="","",IF($C$29="간이법","",FPR(H9057,I9057,J9057)))</f>
        <v/>
      </c>
      <c r="L9057" s="111" t="str">
        <f>IF(H9057="","",IF($C$29="상세법",FPV(H9057,K9057),IF(H9057="EI",4,IF(H9057="EO",5.2,IF(H9057="EQ",3.9,IF(H9057="ILF",7.5,IF(H9057="EIF",5.4)))))))</f>
        <v/>
      </c>
      <c r="M9057" s="112" t="str">
        <f t="shared" si="144"/>
        <v/>
      </c>
      <c r="N9057" s="113"/>
    </row>
    <row r="9058" spans="2:14">
      <c r="B9058" s="105"/>
      <c r="C9058" s="106"/>
      <c r="D9058" s="107"/>
      <c r="E9058" s="65"/>
      <c r="F9058" s="64"/>
      <c r="G9058" s="64"/>
      <c r="H9058" s="64"/>
      <c r="I9058" s="70"/>
      <c r="J9058" s="70"/>
      <c r="K9058" s="110" t="str">
        <f>IF(H9058="","",IF($C$29="간이법","",FPR(H9058,I9058,J9058)))</f>
        <v/>
      </c>
      <c r="L9058" s="111" t="str">
        <f>IF(H9058="","",IF($C$29="상세법",FPV(H9058,K9058),IF(H9058="EI",4,IF(H9058="EO",5.2,IF(H9058="EQ",3.9,IF(H9058="ILF",7.5,IF(H9058="EIF",5.4)))))))</f>
        <v/>
      </c>
      <c r="M9058" s="112" t="str">
        <f t="shared" si="144"/>
        <v/>
      </c>
      <c r="N9058" s="113"/>
    </row>
    <row r="9059" spans="2:14">
      <c r="B9059" s="105"/>
      <c r="C9059" s="106"/>
      <c r="D9059" s="107"/>
      <c r="E9059" s="65"/>
      <c r="F9059" s="64"/>
      <c r="G9059" s="64"/>
      <c r="H9059" s="64"/>
      <c r="I9059" s="70"/>
      <c r="J9059" s="70"/>
      <c r="K9059" s="110" t="str">
        <f>IF(H9059="","",IF($C$29="간이법","",FPR(H9059,I9059,J9059)))</f>
        <v/>
      </c>
      <c r="L9059" s="111" t="str">
        <f>IF(H9059="","",IF($C$29="상세법",FPV(H9059,K9059),IF(H9059="EI",4,IF(H9059="EO",5.2,IF(H9059="EQ",3.9,IF(H9059="ILF",7.5,IF(H9059="EIF",5.4)))))))</f>
        <v/>
      </c>
      <c r="M9059" s="112" t="str">
        <f t="shared" si="144"/>
        <v/>
      </c>
      <c r="N9059" s="113"/>
    </row>
    <row r="9060" spans="2:14">
      <c r="B9060" s="105"/>
      <c r="C9060" s="106"/>
      <c r="D9060" s="107"/>
      <c r="E9060" s="65"/>
      <c r="F9060" s="64"/>
      <c r="G9060" s="64"/>
      <c r="H9060" s="64"/>
      <c r="I9060" s="70"/>
      <c r="J9060" s="70"/>
      <c r="K9060" s="110" t="str">
        <f>IF(H9060="","",IF($C$29="간이법","",FPR(H9060,I9060,J9060)))</f>
        <v/>
      </c>
      <c r="L9060" s="111" t="str">
        <f>IF(H9060="","",IF($C$29="상세법",FPV(H9060,K9060),IF(H9060="EI",4,IF(H9060="EO",5.2,IF(H9060="EQ",3.9,IF(H9060="ILF",7.5,IF(H9060="EIF",5.4)))))))</f>
        <v/>
      </c>
      <c r="M9060" s="112" t="str">
        <f t="shared" si="144"/>
        <v/>
      </c>
      <c r="N9060" s="113"/>
    </row>
    <row r="9061" spans="2:14">
      <c r="B9061" s="105"/>
      <c r="C9061" s="106"/>
      <c r="D9061" s="107"/>
      <c r="E9061" s="65"/>
      <c r="F9061" s="64"/>
      <c r="G9061" s="64"/>
      <c r="H9061" s="64"/>
      <c r="I9061" s="70"/>
      <c r="J9061" s="70"/>
      <c r="K9061" s="110" t="str">
        <f>IF(H9061="","",IF($C$29="간이법","",FPR(H9061,I9061,J9061)))</f>
        <v/>
      </c>
      <c r="L9061" s="111" t="str">
        <f>IF(H9061="","",IF($C$29="상세법",FPV(H9061,K9061),IF(H9061="EI",4,IF(H9061="EO",5.2,IF(H9061="EQ",3.9,IF(H9061="ILF",7.5,IF(H9061="EIF",5.4)))))))</f>
        <v/>
      </c>
      <c r="M9061" s="112" t="str">
        <f t="shared" si="144"/>
        <v/>
      </c>
      <c r="N9061" s="113"/>
    </row>
    <row r="9062" spans="2:14">
      <c r="B9062" s="105"/>
      <c r="C9062" s="106"/>
      <c r="D9062" s="107"/>
      <c r="E9062" s="65"/>
      <c r="F9062" s="64"/>
      <c r="G9062" s="64"/>
      <c r="H9062" s="64"/>
      <c r="I9062" s="70"/>
      <c r="J9062" s="70"/>
      <c r="K9062" s="110" t="str">
        <f>IF(H9062="","",IF($C$29="간이법","",FPR(H9062,I9062,J9062)))</f>
        <v/>
      </c>
      <c r="L9062" s="111" t="str">
        <f>IF(H9062="","",IF($C$29="상세법",FPV(H9062,K9062),IF(H9062="EI",4,IF(H9062="EO",5.2,IF(H9062="EQ",3.9,IF(H9062="ILF",7.5,IF(H9062="EIF",5.4)))))))</f>
        <v/>
      </c>
      <c r="M9062" s="112" t="str">
        <f t="shared" si="144"/>
        <v/>
      </c>
      <c r="N9062" s="113"/>
    </row>
    <row r="9063" spans="2:14">
      <c r="B9063" s="105"/>
      <c r="C9063" s="106"/>
      <c r="D9063" s="107"/>
      <c r="E9063" s="65"/>
      <c r="F9063" s="64"/>
      <c r="G9063" s="64"/>
      <c r="H9063" s="64"/>
      <c r="I9063" s="70"/>
      <c r="J9063" s="70"/>
      <c r="K9063" s="110" t="str">
        <f>IF(H9063="","",IF($C$29="간이법","",FPR(H9063,I9063,J9063)))</f>
        <v/>
      </c>
      <c r="L9063" s="111" t="str">
        <f>IF(H9063="","",IF($C$29="상세법",FPV(H9063,K9063),IF(H9063="EI",4,IF(H9063="EO",5.2,IF(H9063="EQ",3.9,IF(H9063="ILF",7.5,IF(H9063="EIF",5.4)))))))</f>
        <v/>
      </c>
      <c r="M9063" s="112" t="str">
        <f t="shared" si="144"/>
        <v/>
      </c>
      <c r="N9063" s="113"/>
    </row>
    <row r="9064" spans="2:14">
      <c r="B9064" s="105"/>
      <c r="C9064" s="106"/>
      <c r="D9064" s="107"/>
      <c r="E9064" s="65"/>
      <c r="F9064" s="64"/>
      <c r="G9064" s="64"/>
      <c r="H9064" s="64"/>
      <c r="I9064" s="70"/>
      <c r="J9064" s="70"/>
      <c r="K9064" s="110" t="str">
        <f>IF(H9064="","",IF($C$29="간이법","",FPR(H9064,I9064,J9064)))</f>
        <v/>
      </c>
      <c r="L9064" s="111" t="str">
        <f>IF(H9064="","",IF($C$29="상세법",FPV(H9064,K9064),IF(H9064="EI",4,IF(H9064="EO",5.2,IF(H9064="EQ",3.9,IF(H9064="ILF",7.5,IF(H9064="EIF",5.4)))))))</f>
        <v/>
      </c>
      <c r="M9064" s="112" t="str">
        <f t="shared" si="144"/>
        <v/>
      </c>
      <c r="N9064" s="113"/>
    </row>
    <row r="9065" spans="2:14">
      <c r="B9065" s="105"/>
      <c r="C9065" s="106"/>
      <c r="D9065" s="107"/>
      <c r="E9065" s="65"/>
      <c r="F9065" s="64"/>
      <c r="G9065" s="64"/>
      <c r="H9065" s="64"/>
      <c r="I9065" s="70"/>
      <c r="J9065" s="70"/>
      <c r="K9065" s="110" t="str">
        <f>IF(H9065="","",IF($C$29="간이법","",FPR(H9065,I9065,J9065)))</f>
        <v/>
      </c>
      <c r="L9065" s="111" t="str">
        <f>IF(H9065="","",IF($C$29="상세법",FPV(H9065,K9065),IF(H9065="EI",4,IF(H9065="EO",5.2,IF(H9065="EQ",3.9,IF(H9065="ILF",7.5,IF(H9065="EIF",5.4)))))))</f>
        <v/>
      </c>
      <c r="M9065" s="112" t="str">
        <f t="shared" si="144"/>
        <v/>
      </c>
      <c r="N9065" s="113"/>
    </row>
    <row r="9066" spans="2:14">
      <c r="B9066" s="105"/>
      <c r="C9066" s="106"/>
      <c r="D9066" s="107"/>
      <c r="E9066" s="65"/>
      <c r="F9066" s="64"/>
      <c r="G9066" s="64"/>
      <c r="H9066" s="64"/>
      <c r="I9066" s="70"/>
      <c r="J9066" s="70"/>
      <c r="K9066" s="110" t="str">
        <f>IF(H9066="","",IF($C$29="간이법","",FPR(H9066,I9066,J9066)))</f>
        <v/>
      </c>
      <c r="L9066" s="111" t="str">
        <f>IF(H9066="","",IF($C$29="상세법",FPV(H9066,K9066),IF(H9066="EI",4,IF(H9066="EO",5.2,IF(H9066="EQ",3.9,IF(H9066="ILF",7.5,IF(H9066="EIF",5.4)))))))</f>
        <v/>
      </c>
      <c r="M9066" s="112" t="str">
        <f t="shared" si="144"/>
        <v/>
      </c>
      <c r="N9066" s="113"/>
    </row>
    <row r="9067" spans="2:14">
      <c r="B9067" s="105"/>
      <c r="C9067" s="106"/>
      <c r="D9067" s="107"/>
      <c r="E9067" s="65"/>
      <c r="F9067" s="64"/>
      <c r="G9067" s="64"/>
      <c r="H9067" s="64"/>
      <c r="I9067" s="70"/>
      <c r="J9067" s="70"/>
      <c r="K9067" s="110" t="str">
        <f>IF(H9067="","",IF($C$29="간이법","",FPR(H9067,I9067,J9067)))</f>
        <v/>
      </c>
      <c r="L9067" s="111" t="str">
        <f>IF(H9067="","",IF($C$29="상세법",FPV(H9067,K9067),IF(H9067="EI",4,IF(H9067="EO",5.2,IF(H9067="EQ",3.9,IF(H9067="ILF",7.5,IF(H9067="EIF",5.4)))))))</f>
        <v/>
      </c>
      <c r="M9067" s="112" t="str">
        <f t="shared" si="144"/>
        <v/>
      </c>
      <c r="N9067" s="113"/>
    </row>
    <row r="9068" spans="2:14">
      <c r="B9068" s="105"/>
      <c r="C9068" s="106"/>
      <c r="D9068" s="107"/>
      <c r="E9068" s="65"/>
      <c r="F9068" s="64"/>
      <c r="G9068" s="64"/>
      <c r="H9068" s="64"/>
      <c r="I9068" s="70"/>
      <c r="J9068" s="70"/>
      <c r="K9068" s="110" t="str">
        <f>IF(H9068="","",IF($C$29="간이법","",FPR(H9068,I9068,J9068)))</f>
        <v/>
      </c>
      <c r="L9068" s="111" t="str">
        <f>IF(H9068="","",IF($C$29="상세법",FPV(H9068,K9068),IF(H9068="EI",4,IF(H9068="EO",5.2,IF(H9068="EQ",3.9,IF(H9068="ILF",7.5,IF(H9068="EIF",5.4)))))))</f>
        <v/>
      </c>
      <c r="M9068" s="112" t="str">
        <f t="shared" si="144"/>
        <v/>
      </c>
      <c r="N9068" s="113"/>
    </row>
    <row r="9069" spans="2:14">
      <c r="B9069" s="105"/>
      <c r="C9069" s="106"/>
      <c r="D9069" s="107"/>
      <c r="E9069" s="65"/>
      <c r="F9069" s="64"/>
      <c r="G9069" s="64"/>
      <c r="H9069" s="64"/>
      <c r="I9069" s="70"/>
      <c r="J9069" s="70"/>
      <c r="K9069" s="110" t="str">
        <f>IF(H9069="","",IF($C$29="간이법","",FPR(H9069,I9069,J9069)))</f>
        <v/>
      </c>
      <c r="L9069" s="111" t="str">
        <f>IF(H9069="","",IF($C$29="상세법",FPV(H9069,K9069),IF(H9069="EI",4,IF(H9069="EO",5.2,IF(H9069="EQ",3.9,IF(H9069="ILF",7.5,IF(H9069="EIF",5.4)))))))</f>
        <v/>
      </c>
      <c r="M9069" s="112" t="str">
        <f t="shared" si="144"/>
        <v/>
      </c>
      <c r="N9069" s="113"/>
    </row>
    <row r="9070" spans="2:14">
      <c r="B9070" s="105"/>
      <c r="C9070" s="106"/>
      <c r="D9070" s="107"/>
      <c r="E9070" s="65"/>
      <c r="F9070" s="64"/>
      <c r="G9070" s="64"/>
      <c r="H9070" s="64"/>
      <c r="I9070" s="70"/>
      <c r="J9070" s="70"/>
      <c r="K9070" s="110" t="str">
        <f>IF(H9070="","",IF($C$29="간이법","",FPR(H9070,I9070,J9070)))</f>
        <v/>
      </c>
      <c r="L9070" s="111" t="str">
        <f>IF(H9070="","",IF($C$29="상세법",FPV(H9070,K9070),IF(H9070="EI",4,IF(H9070="EO",5.2,IF(H9070="EQ",3.9,IF(H9070="ILF",7.5,IF(H9070="EIF",5.4)))))))</f>
        <v/>
      </c>
      <c r="M9070" s="112" t="str">
        <f t="shared" si="144"/>
        <v/>
      </c>
      <c r="N9070" s="113"/>
    </row>
    <row r="9071" spans="2:14">
      <c r="B9071" s="105"/>
      <c r="C9071" s="106"/>
      <c r="D9071" s="107"/>
      <c r="E9071" s="65"/>
      <c r="F9071" s="64"/>
      <c r="G9071" s="64"/>
      <c r="H9071" s="64"/>
      <c r="I9071" s="70"/>
      <c r="J9071" s="70"/>
      <c r="K9071" s="110" t="str">
        <f>IF(H9071="","",IF($C$29="간이법","",FPR(H9071,I9071,J9071)))</f>
        <v/>
      </c>
      <c r="L9071" s="111" t="str">
        <f>IF(H9071="","",IF($C$29="상세법",FPV(H9071,K9071),IF(H9071="EI",4,IF(H9071="EO",5.2,IF(H9071="EQ",3.9,IF(H9071="ILF",7.5,IF(H9071="EIF",5.4)))))))</f>
        <v/>
      </c>
      <c r="M9071" s="112" t="str">
        <f t="shared" si="144"/>
        <v/>
      </c>
      <c r="N9071" s="113"/>
    </row>
    <row r="9072" spans="2:14">
      <c r="B9072" s="105"/>
      <c r="C9072" s="106"/>
      <c r="D9072" s="107"/>
      <c r="E9072" s="65"/>
      <c r="F9072" s="64"/>
      <c r="G9072" s="64"/>
      <c r="H9072" s="64"/>
      <c r="I9072" s="70"/>
      <c r="J9072" s="70"/>
      <c r="K9072" s="110" t="str">
        <f>IF(H9072="","",IF($C$29="간이법","",FPR(H9072,I9072,J9072)))</f>
        <v/>
      </c>
      <c r="L9072" s="111" t="str">
        <f>IF(H9072="","",IF($C$29="상세법",FPV(H9072,K9072),IF(H9072="EI",4,IF(H9072="EO",5.2,IF(H9072="EQ",3.9,IF(H9072="ILF",7.5,IF(H9072="EIF",5.4)))))))</f>
        <v/>
      </c>
      <c r="M9072" s="112" t="str">
        <f t="shared" si="144"/>
        <v/>
      </c>
      <c r="N9072" s="113"/>
    </row>
    <row r="9073" spans="2:14">
      <c r="B9073" s="105"/>
      <c r="C9073" s="106"/>
      <c r="D9073" s="107"/>
      <c r="E9073" s="65"/>
      <c r="F9073" s="64"/>
      <c r="G9073" s="64"/>
      <c r="H9073" s="64"/>
      <c r="I9073" s="70"/>
      <c r="J9073" s="70"/>
      <c r="K9073" s="110" t="str">
        <f>IF(H9073="","",IF($C$29="간이법","",FPR(H9073,I9073,J9073)))</f>
        <v/>
      </c>
      <c r="L9073" s="111" t="str">
        <f>IF(H9073="","",IF($C$29="상세법",FPV(H9073,K9073),IF(H9073="EI",4,IF(H9073="EO",5.2,IF(H9073="EQ",3.9,IF(H9073="ILF",7.5,IF(H9073="EIF",5.4)))))))</f>
        <v/>
      </c>
      <c r="M9073" s="112" t="str">
        <f t="shared" si="144"/>
        <v/>
      </c>
      <c r="N9073" s="113"/>
    </row>
    <row r="9074" spans="2:14">
      <c r="B9074" s="105"/>
      <c r="C9074" s="106"/>
      <c r="D9074" s="107"/>
      <c r="E9074" s="65"/>
      <c r="F9074" s="64"/>
      <c r="G9074" s="64"/>
      <c r="H9074" s="64"/>
      <c r="I9074" s="70"/>
      <c r="J9074" s="70"/>
      <c r="K9074" s="110" t="str">
        <f>IF(H9074="","",IF($C$29="간이법","",FPR(H9074,I9074,J9074)))</f>
        <v/>
      </c>
      <c r="L9074" s="111" t="str">
        <f>IF(H9074="","",IF($C$29="상세법",FPV(H9074,K9074),IF(H9074="EI",4,IF(H9074="EO",5.2,IF(H9074="EQ",3.9,IF(H9074="ILF",7.5,IF(H9074="EIF",5.4)))))))</f>
        <v/>
      </c>
      <c r="M9074" s="112" t="str">
        <f t="shared" si="144"/>
        <v/>
      </c>
      <c r="N9074" s="113"/>
    </row>
    <row r="9075" spans="2:14">
      <c r="B9075" s="105"/>
      <c r="C9075" s="106"/>
      <c r="D9075" s="107"/>
      <c r="E9075" s="65"/>
      <c r="F9075" s="64"/>
      <c r="G9075" s="64"/>
      <c r="H9075" s="64"/>
      <c r="I9075" s="70"/>
      <c r="J9075" s="70"/>
      <c r="K9075" s="110" t="str">
        <f>IF(H9075="","",IF($C$29="간이법","",FPR(H9075,I9075,J9075)))</f>
        <v/>
      </c>
      <c r="L9075" s="111" t="str">
        <f>IF(H9075="","",IF($C$29="상세법",FPV(H9075,K9075),IF(H9075="EI",4,IF(H9075="EO",5.2,IF(H9075="EQ",3.9,IF(H9075="ILF",7.5,IF(H9075="EIF",5.4)))))))</f>
        <v/>
      </c>
      <c r="M9075" s="112" t="str">
        <f t="shared" si="144"/>
        <v/>
      </c>
      <c r="N9075" s="113"/>
    </row>
    <row r="9076" spans="2:14">
      <c r="B9076" s="105"/>
      <c r="C9076" s="106"/>
      <c r="D9076" s="107"/>
      <c r="E9076" s="65"/>
      <c r="F9076" s="64"/>
      <c r="G9076" s="64"/>
      <c r="H9076" s="64"/>
      <c r="I9076" s="70"/>
      <c r="J9076" s="70"/>
      <c r="K9076" s="110" t="str">
        <f>IF(H9076="","",IF($C$29="간이법","",FPR(H9076,I9076,J9076)))</f>
        <v/>
      </c>
      <c r="L9076" s="111" t="str">
        <f>IF(H9076="","",IF($C$29="상세법",FPV(H9076,K9076),IF(H9076="EI",4,IF(H9076="EO",5.2,IF(H9076="EQ",3.9,IF(H9076="ILF",7.5,IF(H9076="EIF",5.4)))))))</f>
        <v/>
      </c>
      <c r="M9076" s="112" t="str">
        <f t="shared" si="144"/>
        <v/>
      </c>
      <c r="N9076" s="113"/>
    </row>
    <row r="9077" spans="2:14">
      <c r="B9077" s="105"/>
      <c r="C9077" s="106"/>
      <c r="D9077" s="107"/>
      <c r="E9077" s="65"/>
      <c r="F9077" s="64"/>
      <c r="G9077" s="64"/>
      <c r="H9077" s="64"/>
      <c r="I9077" s="70"/>
      <c r="J9077" s="70"/>
      <c r="K9077" s="110" t="str">
        <f>IF(H9077="","",IF($C$29="간이법","",FPR(H9077,I9077,J9077)))</f>
        <v/>
      </c>
      <c r="L9077" s="111" t="str">
        <f>IF(H9077="","",IF($C$29="상세법",FPV(H9077,K9077),IF(H9077="EI",4,IF(H9077="EO",5.2,IF(H9077="EQ",3.9,IF(H9077="ILF",7.5,IF(H9077="EIF",5.4)))))))</f>
        <v/>
      </c>
      <c r="M9077" s="112" t="str">
        <f t="shared" si="144"/>
        <v/>
      </c>
      <c r="N9077" s="113"/>
    </row>
    <row r="9078" spans="2:14">
      <c r="B9078" s="105"/>
      <c r="C9078" s="106"/>
      <c r="D9078" s="107"/>
      <c r="E9078" s="65"/>
      <c r="F9078" s="64"/>
      <c r="G9078" s="64"/>
      <c r="H9078" s="64"/>
      <c r="I9078" s="70"/>
      <c r="J9078" s="70"/>
      <c r="K9078" s="110" t="str">
        <f>IF(H9078="","",IF($C$29="간이법","",FPR(H9078,I9078,J9078)))</f>
        <v/>
      </c>
      <c r="L9078" s="111" t="str">
        <f>IF(H9078="","",IF($C$29="상세법",FPV(H9078,K9078),IF(H9078="EI",4,IF(H9078="EO",5.2,IF(H9078="EQ",3.9,IF(H9078="ILF",7.5,IF(H9078="EIF",5.4)))))))</f>
        <v/>
      </c>
      <c r="M9078" s="112" t="str">
        <f t="shared" si="144"/>
        <v/>
      </c>
      <c r="N9078" s="113"/>
    </row>
    <row r="9079" spans="2:14">
      <c r="B9079" s="105"/>
      <c r="C9079" s="106"/>
      <c r="D9079" s="107"/>
      <c r="E9079" s="65"/>
      <c r="F9079" s="64"/>
      <c r="G9079" s="64"/>
      <c r="H9079" s="64"/>
      <c r="I9079" s="70"/>
      <c r="J9079" s="70"/>
      <c r="K9079" s="110" t="str">
        <f>IF(H9079="","",IF($C$29="간이법","",FPR(H9079,I9079,J9079)))</f>
        <v/>
      </c>
      <c r="L9079" s="111" t="str">
        <f>IF(H9079="","",IF($C$29="상세법",FPV(H9079,K9079),IF(H9079="EI",4,IF(H9079="EO",5.2,IF(H9079="EQ",3.9,IF(H9079="ILF",7.5,IF(H9079="EIF",5.4)))))))</f>
        <v/>
      </c>
      <c r="M9079" s="112" t="str">
        <f t="shared" si="144"/>
        <v/>
      </c>
      <c r="N9079" s="113"/>
    </row>
    <row r="9080" spans="2:14">
      <c r="B9080" s="105"/>
      <c r="C9080" s="106"/>
      <c r="D9080" s="107"/>
      <c r="E9080" s="65"/>
      <c r="F9080" s="64"/>
      <c r="G9080" s="64"/>
      <c r="H9080" s="64"/>
      <c r="I9080" s="70"/>
      <c r="J9080" s="70"/>
      <c r="K9080" s="110" t="str">
        <f>IF(H9080="","",IF($C$29="간이법","",FPR(H9080,I9080,J9080)))</f>
        <v/>
      </c>
      <c r="L9080" s="111" t="str">
        <f>IF(H9080="","",IF($C$29="상세법",FPV(H9080,K9080),IF(H9080="EI",4,IF(H9080="EO",5.2,IF(H9080="EQ",3.9,IF(H9080="ILF",7.5,IF(H9080="EIF",5.4)))))))</f>
        <v/>
      </c>
      <c r="M9080" s="112" t="str">
        <f t="shared" si="144"/>
        <v/>
      </c>
      <c r="N9080" s="113"/>
    </row>
    <row r="9081" spans="2:14">
      <c r="B9081" s="105"/>
      <c r="C9081" s="106"/>
      <c r="D9081" s="107"/>
      <c r="E9081" s="65"/>
      <c r="F9081" s="64"/>
      <c r="G9081" s="64"/>
      <c r="H9081" s="64"/>
      <c r="I9081" s="70"/>
      <c r="J9081" s="70"/>
      <c r="K9081" s="110" t="str">
        <f>IF(H9081="","",IF($C$29="간이법","",FPR(H9081,I9081,J9081)))</f>
        <v/>
      </c>
      <c r="L9081" s="111" t="str">
        <f>IF(H9081="","",IF($C$29="상세법",FPV(H9081,K9081),IF(H9081="EI",4,IF(H9081="EO",5.2,IF(H9081="EQ",3.9,IF(H9081="ILF",7.5,IF(H9081="EIF",5.4)))))))</f>
        <v/>
      </c>
      <c r="M9081" s="112" t="str">
        <f t="shared" ref="M9081:M9144" si="145">IF(L9081="","",L9081*IF(G9081="상",0.7,IF(G9081="중",0.5,IF(G9081="하",0.2,1))))</f>
        <v/>
      </c>
      <c r="N9081" s="113"/>
    </row>
    <row r="9082" spans="2:14">
      <c r="B9082" s="105"/>
      <c r="C9082" s="106"/>
      <c r="D9082" s="107"/>
      <c r="E9082" s="65"/>
      <c r="F9082" s="64"/>
      <c r="G9082" s="64"/>
      <c r="H9082" s="64"/>
      <c r="I9082" s="70"/>
      <c r="J9082" s="70"/>
      <c r="K9082" s="110" t="str">
        <f>IF(H9082="","",IF($C$29="간이법","",FPR(H9082,I9082,J9082)))</f>
        <v/>
      </c>
      <c r="L9082" s="111" t="str">
        <f>IF(H9082="","",IF($C$29="상세법",FPV(H9082,K9082),IF(H9082="EI",4,IF(H9082="EO",5.2,IF(H9082="EQ",3.9,IF(H9082="ILF",7.5,IF(H9082="EIF",5.4)))))))</f>
        <v/>
      </c>
      <c r="M9082" s="112" t="str">
        <f t="shared" si="145"/>
        <v/>
      </c>
      <c r="N9082" s="113"/>
    </row>
    <row r="9083" spans="2:14">
      <c r="B9083" s="105"/>
      <c r="C9083" s="106"/>
      <c r="D9083" s="107"/>
      <c r="E9083" s="65"/>
      <c r="F9083" s="64"/>
      <c r="G9083" s="64"/>
      <c r="H9083" s="64"/>
      <c r="I9083" s="70"/>
      <c r="J9083" s="70"/>
      <c r="K9083" s="110" t="str">
        <f>IF(H9083="","",IF($C$29="간이법","",FPR(H9083,I9083,J9083)))</f>
        <v/>
      </c>
      <c r="L9083" s="111" t="str">
        <f>IF(H9083="","",IF($C$29="상세법",FPV(H9083,K9083),IF(H9083="EI",4,IF(H9083="EO",5.2,IF(H9083="EQ",3.9,IF(H9083="ILF",7.5,IF(H9083="EIF",5.4)))))))</f>
        <v/>
      </c>
      <c r="M9083" s="112" t="str">
        <f t="shared" si="145"/>
        <v/>
      </c>
      <c r="N9083" s="113"/>
    </row>
    <row r="9084" spans="2:14">
      <c r="B9084" s="105"/>
      <c r="C9084" s="106"/>
      <c r="D9084" s="107"/>
      <c r="E9084" s="65"/>
      <c r="F9084" s="64"/>
      <c r="G9084" s="64"/>
      <c r="H9084" s="64"/>
      <c r="I9084" s="70"/>
      <c r="J9084" s="70"/>
      <c r="K9084" s="110" t="str">
        <f>IF(H9084="","",IF($C$29="간이법","",FPR(H9084,I9084,J9084)))</f>
        <v/>
      </c>
      <c r="L9084" s="111" t="str">
        <f>IF(H9084="","",IF($C$29="상세법",FPV(H9084,K9084),IF(H9084="EI",4,IF(H9084="EO",5.2,IF(H9084="EQ",3.9,IF(H9084="ILF",7.5,IF(H9084="EIF",5.4)))))))</f>
        <v/>
      </c>
      <c r="M9084" s="112" t="str">
        <f t="shared" si="145"/>
        <v/>
      </c>
      <c r="N9084" s="113"/>
    </row>
    <row r="9085" spans="2:14">
      <c r="B9085" s="105"/>
      <c r="C9085" s="106"/>
      <c r="D9085" s="107"/>
      <c r="E9085" s="65"/>
      <c r="F9085" s="64"/>
      <c r="G9085" s="64"/>
      <c r="H9085" s="64"/>
      <c r="I9085" s="70"/>
      <c r="J9085" s="70"/>
      <c r="K9085" s="110" t="str">
        <f>IF(H9085="","",IF($C$29="간이법","",FPR(H9085,I9085,J9085)))</f>
        <v/>
      </c>
      <c r="L9085" s="111" t="str">
        <f>IF(H9085="","",IF($C$29="상세법",FPV(H9085,K9085),IF(H9085="EI",4,IF(H9085="EO",5.2,IF(H9085="EQ",3.9,IF(H9085="ILF",7.5,IF(H9085="EIF",5.4)))))))</f>
        <v/>
      </c>
      <c r="M9085" s="112" t="str">
        <f t="shared" si="145"/>
        <v/>
      </c>
      <c r="N9085" s="113"/>
    </row>
    <row r="9086" spans="2:14">
      <c r="B9086" s="105"/>
      <c r="C9086" s="106"/>
      <c r="D9086" s="107"/>
      <c r="E9086" s="65"/>
      <c r="F9086" s="64"/>
      <c r="G9086" s="64"/>
      <c r="H9086" s="64"/>
      <c r="I9086" s="70"/>
      <c r="J9086" s="70"/>
      <c r="K9086" s="110" t="str">
        <f>IF(H9086="","",IF($C$29="간이법","",FPR(H9086,I9086,J9086)))</f>
        <v/>
      </c>
      <c r="L9086" s="111" t="str">
        <f>IF(H9086="","",IF($C$29="상세법",FPV(H9086,K9086),IF(H9086="EI",4,IF(H9086="EO",5.2,IF(H9086="EQ",3.9,IF(H9086="ILF",7.5,IF(H9086="EIF",5.4)))))))</f>
        <v/>
      </c>
      <c r="M9086" s="112" t="str">
        <f t="shared" si="145"/>
        <v/>
      </c>
      <c r="N9086" s="113"/>
    </row>
    <row r="9087" spans="2:14">
      <c r="B9087" s="105"/>
      <c r="C9087" s="106"/>
      <c r="D9087" s="107"/>
      <c r="E9087" s="65"/>
      <c r="F9087" s="64"/>
      <c r="G9087" s="64"/>
      <c r="H9087" s="64"/>
      <c r="I9087" s="70"/>
      <c r="J9087" s="70"/>
      <c r="K9087" s="110" t="str">
        <f>IF(H9087="","",IF($C$29="간이법","",FPR(H9087,I9087,J9087)))</f>
        <v/>
      </c>
      <c r="L9087" s="111" t="str">
        <f>IF(H9087="","",IF($C$29="상세법",FPV(H9087,K9087),IF(H9087="EI",4,IF(H9087="EO",5.2,IF(H9087="EQ",3.9,IF(H9087="ILF",7.5,IF(H9087="EIF",5.4)))))))</f>
        <v/>
      </c>
      <c r="M9087" s="112" t="str">
        <f t="shared" si="145"/>
        <v/>
      </c>
      <c r="N9087" s="113"/>
    </row>
    <row r="9088" spans="2:14">
      <c r="B9088" s="105"/>
      <c r="C9088" s="106"/>
      <c r="D9088" s="107"/>
      <c r="E9088" s="65"/>
      <c r="F9088" s="64"/>
      <c r="G9088" s="64"/>
      <c r="H9088" s="64"/>
      <c r="I9088" s="70"/>
      <c r="J9088" s="70"/>
      <c r="K9088" s="110" t="str">
        <f>IF(H9088="","",IF($C$29="간이법","",FPR(H9088,I9088,J9088)))</f>
        <v/>
      </c>
      <c r="L9088" s="111" t="str">
        <f>IF(H9088="","",IF($C$29="상세법",FPV(H9088,K9088),IF(H9088="EI",4,IF(H9088="EO",5.2,IF(H9088="EQ",3.9,IF(H9088="ILF",7.5,IF(H9088="EIF",5.4)))))))</f>
        <v/>
      </c>
      <c r="M9088" s="112" t="str">
        <f t="shared" si="145"/>
        <v/>
      </c>
      <c r="N9088" s="113"/>
    </row>
    <row r="9089" spans="2:14">
      <c r="B9089" s="105"/>
      <c r="C9089" s="106"/>
      <c r="D9089" s="107"/>
      <c r="E9089" s="65"/>
      <c r="F9089" s="64"/>
      <c r="G9089" s="64"/>
      <c r="H9089" s="64"/>
      <c r="I9089" s="70"/>
      <c r="J9089" s="70"/>
      <c r="K9089" s="110" t="str">
        <f>IF(H9089="","",IF($C$29="간이법","",FPR(H9089,I9089,J9089)))</f>
        <v/>
      </c>
      <c r="L9089" s="111" t="str">
        <f>IF(H9089="","",IF($C$29="상세법",FPV(H9089,K9089),IF(H9089="EI",4,IF(H9089="EO",5.2,IF(H9089="EQ",3.9,IF(H9089="ILF",7.5,IF(H9089="EIF",5.4)))))))</f>
        <v/>
      </c>
      <c r="M9089" s="112" t="str">
        <f t="shared" si="145"/>
        <v/>
      </c>
      <c r="N9089" s="113"/>
    </row>
    <row r="9090" spans="2:14">
      <c r="B9090" s="105"/>
      <c r="C9090" s="106"/>
      <c r="D9090" s="107"/>
      <c r="E9090" s="65"/>
      <c r="F9090" s="64"/>
      <c r="G9090" s="64"/>
      <c r="H9090" s="64"/>
      <c r="I9090" s="70"/>
      <c r="J9090" s="70"/>
      <c r="K9090" s="110" t="str">
        <f>IF(H9090="","",IF($C$29="간이법","",FPR(H9090,I9090,J9090)))</f>
        <v/>
      </c>
      <c r="L9090" s="111" t="str">
        <f>IF(H9090="","",IF($C$29="상세법",FPV(H9090,K9090),IF(H9090="EI",4,IF(H9090="EO",5.2,IF(H9090="EQ",3.9,IF(H9090="ILF",7.5,IF(H9090="EIF",5.4)))))))</f>
        <v/>
      </c>
      <c r="M9090" s="112" t="str">
        <f t="shared" si="145"/>
        <v/>
      </c>
      <c r="N9090" s="113"/>
    </row>
    <row r="9091" spans="2:14">
      <c r="B9091" s="105"/>
      <c r="C9091" s="106"/>
      <c r="D9091" s="107"/>
      <c r="E9091" s="65"/>
      <c r="F9091" s="64"/>
      <c r="G9091" s="64"/>
      <c r="H9091" s="64"/>
      <c r="I9091" s="70"/>
      <c r="J9091" s="70"/>
      <c r="K9091" s="110" t="str">
        <f>IF(H9091="","",IF($C$29="간이법","",FPR(H9091,I9091,J9091)))</f>
        <v/>
      </c>
      <c r="L9091" s="111" t="str">
        <f>IF(H9091="","",IF($C$29="상세법",FPV(H9091,K9091),IF(H9091="EI",4,IF(H9091="EO",5.2,IF(H9091="EQ",3.9,IF(H9091="ILF",7.5,IF(H9091="EIF",5.4)))))))</f>
        <v/>
      </c>
      <c r="M9091" s="112" t="str">
        <f t="shared" si="145"/>
        <v/>
      </c>
      <c r="N9091" s="113"/>
    </row>
    <row r="9092" spans="2:14">
      <c r="B9092" s="105"/>
      <c r="C9092" s="106"/>
      <c r="D9092" s="107"/>
      <c r="E9092" s="65"/>
      <c r="F9092" s="64"/>
      <c r="G9092" s="64"/>
      <c r="H9092" s="64"/>
      <c r="I9092" s="70"/>
      <c r="J9092" s="70"/>
      <c r="K9092" s="110" t="str">
        <f>IF(H9092="","",IF($C$29="간이법","",FPR(H9092,I9092,J9092)))</f>
        <v/>
      </c>
      <c r="L9092" s="111" t="str">
        <f>IF(H9092="","",IF($C$29="상세법",FPV(H9092,K9092),IF(H9092="EI",4,IF(H9092="EO",5.2,IF(H9092="EQ",3.9,IF(H9092="ILF",7.5,IF(H9092="EIF",5.4)))))))</f>
        <v/>
      </c>
      <c r="M9092" s="112" t="str">
        <f t="shared" si="145"/>
        <v/>
      </c>
      <c r="N9092" s="113"/>
    </row>
    <row r="9093" spans="2:14">
      <c r="B9093" s="105"/>
      <c r="C9093" s="106"/>
      <c r="D9093" s="107"/>
      <c r="E9093" s="65"/>
      <c r="F9093" s="64"/>
      <c r="G9093" s="64"/>
      <c r="H9093" s="64"/>
      <c r="I9093" s="70"/>
      <c r="J9093" s="70"/>
      <c r="K9093" s="110" t="str">
        <f>IF(H9093="","",IF($C$29="간이법","",FPR(H9093,I9093,J9093)))</f>
        <v/>
      </c>
      <c r="L9093" s="111" t="str">
        <f>IF(H9093="","",IF($C$29="상세법",FPV(H9093,K9093),IF(H9093="EI",4,IF(H9093="EO",5.2,IF(H9093="EQ",3.9,IF(H9093="ILF",7.5,IF(H9093="EIF",5.4)))))))</f>
        <v/>
      </c>
      <c r="M9093" s="112" t="str">
        <f t="shared" si="145"/>
        <v/>
      </c>
      <c r="N9093" s="113"/>
    </row>
    <row r="9094" spans="2:14">
      <c r="B9094" s="105"/>
      <c r="C9094" s="106"/>
      <c r="D9094" s="107"/>
      <c r="E9094" s="65"/>
      <c r="F9094" s="64"/>
      <c r="G9094" s="64"/>
      <c r="H9094" s="64"/>
      <c r="I9094" s="70"/>
      <c r="J9094" s="70"/>
      <c r="K9094" s="110" t="str">
        <f>IF(H9094="","",IF($C$29="간이법","",FPR(H9094,I9094,J9094)))</f>
        <v/>
      </c>
      <c r="L9094" s="111" t="str">
        <f>IF(H9094="","",IF($C$29="상세법",FPV(H9094,K9094),IF(H9094="EI",4,IF(H9094="EO",5.2,IF(H9094="EQ",3.9,IF(H9094="ILF",7.5,IF(H9094="EIF",5.4)))))))</f>
        <v/>
      </c>
      <c r="M9094" s="112" t="str">
        <f t="shared" si="145"/>
        <v/>
      </c>
      <c r="N9094" s="113"/>
    </row>
    <row r="9095" spans="2:14">
      <c r="B9095" s="105"/>
      <c r="C9095" s="106"/>
      <c r="D9095" s="107"/>
      <c r="E9095" s="65"/>
      <c r="F9095" s="64"/>
      <c r="G9095" s="64"/>
      <c r="H9095" s="64"/>
      <c r="I9095" s="70"/>
      <c r="J9095" s="70"/>
      <c r="K9095" s="110" t="str">
        <f>IF(H9095="","",IF($C$29="간이법","",FPR(H9095,I9095,J9095)))</f>
        <v/>
      </c>
      <c r="L9095" s="111" t="str">
        <f>IF(H9095="","",IF($C$29="상세법",FPV(H9095,K9095),IF(H9095="EI",4,IF(H9095="EO",5.2,IF(H9095="EQ",3.9,IF(H9095="ILF",7.5,IF(H9095="EIF",5.4)))))))</f>
        <v/>
      </c>
      <c r="M9095" s="112" t="str">
        <f t="shared" si="145"/>
        <v/>
      </c>
      <c r="N9095" s="113"/>
    </row>
    <row r="9096" spans="2:14">
      <c r="B9096" s="105"/>
      <c r="C9096" s="106"/>
      <c r="D9096" s="107"/>
      <c r="E9096" s="65"/>
      <c r="F9096" s="64"/>
      <c r="G9096" s="64"/>
      <c r="H9096" s="64"/>
      <c r="I9096" s="70"/>
      <c r="J9096" s="70"/>
      <c r="K9096" s="110" t="str">
        <f>IF(H9096="","",IF($C$29="간이법","",FPR(H9096,I9096,J9096)))</f>
        <v/>
      </c>
      <c r="L9096" s="111" t="str">
        <f>IF(H9096="","",IF($C$29="상세법",FPV(H9096,K9096),IF(H9096="EI",4,IF(H9096="EO",5.2,IF(H9096="EQ",3.9,IF(H9096="ILF",7.5,IF(H9096="EIF",5.4)))))))</f>
        <v/>
      </c>
      <c r="M9096" s="112" t="str">
        <f t="shared" si="145"/>
        <v/>
      </c>
      <c r="N9096" s="113"/>
    </row>
    <row r="9097" spans="2:14">
      <c r="B9097" s="105"/>
      <c r="C9097" s="106"/>
      <c r="D9097" s="107"/>
      <c r="E9097" s="65"/>
      <c r="F9097" s="64"/>
      <c r="G9097" s="64"/>
      <c r="H9097" s="64"/>
      <c r="I9097" s="70"/>
      <c r="J9097" s="70"/>
      <c r="K9097" s="110" t="str">
        <f>IF(H9097="","",IF($C$29="간이법","",FPR(H9097,I9097,J9097)))</f>
        <v/>
      </c>
      <c r="L9097" s="111" t="str">
        <f>IF(H9097="","",IF($C$29="상세법",FPV(H9097,K9097),IF(H9097="EI",4,IF(H9097="EO",5.2,IF(H9097="EQ",3.9,IF(H9097="ILF",7.5,IF(H9097="EIF",5.4)))))))</f>
        <v/>
      </c>
      <c r="M9097" s="112" t="str">
        <f t="shared" si="145"/>
        <v/>
      </c>
      <c r="N9097" s="113"/>
    </row>
    <row r="9098" spans="2:14">
      <c r="B9098" s="105"/>
      <c r="C9098" s="106"/>
      <c r="D9098" s="107"/>
      <c r="E9098" s="65"/>
      <c r="F9098" s="64"/>
      <c r="G9098" s="64"/>
      <c r="H9098" s="64"/>
      <c r="I9098" s="70"/>
      <c r="J9098" s="70"/>
      <c r="K9098" s="110" t="str">
        <f>IF(H9098="","",IF($C$29="간이법","",FPR(H9098,I9098,J9098)))</f>
        <v/>
      </c>
      <c r="L9098" s="111" t="str">
        <f>IF(H9098="","",IF($C$29="상세법",FPV(H9098,K9098),IF(H9098="EI",4,IF(H9098="EO",5.2,IF(H9098="EQ",3.9,IF(H9098="ILF",7.5,IF(H9098="EIF",5.4)))))))</f>
        <v/>
      </c>
      <c r="M9098" s="112" t="str">
        <f t="shared" si="145"/>
        <v/>
      </c>
      <c r="N9098" s="113"/>
    </row>
    <row r="9099" spans="2:14">
      <c r="B9099" s="105"/>
      <c r="C9099" s="106"/>
      <c r="D9099" s="107"/>
      <c r="E9099" s="65"/>
      <c r="F9099" s="64"/>
      <c r="G9099" s="64"/>
      <c r="H9099" s="64"/>
      <c r="I9099" s="70"/>
      <c r="J9099" s="70"/>
      <c r="K9099" s="110" t="str">
        <f>IF(H9099="","",IF($C$29="간이법","",FPR(H9099,I9099,J9099)))</f>
        <v/>
      </c>
      <c r="L9099" s="111" t="str">
        <f>IF(H9099="","",IF($C$29="상세법",FPV(H9099,K9099),IF(H9099="EI",4,IF(H9099="EO",5.2,IF(H9099="EQ",3.9,IF(H9099="ILF",7.5,IF(H9099="EIF",5.4)))))))</f>
        <v/>
      </c>
      <c r="M9099" s="112" t="str">
        <f t="shared" si="145"/>
        <v/>
      </c>
      <c r="N9099" s="113"/>
    </row>
    <row r="9100" spans="2:14">
      <c r="B9100" s="105"/>
      <c r="C9100" s="106"/>
      <c r="D9100" s="107"/>
      <c r="E9100" s="65"/>
      <c r="F9100" s="64"/>
      <c r="G9100" s="64"/>
      <c r="H9100" s="64"/>
      <c r="I9100" s="70"/>
      <c r="J9100" s="70"/>
      <c r="K9100" s="110" t="str">
        <f>IF(H9100="","",IF($C$29="간이법","",FPR(H9100,I9100,J9100)))</f>
        <v/>
      </c>
      <c r="L9100" s="111" t="str">
        <f>IF(H9100="","",IF($C$29="상세법",FPV(H9100,K9100),IF(H9100="EI",4,IF(H9100="EO",5.2,IF(H9100="EQ",3.9,IF(H9100="ILF",7.5,IF(H9100="EIF",5.4)))))))</f>
        <v/>
      </c>
      <c r="M9100" s="112" t="str">
        <f t="shared" si="145"/>
        <v/>
      </c>
      <c r="N9100" s="113"/>
    </row>
    <row r="9101" spans="2:14">
      <c r="B9101" s="105"/>
      <c r="C9101" s="106"/>
      <c r="D9101" s="107"/>
      <c r="E9101" s="65"/>
      <c r="F9101" s="64"/>
      <c r="G9101" s="64"/>
      <c r="H9101" s="64"/>
      <c r="I9101" s="70"/>
      <c r="J9101" s="70"/>
      <c r="K9101" s="110" t="str">
        <f>IF(H9101="","",IF($C$29="간이법","",FPR(H9101,I9101,J9101)))</f>
        <v/>
      </c>
      <c r="L9101" s="111" t="str">
        <f>IF(H9101="","",IF($C$29="상세법",FPV(H9101,K9101),IF(H9101="EI",4,IF(H9101="EO",5.2,IF(H9101="EQ",3.9,IF(H9101="ILF",7.5,IF(H9101="EIF",5.4)))))))</f>
        <v/>
      </c>
      <c r="M9101" s="112" t="str">
        <f t="shared" si="145"/>
        <v/>
      </c>
      <c r="N9101" s="113"/>
    </row>
    <row r="9102" spans="2:14">
      <c r="B9102" s="105"/>
      <c r="C9102" s="106"/>
      <c r="D9102" s="107"/>
      <c r="E9102" s="65"/>
      <c r="F9102" s="64"/>
      <c r="G9102" s="64"/>
      <c r="H9102" s="64"/>
      <c r="I9102" s="70"/>
      <c r="J9102" s="70"/>
      <c r="K9102" s="110" t="str">
        <f>IF(H9102="","",IF($C$29="간이법","",FPR(H9102,I9102,J9102)))</f>
        <v/>
      </c>
      <c r="L9102" s="111" t="str">
        <f>IF(H9102="","",IF($C$29="상세법",FPV(H9102,K9102),IF(H9102="EI",4,IF(H9102="EO",5.2,IF(H9102="EQ",3.9,IF(H9102="ILF",7.5,IF(H9102="EIF",5.4)))))))</f>
        <v/>
      </c>
      <c r="M9102" s="112" t="str">
        <f t="shared" si="145"/>
        <v/>
      </c>
      <c r="N9102" s="113"/>
    </row>
    <row r="9103" spans="2:14">
      <c r="B9103" s="105"/>
      <c r="C9103" s="106"/>
      <c r="D9103" s="107"/>
      <c r="E9103" s="65"/>
      <c r="F9103" s="64"/>
      <c r="G9103" s="64"/>
      <c r="H9103" s="64"/>
      <c r="I9103" s="70"/>
      <c r="J9103" s="70"/>
      <c r="K9103" s="110" t="str">
        <f>IF(H9103="","",IF($C$29="간이법","",FPR(H9103,I9103,J9103)))</f>
        <v/>
      </c>
      <c r="L9103" s="111" t="str">
        <f>IF(H9103="","",IF($C$29="상세법",FPV(H9103,K9103),IF(H9103="EI",4,IF(H9103="EO",5.2,IF(H9103="EQ",3.9,IF(H9103="ILF",7.5,IF(H9103="EIF",5.4)))))))</f>
        <v/>
      </c>
      <c r="M9103" s="112" t="str">
        <f t="shared" si="145"/>
        <v/>
      </c>
      <c r="N9103" s="113"/>
    </row>
    <row r="9104" spans="2:14">
      <c r="B9104" s="105"/>
      <c r="C9104" s="106"/>
      <c r="D9104" s="107"/>
      <c r="E9104" s="65"/>
      <c r="F9104" s="64"/>
      <c r="G9104" s="64"/>
      <c r="H9104" s="64"/>
      <c r="I9104" s="70"/>
      <c r="J9104" s="70"/>
      <c r="K9104" s="110" t="str">
        <f>IF(H9104="","",IF($C$29="간이법","",FPR(H9104,I9104,J9104)))</f>
        <v/>
      </c>
      <c r="L9104" s="111" t="str">
        <f>IF(H9104="","",IF($C$29="상세법",FPV(H9104,K9104),IF(H9104="EI",4,IF(H9104="EO",5.2,IF(H9104="EQ",3.9,IF(H9104="ILF",7.5,IF(H9104="EIF",5.4)))))))</f>
        <v/>
      </c>
      <c r="M9104" s="112" t="str">
        <f t="shared" si="145"/>
        <v/>
      </c>
      <c r="N9104" s="113"/>
    </row>
    <row r="9105" spans="2:14">
      <c r="B9105" s="105"/>
      <c r="C9105" s="106"/>
      <c r="D9105" s="107"/>
      <c r="E9105" s="65"/>
      <c r="F9105" s="64"/>
      <c r="G9105" s="64"/>
      <c r="H9105" s="64"/>
      <c r="I9105" s="70"/>
      <c r="J9105" s="70"/>
      <c r="K9105" s="110" t="str">
        <f>IF(H9105="","",IF($C$29="간이법","",FPR(H9105,I9105,J9105)))</f>
        <v/>
      </c>
      <c r="L9105" s="111" t="str">
        <f>IF(H9105="","",IF($C$29="상세법",FPV(H9105,K9105),IF(H9105="EI",4,IF(H9105="EO",5.2,IF(H9105="EQ",3.9,IF(H9105="ILF",7.5,IF(H9105="EIF",5.4)))))))</f>
        <v/>
      </c>
      <c r="M9105" s="112" t="str">
        <f t="shared" si="145"/>
        <v/>
      </c>
      <c r="N9105" s="113"/>
    </row>
    <row r="9106" spans="2:14">
      <c r="B9106" s="105"/>
      <c r="C9106" s="106"/>
      <c r="D9106" s="107"/>
      <c r="E9106" s="65"/>
      <c r="F9106" s="64"/>
      <c r="G9106" s="64"/>
      <c r="H9106" s="64"/>
      <c r="I9106" s="70"/>
      <c r="J9106" s="70"/>
      <c r="K9106" s="110" t="str">
        <f>IF(H9106="","",IF($C$29="간이법","",FPR(H9106,I9106,J9106)))</f>
        <v/>
      </c>
      <c r="L9106" s="111" t="str">
        <f>IF(H9106="","",IF($C$29="상세법",FPV(H9106,K9106),IF(H9106="EI",4,IF(H9106="EO",5.2,IF(H9106="EQ",3.9,IF(H9106="ILF",7.5,IF(H9106="EIF",5.4)))))))</f>
        <v/>
      </c>
      <c r="M9106" s="112" t="str">
        <f t="shared" si="145"/>
        <v/>
      </c>
      <c r="N9106" s="113"/>
    </row>
    <row r="9107" spans="2:14">
      <c r="B9107" s="105"/>
      <c r="C9107" s="106"/>
      <c r="D9107" s="107"/>
      <c r="E9107" s="65"/>
      <c r="F9107" s="64"/>
      <c r="G9107" s="64"/>
      <c r="H9107" s="64"/>
      <c r="I9107" s="70"/>
      <c r="J9107" s="70"/>
      <c r="K9107" s="110" t="str">
        <f>IF(H9107="","",IF($C$29="간이법","",FPR(H9107,I9107,J9107)))</f>
        <v/>
      </c>
      <c r="L9107" s="111" t="str">
        <f>IF(H9107="","",IF($C$29="상세법",FPV(H9107,K9107),IF(H9107="EI",4,IF(H9107="EO",5.2,IF(H9107="EQ",3.9,IF(H9107="ILF",7.5,IF(H9107="EIF",5.4)))))))</f>
        <v/>
      </c>
      <c r="M9107" s="112" t="str">
        <f t="shared" si="145"/>
        <v/>
      </c>
      <c r="N9107" s="113"/>
    </row>
    <row r="9108" spans="2:14">
      <c r="B9108" s="105"/>
      <c r="C9108" s="106"/>
      <c r="D9108" s="107"/>
      <c r="E9108" s="65"/>
      <c r="F9108" s="64"/>
      <c r="G9108" s="64"/>
      <c r="H9108" s="64"/>
      <c r="I9108" s="70"/>
      <c r="J9108" s="70"/>
      <c r="K9108" s="110" t="str">
        <f>IF(H9108="","",IF($C$29="간이법","",FPR(H9108,I9108,J9108)))</f>
        <v/>
      </c>
      <c r="L9108" s="111" t="str">
        <f>IF(H9108="","",IF($C$29="상세법",FPV(H9108,K9108),IF(H9108="EI",4,IF(H9108="EO",5.2,IF(H9108="EQ",3.9,IF(H9108="ILF",7.5,IF(H9108="EIF",5.4)))))))</f>
        <v/>
      </c>
      <c r="M9108" s="112" t="str">
        <f t="shared" si="145"/>
        <v/>
      </c>
      <c r="N9108" s="113"/>
    </row>
    <row r="9109" spans="2:14">
      <c r="B9109" s="105"/>
      <c r="C9109" s="106"/>
      <c r="D9109" s="107"/>
      <c r="E9109" s="65"/>
      <c r="F9109" s="64"/>
      <c r="G9109" s="64"/>
      <c r="H9109" s="64"/>
      <c r="I9109" s="70"/>
      <c r="J9109" s="70"/>
      <c r="K9109" s="110" t="str">
        <f>IF(H9109="","",IF($C$29="간이법","",FPR(H9109,I9109,J9109)))</f>
        <v/>
      </c>
      <c r="L9109" s="111" t="str">
        <f>IF(H9109="","",IF($C$29="상세법",FPV(H9109,K9109),IF(H9109="EI",4,IF(H9109="EO",5.2,IF(H9109="EQ",3.9,IF(H9109="ILF",7.5,IF(H9109="EIF",5.4)))))))</f>
        <v/>
      </c>
      <c r="M9109" s="112" t="str">
        <f t="shared" si="145"/>
        <v/>
      </c>
      <c r="N9109" s="113"/>
    </row>
    <row r="9110" spans="2:14">
      <c r="B9110" s="105"/>
      <c r="C9110" s="106"/>
      <c r="D9110" s="107"/>
      <c r="E9110" s="65"/>
      <c r="F9110" s="64"/>
      <c r="G9110" s="64"/>
      <c r="H9110" s="64"/>
      <c r="I9110" s="70"/>
      <c r="J9110" s="70"/>
      <c r="K9110" s="110" t="str">
        <f>IF(H9110="","",IF($C$29="간이법","",FPR(H9110,I9110,J9110)))</f>
        <v/>
      </c>
      <c r="L9110" s="111" t="str">
        <f>IF(H9110="","",IF($C$29="상세법",FPV(H9110,K9110),IF(H9110="EI",4,IF(H9110="EO",5.2,IF(H9110="EQ",3.9,IF(H9110="ILF",7.5,IF(H9110="EIF",5.4)))))))</f>
        <v/>
      </c>
      <c r="M9110" s="112" t="str">
        <f t="shared" si="145"/>
        <v/>
      </c>
      <c r="N9110" s="113"/>
    </row>
    <row r="9111" spans="2:14">
      <c r="B9111" s="105"/>
      <c r="C9111" s="106"/>
      <c r="D9111" s="107"/>
      <c r="E9111" s="65"/>
      <c r="F9111" s="64"/>
      <c r="G9111" s="64"/>
      <c r="H9111" s="64"/>
      <c r="I9111" s="70"/>
      <c r="J9111" s="70"/>
      <c r="K9111" s="110" t="str">
        <f>IF(H9111="","",IF($C$29="간이법","",FPR(H9111,I9111,J9111)))</f>
        <v/>
      </c>
      <c r="L9111" s="111" t="str">
        <f>IF(H9111="","",IF($C$29="상세법",FPV(H9111,K9111),IF(H9111="EI",4,IF(H9111="EO",5.2,IF(H9111="EQ",3.9,IF(H9111="ILF",7.5,IF(H9111="EIF",5.4)))))))</f>
        <v/>
      </c>
      <c r="M9111" s="112" t="str">
        <f t="shared" si="145"/>
        <v/>
      </c>
      <c r="N9111" s="113"/>
    </row>
    <row r="9112" spans="2:14">
      <c r="B9112" s="105"/>
      <c r="C9112" s="106"/>
      <c r="D9112" s="107"/>
      <c r="E9112" s="65"/>
      <c r="F9112" s="64"/>
      <c r="G9112" s="64"/>
      <c r="H9112" s="64"/>
      <c r="I9112" s="70"/>
      <c r="J9112" s="70"/>
      <c r="K9112" s="110" t="str">
        <f>IF(H9112="","",IF($C$29="간이법","",FPR(H9112,I9112,J9112)))</f>
        <v/>
      </c>
      <c r="L9112" s="111" t="str">
        <f>IF(H9112="","",IF($C$29="상세법",FPV(H9112,K9112),IF(H9112="EI",4,IF(H9112="EO",5.2,IF(H9112="EQ",3.9,IF(H9112="ILF",7.5,IF(H9112="EIF",5.4)))))))</f>
        <v/>
      </c>
      <c r="M9112" s="112" t="str">
        <f t="shared" si="145"/>
        <v/>
      </c>
      <c r="N9112" s="113"/>
    </row>
    <row r="9113" spans="2:14">
      <c r="B9113" s="105"/>
      <c r="C9113" s="106"/>
      <c r="D9113" s="107"/>
      <c r="E9113" s="65"/>
      <c r="F9113" s="64"/>
      <c r="G9113" s="64"/>
      <c r="H9113" s="64"/>
      <c r="I9113" s="70"/>
      <c r="J9113" s="70"/>
      <c r="K9113" s="110" t="str">
        <f>IF(H9113="","",IF($C$29="간이법","",FPR(H9113,I9113,J9113)))</f>
        <v/>
      </c>
      <c r="L9113" s="111" t="str">
        <f>IF(H9113="","",IF($C$29="상세법",FPV(H9113,K9113),IF(H9113="EI",4,IF(H9113="EO",5.2,IF(H9113="EQ",3.9,IF(H9113="ILF",7.5,IF(H9113="EIF",5.4)))))))</f>
        <v/>
      </c>
      <c r="M9113" s="112" t="str">
        <f t="shared" si="145"/>
        <v/>
      </c>
      <c r="N9113" s="113"/>
    </row>
    <row r="9114" spans="2:14">
      <c r="B9114" s="105"/>
      <c r="C9114" s="106"/>
      <c r="D9114" s="107"/>
      <c r="E9114" s="65"/>
      <c r="F9114" s="64"/>
      <c r="G9114" s="64"/>
      <c r="H9114" s="64"/>
      <c r="I9114" s="70"/>
      <c r="J9114" s="70"/>
      <c r="K9114" s="110" t="str">
        <f>IF(H9114="","",IF($C$29="간이법","",FPR(H9114,I9114,J9114)))</f>
        <v/>
      </c>
      <c r="L9114" s="111" t="str">
        <f>IF(H9114="","",IF($C$29="상세법",FPV(H9114,K9114),IF(H9114="EI",4,IF(H9114="EO",5.2,IF(H9114="EQ",3.9,IF(H9114="ILF",7.5,IF(H9114="EIF",5.4)))))))</f>
        <v/>
      </c>
      <c r="M9114" s="112" t="str">
        <f t="shared" si="145"/>
        <v/>
      </c>
      <c r="N9114" s="113"/>
    </row>
    <row r="9115" spans="2:14">
      <c r="B9115" s="105"/>
      <c r="C9115" s="106"/>
      <c r="D9115" s="107"/>
      <c r="E9115" s="65"/>
      <c r="F9115" s="64"/>
      <c r="G9115" s="64"/>
      <c r="H9115" s="64"/>
      <c r="I9115" s="70"/>
      <c r="J9115" s="70"/>
      <c r="K9115" s="110" t="str">
        <f>IF(H9115="","",IF($C$29="간이법","",FPR(H9115,I9115,J9115)))</f>
        <v/>
      </c>
      <c r="L9115" s="111" t="str">
        <f>IF(H9115="","",IF($C$29="상세법",FPV(H9115,K9115),IF(H9115="EI",4,IF(H9115="EO",5.2,IF(H9115="EQ",3.9,IF(H9115="ILF",7.5,IF(H9115="EIF",5.4)))))))</f>
        <v/>
      </c>
      <c r="M9115" s="112" t="str">
        <f t="shared" si="145"/>
        <v/>
      </c>
      <c r="N9115" s="113"/>
    </row>
    <row r="9116" spans="2:14">
      <c r="B9116" s="105"/>
      <c r="C9116" s="106"/>
      <c r="D9116" s="107"/>
      <c r="E9116" s="65"/>
      <c r="F9116" s="64"/>
      <c r="G9116" s="64"/>
      <c r="H9116" s="64"/>
      <c r="I9116" s="70"/>
      <c r="J9116" s="70"/>
      <c r="K9116" s="110" t="str">
        <f>IF(H9116="","",IF($C$29="간이법","",FPR(H9116,I9116,J9116)))</f>
        <v/>
      </c>
      <c r="L9116" s="111" t="str">
        <f>IF(H9116="","",IF($C$29="상세법",FPV(H9116,K9116),IF(H9116="EI",4,IF(H9116="EO",5.2,IF(H9116="EQ",3.9,IF(H9116="ILF",7.5,IF(H9116="EIF",5.4)))))))</f>
        <v/>
      </c>
      <c r="M9116" s="112" t="str">
        <f t="shared" si="145"/>
        <v/>
      </c>
      <c r="N9116" s="113"/>
    </row>
    <row r="9117" spans="2:14">
      <c r="B9117" s="105"/>
      <c r="C9117" s="106"/>
      <c r="D9117" s="107"/>
      <c r="E9117" s="65"/>
      <c r="F9117" s="64"/>
      <c r="G9117" s="64"/>
      <c r="H9117" s="64"/>
      <c r="I9117" s="70"/>
      <c r="J9117" s="70"/>
      <c r="K9117" s="110" t="str">
        <f>IF(H9117="","",IF($C$29="간이법","",FPR(H9117,I9117,J9117)))</f>
        <v/>
      </c>
      <c r="L9117" s="111" t="str">
        <f>IF(H9117="","",IF($C$29="상세법",FPV(H9117,K9117),IF(H9117="EI",4,IF(H9117="EO",5.2,IF(H9117="EQ",3.9,IF(H9117="ILF",7.5,IF(H9117="EIF",5.4)))))))</f>
        <v/>
      </c>
      <c r="M9117" s="112" t="str">
        <f t="shared" si="145"/>
        <v/>
      </c>
      <c r="N9117" s="113"/>
    </row>
    <row r="9118" spans="2:14">
      <c r="B9118" s="105"/>
      <c r="C9118" s="106"/>
      <c r="D9118" s="107"/>
      <c r="E9118" s="65"/>
      <c r="F9118" s="64"/>
      <c r="G9118" s="64"/>
      <c r="H9118" s="64"/>
      <c r="I9118" s="70"/>
      <c r="J9118" s="70"/>
      <c r="K9118" s="110" t="str">
        <f>IF(H9118="","",IF($C$29="간이법","",FPR(H9118,I9118,J9118)))</f>
        <v/>
      </c>
      <c r="L9118" s="111" t="str">
        <f>IF(H9118="","",IF($C$29="상세법",FPV(H9118,K9118),IF(H9118="EI",4,IF(H9118="EO",5.2,IF(H9118="EQ",3.9,IF(H9118="ILF",7.5,IF(H9118="EIF",5.4)))))))</f>
        <v/>
      </c>
      <c r="M9118" s="112" t="str">
        <f t="shared" si="145"/>
        <v/>
      </c>
      <c r="N9118" s="113"/>
    </row>
    <row r="9119" spans="2:14">
      <c r="B9119" s="105"/>
      <c r="C9119" s="106"/>
      <c r="D9119" s="107"/>
      <c r="E9119" s="65"/>
      <c r="F9119" s="64"/>
      <c r="G9119" s="64"/>
      <c r="H9119" s="64"/>
      <c r="I9119" s="70"/>
      <c r="J9119" s="70"/>
      <c r="K9119" s="110" t="str">
        <f>IF(H9119="","",IF($C$29="간이법","",FPR(H9119,I9119,J9119)))</f>
        <v/>
      </c>
      <c r="L9119" s="111" t="str">
        <f>IF(H9119="","",IF($C$29="상세법",FPV(H9119,K9119),IF(H9119="EI",4,IF(H9119="EO",5.2,IF(H9119="EQ",3.9,IF(H9119="ILF",7.5,IF(H9119="EIF",5.4)))))))</f>
        <v/>
      </c>
      <c r="M9119" s="112" t="str">
        <f t="shared" si="145"/>
        <v/>
      </c>
      <c r="N9119" s="113"/>
    </row>
    <row r="9120" spans="2:14">
      <c r="B9120" s="105"/>
      <c r="C9120" s="106"/>
      <c r="D9120" s="107"/>
      <c r="E9120" s="65"/>
      <c r="F9120" s="64"/>
      <c r="G9120" s="64"/>
      <c r="H9120" s="64"/>
      <c r="I9120" s="70"/>
      <c r="J9120" s="70"/>
      <c r="K9120" s="110" t="str">
        <f>IF(H9120="","",IF($C$29="간이법","",FPR(H9120,I9120,J9120)))</f>
        <v/>
      </c>
      <c r="L9120" s="111" t="str">
        <f>IF(H9120="","",IF($C$29="상세법",FPV(H9120,K9120),IF(H9120="EI",4,IF(H9120="EO",5.2,IF(H9120="EQ",3.9,IF(H9120="ILF",7.5,IF(H9120="EIF",5.4)))))))</f>
        <v/>
      </c>
      <c r="M9120" s="112" t="str">
        <f t="shared" si="145"/>
        <v/>
      </c>
      <c r="N9120" s="113"/>
    </row>
    <row r="9121" spans="2:14">
      <c r="B9121" s="105"/>
      <c r="C9121" s="106"/>
      <c r="D9121" s="107"/>
      <c r="E9121" s="65"/>
      <c r="F9121" s="64"/>
      <c r="G9121" s="64"/>
      <c r="H9121" s="64"/>
      <c r="I9121" s="70"/>
      <c r="J9121" s="70"/>
      <c r="K9121" s="110" t="str">
        <f>IF(H9121="","",IF($C$29="간이법","",FPR(H9121,I9121,J9121)))</f>
        <v/>
      </c>
      <c r="L9121" s="111" t="str">
        <f>IF(H9121="","",IF($C$29="상세법",FPV(H9121,K9121),IF(H9121="EI",4,IF(H9121="EO",5.2,IF(H9121="EQ",3.9,IF(H9121="ILF",7.5,IF(H9121="EIF",5.4)))))))</f>
        <v/>
      </c>
      <c r="M9121" s="112" t="str">
        <f t="shared" si="145"/>
        <v/>
      </c>
      <c r="N9121" s="113"/>
    </row>
    <row r="9122" spans="2:14">
      <c r="B9122" s="105"/>
      <c r="C9122" s="106"/>
      <c r="D9122" s="107"/>
      <c r="E9122" s="65"/>
      <c r="F9122" s="64"/>
      <c r="G9122" s="64"/>
      <c r="H9122" s="64"/>
      <c r="I9122" s="70"/>
      <c r="J9122" s="70"/>
      <c r="K9122" s="110" t="str">
        <f>IF(H9122="","",IF($C$29="간이법","",FPR(H9122,I9122,J9122)))</f>
        <v/>
      </c>
      <c r="L9122" s="111" t="str">
        <f>IF(H9122="","",IF($C$29="상세법",FPV(H9122,K9122),IF(H9122="EI",4,IF(H9122="EO",5.2,IF(H9122="EQ",3.9,IF(H9122="ILF",7.5,IF(H9122="EIF",5.4)))))))</f>
        <v/>
      </c>
      <c r="M9122" s="112" t="str">
        <f t="shared" si="145"/>
        <v/>
      </c>
      <c r="N9122" s="113"/>
    </row>
    <row r="9123" spans="2:14">
      <c r="B9123" s="105"/>
      <c r="C9123" s="106"/>
      <c r="D9123" s="107"/>
      <c r="E9123" s="65"/>
      <c r="F9123" s="64"/>
      <c r="G9123" s="64"/>
      <c r="H9123" s="64"/>
      <c r="I9123" s="70"/>
      <c r="J9123" s="70"/>
      <c r="K9123" s="110" t="str">
        <f>IF(H9123="","",IF($C$29="간이법","",FPR(H9123,I9123,J9123)))</f>
        <v/>
      </c>
      <c r="L9123" s="111" t="str">
        <f>IF(H9123="","",IF($C$29="상세법",FPV(H9123,K9123),IF(H9123="EI",4,IF(H9123="EO",5.2,IF(H9123="EQ",3.9,IF(H9123="ILF",7.5,IF(H9123="EIF",5.4)))))))</f>
        <v/>
      </c>
      <c r="M9123" s="112" t="str">
        <f t="shared" si="145"/>
        <v/>
      </c>
      <c r="N9123" s="113"/>
    </row>
    <row r="9124" spans="2:14">
      <c r="B9124" s="105"/>
      <c r="C9124" s="106"/>
      <c r="D9124" s="107"/>
      <c r="E9124" s="65"/>
      <c r="F9124" s="64"/>
      <c r="G9124" s="64"/>
      <c r="H9124" s="64"/>
      <c r="I9124" s="70"/>
      <c r="J9124" s="70"/>
      <c r="K9124" s="110" t="str">
        <f>IF(H9124="","",IF($C$29="간이법","",FPR(H9124,I9124,J9124)))</f>
        <v/>
      </c>
      <c r="L9124" s="111" t="str">
        <f>IF(H9124="","",IF($C$29="상세법",FPV(H9124,K9124),IF(H9124="EI",4,IF(H9124="EO",5.2,IF(H9124="EQ",3.9,IF(H9124="ILF",7.5,IF(H9124="EIF",5.4)))))))</f>
        <v/>
      </c>
      <c r="M9124" s="112" t="str">
        <f t="shared" si="145"/>
        <v/>
      </c>
      <c r="N9124" s="113"/>
    </row>
    <row r="9125" spans="2:14">
      <c r="B9125" s="105"/>
      <c r="C9125" s="106"/>
      <c r="D9125" s="107"/>
      <c r="E9125" s="65"/>
      <c r="F9125" s="64"/>
      <c r="G9125" s="64"/>
      <c r="H9125" s="64"/>
      <c r="I9125" s="70"/>
      <c r="J9125" s="70"/>
      <c r="K9125" s="110" t="str">
        <f>IF(H9125="","",IF($C$29="간이법","",FPR(H9125,I9125,J9125)))</f>
        <v/>
      </c>
      <c r="L9125" s="111" t="str">
        <f>IF(H9125="","",IF($C$29="상세법",FPV(H9125,K9125),IF(H9125="EI",4,IF(H9125="EO",5.2,IF(H9125="EQ",3.9,IF(H9125="ILF",7.5,IF(H9125="EIF",5.4)))))))</f>
        <v/>
      </c>
      <c r="M9125" s="112" t="str">
        <f t="shared" si="145"/>
        <v/>
      </c>
      <c r="N9125" s="113"/>
    </row>
    <row r="9126" spans="2:14">
      <c r="B9126" s="105"/>
      <c r="C9126" s="106"/>
      <c r="D9126" s="107"/>
      <c r="E9126" s="65"/>
      <c r="F9126" s="64"/>
      <c r="G9126" s="64"/>
      <c r="H9126" s="64"/>
      <c r="I9126" s="70"/>
      <c r="J9126" s="70"/>
      <c r="K9126" s="110" t="str">
        <f>IF(H9126="","",IF($C$29="간이법","",FPR(H9126,I9126,J9126)))</f>
        <v/>
      </c>
      <c r="L9126" s="111" t="str">
        <f>IF(H9126="","",IF($C$29="상세법",FPV(H9126,K9126),IF(H9126="EI",4,IF(H9126="EO",5.2,IF(H9126="EQ",3.9,IF(H9126="ILF",7.5,IF(H9126="EIF",5.4)))))))</f>
        <v/>
      </c>
      <c r="M9126" s="112" t="str">
        <f t="shared" si="145"/>
        <v/>
      </c>
      <c r="N9126" s="113"/>
    </row>
    <row r="9127" spans="2:14">
      <c r="B9127" s="105"/>
      <c r="C9127" s="106"/>
      <c r="D9127" s="107"/>
      <c r="E9127" s="65"/>
      <c r="F9127" s="64"/>
      <c r="G9127" s="64"/>
      <c r="H9127" s="64"/>
      <c r="I9127" s="70"/>
      <c r="J9127" s="70"/>
      <c r="K9127" s="110" t="str">
        <f>IF(H9127="","",IF($C$29="간이법","",FPR(H9127,I9127,J9127)))</f>
        <v/>
      </c>
      <c r="L9127" s="111" t="str">
        <f>IF(H9127="","",IF($C$29="상세법",FPV(H9127,K9127),IF(H9127="EI",4,IF(H9127="EO",5.2,IF(H9127="EQ",3.9,IF(H9127="ILF",7.5,IF(H9127="EIF",5.4)))))))</f>
        <v/>
      </c>
      <c r="M9127" s="112" t="str">
        <f t="shared" si="145"/>
        <v/>
      </c>
      <c r="N9127" s="113"/>
    </row>
    <row r="9128" spans="2:14">
      <c r="B9128" s="105"/>
      <c r="C9128" s="106"/>
      <c r="D9128" s="107"/>
      <c r="E9128" s="65"/>
      <c r="F9128" s="64"/>
      <c r="G9128" s="64"/>
      <c r="H9128" s="64"/>
      <c r="I9128" s="70"/>
      <c r="J9128" s="70"/>
      <c r="K9128" s="110" t="str">
        <f>IF(H9128="","",IF($C$29="간이법","",FPR(H9128,I9128,J9128)))</f>
        <v/>
      </c>
      <c r="L9128" s="111" t="str">
        <f>IF(H9128="","",IF($C$29="상세법",FPV(H9128,K9128),IF(H9128="EI",4,IF(H9128="EO",5.2,IF(H9128="EQ",3.9,IF(H9128="ILF",7.5,IF(H9128="EIF",5.4)))))))</f>
        <v/>
      </c>
      <c r="M9128" s="112" t="str">
        <f t="shared" si="145"/>
        <v/>
      </c>
      <c r="N9128" s="113"/>
    </row>
    <row r="9129" spans="2:14">
      <c r="B9129" s="105"/>
      <c r="C9129" s="106"/>
      <c r="D9129" s="107"/>
      <c r="E9129" s="65"/>
      <c r="F9129" s="64"/>
      <c r="G9129" s="64"/>
      <c r="H9129" s="64"/>
      <c r="I9129" s="70"/>
      <c r="J9129" s="70"/>
      <c r="K9129" s="110" t="str">
        <f>IF(H9129="","",IF($C$29="간이법","",FPR(H9129,I9129,J9129)))</f>
        <v/>
      </c>
      <c r="L9129" s="111" t="str">
        <f>IF(H9129="","",IF($C$29="상세법",FPV(H9129,K9129),IF(H9129="EI",4,IF(H9129="EO",5.2,IF(H9129="EQ",3.9,IF(H9129="ILF",7.5,IF(H9129="EIF",5.4)))))))</f>
        <v/>
      </c>
      <c r="M9129" s="112" t="str">
        <f t="shared" si="145"/>
        <v/>
      </c>
      <c r="N9129" s="113"/>
    </row>
    <row r="9130" spans="2:14">
      <c r="B9130" s="105"/>
      <c r="C9130" s="106"/>
      <c r="D9130" s="107"/>
      <c r="E9130" s="65"/>
      <c r="F9130" s="64"/>
      <c r="G9130" s="64"/>
      <c r="H9130" s="64"/>
      <c r="I9130" s="70"/>
      <c r="J9130" s="70"/>
      <c r="K9130" s="110" t="str">
        <f>IF(H9130="","",IF($C$29="간이법","",FPR(H9130,I9130,J9130)))</f>
        <v/>
      </c>
      <c r="L9130" s="111" t="str">
        <f>IF(H9130="","",IF($C$29="상세법",FPV(H9130,K9130),IF(H9130="EI",4,IF(H9130="EO",5.2,IF(H9130="EQ",3.9,IF(H9130="ILF",7.5,IF(H9130="EIF",5.4)))))))</f>
        <v/>
      </c>
      <c r="M9130" s="112" t="str">
        <f t="shared" si="145"/>
        <v/>
      </c>
      <c r="N9130" s="113"/>
    </row>
    <row r="9131" spans="2:14">
      <c r="B9131" s="105"/>
      <c r="C9131" s="106"/>
      <c r="D9131" s="107"/>
      <c r="E9131" s="65"/>
      <c r="F9131" s="64"/>
      <c r="G9131" s="64"/>
      <c r="H9131" s="64"/>
      <c r="I9131" s="70"/>
      <c r="J9131" s="70"/>
      <c r="K9131" s="110" t="str">
        <f>IF(H9131="","",IF($C$29="간이법","",FPR(H9131,I9131,J9131)))</f>
        <v/>
      </c>
      <c r="L9131" s="111" t="str">
        <f>IF(H9131="","",IF($C$29="상세법",FPV(H9131,K9131),IF(H9131="EI",4,IF(H9131="EO",5.2,IF(H9131="EQ",3.9,IF(H9131="ILF",7.5,IF(H9131="EIF",5.4)))))))</f>
        <v/>
      </c>
      <c r="M9131" s="112" t="str">
        <f t="shared" si="145"/>
        <v/>
      </c>
      <c r="N9131" s="113"/>
    </row>
    <row r="9132" spans="2:14">
      <c r="B9132" s="105"/>
      <c r="C9132" s="106"/>
      <c r="D9132" s="107"/>
      <c r="E9132" s="65"/>
      <c r="F9132" s="64"/>
      <c r="G9132" s="64"/>
      <c r="H9132" s="64"/>
      <c r="I9132" s="70"/>
      <c r="J9132" s="70"/>
      <c r="K9132" s="110" t="str">
        <f>IF(H9132="","",IF($C$29="간이법","",FPR(H9132,I9132,J9132)))</f>
        <v/>
      </c>
      <c r="L9132" s="111" t="str">
        <f>IF(H9132="","",IF($C$29="상세법",FPV(H9132,K9132),IF(H9132="EI",4,IF(H9132="EO",5.2,IF(H9132="EQ",3.9,IF(H9132="ILF",7.5,IF(H9132="EIF",5.4)))))))</f>
        <v/>
      </c>
      <c r="M9132" s="112" t="str">
        <f t="shared" si="145"/>
        <v/>
      </c>
      <c r="N9132" s="113"/>
    </row>
    <row r="9133" spans="2:14">
      <c r="B9133" s="105"/>
      <c r="C9133" s="106"/>
      <c r="D9133" s="107"/>
      <c r="E9133" s="65"/>
      <c r="F9133" s="64"/>
      <c r="G9133" s="64"/>
      <c r="H9133" s="64"/>
      <c r="I9133" s="70"/>
      <c r="J9133" s="70"/>
      <c r="K9133" s="110" t="str">
        <f>IF(H9133="","",IF($C$29="간이법","",FPR(H9133,I9133,J9133)))</f>
        <v/>
      </c>
      <c r="L9133" s="111" t="str">
        <f>IF(H9133="","",IF($C$29="상세법",FPV(H9133,K9133),IF(H9133="EI",4,IF(H9133="EO",5.2,IF(H9133="EQ",3.9,IF(H9133="ILF",7.5,IF(H9133="EIF",5.4)))))))</f>
        <v/>
      </c>
      <c r="M9133" s="112" t="str">
        <f t="shared" si="145"/>
        <v/>
      </c>
      <c r="N9133" s="113"/>
    </row>
    <row r="9134" spans="2:14">
      <c r="B9134" s="105"/>
      <c r="C9134" s="106"/>
      <c r="D9134" s="107"/>
      <c r="E9134" s="65"/>
      <c r="F9134" s="64"/>
      <c r="G9134" s="64"/>
      <c r="H9134" s="64"/>
      <c r="I9134" s="70"/>
      <c r="J9134" s="70"/>
      <c r="K9134" s="110" t="str">
        <f>IF(H9134="","",IF($C$29="간이법","",FPR(H9134,I9134,J9134)))</f>
        <v/>
      </c>
      <c r="L9134" s="111" t="str">
        <f>IF(H9134="","",IF($C$29="상세법",FPV(H9134,K9134),IF(H9134="EI",4,IF(H9134="EO",5.2,IF(H9134="EQ",3.9,IF(H9134="ILF",7.5,IF(H9134="EIF",5.4)))))))</f>
        <v/>
      </c>
      <c r="M9134" s="112" t="str">
        <f t="shared" si="145"/>
        <v/>
      </c>
      <c r="N9134" s="113"/>
    </row>
    <row r="9135" spans="2:14">
      <c r="B9135" s="105"/>
      <c r="C9135" s="106"/>
      <c r="D9135" s="107"/>
      <c r="E9135" s="65"/>
      <c r="F9135" s="64"/>
      <c r="G9135" s="64"/>
      <c r="H9135" s="64"/>
      <c r="I9135" s="70"/>
      <c r="J9135" s="70"/>
      <c r="K9135" s="110" t="str">
        <f>IF(H9135="","",IF($C$29="간이법","",FPR(H9135,I9135,J9135)))</f>
        <v/>
      </c>
      <c r="L9135" s="111" t="str">
        <f>IF(H9135="","",IF($C$29="상세법",FPV(H9135,K9135),IF(H9135="EI",4,IF(H9135="EO",5.2,IF(H9135="EQ",3.9,IF(H9135="ILF",7.5,IF(H9135="EIF",5.4)))))))</f>
        <v/>
      </c>
      <c r="M9135" s="112" t="str">
        <f t="shared" si="145"/>
        <v/>
      </c>
      <c r="N9135" s="113"/>
    </row>
    <row r="9136" spans="2:14">
      <c r="B9136" s="105"/>
      <c r="C9136" s="106"/>
      <c r="D9136" s="107"/>
      <c r="E9136" s="65"/>
      <c r="F9136" s="64"/>
      <c r="G9136" s="64"/>
      <c r="H9136" s="64"/>
      <c r="I9136" s="70"/>
      <c r="J9136" s="70"/>
      <c r="K9136" s="110" t="str">
        <f>IF(H9136="","",IF($C$29="간이법","",FPR(H9136,I9136,J9136)))</f>
        <v/>
      </c>
      <c r="L9136" s="111" t="str">
        <f>IF(H9136="","",IF($C$29="상세법",FPV(H9136,K9136),IF(H9136="EI",4,IF(H9136="EO",5.2,IF(H9136="EQ",3.9,IF(H9136="ILF",7.5,IF(H9136="EIF",5.4)))))))</f>
        <v/>
      </c>
      <c r="M9136" s="112" t="str">
        <f t="shared" si="145"/>
        <v/>
      </c>
      <c r="N9136" s="113"/>
    </row>
    <row r="9137" spans="2:14">
      <c r="B9137" s="105"/>
      <c r="C9137" s="106"/>
      <c r="D9137" s="107"/>
      <c r="E9137" s="65"/>
      <c r="F9137" s="64"/>
      <c r="G9137" s="64"/>
      <c r="H9137" s="64"/>
      <c r="I9137" s="70"/>
      <c r="J9137" s="70"/>
      <c r="K9137" s="110" t="str">
        <f>IF(H9137="","",IF($C$29="간이법","",FPR(H9137,I9137,J9137)))</f>
        <v/>
      </c>
      <c r="L9137" s="111" t="str">
        <f>IF(H9137="","",IF($C$29="상세법",FPV(H9137,K9137),IF(H9137="EI",4,IF(H9137="EO",5.2,IF(H9137="EQ",3.9,IF(H9137="ILF",7.5,IF(H9137="EIF",5.4)))))))</f>
        <v/>
      </c>
      <c r="M9137" s="112" t="str">
        <f t="shared" si="145"/>
        <v/>
      </c>
      <c r="N9137" s="113"/>
    </row>
    <row r="9138" spans="2:14">
      <c r="B9138" s="105"/>
      <c r="C9138" s="106"/>
      <c r="D9138" s="107"/>
      <c r="E9138" s="65"/>
      <c r="F9138" s="64"/>
      <c r="G9138" s="64"/>
      <c r="H9138" s="64"/>
      <c r="I9138" s="70"/>
      <c r="J9138" s="70"/>
      <c r="K9138" s="110" t="str">
        <f>IF(H9138="","",IF($C$29="간이법","",FPR(H9138,I9138,J9138)))</f>
        <v/>
      </c>
      <c r="L9138" s="111" t="str">
        <f>IF(H9138="","",IF($C$29="상세법",FPV(H9138,K9138),IF(H9138="EI",4,IF(H9138="EO",5.2,IF(H9138="EQ",3.9,IF(H9138="ILF",7.5,IF(H9138="EIF",5.4)))))))</f>
        <v/>
      </c>
      <c r="M9138" s="112" t="str">
        <f t="shared" si="145"/>
        <v/>
      </c>
      <c r="N9138" s="113"/>
    </row>
    <row r="9139" spans="2:14">
      <c r="B9139" s="105"/>
      <c r="C9139" s="106"/>
      <c r="D9139" s="107"/>
      <c r="E9139" s="65"/>
      <c r="F9139" s="64"/>
      <c r="G9139" s="64"/>
      <c r="H9139" s="64"/>
      <c r="I9139" s="70"/>
      <c r="J9139" s="70"/>
      <c r="K9139" s="110" t="str">
        <f>IF(H9139="","",IF($C$29="간이법","",FPR(H9139,I9139,J9139)))</f>
        <v/>
      </c>
      <c r="L9139" s="111" t="str">
        <f>IF(H9139="","",IF($C$29="상세법",FPV(H9139,K9139),IF(H9139="EI",4,IF(H9139="EO",5.2,IF(H9139="EQ",3.9,IF(H9139="ILF",7.5,IF(H9139="EIF",5.4)))))))</f>
        <v/>
      </c>
      <c r="M9139" s="112" t="str">
        <f t="shared" si="145"/>
        <v/>
      </c>
      <c r="N9139" s="113"/>
    </row>
    <row r="9140" spans="2:14">
      <c r="B9140" s="105"/>
      <c r="C9140" s="106"/>
      <c r="D9140" s="107"/>
      <c r="E9140" s="65"/>
      <c r="F9140" s="64"/>
      <c r="G9140" s="64"/>
      <c r="H9140" s="64"/>
      <c r="I9140" s="70"/>
      <c r="J9140" s="70"/>
      <c r="K9140" s="110" t="str">
        <f>IF(H9140="","",IF($C$29="간이법","",FPR(H9140,I9140,J9140)))</f>
        <v/>
      </c>
      <c r="L9140" s="111" t="str">
        <f>IF(H9140="","",IF($C$29="상세법",FPV(H9140,K9140),IF(H9140="EI",4,IF(H9140="EO",5.2,IF(H9140="EQ",3.9,IF(H9140="ILF",7.5,IF(H9140="EIF",5.4)))))))</f>
        <v/>
      </c>
      <c r="M9140" s="112" t="str">
        <f t="shared" si="145"/>
        <v/>
      </c>
      <c r="N9140" s="113"/>
    </row>
    <row r="9141" spans="2:14">
      <c r="B9141" s="105"/>
      <c r="C9141" s="106"/>
      <c r="D9141" s="107"/>
      <c r="E9141" s="65"/>
      <c r="F9141" s="64"/>
      <c r="G9141" s="64"/>
      <c r="H9141" s="64"/>
      <c r="I9141" s="70"/>
      <c r="J9141" s="70"/>
      <c r="K9141" s="110" t="str">
        <f>IF(H9141="","",IF($C$29="간이법","",FPR(H9141,I9141,J9141)))</f>
        <v/>
      </c>
      <c r="L9141" s="111" t="str">
        <f>IF(H9141="","",IF($C$29="상세법",FPV(H9141,K9141),IF(H9141="EI",4,IF(H9141="EO",5.2,IF(H9141="EQ",3.9,IF(H9141="ILF",7.5,IF(H9141="EIF",5.4)))))))</f>
        <v/>
      </c>
      <c r="M9141" s="112" t="str">
        <f t="shared" si="145"/>
        <v/>
      </c>
      <c r="N9141" s="113"/>
    </row>
    <row r="9142" spans="2:14">
      <c r="B9142" s="105"/>
      <c r="C9142" s="106"/>
      <c r="D9142" s="107"/>
      <c r="E9142" s="65"/>
      <c r="F9142" s="64"/>
      <c r="G9142" s="64"/>
      <c r="H9142" s="64"/>
      <c r="I9142" s="70"/>
      <c r="J9142" s="70"/>
      <c r="K9142" s="110" t="str">
        <f>IF(H9142="","",IF($C$29="간이법","",FPR(H9142,I9142,J9142)))</f>
        <v/>
      </c>
      <c r="L9142" s="111" t="str">
        <f>IF(H9142="","",IF($C$29="상세법",FPV(H9142,K9142),IF(H9142="EI",4,IF(H9142="EO",5.2,IF(H9142="EQ",3.9,IF(H9142="ILF",7.5,IF(H9142="EIF",5.4)))))))</f>
        <v/>
      </c>
      <c r="M9142" s="112" t="str">
        <f t="shared" si="145"/>
        <v/>
      </c>
      <c r="N9142" s="113"/>
    </row>
    <row r="9143" spans="2:14">
      <c r="B9143" s="105"/>
      <c r="C9143" s="106"/>
      <c r="D9143" s="107"/>
      <c r="E9143" s="65"/>
      <c r="F9143" s="64"/>
      <c r="G9143" s="64"/>
      <c r="H9143" s="64"/>
      <c r="I9143" s="70"/>
      <c r="J9143" s="70"/>
      <c r="K9143" s="110" t="str">
        <f>IF(H9143="","",IF($C$29="간이법","",FPR(H9143,I9143,J9143)))</f>
        <v/>
      </c>
      <c r="L9143" s="111" t="str">
        <f>IF(H9143="","",IF($C$29="상세법",FPV(H9143,K9143),IF(H9143="EI",4,IF(H9143="EO",5.2,IF(H9143="EQ",3.9,IF(H9143="ILF",7.5,IF(H9143="EIF",5.4)))))))</f>
        <v/>
      </c>
      <c r="M9143" s="112" t="str">
        <f t="shared" si="145"/>
        <v/>
      </c>
      <c r="N9143" s="113"/>
    </row>
    <row r="9144" spans="2:14">
      <c r="B9144" s="105"/>
      <c r="C9144" s="106"/>
      <c r="D9144" s="107"/>
      <c r="E9144" s="65"/>
      <c r="F9144" s="64"/>
      <c r="G9144" s="64"/>
      <c r="H9144" s="64"/>
      <c r="I9144" s="70"/>
      <c r="J9144" s="70"/>
      <c r="K9144" s="110" t="str">
        <f>IF(H9144="","",IF($C$29="간이법","",FPR(H9144,I9144,J9144)))</f>
        <v/>
      </c>
      <c r="L9144" s="111" t="str">
        <f>IF(H9144="","",IF($C$29="상세법",FPV(H9144,K9144),IF(H9144="EI",4,IF(H9144="EO",5.2,IF(H9144="EQ",3.9,IF(H9144="ILF",7.5,IF(H9144="EIF",5.4)))))))</f>
        <v/>
      </c>
      <c r="M9144" s="112" t="str">
        <f t="shared" si="145"/>
        <v/>
      </c>
      <c r="N9144" s="113"/>
    </row>
    <row r="9145" spans="2:14">
      <c r="B9145" s="105"/>
      <c r="C9145" s="106"/>
      <c r="D9145" s="107"/>
      <c r="E9145" s="65"/>
      <c r="F9145" s="64"/>
      <c r="G9145" s="64"/>
      <c r="H9145" s="64"/>
      <c r="I9145" s="70"/>
      <c r="J9145" s="70"/>
      <c r="K9145" s="110" t="str">
        <f>IF(H9145="","",IF($C$29="간이법","",FPR(H9145,I9145,J9145)))</f>
        <v/>
      </c>
      <c r="L9145" s="111" t="str">
        <f>IF(H9145="","",IF($C$29="상세법",FPV(H9145,K9145),IF(H9145="EI",4,IF(H9145="EO",5.2,IF(H9145="EQ",3.9,IF(H9145="ILF",7.5,IF(H9145="EIF",5.4)))))))</f>
        <v/>
      </c>
      <c r="M9145" s="112" t="str">
        <f t="shared" ref="M9145:M9208" si="146">IF(L9145="","",L9145*IF(G9145="상",0.7,IF(G9145="중",0.5,IF(G9145="하",0.2,1))))</f>
        <v/>
      </c>
      <c r="N9145" s="113"/>
    </row>
    <row r="9146" spans="2:14">
      <c r="B9146" s="105"/>
      <c r="C9146" s="106"/>
      <c r="D9146" s="107"/>
      <c r="E9146" s="65"/>
      <c r="F9146" s="64"/>
      <c r="G9146" s="64"/>
      <c r="H9146" s="64"/>
      <c r="I9146" s="70"/>
      <c r="J9146" s="70"/>
      <c r="K9146" s="110" t="str">
        <f>IF(H9146="","",IF($C$29="간이법","",FPR(H9146,I9146,J9146)))</f>
        <v/>
      </c>
      <c r="L9146" s="111" t="str">
        <f>IF(H9146="","",IF($C$29="상세법",FPV(H9146,K9146),IF(H9146="EI",4,IF(H9146="EO",5.2,IF(H9146="EQ",3.9,IF(H9146="ILF",7.5,IF(H9146="EIF",5.4)))))))</f>
        <v/>
      </c>
      <c r="M9146" s="112" t="str">
        <f t="shared" si="146"/>
        <v/>
      </c>
      <c r="N9146" s="113"/>
    </row>
    <row r="9147" spans="2:14">
      <c r="B9147" s="105"/>
      <c r="C9147" s="106"/>
      <c r="D9147" s="107"/>
      <c r="E9147" s="65"/>
      <c r="F9147" s="64"/>
      <c r="G9147" s="64"/>
      <c r="H9147" s="64"/>
      <c r="I9147" s="70"/>
      <c r="J9147" s="70"/>
      <c r="K9147" s="110" t="str">
        <f>IF(H9147="","",IF($C$29="간이법","",FPR(H9147,I9147,J9147)))</f>
        <v/>
      </c>
      <c r="L9147" s="111" t="str">
        <f>IF(H9147="","",IF($C$29="상세법",FPV(H9147,K9147),IF(H9147="EI",4,IF(H9147="EO",5.2,IF(H9147="EQ",3.9,IF(H9147="ILF",7.5,IF(H9147="EIF",5.4)))))))</f>
        <v/>
      </c>
      <c r="M9147" s="112" t="str">
        <f t="shared" si="146"/>
        <v/>
      </c>
      <c r="N9147" s="113"/>
    </row>
    <row r="9148" spans="2:14">
      <c r="B9148" s="105"/>
      <c r="C9148" s="106"/>
      <c r="D9148" s="107"/>
      <c r="E9148" s="65"/>
      <c r="F9148" s="64"/>
      <c r="G9148" s="64"/>
      <c r="H9148" s="64"/>
      <c r="I9148" s="70"/>
      <c r="J9148" s="70"/>
      <c r="K9148" s="110" t="str">
        <f>IF(H9148="","",IF($C$29="간이법","",FPR(H9148,I9148,J9148)))</f>
        <v/>
      </c>
      <c r="L9148" s="111" t="str">
        <f>IF(H9148="","",IF($C$29="상세법",FPV(H9148,K9148),IF(H9148="EI",4,IF(H9148="EO",5.2,IF(H9148="EQ",3.9,IF(H9148="ILF",7.5,IF(H9148="EIF",5.4)))))))</f>
        <v/>
      </c>
      <c r="M9148" s="112" t="str">
        <f t="shared" si="146"/>
        <v/>
      </c>
      <c r="N9148" s="113"/>
    </row>
    <row r="9149" spans="2:14">
      <c r="B9149" s="105"/>
      <c r="C9149" s="106"/>
      <c r="D9149" s="107"/>
      <c r="E9149" s="65"/>
      <c r="F9149" s="64"/>
      <c r="G9149" s="64"/>
      <c r="H9149" s="64"/>
      <c r="I9149" s="70"/>
      <c r="J9149" s="70"/>
      <c r="K9149" s="110" t="str">
        <f>IF(H9149="","",IF($C$29="간이법","",FPR(H9149,I9149,J9149)))</f>
        <v/>
      </c>
      <c r="L9149" s="111" t="str">
        <f>IF(H9149="","",IF($C$29="상세법",FPV(H9149,K9149),IF(H9149="EI",4,IF(H9149="EO",5.2,IF(H9149="EQ",3.9,IF(H9149="ILF",7.5,IF(H9149="EIF",5.4)))))))</f>
        <v/>
      </c>
      <c r="M9149" s="112" t="str">
        <f t="shared" si="146"/>
        <v/>
      </c>
      <c r="N9149" s="113"/>
    </row>
    <row r="9150" spans="2:14">
      <c r="B9150" s="105"/>
      <c r="C9150" s="106"/>
      <c r="D9150" s="107"/>
      <c r="E9150" s="65"/>
      <c r="F9150" s="64"/>
      <c r="G9150" s="64"/>
      <c r="H9150" s="64"/>
      <c r="I9150" s="70"/>
      <c r="J9150" s="70"/>
      <c r="K9150" s="110" t="str">
        <f>IF(H9150="","",IF($C$29="간이법","",FPR(H9150,I9150,J9150)))</f>
        <v/>
      </c>
      <c r="L9150" s="111" t="str">
        <f>IF(H9150="","",IF($C$29="상세법",FPV(H9150,K9150),IF(H9150="EI",4,IF(H9150="EO",5.2,IF(H9150="EQ",3.9,IF(H9150="ILF",7.5,IF(H9150="EIF",5.4)))))))</f>
        <v/>
      </c>
      <c r="M9150" s="112" t="str">
        <f t="shared" si="146"/>
        <v/>
      </c>
      <c r="N9150" s="113"/>
    </row>
    <row r="9151" spans="2:14">
      <c r="B9151" s="105"/>
      <c r="C9151" s="106"/>
      <c r="D9151" s="107"/>
      <c r="E9151" s="65"/>
      <c r="F9151" s="64"/>
      <c r="G9151" s="64"/>
      <c r="H9151" s="64"/>
      <c r="I9151" s="70"/>
      <c r="J9151" s="70"/>
      <c r="K9151" s="110" t="str">
        <f>IF(H9151="","",IF($C$29="간이법","",FPR(H9151,I9151,J9151)))</f>
        <v/>
      </c>
      <c r="L9151" s="111" t="str">
        <f>IF(H9151="","",IF($C$29="상세법",FPV(H9151,K9151),IF(H9151="EI",4,IF(H9151="EO",5.2,IF(H9151="EQ",3.9,IF(H9151="ILF",7.5,IF(H9151="EIF",5.4)))))))</f>
        <v/>
      </c>
      <c r="M9151" s="112" t="str">
        <f t="shared" si="146"/>
        <v/>
      </c>
      <c r="N9151" s="113"/>
    </row>
    <row r="9152" spans="2:14">
      <c r="B9152" s="105"/>
      <c r="C9152" s="106"/>
      <c r="D9152" s="107"/>
      <c r="E9152" s="65"/>
      <c r="F9152" s="64"/>
      <c r="G9152" s="64"/>
      <c r="H9152" s="64"/>
      <c r="I9152" s="70"/>
      <c r="J9152" s="70"/>
      <c r="K9152" s="110" t="str">
        <f>IF(H9152="","",IF($C$29="간이법","",FPR(H9152,I9152,J9152)))</f>
        <v/>
      </c>
      <c r="L9152" s="111" t="str">
        <f>IF(H9152="","",IF($C$29="상세법",FPV(H9152,K9152),IF(H9152="EI",4,IF(H9152="EO",5.2,IF(H9152="EQ",3.9,IF(H9152="ILF",7.5,IF(H9152="EIF",5.4)))))))</f>
        <v/>
      </c>
      <c r="M9152" s="112" t="str">
        <f t="shared" si="146"/>
        <v/>
      </c>
      <c r="N9152" s="113"/>
    </row>
    <row r="9153" spans="2:14">
      <c r="B9153" s="105"/>
      <c r="C9153" s="106"/>
      <c r="D9153" s="107"/>
      <c r="E9153" s="65"/>
      <c r="F9153" s="64"/>
      <c r="G9153" s="64"/>
      <c r="H9153" s="64"/>
      <c r="I9153" s="70"/>
      <c r="J9153" s="70"/>
      <c r="K9153" s="110" t="str">
        <f>IF(H9153="","",IF($C$29="간이법","",FPR(H9153,I9153,J9153)))</f>
        <v/>
      </c>
      <c r="L9153" s="111" t="str">
        <f>IF(H9153="","",IF($C$29="상세법",FPV(H9153,K9153),IF(H9153="EI",4,IF(H9153="EO",5.2,IF(H9153="EQ",3.9,IF(H9153="ILF",7.5,IF(H9153="EIF",5.4)))))))</f>
        <v/>
      </c>
      <c r="M9153" s="112" t="str">
        <f t="shared" si="146"/>
        <v/>
      </c>
      <c r="N9153" s="113"/>
    </row>
    <row r="9154" spans="2:14">
      <c r="B9154" s="105"/>
      <c r="C9154" s="106"/>
      <c r="D9154" s="107"/>
      <c r="E9154" s="65"/>
      <c r="F9154" s="64"/>
      <c r="G9154" s="64"/>
      <c r="H9154" s="64"/>
      <c r="I9154" s="70"/>
      <c r="J9154" s="70"/>
      <c r="K9154" s="110" t="str">
        <f>IF(H9154="","",IF($C$29="간이법","",FPR(H9154,I9154,J9154)))</f>
        <v/>
      </c>
      <c r="L9154" s="111" t="str">
        <f>IF(H9154="","",IF($C$29="상세법",FPV(H9154,K9154),IF(H9154="EI",4,IF(H9154="EO",5.2,IF(H9154="EQ",3.9,IF(H9154="ILF",7.5,IF(H9154="EIF",5.4)))))))</f>
        <v/>
      </c>
      <c r="M9154" s="112" t="str">
        <f t="shared" si="146"/>
        <v/>
      </c>
      <c r="N9154" s="113"/>
    </row>
    <row r="9155" spans="2:14">
      <c r="B9155" s="105"/>
      <c r="C9155" s="106"/>
      <c r="D9155" s="107"/>
      <c r="E9155" s="65"/>
      <c r="F9155" s="64"/>
      <c r="G9155" s="64"/>
      <c r="H9155" s="64"/>
      <c r="I9155" s="70"/>
      <c r="J9155" s="70"/>
      <c r="K9155" s="110" t="str">
        <f>IF(H9155="","",IF($C$29="간이법","",FPR(H9155,I9155,J9155)))</f>
        <v/>
      </c>
      <c r="L9155" s="111" t="str">
        <f>IF(H9155="","",IF($C$29="상세법",FPV(H9155,K9155),IF(H9155="EI",4,IF(H9155="EO",5.2,IF(H9155="EQ",3.9,IF(H9155="ILF",7.5,IF(H9155="EIF",5.4)))))))</f>
        <v/>
      </c>
      <c r="M9155" s="112" t="str">
        <f t="shared" si="146"/>
        <v/>
      </c>
      <c r="N9155" s="113"/>
    </row>
    <row r="9156" spans="2:14">
      <c r="B9156" s="105"/>
      <c r="C9156" s="106"/>
      <c r="D9156" s="107"/>
      <c r="E9156" s="65"/>
      <c r="F9156" s="64"/>
      <c r="G9156" s="64"/>
      <c r="H9156" s="64"/>
      <c r="I9156" s="70"/>
      <c r="J9156" s="70"/>
      <c r="K9156" s="110" t="str">
        <f>IF(H9156="","",IF($C$29="간이법","",FPR(H9156,I9156,J9156)))</f>
        <v/>
      </c>
      <c r="L9156" s="111" t="str">
        <f>IF(H9156="","",IF($C$29="상세법",FPV(H9156,K9156),IF(H9156="EI",4,IF(H9156="EO",5.2,IF(H9156="EQ",3.9,IF(H9156="ILF",7.5,IF(H9156="EIF",5.4)))))))</f>
        <v/>
      </c>
      <c r="M9156" s="112" t="str">
        <f t="shared" si="146"/>
        <v/>
      </c>
      <c r="N9156" s="113"/>
    </row>
    <row r="9157" spans="2:14">
      <c r="B9157" s="105"/>
      <c r="C9157" s="106"/>
      <c r="D9157" s="107"/>
      <c r="E9157" s="65"/>
      <c r="F9157" s="64"/>
      <c r="G9157" s="64"/>
      <c r="H9157" s="64"/>
      <c r="I9157" s="70"/>
      <c r="J9157" s="70"/>
      <c r="K9157" s="110" t="str">
        <f>IF(H9157="","",IF($C$29="간이법","",FPR(H9157,I9157,J9157)))</f>
        <v/>
      </c>
      <c r="L9157" s="111" t="str">
        <f>IF(H9157="","",IF($C$29="상세법",FPV(H9157,K9157),IF(H9157="EI",4,IF(H9157="EO",5.2,IF(H9157="EQ",3.9,IF(H9157="ILF",7.5,IF(H9157="EIF",5.4)))))))</f>
        <v/>
      </c>
      <c r="M9157" s="112" t="str">
        <f t="shared" si="146"/>
        <v/>
      </c>
      <c r="N9157" s="113"/>
    </row>
    <row r="9158" spans="2:14">
      <c r="B9158" s="105"/>
      <c r="C9158" s="106"/>
      <c r="D9158" s="107"/>
      <c r="E9158" s="65"/>
      <c r="F9158" s="64"/>
      <c r="G9158" s="64"/>
      <c r="H9158" s="64"/>
      <c r="I9158" s="70"/>
      <c r="J9158" s="70"/>
      <c r="K9158" s="110" t="str">
        <f>IF(H9158="","",IF($C$29="간이법","",FPR(H9158,I9158,J9158)))</f>
        <v/>
      </c>
      <c r="L9158" s="111" t="str">
        <f>IF(H9158="","",IF($C$29="상세법",FPV(H9158,K9158),IF(H9158="EI",4,IF(H9158="EO",5.2,IF(H9158="EQ",3.9,IF(H9158="ILF",7.5,IF(H9158="EIF",5.4)))))))</f>
        <v/>
      </c>
      <c r="M9158" s="112" t="str">
        <f t="shared" si="146"/>
        <v/>
      </c>
      <c r="N9158" s="113"/>
    </row>
    <row r="9159" spans="2:14">
      <c r="B9159" s="105"/>
      <c r="C9159" s="106"/>
      <c r="D9159" s="107"/>
      <c r="E9159" s="65"/>
      <c r="F9159" s="64"/>
      <c r="G9159" s="64"/>
      <c r="H9159" s="64"/>
      <c r="I9159" s="70"/>
      <c r="J9159" s="70"/>
      <c r="K9159" s="110" t="str">
        <f>IF(H9159="","",IF($C$29="간이법","",FPR(H9159,I9159,J9159)))</f>
        <v/>
      </c>
      <c r="L9159" s="111" t="str">
        <f>IF(H9159="","",IF($C$29="상세법",FPV(H9159,K9159),IF(H9159="EI",4,IF(H9159="EO",5.2,IF(H9159="EQ",3.9,IF(H9159="ILF",7.5,IF(H9159="EIF",5.4)))))))</f>
        <v/>
      </c>
      <c r="M9159" s="112" t="str">
        <f t="shared" si="146"/>
        <v/>
      </c>
      <c r="N9159" s="113"/>
    </row>
    <row r="9160" spans="2:14">
      <c r="B9160" s="105"/>
      <c r="C9160" s="106"/>
      <c r="D9160" s="107"/>
      <c r="E9160" s="65"/>
      <c r="F9160" s="64"/>
      <c r="G9160" s="64"/>
      <c r="H9160" s="64"/>
      <c r="I9160" s="70"/>
      <c r="J9160" s="70"/>
      <c r="K9160" s="110" t="str">
        <f>IF(H9160="","",IF($C$29="간이법","",FPR(H9160,I9160,J9160)))</f>
        <v/>
      </c>
      <c r="L9160" s="111" t="str">
        <f>IF(H9160="","",IF($C$29="상세법",FPV(H9160,K9160),IF(H9160="EI",4,IF(H9160="EO",5.2,IF(H9160="EQ",3.9,IF(H9160="ILF",7.5,IF(H9160="EIF",5.4)))))))</f>
        <v/>
      </c>
      <c r="M9160" s="112" t="str">
        <f t="shared" si="146"/>
        <v/>
      </c>
      <c r="N9160" s="113"/>
    </row>
    <row r="9161" spans="2:14">
      <c r="B9161" s="105"/>
      <c r="C9161" s="106"/>
      <c r="D9161" s="107"/>
      <c r="E9161" s="65"/>
      <c r="F9161" s="64"/>
      <c r="G9161" s="64"/>
      <c r="H9161" s="64"/>
      <c r="I9161" s="70"/>
      <c r="J9161" s="70"/>
      <c r="K9161" s="110" t="str">
        <f>IF(H9161="","",IF($C$29="간이법","",FPR(H9161,I9161,J9161)))</f>
        <v/>
      </c>
      <c r="L9161" s="111" t="str">
        <f>IF(H9161="","",IF($C$29="상세법",FPV(H9161,K9161),IF(H9161="EI",4,IF(H9161="EO",5.2,IF(H9161="EQ",3.9,IF(H9161="ILF",7.5,IF(H9161="EIF",5.4)))))))</f>
        <v/>
      </c>
      <c r="M9161" s="112" t="str">
        <f t="shared" si="146"/>
        <v/>
      </c>
      <c r="N9161" s="113"/>
    </row>
    <row r="9162" spans="2:14">
      <c r="B9162" s="105"/>
      <c r="C9162" s="106"/>
      <c r="D9162" s="107"/>
      <c r="E9162" s="65"/>
      <c r="F9162" s="64"/>
      <c r="G9162" s="64"/>
      <c r="H9162" s="64"/>
      <c r="I9162" s="70"/>
      <c r="J9162" s="70"/>
      <c r="K9162" s="110" t="str">
        <f>IF(H9162="","",IF($C$29="간이법","",FPR(H9162,I9162,J9162)))</f>
        <v/>
      </c>
      <c r="L9162" s="111" t="str">
        <f>IF(H9162="","",IF($C$29="상세법",FPV(H9162,K9162),IF(H9162="EI",4,IF(H9162="EO",5.2,IF(H9162="EQ",3.9,IF(H9162="ILF",7.5,IF(H9162="EIF",5.4)))))))</f>
        <v/>
      </c>
      <c r="M9162" s="112" t="str">
        <f t="shared" si="146"/>
        <v/>
      </c>
      <c r="N9162" s="113"/>
    </row>
    <row r="9163" spans="2:14">
      <c r="B9163" s="105"/>
      <c r="C9163" s="106"/>
      <c r="D9163" s="107"/>
      <c r="E9163" s="65"/>
      <c r="F9163" s="64"/>
      <c r="G9163" s="64"/>
      <c r="H9163" s="64"/>
      <c r="I9163" s="70"/>
      <c r="J9163" s="70"/>
      <c r="K9163" s="110" t="str">
        <f>IF(H9163="","",IF($C$29="간이법","",FPR(H9163,I9163,J9163)))</f>
        <v/>
      </c>
      <c r="L9163" s="111" t="str">
        <f>IF(H9163="","",IF($C$29="상세법",FPV(H9163,K9163),IF(H9163="EI",4,IF(H9163="EO",5.2,IF(H9163="EQ",3.9,IF(H9163="ILF",7.5,IF(H9163="EIF",5.4)))))))</f>
        <v/>
      </c>
      <c r="M9163" s="112" t="str">
        <f t="shared" si="146"/>
        <v/>
      </c>
      <c r="N9163" s="113"/>
    </row>
    <row r="9164" spans="2:14">
      <c r="B9164" s="105"/>
      <c r="C9164" s="106"/>
      <c r="D9164" s="107"/>
      <c r="E9164" s="65"/>
      <c r="F9164" s="64"/>
      <c r="G9164" s="64"/>
      <c r="H9164" s="64"/>
      <c r="I9164" s="70"/>
      <c r="J9164" s="70"/>
      <c r="K9164" s="110" t="str">
        <f>IF(H9164="","",IF($C$29="간이법","",FPR(H9164,I9164,J9164)))</f>
        <v/>
      </c>
      <c r="L9164" s="111" t="str">
        <f>IF(H9164="","",IF($C$29="상세법",FPV(H9164,K9164),IF(H9164="EI",4,IF(H9164="EO",5.2,IF(H9164="EQ",3.9,IF(H9164="ILF",7.5,IF(H9164="EIF",5.4)))))))</f>
        <v/>
      </c>
      <c r="M9164" s="112" t="str">
        <f t="shared" si="146"/>
        <v/>
      </c>
      <c r="N9164" s="113"/>
    </row>
    <row r="9165" spans="2:14">
      <c r="B9165" s="105"/>
      <c r="C9165" s="106"/>
      <c r="D9165" s="107"/>
      <c r="E9165" s="65"/>
      <c r="F9165" s="64"/>
      <c r="G9165" s="64"/>
      <c r="H9165" s="64"/>
      <c r="I9165" s="70"/>
      <c r="J9165" s="70"/>
      <c r="K9165" s="110" t="str">
        <f>IF(H9165="","",IF($C$29="간이법","",FPR(H9165,I9165,J9165)))</f>
        <v/>
      </c>
      <c r="L9165" s="111" t="str">
        <f>IF(H9165="","",IF($C$29="상세법",FPV(H9165,K9165),IF(H9165="EI",4,IF(H9165="EO",5.2,IF(H9165="EQ",3.9,IF(H9165="ILF",7.5,IF(H9165="EIF",5.4)))))))</f>
        <v/>
      </c>
      <c r="M9165" s="112" t="str">
        <f t="shared" si="146"/>
        <v/>
      </c>
      <c r="N9165" s="113"/>
    </row>
    <row r="9166" spans="2:14">
      <c r="B9166" s="105"/>
      <c r="C9166" s="106"/>
      <c r="D9166" s="107"/>
      <c r="E9166" s="65"/>
      <c r="F9166" s="64"/>
      <c r="G9166" s="64"/>
      <c r="H9166" s="64"/>
      <c r="I9166" s="70"/>
      <c r="J9166" s="70"/>
      <c r="K9166" s="110" t="str">
        <f>IF(H9166="","",IF($C$29="간이법","",FPR(H9166,I9166,J9166)))</f>
        <v/>
      </c>
      <c r="L9166" s="111" t="str">
        <f>IF(H9166="","",IF($C$29="상세법",FPV(H9166,K9166),IF(H9166="EI",4,IF(H9166="EO",5.2,IF(H9166="EQ",3.9,IF(H9166="ILF",7.5,IF(H9166="EIF",5.4)))))))</f>
        <v/>
      </c>
      <c r="M9166" s="112" t="str">
        <f t="shared" si="146"/>
        <v/>
      </c>
      <c r="N9166" s="113"/>
    </row>
    <row r="9167" spans="2:14">
      <c r="B9167" s="105"/>
      <c r="C9167" s="106"/>
      <c r="D9167" s="107"/>
      <c r="E9167" s="65"/>
      <c r="F9167" s="64"/>
      <c r="G9167" s="64"/>
      <c r="H9167" s="64"/>
      <c r="I9167" s="70"/>
      <c r="J9167" s="70"/>
      <c r="K9167" s="110" t="str">
        <f>IF(H9167="","",IF($C$29="간이법","",FPR(H9167,I9167,J9167)))</f>
        <v/>
      </c>
      <c r="L9167" s="111" t="str">
        <f>IF(H9167="","",IF($C$29="상세법",FPV(H9167,K9167),IF(H9167="EI",4,IF(H9167="EO",5.2,IF(H9167="EQ",3.9,IF(H9167="ILF",7.5,IF(H9167="EIF",5.4)))))))</f>
        <v/>
      </c>
      <c r="M9167" s="112" t="str">
        <f t="shared" si="146"/>
        <v/>
      </c>
      <c r="N9167" s="113"/>
    </row>
    <row r="9168" spans="2:14">
      <c r="B9168" s="105"/>
      <c r="C9168" s="106"/>
      <c r="D9168" s="107"/>
      <c r="E9168" s="65"/>
      <c r="F9168" s="64"/>
      <c r="G9168" s="64"/>
      <c r="H9168" s="64"/>
      <c r="I9168" s="70"/>
      <c r="J9168" s="70"/>
      <c r="K9168" s="110" t="str">
        <f>IF(H9168="","",IF($C$29="간이법","",FPR(H9168,I9168,J9168)))</f>
        <v/>
      </c>
      <c r="L9168" s="111" t="str">
        <f>IF(H9168="","",IF($C$29="상세법",FPV(H9168,K9168),IF(H9168="EI",4,IF(H9168="EO",5.2,IF(H9168="EQ",3.9,IF(H9168="ILF",7.5,IF(H9168="EIF",5.4)))))))</f>
        <v/>
      </c>
      <c r="M9168" s="112" t="str">
        <f t="shared" si="146"/>
        <v/>
      </c>
      <c r="N9168" s="113"/>
    </row>
    <row r="9169" spans="2:14">
      <c r="B9169" s="105"/>
      <c r="C9169" s="106"/>
      <c r="D9169" s="107"/>
      <c r="E9169" s="65"/>
      <c r="F9169" s="64"/>
      <c r="G9169" s="64"/>
      <c r="H9169" s="64"/>
      <c r="I9169" s="70"/>
      <c r="J9169" s="70"/>
      <c r="K9169" s="110" t="str">
        <f>IF(H9169="","",IF($C$29="간이법","",FPR(H9169,I9169,J9169)))</f>
        <v/>
      </c>
      <c r="L9169" s="111" t="str">
        <f>IF(H9169="","",IF($C$29="상세법",FPV(H9169,K9169),IF(H9169="EI",4,IF(H9169="EO",5.2,IF(H9169="EQ",3.9,IF(H9169="ILF",7.5,IF(H9169="EIF",5.4)))))))</f>
        <v/>
      </c>
      <c r="M9169" s="112" t="str">
        <f t="shared" si="146"/>
        <v/>
      </c>
      <c r="N9169" s="113"/>
    </row>
    <row r="9170" spans="2:14">
      <c r="B9170" s="105"/>
      <c r="C9170" s="106"/>
      <c r="D9170" s="107"/>
      <c r="E9170" s="65"/>
      <c r="F9170" s="64"/>
      <c r="G9170" s="64"/>
      <c r="H9170" s="64"/>
      <c r="I9170" s="70"/>
      <c r="J9170" s="70"/>
      <c r="K9170" s="110" t="str">
        <f>IF(H9170="","",IF($C$29="간이법","",FPR(H9170,I9170,J9170)))</f>
        <v/>
      </c>
      <c r="L9170" s="111" t="str">
        <f>IF(H9170="","",IF($C$29="상세법",FPV(H9170,K9170),IF(H9170="EI",4,IF(H9170="EO",5.2,IF(H9170="EQ",3.9,IF(H9170="ILF",7.5,IF(H9170="EIF",5.4)))))))</f>
        <v/>
      </c>
      <c r="M9170" s="112" t="str">
        <f t="shared" si="146"/>
        <v/>
      </c>
      <c r="N9170" s="113"/>
    </row>
    <row r="9171" spans="2:14">
      <c r="B9171" s="105"/>
      <c r="C9171" s="106"/>
      <c r="D9171" s="107"/>
      <c r="E9171" s="65"/>
      <c r="F9171" s="64"/>
      <c r="G9171" s="64"/>
      <c r="H9171" s="64"/>
      <c r="I9171" s="70"/>
      <c r="J9171" s="70"/>
      <c r="K9171" s="110" t="str">
        <f>IF(H9171="","",IF($C$29="간이법","",FPR(H9171,I9171,J9171)))</f>
        <v/>
      </c>
      <c r="L9171" s="111" t="str">
        <f>IF(H9171="","",IF($C$29="상세법",FPV(H9171,K9171),IF(H9171="EI",4,IF(H9171="EO",5.2,IF(H9171="EQ",3.9,IF(H9171="ILF",7.5,IF(H9171="EIF",5.4)))))))</f>
        <v/>
      </c>
      <c r="M9171" s="112" t="str">
        <f t="shared" si="146"/>
        <v/>
      </c>
      <c r="N9171" s="113"/>
    </row>
    <row r="9172" spans="2:14">
      <c r="B9172" s="105"/>
      <c r="C9172" s="106"/>
      <c r="D9172" s="107"/>
      <c r="E9172" s="65"/>
      <c r="F9172" s="64"/>
      <c r="G9172" s="64"/>
      <c r="H9172" s="64"/>
      <c r="I9172" s="70"/>
      <c r="J9172" s="70"/>
      <c r="K9172" s="110" t="str">
        <f>IF(H9172="","",IF($C$29="간이법","",FPR(H9172,I9172,J9172)))</f>
        <v/>
      </c>
      <c r="L9172" s="111" t="str">
        <f>IF(H9172="","",IF($C$29="상세법",FPV(H9172,K9172),IF(H9172="EI",4,IF(H9172="EO",5.2,IF(H9172="EQ",3.9,IF(H9172="ILF",7.5,IF(H9172="EIF",5.4)))))))</f>
        <v/>
      </c>
      <c r="M9172" s="112" t="str">
        <f t="shared" si="146"/>
        <v/>
      </c>
      <c r="N9172" s="113"/>
    </row>
    <row r="9173" spans="2:14">
      <c r="B9173" s="105"/>
      <c r="C9173" s="106"/>
      <c r="D9173" s="107"/>
      <c r="E9173" s="65"/>
      <c r="F9173" s="64"/>
      <c r="G9173" s="64"/>
      <c r="H9173" s="64"/>
      <c r="I9173" s="70"/>
      <c r="J9173" s="70"/>
      <c r="K9173" s="110" t="str">
        <f>IF(H9173="","",IF($C$29="간이법","",FPR(H9173,I9173,J9173)))</f>
        <v/>
      </c>
      <c r="L9173" s="111" t="str">
        <f>IF(H9173="","",IF($C$29="상세법",FPV(H9173,K9173),IF(H9173="EI",4,IF(H9173="EO",5.2,IF(H9173="EQ",3.9,IF(H9173="ILF",7.5,IF(H9173="EIF",5.4)))))))</f>
        <v/>
      </c>
      <c r="M9173" s="112" t="str">
        <f t="shared" si="146"/>
        <v/>
      </c>
      <c r="N9173" s="113"/>
    </row>
    <row r="9174" spans="2:14">
      <c r="B9174" s="105"/>
      <c r="C9174" s="106"/>
      <c r="D9174" s="107"/>
      <c r="E9174" s="65"/>
      <c r="F9174" s="64"/>
      <c r="G9174" s="64"/>
      <c r="H9174" s="64"/>
      <c r="I9174" s="70"/>
      <c r="J9174" s="70"/>
      <c r="K9174" s="110" t="str">
        <f>IF(H9174="","",IF($C$29="간이법","",FPR(H9174,I9174,J9174)))</f>
        <v/>
      </c>
      <c r="L9174" s="111" t="str">
        <f>IF(H9174="","",IF($C$29="상세법",FPV(H9174,K9174),IF(H9174="EI",4,IF(H9174="EO",5.2,IF(H9174="EQ",3.9,IF(H9174="ILF",7.5,IF(H9174="EIF",5.4)))))))</f>
        <v/>
      </c>
      <c r="M9174" s="112" t="str">
        <f t="shared" si="146"/>
        <v/>
      </c>
      <c r="N9174" s="113"/>
    </row>
    <row r="9175" spans="2:14">
      <c r="B9175" s="105"/>
      <c r="C9175" s="106"/>
      <c r="D9175" s="107"/>
      <c r="E9175" s="65"/>
      <c r="F9175" s="64"/>
      <c r="G9175" s="64"/>
      <c r="H9175" s="64"/>
      <c r="I9175" s="70"/>
      <c r="J9175" s="70"/>
      <c r="K9175" s="110" t="str">
        <f>IF(H9175="","",IF($C$29="간이법","",FPR(H9175,I9175,J9175)))</f>
        <v/>
      </c>
      <c r="L9175" s="111" t="str">
        <f>IF(H9175="","",IF($C$29="상세법",FPV(H9175,K9175),IF(H9175="EI",4,IF(H9175="EO",5.2,IF(H9175="EQ",3.9,IF(H9175="ILF",7.5,IF(H9175="EIF",5.4)))))))</f>
        <v/>
      </c>
      <c r="M9175" s="112" t="str">
        <f t="shared" si="146"/>
        <v/>
      </c>
      <c r="N9175" s="113"/>
    </row>
    <row r="9176" spans="2:14">
      <c r="B9176" s="105"/>
      <c r="C9176" s="106"/>
      <c r="D9176" s="107"/>
      <c r="E9176" s="65"/>
      <c r="F9176" s="64"/>
      <c r="G9176" s="64"/>
      <c r="H9176" s="64"/>
      <c r="I9176" s="70"/>
      <c r="J9176" s="70"/>
      <c r="K9176" s="110" t="str">
        <f>IF(H9176="","",IF($C$29="간이법","",FPR(H9176,I9176,J9176)))</f>
        <v/>
      </c>
      <c r="L9176" s="111" t="str">
        <f>IF(H9176="","",IF($C$29="상세법",FPV(H9176,K9176),IF(H9176="EI",4,IF(H9176="EO",5.2,IF(H9176="EQ",3.9,IF(H9176="ILF",7.5,IF(H9176="EIF",5.4)))))))</f>
        <v/>
      </c>
      <c r="M9176" s="112" t="str">
        <f t="shared" si="146"/>
        <v/>
      </c>
      <c r="N9176" s="113"/>
    </row>
    <row r="9177" spans="2:14">
      <c r="B9177" s="105"/>
      <c r="C9177" s="106"/>
      <c r="D9177" s="107"/>
      <c r="E9177" s="65"/>
      <c r="F9177" s="64"/>
      <c r="G9177" s="64"/>
      <c r="H9177" s="64"/>
      <c r="I9177" s="70"/>
      <c r="J9177" s="70"/>
      <c r="K9177" s="110" t="str">
        <f>IF(H9177="","",IF($C$29="간이법","",FPR(H9177,I9177,J9177)))</f>
        <v/>
      </c>
      <c r="L9177" s="111" t="str">
        <f>IF(H9177="","",IF($C$29="상세법",FPV(H9177,K9177),IF(H9177="EI",4,IF(H9177="EO",5.2,IF(H9177="EQ",3.9,IF(H9177="ILF",7.5,IF(H9177="EIF",5.4)))))))</f>
        <v/>
      </c>
      <c r="M9177" s="112" t="str">
        <f t="shared" si="146"/>
        <v/>
      </c>
      <c r="N9177" s="113"/>
    </row>
    <row r="9178" spans="2:14">
      <c r="B9178" s="105"/>
      <c r="C9178" s="106"/>
      <c r="D9178" s="107"/>
      <c r="E9178" s="65"/>
      <c r="F9178" s="64"/>
      <c r="G9178" s="64"/>
      <c r="H9178" s="64"/>
      <c r="I9178" s="70"/>
      <c r="J9178" s="70"/>
      <c r="K9178" s="110" t="str">
        <f>IF(H9178="","",IF($C$29="간이법","",FPR(H9178,I9178,J9178)))</f>
        <v/>
      </c>
      <c r="L9178" s="111" t="str">
        <f>IF(H9178="","",IF($C$29="상세법",FPV(H9178,K9178),IF(H9178="EI",4,IF(H9178="EO",5.2,IF(H9178="EQ",3.9,IF(H9178="ILF",7.5,IF(H9178="EIF",5.4)))))))</f>
        <v/>
      </c>
      <c r="M9178" s="112" t="str">
        <f t="shared" si="146"/>
        <v/>
      </c>
      <c r="N9178" s="113"/>
    </row>
    <row r="9179" spans="2:14">
      <c r="B9179" s="105"/>
      <c r="C9179" s="106"/>
      <c r="D9179" s="107"/>
      <c r="E9179" s="65"/>
      <c r="F9179" s="64"/>
      <c r="G9179" s="64"/>
      <c r="H9179" s="64"/>
      <c r="I9179" s="70"/>
      <c r="J9179" s="70"/>
      <c r="K9179" s="110" t="str">
        <f>IF(H9179="","",IF($C$29="간이법","",FPR(H9179,I9179,J9179)))</f>
        <v/>
      </c>
      <c r="L9179" s="111" t="str">
        <f>IF(H9179="","",IF($C$29="상세법",FPV(H9179,K9179),IF(H9179="EI",4,IF(H9179="EO",5.2,IF(H9179="EQ",3.9,IF(H9179="ILF",7.5,IF(H9179="EIF",5.4)))))))</f>
        <v/>
      </c>
      <c r="M9179" s="112" t="str">
        <f t="shared" si="146"/>
        <v/>
      </c>
      <c r="N9179" s="113"/>
    </row>
    <row r="9180" spans="2:14">
      <c r="B9180" s="105"/>
      <c r="C9180" s="106"/>
      <c r="D9180" s="107"/>
      <c r="E9180" s="65"/>
      <c r="F9180" s="64"/>
      <c r="G9180" s="64"/>
      <c r="H9180" s="64"/>
      <c r="I9180" s="70"/>
      <c r="J9180" s="70"/>
      <c r="K9180" s="110" t="str">
        <f>IF(H9180="","",IF($C$29="간이법","",FPR(H9180,I9180,J9180)))</f>
        <v/>
      </c>
      <c r="L9180" s="111" t="str">
        <f>IF(H9180="","",IF($C$29="상세법",FPV(H9180,K9180),IF(H9180="EI",4,IF(H9180="EO",5.2,IF(H9180="EQ",3.9,IF(H9180="ILF",7.5,IF(H9180="EIF",5.4)))))))</f>
        <v/>
      </c>
      <c r="M9180" s="112" t="str">
        <f t="shared" si="146"/>
        <v/>
      </c>
      <c r="N9180" s="113"/>
    </row>
    <row r="9181" spans="2:14">
      <c r="B9181" s="105"/>
      <c r="C9181" s="106"/>
      <c r="D9181" s="107"/>
      <c r="E9181" s="65"/>
      <c r="F9181" s="64"/>
      <c r="G9181" s="64"/>
      <c r="H9181" s="64"/>
      <c r="I9181" s="70"/>
      <c r="J9181" s="70"/>
      <c r="K9181" s="110" t="str">
        <f>IF(H9181="","",IF($C$29="간이법","",FPR(H9181,I9181,J9181)))</f>
        <v/>
      </c>
      <c r="L9181" s="111" t="str">
        <f>IF(H9181="","",IF($C$29="상세법",FPV(H9181,K9181),IF(H9181="EI",4,IF(H9181="EO",5.2,IF(H9181="EQ",3.9,IF(H9181="ILF",7.5,IF(H9181="EIF",5.4)))))))</f>
        <v/>
      </c>
      <c r="M9181" s="112" t="str">
        <f t="shared" si="146"/>
        <v/>
      </c>
      <c r="N9181" s="113"/>
    </row>
    <row r="9182" spans="2:14">
      <c r="B9182" s="105"/>
      <c r="C9182" s="106"/>
      <c r="D9182" s="107"/>
      <c r="E9182" s="65"/>
      <c r="F9182" s="64"/>
      <c r="G9182" s="64"/>
      <c r="H9182" s="64"/>
      <c r="I9182" s="70"/>
      <c r="J9182" s="70"/>
      <c r="K9182" s="110" t="str">
        <f>IF(H9182="","",IF($C$29="간이법","",FPR(H9182,I9182,J9182)))</f>
        <v/>
      </c>
      <c r="L9182" s="111" t="str">
        <f>IF(H9182="","",IF($C$29="상세법",FPV(H9182,K9182),IF(H9182="EI",4,IF(H9182="EO",5.2,IF(H9182="EQ",3.9,IF(H9182="ILF",7.5,IF(H9182="EIF",5.4)))))))</f>
        <v/>
      </c>
      <c r="M9182" s="112" t="str">
        <f t="shared" si="146"/>
        <v/>
      </c>
      <c r="N9182" s="113"/>
    </row>
    <row r="9183" spans="2:14">
      <c r="B9183" s="105"/>
      <c r="C9183" s="106"/>
      <c r="D9183" s="107"/>
      <c r="E9183" s="65"/>
      <c r="F9183" s="64"/>
      <c r="G9183" s="64"/>
      <c r="H9183" s="64"/>
      <c r="I9183" s="70"/>
      <c r="J9183" s="70"/>
      <c r="K9183" s="110" t="str">
        <f>IF(H9183="","",IF($C$29="간이법","",FPR(H9183,I9183,J9183)))</f>
        <v/>
      </c>
      <c r="L9183" s="111" t="str">
        <f>IF(H9183="","",IF($C$29="상세법",FPV(H9183,K9183),IF(H9183="EI",4,IF(H9183="EO",5.2,IF(H9183="EQ",3.9,IF(H9183="ILF",7.5,IF(H9183="EIF",5.4)))))))</f>
        <v/>
      </c>
      <c r="M9183" s="112" t="str">
        <f t="shared" si="146"/>
        <v/>
      </c>
      <c r="N9183" s="113"/>
    </row>
    <row r="9184" spans="2:14">
      <c r="B9184" s="105"/>
      <c r="C9184" s="106"/>
      <c r="D9184" s="107"/>
      <c r="E9184" s="65"/>
      <c r="F9184" s="64"/>
      <c r="G9184" s="64"/>
      <c r="H9184" s="64"/>
      <c r="I9184" s="70"/>
      <c r="J9184" s="70"/>
      <c r="K9184" s="110" t="str">
        <f>IF(H9184="","",IF($C$29="간이법","",FPR(H9184,I9184,J9184)))</f>
        <v/>
      </c>
      <c r="L9184" s="111" t="str">
        <f>IF(H9184="","",IF($C$29="상세법",FPV(H9184,K9184),IF(H9184="EI",4,IF(H9184="EO",5.2,IF(H9184="EQ",3.9,IF(H9184="ILF",7.5,IF(H9184="EIF",5.4)))))))</f>
        <v/>
      </c>
      <c r="M9184" s="112" t="str">
        <f t="shared" si="146"/>
        <v/>
      </c>
      <c r="N9184" s="113"/>
    </row>
    <row r="9185" spans="2:14">
      <c r="B9185" s="105"/>
      <c r="C9185" s="106"/>
      <c r="D9185" s="107"/>
      <c r="E9185" s="65"/>
      <c r="F9185" s="64"/>
      <c r="G9185" s="64"/>
      <c r="H9185" s="64"/>
      <c r="I9185" s="70"/>
      <c r="J9185" s="70"/>
      <c r="K9185" s="110" t="str">
        <f>IF(H9185="","",IF($C$29="간이법","",FPR(H9185,I9185,J9185)))</f>
        <v/>
      </c>
      <c r="L9185" s="111" t="str">
        <f>IF(H9185="","",IF($C$29="상세법",FPV(H9185,K9185),IF(H9185="EI",4,IF(H9185="EO",5.2,IF(H9185="EQ",3.9,IF(H9185="ILF",7.5,IF(H9185="EIF",5.4)))))))</f>
        <v/>
      </c>
      <c r="M9185" s="112" t="str">
        <f t="shared" si="146"/>
        <v/>
      </c>
      <c r="N9185" s="113"/>
    </row>
    <row r="9186" spans="2:14">
      <c r="B9186" s="105"/>
      <c r="C9186" s="106"/>
      <c r="D9186" s="107"/>
      <c r="E9186" s="65"/>
      <c r="F9186" s="64"/>
      <c r="G9186" s="64"/>
      <c r="H9186" s="64"/>
      <c r="I9186" s="70"/>
      <c r="J9186" s="70"/>
      <c r="K9186" s="110" t="str">
        <f>IF(H9186="","",IF($C$29="간이법","",FPR(H9186,I9186,J9186)))</f>
        <v/>
      </c>
      <c r="L9186" s="111" t="str">
        <f>IF(H9186="","",IF($C$29="상세법",FPV(H9186,K9186),IF(H9186="EI",4,IF(H9186="EO",5.2,IF(H9186="EQ",3.9,IF(H9186="ILF",7.5,IF(H9186="EIF",5.4)))))))</f>
        <v/>
      </c>
      <c r="M9186" s="112" t="str">
        <f t="shared" si="146"/>
        <v/>
      </c>
      <c r="N9186" s="113"/>
    </row>
    <row r="9187" spans="2:14">
      <c r="B9187" s="105"/>
      <c r="C9187" s="106"/>
      <c r="D9187" s="107"/>
      <c r="E9187" s="65"/>
      <c r="F9187" s="64"/>
      <c r="G9187" s="64"/>
      <c r="H9187" s="64"/>
      <c r="I9187" s="70"/>
      <c r="J9187" s="70"/>
      <c r="K9187" s="110" t="str">
        <f>IF(H9187="","",IF($C$29="간이법","",FPR(H9187,I9187,J9187)))</f>
        <v/>
      </c>
      <c r="L9187" s="111" t="str">
        <f>IF(H9187="","",IF($C$29="상세법",FPV(H9187,K9187),IF(H9187="EI",4,IF(H9187="EO",5.2,IF(H9187="EQ",3.9,IF(H9187="ILF",7.5,IF(H9187="EIF",5.4)))))))</f>
        <v/>
      </c>
      <c r="M9187" s="112" t="str">
        <f t="shared" si="146"/>
        <v/>
      </c>
      <c r="N9187" s="113"/>
    </row>
    <row r="9188" spans="2:14">
      <c r="B9188" s="105"/>
      <c r="C9188" s="106"/>
      <c r="D9188" s="107"/>
      <c r="E9188" s="65"/>
      <c r="F9188" s="64"/>
      <c r="G9188" s="64"/>
      <c r="H9188" s="64"/>
      <c r="I9188" s="70"/>
      <c r="J9188" s="70"/>
      <c r="K9188" s="110" t="str">
        <f>IF(H9188="","",IF($C$29="간이법","",FPR(H9188,I9188,J9188)))</f>
        <v/>
      </c>
      <c r="L9188" s="111" t="str">
        <f>IF(H9188="","",IF($C$29="상세법",FPV(H9188,K9188),IF(H9188="EI",4,IF(H9188="EO",5.2,IF(H9188="EQ",3.9,IF(H9188="ILF",7.5,IF(H9188="EIF",5.4)))))))</f>
        <v/>
      </c>
      <c r="M9188" s="112" t="str">
        <f t="shared" si="146"/>
        <v/>
      </c>
      <c r="N9188" s="113"/>
    </row>
    <row r="9189" spans="2:14">
      <c r="B9189" s="105"/>
      <c r="C9189" s="106"/>
      <c r="D9189" s="107"/>
      <c r="E9189" s="65"/>
      <c r="F9189" s="64"/>
      <c r="G9189" s="64"/>
      <c r="H9189" s="64"/>
      <c r="I9189" s="70"/>
      <c r="J9189" s="70"/>
      <c r="K9189" s="110" t="str">
        <f>IF(H9189="","",IF($C$29="간이법","",FPR(H9189,I9189,J9189)))</f>
        <v/>
      </c>
      <c r="L9189" s="111" t="str">
        <f>IF(H9189="","",IF($C$29="상세법",FPV(H9189,K9189),IF(H9189="EI",4,IF(H9189="EO",5.2,IF(H9189="EQ",3.9,IF(H9189="ILF",7.5,IF(H9189="EIF",5.4)))))))</f>
        <v/>
      </c>
      <c r="M9189" s="112" t="str">
        <f t="shared" si="146"/>
        <v/>
      </c>
      <c r="N9189" s="113"/>
    </row>
    <row r="9190" spans="2:14">
      <c r="B9190" s="105"/>
      <c r="C9190" s="106"/>
      <c r="D9190" s="107"/>
      <c r="E9190" s="65"/>
      <c r="F9190" s="64"/>
      <c r="G9190" s="64"/>
      <c r="H9190" s="64"/>
      <c r="I9190" s="70"/>
      <c r="J9190" s="70"/>
      <c r="K9190" s="110" t="str">
        <f>IF(H9190="","",IF($C$29="간이법","",FPR(H9190,I9190,J9190)))</f>
        <v/>
      </c>
      <c r="L9190" s="111" t="str">
        <f>IF(H9190="","",IF($C$29="상세법",FPV(H9190,K9190),IF(H9190="EI",4,IF(H9190="EO",5.2,IF(H9190="EQ",3.9,IF(H9190="ILF",7.5,IF(H9190="EIF",5.4)))))))</f>
        <v/>
      </c>
      <c r="M9190" s="112" t="str">
        <f t="shared" si="146"/>
        <v/>
      </c>
      <c r="N9190" s="113"/>
    </row>
    <row r="9191" spans="2:14">
      <c r="B9191" s="105"/>
      <c r="C9191" s="106"/>
      <c r="D9191" s="107"/>
      <c r="E9191" s="65"/>
      <c r="F9191" s="64"/>
      <c r="G9191" s="64"/>
      <c r="H9191" s="64"/>
      <c r="I9191" s="70"/>
      <c r="J9191" s="70"/>
      <c r="K9191" s="110" t="str">
        <f>IF(H9191="","",IF($C$29="간이법","",FPR(H9191,I9191,J9191)))</f>
        <v/>
      </c>
      <c r="L9191" s="111" t="str">
        <f>IF(H9191="","",IF($C$29="상세법",FPV(H9191,K9191),IF(H9191="EI",4,IF(H9191="EO",5.2,IF(H9191="EQ",3.9,IF(H9191="ILF",7.5,IF(H9191="EIF",5.4)))))))</f>
        <v/>
      </c>
      <c r="M9191" s="112" t="str">
        <f t="shared" si="146"/>
        <v/>
      </c>
      <c r="N9191" s="113"/>
    </row>
    <row r="9192" spans="2:14">
      <c r="B9192" s="105"/>
      <c r="C9192" s="106"/>
      <c r="D9192" s="107"/>
      <c r="E9192" s="65"/>
      <c r="F9192" s="64"/>
      <c r="G9192" s="64"/>
      <c r="H9192" s="64"/>
      <c r="I9192" s="70"/>
      <c r="J9192" s="70"/>
      <c r="K9192" s="110" t="str">
        <f>IF(H9192="","",IF($C$29="간이법","",FPR(H9192,I9192,J9192)))</f>
        <v/>
      </c>
      <c r="L9192" s="111" t="str">
        <f>IF(H9192="","",IF($C$29="상세법",FPV(H9192,K9192),IF(H9192="EI",4,IF(H9192="EO",5.2,IF(H9192="EQ",3.9,IF(H9192="ILF",7.5,IF(H9192="EIF",5.4)))))))</f>
        <v/>
      </c>
      <c r="M9192" s="112" t="str">
        <f t="shared" si="146"/>
        <v/>
      </c>
      <c r="N9192" s="113"/>
    </row>
    <row r="9193" spans="2:14">
      <c r="B9193" s="105"/>
      <c r="C9193" s="106"/>
      <c r="D9193" s="107"/>
      <c r="E9193" s="65"/>
      <c r="F9193" s="64"/>
      <c r="G9193" s="64"/>
      <c r="H9193" s="64"/>
      <c r="I9193" s="70"/>
      <c r="J9193" s="70"/>
      <c r="K9193" s="110" t="str">
        <f>IF(H9193="","",IF($C$29="간이법","",FPR(H9193,I9193,J9193)))</f>
        <v/>
      </c>
      <c r="L9193" s="111" t="str">
        <f>IF(H9193="","",IF($C$29="상세법",FPV(H9193,K9193),IF(H9193="EI",4,IF(H9193="EO",5.2,IF(H9193="EQ",3.9,IF(H9193="ILF",7.5,IF(H9193="EIF",5.4)))))))</f>
        <v/>
      </c>
      <c r="M9193" s="112" t="str">
        <f t="shared" si="146"/>
        <v/>
      </c>
      <c r="N9193" s="113"/>
    </row>
    <row r="9194" spans="2:14">
      <c r="B9194" s="105"/>
      <c r="C9194" s="106"/>
      <c r="D9194" s="107"/>
      <c r="E9194" s="65"/>
      <c r="F9194" s="64"/>
      <c r="G9194" s="64"/>
      <c r="H9194" s="64"/>
      <c r="I9194" s="70"/>
      <c r="J9194" s="70"/>
      <c r="K9194" s="110" t="str">
        <f>IF(H9194="","",IF($C$29="간이법","",FPR(H9194,I9194,J9194)))</f>
        <v/>
      </c>
      <c r="L9194" s="111" t="str">
        <f>IF(H9194="","",IF($C$29="상세법",FPV(H9194,K9194),IF(H9194="EI",4,IF(H9194="EO",5.2,IF(H9194="EQ",3.9,IF(H9194="ILF",7.5,IF(H9194="EIF",5.4)))))))</f>
        <v/>
      </c>
      <c r="M9194" s="112" t="str">
        <f t="shared" si="146"/>
        <v/>
      </c>
      <c r="N9194" s="113"/>
    </row>
    <row r="9195" spans="2:14">
      <c r="B9195" s="105"/>
      <c r="C9195" s="106"/>
      <c r="D9195" s="107"/>
      <c r="E9195" s="65"/>
      <c r="F9195" s="64"/>
      <c r="G9195" s="64"/>
      <c r="H9195" s="64"/>
      <c r="I9195" s="70"/>
      <c r="J9195" s="70"/>
      <c r="K9195" s="110" t="str">
        <f>IF(H9195="","",IF($C$29="간이법","",FPR(H9195,I9195,J9195)))</f>
        <v/>
      </c>
      <c r="L9195" s="111" t="str">
        <f>IF(H9195="","",IF($C$29="상세법",FPV(H9195,K9195),IF(H9195="EI",4,IF(H9195="EO",5.2,IF(H9195="EQ",3.9,IF(H9195="ILF",7.5,IF(H9195="EIF",5.4)))))))</f>
        <v/>
      </c>
      <c r="M9195" s="112" t="str">
        <f t="shared" si="146"/>
        <v/>
      </c>
      <c r="N9195" s="113"/>
    </row>
    <row r="9196" spans="2:14">
      <c r="B9196" s="105"/>
      <c r="C9196" s="106"/>
      <c r="D9196" s="107"/>
      <c r="E9196" s="65"/>
      <c r="F9196" s="64"/>
      <c r="G9196" s="64"/>
      <c r="H9196" s="64"/>
      <c r="I9196" s="70"/>
      <c r="J9196" s="70"/>
      <c r="K9196" s="110" t="str">
        <f>IF(H9196="","",IF($C$29="간이법","",FPR(H9196,I9196,J9196)))</f>
        <v/>
      </c>
      <c r="L9196" s="111" t="str">
        <f>IF(H9196="","",IF($C$29="상세법",FPV(H9196,K9196),IF(H9196="EI",4,IF(H9196="EO",5.2,IF(H9196="EQ",3.9,IF(H9196="ILF",7.5,IF(H9196="EIF",5.4)))))))</f>
        <v/>
      </c>
      <c r="M9196" s="112" t="str">
        <f t="shared" si="146"/>
        <v/>
      </c>
      <c r="N9196" s="113"/>
    </row>
    <row r="9197" spans="2:14">
      <c r="B9197" s="105"/>
      <c r="C9197" s="106"/>
      <c r="D9197" s="107"/>
      <c r="E9197" s="65"/>
      <c r="F9197" s="64"/>
      <c r="G9197" s="64"/>
      <c r="H9197" s="64"/>
      <c r="I9197" s="70"/>
      <c r="J9197" s="70"/>
      <c r="K9197" s="110" t="str">
        <f>IF(H9197="","",IF($C$29="간이법","",FPR(H9197,I9197,J9197)))</f>
        <v/>
      </c>
      <c r="L9197" s="111" t="str">
        <f>IF(H9197="","",IF($C$29="상세법",FPV(H9197,K9197),IF(H9197="EI",4,IF(H9197="EO",5.2,IF(H9197="EQ",3.9,IF(H9197="ILF",7.5,IF(H9197="EIF",5.4)))))))</f>
        <v/>
      </c>
      <c r="M9197" s="112" t="str">
        <f t="shared" si="146"/>
        <v/>
      </c>
      <c r="N9197" s="113"/>
    </row>
    <row r="9198" spans="2:14">
      <c r="B9198" s="105"/>
      <c r="C9198" s="106"/>
      <c r="D9198" s="107"/>
      <c r="E9198" s="65"/>
      <c r="F9198" s="64"/>
      <c r="G9198" s="64"/>
      <c r="H9198" s="64"/>
      <c r="I9198" s="70"/>
      <c r="J9198" s="70"/>
      <c r="K9198" s="110" t="str">
        <f>IF(H9198="","",IF($C$29="간이법","",FPR(H9198,I9198,J9198)))</f>
        <v/>
      </c>
      <c r="L9198" s="111" t="str">
        <f>IF(H9198="","",IF($C$29="상세법",FPV(H9198,K9198),IF(H9198="EI",4,IF(H9198="EO",5.2,IF(H9198="EQ",3.9,IF(H9198="ILF",7.5,IF(H9198="EIF",5.4)))))))</f>
        <v/>
      </c>
      <c r="M9198" s="112" t="str">
        <f t="shared" si="146"/>
        <v/>
      </c>
      <c r="N9198" s="113"/>
    </row>
    <row r="9199" spans="2:14">
      <c r="B9199" s="105"/>
      <c r="C9199" s="106"/>
      <c r="D9199" s="107"/>
      <c r="E9199" s="65"/>
      <c r="F9199" s="64"/>
      <c r="G9199" s="64"/>
      <c r="H9199" s="64"/>
      <c r="I9199" s="70"/>
      <c r="J9199" s="70"/>
      <c r="K9199" s="110" t="str">
        <f>IF(H9199="","",IF($C$29="간이법","",FPR(H9199,I9199,J9199)))</f>
        <v/>
      </c>
      <c r="L9199" s="111" t="str">
        <f>IF(H9199="","",IF($C$29="상세법",FPV(H9199,K9199),IF(H9199="EI",4,IF(H9199="EO",5.2,IF(H9199="EQ",3.9,IF(H9199="ILF",7.5,IF(H9199="EIF",5.4)))))))</f>
        <v/>
      </c>
      <c r="M9199" s="112" t="str">
        <f t="shared" si="146"/>
        <v/>
      </c>
      <c r="N9199" s="113"/>
    </row>
    <row r="9200" spans="2:14">
      <c r="B9200" s="105"/>
      <c r="C9200" s="106"/>
      <c r="D9200" s="107"/>
      <c r="E9200" s="65"/>
      <c r="F9200" s="64"/>
      <c r="G9200" s="64"/>
      <c r="H9200" s="64"/>
      <c r="I9200" s="70"/>
      <c r="J9200" s="70"/>
      <c r="K9200" s="110" t="str">
        <f>IF(H9200="","",IF($C$29="간이법","",FPR(H9200,I9200,J9200)))</f>
        <v/>
      </c>
      <c r="L9200" s="111" t="str">
        <f>IF(H9200="","",IF($C$29="상세법",FPV(H9200,K9200),IF(H9200="EI",4,IF(H9200="EO",5.2,IF(H9200="EQ",3.9,IF(H9200="ILF",7.5,IF(H9200="EIF",5.4)))))))</f>
        <v/>
      </c>
      <c r="M9200" s="112" t="str">
        <f t="shared" si="146"/>
        <v/>
      </c>
      <c r="N9200" s="113"/>
    </row>
    <row r="9201" spans="2:14">
      <c r="B9201" s="105"/>
      <c r="C9201" s="106"/>
      <c r="D9201" s="107"/>
      <c r="E9201" s="65"/>
      <c r="F9201" s="64"/>
      <c r="G9201" s="64"/>
      <c r="H9201" s="64"/>
      <c r="I9201" s="70"/>
      <c r="J9201" s="70"/>
      <c r="K9201" s="110" t="str">
        <f>IF(H9201="","",IF($C$29="간이법","",FPR(H9201,I9201,J9201)))</f>
        <v/>
      </c>
      <c r="L9201" s="111" t="str">
        <f>IF(H9201="","",IF($C$29="상세법",FPV(H9201,K9201),IF(H9201="EI",4,IF(H9201="EO",5.2,IF(H9201="EQ",3.9,IF(H9201="ILF",7.5,IF(H9201="EIF",5.4)))))))</f>
        <v/>
      </c>
      <c r="M9201" s="112" t="str">
        <f t="shared" si="146"/>
        <v/>
      </c>
      <c r="N9201" s="113"/>
    </row>
    <row r="9202" spans="2:14">
      <c r="B9202" s="105"/>
      <c r="C9202" s="106"/>
      <c r="D9202" s="107"/>
      <c r="E9202" s="65"/>
      <c r="F9202" s="64"/>
      <c r="G9202" s="64"/>
      <c r="H9202" s="64"/>
      <c r="I9202" s="70"/>
      <c r="J9202" s="70"/>
      <c r="K9202" s="110" t="str">
        <f>IF(H9202="","",IF($C$29="간이법","",FPR(H9202,I9202,J9202)))</f>
        <v/>
      </c>
      <c r="L9202" s="111" t="str">
        <f>IF(H9202="","",IF($C$29="상세법",FPV(H9202,K9202),IF(H9202="EI",4,IF(H9202="EO",5.2,IF(H9202="EQ",3.9,IF(H9202="ILF",7.5,IF(H9202="EIF",5.4)))))))</f>
        <v/>
      </c>
      <c r="M9202" s="112" t="str">
        <f t="shared" si="146"/>
        <v/>
      </c>
      <c r="N9202" s="113"/>
    </row>
    <row r="9203" spans="2:14">
      <c r="B9203" s="105"/>
      <c r="C9203" s="106"/>
      <c r="D9203" s="107"/>
      <c r="E9203" s="65"/>
      <c r="F9203" s="64"/>
      <c r="G9203" s="64"/>
      <c r="H9203" s="64"/>
      <c r="I9203" s="70"/>
      <c r="J9203" s="70"/>
      <c r="K9203" s="110" t="str">
        <f>IF(H9203="","",IF($C$29="간이법","",FPR(H9203,I9203,J9203)))</f>
        <v/>
      </c>
      <c r="L9203" s="111" t="str">
        <f>IF(H9203="","",IF($C$29="상세법",FPV(H9203,K9203),IF(H9203="EI",4,IF(H9203="EO",5.2,IF(H9203="EQ",3.9,IF(H9203="ILF",7.5,IF(H9203="EIF",5.4)))))))</f>
        <v/>
      </c>
      <c r="M9203" s="112" t="str">
        <f t="shared" si="146"/>
        <v/>
      </c>
      <c r="N9203" s="113"/>
    </row>
    <row r="9204" spans="2:14">
      <c r="B9204" s="105"/>
      <c r="C9204" s="106"/>
      <c r="D9204" s="107"/>
      <c r="E9204" s="65"/>
      <c r="F9204" s="64"/>
      <c r="G9204" s="64"/>
      <c r="H9204" s="64"/>
      <c r="I9204" s="70"/>
      <c r="J9204" s="70"/>
      <c r="K9204" s="110" t="str">
        <f>IF(H9204="","",IF($C$29="간이법","",FPR(H9204,I9204,J9204)))</f>
        <v/>
      </c>
      <c r="L9204" s="111" t="str">
        <f>IF(H9204="","",IF($C$29="상세법",FPV(H9204,K9204),IF(H9204="EI",4,IF(H9204="EO",5.2,IF(H9204="EQ",3.9,IF(H9204="ILF",7.5,IF(H9204="EIF",5.4)))))))</f>
        <v/>
      </c>
      <c r="M9204" s="112" t="str">
        <f t="shared" si="146"/>
        <v/>
      </c>
      <c r="N9204" s="113"/>
    </row>
    <row r="9205" spans="2:14">
      <c r="B9205" s="105"/>
      <c r="C9205" s="106"/>
      <c r="D9205" s="107"/>
      <c r="E9205" s="65"/>
      <c r="F9205" s="64"/>
      <c r="G9205" s="64"/>
      <c r="H9205" s="64"/>
      <c r="I9205" s="70"/>
      <c r="J9205" s="70"/>
      <c r="K9205" s="110" t="str">
        <f>IF(H9205="","",IF($C$29="간이법","",FPR(H9205,I9205,J9205)))</f>
        <v/>
      </c>
      <c r="L9205" s="111" t="str">
        <f>IF(H9205="","",IF($C$29="상세법",FPV(H9205,K9205),IF(H9205="EI",4,IF(H9205="EO",5.2,IF(H9205="EQ",3.9,IF(H9205="ILF",7.5,IF(H9205="EIF",5.4)))))))</f>
        <v/>
      </c>
      <c r="M9205" s="112" t="str">
        <f t="shared" si="146"/>
        <v/>
      </c>
      <c r="N9205" s="113"/>
    </row>
    <row r="9206" spans="2:14">
      <c r="B9206" s="105"/>
      <c r="C9206" s="106"/>
      <c r="D9206" s="107"/>
      <c r="E9206" s="65"/>
      <c r="F9206" s="64"/>
      <c r="G9206" s="64"/>
      <c r="H9206" s="64"/>
      <c r="I9206" s="70"/>
      <c r="J9206" s="70"/>
      <c r="K9206" s="110" t="str">
        <f>IF(H9206="","",IF($C$29="간이법","",FPR(H9206,I9206,J9206)))</f>
        <v/>
      </c>
      <c r="L9206" s="111" t="str">
        <f>IF(H9206="","",IF($C$29="상세법",FPV(H9206,K9206),IF(H9206="EI",4,IF(H9206="EO",5.2,IF(H9206="EQ",3.9,IF(H9206="ILF",7.5,IF(H9206="EIF",5.4)))))))</f>
        <v/>
      </c>
      <c r="M9206" s="112" t="str">
        <f t="shared" si="146"/>
        <v/>
      </c>
      <c r="N9206" s="113"/>
    </row>
    <row r="9207" spans="2:14">
      <c r="B9207" s="105"/>
      <c r="C9207" s="106"/>
      <c r="D9207" s="107"/>
      <c r="E9207" s="65"/>
      <c r="F9207" s="64"/>
      <c r="G9207" s="64"/>
      <c r="H9207" s="64"/>
      <c r="I9207" s="70"/>
      <c r="J9207" s="70"/>
      <c r="K9207" s="110" t="str">
        <f>IF(H9207="","",IF($C$29="간이법","",FPR(H9207,I9207,J9207)))</f>
        <v/>
      </c>
      <c r="L9207" s="111" t="str">
        <f>IF(H9207="","",IF($C$29="상세법",FPV(H9207,K9207),IF(H9207="EI",4,IF(H9207="EO",5.2,IF(H9207="EQ",3.9,IF(H9207="ILF",7.5,IF(H9207="EIF",5.4)))))))</f>
        <v/>
      </c>
      <c r="M9207" s="112" t="str">
        <f t="shared" si="146"/>
        <v/>
      </c>
      <c r="N9207" s="113"/>
    </row>
    <row r="9208" spans="2:14">
      <c r="B9208" s="105"/>
      <c r="C9208" s="106"/>
      <c r="D9208" s="107"/>
      <c r="E9208" s="65"/>
      <c r="F9208" s="64"/>
      <c r="G9208" s="64"/>
      <c r="H9208" s="64"/>
      <c r="I9208" s="70"/>
      <c r="J9208" s="70"/>
      <c r="K9208" s="110" t="str">
        <f>IF(H9208="","",IF($C$29="간이법","",FPR(H9208,I9208,J9208)))</f>
        <v/>
      </c>
      <c r="L9208" s="111" t="str">
        <f>IF(H9208="","",IF($C$29="상세법",FPV(H9208,K9208),IF(H9208="EI",4,IF(H9208="EO",5.2,IF(H9208="EQ",3.9,IF(H9208="ILF",7.5,IF(H9208="EIF",5.4)))))))</f>
        <v/>
      </c>
      <c r="M9208" s="112" t="str">
        <f t="shared" si="146"/>
        <v/>
      </c>
      <c r="N9208" s="113"/>
    </row>
    <row r="9209" spans="2:14">
      <c r="B9209" s="105"/>
      <c r="C9209" s="106"/>
      <c r="D9209" s="107"/>
      <c r="E9209" s="65"/>
      <c r="F9209" s="64"/>
      <c r="G9209" s="64"/>
      <c r="H9209" s="64"/>
      <c r="I9209" s="70"/>
      <c r="J9209" s="70"/>
      <c r="K9209" s="110" t="str">
        <f>IF(H9209="","",IF($C$29="간이법","",FPR(H9209,I9209,J9209)))</f>
        <v/>
      </c>
      <c r="L9209" s="111" t="str">
        <f>IF(H9209="","",IF($C$29="상세법",FPV(H9209,K9209),IF(H9209="EI",4,IF(H9209="EO",5.2,IF(H9209="EQ",3.9,IF(H9209="ILF",7.5,IF(H9209="EIF",5.4)))))))</f>
        <v/>
      </c>
      <c r="M9209" s="112" t="str">
        <f t="shared" ref="M9209:M9272" si="147">IF(L9209="","",L9209*IF(G9209="상",0.7,IF(G9209="중",0.5,IF(G9209="하",0.2,1))))</f>
        <v/>
      </c>
      <c r="N9209" s="113"/>
    </row>
    <row r="9210" spans="2:14">
      <c r="B9210" s="105"/>
      <c r="C9210" s="106"/>
      <c r="D9210" s="107"/>
      <c r="E9210" s="65"/>
      <c r="F9210" s="64"/>
      <c r="G9210" s="64"/>
      <c r="H9210" s="64"/>
      <c r="I9210" s="70"/>
      <c r="J9210" s="70"/>
      <c r="K9210" s="110" t="str">
        <f>IF(H9210="","",IF($C$29="간이법","",FPR(H9210,I9210,J9210)))</f>
        <v/>
      </c>
      <c r="L9210" s="111" t="str">
        <f>IF(H9210="","",IF($C$29="상세법",FPV(H9210,K9210),IF(H9210="EI",4,IF(H9210="EO",5.2,IF(H9210="EQ",3.9,IF(H9210="ILF",7.5,IF(H9210="EIF",5.4)))))))</f>
        <v/>
      </c>
      <c r="M9210" s="112" t="str">
        <f t="shared" si="147"/>
        <v/>
      </c>
      <c r="N9210" s="113"/>
    </row>
    <row r="9211" spans="2:14">
      <c r="B9211" s="105"/>
      <c r="C9211" s="106"/>
      <c r="D9211" s="107"/>
      <c r="E9211" s="65"/>
      <c r="F9211" s="64"/>
      <c r="G9211" s="64"/>
      <c r="H9211" s="64"/>
      <c r="I9211" s="70"/>
      <c r="J9211" s="70"/>
      <c r="K9211" s="110" t="str">
        <f>IF(H9211="","",IF($C$29="간이법","",FPR(H9211,I9211,J9211)))</f>
        <v/>
      </c>
      <c r="L9211" s="111" t="str">
        <f>IF(H9211="","",IF($C$29="상세법",FPV(H9211,K9211),IF(H9211="EI",4,IF(H9211="EO",5.2,IF(H9211="EQ",3.9,IF(H9211="ILF",7.5,IF(H9211="EIF",5.4)))))))</f>
        <v/>
      </c>
      <c r="M9211" s="112" t="str">
        <f t="shared" si="147"/>
        <v/>
      </c>
      <c r="N9211" s="113"/>
    </row>
    <row r="9212" spans="2:14">
      <c r="B9212" s="105"/>
      <c r="C9212" s="106"/>
      <c r="D9212" s="107"/>
      <c r="E9212" s="65"/>
      <c r="F9212" s="64"/>
      <c r="G9212" s="64"/>
      <c r="H9212" s="64"/>
      <c r="I9212" s="70"/>
      <c r="J9212" s="70"/>
      <c r="K9212" s="110" t="str">
        <f>IF(H9212="","",IF($C$29="간이법","",FPR(H9212,I9212,J9212)))</f>
        <v/>
      </c>
      <c r="L9212" s="111" t="str">
        <f>IF(H9212="","",IF($C$29="상세법",FPV(H9212,K9212),IF(H9212="EI",4,IF(H9212="EO",5.2,IF(H9212="EQ",3.9,IF(H9212="ILF",7.5,IF(H9212="EIF",5.4)))))))</f>
        <v/>
      </c>
      <c r="M9212" s="112" t="str">
        <f t="shared" si="147"/>
        <v/>
      </c>
      <c r="N9212" s="113"/>
    </row>
    <row r="9213" spans="2:14">
      <c r="B9213" s="105"/>
      <c r="C9213" s="106"/>
      <c r="D9213" s="107"/>
      <c r="E9213" s="65"/>
      <c r="F9213" s="64"/>
      <c r="G9213" s="64"/>
      <c r="H9213" s="64"/>
      <c r="I9213" s="70"/>
      <c r="J9213" s="70"/>
      <c r="K9213" s="110" t="str">
        <f>IF(H9213="","",IF($C$29="간이법","",FPR(H9213,I9213,J9213)))</f>
        <v/>
      </c>
      <c r="L9213" s="111" t="str">
        <f>IF(H9213="","",IF($C$29="상세법",FPV(H9213,K9213),IF(H9213="EI",4,IF(H9213="EO",5.2,IF(H9213="EQ",3.9,IF(H9213="ILF",7.5,IF(H9213="EIF",5.4)))))))</f>
        <v/>
      </c>
      <c r="M9213" s="112" t="str">
        <f t="shared" si="147"/>
        <v/>
      </c>
      <c r="N9213" s="113"/>
    </row>
    <row r="9214" spans="2:14">
      <c r="B9214" s="105"/>
      <c r="C9214" s="106"/>
      <c r="D9214" s="107"/>
      <c r="E9214" s="65"/>
      <c r="F9214" s="64"/>
      <c r="G9214" s="64"/>
      <c r="H9214" s="64"/>
      <c r="I9214" s="70"/>
      <c r="J9214" s="70"/>
      <c r="K9214" s="110" t="str">
        <f>IF(H9214="","",IF($C$29="간이법","",FPR(H9214,I9214,J9214)))</f>
        <v/>
      </c>
      <c r="L9214" s="111" t="str">
        <f>IF(H9214="","",IF($C$29="상세법",FPV(H9214,K9214),IF(H9214="EI",4,IF(H9214="EO",5.2,IF(H9214="EQ",3.9,IF(H9214="ILF",7.5,IF(H9214="EIF",5.4)))))))</f>
        <v/>
      </c>
      <c r="M9214" s="112" t="str">
        <f t="shared" si="147"/>
        <v/>
      </c>
      <c r="N9214" s="113"/>
    </row>
    <row r="9215" spans="2:14">
      <c r="B9215" s="105"/>
      <c r="C9215" s="106"/>
      <c r="D9215" s="107"/>
      <c r="E9215" s="65"/>
      <c r="F9215" s="64"/>
      <c r="G9215" s="64"/>
      <c r="H9215" s="64"/>
      <c r="I9215" s="70"/>
      <c r="J9215" s="70"/>
      <c r="K9215" s="110" t="str">
        <f>IF(H9215="","",IF($C$29="간이법","",FPR(H9215,I9215,J9215)))</f>
        <v/>
      </c>
      <c r="L9215" s="111" t="str">
        <f>IF(H9215="","",IF($C$29="상세법",FPV(H9215,K9215),IF(H9215="EI",4,IF(H9215="EO",5.2,IF(H9215="EQ",3.9,IF(H9215="ILF",7.5,IF(H9215="EIF",5.4)))))))</f>
        <v/>
      </c>
      <c r="M9215" s="112" t="str">
        <f t="shared" si="147"/>
        <v/>
      </c>
      <c r="N9215" s="113"/>
    </row>
    <row r="9216" spans="2:14">
      <c r="B9216" s="105"/>
      <c r="C9216" s="106"/>
      <c r="D9216" s="107"/>
      <c r="E9216" s="65"/>
      <c r="F9216" s="64"/>
      <c r="G9216" s="64"/>
      <c r="H9216" s="64"/>
      <c r="I9216" s="70"/>
      <c r="J9216" s="70"/>
      <c r="K9216" s="110" t="str">
        <f>IF(H9216="","",IF($C$29="간이법","",FPR(H9216,I9216,J9216)))</f>
        <v/>
      </c>
      <c r="L9216" s="111" t="str">
        <f>IF(H9216="","",IF($C$29="상세법",FPV(H9216,K9216),IF(H9216="EI",4,IF(H9216="EO",5.2,IF(H9216="EQ",3.9,IF(H9216="ILF",7.5,IF(H9216="EIF",5.4)))))))</f>
        <v/>
      </c>
      <c r="M9216" s="112" t="str">
        <f t="shared" si="147"/>
        <v/>
      </c>
      <c r="N9216" s="113"/>
    </row>
    <row r="9217" spans="2:14">
      <c r="B9217" s="105"/>
      <c r="C9217" s="106"/>
      <c r="D9217" s="107"/>
      <c r="E9217" s="65"/>
      <c r="F9217" s="64"/>
      <c r="G9217" s="64"/>
      <c r="H9217" s="64"/>
      <c r="I9217" s="70"/>
      <c r="J9217" s="70"/>
      <c r="K9217" s="110" t="str">
        <f>IF(H9217="","",IF($C$29="간이법","",FPR(H9217,I9217,J9217)))</f>
        <v/>
      </c>
      <c r="L9217" s="111" t="str">
        <f>IF(H9217="","",IF($C$29="상세법",FPV(H9217,K9217),IF(H9217="EI",4,IF(H9217="EO",5.2,IF(H9217="EQ",3.9,IF(H9217="ILF",7.5,IF(H9217="EIF",5.4)))))))</f>
        <v/>
      </c>
      <c r="M9217" s="112" t="str">
        <f t="shared" si="147"/>
        <v/>
      </c>
      <c r="N9217" s="113"/>
    </row>
    <row r="9218" spans="2:14">
      <c r="B9218" s="105"/>
      <c r="C9218" s="106"/>
      <c r="D9218" s="107"/>
      <c r="E9218" s="65"/>
      <c r="F9218" s="64"/>
      <c r="G9218" s="64"/>
      <c r="H9218" s="64"/>
      <c r="I9218" s="70"/>
      <c r="J9218" s="70"/>
      <c r="K9218" s="110" t="str">
        <f>IF(H9218="","",IF($C$29="간이법","",FPR(H9218,I9218,J9218)))</f>
        <v/>
      </c>
      <c r="L9218" s="111" t="str">
        <f>IF(H9218="","",IF($C$29="상세법",FPV(H9218,K9218),IF(H9218="EI",4,IF(H9218="EO",5.2,IF(H9218="EQ",3.9,IF(H9218="ILF",7.5,IF(H9218="EIF",5.4)))))))</f>
        <v/>
      </c>
      <c r="M9218" s="112" t="str">
        <f t="shared" si="147"/>
        <v/>
      </c>
      <c r="N9218" s="113"/>
    </row>
    <row r="9219" spans="2:14">
      <c r="B9219" s="105"/>
      <c r="C9219" s="106"/>
      <c r="D9219" s="107"/>
      <c r="E9219" s="65"/>
      <c r="F9219" s="64"/>
      <c r="G9219" s="64"/>
      <c r="H9219" s="64"/>
      <c r="I9219" s="70"/>
      <c r="J9219" s="70"/>
      <c r="K9219" s="110" t="str">
        <f>IF(H9219="","",IF($C$29="간이법","",FPR(H9219,I9219,J9219)))</f>
        <v/>
      </c>
      <c r="L9219" s="111" t="str">
        <f>IF(H9219="","",IF($C$29="상세법",FPV(H9219,K9219),IF(H9219="EI",4,IF(H9219="EO",5.2,IF(H9219="EQ",3.9,IF(H9219="ILF",7.5,IF(H9219="EIF",5.4)))))))</f>
        <v/>
      </c>
      <c r="M9219" s="112" t="str">
        <f t="shared" si="147"/>
        <v/>
      </c>
      <c r="N9219" s="113"/>
    </row>
    <row r="9220" spans="2:14">
      <c r="B9220" s="105"/>
      <c r="C9220" s="106"/>
      <c r="D9220" s="107"/>
      <c r="E9220" s="65"/>
      <c r="F9220" s="64"/>
      <c r="G9220" s="64"/>
      <c r="H9220" s="64"/>
      <c r="I9220" s="70"/>
      <c r="J9220" s="70"/>
      <c r="K9220" s="110" t="str">
        <f>IF(H9220="","",IF($C$29="간이법","",FPR(H9220,I9220,J9220)))</f>
        <v/>
      </c>
      <c r="L9220" s="111" t="str">
        <f>IF(H9220="","",IF($C$29="상세법",FPV(H9220,K9220),IF(H9220="EI",4,IF(H9220="EO",5.2,IF(H9220="EQ",3.9,IF(H9220="ILF",7.5,IF(H9220="EIF",5.4)))))))</f>
        <v/>
      </c>
      <c r="M9220" s="112" t="str">
        <f t="shared" si="147"/>
        <v/>
      </c>
      <c r="N9220" s="113"/>
    </row>
    <row r="9221" spans="2:14">
      <c r="B9221" s="105"/>
      <c r="C9221" s="106"/>
      <c r="D9221" s="107"/>
      <c r="E9221" s="65"/>
      <c r="F9221" s="64"/>
      <c r="G9221" s="64"/>
      <c r="H9221" s="64"/>
      <c r="I9221" s="70"/>
      <c r="J9221" s="70"/>
      <c r="K9221" s="110" t="str">
        <f>IF(H9221="","",IF($C$29="간이법","",FPR(H9221,I9221,J9221)))</f>
        <v/>
      </c>
      <c r="L9221" s="111" t="str">
        <f>IF(H9221="","",IF($C$29="상세법",FPV(H9221,K9221),IF(H9221="EI",4,IF(H9221="EO",5.2,IF(H9221="EQ",3.9,IF(H9221="ILF",7.5,IF(H9221="EIF",5.4)))))))</f>
        <v/>
      </c>
      <c r="M9221" s="112" t="str">
        <f t="shared" si="147"/>
        <v/>
      </c>
      <c r="N9221" s="113"/>
    </row>
    <row r="9222" spans="2:14">
      <c r="B9222" s="105"/>
      <c r="C9222" s="106"/>
      <c r="D9222" s="107"/>
      <c r="E9222" s="65"/>
      <c r="F9222" s="64"/>
      <c r="G9222" s="64"/>
      <c r="H9222" s="64"/>
      <c r="I9222" s="70"/>
      <c r="J9222" s="70"/>
      <c r="K9222" s="110" t="str">
        <f>IF(H9222="","",IF($C$29="간이법","",FPR(H9222,I9222,J9222)))</f>
        <v/>
      </c>
      <c r="L9222" s="111" t="str">
        <f>IF(H9222="","",IF($C$29="상세법",FPV(H9222,K9222),IF(H9222="EI",4,IF(H9222="EO",5.2,IF(H9222="EQ",3.9,IF(H9222="ILF",7.5,IF(H9222="EIF",5.4)))))))</f>
        <v/>
      </c>
      <c r="M9222" s="112" t="str">
        <f t="shared" si="147"/>
        <v/>
      </c>
      <c r="N9222" s="113"/>
    </row>
    <row r="9223" spans="2:14">
      <c r="B9223" s="105"/>
      <c r="C9223" s="106"/>
      <c r="D9223" s="107"/>
      <c r="E9223" s="65"/>
      <c r="F9223" s="64"/>
      <c r="G9223" s="64"/>
      <c r="H9223" s="64"/>
      <c r="I9223" s="70"/>
      <c r="J9223" s="70"/>
      <c r="K9223" s="110" t="str">
        <f>IF(H9223="","",IF($C$29="간이법","",FPR(H9223,I9223,J9223)))</f>
        <v/>
      </c>
      <c r="L9223" s="111" t="str">
        <f>IF(H9223="","",IF($C$29="상세법",FPV(H9223,K9223),IF(H9223="EI",4,IF(H9223="EO",5.2,IF(H9223="EQ",3.9,IF(H9223="ILF",7.5,IF(H9223="EIF",5.4)))))))</f>
        <v/>
      </c>
      <c r="M9223" s="112" t="str">
        <f t="shared" si="147"/>
        <v/>
      </c>
      <c r="N9223" s="113"/>
    </row>
    <row r="9224" spans="2:14">
      <c r="B9224" s="105"/>
      <c r="C9224" s="106"/>
      <c r="D9224" s="107"/>
      <c r="E9224" s="65"/>
      <c r="F9224" s="64"/>
      <c r="G9224" s="64"/>
      <c r="H9224" s="64"/>
      <c r="I9224" s="70"/>
      <c r="J9224" s="70"/>
      <c r="K9224" s="110" t="str">
        <f>IF(H9224="","",IF($C$29="간이법","",FPR(H9224,I9224,J9224)))</f>
        <v/>
      </c>
      <c r="L9224" s="111" t="str">
        <f>IF(H9224="","",IF($C$29="상세법",FPV(H9224,K9224),IF(H9224="EI",4,IF(H9224="EO",5.2,IF(H9224="EQ",3.9,IF(H9224="ILF",7.5,IF(H9224="EIF",5.4)))))))</f>
        <v/>
      </c>
      <c r="M9224" s="112" t="str">
        <f t="shared" si="147"/>
        <v/>
      </c>
      <c r="N9224" s="113"/>
    </row>
    <row r="9225" spans="2:14">
      <c r="B9225" s="105"/>
      <c r="C9225" s="106"/>
      <c r="D9225" s="107"/>
      <c r="E9225" s="65"/>
      <c r="F9225" s="64"/>
      <c r="G9225" s="64"/>
      <c r="H9225" s="64"/>
      <c r="I9225" s="70"/>
      <c r="J9225" s="70"/>
      <c r="K9225" s="110" t="str">
        <f>IF(H9225="","",IF($C$29="간이법","",FPR(H9225,I9225,J9225)))</f>
        <v/>
      </c>
      <c r="L9225" s="111" t="str">
        <f>IF(H9225="","",IF($C$29="상세법",FPV(H9225,K9225),IF(H9225="EI",4,IF(H9225="EO",5.2,IF(H9225="EQ",3.9,IF(H9225="ILF",7.5,IF(H9225="EIF",5.4)))))))</f>
        <v/>
      </c>
      <c r="M9225" s="112" t="str">
        <f t="shared" si="147"/>
        <v/>
      </c>
      <c r="N9225" s="113"/>
    </row>
    <row r="9226" spans="2:14">
      <c r="B9226" s="105"/>
      <c r="C9226" s="106"/>
      <c r="D9226" s="107"/>
      <c r="E9226" s="65"/>
      <c r="F9226" s="64"/>
      <c r="G9226" s="64"/>
      <c r="H9226" s="64"/>
      <c r="I9226" s="70"/>
      <c r="J9226" s="70"/>
      <c r="K9226" s="110" t="str">
        <f>IF(H9226="","",IF($C$29="간이법","",FPR(H9226,I9226,J9226)))</f>
        <v/>
      </c>
      <c r="L9226" s="111" t="str">
        <f>IF(H9226="","",IF($C$29="상세법",FPV(H9226,K9226),IF(H9226="EI",4,IF(H9226="EO",5.2,IF(H9226="EQ",3.9,IF(H9226="ILF",7.5,IF(H9226="EIF",5.4)))))))</f>
        <v/>
      </c>
      <c r="M9226" s="112" t="str">
        <f t="shared" si="147"/>
        <v/>
      </c>
      <c r="N9226" s="113"/>
    </row>
    <row r="9227" spans="2:14">
      <c r="B9227" s="105"/>
      <c r="C9227" s="106"/>
      <c r="D9227" s="107"/>
      <c r="E9227" s="65"/>
      <c r="F9227" s="64"/>
      <c r="G9227" s="64"/>
      <c r="H9227" s="64"/>
      <c r="I9227" s="70"/>
      <c r="J9227" s="70"/>
      <c r="K9227" s="110" t="str">
        <f>IF(H9227="","",IF($C$29="간이법","",FPR(H9227,I9227,J9227)))</f>
        <v/>
      </c>
      <c r="L9227" s="111" t="str">
        <f>IF(H9227="","",IF($C$29="상세법",FPV(H9227,K9227),IF(H9227="EI",4,IF(H9227="EO",5.2,IF(H9227="EQ",3.9,IF(H9227="ILF",7.5,IF(H9227="EIF",5.4)))))))</f>
        <v/>
      </c>
      <c r="M9227" s="112" t="str">
        <f t="shared" si="147"/>
        <v/>
      </c>
      <c r="N9227" s="113"/>
    </row>
    <row r="9228" spans="2:14">
      <c r="B9228" s="105"/>
      <c r="C9228" s="106"/>
      <c r="D9228" s="107"/>
      <c r="E9228" s="65"/>
      <c r="F9228" s="64"/>
      <c r="G9228" s="64"/>
      <c r="H9228" s="64"/>
      <c r="I9228" s="70"/>
      <c r="J9228" s="70"/>
      <c r="K9228" s="110" t="str">
        <f>IF(H9228="","",IF($C$29="간이법","",FPR(H9228,I9228,J9228)))</f>
        <v/>
      </c>
      <c r="L9228" s="111" t="str">
        <f>IF(H9228="","",IF($C$29="상세법",FPV(H9228,K9228),IF(H9228="EI",4,IF(H9228="EO",5.2,IF(H9228="EQ",3.9,IF(H9228="ILF",7.5,IF(H9228="EIF",5.4)))))))</f>
        <v/>
      </c>
      <c r="M9228" s="112" t="str">
        <f t="shared" si="147"/>
        <v/>
      </c>
      <c r="N9228" s="113"/>
    </row>
    <row r="9229" spans="2:14">
      <c r="B9229" s="105"/>
      <c r="C9229" s="106"/>
      <c r="D9229" s="107"/>
      <c r="E9229" s="65"/>
      <c r="F9229" s="64"/>
      <c r="G9229" s="64"/>
      <c r="H9229" s="64"/>
      <c r="I9229" s="70"/>
      <c r="J9229" s="70"/>
      <c r="K9229" s="110" t="str">
        <f>IF(H9229="","",IF($C$29="간이법","",FPR(H9229,I9229,J9229)))</f>
        <v/>
      </c>
      <c r="L9229" s="111" t="str">
        <f>IF(H9229="","",IF($C$29="상세법",FPV(H9229,K9229),IF(H9229="EI",4,IF(H9229="EO",5.2,IF(H9229="EQ",3.9,IF(H9229="ILF",7.5,IF(H9229="EIF",5.4)))))))</f>
        <v/>
      </c>
      <c r="M9229" s="112" t="str">
        <f t="shared" si="147"/>
        <v/>
      </c>
      <c r="N9229" s="113"/>
    </row>
    <row r="9230" spans="2:14">
      <c r="B9230" s="105"/>
      <c r="C9230" s="106"/>
      <c r="D9230" s="107"/>
      <c r="E9230" s="65"/>
      <c r="F9230" s="64"/>
      <c r="G9230" s="64"/>
      <c r="H9230" s="64"/>
      <c r="I9230" s="70"/>
      <c r="J9230" s="70"/>
      <c r="K9230" s="110" t="str">
        <f>IF(H9230="","",IF($C$29="간이법","",FPR(H9230,I9230,J9230)))</f>
        <v/>
      </c>
      <c r="L9230" s="111" t="str">
        <f>IF(H9230="","",IF($C$29="상세법",FPV(H9230,K9230),IF(H9230="EI",4,IF(H9230="EO",5.2,IF(H9230="EQ",3.9,IF(H9230="ILF",7.5,IF(H9230="EIF",5.4)))))))</f>
        <v/>
      </c>
      <c r="M9230" s="112" t="str">
        <f t="shared" si="147"/>
        <v/>
      </c>
      <c r="N9230" s="113"/>
    </row>
    <row r="9231" spans="2:14">
      <c r="B9231" s="105"/>
      <c r="C9231" s="106"/>
      <c r="D9231" s="107"/>
      <c r="E9231" s="65"/>
      <c r="F9231" s="64"/>
      <c r="G9231" s="64"/>
      <c r="H9231" s="64"/>
      <c r="I9231" s="70"/>
      <c r="J9231" s="70"/>
      <c r="K9231" s="110" t="str">
        <f>IF(H9231="","",IF($C$29="간이법","",FPR(H9231,I9231,J9231)))</f>
        <v/>
      </c>
      <c r="L9231" s="111" t="str">
        <f>IF(H9231="","",IF($C$29="상세법",FPV(H9231,K9231),IF(H9231="EI",4,IF(H9231="EO",5.2,IF(H9231="EQ",3.9,IF(H9231="ILF",7.5,IF(H9231="EIF",5.4)))))))</f>
        <v/>
      </c>
      <c r="M9231" s="112" t="str">
        <f t="shared" si="147"/>
        <v/>
      </c>
      <c r="N9231" s="113"/>
    </row>
    <row r="9232" spans="2:14">
      <c r="B9232" s="105"/>
      <c r="C9232" s="106"/>
      <c r="D9232" s="107"/>
      <c r="E9232" s="65"/>
      <c r="F9232" s="64"/>
      <c r="G9232" s="64"/>
      <c r="H9232" s="64"/>
      <c r="I9232" s="70"/>
      <c r="J9232" s="70"/>
      <c r="K9232" s="110" t="str">
        <f>IF(H9232="","",IF($C$29="간이법","",FPR(H9232,I9232,J9232)))</f>
        <v/>
      </c>
      <c r="L9232" s="111" t="str">
        <f>IF(H9232="","",IF($C$29="상세법",FPV(H9232,K9232),IF(H9232="EI",4,IF(H9232="EO",5.2,IF(H9232="EQ",3.9,IF(H9232="ILF",7.5,IF(H9232="EIF",5.4)))))))</f>
        <v/>
      </c>
      <c r="M9232" s="112" t="str">
        <f t="shared" si="147"/>
        <v/>
      </c>
      <c r="N9232" s="113"/>
    </row>
    <row r="9233" spans="2:14">
      <c r="B9233" s="105"/>
      <c r="C9233" s="106"/>
      <c r="D9233" s="107"/>
      <c r="E9233" s="65"/>
      <c r="F9233" s="64"/>
      <c r="G9233" s="64"/>
      <c r="H9233" s="64"/>
      <c r="I9233" s="70"/>
      <c r="J9233" s="70"/>
      <c r="K9233" s="110" t="str">
        <f>IF(H9233="","",IF($C$29="간이법","",FPR(H9233,I9233,J9233)))</f>
        <v/>
      </c>
      <c r="L9233" s="111" t="str">
        <f>IF(H9233="","",IF($C$29="상세법",FPV(H9233,K9233),IF(H9233="EI",4,IF(H9233="EO",5.2,IF(H9233="EQ",3.9,IF(H9233="ILF",7.5,IF(H9233="EIF",5.4)))))))</f>
        <v/>
      </c>
      <c r="M9233" s="112" t="str">
        <f t="shared" si="147"/>
        <v/>
      </c>
      <c r="N9233" s="113"/>
    </row>
    <row r="9234" spans="2:14">
      <c r="B9234" s="105"/>
      <c r="C9234" s="106"/>
      <c r="D9234" s="107"/>
      <c r="E9234" s="65"/>
      <c r="F9234" s="64"/>
      <c r="G9234" s="64"/>
      <c r="H9234" s="64"/>
      <c r="I9234" s="70"/>
      <c r="J9234" s="70"/>
      <c r="K9234" s="110" t="str">
        <f>IF(H9234="","",IF($C$29="간이법","",FPR(H9234,I9234,J9234)))</f>
        <v/>
      </c>
      <c r="L9234" s="111" t="str">
        <f>IF(H9234="","",IF($C$29="상세법",FPV(H9234,K9234),IF(H9234="EI",4,IF(H9234="EO",5.2,IF(H9234="EQ",3.9,IF(H9234="ILF",7.5,IF(H9234="EIF",5.4)))))))</f>
        <v/>
      </c>
      <c r="M9234" s="112" t="str">
        <f t="shared" si="147"/>
        <v/>
      </c>
      <c r="N9234" s="113"/>
    </row>
    <row r="9235" spans="2:14">
      <c r="B9235" s="105"/>
      <c r="C9235" s="106"/>
      <c r="D9235" s="107"/>
      <c r="E9235" s="65"/>
      <c r="F9235" s="64"/>
      <c r="G9235" s="64"/>
      <c r="H9235" s="64"/>
      <c r="I9235" s="70"/>
      <c r="J9235" s="70"/>
      <c r="K9235" s="110" t="str">
        <f>IF(H9235="","",IF($C$29="간이법","",FPR(H9235,I9235,J9235)))</f>
        <v/>
      </c>
      <c r="L9235" s="111" t="str">
        <f>IF(H9235="","",IF($C$29="상세법",FPV(H9235,K9235),IF(H9235="EI",4,IF(H9235="EO",5.2,IF(H9235="EQ",3.9,IF(H9235="ILF",7.5,IF(H9235="EIF",5.4)))))))</f>
        <v/>
      </c>
      <c r="M9235" s="112" t="str">
        <f t="shared" si="147"/>
        <v/>
      </c>
      <c r="N9235" s="113"/>
    </row>
    <row r="9236" spans="2:14">
      <c r="B9236" s="105"/>
      <c r="C9236" s="106"/>
      <c r="D9236" s="107"/>
      <c r="E9236" s="65"/>
      <c r="F9236" s="64"/>
      <c r="G9236" s="64"/>
      <c r="H9236" s="64"/>
      <c r="I9236" s="70"/>
      <c r="J9236" s="70"/>
      <c r="K9236" s="110" t="str">
        <f>IF(H9236="","",IF($C$29="간이법","",FPR(H9236,I9236,J9236)))</f>
        <v/>
      </c>
      <c r="L9236" s="111" t="str">
        <f>IF(H9236="","",IF($C$29="상세법",FPV(H9236,K9236),IF(H9236="EI",4,IF(H9236="EO",5.2,IF(H9236="EQ",3.9,IF(H9236="ILF",7.5,IF(H9236="EIF",5.4)))))))</f>
        <v/>
      </c>
      <c r="M9236" s="112" t="str">
        <f t="shared" si="147"/>
        <v/>
      </c>
      <c r="N9236" s="113"/>
    </row>
    <row r="9237" spans="2:14">
      <c r="B9237" s="105"/>
      <c r="C9237" s="106"/>
      <c r="D9237" s="107"/>
      <c r="E9237" s="65"/>
      <c r="F9237" s="64"/>
      <c r="G9237" s="64"/>
      <c r="H9237" s="64"/>
      <c r="I9237" s="70"/>
      <c r="J9237" s="70"/>
      <c r="K9237" s="110" t="str">
        <f>IF(H9237="","",IF($C$29="간이법","",FPR(H9237,I9237,J9237)))</f>
        <v/>
      </c>
      <c r="L9237" s="111" t="str">
        <f>IF(H9237="","",IF($C$29="상세법",FPV(H9237,K9237),IF(H9237="EI",4,IF(H9237="EO",5.2,IF(H9237="EQ",3.9,IF(H9237="ILF",7.5,IF(H9237="EIF",5.4)))))))</f>
        <v/>
      </c>
      <c r="M9237" s="112" t="str">
        <f t="shared" si="147"/>
        <v/>
      </c>
      <c r="N9237" s="113"/>
    </row>
    <row r="9238" spans="2:14">
      <c r="B9238" s="105"/>
      <c r="C9238" s="106"/>
      <c r="D9238" s="107"/>
      <c r="E9238" s="65"/>
      <c r="F9238" s="64"/>
      <c r="G9238" s="64"/>
      <c r="H9238" s="64"/>
      <c r="I9238" s="70"/>
      <c r="J9238" s="70"/>
      <c r="K9238" s="110" t="str">
        <f>IF(H9238="","",IF($C$29="간이법","",FPR(H9238,I9238,J9238)))</f>
        <v/>
      </c>
      <c r="L9238" s="111" t="str">
        <f>IF(H9238="","",IF($C$29="상세법",FPV(H9238,K9238),IF(H9238="EI",4,IF(H9238="EO",5.2,IF(H9238="EQ",3.9,IF(H9238="ILF",7.5,IF(H9238="EIF",5.4)))))))</f>
        <v/>
      </c>
      <c r="M9238" s="112" t="str">
        <f t="shared" si="147"/>
        <v/>
      </c>
      <c r="N9238" s="113"/>
    </row>
    <row r="9239" spans="2:14">
      <c r="B9239" s="105"/>
      <c r="C9239" s="106"/>
      <c r="D9239" s="107"/>
      <c r="E9239" s="65"/>
      <c r="F9239" s="64"/>
      <c r="G9239" s="64"/>
      <c r="H9239" s="64"/>
      <c r="I9239" s="70"/>
      <c r="J9239" s="70"/>
      <c r="K9239" s="110" t="str">
        <f>IF(H9239="","",IF($C$29="간이법","",FPR(H9239,I9239,J9239)))</f>
        <v/>
      </c>
      <c r="L9239" s="111" t="str">
        <f>IF(H9239="","",IF($C$29="상세법",FPV(H9239,K9239),IF(H9239="EI",4,IF(H9239="EO",5.2,IF(H9239="EQ",3.9,IF(H9239="ILF",7.5,IF(H9239="EIF",5.4)))))))</f>
        <v/>
      </c>
      <c r="M9239" s="112" t="str">
        <f t="shared" si="147"/>
        <v/>
      </c>
      <c r="N9239" s="113"/>
    </row>
    <row r="9240" spans="2:14">
      <c r="B9240" s="105"/>
      <c r="C9240" s="106"/>
      <c r="D9240" s="107"/>
      <c r="E9240" s="65"/>
      <c r="F9240" s="64"/>
      <c r="G9240" s="64"/>
      <c r="H9240" s="64"/>
      <c r="I9240" s="70"/>
      <c r="J9240" s="70"/>
      <c r="K9240" s="110" t="str">
        <f>IF(H9240="","",IF($C$29="간이법","",FPR(H9240,I9240,J9240)))</f>
        <v/>
      </c>
      <c r="L9240" s="111" t="str">
        <f>IF(H9240="","",IF($C$29="상세법",FPV(H9240,K9240),IF(H9240="EI",4,IF(H9240="EO",5.2,IF(H9240="EQ",3.9,IF(H9240="ILF",7.5,IF(H9240="EIF",5.4)))))))</f>
        <v/>
      </c>
      <c r="M9240" s="112" t="str">
        <f t="shared" si="147"/>
        <v/>
      </c>
      <c r="N9240" s="113"/>
    </row>
    <row r="9241" spans="2:14">
      <c r="B9241" s="105"/>
      <c r="C9241" s="106"/>
      <c r="D9241" s="107"/>
      <c r="E9241" s="65"/>
      <c r="F9241" s="64"/>
      <c r="G9241" s="64"/>
      <c r="H9241" s="64"/>
      <c r="I9241" s="70"/>
      <c r="J9241" s="70"/>
      <c r="K9241" s="110" t="str">
        <f>IF(H9241="","",IF($C$29="간이법","",FPR(H9241,I9241,J9241)))</f>
        <v/>
      </c>
      <c r="L9241" s="111" t="str">
        <f>IF(H9241="","",IF($C$29="상세법",FPV(H9241,K9241),IF(H9241="EI",4,IF(H9241="EO",5.2,IF(H9241="EQ",3.9,IF(H9241="ILF",7.5,IF(H9241="EIF",5.4)))))))</f>
        <v/>
      </c>
      <c r="M9241" s="112" t="str">
        <f t="shared" si="147"/>
        <v/>
      </c>
      <c r="N9241" s="113"/>
    </row>
    <row r="9242" spans="2:14">
      <c r="B9242" s="105"/>
      <c r="C9242" s="106"/>
      <c r="D9242" s="107"/>
      <c r="E9242" s="65"/>
      <c r="F9242" s="64"/>
      <c r="G9242" s="64"/>
      <c r="H9242" s="64"/>
      <c r="I9242" s="70"/>
      <c r="J9242" s="70"/>
      <c r="K9242" s="110" t="str">
        <f>IF(H9242="","",IF($C$29="간이법","",FPR(H9242,I9242,J9242)))</f>
        <v/>
      </c>
      <c r="L9242" s="111" t="str">
        <f>IF(H9242="","",IF($C$29="상세법",FPV(H9242,K9242),IF(H9242="EI",4,IF(H9242="EO",5.2,IF(H9242="EQ",3.9,IF(H9242="ILF",7.5,IF(H9242="EIF",5.4)))))))</f>
        <v/>
      </c>
      <c r="M9242" s="112" t="str">
        <f t="shared" si="147"/>
        <v/>
      </c>
      <c r="N9242" s="113"/>
    </row>
    <row r="9243" spans="2:14">
      <c r="B9243" s="105"/>
      <c r="C9243" s="106"/>
      <c r="D9243" s="107"/>
      <c r="E9243" s="65"/>
      <c r="F9243" s="64"/>
      <c r="G9243" s="64"/>
      <c r="H9243" s="64"/>
      <c r="I9243" s="70"/>
      <c r="J9243" s="70"/>
      <c r="K9243" s="110" t="str">
        <f>IF(H9243="","",IF($C$29="간이법","",FPR(H9243,I9243,J9243)))</f>
        <v/>
      </c>
      <c r="L9243" s="111" t="str">
        <f>IF(H9243="","",IF($C$29="상세법",FPV(H9243,K9243),IF(H9243="EI",4,IF(H9243="EO",5.2,IF(H9243="EQ",3.9,IF(H9243="ILF",7.5,IF(H9243="EIF",5.4)))))))</f>
        <v/>
      </c>
      <c r="M9243" s="112" t="str">
        <f t="shared" si="147"/>
        <v/>
      </c>
      <c r="N9243" s="113"/>
    </row>
    <row r="9244" spans="2:14">
      <c r="B9244" s="105"/>
      <c r="C9244" s="106"/>
      <c r="D9244" s="107"/>
      <c r="E9244" s="65"/>
      <c r="F9244" s="64"/>
      <c r="G9244" s="64"/>
      <c r="H9244" s="64"/>
      <c r="I9244" s="70"/>
      <c r="J9244" s="70"/>
      <c r="K9244" s="110" t="str">
        <f>IF(H9244="","",IF($C$29="간이법","",FPR(H9244,I9244,J9244)))</f>
        <v/>
      </c>
      <c r="L9244" s="111" t="str">
        <f>IF(H9244="","",IF($C$29="상세법",FPV(H9244,K9244),IF(H9244="EI",4,IF(H9244="EO",5.2,IF(H9244="EQ",3.9,IF(H9244="ILF",7.5,IF(H9244="EIF",5.4)))))))</f>
        <v/>
      </c>
      <c r="M9244" s="112" t="str">
        <f t="shared" si="147"/>
        <v/>
      </c>
      <c r="N9244" s="113"/>
    </row>
    <row r="9245" spans="2:14">
      <c r="B9245" s="105"/>
      <c r="C9245" s="106"/>
      <c r="D9245" s="107"/>
      <c r="E9245" s="65"/>
      <c r="F9245" s="64"/>
      <c r="G9245" s="64"/>
      <c r="H9245" s="64"/>
      <c r="I9245" s="70"/>
      <c r="J9245" s="70"/>
      <c r="K9245" s="110" t="str">
        <f>IF(H9245="","",IF($C$29="간이법","",FPR(H9245,I9245,J9245)))</f>
        <v/>
      </c>
      <c r="L9245" s="111" t="str">
        <f>IF(H9245="","",IF($C$29="상세법",FPV(H9245,K9245),IF(H9245="EI",4,IF(H9245="EO",5.2,IF(H9245="EQ",3.9,IF(H9245="ILF",7.5,IF(H9245="EIF",5.4)))))))</f>
        <v/>
      </c>
      <c r="M9245" s="112" t="str">
        <f t="shared" si="147"/>
        <v/>
      </c>
      <c r="N9245" s="113"/>
    </row>
    <row r="9246" spans="2:14">
      <c r="B9246" s="105"/>
      <c r="C9246" s="106"/>
      <c r="D9246" s="107"/>
      <c r="E9246" s="65"/>
      <c r="F9246" s="64"/>
      <c r="G9246" s="64"/>
      <c r="H9246" s="64"/>
      <c r="I9246" s="70"/>
      <c r="J9246" s="70"/>
      <c r="K9246" s="110" t="str">
        <f>IF(H9246="","",IF($C$29="간이법","",FPR(H9246,I9246,J9246)))</f>
        <v/>
      </c>
      <c r="L9246" s="111" t="str">
        <f>IF(H9246="","",IF($C$29="상세법",FPV(H9246,K9246),IF(H9246="EI",4,IF(H9246="EO",5.2,IF(H9246="EQ",3.9,IF(H9246="ILF",7.5,IF(H9246="EIF",5.4)))))))</f>
        <v/>
      </c>
      <c r="M9246" s="112" t="str">
        <f t="shared" si="147"/>
        <v/>
      </c>
      <c r="N9246" s="113"/>
    </row>
    <row r="9247" spans="2:14">
      <c r="B9247" s="105"/>
      <c r="C9247" s="106"/>
      <c r="D9247" s="107"/>
      <c r="E9247" s="65"/>
      <c r="F9247" s="64"/>
      <c r="G9247" s="64"/>
      <c r="H9247" s="64"/>
      <c r="I9247" s="70"/>
      <c r="J9247" s="70"/>
      <c r="K9247" s="110" t="str">
        <f>IF(H9247="","",IF($C$29="간이법","",FPR(H9247,I9247,J9247)))</f>
        <v/>
      </c>
      <c r="L9247" s="111" t="str">
        <f>IF(H9247="","",IF($C$29="상세법",FPV(H9247,K9247),IF(H9247="EI",4,IF(H9247="EO",5.2,IF(H9247="EQ",3.9,IF(H9247="ILF",7.5,IF(H9247="EIF",5.4)))))))</f>
        <v/>
      </c>
      <c r="M9247" s="112" t="str">
        <f t="shared" si="147"/>
        <v/>
      </c>
      <c r="N9247" s="113"/>
    </row>
    <row r="9248" spans="2:14">
      <c r="B9248" s="105"/>
      <c r="C9248" s="106"/>
      <c r="D9248" s="107"/>
      <c r="E9248" s="65"/>
      <c r="F9248" s="64"/>
      <c r="G9248" s="64"/>
      <c r="H9248" s="64"/>
      <c r="I9248" s="70"/>
      <c r="J9248" s="70"/>
      <c r="K9248" s="110" t="str">
        <f>IF(H9248="","",IF($C$29="간이법","",FPR(H9248,I9248,J9248)))</f>
        <v/>
      </c>
      <c r="L9248" s="111" t="str">
        <f>IF(H9248="","",IF($C$29="상세법",FPV(H9248,K9248),IF(H9248="EI",4,IF(H9248="EO",5.2,IF(H9248="EQ",3.9,IF(H9248="ILF",7.5,IF(H9248="EIF",5.4)))))))</f>
        <v/>
      </c>
      <c r="M9248" s="112" t="str">
        <f t="shared" si="147"/>
        <v/>
      </c>
      <c r="N9248" s="113"/>
    </row>
    <row r="9249" spans="2:14">
      <c r="B9249" s="105"/>
      <c r="C9249" s="106"/>
      <c r="D9249" s="107"/>
      <c r="E9249" s="65"/>
      <c r="F9249" s="64"/>
      <c r="G9249" s="64"/>
      <c r="H9249" s="64"/>
      <c r="I9249" s="70"/>
      <c r="J9249" s="70"/>
      <c r="K9249" s="110" t="str">
        <f>IF(H9249="","",IF($C$29="간이법","",FPR(H9249,I9249,J9249)))</f>
        <v/>
      </c>
      <c r="L9249" s="111" t="str">
        <f>IF(H9249="","",IF($C$29="상세법",FPV(H9249,K9249),IF(H9249="EI",4,IF(H9249="EO",5.2,IF(H9249="EQ",3.9,IF(H9249="ILF",7.5,IF(H9249="EIF",5.4)))))))</f>
        <v/>
      </c>
      <c r="M9249" s="112" t="str">
        <f t="shared" si="147"/>
        <v/>
      </c>
      <c r="N9249" s="113"/>
    </row>
    <row r="9250" spans="2:14">
      <c r="B9250" s="105"/>
      <c r="C9250" s="106"/>
      <c r="D9250" s="107"/>
      <c r="E9250" s="65"/>
      <c r="F9250" s="64"/>
      <c r="G9250" s="64"/>
      <c r="H9250" s="64"/>
      <c r="I9250" s="70"/>
      <c r="J9250" s="70"/>
      <c r="K9250" s="110" t="str">
        <f>IF(H9250="","",IF($C$29="간이법","",FPR(H9250,I9250,J9250)))</f>
        <v/>
      </c>
      <c r="L9250" s="111" t="str">
        <f>IF(H9250="","",IF($C$29="상세법",FPV(H9250,K9250),IF(H9250="EI",4,IF(H9250="EO",5.2,IF(H9250="EQ",3.9,IF(H9250="ILF",7.5,IF(H9250="EIF",5.4)))))))</f>
        <v/>
      </c>
      <c r="M9250" s="112" t="str">
        <f t="shared" si="147"/>
        <v/>
      </c>
      <c r="N9250" s="113"/>
    </row>
    <row r="9251" spans="2:14">
      <c r="B9251" s="105"/>
      <c r="C9251" s="106"/>
      <c r="D9251" s="107"/>
      <c r="E9251" s="65"/>
      <c r="F9251" s="64"/>
      <c r="G9251" s="64"/>
      <c r="H9251" s="64"/>
      <c r="I9251" s="70"/>
      <c r="J9251" s="70"/>
      <c r="K9251" s="110" t="str">
        <f>IF(H9251="","",IF($C$29="간이법","",FPR(H9251,I9251,J9251)))</f>
        <v/>
      </c>
      <c r="L9251" s="111" t="str">
        <f>IF(H9251="","",IF($C$29="상세법",FPV(H9251,K9251),IF(H9251="EI",4,IF(H9251="EO",5.2,IF(H9251="EQ",3.9,IF(H9251="ILF",7.5,IF(H9251="EIF",5.4)))))))</f>
        <v/>
      </c>
      <c r="M9251" s="112" t="str">
        <f t="shared" si="147"/>
        <v/>
      </c>
      <c r="N9251" s="113"/>
    </row>
    <row r="9252" spans="2:14">
      <c r="B9252" s="105"/>
      <c r="C9252" s="106"/>
      <c r="D9252" s="107"/>
      <c r="E9252" s="65"/>
      <c r="F9252" s="64"/>
      <c r="G9252" s="64"/>
      <c r="H9252" s="64"/>
      <c r="I9252" s="70"/>
      <c r="J9252" s="70"/>
      <c r="K9252" s="110" t="str">
        <f>IF(H9252="","",IF($C$29="간이법","",FPR(H9252,I9252,J9252)))</f>
        <v/>
      </c>
      <c r="L9252" s="111" t="str">
        <f>IF(H9252="","",IF($C$29="상세법",FPV(H9252,K9252),IF(H9252="EI",4,IF(H9252="EO",5.2,IF(H9252="EQ",3.9,IF(H9252="ILF",7.5,IF(H9252="EIF",5.4)))))))</f>
        <v/>
      </c>
      <c r="M9252" s="112" t="str">
        <f t="shared" si="147"/>
        <v/>
      </c>
      <c r="N9252" s="113"/>
    </row>
    <row r="9253" spans="2:14">
      <c r="B9253" s="105"/>
      <c r="C9253" s="106"/>
      <c r="D9253" s="107"/>
      <c r="E9253" s="65"/>
      <c r="F9253" s="64"/>
      <c r="G9253" s="64"/>
      <c r="H9253" s="64"/>
      <c r="I9253" s="70"/>
      <c r="J9253" s="70"/>
      <c r="K9253" s="110" t="str">
        <f>IF(H9253="","",IF($C$29="간이법","",FPR(H9253,I9253,J9253)))</f>
        <v/>
      </c>
      <c r="L9253" s="111" t="str">
        <f>IF(H9253="","",IF($C$29="상세법",FPV(H9253,K9253),IF(H9253="EI",4,IF(H9253="EO",5.2,IF(H9253="EQ",3.9,IF(H9253="ILF",7.5,IF(H9253="EIF",5.4)))))))</f>
        <v/>
      </c>
      <c r="M9253" s="112" t="str">
        <f t="shared" si="147"/>
        <v/>
      </c>
      <c r="N9253" s="113"/>
    </row>
    <row r="9254" spans="2:14">
      <c r="B9254" s="105"/>
      <c r="C9254" s="106"/>
      <c r="D9254" s="107"/>
      <c r="E9254" s="65"/>
      <c r="F9254" s="64"/>
      <c r="G9254" s="64"/>
      <c r="H9254" s="64"/>
      <c r="I9254" s="70"/>
      <c r="J9254" s="70"/>
      <c r="K9254" s="110" t="str">
        <f>IF(H9254="","",IF($C$29="간이법","",FPR(H9254,I9254,J9254)))</f>
        <v/>
      </c>
      <c r="L9254" s="111" t="str">
        <f>IF(H9254="","",IF($C$29="상세법",FPV(H9254,K9254),IF(H9254="EI",4,IF(H9254="EO",5.2,IF(H9254="EQ",3.9,IF(H9254="ILF",7.5,IF(H9254="EIF",5.4)))))))</f>
        <v/>
      </c>
      <c r="M9254" s="112" t="str">
        <f t="shared" si="147"/>
        <v/>
      </c>
      <c r="N9254" s="113"/>
    </row>
    <row r="9255" spans="2:14">
      <c r="B9255" s="105"/>
      <c r="C9255" s="106"/>
      <c r="D9255" s="107"/>
      <c r="E9255" s="65"/>
      <c r="F9255" s="64"/>
      <c r="G9255" s="64"/>
      <c r="H9255" s="64"/>
      <c r="I9255" s="70"/>
      <c r="J9255" s="70"/>
      <c r="K9255" s="110" t="str">
        <f>IF(H9255="","",IF($C$29="간이법","",FPR(H9255,I9255,J9255)))</f>
        <v/>
      </c>
      <c r="L9255" s="111" t="str">
        <f>IF(H9255="","",IF($C$29="상세법",FPV(H9255,K9255),IF(H9255="EI",4,IF(H9255="EO",5.2,IF(H9255="EQ",3.9,IF(H9255="ILF",7.5,IF(H9255="EIF",5.4)))))))</f>
        <v/>
      </c>
      <c r="M9255" s="112" t="str">
        <f t="shared" si="147"/>
        <v/>
      </c>
      <c r="N9255" s="113"/>
    </row>
    <row r="9256" spans="2:14">
      <c r="B9256" s="105"/>
      <c r="C9256" s="106"/>
      <c r="D9256" s="107"/>
      <c r="E9256" s="65"/>
      <c r="F9256" s="64"/>
      <c r="G9256" s="64"/>
      <c r="H9256" s="64"/>
      <c r="I9256" s="70"/>
      <c r="J9256" s="70"/>
      <c r="K9256" s="110" t="str">
        <f>IF(H9256="","",IF($C$29="간이법","",FPR(H9256,I9256,J9256)))</f>
        <v/>
      </c>
      <c r="L9256" s="111" t="str">
        <f>IF(H9256="","",IF($C$29="상세법",FPV(H9256,K9256),IF(H9256="EI",4,IF(H9256="EO",5.2,IF(H9256="EQ",3.9,IF(H9256="ILF",7.5,IF(H9256="EIF",5.4)))))))</f>
        <v/>
      </c>
      <c r="M9256" s="112" t="str">
        <f t="shared" si="147"/>
        <v/>
      </c>
      <c r="N9256" s="113"/>
    </row>
    <row r="9257" spans="2:14">
      <c r="B9257" s="105"/>
      <c r="C9257" s="106"/>
      <c r="D9257" s="107"/>
      <c r="E9257" s="65"/>
      <c r="F9257" s="64"/>
      <c r="G9257" s="64"/>
      <c r="H9257" s="64"/>
      <c r="I9257" s="70"/>
      <c r="J9257" s="70"/>
      <c r="K9257" s="110" t="str">
        <f>IF(H9257="","",IF($C$29="간이법","",FPR(H9257,I9257,J9257)))</f>
        <v/>
      </c>
      <c r="L9257" s="111" t="str">
        <f>IF(H9257="","",IF($C$29="상세법",FPV(H9257,K9257),IF(H9257="EI",4,IF(H9257="EO",5.2,IF(H9257="EQ",3.9,IF(H9257="ILF",7.5,IF(H9257="EIF",5.4)))))))</f>
        <v/>
      </c>
      <c r="M9257" s="112" t="str">
        <f t="shared" si="147"/>
        <v/>
      </c>
      <c r="N9257" s="113"/>
    </row>
    <row r="9258" spans="2:14">
      <c r="B9258" s="105"/>
      <c r="C9258" s="106"/>
      <c r="D9258" s="107"/>
      <c r="E9258" s="65"/>
      <c r="F9258" s="64"/>
      <c r="G9258" s="64"/>
      <c r="H9258" s="64"/>
      <c r="I9258" s="70"/>
      <c r="J9258" s="70"/>
      <c r="K9258" s="110" t="str">
        <f>IF(H9258="","",IF($C$29="간이법","",FPR(H9258,I9258,J9258)))</f>
        <v/>
      </c>
      <c r="L9258" s="111" t="str">
        <f>IF(H9258="","",IF($C$29="상세법",FPV(H9258,K9258),IF(H9258="EI",4,IF(H9258="EO",5.2,IF(H9258="EQ",3.9,IF(H9258="ILF",7.5,IF(H9258="EIF",5.4)))))))</f>
        <v/>
      </c>
      <c r="M9258" s="112" t="str">
        <f t="shared" si="147"/>
        <v/>
      </c>
      <c r="N9258" s="113"/>
    </row>
    <row r="9259" spans="2:14">
      <c r="B9259" s="105"/>
      <c r="C9259" s="106"/>
      <c r="D9259" s="107"/>
      <c r="E9259" s="65"/>
      <c r="F9259" s="64"/>
      <c r="G9259" s="64"/>
      <c r="H9259" s="64"/>
      <c r="I9259" s="70"/>
      <c r="J9259" s="70"/>
      <c r="K9259" s="110" t="str">
        <f>IF(H9259="","",IF($C$29="간이법","",FPR(H9259,I9259,J9259)))</f>
        <v/>
      </c>
      <c r="L9259" s="111" t="str">
        <f>IF(H9259="","",IF($C$29="상세법",FPV(H9259,K9259),IF(H9259="EI",4,IF(H9259="EO",5.2,IF(H9259="EQ",3.9,IF(H9259="ILF",7.5,IF(H9259="EIF",5.4)))))))</f>
        <v/>
      </c>
      <c r="M9259" s="112" t="str">
        <f t="shared" si="147"/>
        <v/>
      </c>
      <c r="N9259" s="113"/>
    </row>
    <row r="9260" spans="2:14">
      <c r="B9260" s="105"/>
      <c r="C9260" s="106"/>
      <c r="D9260" s="107"/>
      <c r="E9260" s="65"/>
      <c r="F9260" s="64"/>
      <c r="G9260" s="64"/>
      <c r="H9260" s="64"/>
      <c r="I9260" s="70"/>
      <c r="J9260" s="70"/>
      <c r="K9260" s="110" t="str">
        <f>IF(H9260="","",IF($C$29="간이법","",FPR(H9260,I9260,J9260)))</f>
        <v/>
      </c>
      <c r="L9260" s="111" t="str">
        <f>IF(H9260="","",IF($C$29="상세법",FPV(H9260,K9260),IF(H9260="EI",4,IF(H9260="EO",5.2,IF(H9260="EQ",3.9,IF(H9260="ILF",7.5,IF(H9260="EIF",5.4)))))))</f>
        <v/>
      </c>
      <c r="M9260" s="112" t="str">
        <f t="shared" si="147"/>
        <v/>
      </c>
      <c r="N9260" s="113"/>
    </row>
    <row r="9261" spans="2:14">
      <c r="B9261" s="105"/>
      <c r="C9261" s="106"/>
      <c r="D9261" s="107"/>
      <c r="E9261" s="65"/>
      <c r="F9261" s="64"/>
      <c r="G9261" s="64"/>
      <c r="H9261" s="64"/>
      <c r="I9261" s="70"/>
      <c r="J9261" s="70"/>
      <c r="K9261" s="110" t="str">
        <f>IF(H9261="","",IF($C$29="간이법","",FPR(H9261,I9261,J9261)))</f>
        <v/>
      </c>
      <c r="L9261" s="111" t="str">
        <f>IF(H9261="","",IF($C$29="상세법",FPV(H9261,K9261),IF(H9261="EI",4,IF(H9261="EO",5.2,IF(H9261="EQ",3.9,IF(H9261="ILF",7.5,IF(H9261="EIF",5.4)))))))</f>
        <v/>
      </c>
      <c r="M9261" s="112" t="str">
        <f t="shared" si="147"/>
        <v/>
      </c>
      <c r="N9261" s="113"/>
    </row>
    <row r="9262" spans="2:14">
      <c r="B9262" s="105"/>
      <c r="C9262" s="106"/>
      <c r="D9262" s="107"/>
      <c r="E9262" s="65"/>
      <c r="F9262" s="64"/>
      <c r="G9262" s="64"/>
      <c r="H9262" s="64"/>
      <c r="I9262" s="70"/>
      <c r="J9262" s="70"/>
      <c r="K9262" s="110" t="str">
        <f>IF(H9262="","",IF($C$29="간이법","",FPR(H9262,I9262,J9262)))</f>
        <v/>
      </c>
      <c r="L9262" s="111" t="str">
        <f>IF(H9262="","",IF($C$29="상세법",FPV(H9262,K9262),IF(H9262="EI",4,IF(H9262="EO",5.2,IF(H9262="EQ",3.9,IF(H9262="ILF",7.5,IF(H9262="EIF",5.4)))))))</f>
        <v/>
      </c>
      <c r="M9262" s="112" t="str">
        <f t="shared" si="147"/>
        <v/>
      </c>
      <c r="N9262" s="113"/>
    </row>
    <row r="9263" spans="2:14">
      <c r="B9263" s="105"/>
      <c r="C9263" s="106"/>
      <c r="D9263" s="107"/>
      <c r="E9263" s="65"/>
      <c r="F9263" s="64"/>
      <c r="G9263" s="64"/>
      <c r="H9263" s="64"/>
      <c r="I9263" s="70"/>
      <c r="J9263" s="70"/>
      <c r="K9263" s="110" t="str">
        <f>IF(H9263="","",IF($C$29="간이법","",FPR(H9263,I9263,J9263)))</f>
        <v/>
      </c>
      <c r="L9263" s="111" t="str">
        <f>IF(H9263="","",IF($C$29="상세법",FPV(H9263,K9263),IF(H9263="EI",4,IF(H9263="EO",5.2,IF(H9263="EQ",3.9,IF(H9263="ILF",7.5,IF(H9263="EIF",5.4)))))))</f>
        <v/>
      </c>
      <c r="M9263" s="112" t="str">
        <f t="shared" si="147"/>
        <v/>
      </c>
      <c r="N9263" s="113"/>
    </row>
    <row r="9264" spans="2:14">
      <c r="B9264" s="105"/>
      <c r="C9264" s="106"/>
      <c r="D9264" s="107"/>
      <c r="E9264" s="65"/>
      <c r="F9264" s="64"/>
      <c r="G9264" s="64"/>
      <c r="H9264" s="64"/>
      <c r="I9264" s="70"/>
      <c r="J9264" s="70"/>
      <c r="K9264" s="110" t="str">
        <f>IF(H9264="","",IF($C$29="간이법","",FPR(H9264,I9264,J9264)))</f>
        <v/>
      </c>
      <c r="L9264" s="111" t="str">
        <f>IF(H9264="","",IF($C$29="상세법",FPV(H9264,K9264),IF(H9264="EI",4,IF(H9264="EO",5.2,IF(H9264="EQ",3.9,IF(H9264="ILF",7.5,IF(H9264="EIF",5.4)))))))</f>
        <v/>
      </c>
      <c r="M9264" s="112" t="str">
        <f t="shared" si="147"/>
        <v/>
      </c>
      <c r="N9264" s="113"/>
    </row>
    <row r="9265" spans="2:14">
      <c r="B9265" s="105"/>
      <c r="C9265" s="106"/>
      <c r="D9265" s="107"/>
      <c r="E9265" s="65"/>
      <c r="F9265" s="64"/>
      <c r="G9265" s="64"/>
      <c r="H9265" s="64"/>
      <c r="I9265" s="70"/>
      <c r="J9265" s="70"/>
      <c r="K9265" s="110" t="str">
        <f>IF(H9265="","",IF($C$29="간이법","",FPR(H9265,I9265,J9265)))</f>
        <v/>
      </c>
      <c r="L9265" s="111" t="str">
        <f>IF(H9265="","",IF($C$29="상세법",FPV(H9265,K9265),IF(H9265="EI",4,IF(H9265="EO",5.2,IF(H9265="EQ",3.9,IF(H9265="ILF",7.5,IF(H9265="EIF",5.4)))))))</f>
        <v/>
      </c>
      <c r="M9265" s="112" t="str">
        <f t="shared" si="147"/>
        <v/>
      </c>
      <c r="N9265" s="113"/>
    </row>
    <row r="9266" spans="2:14">
      <c r="B9266" s="105"/>
      <c r="C9266" s="106"/>
      <c r="D9266" s="107"/>
      <c r="E9266" s="65"/>
      <c r="F9266" s="64"/>
      <c r="G9266" s="64"/>
      <c r="H9266" s="64"/>
      <c r="I9266" s="70"/>
      <c r="J9266" s="70"/>
      <c r="K9266" s="110" t="str">
        <f>IF(H9266="","",IF($C$29="간이법","",FPR(H9266,I9266,J9266)))</f>
        <v/>
      </c>
      <c r="L9266" s="111" t="str">
        <f>IF(H9266="","",IF($C$29="상세법",FPV(H9266,K9266),IF(H9266="EI",4,IF(H9266="EO",5.2,IF(H9266="EQ",3.9,IF(H9266="ILF",7.5,IF(H9266="EIF",5.4)))))))</f>
        <v/>
      </c>
      <c r="M9266" s="112" t="str">
        <f t="shared" si="147"/>
        <v/>
      </c>
      <c r="N9266" s="113"/>
    </row>
    <row r="9267" spans="2:14">
      <c r="B9267" s="105"/>
      <c r="C9267" s="106"/>
      <c r="D9267" s="107"/>
      <c r="E9267" s="65"/>
      <c r="F9267" s="64"/>
      <c r="G9267" s="64"/>
      <c r="H9267" s="64"/>
      <c r="I9267" s="70"/>
      <c r="J9267" s="70"/>
      <c r="K9267" s="110" t="str">
        <f>IF(H9267="","",IF($C$29="간이법","",FPR(H9267,I9267,J9267)))</f>
        <v/>
      </c>
      <c r="L9267" s="111" t="str">
        <f>IF(H9267="","",IF($C$29="상세법",FPV(H9267,K9267),IF(H9267="EI",4,IF(H9267="EO",5.2,IF(H9267="EQ",3.9,IF(H9267="ILF",7.5,IF(H9267="EIF",5.4)))))))</f>
        <v/>
      </c>
      <c r="M9267" s="112" t="str">
        <f t="shared" si="147"/>
        <v/>
      </c>
      <c r="N9267" s="113"/>
    </row>
    <row r="9268" spans="2:14">
      <c r="B9268" s="105"/>
      <c r="C9268" s="106"/>
      <c r="D9268" s="107"/>
      <c r="E9268" s="65"/>
      <c r="F9268" s="64"/>
      <c r="G9268" s="64"/>
      <c r="H9268" s="64"/>
      <c r="I9268" s="70"/>
      <c r="J9268" s="70"/>
      <c r="K9268" s="110" t="str">
        <f>IF(H9268="","",IF($C$29="간이법","",FPR(H9268,I9268,J9268)))</f>
        <v/>
      </c>
      <c r="L9268" s="111" t="str">
        <f>IF(H9268="","",IF($C$29="상세법",FPV(H9268,K9268),IF(H9268="EI",4,IF(H9268="EO",5.2,IF(H9268="EQ",3.9,IF(H9268="ILF",7.5,IF(H9268="EIF",5.4)))))))</f>
        <v/>
      </c>
      <c r="M9268" s="112" t="str">
        <f t="shared" si="147"/>
        <v/>
      </c>
      <c r="N9268" s="113"/>
    </row>
    <row r="9269" spans="2:14">
      <c r="B9269" s="105"/>
      <c r="C9269" s="106"/>
      <c r="D9269" s="107"/>
      <c r="E9269" s="65"/>
      <c r="F9269" s="64"/>
      <c r="G9269" s="64"/>
      <c r="H9269" s="64"/>
      <c r="I9269" s="70"/>
      <c r="J9269" s="70"/>
      <c r="K9269" s="110" t="str">
        <f>IF(H9269="","",IF($C$29="간이법","",FPR(H9269,I9269,J9269)))</f>
        <v/>
      </c>
      <c r="L9269" s="111" t="str">
        <f>IF(H9269="","",IF($C$29="상세법",FPV(H9269,K9269),IF(H9269="EI",4,IF(H9269="EO",5.2,IF(H9269="EQ",3.9,IF(H9269="ILF",7.5,IF(H9269="EIF",5.4)))))))</f>
        <v/>
      </c>
      <c r="M9269" s="112" t="str">
        <f t="shared" si="147"/>
        <v/>
      </c>
      <c r="N9269" s="113"/>
    </row>
    <row r="9270" spans="2:14">
      <c r="B9270" s="105"/>
      <c r="C9270" s="106"/>
      <c r="D9270" s="107"/>
      <c r="E9270" s="65"/>
      <c r="F9270" s="64"/>
      <c r="G9270" s="64"/>
      <c r="H9270" s="64"/>
      <c r="I9270" s="70"/>
      <c r="J9270" s="70"/>
      <c r="K9270" s="110" t="str">
        <f>IF(H9270="","",IF($C$29="간이법","",FPR(H9270,I9270,J9270)))</f>
        <v/>
      </c>
      <c r="L9270" s="111" t="str">
        <f>IF(H9270="","",IF($C$29="상세법",FPV(H9270,K9270),IF(H9270="EI",4,IF(H9270="EO",5.2,IF(H9270="EQ",3.9,IF(H9270="ILF",7.5,IF(H9270="EIF",5.4)))))))</f>
        <v/>
      </c>
      <c r="M9270" s="112" t="str">
        <f t="shared" si="147"/>
        <v/>
      </c>
      <c r="N9270" s="113"/>
    </row>
    <row r="9271" spans="2:14">
      <c r="B9271" s="105"/>
      <c r="C9271" s="106"/>
      <c r="D9271" s="107"/>
      <c r="E9271" s="65"/>
      <c r="F9271" s="64"/>
      <c r="G9271" s="64"/>
      <c r="H9271" s="64"/>
      <c r="I9271" s="70"/>
      <c r="J9271" s="70"/>
      <c r="K9271" s="110" t="str">
        <f>IF(H9271="","",IF($C$29="간이법","",FPR(H9271,I9271,J9271)))</f>
        <v/>
      </c>
      <c r="L9271" s="111" t="str">
        <f>IF(H9271="","",IF($C$29="상세법",FPV(H9271,K9271),IF(H9271="EI",4,IF(H9271="EO",5.2,IF(H9271="EQ",3.9,IF(H9271="ILF",7.5,IF(H9271="EIF",5.4)))))))</f>
        <v/>
      </c>
      <c r="M9271" s="112" t="str">
        <f t="shared" si="147"/>
        <v/>
      </c>
      <c r="N9271" s="113"/>
    </row>
    <row r="9272" spans="2:14">
      <c r="B9272" s="105"/>
      <c r="C9272" s="106"/>
      <c r="D9272" s="107"/>
      <c r="E9272" s="65"/>
      <c r="F9272" s="64"/>
      <c r="G9272" s="64"/>
      <c r="H9272" s="64"/>
      <c r="I9272" s="70"/>
      <c r="J9272" s="70"/>
      <c r="K9272" s="110" t="str">
        <f>IF(H9272="","",IF($C$29="간이법","",FPR(H9272,I9272,J9272)))</f>
        <v/>
      </c>
      <c r="L9272" s="111" t="str">
        <f>IF(H9272="","",IF($C$29="상세법",FPV(H9272,K9272),IF(H9272="EI",4,IF(H9272="EO",5.2,IF(H9272="EQ",3.9,IF(H9272="ILF",7.5,IF(H9272="EIF",5.4)))))))</f>
        <v/>
      </c>
      <c r="M9272" s="112" t="str">
        <f t="shared" si="147"/>
        <v/>
      </c>
      <c r="N9272" s="113"/>
    </row>
    <row r="9273" spans="2:14">
      <c r="B9273" s="105"/>
      <c r="C9273" s="106"/>
      <c r="D9273" s="107"/>
      <c r="E9273" s="65"/>
      <c r="F9273" s="64"/>
      <c r="G9273" s="64"/>
      <c r="H9273" s="64"/>
      <c r="I9273" s="70"/>
      <c r="J9273" s="70"/>
      <c r="K9273" s="110" t="str">
        <f>IF(H9273="","",IF($C$29="간이법","",FPR(H9273,I9273,J9273)))</f>
        <v/>
      </c>
      <c r="L9273" s="111" t="str">
        <f>IF(H9273="","",IF($C$29="상세법",FPV(H9273,K9273),IF(H9273="EI",4,IF(H9273="EO",5.2,IF(H9273="EQ",3.9,IF(H9273="ILF",7.5,IF(H9273="EIF",5.4)))))))</f>
        <v/>
      </c>
      <c r="M9273" s="112" t="str">
        <f t="shared" ref="M9273:M9336" si="148">IF(L9273="","",L9273*IF(G9273="상",0.7,IF(G9273="중",0.5,IF(G9273="하",0.2,1))))</f>
        <v/>
      </c>
      <c r="N9273" s="113"/>
    </row>
    <row r="9274" spans="2:14">
      <c r="B9274" s="105"/>
      <c r="C9274" s="106"/>
      <c r="D9274" s="107"/>
      <c r="E9274" s="65"/>
      <c r="F9274" s="64"/>
      <c r="G9274" s="64"/>
      <c r="H9274" s="64"/>
      <c r="I9274" s="70"/>
      <c r="J9274" s="70"/>
      <c r="K9274" s="110" t="str">
        <f>IF(H9274="","",IF($C$29="간이법","",FPR(H9274,I9274,J9274)))</f>
        <v/>
      </c>
      <c r="L9274" s="111" t="str">
        <f>IF(H9274="","",IF($C$29="상세법",FPV(H9274,K9274),IF(H9274="EI",4,IF(H9274="EO",5.2,IF(H9274="EQ",3.9,IF(H9274="ILF",7.5,IF(H9274="EIF",5.4)))))))</f>
        <v/>
      </c>
      <c r="M9274" s="112" t="str">
        <f t="shared" si="148"/>
        <v/>
      </c>
      <c r="N9274" s="113"/>
    </row>
    <row r="9275" spans="2:14">
      <c r="B9275" s="105"/>
      <c r="C9275" s="106"/>
      <c r="D9275" s="107"/>
      <c r="E9275" s="65"/>
      <c r="F9275" s="64"/>
      <c r="G9275" s="64"/>
      <c r="H9275" s="64"/>
      <c r="I9275" s="70"/>
      <c r="J9275" s="70"/>
      <c r="K9275" s="110" t="str">
        <f>IF(H9275="","",IF($C$29="간이법","",FPR(H9275,I9275,J9275)))</f>
        <v/>
      </c>
      <c r="L9275" s="111" t="str">
        <f>IF(H9275="","",IF($C$29="상세법",FPV(H9275,K9275),IF(H9275="EI",4,IF(H9275="EO",5.2,IF(H9275="EQ",3.9,IF(H9275="ILF",7.5,IF(H9275="EIF",5.4)))))))</f>
        <v/>
      </c>
      <c r="M9275" s="112" t="str">
        <f t="shared" si="148"/>
        <v/>
      </c>
      <c r="N9275" s="113"/>
    </row>
    <row r="9276" spans="2:14">
      <c r="B9276" s="105"/>
      <c r="C9276" s="106"/>
      <c r="D9276" s="107"/>
      <c r="E9276" s="65"/>
      <c r="F9276" s="64"/>
      <c r="G9276" s="64"/>
      <c r="H9276" s="64"/>
      <c r="I9276" s="70"/>
      <c r="J9276" s="70"/>
      <c r="K9276" s="110" t="str">
        <f>IF(H9276="","",IF($C$29="간이법","",FPR(H9276,I9276,J9276)))</f>
        <v/>
      </c>
      <c r="L9276" s="111" t="str">
        <f>IF(H9276="","",IF($C$29="상세법",FPV(H9276,K9276),IF(H9276="EI",4,IF(H9276="EO",5.2,IF(H9276="EQ",3.9,IF(H9276="ILF",7.5,IF(H9276="EIF",5.4)))))))</f>
        <v/>
      </c>
      <c r="M9276" s="112" t="str">
        <f t="shared" si="148"/>
        <v/>
      </c>
      <c r="N9276" s="113"/>
    </row>
    <row r="9277" spans="2:14">
      <c r="B9277" s="105"/>
      <c r="C9277" s="106"/>
      <c r="D9277" s="107"/>
      <c r="E9277" s="65"/>
      <c r="F9277" s="64"/>
      <c r="G9277" s="64"/>
      <c r="H9277" s="64"/>
      <c r="I9277" s="70"/>
      <c r="J9277" s="70"/>
      <c r="K9277" s="110" t="str">
        <f>IF(H9277="","",IF($C$29="간이법","",FPR(H9277,I9277,J9277)))</f>
        <v/>
      </c>
      <c r="L9277" s="111" t="str">
        <f>IF(H9277="","",IF($C$29="상세법",FPV(H9277,K9277),IF(H9277="EI",4,IF(H9277="EO",5.2,IF(H9277="EQ",3.9,IF(H9277="ILF",7.5,IF(H9277="EIF",5.4)))))))</f>
        <v/>
      </c>
      <c r="M9277" s="112" t="str">
        <f t="shared" si="148"/>
        <v/>
      </c>
      <c r="N9277" s="113"/>
    </row>
    <row r="9278" spans="2:14">
      <c r="B9278" s="105"/>
      <c r="C9278" s="106"/>
      <c r="D9278" s="107"/>
      <c r="E9278" s="65"/>
      <c r="F9278" s="64"/>
      <c r="G9278" s="64"/>
      <c r="H9278" s="64"/>
      <c r="I9278" s="70"/>
      <c r="J9278" s="70"/>
      <c r="K9278" s="110" t="str">
        <f>IF(H9278="","",IF($C$29="간이법","",FPR(H9278,I9278,J9278)))</f>
        <v/>
      </c>
      <c r="L9278" s="111" t="str">
        <f>IF(H9278="","",IF($C$29="상세법",FPV(H9278,K9278),IF(H9278="EI",4,IF(H9278="EO",5.2,IF(H9278="EQ",3.9,IF(H9278="ILF",7.5,IF(H9278="EIF",5.4)))))))</f>
        <v/>
      </c>
      <c r="M9278" s="112" t="str">
        <f t="shared" si="148"/>
        <v/>
      </c>
      <c r="N9278" s="113"/>
    </row>
    <row r="9279" spans="2:14">
      <c r="B9279" s="105"/>
      <c r="C9279" s="106"/>
      <c r="D9279" s="107"/>
      <c r="E9279" s="65"/>
      <c r="F9279" s="64"/>
      <c r="G9279" s="64"/>
      <c r="H9279" s="64"/>
      <c r="I9279" s="70"/>
      <c r="J9279" s="70"/>
      <c r="K9279" s="110" t="str">
        <f>IF(H9279="","",IF($C$29="간이법","",FPR(H9279,I9279,J9279)))</f>
        <v/>
      </c>
      <c r="L9279" s="111" t="str">
        <f>IF(H9279="","",IF($C$29="상세법",FPV(H9279,K9279),IF(H9279="EI",4,IF(H9279="EO",5.2,IF(H9279="EQ",3.9,IF(H9279="ILF",7.5,IF(H9279="EIF",5.4)))))))</f>
        <v/>
      </c>
      <c r="M9279" s="112" t="str">
        <f t="shared" si="148"/>
        <v/>
      </c>
      <c r="N9279" s="113"/>
    </row>
    <row r="9280" spans="2:14">
      <c r="B9280" s="105"/>
      <c r="C9280" s="106"/>
      <c r="D9280" s="107"/>
      <c r="E9280" s="65"/>
      <c r="F9280" s="64"/>
      <c r="G9280" s="64"/>
      <c r="H9280" s="64"/>
      <c r="I9280" s="70"/>
      <c r="J9280" s="70"/>
      <c r="K9280" s="110" t="str">
        <f>IF(H9280="","",IF($C$29="간이법","",FPR(H9280,I9280,J9280)))</f>
        <v/>
      </c>
      <c r="L9280" s="111" t="str">
        <f>IF(H9280="","",IF($C$29="상세법",FPV(H9280,K9280),IF(H9280="EI",4,IF(H9280="EO",5.2,IF(H9280="EQ",3.9,IF(H9280="ILF",7.5,IF(H9280="EIF",5.4)))))))</f>
        <v/>
      </c>
      <c r="M9280" s="112" t="str">
        <f t="shared" si="148"/>
        <v/>
      </c>
      <c r="N9280" s="113"/>
    </row>
    <row r="9281" spans="2:14">
      <c r="B9281" s="105"/>
      <c r="C9281" s="106"/>
      <c r="D9281" s="107"/>
      <c r="E9281" s="65"/>
      <c r="F9281" s="64"/>
      <c r="G9281" s="64"/>
      <c r="H9281" s="64"/>
      <c r="I9281" s="70"/>
      <c r="J9281" s="70"/>
      <c r="K9281" s="110" t="str">
        <f>IF(H9281="","",IF($C$29="간이법","",FPR(H9281,I9281,J9281)))</f>
        <v/>
      </c>
      <c r="L9281" s="111" t="str">
        <f>IF(H9281="","",IF($C$29="상세법",FPV(H9281,K9281),IF(H9281="EI",4,IF(H9281="EO",5.2,IF(H9281="EQ",3.9,IF(H9281="ILF",7.5,IF(H9281="EIF",5.4)))))))</f>
        <v/>
      </c>
      <c r="M9281" s="112" t="str">
        <f t="shared" si="148"/>
        <v/>
      </c>
      <c r="N9281" s="113"/>
    </row>
    <row r="9282" spans="2:14">
      <c r="B9282" s="105"/>
      <c r="C9282" s="106"/>
      <c r="D9282" s="107"/>
      <c r="E9282" s="65"/>
      <c r="F9282" s="64"/>
      <c r="G9282" s="64"/>
      <c r="H9282" s="64"/>
      <c r="I9282" s="70"/>
      <c r="J9282" s="70"/>
      <c r="K9282" s="110" t="str">
        <f>IF(H9282="","",IF($C$29="간이법","",FPR(H9282,I9282,J9282)))</f>
        <v/>
      </c>
      <c r="L9282" s="111" t="str">
        <f>IF(H9282="","",IF($C$29="상세법",FPV(H9282,K9282),IF(H9282="EI",4,IF(H9282="EO",5.2,IF(H9282="EQ",3.9,IF(H9282="ILF",7.5,IF(H9282="EIF",5.4)))))))</f>
        <v/>
      </c>
      <c r="M9282" s="112" t="str">
        <f t="shared" si="148"/>
        <v/>
      </c>
      <c r="N9282" s="113"/>
    </row>
    <row r="9283" spans="2:14">
      <c r="B9283" s="105"/>
      <c r="C9283" s="106"/>
      <c r="D9283" s="107"/>
      <c r="E9283" s="65"/>
      <c r="F9283" s="64"/>
      <c r="G9283" s="64"/>
      <c r="H9283" s="64"/>
      <c r="I9283" s="70"/>
      <c r="J9283" s="70"/>
      <c r="K9283" s="110" t="str">
        <f>IF(H9283="","",IF($C$29="간이법","",FPR(H9283,I9283,J9283)))</f>
        <v/>
      </c>
      <c r="L9283" s="111" t="str">
        <f>IF(H9283="","",IF($C$29="상세법",FPV(H9283,K9283),IF(H9283="EI",4,IF(H9283="EO",5.2,IF(H9283="EQ",3.9,IF(H9283="ILF",7.5,IF(H9283="EIF",5.4)))))))</f>
        <v/>
      </c>
      <c r="M9283" s="112" t="str">
        <f t="shared" si="148"/>
        <v/>
      </c>
      <c r="N9283" s="113"/>
    </row>
    <row r="9284" spans="2:14">
      <c r="B9284" s="105"/>
      <c r="C9284" s="106"/>
      <c r="D9284" s="107"/>
      <c r="E9284" s="65"/>
      <c r="F9284" s="64"/>
      <c r="G9284" s="64"/>
      <c r="H9284" s="64"/>
      <c r="I9284" s="70"/>
      <c r="J9284" s="70"/>
      <c r="K9284" s="110" t="str">
        <f>IF(H9284="","",IF($C$29="간이법","",FPR(H9284,I9284,J9284)))</f>
        <v/>
      </c>
      <c r="L9284" s="111" t="str">
        <f>IF(H9284="","",IF($C$29="상세법",FPV(H9284,K9284),IF(H9284="EI",4,IF(H9284="EO",5.2,IF(H9284="EQ",3.9,IF(H9284="ILF",7.5,IF(H9284="EIF",5.4)))))))</f>
        <v/>
      </c>
      <c r="M9284" s="112" t="str">
        <f t="shared" si="148"/>
        <v/>
      </c>
      <c r="N9284" s="113"/>
    </row>
    <row r="9285" spans="2:14">
      <c r="B9285" s="105"/>
      <c r="C9285" s="106"/>
      <c r="D9285" s="107"/>
      <c r="E9285" s="65"/>
      <c r="F9285" s="64"/>
      <c r="G9285" s="64"/>
      <c r="H9285" s="64"/>
      <c r="I9285" s="70"/>
      <c r="J9285" s="70"/>
      <c r="K9285" s="110" t="str">
        <f>IF(H9285="","",IF($C$29="간이법","",FPR(H9285,I9285,J9285)))</f>
        <v/>
      </c>
      <c r="L9285" s="111" t="str">
        <f>IF(H9285="","",IF($C$29="상세법",FPV(H9285,K9285),IF(H9285="EI",4,IF(H9285="EO",5.2,IF(H9285="EQ",3.9,IF(H9285="ILF",7.5,IF(H9285="EIF",5.4)))))))</f>
        <v/>
      </c>
      <c r="M9285" s="112" t="str">
        <f t="shared" si="148"/>
        <v/>
      </c>
      <c r="N9285" s="113"/>
    </row>
    <row r="9286" spans="2:14">
      <c r="B9286" s="105"/>
      <c r="C9286" s="106"/>
      <c r="D9286" s="107"/>
      <c r="E9286" s="65"/>
      <c r="F9286" s="64"/>
      <c r="G9286" s="64"/>
      <c r="H9286" s="64"/>
      <c r="I9286" s="70"/>
      <c r="J9286" s="70"/>
      <c r="K9286" s="110" t="str">
        <f>IF(H9286="","",IF($C$29="간이법","",FPR(H9286,I9286,J9286)))</f>
        <v/>
      </c>
      <c r="L9286" s="111" t="str">
        <f>IF(H9286="","",IF($C$29="상세법",FPV(H9286,K9286),IF(H9286="EI",4,IF(H9286="EO",5.2,IF(H9286="EQ",3.9,IF(H9286="ILF",7.5,IF(H9286="EIF",5.4)))))))</f>
        <v/>
      </c>
      <c r="M9286" s="112" t="str">
        <f t="shared" si="148"/>
        <v/>
      </c>
      <c r="N9286" s="113"/>
    </row>
    <row r="9287" spans="2:14">
      <c r="B9287" s="105"/>
      <c r="C9287" s="106"/>
      <c r="D9287" s="107"/>
      <c r="E9287" s="65"/>
      <c r="F9287" s="64"/>
      <c r="G9287" s="64"/>
      <c r="H9287" s="64"/>
      <c r="I9287" s="70"/>
      <c r="J9287" s="70"/>
      <c r="K9287" s="110" t="str">
        <f>IF(H9287="","",IF($C$29="간이법","",FPR(H9287,I9287,J9287)))</f>
        <v/>
      </c>
      <c r="L9287" s="111" t="str">
        <f>IF(H9287="","",IF($C$29="상세법",FPV(H9287,K9287),IF(H9287="EI",4,IF(H9287="EO",5.2,IF(H9287="EQ",3.9,IF(H9287="ILF",7.5,IF(H9287="EIF",5.4)))))))</f>
        <v/>
      </c>
      <c r="M9287" s="112" t="str">
        <f t="shared" si="148"/>
        <v/>
      </c>
      <c r="N9287" s="113"/>
    </row>
    <row r="9288" spans="2:14">
      <c r="B9288" s="105"/>
      <c r="C9288" s="106"/>
      <c r="D9288" s="107"/>
      <c r="E9288" s="65"/>
      <c r="F9288" s="64"/>
      <c r="G9288" s="64"/>
      <c r="H9288" s="64"/>
      <c r="I9288" s="70"/>
      <c r="J9288" s="70"/>
      <c r="K9288" s="110" t="str">
        <f>IF(H9288="","",IF($C$29="간이법","",FPR(H9288,I9288,J9288)))</f>
        <v/>
      </c>
      <c r="L9288" s="111" t="str">
        <f>IF(H9288="","",IF($C$29="상세법",FPV(H9288,K9288),IF(H9288="EI",4,IF(H9288="EO",5.2,IF(H9288="EQ",3.9,IF(H9288="ILF",7.5,IF(H9288="EIF",5.4)))))))</f>
        <v/>
      </c>
      <c r="M9288" s="112" t="str">
        <f t="shared" si="148"/>
        <v/>
      </c>
      <c r="N9288" s="113"/>
    </row>
    <row r="9289" spans="2:14">
      <c r="B9289" s="105"/>
      <c r="C9289" s="106"/>
      <c r="D9289" s="107"/>
      <c r="E9289" s="65"/>
      <c r="F9289" s="64"/>
      <c r="G9289" s="64"/>
      <c r="H9289" s="64"/>
      <c r="I9289" s="70"/>
      <c r="J9289" s="70"/>
      <c r="K9289" s="110" t="str">
        <f>IF(H9289="","",IF($C$29="간이법","",FPR(H9289,I9289,J9289)))</f>
        <v/>
      </c>
      <c r="L9289" s="111" t="str">
        <f>IF(H9289="","",IF($C$29="상세법",FPV(H9289,K9289),IF(H9289="EI",4,IF(H9289="EO",5.2,IF(H9289="EQ",3.9,IF(H9289="ILF",7.5,IF(H9289="EIF",5.4)))))))</f>
        <v/>
      </c>
      <c r="M9289" s="112" t="str">
        <f t="shared" si="148"/>
        <v/>
      </c>
      <c r="N9289" s="113"/>
    </row>
    <row r="9290" spans="2:14">
      <c r="B9290" s="105"/>
      <c r="C9290" s="106"/>
      <c r="D9290" s="107"/>
      <c r="E9290" s="65"/>
      <c r="F9290" s="64"/>
      <c r="G9290" s="64"/>
      <c r="H9290" s="64"/>
      <c r="I9290" s="70"/>
      <c r="J9290" s="70"/>
      <c r="K9290" s="110" t="str">
        <f>IF(H9290="","",IF($C$29="간이법","",FPR(H9290,I9290,J9290)))</f>
        <v/>
      </c>
      <c r="L9290" s="111" t="str">
        <f>IF(H9290="","",IF($C$29="상세법",FPV(H9290,K9290),IF(H9290="EI",4,IF(H9290="EO",5.2,IF(H9290="EQ",3.9,IF(H9290="ILF",7.5,IF(H9290="EIF",5.4)))))))</f>
        <v/>
      </c>
      <c r="M9290" s="112" t="str">
        <f t="shared" si="148"/>
        <v/>
      </c>
      <c r="N9290" s="113"/>
    </row>
    <row r="9291" spans="2:14">
      <c r="B9291" s="105"/>
      <c r="C9291" s="106"/>
      <c r="D9291" s="107"/>
      <c r="E9291" s="65"/>
      <c r="F9291" s="64"/>
      <c r="G9291" s="64"/>
      <c r="H9291" s="64"/>
      <c r="I9291" s="70"/>
      <c r="J9291" s="70"/>
      <c r="K9291" s="110" t="str">
        <f>IF(H9291="","",IF($C$29="간이법","",FPR(H9291,I9291,J9291)))</f>
        <v/>
      </c>
      <c r="L9291" s="111" t="str">
        <f>IF(H9291="","",IF($C$29="상세법",FPV(H9291,K9291),IF(H9291="EI",4,IF(H9291="EO",5.2,IF(H9291="EQ",3.9,IF(H9291="ILF",7.5,IF(H9291="EIF",5.4)))))))</f>
        <v/>
      </c>
      <c r="M9291" s="112" t="str">
        <f t="shared" si="148"/>
        <v/>
      </c>
      <c r="N9291" s="113"/>
    </row>
    <row r="9292" spans="2:14">
      <c r="B9292" s="105"/>
      <c r="C9292" s="106"/>
      <c r="D9292" s="107"/>
      <c r="E9292" s="65"/>
      <c r="F9292" s="64"/>
      <c r="G9292" s="64"/>
      <c r="H9292" s="64"/>
      <c r="I9292" s="70"/>
      <c r="J9292" s="70"/>
      <c r="K9292" s="110" t="str">
        <f>IF(H9292="","",IF($C$29="간이법","",FPR(H9292,I9292,J9292)))</f>
        <v/>
      </c>
      <c r="L9292" s="111" t="str">
        <f>IF(H9292="","",IF($C$29="상세법",FPV(H9292,K9292),IF(H9292="EI",4,IF(H9292="EO",5.2,IF(H9292="EQ",3.9,IF(H9292="ILF",7.5,IF(H9292="EIF",5.4)))))))</f>
        <v/>
      </c>
      <c r="M9292" s="112" t="str">
        <f t="shared" si="148"/>
        <v/>
      </c>
      <c r="N9292" s="113"/>
    </row>
    <row r="9293" spans="2:14">
      <c r="B9293" s="105"/>
      <c r="C9293" s="106"/>
      <c r="D9293" s="107"/>
      <c r="E9293" s="65"/>
      <c r="F9293" s="64"/>
      <c r="G9293" s="64"/>
      <c r="H9293" s="64"/>
      <c r="I9293" s="70"/>
      <c r="J9293" s="70"/>
      <c r="K9293" s="110" t="str">
        <f>IF(H9293="","",IF($C$29="간이법","",FPR(H9293,I9293,J9293)))</f>
        <v/>
      </c>
      <c r="L9293" s="111" t="str">
        <f>IF(H9293="","",IF($C$29="상세법",FPV(H9293,K9293),IF(H9293="EI",4,IF(H9293="EO",5.2,IF(H9293="EQ",3.9,IF(H9293="ILF",7.5,IF(H9293="EIF",5.4)))))))</f>
        <v/>
      </c>
      <c r="M9293" s="112" t="str">
        <f t="shared" si="148"/>
        <v/>
      </c>
      <c r="N9293" s="113"/>
    </row>
    <row r="9294" spans="2:14">
      <c r="B9294" s="105"/>
      <c r="C9294" s="106"/>
      <c r="D9294" s="107"/>
      <c r="E9294" s="65"/>
      <c r="F9294" s="64"/>
      <c r="G9294" s="64"/>
      <c r="H9294" s="64"/>
      <c r="I9294" s="70"/>
      <c r="J9294" s="70"/>
      <c r="K9294" s="110" t="str">
        <f>IF(H9294="","",IF($C$29="간이법","",FPR(H9294,I9294,J9294)))</f>
        <v/>
      </c>
      <c r="L9294" s="111" t="str">
        <f>IF(H9294="","",IF($C$29="상세법",FPV(H9294,K9294),IF(H9294="EI",4,IF(H9294="EO",5.2,IF(H9294="EQ",3.9,IF(H9294="ILF",7.5,IF(H9294="EIF",5.4)))))))</f>
        <v/>
      </c>
      <c r="M9294" s="112" t="str">
        <f t="shared" si="148"/>
        <v/>
      </c>
      <c r="N9294" s="113"/>
    </row>
    <row r="9295" spans="2:14">
      <c r="B9295" s="105"/>
      <c r="C9295" s="106"/>
      <c r="D9295" s="107"/>
      <c r="E9295" s="65"/>
      <c r="F9295" s="64"/>
      <c r="G9295" s="64"/>
      <c r="H9295" s="64"/>
      <c r="I9295" s="70"/>
      <c r="J9295" s="70"/>
      <c r="K9295" s="110" t="str">
        <f>IF(H9295="","",IF($C$29="간이법","",FPR(H9295,I9295,J9295)))</f>
        <v/>
      </c>
      <c r="L9295" s="111" t="str">
        <f>IF(H9295="","",IF($C$29="상세법",FPV(H9295,K9295),IF(H9295="EI",4,IF(H9295="EO",5.2,IF(H9295="EQ",3.9,IF(H9295="ILF",7.5,IF(H9295="EIF",5.4)))))))</f>
        <v/>
      </c>
      <c r="M9295" s="112" t="str">
        <f t="shared" si="148"/>
        <v/>
      </c>
      <c r="N9295" s="113"/>
    </row>
    <row r="9296" spans="2:14">
      <c r="B9296" s="105"/>
      <c r="C9296" s="106"/>
      <c r="D9296" s="107"/>
      <c r="E9296" s="65"/>
      <c r="F9296" s="64"/>
      <c r="G9296" s="64"/>
      <c r="H9296" s="64"/>
      <c r="I9296" s="70"/>
      <c r="J9296" s="70"/>
      <c r="K9296" s="110" t="str">
        <f>IF(H9296="","",IF($C$29="간이법","",FPR(H9296,I9296,J9296)))</f>
        <v/>
      </c>
      <c r="L9296" s="111" t="str">
        <f>IF(H9296="","",IF($C$29="상세법",FPV(H9296,K9296),IF(H9296="EI",4,IF(H9296="EO",5.2,IF(H9296="EQ",3.9,IF(H9296="ILF",7.5,IF(H9296="EIF",5.4)))))))</f>
        <v/>
      </c>
      <c r="M9296" s="112" t="str">
        <f t="shared" si="148"/>
        <v/>
      </c>
      <c r="N9296" s="113"/>
    </row>
    <row r="9297" spans="2:14">
      <c r="B9297" s="105"/>
      <c r="C9297" s="106"/>
      <c r="D9297" s="107"/>
      <c r="E9297" s="65"/>
      <c r="F9297" s="64"/>
      <c r="G9297" s="64"/>
      <c r="H9297" s="64"/>
      <c r="I9297" s="70"/>
      <c r="J9297" s="70"/>
      <c r="K9297" s="110" t="str">
        <f>IF(H9297="","",IF($C$29="간이법","",FPR(H9297,I9297,J9297)))</f>
        <v/>
      </c>
      <c r="L9297" s="111" t="str">
        <f>IF(H9297="","",IF($C$29="상세법",FPV(H9297,K9297),IF(H9297="EI",4,IF(H9297="EO",5.2,IF(H9297="EQ",3.9,IF(H9297="ILF",7.5,IF(H9297="EIF",5.4)))))))</f>
        <v/>
      </c>
      <c r="M9297" s="112" t="str">
        <f t="shared" si="148"/>
        <v/>
      </c>
      <c r="N9297" s="113"/>
    </row>
    <row r="9298" spans="2:14">
      <c r="B9298" s="105"/>
      <c r="C9298" s="106"/>
      <c r="D9298" s="107"/>
      <c r="E9298" s="65"/>
      <c r="F9298" s="64"/>
      <c r="G9298" s="64"/>
      <c r="H9298" s="64"/>
      <c r="I9298" s="70"/>
      <c r="J9298" s="70"/>
      <c r="K9298" s="110" t="str">
        <f>IF(H9298="","",IF($C$29="간이법","",FPR(H9298,I9298,J9298)))</f>
        <v/>
      </c>
      <c r="L9298" s="111" t="str">
        <f>IF(H9298="","",IF($C$29="상세법",FPV(H9298,K9298),IF(H9298="EI",4,IF(H9298="EO",5.2,IF(H9298="EQ",3.9,IF(H9298="ILF",7.5,IF(H9298="EIF",5.4)))))))</f>
        <v/>
      </c>
      <c r="M9298" s="112" t="str">
        <f t="shared" si="148"/>
        <v/>
      </c>
      <c r="N9298" s="113"/>
    </row>
    <row r="9299" spans="2:14">
      <c r="B9299" s="105"/>
      <c r="C9299" s="106"/>
      <c r="D9299" s="107"/>
      <c r="E9299" s="65"/>
      <c r="F9299" s="64"/>
      <c r="G9299" s="64"/>
      <c r="H9299" s="64"/>
      <c r="I9299" s="70"/>
      <c r="J9299" s="70"/>
      <c r="K9299" s="110" t="str">
        <f>IF(H9299="","",IF($C$29="간이법","",FPR(H9299,I9299,J9299)))</f>
        <v/>
      </c>
      <c r="L9299" s="111" t="str">
        <f>IF(H9299="","",IF($C$29="상세법",FPV(H9299,K9299),IF(H9299="EI",4,IF(H9299="EO",5.2,IF(H9299="EQ",3.9,IF(H9299="ILF",7.5,IF(H9299="EIF",5.4)))))))</f>
        <v/>
      </c>
      <c r="M9299" s="112" t="str">
        <f t="shared" si="148"/>
        <v/>
      </c>
      <c r="N9299" s="113"/>
    </row>
    <row r="9300" spans="2:14">
      <c r="B9300" s="105"/>
      <c r="C9300" s="106"/>
      <c r="D9300" s="107"/>
      <c r="E9300" s="65"/>
      <c r="F9300" s="64"/>
      <c r="G9300" s="64"/>
      <c r="H9300" s="64"/>
      <c r="I9300" s="70"/>
      <c r="J9300" s="70"/>
      <c r="K9300" s="110" t="str">
        <f>IF(H9300="","",IF($C$29="간이법","",FPR(H9300,I9300,J9300)))</f>
        <v/>
      </c>
      <c r="L9300" s="111" t="str">
        <f>IF(H9300="","",IF($C$29="상세법",FPV(H9300,K9300),IF(H9300="EI",4,IF(H9300="EO",5.2,IF(H9300="EQ",3.9,IF(H9300="ILF",7.5,IF(H9300="EIF",5.4)))))))</f>
        <v/>
      </c>
      <c r="M9300" s="112" t="str">
        <f t="shared" si="148"/>
        <v/>
      </c>
      <c r="N9300" s="113"/>
    </row>
    <row r="9301" spans="2:14">
      <c r="B9301" s="105"/>
      <c r="C9301" s="106"/>
      <c r="D9301" s="107"/>
      <c r="E9301" s="65"/>
      <c r="F9301" s="64"/>
      <c r="G9301" s="64"/>
      <c r="H9301" s="64"/>
      <c r="I9301" s="70"/>
      <c r="J9301" s="70"/>
      <c r="K9301" s="110" t="str">
        <f>IF(H9301="","",IF($C$29="간이법","",FPR(H9301,I9301,J9301)))</f>
        <v/>
      </c>
      <c r="L9301" s="111" t="str">
        <f>IF(H9301="","",IF($C$29="상세법",FPV(H9301,K9301),IF(H9301="EI",4,IF(H9301="EO",5.2,IF(H9301="EQ",3.9,IF(H9301="ILF",7.5,IF(H9301="EIF",5.4)))))))</f>
        <v/>
      </c>
      <c r="M9301" s="112" t="str">
        <f t="shared" si="148"/>
        <v/>
      </c>
      <c r="N9301" s="113"/>
    </row>
    <row r="9302" spans="2:14">
      <c r="B9302" s="105"/>
      <c r="C9302" s="106"/>
      <c r="D9302" s="107"/>
      <c r="E9302" s="65"/>
      <c r="F9302" s="64"/>
      <c r="G9302" s="64"/>
      <c r="H9302" s="64"/>
      <c r="I9302" s="70"/>
      <c r="J9302" s="70"/>
      <c r="K9302" s="110" t="str">
        <f>IF(H9302="","",IF($C$29="간이법","",FPR(H9302,I9302,J9302)))</f>
        <v/>
      </c>
      <c r="L9302" s="111" t="str">
        <f>IF(H9302="","",IF($C$29="상세법",FPV(H9302,K9302),IF(H9302="EI",4,IF(H9302="EO",5.2,IF(H9302="EQ",3.9,IF(H9302="ILF",7.5,IF(H9302="EIF",5.4)))))))</f>
        <v/>
      </c>
      <c r="M9302" s="112" t="str">
        <f t="shared" si="148"/>
        <v/>
      </c>
      <c r="N9302" s="113"/>
    </row>
    <row r="9303" spans="2:14">
      <c r="B9303" s="105"/>
      <c r="C9303" s="106"/>
      <c r="D9303" s="107"/>
      <c r="E9303" s="65"/>
      <c r="F9303" s="64"/>
      <c r="G9303" s="64"/>
      <c r="H9303" s="64"/>
      <c r="I9303" s="70"/>
      <c r="J9303" s="70"/>
      <c r="K9303" s="110" t="str">
        <f>IF(H9303="","",IF($C$29="간이법","",FPR(H9303,I9303,J9303)))</f>
        <v/>
      </c>
      <c r="L9303" s="111" t="str">
        <f>IF(H9303="","",IF($C$29="상세법",FPV(H9303,K9303),IF(H9303="EI",4,IF(H9303="EO",5.2,IF(H9303="EQ",3.9,IF(H9303="ILF",7.5,IF(H9303="EIF",5.4)))))))</f>
        <v/>
      </c>
      <c r="M9303" s="112" t="str">
        <f t="shared" si="148"/>
        <v/>
      </c>
      <c r="N9303" s="113"/>
    </row>
    <row r="9304" spans="2:14">
      <c r="B9304" s="105"/>
      <c r="C9304" s="106"/>
      <c r="D9304" s="107"/>
      <c r="E9304" s="65"/>
      <c r="F9304" s="64"/>
      <c r="G9304" s="64"/>
      <c r="H9304" s="64"/>
      <c r="I9304" s="70"/>
      <c r="J9304" s="70"/>
      <c r="K9304" s="110" t="str">
        <f>IF(H9304="","",IF($C$29="간이법","",FPR(H9304,I9304,J9304)))</f>
        <v/>
      </c>
      <c r="L9304" s="111" t="str">
        <f>IF(H9304="","",IF($C$29="상세법",FPV(H9304,K9304),IF(H9304="EI",4,IF(H9304="EO",5.2,IF(H9304="EQ",3.9,IF(H9304="ILF",7.5,IF(H9304="EIF",5.4)))))))</f>
        <v/>
      </c>
      <c r="M9304" s="112" t="str">
        <f t="shared" si="148"/>
        <v/>
      </c>
      <c r="N9304" s="113"/>
    </row>
    <row r="9305" spans="2:14">
      <c r="B9305" s="105"/>
      <c r="C9305" s="106"/>
      <c r="D9305" s="107"/>
      <c r="E9305" s="65"/>
      <c r="F9305" s="64"/>
      <c r="G9305" s="64"/>
      <c r="H9305" s="64"/>
      <c r="I9305" s="70"/>
      <c r="J9305" s="70"/>
      <c r="K9305" s="110" t="str">
        <f>IF(H9305="","",IF($C$29="간이법","",FPR(H9305,I9305,J9305)))</f>
        <v/>
      </c>
      <c r="L9305" s="111" t="str">
        <f>IF(H9305="","",IF($C$29="상세법",FPV(H9305,K9305),IF(H9305="EI",4,IF(H9305="EO",5.2,IF(H9305="EQ",3.9,IF(H9305="ILF",7.5,IF(H9305="EIF",5.4)))))))</f>
        <v/>
      </c>
      <c r="M9305" s="112" t="str">
        <f t="shared" si="148"/>
        <v/>
      </c>
      <c r="N9305" s="113"/>
    </row>
    <row r="9306" spans="2:14">
      <c r="B9306" s="105"/>
      <c r="C9306" s="106"/>
      <c r="D9306" s="107"/>
      <c r="E9306" s="65"/>
      <c r="F9306" s="64"/>
      <c r="G9306" s="64"/>
      <c r="H9306" s="64"/>
      <c r="I9306" s="70"/>
      <c r="J9306" s="70"/>
      <c r="K9306" s="110" t="str">
        <f>IF(H9306="","",IF($C$29="간이법","",FPR(H9306,I9306,J9306)))</f>
        <v/>
      </c>
      <c r="L9306" s="111" t="str">
        <f>IF(H9306="","",IF($C$29="상세법",FPV(H9306,K9306),IF(H9306="EI",4,IF(H9306="EO",5.2,IF(H9306="EQ",3.9,IF(H9306="ILF",7.5,IF(H9306="EIF",5.4)))))))</f>
        <v/>
      </c>
      <c r="M9306" s="112" t="str">
        <f t="shared" si="148"/>
        <v/>
      </c>
      <c r="N9306" s="113"/>
    </row>
    <row r="9307" spans="2:14">
      <c r="B9307" s="105"/>
      <c r="C9307" s="106"/>
      <c r="D9307" s="107"/>
      <c r="E9307" s="65"/>
      <c r="F9307" s="64"/>
      <c r="G9307" s="64"/>
      <c r="H9307" s="64"/>
      <c r="I9307" s="70"/>
      <c r="J9307" s="70"/>
      <c r="K9307" s="110" t="str">
        <f>IF(H9307="","",IF($C$29="간이법","",FPR(H9307,I9307,J9307)))</f>
        <v/>
      </c>
      <c r="L9307" s="111" t="str">
        <f>IF(H9307="","",IF($C$29="상세법",FPV(H9307,K9307),IF(H9307="EI",4,IF(H9307="EO",5.2,IF(H9307="EQ",3.9,IF(H9307="ILF",7.5,IF(H9307="EIF",5.4)))))))</f>
        <v/>
      </c>
      <c r="M9307" s="112" t="str">
        <f t="shared" si="148"/>
        <v/>
      </c>
      <c r="N9307" s="113"/>
    </row>
    <row r="9308" spans="2:14">
      <c r="B9308" s="105"/>
      <c r="C9308" s="106"/>
      <c r="D9308" s="107"/>
      <c r="E9308" s="65"/>
      <c r="F9308" s="64"/>
      <c r="G9308" s="64"/>
      <c r="H9308" s="64"/>
      <c r="I9308" s="70"/>
      <c r="J9308" s="70"/>
      <c r="K9308" s="110" t="str">
        <f>IF(H9308="","",IF($C$29="간이법","",FPR(H9308,I9308,J9308)))</f>
        <v/>
      </c>
      <c r="L9308" s="111" t="str">
        <f>IF(H9308="","",IF($C$29="상세법",FPV(H9308,K9308),IF(H9308="EI",4,IF(H9308="EO",5.2,IF(H9308="EQ",3.9,IF(H9308="ILF",7.5,IF(H9308="EIF",5.4)))))))</f>
        <v/>
      </c>
      <c r="M9308" s="112" t="str">
        <f t="shared" si="148"/>
        <v/>
      </c>
      <c r="N9308" s="113"/>
    </row>
    <row r="9309" spans="2:14">
      <c r="B9309" s="105"/>
      <c r="C9309" s="106"/>
      <c r="D9309" s="107"/>
      <c r="E9309" s="65"/>
      <c r="F9309" s="64"/>
      <c r="G9309" s="64"/>
      <c r="H9309" s="64"/>
      <c r="I9309" s="70"/>
      <c r="J9309" s="70"/>
      <c r="K9309" s="110" t="str">
        <f>IF(H9309="","",IF($C$29="간이법","",FPR(H9309,I9309,J9309)))</f>
        <v/>
      </c>
      <c r="L9309" s="111" t="str">
        <f>IF(H9309="","",IF($C$29="상세법",FPV(H9309,K9309),IF(H9309="EI",4,IF(H9309="EO",5.2,IF(H9309="EQ",3.9,IF(H9309="ILF",7.5,IF(H9309="EIF",5.4)))))))</f>
        <v/>
      </c>
      <c r="M9309" s="112" t="str">
        <f t="shared" si="148"/>
        <v/>
      </c>
      <c r="N9309" s="113"/>
    </row>
    <row r="9310" spans="2:14">
      <c r="B9310" s="105"/>
      <c r="C9310" s="106"/>
      <c r="D9310" s="107"/>
      <c r="E9310" s="65"/>
      <c r="F9310" s="64"/>
      <c r="G9310" s="64"/>
      <c r="H9310" s="64"/>
      <c r="I9310" s="70"/>
      <c r="J9310" s="70"/>
      <c r="K9310" s="110" t="str">
        <f>IF(H9310="","",IF($C$29="간이법","",FPR(H9310,I9310,J9310)))</f>
        <v/>
      </c>
      <c r="L9310" s="111" t="str">
        <f>IF(H9310="","",IF($C$29="상세법",FPV(H9310,K9310),IF(H9310="EI",4,IF(H9310="EO",5.2,IF(H9310="EQ",3.9,IF(H9310="ILF",7.5,IF(H9310="EIF",5.4)))))))</f>
        <v/>
      </c>
      <c r="M9310" s="112" t="str">
        <f t="shared" si="148"/>
        <v/>
      </c>
      <c r="N9310" s="113"/>
    </row>
    <row r="9311" spans="2:14">
      <c r="B9311" s="105"/>
      <c r="C9311" s="106"/>
      <c r="D9311" s="107"/>
      <c r="E9311" s="65"/>
      <c r="F9311" s="64"/>
      <c r="G9311" s="64"/>
      <c r="H9311" s="64"/>
      <c r="I9311" s="70"/>
      <c r="J9311" s="70"/>
      <c r="K9311" s="110" t="str">
        <f>IF(H9311="","",IF($C$29="간이법","",FPR(H9311,I9311,J9311)))</f>
        <v/>
      </c>
      <c r="L9311" s="111" t="str">
        <f>IF(H9311="","",IF($C$29="상세법",FPV(H9311,K9311),IF(H9311="EI",4,IF(H9311="EO",5.2,IF(H9311="EQ",3.9,IF(H9311="ILF",7.5,IF(H9311="EIF",5.4)))))))</f>
        <v/>
      </c>
      <c r="M9311" s="112" t="str">
        <f t="shared" si="148"/>
        <v/>
      </c>
      <c r="N9311" s="113"/>
    </row>
    <row r="9312" spans="2:14">
      <c r="B9312" s="105"/>
      <c r="C9312" s="106"/>
      <c r="D9312" s="107"/>
      <c r="E9312" s="65"/>
      <c r="F9312" s="64"/>
      <c r="G9312" s="64"/>
      <c r="H9312" s="64"/>
      <c r="I9312" s="70"/>
      <c r="J9312" s="70"/>
      <c r="K9312" s="110" t="str">
        <f>IF(H9312="","",IF($C$29="간이법","",FPR(H9312,I9312,J9312)))</f>
        <v/>
      </c>
      <c r="L9312" s="111" t="str">
        <f>IF(H9312="","",IF($C$29="상세법",FPV(H9312,K9312),IF(H9312="EI",4,IF(H9312="EO",5.2,IF(H9312="EQ",3.9,IF(H9312="ILF",7.5,IF(H9312="EIF",5.4)))))))</f>
        <v/>
      </c>
      <c r="M9312" s="112" t="str">
        <f t="shared" si="148"/>
        <v/>
      </c>
      <c r="N9312" s="113"/>
    </row>
    <row r="9313" spans="2:14">
      <c r="B9313" s="105"/>
      <c r="C9313" s="106"/>
      <c r="D9313" s="107"/>
      <c r="E9313" s="65"/>
      <c r="F9313" s="64"/>
      <c r="G9313" s="64"/>
      <c r="H9313" s="64"/>
      <c r="I9313" s="70"/>
      <c r="J9313" s="70"/>
      <c r="K9313" s="110" t="str">
        <f>IF(H9313="","",IF($C$29="간이법","",FPR(H9313,I9313,J9313)))</f>
        <v/>
      </c>
      <c r="L9313" s="111" t="str">
        <f>IF(H9313="","",IF($C$29="상세법",FPV(H9313,K9313),IF(H9313="EI",4,IF(H9313="EO",5.2,IF(H9313="EQ",3.9,IF(H9313="ILF",7.5,IF(H9313="EIF",5.4)))))))</f>
        <v/>
      </c>
      <c r="M9313" s="112" t="str">
        <f t="shared" si="148"/>
        <v/>
      </c>
      <c r="N9313" s="113"/>
    </row>
    <row r="9314" spans="2:14">
      <c r="B9314" s="105"/>
      <c r="C9314" s="106"/>
      <c r="D9314" s="107"/>
      <c r="E9314" s="65"/>
      <c r="F9314" s="64"/>
      <c r="G9314" s="64"/>
      <c r="H9314" s="64"/>
      <c r="I9314" s="70"/>
      <c r="J9314" s="70"/>
      <c r="K9314" s="110" t="str">
        <f>IF(H9314="","",IF($C$29="간이법","",FPR(H9314,I9314,J9314)))</f>
        <v/>
      </c>
      <c r="L9314" s="111" t="str">
        <f>IF(H9314="","",IF($C$29="상세법",FPV(H9314,K9314),IF(H9314="EI",4,IF(H9314="EO",5.2,IF(H9314="EQ",3.9,IF(H9314="ILF",7.5,IF(H9314="EIF",5.4)))))))</f>
        <v/>
      </c>
      <c r="M9314" s="112" t="str">
        <f t="shared" si="148"/>
        <v/>
      </c>
      <c r="N9314" s="113"/>
    </row>
    <row r="9315" spans="2:14">
      <c r="B9315" s="105"/>
      <c r="C9315" s="106"/>
      <c r="D9315" s="107"/>
      <c r="E9315" s="65"/>
      <c r="F9315" s="64"/>
      <c r="G9315" s="64"/>
      <c r="H9315" s="64"/>
      <c r="I9315" s="70"/>
      <c r="J9315" s="70"/>
      <c r="K9315" s="110" t="str">
        <f>IF(H9315="","",IF($C$29="간이법","",FPR(H9315,I9315,J9315)))</f>
        <v/>
      </c>
      <c r="L9315" s="111" t="str">
        <f>IF(H9315="","",IF($C$29="상세법",FPV(H9315,K9315),IF(H9315="EI",4,IF(H9315="EO",5.2,IF(H9315="EQ",3.9,IF(H9315="ILF",7.5,IF(H9315="EIF",5.4)))))))</f>
        <v/>
      </c>
      <c r="M9315" s="112" t="str">
        <f t="shared" si="148"/>
        <v/>
      </c>
      <c r="N9315" s="113"/>
    </row>
    <row r="9316" spans="2:14">
      <c r="B9316" s="105"/>
      <c r="C9316" s="106"/>
      <c r="D9316" s="107"/>
      <c r="E9316" s="65"/>
      <c r="F9316" s="64"/>
      <c r="G9316" s="64"/>
      <c r="H9316" s="64"/>
      <c r="I9316" s="70"/>
      <c r="J9316" s="70"/>
      <c r="K9316" s="110" t="str">
        <f>IF(H9316="","",IF($C$29="간이법","",FPR(H9316,I9316,J9316)))</f>
        <v/>
      </c>
      <c r="L9316" s="111" t="str">
        <f>IF(H9316="","",IF($C$29="상세법",FPV(H9316,K9316),IF(H9316="EI",4,IF(H9316="EO",5.2,IF(H9316="EQ",3.9,IF(H9316="ILF",7.5,IF(H9316="EIF",5.4)))))))</f>
        <v/>
      </c>
      <c r="M9316" s="112" t="str">
        <f t="shared" si="148"/>
        <v/>
      </c>
      <c r="N9316" s="113"/>
    </row>
    <row r="9317" spans="2:14">
      <c r="B9317" s="105"/>
      <c r="C9317" s="106"/>
      <c r="D9317" s="107"/>
      <c r="E9317" s="65"/>
      <c r="F9317" s="64"/>
      <c r="G9317" s="64"/>
      <c r="H9317" s="64"/>
      <c r="I9317" s="70"/>
      <c r="J9317" s="70"/>
      <c r="K9317" s="110" t="str">
        <f>IF(H9317="","",IF($C$29="간이법","",FPR(H9317,I9317,J9317)))</f>
        <v/>
      </c>
      <c r="L9317" s="111" t="str">
        <f>IF(H9317="","",IF($C$29="상세법",FPV(H9317,K9317),IF(H9317="EI",4,IF(H9317="EO",5.2,IF(H9317="EQ",3.9,IF(H9317="ILF",7.5,IF(H9317="EIF",5.4)))))))</f>
        <v/>
      </c>
      <c r="M9317" s="112" t="str">
        <f t="shared" si="148"/>
        <v/>
      </c>
      <c r="N9317" s="113"/>
    </row>
    <row r="9318" spans="2:14">
      <c r="B9318" s="105"/>
      <c r="C9318" s="106"/>
      <c r="D9318" s="107"/>
      <c r="E9318" s="65"/>
      <c r="F9318" s="64"/>
      <c r="G9318" s="64"/>
      <c r="H9318" s="64"/>
      <c r="I9318" s="70"/>
      <c r="J9318" s="70"/>
      <c r="K9318" s="110" t="str">
        <f>IF(H9318="","",IF($C$29="간이법","",FPR(H9318,I9318,J9318)))</f>
        <v/>
      </c>
      <c r="L9318" s="111" t="str">
        <f>IF(H9318="","",IF($C$29="상세법",FPV(H9318,K9318),IF(H9318="EI",4,IF(H9318="EO",5.2,IF(H9318="EQ",3.9,IF(H9318="ILF",7.5,IF(H9318="EIF",5.4)))))))</f>
        <v/>
      </c>
      <c r="M9318" s="112" t="str">
        <f t="shared" si="148"/>
        <v/>
      </c>
      <c r="N9318" s="113"/>
    </row>
    <row r="9319" spans="2:14">
      <c r="B9319" s="105"/>
      <c r="C9319" s="106"/>
      <c r="D9319" s="107"/>
      <c r="E9319" s="65"/>
      <c r="F9319" s="64"/>
      <c r="G9319" s="64"/>
      <c r="H9319" s="64"/>
      <c r="I9319" s="70"/>
      <c r="J9319" s="70"/>
      <c r="K9319" s="110" t="str">
        <f>IF(H9319="","",IF($C$29="간이법","",FPR(H9319,I9319,J9319)))</f>
        <v/>
      </c>
      <c r="L9319" s="111" t="str">
        <f>IF(H9319="","",IF($C$29="상세법",FPV(H9319,K9319),IF(H9319="EI",4,IF(H9319="EO",5.2,IF(H9319="EQ",3.9,IF(H9319="ILF",7.5,IF(H9319="EIF",5.4)))))))</f>
        <v/>
      </c>
      <c r="M9319" s="112" t="str">
        <f t="shared" si="148"/>
        <v/>
      </c>
      <c r="N9319" s="113"/>
    </row>
    <row r="9320" spans="2:14">
      <c r="B9320" s="105"/>
      <c r="C9320" s="106"/>
      <c r="D9320" s="107"/>
      <c r="E9320" s="65"/>
      <c r="F9320" s="64"/>
      <c r="G9320" s="64"/>
      <c r="H9320" s="64"/>
      <c r="I9320" s="70"/>
      <c r="J9320" s="70"/>
      <c r="K9320" s="110" t="str">
        <f>IF(H9320="","",IF($C$29="간이법","",FPR(H9320,I9320,J9320)))</f>
        <v/>
      </c>
      <c r="L9320" s="111" t="str">
        <f>IF(H9320="","",IF($C$29="상세법",FPV(H9320,K9320),IF(H9320="EI",4,IF(H9320="EO",5.2,IF(H9320="EQ",3.9,IF(H9320="ILF",7.5,IF(H9320="EIF",5.4)))))))</f>
        <v/>
      </c>
      <c r="M9320" s="112" t="str">
        <f t="shared" si="148"/>
        <v/>
      </c>
      <c r="N9320" s="113"/>
    </row>
    <row r="9321" spans="2:14">
      <c r="B9321" s="105"/>
      <c r="C9321" s="106"/>
      <c r="D9321" s="107"/>
      <c r="E9321" s="65"/>
      <c r="F9321" s="64"/>
      <c r="G9321" s="64"/>
      <c r="H9321" s="64"/>
      <c r="I9321" s="70"/>
      <c r="J9321" s="70"/>
      <c r="K9321" s="110" t="str">
        <f>IF(H9321="","",IF($C$29="간이법","",FPR(H9321,I9321,J9321)))</f>
        <v/>
      </c>
      <c r="L9321" s="111" t="str">
        <f>IF(H9321="","",IF($C$29="상세법",FPV(H9321,K9321),IF(H9321="EI",4,IF(H9321="EO",5.2,IF(H9321="EQ",3.9,IF(H9321="ILF",7.5,IF(H9321="EIF",5.4)))))))</f>
        <v/>
      </c>
      <c r="M9321" s="112" t="str">
        <f t="shared" si="148"/>
        <v/>
      </c>
      <c r="N9321" s="113"/>
    </row>
    <row r="9322" spans="2:14">
      <c r="B9322" s="105"/>
      <c r="C9322" s="106"/>
      <c r="D9322" s="107"/>
      <c r="E9322" s="65"/>
      <c r="F9322" s="64"/>
      <c r="G9322" s="64"/>
      <c r="H9322" s="64"/>
      <c r="I9322" s="70"/>
      <c r="J9322" s="70"/>
      <c r="K9322" s="110" t="str">
        <f>IF(H9322="","",IF($C$29="간이법","",FPR(H9322,I9322,J9322)))</f>
        <v/>
      </c>
      <c r="L9322" s="111" t="str">
        <f>IF(H9322="","",IF($C$29="상세법",FPV(H9322,K9322),IF(H9322="EI",4,IF(H9322="EO",5.2,IF(H9322="EQ",3.9,IF(H9322="ILF",7.5,IF(H9322="EIF",5.4)))))))</f>
        <v/>
      </c>
      <c r="M9322" s="112" t="str">
        <f t="shared" si="148"/>
        <v/>
      </c>
      <c r="N9322" s="113"/>
    </row>
    <row r="9323" spans="2:14">
      <c r="B9323" s="105"/>
      <c r="C9323" s="106"/>
      <c r="D9323" s="107"/>
      <c r="E9323" s="65"/>
      <c r="F9323" s="64"/>
      <c r="G9323" s="64"/>
      <c r="H9323" s="64"/>
      <c r="I9323" s="70"/>
      <c r="J9323" s="70"/>
      <c r="K9323" s="110" t="str">
        <f>IF(H9323="","",IF($C$29="간이법","",FPR(H9323,I9323,J9323)))</f>
        <v/>
      </c>
      <c r="L9323" s="111" t="str">
        <f>IF(H9323="","",IF($C$29="상세법",FPV(H9323,K9323),IF(H9323="EI",4,IF(H9323="EO",5.2,IF(H9323="EQ",3.9,IF(H9323="ILF",7.5,IF(H9323="EIF",5.4)))))))</f>
        <v/>
      </c>
      <c r="M9323" s="112" t="str">
        <f t="shared" si="148"/>
        <v/>
      </c>
      <c r="N9323" s="113"/>
    </row>
    <row r="9324" spans="2:14">
      <c r="B9324" s="105"/>
      <c r="C9324" s="106"/>
      <c r="D9324" s="107"/>
      <c r="E9324" s="65"/>
      <c r="F9324" s="64"/>
      <c r="G9324" s="64"/>
      <c r="H9324" s="64"/>
      <c r="I9324" s="70"/>
      <c r="J9324" s="70"/>
      <c r="K9324" s="110" t="str">
        <f>IF(H9324="","",IF($C$29="간이법","",FPR(H9324,I9324,J9324)))</f>
        <v/>
      </c>
      <c r="L9324" s="111" t="str">
        <f>IF(H9324="","",IF($C$29="상세법",FPV(H9324,K9324),IF(H9324="EI",4,IF(H9324="EO",5.2,IF(H9324="EQ",3.9,IF(H9324="ILF",7.5,IF(H9324="EIF",5.4)))))))</f>
        <v/>
      </c>
      <c r="M9324" s="112" t="str">
        <f t="shared" si="148"/>
        <v/>
      </c>
      <c r="N9324" s="113"/>
    </row>
    <row r="9325" spans="2:14">
      <c r="B9325" s="105"/>
      <c r="C9325" s="106"/>
      <c r="D9325" s="107"/>
      <c r="E9325" s="65"/>
      <c r="F9325" s="64"/>
      <c r="G9325" s="64"/>
      <c r="H9325" s="64"/>
      <c r="I9325" s="70"/>
      <c r="J9325" s="70"/>
      <c r="K9325" s="110" t="str">
        <f>IF(H9325="","",IF($C$29="간이법","",FPR(H9325,I9325,J9325)))</f>
        <v/>
      </c>
      <c r="L9325" s="111" t="str">
        <f>IF(H9325="","",IF($C$29="상세법",FPV(H9325,K9325),IF(H9325="EI",4,IF(H9325="EO",5.2,IF(H9325="EQ",3.9,IF(H9325="ILF",7.5,IF(H9325="EIF",5.4)))))))</f>
        <v/>
      </c>
      <c r="M9325" s="112" t="str">
        <f t="shared" si="148"/>
        <v/>
      </c>
      <c r="N9325" s="113"/>
    </row>
    <row r="9326" spans="2:14">
      <c r="B9326" s="105"/>
      <c r="C9326" s="106"/>
      <c r="D9326" s="107"/>
      <c r="E9326" s="65"/>
      <c r="F9326" s="64"/>
      <c r="G9326" s="64"/>
      <c r="H9326" s="64"/>
      <c r="I9326" s="70"/>
      <c r="J9326" s="70"/>
      <c r="K9326" s="110" t="str">
        <f>IF(H9326="","",IF($C$29="간이법","",FPR(H9326,I9326,J9326)))</f>
        <v/>
      </c>
      <c r="L9326" s="111" t="str">
        <f>IF(H9326="","",IF($C$29="상세법",FPV(H9326,K9326),IF(H9326="EI",4,IF(H9326="EO",5.2,IF(H9326="EQ",3.9,IF(H9326="ILF",7.5,IF(H9326="EIF",5.4)))))))</f>
        <v/>
      </c>
      <c r="M9326" s="112" t="str">
        <f t="shared" si="148"/>
        <v/>
      </c>
      <c r="N9326" s="113"/>
    </row>
    <row r="9327" spans="2:14">
      <c r="B9327" s="105"/>
      <c r="C9327" s="106"/>
      <c r="D9327" s="107"/>
      <c r="E9327" s="65"/>
      <c r="F9327" s="64"/>
      <c r="G9327" s="64"/>
      <c r="H9327" s="64"/>
      <c r="I9327" s="70"/>
      <c r="J9327" s="70"/>
      <c r="K9327" s="110" t="str">
        <f>IF(H9327="","",IF($C$29="간이법","",FPR(H9327,I9327,J9327)))</f>
        <v/>
      </c>
      <c r="L9327" s="111" t="str">
        <f>IF(H9327="","",IF($C$29="상세법",FPV(H9327,K9327),IF(H9327="EI",4,IF(H9327="EO",5.2,IF(H9327="EQ",3.9,IF(H9327="ILF",7.5,IF(H9327="EIF",5.4)))))))</f>
        <v/>
      </c>
      <c r="M9327" s="112" t="str">
        <f t="shared" si="148"/>
        <v/>
      </c>
      <c r="N9327" s="113"/>
    </row>
    <row r="9328" spans="2:14">
      <c r="B9328" s="105"/>
      <c r="C9328" s="106"/>
      <c r="D9328" s="107"/>
      <c r="E9328" s="65"/>
      <c r="F9328" s="64"/>
      <c r="G9328" s="64"/>
      <c r="H9328" s="64"/>
      <c r="I9328" s="70"/>
      <c r="J9328" s="70"/>
      <c r="K9328" s="110" t="str">
        <f>IF(H9328="","",IF($C$29="간이법","",FPR(H9328,I9328,J9328)))</f>
        <v/>
      </c>
      <c r="L9328" s="111" t="str">
        <f>IF(H9328="","",IF($C$29="상세법",FPV(H9328,K9328),IF(H9328="EI",4,IF(H9328="EO",5.2,IF(H9328="EQ",3.9,IF(H9328="ILF",7.5,IF(H9328="EIF",5.4)))))))</f>
        <v/>
      </c>
      <c r="M9328" s="112" t="str">
        <f t="shared" si="148"/>
        <v/>
      </c>
      <c r="N9328" s="113"/>
    </row>
    <row r="9329" spans="2:14">
      <c r="B9329" s="105"/>
      <c r="C9329" s="106"/>
      <c r="D9329" s="107"/>
      <c r="E9329" s="65"/>
      <c r="F9329" s="64"/>
      <c r="G9329" s="64"/>
      <c r="H9329" s="64"/>
      <c r="I9329" s="70"/>
      <c r="J9329" s="70"/>
      <c r="K9329" s="110" t="str">
        <f>IF(H9329="","",IF($C$29="간이법","",FPR(H9329,I9329,J9329)))</f>
        <v/>
      </c>
      <c r="L9329" s="111" t="str">
        <f>IF(H9329="","",IF($C$29="상세법",FPV(H9329,K9329),IF(H9329="EI",4,IF(H9329="EO",5.2,IF(H9329="EQ",3.9,IF(H9329="ILF",7.5,IF(H9329="EIF",5.4)))))))</f>
        <v/>
      </c>
      <c r="M9329" s="112" t="str">
        <f t="shared" si="148"/>
        <v/>
      </c>
      <c r="N9329" s="113"/>
    </row>
    <row r="9330" spans="2:14">
      <c r="B9330" s="105"/>
      <c r="C9330" s="106"/>
      <c r="D9330" s="107"/>
      <c r="E9330" s="65"/>
      <c r="F9330" s="64"/>
      <c r="G9330" s="64"/>
      <c r="H9330" s="64"/>
      <c r="I9330" s="70"/>
      <c r="J9330" s="70"/>
      <c r="K9330" s="110" t="str">
        <f>IF(H9330="","",IF($C$29="간이법","",FPR(H9330,I9330,J9330)))</f>
        <v/>
      </c>
      <c r="L9330" s="111" t="str">
        <f>IF(H9330="","",IF($C$29="상세법",FPV(H9330,K9330),IF(H9330="EI",4,IF(H9330="EO",5.2,IF(H9330="EQ",3.9,IF(H9330="ILF",7.5,IF(H9330="EIF",5.4)))))))</f>
        <v/>
      </c>
      <c r="M9330" s="112" t="str">
        <f t="shared" si="148"/>
        <v/>
      </c>
      <c r="N9330" s="113"/>
    </row>
    <row r="9331" spans="2:14">
      <c r="B9331" s="105"/>
      <c r="C9331" s="106"/>
      <c r="D9331" s="107"/>
      <c r="E9331" s="65"/>
      <c r="F9331" s="64"/>
      <c r="G9331" s="64"/>
      <c r="H9331" s="64"/>
      <c r="I9331" s="70"/>
      <c r="J9331" s="70"/>
      <c r="K9331" s="110" t="str">
        <f>IF(H9331="","",IF($C$29="간이법","",FPR(H9331,I9331,J9331)))</f>
        <v/>
      </c>
      <c r="L9331" s="111" t="str">
        <f>IF(H9331="","",IF($C$29="상세법",FPV(H9331,K9331),IF(H9331="EI",4,IF(H9331="EO",5.2,IF(H9331="EQ",3.9,IF(H9331="ILF",7.5,IF(H9331="EIF",5.4)))))))</f>
        <v/>
      </c>
      <c r="M9331" s="112" t="str">
        <f t="shared" si="148"/>
        <v/>
      </c>
      <c r="N9331" s="113"/>
    </row>
    <row r="9332" spans="2:14">
      <c r="B9332" s="105"/>
      <c r="C9332" s="106"/>
      <c r="D9332" s="107"/>
      <c r="E9332" s="65"/>
      <c r="F9332" s="64"/>
      <c r="G9332" s="64"/>
      <c r="H9332" s="64"/>
      <c r="I9332" s="70"/>
      <c r="J9332" s="70"/>
      <c r="K9332" s="110" t="str">
        <f>IF(H9332="","",IF($C$29="간이법","",FPR(H9332,I9332,J9332)))</f>
        <v/>
      </c>
      <c r="L9332" s="111" t="str">
        <f>IF(H9332="","",IF($C$29="상세법",FPV(H9332,K9332),IF(H9332="EI",4,IF(H9332="EO",5.2,IF(H9332="EQ",3.9,IF(H9332="ILF",7.5,IF(H9332="EIF",5.4)))))))</f>
        <v/>
      </c>
      <c r="M9332" s="112" t="str">
        <f t="shared" si="148"/>
        <v/>
      </c>
      <c r="N9332" s="113"/>
    </row>
    <row r="9333" spans="2:14">
      <c r="B9333" s="105"/>
      <c r="C9333" s="106"/>
      <c r="D9333" s="107"/>
      <c r="E9333" s="65"/>
      <c r="F9333" s="64"/>
      <c r="G9333" s="64"/>
      <c r="H9333" s="64"/>
      <c r="I9333" s="70"/>
      <c r="J9333" s="70"/>
      <c r="K9333" s="110" t="str">
        <f>IF(H9333="","",IF($C$29="간이법","",FPR(H9333,I9333,J9333)))</f>
        <v/>
      </c>
      <c r="L9333" s="111" t="str">
        <f>IF(H9333="","",IF($C$29="상세법",FPV(H9333,K9333),IF(H9333="EI",4,IF(H9333="EO",5.2,IF(H9333="EQ",3.9,IF(H9333="ILF",7.5,IF(H9333="EIF",5.4)))))))</f>
        <v/>
      </c>
      <c r="M9333" s="112" t="str">
        <f t="shared" si="148"/>
        <v/>
      </c>
      <c r="N9333" s="113"/>
    </row>
    <row r="9334" spans="2:14">
      <c r="B9334" s="105"/>
      <c r="C9334" s="106"/>
      <c r="D9334" s="107"/>
      <c r="E9334" s="65"/>
      <c r="F9334" s="64"/>
      <c r="G9334" s="64"/>
      <c r="H9334" s="64"/>
      <c r="I9334" s="70"/>
      <c r="J9334" s="70"/>
      <c r="K9334" s="110" t="str">
        <f>IF(H9334="","",IF($C$29="간이법","",FPR(H9334,I9334,J9334)))</f>
        <v/>
      </c>
      <c r="L9334" s="111" t="str">
        <f>IF(H9334="","",IF($C$29="상세법",FPV(H9334,K9334),IF(H9334="EI",4,IF(H9334="EO",5.2,IF(H9334="EQ",3.9,IF(H9334="ILF",7.5,IF(H9334="EIF",5.4)))))))</f>
        <v/>
      </c>
      <c r="M9334" s="112" t="str">
        <f t="shared" si="148"/>
        <v/>
      </c>
      <c r="N9334" s="113"/>
    </row>
    <row r="9335" spans="2:14">
      <c r="B9335" s="105"/>
      <c r="C9335" s="106"/>
      <c r="D9335" s="107"/>
      <c r="E9335" s="65"/>
      <c r="F9335" s="64"/>
      <c r="G9335" s="64"/>
      <c r="H9335" s="64"/>
      <c r="I9335" s="70"/>
      <c r="J9335" s="70"/>
      <c r="K9335" s="110" t="str">
        <f>IF(H9335="","",IF($C$29="간이법","",FPR(H9335,I9335,J9335)))</f>
        <v/>
      </c>
      <c r="L9335" s="111" t="str">
        <f>IF(H9335="","",IF($C$29="상세법",FPV(H9335,K9335),IF(H9335="EI",4,IF(H9335="EO",5.2,IF(H9335="EQ",3.9,IF(H9335="ILF",7.5,IF(H9335="EIF",5.4)))))))</f>
        <v/>
      </c>
      <c r="M9335" s="112" t="str">
        <f t="shared" si="148"/>
        <v/>
      </c>
      <c r="N9335" s="113"/>
    </row>
    <row r="9336" spans="2:14">
      <c r="B9336" s="105"/>
      <c r="C9336" s="106"/>
      <c r="D9336" s="107"/>
      <c r="E9336" s="65"/>
      <c r="F9336" s="64"/>
      <c r="G9336" s="64"/>
      <c r="H9336" s="64"/>
      <c r="I9336" s="70"/>
      <c r="J9336" s="70"/>
      <c r="K9336" s="110" t="str">
        <f>IF(H9336="","",IF($C$29="간이법","",FPR(H9336,I9336,J9336)))</f>
        <v/>
      </c>
      <c r="L9336" s="111" t="str">
        <f>IF(H9336="","",IF($C$29="상세법",FPV(H9336,K9336),IF(H9336="EI",4,IF(H9336="EO",5.2,IF(H9336="EQ",3.9,IF(H9336="ILF",7.5,IF(H9336="EIF",5.4)))))))</f>
        <v/>
      </c>
      <c r="M9336" s="112" t="str">
        <f t="shared" si="148"/>
        <v/>
      </c>
      <c r="N9336" s="113"/>
    </row>
    <row r="9337" spans="2:14">
      <c r="B9337" s="105"/>
      <c r="C9337" s="106"/>
      <c r="D9337" s="107"/>
      <c r="E9337" s="65"/>
      <c r="F9337" s="64"/>
      <c r="G9337" s="64"/>
      <c r="H9337" s="64"/>
      <c r="I9337" s="70"/>
      <c r="J9337" s="70"/>
      <c r="K9337" s="110" t="str">
        <f>IF(H9337="","",IF($C$29="간이법","",FPR(H9337,I9337,J9337)))</f>
        <v/>
      </c>
      <c r="L9337" s="111" t="str">
        <f>IF(H9337="","",IF($C$29="상세법",FPV(H9337,K9337),IF(H9337="EI",4,IF(H9337="EO",5.2,IF(H9337="EQ",3.9,IF(H9337="ILF",7.5,IF(H9337="EIF",5.4)))))))</f>
        <v/>
      </c>
      <c r="M9337" s="112" t="str">
        <f t="shared" ref="M9337:M9400" si="149">IF(L9337="","",L9337*IF(G9337="상",0.7,IF(G9337="중",0.5,IF(G9337="하",0.2,1))))</f>
        <v/>
      </c>
      <c r="N9337" s="113"/>
    </row>
    <row r="9338" spans="2:14">
      <c r="B9338" s="105"/>
      <c r="C9338" s="106"/>
      <c r="D9338" s="107"/>
      <c r="E9338" s="65"/>
      <c r="F9338" s="64"/>
      <c r="G9338" s="64"/>
      <c r="H9338" s="64"/>
      <c r="I9338" s="70"/>
      <c r="J9338" s="70"/>
      <c r="K9338" s="110" t="str">
        <f>IF(H9338="","",IF($C$29="간이법","",FPR(H9338,I9338,J9338)))</f>
        <v/>
      </c>
      <c r="L9338" s="111" t="str">
        <f>IF(H9338="","",IF($C$29="상세법",FPV(H9338,K9338),IF(H9338="EI",4,IF(H9338="EO",5.2,IF(H9338="EQ",3.9,IF(H9338="ILF",7.5,IF(H9338="EIF",5.4)))))))</f>
        <v/>
      </c>
      <c r="M9338" s="112" t="str">
        <f t="shared" si="149"/>
        <v/>
      </c>
      <c r="N9338" s="113"/>
    </row>
    <row r="9339" spans="2:14">
      <c r="B9339" s="105"/>
      <c r="C9339" s="106"/>
      <c r="D9339" s="107"/>
      <c r="E9339" s="65"/>
      <c r="F9339" s="64"/>
      <c r="G9339" s="64"/>
      <c r="H9339" s="64"/>
      <c r="I9339" s="70"/>
      <c r="J9339" s="70"/>
      <c r="K9339" s="110" t="str">
        <f>IF(H9339="","",IF($C$29="간이법","",FPR(H9339,I9339,J9339)))</f>
        <v/>
      </c>
      <c r="L9339" s="111" t="str">
        <f>IF(H9339="","",IF($C$29="상세법",FPV(H9339,K9339),IF(H9339="EI",4,IF(H9339="EO",5.2,IF(H9339="EQ",3.9,IF(H9339="ILF",7.5,IF(H9339="EIF",5.4)))))))</f>
        <v/>
      </c>
      <c r="M9339" s="112" t="str">
        <f t="shared" si="149"/>
        <v/>
      </c>
      <c r="N9339" s="113"/>
    </row>
    <row r="9340" spans="2:14">
      <c r="B9340" s="105"/>
      <c r="C9340" s="106"/>
      <c r="D9340" s="107"/>
      <c r="E9340" s="65"/>
      <c r="F9340" s="64"/>
      <c r="G9340" s="64"/>
      <c r="H9340" s="64"/>
      <c r="I9340" s="70"/>
      <c r="J9340" s="70"/>
      <c r="K9340" s="110" t="str">
        <f>IF(H9340="","",IF($C$29="간이법","",FPR(H9340,I9340,J9340)))</f>
        <v/>
      </c>
      <c r="L9340" s="111" t="str">
        <f>IF(H9340="","",IF($C$29="상세법",FPV(H9340,K9340),IF(H9340="EI",4,IF(H9340="EO",5.2,IF(H9340="EQ",3.9,IF(H9340="ILF",7.5,IF(H9340="EIF",5.4)))))))</f>
        <v/>
      </c>
      <c r="M9340" s="112" t="str">
        <f t="shared" si="149"/>
        <v/>
      </c>
      <c r="N9340" s="113"/>
    </row>
    <row r="9341" spans="2:14">
      <c r="B9341" s="105"/>
      <c r="C9341" s="106"/>
      <c r="D9341" s="107"/>
      <c r="E9341" s="65"/>
      <c r="F9341" s="64"/>
      <c r="G9341" s="64"/>
      <c r="H9341" s="64"/>
      <c r="I9341" s="70"/>
      <c r="J9341" s="70"/>
      <c r="K9341" s="110" t="str">
        <f>IF(H9341="","",IF($C$29="간이법","",FPR(H9341,I9341,J9341)))</f>
        <v/>
      </c>
      <c r="L9341" s="111" t="str">
        <f>IF(H9341="","",IF($C$29="상세법",FPV(H9341,K9341),IF(H9341="EI",4,IF(H9341="EO",5.2,IF(H9341="EQ",3.9,IF(H9341="ILF",7.5,IF(H9341="EIF",5.4)))))))</f>
        <v/>
      </c>
      <c r="M9341" s="112" t="str">
        <f t="shared" si="149"/>
        <v/>
      </c>
      <c r="N9341" s="113"/>
    </row>
    <row r="9342" spans="2:14">
      <c r="B9342" s="105"/>
      <c r="C9342" s="106"/>
      <c r="D9342" s="107"/>
      <c r="E9342" s="65"/>
      <c r="F9342" s="64"/>
      <c r="G9342" s="64"/>
      <c r="H9342" s="64"/>
      <c r="I9342" s="70"/>
      <c r="J9342" s="70"/>
      <c r="K9342" s="110" t="str">
        <f>IF(H9342="","",IF($C$29="간이법","",FPR(H9342,I9342,J9342)))</f>
        <v/>
      </c>
      <c r="L9342" s="111" t="str">
        <f>IF(H9342="","",IF($C$29="상세법",FPV(H9342,K9342),IF(H9342="EI",4,IF(H9342="EO",5.2,IF(H9342="EQ",3.9,IF(H9342="ILF",7.5,IF(H9342="EIF",5.4)))))))</f>
        <v/>
      </c>
      <c r="M9342" s="112" t="str">
        <f t="shared" si="149"/>
        <v/>
      </c>
      <c r="N9342" s="113"/>
    </row>
    <row r="9343" spans="2:14">
      <c r="B9343" s="105"/>
      <c r="C9343" s="106"/>
      <c r="D9343" s="107"/>
      <c r="E9343" s="65"/>
      <c r="F9343" s="64"/>
      <c r="G9343" s="64"/>
      <c r="H9343" s="64"/>
      <c r="I9343" s="70"/>
      <c r="J9343" s="70"/>
      <c r="K9343" s="110" t="str">
        <f>IF(H9343="","",IF($C$29="간이법","",FPR(H9343,I9343,J9343)))</f>
        <v/>
      </c>
      <c r="L9343" s="111" t="str">
        <f>IF(H9343="","",IF($C$29="상세법",FPV(H9343,K9343),IF(H9343="EI",4,IF(H9343="EO",5.2,IF(H9343="EQ",3.9,IF(H9343="ILF",7.5,IF(H9343="EIF",5.4)))))))</f>
        <v/>
      </c>
      <c r="M9343" s="112" t="str">
        <f t="shared" si="149"/>
        <v/>
      </c>
      <c r="N9343" s="113"/>
    </row>
    <row r="9344" spans="2:14">
      <c r="B9344" s="105"/>
      <c r="C9344" s="106"/>
      <c r="D9344" s="107"/>
      <c r="E9344" s="65"/>
      <c r="F9344" s="64"/>
      <c r="G9344" s="64"/>
      <c r="H9344" s="64"/>
      <c r="I9344" s="70"/>
      <c r="J9344" s="70"/>
      <c r="K9344" s="110" t="str">
        <f>IF(H9344="","",IF($C$29="간이법","",FPR(H9344,I9344,J9344)))</f>
        <v/>
      </c>
      <c r="L9344" s="111" t="str">
        <f>IF(H9344="","",IF($C$29="상세법",FPV(H9344,K9344),IF(H9344="EI",4,IF(H9344="EO",5.2,IF(H9344="EQ",3.9,IF(H9344="ILF",7.5,IF(H9344="EIF",5.4)))))))</f>
        <v/>
      </c>
      <c r="M9344" s="112" t="str">
        <f t="shared" si="149"/>
        <v/>
      </c>
      <c r="N9344" s="113"/>
    </row>
    <row r="9345" spans="2:14">
      <c r="B9345" s="105"/>
      <c r="C9345" s="106"/>
      <c r="D9345" s="107"/>
      <c r="E9345" s="65"/>
      <c r="F9345" s="64"/>
      <c r="G9345" s="64"/>
      <c r="H9345" s="64"/>
      <c r="I9345" s="70"/>
      <c r="J9345" s="70"/>
      <c r="K9345" s="110" t="str">
        <f>IF(H9345="","",IF($C$29="간이법","",FPR(H9345,I9345,J9345)))</f>
        <v/>
      </c>
      <c r="L9345" s="111" t="str">
        <f>IF(H9345="","",IF($C$29="상세법",FPV(H9345,K9345),IF(H9345="EI",4,IF(H9345="EO",5.2,IF(H9345="EQ",3.9,IF(H9345="ILF",7.5,IF(H9345="EIF",5.4)))))))</f>
        <v/>
      </c>
      <c r="M9345" s="112" t="str">
        <f t="shared" si="149"/>
        <v/>
      </c>
      <c r="N9345" s="113"/>
    </row>
    <row r="9346" spans="2:14">
      <c r="B9346" s="105"/>
      <c r="C9346" s="106"/>
      <c r="D9346" s="107"/>
      <c r="E9346" s="65"/>
      <c r="F9346" s="64"/>
      <c r="G9346" s="64"/>
      <c r="H9346" s="64"/>
      <c r="I9346" s="70"/>
      <c r="J9346" s="70"/>
      <c r="K9346" s="110" t="str">
        <f>IF(H9346="","",IF($C$29="간이법","",FPR(H9346,I9346,J9346)))</f>
        <v/>
      </c>
      <c r="L9346" s="111" t="str">
        <f>IF(H9346="","",IF($C$29="상세법",FPV(H9346,K9346),IF(H9346="EI",4,IF(H9346="EO",5.2,IF(H9346="EQ",3.9,IF(H9346="ILF",7.5,IF(H9346="EIF",5.4)))))))</f>
        <v/>
      </c>
      <c r="M9346" s="112" t="str">
        <f t="shared" si="149"/>
        <v/>
      </c>
      <c r="N9346" s="113"/>
    </row>
    <row r="9347" spans="2:14">
      <c r="B9347" s="105"/>
      <c r="C9347" s="106"/>
      <c r="D9347" s="107"/>
      <c r="E9347" s="65"/>
      <c r="F9347" s="64"/>
      <c r="G9347" s="64"/>
      <c r="H9347" s="64"/>
      <c r="I9347" s="70"/>
      <c r="J9347" s="70"/>
      <c r="K9347" s="110" t="str">
        <f>IF(H9347="","",IF($C$29="간이법","",FPR(H9347,I9347,J9347)))</f>
        <v/>
      </c>
      <c r="L9347" s="111" t="str">
        <f>IF(H9347="","",IF($C$29="상세법",FPV(H9347,K9347),IF(H9347="EI",4,IF(H9347="EO",5.2,IF(H9347="EQ",3.9,IF(H9347="ILF",7.5,IF(H9347="EIF",5.4)))))))</f>
        <v/>
      </c>
      <c r="M9347" s="112" t="str">
        <f t="shared" si="149"/>
        <v/>
      </c>
      <c r="N9347" s="113"/>
    </row>
    <row r="9348" spans="2:14">
      <c r="B9348" s="105"/>
      <c r="C9348" s="106"/>
      <c r="D9348" s="107"/>
      <c r="E9348" s="65"/>
      <c r="F9348" s="64"/>
      <c r="G9348" s="64"/>
      <c r="H9348" s="64"/>
      <c r="I9348" s="70"/>
      <c r="J9348" s="70"/>
      <c r="K9348" s="110" t="str">
        <f>IF(H9348="","",IF($C$29="간이법","",FPR(H9348,I9348,J9348)))</f>
        <v/>
      </c>
      <c r="L9348" s="111" t="str">
        <f>IF(H9348="","",IF($C$29="상세법",FPV(H9348,K9348),IF(H9348="EI",4,IF(H9348="EO",5.2,IF(H9348="EQ",3.9,IF(H9348="ILF",7.5,IF(H9348="EIF",5.4)))))))</f>
        <v/>
      </c>
      <c r="M9348" s="112" t="str">
        <f t="shared" si="149"/>
        <v/>
      </c>
      <c r="N9348" s="113"/>
    </row>
    <row r="9349" spans="2:14">
      <c r="B9349" s="105"/>
      <c r="C9349" s="106"/>
      <c r="D9349" s="107"/>
      <c r="E9349" s="65"/>
      <c r="F9349" s="64"/>
      <c r="G9349" s="64"/>
      <c r="H9349" s="64"/>
      <c r="I9349" s="70"/>
      <c r="J9349" s="70"/>
      <c r="K9349" s="110" t="str">
        <f>IF(H9349="","",IF($C$29="간이법","",FPR(H9349,I9349,J9349)))</f>
        <v/>
      </c>
      <c r="L9349" s="111" t="str">
        <f>IF(H9349="","",IF($C$29="상세법",FPV(H9349,K9349),IF(H9349="EI",4,IF(H9349="EO",5.2,IF(H9349="EQ",3.9,IF(H9349="ILF",7.5,IF(H9349="EIF",5.4)))))))</f>
        <v/>
      </c>
      <c r="M9349" s="112" t="str">
        <f t="shared" si="149"/>
        <v/>
      </c>
      <c r="N9349" s="113"/>
    </row>
    <row r="9350" spans="2:14">
      <c r="B9350" s="105"/>
      <c r="C9350" s="106"/>
      <c r="D9350" s="107"/>
      <c r="E9350" s="65"/>
      <c r="F9350" s="64"/>
      <c r="G9350" s="64"/>
      <c r="H9350" s="64"/>
      <c r="I9350" s="70"/>
      <c r="J9350" s="70"/>
      <c r="K9350" s="110" t="str">
        <f>IF(H9350="","",IF($C$29="간이법","",FPR(H9350,I9350,J9350)))</f>
        <v/>
      </c>
      <c r="L9350" s="111" t="str">
        <f>IF(H9350="","",IF($C$29="상세법",FPV(H9350,K9350),IF(H9350="EI",4,IF(H9350="EO",5.2,IF(H9350="EQ",3.9,IF(H9350="ILF",7.5,IF(H9350="EIF",5.4)))))))</f>
        <v/>
      </c>
      <c r="M9350" s="112" t="str">
        <f t="shared" si="149"/>
        <v/>
      </c>
      <c r="N9350" s="113"/>
    </row>
    <row r="9351" spans="2:14">
      <c r="B9351" s="105"/>
      <c r="C9351" s="106"/>
      <c r="D9351" s="107"/>
      <c r="E9351" s="65"/>
      <c r="F9351" s="64"/>
      <c r="G9351" s="64"/>
      <c r="H9351" s="64"/>
      <c r="I9351" s="70"/>
      <c r="J9351" s="70"/>
      <c r="K9351" s="110" t="str">
        <f>IF(H9351="","",IF($C$29="간이법","",FPR(H9351,I9351,J9351)))</f>
        <v/>
      </c>
      <c r="L9351" s="111" t="str">
        <f>IF(H9351="","",IF($C$29="상세법",FPV(H9351,K9351),IF(H9351="EI",4,IF(H9351="EO",5.2,IF(H9351="EQ",3.9,IF(H9351="ILF",7.5,IF(H9351="EIF",5.4)))))))</f>
        <v/>
      </c>
      <c r="M9351" s="112" t="str">
        <f t="shared" si="149"/>
        <v/>
      </c>
      <c r="N9351" s="113"/>
    </row>
    <row r="9352" spans="2:14">
      <c r="B9352" s="105"/>
      <c r="C9352" s="106"/>
      <c r="D9352" s="107"/>
      <c r="E9352" s="65"/>
      <c r="F9352" s="64"/>
      <c r="G9352" s="64"/>
      <c r="H9352" s="64"/>
      <c r="I9352" s="70"/>
      <c r="J9352" s="70"/>
      <c r="K9352" s="110" t="str">
        <f>IF(H9352="","",IF($C$29="간이법","",FPR(H9352,I9352,J9352)))</f>
        <v/>
      </c>
      <c r="L9352" s="111" t="str">
        <f>IF(H9352="","",IF($C$29="상세법",FPV(H9352,K9352),IF(H9352="EI",4,IF(H9352="EO",5.2,IF(H9352="EQ",3.9,IF(H9352="ILF",7.5,IF(H9352="EIF",5.4)))))))</f>
        <v/>
      </c>
      <c r="M9352" s="112" t="str">
        <f t="shared" si="149"/>
        <v/>
      </c>
      <c r="N9352" s="113"/>
    </row>
    <row r="9353" spans="2:14">
      <c r="B9353" s="105"/>
      <c r="C9353" s="106"/>
      <c r="D9353" s="107"/>
      <c r="E9353" s="65"/>
      <c r="F9353" s="64"/>
      <c r="G9353" s="64"/>
      <c r="H9353" s="64"/>
      <c r="I9353" s="70"/>
      <c r="J9353" s="70"/>
      <c r="K9353" s="110" t="str">
        <f>IF(H9353="","",IF($C$29="간이법","",FPR(H9353,I9353,J9353)))</f>
        <v/>
      </c>
      <c r="L9353" s="111" t="str">
        <f>IF(H9353="","",IF($C$29="상세법",FPV(H9353,K9353),IF(H9353="EI",4,IF(H9353="EO",5.2,IF(H9353="EQ",3.9,IF(H9353="ILF",7.5,IF(H9353="EIF",5.4)))))))</f>
        <v/>
      </c>
      <c r="M9353" s="112" t="str">
        <f t="shared" si="149"/>
        <v/>
      </c>
      <c r="N9353" s="113"/>
    </row>
    <row r="9354" spans="2:14">
      <c r="B9354" s="105"/>
      <c r="C9354" s="106"/>
      <c r="D9354" s="107"/>
      <c r="E9354" s="65"/>
      <c r="F9354" s="64"/>
      <c r="G9354" s="64"/>
      <c r="H9354" s="64"/>
      <c r="I9354" s="70"/>
      <c r="J9354" s="70"/>
      <c r="K9354" s="110" t="str">
        <f>IF(H9354="","",IF($C$29="간이법","",FPR(H9354,I9354,J9354)))</f>
        <v/>
      </c>
      <c r="L9354" s="111" t="str">
        <f>IF(H9354="","",IF($C$29="상세법",FPV(H9354,K9354),IF(H9354="EI",4,IF(H9354="EO",5.2,IF(H9354="EQ",3.9,IF(H9354="ILF",7.5,IF(H9354="EIF",5.4)))))))</f>
        <v/>
      </c>
      <c r="M9354" s="112" t="str">
        <f t="shared" si="149"/>
        <v/>
      </c>
      <c r="N9354" s="113"/>
    </row>
    <row r="9355" spans="2:14">
      <c r="B9355" s="105"/>
      <c r="C9355" s="106"/>
      <c r="D9355" s="107"/>
      <c r="E9355" s="65"/>
      <c r="F9355" s="64"/>
      <c r="G9355" s="64"/>
      <c r="H9355" s="64"/>
      <c r="I9355" s="70"/>
      <c r="J9355" s="70"/>
      <c r="K9355" s="110" t="str">
        <f>IF(H9355="","",IF($C$29="간이법","",FPR(H9355,I9355,J9355)))</f>
        <v/>
      </c>
      <c r="L9355" s="111" t="str">
        <f>IF(H9355="","",IF($C$29="상세법",FPV(H9355,K9355),IF(H9355="EI",4,IF(H9355="EO",5.2,IF(H9355="EQ",3.9,IF(H9355="ILF",7.5,IF(H9355="EIF",5.4)))))))</f>
        <v/>
      </c>
      <c r="M9355" s="112" t="str">
        <f t="shared" si="149"/>
        <v/>
      </c>
      <c r="N9355" s="113"/>
    </row>
    <row r="9356" spans="2:14">
      <c r="B9356" s="105"/>
      <c r="C9356" s="106"/>
      <c r="D9356" s="107"/>
      <c r="E9356" s="65"/>
      <c r="F9356" s="64"/>
      <c r="G9356" s="64"/>
      <c r="H9356" s="64"/>
      <c r="I9356" s="70"/>
      <c r="J9356" s="70"/>
      <c r="K9356" s="110" t="str">
        <f>IF(H9356="","",IF($C$29="간이법","",FPR(H9356,I9356,J9356)))</f>
        <v/>
      </c>
      <c r="L9356" s="111" t="str">
        <f>IF(H9356="","",IF($C$29="상세법",FPV(H9356,K9356),IF(H9356="EI",4,IF(H9356="EO",5.2,IF(H9356="EQ",3.9,IF(H9356="ILF",7.5,IF(H9356="EIF",5.4)))))))</f>
        <v/>
      </c>
      <c r="M9356" s="112" t="str">
        <f t="shared" si="149"/>
        <v/>
      </c>
      <c r="N9356" s="113"/>
    </row>
    <row r="9357" spans="2:14">
      <c r="B9357" s="105"/>
      <c r="C9357" s="106"/>
      <c r="D9357" s="107"/>
      <c r="E9357" s="65"/>
      <c r="F9357" s="64"/>
      <c r="G9357" s="64"/>
      <c r="H9357" s="64"/>
      <c r="I9357" s="70"/>
      <c r="J9357" s="70"/>
      <c r="K9357" s="110" t="str">
        <f>IF(H9357="","",IF($C$29="간이법","",FPR(H9357,I9357,J9357)))</f>
        <v/>
      </c>
      <c r="L9357" s="111" t="str">
        <f>IF(H9357="","",IF($C$29="상세법",FPV(H9357,K9357),IF(H9357="EI",4,IF(H9357="EO",5.2,IF(H9357="EQ",3.9,IF(H9357="ILF",7.5,IF(H9357="EIF",5.4)))))))</f>
        <v/>
      </c>
      <c r="M9357" s="112" t="str">
        <f t="shared" si="149"/>
        <v/>
      </c>
      <c r="N9357" s="113"/>
    </row>
    <row r="9358" spans="2:14">
      <c r="B9358" s="105"/>
      <c r="C9358" s="106"/>
      <c r="D9358" s="107"/>
      <c r="E9358" s="65"/>
      <c r="F9358" s="64"/>
      <c r="G9358" s="64"/>
      <c r="H9358" s="64"/>
      <c r="I9358" s="70"/>
      <c r="J9358" s="70"/>
      <c r="K9358" s="110" t="str">
        <f>IF(H9358="","",IF($C$29="간이법","",FPR(H9358,I9358,J9358)))</f>
        <v/>
      </c>
      <c r="L9358" s="111" t="str">
        <f>IF(H9358="","",IF($C$29="상세법",FPV(H9358,K9358),IF(H9358="EI",4,IF(H9358="EO",5.2,IF(H9358="EQ",3.9,IF(H9358="ILF",7.5,IF(H9358="EIF",5.4)))))))</f>
        <v/>
      </c>
      <c r="M9358" s="112" t="str">
        <f t="shared" si="149"/>
        <v/>
      </c>
      <c r="N9358" s="113"/>
    </row>
    <row r="9359" spans="2:14">
      <c r="B9359" s="105"/>
      <c r="C9359" s="106"/>
      <c r="D9359" s="107"/>
      <c r="E9359" s="65"/>
      <c r="F9359" s="64"/>
      <c r="G9359" s="64"/>
      <c r="H9359" s="64"/>
      <c r="I9359" s="70"/>
      <c r="J9359" s="70"/>
      <c r="K9359" s="110" t="str">
        <f>IF(H9359="","",IF($C$29="간이법","",FPR(H9359,I9359,J9359)))</f>
        <v/>
      </c>
      <c r="L9359" s="111" t="str">
        <f>IF(H9359="","",IF($C$29="상세법",FPV(H9359,K9359),IF(H9359="EI",4,IF(H9359="EO",5.2,IF(H9359="EQ",3.9,IF(H9359="ILF",7.5,IF(H9359="EIF",5.4)))))))</f>
        <v/>
      </c>
      <c r="M9359" s="112" t="str">
        <f t="shared" si="149"/>
        <v/>
      </c>
      <c r="N9359" s="113"/>
    </row>
    <row r="9360" spans="2:14">
      <c r="B9360" s="105"/>
      <c r="C9360" s="106"/>
      <c r="D9360" s="107"/>
      <c r="E9360" s="65"/>
      <c r="F9360" s="64"/>
      <c r="G9360" s="64"/>
      <c r="H9360" s="64"/>
      <c r="I9360" s="70"/>
      <c r="J9360" s="70"/>
      <c r="K9360" s="110" t="str">
        <f>IF(H9360="","",IF($C$29="간이법","",FPR(H9360,I9360,J9360)))</f>
        <v/>
      </c>
      <c r="L9360" s="111" t="str">
        <f>IF(H9360="","",IF($C$29="상세법",FPV(H9360,K9360),IF(H9360="EI",4,IF(H9360="EO",5.2,IF(H9360="EQ",3.9,IF(H9360="ILF",7.5,IF(H9360="EIF",5.4)))))))</f>
        <v/>
      </c>
      <c r="M9360" s="112" t="str">
        <f t="shared" si="149"/>
        <v/>
      </c>
      <c r="N9360" s="113"/>
    </row>
    <row r="9361" spans="2:14">
      <c r="B9361" s="105"/>
      <c r="C9361" s="106"/>
      <c r="D9361" s="107"/>
      <c r="E9361" s="65"/>
      <c r="F9361" s="64"/>
      <c r="G9361" s="64"/>
      <c r="H9361" s="64"/>
      <c r="I9361" s="70"/>
      <c r="J9361" s="70"/>
      <c r="K9361" s="110" t="str">
        <f>IF(H9361="","",IF($C$29="간이법","",FPR(H9361,I9361,J9361)))</f>
        <v/>
      </c>
      <c r="L9361" s="111" t="str">
        <f>IF(H9361="","",IF($C$29="상세법",FPV(H9361,K9361),IF(H9361="EI",4,IF(H9361="EO",5.2,IF(H9361="EQ",3.9,IF(H9361="ILF",7.5,IF(H9361="EIF",5.4)))))))</f>
        <v/>
      </c>
      <c r="M9361" s="112" t="str">
        <f t="shared" si="149"/>
        <v/>
      </c>
      <c r="N9361" s="113"/>
    </row>
    <row r="9362" spans="2:14">
      <c r="B9362" s="105"/>
      <c r="C9362" s="106"/>
      <c r="D9362" s="107"/>
      <c r="E9362" s="65"/>
      <c r="F9362" s="64"/>
      <c r="G9362" s="64"/>
      <c r="H9362" s="64"/>
      <c r="I9362" s="70"/>
      <c r="J9362" s="70"/>
      <c r="K9362" s="110" t="str">
        <f>IF(H9362="","",IF($C$29="간이법","",FPR(H9362,I9362,J9362)))</f>
        <v/>
      </c>
      <c r="L9362" s="111" t="str">
        <f>IF(H9362="","",IF($C$29="상세법",FPV(H9362,K9362),IF(H9362="EI",4,IF(H9362="EO",5.2,IF(H9362="EQ",3.9,IF(H9362="ILF",7.5,IF(H9362="EIF",5.4)))))))</f>
        <v/>
      </c>
      <c r="M9362" s="112" t="str">
        <f t="shared" si="149"/>
        <v/>
      </c>
      <c r="N9362" s="113"/>
    </row>
    <row r="9363" spans="2:14">
      <c r="B9363" s="105"/>
      <c r="C9363" s="106"/>
      <c r="D9363" s="107"/>
      <c r="E9363" s="65"/>
      <c r="F9363" s="64"/>
      <c r="G9363" s="64"/>
      <c r="H9363" s="64"/>
      <c r="I9363" s="70"/>
      <c r="J9363" s="70"/>
      <c r="K9363" s="110" t="str">
        <f>IF(H9363="","",IF($C$29="간이법","",FPR(H9363,I9363,J9363)))</f>
        <v/>
      </c>
      <c r="L9363" s="111" t="str">
        <f>IF(H9363="","",IF($C$29="상세법",FPV(H9363,K9363),IF(H9363="EI",4,IF(H9363="EO",5.2,IF(H9363="EQ",3.9,IF(H9363="ILF",7.5,IF(H9363="EIF",5.4)))))))</f>
        <v/>
      </c>
      <c r="M9363" s="112" t="str">
        <f t="shared" si="149"/>
        <v/>
      </c>
      <c r="N9363" s="113"/>
    </row>
    <row r="9364" spans="2:14">
      <c r="B9364" s="105"/>
      <c r="C9364" s="106"/>
      <c r="D9364" s="107"/>
      <c r="E9364" s="65"/>
      <c r="F9364" s="64"/>
      <c r="G9364" s="64"/>
      <c r="H9364" s="64"/>
      <c r="I9364" s="70"/>
      <c r="J9364" s="70"/>
      <c r="K9364" s="110" t="str">
        <f>IF(H9364="","",IF($C$29="간이법","",FPR(H9364,I9364,J9364)))</f>
        <v/>
      </c>
      <c r="L9364" s="111" t="str">
        <f>IF(H9364="","",IF($C$29="상세법",FPV(H9364,K9364),IF(H9364="EI",4,IF(H9364="EO",5.2,IF(H9364="EQ",3.9,IF(H9364="ILF",7.5,IF(H9364="EIF",5.4)))))))</f>
        <v/>
      </c>
      <c r="M9364" s="112" t="str">
        <f t="shared" si="149"/>
        <v/>
      </c>
      <c r="N9364" s="113"/>
    </row>
    <row r="9365" spans="2:14">
      <c r="B9365" s="105"/>
      <c r="C9365" s="106"/>
      <c r="D9365" s="107"/>
      <c r="E9365" s="65"/>
      <c r="F9365" s="64"/>
      <c r="G9365" s="64"/>
      <c r="H9365" s="64"/>
      <c r="I9365" s="70"/>
      <c r="J9365" s="70"/>
      <c r="K9365" s="110" t="str">
        <f>IF(H9365="","",IF($C$29="간이법","",FPR(H9365,I9365,J9365)))</f>
        <v/>
      </c>
      <c r="L9365" s="111" t="str">
        <f>IF(H9365="","",IF($C$29="상세법",FPV(H9365,K9365),IF(H9365="EI",4,IF(H9365="EO",5.2,IF(H9365="EQ",3.9,IF(H9365="ILF",7.5,IF(H9365="EIF",5.4)))))))</f>
        <v/>
      </c>
      <c r="M9365" s="112" t="str">
        <f t="shared" si="149"/>
        <v/>
      </c>
      <c r="N9365" s="113"/>
    </row>
    <row r="9366" spans="2:14">
      <c r="B9366" s="105"/>
      <c r="C9366" s="106"/>
      <c r="D9366" s="107"/>
      <c r="E9366" s="65"/>
      <c r="F9366" s="64"/>
      <c r="G9366" s="64"/>
      <c r="H9366" s="64"/>
      <c r="I9366" s="70"/>
      <c r="J9366" s="70"/>
      <c r="K9366" s="110" t="str">
        <f>IF(H9366="","",IF($C$29="간이법","",FPR(H9366,I9366,J9366)))</f>
        <v/>
      </c>
      <c r="L9366" s="111" t="str">
        <f>IF(H9366="","",IF($C$29="상세법",FPV(H9366,K9366),IF(H9366="EI",4,IF(H9366="EO",5.2,IF(H9366="EQ",3.9,IF(H9366="ILF",7.5,IF(H9366="EIF",5.4)))))))</f>
        <v/>
      </c>
      <c r="M9366" s="112" t="str">
        <f t="shared" si="149"/>
        <v/>
      </c>
      <c r="N9366" s="113"/>
    </row>
    <row r="9367" spans="2:14">
      <c r="B9367" s="105"/>
      <c r="C9367" s="106"/>
      <c r="D9367" s="107"/>
      <c r="E9367" s="65"/>
      <c r="F9367" s="64"/>
      <c r="G9367" s="64"/>
      <c r="H9367" s="64"/>
      <c r="I9367" s="70"/>
      <c r="J9367" s="70"/>
      <c r="K9367" s="110" t="str">
        <f>IF(H9367="","",IF($C$29="간이법","",FPR(H9367,I9367,J9367)))</f>
        <v/>
      </c>
      <c r="L9367" s="111" t="str">
        <f>IF(H9367="","",IF($C$29="상세법",FPV(H9367,K9367),IF(H9367="EI",4,IF(H9367="EO",5.2,IF(H9367="EQ",3.9,IF(H9367="ILF",7.5,IF(H9367="EIF",5.4)))))))</f>
        <v/>
      </c>
      <c r="M9367" s="112" t="str">
        <f t="shared" si="149"/>
        <v/>
      </c>
      <c r="N9367" s="113"/>
    </row>
    <row r="9368" spans="2:14">
      <c r="B9368" s="105"/>
      <c r="C9368" s="106"/>
      <c r="D9368" s="107"/>
      <c r="E9368" s="65"/>
      <c r="F9368" s="64"/>
      <c r="G9368" s="64"/>
      <c r="H9368" s="64"/>
      <c r="I9368" s="70"/>
      <c r="J9368" s="70"/>
      <c r="K9368" s="110" t="str">
        <f>IF(H9368="","",IF($C$29="간이법","",FPR(H9368,I9368,J9368)))</f>
        <v/>
      </c>
      <c r="L9368" s="111" t="str">
        <f>IF(H9368="","",IF($C$29="상세법",FPV(H9368,K9368),IF(H9368="EI",4,IF(H9368="EO",5.2,IF(H9368="EQ",3.9,IF(H9368="ILF",7.5,IF(H9368="EIF",5.4)))))))</f>
        <v/>
      </c>
      <c r="M9368" s="112" t="str">
        <f t="shared" si="149"/>
        <v/>
      </c>
      <c r="N9368" s="113"/>
    </row>
    <row r="9369" spans="2:14">
      <c r="B9369" s="105"/>
      <c r="C9369" s="106"/>
      <c r="D9369" s="107"/>
      <c r="E9369" s="65"/>
      <c r="F9369" s="64"/>
      <c r="G9369" s="64"/>
      <c r="H9369" s="64"/>
      <c r="I9369" s="70"/>
      <c r="J9369" s="70"/>
      <c r="K9369" s="110" t="str">
        <f>IF(H9369="","",IF($C$29="간이법","",FPR(H9369,I9369,J9369)))</f>
        <v/>
      </c>
      <c r="L9369" s="111" t="str">
        <f>IF(H9369="","",IF($C$29="상세법",FPV(H9369,K9369),IF(H9369="EI",4,IF(H9369="EO",5.2,IF(H9369="EQ",3.9,IF(H9369="ILF",7.5,IF(H9369="EIF",5.4)))))))</f>
        <v/>
      </c>
      <c r="M9369" s="112" t="str">
        <f t="shared" si="149"/>
        <v/>
      </c>
      <c r="N9369" s="113"/>
    </row>
    <row r="9370" spans="2:14">
      <c r="B9370" s="105"/>
      <c r="C9370" s="106"/>
      <c r="D9370" s="107"/>
      <c r="E9370" s="65"/>
      <c r="F9370" s="64"/>
      <c r="G9370" s="64"/>
      <c r="H9370" s="64"/>
      <c r="I9370" s="70"/>
      <c r="J9370" s="70"/>
      <c r="K9370" s="110" t="str">
        <f>IF(H9370="","",IF($C$29="간이법","",FPR(H9370,I9370,J9370)))</f>
        <v/>
      </c>
      <c r="L9370" s="111" t="str">
        <f>IF(H9370="","",IF($C$29="상세법",FPV(H9370,K9370),IF(H9370="EI",4,IF(H9370="EO",5.2,IF(H9370="EQ",3.9,IF(H9370="ILF",7.5,IF(H9370="EIF",5.4)))))))</f>
        <v/>
      </c>
      <c r="M9370" s="112" t="str">
        <f t="shared" si="149"/>
        <v/>
      </c>
      <c r="N9370" s="113"/>
    </row>
    <row r="9371" spans="2:14">
      <c r="B9371" s="105"/>
      <c r="C9371" s="106"/>
      <c r="D9371" s="107"/>
      <c r="E9371" s="65"/>
      <c r="F9371" s="64"/>
      <c r="G9371" s="64"/>
      <c r="H9371" s="64"/>
      <c r="I9371" s="70"/>
      <c r="J9371" s="70"/>
      <c r="K9371" s="110" t="str">
        <f>IF(H9371="","",IF($C$29="간이법","",FPR(H9371,I9371,J9371)))</f>
        <v/>
      </c>
      <c r="L9371" s="111" t="str">
        <f>IF(H9371="","",IF($C$29="상세법",FPV(H9371,K9371),IF(H9371="EI",4,IF(H9371="EO",5.2,IF(H9371="EQ",3.9,IF(H9371="ILF",7.5,IF(H9371="EIF",5.4)))))))</f>
        <v/>
      </c>
      <c r="M9371" s="112" t="str">
        <f t="shared" si="149"/>
        <v/>
      </c>
      <c r="N9371" s="113"/>
    </row>
    <row r="9372" spans="2:14">
      <c r="B9372" s="105"/>
      <c r="C9372" s="106"/>
      <c r="D9372" s="107"/>
      <c r="E9372" s="65"/>
      <c r="F9372" s="64"/>
      <c r="G9372" s="64"/>
      <c r="H9372" s="64"/>
      <c r="I9372" s="70"/>
      <c r="J9372" s="70"/>
      <c r="K9372" s="110" t="str">
        <f>IF(H9372="","",IF($C$29="간이법","",FPR(H9372,I9372,J9372)))</f>
        <v/>
      </c>
      <c r="L9372" s="111" t="str">
        <f>IF(H9372="","",IF($C$29="상세법",FPV(H9372,K9372),IF(H9372="EI",4,IF(H9372="EO",5.2,IF(H9372="EQ",3.9,IF(H9372="ILF",7.5,IF(H9372="EIF",5.4)))))))</f>
        <v/>
      </c>
      <c r="M9372" s="112" t="str">
        <f t="shared" si="149"/>
        <v/>
      </c>
      <c r="N9372" s="113"/>
    </row>
    <row r="9373" spans="2:14">
      <c r="B9373" s="105"/>
      <c r="C9373" s="106"/>
      <c r="D9373" s="107"/>
      <c r="E9373" s="65"/>
      <c r="F9373" s="64"/>
      <c r="G9373" s="64"/>
      <c r="H9373" s="64"/>
      <c r="I9373" s="70"/>
      <c r="J9373" s="70"/>
      <c r="K9373" s="110" t="str">
        <f>IF(H9373="","",IF($C$29="간이법","",FPR(H9373,I9373,J9373)))</f>
        <v/>
      </c>
      <c r="L9373" s="111" t="str">
        <f>IF(H9373="","",IF($C$29="상세법",FPV(H9373,K9373),IF(H9373="EI",4,IF(H9373="EO",5.2,IF(H9373="EQ",3.9,IF(H9373="ILF",7.5,IF(H9373="EIF",5.4)))))))</f>
        <v/>
      </c>
      <c r="M9373" s="112" t="str">
        <f t="shared" si="149"/>
        <v/>
      </c>
      <c r="N9373" s="113"/>
    </row>
    <row r="9374" spans="2:14">
      <c r="B9374" s="105"/>
      <c r="C9374" s="106"/>
      <c r="D9374" s="107"/>
      <c r="E9374" s="65"/>
      <c r="F9374" s="64"/>
      <c r="G9374" s="64"/>
      <c r="H9374" s="64"/>
      <c r="I9374" s="70"/>
      <c r="J9374" s="70"/>
      <c r="K9374" s="110" t="str">
        <f>IF(H9374="","",IF($C$29="간이법","",FPR(H9374,I9374,J9374)))</f>
        <v/>
      </c>
      <c r="L9374" s="111" t="str">
        <f>IF(H9374="","",IF($C$29="상세법",FPV(H9374,K9374),IF(H9374="EI",4,IF(H9374="EO",5.2,IF(H9374="EQ",3.9,IF(H9374="ILF",7.5,IF(H9374="EIF",5.4)))))))</f>
        <v/>
      </c>
      <c r="M9374" s="112" t="str">
        <f t="shared" si="149"/>
        <v/>
      </c>
      <c r="N9374" s="113"/>
    </row>
    <row r="9375" spans="2:14">
      <c r="B9375" s="105"/>
      <c r="C9375" s="106"/>
      <c r="D9375" s="107"/>
      <c r="E9375" s="65"/>
      <c r="F9375" s="64"/>
      <c r="G9375" s="64"/>
      <c r="H9375" s="64"/>
      <c r="I9375" s="70"/>
      <c r="J9375" s="70"/>
      <c r="K9375" s="110" t="str">
        <f>IF(H9375="","",IF($C$29="간이법","",FPR(H9375,I9375,J9375)))</f>
        <v/>
      </c>
      <c r="L9375" s="111" t="str">
        <f>IF(H9375="","",IF($C$29="상세법",FPV(H9375,K9375),IF(H9375="EI",4,IF(H9375="EO",5.2,IF(H9375="EQ",3.9,IF(H9375="ILF",7.5,IF(H9375="EIF",5.4)))))))</f>
        <v/>
      </c>
      <c r="M9375" s="112" t="str">
        <f t="shared" si="149"/>
        <v/>
      </c>
      <c r="N9375" s="113"/>
    </row>
    <row r="9376" spans="2:14">
      <c r="B9376" s="105"/>
      <c r="C9376" s="106"/>
      <c r="D9376" s="107"/>
      <c r="E9376" s="65"/>
      <c r="F9376" s="64"/>
      <c r="G9376" s="64"/>
      <c r="H9376" s="64"/>
      <c r="I9376" s="70"/>
      <c r="J9376" s="70"/>
      <c r="K9376" s="110" t="str">
        <f>IF(H9376="","",IF($C$29="간이법","",FPR(H9376,I9376,J9376)))</f>
        <v/>
      </c>
      <c r="L9376" s="111" t="str">
        <f>IF(H9376="","",IF($C$29="상세법",FPV(H9376,K9376),IF(H9376="EI",4,IF(H9376="EO",5.2,IF(H9376="EQ",3.9,IF(H9376="ILF",7.5,IF(H9376="EIF",5.4)))))))</f>
        <v/>
      </c>
      <c r="M9376" s="112" t="str">
        <f t="shared" si="149"/>
        <v/>
      </c>
      <c r="N9376" s="113"/>
    </row>
    <row r="9377" spans="2:14">
      <c r="B9377" s="105"/>
      <c r="C9377" s="106"/>
      <c r="D9377" s="107"/>
      <c r="E9377" s="65"/>
      <c r="F9377" s="64"/>
      <c r="G9377" s="64"/>
      <c r="H9377" s="64"/>
      <c r="I9377" s="70"/>
      <c r="J9377" s="70"/>
      <c r="K9377" s="110" t="str">
        <f>IF(H9377="","",IF($C$29="간이법","",FPR(H9377,I9377,J9377)))</f>
        <v/>
      </c>
      <c r="L9377" s="111" t="str">
        <f>IF(H9377="","",IF($C$29="상세법",FPV(H9377,K9377),IF(H9377="EI",4,IF(H9377="EO",5.2,IF(H9377="EQ",3.9,IF(H9377="ILF",7.5,IF(H9377="EIF",5.4)))))))</f>
        <v/>
      </c>
      <c r="M9377" s="112" t="str">
        <f t="shared" si="149"/>
        <v/>
      </c>
      <c r="N9377" s="113"/>
    </row>
    <row r="9378" spans="2:14">
      <c r="B9378" s="105"/>
      <c r="C9378" s="106"/>
      <c r="D9378" s="107"/>
      <c r="E9378" s="65"/>
      <c r="F9378" s="64"/>
      <c r="G9378" s="64"/>
      <c r="H9378" s="64"/>
      <c r="I9378" s="70"/>
      <c r="J9378" s="70"/>
      <c r="K9378" s="110" t="str">
        <f>IF(H9378="","",IF($C$29="간이법","",FPR(H9378,I9378,J9378)))</f>
        <v/>
      </c>
      <c r="L9378" s="111" t="str">
        <f>IF(H9378="","",IF($C$29="상세법",FPV(H9378,K9378),IF(H9378="EI",4,IF(H9378="EO",5.2,IF(H9378="EQ",3.9,IF(H9378="ILF",7.5,IF(H9378="EIF",5.4)))))))</f>
        <v/>
      </c>
      <c r="M9378" s="112" t="str">
        <f t="shared" si="149"/>
        <v/>
      </c>
      <c r="N9378" s="113"/>
    </row>
    <row r="9379" spans="2:14">
      <c r="B9379" s="105"/>
      <c r="C9379" s="106"/>
      <c r="D9379" s="107"/>
      <c r="E9379" s="65"/>
      <c r="F9379" s="64"/>
      <c r="G9379" s="64"/>
      <c r="H9379" s="64"/>
      <c r="I9379" s="70"/>
      <c r="J9379" s="70"/>
      <c r="K9379" s="110" t="str">
        <f>IF(H9379="","",IF($C$29="간이법","",FPR(H9379,I9379,J9379)))</f>
        <v/>
      </c>
      <c r="L9379" s="111" t="str">
        <f>IF(H9379="","",IF($C$29="상세법",FPV(H9379,K9379),IF(H9379="EI",4,IF(H9379="EO",5.2,IF(H9379="EQ",3.9,IF(H9379="ILF",7.5,IF(H9379="EIF",5.4)))))))</f>
        <v/>
      </c>
      <c r="M9379" s="112" t="str">
        <f t="shared" si="149"/>
        <v/>
      </c>
      <c r="N9379" s="113"/>
    </row>
    <row r="9380" spans="2:14">
      <c r="B9380" s="105"/>
      <c r="C9380" s="106"/>
      <c r="D9380" s="107"/>
      <c r="E9380" s="65"/>
      <c r="F9380" s="64"/>
      <c r="G9380" s="64"/>
      <c r="H9380" s="64"/>
      <c r="I9380" s="70"/>
      <c r="J9380" s="70"/>
      <c r="K9380" s="110" t="str">
        <f>IF(H9380="","",IF($C$29="간이법","",FPR(H9380,I9380,J9380)))</f>
        <v/>
      </c>
      <c r="L9380" s="111" t="str">
        <f>IF(H9380="","",IF($C$29="상세법",FPV(H9380,K9380),IF(H9380="EI",4,IF(H9380="EO",5.2,IF(H9380="EQ",3.9,IF(H9380="ILF",7.5,IF(H9380="EIF",5.4)))))))</f>
        <v/>
      </c>
      <c r="M9380" s="112" t="str">
        <f t="shared" si="149"/>
        <v/>
      </c>
      <c r="N9380" s="113"/>
    </row>
    <row r="9381" spans="2:14">
      <c r="B9381" s="105"/>
      <c r="C9381" s="106"/>
      <c r="D9381" s="107"/>
      <c r="E9381" s="65"/>
      <c r="F9381" s="64"/>
      <c r="G9381" s="64"/>
      <c r="H9381" s="64"/>
      <c r="I9381" s="70"/>
      <c r="J9381" s="70"/>
      <c r="K9381" s="110" t="str">
        <f>IF(H9381="","",IF($C$29="간이법","",FPR(H9381,I9381,J9381)))</f>
        <v/>
      </c>
      <c r="L9381" s="111" t="str">
        <f>IF(H9381="","",IF($C$29="상세법",FPV(H9381,K9381),IF(H9381="EI",4,IF(H9381="EO",5.2,IF(H9381="EQ",3.9,IF(H9381="ILF",7.5,IF(H9381="EIF",5.4)))))))</f>
        <v/>
      </c>
      <c r="M9381" s="112" t="str">
        <f t="shared" si="149"/>
        <v/>
      </c>
      <c r="N9381" s="113"/>
    </row>
    <row r="9382" spans="2:14">
      <c r="B9382" s="105"/>
      <c r="C9382" s="106"/>
      <c r="D9382" s="107"/>
      <c r="E9382" s="65"/>
      <c r="F9382" s="64"/>
      <c r="G9382" s="64"/>
      <c r="H9382" s="64"/>
      <c r="I9382" s="70"/>
      <c r="J9382" s="70"/>
      <c r="K9382" s="110" t="str">
        <f>IF(H9382="","",IF($C$29="간이법","",FPR(H9382,I9382,J9382)))</f>
        <v/>
      </c>
      <c r="L9382" s="111" t="str">
        <f>IF(H9382="","",IF($C$29="상세법",FPV(H9382,K9382),IF(H9382="EI",4,IF(H9382="EO",5.2,IF(H9382="EQ",3.9,IF(H9382="ILF",7.5,IF(H9382="EIF",5.4)))))))</f>
        <v/>
      </c>
      <c r="M9382" s="112" t="str">
        <f t="shared" si="149"/>
        <v/>
      </c>
      <c r="N9382" s="113"/>
    </row>
    <row r="9383" spans="2:14">
      <c r="B9383" s="105"/>
      <c r="C9383" s="106"/>
      <c r="D9383" s="107"/>
      <c r="E9383" s="65"/>
      <c r="F9383" s="64"/>
      <c r="G9383" s="64"/>
      <c r="H9383" s="64"/>
      <c r="I9383" s="70"/>
      <c r="J9383" s="70"/>
      <c r="K9383" s="110" t="str">
        <f>IF(H9383="","",IF($C$29="간이법","",FPR(H9383,I9383,J9383)))</f>
        <v/>
      </c>
      <c r="L9383" s="111" t="str">
        <f>IF(H9383="","",IF($C$29="상세법",FPV(H9383,K9383),IF(H9383="EI",4,IF(H9383="EO",5.2,IF(H9383="EQ",3.9,IF(H9383="ILF",7.5,IF(H9383="EIF",5.4)))))))</f>
        <v/>
      </c>
      <c r="M9383" s="112" t="str">
        <f t="shared" si="149"/>
        <v/>
      </c>
      <c r="N9383" s="113"/>
    </row>
    <row r="9384" spans="2:14">
      <c r="B9384" s="105"/>
      <c r="C9384" s="106"/>
      <c r="D9384" s="107"/>
      <c r="E9384" s="65"/>
      <c r="F9384" s="64"/>
      <c r="G9384" s="64"/>
      <c r="H9384" s="64"/>
      <c r="I9384" s="70"/>
      <c r="J9384" s="70"/>
      <c r="K9384" s="110" t="str">
        <f>IF(H9384="","",IF($C$29="간이법","",FPR(H9384,I9384,J9384)))</f>
        <v/>
      </c>
      <c r="L9384" s="111" t="str">
        <f>IF(H9384="","",IF($C$29="상세법",FPV(H9384,K9384),IF(H9384="EI",4,IF(H9384="EO",5.2,IF(H9384="EQ",3.9,IF(H9384="ILF",7.5,IF(H9384="EIF",5.4)))))))</f>
        <v/>
      </c>
      <c r="M9384" s="112" t="str">
        <f t="shared" si="149"/>
        <v/>
      </c>
      <c r="N9384" s="113"/>
    </row>
    <row r="9385" spans="2:14">
      <c r="B9385" s="105"/>
      <c r="C9385" s="106"/>
      <c r="D9385" s="107"/>
      <c r="E9385" s="65"/>
      <c r="F9385" s="64"/>
      <c r="G9385" s="64"/>
      <c r="H9385" s="64"/>
      <c r="I9385" s="70"/>
      <c r="J9385" s="70"/>
      <c r="K9385" s="110" t="str">
        <f>IF(H9385="","",IF($C$29="간이법","",FPR(H9385,I9385,J9385)))</f>
        <v/>
      </c>
      <c r="L9385" s="111" t="str">
        <f>IF(H9385="","",IF($C$29="상세법",FPV(H9385,K9385),IF(H9385="EI",4,IF(H9385="EO",5.2,IF(H9385="EQ",3.9,IF(H9385="ILF",7.5,IF(H9385="EIF",5.4)))))))</f>
        <v/>
      </c>
      <c r="M9385" s="112" t="str">
        <f t="shared" si="149"/>
        <v/>
      </c>
      <c r="N9385" s="113"/>
    </row>
    <row r="9386" spans="2:14">
      <c r="B9386" s="105"/>
      <c r="C9386" s="106"/>
      <c r="D9386" s="107"/>
      <c r="E9386" s="65"/>
      <c r="F9386" s="64"/>
      <c r="G9386" s="64"/>
      <c r="H9386" s="64"/>
      <c r="I9386" s="70"/>
      <c r="J9386" s="70"/>
      <c r="K9386" s="110" t="str">
        <f>IF(H9386="","",IF($C$29="간이법","",FPR(H9386,I9386,J9386)))</f>
        <v/>
      </c>
      <c r="L9386" s="111" t="str">
        <f>IF(H9386="","",IF($C$29="상세법",FPV(H9386,K9386),IF(H9386="EI",4,IF(H9386="EO",5.2,IF(H9386="EQ",3.9,IF(H9386="ILF",7.5,IF(H9386="EIF",5.4)))))))</f>
        <v/>
      </c>
      <c r="M9386" s="112" t="str">
        <f t="shared" si="149"/>
        <v/>
      </c>
      <c r="N9386" s="113"/>
    </row>
    <row r="9387" spans="2:14">
      <c r="B9387" s="105"/>
      <c r="C9387" s="106"/>
      <c r="D9387" s="107"/>
      <c r="E9387" s="65"/>
      <c r="F9387" s="64"/>
      <c r="G9387" s="64"/>
      <c r="H9387" s="64"/>
      <c r="I9387" s="70"/>
      <c r="J9387" s="70"/>
      <c r="K9387" s="110" t="str">
        <f>IF(H9387="","",IF($C$29="간이법","",FPR(H9387,I9387,J9387)))</f>
        <v/>
      </c>
      <c r="L9387" s="111" t="str">
        <f>IF(H9387="","",IF($C$29="상세법",FPV(H9387,K9387),IF(H9387="EI",4,IF(H9387="EO",5.2,IF(H9387="EQ",3.9,IF(H9387="ILF",7.5,IF(H9387="EIF",5.4)))))))</f>
        <v/>
      </c>
      <c r="M9387" s="112" t="str">
        <f t="shared" si="149"/>
        <v/>
      </c>
      <c r="N9387" s="113"/>
    </row>
    <row r="9388" spans="2:14">
      <c r="B9388" s="105"/>
      <c r="C9388" s="106"/>
      <c r="D9388" s="107"/>
      <c r="E9388" s="65"/>
      <c r="F9388" s="64"/>
      <c r="G9388" s="64"/>
      <c r="H9388" s="64"/>
      <c r="I9388" s="70"/>
      <c r="J9388" s="70"/>
      <c r="K9388" s="110" t="str">
        <f>IF(H9388="","",IF($C$29="간이법","",FPR(H9388,I9388,J9388)))</f>
        <v/>
      </c>
      <c r="L9388" s="111" t="str">
        <f>IF(H9388="","",IF($C$29="상세법",FPV(H9388,K9388),IF(H9388="EI",4,IF(H9388="EO",5.2,IF(H9388="EQ",3.9,IF(H9388="ILF",7.5,IF(H9388="EIF",5.4)))))))</f>
        <v/>
      </c>
      <c r="M9388" s="112" t="str">
        <f t="shared" si="149"/>
        <v/>
      </c>
      <c r="N9388" s="113"/>
    </row>
    <row r="9389" spans="2:14">
      <c r="B9389" s="105"/>
      <c r="C9389" s="106"/>
      <c r="D9389" s="107"/>
      <c r="E9389" s="65"/>
      <c r="F9389" s="64"/>
      <c r="G9389" s="64"/>
      <c r="H9389" s="64"/>
      <c r="I9389" s="70"/>
      <c r="J9389" s="70"/>
      <c r="K9389" s="110" t="str">
        <f>IF(H9389="","",IF($C$29="간이법","",FPR(H9389,I9389,J9389)))</f>
        <v/>
      </c>
      <c r="L9389" s="111" t="str">
        <f>IF(H9389="","",IF($C$29="상세법",FPV(H9389,K9389),IF(H9389="EI",4,IF(H9389="EO",5.2,IF(H9389="EQ",3.9,IF(H9389="ILF",7.5,IF(H9389="EIF",5.4)))))))</f>
        <v/>
      </c>
      <c r="M9389" s="112" t="str">
        <f t="shared" si="149"/>
        <v/>
      </c>
      <c r="N9389" s="113"/>
    </row>
    <row r="9390" spans="2:14">
      <c r="B9390" s="105"/>
      <c r="C9390" s="106"/>
      <c r="D9390" s="107"/>
      <c r="E9390" s="65"/>
      <c r="F9390" s="64"/>
      <c r="G9390" s="64"/>
      <c r="H9390" s="64"/>
      <c r="I9390" s="70"/>
      <c r="J9390" s="70"/>
      <c r="K9390" s="110" t="str">
        <f>IF(H9390="","",IF($C$29="간이법","",FPR(H9390,I9390,J9390)))</f>
        <v/>
      </c>
      <c r="L9390" s="111" t="str">
        <f>IF(H9390="","",IF($C$29="상세법",FPV(H9390,K9390),IF(H9390="EI",4,IF(H9390="EO",5.2,IF(H9390="EQ",3.9,IF(H9390="ILF",7.5,IF(H9390="EIF",5.4)))))))</f>
        <v/>
      </c>
      <c r="M9390" s="112" t="str">
        <f t="shared" si="149"/>
        <v/>
      </c>
      <c r="N9390" s="113"/>
    </row>
    <row r="9391" spans="2:14">
      <c r="B9391" s="105"/>
      <c r="C9391" s="106"/>
      <c r="D9391" s="107"/>
      <c r="E9391" s="65"/>
      <c r="F9391" s="64"/>
      <c r="G9391" s="64"/>
      <c r="H9391" s="64"/>
      <c r="I9391" s="70"/>
      <c r="J9391" s="70"/>
      <c r="K9391" s="110" t="str">
        <f>IF(H9391="","",IF($C$29="간이법","",FPR(H9391,I9391,J9391)))</f>
        <v/>
      </c>
      <c r="L9391" s="111" t="str">
        <f>IF(H9391="","",IF($C$29="상세법",FPV(H9391,K9391),IF(H9391="EI",4,IF(H9391="EO",5.2,IF(H9391="EQ",3.9,IF(H9391="ILF",7.5,IF(H9391="EIF",5.4)))))))</f>
        <v/>
      </c>
      <c r="M9391" s="112" t="str">
        <f t="shared" si="149"/>
        <v/>
      </c>
      <c r="N9391" s="113"/>
    </row>
    <row r="9392" spans="2:14">
      <c r="B9392" s="105"/>
      <c r="C9392" s="106"/>
      <c r="D9392" s="107"/>
      <c r="E9392" s="65"/>
      <c r="F9392" s="64"/>
      <c r="G9392" s="64"/>
      <c r="H9392" s="64"/>
      <c r="I9392" s="70"/>
      <c r="J9392" s="70"/>
      <c r="K9392" s="110" t="str">
        <f>IF(H9392="","",IF($C$29="간이법","",FPR(H9392,I9392,J9392)))</f>
        <v/>
      </c>
      <c r="L9392" s="111" t="str">
        <f>IF(H9392="","",IF($C$29="상세법",FPV(H9392,K9392),IF(H9392="EI",4,IF(H9392="EO",5.2,IF(H9392="EQ",3.9,IF(H9392="ILF",7.5,IF(H9392="EIF",5.4)))))))</f>
        <v/>
      </c>
      <c r="M9392" s="112" t="str">
        <f t="shared" si="149"/>
        <v/>
      </c>
      <c r="N9392" s="113"/>
    </row>
    <row r="9393" spans="2:14">
      <c r="B9393" s="105"/>
      <c r="C9393" s="106"/>
      <c r="D9393" s="107"/>
      <c r="E9393" s="65"/>
      <c r="F9393" s="64"/>
      <c r="G9393" s="64"/>
      <c r="H9393" s="64"/>
      <c r="I9393" s="70"/>
      <c r="J9393" s="70"/>
      <c r="K9393" s="110" t="str">
        <f>IF(H9393="","",IF($C$29="간이법","",FPR(H9393,I9393,J9393)))</f>
        <v/>
      </c>
      <c r="L9393" s="111" t="str">
        <f>IF(H9393="","",IF($C$29="상세법",FPV(H9393,K9393),IF(H9393="EI",4,IF(H9393="EO",5.2,IF(H9393="EQ",3.9,IF(H9393="ILF",7.5,IF(H9393="EIF",5.4)))))))</f>
        <v/>
      </c>
      <c r="M9393" s="112" t="str">
        <f t="shared" si="149"/>
        <v/>
      </c>
      <c r="N9393" s="113"/>
    </row>
    <row r="9394" spans="2:14">
      <c r="B9394" s="105"/>
      <c r="C9394" s="106"/>
      <c r="D9394" s="107"/>
      <c r="E9394" s="65"/>
      <c r="F9394" s="64"/>
      <c r="G9394" s="64"/>
      <c r="H9394" s="64"/>
      <c r="I9394" s="70"/>
      <c r="J9394" s="70"/>
      <c r="K9394" s="110" t="str">
        <f>IF(H9394="","",IF($C$29="간이법","",FPR(H9394,I9394,J9394)))</f>
        <v/>
      </c>
      <c r="L9394" s="111" t="str">
        <f>IF(H9394="","",IF($C$29="상세법",FPV(H9394,K9394),IF(H9394="EI",4,IF(H9394="EO",5.2,IF(H9394="EQ",3.9,IF(H9394="ILF",7.5,IF(H9394="EIF",5.4)))))))</f>
        <v/>
      </c>
      <c r="M9394" s="112" t="str">
        <f t="shared" si="149"/>
        <v/>
      </c>
      <c r="N9394" s="113"/>
    </row>
    <row r="9395" spans="2:14">
      <c r="B9395" s="105"/>
      <c r="C9395" s="106"/>
      <c r="D9395" s="107"/>
      <c r="E9395" s="65"/>
      <c r="F9395" s="64"/>
      <c r="G9395" s="64"/>
      <c r="H9395" s="64"/>
      <c r="I9395" s="70"/>
      <c r="J9395" s="70"/>
      <c r="K9395" s="110" t="str">
        <f>IF(H9395="","",IF($C$29="간이법","",FPR(H9395,I9395,J9395)))</f>
        <v/>
      </c>
      <c r="L9395" s="111" t="str">
        <f>IF(H9395="","",IF($C$29="상세법",FPV(H9395,K9395),IF(H9395="EI",4,IF(H9395="EO",5.2,IF(H9395="EQ",3.9,IF(H9395="ILF",7.5,IF(H9395="EIF",5.4)))))))</f>
        <v/>
      </c>
      <c r="M9395" s="112" t="str">
        <f t="shared" si="149"/>
        <v/>
      </c>
      <c r="N9395" s="113"/>
    </row>
    <row r="9396" spans="2:14">
      <c r="B9396" s="105"/>
      <c r="C9396" s="106"/>
      <c r="D9396" s="107"/>
      <c r="E9396" s="65"/>
      <c r="F9396" s="64"/>
      <c r="G9396" s="64"/>
      <c r="H9396" s="64"/>
      <c r="I9396" s="70"/>
      <c r="J9396" s="70"/>
      <c r="K9396" s="110" t="str">
        <f>IF(H9396="","",IF($C$29="간이법","",FPR(H9396,I9396,J9396)))</f>
        <v/>
      </c>
      <c r="L9396" s="111" t="str">
        <f>IF(H9396="","",IF($C$29="상세법",FPV(H9396,K9396),IF(H9396="EI",4,IF(H9396="EO",5.2,IF(H9396="EQ",3.9,IF(H9396="ILF",7.5,IF(H9396="EIF",5.4)))))))</f>
        <v/>
      </c>
      <c r="M9396" s="112" t="str">
        <f t="shared" si="149"/>
        <v/>
      </c>
      <c r="N9396" s="113"/>
    </row>
    <row r="9397" spans="2:14">
      <c r="B9397" s="105"/>
      <c r="C9397" s="106"/>
      <c r="D9397" s="107"/>
      <c r="E9397" s="65"/>
      <c r="F9397" s="64"/>
      <c r="G9397" s="64"/>
      <c r="H9397" s="64"/>
      <c r="I9397" s="70"/>
      <c r="J9397" s="70"/>
      <c r="K9397" s="110" t="str">
        <f>IF(H9397="","",IF($C$29="간이법","",FPR(H9397,I9397,J9397)))</f>
        <v/>
      </c>
      <c r="L9397" s="111" t="str">
        <f>IF(H9397="","",IF($C$29="상세법",FPV(H9397,K9397),IF(H9397="EI",4,IF(H9397="EO",5.2,IF(H9397="EQ",3.9,IF(H9397="ILF",7.5,IF(H9397="EIF",5.4)))))))</f>
        <v/>
      </c>
      <c r="M9397" s="112" t="str">
        <f t="shared" si="149"/>
        <v/>
      </c>
      <c r="N9397" s="113"/>
    </row>
    <row r="9398" spans="2:14">
      <c r="B9398" s="105"/>
      <c r="C9398" s="106"/>
      <c r="D9398" s="107"/>
      <c r="E9398" s="65"/>
      <c r="F9398" s="64"/>
      <c r="G9398" s="64"/>
      <c r="H9398" s="64"/>
      <c r="I9398" s="70"/>
      <c r="J9398" s="70"/>
      <c r="K9398" s="110" t="str">
        <f>IF(H9398="","",IF($C$29="간이법","",FPR(H9398,I9398,J9398)))</f>
        <v/>
      </c>
      <c r="L9398" s="111" t="str">
        <f>IF(H9398="","",IF($C$29="상세법",FPV(H9398,K9398),IF(H9398="EI",4,IF(H9398="EO",5.2,IF(H9398="EQ",3.9,IF(H9398="ILF",7.5,IF(H9398="EIF",5.4)))))))</f>
        <v/>
      </c>
      <c r="M9398" s="112" t="str">
        <f t="shared" si="149"/>
        <v/>
      </c>
      <c r="N9398" s="113"/>
    </row>
    <row r="9399" spans="2:14">
      <c r="B9399" s="105"/>
      <c r="C9399" s="106"/>
      <c r="D9399" s="107"/>
      <c r="E9399" s="65"/>
      <c r="F9399" s="64"/>
      <c r="G9399" s="64"/>
      <c r="H9399" s="64"/>
      <c r="I9399" s="70"/>
      <c r="J9399" s="70"/>
      <c r="K9399" s="110" t="str">
        <f>IF(H9399="","",IF($C$29="간이법","",FPR(H9399,I9399,J9399)))</f>
        <v/>
      </c>
      <c r="L9399" s="111" t="str">
        <f>IF(H9399="","",IF($C$29="상세법",FPV(H9399,K9399),IF(H9399="EI",4,IF(H9399="EO",5.2,IF(H9399="EQ",3.9,IF(H9399="ILF",7.5,IF(H9399="EIF",5.4)))))))</f>
        <v/>
      </c>
      <c r="M9399" s="112" t="str">
        <f t="shared" si="149"/>
        <v/>
      </c>
      <c r="N9399" s="113"/>
    </row>
    <row r="9400" spans="2:14">
      <c r="B9400" s="105"/>
      <c r="C9400" s="106"/>
      <c r="D9400" s="107"/>
      <c r="E9400" s="65"/>
      <c r="F9400" s="64"/>
      <c r="G9400" s="64"/>
      <c r="H9400" s="64"/>
      <c r="I9400" s="70"/>
      <c r="J9400" s="70"/>
      <c r="K9400" s="110" t="str">
        <f>IF(H9400="","",IF($C$29="간이법","",FPR(H9400,I9400,J9400)))</f>
        <v/>
      </c>
      <c r="L9400" s="111" t="str">
        <f>IF(H9400="","",IF($C$29="상세법",FPV(H9400,K9400),IF(H9400="EI",4,IF(H9400="EO",5.2,IF(H9400="EQ",3.9,IF(H9400="ILF",7.5,IF(H9400="EIF",5.4)))))))</f>
        <v/>
      </c>
      <c r="M9400" s="112" t="str">
        <f t="shared" si="149"/>
        <v/>
      </c>
      <c r="N9400" s="113"/>
    </row>
    <row r="9401" spans="2:14">
      <c r="B9401" s="105"/>
      <c r="C9401" s="106"/>
      <c r="D9401" s="107"/>
      <c r="E9401" s="65"/>
      <c r="F9401" s="64"/>
      <c r="G9401" s="64"/>
      <c r="H9401" s="64"/>
      <c r="I9401" s="70"/>
      <c r="J9401" s="70"/>
      <c r="K9401" s="110" t="str">
        <f>IF(H9401="","",IF($C$29="간이법","",FPR(H9401,I9401,J9401)))</f>
        <v/>
      </c>
      <c r="L9401" s="111" t="str">
        <f>IF(H9401="","",IF($C$29="상세법",FPV(H9401,K9401),IF(H9401="EI",4,IF(H9401="EO",5.2,IF(H9401="EQ",3.9,IF(H9401="ILF",7.5,IF(H9401="EIF",5.4)))))))</f>
        <v/>
      </c>
      <c r="M9401" s="112" t="str">
        <f t="shared" ref="M9401:M9464" si="150">IF(L9401="","",L9401*IF(G9401="상",0.7,IF(G9401="중",0.5,IF(G9401="하",0.2,1))))</f>
        <v/>
      </c>
      <c r="N9401" s="113"/>
    </row>
    <row r="9402" spans="2:14">
      <c r="B9402" s="105"/>
      <c r="C9402" s="106"/>
      <c r="D9402" s="107"/>
      <c r="E9402" s="65"/>
      <c r="F9402" s="64"/>
      <c r="G9402" s="64"/>
      <c r="H9402" s="64"/>
      <c r="I9402" s="70"/>
      <c r="J9402" s="70"/>
      <c r="K9402" s="110" t="str">
        <f>IF(H9402="","",IF($C$29="간이법","",FPR(H9402,I9402,J9402)))</f>
        <v/>
      </c>
      <c r="L9402" s="111" t="str">
        <f>IF(H9402="","",IF($C$29="상세법",FPV(H9402,K9402),IF(H9402="EI",4,IF(H9402="EO",5.2,IF(H9402="EQ",3.9,IF(H9402="ILF",7.5,IF(H9402="EIF",5.4)))))))</f>
        <v/>
      </c>
      <c r="M9402" s="112" t="str">
        <f t="shared" si="150"/>
        <v/>
      </c>
      <c r="N9402" s="113"/>
    </row>
    <row r="9403" spans="2:14">
      <c r="B9403" s="105"/>
      <c r="C9403" s="106"/>
      <c r="D9403" s="107"/>
      <c r="E9403" s="65"/>
      <c r="F9403" s="64"/>
      <c r="G9403" s="64"/>
      <c r="H9403" s="64"/>
      <c r="I9403" s="70"/>
      <c r="J9403" s="70"/>
      <c r="K9403" s="110" t="str">
        <f>IF(H9403="","",IF($C$29="간이법","",FPR(H9403,I9403,J9403)))</f>
        <v/>
      </c>
      <c r="L9403" s="111" t="str">
        <f>IF(H9403="","",IF($C$29="상세법",FPV(H9403,K9403),IF(H9403="EI",4,IF(H9403="EO",5.2,IF(H9403="EQ",3.9,IF(H9403="ILF",7.5,IF(H9403="EIF",5.4)))))))</f>
        <v/>
      </c>
      <c r="M9403" s="112" t="str">
        <f t="shared" si="150"/>
        <v/>
      </c>
      <c r="N9403" s="113"/>
    </row>
    <row r="9404" spans="2:14">
      <c r="B9404" s="105"/>
      <c r="C9404" s="106"/>
      <c r="D9404" s="107"/>
      <c r="E9404" s="65"/>
      <c r="F9404" s="64"/>
      <c r="G9404" s="64"/>
      <c r="H9404" s="64"/>
      <c r="I9404" s="70"/>
      <c r="J9404" s="70"/>
      <c r="K9404" s="110" t="str">
        <f>IF(H9404="","",IF($C$29="간이법","",FPR(H9404,I9404,J9404)))</f>
        <v/>
      </c>
      <c r="L9404" s="111" t="str">
        <f>IF(H9404="","",IF($C$29="상세법",FPV(H9404,K9404),IF(H9404="EI",4,IF(H9404="EO",5.2,IF(H9404="EQ",3.9,IF(H9404="ILF",7.5,IF(H9404="EIF",5.4)))))))</f>
        <v/>
      </c>
      <c r="M9404" s="112" t="str">
        <f t="shared" si="150"/>
        <v/>
      </c>
      <c r="N9404" s="113"/>
    </row>
    <row r="9405" spans="2:14">
      <c r="B9405" s="105"/>
      <c r="C9405" s="106"/>
      <c r="D9405" s="107"/>
      <c r="E9405" s="65"/>
      <c r="F9405" s="64"/>
      <c r="G9405" s="64"/>
      <c r="H9405" s="64"/>
      <c r="I9405" s="70"/>
      <c r="J9405" s="70"/>
      <c r="K9405" s="110" t="str">
        <f>IF(H9405="","",IF($C$29="간이법","",FPR(H9405,I9405,J9405)))</f>
        <v/>
      </c>
      <c r="L9405" s="111" t="str">
        <f>IF(H9405="","",IF($C$29="상세법",FPV(H9405,K9405),IF(H9405="EI",4,IF(H9405="EO",5.2,IF(H9405="EQ",3.9,IF(H9405="ILF",7.5,IF(H9405="EIF",5.4)))))))</f>
        <v/>
      </c>
      <c r="M9405" s="112" t="str">
        <f t="shared" si="150"/>
        <v/>
      </c>
      <c r="N9405" s="113"/>
    </row>
    <row r="9406" spans="2:14">
      <c r="B9406" s="105"/>
      <c r="C9406" s="106"/>
      <c r="D9406" s="107"/>
      <c r="E9406" s="65"/>
      <c r="F9406" s="64"/>
      <c r="G9406" s="64"/>
      <c r="H9406" s="64"/>
      <c r="I9406" s="70"/>
      <c r="J9406" s="70"/>
      <c r="K9406" s="110" t="str">
        <f>IF(H9406="","",IF($C$29="간이법","",FPR(H9406,I9406,J9406)))</f>
        <v/>
      </c>
      <c r="L9406" s="111" t="str">
        <f>IF(H9406="","",IF($C$29="상세법",FPV(H9406,K9406),IF(H9406="EI",4,IF(H9406="EO",5.2,IF(H9406="EQ",3.9,IF(H9406="ILF",7.5,IF(H9406="EIF",5.4)))))))</f>
        <v/>
      </c>
      <c r="M9406" s="112" t="str">
        <f t="shared" si="150"/>
        <v/>
      </c>
      <c r="N9406" s="113"/>
    </row>
    <row r="9407" spans="2:14">
      <c r="B9407" s="105"/>
      <c r="C9407" s="106"/>
      <c r="D9407" s="107"/>
      <c r="E9407" s="65"/>
      <c r="F9407" s="64"/>
      <c r="G9407" s="64"/>
      <c r="H9407" s="64"/>
      <c r="I9407" s="70"/>
      <c r="J9407" s="70"/>
      <c r="K9407" s="110" t="str">
        <f>IF(H9407="","",IF($C$29="간이법","",FPR(H9407,I9407,J9407)))</f>
        <v/>
      </c>
      <c r="L9407" s="111" t="str">
        <f>IF(H9407="","",IF($C$29="상세법",FPV(H9407,K9407),IF(H9407="EI",4,IF(H9407="EO",5.2,IF(H9407="EQ",3.9,IF(H9407="ILF",7.5,IF(H9407="EIF",5.4)))))))</f>
        <v/>
      </c>
      <c r="M9407" s="112" t="str">
        <f t="shared" si="150"/>
        <v/>
      </c>
      <c r="N9407" s="113"/>
    </row>
    <row r="9408" spans="2:14">
      <c r="B9408" s="105"/>
      <c r="C9408" s="106"/>
      <c r="D9408" s="107"/>
      <c r="E9408" s="65"/>
      <c r="F9408" s="64"/>
      <c r="G9408" s="64"/>
      <c r="H9408" s="64"/>
      <c r="I9408" s="70"/>
      <c r="J9408" s="70"/>
      <c r="K9408" s="110" t="str">
        <f>IF(H9408="","",IF($C$29="간이법","",FPR(H9408,I9408,J9408)))</f>
        <v/>
      </c>
      <c r="L9408" s="111" t="str">
        <f>IF(H9408="","",IF($C$29="상세법",FPV(H9408,K9408),IF(H9408="EI",4,IF(H9408="EO",5.2,IF(H9408="EQ",3.9,IF(H9408="ILF",7.5,IF(H9408="EIF",5.4)))))))</f>
        <v/>
      </c>
      <c r="M9408" s="112" t="str">
        <f t="shared" si="150"/>
        <v/>
      </c>
      <c r="N9408" s="113"/>
    </row>
    <row r="9409" spans="2:14">
      <c r="B9409" s="105"/>
      <c r="C9409" s="106"/>
      <c r="D9409" s="107"/>
      <c r="E9409" s="65"/>
      <c r="F9409" s="64"/>
      <c r="G9409" s="64"/>
      <c r="H9409" s="64"/>
      <c r="I9409" s="70"/>
      <c r="J9409" s="70"/>
      <c r="K9409" s="110" t="str">
        <f>IF(H9409="","",IF($C$29="간이법","",FPR(H9409,I9409,J9409)))</f>
        <v/>
      </c>
      <c r="L9409" s="111" t="str">
        <f>IF(H9409="","",IF($C$29="상세법",FPV(H9409,K9409),IF(H9409="EI",4,IF(H9409="EO",5.2,IF(H9409="EQ",3.9,IF(H9409="ILF",7.5,IF(H9409="EIF",5.4)))))))</f>
        <v/>
      </c>
      <c r="M9409" s="112" t="str">
        <f t="shared" si="150"/>
        <v/>
      </c>
      <c r="N9409" s="113"/>
    </row>
    <row r="9410" spans="2:14">
      <c r="B9410" s="105"/>
      <c r="C9410" s="106"/>
      <c r="D9410" s="107"/>
      <c r="E9410" s="65"/>
      <c r="F9410" s="64"/>
      <c r="G9410" s="64"/>
      <c r="H9410" s="64"/>
      <c r="I9410" s="70"/>
      <c r="J9410" s="70"/>
      <c r="K9410" s="110" t="str">
        <f>IF(H9410="","",IF($C$29="간이법","",FPR(H9410,I9410,J9410)))</f>
        <v/>
      </c>
      <c r="L9410" s="111" t="str">
        <f>IF(H9410="","",IF($C$29="상세법",FPV(H9410,K9410),IF(H9410="EI",4,IF(H9410="EO",5.2,IF(H9410="EQ",3.9,IF(H9410="ILF",7.5,IF(H9410="EIF",5.4)))))))</f>
        <v/>
      </c>
      <c r="M9410" s="112" t="str">
        <f t="shared" si="150"/>
        <v/>
      </c>
      <c r="N9410" s="113"/>
    </row>
    <row r="9411" spans="2:14">
      <c r="B9411" s="105"/>
      <c r="C9411" s="106"/>
      <c r="D9411" s="107"/>
      <c r="E9411" s="65"/>
      <c r="F9411" s="64"/>
      <c r="G9411" s="64"/>
      <c r="H9411" s="64"/>
      <c r="I9411" s="70"/>
      <c r="J9411" s="70"/>
      <c r="K9411" s="110" t="str">
        <f>IF(H9411="","",IF($C$29="간이법","",FPR(H9411,I9411,J9411)))</f>
        <v/>
      </c>
      <c r="L9411" s="111" t="str">
        <f>IF(H9411="","",IF($C$29="상세법",FPV(H9411,K9411),IF(H9411="EI",4,IF(H9411="EO",5.2,IF(H9411="EQ",3.9,IF(H9411="ILF",7.5,IF(H9411="EIF",5.4)))))))</f>
        <v/>
      </c>
      <c r="M9411" s="112" t="str">
        <f t="shared" si="150"/>
        <v/>
      </c>
      <c r="N9411" s="113"/>
    </row>
    <row r="9412" spans="2:14">
      <c r="B9412" s="105"/>
      <c r="C9412" s="106"/>
      <c r="D9412" s="107"/>
      <c r="E9412" s="65"/>
      <c r="F9412" s="64"/>
      <c r="G9412" s="64"/>
      <c r="H9412" s="64"/>
      <c r="I9412" s="70"/>
      <c r="J9412" s="70"/>
      <c r="K9412" s="110" t="str">
        <f>IF(H9412="","",IF($C$29="간이법","",FPR(H9412,I9412,J9412)))</f>
        <v/>
      </c>
      <c r="L9412" s="111" t="str">
        <f>IF(H9412="","",IF($C$29="상세법",FPV(H9412,K9412),IF(H9412="EI",4,IF(H9412="EO",5.2,IF(H9412="EQ",3.9,IF(H9412="ILF",7.5,IF(H9412="EIF",5.4)))))))</f>
        <v/>
      </c>
      <c r="M9412" s="112" t="str">
        <f t="shared" si="150"/>
        <v/>
      </c>
      <c r="N9412" s="113"/>
    </row>
    <row r="9413" spans="2:14">
      <c r="B9413" s="105"/>
      <c r="C9413" s="106"/>
      <c r="D9413" s="107"/>
      <c r="E9413" s="65"/>
      <c r="F9413" s="64"/>
      <c r="G9413" s="64"/>
      <c r="H9413" s="64"/>
      <c r="I9413" s="70"/>
      <c r="J9413" s="70"/>
      <c r="K9413" s="110" t="str">
        <f>IF(H9413="","",IF($C$29="간이법","",FPR(H9413,I9413,J9413)))</f>
        <v/>
      </c>
      <c r="L9413" s="111" t="str">
        <f>IF(H9413="","",IF($C$29="상세법",FPV(H9413,K9413),IF(H9413="EI",4,IF(H9413="EO",5.2,IF(H9413="EQ",3.9,IF(H9413="ILF",7.5,IF(H9413="EIF",5.4)))))))</f>
        <v/>
      </c>
      <c r="M9413" s="112" t="str">
        <f t="shared" si="150"/>
        <v/>
      </c>
      <c r="N9413" s="113"/>
    </row>
    <row r="9414" spans="2:14">
      <c r="B9414" s="105"/>
      <c r="C9414" s="106"/>
      <c r="D9414" s="107"/>
      <c r="E9414" s="65"/>
      <c r="F9414" s="64"/>
      <c r="G9414" s="64"/>
      <c r="H9414" s="64"/>
      <c r="I9414" s="70"/>
      <c r="J9414" s="70"/>
      <c r="K9414" s="110" t="str">
        <f>IF(H9414="","",IF($C$29="간이법","",FPR(H9414,I9414,J9414)))</f>
        <v/>
      </c>
      <c r="L9414" s="111" t="str">
        <f>IF(H9414="","",IF($C$29="상세법",FPV(H9414,K9414),IF(H9414="EI",4,IF(H9414="EO",5.2,IF(H9414="EQ",3.9,IF(H9414="ILF",7.5,IF(H9414="EIF",5.4)))))))</f>
        <v/>
      </c>
      <c r="M9414" s="112" t="str">
        <f t="shared" si="150"/>
        <v/>
      </c>
      <c r="N9414" s="113"/>
    </row>
    <row r="9415" spans="2:14">
      <c r="B9415" s="105"/>
      <c r="C9415" s="106"/>
      <c r="D9415" s="107"/>
      <c r="E9415" s="65"/>
      <c r="F9415" s="64"/>
      <c r="G9415" s="64"/>
      <c r="H9415" s="64"/>
      <c r="I9415" s="70"/>
      <c r="J9415" s="70"/>
      <c r="K9415" s="110" t="str">
        <f>IF(H9415="","",IF($C$29="간이법","",FPR(H9415,I9415,J9415)))</f>
        <v/>
      </c>
      <c r="L9415" s="111" t="str">
        <f>IF(H9415="","",IF($C$29="상세법",FPV(H9415,K9415),IF(H9415="EI",4,IF(H9415="EO",5.2,IF(H9415="EQ",3.9,IF(H9415="ILF",7.5,IF(H9415="EIF",5.4)))))))</f>
        <v/>
      </c>
      <c r="M9415" s="112" t="str">
        <f t="shared" si="150"/>
        <v/>
      </c>
      <c r="N9415" s="113"/>
    </row>
    <row r="9416" spans="2:14">
      <c r="B9416" s="105"/>
      <c r="C9416" s="106"/>
      <c r="D9416" s="107"/>
      <c r="E9416" s="65"/>
      <c r="F9416" s="64"/>
      <c r="G9416" s="64"/>
      <c r="H9416" s="64"/>
      <c r="I9416" s="70"/>
      <c r="J9416" s="70"/>
      <c r="K9416" s="110" t="str">
        <f>IF(H9416="","",IF($C$29="간이법","",FPR(H9416,I9416,J9416)))</f>
        <v/>
      </c>
      <c r="L9416" s="111" t="str">
        <f>IF(H9416="","",IF($C$29="상세법",FPV(H9416,K9416),IF(H9416="EI",4,IF(H9416="EO",5.2,IF(H9416="EQ",3.9,IF(H9416="ILF",7.5,IF(H9416="EIF",5.4)))))))</f>
        <v/>
      </c>
      <c r="M9416" s="112" t="str">
        <f t="shared" si="150"/>
        <v/>
      </c>
      <c r="N9416" s="113"/>
    </row>
    <row r="9417" spans="2:14">
      <c r="B9417" s="105"/>
      <c r="C9417" s="106"/>
      <c r="D9417" s="107"/>
      <c r="E9417" s="65"/>
      <c r="F9417" s="64"/>
      <c r="G9417" s="64"/>
      <c r="H9417" s="64"/>
      <c r="I9417" s="70"/>
      <c r="J9417" s="70"/>
      <c r="K9417" s="110" t="str">
        <f>IF(H9417="","",IF($C$29="간이법","",FPR(H9417,I9417,J9417)))</f>
        <v/>
      </c>
      <c r="L9417" s="111" t="str">
        <f>IF(H9417="","",IF($C$29="상세법",FPV(H9417,K9417),IF(H9417="EI",4,IF(H9417="EO",5.2,IF(H9417="EQ",3.9,IF(H9417="ILF",7.5,IF(H9417="EIF",5.4)))))))</f>
        <v/>
      </c>
      <c r="M9417" s="112" t="str">
        <f t="shared" si="150"/>
        <v/>
      </c>
      <c r="N9417" s="113"/>
    </row>
    <row r="9418" spans="2:14">
      <c r="B9418" s="105"/>
      <c r="C9418" s="106"/>
      <c r="D9418" s="107"/>
      <c r="E9418" s="65"/>
      <c r="F9418" s="64"/>
      <c r="G9418" s="64"/>
      <c r="H9418" s="64"/>
      <c r="I9418" s="70"/>
      <c r="J9418" s="70"/>
      <c r="K9418" s="110" t="str">
        <f>IF(H9418="","",IF($C$29="간이법","",FPR(H9418,I9418,J9418)))</f>
        <v/>
      </c>
      <c r="L9418" s="111" t="str">
        <f>IF(H9418="","",IF($C$29="상세법",FPV(H9418,K9418),IF(H9418="EI",4,IF(H9418="EO",5.2,IF(H9418="EQ",3.9,IF(H9418="ILF",7.5,IF(H9418="EIF",5.4)))))))</f>
        <v/>
      </c>
      <c r="M9418" s="112" t="str">
        <f t="shared" si="150"/>
        <v/>
      </c>
      <c r="N9418" s="113"/>
    </row>
    <row r="9419" spans="2:14">
      <c r="B9419" s="105"/>
      <c r="C9419" s="106"/>
      <c r="D9419" s="107"/>
      <c r="E9419" s="65"/>
      <c r="F9419" s="64"/>
      <c r="G9419" s="64"/>
      <c r="H9419" s="64"/>
      <c r="I9419" s="70"/>
      <c r="J9419" s="70"/>
      <c r="K9419" s="110" t="str">
        <f>IF(H9419="","",IF($C$29="간이법","",FPR(H9419,I9419,J9419)))</f>
        <v/>
      </c>
      <c r="L9419" s="111" t="str">
        <f>IF(H9419="","",IF($C$29="상세법",FPV(H9419,K9419),IF(H9419="EI",4,IF(H9419="EO",5.2,IF(H9419="EQ",3.9,IF(H9419="ILF",7.5,IF(H9419="EIF",5.4)))))))</f>
        <v/>
      </c>
      <c r="M9419" s="112" t="str">
        <f t="shared" si="150"/>
        <v/>
      </c>
      <c r="N9419" s="113"/>
    </row>
    <row r="9420" spans="2:14">
      <c r="B9420" s="105"/>
      <c r="C9420" s="106"/>
      <c r="D9420" s="107"/>
      <c r="E9420" s="65"/>
      <c r="F9420" s="64"/>
      <c r="G9420" s="64"/>
      <c r="H9420" s="64"/>
      <c r="I9420" s="70"/>
      <c r="J9420" s="70"/>
      <c r="K9420" s="110" t="str">
        <f>IF(H9420="","",IF($C$29="간이법","",FPR(H9420,I9420,J9420)))</f>
        <v/>
      </c>
      <c r="L9420" s="111" t="str">
        <f>IF(H9420="","",IF($C$29="상세법",FPV(H9420,K9420),IF(H9420="EI",4,IF(H9420="EO",5.2,IF(H9420="EQ",3.9,IF(H9420="ILF",7.5,IF(H9420="EIF",5.4)))))))</f>
        <v/>
      </c>
      <c r="M9420" s="112" t="str">
        <f t="shared" si="150"/>
        <v/>
      </c>
      <c r="N9420" s="113"/>
    </row>
    <row r="9421" spans="2:14">
      <c r="B9421" s="105"/>
      <c r="C9421" s="106"/>
      <c r="D9421" s="107"/>
      <c r="E9421" s="65"/>
      <c r="F9421" s="64"/>
      <c r="G9421" s="64"/>
      <c r="H9421" s="64"/>
      <c r="I9421" s="70"/>
      <c r="J9421" s="70"/>
      <c r="K9421" s="110" t="str">
        <f>IF(H9421="","",IF($C$29="간이법","",FPR(H9421,I9421,J9421)))</f>
        <v/>
      </c>
      <c r="L9421" s="111" t="str">
        <f>IF(H9421="","",IF($C$29="상세법",FPV(H9421,K9421),IF(H9421="EI",4,IF(H9421="EO",5.2,IF(H9421="EQ",3.9,IF(H9421="ILF",7.5,IF(H9421="EIF",5.4)))))))</f>
        <v/>
      </c>
      <c r="M9421" s="112" t="str">
        <f t="shared" si="150"/>
        <v/>
      </c>
      <c r="N9421" s="113"/>
    </row>
    <row r="9422" spans="2:14">
      <c r="B9422" s="105"/>
      <c r="C9422" s="106"/>
      <c r="D9422" s="107"/>
      <c r="E9422" s="65"/>
      <c r="F9422" s="64"/>
      <c r="G9422" s="64"/>
      <c r="H9422" s="64"/>
      <c r="I9422" s="70"/>
      <c r="J9422" s="70"/>
      <c r="K9422" s="110" t="str">
        <f>IF(H9422="","",IF($C$29="간이법","",FPR(H9422,I9422,J9422)))</f>
        <v/>
      </c>
      <c r="L9422" s="111" t="str">
        <f>IF(H9422="","",IF($C$29="상세법",FPV(H9422,K9422),IF(H9422="EI",4,IF(H9422="EO",5.2,IF(H9422="EQ",3.9,IF(H9422="ILF",7.5,IF(H9422="EIF",5.4)))))))</f>
        <v/>
      </c>
      <c r="M9422" s="112" t="str">
        <f t="shared" si="150"/>
        <v/>
      </c>
      <c r="N9422" s="113"/>
    </row>
    <row r="9423" spans="2:14">
      <c r="B9423" s="105"/>
      <c r="C9423" s="106"/>
      <c r="D9423" s="107"/>
      <c r="E9423" s="65"/>
      <c r="F9423" s="64"/>
      <c r="G9423" s="64"/>
      <c r="H9423" s="64"/>
      <c r="I9423" s="70"/>
      <c r="J9423" s="70"/>
      <c r="K9423" s="110" t="str">
        <f>IF(H9423="","",IF($C$29="간이법","",FPR(H9423,I9423,J9423)))</f>
        <v/>
      </c>
      <c r="L9423" s="111" t="str">
        <f>IF(H9423="","",IF($C$29="상세법",FPV(H9423,K9423),IF(H9423="EI",4,IF(H9423="EO",5.2,IF(H9423="EQ",3.9,IF(H9423="ILF",7.5,IF(H9423="EIF",5.4)))))))</f>
        <v/>
      </c>
      <c r="M9423" s="112" t="str">
        <f t="shared" si="150"/>
        <v/>
      </c>
      <c r="N9423" s="113"/>
    </row>
    <row r="9424" spans="2:14">
      <c r="B9424" s="105"/>
      <c r="C9424" s="106"/>
      <c r="D9424" s="107"/>
      <c r="E9424" s="65"/>
      <c r="F9424" s="64"/>
      <c r="G9424" s="64"/>
      <c r="H9424" s="64"/>
      <c r="I9424" s="70"/>
      <c r="J9424" s="70"/>
      <c r="K9424" s="110" t="str">
        <f>IF(H9424="","",IF($C$29="간이법","",FPR(H9424,I9424,J9424)))</f>
        <v/>
      </c>
      <c r="L9424" s="111" t="str">
        <f>IF(H9424="","",IF($C$29="상세법",FPV(H9424,K9424),IF(H9424="EI",4,IF(H9424="EO",5.2,IF(H9424="EQ",3.9,IF(H9424="ILF",7.5,IF(H9424="EIF",5.4)))))))</f>
        <v/>
      </c>
      <c r="M9424" s="112" t="str">
        <f t="shared" si="150"/>
        <v/>
      </c>
      <c r="N9424" s="113"/>
    </row>
    <row r="9425" spans="2:14">
      <c r="B9425" s="105"/>
      <c r="C9425" s="106"/>
      <c r="D9425" s="107"/>
      <c r="E9425" s="65"/>
      <c r="F9425" s="64"/>
      <c r="G9425" s="64"/>
      <c r="H9425" s="64"/>
      <c r="I9425" s="70"/>
      <c r="J9425" s="70"/>
      <c r="K9425" s="110" t="str">
        <f>IF(H9425="","",IF($C$29="간이법","",FPR(H9425,I9425,J9425)))</f>
        <v/>
      </c>
      <c r="L9425" s="111" t="str">
        <f>IF(H9425="","",IF($C$29="상세법",FPV(H9425,K9425),IF(H9425="EI",4,IF(H9425="EO",5.2,IF(H9425="EQ",3.9,IF(H9425="ILF",7.5,IF(H9425="EIF",5.4)))))))</f>
        <v/>
      </c>
      <c r="M9425" s="112" t="str">
        <f t="shared" si="150"/>
        <v/>
      </c>
      <c r="N9425" s="113"/>
    </row>
    <row r="9426" spans="2:14">
      <c r="B9426" s="105"/>
      <c r="C9426" s="106"/>
      <c r="D9426" s="107"/>
      <c r="E9426" s="65"/>
      <c r="F9426" s="64"/>
      <c r="G9426" s="64"/>
      <c r="H9426" s="64"/>
      <c r="I9426" s="70"/>
      <c r="J9426" s="70"/>
      <c r="K9426" s="110" t="str">
        <f>IF(H9426="","",IF($C$29="간이법","",FPR(H9426,I9426,J9426)))</f>
        <v/>
      </c>
      <c r="L9426" s="111" t="str">
        <f>IF(H9426="","",IF($C$29="상세법",FPV(H9426,K9426),IF(H9426="EI",4,IF(H9426="EO",5.2,IF(H9426="EQ",3.9,IF(H9426="ILF",7.5,IF(H9426="EIF",5.4)))))))</f>
        <v/>
      </c>
      <c r="M9426" s="112" t="str">
        <f t="shared" si="150"/>
        <v/>
      </c>
      <c r="N9426" s="113"/>
    </row>
    <row r="9427" spans="2:14">
      <c r="B9427" s="105"/>
      <c r="C9427" s="106"/>
      <c r="D9427" s="107"/>
      <c r="E9427" s="65"/>
      <c r="F9427" s="64"/>
      <c r="G9427" s="64"/>
      <c r="H9427" s="64"/>
      <c r="I9427" s="70"/>
      <c r="J9427" s="70"/>
      <c r="K9427" s="110" t="str">
        <f>IF(H9427="","",IF($C$29="간이법","",FPR(H9427,I9427,J9427)))</f>
        <v/>
      </c>
      <c r="L9427" s="111" t="str">
        <f>IF(H9427="","",IF($C$29="상세법",FPV(H9427,K9427),IF(H9427="EI",4,IF(H9427="EO",5.2,IF(H9427="EQ",3.9,IF(H9427="ILF",7.5,IF(H9427="EIF",5.4)))))))</f>
        <v/>
      </c>
      <c r="M9427" s="112" t="str">
        <f t="shared" si="150"/>
        <v/>
      </c>
      <c r="N9427" s="113"/>
    </row>
    <row r="9428" spans="2:14">
      <c r="B9428" s="105"/>
      <c r="C9428" s="106"/>
      <c r="D9428" s="107"/>
      <c r="E9428" s="65"/>
      <c r="F9428" s="64"/>
      <c r="G9428" s="64"/>
      <c r="H9428" s="64"/>
      <c r="I9428" s="70"/>
      <c r="J9428" s="70"/>
      <c r="K9428" s="110" t="str">
        <f>IF(H9428="","",IF($C$29="간이법","",FPR(H9428,I9428,J9428)))</f>
        <v/>
      </c>
      <c r="L9428" s="111" t="str">
        <f>IF(H9428="","",IF($C$29="상세법",FPV(H9428,K9428),IF(H9428="EI",4,IF(H9428="EO",5.2,IF(H9428="EQ",3.9,IF(H9428="ILF",7.5,IF(H9428="EIF",5.4)))))))</f>
        <v/>
      </c>
      <c r="M9428" s="112" t="str">
        <f t="shared" si="150"/>
        <v/>
      </c>
      <c r="N9428" s="113"/>
    </row>
    <row r="9429" spans="2:14">
      <c r="B9429" s="105"/>
      <c r="C9429" s="106"/>
      <c r="D9429" s="107"/>
      <c r="E9429" s="65"/>
      <c r="F9429" s="64"/>
      <c r="G9429" s="64"/>
      <c r="H9429" s="64"/>
      <c r="I9429" s="70"/>
      <c r="J9429" s="70"/>
      <c r="K9429" s="110" t="str">
        <f>IF(H9429="","",IF($C$29="간이법","",FPR(H9429,I9429,J9429)))</f>
        <v/>
      </c>
      <c r="L9429" s="111" t="str">
        <f>IF(H9429="","",IF($C$29="상세법",FPV(H9429,K9429),IF(H9429="EI",4,IF(H9429="EO",5.2,IF(H9429="EQ",3.9,IF(H9429="ILF",7.5,IF(H9429="EIF",5.4)))))))</f>
        <v/>
      </c>
      <c r="M9429" s="112" t="str">
        <f t="shared" si="150"/>
        <v/>
      </c>
      <c r="N9429" s="113"/>
    </row>
    <row r="9430" spans="2:14">
      <c r="B9430" s="105"/>
      <c r="C9430" s="106"/>
      <c r="D9430" s="107"/>
      <c r="E9430" s="65"/>
      <c r="F9430" s="64"/>
      <c r="G9430" s="64"/>
      <c r="H9430" s="64"/>
      <c r="I9430" s="70"/>
      <c r="J9430" s="70"/>
      <c r="K9430" s="110" t="str">
        <f>IF(H9430="","",IF($C$29="간이법","",FPR(H9430,I9430,J9430)))</f>
        <v/>
      </c>
      <c r="L9430" s="111" t="str">
        <f>IF(H9430="","",IF($C$29="상세법",FPV(H9430,K9430),IF(H9430="EI",4,IF(H9430="EO",5.2,IF(H9430="EQ",3.9,IF(H9430="ILF",7.5,IF(H9430="EIF",5.4)))))))</f>
        <v/>
      </c>
      <c r="M9430" s="112" t="str">
        <f t="shared" si="150"/>
        <v/>
      </c>
      <c r="N9430" s="113"/>
    </row>
    <row r="9431" spans="2:14">
      <c r="B9431" s="105"/>
      <c r="C9431" s="106"/>
      <c r="D9431" s="107"/>
      <c r="E9431" s="65"/>
      <c r="F9431" s="64"/>
      <c r="G9431" s="64"/>
      <c r="H9431" s="64"/>
      <c r="I9431" s="70"/>
      <c r="J9431" s="70"/>
      <c r="K9431" s="110" t="str">
        <f>IF(H9431="","",IF($C$29="간이법","",FPR(H9431,I9431,J9431)))</f>
        <v/>
      </c>
      <c r="L9431" s="111" t="str">
        <f>IF(H9431="","",IF($C$29="상세법",FPV(H9431,K9431),IF(H9431="EI",4,IF(H9431="EO",5.2,IF(H9431="EQ",3.9,IF(H9431="ILF",7.5,IF(H9431="EIF",5.4)))))))</f>
        <v/>
      </c>
      <c r="M9431" s="112" t="str">
        <f t="shared" si="150"/>
        <v/>
      </c>
      <c r="N9431" s="113"/>
    </row>
    <row r="9432" spans="2:14">
      <c r="B9432" s="105"/>
      <c r="C9432" s="106"/>
      <c r="D9432" s="107"/>
      <c r="E9432" s="65"/>
      <c r="F9432" s="64"/>
      <c r="G9432" s="64"/>
      <c r="H9432" s="64"/>
      <c r="I9432" s="70"/>
      <c r="J9432" s="70"/>
      <c r="K9432" s="110" t="str">
        <f>IF(H9432="","",IF($C$29="간이법","",FPR(H9432,I9432,J9432)))</f>
        <v/>
      </c>
      <c r="L9432" s="111" t="str">
        <f>IF(H9432="","",IF($C$29="상세법",FPV(H9432,K9432),IF(H9432="EI",4,IF(H9432="EO",5.2,IF(H9432="EQ",3.9,IF(H9432="ILF",7.5,IF(H9432="EIF",5.4)))))))</f>
        <v/>
      </c>
      <c r="M9432" s="112" t="str">
        <f t="shared" si="150"/>
        <v/>
      </c>
      <c r="N9432" s="113"/>
    </row>
    <row r="9433" spans="2:14">
      <c r="B9433" s="105"/>
      <c r="C9433" s="106"/>
      <c r="D9433" s="107"/>
      <c r="E9433" s="65"/>
      <c r="F9433" s="64"/>
      <c r="G9433" s="64"/>
      <c r="H9433" s="64"/>
      <c r="I9433" s="70"/>
      <c r="J9433" s="70"/>
      <c r="K9433" s="110" t="str">
        <f>IF(H9433="","",IF($C$29="간이법","",FPR(H9433,I9433,J9433)))</f>
        <v/>
      </c>
      <c r="L9433" s="111" t="str">
        <f>IF(H9433="","",IF($C$29="상세법",FPV(H9433,K9433),IF(H9433="EI",4,IF(H9433="EO",5.2,IF(H9433="EQ",3.9,IF(H9433="ILF",7.5,IF(H9433="EIF",5.4)))))))</f>
        <v/>
      </c>
      <c r="M9433" s="112" t="str">
        <f t="shared" si="150"/>
        <v/>
      </c>
      <c r="N9433" s="113"/>
    </row>
    <row r="9434" spans="2:14">
      <c r="B9434" s="105"/>
      <c r="C9434" s="106"/>
      <c r="D9434" s="107"/>
      <c r="E9434" s="65"/>
      <c r="F9434" s="64"/>
      <c r="G9434" s="64"/>
      <c r="H9434" s="64"/>
      <c r="I9434" s="70"/>
      <c r="J9434" s="70"/>
      <c r="K9434" s="110" t="str">
        <f>IF(H9434="","",IF($C$29="간이법","",FPR(H9434,I9434,J9434)))</f>
        <v/>
      </c>
      <c r="L9434" s="111" t="str">
        <f>IF(H9434="","",IF($C$29="상세법",FPV(H9434,K9434),IF(H9434="EI",4,IF(H9434="EO",5.2,IF(H9434="EQ",3.9,IF(H9434="ILF",7.5,IF(H9434="EIF",5.4)))))))</f>
        <v/>
      </c>
      <c r="M9434" s="112" t="str">
        <f t="shared" si="150"/>
        <v/>
      </c>
      <c r="N9434" s="113"/>
    </row>
    <row r="9435" spans="2:14">
      <c r="B9435" s="105"/>
      <c r="C9435" s="106"/>
      <c r="D9435" s="107"/>
      <c r="E9435" s="65"/>
      <c r="F9435" s="64"/>
      <c r="G9435" s="64"/>
      <c r="H9435" s="64"/>
      <c r="I9435" s="70"/>
      <c r="J9435" s="70"/>
      <c r="K9435" s="110" t="str">
        <f>IF(H9435="","",IF($C$29="간이법","",FPR(H9435,I9435,J9435)))</f>
        <v/>
      </c>
      <c r="L9435" s="111" t="str">
        <f>IF(H9435="","",IF($C$29="상세법",FPV(H9435,K9435),IF(H9435="EI",4,IF(H9435="EO",5.2,IF(H9435="EQ",3.9,IF(H9435="ILF",7.5,IF(H9435="EIF",5.4)))))))</f>
        <v/>
      </c>
      <c r="M9435" s="112" t="str">
        <f t="shared" si="150"/>
        <v/>
      </c>
      <c r="N9435" s="113"/>
    </row>
    <row r="9436" spans="2:14">
      <c r="B9436" s="105"/>
      <c r="C9436" s="106"/>
      <c r="D9436" s="107"/>
      <c r="E9436" s="65"/>
      <c r="F9436" s="64"/>
      <c r="G9436" s="64"/>
      <c r="H9436" s="64"/>
      <c r="I9436" s="70"/>
      <c r="J9436" s="70"/>
      <c r="K9436" s="110" t="str">
        <f>IF(H9436="","",IF($C$29="간이법","",FPR(H9436,I9436,J9436)))</f>
        <v/>
      </c>
      <c r="L9436" s="111" t="str">
        <f>IF(H9436="","",IF($C$29="상세법",FPV(H9436,K9436),IF(H9436="EI",4,IF(H9436="EO",5.2,IF(H9436="EQ",3.9,IF(H9436="ILF",7.5,IF(H9436="EIF",5.4)))))))</f>
        <v/>
      </c>
      <c r="M9436" s="112" t="str">
        <f t="shared" si="150"/>
        <v/>
      </c>
      <c r="N9436" s="113"/>
    </row>
    <row r="9437" spans="2:14">
      <c r="B9437" s="105"/>
      <c r="C9437" s="106"/>
      <c r="D9437" s="107"/>
      <c r="E9437" s="65"/>
      <c r="F9437" s="64"/>
      <c r="G9437" s="64"/>
      <c r="H9437" s="64"/>
      <c r="I9437" s="70"/>
      <c r="J9437" s="70"/>
      <c r="K9437" s="110" t="str">
        <f>IF(H9437="","",IF($C$29="간이법","",FPR(H9437,I9437,J9437)))</f>
        <v/>
      </c>
      <c r="L9437" s="111" t="str">
        <f>IF(H9437="","",IF($C$29="상세법",FPV(H9437,K9437),IF(H9437="EI",4,IF(H9437="EO",5.2,IF(H9437="EQ",3.9,IF(H9437="ILF",7.5,IF(H9437="EIF",5.4)))))))</f>
        <v/>
      </c>
      <c r="M9437" s="112" t="str">
        <f t="shared" si="150"/>
        <v/>
      </c>
      <c r="N9437" s="113"/>
    </row>
    <row r="9438" spans="2:14">
      <c r="B9438" s="105"/>
      <c r="C9438" s="106"/>
      <c r="D9438" s="107"/>
      <c r="E9438" s="65"/>
      <c r="F9438" s="64"/>
      <c r="G9438" s="64"/>
      <c r="H9438" s="64"/>
      <c r="I9438" s="70"/>
      <c r="J9438" s="70"/>
      <c r="K9438" s="110" t="str">
        <f>IF(H9438="","",IF($C$29="간이법","",FPR(H9438,I9438,J9438)))</f>
        <v/>
      </c>
      <c r="L9438" s="111" t="str">
        <f>IF(H9438="","",IF($C$29="상세법",FPV(H9438,K9438),IF(H9438="EI",4,IF(H9438="EO",5.2,IF(H9438="EQ",3.9,IF(H9438="ILF",7.5,IF(H9438="EIF",5.4)))))))</f>
        <v/>
      </c>
      <c r="M9438" s="112" t="str">
        <f t="shared" si="150"/>
        <v/>
      </c>
      <c r="N9438" s="113"/>
    </row>
    <row r="9439" spans="2:14">
      <c r="B9439" s="105"/>
      <c r="C9439" s="106"/>
      <c r="D9439" s="107"/>
      <c r="E9439" s="65"/>
      <c r="F9439" s="64"/>
      <c r="G9439" s="64"/>
      <c r="H9439" s="64"/>
      <c r="I9439" s="70"/>
      <c r="J9439" s="70"/>
      <c r="K9439" s="110" t="str">
        <f>IF(H9439="","",IF($C$29="간이법","",FPR(H9439,I9439,J9439)))</f>
        <v/>
      </c>
      <c r="L9439" s="111" t="str">
        <f>IF(H9439="","",IF($C$29="상세법",FPV(H9439,K9439),IF(H9439="EI",4,IF(H9439="EO",5.2,IF(H9439="EQ",3.9,IF(H9439="ILF",7.5,IF(H9439="EIF",5.4)))))))</f>
        <v/>
      </c>
      <c r="M9439" s="112" t="str">
        <f t="shared" si="150"/>
        <v/>
      </c>
      <c r="N9439" s="113"/>
    </row>
    <row r="9440" spans="2:14">
      <c r="B9440" s="105"/>
      <c r="C9440" s="106"/>
      <c r="D9440" s="107"/>
      <c r="E9440" s="65"/>
      <c r="F9440" s="64"/>
      <c r="G9440" s="64"/>
      <c r="H9440" s="64"/>
      <c r="I9440" s="70"/>
      <c r="J9440" s="70"/>
      <c r="K9440" s="110" t="str">
        <f>IF(H9440="","",IF($C$29="간이법","",FPR(H9440,I9440,J9440)))</f>
        <v/>
      </c>
      <c r="L9440" s="111" t="str">
        <f>IF(H9440="","",IF($C$29="상세법",FPV(H9440,K9440),IF(H9440="EI",4,IF(H9440="EO",5.2,IF(H9440="EQ",3.9,IF(H9440="ILF",7.5,IF(H9440="EIF",5.4)))))))</f>
        <v/>
      </c>
      <c r="M9440" s="112" t="str">
        <f t="shared" si="150"/>
        <v/>
      </c>
      <c r="N9440" s="113"/>
    </row>
    <row r="9441" spans="2:14">
      <c r="B9441" s="105"/>
      <c r="C9441" s="106"/>
      <c r="D9441" s="107"/>
      <c r="E9441" s="65"/>
      <c r="F9441" s="64"/>
      <c r="G9441" s="64"/>
      <c r="H9441" s="64"/>
      <c r="I9441" s="70"/>
      <c r="J9441" s="70"/>
      <c r="K9441" s="110" t="str">
        <f>IF(H9441="","",IF($C$29="간이법","",FPR(H9441,I9441,J9441)))</f>
        <v/>
      </c>
      <c r="L9441" s="111" t="str">
        <f>IF(H9441="","",IF($C$29="상세법",FPV(H9441,K9441),IF(H9441="EI",4,IF(H9441="EO",5.2,IF(H9441="EQ",3.9,IF(H9441="ILF",7.5,IF(H9441="EIF",5.4)))))))</f>
        <v/>
      </c>
      <c r="M9441" s="112" t="str">
        <f t="shared" si="150"/>
        <v/>
      </c>
      <c r="N9441" s="113"/>
    </row>
    <row r="9442" spans="2:14">
      <c r="B9442" s="105"/>
      <c r="C9442" s="106"/>
      <c r="D9442" s="107"/>
      <c r="E9442" s="65"/>
      <c r="F9442" s="64"/>
      <c r="G9442" s="64"/>
      <c r="H9442" s="64"/>
      <c r="I9442" s="70"/>
      <c r="J9442" s="70"/>
      <c r="K9442" s="110" t="str">
        <f>IF(H9442="","",IF($C$29="간이법","",FPR(H9442,I9442,J9442)))</f>
        <v/>
      </c>
      <c r="L9442" s="111" t="str">
        <f>IF(H9442="","",IF($C$29="상세법",FPV(H9442,K9442),IF(H9442="EI",4,IF(H9442="EO",5.2,IF(H9442="EQ",3.9,IF(H9442="ILF",7.5,IF(H9442="EIF",5.4)))))))</f>
        <v/>
      </c>
      <c r="M9442" s="112" t="str">
        <f t="shared" si="150"/>
        <v/>
      </c>
      <c r="N9442" s="113"/>
    </row>
    <row r="9443" spans="2:14">
      <c r="B9443" s="105"/>
      <c r="C9443" s="106"/>
      <c r="D9443" s="107"/>
      <c r="E9443" s="65"/>
      <c r="F9443" s="64"/>
      <c r="G9443" s="64"/>
      <c r="H9443" s="64"/>
      <c r="I9443" s="70"/>
      <c r="J9443" s="70"/>
      <c r="K9443" s="110" t="str">
        <f>IF(H9443="","",IF($C$29="간이법","",FPR(H9443,I9443,J9443)))</f>
        <v/>
      </c>
      <c r="L9443" s="111" t="str">
        <f>IF(H9443="","",IF($C$29="상세법",FPV(H9443,K9443),IF(H9443="EI",4,IF(H9443="EO",5.2,IF(H9443="EQ",3.9,IF(H9443="ILF",7.5,IF(H9443="EIF",5.4)))))))</f>
        <v/>
      </c>
      <c r="M9443" s="112" t="str">
        <f t="shared" si="150"/>
        <v/>
      </c>
      <c r="N9443" s="113"/>
    </row>
    <row r="9444" spans="2:14">
      <c r="B9444" s="105"/>
      <c r="C9444" s="106"/>
      <c r="D9444" s="107"/>
      <c r="E9444" s="65"/>
      <c r="F9444" s="64"/>
      <c r="G9444" s="64"/>
      <c r="H9444" s="64"/>
      <c r="I9444" s="70"/>
      <c r="J9444" s="70"/>
      <c r="K9444" s="110" t="str">
        <f>IF(H9444="","",IF($C$29="간이법","",FPR(H9444,I9444,J9444)))</f>
        <v/>
      </c>
      <c r="L9444" s="111" t="str">
        <f>IF(H9444="","",IF($C$29="상세법",FPV(H9444,K9444),IF(H9444="EI",4,IF(H9444="EO",5.2,IF(H9444="EQ",3.9,IF(H9444="ILF",7.5,IF(H9444="EIF",5.4)))))))</f>
        <v/>
      </c>
      <c r="M9444" s="112" t="str">
        <f t="shared" si="150"/>
        <v/>
      </c>
      <c r="N9444" s="113"/>
    </row>
    <row r="9445" spans="2:14">
      <c r="B9445" s="105"/>
      <c r="C9445" s="106"/>
      <c r="D9445" s="107"/>
      <c r="E9445" s="65"/>
      <c r="F9445" s="64"/>
      <c r="G9445" s="64"/>
      <c r="H9445" s="64"/>
      <c r="I9445" s="70"/>
      <c r="J9445" s="70"/>
      <c r="K9445" s="110" t="str">
        <f>IF(H9445="","",IF($C$29="간이법","",FPR(H9445,I9445,J9445)))</f>
        <v/>
      </c>
      <c r="L9445" s="111" t="str">
        <f>IF(H9445="","",IF($C$29="상세법",FPV(H9445,K9445),IF(H9445="EI",4,IF(H9445="EO",5.2,IF(H9445="EQ",3.9,IF(H9445="ILF",7.5,IF(H9445="EIF",5.4)))))))</f>
        <v/>
      </c>
      <c r="M9445" s="112" t="str">
        <f t="shared" si="150"/>
        <v/>
      </c>
      <c r="N9445" s="113"/>
    </row>
    <row r="9446" spans="2:14">
      <c r="B9446" s="105"/>
      <c r="C9446" s="106"/>
      <c r="D9446" s="107"/>
      <c r="E9446" s="65"/>
      <c r="F9446" s="64"/>
      <c r="G9446" s="64"/>
      <c r="H9446" s="64"/>
      <c r="I9446" s="70"/>
      <c r="J9446" s="70"/>
      <c r="K9446" s="110" t="str">
        <f>IF(H9446="","",IF($C$29="간이법","",FPR(H9446,I9446,J9446)))</f>
        <v/>
      </c>
      <c r="L9446" s="111" t="str">
        <f>IF(H9446="","",IF($C$29="상세법",FPV(H9446,K9446),IF(H9446="EI",4,IF(H9446="EO",5.2,IF(H9446="EQ",3.9,IF(H9446="ILF",7.5,IF(H9446="EIF",5.4)))))))</f>
        <v/>
      </c>
      <c r="M9446" s="112" t="str">
        <f t="shared" si="150"/>
        <v/>
      </c>
      <c r="N9446" s="113"/>
    </row>
    <row r="9447" spans="2:14">
      <c r="B9447" s="105"/>
      <c r="C9447" s="106"/>
      <c r="D9447" s="107"/>
      <c r="E9447" s="65"/>
      <c r="F9447" s="64"/>
      <c r="G9447" s="64"/>
      <c r="H9447" s="64"/>
      <c r="I9447" s="70"/>
      <c r="J9447" s="70"/>
      <c r="K9447" s="110" t="str">
        <f>IF(H9447="","",IF($C$29="간이법","",FPR(H9447,I9447,J9447)))</f>
        <v/>
      </c>
      <c r="L9447" s="111" t="str">
        <f>IF(H9447="","",IF($C$29="상세법",FPV(H9447,K9447),IF(H9447="EI",4,IF(H9447="EO",5.2,IF(H9447="EQ",3.9,IF(H9447="ILF",7.5,IF(H9447="EIF",5.4)))))))</f>
        <v/>
      </c>
      <c r="M9447" s="112" t="str">
        <f t="shared" si="150"/>
        <v/>
      </c>
      <c r="N9447" s="113"/>
    </row>
    <row r="9448" spans="2:14">
      <c r="B9448" s="105"/>
      <c r="C9448" s="106"/>
      <c r="D9448" s="107"/>
      <c r="E9448" s="65"/>
      <c r="F9448" s="64"/>
      <c r="G9448" s="64"/>
      <c r="H9448" s="64"/>
      <c r="I9448" s="70"/>
      <c r="J9448" s="70"/>
      <c r="K9448" s="110" t="str">
        <f>IF(H9448="","",IF($C$29="간이법","",FPR(H9448,I9448,J9448)))</f>
        <v/>
      </c>
      <c r="L9448" s="111" t="str">
        <f>IF(H9448="","",IF($C$29="상세법",FPV(H9448,K9448),IF(H9448="EI",4,IF(H9448="EO",5.2,IF(H9448="EQ",3.9,IF(H9448="ILF",7.5,IF(H9448="EIF",5.4)))))))</f>
        <v/>
      </c>
      <c r="M9448" s="112" t="str">
        <f t="shared" si="150"/>
        <v/>
      </c>
      <c r="N9448" s="113"/>
    </row>
    <row r="9449" spans="2:14">
      <c r="B9449" s="105"/>
      <c r="C9449" s="106"/>
      <c r="D9449" s="107"/>
      <c r="E9449" s="65"/>
      <c r="F9449" s="64"/>
      <c r="G9449" s="64"/>
      <c r="H9449" s="64"/>
      <c r="I9449" s="70"/>
      <c r="J9449" s="70"/>
      <c r="K9449" s="110" t="str">
        <f>IF(H9449="","",IF($C$29="간이법","",FPR(H9449,I9449,J9449)))</f>
        <v/>
      </c>
      <c r="L9449" s="111" t="str">
        <f>IF(H9449="","",IF($C$29="상세법",FPV(H9449,K9449),IF(H9449="EI",4,IF(H9449="EO",5.2,IF(H9449="EQ",3.9,IF(H9449="ILF",7.5,IF(H9449="EIF",5.4)))))))</f>
        <v/>
      </c>
      <c r="M9449" s="112" t="str">
        <f t="shared" si="150"/>
        <v/>
      </c>
      <c r="N9449" s="113"/>
    </row>
    <row r="9450" spans="2:14">
      <c r="B9450" s="105"/>
      <c r="C9450" s="106"/>
      <c r="D9450" s="107"/>
      <c r="E9450" s="65"/>
      <c r="F9450" s="64"/>
      <c r="G9450" s="64"/>
      <c r="H9450" s="64"/>
      <c r="I9450" s="70"/>
      <c r="J9450" s="70"/>
      <c r="K9450" s="110" t="str">
        <f>IF(H9450="","",IF($C$29="간이법","",FPR(H9450,I9450,J9450)))</f>
        <v/>
      </c>
      <c r="L9450" s="111" t="str">
        <f>IF(H9450="","",IF($C$29="상세법",FPV(H9450,K9450),IF(H9450="EI",4,IF(H9450="EO",5.2,IF(H9450="EQ",3.9,IF(H9450="ILF",7.5,IF(H9450="EIF",5.4)))))))</f>
        <v/>
      </c>
      <c r="M9450" s="112" t="str">
        <f t="shared" si="150"/>
        <v/>
      </c>
      <c r="N9450" s="113"/>
    </row>
    <row r="9451" spans="2:14">
      <c r="B9451" s="105"/>
      <c r="C9451" s="106"/>
      <c r="D9451" s="107"/>
      <c r="E9451" s="65"/>
      <c r="F9451" s="64"/>
      <c r="G9451" s="64"/>
      <c r="H9451" s="64"/>
      <c r="I9451" s="70"/>
      <c r="J9451" s="70"/>
      <c r="K9451" s="110" t="str">
        <f>IF(H9451="","",IF($C$29="간이법","",FPR(H9451,I9451,J9451)))</f>
        <v/>
      </c>
      <c r="L9451" s="111" t="str">
        <f>IF(H9451="","",IF($C$29="상세법",FPV(H9451,K9451),IF(H9451="EI",4,IF(H9451="EO",5.2,IF(H9451="EQ",3.9,IF(H9451="ILF",7.5,IF(H9451="EIF",5.4)))))))</f>
        <v/>
      </c>
      <c r="M9451" s="112" t="str">
        <f t="shared" si="150"/>
        <v/>
      </c>
      <c r="N9451" s="113"/>
    </row>
    <row r="9452" spans="2:14">
      <c r="B9452" s="105"/>
      <c r="C9452" s="106"/>
      <c r="D9452" s="107"/>
      <c r="E9452" s="65"/>
      <c r="F9452" s="64"/>
      <c r="G9452" s="64"/>
      <c r="H9452" s="64"/>
      <c r="I9452" s="70"/>
      <c r="J9452" s="70"/>
      <c r="K9452" s="110" t="str">
        <f>IF(H9452="","",IF($C$29="간이법","",FPR(H9452,I9452,J9452)))</f>
        <v/>
      </c>
      <c r="L9452" s="111" t="str">
        <f>IF(H9452="","",IF($C$29="상세법",FPV(H9452,K9452),IF(H9452="EI",4,IF(H9452="EO",5.2,IF(H9452="EQ",3.9,IF(H9452="ILF",7.5,IF(H9452="EIF",5.4)))))))</f>
        <v/>
      </c>
      <c r="M9452" s="112" t="str">
        <f t="shared" si="150"/>
        <v/>
      </c>
      <c r="N9452" s="113"/>
    </row>
    <row r="9453" spans="2:14">
      <c r="B9453" s="105"/>
      <c r="C9453" s="106"/>
      <c r="D9453" s="107"/>
      <c r="E9453" s="65"/>
      <c r="F9453" s="64"/>
      <c r="G9453" s="64"/>
      <c r="H9453" s="64"/>
      <c r="I9453" s="70"/>
      <c r="J9453" s="70"/>
      <c r="K9453" s="110" t="str">
        <f>IF(H9453="","",IF($C$29="간이법","",FPR(H9453,I9453,J9453)))</f>
        <v/>
      </c>
      <c r="L9453" s="111" t="str">
        <f>IF(H9453="","",IF($C$29="상세법",FPV(H9453,K9453),IF(H9453="EI",4,IF(H9453="EO",5.2,IF(H9453="EQ",3.9,IF(H9453="ILF",7.5,IF(H9453="EIF",5.4)))))))</f>
        <v/>
      </c>
      <c r="M9453" s="112" t="str">
        <f t="shared" si="150"/>
        <v/>
      </c>
      <c r="N9453" s="113"/>
    </row>
    <row r="9454" spans="2:14">
      <c r="B9454" s="105"/>
      <c r="C9454" s="106"/>
      <c r="D9454" s="107"/>
      <c r="E9454" s="65"/>
      <c r="F9454" s="64"/>
      <c r="G9454" s="64"/>
      <c r="H9454" s="64"/>
      <c r="I9454" s="70"/>
      <c r="J9454" s="70"/>
      <c r="K9454" s="110" t="str">
        <f>IF(H9454="","",IF($C$29="간이법","",FPR(H9454,I9454,J9454)))</f>
        <v/>
      </c>
      <c r="L9454" s="111" t="str">
        <f>IF(H9454="","",IF($C$29="상세법",FPV(H9454,K9454),IF(H9454="EI",4,IF(H9454="EO",5.2,IF(H9454="EQ",3.9,IF(H9454="ILF",7.5,IF(H9454="EIF",5.4)))))))</f>
        <v/>
      </c>
      <c r="M9454" s="112" t="str">
        <f t="shared" si="150"/>
        <v/>
      </c>
      <c r="N9454" s="113"/>
    </row>
    <row r="9455" spans="2:14">
      <c r="B9455" s="105"/>
      <c r="C9455" s="106"/>
      <c r="D9455" s="107"/>
      <c r="E9455" s="65"/>
      <c r="F9455" s="64"/>
      <c r="G9455" s="64"/>
      <c r="H9455" s="64"/>
      <c r="I9455" s="70"/>
      <c r="J9455" s="70"/>
      <c r="K9455" s="110" t="str">
        <f>IF(H9455="","",IF($C$29="간이법","",FPR(H9455,I9455,J9455)))</f>
        <v/>
      </c>
      <c r="L9455" s="111" t="str">
        <f>IF(H9455="","",IF($C$29="상세법",FPV(H9455,K9455),IF(H9455="EI",4,IF(H9455="EO",5.2,IF(H9455="EQ",3.9,IF(H9455="ILF",7.5,IF(H9455="EIF",5.4)))))))</f>
        <v/>
      </c>
      <c r="M9455" s="112" t="str">
        <f t="shared" si="150"/>
        <v/>
      </c>
      <c r="N9455" s="113"/>
    </row>
    <row r="9456" spans="2:14">
      <c r="B9456" s="105"/>
      <c r="C9456" s="106"/>
      <c r="D9456" s="107"/>
      <c r="E9456" s="65"/>
      <c r="F9456" s="64"/>
      <c r="G9456" s="64"/>
      <c r="H9456" s="64"/>
      <c r="I9456" s="70"/>
      <c r="J9456" s="70"/>
      <c r="K9456" s="110" t="str">
        <f>IF(H9456="","",IF($C$29="간이법","",FPR(H9456,I9456,J9456)))</f>
        <v/>
      </c>
      <c r="L9456" s="111" t="str">
        <f>IF(H9456="","",IF($C$29="상세법",FPV(H9456,K9456),IF(H9456="EI",4,IF(H9456="EO",5.2,IF(H9456="EQ",3.9,IF(H9456="ILF",7.5,IF(H9456="EIF",5.4)))))))</f>
        <v/>
      </c>
      <c r="M9456" s="112" t="str">
        <f t="shared" si="150"/>
        <v/>
      </c>
      <c r="N9456" s="113"/>
    </row>
    <row r="9457" spans="2:14">
      <c r="B9457" s="105"/>
      <c r="C9457" s="106"/>
      <c r="D9457" s="107"/>
      <c r="E9457" s="65"/>
      <c r="F9457" s="64"/>
      <c r="G9457" s="64"/>
      <c r="H9457" s="64"/>
      <c r="I9457" s="70"/>
      <c r="J9457" s="70"/>
      <c r="K9457" s="110" t="str">
        <f>IF(H9457="","",IF($C$29="간이법","",FPR(H9457,I9457,J9457)))</f>
        <v/>
      </c>
      <c r="L9457" s="111" t="str">
        <f>IF(H9457="","",IF($C$29="상세법",FPV(H9457,K9457),IF(H9457="EI",4,IF(H9457="EO",5.2,IF(H9457="EQ",3.9,IF(H9457="ILF",7.5,IF(H9457="EIF",5.4)))))))</f>
        <v/>
      </c>
      <c r="M9457" s="112" t="str">
        <f t="shared" si="150"/>
        <v/>
      </c>
      <c r="N9457" s="113"/>
    </row>
    <row r="9458" spans="2:14">
      <c r="B9458" s="105"/>
      <c r="C9458" s="106"/>
      <c r="D9458" s="107"/>
      <c r="E9458" s="65"/>
      <c r="F9458" s="64"/>
      <c r="G9458" s="64"/>
      <c r="H9458" s="64"/>
      <c r="I9458" s="70"/>
      <c r="J9458" s="70"/>
      <c r="K9458" s="110" t="str">
        <f>IF(H9458="","",IF($C$29="간이법","",FPR(H9458,I9458,J9458)))</f>
        <v/>
      </c>
      <c r="L9458" s="111" t="str">
        <f>IF(H9458="","",IF($C$29="상세법",FPV(H9458,K9458),IF(H9458="EI",4,IF(H9458="EO",5.2,IF(H9458="EQ",3.9,IF(H9458="ILF",7.5,IF(H9458="EIF",5.4)))))))</f>
        <v/>
      </c>
      <c r="M9458" s="112" t="str">
        <f t="shared" si="150"/>
        <v/>
      </c>
      <c r="N9458" s="113"/>
    </row>
    <row r="9459" spans="2:14">
      <c r="B9459" s="105"/>
      <c r="C9459" s="106"/>
      <c r="D9459" s="107"/>
      <c r="E9459" s="65"/>
      <c r="F9459" s="64"/>
      <c r="G9459" s="64"/>
      <c r="H9459" s="64"/>
      <c r="I9459" s="70"/>
      <c r="J9459" s="70"/>
      <c r="K9459" s="110" t="str">
        <f>IF(H9459="","",IF($C$29="간이법","",FPR(H9459,I9459,J9459)))</f>
        <v/>
      </c>
      <c r="L9459" s="111" t="str">
        <f>IF(H9459="","",IF($C$29="상세법",FPV(H9459,K9459),IF(H9459="EI",4,IF(H9459="EO",5.2,IF(H9459="EQ",3.9,IF(H9459="ILF",7.5,IF(H9459="EIF",5.4)))))))</f>
        <v/>
      </c>
      <c r="M9459" s="112" t="str">
        <f t="shared" si="150"/>
        <v/>
      </c>
      <c r="N9459" s="113"/>
    </row>
    <row r="9460" spans="2:14">
      <c r="B9460" s="105"/>
      <c r="C9460" s="106"/>
      <c r="D9460" s="107"/>
      <c r="E9460" s="65"/>
      <c r="F9460" s="64"/>
      <c r="G9460" s="64"/>
      <c r="H9460" s="64"/>
      <c r="I9460" s="70"/>
      <c r="J9460" s="70"/>
      <c r="K9460" s="110" t="str">
        <f>IF(H9460="","",IF($C$29="간이법","",FPR(H9460,I9460,J9460)))</f>
        <v/>
      </c>
      <c r="L9460" s="111" t="str">
        <f>IF(H9460="","",IF($C$29="상세법",FPV(H9460,K9460),IF(H9460="EI",4,IF(H9460="EO",5.2,IF(H9460="EQ",3.9,IF(H9460="ILF",7.5,IF(H9460="EIF",5.4)))))))</f>
        <v/>
      </c>
      <c r="M9460" s="112" t="str">
        <f t="shared" si="150"/>
        <v/>
      </c>
      <c r="N9460" s="113"/>
    </row>
    <row r="9461" spans="2:14">
      <c r="B9461" s="105"/>
      <c r="C9461" s="106"/>
      <c r="D9461" s="107"/>
      <c r="E9461" s="65"/>
      <c r="F9461" s="64"/>
      <c r="G9461" s="64"/>
      <c r="H9461" s="64"/>
      <c r="I9461" s="70"/>
      <c r="J9461" s="70"/>
      <c r="K9461" s="110" t="str">
        <f>IF(H9461="","",IF($C$29="간이법","",FPR(H9461,I9461,J9461)))</f>
        <v/>
      </c>
      <c r="L9461" s="111" t="str">
        <f>IF(H9461="","",IF($C$29="상세법",FPV(H9461,K9461),IF(H9461="EI",4,IF(H9461="EO",5.2,IF(H9461="EQ",3.9,IF(H9461="ILF",7.5,IF(H9461="EIF",5.4)))))))</f>
        <v/>
      </c>
      <c r="M9461" s="112" t="str">
        <f t="shared" si="150"/>
        <v/>
      </c>
      <c r="N9461" s="113"/>
    </row>
    <row r="9462" spans="2:14">
      <c r="B9462" s="105"/>
      <c r="C9462" s="106"/>
      <c r="D9462" s="107"/>
      <c r="E9462" s="65"/>
      <c r="F9462" s="64"/>
      <c r="G9462" s="64"/>
      <c r="H9462" s="64"/>
      <c r="I9462" s="70"/>
      <c r="J9462" s="70"/>
      <c r="K9462" s="110" t="str">
        <f>IF(H9462="","",IF($C$29="간이법","",FPR(H9462,I9462,J9462)))</f>
        <v/>
      </c>
      <c r="L9462" s="111" t="str">
        <f>IF(H9462="","",IF($C$29="상세법",FPV(H9462,K9462),IF(H9462="EI",4,IF(H9462="EO",5.2,IF(H9462="EQ",3.9,IF(H9462="ILF",7.5,IF(H9462="EIF",5.4)))))))</f>
        <v/>
      </c>
      <c r="M9462" s="112" t="str">
        <f t="shared" si="150"/>
        <v/>
      </c>
      <c r="N9462" s="113"/>
    </row>
    <row r="9463" spans="2:14">
      <c r="B9463" s="105"/>
      <c r="C9463" s="106"/>
      <c r="D9463" s="107"/>
      <c r="E9463" s="65"/>
      <c r="F9463" s="64"/>
      <c r="G9463" s="64"/>
      <c r="H9463" s="64"/>
      <c r="I9463" s="70"/>
      <c r="J9463" s="70"/>
      <c r="K9463" s="110" t="str">
        <f>IF(H9463="","",IF($C$29="간이법","",FPR(H9463,I9463,J9463)))</f>
        <v/>
      </c>
      <c r="L9463" s="111" t="str">
        <f>IF(H9463="","",IF($C$29="상세법",FPV(H9463,K9463),IF(H9463="EI",4,IF(H9463="EO",5.2,IF(H9463="EQ",3.9,IF(H9463="ILF",7.5,IF(H9463="EIF",5.4)))))))</f>
        <v/>
      </c>
      <c r="M9463" s="112" t="str">
        <f t="shared" si="150"/>
        <v/>
      </c>
      <c r="N9463" s="113"/>
    </row>
    <row r="9464" spans="2:14">
      <c r="B9464" s="105"/>
      <c r="C9464" s="106"/>
      <c r="D9464" s="107"/>
      <c r="E9464" s="65"/>
      <c r="F9464" s="64"/>
      <c r="G9464" s="64"/>
      <c r="H9464" s="64"/>
      <c r="I9464" s="70"/>
      <c r="J9464" s="70"/>
      <c r="K9464" s="110" t="str">
        <f>IF(H9464="","",IF($C$29="간이법","",FPR(H9464,I9464,J9464)))</f>
        <v/>
      </c>
      <c r="L9464" s="111" t="str">
        <f>IF(H9464="","",IF($C$29="상세법",FPV(H9464,K9464),IF(H9464="EI",4,IF(H9464="EO",5.2,IF(H9464="EQ",3.9,IF(H9464="ILF",7.5,IF(H9464="EIF",5.4)))))))</f>
        <v/>
      </c>
      <c r="M9464" s="112" t="str">
        <f t="shared" si="150"/>
        <v/>
      </c>
      <c r="N9464" s="113"/>
    </row>
    <row r="9465" spans="2:14">
      <c r="B9465" s="105"/>
      <c r="C9465" s="106"/>
      <c r="D9465" s="107"/>
      <c r="E9465" s="65"/>
      <c r="F9465" s="64"/>
      <c r="G9465" s="64"/>
      <c r="H9465" s="64"/>
      <c r="I9465" s="70"/>
      <c r="J9465" s="70"/>
      <c r="K9465" s="110" t="str">
        <f>IF(H9465="","",IF($C$29="간이법","",FPR(H9465,I9465,J9465)))</f>
        <v/>
      </c>
      <c r="L9465" s="111" t="str">
        <f>IF(H9465="","",IF($C$29="상세법",FPV(H9465,K9465),IF(H9465="EI",4,IF(H9465="EO",5.2,IF(H9465="EQ",3.9,IF(H9465="ILF",7.5,IF(H9465="EIF",5.4)))))))</f>
        <v/>
      </c>
      <c r="M9465" s="112" t="str">
        <f t="shared" ref="M9465:M9528" si="151">IF(L9465="","",L9465*IF(G9465="상",0.7,IF(G9465="중",0.5,IF(G9465="하",0.2,1))))</f>
        <v/>
      </c>
      <c r="N9465" s="113"/>
    </row>
    <row r="9466" spans="2:14">
      <c r="B9466" s="105"/>
      <c r="C9466" s="106"/>
      <c r="D9466" s="107"/>
      <c r="E9466" s="65"/>
      <c r="F9466" s="64"/>
      <c r="G9466" s="64"/>
      <c r="H9466" s="64"/>
      <c r="I9466" s="70"/>
      <c r="J9466" s="70"/>
      <c r="K9466" s="110" t="str">
        <f>IF(H9466="","",IF($C$29="간이법","",FPR(H9466,I9466,J9466)))</f>
        <v/>
      </c>
      <c r="L9466" s="111" t="str">
        <f>IF(H9466="","",IF($C$29="상세법",FPV(H9466,K9466),IF(H9466="EI",4,IF(H9466="EO",5.2,IF(H9466="EQ",3.9,IF(H9466="ILF",7.5,IF(H9466="EIF",5.4)))))))</f>
        <v/>
      </c>
      <c r="M9466" s="112" t="str">
        <f t="shared" si="151"/>
        <v/>
      </c>
      <c r="N9466" s="113"/>
    </row>
    <row r="9467" spans="2:14">
      <c r="B9467" s="105"/>
      <c r="C9467" s="106"/>
      <c r="D9467" s="107"/>
      <c r="E9467" s="65"/>
      <c r="F9467" s="64"/>
      <c r="G9467" s="64"/>
      <c r="H9467" s="64"/>
      <c r="I9467" s="70"/>
      <c r="J9467" s="70"/>
      <c r="K9467" s="110" t="str">
        <f>IF(H9467="","",IF($C$29="간이법","",FPR(H9467,I9467,J9467)))</f>
        <v/>
      </c>
      <c r="L9467" s="111" t="str">
        <f>IF(H9467="","",IF($C$29="상세법",FPV(H9467,K9467),IF(H9467="EI",4,IF(H9467="EO",5.2,IF(H9467="EQ",3.9,IF(H9467="ILF",7.5,IF(H9467="EIF",5.4)))))))</f>
        <v/>
      </c>
      <c r="M9467" s="112" t="str">
        <f t="shared" si="151"/>
        <v/>
      </c>
      <c r="N9467" s="113"/>
    </row>
    <row r="9468" spans="2:14">
      <c r="B9468" s="105"/>
      <c r="C9468" s="106"/>
      <c r="D9468" s="107"/>
      <c r="E9468" s="65"/>
      <c r="F9468" s="64"/>
      <c r="G9468" s="64"/>
      <c r="H9468" s="64"/>
      <c r="I9468" s="70"/>
      <c r="J9468" s="70"/>
      <c r="K9468" s="110" t="str">
        <f>IF(H9468="","",IF($C$29="간이법","",FPR(H9468,I9468,J9468)))</f>
        <v/>
      </c>
      <c r="L9468" s="111" t="str">
        <f>IF(H9468="","",IF($C$29="상세법",FPV(H9468,K9468),IF(H9468="EI",4,IF(H9468="EO",5.2,IF(H9468="EQ",3.9,IF(H9468="ILF",7.5,IF(H9468="EIF",5.4)))))))</f>
        <v/>
      </c>
      <c r="M9468" s="112" t="str">
        <f t="shared" si="151"/>
        <v/>
      </c>
      <c r="N9468" s="113"/>
    </row>
    <row r="9469" spans="2:14">
      <c r="B9469" s="105"/>
      <c r="C9469" s="106"/>
      <c r="D9469" s="107"/>
      <c r="E9469" s="65"/>
      <c r="F9469" s="64"/>
      <c r="G9469" s="64"/>
      <c r="H9469" s="64"/>
      <c r="I9469" s="70"/>
      <c r="J9469" s="70"/>
      <c r="K9469" s="110" t="str">
        <f>IF(H9469="","",IF($C$29="간이법","",FPR(H9469,I9469,J9469)))</f>
        <v/>
      </c>
      <c r="L9469" s="111" t="str">
        <f>IF(H9469="","",IF($C$29="상세법",FPV(H9469,K9469),IF(H9469="EI",4,IF(H9469="EO",5.2,IF(H9469="EQ",3.9,IF(H9469="ILF",7.5,IF(H9469="EIF",5.4)))))))</f>
        <v/>
      </c>
      <c r="M9469" s="112" t="str">
        <f t="shared" si="151"/>
        <v/>
      </c>
      <c r="N9469" s="113"/>
    </row>
    <row r="9470" spans="2:14">
      <c r="B9470" s="105"/>
      <c r="C9470" s="106"/>
      <c r="D9470" s="107"/>
      <c r="E9470" s="65"/>
      <c r="F9470" s="64"/>
      <c r="G9470" s="64"/>
      <c r="H9470" s="64"/>
      <c r="I9470" s="70"/>
      <c r="J9470" s="70"/>
      <c r="K9470" s="110" t="str">
        <f>IF(H9470="","",IF($C$29="간이법","",FPR(H9470,I9470,J9470)))</f>
        <v/>
      </c>
      <c r="L9470" s="111" t="str">
        <f>IF(H9470="","",IF($C$29="상세법",FPV(H9470,K9470),IF(H9470="EI",4,IF(H9470="EO",5.2,IF(H9470="EQ",3.9,IF(H9470="ILF",7.5,IF(H9470="EIF",5.4)))))))</f>
        <v/>
      </c>
      <c r="M9470" s="112" t="str">
        <f t="shared" si="151"/>
        <v/>
      </c>
      <c r="N9470" s="113"/>
    </row>
    <row r="9471" spans="2:14">
      <c r="B9471" s="105"/>
      <c r="C9471" s="106"/>
      <c r="D9471" s="107"/>
      <c r="E9471" s="65"/>
      <c r="F9471" s="64"/>
      <c r="G9471" s="64"/>
      <c r="H9471" s="64"/>
      <c r="I9471" s="70"/>
      <c r="J9471" s="70"/>
      <c r="K9471" s="110" t="str">
        <f>IF(H9471="","",IF($C$29="간이법","",FPR(H9471,I9471,J9471)))</f>
        <v/>
      </c>
      <c r="L9471" s="111" t="str">
        <f>IF(H9471="","",IF($C$29="상세법",FPV(H9471,K9471),IF(H9471="EI",4,IF(H9471="EO",5.2,IF(H9471="EQ",3.9,IF(H9471="ILF",7.5,IF(H9471="EIF",5.4)))))))</f>
        <v/>
      </c>
      <c r="M9471" s="112" t="str">
        <f t="shared" si="151"/>
        <v/>
      </c>
      <c r="N9471" s="113"/>
    </row>
    <row r="9472" spans="2:14">
      <c r="B9472" s="105"/>
      <c r="C9472" s="106"/>
      <c r="D9472" s="107"/>
      <c r="E9472" s="65"/>
      <c r="F9472" s="64"/>
      <c r="G9472" s="64"/>
      <c r="H9472" s="64"/>
      <c r="I9472" s="70"/>
      <c r="J9472" s="70"/>
      <c r="K9472" s="110" t="str">
        <f>IF(H9472="","",IF($C$29="간이법","",FPR(H9472,I9472,J9472)))</f>
        <v/>
      </c>
      <c r="L9472" s="111" t="str">
        <f>IF(H9472="","",IF($C$29="상세법",FPV(H9472,K9472),IF(H9472="EI",4,IF(H9472="EO",5.2,IF(H9472="EQ",3.9,IF(H9472="ILF",7.5,IF(H9472="EIF",5.4)))))))</f>
        <v/>
      </c>
      <c r="M9472" s="112" t="str">
        <f t="shared" si="151"/>
        <v/>
      </c>
      <c r="N9472" s="113"/>
    </row>
    <row r="9473" spans="2:14">
      <c r="B9473" s="105"/>
      <c r="C9473" s="106"/>
      <c r="D9473" s="107"/>
      <c r="E9473" s="65"/>
      <c r="F9473" s="64"/>
      <c r="G9473" s="64"/>
      <c r="H9473" s="64"/>
      <c r="I9473" s="70"/>
      <c r="J9473" s="70"/>
      <c r="K9473" s="110" t="str">
        <f>IF(H9473="","",IF($C$29="간이법","",FPR(H9473,I9473,J9473)))</f>
        <v/>
      </c>
      <c r="L9473" s="111" t="str">
        <f>IF(H9473="","",IF($C$29="상세법",FPV(H9473,K9473),IF(H9473="EI",4,IF(H9473="EO",5.2,IF(H9473="EQ",3.9,IF(H9473="ILF",7.5,IF(H9473="EIF",5.4)))))))</f>
        <v/>
      </c>
      <c r="M9473" s="112" t="str">
        <f t="shared" si="151"/>
        <v/>
      </c>
      <c r="N9473" s="113"/>
    </row>
    <row r="9474" spans="2:14">
      <c r="B9474" s="105"/>
      <c r="C9474" s="106"/>
      <c r="D9474" s="107"/>
      <c r="E9474" s="65"/>
      <c r="F9474" s="64"/>
      <c r="G9474" s="64"/>
      <c r="H9474" s="64"/>
      <c r="I9474" s="70"/>
      <c r="J9474" s="70"/>
      <c r="K9474" s="110" t="str">
        <f>IF(H9474="","",IF($C$29="간이법","",FPR(H9474,I9474,J9474)))</f>
        <v/>
      </c>
      <c r="L9474" s="111" t="str">
        <f>IF(H9474="","",IF($C$29="상세법",FPV(H9474,K9474),IF(H9474="EI",4,IF(H9474="EO",5.2,IF(H9474="EQ",3.9,IF(H9474="ILF",7.5,IF(H9474="EIF",5.4)))))))</f>
        <v/>
      </c>
      <c r="M9474" s="112" t="str">
        <f t="shared" si="151"/>
        <v/>
      </c>
      <c r="N9474" s="113"/>
    </row>
    <row r="9475" spans="2:14">
      <c r="B9475" s="105"/>
      <c r="C9475" s="106"/>
      <c r="D9475" s="107"/>
      <c r="E9475" s="65"/>
      <c r="F9475" s="64"/>
      <c r="G9475" s="64"/>
      <c r="H9475" s="64"/>
      <c r="I9475" s="70"/>
      <c r="J9475" s="70"/>
      <c r="K9475" s="110" t="str">
        <f>IF(H9475="","",IF($C$29="간이법","",FPR(H9475,I9475,J9475)))</f>
        <v/>
      </c>
      <c r="L9475" s="111" t="str">
        <f>IF(H9475="","",IF($C$29="상세법",FPV(H9475,K9475),IF(H9475="EI",4,IF(H9475="EO",5.2,IF(H9475="EQ",3.9,IF(H9475="ILF",7.5,IF(H9475="EIF",5.4)))))))</f>
        <v/>
      </c>
      <c r="M9475" s="112" t="str">
        <f t="shared" si="151"/>
        <v/>
      </c>
      <c r="N9475" s="113"/>
    </row>
    <row r="9476" spans="2:14">
      <c r="B9476" s="105"/>
      <c r="C9476" s="106"/>
      <c r="D9476" s="107"/>
      <c r="E9476" s="65"/>
      <c r="F9476" s="64"/>
      <c r="G9476" s="64"/>
      <c r="H9476" s="64"/>
      <c r="I9476" s="70"/>
      <c r="J9476" s="70"/>
      <c r="K9476" s="110" t="str">
        <f>IF(H9476="","",IF($C$29="간이법","",FPR(H9476,I9476,J9476)))</f>
        <v/>
      </c>
      <c r="L9476" s="111" t="str">
        <f>IF(H9476="","",IF($C$29="상세법",FPV(H9476,K9476),IF(H9476="EI",4,IF(H9476="EO",5.2,IF(H9476="EQ",3.9,IF(H9476="ILF",7.5,IF(H9476="EIF",5.4)))))))</f>
        <v/>
      </c>
      <c r="M9476" s="112" t="str">
        <f t="shared" si="151"/>
        <v/>
      </c>
      <c r="N9476" s="113"/>
    </row>
    <row r="9477" spans="2:14">
      <c r="B9477" s="105"/>
      <c r="C9477" s="106"/>
      <c r="D9477" s="107"/>
      <c r="E9477" s="65"/>
      <c r="F9477" s="64"/>
      <c r="G9477" s="64"/>
      <c r="H9477" s="64"/>
      <c r="I9477" s="70"/>
      <c r="J9477" s="70"/>
      <c r="K9477" s="110" t="str">
        <f>IF(H9477="","",IF($C$29="간이법","",FPR(H9477,I9477,J9477)))</f>
        <v/>
      </c>
      <c r="L9477" s="111" t="str">
        <f>IF(H9477="","",IF($C$29="상세법",FPV(H9477,K9477),IF(H9477="EI",4,IF(H9477="EO",5.2,IF(H9477="EQ",3.9,IF(H9477="ILF",7.5,IF(H9477="EIF",5.4)))))))</f>
        <v/>
      </c>
      <c r="M9477" s="112" t="str">
        <f t="shared" si="151"/>
        <v/>
      </c>
      <c r="N9477" s="113"/>
    </row>
    <row r="9478" spans="2:14">
      <c r="B9478" s="105"/>
      <c r="C9478" s="106"/>
      <c r="D9478" s="107"/>
      <c r="E9478" s="65"/>
      <c r="F9478" s="64"/>
      <c r="G9478" s="64"/>
      <c r="H9478" s="64"/>
      <c r="I9478" s="70"/>
      <c r="J9478" s="70"/>
      <c r="K9478" s="110" t="str">
        <f>IF(H9478="","",IF($C$29="간이법","",FPR(H9478,I9478,J9478)))</f>
        <v/>
      </c>
      <c r="L9478" s="111" t="str">
        <f>IF(H9478="","",IF($C$29="상세법",FPV(H9478,K9478),IF(H9478="EI",4,IF(H9478="EO",5.2,IF(H9478="EQ",3.9,IF(H9478="ILF",7.5,IF(H9478="EIF",5.4)))))))</f>
        <v/>
      </c>
      <c r="M9478" s="112" t="str">
        <f t="shared" si="151"/>
        <v/>
      </c>
      <c r="N9478" s="113"/>
    </row>
    <row r="9479" spans="2:14">
      <c r="B9479" s="105"/>
      <c r="C9479" s="106"/>
      <c r="D9479" s="107"/>
      <c r="E9479" s="65"/>
      <c r="F9479" s="64"/>
      <c r="G9479" s="64"/>
      <c r="H9479" s="64"/>
      <c r="I9479" s="70"/>
      <c r="J9479" s="70"/>
      <c r="K9479" s="110" t="str">
        <f>IF(H9479="","",IF($C$29="간이법","",FPR(H9479,I9479,J9479)))</f>
        <v/>
      </c>
      <c r="L9479" s="111" t="str">
        <f>IF(H9479="","",IF($C$29="상세법",FPV(H9479,K9479),IF(H9479="EI",4,IF(H9479="EO",5.2,IF(H9479="EQ",3.9,IF(H9479="ILF",7.5,IF(H9479="EIF",5.4)))))))</f>
        <v/>
      </c>
      <c r="M9479" s="112" t="str">
        <f t="shared" si="151"/>
        <v/>
      </c>
      <c r="N9479" s="113"/>
    </row>
    <row r="9480" spans="2:14">
      <c r="B9480" s="105"/>
      <c r="C9480" s="106"/>
      <c r="D9480" s="107"/>
      <c r="E9480" s="65"/>
      <c r="F9480" s="64"/>
      <c r="G9480" s="64"/>
      <c r="H9480" s="64"/>
      <c r="I9480" s="70"/>
      <c r="J9480" s="70"/>
      <c r="K9480" s="110" t="str">
        <f>IF(H9480="","",IF($C$29="간이법","",FPR(H9480,I9480,J9480)))</f>
        <v/>
      </c>
      <c r="L9480" s="111" t="str">
        <f>IF(H9480="","",IF($C$29="상세법",FPV(H9480,K9480),IF(H9480="EI",4,IF(H9480="EO",5.2,IF(H9480="EQ",3.9,IF(H9480="ILF",7.5,IF(H9480="EIF",5.4)))))))</f>
        <v/>
      </c>
      <c r="M9480" s="112" t="str">
        <f t="shared" si="151"/>
        <v/>
      </c>
      <c r="N9480" s="113"/>
    </row>
    <row r="9481" spans="2:14">
      <c r="B9481" s="105"/>
      <c r="C9481" s="106"/>
      <c r="D9481" s="107"/>
      <c r="E9481" s="65"/>
      <c r="F9481" s="64"/>
      <c r="G9481" s="64"/>
      <c r="H9481" s="64"/>
      <c r="I9481" s="70"/>
      <c r="J9481" s="70"/>
      <c r="K9481" s="110" t="str">
        <f>IF(H9481="","",IF($C$29="간이법","",FPR(H9481,I9481,J9481)))</f>
        <v/>
      </c>
      <c r="L9481" s="111" t="str">
        <f>IF(H9481="","",IF($C$29="상세법",FPV(H9481,K9481),IF(H9481="EI",4,IF(H9481="EO",5.2,IF(H9481="EQ",3.9,IF(H9481="ILF",7.5,IF(H9481="EIF",5.4)))))))</f>
        <v/>
      </c>
      <c r="M9481" s="112" t="str">
        <f t="shared" si="151"/>
        <v/>
      </c>
      <c r="N9481" s="113"/>
    </row>
    <row r="9482" spans="2:14">
      <c r="B9482" s="105"/>
      <c r="C9482" s="106"/>
      <c r="D9482" s="107"/>
      <c r="E9482" s="65"/>
      <c r="F9482" s="64"/>
      <c r="G9482" s="64"/>
      <c r="H9482" s="64"/>
      <c r="I9482" s="70"/>
      <c r="J9482" s="70"/>
      <c r="K9482" s="110" t="str">
        <f>IF(H9482="","",IF($C$29="간이법","",FPR(H9482,I9482,J9482)))</f>
        <v/>
      </c>
      <c r="L9482" s="111" t="str">
        <f>IF(H9482="","",IF($C$29="상세법",FPV(H9482,K9482),IF(H9482="EI",4,IF(H9482="EO",5.2,IF(H9482="EQ",3.9,IF(H9482="ILF",7.5,IF(H9482="EIF",5.4)))))))</f>
        <v/>
      </c>
      <c r="M9482" s="112" t="str">
        <f t="shared" si="151"/>
        <v/>
      </c>
      <c r="N9482" s="113"/>
    </row>
    <row r="9483" spans="2:14">
      <c r="B9483" s="105"/>
      <c r="C9483" s="106"/>
      <c r="D9483" s="107"/>
      <c r="E9483" s="65"/>
      <c r="F9483" s="64"/>
      <c r="G9483" s="64"/>
      <c r="H9483" s="64"/>
      <c r="I9483" s="70"/>
      <c r="J9483" s="70"/>
      <c r="K9483" s="110" t="str">
        <f>IF(H9483="","",IF($C$29="간이법","",FPR(H9483,I9483,J9483)))</f>
        <v/>
      </c>
      <c r="L9483" s="111" t="str">
        <f>IF(H9483="","",IF($C$29="상세법",FPV(H9483,K9483),IF(H9483="EI",4,IF(H9483="EO",5.2,IF(H9483="EQ",3.9,IF(H9483="ILF",7.5,IF(H9483="EIF",5.4)))))))</f>
        <v/>
      </c>
      <c r="M9483" s="112" t="str">
        <f t="shared" si="151"/>
        <v/>
      </c>
      <c r="N9483" s="113"/>
    </row>
    <row r="9484" spans="2:14">
      <c r="B9484" s="105"/>
      <c r="C9484" s="106"/>
      <c r="D9484" s="107"/>
      <c r="E9484" s="65"/>
      <c r="F9484" s="64"/>
      <c r="G9484" s="64"/>
      <c r="H9484" s="64"/>
      <c r="I9484" s="70"/>
      <c r="J9484" s="70"/>
      <c r="K9484" s="110" t="str">
        <f>IF(H9484="","",IF($C$29="간이법","",FPR(H9484,I9484,J9484)))</f>
        <v/>
      </c>
      <c r="L9484" s="111" t="str">
        <f>IF(H9484="","",IF($C$29="상세법",FPV(H9484,K9484),IF(H9484="EI",4,IF(H9484="EO",5.2,IF(H9484="EQ",3.9,IF(H9484="ILF",7.5,IF(H9484="EIF",5.4)))))))</f>
        <v/>
      </c>
      <c r="M9484" s="112" t="str">
        <f t="shared" si="151"/>
        <v/>
      </c>
      <c r="N9484" s="113"/>
    </row>
    <row r="9485" spans="2:14">
      <c r="B9485" s="105"/>
      <c r="C9485" s="106"/>
      <c r="D9485" s="107"/>
      <c r="E9485" s="65"/>
      <c r="F9485" s="64"/>
      <c r="G9485" s="64"/>
      <c r="H9485" s="64"/>
      <c r="I9485" s="70"/>
      <c r="J9485" s="70"/>
      <c r="K9485" s="110" t="str">
        <f>IF(H9485="","",IF($C$29="간이법","",FPR(H9485,I9485,J9485)))</f>
        <v/>
      </c>
      <c r="L9485" s="111" t="str">
        <f>IF(H9485="","",IF($C$29="상세법",FPV(H9485,K9485),IF(H9485="EI",4,IF(H9485="EO",5.2,IF(H9485="EQ",3.9,IF(H9485="ILF",7.5,IF(H9485="EIF",5.4)))))))</f>
        <v/>
      </c>
      <c r="M9485" s="112" t="str">
        <f t="shared" si="151"/>
        <v/>
      </c>
      <c r="N9485" s="113"/>
    </row>
    <row r="9486" spans="2:14">
      <c r="B9486" s="105"/>
      <c r="C9486" s="106"/>
      <c r="D9486" s="107"/>
      <c r="E9486" s="65"/>
      <c r="F9486" s="64"/>
      <c r="G9486" s="64"/>
      <c r="H9486" s="64"/>
      <c r="I9486" s="70"/>
      <c r="J9486" s="70"/>
      <c r="K9486" s="110" t="str">
        <f>IF(H9486="","",IF($C$29="간이법","",FPR(H9486,I9486,J9486)))</f>
        <v/>
      </c>
      <c r="L9486" s="111" t="str">
        <f>IF(H9486="","",IF($C$29="상세법",FPV(H9486,K9486),IF(H9486="EI",4,IF(H9486="EO",5.2,IF(H9486="EQ",3.9,IF(H9486="ILF",7.5,IF(H9486="EIF",5.4)))))))</f>
        <v/>
      </c>
      <c r="M9486" s="112" t="str">
        <f t="shared" si="151"/>
        <v/>
      </c>
      <c r="N9486" s="113"/>
    </row>
    <row r="9487" spans="2:14">
      <c r="B9487" s="105"/>
      <c r="C9487" s="106"/>
      <c r="D9487" s="107"/>
      <c r="E9487" s="65"/>
      <c r="F9487" s="64"/>
      <c r="G9487" s="64"/>
      <c r="H9487" s="64"/>
      <c r="I9487" s="70"/>
      <c r="J9487" s="70"/>
      <c r="K9487" s="110" t="str">
        <f>IF(H9487="","",IF($C$29="간이법","",FPR(H9487,I9487,J9487)))</f>
        <v/>
      </c>
      <c r="L9487" s="111" t="str">
        <f>IF(H9487="","",IF($C$29="상세법",FPV(H9487,K9487),IF(H9487="EI",4,IF(H9487="EO",5.2,IF(H9487="EQ",3.9,IF(H9487="ILF",7.5,IF(H9487="EIF",5.4)))))))</f>
        <v/>
      </c>
      <c r="M9487" s="112" t="str">
        <f t="shared" si="151"/>
        <v/>
      </c>
      <c r="N9487" s="113"/>
    </row>
    <row r="9488" spans="2:14">
      <c r="B9488" s="105"/>
      <c r="C9488" s="106"/>
      <c r="D9488" s="107"/>
      <c r="E9488" s="65"/>
      <c r="F9488" s="64"/>
      <c r="G9488" s="64"/>
      <c r="H9488" s="64"/>
      <c r="I9488" s="70"/>
      <c r="J9488" s="70"/>
      <c r="K9488" s="110" t="str">
        <f>IF(H9488="","",IF($C$29="간이법","",FPR(H9488,I9488,J9488)))</f>
        <v/>
      </c>
      <c r="L9488" s="111" t="str">
        <f>IF(H9488="","",IF($C$29="상세법",FPV(H9488,K9488),IF(H9488="EI",4,IF(H9488="EO",5.2,IF(H9488="EQ",3.9,IF(H9488="ILF",7.5,IF(H9488="EIF",5.4)))))))</f>
        <v/>
      </c>
      <c r="M9488" s="112" t="str">
        <f t="shared" si="151"/>
        <v/>
      </c>
      <c r="N9488" s="113"/>
    </row>
    <row r="9489" spans="2:14">
      <c r="B9489" s="105"/>
      <c r="C9489" s="106"/>
      <c r="D9489" s="107"/>
      <c r="E9489" s="65"/>
      <c r="F9489" s="64"/>
      <c r="G9489" s="64"/>
      <c r="H9489" s="64"/>
      <c r="I9489" s="70"/>
      <c r="J9489" s="70"/>
      <c r="K9489" s="110" t="str">
        <f>IF(H9489="","",IF($C$29="간이법","",FPR(H9489,I9489,J9489)))</f>
        <v/>
      </c>
      <c r="L9489" s="111" t="str">
        <f>IF(H9489="","",IF($C$29="상세법",FPV(H9489,K9489),IF(H9489="EI",4,IF(H9489="EO",5.2,IF(H9489="EQ",3.9,IF(H9489="ILF",7.5,IF(H9489="EIF",5.4)))))))</f>
        <v/>
      </c>
      <c r="M9489" s="112" t="str">
        <f t="shared" si="151"/>
        <v/>
      </c>
      <c r="N9489" s="113"/>
    </row>
    <row r="9490" spans="2:14">
      <c r="B9490" s="105"/>
      <c r="C9490" s="106"/>
      <c r="D9490" s="107"/>
      <c r="E9490" s="65"/>
      <c r="F9490" s="64"/>
      <c r="G9490" s="64"/>
      <c r="H9490" s="64"/>
      <c r="I9490" s="70"/>
      <c r="J9490" s="70"/>
      <c r="K9490" s="110" t="str">
        <f>IF(H9490="","",IF($C$29="간이법","",FPR(H9490,I9490,J9490)))</f>
        <v/>
      </c>
      <c r="L9490" s="111" t="str">
        <f>IF(H9490="","",IF($C$29="상세법",FPV(H9490,K9490),IF(H9490="EI",4,IF(H9490="EO",5.2,IF(H9490="EQ",3.9,IF(H9490="ILF",7.5,IF(H9490="EIF",5.4)))))))</f>
        <v/>
      </c>
      <c r="M9490" s="112" t="str">
        <f t="shared" si="151"/>
        <v/>
      </c>
      <c r="N9490" s="113"/>
    </row>
    <row r="9491" spans="2:14">
      <c r="B9491" s="105"/>
      <c r="C9491" s="106"/>
      <c r="D9491" s="107"/>
      <c r="E9491" s="65"/>
      <c r="F9491" s="64"/>
      <c r="G9491" s="64"/>
      <c r="H9491" s="64"/>
      <c r="I9491" s="70"/>
      <c r="J9491" s="70"/>
      <c r="K9491" s="110" t="str">
        <f>IF(H9491="","",IF($C$29="간이법","",FPR(H9491,I9491,J9491)))</f>
        <v/>
      </c>
      <c r="L9491" s="111" t="str">
        <f>IF(H9491="","",IF($C$29="상세법",FPV(H9491,K9491),IF(H9491="EI",4,IF(H9491="EO",5.2,IF(H9491="EQ",3.9,IF(H9491="ILF",7.5,IF(H9491="EIF",5.4)))))))</f>
        <v/>
      </c>
      <c r="M9491" s="112" t="str">
        <f t="shared" si="151"/>
        <v/>
      </c>
      <c r="N9491" s="113"/>
    </row>
    <row r="9492" spans="2:14">
      <c r="B9492" s="105"/>
      <c r="C9492" s="106"/>
      <c r="D9492" s="107"/>
      <c r="E9492" s="65"/>
      <c r="F9492" s="64"/>
      <c r="G9492" s="64"/>
      <c r="H9492" s="64"/>
      <c r="I9492" s="70"/>
      <c r="J9492" s="70"/>
      <c r="K9492" s="110" t="str">
        <f>IF(H9492="","",IF($C$29="간이법","",FPR(H9492,I9492,J9492)))</f>
        <v/>
      </c>
      <c r="L9492" s="111" t="str">
        <f>IF(H9492="","",IF($C$29="상세법",FPV(H9492,K9492),IF(H9492="EI",4,IF(H9492="EO",5.2,IF(H9492="EQ",3.9,IF(H9492="ILF",7.5,IF(H9492="EIF",5.4)))))))</f>
        <v/>
      </c>
      <c r="M9492" s="112" t="str">
        <f t="shared" si="151"/>
        <v/>
      </c>
      <c r="N9492" s="113"/>
    </row>
    <row r="9493" spans="2:14">
      <c r="B9493" s="105"/>
      <c r="C9493" s="106"/>
      <c r="D9493" s="107"/>
      <c r="E9493" s="65"/>
      <c r="F9493" s="64"/>
      <c r="G9493" s="64"/>
      <c r="H9493" s="64"/>
      <c r="I9493" s="70"/>
      <c r="J9493" s="70"/>
      <c r="K9493" s="110" t="str">
        <f>IF(H9493="","",IF($C$29="간이법","",FPR(H9493,I9493,J9493)))</f>
        <v/>
      </c>
      <c r="L9493" s="111" t="str">
        <f>IF(H9493="","",IF($C$29="상세법",FPV(H9493,K9493),IF(H9493="EI",4,IF(H9493="EO",5.2,IF(H9493="EQ",3.9,IF(H9493="ILF",7.5,IF(H9493="EIF",5.4)))))))</f>
        <v/>
      </c>
      <c r="M9493" s="112" t="str">
        <f t="shared" si="151"/>
        <v/>
      </c>
      <c r="N9493" s="113"/>
    </row>
    <row r="9494" spans="2:14">
      <c r="B9494" s="105"/>
      <c r="C9494" s="106"/>
      <c r="D9494" s="107"/>
      <c r="E9494" s="65"/>
      <c r="F9494" s="64"/>
      <c r="G9494" s="64"/>
      <c r="H9494" s="64"/>
      <c r="I9494" s="70"/>
      <c r="J9494" s="70"/>
      <c r="K9494" s="110" t="str">
        <f>IF(H9494="","",IF($C$29="간이법","",FPR(H9494,I9494,J9494)))</f>
        <v/>
      </c>
      <c r="L9494" s="111" t="str">
        <f>IF(H9494="","",IF($C$29="상세법",FPV(H9494,K9494),IF(H9494="EI",4,IF(H9494="EO",5.2,IF(H9494="EQ",3.9,IF(H9494="ILF",7.5,IF(H9494="EIF",5.4)))))))</f>
        <v/>
      </c>
      <c r="M9494" s="112" t="str">
        <f t="shared" si="151"/>
        <v/>
      </c>
      <c r="N9494" s="113"/>
    </row>
    <row r="9495" spans="2:14">
      <c r="B9495" s="105"/>
      <c r="C9495" s="106"/>
      <c r="D9495" s="107"/>
      <c r="E9495" s="65"/>
      <c r="F9495" s="64"/>
      <c r="G9495" s="64"/>
      <c r="H9495" s="64"/>
      <c r="I9495" s="70"/>
      <c r="J9495" s="70"/>
      <c r="K9495" s="110" t="str">
        <f>IF(H9495="","",IF($C$29="간이법","",FPR(H9495,I9495,J9495)))</f>
        <v/>
      </c>
      <c r="L9495" s="111" t="str">
        <f>IF(H9495="","",IF($C$29="상세법",FPV(H9495,K9495),IF(H9495="EI",4,IF(H9495="EO",5.2,IF(H9495="EQ",3.9,IF(H9495="ILF",7.5,IF(H9495="EIF",5.4)))))))</f>
        <v/>
      </c>
      <c r="M9495" s="112" t="str">
        <f t="shared" si="151"/>
        <v/>
      </c>
      <c r="N9495" s="113"/>
    </row>
    <row r="9496" spans="2:14">
      <c r="B9496" s="105"/>
      <c r="C9496" s="106"/>
      <c r="D9496" s="107"/>
      <c r="E9496" s="65"/>
      <c r="F9496" s="64"/>
      <c r="G9496" s="64"/>
      <c r="H9496" s="64"/>
      <c r="I9496" s="70"/>
      <c r="J9496" s="70"/>
      <c r="K9496" s="110" t="str">
        <f>IF(H9496="","",IF($C$29="간이법","",FPR(H9496,I9496,J9496)))</f>
        <v/>
      </c>
      <c r="L9496" s="111" t="str">
        <f>IF(H9496="","",IF($C$29="상세법",FPV(H9496,K9496),IF(H9496="EI",4,IF(H9496="EO",5.2,IF(H9496="EQ",3.9,IF(H9496="ILF",7.5,IF(H9496="EIF",5.4)))))))</f>
        <v/>
      </c>
      <c r="M9496" s="112" t="str">
        <f t="shared" si="151"/>
        <v/>
      </c>
      <c r="N9496" s="113"/>
    </row>
    <row r="9497" spans="2:14">
      <c r="B9497" s="105"/>
      <c r="C9497" s="106"/>
      <c r="D9497" s="107"/>
      <c r="E9497" s="65"/>
      <c r="F9497" s="64"/>
      <c r="G9497" s="64"/>
      <c r="H9497" s="64"/>
      <c r="I9497" s="70"/>
      <c r="J9497" s="70"/>
      <c r="K9497" s="110" t="str">
        <f>IF(H9497="","",IF($C$29="간이법","",FPR(H9497,I9497,J9497)))</f>
        <v/>
      </c>
      <c r="L9497" s="111" t="str">
        <f>IF(H9497="","",IF($C$29="상세법",FPV(H9497,K9497),IF(H9497="EI",4,IF(H9497="EO",5.2,IF(H9497="EQ",3.9,IF(H9497="ILF",7.5,IF(H9497="EIF",5.4)))))))</f>
        <v/>
      </c>
      <c r="M9497" s="112" t="str">
        <f t="shared" si="151"/>
        <v/>
      </c>
      <c r="N9497" s="113"/>
    </row>
    <row r="9498" spans="2:14">
      <c r="B9498" s="105"/>
      <c r="C9498" s="106"/>
      <c r="D9498" s="107"/>
      <c r="E9498" s="65"/>
      <c r="F9498" s="64"/>
      <c r="G9498" s="64"/>
      <c r="H9498" s="64"/>
      <c r="I9498" s="70"/>
      <c r="J9498" s="70"/>
      <c r="K9498" s="110" t="str">
        <f>IF(H9498="","",IF($C$29="간이법","",FPR(H9498,I9498,J9498)))</f>
        <v/>
      </c>
      <c r="L9498" s="111" t="str">
        <f>IF(H9498="","",IF($C$29="상세법",FPV(H9498,K9498),IF(H9498="EI",4,IF(H9498="EO",5.2,IF(H9498="EQ",3.9,IF(H9498="ILF",7.5,IF(H9498="EIF",5.4)))))))</f>
        <v/>
      </c>
      <c r="M9498" s="112" t="str">
        <f t="shared" si="151"/>
        <v/>
      </c>
      <c r="N9498" s="113"/>
    </row>
    <row r="9499" spans="2:14">
      <c r="B9499" s="105"/>
      <c r="C9499" s="106"/>
      <c r="D9499" s="107"/>
      <c r="E9499" s="65"/>
      <c r="F9499" s="64"/>
      <c r="G9499" s="64"/>
      <c r="H9499" s="64"/>
      <c r="I9499" s="70"/>
      <c r="J9499" s="70"/>
      <c r="K9499" s="110" t="str">
        <f>IF(H9499="","",IF($C$29="간이법","",FPR(H9499,I9499,J9499)))</f>
        <v/>
      </c>
      <c r="L9499" s="111" t="str">
        <f>IF(H9499="","",IF($C$29="상세법",FPV(H9499,K9499),IF(H9499="EI",4,IF(H9499="EO",5.2,IF(H9499="EQ",3.9,IF(H9499="ILF",7.5,IF(H9499="EIF",5.4)))))))</f>
        <v/>
      </c>
      <c r="M9499" s="112" t="str">
        <f t="shared" si="151"/>
        <v/>
      </c>
      <c r="N9499" s="113"/>
    </row>
    <row r="9500" spans="2:14">
      <c r="B9500" s="105"/>
      <c r="C9500" s="106"/>
      <c r="D9500" s="107"/>
      <c r="E9500" s="65"/>
      <c r="F9500" s="64"/>
      <c r="G9500" s="64"/>
      <c r="H9500" s="64"/>
      <c r="I9500" s="70"/>
      <c r="J9500" s="70"/>
      <c r="K9500" s="110" t="str">
        <f>IF(H9500="","",IF($C$29="간이법","",FPR(H9500,I9500,J9500)))</f>
        <v/>
      </c>
      <c r="L9500" s="111" t="str">
        <f>IF(H9500="","",IF($C$29="상세법",FPV(H9500,K9500),IF(H9500="EI",4,IF(H9500="EO",5.2,IF(H9500="EQ",3.9,IF(H9500="ILF",7.5,IF(H9500="EIF",5.4)))))))</f>
        <v/>
      </c>
      <c r="M9500" s="112" t="str">
        <f t="shared" si="151"/>
        <v/>
      </c>
      <c r="N9500" s="113"/>
    </row>
    <row r="9501" spans="2:14">
      <c r="B9501" s="105"/>
      <c r="C9501" s="106"/>
      <c r="D9501" s="107"/>
      <c r="E9501" s="65"/>
      <c r="F9501" s="64"/>
      <c r="G9501" s="64"/>
      <c r="H9501" s="64"/>
      <c r="I9501" s="70"/>
      <c r="J9501" s="70"/>
      <c r="K9501" s="110" t="str">
        <f>IF(H9501="","",IF($C$29="간이법","",FPR(H9501,I9501,J9501)))</f>
        <v/>
      </c>
      <c r="L9501" s="111" t="str">
        <f>IF(H9501="","",IF($C$29="상세법",FPV(H9501,K9501),IF(H9501="EI",4,IF(H9501="EO",5.2,IF(H9501="EQ",3.9,IF(H9501="ILF",7.5,IF(H9501="EIF",5.4)))))))</f>
        <v/>
      </c>
      <c r="M9501" s="112" t="str">
        <f t="shared" si="151"/>
        <v/>
      </c>
      <c r="N9501" s="113"/>
    </row>
    <row r="9502" spans="2:14">
      <c r="B9502" s="105"/>
      <c r="C9502" s="106"/>
      <c r="D9502" s="107"/>
      <c r="E9502" s="65"/>
      <c r="F9502" s="64"/>
      <c r="G9502" s="64"/>
      <c r="H9502" s="64"/>
      <c r="I9502" s="70"/>
      <c r="J9502" s="70"/>
      <c r="K9502" s="110" t="str">
        <f>IF(H9502="","",IF($C$29="간이법","",FPR(H9502,I9502,J9502)))</f>
        <v/>
      </c>
      <c r="L9502" s="111" t="str">
        <f>IF(H9502="","",IF($C$29="상세법",FPV(H9502,K9502),IF(H9502="EI",4,IF(H9502="EO",5.2,IF(H9502="EQ",3.9,IF(H9502="ILF",7.5,IF(H9502="EIF",5.4)))))))</f>
        <v/>
      </c>
      <c r="M9502" s="112" t="str">
        <f t="shared" si="151"/>
        <v/>
      </c>
      <c r="N9502" s="113"/>
    </row>
    <row r="9503" spans="2:14">
      <c r="B9503" s="105"/>
      <c r="C9503" s="106"/>
      <c r="D9503" s="107"/>
      <c r="E9503" s="65"/>
      <c r="F9503" s="64"/>
      <c r="G9503" s="64"/>
      <c r="H9503" s="64"/>
      <c r="I9503" s="70"/>
      <c r="J9503" s="70"/>
      <c r="K9503" s="110" t="str">
        <f>IF(H9503="","",IF($C$29="간이법","",FPR(H9503,I9503,J9503)))</f>
        <v/>
      </c>
      <c r="L9503" s="111" t="str">
        <f>IF(H9503="","",IF($C$29="상세법",FPV(H9503,K9503),IF(H9503="EI",4,IF(H9503="EO",5.2,IF(H9503="EQ",3.9,IF(H9503="ILF",7.5,IF(H9503="EIF",5.4)))))))</f>
        <v/>
      </c>
      <c r="M9503" s="112" t="str">
        <f t="shared" si="151"/>
        <v/>
      </c>
      <c r="N9503" s="113"/>
    </row>
    <row r="9504" spans="2:14">
      <c r="B9504" s="105"/>
      <c r="C9504" s="106"/>
      <c r="D9504" s="107"/>
      <c r="E9504" s="65"/>
      <c r="F9504" s="64"/>
      <c r="G9504" s="64"/>
      <c r="H9504" s="64"/>
      <c r="I9504" s="70"/>
      <c r="J9504" s="70"/>
      <c r="K9504" s="110" t="str">
        <f>IF(H9504="","",IF($C$29="간이법","",FPR(H9504,I9504,J9504)))</f>
        <v/>
      </c>
      <c r="L9504" s="111" t="str">
        <f>IF(H9504="","",IF($C$29="상세법",FPV(H9504,K9504),IF(H9504="EI",4,IF(H9504="EO",5.2,IF(H9504="EQ",3.9,IF(H9504="ILF",7.5,IF(H9504="EIF",5.4)))))))</f>
        <v/>
      </c>
      <c r="M9504" s="112" t="str">
        <f t="shared" si="151"/>
        <v/>
      </c>
      <c r="N9504" s="113"/>
    </row>
    <row r="9505" spans="2:14">
      <c r="B9505" s="105"/>
      <c r="C9505" s="106"/>
      <c r="D9505" s="107"/>
      <c r="E9505" s="65"/>
      <c r="F9505" s="64"/>
      <c r="G9505" s="64"/>
      <c r="H9505" s="64"/>
      <c r="I9505" s="70"/>
      <c r="J9505" s="70"/>
      <c r="K9505" s="110" t="str">
        <f>IF(H9505="","",IF($C$29="간이법","",FPR(H9505,I9505,J9505)))</f>
        <v/>
      </c>
      <c r="L9505" s="111" t="str">
        <f>IF(H9505="","",IF($C$29="상세법",FPV(H9505,K9505),IF(H9505="EI",4,IF(H9505="EO",5.2,IF(H9505="EQ",3.9,IF(H9505="ILF",7.5,IF(H9505="EIF",5.4)))))))</f>
        <v/>
      </c>
      <c r="M9505" s="112" t="str">
        <f t="shared" si="151"/>
        <v/>
      </c>
      <c r="N9505" s="113"/>
    </row>
    <row r="9506" spans="2:14">
      <c r="B9506" s="105"/>
      <c r="C9506" s="106"/>
      <c r="D9506" s="107"/>
      <c r="E9506" s="65"/>
      <c r="F9506" s="64"/>
      <c r="G9506" s="64"/>
      <c r="H9506" s="64"/>
      <c r="I9506" s="70"/>
      <c r="J9506" s="70"/>
      <c r="K9506" s="110" t="str">
        <f>IF(H9506="","",IF($C$29="간이법","",FPR(H9506,I9506,J9506)))</f>
        <v/>
      </c>
      <c r="L9506" s="111" t="str">
        <f>IF(H9506="","",IF($C$29="상세법",FPV(H9506,K9506),IF(H9506="EI",4,IF(H9506="EO",5.2,IF(H9506="EQ",3.9,IF(H9506="ILF",7.5,IF(H9506="EIF",5.4)))))))</f>
        <v/>
      </c>
      <c r="M9506" s="112" t="str">
        <f t="shared" si="151"/>
        <v/>
      </c>
      <c r="N9506" s="113"/>
    </row>
    <row r="9507" spans="2:14">
      <c r="B9507" s="105"/>
      <c r="C9507" s="106"/>
      <c r="D9507" s="107"/>
      <c r="E9507" s="65"/>
      <c r="F9507" s="64"/>
      <c r="G9507" s="64"/>
      <c r="H9507" s="64"/>
      <c r="I9507" s="70"/>
      <c r="J9507" s="70"/>
      <c r="K9507" s="110" t="str">
        <f>IF(H9507="","",IF($C$29="간이법","",FPR(H9507,I9507,J9507)))</f>
        <v/>
      </c>
      <c r="L9507" s="111" t="str">
        <f>IF(H9507="","",IF($C$29="상세법",FPV(H9507,K9507),IF(H9507="EI",4,IF(H9507="EO",5.2,IF(H9507="EQ",3.9,IF(H9507="ILF",7.5,IF(H9507="EIF",5.4)))))))</f>
        <v/>
      </c>
      <c r="M9507" s="112" t="str">
        <f t="shared" si="151"/>
        <v/>
      </c>
      <c r="N9507" s="113"/>
    </row>
    <row r="9508" spans="2:14">
      <c r="B9508" s="105"/>
      <c r="C9508" s="106"/>
      <c r="D9508" s="107"/>
      <c r="E9508" s="65"/>
      <c r="F9508" s="64"/>
      <c r="G9508" s="64"/>
      <c r="H9508" s="64"/>
      <c r="I9508" s="70"/>
      <c r="J9508" s="70"/>
      <c r="K9508" s="110" t="str">
        <f>IF(H9508="","",IF($C$29="간이법","",FPR(H9508,I9508,J9508)))</f>
        <v/>
      </c>
      <c r="L9508" s="111" t="str">
        <f>IF(H9508="","",IF($C$29="상세법",FPV(H9508,K9508),IF(H9508="EI",4,IF(H9508="EO",5.2,IF(H9508="EQ",3.9,IF(H9508="ILF",7.5,IF(H9508="EIF",5.4)))))))</f>
        <v/>
      </c>
      <c r="M9508" s="112" t="str">
        <f t="shared" si="151"/>
        <v/>
      </c>
      <c r="N9508" s="113"/>
    </row>
    <row r="9509" spans="2:14">
      <c r="B9509" s="105"/>
      <c r="C9509" s="106"/>
      <c r="D9509" s="107"/>
      <c r="E9509" s="65"/>
      <c r="F9509" s="64"/>
      <c r="G9509" s="64"/>
      <c r="H9509" s="64"/>
      <c r="I9509" s="70"/>
      <c r="J9509" s="70"/>
      <c r="K9509" s="110" t="str">
        <f>IF(H9509="","",IF($C$29="간이법","",FPR(H9509,I9509,J9509)))</f>
        <v/>
      </c>
      <c r="L9509" s="111" t="str">
        <f>IF(H9509="","",IF($C$29="상세법",FPV(H9509,K9509),IF(H9509="EI",4,IF(H9509="EO",5.2,IF(H9509="EQ",3.9,IF(H9509="ILF",7.5,IF(H9509="EIF",5.4)))))))</f>
        <v/>
      </c>
      <c r="M9509" s="112" t="str">
        <f t="shared" si="151"/>
        <v/>
      </c>
      <c r="N9509" s="113"/>
    </row>
    <row r="9510" spans="2:14">
      <c r="B9510" s="105"/>
      <c r="C9510" s="106"/>
      <c r="D9510" s="107"/>
      <c r="E9510" s="65"/>
      <c r="F9510" s="64"/>
      <c r="G9510" s="64"/>
      <c r="H9510" s="64"/>
      <c r="I9510" s="70"/>
      <c r="J9510" s="70"/>
      <c r="K9510" s="110" t="str">
        <f>IF(H9510="","",IF($C$29="간이법","",FPR(H9510,I9510,J9510)))</f>
        <v/>
      </c>
      <c r="L9510" s="111" t="str">
        <f>IF(H9510="","",IF($C$29="상세법",FPV(H9510,K9510),IF(H9510="EI",4,IF(H9510="EO",5.2,IF(H9510="EQ",3.9,IF(H9510="ILF",7.5,IF(H9510="EIF",5.4)))))))</f>
        <v/>
      </c>
      <c r="M9510" s="112" t="str">
        <f t="shared" si="151"/>
        <v/>
      </c>
      <c r="N9510" s="113"/>
    </row>
    <row r="9511" spans="2:14">
      <c r="B9511" s="105"/>
      <c r="C9511" s="106"/>
      <c r="D9511" s="107"/>
      <c r="E9511" s="65"/>
      <c r="F9511" s="64"/>
      <c r="G9511" s="64"/>
      <c r="H9511" s="64"/>
      <c r="I9511" s="70"/>
      <c r="J9511" s="70"/>
      <c r="K9511" s="110" t="str">
        <f>IF(H9511="","",IF($C$29="간이법","",FPR(H9511,I9511,J9511)))</f>
        <v/>
      </c>
      <c r="L9511" s="111" t="str">
        <f>IF(H9511="","",IF($C$29="상세법",FPV(H9511,K9511),IF(H9511="EI",4,IF(H9511="EO",5.2,IF(H9511="EQ",3.9,IF(H9511="ILF",7.5,IF(H9511="EIF",5.4)))))))</f>
        <v/>
      </c>
      <c r="M9511" s="112" t="str">
        <f t="shared" si="151"/>
        <v/>
      </c>
      <c r="N9511" s="113"/>
    </row>
    <row r="9512" spans="2:14">
      <c r="B9512" s="105"/>
      <c r="C9512" s="106"/>
      <c r="D9512" s="107"/>
      <c r="E9512" s="65"/>
      <c r="F9512" s="64"/>
      <c r="G9512" s="64"/>
      <c r="H9512" s="64"/>
      <c r="I9512" s="70"/>
      <c r="J9512" s="70"/>
      <c r="K9512" s="110" t="str">
        <f>IF(H9512="","",IF($C$29="간이법","",FPR(H9512,I9512,J9512)))</f>
        <v/>
      </c>
      <c r="L9512" s="111" t="str">
        <f>IF(H9512="","",IF($C$29="상세법",FPV(H9512,K9512),IF(H9512="EI",4,IF(H9512="EO",5.2,IF(H9512="EQ",3.9,IF(H9512="ILF",7.5,IF(H9512="EIF",5.4)))))))</f>
        <v/>
      </c>
      <c r="M9512" s="112" t="str">
        <f t="shared" si="151"/>
        <v/>
      </c>
      <c r="N9512" s="113"/>
    </row>
    <row r="9513" spans="2:14">
      <c r="B9513" s="105"/>
      <c r="C9513" s="106"/>
      <c r="D9513" s="107"/>
      <c r="E9513" s="65"/>
      <c r="F9513" s="64"/>
      <c r="G9513" s="64"/>
      <c r="H9513" s="64"/>
      <c r="I9513" s="70"/>
      <c r="J9513" s="70"/>
      <c r="K9513" s="110" t="str">
        <f>IF(H9513="","",IF($C$29="간이법","",FPR(H9513,I9513,J9513)))</f>
        <v/>
      </c>
      <c r="L9513" s="111" t="str">
        <f>IF(H9513="","",IF($C$29="상세법",FPV(H9513,K9513),IF(H9513="EI",4,IF(H9513="EO",5.2,IF(H9513="EQ",3.9,IF(H9513="ILF",7.5,IF(H9513="EIF",5.4)))))))</f>
        <v/>
      </c>
      <c r="M9513" s="112" t="str">
        <f t="shared" si="151"/>
        <v/>
      </c>
      <c r="N9513" s="113"/>
    </row>
    <row r="9514" spans="2:14">
      <c r="B9514" s="105"/>
      <c r="C9514" s="106"/>
      <c r="D9514" s="107"/>
      <c r="E9514" s="65"/>
      <c r="F9514" s="64"/>
      <c r="G9514" s="64"/>
      <c r="H9514" s="64"/>
      <c r="I9514" s="70"/>
      <c r="J9514" s="70"/>
      <c r="K9514" s="110" t="str">
        <f>IF(H9514="","",IF($C$29="간이법","",FPR(H9514,I9514,J9514)))</f>
        <v/>
      </c>
      <c r="L9514" s="111" t="str">
        <f>IF(H9514="","",IF($C$29="상세법",FPV(H9514,K9514),IF(H9514="EI",4,IF(H9514="EO",5.2,IF(H9514="EQ",3.9,IF(H9514="ILF",7.5,IF(H9514="EIF",5.4)))))))</f>
        <v/>
      </c>
      <c r="M9514" s="112" t="str">
        <f t="shared" si="151"/>
        <v/>
      </c>
      <c r="N9514" s="113"/>
    </row>
    <row r="9515" spans="2:14">
      <c r="B9515" s="105"/>
      <c r="C9515" s="106"/>
      <c r="D9515" s="107"/>
      <c r="E9515" s="65"/>
      <c r="F9515" s="64"/>
      <c r="G9515" s="64"/>
      <c r="H9515" s="64"/>
      <c r="I9515" s="70"/>
      <c r="J9515" s="70"/>
      <c r="K9515" s="110" t="str">
        <f>IF(H9515="","",IF($C$29="간이법","",FPR(H9515,I9515,J9515)))</f>
        <v/>
      </c>
      <c r="L9515" s="111" t="str">
        <f>IF(H9515="","",IF($C$29="상세법",FPV(H9515,K9515),IF(H9515="EI",4,IF(H9515="EO",5.2,IF(H9515="EQ",3.9,IF(H9515="ILF",7.5,IF(H9515="EIF",5.4)))))))</f>
        <v/>
      </c>
      <c r="M9515" s="112" t="str">
        <f t="shared" si="151"/>
        <v/>
      </c>
      <c r="N9515" s="113"/>
    </row>
    <row r="9516" spans="2:14">
      <c r="B9516" s="105"/>
      <c r="C9516" s="106"/>
      <c r="D9516" s="107"/>
      <c r="E9516" s="65"/>
      <c r="F9516" s="64"/>
      <c r="G9516" s="64"/>
      <c r="H9516" s="64"/>
      <c r="I9516" s="70"/>
      <c r="J9516" s="70"/>
      <c r="K9516" s="110" t="str">
        <f>IF(H9516="","",IF($C$29="간이법","",FPR(H9516,I9516,J9516)))</f>
        <v/>
      </c>
      <c r="L9516" s="111" t="str">
        <f>IF(H9516="","",IF($C$29="상세법",FPV(H9516,K9516),IF(H9516="EI",4,IF(H9516="EO",5.2,IF(H9516="EQ",3.9,IF(H9516="ILF",7.5,IF(H9516="EIF",5.4)))))))</f>
        <v/>
      </c>
      <c r="M9516" s="112" t="str">
        <f t="shared" si="151"/>
        <v/>
      </c>
      <c r="N9516" s="113"/>
    </row>
    <row r="9517" spans="2:14">
      <c r="B9517" s="105"/>
      <c r="C9517" s="106"/>
      <c r="D9517" s="107"/>
      <c r="E9517" s="65"/>
      <c r="F9517" s="64"/>
      <c r="G9517" s="64"/>
      <c r="H9517" s="64"/>
      <c r="I9517" s="70"/>
      <c r="J9517" s="70"/>
      <c r="K9517" s="110" t="str">
        <f>IF(H9517="","",IF($C$29="간이법","",FPR(H9517,I9517,J9517)))</f>
        <v/>
      </c>
      <c r="L9517" s="111" t="str">
        <f>IF(H9517="","",IF($C$29="상세법",FPV(H9517,K9517),IF(H9517="EI",4,IF(H9517="EO",5.2,IF(H9517="EQ",3.9,IF(H9517="ILF",7.5,IF(H9517="EIF",5.4)))))))</f>
        <v/>
      </c>
      <c r="M9517" s="112" t="str">
        <f t="shared" si="151"/>
        <v/>
      </c>
      <c r="N9517" s="113"/>
    </row>
    <row r="9518" spans="2:14">
      <c r="B9518" s="105"/>
      <c r="C9518" s="106"/>
      <c r="D9518" s="107"/>
      <c r="E9518" s="65"/>
      <c r="F9518" s="64"/>
      <c r="G9518" s="64"/>
      <c r="H9518" s="64"/>
      <c r="I9518" s="70"/>
      <c r="J9518" s="70"/>
      <c r="K9518" s="110" t="str">
        <f>IF(H9518="","",IF($C$29="간이법","",FPR(H9518,I9518,J9518)))</f>
        <v/>
      </c>
      <c r="L9518" s="111" t="str">
        <f>IF(H9518="","",IF($C$29="상세법",FPV(H9518,K9518),IF(H9518="EI",4,IF(H9518="EO",5.2,IF(H9518="EQ",3.9,IF(H9518="ILF",7.5,IF(H9518="EIF",5.4)))))))</f>
        <v/>
      </c>
      <c r="M9518" s="112" t="str">
        <f t="shared" si="151"/>
        <v/>
      </c>
      <c r="N9518" s="113"/>
    </row>
    <row r="9519" spans="2:14">
      <c r="B9519" s="105"/>
      <c r="C9519" s="106"/>
      <c r="D9519" s="107"/>
      <c r="E9519" s="65"/>
      <c r="F9519" s="64"/>
      <c r="G9519" s="64"/>
      <c r="H9519" s="64"/>
      <c r="I9519" s="70"/>
      <c r="J9519" s="70"/>
      <c r="K9519" s="110" t="str">
        <f>IF(H9519="","",IF($C$29="간이법","",FPR(H9519,I9519,J9519)))</f>
        <v/>
      </c>
      <c r="L9519" s="111" t="str">
        <f>IF(H9519="","",IF($C$29="상세법",FPV(H9519,K9519),IF(H9519="EI",4,IF(H9519="EO",5.2,IF(H9519="EQ",3.9,IF(H9519="ILF",7.5,IF(H9519="EIF",5.4)))))))</f>
        <v/>
      </c>
      <c r="M9519" s="112" t="str">
        <f t="shared" si="151"/>
        <v/>
      </c>
      <c r="N9519" s="113"/>
    </row>
    <row r="9520" spans="2:14">
      <c r="B9520" s="105"/>
      <c r="C9520" s="106"/>
      <c r="D9520" s="107"/>
      <c r="E9520" s="65"/>
      <c r="F9520" s="64"/>
      <c r="G9520" s="64"/>
      <c r="H9520" s="64"/>
      <c r="I9520" s="70"/>
      <c r="J9520" s="70"/>
      <c r="K9520" s="110" t="str">
        <f>IF(H9520="","",IF($C$29="간이법","",FPR(H9520,I9520,J9520)))</f>
        <v/>
      </c>
      <c r="L9520" s="111" t="str">
        <f>IF(H9520="","",IF($C$29="상세법",FPV(H9520,K9520),IF(H9520="EI",4,IF(H9520="EO",5.2,IF(H9520="EQ",3.9,IF(H9520="ILF",7.5,IF(H9520="EIF",5.4)))))))</f>
        <v/>
      </c>
      <c r="M9520" s="112" t="str">
        <f t="shared" si="151"/>
        <v/>
      </c>
      <c r="N9520" s="113"/>
    </row>
    <row r="9521" spans="2:14">
      <c r="B9521" s="105"/>
      <c r="C9521" s="106"/>
      <c r="D9521" s="107"/>
      <c r="E9521" s="65"/>
      <c r="F9521" s="64"/>
      <c r="G9521" s="64"/>
      <c r="H9521" s="64"/>
      <c r="I9521" s="70"/>
      <c r="J9521" s="70"/>
      <c r="K9521" s="110" t="str">
        <f>IF(H9521="","",IF($C$29="간이법","",FPR(H9521,I9521,J9521)))</f>
        <v/>
      </c>
      <c r="L9521" s="111" t="str">
        <f>IF(H9521="","",IF($C$29="상세법",FPV(H9521,K9521),IF(H9521="EI",4,IF(H9521="EO",5.2,IF(H9521="EQ",3.9,IF(H9521="ILF",7.5,IF(H9521="EIF",5.4)))))))</f>
        <v/>
      </c>
      <c r="M9521" s="112" t="str">
        <f t="shared" si="151"/>
        <v/>
      </c>
      <c r="N9521" s="113"/>
    </row>
    <row r="9522" spans="2:14">
      <c r="B9522" s="105"/>
      <c r="C9522" s="106"/>
      <c r="D9522" s="107"/>
      <c r="E9522" s="65"/>
      <c r="F9522" s="64"/>
      <c r="G9522" s="64"/>
      <c r="H9522" s="64"/>
      <c r="I9522" s="70"/>
      <c r="J9522" s="70"/>
      <c r="K9522" s="110" t="str">
        <f>IF(H9522="","",IF($C$29="간이법","",FPR(H9522,I9522,J9522)))</f>
        <v/>
      </c>
      <c r="L9522" s="111" t="str">
        <f>IF(H9522="","",IF($C$29="상세법",FPV(H9522,K9522),IF(H9522="EI",4,IF(H9522="EO",5.2,IF(H9522="EQ",3.9,IF(H9522="ILF",7.5,IF(H9522="EIF",5.4)))))))</f>
        <v/>
      </c>
      <c r="M9522" s="112" t="str">
        <f t="shared" si="151"/>
        <v/>
      </c>
      <c r="N9522" s="113"/>
    </row>
    <row r="9523" spans="2:14">
      <c r="B9523" s="105"/>
      <c r="C9523" s="106"/>
      <c r="D9523" s="107"/>
      <c r="E9523" s="65"/>
      <c r="F9523" s="64"/>
      <c r="G9523" s="64"/>
      <c r="H9523" s="64"/>
      <c r="I9523" s="70"/>
      <c r="J9523" s="70"/>
      <c r="K9523" s="110" t="str">
        <f>IF(H9523="","",IF($C$29="간이법","",FPR(H9523,I9523,J9523)))</f>
        <v/>
      </c>
      <c r="L9523" s="111" t="str">
        <f>IF(H9523="","",IF($C$29="상세법",FPV(H9523,K9523),IF(H9523="EI",4,IF(H9523="EO",5.2,IF(H9523="EQ",3.9,IF(H9523="ILF",7.5,IF(H9523="EIF",5.4)))))))</f>
        <v/>
      </c>
      <c r="M9523" s="112" t="str">
        <f t="shared" si="151"/>
        <v/>
      </c>
      <c r="N9523" s="113"/>
    </row>
    <row r="9524" spans="2:14">
      <c r="B9524" s="105"/>
      <c r="C9524" s="106"/>
      <c r="D9524" s="107"/>
      <c r="E9524" s="65"/>
      <c r="F9524" s="64"/>
      <c r="G9524" s="64"/>
      <c r="H9524" s="64"/>
      <c r="I9524" s="70"/>
      <c r="J9524" s="70"/>
      <c r="K9524" s="110" t="str">
        <f>IF(H9524="","",IF($C$29="간이법","",FPR(H9524,I9524,J9524)))</f>
        <v/>
      </c>
      <c r="L9524" s="111" t="str">
        <f>IF(H9524="","",IF($C$29="상세법",FPV(H9524,K9524),IF(H9524="EI",4,IF(H9524="EO",5.2,IF(H9524="EQ",3.9,IF(H9524="ILF",7.5,IF(H9524="EIF",5.4)))))))</f>
        <v/>
      </c>
      <c r="M9524" s="112" t="str">
        <f t="shared" si="151"/>
        <v/>
      </c>
      <c r="N9524" s="113"/>
    </row>
    <row r="9525" spans="2:14">
      <c r="B9525" s="105"/>
      <c r="C9525" s="106"/>
      <c r="D9525" s="107"/>
      <c r="E9525" s="65"/>
      <c r="F9525" s="64"/>
      <c r="G9525" s="64"/>
      <c r="H9525" s="64"/>
      <c r="I9525" s="70"/>
      <c r="J9525" s="70"/>
      <c r="K9525" s="110" t="str">
        <f>IF(H9525="","",IF($C$29="간이법","",FPR(H9525,I9525,J9525)))</f>
        <v/>
      </c>
      <c r="L9525" s="111" t="str">
        <f>IF(H9525="","",IF($C$29="상세법",FPV(H9525,K9525),IF(H9525="EI",4,IF(H9525="EO",5.2,IF(H9525="EQ",3.9,IF(H9525="ILF",7.5,IF(H9525="EIF",5.4)))))))</f>
        <v/>
      </c>
      <c r="M9525" s="112" t="str">
        <f t="shared" si="151"/>
        <v/>
      </c>
      <c r="N9525" s="113"/>
    </row>
    <row r="9526" spans="2:14">
      <c r="B9526" s="105"/>
      <c r="C9526" s="106"/>
      <c r="D9526" s="107"/>
      <c r="E9526" s="65"/>
      <c r="F9526" s="64"/>
      <c r="G9526" s="64"/>
      <c r="H9526" s="64"/>
      <c r="I9526" s="70"/>
      <c r="J9526" s="70"/>
      <c r="K9526" s="110" t="str">
        <f>IF(H9526="","",IF($C$29="간이법","",FPR(H9526,I9526,J9526)))</f>
        <v/>
      </c>
      <c r="L9526" s="111" t="str">
        <f>IF(H9526="","",IF($C$29="상세법",FPV(H9526,K9526),IF(H9526="EI",4,IF(H9526="EO",5.2,IF(H9526="EQ",3.9,IF(H9526="ILF",7.5,IF(H9526="EIF",5.4)))))))</f>
        <v/>
      </c>
      <c r="M9526" s="112" t="str">
        <f t="shared" si="151"/>
        <v/>
      </c>
      <c r="N9526" s="113"/>
    </row>
    <row r="9527" spans="2:14">
      <c r="B9527" s="105"/>
      <c r="C9527" s="106"/>
      <c r="D9527" s="107"/>
      <c r="E9527" s="65"/>
      <c r="F9527" s="64"/>
      <c r="G9527" s="64"/>
      <c r="H9527" s="64"/>
      <c r="I9527" s="70"/>
      <c r="J9527" s="70"/>
      <c r="K9527" s="110" t="str">
        <f>IF(H9527="","",IF($C$29="간이법","",FPR(H9527,I9527,J9527)))</f>
        <v/>
      </c>
      <c r="L9527" s="111" t="str">
        <f>IF(H9527="","",IF($C$29="상세법",FPV(H9527,K9527),IF(H9527="EI",4,IF(H9527="EO",5.2,IF(H9527="EQ",3.9,IF(H9527="ILF",7.5,IF(H9527="EIF",5.4)))))))</f>
        <v/>
      </c>
      <c r="M9527" s="112" t="str">
        <f t="shared" si="151"/>
        <v/>
      </c>
      <c r="N9527" s="113"/>
    </row>
    <row r="9528" spans="2:14">
      <c r="B9528" s="105"/>
      <c r="C9528" s="106"/>
      <c r="D9528" s="107"/>
      <c r="E9528" s="65"/>
      <c r="F9528" s="64"/>
      <c r="G9528" s="64"/>
      <c r="H9528" s="64"/>
      <c r="I9528" s="70"/>
      <c r="J9528" s="70"/>
      <c r="K9528" s="110" t="str">
        <f>IF(H9528="","",IF($C$29="간이법","",FPR(H9528,I9528,J9528)))</f>
        <v/>
      </c>
      <c r="L9528" s="111" t="str">
        <f>IF(H9528="","",IF($C$29="상세법",FPV(H9528,K9528),IF(H9528="EI",4,IF(H9528="EO",5.2,IF(H9528="EQ",3.9,IF(H9528="ILF",7.5,IF(H9528="EIF",5.4)))))))</f>
        <v/>
      </c>
      <c r="M9528" s="112" t="str">
        <f t="shared" si="151"/>
        <v/>
      </c>
      <c r="N9528" s="113"/>
    </row>
    <row r="9529" spans="2:14">
      <c r="B9529" s="105"/>
      <c r="C9529" s="106"/>
      <c r="D9529" s="107"/>
      <c r="E9529" s="65"/>
      <c r="F9529" s="64"/>
      <c r="G9529" s="64"/>
      <c r="H9529" s="64"/>
      <c r="I9529" s="70"/>
      <c r="J9529" s="70"/>
      <c r="K9529" s="110" t="str">
        <f>IF(H9529="","",IF($C$29="간이법","",FPR(H9529,I9529,J9529)))</f>
        <v/>
      </c>
      <c r="L9529" s="111" t="str">
        <f>IF(H9529="","",IF($C$29="상세법",FPV(H9529,K9529),IF(H9529="EI",4,IF(H9529="EO",5.2,IF(H9529="EQ",3.9,IF(H9529="ILF",7.5,IF(H9529="EIF",5.4)))))))</f>
        <v/>
      </c>
      <c r="M9529" s="112" t="str">
        <f t="shared" ref="M9529:M9592" si="152">IF(L9529="","",L9529*IF(G9529="상",0.7,IF(G9529="중",0.5,IF(G9529="하",0.2,1))))</f>
        <v/>
      </c>
      <c r="N9529" s="113"/>
    </row>
    <row r="9530" spans="2:14">
      <c r="B9530" s="105"/>
      <c r="C9530" s="106"/>
      <c r="D9530" s="107"/>
      <c r="E9530" s="65"/>
      <c r="F9530" s="64"/>
      <c r="G9530" s="64"/>
      <c r="H9530" s="64"/>
      <c r="I9530" s="70"/>
      <c r="J9530" s="70"/>
      <c r="K9530" s="110" t="str">
        <f>IF(H9530="","",IF($C$29="간이법","",FPR(H9530,I9530,J9530)))</f>
        <v/>
      </c>
      <c r="L9530" s="111" t="str">
        <f>IF(H9530="","",IF($C$29="상세법",FPV(H9530,K9530),IF(H9530="EI",4,IF(H9530="EO",5.2,IF(H9530="EQ",3.9,IF(H9530="ILF",7.5,IF(H9530="EIF",5.4)))))))</f>
        <v/>
      </c>
      <c r="M9530" s="112" t="str">
        <f t="shared" si="152"/>
        <v/>
      </c>
      <c r="N9530" s="113"/>
    </row>
    <row r="9531" spans="2:14">
      <c r="B9531" s="105"/>
      <c r="C9531" s="106"/>
      <c r="D9531" s="107"/>
      <c r="E9531" s="65"/>
      <c r="F9531" s="64"/>
      <c r="G9531" s="64"/>
      <c r="H9531" s="64"/>
      <c r="I9531" s="70"/>
      <c r="J9531" s="70"/>
      <c r="K9531" s="110" t="str">
        <f>IF(H9531="","",IF($C$29="간이법","",FPR(H9531,I9531,J9531)))</f>
        <v/>
      </c>
      <c r="L9531" s="111" t="str">
        <f>IF(H9531="","",IF($C$29="상세법",FPV(H9531,K9531),IF(H9531="EI",4,IF(H9531="EO",5.2,IF(H9531="EQ",3.9,IF(H9531="ILF",7.5,IF(H9531="EIF",5.4)))))))</f>
        <v/>
      </c>
      <c r="M9531" s="112" t="str">
        <f t="shared" si="152"/>
        <v/>
      </c>
      <c r="N9531" s="113"/>
    </row>
    <row r="9532" spans="2:14">
      <c r="B9532" s="105"/>
      <c r="C9532" s="106"/>
      <c r="D9532" s="107"/>
      <c r="E9532" s="65"/>
      <c r="F9532" s="64"/>
      <c r="G9532" s="64"/>
      <c r="H9532" s="64"/>
      <c r="I9532" s="70"/>
      <c r="J9532" s="70"/>
      <c r="K9532" s="110" t="str">
        <f>IF(H9532="","",IF($C$29="간이법","",FPR(H9532,I9532,J9532)))</f>
        <v/>
      </c>
      <c r="L9532" s="111" t="str">
        <f>IF(H9532="","",IF($C$29="상세법",FPV(H9532,K9532),IF(H9532="EI",4,IF(H9532="EO",5.2,IF(H9532="EQ",3.9,IF(H9532="ILF",7.5,IF(H9532="EIF",5.4)))))))</f>
        <v/>
      </c>
      <c r="M9532" s="112" t="str">
        <f t="shared" si="152"/>
        <v/>
      </c>
      <c r="N9532" s="113"/>
    </row>
    <row r="9533" spans="2:14">
      <c r="B9533" s="105"/>
      <c r="C9533" s="106"/>
      <c r="D9533" s="107"/>
      <c r="E9533" s="65"/>
      <c r="F9533" s="64"/>
      <c r="G9533" s="64"/>
      <c r="H9533" s="64"/>
      <c r="I9533" s="70"/>
      <c r="J9533" s="70"/>
      <c r="K9533" s="110" t="str">
        <f>IF(H9533="","",IF($C$29="간이법","",FPR(H9533,I9533,J9533)))</f>
        <v/>
      </c>
      <c r="L9533" s="111" t="str">
        <f>IF(H9533="","",IF($C$29="상세법",FPV(H9533,K9533),IF(H9533="EI",4,IF(H9533="EO",5.2,IF(H9533="EQ",3.9,IF(H9533="ILF",7.5,IF(H9533="EIF",5.4)))))))</f>
        <v/>
      </c>
      <c r="M9533" s="112" t="str">
        <f t="shared" si="152"/>
        <v/>
      </c>
      <c r="N9533" s="113"/>
    </row>
    <row r="9534" spans="2:14">
      <c r="B9534" s="105"/>
      <c r="C9534" s="106"/>
      <c r="D9534" s="107"/>
      <c r="E9534" s="65"/>
      <c r="F9534" s="64"/>
      <c r="G9534" s="64"/>
      <c r="H9534" s="64"/>
      <c r="I9534" s="70"/>
      <c r="J9534" s="70"/>
      <c r="K9534" s="110" t="str">
        <f>IF(H9534="","",IF($C$29="간이법","",FPR(H9534,I9534,J9534)))</f>
        <v/>
      </c>
      <c r="L9534" s="111" t="str">
        <f>IF(H9534="","",IF($C$29="상세법",FPV(H9534,K9534),IF(H9534="EI",4,IF(H9534="EO",5.2,IF(H9534="EQ",3.9,IF(H9534="ILF",7.5,IF(H9534="EIF",5.4)))))))</f>
        <v/>
      </c>
      <c r="M9534" s="112" t="str">
        <f t="shared" si="152"/>
        <v/>
      </c>
      <c r="N9534" s="113"/>
    </row>
    <row r="9535" spans="2:14">
      <c r="B9535" s="105"/>
      <c r="C9535" s="106"/>
      <c r="D9535" s="107"/>
      <c r="E9535" s="65"/>
      <c r="F9535" s="64"/>
      <c r="G9535" s="64"/>
      <c r="H9535" s="64"/>
      <c r="I9535" s="70"/>
      <c r="J9535" s="70"/>
      <c r="K9535" s="110" t="str">
        <f>IF(H9535="","",IF($C$29="간이법","",FPR(H9535,I9535,J9535)))</f>
        <v/>
      </c>
      <c r="L9535" s="111" t="str">
        <f>IF(H9535="","",IF($C$29="상세법",FPV(H9535,K9535),IF(H9535="EI",4,IF(H9535="EO",5.2,IF(H9535="EQ",3.9,IF(H9535="ILF",7.5,IF(H9535="EIF",5.4)))))))</f>
        <v/>
      </c>
      <c r="M9535" s="112" t="str">
        <f t="shared" si="152"/>
        <v/>
      </c>
      <c r="N9535" s="113"/>
    </row>
    <row r="9536" spans="2:14">
      <c r="B9536" s="105"/>
      <c r="C9536" s="106"/>
      <c r="D9536" s="107"/>
      <c r="E9536" s="65"/>
      <c r="F9536" s="64"/>
      <c r="G9536" s="64"/>
      <c r="H9536" s="64"/>
      <c r="I9536" s="70"/>
      <c r="J9536" s="70"/>
      <c r="K9536" s="110" t="str">
        <f>IF(H9536="","",IF($C$29="간이법","",FPR(H9536,I9536,J9536)))</f>
        <v/>
      </c>
      <c r="L9536" s="111" t="str">
        <f>IF(H9536="","",IF($C$29="상세법",FPV(H9536,K9536),IF(H9536="EI",4,IF(H9536="EO",5.2,IF(H9536="EQ",3.9,IF(H9536="ILF",7.5,IF(H9536="EIF",5.4)))))))</f>
        <v/>
      </c>
      <c r="M9536" s="112" t="str">
        <f t="shared" si="152"/>
        <v/>
      </c>
      <c r="N9536" s="113"/>
    </row>
    <row r="9537" spans="2:14">
      <c r="B9537" s="105"/>
      <c r="C9537" s="106"/>
      <c r="D9537" s="107"/>
      <c r="E9537" s="65"/>
      <c r="F9537" s="64"/>
      <c r="G9537" s="64"/>
      <c r="H9537" s="64"/>
      <c r="I9537" s="70"/>
      <c r="J9537" s="70"/>
      <c r="K9537" s="110" t="str">
        <f>IF(H9537="","",IF($C$29="간이법","",FPR(H9537,I9537,J9537)))</f>
        <v/>
      </c>
      <c r="L9537" s="111" t="str">
        <f>IF(H9537="","",IF($C$29="상세법",FPV(H9537,K9537),IF(H9537="EI",4,IF(H9537="EO",5.2,IF(H9537="EQ",3.9,IF(H9537="ILF",7.5,IF(H9537="EIF",5.4)))))))</f>
        <v/>
      </c>
      <c r="M9537" s="112" t="str">
        <f t="shared" si="152"/>
        <v/>
      </c>
      <c r="N9537" s="113"/>
    </row>
    <row r="9538" spans="2:14">
      <c r="B9538" s="105"/>
      <c r="C9538" s="106"/>
      <c r="D9538" s="107"/>
      <c r="E9538" s="65"/>
      <c r="F9538" s="64"/>
      <c r="G9538" s="64"/>
      <c r="H9538" s="64"/>
      <c r="I9538" s="70"/>
      <c r="J9538" s="70"/>
      <c r="K9538" s="110" t="str">
        <f>IF(H9538="","",IF($C$29="간이법","",FPR(H9538,I9538,J9538)))</f>
        <v/>
      </c>
      <c r="L9538" s="111" t="str">
        <f>IF(H9538="","",IF($C$29="상세법",FPV(H9538,K9538),IF(H9538="EI",4,IF(H9538="EO",5.2,IF(H9538="EQ",3.9,IF(H9538="ILF",7.5,IF(H9538="EIF",5.4)))))))</f>
        <v/>
      </c>
      <c r="M9538" s="112" t="str">
        <f t="shared" si="152"/>
        <v/>
      </c>
      <c r="N9538" s="113"/>
    </row>
    <row r="9539" spans="2:14">
      <c r="B9539" s="105"/>
      <c r="C9539" s="106"/>
      <c r="D9539" s="107"/>
      <c r="E9539" s="65"/>
      <c r="F9539" s="64"/>
      <c r="G9539" s="64"/>
      <c r="H9539" s="64"/>
      <c r="I9539" s="70"/>
      <c r="J9539" s="70"/>
      <c r="K9539" s="110" t="str">
        <f>IF(H9539="","",IF($C$29="간이법","",FPR(H9539,I9539,J9539)))</f>
        <v/>
      </c>
      <c r="L9539" s="111" t="str">
        <f>IF(H9539="","",IF($C$29="상세법",FPV(H9539,K9539),IF(H9539="EI",4,IF(H9539="EO",5.2,IF(H9539="EQ",3.9,IF(H9539="ILF",7.5,IF(H9539="EIF",5.4)))))))</f>
        <v/>
      </c>
      <c r="M9539" s="112" t="str">
        <f t="shared" si="152"/>
        <v/>
      </c>
      <c r="N9539" s="113"/>
    </row>
    <row r="9540" spans="2:14">
      <c r="B9540" s="105"/>
      <c r="C9540" s="106"/>
      <c r="D9540" s="107"/>
      <c r="E9540" s="65"/>
      <c r="F9540" s="64"/>
      <c r="G9540" s="64"/>
      <c r="H9540" s="64"/>
      <c r="I9540" s="70"/>
      <c r="J9540" s="70"/>
      <c r="K9540" s="110" t="str">
        <f>IF(H9540="","",IF($C$29="간이법","",FPR(H9540,I9540,J9540)))</f>
        <v/>
      </c>
      <c r="L9540" s="111" t="str">
        <f>IF(H9540="","",IF($C$29="상세법",FPV(H9540,K9540),IF(H9540="EI",4,IF(H9540="EO",5.2,IF(H9540="EQ",3.9,IF(H9540="ILF",7.5,IF(H9540="EIF",5.4)))))))</f>
        <v/>
      </c>
      <c r="M9540" s="112" t="str">
        <f t="shared" si="152"/>
        <v/>
      </c>
      <c r="N9540" s="113"/>
    </row>
    <row r="9541" spans="2:14">
      <c r="B9541" s="105"/>
      <c r="C9541" s="106"/>
      <c r="D9541" s="107"/>
      <c r="E9541" s="65"/>
      <c r="F9541" s="64"/>
      <c r="G9541" s="64"/>
      <c r="H9541" s="64"/>
      <c r="I9541" s="70"/>
      <c r="J9541" s="70"/>
      <c r="K9541" s="110" t="str">
        <f>IF(H9541="","",IF($C$29="간이법","",FPR(H9541,I9541,J9541)))</f>
        <v/>
      </c>
      <c r="L9541" s="111" t="str">
        <f>IF(H9541="","",IF($C$29="상세법",FPV(H9541,K9541),IF(H9541="EI",4,IF(H9541="EO",5.2,IF(H9541="EQ",3.9,IF(H9541="ILF",7.5,IF(H9541="EIF",5.4)))))))</f>
        <v/>
      </c>
      <c r="M9541" s="112" t="str">
        <f t="shared" si="152"/>
        <v/>
      </c>
      <c r="N9541" s="113"/>
    </row>
    <row r="9542" spans="2:14">
      <c r="B9542" s="105"/>
      <c r="C9542" s="106"/>
      <c r="D9542" s="107"/>
      <c r="E9542" s="65"/>
      <c r="F9542" s="64"/>
      <c r="G9542" s="64"/>
      <c r="H9542" s="64"/>
      <c r="I9542" s="70"/>
      <c r="J9542" s="70"/>
      <c r="K9542" s="110" t="str">
        <f>IF(H9542="","",IF($C$29="간이법","",FPR(H9542,I9542,J9542)))</f>
        <v/>
      </c>
      <c r="L9542" s="111" t="str">
        <f>IF(H9542="","",IF($C$29="상세법",FPV(H9542,K9542),IF(H9542="EI",4,IF(H9542="EO",5.2,IF(H9542="EQ",3.9,IF(H9542="ILF",7.5,IF(H9542="EIF",5.4)))))))</f>
        <v/>
      </c>
      <c r="M9542" s="112" t="str">
        <f t="shared" si="152"/>
        <v/>
      </c>
      <c r="N9542" s="113"/>
    </row>
    <row r="9543" spans="2:14">
      <c r="B9543" s="105"/>
      <c r="C9543" s="106"/>
      <c r="D9543" s="107"/>
      <c r="E9543" s="65"/>
      <c r="F9543" s="64"/>
      <c r="G9543" s="64"/>
      <c r="H9543" s="64"/>
      <c r="I9543" s="70"/>
      <c r="J9543" s="70"/>
      <c r="K9543" s="110" t="str">
        <f>IF(H9543="","",IF($C$29="간이법","",FPR(H9543,I9543,J9543)))</f>
        <v/>
      </c>
      <c r="L9543" s="111" t="str">
        <f>IF(H9543="","",IF($C$29="상세법",FPV(H9543,K9543),IF(H9543="EI",4,IF(H9543="EO",5.2,IF(H9543="EQ",3.9,IF(H9543="ILF",7.5,IF(H9543="EIF",5.4)))))))</f>
        <v/>
      </c>
      <c r="M9543" s="112" t="str">
        <f t="shared" si="152"/>
        <v/>
      </c>
      <c r="N9543" s="113"/>
    </row>
    <row r="9544" spans="2:14">
      <c r="B9544" s="105"/>
      <c r="C9544" s="106"/>
      <c r="D9544" s="107"/>
      <c r="E9544" s="65"/>
      <c r="F9544" s="64"/>
      <c r="G9544" s="64"/>
      <c r="H9544" s="64"/>
      <c r="I9544" s="70"/>
      <c r="J9544" s="70"/>
      <c r="K9544" s="110" t="str">
        <f>IF(H9544="","",IF($C$29="간이법","",FPR(H9544,I9544,J9544)))</f>
        <v/>
      </c>
      <c r="L9544" s="111" t="str">
        <f>IF(H9544="","",IF($C$29="상세법",FPV(H9544,K9544),IF(H9544="EI",4,IF(H9544="EO",5.2,IF(H9544="EQ",3.9,IF(H9544="ILF",7.5,IF(H9544="EIF",5.4)))))))</f>
        <v/>
      </c>
      <c r="M9544" s="112" t="str">
        <f t="shared" si="152"/>
        <v/>
      </c>
      <c r="N9544" s="113"/>
    </row>
    <row r="9545" spans="2:14">
      <c r="B9545" s="105"/>
      <c r="C9545" s="106"/>
      <c r="D9545" s="107"/>
      <c r="E9545" s="65"/>
      <c r="F9545" s="64"/>
      <c r="G9545" s="64"/>
      <c r="H9545" s="64"/>
      <c r="I9545" s="70"/>
      <c r="J9545" s="70"/>
      <c r="K9545" s="110" t="str">
        <f>IF(H9545="","",IF($C$29="간이법","",FPR(H9545,I9545,J9545)))</f>
        <v/>
      </c>
      <c r="L9545" s="111" t="str">
        <f>IF(H9545="","",IF($C$29="상세법",FPV(H9545,K9545),IF(H9545="EI",4,IF(H9545="EO",5.2,IF(H9545="EQ",3.9,IF(H9545="ILF",7.5,IF(H9545="EIF",5.4)))))))</f>
        <v/>
      </c>
      <c r="M9545" s="112" t="str">
        <f t="shared" si="152"/>
        <v/>
      </c>
      <c r="N9545" s="113"/>
    </row>
    <row r="9546" spans="2:14">
      <c r="B9546" s="105"/>
      <c r="C9546" s="106"/>
      <c r="D9546" s="107"/>
      <c r="E9546" s="65"/>
      <c r="F9546" s="64"/>
      <c r="G9546" s="64"/>
      <c r="H9546" s="64"/>
      <c r="I9546" s="70"/>
      <c r="J9546" s="70"/>
      <c r="K9546" s="110" t="str">
        <f>IF(H9546="","",IF($C$29="간이법","",FPR(H9546,I9546,J9546)))</f>
        <v/>
      </c>
      <c r="L9546" s="111" t="str">
        <f>IF(H9546="","",IF($C$29="상세법",FPV(H9546,K9546),IF(H9546="EI",4,IF(H9546="EO",5.2,IF(H9546="EQ",3.9,IF(H9546="ILF",7.5,IF(H9546="EIF",5.4)))))))</f>
        <v/>
      </c>
      <c r="M9546" s="112" t="str">
        <f t="shared" si="152"/>
        <v/>
      </c>
      <c r="N9546" s="113"/>
    </row>
    <row r="9547" spans="2:14">
      <c r="B9547" s="105"/>
      <c r="C9547" s="106"/>
      <c r="D9547" s="107"/>
      <c r="E9547" s="65"/>
      <c r="F9547" s="64"/>
      <c r="G9547" s="64"/>
      <c r="H9547" s="64"/>
      <c r="I9547" s="70"/>
      <c r="J9547" s="70"/>
      <c r="K9547" s="110" t="str">
        <f>IF(H9547="","",IF($C$29="간이법","",FPR(H9547,I9547,J9547)))</f>
        <v/>
      </c>
      <c r="L9547" s="111" t="str">
        <f>IF(H9547="","",IF($C$29="상세법",FPV(H9547,K9547),IF(H9547="EI",4,IF(H9547="EO",5.2,IF(H9547="EQ",3.9,IF(H9547="ILF",7.5,IF(H9547="EIF",5.4)))))))</f>
        <v/>
      </c>
      <c r="M9547" s="112" t="str">
        <f t="shared" si="152"/>
        <v/>
      </c>
      <c r="N9547" s="113"/>
    </row>
    <row r="9548" spans="2:14">
      <c r="B9548" s="105"/>
      <c r="C9548" s="106"/>
      <c r="D9548" s="107"/>
      <c r="E9548" s="65"/>
      <c r="F9548" s="64"/>
      <c r="G9548" s="64"/>
      <c r="H9548" s="64"/>
      <c r="I9548" s="70"/>
      <c r="J9548" s="70"/>
      <c r="K9548" s="110" t="str">
        <f>IF(H9548="","",IF($C$29="간이법","",FPR(H9548,I9548,J9548)))</f>
        <v/>
      </c>
      <c r="L9548" s="111" t="str">
        <f>IF(H9548="","",IF($C$29="상세법",FPV(H9548,K9548),IF(H9548="EI",4,IF(H9548="EO",5.2,IF(H9548="EQ",3.9,IF(H9548="ILF",7.5,IF(H9548="EIF",5.4)))))))</f>
        <v/>
      </c>
      <c r="M9548" s="112" t="str">
        <f t="shared" si="152"/>
        <v/>
      </c>
      <c r="N9548" s="113"/>
    </row>
    <row r="9549" spans="2:14">
      <c r="B9549" s="105"/>
      <c r="C9549" s="106"/>
      <c r="D9549" s="107"/>
      <c r="E9549" s="65"/>
      <c r="F9549" s="64"/>
      <c r="G9549" s="64"/>
      <c r="H9549" s="64"/>
      <c r="I9549" s="70"/>
      <c r="J9549" s="70"/>
      <c r="K9549" s="110" t="str">
        <f>IF(H9549="","",IF($C$29="간이법","",FPR(H9549,I9549,J9549)))</f>
        <v/>
      </c>
      <c r="L9549" s="111" t="str">
        <f>IF(H9549="","",IF($C$29="상세법",FPV(H9549,K9549),IF(H9549="EI",4,IF(H9549="EO",5.2,IF(H9549="EQ",3.9,IF(H9549="ILF",7.5,IF(H9549="EIF",5.4)))))))</f>
        <v/>
      </c>
      <c r="M9549" s="112" t="str">
        <f t="shared" si="152"/>
        <v/>
      </c>
      <c r="N9549" s="113"/>
    </row>
    <row r="9550" spans="2:14">
      <c r="B9550" s="105"/>
      <c r="C9550" s="106"/>
      <c r="D9550" s="107"/>
      <c r="E9550" s="65"/>
      <c r="F9550" s="64"/>
      <c r="G9550" s="64"/>
      <c r="H9550" s="64"/>
      <c r="I9550" s="70"/>
      <c r="J9550" s="70"/>
      <c r="K9550" s="110" t="str">
        <f>IF(H9550="","",IF($C$29="간이법","",FPR(H9550,I9550,J9550)))</f>
        <v/>
      </c>
      <c r="L9550" s="111" t="str">
        <f>IF(H9550="","",IF($C$29="상세법",FPV(H9550,K9550),IF(H9550="EI",4,IF(H9550="EO",5.2,IF(H9550="EQ",3.9,IF(H9550="ILF",7.5,IF(H9550="EIF",5.4)))))))</f>
        <v/>
      </c>
      <c r="M9550" s="112" t="str">
        <f t="shared" si="152"/>
        <v/>
      </c>
      <c r="N9550" s="113"/>
    </row>
    <row r="9551" spans="2:14">
      <c r="B9551" s="105"/>
      <c r="C9551" s="106"/>
      <c r="D9551" s="107"/>
      <c r="E9551" s="65"/>
      <c r="F9551" s="64"/>
      <c r="G9551" s="64"/>
      <c r="H9551" s="64"/>
      <c r="I9551" s="70"/>
      <c r="J9551" s="70"/>
      <c r="K9551" s="110" t="str">
        <f>IF(H9551="","",IF($C$29="간이법","",FPR(H9551,I9551,J9551)))</f>
        <v/>
      </c>
      <c r="L9551" s="111" t="str">
        <f>IF(H9551="","",IF($C$29="상세법",FPV(H9551,K9551),IF(H9551="EI",4,IF(H9551="EO",5.2,IF(H9551="EQ",3.9,IF(H9551="ILF",7.5,IF(H9551="EIF",5.4)))))))</f>
        <v/>
      </c>
      <c r="M9551" s="112" t="str">
        <f t="shared" si="152"/>
        <v/>
      </c>
      <c r="N9551" s="113"/>
    </row>
    <row r="9552" spans="2:14">
      <c r="B9552" s="105"/>
      <c r="C9552" s="106"/>
      <c r="D9552" s="107"/>
      <c r="E9552" s="65"/>
      <c r="F9552" s="64"/>
      <c r="G9552" s="64"/>
      <c r="H9552" s="64"/>
      <c r="I9552" s="70"/>
      <c r="J9552" s="70"/>
      <c r="K9552" s="110" t="str">
        <f>IF(H9552="","",IF($C$29="간이법","",FPR(H9552,I9552,J9552)))</f>
        <v/>
      </c>
      <c r="L9552" s="111" t="str">
        <f>IF(H9552="","",IF($C$29="상세법",FPV(H9552,K9552),IF(H9552="EI",4,IF(H9552="EO",5.2,IF(H9552="EQ",3.9,IF(H9552="ILF",7.5,IF(H9552="EIF",5.4)))))))</f>
        <v/>
      </c>
      <c r="M9552" s="112" t="str">
        <f t="shared" si="152"/>
        <v/>
      </c>
      <c r="N9552" s="113"/>
    </row>
    <row r="9553" spans="2:14">
      <c r="B9553" s="105"/>
      <c r="C9553" s="106"/>
      <c r="D9553" s="107"/>
      <c r="E9553" s="65"/>
      <c r="F9553" s="64"/>
      <c r="G9553" s="64"/>
      <c r="H9553" s="64"/>
      <c r="I9553" s="70"/>
      <c r="J9553" s="70"/>
      <c r="K9553" s="110" t="str">
        <f>IF(H9553="","",IF($C$29="간이법","",FPR(H9553,I9553,J9553)))</f>
        <v/>
      </c>
      <c r="L9553" s="111" t="str">
        <f>IF(H9553="","",IF($C$29="상세법",FPV(H9553,K9553),IF(H9553="EI",4,IF(H9553="EO",5.2,IF(H9553="EQ",3.9,IF(H9553="ILF",7.5,IF(H9553="EIF",5.4)))))))</f>
        <v/>
      </c>
      <c r="M9553" s="112" t="str">
        <f t="shared" si="152"/>
        <v/>
      </c>
      <c r="N9553" s="113"/>
    </row>
    <row r="9554" spans="2:14">
      <c r="B9554" s="105"/>
      <c r="C9554" s="106"/>
      <c r="D9554" s="107"/>
      <c r="E9554" s="65"/>
      <c r="F9554" s="64"/>
      <c r="G9554" s="64"/>
      <c r="H9554" s="64"/>
      <c r="I9554" s="70"/>
      <c r="J9554" s="70"/>
      <c r="K9554" s="110" t="str">
        <f>IF(H9554="","",IF($C$29="간이법","",FPR(H9554,I9554,J9554)))</f>
        <v/>
      </c>
      <c r="L9554" s="111" t="str">
        <f>IF(H9554="","",IF($C$29="상세법",FPV(H9554,K9554),IF(H9554="EI",4,IF(H9554="EO",5.2,IF(H9554="EQ",3.9,IF(H9554="ILF",7.5,IF(H9554="EIF",5.4)))))))</f>
        <v/>
      </c>
      <c r="M9554" s="112" t="str">
        <f t="shared" si="152"/>
        <v/>
      </c>
      <c r="N9554" s="113"/>
    </row>
    <row r="9555" spans="2:14">
      <c r="B9555" s="105"/>
      <c r="C9555" s="106"/>
      <c r="D9555" s="107"/>
      <c r="E9555" s="65"/>
      <c r="F9555" s="64"/>
      <c r="G9555" s="64"/>
      <c r="H9555" s="64"/>
      <c r="I9555" s="70"/>
      <c r="J9555" s="70"/>
      <c r="K9555" s="110" t="str">
        <f>IF(H9555="","",IF($C$29="간이법","",FPR(H9555,I9555,J9555)))</f>
        <v/>
      </c>
      <c r="L9555" s="111" t="str">
        <f>IF(H9555="","",IF($C$29="상세법",FPV(H9555,K9555),IF(H9555="EI",4,IF(H9555="EO",5.2,IF(H9555="EQ",3.9,IF(H9555="ILF",7.5,IF(H9555="EIF",5.4)))))))</f>
        <v/>
      </c>
      <c r="M9555" s="112" t="str">
        <f t="shared" si="152"/>
        <v/>
      </c>
      <c r="N9555" s="113"/>
    </row>
    <row r="9556" spans="2:14">
      <c r="B9556" s="105"/>
      <c r="C9556" s="106"/>
      <c r="D9556" s="107"/>
      <c r="E9556" s="65"/>
      <c r="F9556" s="64"/>
      <c r="G9556" s="64"/>
      <c r="H9556" s="64"/>
      <c r="I9556" s="70"/>
      <c r="J9556" s="70"/>
      <c r="K9556" s="110" t="str">
        <f>IF(H9556="","",IF($C$29="간이법","",FPR(H9556,I9556,J9556)))</f>
        <v/>
      </c>
      <c r="L9556" s="111" t="str">
        <f>IF(H9556="","",IF($C$29="상세법",FPV(H9556,K9556),IF(H9556="EI",4,IF(H9556="EO",5.2,IF(H9556="EQ",3.9,IF(H9556="ILF",7.5,IF(H9556="EIF",5.4)))))))</f>
        <v/>
      </c>
      <c r="M9556" s="112" t="str">
        <f t="shared" si="152"/>
        <v/>
      </c>
      <c r="N9556" s="113"/>
    </row>
    <row r="9557" spans="2:14">
      <c r="B9557" s="105"/>
      <c r="C9557" s="106"/>
      <c r="D9557" s="107"/>
      <c r="E9557" s="65"/>
      <c r="F9557" s="64"/>
      <c r="G9557" s="64"/>
      <c r="H9557" s="64"/>
      <c r="I9557" s="70"/>
      <c r="J9557" s="70"/>
      <c r="K9557" s="110" t="str">
        <f>IF(H9557="","",IF($C$29="간이법","",FPR(H9557,I9557,J9557)))</f>
        <v/>
      </c>
      <c r="L9557" s="111" t="str">
        <f>IF(H9557="","",IF($C$29="상세법",FPV(H9557,K9557),IF(H9557="EI",4,IF(H9557="EO",5.2,IF(H9557="EQ",3.9,IF(H9557="ILF",7.5,IF(H9557="EIF",5.4)))))))</f>
        <v/>
      </c>
      <c r="M9557" s="112" t="str">
        <f t="shared" si="152"/>
        <v/>
      </c>
      <c r="N9557" s="113"/>
    </row>
    <row r="9558" spans="2:14">
      <c r="B9558" s="105"/>
      <c r="C9558" s="106"/>
      <c r="D9558" s="107"/>
      <c r="E9558" s="65"/>
      <c r="F9558" s="64"/>
      <c r="G9558" s="64"/>
      <c r="H9558" s="64"/>
      <c r="I9558" s="70"/>
      <c r="J9558" s="70"/>
      <c r="K9558" s="110" t="str">
        <f>IF(H9558="","",IF($C$29="간이법","",FPR(H9558,I9558,J9558)))</f>
        <v/>
      </c>
      <c r="L9558" s="111" t="str">
        <f>IF(H9558="","",IF($C$29="상세법",FPV(H9558,K9558),IF(H9558="EI",4,IF(H9558="EO",5.2,IF(H9558="EQ",3.9,IF(H9558="ILF",7.5,IF(H9558="EIF",5.4)))))))</f>
        <v/>
      </c>
      <c r="M9558" s="112" t="str">
        <f t="shared" si="152"/>
        <v/>
      </c>
      <c r="N9558" s="113"/>
    </row>
    <row r="9559" spans="2:14">
      <c r="B9559" s="105"/>
      <c r="C9559" s="106"/>
      <c r="D9559" s="107"/>
      <c r="E9559" s="65"/>
      <c r="F9559" s="64"/>
      <c r="G9559" s="64"/>
      <c r="H9559" s="64"/>
      <c r="I9559" s="70"/>
      <c r="J9559" s="70"/>
      <c r="K9559" s="110" t="str">
        <f>IF(H9559="","",IF($C$29="간이법","",FPR(H9559,I9559,J9559)))</f>
        <v/>
      </c>
      <c r="L9559" s="111" t="str">
        <f>IF(H9559="","",IF($C$29="상세법",FPV(H9559,K9559),IF(H9559="EI",4,IF(H9559="EO",5.2,IF(H9559="EQ",3.9,IF(H9559="ILF",7.5,IF(H9559="EIF",5.4)))))))</f>
        <v/>
      </c>
      <c r="M9559" s="112" t="str">
        <f t="shared" si="152"/>
        <v/>
      </c>
      <c r="N9559" s="113"/>
    </row>
    <row r="9560" spans="2:14">
      <c r="B9560" s="105"/>
      <c r="C9560" s="106"/>
      <c r="D9560" s="107"/>
      <c r="E9560" s="65"/>
      <c r="F9560" s="64"/>
      <c r="G9560" s="64"/>
      <c r="H9560" s="64"/>
      <c r="I9560" s="70"/>
      <c r="J9560" s="70"/>
      <c r="K9560" s="110" t="str">
        <f>IF(H9560="","",IF($C$29="간이법","",FPR(H9560,I9560,J9560)))</f>
        <v/>
      </c>
      <c r="L9560" s="111" t="str">
        <f>IF(H9560="","",IF($C$29="상세법",FPV(H9560,K9560),IF(H9560="EI",4,IF(H9560="EO",5.2,IF(H9560="EQ",3.9,IF(H9560="ILF",7.5,IF(H9560="EIF",5.4)))))))</f>
        <v/>
      </c>
      <c r="M9560" s="112" t="str">
        <f t="shared" si="152"/>
        <v/>
      </c>
      <c r="N9560" s="113"/>
    </row>
    <row r="9561" spans="2:14">
      <c r="B9561" s="105"/>
      <c r="C9561" s="106"/>
      <c r="D9561" s="107"/>
      <c r="E9561" s="65"/>
      <c r="F9561" s="64"/>
      <c r="G9561" s="64"/>
      <c r="H9561" s="64"/>
      <c r="I9561" s="70"/>
      <c r="J9561" s="70"/>
      <c r="K9561" s="110" t="str">
        <f>IF(H9561="","",IF($C$29="간이법","",FPR(H9561,I9561,J9561)))</f>
        <v/>
      </c>
      <c r="L9561" s="111" t="str">
        <f>IF(H9561="","",IF($C$29="상세법",FPV(H9561,K9561),IF(H9561="EI",4,IF(H9561="EO",5.2,IF(H9561="EQ",3.9,IF(H9561="ILF",7.5,IF(H9561="EIF",5.4)))))))</f>
        <v/>
      </c>
      <c r="M9561" s="112" t="str">
        <f t="shared" si="152"/>
        <v/>
      </c>
      <c r="N9561" s="113"/>
    </row>
    <row r="9562" spans="2:14">
      <c r="B9562" s="105"/>
      <c r="C9562" s="106"/>
      <c r="D9562" s="107"/>
      <c r="E9562" s="65"/>
      <c r="F9562" s="64"/>
      <c r="G9562" s="64"/>
      <c r="H9562" s="64"/>
      <c r="I9562" s="70"/>
      <c r="J9562" s="70"/>
      <c r="K9562" s="110" t="str">
        <f>IF(H9562="","",IF($C$29="간이법","",FPR(H9562,I9562,J9562)))</f>
        <v/>
      </c>
      <c r="L9562" s="111" t="str">
        <f>IF(H9562="","",IF($C$29="상세법",FPV(H9562,K9562),IF(H9562="EI",4,IF(H9562="EO",5.2,IF(H9562="EQ",3.9,IF(H9562="ILF",7.5,IF(H9562="EIF",5.4)))))))</f>
        <v/>
      </c>
      <c r="M9562" s="112" t="str">
        <f t="shared" si="152"/>
        <v/>
      </c>
      <c r="N9562" s="113"/>
    </row>
    <row r="9563" spans="2:14">
      <c r="B9563" s="105"/>
      <c r="C9563" s="106"/>
      <c r="D9563" s="107"/>
      <c r="E9563" s="65"/>
      <c r="F9563" s="64"/>
      <c r="G9563" s="64"/>
      <c r="H9563" s="64"/>
      <c r="I9563" s="70"/>
      <c r="J9563" s="70"/>
      <c r="K9563" s="110" t="str">
        <f>IF(H9563="","",IF($C$29="간이법","",FPR(H9563,I9563,J9563)))</f>
        <v/>
      </c>
      <c r="L9563" s="111" t="str">
        <f>IF(H9563="","",IF($C$29="상세법",FPV(H9563,K9563),IF(H9563="EI",4,IF(H9563="EO",5.2,IF(H9563="EQ",3.9,IF(H9563="ILF",7.5,IF(H9563="EIF",5.4)))))))</f>
        <v/>
      </c>
      <c r="M9563" s="112" t="str">
        <f t="shared" si="152"/>
        <v/>
      </c>
      <c r="N9563" s="113"/>
    </row>
    <row r="9564" spans="2:14">
      <c r="B9564" s="105"/>
      <c r="C9564" s="106"/>
      <c r="D9564" s="107"/>
      <c r="E9564" s="65"/>
      <c r="F9564" s="64"/>
      <c r="G9564" s="64"/>
      <c r="H9564" s="64"/>
      <c r="I9564" s="70"/>
      <c r="J9564" s="70"/>
      <c r="K9564" s="110" t="str">
        <f>IF(H9564="","",IF($C$29="간이법","",FPR(H9564,I9564,J9564)))</f>
        <v/>
      </c>
      <c r="L9564" s="111" t="str">
        <f>IF(H9564="","",IF($C$29="상세법",FPV(H9564,K9564),IF(H9564="EI",4,IF(H9564="EO",5.2,IF(H9564="EQ",3.9,IF(H9564="ILF",7.5,IF(H9564="EIF",5.4)))))))</f>
        <v/>
      </c>
      <c r="M9564" s="112" t="str">
        <f t="shared" si="152"/>
        <v/>
      </c>
      <c r="N9564" s="113"/>
    </row>
    <row r="9565" spans="2:14">
      <c r="B9565" s="105"/>
      <c r="C9565" s="106"/>
      <c r="D9565" s="107"/>
      <c r="E9565" s="65"/>
      <c r="F9565" s="64"/>
      <c r="G9565" s="64"/>
      <c r="H9565" s="64"/>
      <c r="I9565" s="70"/>
      <c r="J9565" s="70"/>
      <c r="K9565" s="110" t="str">
        <f>IF(H9565="","",IF($C$29="간이법","",FPR(H9565,I9565,J9565)))</f>
        <v/>
      </c>
      <c r="L9565" s="111" t="str">
        <f>IF(H9565="","",IF($C$29="상세법",FPV(H9565,K9565),IF(H9565="EI",4,IF(H9565="EO",5.2,IF(H9565="EQ",3.9,IF(H9565="ILF",7.5,IF(H9565="EIF",5.4)))))))</f>
        <v/>
      </c>
      <c r="M9565" s="112" t="str">
        <f t="shared" si="152"/>
        <v/>
      </c>
      <c r="N9565" s="113"/>
    </row>
    <row r="9566" spans="2:14">
      <c r="B9566" s="105"/>
      <c r="C9566" s="106"/>
      <c r="D9566" s="107"/>
      <c r="E9566" s="65"/>
      <c r="F9566" s="64"/>
      <c r="G9566" s="64"/>
      <c r="H9566" s="64"/>
      <c r="I9566" s="70"/>
      <c r="J9566" s="70"/>
      <c r="K9566" s="110" t="str">
        <f>IF(H9566="","",IF($C$29="간이법","",FPR(H9566,I9566,J9566)))</f>
        <v/>
      </c>
      <c r="L9566" s="111" t="str">
        <f>IF(H9566="","",IF($C$29="상세법",FPV(H9566,K9566),IF(H9566="EI",4,IF(H9566="EO",5.2,IF(H9566="EQ",3.9,IF(H9566="ILF",7.5,IF(H9566="EIF",5.4)))))))</f>
        <v/>
      </c>
      <c r="M9566" s="112" t="str">
        <f t="shared" si="152"/>
        <v/>
      </c>
      <c r="N9566" s="113"/>
    </row>
    <row r="9567" spans="2:14">
      <c r="B9567" s="105"/>
      <c r="C9567" s="106"/>
      <c r="D9567" s="107"/>
      <c r="E9567" s="65"/>
      <c r="F9567" s="64"/>
      <c r="G9567" s="64"/>
      <c r="H9567" s="64"/>
      <c r="I9567" s="70"/>
      <c r="J9567" s="70"/>
      <c r="K9567" s="110" t="str">
        <f>IF(H9567="","",IF($C$29="간이법","",FPR(H9567,I9567,J9567)))</f>
        <v/>
      </c>
      <c r="L9567" s="111" t="str">
        <f>IF(H9567="","",IF($C$29="상세법",FPV(H9567,K9567),IF(H9567="EI",4,IF(H9567="EO",5.2,IF(H9567="EQ",3.9,IF(H9567="ILF",7.5,IF(H9567="EIF",5.4)))))))</f>
        <v/>
      </c>
      <c r="M9567" s="112" t="str">
        <f t="shared" si="152"/>
        <v/>
      </c>
      <c r="N9567" s="113"/>
    </row>
    <row r="9568" spans="2:14">
      <c r="B9568" s="105"/>
      <c r="C9568" s="106"/>
      <c r="D9568" s="107"/>
      <c r="E9568" s="65"/>
      <c r="F9568" s="64"/>
      <c r="G9568" s="64"/>
      <c r="H9568" s="64"/>
      <c r="I9568" s="70"/>
      <c r="J9568" s="70"/>
      <c r="K9568" s="110" t="str">
        <f>IF(H9568="","",IF($C$29="간이법","",FPR(H9568,I9568,J9568)))</f>
        <v/>
      </c>
      <c r="L9568" s="111" t="str">
        <f>IF(H9568="","",IF($C$29="상세법",FPV(H9568,K9568),IF(H9568="EI",4,IF(H9568="EO",5.2,IF(H9568="EQ",3.9,IF(H9568="ILF",7.5,IF(H9568="EIF",5.4)))))))</f>
        <v/>
      </c>
      <c r="M9568" s="112" t="str">
        <f t="shared" si="152"/>
        <v/>
      </c>
      <c r="N9568" s="113"/>
    </row>
    <row r="9569" spans="2:14">
      <c r="B9569" s="105"/>
      <c r="C9569" s="106"/>
      <c r="D9569" s="107"/>
      <c r="E9569" s="65"/>
      <c r="F9569" s="64"/>
      <c r="G9569" s="64"/>
      <c r="H9569" s="64"/>
      <c r="I9569" s="70"/>
      <c r="J9569" s="70"/>
      <c r="K9569" s="110" t="str">
        <f>IF(H9569="","",IF($C$29="간이법","",FPR(H9569,I9569,J9569)))</f>
        <v/>
      </c>
      <c r="L9569" s="111" t="str">
        <f>IF(H9569="","",IF($C$29="상세법",FPV(H9569,K9569),IF(H9569="EI",4,IF(H9569="EO",5.2,IF(H9569="EQ",3.9,IF(H9569="ILF",7.5,IF(H9569="EIF",5.4)))))))</f>
        <v/>
      </c>
      <c r="M9569" s="112" t="str">
        <f t="shared" si="152"/>
        <v/>
      </c>
      <c r="N9569" s="113"/>
    </row>
    <row r="9570" spans="2:14">
      <c r="B9570" s="105"/>
      <c r="C9570" s="106"/>
      <c r="D9570" s="107"/>
      <c r="E9570" s="65"/>
      <c r="F9570" s="64"/>
      <c r="G9570" s="64"/>
      <c r="H9570" s="64"/>
      <c r="I9570" s="70"/>
      <c r="J9570" s="70"/>
      <c r="K9570" s="110" t="str">
        <f>IF(H9570="","",IF($C$29="간이법","",FPR(H9570,I9570,J9570)))</f>
        <v/>
      </c>
      <c r="L9570" s="111" t="str">
        <f>IF(H9570="","",IF($C$29="상세법",FPV(H9570,K9570),IF(H9570="EI",4,IF(H9570="EO",5.2,IF(H9570="EQ",3.9,IF(H9570="ILF",7.5,IF(H9570="EIF",5.4)))))))</f>
        <v/>
      </c>
      <c r="M9570" s="112" t="str">
        <f t="shared" si="152"/>
        <v/>
      </c>
      <c r="N9570" s="113"/>
    </row>
    <row r="9571" spans="2:14">
      <c r="B9571" s="105"/>
      <c r="C9571" s="106"/>
      <c r="D9571" s="107"/>
      <c r="E9571" s="65"/>
      <c r="F9571" s="64"/>
      <c r="G9571" s="64"/>
      <c r="H9571" s="64"/>
      <c r="I9571" s="70"/>
      <c r="J9571" s="70"/>
      <c r="K9571" s="110" t="str">
        <f>IF(H9571="","",IF($C$29="간이법","",FPR(H9571,I9571,J9571)))</f>
        <v/>
      </c>
      <c r="L9571" s="111" t="str">
        <f>IF(H9571="","",IF($C$29="상세법",FPV(H9571,K9571),IF(H9571="EI",4,IF(H9571="EO",5.2,IF(H9571="EQ",3.9,IF(H9571="ILF",7.5,IF(H9571="EIF",5.4)))))))</f>
        <v/>
      </c>
      <c r="M9571" s="112" t="str">
        <f t="shared" si="152"/>
        <v/>
      </c>
      <c r="N9571" s="113"/>
    </row>
    <row r="9572" spans="2:14">
      <c r="B9572" s="105"/>
      <c r="C9572" s="106"/>
      <c r="D9572" s="107"/>
      <c r="E9572" s="65"/>
      <c r="F9572" s="64"/>
      <c r="G9572" s="64"/>
      <c r="H9572" s="64"/>
      <c r="I9572" s="70"/>
      <c r="J9572" s="70"/>
      <c r="K9572" s="110" t="str">
        <f>IF(H9572="","",IF($C$29="간이법","",FPR(H9572,I9572,J9572)))</f>
        <v/>
      </c>
      <c r="L9572" s="111" t="str">
        <f>IF(H9572="","",IF($C$29="상세법",FPV(H9572,K9572),IF(H9572="EI",4,IF(H9572="EO",5.2,IF(H9572="EQ",3.9,IF(H9572="ILF",7.5,IF(H9572="EIF",5.4)))))))</f>
        <v/>
      </c>
      <c r="M9572" s="112" t="str">
        <f t="shared" si="152"/>
        <v/>
      </c>
      <c r="N9572" s="113"/>
    </row>
    <row r="9573" spans="2:14">
      <c r="B9573" s="105"/>
      <c r="C9573" s="106"/>
      <c r="D9573" s="107"/>
      <c r="E9573" s="65"/>
      <c r="F9573" s="64"/>
      <c r="G9573" s="64"/>
      <c r="H9573" s="64"/>
      <c r="I9573" s="70"/>
      <c r="J9573" s="70"/>
      <c r="K9573" s="110" t="str">
        <f>IF(H9573="","",IF($C$29="간이법","",FPR(H9573,I9573,J9573)))</f>
        <v/>
      </c>
      <c r="L9573" s="111" t="str">
        <f>IF(H9573="","",IF($C$29="상세법",FPV(H9573,K9573),IF(H9573="EI",4,IF(H9573="EO",5.2,IF(H9573="EQ",3.9,IF(H9573="ILF",7.5,IF(H9573="EIF",5.4)))))))</f>
        <v/>
      </c>
      <c r="M9573" s="112" t="str">
        <f t="shared" si="152"/>
        <v/>
      </c>
      <c r="N9573" s="113"/>
    </row>
    <row r="9574" spans="2:14">
      <c r="B9574" s="105"/>
      <c r="C9574" s="106"/>
      <c r="D9574" s="107"/>
      <c r="E9574" s="65"/>
      <c r="F9574" s="64"/>
      <c r="G9574" s="64"/>
      <c r="H9574" s="64"/>
      <c r="I9574" s="70"/>
      <c r="J9574" s="70"/>
      <c r="K9574" s="110" t="str">
        <f>IF(H9574="","",IF($C$29="간이법","",FPR(H9574,I9574,J9574)))</f>
        <v/>
      </c>
      <c r="L9574" s="111" t="str">
        <f>IF(H9574="","",IF($C$29="상세법",FPV(H9574,K9574),IF(H9574="EI",4,IF(H9574="EO",5.2,IF(H9574="EQ",3.9,IF(H9574="ILF",7.5,IF(H9574="EIF",5.4)))))))</f>
        <v/>
      </c>
      <c r="M9574" s="112" t="str">
        <f t="shared" si="152"/>
        <v/>
      </c>
      <c r="N9574" s="113"/>
    </row>
    <row r="9575" spans="2:14">
      <c r="B9575" s="105"/>
      <c r="C9575" s="106"/>
      <c r="D9575" s="107"/>
      <c r="E9575" s="65"/>
      <c r="F9575" s="64"/>
      <c r="G9575" s="64"/>
      <c r="H9575" s="64"/>
      <c r="I9575" s="70"/>
      <c r="J9575" s="70"/>
      <c r="K9575" s="110" t="str">
        <f>IF(H9575="","",IF($C$29="간이법","",FPR(H9575,I9575,J9575)))</f>
        <v/>
      </c>
      <c r="L9575" s="111" t="str">
        <f>IF(H9575="","",IF($C$29="상세법",FPV(H9575,K9575),IF(H9575="EI",4,IF(H9575="EO",5.2,IF(H9575="EQ",3.9,IF(H9575="ILF",7.5,IF(H9575="EIF",5.4)))))))</f>
        <v/>
      </c>
      <c r="M9575" s="112" t="str">
        <f t="shared" si="152"/>
        <v/>
      </c>
      <c r="N9575" s="113"/>
    </row>
    <row r="9576" spans="2:14">
      <c r="B9576" s="105"/>
      <c r="C9576" s="106"/>
      <c r="D9576" s="107"/>
      <c r="E9576" s="65"/>
      <c r="F9576" s="64"/>
      <c r="G9576" s="64"/>
      <c r="H9576" s="64"/>
      <c r="I9576" s="70"/>
      <c r="J9576" s="70"/>
      <c r="K9576" s="110" t="str">
        <f>IF(H9576="","",IF($C$29="간이법","",FPR(H9576,I9576,J9576)))</f>
        <v/>
      </c>
      <c r="L9576" s="111" t="str">
        <f>IF(H9576="","",IF($C$29="상세법",FPV(H9576,K9576),IF(H9576="EI",4,IF(H9576="EO",5.2,IF(H9576="EQ",3.9,IF(H9576="ILF",7.5,IF(H9576="EIF",5.4)))))))</f>
        <v/>
      </c>
      <c r="M9576" s="112" t="str">
        <f t="shared" si="152"/>
        <v/>
      </c>
      <c r="N9576" s="113"/>
    </row>
    <row r="9577" spans="2:14">
      <c r="B9577" s="105"/>
      <c r="C9577" s="106"/>
      <c r="D9577" s="107"/>
      <c r="E9577" s="65"/>
      <c r="F9577" s="64"/>
      <c r="G9577" s="64"/>
      <c r="H9577" s="64"/>
      <c r="I9577" s="70"/>
      <c r="J9577" s="70"/>
      <c r="K9577" s="110" t="str">
        <f>IF(H9577="","",IF($C$29="간이법","",FPR(H9577,I9577,J9577)))</f>
        <v/>
      </c>
      <c r="L9577" s="111" t="str">
        <f>IF(H9577="","",IF($C$29="상세법",FPV(H9577,K9577),IF(H9577="EI",4,IF(H9577="EO",5.2,IF(H9577="EQ",3.9,IF(H9577="ILF",7.5,IF(H9577="EIF",5.4)))))))</f>
        <v/>
      </c>
      <c r="M9577" s="112" t="str">
        <f t="shared" si="152"/>
        <v/>
      </c>
      <c r="N9577" s="113"/>
    </row>
    <row r="9578" spans="2:14">
      <c r="B9578" s="105"/>
      <c r="C9578" s="106"/>
      <c r="D9578" s="107"/>
      <c r="E9578" s="65"/>
      <c r="F9578" s="64"/>
      <c r="G9578" s="64"/>
      <c r="H9578" s="64"/>
      <c r="I9578" s="70"/>
      <c r="J9578" s="70"/>
      <c r="K9578" s="110" t="str">
        <f>IF(H9578="","",IF($C$29="간이법","",FPR(H9578,I9578,J9578)))</f>
        <v/>
      </c>
      <c r="L9578" s="111" t="str">
        <f>IF(H9578="","",IF($C$29="상세법",FPV(H9578,K9578),IF(H9578="EI",4,IF(H9578="EO",5.2,IF(H9578="EQ",3.9,IF(H9578="ILF",7.5,IF(H9578="EIF",5.4)))))))</f>
        <v/>
      </c>
      <c r="M9578" s="112" t="str">
        <f t="shared" si="152"/>
        <v/>
      </c>
      <c r="N9578" s="113"/>
    </row>
    <row r="9579" spans="2:14">
      <c r="B9579" s="105"/>
      <c r="C9579" s="106"/>
      <c r="D9579" s="107"/>
      <c r="E9579" s="65"/>
      <c r="F9579" s="64"/>
      <c r="G9579" s="64"/>
      <c r="H9579" s="64"/>
      <c r="I9579" s="70"/>
      <c r="J9579" s="70"/>
      <c r="K9579" s="110" t="str">
        <f>IF(H9579="","",IF($C$29="간이법","",FPR(H9579,I9579,J9579)))</f>
        <v/>
      </c>
      <c r="L9579" s="111" t="str">
        <f>IF(H9579="","",IF($C$29="상세법",FPV(H9579,K9579),IF(H9579="EI",4,IF(H9579="EO",5.2,IF(H9579="EQ",3.9,IF(H9579="ILF",7.5,IF(H9579="EIF",5.4)))))))</f>
        <v/>
      </c>
      <c r="M9579" s="112" t="str">
        <f t="shared" si="152"/>
        <v/>
      </c>
      <c r="N9579" s="113"/>
    </row>
    <row r="9580" spans="2:14">
      <c r="B9580" s="105"/>
      <c r="C9580" s="106"/>
      <c r="D9580" s="107"/>
      <c r="E9580" s="65"/>
      <c r="F9580" s="64"/>
      <c r="G9580" s="64"/>
      <c r="H9580" s="64"/>
      <c r="I9580" s="70"/>
      <c r="J9580" s="70"/>
      <c r="K9580" s="110" t="str">
        <f>IF(H9580="","",IF($C$29="간이법","",FPR(H9580,I9580,J9580)))</f>
        <v/>
      </c>
      <c r="L9580" s="111" t="str">
        <f>IF(H9580="","",IF($C$29="상세법",FPV(H9580,K9580),IF(H9580="EI",4,IF(H9580="EO",5.2,IF(H9580="EQ",3.9,IF(H9580="ILF",7.5,IF(H9580="EIF",5.4)))))))</f>
        <v/>
      </c>
      <c r="M9580" s="112" t="str">
        <f t="shared" si="152"/>
        <v/>
      </c>
      <c r="N9580" s="113"/>
    </row>
    <row r="9581" spans="2:14">
      <c r="B9581" s="105"/>
      <c r="C9581" s="106"/>
      <c r="D9581" s="107"/>
      <c r="E9581" s="65"/>
      <c r="F9581" s="64"/>
      <c r="G9581" s="64"/>
      <c r="H9581" s="64"/>
      <c r="I9581" s="70"/>
      <c r="J9581" s="70"/>
      <c r="K9581" s="110" t="str">
        <f>IF(H9581="","",IF($C$29="간이법","",FPR(H9581,I9581,J9581)))</f>
        <v/>
      </c>
      <c r="L9581" s="111" t="str">
        <f>IF(H9581="","",IF($C$29="상세법",FPV(H9581,K9581),IF(H9581="EI",4,IF(H9581="EO",5.2,IF(H9581="EQ",3.9,IF(H9581="ILF",7.5,IF(H9581="EIF",5.4)))))))</f>
        <v/>
      </c>
      <c r="M9581" s="112" t="str">
        <f t="shared" si="152"/>
        <v/>
      </c>
      <c r="N9581" s="113"/>
    </row>
    <row r="9582" spans="2:14">
      <c r="B9582" s="105"/>
      <c r="C9582" s="106"/>
      <c r="D9582" s="107"/>
      <c r="E9582" s="65"/>
      <c r="F9582" s="64"/>
      <c r="G9582" s="64"/>
      <c r="H9582" s="64"/>
      <c r="I9582" s="70"/>
      <c r="J9582" s="70"/>
      <c r="K9582" s="110" t="str">
        <f>IF(H9582="","",IF($C$29="간이법","",FPR(H9582,I9582,J9582)))</f>
        <v/>
      </c>
      <c r="L9582" s="111" t="str">
        <f>IF(H9582="","",IF($C$29="상세법",FPV(H9582,K9582),IF(H9582="EI",4,IF(H9582="EO",5.2,IF(H9582="EQ",3.9,IF(H9582="ILF",7.5,IF(H9582="EIF",5.4)))))))</f>
        <v/>
      </c>
      <c r="M9582" s="112" t="str">
        <f t="shared" si="152"/>
        <v/>
      </c>
      <c r="N9582" s="113"/>
    </row>
    <row r="9583" spans="2:14">
      <c r="B9583" s="105"/>
      <c r="C9583" s="106"/>
      <c r="D9583" s="107"/>
      <c r="E9583" s="65"/>
      <c r="F9583" s="64"/>
      <c r="G9583" s="64"/>
      <c r="H9583" s="64"/>
      <c r="I9583" s="70"/>
      <c r="J9583" s="70"/>
      <c r="K9583" s="110" t="str">
        <f>IF(H9583="","",IF($C$29="간이법","",FPR(H9583,I9583,J9583)))</f>
        <v/>
      </c>
      <c r="L9583" s="111" t="str">
        <f>IF(H9583="","",IF($C$29="상세법",FPV(H9583,K9583),IF(H9583="EI",4,IF(H9583="EO",5.2,IF(H9583="EQ",3.9,IF(H9583="ILF",7.5,IF(H9583="EIF",5.4)))))))</f>
        <v/>
      </c>
      <c r="M9583" s="112" t="str">
        <f t="shared" si="152"/>
        <v/>
      </c>
      <c r="N9583" s="113"/>
    </row>
    <row r="9584" spans="2:14">
      <c r="B9584" s="105"/>
      <c r="C9584" s="106"/>
      <c r="D9584" s="107"/>
      <c r="E9584" s="65"/>
      <c r="F9584" s="64"/>
      <c r="G9584" s="64"/>
      <c r="H9584" s="64"/>
      <c r="I9584" s="70"/>
      <c r="J9584" s="70"/>
      <c r="K9584" s="110" t="str">
        <f>IF(H9584="","",IF($C$29="간이법","",FPR(H9584,I9584,J9584)))</f>
        <v/>
      </c>
      <c r="L9584" s="111" t="str">
        <f>IF(H9584="","",IF($C$29="상세법",FPV(H9584,K9584),IF(H9584="EI",4,IF(H9584="EO",5.2,IF(H9584="EQ",3.9,IF(H9584="ILF",7.5,IF(H9584="EIF",5.4)))))))</f>
        <v/>
      </c>
      <c r="M9584" s="112" t="str">
        <f t="shared" si="152"/>
        <v/>
      </c>
      <c r="N9584" s="113"/>
    </row>
    <row r="9585" spans="2:14">
      <c r="B9585" s="105"/>
      <c r="C9585" s="106"/>
      <c r="D9585" s="107"/>
      <c r="E9585" s="65"/>
      <c r="F9585" s="64"/>
      <c r="G9585" s="64"/>
      <c r="H9585" s="64"/>
      <c r="I9585" s="70"/>
      <c r="J9585" s="70"/>
      <c r="K9585" s="110" t="str">
        <f>IF(H9585="","",IF($C$29="간이법","",FPR(H9585,I9585,J9585)))</f>
        <v/>
      </c>
      <c r="L9585" s="111" t="str">
        <f>IF(H9585="","",IF($C$29="상세법",FPV(H9585,K9585),IF(H9585="EI",4,IF(H9585="EO",5.2,IF(H9585="EQ",3.9,IF(H9585="ILF",7.5,IF(H9585="EIF",5.4)))))))</f>
        <v/>
      </c>
      <c r="M9585" s="112" t="str">
        <f t="shared" si="152"/>
        <v/>
      </c>
      <c r="N9585" s="113"/>
    </row>
    <row r="9586" spans="2:14">
      <c r="B9586" s="105"/>
      <c r="C9586" s="106"/>
      <c r="D9586" s="107"/>
      <c r="E9586" s="65"/>
      <c r="F9586" s="64"/>
      <c r="G9586" s="64"/>
      <c r="H9586" s="64"/>
      <c r="I9586" s="70"/>
      <c r="J9586" s="70"/>
      <c r="K9586" s="110" t="str">
        <f>IF(H9586="","",IF($C$29="간이법","",FPR(H9586,I9586,J9586)))</f>
        <v/>
      </c>
      <c r="L9586" s="111" t="str">
        <f>IF(H9586="","",IF($C$29="상세법",FPV(H9586,K9586),IF(H9586="EI",4,IF(H9586="EO",5.2,IF(H9586="EQ",3.9,IF(H9586="ILF",7.5,IF(H9586="EIF",5.4)))))))</f>
        <v/>
      </c>
      <c r="M9586" s="112" t="str">
        <f t="shared" si="152"/>
        <v/>
      </c>
      <c r="N9586" s="113"/>
    </row>
    <row r="9587" spans="2:14">
      <c r="B9587" s="105"/>
      <c r="C9587" s="106"/>
      <c r="D9587" s="107"/>
      <c r="E9587" s="65"/>
      <c r="F9587" s="64"/>
      <c r="G9587" s="64"/>
      <c r="H9587" s="64"/>
      <c r="I9587" s="70"/>
      <c r="J9587" s="70"/>
      <c r="K9587" s="110" t="str">
        <f>IF(H9587="","",IF($C$29="간이법","",FPR(H9587,I9587,J9587)))</f>
        <v/>
      </c>
      <c r="L9587" s="111" t="str">
        <f>IF(H9587="","",IF($C$29="상세법",FPV(H9587,K9587),IF(H9587="EI",4,IF(H9587="EO",5.2,IF(H9587="EQ",3.9,IF(H9587="ILF",7.5,IF(H9587="EIF",5.4)))))))</f>
        <v/>
      </c>
      <c r="M9587" s="112" t="str">
        <f t="shared" si="152"/>
        <v/>
      </c>
      <c r="N9587" s="113"/>
    </row>
    <row r="9588" spans="2:14">
      <c r="B9588" s="105"/>
      <c r="C9588" s="106"/>
      <c r="D9588" s="107"/>
      <c r="E9588" s="65"/>
      <c r="F9588" s="64"/>
      <c r="G9588" s="64"/>
      <c r="H9588" s="64"/>
      <c r="I9588" s="70"/>
      <c r="J9588" s="70"/>
      <c r="K9588" s="110" t="str">
        <f>IF(H9588="","",IF($C$29="간이법","",FPR(H9588,I9588,J9588)))</f>
        <v/>
      </c>
      <c r="L9588" s="111" t="str">
        <f>IF(H9588="","",IF($C$29="상세법",FPV(H9588,K9588),IF(H9588="EI",4,IF(H9588="EO",5.2,IF(H9588="EQ",3.9,IF(H9588="ILF",7.5,IF(H9588="EIF",5.4)))))))</f>
        <v/>
      </c>
      <c r="M9588" s="112" t="str">
        <f t="shared" si="152"/>
        <v/>
      </c>
      <c r="N9588" s="113"/>
    </row>
    <row r="9589" spans="2:14">
      <c r="B9589" s="105"/>
      <c r="C9589" s="106"/>
      <c r="D9589" s="107"/>
      <c r="E9589" s="65"/>
      <c r="F9589" s="64"/>
      <c r="G9589" s="64"/>
      <c r="H9589" s="64"/>
      <c r="I9589" s="70"/>
      <c r="J9589" s="70"/>
      <c r="K9589" s="110" t="str">
        <f>IF(H9589="","",IF($C$29="간이법","",FPR(H9589,I9589,J9589)))</f>
        <v/>
      </c>
      <c r="L9589" s="111" t="str">
        <f>IF(H9589="","",IF($C$29="상세법",FPV(H9589,K9589),IF(H9589="EI",4,IF(H9589="EO",5.2,IF(H9589="EQ",3.9,IF(H9589="ILF",7.5,IF(H9589="EIF",5.4)))))))</f>
        <v/>
      </c>
      <c r="M9589" s="112" t="str">
        <f t="shared" si="152"/>
        <v/>
      </c>
      <c r="N9589" s="113"/>
    </row>
    <row r="9590" spans="2:14">
      <c r="B9590" s="105"/>
      <c r="C9590" s="106"/>
      <c r="D9590" s="107"/>
      <c r="E9590" s="65"/>
      <c r="F9590" s="64"/>
      <c r="G9590" s="64"/>
      <c r="H9590" s="64"/>
      <c r="I9590" s="70"/>
      <c r="J9590" s="70"/>
      <c r="K9590" s="110" t="str">
        <f>IF(H9590="","",IF($C$29="간이법","",FPR(H9590,I9590,J9590)))</f>
        <v/>
      </c>
      <c r="L9590" s="111" t="str">
        <f>IF(H9590="","",IF($C$29="상세법",FPV(H9590,K9590),IF(H9590="EI",4,IF(H9590="EO",5.2,IF(H9590="EQ",3.9,IF(H9590="ILF",7.5,IF(H9590="EIF",5.4)))))))</f>
        <v/>
      </c>
      <c r="M9590" s="112" t="str">
        <f t="shared" si="152"/>
        <v/>
      </c>
      <c r="N9590" s="113"/>
    </row>
    <row r="9591" spans="2:14">
      <c r="B9591" s="105"/>
      <c r="C9591" s="106"/>
      <c r="D9591" s="107"/>
      <c r="E9591" s="65"/>
      <c r="F9591" s="64"/>
      <c r="G9591" s="64"/>
      <c r="H9591" s="64"/>
      <c r="I9591" s="70"/>
      <c r="J9591" s="70"/>
      <c r="K9591" s="110" t="str">
        <f>IF(H9591="","",IF($C$29="간이법","",FPR(H9591,I9591,J9591)))</f>
        <v/>
      </c>
      <c r="L9591" s="111" t="str">
        <f>IF(H9591="","",IF($C$29="상세법",FPV(H9591,K9591),IF(H9591="EI",4,IF(H9591="EO",5.2,IF(H9591="EQ",3.9,IF(H9591="ILF",7.5,IF(H9591="EIF",5.4)))))))</f>
        <v/>
      </c>
      <c r="M9591" s="112" t="str">
        <f t="shared" si="152"/>
        <v/>
      </c>
      <c r="N9591" s="113"/>
    </row>
    <row r="9592" spans="2:14">
      <c r="B9592" s="105"/>
      <c r="C9592" s="106"/>
      <c r="D9592" s="107"/>
      <c r="E9592" s="65"/>
      <c r="F9592" s="64"/>
      <c r="G9592" s="64"/>
      <c r="H9592" s="64"/>
      <c r="I9592" s="70"/>
      <c r="J9592" s="70"/>
      <c r="K9592" s="110" t="str">
        <f>IF(H9592="","",IF($C$29="간이법","",FPR(H9592,I9592,J9592)))</f>
        <v/>
      </c>
      <c r="L9592" s="111" t="str">
        <f>IF(H9592="","",IF($C$29="상세법",FPV(H9592,K9592),IF(H9592="EI",4,IF(H9592="EO",5.2,IF(H9592="EQ",3.9,IF(H9592="ILF",7.5,IF(H9592="EIF",5.4)))))))</f>
        <v/>
      </c>
      <c r="M9592" s="112" t="str">
        <f t="shared" si="152"/>
        <v/>
      </c>
      <c r="N9592" s="113"/>
    </row>
    <row r="9593" spans="2:14">
      <c r="B9593" s="105"/>
      <c r="C9593" s="106"/>
      <c r="D9593" s="107"/>
      <c r="E9593" s="65"/>
      <c r="F9593" s="64"/>
      <c r="G9593" s="64"/>
      <c r="H9593" s="64"/>
      <c r="I9593" s="70"/>
      <c r="J9593" s="70"/>
      <c r="K9593" s="110" t="str">
        <f>IF(H9593="","",IF($C$29="간이법","",FPR(H9593,I9593,J9593)))</f>
        <v/>
      </c>
      <c r="L9593" s="111" t="str">
        <f>IF(H9593="","",IF($C$29="상세법",FPV(H9593,K9593),IF(H9593="EI",4,IF(H9593="EO",5.2,IF(H9593="EQ",3.9,IF(H9593="ILF",7.5,IF(H9593="EIF",5.4)))))))</f>
        <v/>
      </c>
      <c r="M9593" s="112" t="str">
        <f t="shared" ref="M9593:M9656" si="153">IF(L9593="","",L9593*IF(G9593="상",0.7,IF(G9593="중",0.5,IF(G9593="하",0.2,1))))</f>
        <v/>
      </c>
      <c r="N9593" s="113"/>
    </row>
    <row r="9594" spans="2:14">
      <c r="B9594" s="105"/>
      <c r="C9594" s="106"/>
      <c r="D9594" s="107"/>
      <c r="E9594" s="65"/>
      <c r="F9594" s="64"/>
      <c r="G9594" s="64"/>
      <c r="H9594" s="64"/>
      <c r="I9594" s="70"/>
      <c r="J9594" s="70"/>
      <c r="K9594" s="110" t="str">
        <f>IF(H9594="","",IF($C$29="간이법","",FPR(H9594,I9594,J9594)))</f>
        <v/>
      </c>
      <c r="L9594" s="111" t="str">
        <f>IF(H9594="","",IF($C$29="상세법",FPV(H9594,K9594),IF(H9594="EI",4,IF(H9594="EO",5.2,IF(H9594="EQ",3.9,IF(H9594="ILF",7.5,IF(H9594="EIF",5.4)))))))</f>
        <v/>
      </c>
      <c r="M9594" s="112" t="str">
        <f t="shared" si="153"/>
        <v/>
      </c>
      <c r="N9594" s="113"/>
    </row>
    <row r="9595" spans="2:14">
      <c r="B9595" s="105"/>
      <c r="C9595" s="106"/>
      <c r="D9595" s="107"/>
      <c r="E9595" s="65"/>
      <c r="F9595" s="64"/>
      <c r="G9595" s="64"/>
      <c r="H9595" s="64"/>
      <c r="I9595" s="70"/>
      <c r="J9595" s="70"/>
      <c r="K9595" s="110" t="str">
        <f>IF(H9595="","",IF($C$29="간이법","",FPR(H9595,I9595,J9595)))</f>
        <v/>
      </c>
      <c r="L9595" s="111" t="str">
        <f>IF(H9595="","",IF($C$29="상세법",FPV(H9595,K9595),IF(H9595="EI",4,IF(H9595="EO",5.2,IF(H9595="EQ",3.9,IF(H9595="ILF",7.5,IF(H9595="EIF",5.4)))))))</f>
        <v/>
      </c>
      <c r="M9595" s="112" t="str">
        <f t="shared" si="153"/>
        <v/>
      </c>
      <c r="N9595" s="113"/>
    </row>
    <row r="9596" spans="2:14">
      <c r="B9596" s="105"/>
      <c r="C9596" s="106"/>
      <c r="D9596" s="107"/>
      <c r="E9596" s="65"/>
      <c r="F9596" s="64"/>
      <c r="G9596" s="64"/>
      <c r="H9596" s="64"/>
      <c r="I9596" s="70"/>
      <c r="J9596" s="70"/>
      <c r="K9596" s="110" t="str">
        <f>IF(H9596="","",IF($C$29="간이법","",FPR(H9596,I9596,J9596)))</f>
        <v/>
      </c>
      <c r="L9596" s="111" t="str">
        <f>IF(H9596="","",IF($C$29="상세법",FPV(H9596,K9596),IF(H9596="EI",4,IF(H9596="EO",5.2,IF(H9596="EQ",3.9,IF(H9596="ILF",7.5,IF(H9596="EIF",5.4)))))))</f>
        <v/>
      </c>
      <c r="M9596" s="112" t="str">
        <f t="shared" si="153"/>
        <v/>
      </c>
      <c r="N9596" s="113"/>
    </row>
    <row r="9597" spans="2:14">
      <c r="B9597" s="105"/>
      <c r="C9597" s="106"/>
      <c r="D9597" s="107"/>
      <c r="E9597" s="65"/>
      <c r="F9597" s="64"/>
      <c r="G9597" s="64"/>
      <c r="H9597" s="64"/>
      <c r="I9597" s="70"/>
      <c r="J9597" s="70"/>
      <c r="K9597" s="110" t="str">
        <f>IF(H9597="","",IF($C$29="간이법","",FPR(H9597,I9597,J9597)))</f>
        <v/>
      </c>
      <c r="L9597" s="111" t="str">
        <f>IF(H9597="","",IF($C$29="상세법",FPV(H9597,K9597),IF(H9597="EI",4,IF(H9597="EO",5.2,IF(H9597="EQ",3.9,IF(H9597="ILF",7.5,IF(H9597="EIF",5.4)))))))</f>
        <v/>
      </c>
      <c r="M9597" s="112" t="str">
        <f t="shared" si="153"/>
        <v/>
      </c>
      <c r="N9597" s="113"/>
    </row>
    <row r="9598" spans="2:14">
      <c r="B9598" s="105"/>
      <c r="C9598" s="106"/>
      <c r="D9598" s="107"/>
      <c r="E9598" s="65"/>
      <c r="F9598" s="64"/>
      <c r="G9598" s="64"/>
      <c r="H9598" s="64"/>
      <c r="I9598" s="70"/>
      <c r="J9598" s="70"/>
      <c r="K9598" s="110" t="str">
        <f>IF(H9598="","",IF($C$29="간이법","",FPR(H9598,I9598,J9598)))</f>
        <v/>
      </c>
      <c r="L9598" s="111" t="str">
        <f>IF(H9598="","",IF($C$29="상세법",FPV(H9598,K9598),IF(H9598="EI",4,IF(H9598="EO",5.2,IF(H9598="EQ",3.9,IF(H9598="ILF",7.5,IF(H9598="EIF",5.4)))))))</f>
        <v/>
      </c>
      <c r="M9598" s="112" t="str">
        <f t="shared" si="153"/>
        <v/>
      </c>
      <c r="N9598" s="113"/>
    </row>
    <row r="9599" spans="2:14">
      <c r="B9599" s="105"/>
      <c r="C9599" s="106"/>
      <c r="D9599" s="107"/>
      <c r="E9599" s="65"/>
      <c r="F9599" s="64"/>
      <c r="G9599" s="64"/>
      <c r="H9599" s="64"/>
      <c r="I9599" s="70"/>
      <c r="J9599" s="70"/>
      <c r="K9599" s="110" t="str">
        <f>IF(H9599="","",IF($C$29="간이법","",FPR(H9599,I9599,J9599)))</f>
        <v/>
      </c>
      <c r="L9599" s="111" t="str">
        <f>IF(H9599="","",IF($C$29="상세법",FPV(H9599,K9599),IF(H9599="EI",4,IF(H9599="EO",5.2,IF(H9599="EQ",3.9,IF(H9599="ILF",7.5,IF(H9599="EIF",5.4)))))))</f>
        <v/>
      </c>
      <c r="M9599" s="112" t="str">
        <f t="shared" si="153"/>
        <v/>
      </c>
      <c r="N9599" s="113"/>
    </row>
    <row r="9600" spans="2:14">
      <c r="B9600" s="105"/>
      <c r="C9600" s="106"/>
      <c r="D9600" s="107"/>
      <c r="E9600" s="65"/>
      <c r="F9600" s="64"/>
      <c r="G9600" s="64"/>
      <c r="H9600" s="64"/>
      <c r="I9600" s="70"/>
      <c r="J9600" s="70"/>
      <c r="K9600" s="110" t="str">
        <f>IF(H9600="","",IF($C$29="간이법","",FPR(H9600,I9600,J9600)))</f>
        <v/>
      </c>
      <c r="L9600" s="111" t="str">
        <f>IF(H9600="","",IF($C$29="상세법",FPV(H9600,K9600),IF(H9600="EI",4,IF(H9600="EO",5.2,IF(H9600="EQ",3.9,IF(H9600="ILF",7.5,IF(H9600="EIF",5.4)))))))</f>
        <v/>
      </c>
      <c r="M9600" s="112" t="str">
        <f t="shared" si="153"/>
        <v/>
      </c>
      <c r="N9600" s="113"/>
    </row>
    <row r="9601" spans="2:14">
      <c r="B9601" s="105"/>
      <c r="C9601" s="106"/>
      <c r="D9601" s="107"/>
      <c r="E9601" s="65"/>
      <c r="F9601" s="64"/>
      <c r="G9601" s="64"/>
      <c r="H9601" s="64"/>
      <c r="I9601" s="70"/>
      <c r="J9601" s="70"/>
      <c r="K9601" s="110" t="str">
        <f>IF(H9601="","",IF($C$29="간이법","",FPR(H9601,I9601,J9601)))</f>
        <v/>
      </c>
      <c r="L9601" s="111" t="str">
        <f>IF(H9601="","",IF($C$29="상세법",FPV(H9601,K9601),IF(H9601="EI",4,IF(H9601="EO",5.2,IF(H9601="EQ",3.9,IF(H9601="ILF",7.5,IF(H9601="EIF",5.4)))))))</f>
        <v/>
      </c>
      <c r="M9601" s="112" t="str">
        <f t="shared" si="153"/>
        <v/>
      </c>
      <c r="N9601" s="113"/>
    </row>
    <row r="9602" spans="2:14">
      <c r="B9602" s="105"/>
      <c r="C9602" s="106"/>
      <c r="D9602" s="107"/>
      <c r="E9602" s="65"/>
      <c r="F9602" s="64"/>
      <c r="G9602" s="64"/>
      <c r="H9602" s="64"/>
      <c r="I9602" s="70"/>
      <c r="J9602" s="70"/>
      <c r="K9602" s="110" t="str">
        <f>IF(H9602="","",IF($C$29="간이법","",FPR(H9602,I9602,J9602)))</f>
        <v/>
      </c>
      <c r="L9602" s="111" t="str">
        <f>IF(H9602="","",IF($C$29="상세법",FPV(H9602,K9602),IF(H9602="EI",4,IF(H9602="EO",5.2,IF(H9602="EQ",3.9,IF(H9602="ILF",7.5,IF(H9602="EIF",5.4)))))))</f>
        <v/>
      </c>
      <c r="M9602" s="112" t="str">
        <f t="shared" si="153"/>
        <v/>
      </c>
      <c r="N9602" s="113"/>
    </row>
    <row r="9603" spans="2:14">
      <c r="B9603" s="105"/>
      <c r="C9603" s="106"/>
      <c r="D9603" s="107"/>
      <c r="E9603" s="65"/>
      <c r="F9603" s="64"/>
      <c r="G9603" s="64"/>
      <c r="H9603" s="64"/>
      <c r="I9603" s="70"/>
      <c r="J9603" s="70"/>
      <c r="K9603" s="110" t="str">
        <f>IF(H9603="","",IF($C$29="간이법","",FPR(H9603,I9603,J9603)))</f>
        <v/>
      </c>
      <c r="L9603" s="111" t="str">
        <f>IF(H9603="","",IF($C$29="상세법",FPV(H9603,K9603),IF(H9603="EI",4,IF(H9603="EO",5.2,IF(H9603="EQ",3.9,IF(H9603="ILF",7.5,IF(H9603="EIF",5.4)))))))</f>
        <v/>
      </c>
      <c r="M9603" s="112" t="str">
        <f t="shared" si="153"/>
        <v/>
      </c>
      <c r="N9603" s="113"/>
    </row>
    <row r="9604" spans="2:14">
      <c r="B9604" s="105"/>
      <c r="C9604" s="106"/>
      <c r="D9604" s="107"/>
      <c r="E9604" s="65"/>
      <c r="F9604" s="64"/>
      <c r="G9604" s="64"/>
      <c r="H9604" s="64"/>
      <c r="I9604" s="70"/>
      <c r="J9604" s="70"/>
      <c r="K9604" s="110" t="str">
        <f>IF(H9604="","",IF($C$29="간이법","",FPR(H9604,I9604,J9604)))</f>
        <v/>
      </c>
      <c r="L9604" s="111" t="str">
        <f>IF(H9604="","",IF($C$29="상세법",FPV(H9604,K9604),IF(H9604="EI",4,IF(H9604="EO",5.2,IF(H9604="EQ",3.9,IF(H9604="ILF",7.5,IF(H9604="EIF",5.4)))))))</f>
        <v/>
      </c>
      <c r="M9604" s="112" t="str">
        <f t="shared" si="153"/>
        <v/>
      </c>
      <c r="N9604" s="113"/>
    </row>
    <row r="9605" spans="2:14">
      <c r="B9605" s="105"/>
      <c r="C9605" s="106"/>
      <c r="D9605" s="107"/>
      <c r="E9605" s="65"/>
      <c r="F9605" s="64"/>
      <c r="G9605" s="64"/>
      <c r="H9605" s="64"/>
      <c r="I9605" s="70"/>
      <c r="J9605" s="70"/>
      <c r="K9605" s="110" t="str">
        <f>IF(H9605="","",IF($C$29="간이법","",FPR(H9605,I9605,J9605)))</f>
        <v/>
      </c>
      <c r="L9605" s="111" t="str">
        <f>IF(H9605="","",IF($C$29="상세법",FPV(H9605,K9605),IF(H9605="EI",4,IF(H9605="EO",5.2,IF(H9605="EQ",3.9,IF(H9605="ILF",7.5,IF(H9605="EIF",5.4)))))))</f>
        <v/>
      </c>
      <c r="M9605" s="112" t="str">
        <f t="shared" si="153"/>
        <v/>
      </c>
      <c r="N9605" s="113"/>
    </row>
    <row r="9606" spans="2:14">
      <c r="B9606" s="105"/>
      <c r="C9606" s="106"/>
      <c r="D9606" s="107"/>
      <c r="E9606" s="65"/>
      <c r="F9606" s="64"/>
      <c r="G9606" s="64"/>
      <c r="H9606" s="64"/>
      <c r="I9606" s="70"/>
      <c r="J9606" s="70"/>
      <c r="K9606" s="110" t="str">
        <f>IF(H9606="","",IF($C$29="간이법","",FPR(H9606,I9606,J9606)))</f>
        <v/>
      </c>
      <c r="L9606" s="111" t="str">
        <f>IF(H9606="","",IF($C$29="상세법",FPV(H9606,K9606),IF(H9606="EI",4,IF(H9606="EO",5.2,IF(H9606="EQ",3.9,IF(H9606="ILF",7.5,IF(H9606="EIF",5.4)))))))</f>
        <v/>
      </c>
      <c r="M9606" s="112" t="str">
        <f t="shared" si="153"/>
        <v/>
      </c>
      <c r="N9606" s="113"/>
    </row>
    <row r="9607" spans="2:14">
      <c r="B9607" s="105"/>
      <c r="C9607" s="106"/>
      <c r="D9607" s="107"/>
      <c r="E9607" s="65"/>
      <c r="F9607" s="64"/>
      <c r="G9607" s="64"/>
      <c r="H9607" s="64"/>
      <c r="I9607" s="70"/>
      <c r="J9607" s="70"/>
      <c r="K9607" s="110" t="str">
        <f>IF(H9607="","",IF($C$29="간이법","",FPR(H9607,I9607,J9607)))</f>
        <v/>
      </c>
      <c r="L9607" s="111" t="str">
        <f>IF(H9607="","",IF($C$29="상세법",FPV(H9607,K9607),IF(H9607="EI",4,IF(H9607="EO",5.2,IF(H9607="EQ",3.9,IF(H9607="ILF",7.5,IF(H9607="EIF",5.4)))))))</f>
        <v/>
      </c>
      <c r="M9607" s="112" t="str">
        <f t="shared" si="153"/>
        <v/>
      </c>
      <c r="N9607" s="113"/>
    </row>
    <row r="9608" spans="2:14">
      <c r="B9608" s="105"/>
      <c r="C9608" s="106"/>
      <c r="D9608" s="107"/>
      <c r="E9608" s="65"/>
      <c r="F9608" s="64"/>
      <c r="G9608" s="64"/>
      <c r="H9608" s="64"/>
      <c r="I9608" s="70"/>
      <c r="J9608" s="70"/>
      <c r="K9608" s="110" t="str">
        <f>IF(H9608="","",IF($C$29="간이법","",FPR(H9608,I9608,J9608)))</f>
        <v/>
      </c>
      <c r="L9608" s="111" t="str">
        <f>IF(H9608="","",IF($C$29="상세법",FPV(H9608,K9608),IF(H9608="EI",4,IF(H9608="EO",5.2,IF(H9608="EQ",3.9,IF(H9608="ILF",7.5,IF(H9608="EIF",5.4)))))))</f>
        <v/>
      </c>
      <c r="M9608" s="112" t="str">
        <f t="shared" si="153"/>
        <v/>
      </c>
      <c r="N9608" s="113"/>
    </row>
    <row r="9609" spans="2:14">
      <c r="B9609" s="105"/>
      <c r="C9609" s="106"/>
      <c r="D9609" s="107"/>
      <c r="E9609" s="65"/>
      <c r="F9609" s="64"/>
      <c r="G9609" s="64"/>
      <c r="H9609" s="64"/>
      <c r="I9609" s="70"/>
      <c r="J9609" s="70"/>
      <c r="K9609" s="110" t="str">
        <f>IF(H9609="","",IF($C$29="간이법","",FPR(H9609,I9609,J9609)))</f>
        <v/>
      </c>
      <c r="L9609" s="111" t="str">
        <f>IF(H9609="","",IF($C$29="상세법",FPV(H9609,K9609),IF(H9609="EI",4,IF(H9609="EO",5.2,IF(H9609="EQ",3.9,IF(H9609="ILF",7.5,IF(H9609="EIF",5.4)))))))</f>
        <v/>
      </c>
      <c r="M9609" s="112" t="str">
        <f t="shared" si="153"/>
        <v/>
      </c>
      <c r="N9609" s="113"/>
    </row>
    <row r="9610" spans="2:14">
      <c r="B9610" s="105"/>
      <c r="C9610" s="106"/>
      <c r="D9610" s="107"/>
      <c r="E9610" s="65"/>
      <c r="F9610" s="64"/>
      <c r="G9610" s="64"/>
      <c r="H9610" s="64"/>
      <c r="I9610" s="70"/>
      <c r="J9610" s="70"/>
      <c r="K9610" s="110" t="str">
        <f>IF(H9610="","",IF($C$29="간이법","",FPR(H9610,I9610,J9610)))</f>
        <v/>
      </c>
      <c r="L9610" s="111" t="str">
        <f>IF(H9610="","",IF($C$29="상세법",FPV(H9610,K9610),IF(H9610="EI",4,IF(H9610="EO",5.2,IF(H9610="EQ",3.9,IF(H9610="ILF",7.5,IF(H9610="EIF",5.4)))))))</f>
        <v/>
      </c>
      <c r="M9610" s="112" t="str">
        <f t="shared" si="153"/>
        <v/>
      </c>
      <c r="N9610" s="113"/>
    </row>
    <row r="9611" spans="2:14">
      <c r="B9611" s="105"/>
      <c r="C9611" s="106"/>
      <c r="D9611" s="107"/>
      <c r="E9611" s="65"/>
      <c r="F9611" s="64"/>
      <c r="G9611" s="64"/>
      <c r="H9611" s="64"/>
      <c r="I9611" s="70"/>
      <c r="J9611" s="70"/>
      <c r="K9611" s="110" t="str">
        <f>IF(H9611="","",IF($C$29="간이법","",FPR(H9611,I9611,J9611)))</f>
        <v/>
      </c>
      <c r="L9611" s="111" t="str">
        <f>IF(H9611="","",IF($C$29="상세법",FPV(H9611,K9611),IF(H9611="EI",4,IF(H9611="EO",5.2,IF(H9611="EQ",3.9,IF(H9611="ILF",7.5,IF(H9611="EIF",5.4)))))))</f>
        <v/>
      </c>
      <c r="M9611" s="112" t="str">
        <f t="shared" si="153"/>
        <v/>
      </c>
      <c r="N9611" s="113"/>
    </row>
    <row r="9612" spans="2:14">
      <c r="B9612" s="105"/>
      <c r="C9612" s="106"/>
      <c r="D9612" s="107"/>
      <c r="E9612" s="65"/>
      <c r="F9612" s="64"/>
      <c r="G9612" s="64"/>
      <c r="H9612" s="64"/>
      <c r="I9612" s="70"/>
      <c r="J9612" s="70"/>
      <c r="K9612" s="110" t="str">
        <f>IF(H9612="","",IF($C$29="간이법","",FPR(H9612,I9612,J9612)))</f>
        <v/>
      </c>
      <c r="L9612" s="111" t="str">
        <f>IF(H9612="","",IF($C$29="상세법",FPV(H9612,K9612),IF(H9612="EI",4,IF(H9612="EO",5.2,IF(H9612="EQ",3.9,IF(H9612="ILF",7.5,IF(H9612="EIF",5.4)))))))</f>
        <v/>
      </c>
      <c r="M9612" s="112" t="str">
        <f t="shared" si="153"/>
        <v/>
      </c>
      <c r="N9612" s="113"/>
    </row>
    <row r="9613" spans="2:14">
      <c r="B9613" s="105"/>
      <c r="C9613" s="106"/>
      <c r="D9613" s="107"/>
      <c r="E9613" s="65"/>
      <c r="F9613" s="64"/>
      <c r="G9613" s="64"/>
      <c r="H9613" s="64"/>
      <c r="I9613" s="70"/>
      <c r="J9613" s="70"/>
      <c r="K9613" s="110" t="str">
        <f>IF(H9613="","",IF($C$29="간이법","",FPR(H9613,I9613,J9613)))</f>
        <v/>
      </c>
      <c r="L9613" s="111" t="str">
        <f>IF(H9613="","",IF($C$29="상세법",FPV(H9613,K9613),IF(H9613="EI",4,IF(H9613="EO",5.2,IF(H9613="EQ",3.9,IF(H9613="ILF",7.5,IF(H9613="EIF",5.4)))))))</f>
        <v/>
      </c>
      <c r="M9613" s="112" t="str">
        <f t="shared" si="153"/>
        <v/>
      </c>
      <c r="N9613" s="113"/>
    </row>
    <row r="9614" spans="2:14">
      <c r="B9614" s="105"/>
      <c r="C9614" s="106"/>
      <c r="D9614" s="107"/>
      <c r="E9614" s="65"/>
      <c r="F9614" s="64"/>
      <c r="G9614" s="64"/>
      <c r="H9614" s="64"/>
      <c r="I9614" s="70"/>
      <c r="J9614" s="70"/>
      <c r="K9614" s="110" t="str">
        <f>IF(H9614="","",IF($C$29="간이법","",FPR(H9614,I9614,J9614)))</f>
        <v/>
      </c>
      <c r="L9614" s="111" t="str">
        <f>IF(H9614="","",IF($C$29="상세법",FPV(H9614,K9614),IF(H9614="EI",4,IF(H9614="EO",5.2,IF(H9614="EQ",3.9,IF(H9614="ILF",7.5,IF(H9614="EIF",5.4)))))))</f>
        <v/>
      </c>
      <c r="M9614" s="112" t="str">
        <f t="shared" si="153"/>
        <v/>
      </c>
      <c r="N9614" s="113"/>
    </row>
    <row r="9615" spans="2:14">
      <c r="B9615" s="105"/>
      <c r="C9615" s="106"/>
      <c r="D9615" s="107"/>
      <c r="E9615" s="65"/>
      <c r="F9615" s="64"/>
      <c r="G9615" s="64"/>
      <c r="H9615" s="64"/>
      <c r="I9615" s="70"/>
      <c r="J9615" s="70"/>
      <c r="K9615" s="110" t="str">
        <f>IF(H9615="","",IF($C$29="간이법","",FPR(H9615,I9615,J9615)))</f>
        <v/>
      </c>
      <c r="L9615" s="111" t="str">
        <f>IF(H9615="","",IF($C$29="상세법",FPV(H9615,K9615),IF(H9615="EI",4,IF(H9615="EO",5.2,IF(H9615="EQ",3.9,IF(H9615="ILF",7.5,IF(H9615="EIF",5.4)))))))</f>
        <v/>
      </c>
      <c r="M9615" s="112" t="str">
        <f t="shared" si="153"/>
        <v/>
      </c>
      <c r="N9615" s="113"/>
    </row>
    <row r="9616" spans="2:14">
      <c r="B9616" s="105"/>
      <c r="C9616" s="106"/>
      <c r="D9616" s="107"/>
      <c r="E9616" s="65"/>
      <c r="F9616" s="64"/>
      <c r="G9616" s="64"/>
      <c r="H9616" s="64"/>
      <c r="I9616" s="70"/>
      <c r="J9616" s="70"/>
      <c r="K9616" s="110" t="str">
        <f>IF(H9616="","",IF($C$29="간이법","",FPR(H9616,I9616,J9616)))</f>
        <v/>
      </c>
      <c r="L9616" s="111" t="str">
        <f>IF(H9616="","",IF($C$29="상세법",FPV(H9616,K9616),IF(H9616="EI",4,IF(H9616="EO",5.2,IF(H9616="EQ",3.9,IF(H9616="ILF",7.5,IF(H9616="EIF",5.4)))))))</f>
        <v/>
      </c>
      <c r="M9616" s="112" t="str">
        <f t="shared" si="153"/>
        <v/>
      </c>
      <c r="N9616" s="113"/>
    </row>
    <row r="9617" spans="2:14">
      <c r="B9617" s="105"/>
      <c r="C9617" s="106"/>
      <c r="D9617" s="107"/>
      <c r="E9617" s="65"/>
      <c r="F9617" s="64"/>
      <c r="G9617" s="64"/>
      <c r="H9617" s="64"/>
      <c r="I9617" s="70"/>
      <c r="J9617" s="70"/>
      <c r="K9617" s="110" t="str">
        <f>IF(H9617="","",IF($C$29="간이법","",FPR(H9617,I9617,J9617)))</f>
        <v/>
      </c>
      <c r="L9617" s="111" t="str">
        <f>IF(H9617="","",IF($C$29="상세법",FPV(H9617,K9617),IF(H9617="EI",4,IF(H9617="EO",5.2,IF(H9617="EQ",3.9,IF(H9617="ILF",7.5,IF(H9617="EIF",5.4)))))))</f>
        <v/>
      </c>
      <c r="M9617" s="112" t="str">
        <f t="shared" si="153"/>
        <v/>
      </c>
      <c r="N9617" s="113"/>
    </row>
    <row r="9618" spans="2:14">
      <c r="B9618" s="105"/>
      <c r="C9618" s="106"/>
      <c r="D9618" s="107"/>
      <c r="E9618" s="65"/>
      <c r="F9618" s="64"/>
      <c r="G9618" s="64"/>
      <c r="H9618" s="64"/>
      <c r="I9618" s="70"/>
      <c r="J9618" s="70"/>
      <c r="K9618" s="110" t="str">
        <f>IF(H9618="","",IF($C$29="간이법","",FPR(H9618,I9618,J9618)))</f>
        <v/>
      </c>
      <c r="L9618" s="111" t="str">
        <f>IF(H9618="","",IF($C$29="상세법",FPV(H9618,K9618),IF(H9618="EI",4,IF(H9618="EO",5.2,IF(H9618="EQ",3.9,IF(H9618="ILF",7.5,IF(H9618="EIF",5.4)))))))</f>
        <v/>
      </c>
      <c r="M9618" s="112" t="str">
        <f t="shared" si="153"/>
        <v/>
      </c>
      <c r="N9618" s="113"/>
    </row>
    <row r="9619" spans="2:14">
      <c r="B9619" s="105"/>
      <c r="C9619" s="106"/>
      <c r="D9619" s="107"/>
      <c r="E9619" s="65"/>
      <c r="F9619" s="64"/>
      <c r="G9619" s="64"/>
      <c r="H9619" s="64"/>
      <c r="I9619" s="70"/>
      <c r="J9619" s="70"/>
      <c r="K9619" s="110" t="str">
        <f>IF(H9619="","",IF($C$29="간이법","",FPR(H9619,I9619,J9619)))</f>
        <v/>
      </c>
      <c r="L9619" s="111" t="str">
        <f>IF(H9619="","",IF($C$29="상세법",FPV(H9619,K9619),IF(H9619="EI",4,IF(H9619="EO",5.2,IF(H9619="EQ",3.9,IF(H9619="ILF",7.5,IF(H9619="EIF",5.4)))))))</f>
        <v/>
      </c>
      <c r="M9619" s="112" t="str">
        <f t="shared" si="153"/>
        <v/>
      </c>
      <c r="N9619" s="113"/>
    </row>
    <row r="9620" spans="2:14">
      <c r="B9620" s="105"/>
      <c r="C9620" s="106"/>
      <c r="D9620" s="107"/>
      <c r="E9620" s="65"/>
      <c r="F9620" s="64"/>
      <c r="G9620" s="64"/>
      <c r="H9620" s="64"/>
      <c r="I9620" s="70"/>
      <c r="J9620" s="70"/>
      <c r="K9620" s="110" t="str">
        <f>IF(H9620="","",IF($C$29="간이법","",FPR(H9620,I9620,J9620)))</f>
        <v/>
      </c>
      <c r="L9620" s="111" t="str">
        <f>IF(H9620="","",IF($C$29="상세법",FPV(H9620,K9620),IF(H9620="EI",4,IF(H9620="EO",5.2,IF(H9620="EQ",3.9,IF(H9620="ILF",7.5,IF(H9620="EIF",5.4)))))))</f>
        <v/>
      </c>
      <c r="M9620" s="112" t="str">
        <f t="shared" si="153"/>
        <v/>
      </c>
      <c r="N9620" s="113"/>
    </row>
    <row r="9621" spans="2:14">
      <c r="B9621" s="105"/>
      <c r="C9621" s="106"/>
      <c r="D9621" s="107"/>
      <c r="E9621" s="65"/>
      <c r="F9621" s="64"/>
      <c r="G9621" s="64"/>
      <c r="H9621" s="64"/>
      <c r="I9621" s="70"/>
      <c r="J9621" s="70"/>
      <c r="K9621" s="110" t="str">
        <f>IF(H9621="","",IF($C$29="간이법","",FPR(H9621,I9621,J9621)))</f>
        <v/>
      </c>
      <c r="L9621" s="111" t="str">
        <f>IF(H9621="","",IF($C$29="상세법",FPV(H9621,K9621),IF(H9621="EI",4,IF(H9621="EO",5.2,IF(H9621="EQ",3.9,IF(H9621="ILF",7.5,IF(H9621="EIF",5.4)))))))</f>
        <v/>
      </c>
      <c r="M9621" s="112" t="str">
        <f t="shared" si="153"/>
        <v/>
      </c>
      <c r="N9621" s="113"/>
    </row>
    <row r="9622" spans="2:14">
      <c r="B9622" s="105"/>
      <c r="C9622" s="106"/>
      <c r="D9622" s="107"/>
      <c r="E9622" s="65"/>
      <c r="F9622" s="64"/>
      <c r="G9622" s="64"/>
      <c r="H9622" s="64"/>
      <c r="I9622" s="70"/>
      <c r="J9622" s="70"/>
      <c r="K9622" s="110" t="str">
        <f>IF(H9622="","",IF($C$29="간이법","",FPR(H9622,I9622,J9622)))</f>
        <v/>
      </c>
      <c r="L9622" s="111" t="str">
        <f>IF(H9622="","",IF($C$29="상세법",FPV(H9622,K9622),IF(H9622="EI",4,IF(H9622="EO",5.2,IF(H9622="EQ",3.9,IF(H9622="ILF",7.5,IF(H9622="EIF",5.4)))))))</f>
        <v/>
      </c>
      <c r="M9622" s="112" t="str">
        <f t="shared" si="153"/>
        <v/>
      </c>
      <c r="N9622" s="113"/>
    </row>
    <row r="9623" spans="2:14">
      <c r="B9623" s="105"/>
      <c r="C9623" s="106"/>
      <c r="D9623" s="107"/>
      <c r="E9623" s="65"/>
      <c r="F9623" s="64"/>
      <c r="G9623" s="64"/>
      <c r="H9623" s="64"/>
      <c r="I9623" s="70"/>
      <c r="J9623" s="70"/>
      <c r="K9623" s="110" t="str">
        <f>IF(H9623="","",IF($C$29="간이법","",FPR(H9623,I9623,J9623)))</f>
        <v/>
      </c>
      <c r="L9623" s="111" t="str">
        <f>IF(H9623="","",IF($C$29="상세법",FPV(H9623,K9623),IF(H9623="EI",4,IF(H9623="EO",5.2,IF(H9623="EQ",3.9,IF(H9623="ILF",7.5,IF(H9623="EIF",5.4)))))))</f>
        <v/>
      </c>
      <c r="M9623" s="112" t="str">
        <f t="shared" si="153"/>
        <v/>
      </c>
      <c r="N9623" s="113"/>
    </row>
    <row r="9624" spans="2:14">
      <c r="B9624" s="105"/>
      <c r="C9624" s="106"/>
      <c r="D9624" s="107"/>
      <c r="E9624" s="65"/>
      <c r="F9624" s="64"/>
      <c r="G9624" s="64"/>
      <c r="H9624" s="64"/>
      <c r="I9624" s="70"/>
      <c r="J9624" s="70"/>
      <c r="K9624" s="110" t="str">
        <f>IF(H9624="","",IF($C$29="간이법","",FPR(H9624,I9624,J9624)))</f>
        <v/>
      </c>
      <c r="L9624" s="111" t="str">
        <f>IF(H9624="","",IF($C$29="상세법",FPV(H9624,K9624),IF(H9624="EI",4,IF(H9624="EO",5.2,IF(H9624="EQ",3.9,IF(H9624="ILF",7.5,IF(H9624="EIF",5.4)))))))</f>
        <v/>
      </c>
      <c r="M9624" s="112" t="str">
        <f t="shared" si="153"/>
        <v/>
      </c>
      <c r="N9624" s="113"/>
    </row>
    <row r="9625" spans="2:14">
      <c r="B9625" s="105"/>
      <c r="C9625" s="106"/>
      <c r="D9625" s="107"/>
      <c r="E9625" s="65"/>
      <c r="F9625" s="64"/>
      <c r="G9625" s="64"/>
      <c r="H9625" s="64"/>
      <c r="I9625" s="70"/>
      <c r="J9625" s="70"/>
      <c r="K9625" s="110" t="str">
        <f>IF(H9625="","",IF($C$29="간이법","",FPR(H9625,I9625,J9625)))</f>
        <v/>
      </c>
      <c r="L9625" s="111" t="str">
        <f>IF(H9625="","",IF($C$29="상세법",FPV(H9625,K9625),IF(H9625="EI",4,IF(H9625="EO",5.2,IF(H9625="EQ",3.9,IF(H9625="ILF",7.5,IF(H9625="EIF",5.4)))))))</f>
        <v/>
      </c>
      <c r="M9625" s="112" t="str">
        <f t="shared" si="153"/>
        <v/>
      </c>
      <c r="N9625" s="113"/>
    </row>
    <row r="9626" spans="2:14">
      <c r="B9626" s="105"/>
      <c r="C9626" s="106"/>
      <c r="D9626" s="107"/>
      <c r="E9626" s="65"/>
      <c r="F9626" s="64"/>
      <c r="G9626" s="64"/>
      <c r="H9626" s="64"/>
      <c r="I9626" s="70"/>
      <c r="J9626" s="70"/>
      <c r="K9626" s="110" t="str">
        <f>IF(H9626="","",IF($C$29="간이법","",FPR(H9626,I9626,J9626)))</f>
        <v/>
      </c>
      <c r="L9626" s="111" t="str">
        <f>IF(H9626="","",IF($C$29="상세법",FPV(H9626,K9626),IF(H9626="EI",4,IF(H9626="EO",5.2,IF(H9626="EQ",3.9,IF(H9626="ILF",7.5,IF(H9626="EIF",5.4)))))))</f>
        <v/>
      </c>
      <c r="M9626" s="112" t="str">
        <f t="shared" si="153"/>
        <v/>
      </c>
      <c r="N9626" s="113"/>
    </row>
    <row r="9627" spans="2:14">
      <c r="B9627" s="105"/>
      <c r="C9627" s="106"/>
      <c r="D9627" s="107"/>
      <c r="E9627" s="65"/>
      <c r="F9627" s="64"/>
      <c r="G9627" s="64"/>
      <c r="H9627" s="64"/>
      <c r="I9627" s="70"/>
      <c r="J9627" s="70"/>
      <c r="K9627" s="110" t="str">
        <f>IF(H9627="","",IF($C$29="간이법","",FPR(H9627,I9627,J9627)))</f>
        <v/>
      </c>
      <c r="L9627" s="111" t="str">
        <f>IF(H9627="","",IF($C$29="상세법",FPV(H9627,K9627),IF(H9627="EI",4,IF(H9627="EO",5.2,IF(H9627="EQ",3.9,IF(H9627="ILF",7.5,IF(H9627="EIF",5.4)))))))</f>
        <v/>
      </c>
      <c r="M9627" s="112" t="str">
        <f t="shared" si="153"/>
        <v/>
      </c>
      <c r="N9627" s="113"/>
    </row>
    <row r="9628" spans="2:14">
      <c r="B9628" s="105"/>
      <c r="C9628" s="106"/>
      <c r="D9628" s="107"/>
      <c r="E9628" s="65"/>
      <c r="F9628" s="64"/>
      <c r="G9628" s="64"/>
      <c r="H9628" s="64"/>
      <c r="I9628" s="70"/>
      <c r="J9628" s="70"/>
      <c r="K9628" s="110" t="str">
        <f>IF(H9628="","",IF($C$29="간이법","",FPR(H9628,I9628,J9628)))</f>
        <v/>
      </c>
      <c r="L9628" s="111" t="str">
        <f>IF(H9628="","",IF($C$29="상세법",FPV(H9628,K9628),IF(H9628="EI",4,IF(H9628="EO",5.2,IF(H9628="EQ",3.9,IF(H9628="ILF",7.5,IF(H9628="EIF",5.4)))))))</f>
        <v/>
      </c>
      <c r="M9628" s="112" t="str">
        <f t="shared" si="153"/>
        <v/>
      </c>
      <c r="N9628" s="113"/>
    </row>
    <row r="9629" spans="2:14">
      <c r="B9629" s="105"/>
      <c r="C9629" s="106"/>
      <c r="D9629" s="107"/>
      <c r="E9629" s="65"/>
      <c r="F9629" s="64"/>
      <c r="G9629" s="64"/>
      <c r="H9629" s="64"/>
      <c r="I9629" s="70"/>
      <c r="J9629" s="70"/>
      <c r="K9629" s="110" t="str">
        <f>IF(H9629="","",IF($C$29="간이법","",FPR(H9629,I9629,J9629)))</f>
        <v/>
      </c>
      <c r="L9629" s="111" t="str">
        <f>IF(H9629="","",IF($C$29="상세법",FPV(H9629,K9629),IF(H9629="EI",4,IF(H9629="EO",5.2,IF(H9629="EQ",3.9,IF(H9629="ILF",7.5,IF(H9629="EIF",5.4)))))))</f>
        <v/>
      </c>
      <c r="M9629" s="112" t="str">
        <f t="shared" si="153"/>
        <v/>
      </c>
      <c r="N9629" s="113"/>
    </row>
    <row r="9630" spans="2:14">
      <c r="B9630" s="105"/>
      <c r="C9630" s="106"/>
      <c r="D9630" s="107"/>
      <c r="E9630" s="65"/>
      <c r="F9630" s="64"/>
      <c r="G9630" s="64"/>
      <c r="H9630" s="64"/>
      <c r="I9630" s="70"/>
      <c r="J9630" s="70"/>
      <c r="K9630" s="110" t="str">
        <f>IF(H9630="","",IF($C$29="간이법","",FPR(H9630,I9630,J9630)))</f>
        <v/>
      </c>
      <c r="L9630" s="111" t="str">
        <f>IF(H9630="","",IF($C$29="상세법",FPV(H9630,K9630),IF(H9630="EI",4,IF(H9630="EO",5.2,IF(H9630="EQ",3.9,IF(H9630="ILF",7.5,IF(H9630="EIF",5.4)))))))</f>
        <v/>
      </c>
      <c r="M9630" s="112" t="str">
        <f t="shared" si="153"/>
        <v/>
      </c>
      <c r="N9630" s="113"/>
    </row>
    <row r="9631" spans="2:14">
      <c r="B9631" s="105"/>
      <c r="C9631" s="106"/>
      <c r="D9631" s="107"/>
      <c r="E9631" s="65"/>
      <c r="F9631" s="64"/>
      <c r="G9631" s="64"/>
      <c r="H9631" s="64"/>
      <c r="I9631" s="70"/>
      <c r="J9631" s="70"/>
      <c r="K9631" s="110" t="str">
        <f>IF(H9631="","",IF($C$29="간이법","",FPR(H9631,I9631,J9631)))</f>
        <v/>
      </c>
      <c r="L9631" s="111" t="str">
        <f>IF(H9631="","",IF($C$29="상세법",FPV(H9631,K9631),IF(H9631="EI",4,IF(H9631="EO",5.2,IF(H9631="EQ",3.9,IF(H9631="ILF",7.5,IF(H9631="EIF",5.4)))))))</f>
        <v/>
      </c>
      <c r="M9631" s="112" t="str">
        <f t="shared" si="153"/>
        <v/>
      </c>
      <c r="N9631" s="113"/>
    </row>
    <row r="9632" spans="2:14">
      <c r="B9632" s="105"/>
      <c r="C9632" s="106"/>
      <c r="D9632" s="107"/>
      <c r="E9632" s="65"/>
      <c r="F9632" s="64"/>
      <c r="G9632" s="64"/>
      <c r="H9632" s="64"/>
      <c r="I9632" s="70"/>
      <c r="J9632" s="70"/>
      <c r="K9632" s="110" t="str">
        <f>IF(H9632="","",IF($C$29="간이법","",FPR(H9632,I9632,J9632)))</f>
        <v/>
      </c>
      <c r="L9632" s="111" t="str">
        <f>IF(H9632="","",IF($C$29="상세법",FPV(H9632,K9632),IF(H9632="EI",4,IF(H9632="EO",5.2,IF(H9632="EQ",3.9,IF(H9632="ILF",7.5,IF(H9632="EIF",5.4)))))))</f>
        <v/>
      </c>
      <c r="M9632" s="112" t="str">
        <f t="shared" si="153"/>
        <v/>
      </c>
      <c r="N9632" s="113"/>
    </row>
    <row r="9633" spans="2:14">
      <c r="B9633" s="105"/>
      <c r="C9633" s="106"/>
      <c r="D9633" s="107"/>
      <c r="E9633" s="65"/>
      <c r="F9633" s="64"/>
      <c r="G9633" s="64"/>
      <c r="H9633" s="64"/>
      <c r="I9633" s="70"/>
      <c r="J9633" s="70"/>
      <c r="K9633" s="110" t="str">
        <f>IF(H9633="","",IF($C$29="간이법","",FPR(H9633,I9633,J9633)))</f>
        <v/>
      </c>
      <c r="L9633" s="111" t="str">
        <f>IF(H9633="","",IF($C$29="상세법",FPV(H9633,K9633),IF(H9633="EI",4,IF(H9633="EO",5.2,IF(H9633="EQ",3.9,IF(H9633="ILF",7.5,IF(H9633="EIF",5.4)))))))</f>
        <v/>
      </c>
      <c r="M9633" s="112" t="str">
        <f t="shared" si="153"/>
        <v/>
      </c>
      <c r="N9633" s="113"/>
    </row>
    <row r="9634" spans="2:14">
      <c r="B9634" s="105"/>
      <c r="C9634" s="106"/>
      <c r="D9634" s="107"/>
      <c r="E9634" s="65"/>
      <c r="F9634" s="64"/>
      <c r="G9634" s="64"/>
      <c r="H9634" s="64"/>
      <c r="I9634" s="70"/>
      <c r="J9634" s="70"/>
      <c r="K9634" s="110" t="str">
        <f>IF(H9634="","",IF($C$29="간이법","",FPR(H9634,I9634,J9634)))</f>
        <v/>
      </c>
      <c r="L9634" s="111" t="str">
        <f>IF(H9634="","",IF($C$29="상세법",FPV(H9634,K9634),IF(H9634="EI",4,IF(H9634="EO",5.2,IF(H9634="EQ",3.9,IF(H9634="ILF",7.5,IF(H9634="EIF",5.4)))))))</f>
        <v/>
      </c>
      <c r="M9634" s="112" t="str">
        <f t="shared" si="153"/>
        <v/>
      </c>
      <c r="N9634" s="113"/>
    </row>
    <row r="9635" spans="2:14">
      <c r="B9635" s="105"/>
      <c r="C9635" s="106"/>
      <c r="D9635" s="107"/>
      <c r="E9635" s="65"/>
      <c r="F9635" s="64"/>
      <c r="G9635" s="64"/>
      <c r="H9635" s="64"/>
      <c r="I9635" s="70"/>
      <c r="J9635" s="70"/>
      <c r="K9635" s="110" t="str">
        <f>IF(H9635="","",IF($C$29="간이법","",FPR(H9635,I9635,J9635)))</f>
        <v/>
      </c>
      <c r="L9635" s="111" t="str">
        <f>IF(H9635="","",IF($C$29="상세법",FPV(H9635,K9635),IF(H9635="EI",4,IF(H9635="EO",5.2,IF(H9635="EQ",3.9,IF(H9635="ILF",7.5,IF(H9635="EIF",5.4)))))))</f>
        <v/>
      </c>
      <c r="M9635" s="112" t="str">
        <f t="shared" si="153"/>
        <v/>
      </c>
      <c r="N9635" s="113"/>
    </row>
    <row r="9636" spans="2:14">
      <c r="B9636" s="105"/>
      <c r="C9636" s="106"/>
      <c r="D9636" s="107"/>
      <c r="E9636" s="65"/>
      <c r="F9636" s="64"/>
      <c r="G9636" s="64"/>
      <c r="H9636" s="64"/>
      <c r="I9636" s="70"/>
      <c r="J9636" s="70"/>
      <c r="K9636" s="110" t="str">
        <f>IF(H9636="","",IF($C$29="간이법","",FPR(H9636,I9636,J9636)))</f>
        <v/>
      </c>
      <c r="L9636" s="111" t="str">
        <f>IF(H9636="","",IF($C$29="상세법",FPV(H9636,K9636),IF(H9636="EI",4,IF(H9636="EO",5.2,IF(H9636="EQ",3.9,IF(H9636="ILF",7.5,IF(H9636="EIF",5.4)))))))</f>
        <v/>
      </c>
      <c r="M9636" s="112" t="str">
        <f t="shared" si="153"/>
        <v/>
      </c>
      <c r="N9636" s="113"/>
    </row>
    <row r="9637" spans="2:14">
      <c r="B9637" s="105"/>
      <c r="C9637" s="106"/>
      <c r="D9637" s="107"/>
      <c r="E9637" s="65"/>
      <c r="F9637" s="64"/>
      <c r="G9637" s="64"/>
      <c r="H9637" s="64"/>
      <c r="I9637" s="70"/>
      <c r="J9637" s="70"/>
      <c r="K9637" s="110" t="str">
        <f>IF(H9637="","",IF($C$29="간이법","",FPR(H9637,I9637,J9637)))</f>
        <v/>
      </c>
      <c r="L9637" s="111" t="str">
        <f>IF(H9637="","",IF($C$29="상세법",FPV(H9637,K9637),IF(H9637="EI",4,IF(H9637="EO",5.2,IF(H9637="EQ",3.9,IF(H9637="ILF",7.5,IF(H9637="EIF",5.4)))))))</f>
        <v/>
      </c>
      <c r="M9637" s="112" t="str">
        <f t="shared" si="153"/>
        <v/>
      </c>
      <c r="N9637" s="113"/>
    </row>
    <row r="9638" spans="2:14">
      <c r="B9638" s="105"/>
      <c r="C9638" s="106"/>
      <c r="D9638" s="107"/>
      <c r="E9638" s="65"/>
      <c r="F9638" s="64"/>
      <c r="G9638" s="64"/>
      <c r="H9638" s="64"/>
      <c r="I9638" s="70"/>
      <c r="J9638" s="70"/>
      <c r="K9638" s="110" t="str">
        <f>IF(H9638="","",IF($C$29="간이법","",FPR(H9638,I9638,J9638)))</f>
        <v/>
      </c>
      <c r="L9638" s="111" t="str">
        <f>IF(H9638="","",IF($C$29="상세법",FPV(H9638,K9638),IF(H9638="EI",4,IF(H9638="EO",5.2,IF(H9638="EQ",3.9,IF(H9638="ILF",7.5,IF(H9638="EIF",5.4)))))))</f>
        <v/>
      </c>
      <c r="M9638" s="112" t="str">
        <f t="shared" si="153"/>
        <v/>
      </c>
      <c r="N9638" s="113"/>
    </row>
    <row r="9639" spans="2:14">
      <c r="B9639" s="105"/>
      <c r="C9639" s="106"/>
      <c r="D9639" s="107"/>
      <c r="E9639" s="65"/>
      <c r="F9639" s="64"/>
      <c r="G9639" s="64"/>
      <c r="H9639" s="64"/>
      <c r="I9639" s="70"/>
      <c r="J9639" s="70"/>
      <c r="K9639" s="110" t="str">
        <f>IF(H9639="","",IF($C$29="간이법","",FPR(H9639,I9639,J9639)))</f>
        <v/>
      </c>
      <c r="L9639" s="111" t="str">
        <f>IF(H9639="","",IF($C$29="상세법",FPV(H9639,K9639),IF(H9639="EI",4,IF(H9639="EO",5.2,IF(H9639="EQ",3.9,IF(H9639="ILF",7.5,IF(H9639="EIF",5.4)))))))</f>
        <v/>
      </c>
      <c r="M9639" s="112" t="str">
        <f t="shared" si="153"/>
        <v/>
      </c>
      <c r="N9639" s="113"/>
    </row>
    <row r="9640" spans="2:14">
      <c r="B9640" s="105"/>
      <c r="C9640" s="106"/>
      <c r="D9640" s="107"/>
      <c r="E9640" s="65"/>
      <c r="F9640" s="64"/>
      <c r="G9640" s="64"/>
      <c r="H9640" s="64"/>
      <c r="I9640" s="70"/>
      <c r="J9640" s="70"/>
      <c r="K9640" s="110" t="str">
        <f>IF(H9640="","",IF($C$29="간이법","",FPR(H9640,I9640,J9640)))</f>
        <v/>
      </c>
      <c r="L9640" s="111" t="str">
        <f>IF(H9640="","",IF($C$29="상세법",FPV(H9640,K9640),IF(H9640="EI",4,IF(H9640="EO",5.2,IF(H9640="EQ",3.9,IF(H9640="ILF",7.5,IF(H9640="EIF",5.4)))))))</f>
        <v/>
      </c>
      <c r="M9640" s="112" t="str">
        <f t="shared" si="153"/>
        <v/>
      </c>
      <c r="N9640" s="113"/>
    </row>
    <row r="9641" spans="2:14">
      <c r="B9641" s="105"/>
      <c r="C9641" s="106"/>
      <c r="D9641" s="107"/>
      <c r="E9641" s="65"/>
      <c r="F9641" s="64"/>
      <c r="G9641" s="64"/>
      <c r="H9641" s="64"/>
      <c r="I9641" s="70"/>
      <c r="J9641" s="70"/>
      <c r="K9641" s="110" t="str">
        <f>IF(H9641="","",IF($C$29="간이법","",FPR(H9641,I9641,J9641)))</f>
        <v/>
      </c>
      <c r="L9641" s="111" t="str">
        <f>IF(H9641="","",IF($C$29="상세법",FPV(H9641,K9641),IF(H9641="EI",4,IF(H9641="EO",5.2,IF(H9641="EQ",3.9,IF(H9641="ILF",7.5,IF(H9641="EIF",5.4)))))))</f>
        <v/>
      </c>
      <c r="M9641" s="112" t="str">
        <f t="shared" si="153"/>
        <v/>
      </c>
      <c r="N9641" s="113"/>
    </row>
    <row r="9642" spans="2:14">
      <c r="B9642" s="105"/>
      <c r="C9642" s="106"/>
      <c r="D9642" s="107"/>
      <c r="E9642" s="65"/>
      <c r="F9642" s="64"/>
      <c r="G9642" s="64"/>
      <c r="H9642" s="64"/>
      <c r="I9642" s="70"/>
      <c r="J9642" s="70"/>
      <c r="K9642" s="110" t="str">
        <f>IF(H9642="","",IF($C$29="간이법","",FPR(H9642,I9642,J9642)))</f>
        <v/>
      </c>
      <c r="L9642" s="111" t="str">
        <f>IF(H9642="","",IF($C$29="상세법",FPV(H9642,K9642),IF(H9642="EI",4,IF(H9642="EO",5.2,IF(H9642="EQ",3.9,IF(H9642="ILF",7.5,IF(H9642="EIF",5.4)))))))</f>
        <v/>
      </c>
      <c r="M9642" s="112" t="str">
        <f t="shared" si="153"/>
        <v/>
      </c>
      <c r="N9642" s="113"/>
    </row>
    <row r="9643" spans="2:14">
      <c r="B9643" s="105"/>
      <c r="C9643" s="106"/>
      <c r="D9643" s="107"/>
      <c r="E9643" s="65"/>
      <c r="F9643" s="64"/>
      <c r="G9643" s="64"/>
      <c r="H9643" s="64"/>
      <c r="I9643" s="70"/>
      <c r="J9643" s="70"/>
      <c r="K9643" s="110" t="str">
        <f>IF(H9643="","",IF($C$29="간이법","",FPR(H9643,I9643,J9643)))</f>
        <v/>
      </c>
      <c r="L9643" s="111" t="str">
        <f>IF(H9643="","",IF($C$29="상세법",FPV(H9643,K9643),IF(H9643="EI",4,IF(H9643="EO",5.2,IF(H9643="EQ",3.9,IF(H9643="ILF",7.5,IF(H9643="EIF",5.4)))))))</f>
        <v/>
      </c>
      <c r="M9643" s="112" t="str">
        <f t="shared" si="153"/>
        <v/>
      </c>
      <c r="N9643" s="113"/>
    </row>
    <row r="9644" spans="2:14">
      <c r="B9644" s="105"/>
      <c r="C9644" s="106"/>
      <c r="D9644" s="107"/>
      <c r="E9644" s="65"/>
      <c r="F9644" s="64"/>
      <c r="G9644" s="64"/>
      <c r="H9644" s="64"/>
      <c r="I9644" s="70"/>
      <c r="J9644" s="70"/>
      <c r="K9644" s="110" t="str">
        <f>IF(H9644="","",IF($C$29="간이법","",FPR(H9644,I9644,J9644)))</f>
        <v/>
      </c>
      <c r="L9644" s="111" t="str">
        <f>IF(H9644="","",IF($C$29="상세법",FPV(H9644,K9644),IF(H9644="EI",4,IF(H9644="EO",5.2,IF(H9644="EQ",3.9,IF(H9644="ILF",7.5,IF(H9644="EIF",5.4)))))))</f>
        <v/>
      </c>
      <c r="M9644" s="112" t="str">
        <f t="shared" si="153"/>
        <v/>
      </c>
      <c r="N9644" s="113"/>
    </row>
    <row r="9645" spans="2:14">
      <c r="B9645" s="105"/>
      <c r="C9645" s="106"/>
      <c r="D9645" s="107"/>
      <c r="E9645" s="65"/>
      <c r="F9645" s="64"/>
      <c r="G9645" s="64"/>
      <c r="H9645" s="64"/>
      <c r="I9645" s="70"/>
      <c r="J9645" s="70"/>
      <c r="K9645" s="110" t="str">
        <f>IF(H9645="","",IF($C$29="간이법","",FPR(H9645,I9645,J9645)))</f>
        <v/>
      </c>
      <c r="L9645" s="111" t="str">
        <f>IF(H9645="","",IF($C$29="상세법",FPV(H9645,K9645),IF(H9645="EI",4,IF(H9645="EO",5.2,IF(H9645="EQ",3.9,IF(H9645="ILF",7.5,IF(H9645="EIF",5.4)))))))</f>
        <v/>
      </c>
      <c r="M9645" s="112" t="str">
        <f t="shared" si="153"/>
        <v/>
      </c>
      <c r="N9645" s="113"/>
    </row>
    <row r="9646" spans="2:14">
      <c r="B9646" s="105"/>
      <c r="C9646" s="106"/>
      <c r="D9646" s="107"/>
      <c r="E9646" s="65"/>
      <c r="F9646" s="64"/>
      <c r="G9646" s="64"/>
      <c r="H9646" s="64"/>
      <c r="I9646" s="70"/>
      <c r="J9646" s="70"/>
      <c r="K9646" s="110" t="str">
        <f>IF(H9646="","",IF($C$29="간이법","",FPR(H9646,I9646,J9646)))</f>
        <v/>
      </c>
      <c r="L9646" s="111" t="str">
        <f>IF(H9646="","",IF($C$29="상세법",FPV(H9646,K9646),IF(H9646="EI",4,IF(H9646="EO",5.2,IF(H9646="EQ",3.9,IF(H9646="ILF",7.5,IF(H9646="EIF",5.4)))))))</f>
        <v/>
      </c>
      <c r="M9646" s="112" t="str">
        <f t="shared" si="153"/>
        <v/>
      </c>
      <c r="N9646" s="113"/>
    </row>
    <row r="9647" spans="2:14">
      <c r="B9647" s="105"/>
      <c r="C9647" s="106"/>
      <c r="D9647" s="107"/>
      <c r="E9647" s="65"/>
      <c r="F9647" s="64"/>
      <c r="G9647" s="64"/>
      <c r="H9647" s="64"/>
      <c r="I9647" s="70"/>
      <c r="J9647" s="70"/>
      <c r="K9647" s="110" t="str">
        <f>IF(H9647="","",IF($C$29="간이법","",FPR(H9647,I9647,J9647)))</f>
        <v/>
      </c>
      <c r="L9647" s="111" t="str">
        <f>IF(H9647="","",IF($C$29="상세법",FPV(H9647,K9647),IF(H9647="EI",4,IF(H9647="EO",5.2,IF(H9647="EQ",3.9,IF(H9647="ILF",7.5,IF(H9647="EIF",5.4)))))))</f>
        <v/>
      </c>
      <c r="M9647" s="112" t="str">
        <f t="shared" si="153"/>
        <v/>
      </c>
      <c r="N9647" s="113"/>
    </row>
    <row r="9648" spans="2:14">
      <c r="B9648" s="105"/>
      <c r="C9648" s="106"/>
      <c r="D9648" s="107"/>
      <c r="E9648" s="65"/>
      <c r="F9648" s="64"/>
      <c r="G9648" s="64"/>
      <c r="H9648" s="64"/>
      <c r="I9648" s="70"/>
      <c r="J9648" s="70"/>
      <c r="K9648" s="110" t="str">
        <f>IF(H9648="","",IF($C$29="간이법","",FPR(H9648,I9648,J9648)))</f>
        <v/>
      </c>
      <c r="L9648" s="111" t="str">
        <f>IF(H9648="","",IF($C$29="상세법",FPV(H9648,K9648),IF(H9648="EI",4,IF(H9648="EO",5.2,IF(H9648="EQ",3.9,IF(H9648="ILF",7.5,IF(H9648="EIF",5.4)))))))</f>
        <v/>
      </c>
      <c r="M9648" s="112" t="str">
        <f t="shared" si="153"/>
        <v/>
      </c>
      <c r="N9648" s="113"/>
    </row>
    <row r="9649" spans="2:14">
      <c r="B9649" s="105"/>
      <c r="C9649" s="106"/>
      <c r="D9649" s="107"/>
      <c r="E9649" s="65"/>
      <c r="F9649" s="64"/>
      <c r="G9649" s="64"/>
      <c r="H9649" s="64"/>
      <c r="I9649" s="70"/>
      <c r="J9649" s="70"/>
      <c r="K9649" s="110" t="str">
        <f>IF(H9649="","",IF($C$29="간이법","",FPR(H9649,I9649,J9649)))</f>
        <v/>
      </c>
      <c r="L9649" s="111" t="str">
        <f>IF(H9649="","",IF($C$29="상세법",FPV(H9649,K9649),IF(H9649="EI",4,IF(H9649="EO",5.2,IF(H9649="EQ",3.9,IF(H9649="ILF",7.5,IF(H9649="EIF",5.4)))))))</f>
        <v/>
      </c>
      <c r="M9649" s="112" t="str">
        <f t="shared" si="153"/>
        <v/>
      </c>
      <c r="N9649" s="113"/>
    </row>
    <row r="9650" spans="2:14">
      <c r="B9650" s="105"/>
      <c r="C9650" s="106"/>
      <c r="D9650" s="107"/>
      <c r="E9650" s="65"/>
      <c r="F9650" s="64"/>
      <c r="G9650" s="64"/>
      <c r="H9650" s="64"/>
      <c r="I9650" s="70"/>
      <c r="J9650" s="70"/>
      <c r="K9650" s="110" t="str">
        <f>IF(H9650="","",IF($C$29="간이법","",FPR(H9650,I9650,J9650)))</f>
        <v/>
      </c>
      <c r="L9650" s="111" t="str">
        <f>IF(H9650="","",IF($C$29="상세법",FPV(H9650,K9650),IF(H9650="EI",4,IF(H9650="EO",5.2,IF(H9650="EQ",3.9,IF(H9650="ILF",7.5,IF(H9650="EIF",5.4)))))))</f>
        <v/>
      </c>
      <c r="M9650" s="112" t="str">
        <f t="shared" si="153"/>
        <v/>
      </c>
      <c r="N9650" s="113"/>
    </row>
    <row r="9651" spans="2:14">
      <c r="B9651" s="105"/>
      <c r="C9651" s="106"/>
      <c r="D9651" s="107"/>
      <c r="E9651" s="65"/>
      <c r="F9651" s="64"/>
      <c r="G9651" s="64"/>
      <c r="H9651" s="64"/>
      <c r="I9651" s="70"/>
      <c r="J9651" s="70"/>
      <c r="K9651" s="110" t="str">
        <f>IF(H9651="","",IF($C$29="간이법","",FPR(H9651,I9651,J9651)))</f>
        <v/>
      </c>
      <c r="L9651" s="111" t="str">
        <f>IF(H9651="","",IF($C$29="상세법",FPV(H9651,K9651),IF(H9651="EI",4,IF(H9651="EO",5.2,IF(H9651="EQ",3.9,IF(H9651="ILF",7.5,IF(H9651="EIF",5.4)))))))</f>
        <v/>
      </c>
      <c r="M9651" s="112" t="str">
        <f t="shared" si="153"/>
        <v/>
      </c>
      <c r="N9651" s="113"/>
    </row>
    <row r="9652" spans="2:14">
      <c r="B9652" s="105"/>
      <c r="C9652" s="106"/>
      <c r="D9652" s="107"/>
      <c r="E9652" s="65"/>
      <c r="F9652" s="64"/>
      <c r="G9652" s="64"/>
      <c r="H9652" s="64"/>
      <c r="I9652" s="70"/>
      <c r="J9652" s="70"/>
      <c r="K9652" s="110" t="str">
        <f>IF(H9652="","",IF($C$29="간이법","",FPR(H9652,I9652,J9652)))</f>
        <v/>
      </c>
      <c r="L9652" s="111" t="str">
        <f>IF(H9652="","",IF($C$29="상세법",FPV(H9652,K9652),IF(H9652="EI",4,IF(H9652="EO",5.2,IF(H9652="EQ",3.9,IF(H9652="ILF",7.5,IF(H9652="EIF",5.4)))))))</f>
        <v/>
      </c>
      <c r="M9652" s="112" t="str">
        <f t="shared" si="153"/>
        <v/>
      </c>
      <c r="N9652" s="113"/>
    </row>
    <row r="9653" spans="2:14">
      <c r="B9653" s="105"/>
      <c r="C9653" s="106"/>
      <c r="D9653" s="107"/>
      <c r="E9653" s="65"/>
      <c r="F9653" s="64"/>
      <c r="G9653" s="64"/>
      <c r="H9653" s="64"/>
      <c r="I9653" s="70"/>
      <c r="J9653" s="70"/>
      <c r="K9653" s="110" t="str">
        <f>IF(H9653="","",IF($C$29="간이법","",FPR(H9653,I9653,J9653)))</f>
        <v/>
      </c>
      <c r="L9653" s="111" t="str">
        <f>IF(H9653="","",IF($C$29="상세법",FPV(H9653,K9653),IF(H9653="EI",4,IF(H9653="EO",5.2,IF(H9653="EQ",3.9,IF(H9653="ILF",7.5,IF(H9653="EIF",5.4)))))))</f>
        <v/>
      </c>
      <c r="M9653" s="112" t="str">
        <f t="shared" si="153"/>
        <v/>
      </c>
      <c r="N9653" s="113"/>
    </row>
    <row r="9654" spans="2:14">
      <c r="B9654" s="105"/>
      <c r="C9654" s="106"/>
      <c r="D9654" s="107"/>
      <c r="E9654" s="65"/>
      <c r="F9654" s="64"/>
      <c r="G9654" s="64"/>
      <c r="H9654" s="64"/>
      <c r="I9654" s="70"/>
      <c r="J9654" s="70"/>
      <c r="K9654" s="110" t="str">
        <f>IF(H9654="","",IF($C$29="간이법","",FPR(H9654,I9654,J9654)))</f>
        <v/>
      </c>
      <c r="L9654" s="111" t="str">
        <f>IF(H9654="","",IF($C$29="상세법",FPV(H9654,K9654),IF(H9654="EI",4,IF(H9654="EO",5.2,IF(H9654="EQ",3.9,IF(H9654="ILF",7.5,IF(H9654="EIF",5.4)))))))</f>
        <v/>
      </c>
      <c r="M9654" s="112" t="str">
        <f t="shared" si="153"/>
        <v/>
      </c>
      <c r="N9654" s="113"/>
    </row>
    <row r="9655" spans="2:14">
      <c r="B9655" s="105"/>
      <c r="C9655" s="106"/>
      <c r="D9655" s="107"/>
      <c r="E9655" s="65"/>
      <c r="F9655" s="64"/>
      <c r="G9655" s="64"/>
      <c r="H9655" s="64"/>
      <c r="I9655" s="70"/>
      <c r="J9655" s="70"/>
      <c r="K9655" s="110" t="str">
        <f>IF(H9655="","",IF($C$29="간이법","",FPR(H9655,I9655,J9655)))</f>
        <v/>
      </c>
      <c r="L9655" s="111" t="str">
        <f>IF(H9655="","",IF($C$29="상세법",FPV(H9655,K9655),IF(H9655="EI",4,IF(H9655="EO",5.2,IF(H9655="EQ",3.9,IF(H9655="ILF",7.5,IF(H9655="EIF",5.4)))))))</f>
        <v/>
      </c>
      <c r="M9655" s="112" t="str">
        <f t="shared" si="153"/>
        <v/>
      </c>
      <c r="N9655" s="113"/>
    </row>
    <row r="9656" spans="2:14">
      <c r="B9656" s="105"/>
      <c r="C9656" s="106"/>
      <c r="D9656" s="107"/>
      <c r="E9656" s="65"/>
      <c r="F9656" s="64"/>
      <c r="G9656" s="64"/>
      <c r="H9656" s="64"/>
      <c r="I9656" s="70"/>
      <c r="J9656" s="70"/>
      <c r="K9656" s="110" t="str">
        <f>IF(H9656="","",IF($C$29="간이법","",FPR(H9656,I9656,J9656)))</f>
        <v/>
      </c>
      <c r="L9656" s="111" t="str">
        <f>IF(H9656="","",IF($C$29="상세법",FPV(H9656,K9656),IF(H9656="EI",4,IF(H9656="EO",5.2,IF(H9656="EQ",3.9,IF(H9656="ILF",7.5,IF(H9656="EIF",5.4)))))))</f>
        <v/>
      </c>
      <c r="M9656" s="112" t="str">
        <f t="shared" si="153"/>
        <v/>
      </c>
      <c r="N9656" s="113"/>
    </row>
    <row r="9657" spans="2:14">
      <c r="B9657" s="105"/>
      <c r="C9657" s="106"/>
      <c r="D9657" s="107"/>
      <c r="E9657" s="65"/>
      <c r="F9657" s="64"/>
      <c r="G9657" s="64"/>
      <c r="H9657" s="64"/>
      <c r="I9657" s="70"/>
      <c r="J9657" s="70"/>
      <c r="K9657" s="110" t="str">
        <f>IF(H9657="","",IF($C$29="간이법","",FPR(H9657,I9657,J9657)))</f>
        <v/>
      </c>
      <c r="L9657" s="111" t="str">
        <f>IF(H9657="","",IF($C$29="상세법",FPV(H9657,K9657),IF(H9657="EI",4,IF(H9657="EO",5.2,IF(H9657="EQ",3.9,IF(H9657="ILF",7.5,IF(H9657="EIF",5.4)))))))</f>
        <v/>
      </c>
      <c r="M9657" s="112" t="str">
        <f t="shared" ref="M9657:M9720" si="154">IF(L9657="","",L9657*IF(G9657="상",0.7,IF(G9657="중",0.5,IF(G9657="하",0.2,1))))</f>
        <v/>
      </c>
      <c r="N9657" s="113"/>
    </row>
    <row r="9658" spans="2:14">
      <c r="B9658" s="105"/>
      <c r="C9658" s="106"/>
      <c r="D9658" s="107"/>
      <c r="E9658" s="65"/>
      <c r="F9658" s="64"/>
      <c r="G9658" s="64"/>
      <c r="H9658" s="64"/>
      <c r="I9658" s="70"/>
      <c r="J9658" s="70"/>
      <c r="K9658" s="110" t="str">
        <f>IF(H9658="","",IF($C$29="간이법","",FPR(H9658,I9658,J9658)))</f>
        <v/>
      </c>
      <c r="L9658" s="111" t="str">
        <f>IF(H9658="","",IF($C$29="상세법",FPV(H9658,K9658),IF(H9658="EI",4,IF(H9658="EO",5.2,IF(H9658="EQ",3.9,IF(H9658="ILF",7.5,IF(H9658="EIF",5.4)))))))</f>
        <v/>
      </c>
      <c r="M9658" s="112" t="str">
        <f t="shared" si="154"/>
        <v/>
      </c>
      <c r="N9658" s="113"/>
    </row>
    <row r="9659" spans="2:14">
      <c r="B9659" s="105"/>
      <c r="C9659" s="106"/>
      <c r="D9659" s="107"/>
      <c r="E9659" s="65"/>
      <c r="F9659" s="64"/>
      <c r="G9659" s="64"/>
      <c r="H9659" s="64"/>
      <c r="I9659" s="70"/>
      <c r="J9659" s="70"/>
      <c r="K9659" s="110" t="str">
        <f>IF(H9659="","",IF($C$29="간이법","",FPR(H9659,I9659,J9659)))</f>
        <v/>
      </c>
      <c r="L9659" s="111" t="str">
        <f>IF(H9659="","",IF($C$29="상세법",FPV(H9659,K9659),IF(H9659="EI",4,IF(H9659="EO",5.2,IF(H9659="EQ",3.9,IF(H9659="ILF",7.5,IF(H9659="EIF",5.4)))))))</f>
        <v/>
      </c>
      <c r="M9659" s="112" t="str">
        <f t="shared" si="154"/>
        <v/>
      </c>
      <c r="N9659" s="113"/>
    </row>
    <row r="9660" spans="2:14">
      <c r="B9660" s="105"/>
      <c r="C9660" s="106"/>
      <c r="D9660" s="107"/>
      <c r="E9660" s="65"/>
      <c r="F9660" s="64"/>
      <c r="G9660" s="64"/>
      <c r="H9660" s="64"/>
      <c r="I9660" s="70"/>
      <c r="J9660" s="70"/>
      <c r="K9660" s="110" t="str">
        <f>IF(H9660="","",IF($C$29="간이법","",FPR(H9660,I9660,J9660)))</f>
        <v/>
      </c>
      <c r="L9660" s="111" t="str">
        <f>IF(H9660="","",IF($C$29="상세법",FPV(H9660,K9660),IF(H9660="EI",4,IF(H9660="EO",5.2,IF(H9660="EQ",3.9,IF(H9660="ILF",7.5,IF(H9660="EIF",5.4)))))))</f>
        <v/>
      </c>
      <c r="M9660" s="112" t="str">
        <f t="shared" si="154"/>
        <v/>
      </c>
      <c r="N9660" s="113"/>
    </row>
    <row r="9661" spans="2:14">
      <c r="B9661" s="105"/>
      <c r="C9661" s="106"/>
      <c r="D9661" s="107"/>
      <c r="E9661" s="65"/>
      <c r="F9661" s="64"/>
      <c r="G9661" s="64"/>
      <c r="H9661" s="64"/>
      <c r="I9661" s="70"/>
      <c r="J9661" s="70"/>
      <c r="K9661" s="110" t="str">
        <f>IF(H9661="","",IF($C$29="간이법","",FPR(H9661,I9661,J9661)))</f>
        <v/>
      </c>
      <c r="L9661" s="111" t="str">
        <f>IF(H9661="","",IF($C$29="상세법",FPV(H9661,K9661),IF(H9661="EI",4,IF(H9661="EO",5.2,IF(H9661="EQ",3.9,IF(H9661="ILF",7.5,IF(H9661="EIF",5.4)))))))</f>
        <v/>
      </c>
      <c r="M9661" s="112" t="str">
        <f t="shared" si="154"/>
        <v/>
      </c>
      <c r="N9661" s="113"/>
    </row>
    <row r="9662" spans="2:14">
      <c r="B9662" s="105"/>
      <c r="C9662" s="106"/>
      <c r="D9662" s="107"/>
      <c r="E9662" s="65"/>
      <c r="F9662" s="64"/>
      <c r="G9662" s="64"/>
      <c r="H9662" s="64"/>
      <c r="I9662" s="70"/>
      <c r="J9662" s="70"/>
      <c r="K9662" s="110" t="str">
        <f>IF(H9662="","",IF($C$29="간이법","",FPR(H9662,I9662,J9662)))</f>
        <v/>
      </c>
      <c r="L9662" s="111" t="str">
        <f>IF(H9662="","",IF($C$29="상세법",FPV(H9662,K9662),IF(H9662="EI",4,IF(H9662="EO",5.2,IF(H9662="EQ",3.9,IF(H9662="ILF",7.5,IF(H9662="EIF",5.4)))))))</f>
        <v/>
      </c>
      <c r="M9662" s="112" t="str">
        <f t="shared" si="154"/>
        <v/>
      </c>
      <c r="N9662" s="113"/>
    </row>
    <row r="9663" spans="2:14">
      <c r="B9663" s="105"/>
      <c r="C9663" s="106"/>
      <c r="D9663" s="107"/>
      <c r="E9663" s="65"/>
      <c r="F9663" s="64"/>
      <c r="G9663" s="64"/>
      <c r="H9663" s="64"/>
      <c r="I9663" s="70"/>
      <c r="J9663" s="70"/>
      <c r="K9663" s="110" t="str">
        <f>IF(H9663="","",IF($C$29="간이법","",FPR(H9663,I9663,J9663)))</f>
        <v/>
      </c>
      <c r="L9663" s="111" t="str">
        <f>IF(H9663="","",IF($C$29="상세법",FPV(H9663,K9663),IF(H9663="EI",4,IF(H9663="EO",5.2,IF(H9663="EQ",3.9,IF(H9663="ILF",7.5,IF(H9663="EIF",5.4)))))))</f>
        <v/>
      </c>
      <c r="M9663" s="112" t="str">
        <f t="shared" si="154"/>
        <v/>
      </c>
      <c r="N9663" s="113"/>
    </row>
    <row r="9664" spans="2:14">
      <c r="B9664" s="105"/>
      <c r="C9664" s="106"/>
      <c r="D9664" s="107"/>
      <c r="E9664" s="65"/>
      <c r="F9664" s="64"/>
      <c r="G9664" s="64"/>
      <c r="H9664" s="64"/>
      <c r="I9664" s="70"/>
      <c r="J9664" s="70"/>
      <c r="K9664" s="110" t="str">
        <f>IF(H9664="","",IF($C$29="간이법","",FPR(H9664,I9664,J9664)))</f>
        <v/>
      </c>
      <c r="L9664" s="111" t="str">
        <f>IF(H9664="","",IF($C$29="상세법",FPV(H9664,K9664),IF(H9664="EI",4,IF(H9664="EO",5.2,IF(H9664="EQ",3.9,IF(H9664="ILF",7.5,IF(H9664="EIF",5.4)))))))</f>
        <v/>
      </c>
      <c r="M9664" s="112" t="str">
        <f t="shared" si="154"/>
        <v/>
      </c>
      <c r="N9664" s="113"/>
    </row>
    <row r="9665" spans="2:14">
      <c r="B9665" s="105"/>
      <c r="C9665" s="106"/>
      <c r="D9665" s="107"/>
      <c r="E9665" s="65"/>
      <c r="F9665" s="64"/>
      <c r="G9665" s="64"/>
      <c r="H9665" s="64"/>
      <c r="I9665" s="70"/>
      <c r="J9665" s="70"/>
      <c r="K9665" s="110" t="str">
        <f>IF(H9665="","",IF($C$29="간이법","",FPR(H9665,I9665,J9665)))</f>
        <v/>
      </c>
      <c r="L9665" s="111" t="str">
        <f>IF(H9665="","",IF($C$29="상세법",FPV(H9665,K9665),IF(H9665="EI",4,IF(H9665="EO",5.2,IF(H9665="EQ",3.9,IF(H9665="ILF",7.5,IF(H9665="EIF",5.4)))))))</f>
        <v/>
      </c>
      <c r="M9665" s="112" t="str">
        <f t="shared" si="154"/>
        <v/>
      </c>
      <c r="N9665" s="113"/>
    </row>
    <row r="9666" spans="2:14">
      <c r="B9666" s="105"/>
      <c r="C9666" s="106"/>
      <c r="D9666" s="107"/>
      <c r="E9666" s="65"/>
      <c r="F9666" s="64"/>
      <c r="G9666" s="64"/>
      <c r="H9666" s="64"/>
      <c r="I9666" s="70"/>
      <c r="J9666" s="70"/>
      <c r="K9666" s="110" t="str">
        <f>IF(H9666="","",IF($C$29="간이법","",FPR(H9666,I9666,J9666)))</f>
        <v/>
      </c>
      <c r="L9666" s="111" t="str">
        <f>IF(H9666="","",IF($C$29="상세법",FPV(H9666,K9666),IF(H9666="EI",4,IF(H9666="EO",5.2,IF(H9666="EQ",3.9,IF(H9666="ILF",7.5,IF(H9666="EIF",5.4)))))))</f>
        <v/>
      </c>
      <c r="M9666" s="112" t="str">
        <f t="shared" si="154"/>
        <v/>
      </c>
      <c r="N9666" s="113"/>
    </row>
    <row r="9667" spans="2:14">
      <c r="B9667" s="105"/>
      <c r="C9667" s="106"/>
      <c r="D9667" s="107"/>
      <c r="E9667" s="65"/>
      <c r="F9667" s="64"/>
      <c r="G9667" s="64"/>
      <c r="H9667" s="64"/>
      <c r="I9667" s="70"/>
      <c r="J9667" s="70"/>
      <c r="K9667" s="110" t="str">
        <f>IF(H9667="","",IF($C$29="간이법","",FPR(H9667,I9667,J9667)))</f>
        <v/>
      </c>
      <c r="L9667" s="111" t="str">
        <f>IF(H9667="","",IF($C$29="상세법",FPV(H9667,K9667),IF(H9667="EI",4,IF(H9667="EO",5.2,IF(H9667="EQ",3.9,IF(H9667="ILF",7.5,IF(H9667="EIF",5.4)))))))</f>
        <v/>
      </c>
      <c r="M9667" s="112" t="str">
        <f t="shared" si="154"/>
        <v/>
      </c>
      <c r="N9667" s="113"/>
    </row>
    <row r="9668" spans="2:14">
      <c r="B9668" s="105"/>
      <c r="C9668" s="106"/>
      <c r="D9668" s="107"/>
      <c r="E9668" s="65"/>
      <c r="F9668" s="64"/>
      <c r="G9668" s="64"/>
      <c r="H9668" s="64"/>
      <c r="I9668" s="70"/>
      <c r="J9668" s="70"/>
      <c r="K9668" s="110" t="str">
        <f>IF(H9668="","",IF($C$29="간이법","",FPR(H9668,I9668,J9668)))</f>
        <v/>
      </c>
      <c r="L9668" s="111" t="str">
        <f>IF(H9668="","",IF($C$29="상세법",FPV(H9668,K9668),IF(H9668="EI",4,IF(H9668="EO",5.2,IF(H9668="EQ",3.9,IF(H9668="ILF",7.5,IF(H9668="EIF",5.4)))))))</f>
        <v/>
      </c>
      <c r="M9668" s="112" t="str">
        <f t="shared" si="154"/>
        <v/>
      </c>
      <c r="N9668" s="113"/>
    </row>
    <row r="9669" spans="2:14">
      <c r="B9669" s="105"/>
      <c r="C9669" s="106"/>
      <c r="D9669" s="107"/>
      <c r="E9669" s="65"/>
      <c r="F9669" s="64"/>
      <c r="G9669" s="64"/>
      <c r="H9669" s="64"/>
      <c r="I9669" s="70"/>
      <c r="J9669" s="70"/>
      <c r="K9669" s="110" t="str">
        <f>IF(H9669="","",IF($C$29="간이법","",FPR(H9669,I9669,J9669)))</f>
        <v/>
      </c>
      <c r="L9669" s="111" t="str">
        <f>IF(H9669="","",IF($C$29="상세법",FPV(H9669,K9669),IF(H9669="EI",4,IF(H9669="EO",5.2,IF(H9669="EQ",3.9,IF(H9669="ILF",7.5,IF(H9669="EIF",5.4)))))))</f>
        <v/>
      </c>
      <c r="M9669" s="112" t="str">
        <f t="shared" si="154"/>
        <v/>
      </c>
      <c r="N9669" s="113"/>
    </row>
    <row r="9670" spans="2:14">
      <c r="B9670" s="105"/>
      <c r="C9670" s="106"/>
      <c r="D9670" s="107"/>
      <c r="E9670" s="65"/>
      <c r="F9670" s="64"/>
      <c r="G9670" s="64"/>
      <c r="H9670" s="64"/>
      <c r="I9670" s="70"/>
      <c r="J9670" s="70"/>
      <c r="K9670" s="110" t="str">
        <f>IF(H9670="","",IF($C$29="간이법","",FPR(H9670,I9670,J9670)))</f>
        <v/>
      </c>
      <c r="L9670" s="111" t="str">
        <f>IF(H9670="","",IF($C$29="상세법",FPV(H9670,K9670),IF(H9670="EI",4,IF(H9670="EO",5.2,IF(H9670="EQ",3.9,IF(H9670="ILF",7.5,IF(H9670="EIF",5.4)))))))</f>
        <v/>
      </c>
      <c r="M9670" s="112" t="str">
        <f t="shared" si="154"/>
        <v/>
      </c>
      <c r="N9670" s="113"/>
    </row>
    <row r="9671" spans="2:14">
      <c r="B9671" s="105"/>
      <c r="C9671" s="106"/>
      <c r="D9671" s="107"/>
      <c r="E9671" s="65"/>
      <c r="F9671" s="64"/>
      <c r="G9671" s="64"/>
      <c r="H9671" s="64"/>
      <c r="I9671" s="70"/>
      <c r="J9671" s="70"/>
      <c r="K9671" s="110" t="str">
        <f>IF(H9671="","",IF($C$29="간이법","",FPR(H9671,I9671,J9671)))</f>
        <v/>
      </c>
      <c r="L9671" s="111" t="str">
        <f>IF(H9671="","",IF($C$29="상세법",FPV(H9671,K9671),IF(H9671="EI",4,IF(H9671="EO",5.2,IF(H9671="EQ",3.9,IF(H9671="ILF",7.5,IF(H9671="EIF",5.4)))))))</f>
        <v/>
      </c>
      <c r="M9671" s="112" t="str">
        <f t="shared" si="154"/>
        <v/>
      </c>
      <c r="N9671" s="113"/>
    </row>
    <row r="9672" spans="2:14">
      <c r="B9672" s="105"/>
      <c r="C9672" s="106"/>
      <c r="D9672" s="107"/>
      <c r="E9672" s="65"/>
      <c r="F9672" s="64"/>
      <c r="G9672" s="64"/>
      <c r="H9672" s="64"/>
      <c r="I9672" s="70"/>
      <c r="J9672" s="70"/>
      <c r="K9672" s="110" t="str">
        <f>IF(H9672="","",IF($C$29="간이법","",FPR(H9672,I9672,J9672)))</f>
        <v/>
      </c>
      <c r="L9672" s="111" t="str">
        <f>IF(H9672="","",IF($C$29="상세법",FPV(H9672,K9672),IF(H9672="EI",4,IF(H9672="EO",5.2,IF(H9672="EQ",3.9,IF(H9672="ILF",7.5,IF(H9672="EIF",5.4)))))))</f>
        <v/>
      </c>
      <c r="M9672" s="112" t="str">
        <f t="shared" si="154"/>
        <v/>
      </c>
      <c r="N9672" s="113"/>
    </row>
    <row r="9673" spans="2:14">
      <c r="B9673" s="105"/>
      <c r="C9673" s="106"/>
      <c r="D9673" s="107"/>
      <c r="E9673" s="65"/>
      <c r="F9673" s="64"/>
      <c r="G9673" s="64"/>
      <c r="H9673" s="64"/>
      <c r="I9673" s="70"/>
      <c r="J9673" s="70"/>
      <c r="K9673" s="110" t="str">
        <f>IF(H9673="","",IF($C$29="간이법","",FPR(H9673,I9673,J9673)))</f>
        <v/>
      </c>
      <c r="L9673" s="111" t="str">
        <f>IF(H9673="","",IF($C$29="상세법",FPV(H9673,K9673),IF(H9673="EI",4,IF(H9673="EO",5.2,IF(H9673="EQ",3.9,IF(H9673="ILF",7.5,IF(H9673="EIF",5.4)))))))</f>
        <v/>
      </c>
      <c r="M9673" s="112" t="str">
        <f t="shared" si="154"/>
        <v/>
      </c>
      <c r="N9673" s="113"/>
    </row>
    <row r="9674" spans="2:14">
      <c r="B9674" s="105"/>
      <c r="C9674" s="106"/>
      <c r="D9674" s="107"/>
      <c r="E9674" s="65"/>
      <c r="F9674" s="64"/>
      <c r="G9674" s="64"/>
      <c r="H9674" s="64"/>
      <c r="I9674" s="70"/>
      <c r="J9674" s="70"/>
      <c r="K9674" s="110" t="str">
        <f>IF(H9674="","",IF($C$29="간이법","",FPR(H9674,I9674,J9674)))</f>
        <v/>
      </c>
      <c r="L9674" s="111" t="str">
        <f>IF(H9674="","",IF($C$29="상세법",FPV(H9674,K9674),IF(H9674="EI",4,IF(H9674="EO",5.2,IF(H9674="EQ",3.9,IF(H9674="ILF",7.5,IF(H9674="EIF",5.4)))))))</f>
        <v/>
      </c>
      <c r="M9674" s="112" t="str">
        <f t="shared" si="154"/>
        <v/>
      </c>
      <c r="N9674" s="113"/>
    </row>
    <row r="9675" spans="2:14">
      <c r="B9675" s="105"/>
      <c r="C9675" s="106"/>
      <c r="D9675" s="107"/>
      <c r="E9675" s="65"/>
      <c r="F9675" s="64"/>
      <c r="G9675" s="64"/>
      <c r="H9675" s="64"/>
      <c r="I9675" s="70"/>
      <c r="J9675" s="70"/>
      <c r="K9675" s="110" t="str">
        <f>IF(H9675="","",IF($C$29="간이법","",FPR(H9675,I9675,J9675)))</f>
        <v/>
      </c>
      <c r="L9675" s="111" t="str">
        <f>IF(H9675="","",IF($C$29="상세법",FPV(H9675,K9675),IF(H9675="EI",4,IF(H9675="EO",5.2,IF(H9675="EQ",3.9,IF(H9675="ILF",7.5,IF(H9675="EIF",5.4)))))))</f>
        <v/>
      </c>
      <c r="M9675" s="112" t="str">
        <f t="shared" si="154"/>
        <v/>
      </c>
      <c r="N9675" s="113"/>
    </row>
    <row r="9676" spans="2:14">
      <c r="B9676" s="105"/>
      <c r="C9676" s="106"/>
      <c r="D9676" s="107"/>
      <c r="E9676" s="65"/>
      <c r="F9676" s="64"/>
      <c r="G9676" s="64"/>
      <c r="H9676" s="64"/>
      <c r="I9676" s="70"/>
      <c r="J9676" s="70"/>
      <c r="K9676" s="110" t="str">
        <f>IF(H9676="","",IF($C$29="간이법","",FPR(H9676,I9676,J9676)))</f>
        <v/>
      </c>
      <c r="L9676" s="111" t="str">
        <f>IF(H9676="","",IF($C$29="상세법",FPV(H9676,K9676),IF(H9676="EI",4,IF(H9676="EO",5.2,IF(H9676="EQ",3.9,IF(H9676="ILF",7.5,IF(H9676="EIF",5.4)))))))</f>
        <v/>
      </c>
      <c r="M9676" s="112" t="str">
        <f t="shared" si="154"/>
        <v/>
      </c>
      <c r="N9676" s="113"/>
    </row>
    <row r="9677" spans="2:14">
      <c r="B9677" s="105"/>
      <c r="C9677" s="106"/>
      <c r="D9677" s="107"/>
      <c r="E9677" s="65"/>
      <c r="F9677" s="64"/>
      <c r="G9677" s="64"/>
      <c r="H9677" s="64"/>
      <c r="I9677" s="70"/>
      <c r="J9677" s="70"/>
      <c r="K9677" s="110" t="str">
        <f>IF(H9677="","",IF($C$29="간이법","",FPR(H9677,I9677,J9677)))</f>
        <v/>
      </c>
      <c r="L9677" s="111" t="str">
        <f>IF(H9677="","",IF($C$29="상세법",FPV(H9677,K9677),IF(H9677="EI",4,IF(H9677="EO",5.2,IF(H9677="EQ",3.9,IF(H9677="ILF",7.5,IF(H9677="EIF",5.4)))))))</f>
        <v/>
      </c>
      <c r="M9677" s="112" t="str">
        <f t="shared" si="154"/>
        <v/>
      </c>
      <c r="N9677" s="113"/>
    </row>
    <row r="9678" spans="2:14">
      <c r="B9678" s="105"/>
      <c r="C9678" s="106"/>
      <c r="D9678" s="107"/>
      <c r="E9678" s="65"/>
      <c r="F9678" s="64"/>
      <c r="G9678" s="64"/>
      <c r="H9678" s="64"/>
      <c r="I9678" s="70"/>
      <c r="J9678" s="70"/>
      <c r="K9678" s="110" t="str">
        <f>IF(H9678="","",IF($C$29="간이법","",FPR(H9678,I9678,J9678)))</f>
        <v/>
      </c>
      <c r="L9678" s="111" t="str">
        <f>IF(H9678="","",IF($C$29="상세법",FPV(H9678,K9678),IF(H9678="EI",4,IF(H9678="EO",5.2,IF(H9678="EQ",3.9,IF(H9678="ILF",7.5,IF(H9678="EIF",5.4)))))))</f>
        <v/>
      </c>
      <c r="M9678" s="112" t="str">
        <f t="shared" si="154"/>
        <v/>
      </c>
      <c r="N9678" s="113"/>
    </row>
    <row r="9679" spans="2:14">
      <c r="B9679" s="105"/>
      <c r="C9679" s="106"/>
      <c r="D9679" s="107"/>
      <c r="E9679" s="65"/>
      <c r="F9679" s="64"/>
      <c r="G9679" s="64"/>
      <c r="H9679" s="64"/>
      <c r="I9679" s="70"/>
      <c r="J9679" s="70"/>
      <c r="K9679" s="110" t="str">
        <f>IF(H9679="","",IF($C$29="간이법","",FPR(H9679,I9679,J9679)))</f>
        <v/>
      </c>
      <c r="L9679" s="111" t="str">
        <f>IF(H9679="","",IF($C$29="상세법",FPV(H9679,K9679),IF(H9679="EI",4,IF(H9679="EO",5.2,IF(H9679="EQ",3.9,IF(H9679="ILF",7.5,IF(H9679="EIF",5.4)))))))</f>
        <v/>
      </c>
      <c r="M9679" s="112" t="str">
        <f t="shared" si="154"/>
        <v/>
      </c>
      <c r="N9679" s="113"/>
    </row>
    <row r="9680" spans="2:14">
      <c r="B9680" s="105"/>
      <c r="C9680" s="106"/>
      <c r="D9680" s="107"/>
      <c r="E9680" s="65"/>
      <c r="F9680" s="64"/>
      <c r="G9680" s="64"/>
      <c r="H9680" s="64"/>
      <c r="I9680" s="70"/>
      <c r="J9680" s="70"/>
      <c r="K9680" s="110" t="str">
        <f>IF(H9680="","",IF($C$29="간이법","",FPR(H9680,I9680,J9680)))</f>
        <v/>
      </c>
      <c r="L9680" s="111" t="str">
        <f>IF(H9680="","",IF($C$29="상세법",FPV(H9680,K9680),IF(H9680="EI",4,IF(H9680="EO",5.2,IF(H9680="EQ",3.9,IF(H9680="ILF",7.5,IF(H9680="EIF",5.4)))))))</f>
        <v/>
      </c>
      <c r="M9680" s="112" t="str">
        <f t="shared" si="154"/>
        <v/>
      </c>
      <c r="N9680" s="113"/>
    </row>
    <row r="9681" spans="2:14">
      <c r="B9681" s="105"/>
      <c r="C9681" s="106"/>
      <c r="D9681" s="107"/>
      <c r="E9681" s="65"/>
      <c r="F9681" s="64"/>
      <c r="G9681" s="64"/>
      <c r="H9681" s="64"/>
      <c r="I9681" s="70"/>
      <c r="J9681" s="70"/>
      <c r="K9681" s="110" t="str">
        <f>IF(H9681="","",IF($C$29="간이법","",FPR(H9681,I9681,J9681)))</f>
        <v/>
      </c>
      <c r="L9681" s="111" t="str">
        <f>IF(H9681="","",IF($C$29="상세법",FPV(H9681,K9681),IF(H9681="EI",4,IF(H9681="EO",5.2,IF(H9681="EQ",3.9,IF(H9681="ILF",7.5,IF(H9681="EIF",5.4)))))))</f>
        <v/>
      </c>
      <c r="M9681" s="112" t="str">
        <f t="shared" si="154"/>
        <v/>
      </c>
      <c r="N9681" s="113"/>
    </row>
    <row r="9682" spans="2:14">
      <c r="B9682" s="105"/>
      <c r="C9682" s="106"/>
      <c r="D9682" s="107"/>
      <c r="E9682" s="65"/>
      <c r="F9682" s="64"/>
      <c r="G9682" s="64"/>
      <c r="H9682" s="64"/>
      <c r="I9682" s="70"/>
      <c r="J9682" s="70"/>
      <c r="K9682" s="110" t="str">
        <f>IF(H9682="","",IF($C$29="간이법","",FPR(H9682,I9682,J9682)))</f>
        <v/>
      </c>
      <c r="L9682" s="111" t="str">
        <f>IF(H9682="","",IF($C$29="상세법",FPV(H9682,K9682),IF(H9682="EI",4,IF(H9682="EO",5.2,IF(H9682="EQ",3.9,IF(H9682="ILF",7.5,IF(H9682="EIF",5.4)))))))</f>
        <v/>
      </c>
      <c r="M9682" s="112" t="str">
        <f t="shared" si="154"/>
        <v/>
      </c>
      <c r="N9682" s="113"/>
    </row>
    <row r="9683" spans="2:14">
      <c r="B9683" s="105"/>
      <c r="C9683" s="106"/>
      <c r="D9683" s="107"/>
      <c r="E9683" s="65"/>
      <c r="F9683" s="64"/>
      <c r="G9683" s="64"/>
      <c r="H9683" s="64"/>
      <c r="I9683" s="70"/>
      <c r="J9683" s="70"/>
      <c r="K9683" s="110" t="str">
        <f>IF(H9683="","",IF($C$29="간이법","",FPR(H9683,I9683,J9683)))</f>
        <v/>
      </c>
      <c r="L9683" s="111" t="str">
        <f>IF(H9683="","",IF($C$29="상세법",FPV(H9683,K9683),IF(H9683="EI",4,IF(H9683="EO",5.2,IF(H9683="EQ",3.9,IF(H9683="ILF",7.5,IF(H9683="EIF",5.4)))))))</f>
        <v/>
      </c>
      <c r="M9683" s="112" t="str">
        <f t="shared" si="154"/>
        <v/>
      </c>
      <c r="N9683" s="113"/>
    </row>
    <row r="9684" spans="2:14">
      <c r="B9684" s="105"/>
      <c r="C9684" s="106"/>
      <c r="D9684" s="107"/>
      <c r="E9684" s="65"/>
      <c r="F9684" s="64"/>
      <c r="G9684" s="64"/>
      <c r="H9684" s="64"/>
      <c r="I9684" s="70"/>
      <c r="J9684" s="70"/>
      <c r="K9684" s="110" t="str">
        <f>IF(H9684="","",IF($C$29="간이법","",FPR(H9684,I9684,J9684)))</f>
        <v/>
      </c>
      <c r="L9684" s="111" t="str">
        <f>IF(H9684="","",IF($C$29="상세법",FPV(H9684,K9684),IF(H9684="EI",4,IF(H9684="EO",5.2,IF(H9684="EQ",3.9,IF(H9684="ILF",7.5,IF(H9684="EIF",5.4)))))))</f>
        <v/>
      </c>
      <c r="M9684" s="112" t="str">
        <f t="shared" si="154"/>
        <v/>
      </c>
      <c r="N9684" s="113"/>
    </row>
    <row r="9685" spans="2:14">
      <c r="B9685" s="105"/>
      <c r="C9685" s="106"/>
      <c r="D9685" s="107"/>
      <c r="E9685" s="65"/>
      <c r="F9685" s="64"/>
      <c r="G9685" s="64"/>
      <c r="H9685" s="64"/>
      <c r="I9685" s="70"/>
      <c r="J9685" s="70"/>
      <c r="K9685" s="110" t="str">
        <f>IF(H9685="","",IF($C$29="간이법","",FPR(H9685,I9685,J9685)))</f>
        <v/>
      </c>
      <c r="L9685" s="111" t="str">
        <f>IF(H9685="","",IF($C$29="상세법",FPV(H9685,K9685),IF(H9685="EI",4,IF(H9685="EO",5.2,IF(H9685="EQ",3.9,IF(H9685="ILF",7.5,IF(H9685="EIF",5.4)))))))</f>
        <v/>
      </c>
      <c r="M9685" s="112" t="str">
        <f t="shared" si="154"/>
        <v/>
      </c>
      <c r="N9685" s="113"/>
    </row>
    <row r="9686" spans="2:14">
      <c r="B9686" s="105"/>
      <c r="C9686" s="106"/>
      <c r="D9686" s="107"/>
      <c r="E9686" s="65"/>
      <c r="F9686" s="64"/>
      <c r="G9686" s="64"/>
      <c r="H9686" s="64"/>
      <c r="I9686" s="70"/>
      <c r="J9686" s="70"/>
      <c r="K9686" s="110" t="str">
        <f>IF(H9686="","",IF($C$29="간이법","",FPR(H9686,I9686,J9686)))</f>
        <v/>
      </c>
      <c r="L9686" s="111" t="str">
        <f>IF(H9686="","",IF($C$29="상세법",FPV(H9686,K9686),IF(H9686="EI",4,IF(H9686="EO",5.2,IF(H9686="EQ",3.9,IF(H9686="ILF",7.5,IF(H9686="EIF",5.4)))))))</f>
        <v/>
      </c>
      <c r="M9686" s="112" t="str">
        <f t="shared" si="154"/>
        <v/>
      </c>
      <c r="N9686" s="113"/>
    </row>
    <row r="9687" spans="2:14">
      <c r="B9687" s="105"/>
      <c r="C9687" s="106"/>
      <c r="D9687" s="107"/>
      <c r="E9687" s="65"/>
      <c r="F9687" s="64"/>
      <c r="G9687" s="64"/>
      <c r="H9687" s="64"/>
      <c r="I9687" s="70"/>
      <c r="J9687" s="70"/>
      <c r="K9687" s="110" t="str">
        <f>IF(H9687="","",IF($C$29="간이법","",FPR(H9687,I9687,J9687)))</f>
        <v/>
      </c>
      <c r="L9687" s="111" t="str">
        <f>IF(H9687="","",IF($C$29="상세법",FPV(H9687,K9687),IF(H9687="EI",4,IF(H9687="EO",5.2,IF(H9687="EQ",3.9,IF(H9687="ILF",7.5,IF(H9687="EIF",5.4)))))))</f>
        <v/>
      </c>
      <c r="M9687" s="112" t="str">
        <f t="shared" si="154"/>
        <v/>
      </c>
      <c r="N9687" s="113"/>
    </row>
    <row r="9688" spans="2:14">
      <c r="B9688" s="105"/>
      <c r="C9688" s="106"/>
      <c r="D9688" s="107"/>
      <c r="E9688" s="65"/>
      <c r="F9688" s="64"/>
      <c r="G9688" s="64"/>
      <c r="H9688" s="64"/>
      <c r="I9688" s="70"/>
      <c r="J9688" s="70"/>
      <c r="K9688" s="110" t="str">
        <f>IF(H9688="","",IF($C$29="간이법","",FPR(H9688,I9688,J9688)))</f>
        <v/>
      </c>
      <c r="L9688" s="111" t="str">
        <f>IF(H9688="","",IF($C$29="상세법",FPV(H9688,K9688),IF(H9688="EI",4,IF(H9688="EO",5.2,IF(H9688="EQ",3.9,IF(H9688="ILF",7.5,IF(H9688="EIF",5.4)))))))</f>
        <v/>
      </c>
      <c r="M9688" s="112" t="str">
        <f t="shared" si="154"/>
        <v/>
      </c>
      <c r="N9688" s="113"/>
    </row>
    <row r="9689" spans="2:14">
      <c r="B9689" s="105"/>
      <c r="C9689" s="106"/>
      <c r="D9689" s="107"/>
      <c r="E9689" s="65"/>
      <c r="F9689" s="64"/>
      <c r="G9689" s="64"/>
      <c r="H9689" s="64"/>
      <c r="I9689" s="70"/>
      <c r="J9689" s="70"/>
      <c r="K9689" s="110" t="str">
        <f>IF(H9689="","",IF($C$29="간이법","",FPR(H9689,I9689,J9689)))</f>
        <v/>
      </c>
      <c r="L9689" s="111" t="str">
        <f>IF(H9689="","",IF($C$29="상세법",FPV(H9689,K9689),IF(H9689="EI",4,IF(H9689="EO",5.2,IF(H9689="EQ",3.9,IF(H9689="ILF",7.5,IF(H9689="EIF",5.4)))))))</f>
        <v/>
      </c>
      <c r="M9689" s="112" t="str">
        <f t="shared" si="154"/>
        <v/>
      </c>
      <c r="N9689" s="113"/>
    </row>
    <row r="9690" spans="2:14">
      <c r="B9690" s="105"/>
      <c r="C9690" s="106"/>
      <c r="D9690" s="107"/>
      <c r="E9690" s="65"/>
      <c r="F9690" s="64"/>
      <c r="G9690" s="64"/>
      <c r="H9690" s="64"/>
      <c r="I9690" s="70"/>
      <c r="J9690" s="70"/>
      <c r="K9690" s="110" t="str">
        <f>IF(H9690="","",IF($C$29="간이법","",FPR(H9690,I9690,J9690)))</f>
        <v/>
      </c>
      <c r="L9690" s="111" t="str">
        <f>IF(H9690="","",IF($C$29="상세법",FPV(H9690,K9690),IF(H9690="EI",4,IF(H9690="EO",5.2,IF(H9690="EQ",3.9,IF(H9690="ILF",7.5,IF(H9690="EIF",5.4)))))))</f>
        <v/>
      </c>
      <c r="M9690" s="112" t="str">
        <f t="shared" si="154"/>
        <v/>
      </c>
      <c r="N9690" s="113"/>
    </row>
    <row r="9691" spans="2:14">
      <c r="B9691" s="105"/>
      <c r="C9691" s="106"/>
      <c r="D9691" s="107"/>
      <c r="E9691" s="65"/>
      <c r="F9691" s="64"/>
      <c r="G9691" s="64"/>
      <c r="H9691" s="64"/>
      <c r="I9691" s="70"/>
      <c r="J9691" s="70"/>
      <c r="K9691" s="110" t="str">
        <f>IF(H9691="","",IF($C$29="간이법","",FPR(H9691,I9691,J9691)))</f>
        <v/>
      </c>
      <c r="L9691" s="111" t="str">
        <f>IF(H9691="","",IF($C$29="상세법",FPV(H9691,K9691),IF(H9691="EI",4,IF(H9691="EO",5.2,IF(H9691="EQ",3.9,IF(H9691="ILF",7.5,IF(H9691="EIF",5.4)))))))</f>
        <v/>
      </c>
      <c r="M9691" s="112" t="str">
        <f t="shared" si="154"/>
        <v/>
      </c>
      <c r="N9691" s="113"/>
    </row>
    <row r="9692" spans="2:14">
      <c r="B9692" s="105"/>
      <c r="C9692" s="106"/>
      <c r="D9692" s="107"/>
      <c r="E9692" s="65"/>
      <c r="F9692" s="64"/>
      <c r="G9692" s="64"/>
      <c r="H9692" s="64"/>
      <c r="I9692" s="70"/>
      <c r="J9692" s="70"/>
      <c r="K9692" s="110" t="str">
        <f>IF(H9692="","",IF($C$29="간이법","",FPR(H9692,I9692,J9692)))</f>
        <v/>
      </c>
      <c r="L9692" s="111" t="str">
        <f>IF(H9692="","",IF($C$29="상세법",FPV(H9692,K9692),IF(H9692="EI",4,IF(H9692="EO",5.2,IF(H9692="EQ",3.9,IF(H9692="ILF",7.5,IF(H9692="EIF",5.4)))))))</f>
        <v/>
      </c>
      <c r="M9692" s="112" t="str">
        <f t="shared" si="154"/>
        <v/>
      </c>
      <c r="N9692" s="113"/>
    </row>
    <row r="9693" spans="2:14">
      <c r="B9693" s="105"/>
      <c r="C9693" s="106"/>
      <c r="D9693" s="107"/>
      <c r="E9693" s="65"/>
      <c r="F9693" s="64"/>
      <c r="G9693" s="64"/>
      <c r="H9693" s="64"/>
      <c r="I9693" s="70"/>
      <c r="J9693" s="70"/>
      <c r="K9693" s="110" t="str">
        <f>IF(H9693="","",IF($C$29="간이법","",FPR(H9693,I9693,J9693)))</f>
        <v/>
      </c>
      <c r="L9693" s="111" t="str">
        <f>IF(H9693="","",IF($C$29="상세법",FPV(H9693,K9693),IF(H9693="EI",4,IF(H9693="EO",5.2,IF(H9693="EQ",3.9,IF(H9693="ILF",7.5,IF(H9693="EIF",5.4)))))))</f>
        <v/>
      </c>
      <c r="M9693" s="112" t="str">
        <f t="shared" si="154"/>
        <v/>
      </c>
      <c r="N9693" s="113"/>
    </row>
    <row r="9694" spans="2:14">
      <c r="B9694" s="105"/>
      <c r="C9694" s="106"/>
      <c r="D9694" s="107"/>
      <c r="E9694" s="65"/>
      <c r="F9694" s="64"/>
      <c r="G9694" s="64"/>
      <c r="H9694" s="64"/>
      <c r="I9694" s="70"/>
      <c r="J9694" s="70"/>
      <c r="K9694" s="110" t="str">
        <f>IF(H9694="","",IF($C$29="간이법","",FPR(H9694,I9694,J9694)))</f>
        <v/>
      </c>
      <c r="L9694" s="111" t="str">
        <f>IF(H9694="","",IF($C$29="상세법",FPV(H9694,K9694),IF(H9694="EI",4,IF(H9694="EO",5.2,IF(H9694="EQ",3.9,IF(H9694="ILF",7.5,IF(H9694="EIF",5.4)))))))</f>
        <v/>
      </c>
      <c r="M9694" s="112" t="str">
        <f t="shared" si="154"/>
        <v/>
      </c>
      <c r="N9694" s="113"/>
    </row>
    <row r="9695" spans="2:14">
      <c r="B9695" s="105"/>
      <c r="C9695" s="106"/>
      <c r="D9695" s="107"/>
      <c r="E9695" s="65"/>
      <c r="F9695" s="64"/>
      <c r="G9695" s="64"/>
      <c r="H9695" s="64"/>
      <c r="I9695" s="70"/>
      <c r="J9695" s="70"/>
      <c r="K9695" s="110" t="str">
        <f>IF(H9695="","",IF($C$29="간이법","",FPR(H9695,I9695,J9695)))</f>
        <v/>
      </c>
      <c r="L9695" s="111" t="str">
        <f>IF(H9695="","",IF($C$29="상세법",FPV(H9695,K9695),IF(H9695="EI",4,IF(H9695="EO",5.2,IF(H9695="EQ",3.9,IF(H9695="ILF",7.5,IF(H9695="EIF",5.4)))))))</f>
        <v/>
      </c>
      <c r="M9695" s="112" t="str">
        <f t="shared" si="154"/>
        <v/>
      </c>
      <c r="N9695" s="113"/>
    </row>
    <row r="9696" spans="2:14">
      <c r="B9696" s="105"/>
      <c r="C9696" s="106"/>
      <c r="D9696" s="107"/>
      <c r="E9696" s="65"/>
      <c r="F9696" s="64"/>
      <c r="G9696" s="64"/>
      <c r="H9696" s="64"/>
      <c r="I9696" s="70"/>
      <c r="J9696" s="70"/>
      <c r="K9696" s="110" t="str">
        <f>IF(H9696="","",IF($C$29="간이법","",FPR(H9696,I9696,J9696)))</f>
        <v/>
      </c>
      <c r="L9696" s="111" t="str">
        <f>IF(H9696="","",IF($C$29="상세법",FPV(H9696,K9696),IF(H9696="EI",4,IF(H9696="EO",5.2,IF(H9696="EQ",3.9,IF(H9696="ILF",7.5,IF(H9696="EIF",5.4)))))))</f>
        <v/>
      </c>
      <c r="M9696" s="112" t="str">
        <f t="shared" si="154"/>
        <v/>
      </c>
      <c r="N9696" s="113"/>
    </row>
    <row r="9697" spans="2:14">
      <c r="B9697" s="105"/>
      <c r="C9697" s="106"/>
      <c r="D9697" s="107"/>
      <c r="E9697" s="65"/>
      <c r="F9697" s="64"/>
      <c r="G9697" s="64"/>
      <c r="H9697" s="64"/>
      <c r="I9697" s="70"/>
      <c r="J9697" s="70"/>
      <c r="K9697" s="110" t="str">
        <f>IF(H9697="","",IF($C$29="간이법","",FPR(H9697,I9697,J9697)))</f>
        <v/>
      </c>
      <c r="L9697" s="111" t="str">
        <f>IF(H9697="","",IF($C$29="상세법",FPV(H9697,K9697),IF(H9697="EI",4,IF(H9697="EO",5.2,IF(H9697="EQ",3.9,IF(H9697="ILF",7.5,IF(H9697="EIF",5.4)))))))</f>
        <v/>
      </c>
      <c r="M9697" s="112" t="str">
        <f t="shared" si="154"/>
        <v/>
      </c>
      <c r="N9697" s="113"/>
    </row>
    <row r="9698" spans="2:14">
      <c r="B9698" s="105"/>
      <c r="C9698" s="106"/>
      <c r="D9698" s="107"/>
      <c r="E9698" s="65"/>
      <c r="F9698" s="64"/>
      <c r="G9698" s="64"/>
      <c r="H9698" s="64"/>
      <c r="I9698" s="70"/>
      <c r="J9698" s="70"/>
      <c r="K9698" s="110" t="str">
        <f>IF(H9698="","",IF($C$29="간이법","",FPR(H9698,I9698,J9698)))</f>
        <v/>
      </c>
      <c r="L9698" s="111" t="str">
        <f>IF(H9698="","",IF($C$29="상세법",FPV(H9698,K9698),IF(H9698="EI",4,IF(H9698="EO",5.2,IF(H9698="EQ",3.9,IF(H9698="ILF",7.5,IF(H9698="EIF",5.4)))))))</f>
        <v/>
      </c>
      <c r="M9698" s="112" t="str">
        <f t="shared" si="154"/>
        <v/>
      </c>
      <c r="N9698" s="113"/>
    </row>
    <row r="9699" spans="2:14">
      <c r="B9699" s="105"/>
      <c r="C9699" s="106"/>
      <c r="D9699" s="107"/>
      <c r="E9699" s="65"/>
      <c r="F9699" s="64"/>
      <c r="G9699" s="64"/>
      <c r="H9699" s="64"/>
      <c r="I9699" s="70"/>
      <c r="J9699" s="70"/>
      <c r="K9699" s="110" t="str">
        <f>IF(H9699="","",IF($C$29="간이법","",FPR(H9699,I9699,J9699)))</f>
        <v/>
      </c>
      <c r="L9699" s="111" t="str">
        <f>IF(H9699="","",IF($C$29="상세법",FPV(H9699,K9699),IF(H9699="EI",4,IF(H9699="EO",5.2,IF(H9699="EQ",3.9,IF(H9699="ILF",7.5,IF(H9699="EIF",5.4)))))))</f>
        <v/>
      </c>
      <c r="M9699" s="112" t="str">
        <f t="shared" si="154"/>
        <v/>
      </c>
      <c r="N9699" s="113"/>
    </row>
    <row r="9700" spans="2:14">
      <c r="B9700" s="105"/>
      <c r="C9700" s="106"/>
      <c r="D9700" s="107"/>
      <c r="E9700" s="65"/>
      <c r="F9700" s="64"/>
      <c r="G9700" s="64"/>
      <c r="H9700" s="64"/>
      <c r="I9700" s="70"/>
      <c r="J9700" s="70"/>
      <c r="K9700" s="110" t="str">
        <f>IF(H9700="","",IF($C$29="간이법","",FPR(H9700,I9700,J9700)))</f>
        <v/>
      </c>
      <c r="L9700" s="111" t="str">
        <f>IF(H9700="","",IF($C$29="상세법",FPV(H9700,K9700),IF(H9700="EI",4,IF(H9700="EO",5.2,IF(H9700="EQ",3.9,IF(H9700="ILF",7.5,IF(H9700="EIF",5.4)))))))</f>
        <v/>
      </c>
      <c r="M9700" s="112" t="str">
        <f t="shared" si="154"/>
        <v/>
      </c>
      <c r="N9700" s="113"/>
    </row>
    <row r="9701" spans="2:14">
      <c r="B9701" s="105"/>
      <c r="C9701" s="106"/>
      <c r="D9701" s="107"/>
      <c r="E9701" s="65"/>
      <c r="F9701" s="64"/>
      <c r="G9701" s="64"/>
      <c r="H9701" s="64"/>
      <c r="I9701" s="70"/>
      <c r="J9701" s="70"/>
      <c r="K9701" s="110" t="str">
        <f>IF(H9701="","",IF($C$29="간이법","",FPR(H9701,I9701,J9701)))</f>
        <v/>
      </c>
      <c r="L9701" s="111" t="str">
        <f>IF(H9701="","",IF($C$29="상세법",FPV(H9701,K9701),IF(H9701="EI",4,IF(H9701="EO",5.2,IF(H9701="EQ",3.9,IF(H9701="ILF",7.5,IF(H9701="EIF",5.4)))))))</f>
        <v/>
      </c>
      <c r="M9701" s="112" t="str">
        <f t="shared" si="154"/>
        <v/>
      </c>
      <c r="N9701" s="113"/>
    </row>
    <row r="9702" spans="2:14">
      <c r="B9702" s="105"/>
      <c r="C9702" s="106"/>
      <c r="D9702" s="107"/>
      <c r="E9702" s="65"/>
      <c r="F9702" s="64"/>
      <c r="G9702" s="64"/>
      <c r="H9702" s="64"/>
      <c r="I9702" s="70"/>
      <c r="J9702" s="70"/>
      <c r="K9702" s="110" t="str">
        <f>IF(H9702="","",IF($C$29="간이법","",FPR(H9702,I9702,J9702)))</f>
        <v/>
      </c>
      <c r="L9702" s="111" t="str">
        <f>IF(H9702="","",IF($C$29="상세법",FPV(H9702,K9702),IF(H9702="EI",4,IF(H9702="EO",5.2,IF(H9702="EQ",3.9,IF(H9702="ILF",7.5,IF(H9702="EIF",5.4)))))))</f>
        <v/>
      </c>
      <c r="M9702" s="112" t="str">
        <f t="shared" si="154"/>
        <v/>
      </c>
      <c r="N9702" s="113"/>
    </row>
    <row r="9703" spans="2:14">
      <c r="B9703" s="105"/>
      <c r="C9703" s="106"/>
      <c r="D9703" s="107"/>
      <c r="E9703" s="65"/>
      <c r="F9703" s="64"/>
      <c r="G9703" s="64"/>
      <c r="H9703" s="64"/>
      <c r="I9703" s="70"/>
      <c r="J9703" s="70"/>
      <c r="K9703" s="110" t="str">
        <f>IF(H9703="","",IF($C$29="간이법","",FPR(H9703,I9703,J9703)))</f>
        <v/>
      </c>
      <c r="L9703" s="111" t="str">
        <f>IF(H9703="","",IF($C$29="상세법",FPV(H9703,K9703),IF(H9703="EI",4,IF(H9703="EO",5.2,IF(H9703="EQ",3.9,IF(H9703="ILF",7.5,IF(H9703="EIF",5.4)))))))</f>
        <v/>
      </c>
      <c r="M9703" s="112" t="str">
        <f t="shared" si="154"/>
        <v/>
      </c>
      <c r="N9703" s="113"/>
    </row>
    <row r="9704" spans="2:14">
      <c r="B9704" s="105"/>
      <c r="C9704" s="106"/>
      <c r="D9704" s="107"/>
      <c r="E9704" s="65"/>
      <c r="F9704" s="64"/>
      <c r="G9704" s="64"/>
      <c r="H9704" s="64"/>
      <c r="I9704" s="70"/>
      <c r="J9704" s="70"/>
      <c r="K9704" s="110" t="str">
        <f>IF(H9704="","",IF($C$29="간이법","",FPR(H9704,I9704,J9704)))</f>
        <v/>
      </c>
      <c r="L9704" s="111" t="str">
        <f>IF(H9704="","",IF($C$29="상세법",FPV(H9704,K9704),IF(H9704="EI",4,IF(H9704="EO",5.2,IF(H9704="EQ",3.9,IF(H9704="ILF",7.5,IF(H9704="EIF",5.4)))))))</f>
        <v/>
      </c>
      <c r="M9704" s="112" t="str">
        <f t="shared" si="154"/>
        <v/>
      </c>
      <c r="N9704" s="113"/>
    </row>
    <row r="9705" spans="2:14">
      <c r="B9705" s="105"/>
      <c r="C9705" s="106"/>
      <c r="D9705" s="107"/>
      <c r="E9705" s="65"/>
      <c r="F9705" s="64"/>
      <c r="G9705" s="64"/>
      <c r="H9705" s="64"/>
      <c r="I9705" s="70"/>
      <c r="J9705" s="70"/>
      <c r="K9705" s="110" t="str">
        <f>IF(H9705="","",IF($C$29="간이법","",FPR(H9705,I9705,J9705)))</f>
        <v/>
      </c>
      <c r="L9705" s="111" t="str">
        <f>IF(H9705="","",IF($C$29="상세법",FPV(H9705,K9705),IF(H9705="EI",4,IF(H9705="EO",5.2,IF(H9705="EQ",3.9,IF(H9705="ILF",7.5,IF(H9705="EIF",5.4)))))))</f>
        <v/>
      </c>
      <c r="M9705" s="112" t="str">
        <f t="shared" si="154"/>
        <v/>
      </c>
      <c r="N9705" s="113"/>
    </row>
    <row r="9706" spans="2:14">
      <c r="B9706" s="105"/>
      <c r="C9706" s="106"/>
      <c r="D9706" s="107"/>
      <c r="E9706" s="65"/>
      <c r="F9706" s="64"/>
      <c r="G9706" s="64"/>
      <c r="H9706" s="64"/>
      <c r="I9706" s="70"/>
      <c r="J9706" s="70"/>
      <c r="K9706" s="110" t="str">
        <f>IF(H9706="","",IF($C$29="간이법","",FPR(H9706,I9706,J9706)))</f>
        <v/>
      </c>
      <c r="L9706" s="111" t="str">
        <f>IF(H9706="","",IF($C$29="상세법",FPV(H9706,K9706),IF(H9706="EI",4,IF(H9706="EO",5.2,IF(H9706="EQ",3.9,IF(H9706="ILF",7.5,IF(H9706="EIF",5.4)))))))</f>
        <v/>
      </c>
      <c r="M9706" s="112" t="str">
        <f t="shared" si="154"/>
        <v/>
      </c>
      <c r="N9706" s="113"/>
    </row>
    <row r="9707" spans="2:14">
      <c r="B9707" s="105"/>
      <c r="C9707" s="106"/>
      <c r="D9707" s="107"/>
      <c r="E9707" s="65"/>
      <c r="F9707" s="64"/>
      <c r="G9707" s="64"/>
      <c r="H9707" s="64"/>
      <c r="I9707" s="70"/>
      <c r="J9707" s="70"/>
      <c r="K9707" s="110" t="str">
        <f>IF(H9707="","",IF($C$29="간이법","",FPR(H9707,I9707,J9707)))</f>
        <v/>
      </c>
      <c r="L9707" s="111" t="str">
        <f>IF(H9707="","",IF($C$29="상세법",FPV(H9707,K9707),IF(H9707="EI",4,IF(H9707="EO",5.2,IF(H9707="EQ",3.9,IF(H9707="ILF",7.5,IF(H9707="EIF",5.4)))))))</f>
        <v/>
      </c>
      <c r="M9707" s="112" t="str">
        <f t="shared" si="154"/>
        <v/>
      </c>
      <c r="N9707" s="113"/>
    </row>
    <row r="9708" spans="2:14">
      <c r="B9708" s="105"/>
      <c r="C9708" s="106"/>
      <c r="D9708" s="107"/>
      <c r="E9708" s="65"/>
      <c r="F9708" s="64"/>
      <c r="G9708" s="64"/>
      <c r="H9708" s="64"/>
      <c r="I9708" s="70"/>
      <c r="J9708" s="70"/>
      <c r="K9708" s="110" t="str">
        <f>IF(H9708="","",IF($C$29="간이법","",FPR(H9708,I9708,J9708)))</f>
        <v/>
      </c>
      <c r="L9708" s="111" t="str">
        <f>IF(H9708="","",IF($C$29="상세법",FPV(H9708,K9708),IF(H9708="EI",4,IF(H9708="EO",5.2,IF(H9708="EQ",3.9,IF(H9708="ILF",7.5,IF(H9708="EIF",5.4)))))))</f>
        <v/>
      </c>
      <c r="M9708" s="112" t="str">
        <f t="shared" si="154"/>
        <v/>
      </c>
      <c r="N9708" s="113"/>
    </row>
    <row r="9709" spans="2:14">
      <c r="B9709" s="105"/>
      <c r="C9709" s="106"/>
      <c r="D9709" s="107"/>
      <c r="E9709" s="65"/>
      <c r="F9709" s="64"/>
      <c r="G9709" s="64"/>
      <c r="H9709" s="64"/>
      <c r="I9709" s="70"/>
      <c r="J9709" s="70"/>
      <c r="K9709" s="110" t="str">
        <f>IF(H9709="","",IF($C$29="간이법","",FPR(H9709,I9709,J9709)))</f>
        <v/>
      </c>
      <c r="L9709" s="111" t="str">
        <f>IF(H9709="","",IF($C$29="상세법",FPV(H9709,K9709),IF(H9709="EI",4,IF(H9709="EO",5.2,IF(H9709="EQ",3.9,IF(H9709="ILF",7.5,IF(H9709="EIF",5.4)))))))</f>
        <v/>
      </c>
      <c r="M9709" s="112" t="str">
        <f t="shared" si="154"/>
        <v/>
      </c>
      <c r="N9709" s="113"/>
    </row>
    <row r="9710" spans="2:14">
      <c r="B9710" s="105"/>
      <c r="C9710" s="106"/>
      <c r="D9710" s="107"/>
      <c r="E9710" s="65"/>
      <c r="F9710" s="64"/>
      <c r="G9710" s="64"/>
      <c r="H9710" s="64"/>
      <c r="I9710" s="70"/>
      <c r="J9710" s="70"/>
      <c r="K9710" s="110" t="str">
        <f>IF(H9710="","",IF($C$29="간이법","",FPR(H9710,I9710,J9710)))</f>
        <v/>
      </c>
      <c r="L9710" s="111" t="str">
        <f>IF(H9710="","",IF($C$29="상세법",FPV(H9710,K9710),IF(H9710="EI",4,IF(H9710="EO",5.2,IF(H9710="EQ",3.9,IF(H9710="ILF",7.5,IF(H9710="EIF",5.4)))))))</f>
        <v/>
      </c>
      <c r="M9710" s="112" t="str">
        <f t="shared" si="154"/>
        <v/>
      </c>
      <c r="N9710" s="113"/>
    </row>
    <row r="9711" spans="2:14">
      <c r="B9711" s="105"/>
      <c r="C9711" s="106"/>
      <c r="D9711" s="107"/>
      <c r="E9711" s="65"/>
      <c r="F9711" s="64"/>
      <c r="G9711" s="64"/>
      <c r="H9711" s="64"/>
      <c r="I9711" s="70"/>
      <c r="J9711" s="70"/>
      <c r="K9711" s="110" t="str">
        <f>IF(H9711="","",IF($C$29="간이법","",FPR(H9711,I9711,J9711)))</f>
        <v/>
      </c>
      <c r="L9711" s="111" t="str">
        <f>IF(H9711="","",IF($C$29="상세법",FPV(H9711,K9711),IF(H9711="EI",4,IF(H9711="EO",5.2,IF(H9711="EQ",3.9,IF(H9711="ILF",7.5,IF(H9711="EIF",5.4)))))))</f>
        <v/>
      </c>
      <c r="M9711" s="112" t="str">
        <f t="shared" si="154"/>
        <v/>
      </c>
      <c r="N9711" s="113"/>
    </row>
    <row r="9712" spans="2:14">
      <c r="B9712" s="105"/>
      <c r="C9712" s="106"/>
      <c r="D9712" s="107"/>
      <c r="E9712" s="65"/>
      <c r="F9712" s="64"/>
      <c r="G9712" s="64"/>
      <c r="H9712" s="64"/>
      <c r="I9712" s="70"/>
      <c r="J9712" s="70"/>
      <c r="K9712" s="110" t="str">
        <f>IF(H9712="","",IF($C$29="간이법","",FPR(H9712,I9712,J9712)))</f>
        <v/>
      </c>
      <c r="L9712" s="111" t="str">
        <f>IF(H9712="","",IF($C$29="상세법",FPV(H9712,K9712),IF(H9712="EI",4,IF(H9712="EO",5.2,IF(H9712="EQ",3.9,IF(H9712="ILF",7.5,IF(H9712="EIF",5.4)))))))</f>
        <v/>
      </c>
      <c r="M9712" s="112" t="str">
        <f t="shared" si="154"/>
        <v/>
      </c>
      <c r="N9712" s="113"/>
    </row>
    <row r="9713" spans="2:14">
      <c r="B9713" s="105"/>
      <c r="C9713" s="106"/>
      <c r="D9713" s="107"/>
      <c r="E9713" s="65"/>
      <c r="F9713" s="64"/>
      <c r="G9713" s="64"/>
      <c r="H9713" s="64"/>
      <c r="I9713" s="70"/>
      <c r="J9713" s="70"/>
      <c r="K9713" s="110" t="str">
        <f>IF(H9713="","",IF($C$29="간이법","",FPR(H9713,I9713,J9713)))</f>
        <v/>
      </c>
      <c r="L9713" s="111" t="str">
        <f>IF(H9713="","",IF($C$29="상세법",FPV(H9713,K9713),IF(H9713="EI",4,IF(H9713="EO",5.2,IF(H9713="EQ",3.9,IF(H9713="ILF",7.5,IF(H9713="EIF",5.4)))))))</f>
        <v/>
      </c>
      <c r="M9713" s="112" t="str">
        <f t="shared" si="154"/>
        <v/>
      </c>
      <c r="N9713" s="113"/>
    </row>
    <row r="9714" spans="2:14">
      <c r="B9714" s="105"/>
      <c r="C9714" s="106"/>
      <c r="D9714" s="107"/>
      <c r="E9714" s="65"/>
      <c r="F9714" s="64"/>
      <c r="G9714" s="64"/>
      <c r="H9714" s="64"/>
      <c r="I9714" s="70"/>
      <c r="J9714" s="70"/>
      <c r="K9714" s="110" t="str">
        <f>IF(H9714="","",IF($C$29="간이법","",FPR(H9714,I9714,J9714)))</f>
        <v/>
      </c>
      <c r="L9714" s="111" t="str">
        <f>IF(H9714="","",IF($C$29="상세법",FPV(H9714,K9714),IF(H9714="EI",4,IF(H9714="EO",5.2,IF(H9714="EQ",3.9,IF(H9714="ILF",7.5,IF(H9714="EIF",5.4)))))))</f>
        <v/>
      </c>
      <c r="M9714" s="112" t="str">
        <f t="shared" si="154"/>
        <v/>
      </c>
      <c r="N9714" s="113"/>
    </row>
    <row r="9715" spans="2:14">
      <c r="B9715" s="105"/>
      <c r="C9715" s="106"/>
      <c r="D9715" s="107"/>
      <c r="E9715" s="65"/>
      <c r="F9715" s="64"/>
      <c r="G9715" s="64"/>
      <c r="H9715" s="64"/>
      <c r="I9715" s="70"/>
      <c r="J9715" s="70"/>
      <c r="K9715" s="110" t="str">
        <f>IF(H9715="","",IF($C$29="간이법","",FPR(H9715,I9715,J9715)))</f>
        <v/>
      </c>
      <c r="L9715" s="111" t="str">
        <f>IF(H9715="","",IF($C$29="상세법",FPV(H9715,K9715),IF(H9715="EI",4,IF(H9715="EO",5.2,IF(H9715="EQ",3.9,IF(H9715="ILF",7.5,IF(H9715="EIF",5.4)))))))</f>
        <v/>
      </c>
      <c r="M9715" s="112" t="str">
        <f t="shared" si="154"/>
        <v/>
      </c>
      <c r="N9715" s="113"/>
    </row>
    <row r="9716" spans="2:14">
      <c r="B9716" s="105"/>
      <c r="C9716" s="106"/>
      <c r="D9716" s="107"/>
      <c r="E9716" s="65"/>
      <c r="F9716" s="64"/>
      <c r="G9716" s="64"/>
      <c r="H9716" s="64"/>
      <c r="I9716" s="70"/>
      <c r="J9716" s="70"/>
      <c r="K9716" s="110" t="str">
        <f>IF(H9716="","",IF($C$29="간이법","",FPR(H9716,I9716,J9716)))</f>
        <v/>
      </c>
      <c r="L9716" s="111" t="str">
        <f>IF(H9716="","",IF($C$29="상세법",FPV(H9716,K9716),IF(H9716="EI",4,IF(H9716="EO",5.2,IF(H9716="EQ",3.9,IF(H9716="ILF",7.5,IF(H9716="EIF",5.4)))))))</f>
        <v/>
      </c>
      <c r="M9716" s="112" t="str">
        <f t="shared" si="154"/>
        <v/>
      </c>
      <c r="N9716" s="113"/>
    </row>
    <row r="9717" spans="2:14">
      <c r="B9717" s="105"/>
      <c r="C9717" s="106"/>
      <c r="D9717" s="107"/>
      <c r="E9717" s="65"/>
      <c r="F9717" s="64"/>
      <c r="G9717" s="64"/>
      <c r="H9717" s="64"/>
      <c r="I9717" s="70"/>
      <c r="J9717" s="70"/>
      <c r="K9717" s="110" t="str">
        <f>IF(H9717="","",IF($C$29="간이법","",FPR(H9717,I9717,J9717)))</f>
        <v/>
      </c>
      <c r="L9717" s="111" t="str">
        <f>IF(H9717="","",IF($C$29="상세법",FPV(H9717,K9717),IF(H9717="EI",4,IF(H9717="EO",5.2,IF(H9717="EQ",3.9,IF(H9717="ILF",7.5,IF(H9717="EIF",5.4)))))))</f>
        <v/>
      </c>
      <c r="M9717" s="112" t="str">
        <f t="shared" si="154"/>
        <v/>
      </c>
      <c r="N9717" s="113"/>
    </row>
    <row r="9718" spans="2:14">
      <c r="B9718" s="105"/>
      <c r="C9718" s="106"/>
      <c r="D9718" s="107"/>
      <c r="E9718" s="65"/>
      <c r="F9718" s="64"/>
      <c r="G9718" s="64"/>
      <c r="H9718" s="64"/>
      <c r="I9718" s="70"/>
      <c r="J9718" s="70"/>
      <c r="K9718" s="110" t="str">
        <f>IF(H9718="","",IF($C$29="간이법","",FPR(H9718,I9718,J9718)))</f>
        <v/>
      </c>
      <c r="L9718" s="111" t="str">
        <f>IF(H9718="","",IF($C$29="상세법",FPV(H9718,K9718),IF(H9718="EI",4,IF(H9718="EO",5.2,IF(H9718="EQ",3.9,IF(H9718="ILF",7.5,IF(H9718="EIF",5.4)))))))</f>
        <v/>
      </c>
      <c r="M9718" s="112" t="str">
        <f t="shared" si="154"/>
        <v/>
      </c>
      <c r="N9718" s="113"/>
    </row>
    <row r="9719" spans="2:14">
      <c r="B9719" s="105"/>
      <c r="C9719" s="106"/>
      <c r="D9719" s="107"/>
      <c r="E9719" s="65"/>
      <c r="F9719" s="64"/>
      <c r="G9719" s="64"/>
      <c r="H9719" s="64"/>
      <c r="I9719" s="70"/>
      <c r="J9719" s="70"/>
      <c r="K9719" s="110" t="str">
        <f>IF(H9719="","",IF($C$29="간이법","",FPR(H9719,I9719,J9719)))</f>
        <v/>
      </c>
      <c r="L9719" s="111" t="str">
        <f>IF(H9719="","",IF($C$29="상세법",FPV(H9719,K9719),IF(H9719="EI",4,IF(H9719="EO",5.2,IF(H9719="EQ",3.9,IF(H9719="ILF",7.5,IF(H9719="EIF",5.4)))))))</f>
        <v/>
      </c>
      <c r="M9719" s="112" t="str">
        <f t="shared" si="154"/>
        <v/>
      </c>
      <c r="N9719" s="113"/>
    </row>
    <row r="9720" spans="2:14">
      <c r="B9720" s="105"/>
      <c r="C9720" s="106"/>
      <c r="D9720" s="107"/>
      <c r="E9720" s="65"/>
      <c r="F9720" s="64"/>
      <c r="G9720" s="64"/>
      <c r="H9720" s="64"/>
      <c r="I9720" s="70"/>
      <c r="J9720" s="70"/>
      <c r="K9720" s="110" t="str">
        <f>IF(H9720="","",IF($C$29="간이법","",FPR(H9720,I9720,J9720)))</f>
        <v/>
      </c>
      <c r="L9720" s="111" t="str">
        <f>IF(H9720="","",IF($C$29="상세법",FPV(H9720,K9720),IF(H9720="EI",4,IF(H9720="EO",5.2,IF(H9720="EQ",3.9,IF(H9720="ILF",7.5,IF(H9720="EIF",5.4)))))))</f>
        <v/>
      </c>
      <c r="M9720" s="112" t="str">
        <f t="shared" si="154"/>
        <v/>
      </c>
      <c r="N9720" s="113"/>
    </row>
    <row r="9721" spans="2:14">
      <c r="B9721" s="105"/>
      <c r="C9721" s="106"/>
      <c r="D9721" s="107"/>
      <c r="E9721" s="65"/>
      <c r="F9721" s="64"/>
      <c r="G9721" s="64"/>
      <c r="H9721" s="64"/>
      <c r="I9721" s="70"/>
      <c r="J9721" s="70"/>
      <c r="K9721" s="110" t="str">
        <f>IF(H9721="","",IF($C$29="간이법","",FPR(H9721,I9721,J9721)))</f>
        <v/>
      </c>
      <c r="L9721" s="111" t="str">
        <f>IF(H9721="","",IF($C$29="상세법",FPV(H9721,K9721),IF(H9721="EI",4,IF(H9721="EO",5.2,IF(H9721="EQ",3.9,IF(H9721="ILF",7.5,IF(H9721="EIF",5.4)))))))</f>
        <v/>
      </c>
      <c r="M9721" s="112" t="str">
        <f t="shared" ref="M9721:M9784" si="155">IF(L9721="","",L9721*IF(G9721="상",0.7,IF(G9721="중",0.5,IF(G9721="하",0.2,1))))</f>
        <v/>
      </c>
      <c r="N9721" s="113"/>
    </row>
    <row r="9722" spans="2:14">
      <c r="B9722" s="105"/>
      <c r="C9722" s="106"/>
      <c r="D9722" s="107"/>
      <c r="E9722" s="65"/>
      <c r="F9722" s="64"/>
      <c r="G9722" s="64"/>
      <c r="H9722" s="64"/>
      <c r="I9722" s="70"/>
      <c r="J9722" s="70"/>
      <c r="K9722" s="110" t="str">
        <f>IF(H9722="","",IF($C$29="간이법","",FPR(H9722,I9722,J9722)))</f>
        <v/>
      </c>
      <c r="L9722" s="111" t="str">
        <f>IF(H9722="","",IF($C$29="상세법",FPV(H9722,K9722),IF(H9722="EI",4,IF(H9722="EO",5.2,IF(H9722="EQ",3.9,IF(H9722="ILF",7.5,IF(H9722="EIF",5.4)))))))</f>
        <v/>
      </c>
      <c r="M9722" s="112" t="str">
        <f t="shared" si="155"/>
        <v/>
      </c>
      <c r="N9722" s="113"/>
    </row>
    <row r="9723" spans="2:14">
      <c r="B9723" s="105"/>
      <c r="C9723" s="106"/>
      <c r="D9723" s="107"/>
      <c r="E9723" s="65"/>
      <c r="F9723" s="64"/>
      <c r="G9723" s="64"/>
      <c r="H9723" s="64"/>
      <c r="I9723" s="70"/>
      <c r="J9723" s="70"/>
      <c r="K9723" s="110" t="str">
        <f>IF(H9723="","",IF($C$29="간이법","",FPR(H9723,I9723,J9723)))</f>
        <v/>
      </c>
      <c r="L9723" s="111" t="str">
        <f>IF(H9723="","",IF($C$29="상세법",FPV(H9723,K9723),IF(H9723="EI",4,IF(H9723="EO",5.2,IF(H9723="EQ",3.9,IF(H9723="ILF",7.5,IF(H9723="EIF",5.4)))))))</f>
        <v/>
      </c>
      <c r="M9723" s="112" t="str">
        <f t="shared" si="155"/>
        <v/>
      </c>
      <c r="N9723" s="113"/>
    </row>
    <row r="9724" spans="2:14">
      <c r="B9724" s="105"/>
      <c r="C9724" s="106"/>
      <c r="D9724" s="107"/>
      <c r="E9724" s="65"/>
      <c r="F9724" s="64"/>
      <c r="G9724" s="64"/>
      <c r="H9724" s="64"/>
      <c r="I9724" s="70"/>
      <c r="J9724" s="70"/>
      <c r="K9724" s="110" t="str">
        <f>IF(H9724="","",IF($C$29="간이법","",FPR(H9724,I9724,J9724)))</f>
        <v/>
      </c>
      <c r="L9724" s="111" t="str">
        <f>IF(H9724="","",IF($C$29="상세법",FPV(H9724,K9724),IF(H9724="EI",4,IF(H9724="EO",5.2,IF(H9724="EQ",3.9,IF(H9724="ILF",7.5,IF(H9724="EIF",5.4)))))))</f>
        <v/>
      </c>
      <c r="M9724" s="112" t="str">
        <f t="shared" si="155"/>
        <v/>
      </c>
      <c r="N9724" s="113"/>
    </row>
    <row r="9725" spans="2:14">
      <c r="B9725" s="105"/>
      <c r="C9725" s="106"/>
      <c r="D9725" s="107"/>
      <c r="E9725" s="65"/>
      <c r="F9725" s="64"/>
      <c r="G9725" s="64"/>
      <c r="H9725" s="64"/>
      <c r="I9725" s="70"/>
      <c r="J9725" s="70"/>
      <c r="K9725" s="110" t="str">
        <f>IF(H9725="","",IF($C$29="간이법","",FPR(H9725,I9725,J9725)))</f>
        <v/>
      </c>
      <c r="L9725" s="111" t="str">
        <f>IF(H9725="","",IF($C$29="상세법",FPV(H9725,K9725),IF(H9725="EI",4,IF(H9725="EO",5.2,IF(H9725="EQ",3.9,IF(H9725="ILF",7.5,IF(H9725="EIF",5.4)))))))</f>
        <v/>
      </c>
      <c r="M9725" s="112" t="str">
        <f t="shared" si="155"/>
        <v/>
      </c>
      <c r="N9725" s="113"/>
    </row>
    <row r="9726" spans="2:14">
      <c r="B9726" s="105"/>
      <c r="C9726" s="106"/>
      <c r="D9726" s="107"/>
      <c r="E9726" s="65"/>
      <c r="F9726" s="64"/>
      <c r="G9726" s="64"/>
      <c r="H9726" s="64"/>
      <c r="I9726" s="70"/>
      <c r="J9726" s="70"/>
      <c r="K9726" s="110" t="str">
        <f>IF(H9726="","",IF($C$29="간이법","",FPR(H9726,I9726,J9726)))</f>
        <v/>
      </c>
      <c r="L9726" s="111" t="str">
        <f>IF(H9726="","",IF($C$29="상세법",FPV(H9726,K9726),IF(H9726="EI",4,IF(H9726="EO",5.2,IF(H9726="EQ",3.9,IF(H9726="ILF",7.5,IF(H9726="EIF",5.4)))))))</f>
        <v/>
      </c>
      <c r="M9726" s="112" t="str">
        <f t="shared" si="155"/>
        <v/>
      </c>
      <c r="N9726" s="113"/>
    </row>
    <row r="9727" spans="2:14">
      <c r="B9727" s="105"/>
      <c r="C9727" s="106"/>
      <c r="D9727" s="107"/>
      <c r="E9727" s="65"/>
      <c r="F9727" s="64"/>
      <c r="G9727" s="64"/>
      <c r="H9727" s="64"/>
      <c r="I9727" s="70"/>
      <c r="J9727" s="70"/>
      <c r="K9727" s="110" t="str">
        <f>IF(H9727="","",IF($C$29="간이법","",FPR(H9727,I9727,J9727)))</f>
        <v/>
      </c>
      <c r="L9727" s="111" t="str">
        <f>IF(H9727="","",IF($C$29="상세법",FPV(H9727,K9727),IF(H9727="EI",4,IF(H9727="EO",5.2,IF(H9727="EQ",3.9,IF(H9727="ILF",7.5,IF(H9727="EIF",5.4)))))))</f>
        <v/>
      </c>
      <c r="M9727" s="112" t="str">
        <f t="shared" si="155"/>
        <v/>
      </c>
      <c r="N9727" s="113"/>
    </row>
    <row r="9728" spans="2:14">
      <c r="B9728" s="105"/>
      <c r="C9728" s="106"/>
      <c r="D9728" s="107"/>
      <c r="E9728" s="65"/>
      <c r="F9728" s="64"/>
      <c r="G9728" s="64"/>
      <c r="H9728" s="64"/>
      <c r="I9728" s="70"/>
      <c r="J9728" s="70"/>
      <c r="K9728" s="110" t="str">
        <f>IF(H9728="","",IF($C$29="간이법","",FPR(H9728,I9728,J9728)))</f>
        <v/>
      </c>
      <c r="L9728" s="111" t="str">
        <f>IF(H9728="","",IF($C$29="상세법",FPV(H9728,K9728),IF(H9728="EI",4,IF(H9728="EO",5.2,IF(H9728="EQ",3.9,IF(H9728="ILF",7.5,IF(H9728="EIF",5.4)))))))</f>
        <v/>
      </c>
      <c r="M9728" s="112" t="str">
        <f t="shared" si="155"/>
        <v/>
      </c>
      <c r="N9728" s="113"/>
    </row>
    <row r="9729" spans="2:14">
      <c r="B9729" s="105"/>
      <c r="C9729" s="106"/>
      <c r="D9729" s="107"/>
      <c r="E9729" s="65"/>
      <c r="F9729" s="64"/>
      <c r="G9729" s="64"/>
      <c r="H9729" s="64"/>
      <c r="I9729" s="70"/>
      <c r="J9729" s="70"/>
      <c r="K9729" s="110" t="str">
        <f>IF(H9729="","",IF($C$29="간이법","",FPR(H9729,I9729,J9729)))</f>
        <v/>
      </c>
      <c r="L9729" s="111" t="str">
        <f>IF(H9729="","",IF($C$29="상세법",FPV(H9729,K9729),IF(H9729="EI",4,IF(H9729="EO",5.2,IF(H9729="EQ",3.9,IF(H9729="ILF",7.5,IF(H9729="EIF",5.4)))))))</f>
        <v/>
      </c>
      <c r="M9729" s="112" t="str">
        <f t="shared" si="155"/>
        <v/>
      </c>
      <c r="N9729" s="113"/>
    </row>
    <row r="9730" spans="2:14">
      <c r="B9730" s="105"/>
      <c r="C9730" s="106"/>
      <c r="D9730" s="107"/>
      <c r="E9730" s="65"/>
      <c r="F9730" s="64"/>
      <c r="G9730" s="64"/>
      <c r="H9730" s="64"/>
      <c r="I9730" s="70"/>
      <c r="J9730" s="70"/>
      <c r="K9730" s="110" t="str">
        <f>IF(H9730="","",IF($C$29="간이법","",FPR(H9730,I9730,J9730)))</f>
        <v/>
      </c>
      <c r="L9730" s="111" t="str">
        <f>IF(H9730="","",IF($C$29="상세법",FPV(H9730,K9730),IF(H9730="EI",4,IF(H9730="EO",5.2,IF(H9730="EQ",3.9,IF(H9730="ILF",7.5,IF(H9730="EIF",5.4)))))))</f>
        <v/>
      </c>
      <c r="M9730" s="112" t="str">
        <f t="shared" si="155"/>
        <v/>
      </c>
      <c r="N9730" s="113"/>
    </row>
    <row r="9731" spans="2:14">
      <c r="B9731" s="105"/>
      <c r="C9731" s="106"/>
      <c r="D9731" s="107"/>
      <c r="E9731" s="65"/>
      <c r="F9731" s="64"/>
      <c r="G9731" s="64"/>
      <c r="H9731" s="64"/>
      <c r="I9731" s="70"/>
      <c r="J9731" s="70"/>
      <c r="K9731" s="110" t="str">
        <f>IF(H9731="","",IF($C$29="간이법","",FPR(H9731,I9731,J9731)))</f>
        <v/>
      </c>
      <c r="L9731" s="111" t="str">
        <f>IF(H9731="","",IF($C$29="상세법",FPV(H9731,K9731),IF(H9731="EI",4,IF(H9731="EO",5.2,IF(H9731="EQ",3.9,IF(H9731="ILF",7.5,IF(H9731="EIF",5.4)))))))</f>
        <v/>
      </c>
      <c r="M9731" s="112" t="str">
        <f t="shared" si="155"/>
        <v/>
      </c>
      <c r="N9731" s="113"/>
    </row>
    <row r="9732" spans="2:14">
      <c r="B9732" s="105"/>
      <c r="C9732" s="106"/>
      <c r="D9732" s="107"/>
      <c r="E9732" s="65"/>
      <c r="F9732" s="64"/>
      <c r="G9732" s="64"/>
      <c r="H9732" s="64"/>
      <c r="I9732" s="70"/>
      <c r="J9732" s="70"/>
      <c r="K9732" s="110" t="str">
        <f>IF(H9732="","",IF($C$29="간이법","",FPR(H9732,I9732,J9732)))</f>
        <v/>
      </c>
      <c r="L9732" s="111" t="str">
        <f>IF(H9732="","",IF($C$29="상세법",FPV(H9732,K9732),IF(H9732="EI",4,IF(H9732="EO",5.2,IF(H9732="EQ",3.9,IF(H9732="ILF",7.5,IF(H9732="EIF",5.4)))))))</f>
        <v/>
      </c>
      <c r="M9732" s="112" t="str">
        <f t="shared" si="155"/>
        <v/>
      </c>
      <c r="N9732" s="113"/>
    </row>
    <row r="9733" spans="2:14">
      <c r="B9733" s="105"/>
      <c r="C9733" s="106"/>
      <c r="D9733" s="107"/>
      <c r="E9733" s="65"/>
      <c r="F9733" s="64"/>
      <c r="G9733" s="64"/>
      <c r="H9733" s="64"/>
      <c r="I9733" s="70"/>
      <c r="J9733" s="70"/>
      <c r="K9733" s="110" t="str">
        <f>IF(H9733="","",IF($C$29="간이법","",FPR(H9733,I9733,J9733)))</f>
        <v/>
      </c>
      <c r="L9733" s="111" t="str">
        <f>IF(H9733="","",IF($C$29="상세법",FPV(H9733,K9733),IF(H9733="EI",4,IF(H9733="EO",5.2,IF(H9733="EQ",3.9,IF(H9733="ILF",7.5,IF(H9733="EIF",5.4)))))))</f>
        <v/>
      </c>
      <c r="M9733" s="112" t="str">
        <f t="shared" si="155"/>
        <v/>
      </c>
      <c r="N9733" s="113"/>
    </row>
    <row r="9734" spans="2:14">
      <c r="B9734" s="105"/>
      <c r="C9734" s="106"/>
      <c r="D9734" s="107"/>
      <c r="E9734" s="65"/>
      <c r="F9734" s="64"/>
      <c r="G9734" s="64"/>
      <c r="H9734" s="64"/>
      <c r="I9734" s="70"/>
      <c r="J9734" s="70"/>
      <c r="K9734" s="110" t="str">
        <f>IF(H9734="","",IF($C$29="간이법","",FPR(H9734,I9734,J9734)))</f>
        <v/>
      </c>
      <c r="L9734" s="111" t="str">
        <f>IF(H9734="","",IF($C$29="상세법",FPV(H9734,K9734),IF(H9734="EI",4,IF(H9734="EO",5.2,IF(H9734="EQ",3.9,IF(H9734="ILF",7.5,IF(H9734="EIF",5.4)))))))</f>
        <v/>
      </c>
      <c r="M9734" s="112" t="str">
        <f t="shared" si="155"/>
        <v/>
      </c>
      <c r="N9734" s="113"/>
    </row>
    <row r="9735" spans="2:14">
      <c r="B9735" s="105"/>
      <c r="C9735" s="106"/>
      <c r="D9735" s="107"/>
      <c r="E9735" s="65"/>
      <c r="F9735" s="64"/>
      <c r="G9735" s="64"/>
      <c r="H9735" s="64"/>
      <c r="I9735" s="70"/>
      <c r="J9735" s="70"/>
      <c r="K9735" s="110" t="str">
        <f>IF(H9735="","",IF($C$29="간이법","",FPR(H9735,I9735,J9735)))</f>
        <v/>
      </c>
      <c r="L9735" s="111" t="str">
        <f>IF(H9735="","",IF($C$29="상세법",FPV(H9735,K9735),IF(H9735="EI",4,IF(H9735="EO",5.2,IF(H9735="EQ",3.9,IF(H9735="ILF",7.5,IF(H9735="EIF",5.4)))))))</f>
        <v/>
      </c>
      <c r="M9735" s="112" t="str">
        <f t="shared" si="155"/>
        <v/>
      </c>
      <c r="N9735" s="113"/>
    </row>
    <row r="9736" spans="2:14">
      <c r="B9736" s="105"/>
      <c r="C9736" s="106"/>
      <c r="D9736" s="107"/>
      <c r="E9736" s="65"/>
      <c r="F9736" s="64"/>
      <c r="G9736" s="64"/>
      <c r="H9736" s="64"/>
      <c r="I9736" s="70"/>
      <c r="J9736" s="70"/>
      <c r="K9736" s="110" t="str">
        <f>IF(H9736="","",IF($C$29="간이법","",FPR(H9736,I9736,J9736)))</f>
        <v/>
      </c>
      <c r="L9736" s="111" t="str">
        <f>IF(H9736="","",IF($C$29="상세법",FPV(H9736,K9736),IF(H9736="EI",4,IF(H9736="EO",5.2,IF(H9736="EQ",3.9,IF(H9736="ILF",7.5,IF(H9736="EIF",5.4)))))))</f>
        <v/>
      </c>
      <c r="M9736" s="112" t="str">
        <f t="shared" si="155"/>
        <v/>
      </c>
      <c r="N9736" s="113"/>
    </row>
    <row r="9737" spans="2:14">
      <c r="B9737" s="105"/>
      <c r="C9737" s="106"/>
      <c r="D9737" s="107"/>
      <c r="E9737" s="65"/>
      <c r="F9737" s="64"/>
      <c r="G9737" s="64"/>
      <c r="H9737" s="64"/>
      <c r="I9737" s="70"/>
      <c r="J9737" s="70"/>
      <c r="K9737" s="110" t="str">
        <f>IF(H9737="","",IF($C$29="간이법","",FPR(H9737,I9737,J9737)))</f>
        <v/>
      </c>
      <c r="L9737" s="111" t="str">
        <f>IF(H9737="","",IF($C$29="상세법",FPV(H9737,K9737),IF(H9737="EI",4,IF(H9737="EO",5.2,IF(H9737="EQ",3.9,IF(H9737="ILF",7.5,IF(H9737="EIF",5.4)))))))</f>
        <v/>
      </c>
      <c r="M9737" s="112" t="str">
        <f t="shared" si="155"/>
        <v/>
      </c>
      <c r="N9737" s="113"/>
    </row>
    <row r="9738" spans="2:14">
      <c r="B9738" s="105"/>
      <c r="C9738" s="106"/>
      <c r="D9738" s="107"/>
      <c r="E9738" s="65"/>
      <c r="F9738" s="64"/>
      <c r="G9738" s="64"/>
      <c r="H9738" s="64"/>
      <c r="I9738" s="70"/>
      <c r="J9738" s="70"/>
      <c r="K9738" s="110" t="str">
        <f>IF(H9738="","",IF($C$29="간이법","",FPR(H9738,I9738,J9738)))</f>
        <v/>
      </c>
      <c r="L9738" s="111" t="str">
        <f>IF(H9738="","",IF($C$29="상세법",FPV(H9738,K9738),IF(H9738="EI",4,IF(H9738="EO",5.2,IF(H9738="EQ",3.9,IF(H9738="ILF",7.5,IF(H9738="EIF",5.4)))))))</f>
        <v/>
      </c>
      <c r="M9738" s="112" t="str">
        <f t="shared" si="155"/>
        <v/>
      </c>
      <c r="N9738" s="113"/>
    </row>
    <row r="9739" spans="2:14">
      <c r="B9739" s="105"/>
      <c r="C9739" s="106"/>
      <c r="D9739" s="107"/>
      <c r="E9739" s="65"/>
      <c r="F9739" s="64"/>
      <c r="G9739" s="64"/>
      <c r="H9739" s="64"/>
      <c r="I9739" s="70"/>
      <c r="J9739" s="70"/>
      <c r="K9739" s="110" t="str">
        <f>IF(H9739="","",IF($C$29="간이법","",FPR(H9739,I9739,J9739)))</f>
        <v/>
      </c>
      <c r="L9739" s="111" t="str">
        <f>IF(H9739="","",IF($C$29="상세법",FPV(H9739,K9739),IF(H9739="EI",4,IF(H9739="EO",5.2,IF(H9739="EQ",3.9,IF(H9739="ILF",7.5,IF(H9739="EIF",5.4)))))))</f>
        <v/>
      </c>
      <c r="M9739" s="112" t="str">
        <f t="shared" si="155"/>
        <v/>
      </c>
      <c r="N9739" s="113"/>
    </row>
    <row r="9740" spans="2:14">
      <c r="B9740" s="105"/>
      <c r="C9740" s="106"/>
      <c r="D9740" s="107"/>
      <c r="E9740" s="65"/>
      <c r="F9740" s="64"/>
      <c r="G9740" s="64"/>
      <c r="H9740" s="64"/>
      <c r="I9740" s="70"/>
      <c r="J9740" s="70"/>
      <c r="K9740" s="110" t="str">
        <f>IF(H9740="","",IF($C$29="간이법","",FPR(H9740,I9740,J9740)))</f>
        <v/>
      </c>
      <c r="L9740" s="111" t="str">
        <f>IF(H9740="","",IF($C$29="상세법",FPV(H9740,K9740),IF(H9740="EI",4,IF(H9740="EO",5.2,IF(H9740="EQ",3.9,IF(H9740="ILF",7.5,IF(H9740="EIF",5.4)))))))</f>
        <v/>
      </c>
      <c r="M9740" s="112" t="str">
        <f t="shared" si="155"/>
        <v/>
      </c>
      <c r="N9740" s="113"/>
    </row>
    <row r="9741" spans="2:14">
      <c r="B9741" s="105"/>
      <c r="C9741" s="106"/>
      <c r="D9741" s="107"/>
      <c r="E9741" s="65"/>
      <c r="F9741" s="64"/>
      <c r="G9741" s="64"/>
      <c r="H9741" s="64"/>
      <c r="I9741" s="70"/>
      <c r="J9741" s="70"/>
      <c r="K9741" s="110" t="str">
        <f>IF(H9741="","",IF($C$29="간이법","",FPR(H9741,I9741,J9741)))</f>
        <v/>
      </c>
      <c r="L9741" s="111" t="str">
        <f>IF(H9741="","",IF($C$29="상세법",FPV(H9741,K9741),IF(H9741="EI",4,IF(H9741="EO",5.2,IF(H9741="EQ",3.9,IF(H9741="ILF",7.5,IF(H9741="EIF",5.4)))))))</f>
        <v/>
      </c>
      <c r="M9741" s="112" t="str">
        <f t="shared" si="155"/>
        <v/>
      </c>
      <c r="N9741" s="113"/>
    </row>
    <row r="9742" spans="2:14">
      <c r="B9742" s="105"/>
      <c r="C9742" s="106"/>
      <c r="D9742" s="107"/>
      <c r="E9742" s="65"/>
      <c r="F9742" s="64"/>
      <c r="G9742" s="64"/>
      <c r="H9742" s="64"/>
      <c r="I9742" s="70"/>
      <c r="J9742" s="70"/>
      <c r="K9742" s="110" t="str">
        <f>IF(H9742="","",IF($C$29="간이법","",FPR(H9742,I9742,J9742)))</f>
        <v/>
      </c>
      <c r="L9742" s="111" t="str">
        <f>IF(H9742="","",IF($C$29="상세법",FPV(H9742,K9742),IF(H9742="EI",4,IF(H9742="EO",5.2,IF(H9742="EQ",3.9,IF(H9742="ILF",7.5,IF(H9742="EIF",5.4)))))))</f>
        <v/>
      </c>
      <c r="M9742" s="112" t="str">
        <f t="shared" si="155"/>
        <v/>
      </c>
      <c r="N9742" s="113"/>
    </row>
    <row r="9743" spans="2:14">
      <c r="B9743" s="105"/>
      <c r="C9743" s="106"/>
      <c r="D9743" s="107"/>
      <c r="E9743" s="65"/>
      <c r="F9743" s="64"/>
      <c r="G9743" s="64"/>
      <c r="H9743" s="64"/>
      <c r="I9743" s="70"/>
      <c r="J9743" s="70"/>
      <c r="K9743" s="110" t="str">
        <f>IF(H9743="","",IF($C$29="간이법","",FPR(H9743,I9743,J9743)))</f>
        <v/>
      </c>
      <c r="L9743" s="111" t="str">
        <f>IF(H9743="","",IF($C$29="상세법",FPV(H9743,K9743),IF(H9743="EI",4,IF(H9743="EO",5.2,IF(H9743="EQ",3.9,IF(H9743="ILF",7.5,IF(H9743="EIF",5.4)))))))</f>
        <v/>
      </c>
      <c r="M9743" s="112" t="str">
        <f t="shared" si="155"/>
        <v/>
      </c>
      <c r="N9743" s="113"/>
    </row>
    <row r="9744" spans="2:14">
      <c r="B9744" s="105"/>
      <c r="C9744" s="106"/>
      <c r="D9744" s="107"/>
      <c r="E9744" s="65"/>
      <c r="F9744" s="64"/>
      <c r="G9744" s="64"/>
      <c r="H9744" s="64"/>
      <c r="I9744" s="70"/>
      <c r="J9744" s="70"/>
      <c r="K9744" s="110" t="str">
        <f>IF(H9744="","",IF($C$29="간이법","",FPR(H9744,I9744,J9744)))</f>
        <v/>
      </c>
      <c r="L9744" s="111" t="str">
        <f>IF(H9744="","",IF($C$29="상세법",FPV(H9744,K9744),IF(H9744="EI",4,IF(H9744="EO",5.2,IF(H9744="EQ",3.9,IF(H9744="ILF",7.5,IF(H9744="EIF",5.4)))))))</f>
        <v/>
      </c>
      <c r="M9744" s="112" t="str">
        <f t="shared" si="155"/>
        <v/>
      </c>
      <c r="N9744" s="113"/>
    </row>
    <row r="9745" spans="2:14">
      <c r="B9745" s="105"/>
      <c r="C9745" s="106"/>
      <c r="D9745" s="107"/>
      <c r="E9745" s="65"/>
      <c r="F9745" s="64"/>
      <c r="G9745" s="64"/>
      <c r="H9745" s="64"/>
      <c r="I9745" s="70"/>
      <c r="J9745" s="70"/>
      <c r="K9745" s="110" t="str">
        <f>IF(H9745="","",IF($C$29="간이법","",FPR(H9745,I9745,J9745)))</f>
        <v/>
      </c>
      <c r="L9745" s="111" t="str">
        <f>IF(H9745="","",IF($C$29="상세법",FPV(H9745,K9745),IF(H9745="EI",4,IF(H9745="EO",5.2,IF(H9745="EQ",3.9,IF(H9745="ILF",7.5,IF(H9745="EIF",5.4)))))))</f>
        <v/>
      </c>
      <c r="M9745" s="112" t="str">
        <f t="shared" si="155"/>
        <v/>
      </c>
      <c r="N9745" s="113"/>
    </row>
    <row r="9746" spans="2:14">
      <c r="B9746" s="105"/>
      <c r="C9746" s="106"/>
      <c r="D9746" s="107"/>
      <c r="E9746" s="65"/>
      <c r="F9746" s="64"/>
      <c r="G9746" s="64"/>
      <c r="H9746" s="64"/>
      <c r="I9746" s="70"/>
      <c r="J9746" s="70"/>
      <c r="K9746" s="110" t="str">
        <f>IF(H9746="","",IF($C$29="간이법","",FPR(H9746,I9746,J9746)))</f>
        <v/>
      </c>
      <c r="L9746" s="111" t="str">
        <f>IF(H9746="","",IF($C$29="상세법",FPV(H9746,K9746),IF(H9746="EI",4,IF(H9746="EO",5.2,IF(H9746="EQ",3.9,IF(H9746="ILF",7.5,IF(H9746="EIF",5.4)))))))</f>
        <v/>
      </c>
      <c r="M9746" s="112" t="str">
        <f t="shared" si="155"/>
        <v/>
      </c>
      <c r="N9746" s="113"/>
    </row>
    <row r="9747" spans="2:14">
      <c r="B9747" s="105"/>
      <c r="C9747" s="106"/>
      <c r="D9747" s="107"/>
      <c r="E9747" s="65"/>
      <c r="F9747" s="64"/>
      <c r="G9747" s="64"/>
      <c r="H9747" s="64"/>
      <c r="I9747" s="70"/>
      <c r="J9747" s="70"/>
      <c r="K9747" s="110" t="str">
        <f>IF(H9747="","",IF($C$29="간이법","",FPR(H9747,I9747,J9747)))</f>
        <v/>
      </c>
      <c r="L9747" s="111" t="str">
        <f>IF(H9747="","",IF($C$29="상세법",FPV(H9747,K9747),IF(H9747="EI",4,IF(H9747="EO",5.2,IF(H9747="EQ",3.9,IF(H9747="ILF",7.5,IF(H9747="EIF",5.4)))))))</f>
        <v/>
      </c>
      <c r="M9747" s="112" t="str">
        <f t="shared" si="155"/>
        <v/>
      </c>
      <c r="N9747" s="113"/>
    </row>
    <row r="9748" spans="2:14">
      <c r="B9748" s="105"/>
      <c r="C9748" s="106"/>
      <c r="D9748" s="107"/>
      <c r="E9748" s="65"/>
      <c r="F9748" s="64"/>
      <c r="G9748" s="64"/>
      <c r="H9748" s="64"/>
      <c r="I9748" s="70"/>
      <c r="J9748" s="70"/>
      <c r="K9748" s="110" t="str">
        <f>IF(H9748="","",IF($C$29="간이법","",FPR(H9748,I9748,J9748)))</f>
        <v/>
      </c>
      <c r="L9748" s="111" t="str">
        <f>IF(H9748="","",IF($C$29="상세법",FPV(H9748,K9748),IF(H9748="EI",4,IF(H9748="EO",5.2,IF(H9748="EQ",3.9,IF(H9748="ILF",7.5,IF(H9748="EIF",5.4)))))))</f>
        <v/>
      </c>
      <c r="M9748" s="112" t="str">
        <f t="shared" si="155"/>
        <v/>
      </c>
      <c r="N9748" s="113"/>
    </row>
    <row r="9749" spans="2:14">
      <c r="B9749" s="105"/>
      <c r="C9749" s="106"/>
      <c r="D9749" s="107"/>
      <c r="E9749" s="65"/>
      <c r="F9749" s="64"/>
      <c r="G9749" s="64"/>
      <c r="H9749" s="64"/>
      <c r="I9749" s="70"/>
      <c r="J9749" s="70"/>
      <c r="K9749" s="110" t="str">
        <f>IF(H9749="","",IF($C$29="간이법","",FPR(H9749,I9749,J9749)))</f>
        <v/>
      </c>
      <c r="L9749" s="111" t="str">
        <f>IF(H9749="","",IF($C$29="상세법",FPV(H9749,K9749),IF(H9749="EI",4,IF(H9749="EO",5.2,IF(H9749="EQ",3.9,IF(H9749="ILF",7.5,IF(H9749="EIF",5.4)))))))</f>
        <v/>
      </c>
      <c r="M9749" s="112" t="str">
        <f t="shared" si="155"/>
        <v/>
      </c>
      <c r="N9749" s="113"/>
    </row>
    <row r="9750" spans="2:14">
      <c r="B9750" s="105"/>
      <c r="C9750" s="106"/>
      <c r="D9750" s="107"/>
      <c r="E9750" s="65"/>
      <c r="F9750" s="64"/>
      <c r="G9750" s="64"/>
      <c r="H9750" s="64"/>
      <c r="I9750" s="70"/>
      <c r="J9750" s="70"/>
      <c r="K9750" s="110" t="str">
        <f>IF(H9750="","",IF($C$29="간이법","",FPR(H9750,I9750,J9750)))</f>
        <v/>
      </c>
      <c r="L9750" s="111" t="str">
        <f>IF(H9750="","",IF($C$29="상세법",FPV(H9750,K9750),IF(H9750="EI",4,IF(H9750="EO",5.2,IF(H9750="EQ",3.9,IF(H9750="ILF",7.5,IF(H9750="EIF",5.4)))))))</f>
        <v/>
      </c>
      <c r="M9750" s="112" t="str">
        <f t="shared" si="155"/>
        <v/>
      </c>
      <c r="N9750" s="113"/>
    </row>
    <row r="9751" spans="2:14">
      <c r="B9751" s="105"/>
      <c r="C9751" s="106"/>
      <c r="D9751" s="107"/>
      <c r="E9751" s="65"/>
      <c r="F9751" s="64"/>
      <c r="G9751" s="64"/>
      <c r="H9751" s="64"/>
      <c r="I9751" s="70"/>
      <c r="J9751" s="70"/>
      <c r="K9751" s="110" t="str">
        <f>IF(H9751="","",IF($C$29="간이법","",FPR(H9751,I9751,J9751)))</f>
        <v/>
      </c>
      <c r="L9751" s="111" t="str">
        <f>IF(H9751="","",IF($C$29="상세법",FPV(H9751,K9751),IF(H9751="EI",4,IF(H9751="EO",5.2,IF(H9751="EQ",3.9,IF(H9751="ILF",7.5,IF(H9751="EIF",5.4)))))))</f>
        <v/>
      </c>
      <c r="M9751" s="112" t="str">
        <f t="shared" si="155"/>
        <v/>
      </c>
      <c r="N9751" s="113"/>
    </row>
    <row r="9752" spans="2:14">
      <c r="B9752" s="105"/>
      <c r="C9752" s="106"/>
      <c r="D9752" s="107"/>
      <c r="E9752" s="65"/>
      <c r="F9752" s="64"/>
      <c r="G9752" s="64"/>
      <c r="H9752" s="64"/>
      <c r="I9752" s="70"/>
      <c r="J9752" s="70"/>
      <c r="K9752" s="110" t="str">
        <f>IF(H9752="","",IF($C$29="간이법","",FPR(H9752,I9752,J9752)))</f>
        <v/>
      </c>
      <c r="L9752" s="111" t="str">
        <f>IF(H9752="","",IF($C$29="상세법",FPV(H9752,K9752),IF(H9752="EI",4,IF(H9752="EO",5.2,IF(H9752="EQ",3.9,IF(H9752="ILF",7.5,IF(H9752="EIF",5.4)))))))</f>
        <v/>
      </c>
      <c r="M9752" s="112" t="str">
        <f t="shared" si="155"/>
        <v/>
      </c>
      <c r="N9752" s="113"/>
    </row>
    <row r="9753" spans="2:14">
      <c r="B9753" s="105"/>
      <c r="C9753" s="106"/>
      <c r="D9753" s="107"/>
      <c r="E9753" s="65"/>
      <c r="F9753" s="64"/>
      <c r="G9753" s="64"/>
      <c r="H9753" s="64"/>
      <c r="I9753" s="70"/>
      <c r="J9753" s="70"/>
      <c r="K9753" s="110" t="str">
        <f>IF(H9753="","",IF($C$29="간이법","",FPR(H9753,I9753,J9753)))</f>
        <v/>
      </c>
      <c r="L9753" s="111" t="str">
        <f>IF(H9753="","",IF($C$29="상세법",FPV(H9753,K9753),IF(H9753="EI",4,IF(H9753="EO",5.2,IF(H9753="EQ",3.9,IF(H9753="ILF",7.5,IF(H9753="EIF",5.4)))))))</f>
        <v/>
      </c>
      <c r="M9753" s="112" t="str">
        <f t="shared" si="155"/>
        <v/>
      </c>
      <c r="N9753" s="113"/>
    </row>
    <row r="9754" spans="2:14">
      <c r="B9754" s="105"/>
      <c r="C9754" s="106"/>
      <c r="D9754" s="107"/>
      <c r="E9754" s="65"/>
      <c r="F9754" s="64"/>
      <c r="G9754" s="64"/>
      <c r="H9754" s="64"/>
      <c r="I9754" s="70"/>
      <c r="J9754" s="70"/>
      <c r="K9754" s="110" t="str">
        <f>IF(H9754="","",IF($C$29="간이법","",FPR(H9754,I9754,J9754)))</f>
        <v/>
      </c>
      <c r="L9754" s="111" t="str">
        <f>IF(H9754="","",IF($C$29="상세법",FPV(H9754,K9754),IF(H9754="EI",4,IF(H9754="EO",5.2,IF(H9754="EQ",3.9,IF(H9754="ILF",7.5,IF(H9754="EIF",5.4)))))))</f>
        <v/>
      </c>
      <c r="M9754" s="112" t="str">
        <f t="shared" si="155"/>
        <v/>
      </c>
      <c r="N9754" s="113"/>
    </row>
    <row r="9755" spans="2:14">
      <c r="B9755" s="105"/>
      <c r="C9755" s="106"/>
      <c r="D9755" s="107"/>
      <c r="E9755" s="65"/>
      <c r="F9755" s="64"/>
      <c r="G9755" s="64"/>
      <c r="H9755" s="64"/>
      <c r="I9755" s="70"/>
      <c r="J9755" s="70"/>
      <c r="K9755" s="110" t="str">
        <f>IF(H9755="","",IF($C$29="간이법","",FPR(H9755,I9755,J9755)))</f>
        <v/>
      </c>
      <c r="L9755" s="111" t="str">
        <f>IF(H9755="","",IF($C$29="상세법",FPV(H9755,K9755),IF(H9755="EI",4,IF(H9755="EO",5.2,IF(H9755="EQ",3.9,IF(H9755="ILF",7.5,IF(H9755="EIF",5.4)))))))</f>
        <v/>
      </c>
      <c r="M9755" s="112" t="str">
        <f t="shared" si="155"/>
        <v/>
      </c>
      <c r="N9755" s="113"/>
    </row>
    <row r="9756" spans="2:14">
      <c r="B9756" s="105"/>
      <c r="C9756" s="106"/>
      <c r="D9756" s="107"/>
      <c r="E9756" s="65"/>
      <c r="F9756" s="64"/>
      <c r="G9756" s="64"/>
      <c r="H9756" s="64"/>
      <c r="I9756" s="70"/>
      <c r="J9756" s="70"/>
      <c r="K9756" s="110" t="str">
        <f>IF(H9756="","",IF($C$29="간이법","",FPR(H9756,I9756,J9756)))</f>
        <v/>
      </c>
      <c r="L9756" s="111" t="str">
        <f>IF(H9756="","",IF($C$29="상세법",FPV(H9756,K9756),IF(H9756="EI",4,IF(H9756="EO",5.2,IF(H9756="EQ",3.9,IF(H9756="ILF",7.5,IF(H9756="EIF",5.4)))))))</f>
        <v/>
      </c>
      <c r="M9756" s="112" t="str">
        <f t="shared" si="155"/>
        <v/>
      </c>
      <c r="N9756" s="113"/>
    </row>
    <row r="9757" spans="2:14">
      <c r="B9757" s="105"/>
      <c r="C9757" s="106"/>
      <c r="D9757" s="107"/>
      <c r="E9757" s="65"/>
      <c r="F9757" s="64"/>
      <c r="G9757" s="64"/>
      <c r="H9757" s="64"/>
      <c r="I9757" s="70"/>
      <c r="J9757" s="70"/>
      <c r="K9757" s="110" t="str">
        <f>IF(H9757="","",IF($C$29="간이법","",FPR(H9757,I9757,J9757)))</f>
        <v/>
      </c>
      <c r="L9757" s="111" t="str">
        <f>IF(H9757="","",IF($C$29="상세법",FPV(H9757,K9757),IF(H9757="EI",4,IF(H9757="EO",5.2,IF(H9757="EQ",3.9,IF(H9757="ILF",7.5,IF(H9757="EIF",5.4)))))))</f>
        <v/>
      </c>
      <c r="M9757" s="112" t="str">
        <f t="shared" si="155"/>
        <v/>
      </c>
      <c r="N9757" s="113"/>
    </row>
    <row r="9758" spans="2:14">
      <c r="B9758" s="105"/>
      <c r="C9758" s="106"/>
      <c r="D9758" s="107"/>
      <c r="E9758" s="65"/>
      <c r="F9758" s="64"/>
      <c r="G9758" s="64"/>
      <c r="H9758" s="64"/>
      <c r="I9758" s="70"/>
      <c r="J9758" s="70"/>
      <c r="K9758" s="110" t="str">
        <f>IF(H9758="","",IF($C$29="간이법","",FPR(H9758,I9758,J9758)))</f>
        <v/>
      </c>
      <c r="L9758" s="111" t="str">
        <f>IF(H9758="","",IF($C$29="상세법",FPV(H9758,K9758),IF(H9758="EI",4,IF(H9758="EO",5.2,IF(H9758="EQ",3.9,IF(H9758="ILF",7.5,IF(H9758="EIF",5.4)))))))</f>
        <v/>
      </c>
      <c r="M9758" s="112" t="str">
        <f t="shared" si="155"/>
        <v/>
      </c>
      <c r="N9758" s="113"/>
    </row>
    <row r="9759" spans="2:14">
      <c r="B9759" s="105"/>
      <c r="C9759" s="106"/>
      <c r="D9759" s="107"/>
      <c r="E9759" s="65"/>
      <c r="F9759" s="64"/>
      <c r="G9759" s="64"/>
      <c r="H9759" s="64"/>
      <c r="I9759" s="70"/>
      <c r="J9759" s="70"/>
      <c r="K9759" s="110" t="str">
        <f>IF(H9759="","",IF($C$29="간이법","",FPR(H9759,I9759,J9759)))</f>
        <v/>
      </c>
      <c r="L9759" s="111" t="str">
        <f>IF(H9759="","",IF($C$29="상세법",FPV(H9759,K9759),IF(H9759="EI",4,IF(H9759="EO",5.2,IF(H9759="EQ",3.9,IF(H9759="ILF",7.5,IF(H9759="EIF",5.4)))))))</f>
        <v/>
      </c>
      <c r="M9759" s="112" t="str">
        <f t="shared" si="155"/>
        <v/>
      </c>
      <c r="N9759" s="113"/>
    </row>
    <row r="9760" spans="2:14">
      <c r="B9760" s="105"/>
      <c r="C9760" s="106"/>
      <c r="D9760" s="107"/>
      <c r="E9760" s="65"/>
      <c r="F9760" s="64"/>
      <c r="G9760" s="64"/>
      <c r="H9760" s="64"/>
      <c r="I9760" s="70"/>
      <c r="J9760" s="70"/>
      <c r="K9760" s="110" t="str">
        <f>IF(H9760="","",IF($C$29="간이법","",FPR(H9760,I9760,J9760)))</f>
        <v/>
      </c>
      <c r="L9760" s="111" t="str">
        <f>IF(H9760="","",IF($C$29="상세법",FPV(H9760,K9760),IF(H9760="EI",4,IF(H9760="EO",5.2,IF(H9760="EQ",3.9,IF(H9760="ILF",7.5,IF(H9760="EIF",5.4)))))))</f>
        <v/>
      </c>
      <c r="M9760" s="112" t="str">
        <f t="shared" si="155"/>
        <v/>
      </c>
      <c r="N9760" s="113"/>
    </row>
    <row r="9761" spans="2:14">
      <c r="B9761" s="105"/>
      <c r="C9761" s="106"/>
      <c r="D9761" s="107"/>
      <c r="E9761" s="65"/>
      <c r="F9761" s="64"/>
      <c r="G9761" s="64"/>
      <c r="H9761" s="64"/>
      <c r="I9761" s="70"/>
      <c r="J9761" s="70"/>
      <c r="K9761" s="110" t="str">
        <f>IF(H9761="","",IF($C$29="간이법","",FPR(H9761,I9761,J9761)))</f>
        <v/>
      </c>
      <c r="L9761" s="111" t="str">
        <f>IF(H9761="","",IF($C$29="상세법",FPV(H9761,K9761),IF(H9761="EI",4,IF(H9761="EO",5.2,IF(H9761="EQ",3.9,IF(H9761="ILF",7.5,IF(H9761="EIF",5.4)))))))</f>
        <v/>
      </c>
      <c r="M9761" s="112" t="str">
        <f t="shared" si="155"/>
        <v/>
      </c>
      <c r="N9761" s="113"/>
    </row>
    <row r="9762" spans="2:14">
      <c r="B9762" s="105"/>
      <c r="C9762" s="106"/>
      <c r="D9762" s="107"/>
      <c r="E9762" s="65"/>
      <c r="F9762" s="64"/>
      <c r="G9762" s="64"/>
      <c r="H9762" s="64"/>
      <c r="I9762" s="70"/>
      <c r="J9762" s="70"/>
      <c r="K9762" s="110" t="str">
        <f>IF(H9762="","",IF($C$29="간이법","",FPR(H9762,I9762,J9762)))</f>
        <v/>
      </c>
      <c r="L9762" s="111" t="str">
        <f>IF(H9762="","",IF($C$29="상세법",FPV(H9762,K9762),IF(H9762="EI",4,IF(H9762="EO",5.2,IF(H9762="EQ",3.9,IF(H9762="ILF",7.5,IF(H9762="EIF",5.4)))))))</f>
        <v/>
      </c>
      <c r="M9762" s="112" t="str">
        <f t="shared" si="155"/>
        <v/>
      </c>
      <c r="N9762" s="113"/>
    </row>
    <row r="9763" spans="2:14">
      <c r="B9763" s="105"/>
      <c r="C9763" s="106"/>
      <c r="D9763" s="107"/>
      <c r="E9763" s="65"/>
      <c r="F9763" s="64"/>
      <c r="G9763" s="64"/>
      <c r="H9763" s="64"/>
      <c r="I9763" s="70"/>
      <c r="J9763" s="70"/>
      <c r="K9763" s="110" t="str">
        <f>IF(H9763="","",IF($C$29="간이법","",FPR(H9763,I9763,J9763)))</f>
        <v/>
      </c>
      <c r="L9763" s="111" t="str">
        <f>IF(H9763="","",IF($C$29="상세법",FPV(H9763,K9763),IF(H9763="EI",4,IF(H9763="EO",5.2,IF(H9763="EQ",3.9,IF(H9763="ILF",7.5,IF(H9763="EIF",5.4)))))))</f>
        <v/>
      </c>
      <c r="M9763" s="112" t="str">
        <f t="shared" si="155"/>
        <v/>
      </c>
      <c r="N9763" s="113"/>
    </row>
    <row r="9764" spans="2:14">
      <c r="B9764" s="105"/>
      <c r="C9764" s="106"/>
      <c r="D9764" s="107"/>
      <c r="E9764" s="65"/>
      <c r="F9764" s="64"/>
      <c r="G9764" s="64"/>
      <c r="H9764" s="64"/>
      <c r="I9764" s="70"/>
      <c r="J9764" s="70"/>
      <c r="K9764" s="110" t="str">
        <f>IF(H9764="","",IF($C$29="간이법","",FPR(H9764,I9764,J9764)))</f>
        <v/>
      </c>
      <c r="L9764" s="111" t="str">
        <f>IF(H9764="","",IF($C$29="상세법",FPV(H9764,K9764),IF(H9764="EI",4,IF(H9764="EO",5.2,IF(H9764="EQ",3.9,IF(H9764="ILF",7.5,IF(H9764="EIF",5.4)))))))</f>
        <v/>
      </c>
      <c r="M9764" s="112" t="str">
        <f t="shared" si="155"/>
        <v/>
      </c>
      <c r="N9764" s="113"/>
    </row>
    <row r="9765" spans="2:14">
      <c r="B9765" s="105"/>
      <c r="C9765" s="106"/>
      <c r="D9765" s="107"/>
      <c r="E9765" s="65"/>
      <c r="F9765" s="64"/>
      <c r="G9765" s="64"/>
      <c r="H9765" s="64"/>
      <c r="I9765" s="70"/>
      <c r="J9765" s="70"/>
      <c r="K9765" s="110" t="str">
        <f>IF(H9765="","",IF($C$29="간이법","",FPR(H9765,I9765,J9765)))</f>
        <v/>
      </c>
      <c r="L9765" s="111" t="str">
        <f>IF(H9765="","",IF($C$29="상세법",FPV(H9765,K9765),IF(H9765="EI",4,IF(H9765="EO",5.2,IF(H9765="EQ",3.9,IF(H9765="ILF",7.5,IF(H9765="EIF",5.4)))))))</f>
        <v/>
      </c>
      <c r="M9765" s="112" t="str">
        <f t="shared" si="155"/>
        <v/>
      </c>
      <c r="N9765" s="113"/>
    </row>
    <row r="9766" spans="2:14">
      <c r="B9766" s="105"/>
      <c r="C9766" s="106"/>
      <c r="D9766" s="107"/>
      <c r="E9766" s="65"/>
      <c r="F9766" s="64"/>
      <c r="G9766" s="64"/>
      <c r="H9766" s="64"/>
      <c r="I9766" s="70"/>
      <c r="J9766" s="70"/>
      <c r="K9766" s="110" t="str">
        <f>IF(H9766="","",IF($C$29="간이법","",FPR(H9766,I9766,J9766)))</f>
        <v/>
      </c>
      <c r="L9766" s="111" t="str">
        <f>IF(H9766="","",IF($C$29="상세법",FPV(H9766,K9766),IF(H9766="EI",4,IF(H9766="EO",5.2,IF(H9766="EQ",3.9,IF(H9766="ILF",7.5,IF(H9766="EIF",5.4)))))))</f>
        <v/>
      </c>
      <c r="M9766" s="112" t="str">
        <f t="shared" si="155"/>
        <v/>
      </c>
      <c r="N9766" s="113"/>
    </row>
    <row r="9767" spans="2:14">
      <c r="B9767" s="105"/>
      <c r="C9767" s="106"/>
      <c r="D9767" s="107"/>
      <c r="E9767" s="65"/>
      <c r="F9767" s="64"/>
      <c r="G9767" s="64"/>
      <c r="H9767" s="64"/>
      <c r="I9767" s="70"/>
      <c r="J9767" s="70"/>
      <c r="K9767" s="110" t="str">
        <f>IF(H9767="","",IF($C$29="간이법","",FPR(H9767,I9767,J9767)))</f>
        <v/>
      </c>
      <c r="L9767" s="111" t="str">
        <f>IF(H9767="","",IF($C$29="상세법",FPV(H9767,K9767),IF(H9767="EI",4,IF(H9767="EO",5.2,IF(H9767="EQ",3.9,IF(H9767="ILF",7.5,IF(H9767="EIF",5.4)))))))</f>
        <v/>
      </c>
      <c r="M9767" s="112" t="str">
        <f t="shared" si="155"/>
        <v/>
      </c>
      <c r="N9767" s="113"/>
    </row>
    <row r="9768" spans="2:14">
      <c r="B9768" s="105"/>
      <c r="C9768" s="106"/>
      <c r="D9768" s="107"/>
      <c r="E9768" s="65"/>
      <c r="F9768" s="64"/>
      <c r="G9768" s="64"/>
      <c r="H9768" s="64"/>
      <c r="I9768" s="70"/>
      <c r="J9768" s="70"/>
      <c r="K9768" s="110" t="str">
        <f>IF(H9768="","",IF($C$29="간이법","",FPR(H9768,I9768,J9768)))</f>
        <v/>
      </c>
      <c r="L9768" s="111" t="str">
        <f>IF(H9768="","",IF($C$29="상세법",FPV(H9768,K9768),IF(H9768="EI",4,IF(H9768="EO",5.2,IF(H9768="EQ",3.9,IF(H9768="ILF",7.5,IF(H9768="EIF",5.4)))))))</f>
        <v/>
      </c>
      <c r="M9768" s="112" t="str">
        <f t="shared" si="155"/>
        <v/>
      </c>
      <c r="N9768" s="113"/>
    </row>
    <row r="9769" spans="2:14">
      <c r="B9769" s="105"/>
      <c r="C9769" s="106"/>
      <c r="D9769" s="107"/>
      <c r="E9769" s="65"/>
      <c r="F9769" s="64"/>
      <c r="G9769" s="64"/>
      <c r="H9769" s="64"/>
      <c r="I9769" s="70"/>
      <c r="J9769" s="70"/>
      <c r="K9769" s="110" t="str">
        <f>IF(H9769="","",IF($C$29="간이법","",FPR(H9769,I9769,J9769)))</f>
        <v/>
      </c>
      <c r="L9769" s="111" t="str">
        <f>IF(H9769="","",IF($C$29="상세법",FPV(H9769,K9769),IF(H9769="EI",4,IF(H9769="EO",5.2,IF(H9769="EQ",3.9,IF(H9769="ILF",7.5,IF(H9769="EIF",5.4)))))))</f>
        <v/>
      </c>
      <c r="M9769" s="112" t="str">
        <f t="shared" si="155"/>
        <v/>
      </c>
      <c r="N9769" s="113"/>
    </row>
    <row r="9770" spans="2:14">
      <c r="B9770" s="105"/>
      <c r="C9770" s="106"/>
      <c r="D9770" s="107"/>
      <c r="E9770" s="65"/>
      <c r="F9770" s="64"/>
      <c r="G9770" s="64"/>
      <c r="H9770" s="64"/>
      <c r="I9770" s="70"/>
      <c r="J9770" s="70"/>
      <c r="K9770" s="110" t="str">
        <f>IF(H9770="","",IF($C$29="간이법","",FPR(H9770,I9770,J9770)))</f>
        <v/>
      </c>
      <c r="L9770" s="111" t="str">
        <f>IF(H9770="","",IF($C$29="상세법",FPV(H9770,K9770),IF(H9770="EI",4,IF(H9770="EO",5.2,IF(H9770="EQ",3.9,IF(H9770="ILF",7.5,IF(H9770="EIF",5.4)))))))</f>
        <v/>
      </c>
      <c r="M9770" s="112" t="str">
        <f t="shared" si="155"/>
        <v/>
      </c>
      <c r="N9770" s="113"/>
    </row>
    <row r="9771" spans="2:14">
      <c r="B9771" s="105"/>
      <c r="C9771" s="106"/>
      <c r="D9771" s="107"/>
      <c r="E9771" s="65"/>
      <c r="F9771" s="64"/>
      <c r="G9771" s="64"/>
      <c r="H9771" s="64"/>
      <c r="I9771" s="70"/>
      <c r="J9771" s="70"/>
      <c r="K9771" s="110" t="str">
        <f>IF(H9771="","",IF($C$29="간이법","",FPR(H9771,I9771,J9771)))</f>
        <v/>
      </c>
      <c r="L9771" s="111" t="str">
        <f>IF(H9771="","",IF($C$29="상세법",FPV(H9771,K9771),IF(H9771="EI",4,IF(H9771="EO",5.2,IF(H9771="EQ",3.9,IF(H9771="ILF",7.5,IF(H9771="EIF",5.4)))))))</f>
        <v/>
      </c>
      <c r="M9771" s="112" t="str">
        <f t="shared" si="155"/>
        <v/>
      </c>
      <c r="N9771" s="113"/>
    </row>
    <row r="9772" spans="2:14">
      <c r="B9772" s="105"/>
      <c r="C9772" s="106"/>
      <c r="D9772" s="107"/>
      <c r="E9772" s="65"/>
      <c r="F9772" s="64"/>
      <c r="G9772" s="64"/>
      <c r="H9772" s="64"/>
      <c r="I9772" s="70"/>
      <c r="J9772" s="70"/>
      <c r="K9772" s="110" t="str">
        <f>IF(H9772="","",IF($C$29="간이법","",FPR(H9772,I9772,J9772)))</f>
        <v/>
      </c>
      <c r="L9772" s="111" t="str">
        <f>IF(H9772="","",IF($C$29="상세법",FPV(H9772,K9772),IF(H9772="EI",4,IF(H9772="EO",5.2,IF(H9772="EQ",3.9,IF(H9772="ILF",7.5,IF(H9772="EIF",5.4)))))))</f>
        <v/>
      </c>
      <c r="M9772" s="112" t="str">
        <f t="shared" si="155"/>
        <v/>
      </c>
      <c r="N9772" s="113"/>
    </row>
    <row r="9773" spans="2:14">
      <c r="B9773" s="105"/>
      <c r="C9773" s="106"/>
      <c r="D9773" s="107"/>
      <c r="E9773" s="65"/>
      <c r="F9773" s="64"/>
      <c r="G9773" s="64"/>
      <c r="H9773" s="64"/>
      <c r="I9773" s="70"/>
      <c r="J9773" s="70"/>
      <c r="K9773" s="110" t="str">
        <f>IF(H9773="","",IF($C$29="간이법","",FPR(H9773,I9773,J9773)))</f>
        <v/>
      </c>
      <c r="L9773" s="111" t="str">
        <f>IF(H9773="","",IF($C$29="상세법",FPV(H9773,K9773),IF(H9773="EI",4,IF(H9773="EO",5.2,IF(H9773="EQ",3.9,IF(H9773="ILF",7.5,IF(H9773="EIF",5.4)))))))</f>
        <v/>
      </c>
      <c r="M9773" s="112" t="str">
        <f t="shared" si="155"/>
        <v/>
      </c>
      <c r="N9773" s="113"/>
    </row>
    <row r="9774" spans="2:14">
      <c r="B9774" s="105"/>
      <c r="C9774" s="106"/>
      <c r="D9774" s="107"/>
      <c r="E9774" s="65"/>
      <c r="F9774" s="64"/>
      <c r="G9774" s="64"/>
      <c r="H9774" s="64"/>
      <c r="I9774" s="70"/>
      <c r="J9774" s="70"/>
      <c r="K9774" s="110" t="str">
        <f>IF(H9774="","",IF($C$29="간이법","",FPR(H9774,I9774,J9774)))</f>
        <v/>
      </c>
      <c r="L9774" s="111" t="str">
        <f>IF(H9774="","",IF($C$29="상세법",FPV(H9774,K9774),IF(H9774="EI",4,IF(H9774="EO",5.2,IF(H9774="EQ",3.9,IF(H9774="ILF",7.5,IF(H9774="EIF",5.4)))))))</f>
        <v/>
      </c>
      <c r="M9774" s="112" t="str">
        <f t="shared" si="155"/>
        <v/>
      </c>
      <c r="N9774" s="113"/>
    </row>
    <row r="9775" spans="2:14">
      <c r="B9775" s="105"/>
      <c r="C9775" s="106"/>
      <c r="D9775" s="107"/>
      <c r="E9775" s="65"/>
      <c r="F9775" s="64"/>
      <c r="G9775" s="64"/>
      <c r="H9775" s="64"/>
      <c r="I9775" s="70"/>
      <c r="J9775" s="70"/>
      <c r="K9775" s="110" t="str">
        <f>IF(H9775="","",IF($C$29="간이법","",FPR(H9775,I9775,J9775)))</f>
        <v/>
      </c>
      <c r="L9775" s="111" t="str">
        <f>IF(H9775="","",IF($C$29="상세법",FPV(H9775,K9775),IF(H9775="EI",4,IF(H9775="EO",5.2,IF(H9775="EQ",3.9,IF(H9775="ILF",7.5,IF(H9775="EIF",5.4)))))))</f>
        <v/>
      </c>
      <c r="M9775" s="112" t="str">
        <f t="shared" si="155"/>
        <v/>
      </c>
      <c r="N9775" s="113"/>
    </row>
    <row r="9776" spans="2:14">
      <c r="B9776" s="105"/>
      <c r="C9776" s="106"/>
      <c r="D9776" s="107"/>
      <c r="E9776" s="65"/>
      <c r="F9776" s="64"/>
      <c r="G9776" s="64"/>
      <c r="H9776" s="64"/>
      <c r="I9776" s="70"/>
      <c r="J9776" s="70"/>
      <c r="K9776" s="110" t="str">
        <f>IF(H9776="","",IF($C$29="간이법","",FPR(H9776,I9776,J9776)))</f>
        <v/>
      </c>
      <c r="L9776" s="111" t="str">
        <f>IF(H9776="","",IF($C$29="상세법",FPV(H9776,K9776),IF(H9776="EI",4,IF(H9776="EO",5.2,IF(H9776="EQ",3.9,IF(H9776="ILF",7.5,IF(H9776="EIF",5.4)))))))</f>
        <v/>
      </c>
      <c r="M9776" s="112" t="str">
        <f t="shared" si="155"/>
        <v/>
      </c>
      <c r="N9776" s="113"/>
    </row>
    <row r="9777" spans="2:14">
      <c r="B9777" s="105"/>
      <c r="C9777" s="106"/>
      <c r="D9777" s="107"/>
      <c r="E9777" s="65"/>
      <c r="F9777" s="64"/>
      <c r="G9777" s="64"/>
      <c r="H9777" s="64"/>
      <c r="I9777" s="70"/>
      <c r="J9777" s="70"/>
      <c r="K9777" s="110" t="str">
        <f>IF(H9777="","",IF($C$29="간이법","",FPR(H9777,I9777,J9777)))</f>
        <v/>
      </c>
      <c r="L9777" s="111" t="str">
        <f>IF(H9777="","",IF($C$29="상세법",FPV(H9777,K9777),IF(H9777="EI",4,IF(H9777="EO",5.2,IF(H9777="EQ",3.9,IF(H9777="ILF",7.5,IF(H9777="EIF",5.4)))))))</f>
        <v/>
      </c>
      <c r="M9777" s="112" t="str">
        <f t="shared" si="155"/>
        <v/>
      </c>
      <c r="N9777" s="113"/>
    </row>
    <row r="9778" spans="2:14">
      <c r="B9778" s="105"/>
      <c r="C9778" s="106"/>
      <c r="D9778" s="107"/>
      <c r="E9778" s="65"/>
      <c r="F9778" s="64"/>
      <c r="G9778" s="64"/>
      <c r="H9778" s="64"/>
      <c r="I9778" s="70"/>
      <c r="J9778" s="70"/>
      <c r="K9778" s="110" t="str">
        <f>IF(H9778="","",IF($C$29="간이법","",FPR(H9778,I9778,J9778)))</f>
        <v/>
      </c>
      <c r="L9778" s="111" t="str">
        <f>IF(H9778="","",IF($C$29="상세법",FPV(H9778,K9778),IF(H9778="EI",4,IF(H9778="EO",5.2,IF(H9778="EQ",3.9,IF(H9778="ILF",7.5,IF(H9778="EIF",5.4)))))))</f>
        <v/>
      </c>
      <c r="M9778" s="112" t="str">
        <f t="shared" si="155"/>
        <v/>
      </c>
      <c r="N9778" s="113"/>
    </row>
    <row r="9779" spans="2:14">
      <c r="B9779" s="105"/>
      <c r="C9779" s="106"/>
      <c r="D9779" s="107"/>
      <c r="E9779" s="65"/>
      <c r="F9779" s="64"/>
      <c r="G9779" s="64"/>
      <c r="H9779" s="64"/>
      <c r="I9779" s="70"/>
      <c r="J9779" s="70"/>
      <c r="K9779" s="110" t="str">
        <f>IF(H9779="","",IF($C$29="간이법","",FPR(H9779,I9779,J9779)))</f>
        <v/>
      </c>
      <c r="L9779" s="111" t="str">
        <f>IF(H9779="","",IF($C$29="상세법",FPV(H9779,K9779),IF(H9779="EI",4,IF(H9779="EO",5.2,IF(H9779="EQ",3.9,IF(H9779="ILF",7.5,IF(H9779="EIF",5.4)))))))</f>
        <v/>
      </c>
      <c r="M9779" s="112" t="str">
        <f t="shared" si="155"/>
        <v/>
      </c>
      <c r="N9779" s="113"/>
    </row>
    <row r="9780" spans="2:14">
      <c r="B9780" s="105"/>
      <c r="C9780" s="106"/>
      <c r="D9780" s="107"/>
      <c r="E9780" s="65"/>
      <c r="F9780" s="64"/>
      <c r="G9780" s="64"/>
      <c r="H9780" s="64"/>
      <c r="I9780" s="70"/>
      <c r="J9780" s="70"/>
      <c r="K9780" s="110" t="str">
        <f>IF(H9780="","",IF($C$29="간이법","",FPR(H9780,I9780,J9780)))</f>
        <v/>
      </c>
      <c r="L9780" s="111" t="str">
        <f>IF(H9780="","",IF($C$29="상세법",FPV(H9780,K9780),IF(H9780="EI",4,IF(H9780="EO",5.2,IF(H9780="EQ",3.9,IF(H9780="ILF",7.5,IF(H9780="EIF",5.4)))))))</f>
        <v/>
      </c>
      <c r="M9780" s="112" t="str">
        <f t="shared" si="155"/>
        <v/>
      </c>
      <c r="N9780" s="113"/>
    </row>
    <row r="9781" spans="2:14">
      <c r="B9781" s="105"/>
      <c r="C9781" s="106"/>
      <c r="D9781" s="107"/>
      <c r="E9781" s="65"/>
      <c r="F9781" s="64"/>
      <c r="G9781" s="64"/>
      <c r="H9781" s="64"/>
      <c r="I9781" s="70"/>
      <c r="J9781" s="70"/>
      <c r="K9781" s="110" t="str">
        <f>IF(H9781="","",IF($C$29="간이법","",FPR(H9781,I9781,J9781)))</f>
        <v/>
      </c>
      <c r="L9781" s="111" t="str">
        <f>IF(H9781="","",IF($C$29="상세법",FPV(H9781,K9781),IF(H9781="EI",4,IF(H9781="EO",5.2,IF(H9781="EQ",3.9,IF(H9781="ILF",7.5,IF(H9781="EIF",5.4)))))))</f>
        <v/>
      </c>
      <c r="M9781" s="112" t="str">
        <f t="shared" si="155"/>
        <v/>
      </c>
      <c r="N9781" s="113"/>
    </row>
    <row r="9782" spans="2:14">
      <c r="B9782" s="105"/>
      <c r="C9782" s="106"/>
      <c r="D9782" s="107"/>
      <c r="E9782" s="65"/>
      <c r="F9782" s="64"/>
      <c r="G9782" s="64"/>
      <c r="H9782" s="64"/>
      <c r="I9782" s="70"/>
      <c r="J9782" s="70"/>
      <c r="K9782" s="110" t="str">
        <f>IF(H9782="","",IF($C$29="간이법","",FPR(H9782,I9782,J9782)))</f>
        <v/>
      </c>
      <c r="L9782" s="111" t="str">
        <f>IF(H9782="","",IF($C$29="상세법",FPV(H9782,K9782),IF(H9782="EI",4,IF(H9782="EO",5.2,IF(H9782="EQ",3.9,IF(H9782="ILF",7.5,IF(H9782="EIF",5.4)))))))</f>
        <v/>
      </c>
      <c r="M9782" s="112" t="str">
        <f t="shared" si="155"/>
        <v/>
      </c>
      <c r="N9782" s="113"/>
    </row>
    <row r="9783" spans="2:14">
      <c r="B9783" s="105"/>
      <c r="C9783" s="106"/>
      <c r="D9783" s="107"/>
      <c r="E9783" s="65"/>
      <c r="F9783" s="64"/>
      <c r="G9783" s="64"/>
      <c r="H9783" s="64"/>
      <c r="I9783" s="70"/>
      <c r="J9783" s="70"/>
      <c r="K9783" s="110" t="str">
        <f>IF(H9783="","",IF($C$29="간이법","",FPR(H9783,I9783,J9783)))</f>
        <v/>
      </c>
      <c r="L9783" s="111" t="str">
        <f>IF(H9783="","",IF($C$29="상세법",FPV(H9783,K9783),IF(H9783="EI",4,IF(H9783="EO",5.2,IF(H9783="EQ",3.9,IF(H9783="ILF",7.5,IF(H9783="EIF",5.4)))))))</f>
        <v/>
      </c>
      <c r="M9783" s="112" t="str">
        <f t="shared" si="155"/>
        <v/>
      </c>
      <c r="N9783" s="113"/>
    </row>
    <row r="9784" spans="2:14">
      <c r="B9784" s="105"/>
      <c r="C9784" s="106"/>
      <c r="D9784" s="107"/>
      <c r="E9784" s="65"/>
      <c r="F9784" s="64"/>
      <c r="G9784" s="64"/>
      <c r="H9784" s="64"/>
      <c r="I9784" s="70"/>
      <c r="J9784" s="70"/>
      <c r="K9784" s="110" t="str">
        <f>IF(H9784="","",IF($C$29="간이법","",FPR(H9784,I9784,J9784)))</f>
        <v/>
      </c>
      <c r="L9784" s="111" t="str">
        <f>IF(H9784="","",IF($C$29="상세법",FPV(H9784,K9784),IF(H9784="EI",4,IF(H9784="EO",5.2,IF(H9784="EQ",3.9,IF(H9784="ILF",7.5,IF(H9784="EIF",5.4)))))))</f>
        <v/>
      </c>
      <c r="M9784" s="112" t="str">
        <f t="shared" si="155"/>
        <v/>
      </c>
      <c r="N9784" s="113"/>
    </row>
    <row r="9785" spans="2:14">
      <c r="B9785" s="105"/>
      <c r="C9785" s="106"/>
      <c r="D9785" s="107"/>
      <c r="E9785" s="65"/>
      <c r="F9785" s="64"/>
      <c r="G9785" s="64"/>
      <c r="H9785" s="64"/>
      <c r="I9785" s="70"/>
      <c r="J9785" s="70"/>
      <c r="K9785" s="110" t="str">
        <f>IF(H9785="","",IF($C$29="간이법","",FPR(H9785,I9785,J9785)))</f>
        <v/>
      </c>
      <c r="L9785" s="111" t="str">
        <f>IF(H9785="","",IF($C$29="상세법",FPV(H9785,K9785),IF(H9785="EI",4,IF(H9785="EO",5.2,IF(H9785="EQ",3.9,IF(H9785="ILF",7.5,IF(H9785="EIF",5.4)))))))</f>
        <v/>
      </c>
      <c r="M9785" s="112" t="str">
        <f t="shared" ref="M9785:M9848" si="156">IF(L9785="","",L9785*IF(G9785="상",0.7,IF(G9785="중",0.5,IF(G9785="하",0.2,1))))</f>
        <v/>
      </c>
      <c r="N9785" s="113"/>
    </row>
    <row r="9786" spans="2:14">
      <c r="B9786" s="105"/>
      <c r="C9786" s="106"/>
      <c r="D9786" s="107"/>
      <c r="E9786" s="65"/>
      <c r="F9786" s="64"/>
      <c r="G9786" s="64"/>
      <c r="H9786" s="64"/>
      <c r="I9786" s="70"/>
      <c r="J9786" s="70"/>
      <c r="K9786" s="110" t="str">
        <f>IF(H9786="","",IF($C$29="간이법","",FPR(H9786,I9786,J9786)))</f>
        <v/>
      </c>
      <c r="L9786" s="111" t="str">
        <f>IF(H9786="","",IF($C$29="상세법",FPV(H9786,K9786),IF(H9786="EI",4,IF(H9786="EO",5.2,IF(H9786="EQ",3.9,IF(H9786="ILF",7.5,IF(H9786="EIF",5.4)))))))</f>
        <v/>
      </c>
      <c r="M9786" s="112" t="str">
        <f t="shared" si="156"/>
        <v/>
      </c>
      <c r="N9786" s="113"/>
    </row>
    <row r="9787" spans="2:14">
      <c r="B9787" s="105"/>
      <c r="C9787" s="106"/>
      <c r="D9787" s="107"/>
      <c r="E9787" s="65"/>
      <c r="F9787" s="64"/>
      <c r="G9787" s="64"/>
      <c r="H9787" s="64"/>
      <c r="I9787" s="70"/>
      <c r="J9787" s="70"/>
      <c r="K9787" s="110" t="str">
        <f>IF(H9787="","",IF($C$29="간이법","",FPR(H9787,I9787,J9787)))</f>
        <v/>
      </c>
      <c r="L9787" s="111" t="str">
        <f>IF(H9787="","",IF($C$29="상세법",FPV(H9787,K9787),IF(H9787="EI",4,IF(H9787="EO",5.2,IF(H9787="EQ",3.9,IF(H9787="ILF",7.5,IF(H9787="EIF",5.4)))))))</f>
        <v/>
      </c>
      <c r="M9787" s="112" t="str">
        <f t="shared" si="156"/>
        <v/>
      </c>
      <c r="N9787" s="113"/>
    </row>
    <row r="9788" spans="2:14">
      <c r="B9788" s="105"/>
      <c r="C9788" s="106"/>
      <c r="D9788" s="107"/>
      <c r="E9788" s="65"/>
      <c r="F9788" s="64"/>
      <c r="G9788" s="64"/>
      <c r="H9788" s="64"/>
      <c r="I9788" s="70"/>
      <c r="J9788" s="70"/>
      <c r="K9788" s="110" t="str">
        <f>IF(H9788="","",IF($C$29="간이법","",FPR(H9788,I9788,J9788)))</f>
        <v/>
      </c>
      <c r="L9788" s="111" t="str">
        <f>IF(H9788="","",IF($C$29="상세법",FPV(H9788,K9788),IF(H9788="EI",4,IF(H9788="EO",5.2,IF(H9788="EQ",3.9,IF(H9788="ILF",7.5,IF(H9788="EIF",5.4)))))))</f>
        <v/>
      </c>
      <c r="M9788" s="112" t="str">
        <f t="shared" si="156"/>
        <v/>
      </c>
      <c r="N9788" s="113"/>
    </row>
    <row r="9789" spans="2:14">
      <c r="B9789" s="105"/>
      <c r="C9789" s="106"/>
      <c r="D9789" s="107"/>
      <c r="E9789" s="65"/>
      <c r="F9789" s="64"/>
      <c r="G9789" s="64"/>
      <c r="H9789" s="64"/>
      <c r="I9789" s="70"/>
      <c r="J9789" s="70"/>
      <c r="K9789" s="110" t="str">
        <f>IF(H9789="","",IF($C$29="간이법","",FPR(H9789,I9789,J9789)))</f>
        <v/>
      </c>
      <c r="L9789" s="111" t="str">
        <f>IF(H9789="","",IF($C$29="상세법",FPV(H9789,K9789),IF(H9789="EI",4,IF(H9789="EO",5.2,IF(H9789="EQ",3.9,IF(H9789="ILF",7.5,IF(H9789="EIF",5.4)))))))</f>
        <v/>
      </c>
      <c r="M9789" s="112" t="str">
        <f t="shared" si="156"/>
        <v/>
      </c>
      <c r="N9789" s="113"/>
    </row>
    <row r="9790" spans="2:14">
      <c r="B9790" s="105"/>
      <c r="C9790" s="106"/>
      <c r="D9790" s="107"/>
      <c r="E9790" s="65"/>
      <c r="F9790" s="64"/>
      <c r="G9790" s="64"/>
      <c r="H9790" s="64"/>
      <c r="I9790" s="70"/>
      <c r="J9790" s="70"/>
      <c r="K9790" s="110" t="str">
        <f>IF(H9790="","",IF($C$29="간이법","",FPR(H9790,I9790,J9790)))</f>
        <v/>
      </c>
      <c r="L9790" s="111" t="str">
        <f>IF(H9790="","",IF($C$29="상세법",FPV(H9790,K9790),IF(H9790="EI",4,IF(H9790="EO",5.2,IF(H9790="EQ",3.9,IF(H9790="ILF",7.5,IF(H9790="EIF",5.4)))))))</f>
        <v/>
      </c>
      <c r="M9790" s="112" t="str">
        <f t="shared" si="156"/>
        <v/>
      </c>
      <c r="N9790" s="113"/>
    </row>
    <row r="9791" spans="2:14">
      <c r="B9791" s="105"/>
      <c r="C9791" s="106"/>
      <c r="D9791" s="107"/>
      <c r="E9791" s="65"/>
      <c r="F9791" s="64"/>
      <c r="G9791" s="64"/>
      <c r="H9791" s="64"/>
      <c r="I9791" s="70"/>
      <c r="J9791" s="70"/>
      <c r="K9791" s="110" t="str">
        <f>IF(H9791="","",IF($C$29="간이법","",FPR(H9791,I9791,J9791)))</f>
        <v/>
      </c>
      <c r="L9791" s="111" t="str">
        <f>IF(H9791="","",IF($C$29="상세법",FPV(H9791,K9791),IF(H9791="EI",4,IF(H9791="EO",5.2,IF(H9791="EQ",3.9,IF(H9791="ILF",7.5,IF(H9791="EIF",5.4)))))))</f>
        <v/>
      </c>
      <c r="M9791" s="112" t="str">
        <f t="shared" si="156"/>
        <v/>
      </c>
      <c r="N9791" s="113"/>
    </row>
    <row r="9792" spans="2:14">
      <c r="B9792" s="105"/>
      <c r="C9792" s="106"/>
      <c r="D9792" s="107"/>
      <c r="E9792" s="65"/>
      <c r="F9792" s="64"/>
      <c r="G9792" s="64"/>
      <c r="H9792" s="64"/>
      <c r="I9792" s="70"/>
      <c r="J9792" s="70"/>
      <c r="K9792" s="110" t="str">
        <f>IF(H9792="","",IF($C$29="간이법","",FPR(H9792,I9792,J9792)))</f>
        <v/>
      </c>
      <c r="L9792" s="111" t="str">
        <f>IF(H9792="","",IF($C$29="상세법",FPV(H9792,K9792),IF(H9792="EI",4,IF(H9792="EO",5.2,IF(H9792="EQ",3.9,IF(H9792="ILF",7.5,IF(H9792="EIF",5.4)))))))</f>
        <v/>
      </c>
      <c r="M9792" s="112" t="str">
        <f t="shared" si="156"/>
        <v/>
      </c>
      <c r="N9792" s="113"/>
    </row>
    <row r="9793" spans="2:14">
      <c r="B9793" s="105"/>
      <c r="C9793" s="106"/>
      <c r="D9793" s="107"/>
      <c r="E9793" s="65"/>
      <c r="F9793" s="64"/>
      <c r="G9793" s="64"/>
      <c r="H9793" s="64"/>
      <c r="I9793" s="70"/>
      <c r="J9793" s="70"/>
      <c r="K9793" s="110" t="str">
        <f>IF(H9793="","",IF($C$29="간이법","",FPR(H9793,I9793,J9793)))</f>
        <v/>
      </c>
      <c r="L9793" s="111" t="str">
        <f>IF(H9793="","",IF($C$29="상세법",FPV(H9793,K9793),IF(H9793="EI",4,IF(H9793="EO",5.2,IF(H9793="EQ",3.9,IF(H9793="ILF",7.5,IF(H9793="EIF",5.4)))))))</f>
        <v/>
      </c>
      <c r="M9793" s="112" t="str">
        <f t="shared" si="156"/>
        <v/>
      </c>
      <c r="N9793" s="113"/>
    </row>
    <row r="9794" spans="2:14">
      <c r="B9794" s="105"/>
      <c r="C9794" s="106"/>
      <c r="D9794" s="107"/>
      <c r="E9794" s="65"/>
      <c r="F9794" s="64"/>
      <c r="G9794" s="64"/>
      <c r="H9794" s="64"/>
      <c r="I9794" s="70"/>
      <c r="J9794" s="70"/>
      <c r="K9794" s="110" t="str">
        <f>IF(H9794="","",IF($C$29="간이법","",FPR(H9794,I9794,J9794)))</f>
        <v/>
      </c>
      <c r="L9794" s="111" t="str">
        <f>IF(H9794="","",IF($C$29="상세법",FPV(H9794,K9794),IF(H9794="EI",4,IF(H9794="EO",5.2,IF(H9794="EQ",3.9,IF(H9794="ILF",7.5,IF(H9794="EIF",5.4)))))))</f>
        <v/>
      </c>
      <c r="M9794" s="112" t="str">
        <f t="shared" si="156"/>
        <v/>
      </c>
      <c r="N9794" s="113"/>
    </row>
    <row r="9795" spans="2:14">
      <c r="B9795" s="105"/>
      <c r="C9795" s="106"/>
      <c r="D9795" s="107"/>
      <c r="E9795" s="65"/>
      <c r="F9795" s="64"/>
      <c r="G9795" s="64"/>
      <c r="H9795" s="64"/>
      <c r="I9795" s="70"/>
      <c r="J9795" s="70"/>
      <c r="K9795" s="110" t="str">
        <f>IF(H9795="","",IF($C$29="간이법","",FPR(H9795,I9795,J9795)))</f>
        <v/>
      </c>
      <c r="L9795" s="111" t="str">
        <f>IF(H9795="","",IF($C$29="상세법",FPV(H9795,K9795),IF(H9795="EI",4,IF(H9795="EO",5.2,IF(H9795="EQ",3.9,IF(H9795="ILF",7.5,IF(H9795="EIF",5.4)))))))</f>
        <v/>
      </c>
      <c r="M9795" s="112" t="str">
        <f t="shared" si="156"/>
        <v/>
      </c>
      <c r="N9795" s="113"/>
    </row>
    <row r="9796" spans="2:14">
      <c r="B9796" s="105"/>
      <c r="C9796" s="106"/>
      <c r="D9796" s="107"/>
      <c r="E9796" s="65"/>
      <c r="F9796" s="64"/>
      <c r="G9796" s="64"/>
      <c r="H9796" s="64"/>
      <c r="I9796" s="70"/>
      <c r="J9796" s="70"/>
      <c r="K9796" s="110" t="str">
        <f>IF(H9796="","",IF($C$29="간이법","",FPR(H9796,I9796,J9796)))</f>
        <v/>
      </c>
      <c r="L9796" s="111" t="str">
        <f>IF(H9796="","",IF($C$29="상세법",FPV(H9796,K9796),IF(H9796="EI",4,IF(H9796="EO",5.2,IF(H9796="EQ",3.9,IF(H9796="ILF",7.5,IF(H9796="EIF",5.4)))))))</f>
        <v/>
      </c>
      <c r="M9796" s="112" t="str">
        <f t="shared" si="156"/>
        <v/>
      </c>
      <c r="N9796" s="113"/>
    </row>
    <row r="9797" spans="2:14">
      <c r="B9797" s="105"/>
      <c r="C9797" s="106"/>
      <c r="D9797" s="107"/>
      <c r="E9797" s="65"/>
      <c r="F9797" s="64"/>
      <c r="G9797" s="64"/>
      <c r="H9797" s="64"/>
      <c r="I9797" s="70"/>
      <c r="J9797" s="70"/>
      <c r="K9797" s="110" t="str">
        <f>IF(H9797="","",IF($C$29="간이법","",FPR(H9797,I9797,J9797)))</f>
        <v/>
      </c>
      <c r="L9797" s="111" t="str">
        <f>IF(H9797="","",IF($C$29="상세법",FPV(H9797,K9797),IF(H9797="EI",4,IF(H9797="EO",5.2,IF(H9797="EQ",3.9,IF(H9797="ILF",7.5,IF(H9797="EIF",5.4)))))))</f>
        <v/>
      </c>
      <c r="M9797" s="112" t="str">
        <f t="shared" si="156"/>
        <v/>
      </c>
      <c r="N9797" s="113"/>
    </row>
    <row r="9798" spans="2:14">
      <c r="B9798" s="105"/>
      <c r="C9798" s="106"/>
      <c r="D9798" s="107"/>
      <c r="E9798" s="65"/>
      <c r="F9798" s="64"/>
      <c r="G9798" s="64"/>
      <c r="H9798" s="64"/>
      <c r="I9798" s="70"/>
      <c r="J9798" s="70"/>
      <c r="K9798" s="110" t="str">
        <f>IF(H9798="","",IF($C$29="간이법","",FPR(H9798,I9798,J9798)))</f>
        <v/>
      </c>
      <c r="L9798" s="111" t="str">
        <f>IF(H9798="","",IF($C$29="상세법",FPV(H9798,K9798),IF(H9798="EI",4,IF(H9798="EO",5.2,IF(H9798="EQ",3.9,IF(H9798="ILF",7.5,IF(H9798="EIF",5.4)))))))</f>
        <v/>
      </c>
      <c r="M9798" s="112" t="str">
        <f t="shared" si="156"/>
        <v/>
      </c>
      <c r="N9798" s="113"/>
    </row>
    <row r="9799" spans="2:14">
      <c r="B9799" s="105"/>
      <c r="C9799" s="106"/>
      <c r="D9799" s="107"/>
      <c r="E9799" s="65"/>
      <c r="F9799" s="64"/>
      <c r="G9799" s="64"/>
      <c r="H9799" s="64"/>
      <c r="I9799" s="70"/>
      <c r="J9799" s="70"/>
      <c r="K9799" s="110" t="str">
        <f>IF(H9799="","",IF($C$29="간이법","",FPR(H9799,I9799,J9799)))</f>
        <v/>
      </c>
      <c r="L9799" s="111" t="str">
        <f>IF(H9799="","",IF($C$29="상세법",FPV(H9799,K9799),IF(H9799="EI",4,IF(H9799="EO",5.2,IF(H9799="EQ",3.9,IF(H9799="ILF",7.5,IF(H9799="EIF",5.4)))))))</f>
        <v/>
      </c>
      <c r="M9799" s="112" t="str">
        <f t="shared" si="156"/>
        <v/>
      </c>
      <c r="N9799" s="113"/>
    </row>
    <row r="9800" spans="2:14">
      <c r="B9800" s="105"/>
      <c r="C9800" s="106"/>
      <c r="D9800" s="107"/>
      <c r="E9800" s="65"/>
      <c r="F9800" s="64"/>
      <c r="G9800" s="64"/>
      <c r="H9800" s="64"/>
      <c r="I9800" s="70"/>
      <c r="J9800" s="70"/>
      <c r="K9800" s="110" t="str">
        <f>IF(H9800="","",IF($C$29="간이법","",FPR(H9800,I9800,J9800)))</f>
        <v/>
      </c>
      <c r="L9800" s="111" t="str">
        <f>IF(H9800="","",IF($C$29="상세법",FPV(H9800,K9800),IF(H9800="EI",4,IF(H9800="EO",5.2,IF(H9800="EQ",3.9,IF(H9800="ILF",7.5,IF(H9800="EIF",5.4)))))))</f>
        <v/>
      </c>
      <c r="M9800" s="112" t="str">
        <f t="shared" si="156"/>
        <v/>
      </c>
      <c r="N9800" s="113"/>
    </row>
    <row r="9801" spans="2:14">
      <c r="B9801" s="105"/>
      <c r="C9801" s="106"/>
      <c r="D9801" s="107"/>
      <c r="E9801" s="65"/>
      <c r="F9801" s="64"/>
      <c r="G9801" s="64"/>
      <c r="H9801" s="64"/>
      <c r="I9801" s="70"/>
      <c r="J9801" s="70"/>
      <c r="K9801" s="110" t="str">
        <f>IF(H9801="","",IF($C$29="간이법","",FPR(H9801,I9801,J9801)))</f>
        <v/>
      </c>
      <c r="L9801" s="111" t="str">
        <f>IF(H9801="","",IF($C$29="상세법",FPV(H9801,K9801),IF(H9801="EI",4,IF(H9801="EO",5.2,IF(H9801="EQ",3.9,IF(H9801="ILF",7.5,IF(H9801="EIF",5.4)))))))</f>
        <v/>
      </c>
      <c r="M9801" s="112" t="str">
        <f t="shared" si="156"/>
        <v/>
      </c>
      <c r="N9801" s="113"/>
    </row>
    <row r="9802" spans="2:14">
      <c r="B9802" s="105"/>
      <c r="C9802" s="106"/>
      <c r="D9802" s="107"/>
      <c r="E9802" s="65"/>
      <c r="F9802" s="64"/>
      <c r="G9802" s="64"/>
      <c r="H9802" s="64"/>
      <c r="I9802" s="70"/>
      <c r="J9802" s="70"/>
      <c r="K9802" s="110" t="str">
        <f>IF(H9802="","",IF($C$29="간이법","",FPR(H9802,I9802,J9802)))</f>
        <v/>
      </c>
      <c r="L9802" s="111" t="str">
        <f>IF(H9802="","",IF($C$29="상세법",FPV(H9802,K9802),IF(H9802="EI",4,IF(H9802="EO",5.2,IF(H9802="EQ",3.9,IF(H9802="ILF",7.5,IF(H9802="EIF",5.4)))))))</f>
        <v/>
      </c>
      <c r="M9802" s="112" t="str">
        <f t="shared" si="156"/>
        <v/>
      </c>
      <c r="N9802" s="113"/>
    </row>
    <row r="9803" spans="2:14">
      <c r="B9803" s="105"/>
      <c r="C9803" s="106"/>
      <c r="D9803" s="107"/>
      <c r="E9803" s="65"/>
      <c r="F9803" s="64"/>
      <c r="G9803" s="64"/>
      <c r="H9803" s="64"/>
      <c r="I9803" s="70"/>
      <c r="J9803" s="70"/>
      <c r="K9803" s="110" t="str">
        <f>IF(H9803="","",IF($C$29="간이법","",FPR(H9803,I9803,J9803)))</f>
        <v/>
      </c>
      <c r="L9803" s="111" t="str">
        <f>IF(H9803="","",IF($C$29="상세법",FPV(H9803,K9803),IF(H9803="EI",4,IF(H9803="EO",5.2,IF(H9803="EQ",3.9,IF(H9803="ILF",7.5,IF(H9803="EIF",5.4)))))))</f>
        <v/>
      </c>
      <c r="M9803" s="112" t="str">
        <f t="shared" si="156"/>
        <v/>
      </c>
      <c r="N9803" s="113"/>
    </row>
    <row r="9804" spans="2:14">
      <c r="B9804" s="105"/>
      <c r="C9804" s="106"/>
      <c r="D9804" s="107"/>
      <c r="E9804" s="65"/>
      <c r="F9804" s="64"/>
      <c r="G9804" s="64"/>
      <c r="H9804" s="64"/>
      <c r="I9804" s="70"/>
      <c r="J9804" s="70"/>
      <c r="K9804" s="110" t="str">
        <f>IF(H9804="","",IF($C$29="간이법","",FPR(H9804,I9804,J9804)))</f>
        <v/>
      </c>
      <c r="L9804" s="111" t="str">
        <f>IF(H9804="","",IF($C$29="상세법",FPV(H9804,K9804),IF(H9804="EI",4,IF(H9804="EO",5.2,IF(H9804="EQ",3.9,IF(H9804="ILF",7.5,IF(H9804="EIF",5.4)))))))</f>
        <v/>
      </c>
      <c r="M9804" s="112" t="str">
        <f t="shared" si="156"/>
        <v/>
      </c>
      <c r="N9804" s="113"/>
    </row>
    <row r="9805" spans="2:14">
      <c r="B9805" s="105"/>
      <c r="C9805" s="106"/>
      <c r="D9805" s="107"/>
      <c r="E9805" s="65"/>
      <c r="F9805" s="64"/>
      <c r="G9805" s="64"/>
      <c r="H9805" s="64"/>
      <c r="I9805" s="70"/>
      <c r="J9805" s="70"/>
      <c r="K9805" s="110" t="str">
        <f>IF(H9805="","",IF($C$29="간이법","",FPR(H9805,I9805,J9805)))</f>
        <v/>
      </c>
      <c r="L9805" s="111" t="str">
        <f>IF(H9805="","",IF($C$29="상세법",FPV(H9805,K9805),IF(H9805="EI",4,IF(H9805="EO",5.2,IF(H9805="EQ",3.9,IF(H9805="ILF",7.5,IF(H9805="EIF",5.4)))))))</f>
        <v/>
      </c>
      <c r="M9805" s="112" t="str">
        <f t="shared" si="156"/>
        <v/>
      </c>
      <c r="N9805" s="113"/>
    </row>
    <row r="9806" spans="2:14">
      <c r="B9806" s="105"/>
      <c r="C9806" s="106"/>
      <c r="D9806" s="107"/>
      <c r="E9806" s="65"/>
      <c r="F9806" s="64"/>
      <c r="G9806" s="64"/>
      <c r="H9806" s="64"/>
      <c r="I9806" s="70"/>
      <c r="J9806" s="70"/>
      <c r="K9806" s="110" t="str">
        <f>IF(H9806="","",IF($C$29="간이법","",FPR(H9806,I9806,J9806)))</f>
        <v/>
      </c>
      <c r="L9806" s="111" t="str">
        <f>IF(H9806="","",IF($C$29="상세법",FPV(H9806,K9806),IF(H9806="EI",4,IF(H9806="EO",5.2,IF(H9806="EQ",3.9,IF(H9806="ILF",7.5,IF(H9806="EIF",5.4)))))))</f>
        <v/>
      </c>
      <c r="M9806" s="112" t="str">
        <f t="shared" si="156"/>
        <v/>
      </c>
      <c r="N9806" s="113"/>
    </row>
    <row r="9807" spans="2:14">
      <c r="B9807" s="105"/>
      <c r="C9807" s="106"/>
      <c r="D9807" s="107"/>
      <c r="E9807" s="65"/>
      <c r="F9807" s="64"/>
      <c r="G9807" s="64"/>
      <c r="H9807" s="64"/>
      <c r="I9807" s="70"/>
      <c r="J9807" s="70"/>
      <c r="K9807" s="110" t="str">
        <f>IF(H9807="","",IF($C$29="간이법","",FPR(H9807,I9807,J9807)))</f>
        <v/>
      </c>
      <c r="L9807" s="111" t="str">
        <f>IF(H9807="","",IF($C$29="상세법",FPV(H9807,K9807),IF(H9807="EI",4,IF(H9807="EO",5.2,IF(H9807="EQ",3.9,IF(H9807="ILF",7.5,IF(H9807="EIF",5.4)))))))</f>
        <v/>
      </c>
      <c r="M9807" s="112" t="str">
        <f t="shared" si="156"/>
        <v/>
      </c>
      <c r="N9807" s="113"/>
    </row>
    <row r="9808" spans="2:14">
      <c r="B9808" s="105"/>
      <c r="C9808" s="106"/>
      <c r="D9808" s="107"/>
      <c r="E9808" s="65"/>
      <c r="F9808" s="64"/>
      <c r="G9808" s="64"/>
      <c r="H9808" s="64"/>
      <c r="I9808" s="70"/>
      <c r="J9808" s="70"/>
      <c r="K9808" s="110" t="str">
        <f>IF(H9808="","",IF($C$29="간이법","",FPR(H9808,I9808,J9808)))</f>
        <v/>
      </c>
      <c r="L9808" s="111" t="str">
        <f>IF(H9808="","",IF($C$29="상세법",FPV(H9808,K9808),IF(H9808="EI",4,IF(H9808="EO",5.2,IF(H9808="EQ",3.9,IF(H9808="ILF",7.5,IF(H9808="EIF",5.4)))))))</f>
        <v/>
      </c>
      <c r="M9808" s="112" t="str">
        <f t="shared" si="156"/>
        <v/>
      </c>
      <c r="N9808" s="113"/>
    </row>
    <row r="9809" spans="2:14">
      <c r="B9809" s="105"/>
      <c r="C9809" s="106"/>
      <c r="D9809" s="107"/>
      <c r="E9809" s="65"/>
      <c r="F9809" s="64"/>
      <c r="G9809" s="64"/>
      <c r="H9809" s="64"/>
      <c r="I9809" s="70"/>
      <c r="J9809" s="70"/>
      <c r="K9809" s="110" t="str">
        <f>IF(H9809="","",IF($C$29="간이법","",FPR(H9809,I9809,J9809)))</f>
        <v/>
      </c>
      <c r="L9809" s="111" t="str">
        <f>IF(H9809="","",IF($C$29="상세법",FPV(H9809,K9809),IF(H9809="EI",4,IF(H9809="EO",5.2,IF(H9809="EQ",3.9,IF(H9809="ILF",7.5,IF(H9809="EIF",5.4)))))))</f>
        <v/>
      </c>
      <c r="M9809" s="112" t="str">
        <f t="shared" si="156"/>
        <v/>
      </c>
      <c r="N9809" s="113"/>
    </row>
    <row r="9810" spans="2:14">
      <c r="B9810" s="105"/>
      <c r="C9810" s="106"/>
      <c r="D9810" s="107"/>
      <c r="E9810" s="65"/>
      <c r="F9810" s="64"/>
      <c r="G9810" s="64"/>
      <c r="H9810" s="64"/>
      <c r="I9810" s="70"/>
      <c r="J9810" s="70"/>
      <c r="K9810" s="110" t="str">
        <f>IF(H9810="","",IF($C$29="간이법","",FPR(H9810,I9810,J9810)))</f>
        <v/>
      </c>
      <c r="L9810" s="111" t="str">
        <f>IF(H9810="","",IF($C$29="상세법",FPV(H9810,K9810),IF(H9810="EI",4,IF(H9810="EO",5.2,IF(H9810="EQ",3.9,IF(H9810="ILF",7.5,IF(H9810="EIF",5.4)))))))</f>
        <v/>
      </c>
      <c r="M9810" s="112" t="str">
        <f t="shared" si="156"/>
        <v/>
      </c>
      <c r="N9810" s="113"/>
    </row>
    <row r="9811" spans="2:14">
      <c r="B9811" s="105"/>
      <c r="C9811" s="106"/>
      <c r="D9811" s="107"/>
      <c r="E9811" s="65"/>
      <c r="F9811" s="64"/>
      <c r="G9811" s="64"/>
      <c r="H9811" s="64"/>
      <c r="I9811" s="70"/>
      <c r="J9811" s="70"/>
      <c r="K9811" s="110" t="str">
        <f>IF(H9811="","",IF($C$29="간이법","",FPR(H9811,I9811,J9811)))</f>
        <v/>
      </c>
      <c r="L9811" s="111" t="str">
        <f>IF(H9811="","",IF($C$29="상세법",FPV(H9811,K9811),IF(H9811="EI",4,IF(H9811="EO",5.2,IF(H9811="EQ",3.9,IF(H9811="ILF",7.5,IF(H9811="EIF",5.4)))))))</f>
        <v/>
      </c>
      <c r="M9811" s="112" t="str">
        <f t="shared" si="156"/>
        <v/>
      </c>
      <c r="N9811" s="113"/>
    </row>
    <row r="9812" spans="2:14">
      <c r="B9812" s="105"/>
      <c r="C9812" s="106"/>
      <c r="D9812" s="107"/>
      <c r="E9812" s="65"/>
      <c r="F9812" s="64"/>
      <c r="G9812" s="64"/>
      <c r="H9812" s="64"/>
      <c r="I9812" s="70"/>
      <c r="J9812" s="70"/>
      <c r="K9812" s="110" t="str">
        <f>IF(H9812="","",IF($C$29="간이법","",FPR(H9812,I9812,J9812)))</f>
        <v/>
      </c>
      <c r="L9812" s="111" t="str">
        <f>IF(H9812="","",IF($C$29="상세법",FPV(H9812,K9812),IF(H9812="EI",4,IF(H9812="EO",5.2,IF(H9812="EQ",3.9,IF(H9812="ILF",7.5,IF(H9812="EIF",5.4)))))))</f>
        <v/>
      </c>
      <c r="M9812" s="112" t="str">
        <f t="shared" si="156"/>
        <v/>
      </c>
      <c r="N9812" s="113"/>
    </row>
    <row r="9813" spans="2:14">
      <c r="B9813" s="105"/>
      <c r="C9813" s="106"/>
      <c r="D9813" s="107"/>
      <c r="E9813" s="65"/>
      <c r="F9813" s="64"/>
      <c r="G9813" s="64"/>
      <c r="H9813" s="64"/>
      <c r="I9813" s="70"/>
      <c r="J9813" s="70"/>
      <c r="K9813" s="110" t="str">
        <f>IF(H9813="","",IF($C$29="간이법","",FPR(H9813,I9813,J9813)))</f>
        <v/>
      </c>
      <c r="L9813" s="111" t="str">
        <f>IF(H9813="","",IF($C$29="상세법",FPV(H9813,K9813),IF(H9813="EI",4,IF(H9813="EO",5.2,IF(H9813="EQ",3.9,IF(H9813="ILF",7.5,IF(H9813="EIF",5.4)))))))</f>
        <v/>
      </c>
      <c r="M9813" s="112" t="str">
        <f t="shared" si="156"/>
        <v/>
      </c>
      <c r="N9813" s="113"/>
    </row>
    <row r="9814" spans="2:14">
      <c r="B9814" s="105"/>
      <c r="C9814" s="106"/>
      <c r="D9814" s="107"/>
      <c r="E9814" s="65"/>
      <c r="F9814" s="64"/>
      <c r="G9814" s="64"/>
      <c r="H9814" s="64"/>
      <c r="I9814" s="70"/>
      <c r="J9814" s="70"/>
      <c r="K9814" s="110" t="str">
        <f>IF(H9814="","",IF($C$29="간이법","",FPR(H9814,I9814,J9814)))</f>
        <v/>
      </c>
      <c r="L9814" s="111" t="str">
        <f>IF(H9814="","",IF($C$29="상세법",FPV(H9814,K9814),IF(H9814="EI",4,IF(H9814="EO",5.2,IF(H9814="EQ",3.9,IF(H9814="ILF",7.5,IF(H9814="EIF",5.4)))))))</f>
        <v/>
      </c>
      <c r="M9814" s="112" t="str">
        <f t="shared" si="156"/>
        <v/>
      </c>
      <c r="N9814" s="113"/>
    </row>
    <row r="9815" spans="2:14">
      <c r="B9815" s="105"/>
      <c r="C9815" s="106"/>
      <c r="D9815" s="107"/>
      <c r="E9815" s="65"/>
      <c r="F9815" s="64"/>
      <c r="G9815" s="64"/>
      <c r="H9815" s="64"/>
      <c r="I9815" s="70"/>
      <c r="J9815" s="70"/>
      <c r="K9815" s="110" t="str">
        <f>IF(H9815="","",IF($C$29="간이법","",FPR(H9815,I9815,J9815)))</f>
        <v/>
      </c>
      <c r="L9815" s="111" t="str">
        <f>IF(H9815="","",IF($C$29="상세법",FPV(H9815,K9815),IF(H9815="EI",4,IF(H9815="EO",5.2,IF(H9815="EQ",3.9,IF(H9815="ILF",7.5,IF(H9815="EIF",5.4)))))))</f>
        <v/>
      </c>
      <c r="M9815" s="112" t="str">
        <f t="shared" si="156"/>
        <v/>
      </c>
      <c r="N9815" s="113"/>
    </row>
    <row r="9816" spans="2:14">
      <c r="B9816" s="105"/>
      <c r="C9816" s="106"/>
      <c r="D9816" s="107"/>
      <c r="E9816" s="65"/>
      <c r="F9816" s="64"/>
      <c r="G9816" s="64"/>
      <c r="H9816" s="64"/>
      <c r="I9816" s="70"/>
      <c r="J9816" s="70"/>
      <c r="K9816" s="110" t="str">
        <f>IF(H9816="","",IF($C$29="간이법","",FPR(H9816,I9816,J9816)))</f>
        <v/>
      </c>
      <c r="L9816" s="111" t="str">
        <f>IF(H9816="","",IF($C$29="상세법",FPV(H9816,K9816),IF(H9816="EI",4,IF(H9816="EO",5.2,IF(H9816="EQ",3.9,IF(H9816="ILF",7.5,IF(H9816="EIF",5.4)))))))</f>
        <v/>
      </c>
      <c r="M9816" s="112" t="str">
        <f t="shared" si="156"/>
        <v/>
      </c>
      <c r="N9816" s="113"/>
    </row>
    <row r="9817" spans="2:14">
      <c r="B9817" s="105"/>
      <c r="C9817" s="106"/>
      <c r="D9817" s="107"/>
      <c r="E9817" s="65"/>
      <c r="F9817" s="64"/>
      <c r="G9817" s="64"/>
      <c r="H9817" s="64"/>
      <c r="I9817" s="70"/>
      <c r="J9817" s="70"/>
      <c r="K9817" s="110" t="str">
        <f>IF(H9817="","",IF($C$29="간이법","",FPR(H9817,I9817,J9817)))</f>
        <v/>
      </c>
      <c r="L9817" s="111" t="str">
        <f>IF(H9817="","",IF($C$29="상세법",FPV(H9817,K9817),IF(H9817="EI",4,IF(H9817="EO",5.2,IF(H9817="EQ",3.9,IF(H9817="ILF",7.5,IF(H9817="EIF",5.4)))))))</f>
        <v/>
      </c>
      <c r="M9817" s="112" t="str">
        <f t="shared" si="156"/>
        <v/>
      </c>
      <c r="N9817" s="113"/>
    </row>
    <row r="9818" spans="2:14">
      <c r="B9818" s="105"/>
      <c r="C9818" s="106"/>
      <c r="D9818" s="107"/>
      <c r="E9818" s="65"/>
      <c r="F9818" s="64"/>
      <c r="G9818" s="64"/>
      <c r="H9818" s="64"/>
      <c r="I9818" s="70"/>
      <c r="J9818" s="70"/>
      <c r="K9818" s="110" t="str">
        <f>IF(H9818="","",IF($C$29="간이법","",FPR(H9818,I9818,J9818)))</f>
        <v/>
      </c>
      <c r="L9818" s="111" t="str">
        <f>IF(H9818="","",IF($C$29="상세법",FPV(H9818,K9818),IF(H9818="EI",4,IF(H9818="EO",5.2,IF(H9818="EQ",3.9,IF(H9818="ILF",7.5,IF(H9818="EIF",5.4)))))))</f>
        <v/>
      </c>
      <c r="M9818" s="112" t="str">
        <f t="shared" si="156"/>
        <v/>
      </c>
      <c r="N9818" s="113"/>
    </row>
    <row r="9819" spans="2:14">
      <c r="B9819" s="105"/>
      <c r="C9819" s="106"/>
      <c r="D9819" s="107"/>
      <c r="E9819" s="65"/>
      <c r="F9819" s="64"/>
      <c r="G9819" s="64"/>
      <c r="H9819" s="64"/>
      <c r="I9819" s="70"/>
      <c r="J9819" s="70"/>
      <c r="K9819" s="110" t="str">
        <f>IF(H9819="","",IF($C$29="간이법","",FPR(H9819,I9819,J9819)))</f>
        <v/>
      </c>
      <c r="L9819" s="111" t="str">
        <f>IF(H9819="","",IF($C$29="상세법",FPV(H9819,K9819),IF(H9819="EI",4,IF(H9819="EO",5.2,IF(H9819="EQ",3.9,IF(H9819="ILF",7.5,IF(H9819="EIF",5.4)))))))</f>
        <v/>
      </c>
      <c r="M9819" s="112" t="str">
        <f t="shared" si="156"/>
        <v/>
      </c>
      <c r="N9819" s="113"/>
    </row>
    <row r="9820" spans="2:14">
      <c r="B9820" s="105"/>
      <c r="C9820" s="106"/>
      <c r="D9820" s="107"/>
      <c r="E9820" s="65"/>
      <c r="F9820" s="64"/>
      <c r="G9820" s="64"/>
      <c r="H9820" s="64"/>
      <c r="I9820" s="70"/>
      <c r="J9820" s="70"/>
      <c r="K9820" s="110" t="str">
        <f>IF(H9820="","",IF($C$29="간이법","",FPR(H9820,I9820,J9820)))</f>
        <v/>
      </c>
      <c r="L9820" s="111" t="str">
        <f>IF(H9820="","",IF($C$29="상세법",FPV(H9820,K9820),IF(H9820="EI",4,IF(H9820="EO",5.2,IF(H9820="EQ",3.9,IF(H9820="ILF",7.5,IF(H9820="EIF",5.4)))))))</f>
        <v/>
      </c>
      <c r="M9820" s="112" t="str">
        <f t="shared" si="156"/>
        <v/>
      </c>
      <c r="N9820" s="113"/>
    </row>
    <row r="9821" spans="2:14">
      <c r="B9821" s="105"/>
      <c r="C9821" s="106"/>
      <c r="D9821" s="107"/>
      <c r="E9821" s="65"/>
      <c r="F9821" s="64"/>
      <c r="G9821" s="64"/>
      <c r="H9821" s="64"/>
      <c r="I9821" s="70"/>
      <c r="J9821" s="70"/>
      <c r="K9821" s="110" t="str">
        <f>IF(H9821="","",IF($C$29="간이법","",FPR(H9821,I9821,J9821)))</f>
        <v/>
      </c>
      <c r="L9821" s="111" t="str">
        <f>IF(H9821="","",IF($C$29="상세법",FPV(H9821,K9821),IF(H9821="EI",4,IF(H9821="EO",5.2,IF(H9821="EQ",3.9,IF(H9821="ILF",7.5,IF(H9821="EIF",5.4)))))))</f>
        <v/>
      </c>
      <c r="M9821" s="112" t="str">
        <f t="shared" si="156"/>
        <v/>
      </c>
      <c r="N9821" s="113"/>
    </row>
    <row r="9822" spans="2:14">
      <c r="B9822" s="105"/>
      <c r="C9822" s="106"/>
      <c r="D9822" s="107"/>
      <c r="E9822" s="65"/>
      <c r="F9822" s="64"/>
      <c r="G9822" s="64"/>
      <c r="H9822" s="64"/>
      <c r="I9822" s="70"/>
      <c r="J9822" s="70"/>
      <c r="K9822" s="110" t="str">
        <f>IF(H9822="","",IF($C$29="간이법","",FPR(H9822,I9822,J9822)))</f>
        <v/>
      </c>
      <c r="L9822" s="111" t="str">
        <f>IF(H9822="","",IF($C$29="상세법",FPV(H9822,K9822),IF(H9822="EI",4,IF(H9822="EO",5.2,IF(H9822="EQ",3.9,IF(H9822="ILF",7.5,IF(H9822="EIF",5.4)))))))</f>
        <v/>
      </c>
      <c r="M9822" s="112" t="str">
        <f t="shared" si="156"/>
        <v/>
      </c>
      <c r="N9822" s="113"/>
    </row>
    <row r="9823" spans="2:14">
      <c r="B9823" s="105"/>
      <c r="C9823" s="106"/>
      <c r="D9823" s="107"/>
      <c r="E9823" s="65"/>
      <c r="F9823" s="64"/>
      <c r="G9823" s="64"/>
      <c r="H9823" s="64"/>
      <c r="I9823" s="70"/>
      <c r="J9823" s="70"/>
      <c r="K9823" s="110" t="str">
        <f>IF(H9823="","",IF($C$29="간이법","",FPR(H9823,I9823,J9823)))</f>
        <v/>
      </c>
      <c r="L9823" s="111" t="str">
        <f>IF(H9823="","",IF($C$29="상세법",FPV(H9823,K9823),IF(H9823="EI",4,IF(H9823="EO",5.2,IF(H9823="EQ",3.9,IF(H9823="ILF",7.5,IF(H9823="EIF",5.4)))))))</f>
        <v/>
      </c>
      <c r="M9823" s="112" t="str">
        <f t="shared" si="156"/>
        <v/>
      </c>
      <c r="N9823" s="113"/>
    </row>
    <row r="9824" spans="2:14">
      <c r="B9824" s="105"/>
      <c r="C9824" s="106"/>
      <c r="D9824" s="107"/>
      <c r="E9824" s="65"/>
      <c r="F9824" s="64"/>
      <c r="G9824" s="64"/>
      <c r="H9824" s="64"/>
      <c r="I9824" s="70"/>
      <c r="J9824" s="70"/>
      <c r="K9824" s="110" t="str">
        <f>IF(H9824="","",IF($C$29="간이법","",FPR(H9824,I9824,J9824)))</f>
        <v/>
      </c>
      <c r="L9824" s="111" t="str">
        <f>IF(H9824="","",IF($C$29="상세법",FPV(H9824,K9824),IF(H9824="EI",4,IF(H9824="EO",5.2,IF(H9824="EQ",3.9,IF(H9824="ILF",7.5,IF(H9824="EIF",5.4)))))))</f>
        <v/>
      </c>
      <c r="M9824" s="112" t="str">
        <f t="shared" si="156"/>
        <v/>
      </c>
      <c r="N9824" s="113"/>
    </row>
    <row r="9825" spans="2:14">
      <c r="B9825" s="105"/>
      <c r="C9825" s="106"/>
      <c r="D9825" s="107"/>
      <c r="E9825" s="65"/>
      <c r="F9825" s="64"/>
      <c r="G9825" s="64"/>
      <c r="H9825" s="64"/>
      <c r="I9825" s="70"/>
      <c r="J9825" s="70"/>
      <c r="K9825" s="110" t="str">
        <f>IF(H9825="","",IF($C$29="간이법","",FPR(H9825,I9825,J9825)))</f>
        <v/>
      </c>
      <c r="L9825" s="111" t="str">
        <f>IF(H9825="","",IF($C$29="상세법",FPV(H9825,K9825),IF(H9825="EI",4,IF(H9825="EO",5.2,IF(H9825="EQ",3.9,IF(H9825="ILF",7.5,IF(H9825="EIF",5.4)))))))</f>
        <v/>
      </c>
      <c r="M9825" s="112" t="str">
        <f t="shared" si="156"/>
        <v/>
      </c>
      <c r="N9825" s="113"/>
    </row>
    <row r="9826" spans="2:14">
      <c r="B9826" s="105"/>
      <c r="C9826" s="106"/>
      <c r="D9826" s="107"/>
      <c r="E9826" s="65"/>
      <c r="F9826" s="64"/>
      <c r="G9826" s="64"/>
      <c r="H9826" s="64"/>
      <c r="I9826" s="70"/>
      <c r="J9826" s="70"/>
      <c r="K9826" s="110" t="str">
        <f>IF(H9826="","",IF($C$29="간이법","",FPR(H9826,I9826,J9826)))</f>
        <v/>
      </c>
      <c r="L9826" s="111" t="str">
        <f>IF(H9826="","",IF($C$29="상세법",FPV(H9826,K9826),IF(H9826="EI",4,IF(H9826="EO",5.2,IF(H9826="EQ",3.9,IF(H9826="ILF",7.5,IF(H9826="EIF",5.4)))))))</f>
        <v/>
      </c>
      <c r="M9826" s="112" t="str">
        <f t="shared" si="156"/>
        <v/>
      </c>
      <c r="N9826" s="113"/>
    </row>
    <row r="9827" spans="2:14">
      <c r="B9827" s="105"/>
      <c r="C9827" s="106"/>
      <c r="D9827" s="107"/>
      <c r="E9827" s="65"/>
      <c r="F9827" s="64"/>
      <c r="G9827" s="64"/>
      <c r="H9827" s="64"/>
      <c r="I9827" s="70"/>
      <c r="J9827" s="70"/>
      <c r="K9827" s="110" t="str">
        <f>IF(H9827="","",IF($C$29="간이법","",FPR(H9827,I9827,J9827)))</f>
        <v/>
      </c>
      <c r="L9827" s="111" t="str">
        <f>IF(H9827="","",IF($C$29="상세법",FPV(H9827,K9827),IF(H9827="EI",4,IF(H9827="EO",5.2,IF(H9827="EQ",3.9,IF(H9827="ILF",7.5,IF(H9827="EIF",5.4)))))))</f>
        <v/>
      </c>
      <c r="M9827" s="112" t="str">
        <f t="shared" si="156"/>
        <v/>
      </c>
      <c r="N9827" s="113"/>
    </row>
    <row r="9828" spans="2:14">
      <c r="B9828" s="105"/>
      <c r="C9828" s="106"/>
      <c r="D9828" s="107"/>
      <c r="E9828" s="65"/>
      <c r="F9828" s="64"/>
      <c r="G9828" s="64"/>
      <c r="H9828" s="64"/>
      <c r="I9828" s="70"/>
      <c r="J9828" s="70"/>
      <c r="K9828" s="110" t="str">
        <f>IF(H9828="","",IF($C$29="간이법","",FPR(H9828,I9828,J9828)))</f>
        <v/>
      </c>
      <c r="L9828" s="111" t="str">
        <f>IF(H9828="","",IF($C$29="상세법",FPV(H9828,K9828),IF(H9828="EI",4,IF(H9828="EO",5.2,IF(H9828="EQ",3.9,IF(H9828="ILF",7.5,IF(H9828="EIF",5.4)))))))</f>
        <v/>
      </c>
      <c r="M9828" s="112" t="str">
        <f t="shared" si="156"/>
        <v/>
      </c>
      <c r="N9828" s="113"/>
    </row>
    <row r="9829" spans="2:14">
      <c r="B9829" s="105"/>
      <c r="C9829" s="106"/>
      <c r="D9829" s="107"/>
      <c r="E9829" s="65"/>
      <c r="F9829" s="64"/>
      <c r="G9829" s="64"/>
      <c r="H9829" s="64"/>
      <c r="I9829" s="70"/>
      <c r="J9829" s="70"/>
      <c r="K9829" s="110" t="str">
        <f>IF(H9829="","",IF($C$29="간이법","",FPR(H9829,I9829,J9829)))</f>
        <v/>
      </c>
      <c r="L9829" s="111" t="str">
        <f>IF(H9829="","",IF($C$29="상세법",FPV(H9829,K9829),IF(H9829="EI",4,IF(H9829="EO",5.2,IF(H9829="EQ",3.9,IF(H9829="ILF",7.5,IF(H9829="EIF",5.4)))))))</f>
        <v/>
      </c>
      <c r="M9829" s="112" t="str">
        <f t="shared" si="156"/>
        <v/>
      </c>
      <c r="N9829" s="113"/>
    </row>
    <row r="9830" spans="2:14">
      <c r="B9830" s="105"/>
      <c r="C9830" s="106"/>
      <c r="D9830" s="107"/>
      <c r="E9830" s="65"/>
      <c r="F9830" s="64"/>
      <c r="G9830" s="64"/>
      <c r="H9830" s="64"/>
      <c r="I9830" s="70"/>
      <c r="J9830" s="70"/>
      <c r="K9830" s="110" t="str">
        <f>IF(H9830="","",IF($C$29="간이법","",FPR(H9830,I9830,J9830)))</f>
        <v/>
      </c>
      <c r="L9830" s="111" t="str">
        <f>IF(H9830="","",IF($C$29="상세법",FPV(H9830,K9830),IF(H9830="EI",4,IF(H9830="EO",5.2,IF(H9830="EQ",3.9,IF(H9830="ILF",7.5,IF(H9830="EIF",5.4)))))))</f>
        <v/>
      </c>
      <c r="M9830" s="112" t="str">
        <f t="shared" si="156"/>
        <v/>
      </c>
      <c r="N9830" s="113"/>
    </row>
    <row r="9831" spans="2:14">
      <c r="B9831" s="105"/>
      <c r="C9831" s="106"/>
      <c r="D9831" s="107"/>
      <c r="E9831" s="65"/>
      <c r="F9831" s="64"/>
      <c r="G9831" s="64"/>
      <c r="H9831" s="64"/>
      <c r="I9831" s="70"/>
      <c r="J9831" s="70"/>
      <c r="K9831" s="110" t="str">
        <f>IF(H9831="","",IF($C$29="간이법","",FPR(H9831,I9831,J9831)))</f>
        <v/>
      </c>
      <c r="L9831" s="111" t="str">
        <f>IF(H9831="","",IF($C$29="상세법",FPV(H9831,K9831),IF(H9831="EI",4,IF(H9831="EO",5.2,IF(H9831="EQ",3.9,IF(H9831="ILF",7.5,IF(H9831="EIF",5.4)))))))</f>
        <v/>
      </c>
      <c r="M9831" s="112" t="str">
        <f t="shared" si="156"/>
        <v/>
      </c>
      <c r="N9831" s="113"/>
    </row>
    <row r="9832" spans="2:14">
      <c r="B9832" s="105"/>
      <c r="C9832" s="106"/>
      <c r="D9832" s="107"/>
      <c r="E9832" s="65"/>
      <c r="F9832" s="64"/>
      <c r="G9832" s="64"/>
      <c r="H9832" s="64"/>
      <c r="I9832" s="70"/>
      <c r="J9832" s="70"/>
      <c r="K9832" s="110" t="str">
        <f>IF(H9832="","",IF($C$29="간이법","",FPR(H9832,I9832,J9832)))</f>
        <v/>
      </c>
      <c r="L9832" s="111" t="str">
        <f>IF(H9832="","",IF($C$29="상세법",FPV(H9832,K9832),IF(H9832="EI",4,IF(H9832="EO",5.2,IF(H9832="EQ",3.9,IF(H9832="ILF",7.5,IF(H9832="EIF",5.4)))))))</f>
        <v/>
      </c>
      <c r="M9832" s="112" t="str">
        <f t="shared" si="156"/>
        <v/>
      </c>
      <c r="N9832" s="113"/>
    </row>
    <row r="9833" spans="2:14">
      <c r="B9833" s="105"/>
      <c r="C9833" s="106"/>
      <c r="D9833" s="107"/>
      <c r="E9833" s="65"/>
      <c r="F9833" s="64"/>
      <c r="G9833" s="64"/>
      <c r="H9833" s="64"/>
      <c r="I9833" s="70"/>
      <c r="J9833" s="70"/>
      <c r="K9833" s="110" t="str">
        <f>IF(H9833="","",IF($C$29="간이법","",FPR(H9833,I9833,J9833)))</f>
        <v/>
      </c>
      <c r="L9833" s="111" t="str">
        <f>IF(H9833="","",IF($C$29="상세법",FPV(H9833,K9833),IF(H9833="EI",4,IF(H9833="EO",5.2,IF(H9833="EQ",3.9,IF(H9833="ILF",7.5,IF(H9833="EIF",5.4)))))))</f>
        <v/>
      </c>
      <c r="M9833" s="112" t="str">
        <f t="shared" si="156"/>
        <v/>
      </c>
      <c r="N9833" s="113"/>
    </row>
    <row r="9834" spans="2:14">
      <c r="B9834" s="105"/>
      <c r="C9834" s="106"/>
      <c r="D9834" s="107"/>
      <c r="E9834" s="65"/>
      <c r="F9834" s="64"/>
      <c r="G9834" s="64"/>
      <c r="H9834" s="64"/>
      <c r="I9834" s="70"/>
      <c r="J9834" s="70"/>
      <c r="K9834" s="110" t="str">
        <f>IF(H9834="","",IF($C$29="간이법","",FPR(H9834,I9834,J9834)))</f>
        <v/>
      </c>
      <c r="L9834" s="111" t="str">
        <f>IF(H9834="","",IF($C$29="상세법",FPV(H9834,K9834),IF(H9834="EI",4,IF(H9834="EO",5.2,IF(H9834="EQ",3.9,IF(H9834="ILF",7.5,IF(H9834="EIF",5.4)))))))</f>
        <v/>
      </c>
      <c r="M9834" s="112" t="str">
        <f t="shared" si="156"/>
        <v/>
      </c>
      <c r="N9834" s="113"/>
    </row>
    <row r="9835" spans="2:14">
      <c r="B9835" s="105"/>
      <c r="C9835" s="106"/>
      <c r="D9835" s="107"/>
      <c r="E9835" s="65"/>
      <c r="F9835" s="64"/>
      <c r="G9835" s="64"/>
      <c r="H9835" s="64"/>
      <c r="I9835" s="70"/>
      <c r="J9835" s="70"/>
      <c r="K9835" s="110" t="str">
        <f>IF(H9835="","",IF($C$29="간이법","",FPR(H9835,I9835,J9835)))</f>
        <v/>
      </c>
      <c r="L9835" s="111" t="str">
        <f>IF(H9835="","",IF($C$29="상세법",FPV(H9835,K9835),IF(H9835="EI",4,IF(H9835="EO",5.2,IF(H9835="EQ",3.9,IF(H9835="ILF",7.5,IF(H9835="EIF",5.4)))))))</f>
        <v/>
      </c>
      <c r="M9835" s="112" t="str">
        <f t="shared" si="156"/>
        <v/>
      </c>
      <c r="N9835" s="113"/>
    </row>
    <row r="9836" spans="2:14">
      <c r="B9836" s="105"/>
      <c r="C9836" s="106"/>
      <c r="D9836" s="107"/>
      <c r="E9836" s="65"/>
      <c r="F9836" s="64"/>
      <c r="G9836" s="64"/>
      <c r="H9836" s="64"/>
      <c r="I9836" s="70"/>
      <c r="J9836" s="70"/>
      <c r="K9836" s="110" t="str">
        <f>IF(H9836="","",IF($C$29="간이법","",FPR(H9836,I9836,J9836)))</f>
        <v/>
      </c>
      <c r="L9836" s="111" t="str">
        <f>IF(H9836="","",IF($C$29="상세법",FPV(H9836,K9836),IF(H9836="EI",4,IF(H9836="EO",5.2,IF(H9836="EQ",3.9,IF(H9836="ILF",7.5,IF(H9836="EIF",5.4)))))))</f>
        <v/>
      </c>
      <c r="M9836" s="112" t="str">
        <f t="shared" si="156"/>
        <v/>
      </c>
      <c r="N9836" s="113"/>
    </row>
    <row r="9837" spans="2:14">
      <c r="B9837" s="105"/>
      <c r="C9837" s="106"/>
      <c r="D9837" s="107"/>
      <c r="E9837" s="65"/>
      <c r="F9837" s="64"/>
      <c r="G9837" s="64"/>
      <c r="H9837" s="64"/>
      <c r="I9837" s="70"/>
      <c r="J9837" s="70"/>
      <c r="K9837" s="110" t="str">
        <f>IF(H9837="","",IF($C$29="간이법","",FPR(H9837,I9837,J9837)))</f>
        <v/>
      </c>
      <c r="L9837" s="111" t="str">
        <f>IF(H9837="","",IF($C$29="상세법",FPV(H9837,K9837),IF(H9837="EI",4,IF(H9837="EO",5.2,IF(H9837="EQ",3.9,IF(H9837="ILF",7.5,IF(H9837="EIF",5.4)))))))</f>
        <v/>
      </c>
      <c r="M9837" s="112" t="str">
        <f t="shared" si="156"/>
        <v/>
      </c>
      <c r="N9837" s="113"/>
    </row>
    <row r="9838" spans="2:14">
      <c r="B9838" s="105"/>
      <c r="C9838" s="106"/>
      <c r="D9838" s="107"/>
      <c r="E9838" s="65"/>
      <c r="F9838" s="64"/>
      <c r="G9838" s="64"/>
      <c r="H9838" s="64"/>
      <c r="I9838" s="70"/>
      <c r="J9838" s="70"/>
      <c r="K9838" s="110" t="str">
        <f>IF(H9838="","",IF($C$29="간이법","",FPR(H9838,I9838,J9838)))</f>
        <v/>
      </c>
      <c r="L9838" s="111" t="str">
        <f>IF(H9838="","",IF($C$29="상세법",FPV(H9838,K9838),IF(H9838="EI",4,IF(H9838="EO",5.2,IF(H9838="EQ",3.9,IF(H9838="ILF",7.5,IF(H9838="EIF",5.4)))))))</f>
        <v/>
      </c>
      <c r="M9838" s="112" t="str">
        <f t="shared" si="156"/>
        <v/>
      </c>
      <c r="N9838" s="113"/>
    </row>
    <row r="9839" spans="2:14">
      <c r="B9839" s="105"/>
      <c r="C9839" s="106"/>
      <c r="D9839" s="107"/>
      <c r="E9839" s="65"/>
      <c r="F9839" s="64"/>
      <c r="G9839" s="64"/>
      <c r="H9839" s="64"/>
      <c r="I9839" s="70"/>
      <c r="J9839" s="70"/>
      <c r="K9839" s="110" t="str">
        <f>IF(H9839="","",IF($C$29="간이법","",FPR(H9839,I9839,J9839)))</f>
        <v/>
      </c>
      <c r="L9839" s="111" t="str">
        <f>IF(H9839="","",IF($C$29="상세법",FPV(H9839,K9839),IF(H9839="EI",4,IF(H9839="EO",5.2,IF(H9839="EQ",3.9,IF(H9839="ILF",7.5,IF(H9839="EIF",5.4)))))))</f>
        <v/>
      </c>
      <c r="M9839" s="112" t="str">
        <f t="shared" si="156"/>
        <v/>
      </c>
      <c r="N9839" s="113"/>
    </row>
    <row r="9840" spans="2:14">
      <c r="B9840" s="105"/>
      <c r="C9840" s="106"/>
      <c r="D9840" s="107"/>
      <c r="E9840" s="65"/>
      <c r="F9840" s="64"/>
      <c r="G9840" s="64"/>
      <c r="H9840" s="64"/>
      <c r="I9840" s="70"/>
      <c r="J9840" s="70"/>
      <c r="K9840" s="110" t="str">
        <f>IF(H9840="","",IF($C$29="간이법","",FPR(H9840,I9840,J9840)))</f>
        <v/>
      </c>
      <c r="L9840" s="111" t="str">
        <f>IF(H9840="","",IF($C$29="상세법",FPV(H9840,K9840),IF(H9840="EI",4,IF(H9840="EO",5.2,IF(H9840="EQ",3.9,IF(H9840="ILF",7.5,IF(H9840="EIF",5.4)))))))</f>
        <v/>
      </c>
      <c r="M9840" s="112" t="str">
        <f t="shared" si="156"/>
        <v/>
      </c>
      <c r="N9840" s="113"/>
    </row>
    <row r="9841" spans="2:14">
      <c r="B9841" s="105"/>
      <c r="C9841" s="106"/>
      <c r="D9841" s="107"/>
      <c r="E9841" s="65"/>
      <c r="F9841" s="64"/>
      <c r="G9841" s="64"/>
      <c r="H9841" s="64"/>
      <c r="I9841" s="70"/>
      <c r="J9841" s="70"/>
      <c r="K9841" s="110" t="str">
        <f>IF(H9841="","",IF($C$29="간이법","",FPR(H9841,I9841,J9841)))</f>
        <v/>
      </c>
      <c r="L9841" s="111" t="str">
        <f>IF(H9841="","",IF($C$29="상세법",FPV(H9841,K9841),IF(H9841="EI",4,IF(H9841="EO",5.2,IF(H9841="EQ",3.9,IF(H9841="ILF",7.5,IF(H9841="EIF",5.4)))))))</f>
        <v/>
      </c>
      <c r="M9841" s="112" t="str">
        <f t="shared" si="156"/>
        <v/>
      </c>
      <c r="N9841" s="113"/>
    </row>
    <row r="9842" spans="2:14">
      <c r="B9842" s="105"/>
      <c r="C9842" s="106"/>
      <c r="D9842" s="107"/>
      <c r="E9842" s="65"/>
      <c r="F9842" s="64"/>
      <c r="G9842" s="64"/>
      <c r="H9842" s="64"/>
      <c r="I9842" s="70"/>
      <c r="J9842" s="70"/>
      <c r="K9842" s="110" t="str">
        <f>IF(H9842="","",IF($C$29="간이법","",FPR(H9842,I9842,J9842)))</f>
        <v/>
      </c>
      <c r="L9842" s="111" t="str">
        <f>IF(H9842="","",IF($C$29="상세법",FPV(H9842,K9842),IF(H9842="EI",4,IF(H9842="EO",5.2,IF(H9842="EQ",3.9,IF(H9842="ILF",7.5,IF(H9842="EIF",5.4)))))))</f>
        <v/>
      </c>
      <c r="M9842" s="112" t="str">
        <f t="shared" si="156"/>
        <v/>
      </c>
      <c r="N9842" s="113"/>
    </row>
    <row r="9843" spans="2:14">
      <c r="B9843" s="105"/>
      <c r="C9843" s="106"/>
      <c r="D9843" s="107"/>
      <c r="E9843" s="65"/>
      <c r="F9843" s="64"/>
      <c r="G9843" s="64"/>
      <c r="H9843" s="64"/>
      <c r="I9843" s="70"/>
      <c r="J9843" s="70"/>
      <c r="K9843" s="110" t="str">
        <f>IF(H9843="","",IF($C$29="간이법","",FPR(H9843,I9843,J9843)))</f>
        <v/>
      </c>
      <c r="L9843" s="111" t="str">
        <f>IF(H9843="","",IF($C$29="상세법",FPV(H9843,K9843),IF(H9843="EI",4,IF(H9843="EO",5.2,IF(H9843="EQ",3.9,IF(H9843="ILF",7.5,IF(H9843="EIF",5.4)))))))</f>
        <v/>
      </c>
      <c r="M9843" s="112" t="str">
        <f t="shared" si="156"/>
        <v/>
      </c>
      <c r="N9843" s="113"/>
    </row>
    <row r="9844" spans="2:14">
      <c r="B9844" s="105"/>
      <c r="C9844" s="106"/>
      <c r="D9844" s="107"/>
      <c r="E9844" s="65"/>
      <c r="F9844" s="64"/>
      <c r="G9844" s="64"/>
      <c r="H9844" s="64"/>
      <c r="I9844" s="70"/>
      <c r="J9844" s="70"/>
      <c r="K9844" s="110" t="str">
        <f>IF(H9844="","",IF($C$29="간이법","",FPR(H9844,I9844,J9844)))</f>
        <v/>
      </c>
      <c r="L9844" s="111" t="str">
        <f>IF(H9844="","",IF($C$29="상세법",FPV(H9844,K9844),IF(H9844="EI",4,IF(H9844="EO",5.2,IF(H9844="EQ",3.9,IF(H9844="ILF",7.5,IF(H9844="EIF",5.4)))))))</f>
        <v/>
      </c>
      <c r="M9844" s="112" t="str">
        <f t="shared" si="156"/>
        <v/>
      </c>
      <c r="N9844" s="113"/>
    </row>
    <row r="9845" spans="2:14">
      <c r="B9845" s="105"/>
      <c r="C9845" s="106"/>
      <c r="D9845" s="107"/>
      <c r="E9845" s="65"/>
      <c r="F9845" s="64"/>
      <c r="G9845" s="64"/>
      <c r="H9845" s="64"/>
      <c r="I9845" s="70"/>
      <c r="J9845" s="70"/>
      <c r="K9845" s="110" t="str">
        <f>IF(H9845="","",IF($C$29="간이법","",FPR(H9845,I9845,J9845)))</f>
        <v/>
      </c>
      <c r="L9845" s="111" t="str">
        <f>IF(H9845="","",IF($C$29="상세법",FPV(H9845,K9845),IF(H9845="EI",4,IF(H9845="EO",5.2,IF(H9845="EQ",3.9,IF(H9845="ILF",7.5,IF(H9845="EIF",5.4)))))))</f>
        <v/>
      </c>
      <c r="M9845" s="112" t="str">
        <f t="shared" si="156"/>
        <v/>
      </c>
      <c r="N9845" s="113"/>
    </row>
    <row r="9846" spans="2:14">
      <c r="B9846" s="105"/>
      <c r="C9846" s="106"/>
      <c r="D9846" s="107"/>
      <c r="E9846" s="65"/>
      <c r="F9846" s="64"/>
      <c r="G9846" s="64"/>
      <c r="H9846" s="64"/>
      <c r="I9846" s="70"/>
      <c r="J9846" s="70"/>
      <c r="K9846" s="110" t="str">
        <f>IF(H9846="","",IF($C$29="간이법","",FPR(H9846,I9846,J9846)))</f>
        <v/>
      </c>
      <c r="L9846" s="111" t="str">
        <f>IF(H9846="","",IF($C$29="상세법",FPV(H9846,K9846),IF(H9846="EI",4,IF(H9846="EO",5.2,IF(H9846="EQ",3.9,IF(H9846="ILF",7.5,IF(H9846="EIF",5.4)))))))</f>
        <v/>
      </c>
      <c r="M9846" s="112" t="str">
        <f t="shared" si="156"/>
        <v/>
      </c>
      <c r="N9846" s="113"/>
    </row>
    <row r="9847" spans="2:14">
      <c r="B9847" s="105"/>
      <c r="C9847" s="106"/>
      <c r="D9847" s="107"/>
      <c r="E9847" s="65"/>
      <c r="F9847" s="64"/>
      <c r="G9847" s="64"/>
      <c r="H9847" s="64"/>
      <c r="I9847" s="70"/>
      <c r="J9847" s="70"/>
      <c r="K9847" s="110" t="str">
        <f>IF(H9847="","",IF($C$29="간이법","",FPR(H9847,I9847,J9847)))</f>
        <v/>
      </c>
      <c r="L9847" s="111" t="str">
        <f>IF(H9847="","",IF($C$29="상세법",FPV(H9847,K9847),IF(H9847="EI",4,IF(H9847="EO",5.2,IF(H9847="EQ",3.9,IF(H9847="ILF",7.5,IF(H9847="EIF",5.4)))))))</f>
        <v/>
      </c>
      <c r="M9847" s="112" t="str">
        <f t="shared" si="156"/>
        <v/>
      </c>
      <c r="N9847" s="113"/>
    </row>
    <row r="9848" spans="2:14">
      <c r="B9848" s="105"/>
      <c r="C9848" s="106"/>
      <c r="D9848" s="107"/>
      <c r="E9848" s="65"/>
      <c r="F9848" s="64"/>
      <c r="G9848" s="64"/>
      <c r="H9848" s="64"/>
      <c r="I9848" s="70"/>
      <c r="J9848" s="70"/>
      <c r="K9848" s="110" t="str">
        <f>IF(H9848="","",IF($C$29="간이법","",FPR(H9848,I9848,J9848)))</f>
        <v/>
      </c>
      <c r="L9848" s="111" t="str">
        <f>IF(H9848="","",IF($C$29="상세법",FPV(H9848,K9848),IF(H9848="EI",4,IF(H9848="EO",5.2,IF(H9848="EQ",3.9,IF(H9848="ILF",7.5,IF(H9848="EIF",5.4)))))))</f>
        <v/>
      </c>
      <c r="M9848" s="112" t="str">
        <f t="shared" si="156"/>
        <v/>
      </c>
      <c r="N9848" s="113"/>
    </row>
    <row r="9849" spans="2:14">
      <c r="B9849" s="105"/>
      <c r="C9849" s="106"/>
      <c r="D9849" s="107"/>
      <c r="E9849" s="65"/>
      <c r="F9849" s="64"/>
      <c r="G9849" s="64"/>
      <c r="H9849" s="64"/>
      <c r="I9849" s="70"/>
      <c r="J9849" s="70"/>
      <c r="K9849" s="110" t="str">
        <f>IF(H9849="","",IF($C$29="간이법","",FPR(H9849,I9849,J9849)))</f>
        <v/>
      </c>
      <c r="L9849" s="111" t="str">
        <f>IF(H9849="","",IF($C$29="상세법",FPV(H9849,K9849),IF(H9849="EI",4,IF(H9849="EO",5.2,IF(H9849="EQ",3.9,IF(H9849="ILF",7.5,IF(H9849="EIF",5.4)))))))</f>
        <v/>
      </c>
      <c r="M9849" s="112" t="str">
        <f t="shared" ref="M9849:M9912" si="157">IF(L9849="","",L9849*IF(G9849="상",0.7,IF(G9849="중",0.5,IF(G9849="하",0.2,1))))</f>
        <v/>
      </c>
      <c r="N9849" s="113"/>
    </row>
    <row r="9850" spans="2:14">
      <c r="B9850" s="105"/>
      <c r="C9850" s="106"/>
      <c r="D9850" s="107"/>
      <c r="E9850" s="65"/>
      <c r="F9850" s="64"/>
      <c r="G9850" s="64"/>
      <c r="H9850" s="64"/>
      <c r="I9850" s="70"/>
      <c r="J9850" s="70"/>
      <c r="K9850" s="110" t="str">
        <f>IF(H9850="","",IF($C$29="간이법","",FPR(H9850,I9850,J9850)))</f>
        <v/>
      </c>
      <c r="L9850" s="111" t="str">
        <f>IF(H9850="","",IF($C$29="상세법",FPV(H9850,K9850),IF(H9850="EI",4,IF(H9850="EO",5.2,IF(H9850="EQ",3.9,IF(H9850="ILF",7.5,IF(H9850="EIF",5.4)))))))</f>
        <v/>
      </c>
      <c r="M9850" s="112" t="str">
        <f t="shared" si="157"/>
        <v/>
      </c>
      <c r="N9850" s="113"/>
    </row>
    <row r="9851" spans="2:14">
      <c r="B9851" s="105"/>
      <c r="C9851" s="106"/>
      <c r="D9851" s="107"/>
      <c r="E9851" s="65"/>
      <c r="F9851" s="64"/>
      <c r="G9851" s="64"/>
      <c r="H9851" s="64"/>
      <c r="I9851" s="70"/>
      <c r="J9851" s="70"/>
      <c r="K9851" s="110" t="str">
        <f>IF(H9851="","",IF($C$29="간이법","",FPR(H9851,I9851,J9851)))</f>
        <v/>
      </c>
      <c r="L9851" s="111" t="str">
        <f>IF(H9851="","",IF($C$29="상세법",FPV(H9851,K9851),IF(H9851="EI",4,IF(H9851="EO",5.2,IF(H9851="EQ",3.9,IF(H9851="ILF",7.5,IF(H9851="EIF",5.4)))))))</f>
        <v/>
      </c>
      <c r="M9851" s="112" t="str">
        <f t="shared" si="157"/>
        <v/>
      </c>
      <c r="N9851" s="113"/>
    </row>
    <row r="9852" spans="2:14">
      <c r="B9852" s="105"/>
      <c r="C9852" s="106"/>
      <c r="D9852" s="107"/>
      <c r="E9852" s="65"/>
      <c r="F9852" s="64"/>
      <c r="G9852" s="64"/>
      <c r="H9852" s="64"/>
      <c r="I9852" s="70"/>
      <c r="J9852" s="70"/>
      <c r="K9852" s="110" t="str">
        <f>IF(H9852="","",IF($C$29="간이법","",FPR(H9852,I9852,J9852)))</f>
        <v/>
      </c>
      <c r="L9852" s="111" t="str">
        <f>IF(H9852="","",IF($C$29="상세법",FPV(H9852,K9852),IF(H9852="EI",4,IF(H9852="EO",5.2,IF(H9852="EQ",3.9,IF(H9852="ILF",7.5,IF(H9852="EIF",5.4)))))))</f>
        <v/>
      </c>
      <c r="M9852" s="112" t="str">
        <f t="shared" si="157"/>
        <v/>
      </c>
      <c r="N9852" s="113"/>
    </row>
    <row r="9853" spans="2:14">
      <c r="B9853" s="105"/>
      <c r="C9853" s="106"/>
      <c r="D9853" s="107"/>
      <c r="E9853" s="65"/>
      <c r="F9853" s="64"/>
      <c r="G9853" s="64"/>
      <c r="H9853" s="64"/>
      <c r="I9853" s="70"/>
      <c r="J9853" s="70"/>
      <c r="K9853" s="110" t="str">
        <f>IF(H9853="","",IF($C$29="간이법","",FPR(H9853,I9853,J9853)))</f>
        <v/>
      </c>
      <c r="L9853" s="111" t="str">
        <f>IF(H9853="","",IF($C$29="상세법",FPV(H9853,K9853),IF(H9853="EI",4,IF(H9853="EO",5.2,IF(H9853="EQ",3.9,IF(H9853="ILF",7.5,IF(H9853="EIF",5.4)))))))</f>
        <v/>
      </c>
      <c r="M9853" s="112" t="str">
        <f t="shared" si="157"/>
        <v/>
      </c>
      <c r="N9853" s="113"/>
    </row>
    <row r="9854" spans="2:14">
      <c r="B9854" s="105"/>
      <c r="C9854" s="106"/>
      <c r="D9854" s="107"/>
      <c r="E9854" s="65"/>
      <c r="F9854" s="64"/>
      <c r="G9854" s="64"/>
      <c r="H9854" s="64"/>
      <c r="I9854" s="70"/>
      <c r="J9854" s="70"/>
      <c r="K9854" s="110" t="str">
        <f>IF(H9854="","",IF($C$29="간이법","",FPR(H9854,I9854,J9854)))</f>
        <v/>
      </c>
      <c r="L9854" s="111" t="str">
        <f>IF(H9854="","",IF($C$29="상세법",FPV(H9854,K9854),IF(H9854="EI",4,IF(H9854="EO",5.2,IF(H9854="EQ",3.9,IF(H9854="ILF",7.5,IF(H9854="EIF",5.4)))))))</f>
        <v/>
      </c>
      <c r="M9854" s="112" t="str">
        <f t="shared" si="157"/>
        <v/>
      </c>
      <c r="N9854" s="113"/>
    </row>
    <row r="9855" spans="2:14">
      <c r="B9855" s="105"/>
      <c r="C9855" s="106"/>
      <c r="D9855" s="107"/>
      <c r="E9855" s="65"/>
      <c r="F9855" s="64"/>
      <c r="G9855" s="64"/>
      <c r="H9855" s="64"/>
      <c r="I9855" s="70"/>
      <c r="J9855" s="70"/>
      <c r="K9855" s="110" t="str">
        <f>IF(H9855="","",IF($C$29="간이법","",FPR(H9855,I9855,J9855)))</f>
        <v/>
      </c>
      <c r="L9855" s="111" t="str">
        <f>IF(H9855="","",IF($C$29="상세법",FPV(H9855,K9855),IF(H9855="EI",4,IF(H9855="EO",5.2,IF(H9855="EQ",3.9,IF(H9855="ILF",7.5,IF(H9855="EIF",5.4)))))))</f>
        <v/>
      </c>
      <c r="M9855" s="112" t="str">
        <f t="shared" si="157"/>
        <v/>
      </c>
      <c r="N9855" s="113"/>
    </row>
    <row r="9856" spans="2:14">
      <c r="B9856" s="105"/>
      <c r="C9856" s="106"/>
      <c r="D9856" s="107"/>
      <c r="E9856" s="65"/>
      <c r="F9856" s="64"/>
      <c r="G9856" s="64"/>
      <c r="H9856" s="64"/>
      <c r="I9856" s="70"/>
      <c r="J9856" s="70"/>
      <c r="K9856" s="110" t="str">
        <f>IF(H9856="","",IF($C$29="간이법","",FPR(H9856,I9856,J9856)))</f>
        <v/>
      </c>
      <c r="L9856" s="111" t="str">
        <f>IF(H9856="","",IF($C$29="상세법",FPV(H9856,K9856),IF(H9856="EI",4,IF(H9856="EO",5.2,IF(H9856="EQ",3.9,IF(H9856="ILF",7.5,IF(H9856="EIF",5.4)))))))</f>
        <v/>
      </c>
      <c r="M9856" s="112" t="str">
        <f t="shared" si="157"/>
        <v/>
      </c>
      <c r="N9856" s="113"/>
    </row>
    <row r="9857" spans="2:14">
      <c r="B9857" s="105"/>
      <c r="C9857" s="106"/>
      <c r="D9857" s="107"/>
      <c r="E9857" s="65"/>
      <c r="F9857" s="64"/>
      <c r="G9857" s="64"/>
      <c r="H9857" s="64"/>
      <c r="I9857" s="70"/>
      <c r="J9857" s="70"/>
      <c r="K9857" s="110" t="str">
        <f>IF(H9857="","",IF($C$29="간이법","",FPR(H9857,I9857,J9857)))</f>
        <v/>
      </c>
      <c r="L9857" s="111" t="str">
        <f>IF(H9857="","",IF($C$29="상세법",FPV(H9857,K9857),IF(H9857="EI",4,IF(H9857="EO",5.2,IF(H9857="EQ",3.9,IF(H9857="ILF",7.5,IF(H9857="EIF",5.4)))))))</f>
        <v/>
      </c>
      <c r="M9857" s="112" t="str">
        <f t="shared" si="157"/>
        <v/>
      </c>
      <c r="N9857" s="113"/>
    </row>
    <row r="9858" spans="2:14">
      <c r="B9858" s="105"/>
      <c r="C9858" s="106"/>
      <c r="D9858" s="107"/>
      <c r="E9858" s="65"/>
      <c r="F9858" s="64"/>
      <c r="G9858" s="64"/>
      <c r="H9858" s="64"/>
      <c r="I9858" s="70"/>
      <c r="J9858" s="70"/>
      <c r="K9858" s="110" t="str">
        <f>IF(H9858="","",IF($C$29="간이법","",FPR(H9858,I9858,J9858)))</f>
        <v/>
      </c>
      <c r="L9858" s="111" t="str">
        <f>IF(H9858="","",IF($C$29="상세법",FPV(H9858,K9858),IF(H9858="EI",4,IF(H9858="EO",5.2,IF(H9858="EQ",3.9,IF(H9858="ILF",7.5,IF(H9858="EIF",5.4)))))))</f>
        <v/>
      </c>
      <c r="M9858" s="112" t="str">
        <f t="shared" si="157"/>
        <v/>
      </c>
      <c r="N9858" s="113"/>
    </row>
    <row r="9859" spans="2:14">
      <c r="B9859" s="105"/>
      <c r="C9859" s="106"/>
      <c r="D9859" s="107"/>
      <c r="E9859" s="65"/>
      <c r="F9859" s="64"/>
      <c r="G9859" s="64"/>
      <c r="H9859" s="64"/>
      <c r="I9859" s="70"/>
      <c r="J9859" s="70"/>
      <c r="K9859" s="110" t="str">
        <f>IF(H9859="","",IF($C$29="간이법","",FPR(H9859,I9859,J9859)))</f>
        <v/>
      </c>
      <c r="L9859" s="111" t="str">
        <f>IF(H9859="","",IF($C$29="상세법",FPV(H9859,K9859),IF(H9859="EI",4,IF(H9859="EO",5.2,IF(H9859="EQ",3.9,IF(H9859="ILF",7.5,IF(H9859="EIF",5.4)))))))</f>
        <v/>
      </c>
      <c r="M9859" s="112" t="str">
        <f t="shared" si="157"/>
        <v/>
      </c>
      <c r="N9859" s="113"/>
    </row>
    <row r="9860" spans="2:14">
      <c r="B9860" s="105"/>
      <c r="C9860" s="106"/>
      <c r="D9860" s="107"/>
      <c r="E9860" s="65"/>
      <c r="F9860" s="64"/>
      <c r="G9860" s="64"/>
      <c r="H9860" s="64"/>
      <c r="I9860" s="70"/>
      <c r="J9860" s="70"/>
      <c r="K9860" s="110" t="str">
        <f>IF(H9860="","",IF($C$29="간이법","",FPR(H9860,I9860,J9860)))</f>
        <v/>
      </c>
      <c r="L9860" s="111" t="str">
        <f>IF(H9860="","",IF($C$29="상세법",FPV(H9860,K9860),IF(H9860="EI",4,IF(H9860="EO",5.2,IF(H9860="EQ",3.9,IF(H9860="ILF",7.5,IF(H9860="EIF",5.4)))))))</f>
        <v/>
      </c>
      <c r="M9860" s="112" t="str">
        <f t="shared" si="157"/>
        <v/>
      </c>
      <c r="N9860" s="113"/>
    </row>
    <row r="9861" spans="2:14">
      <c r="B9861" s="105"/>
      <c r="C9861" s="106"/>
      <c r="D9861" s="107"/>
      <c r="E9861" s="65"/>
      <c r="F9861" s="64"/>
      <c r="G9861" s="64"/>
      <c r="H9861" s="64"/>
      <c r="I9861" s="70"/>
      <c r="J9861" s="70"/>
      <c r="K9861" s="110" t="str">
        <f>IF(H9861="","",IF($C$29="간이법","",FPR(H9861,I9861,J9861)))</f>
        <v/>
      </c>
      <c r="L9861" s="111" t="str">
        <f>IF(H9861="","",IF($C$29="상세법",FPV(H9861,K9861),IF(H9861="EI",4,IF(H9861="EO",5.2,IF(H9861="EQ",3.9,IF(H9861="ILF",7.5,IF(H9861="EIF",5.4)))))))</f>
        <v/>
      </c>
      <c r="M9861" s="112" t="str">
        <f t="shared" si="157"/>
        <v/>
      </c>
      <c r="N9861" s="113"/>
    </row>
    <row r="9862" spans="2:14">
      <c r="B9862" s="105"/>
      <c r="C9862" s="106"/>
      <c r="D9862" s="107"/>
      <c r="E9862" s="65"/>
      <c r="F9862" s="64"/>
      <c r="G9862" s="64"/>
      <c r="H9862" s="64"/>
      <c r="I9862" s="70"/>
      <c r="J9862" s="70"/>
      <c r="K9862" s="110" t="str">
        <f>IF(H9862="","",IF($C$29="간이법","",FPR(H9862,I9862,J9862)))</f>
        <v/>
      </c>
      <c r="L9862" s="111" t="str">
        <f>IF(H9862="","",IF($C$29="상세법",FPV(H9862,K9862),IF(H9862="EI",4,IF(H9862="EO",5.2,IF(H9862="EQ",3.9,IF(H9862="ILF",7.5,IF(H9862="EIF",5.4)))))))</f>
        <v/>
      </c>
      <c r="M9862" s="112" t="str">
        <f t="shared" si="157"/>
        <v/>
      </c>
      <c r="N9862" s="113"/>
    </row>
    <row r="9863" spans="2:14">
      <c r="B9863" s="105"/>
      <c r="C9863" s="106"/>
      <c r="D9863" s="107"/>
      <c r="E9863" s="65"/>
      <c r="F9863" s="64"/>
      <c r="G9863" s="64"/>
      <c r="H9863" s="64"/>
      <c r="I9863" s="70"/>
      <c r="J9863" s="70"/>
      <c r="K9863" s="110" t="str">
        <f>IF(H9863="","",IF($C$29="간이법","",FPR(H9863,I9863,J9863)))</f>
        <v/>
      </c>
      <c r="L9863" s="111" t="str">
        <f>IF(H9863="","",IF($C$29="상세법",FPV(H9863,K9863),IF(H9863="EI",4,IF(H9863="EO",5.2,IF(H9863="EQ",3.9,IF(H9863="ILF",7.5,IF(H9863="EIF",5.4)))))))</f>
        <v/>
      </c>
      <c r="M9863" s="112" t="str">
        <f t="shared" si="157"/>
        <v/>
      </c>
      <c r="N9863" s="113"/>
    </row>
    <row r="9864" spans="2:14">
      <c r="B9864" s="105"/>
      <c r="C9864" s="106"/>
      <c r="D9864" s="107"/>
      <c r="E9864" s="65"/>
      <c r="F9864" s="64"/>
      <c r="G9864" s="64"/>
      <c r="H9864" s="64"/>
      <c r="I9864" s="70"/>
      <c r="J9864" s="70"/>
      <c r="K9864" s="110" t="str">
        <f>IF(H9864="","",IF($C$29="간이법","",FPR(H9864,I9864,J9864)))</f>
        <v/>
      </c>
      <c r="L9864" s="111" t="str">
        <f>IF(H9864="","",IF($C$29="상세법",FPV(H9864,K9864),IF(H9864="EI",4,IF(H9864="EO",5.2,IF(H9864="EQ",3.9,IF(H9864="ILF",7.5,IF(H9864="EIF",5.4)))))))</f>
        <v/>
      </c>
      <c r="M9864" s="112" t="str">
        <f t="shared" si="157"/>
        <v/>
      </c>
      <c r="N9864" s="113"/>
    </row>
    <row r="9865" spans="2:14">
      <c r="B9865" s="105"/>
      <c r="C9865" s="106"/>
      <c r="D9865" s="107"/>
      <c r="E9865" s="65"/>
      <c r="F9865" s="64"/>
      <c r="G9865" s="64"/>
      <c r="H9865" s="64"/>
      <c r="I9865" s="70"/>
      <c r="J9865" s="70"/>
      <c r="K9865" s="110" t="str">
        <f>IF(H9865="","",IF($C$29="간이법","",FPR(H9865,I9865,J9865)))</f>
        <v/>
      </c>
      <c r="L9865" s="111" t="str">
        <f>IF(H9865="","",IF($C$29="상세법",FPV(H9865,K9865),IF(H9865="EI",4,IF(H9865="EO",5.2,IF(H9865="EQ",3.9,IF(H9865="ILF",7.5,IF(H9865="EIF",5.4)))))))</f>
        <v/>
      </c>
      <c r="M9865" s="112" t="str">
        <f t="shared" si="157"/>
        <v/>
      </c>
      <c r="N9865" s="113"/>
    </row>
    <row r="9866" spans="2:14">
      <c r="B9866" s="105"/>
      <c r="C9866" s="106"/>
      <c r="D9866" s="107"/>
      <c r="E9866" s="65"/>
      <c r="F9866" s="64"/>
      <c r="G9866" s="64"/>
      <c r="H9866" s="64"/>
      <c r="I9866" s="70"/>
      <c r="J9866" s="70"/>
      <c r="K9866" s="110" t="str">
        <f>IF(H9866="","",IF($C$29="간이법","",FPR(H9866,I9866,J9866)))</f>
        <v/>
      </c>
      <c r="L9866" s="111" t="str">
        <f>IF(H9866="","",IF($C$29="상세법",FPV(H9866,K9866),IF(H9866="EI",4,IF(H9866="EO",5.2,IF(H9866="EQ",3.9,IF(H9866="ILF",7.5,IF(H9866="EIF",5.4)))))))</f>
        <v/>
      </c>
      <c r="M9866" s="112" t="str">
        <f t="shared" si="157"/>
        <v/>
      </c>
      <c r="N9866" s="113"/>
    </row>
    <row r="9867" spans="2:14">
      <c r="B9867" s="105"/>
      <c r="C9867" s="106"/>
      <c r="D9867" s="107"/>
      <c r="E9867" s="65"/>
      <c r="F9867" s="64"/>
      <c r="G9867" s="64"/>
      <c r="H9867" s="64"/>
      <c r="I9867" s="70"/>
      <c r="J9867" s="70"/>
      <c r="K9867" s="110" t="str">
        <f>IF(H9867="","",IF($C$29="간이법","",FPR(H9867,I9867,J9867)))</f>
        <v/>
      </c>
      <c r="L9867" s="111" t="str">
        <f>IF(H9867="","",IF($C$29="상세법",FPV(H9867,K9867),IF(H9867="EI",4,IF(H9867="EO",5.2,IF(H9867="EQ",3.9,IF(H9867="ILF",7.5,IF(H9867="EIF",5.4)))))))</f>
        <v/>
      </c>
      <c r="M9867" s="112" t="str">
        <f t="shared" si="157"/>
        <v/>
      </c>
      <c r="N9867" s="113"/>
    </row>
    <row r="9868" spans="2:14">
      <c r="B9868" s="105"/>
      <c r="C9868" s="106"/>
      <c r="D9868" s="107"/>
      <c r="E9868" s="65"/>
      <c r="F9868" s="64"/>
      <c r="G9868" s="64"/>
      <c r="H9868" s="64"/>
      <c r="I9868" s="70"/>
      <c r="J9868" s="70"/>
      <c r="K9868" s="110" t="str">
        <f>IF(H9868="","",IF($C$29="간이법","",FPR(H9868,I9868,J9868)))</f>
        <v/>
      </c>
      <c r="L9868" s="111" t="str">
        <f>IF(H9868="","",IF($C$29="상세법",FPV(H9868,K9868),IF(H9868="EI",4,IF(H9868="EO",5.2,IF(H9868="EQ",3.9,IF(H9868="ILF",7.5,IF(H9868="EIF",5.4)))))))</f>
        <v/>
      </c>
      <c r="M9868" s="112" t="str">
        <f t="shared" si="157"/>
        <v/>
      </c>
      <c r="N9868" s="113"/>
    </row>
    <row r="9869" spans="2:14">
      <c r="B9869" s="105"/>
      <c r="C9869" s="106"/>
      <c r="D9869" s="107"/>
      <c r="E9869" s="65"/>
      <c r="F9869" s="64"/>
      <c r="G9869" s="64"/>
      <c r="H9869" s="64"/>
      <c r="I9869" s="70"/>
      <c r="J9869" s="70"/>
      <c r="K9869" s="110" t="str">
        <f>IF(H9869="","",IF($C$29="간이법","",FPR(H9869,I9869,J9869)))</f>
        <v/>
      </c>
      <c r="L9869" s="111" t="str">
        <f>IF(H9869="","",IF($C$29="상세법",FPV(H9869,K9869),IF(H9869="EI",4,IF(H9869="EO",5.2,IF(H9869="EQ",3.9,IF(H9869="ILF",7.5,IF(H9869="EIF",5.4)))))))</f>
        <v/>
      </c>
      <c r="M9869" s="112" t="str">
        <f t="shared" si="157"/>
        <v/>
      </c>
      <c r="N9869" s="113"/>
    </row>
    <row r="9870" spans="2:14">
      <c r="B9870" s="105"/>
      <c r="C9870" s="106"/>
      <c r="D9870" s="107"/>
      <c r="E9870" s="65"/>
      <c r="F9870" s="64"/>
      <c r="G9870" s="64"/>
      <c r="H9870" s="64"/>
      <c r="I9870" s="70"/>
      <c r="J9870" s="70"/>
      <c r="K9870" s="110" t="str">
        <f>IF(H9870="","",IF($C$29="간이법","",FPR(H9870,I9870,J9870)))</f>
        <v/>
      </c>
      <c r="L9870" s="111" t="str">
        <f>IF(H9870="","",IF($C$29="상세법",FPV(H9870,K9870),IF(H9870="EI",4,IF(H9870="EO",5.2,IF(H9870="EQ",3.9,IF(H9870="ILF",7.5,IF(H9870="EIF",5.4)))))))</f>
        <v/>
      </c>
      <c r="M9870" s="112" t="str">
        <f t="shared" si="157"/>
        <v/>
      </c>
      <c r="N9870" s="113"/>
    </row>
    <row r="9871" spans="2:14">
      <c r="B9871" s="105"/>
      <c r="C9871" s="106"/>
      <c r="D9871" s="107"/>
      <c r="E9871" s="65"/>
      <c r="F9871" s="64"/>
      <c r="G9871" s="64"/>
      <c r="H9871" s="64"/>
      <c r="I9871" s="70"/>
      <c r="J9871" s="70"/>
      <c r="K9871" s="110" t="str">
        <f>IF(H9871="","",IF($C$29="간이법","",FPR(H9871,I9871,J9871)))</f>
        <v/>
      </c>
      <c r="L9871" s="111" t="str">
        <f>IF(H9871="","",IF($C$29="상세법",FPV(H9871,K9871),IF(H9871="EI",4,IF(H9871="EO",5.2,IF(H9871="EQ",3.9,IF(H9871="ILF",7.5,IF(H9871="EIF",5.4)))))))</f>
        <v/>
      </c>
      <c r="M9871" s="112" t="str">
        <f t="shared" si="157"/>
        <v/>
      </c>
      <c r="N9871" s="113"/>
    </row>
    <row r="9872" spans="2:14">
      <c r="B9872" s="105"/>
      <c r="C9872" s="106"/>
      <c r="D9872" s="107"/>
      <c r="E9872" s="65"/>
      <c r="F9872" s="64"/>
      <c r="G9872" s="64"/>
      <c r="H9872" s="64"/>
      <c r="I9872" s="70"/>
      <c r="J9872" s="70"/>
      <c r="K9872" s="110" t="str">
        <f>IF(H9872="","",IF($C$29="간이법","",FPR(H9872,I9872,J9872)))</f>
        <v/>
      </c>
      <c r="L9872" s="111" t="str">
        <f>IF(H9872="","",IF($C$29="상세법",FPV(H9872,K9872),IF(H9872="EI",4,IF(H9872="EO",5.2,IF(H9872="EQ",3.9,IF(H9872="ILF",7.5,IF(H9872="EIF",5.4)))))))</f>
        <v/>
      </c>
      <c r="M9872" s="112" t="str">
        <f t="shared" si="157"/>
        <v/>
      </c>
      <c r="N9872" s="113"/>
    </row>
    <row r="9873" spans="2:14">
      <c r="B9873" s="105"/>
      <c r="C9873" s="106"/>
      <c r="D9873" s="107"/>
      <c r="E9873" s="65"/>
      <c r="F9873" s="64"/>
      <c r="G9873" s="64"/>
      <c r="H9873" s="64"/>
      <c r="I9873" s="70"/>
      <c r="J9873" s="70"/>
      <c r="K9873" s="110" t="str">
        <f>IF(H9873="","",IF($C$29="간이법","",FPR(H9873,I9873,J9873)))</f>
        <v/>
      </c>
      <c r="L9873" s="111" t="str">
        <f>IF(H9873="","",IF($C$29="상세법",FPV(H9873,K9873),IF(H9873="EI",4,IF(H9873="EO",5.2,IF(H9873="EQ",3.9,IF(H9873="ILF",7.5,IF(H9873="EIF",5.4)))))))</f>
        <v/>
      </c>
      <c r="M9873" s="112" t="str">
        <f t="shared" si="157"/>
        <v/>
      </c>
      <c r="N9873" s="113"/>
    </row>
    <row r="9874" spans="2:14">
      <c r="B9874" s="105"/>
      <c r="C9874" s="106"/>
      <c r="D9874" s="107"/>
      <c r="E9874" s="65"/>
      <c r="F9874" s="64"/>
      <c r="G9874" s="64"/>
      <c r="H9874" s="64"/>
      <c r="I9874" s="70"/>
      <c r="J9874" s="70"/>
      <c r="K9874" s="110" t="str">
        <f>IF(H9874="","",IF($C$29="간이법","",FPR(H9874,I9874,J9874)))</f>
        <v/>
      </c>
      <c r="L9874" s="111" t="str">
        <f>IF(H9874="","",IF($C$29="상세법",FPV(H9874,K9874),IF(H9874="EI",4,IF(H9874="EO",5.2,IF(H9874="EQ",3.9,IF(H9874="ILF",7.5,IF(H9874="EIF",5.4)))))))</f>
        <v/>
      </c>
      <c r="M9874" s="112" t="str">
        <f t="shared" si="157"/>
        <v/>
      </c>
      <c r="N9874" s="113"/>
    </row>
    <row r="9875" spans="2:14">
      <c r="B9875" s="105"/>
      <c r="C9875" s="106"/>
      <c r="D9875" s="107"/>
      <c r="E9875" s="65"/>
      <c r="F9875" s="64"/>
      <c r="G9875" s="64"/>
      <c r="H9875" s="64"/>
      <c r="I9875" s="70"/>
      <c r="J9875" s="70"/>
      <c r="K9875" s="110" t="str">
        <f>IF(H9875="","",IF($C$29="간이법","",FPR(H9875,I9875,J9875)))</f>
        <v/>
      </c>
      <c r="L9875" s="111" t="str">
        <f>IF(H9875="","",IF($C$29="상세법",FPV(H9875,K9875),IF(H9875="EI",4,IF(H9875="EO",5.2,IF(H9875="EQ",3.9,IF(H9875="ILF",7.5,IF(H9875="EIF",5.4)))))))</f>
        <v/>
      </c>
      <c r="M9875" s="112" t="str">
        <f t="shared" si="157"/>
        <v/>
      </c>
      <c r="N9875" s="113"/>
    </row>
    <row r="9876" spans="2:14">
      <c r="B9876" s="105"/>
      <c r="C9876" s="106"/>
      <c r="D9876" s="107"/>
      <c r="E9876" s="65"/>
      <c r="F9876" s="64"/>
      <c r="G9876" s="64"/>
      <c r="H9876" s="64"/>
      <c r="I9876" s="70"/>
      <c r="J9876" s="70"/>
      <c r="K9876" s="110" t="str">
        <f>IF(H9876="","",IF($C$29="간이법","",FPR(H9876,I9876,J9876)))</f>
        <v/>
      </c>
      <c r="L9876" s="111" t="str">
        <f>IF(H9876="","",IF($C$29="상세법",FPV(H9876,K9876),IF(H9876="EI",4,IF(H9876="EO",5.2,IF(H9876="EQ",3.9,IF(H9876="ILF",7.5,IF(H9876="EIF",5.4)))))))</f>
        <v/>
      </c>
      <c r="M9876" s="112" t="str">
        <f t="shared" si="157"/>
        <v/>
      </c>
      <c r="N9876" s="113"/>
    </row>
    <row r="9877" spans="2:14">
      <c r="B9877" s="105"/>
      <c r="C9877" s="106"/>
      <c r="D9877" s="107"/>
      <c r="E9877" s="65"/>
      <c r="F9877" s="64"/>
      <c r="G9877" s="64"/>
      <c r="H9877" s="64"/>
      <c r="I9877" s="70"/>
      <c r="J9877" s="70"/>
      <c r="K9877" s="110" t="str">
        <f>IF(H9877="","",IF($C$29="간이법","",FPR(H9877,I9877,J9877)))</f>
        <v/>
      </c>
      <c r="L9877" s="111" t="str">
        <f>IF(H9877="","",IF($C$29="상세법",FPV(H9877,K9877),IF(H9877="EI",4,IF(H9877="EO",5.2,IF(H9877="EQ",3.9,IF(H9877="ILF",7.5,IF(H9877="EIF",5.4)))))))</f>
        <v/>
      </c>
      <c r="M9877" s="112" t="str">
        <f t="shared" si="157"/>
        <v/>
      </c>
      <c r="N9877" s="113"/>
    </row>
    <row r="9878" spans="2:14">
      <c r="B9878" s="105"/>
      <c r="C9878" s="106"/>
      <c r="D9878" s="107"/>
      <c r="E9878" s="65"/>
      <c r="F9878" s="64"/>
      <c r="G9878" s="64"/>
      <c r="H9878" s="64"/>
      <c r="I9878" s="70"/>
      <c r="J9878" s="70"/>
      <c r="K9878" s="110" t="str">
        <f>IF(H9878="","",IF($C$29="간이법","",FPR(H9878,I9878,J9878)))</f>
        <v/>
      </c>
      <c r="L9878" s="111" t="str">
        <f>IF(H9878="","",IF($C$29="상세법",FPV(H9878,K9878),IF(H9878="EI",4,IF(H9878="EO",5.2,IF(H9878="EQ",3.9,IF(H9878="ILF",7.5,IF(H9878="EIF",5.4)))))))</f>
        <v/>
      </c>
      <c r="M9878" s="112" t="str">
        <f t="shared" si="157"/>
        <v/>
      </c>
      <c r="N9878" s="113"/>
    </row>
    <row r="9879" spans="2:14">
      <c r="B9879" s="105"/>
      <c r="C9879" s="106"/>
      <c r="D9879" s="107"/>
      <c r="E9879" s="65"/>
      <c r="F9879" s="64"/>
      <c r="G9879" s="64"/>
      <c r="H9879" s="64"/>
      <c r="I9879" s="70"/>
      <c r="J9879" s="70"/>
      <c r="K9879" s="110" t="str">
        <f>IF(H9879="","",IF($C$29="간이법","",FPR(H9879,I9879,J9879)))</f>
        <v/>
      </c>
      <c r="L9879" s="111" t="str">
        <f>IF(H9879="","",IF($C$29="상세법",FPV(H9879,K9879),IF(H9879="EI",4,IF(H9879="EO",5.2,IF(H9879="EQ",3.9,IF(H9879="ILF",7.5,IF(H9879="EIF",5.4)))))))</f>
        <v/>
      </c>
      <c r="M9879" s="112" t="str">
        <f t="shared" si="157"/>
        <v/>
      </c>
      <c r="N9879" s="113"/>
    </row>
    <row r="9880" spans="2:14">
      <c r="B9880" s="105"/>
      <c r="C9880" s="106"/>
      <c r="D9880" s="107"/>
      <c r="E9880" s="65"/>
      <c r="F9880" s="64"/>
      <c r="G9880" s="64"/>
      <c r="H9880" s="64"/>
      <c r="I9880" s="70"/>
      <c r="J9880" s="70"/>
      <c r="K9880" s="110" t="str">
        <f>IF(H9880="","",IF($C$29="간이법","",FPR(H9880,I9880,J9880)))</f>
        <v/>
      </c>
      <c r="L9880" s="111" t="str">
        <f>IF(H9880="","",IF($C$29="상세법",FPV(H9880,K9880),IF(H9880="EI",4,IF(H9880="EO",5.2,IF(H9880="EQ",3.9,IF(H9880="ILF",7.5,IF(H9880="EIF",5.4)))))))</f>
        <v/>
      </c>
      <c r="M9880" s="112" t="str">
        <f t="shared" si="157"/>
        <v/>
      </c>
      <c r="N9880" s="113"/>
    </row>
    <row r="9881" spans="2:14">
      <c r="B9881" s="105"/>
      <c r="C9881" s="106"/>
      <c r="D9881" s="107"/>
      <c r="E9881" s="65"/>
      <c r="F9881" s="64"/>
      <c r="G9881" s="64"/>
      <c r="H9881" s="64"/>
      <c r="I9881" s="70"/>
      <c r="J9881" s="70"/>
      <c r="K9881" s="110" t="str">
        <f>IF(H9881="","",IF($C$29="간이법","",FPR(H9881,I9881,J9881)))</f>
        <v/>
      </c>
      <c r="L9881" s="111" t="str">
        <f>IF(H9881="","",IF($C$29="상세법",FPV(H9881,K9881),IF(H9881="EI",4,IF(H9881="EO",5.2,IF(H9881="EQ",3.9,IF(H9881="ILF",7.5,IF(H9881="EIF",5.4)))))))</f>
        <v/>
      </c>
      <c r="M9881" s="112" t="str">
        <f t="shared" si="157"/>
        <v/>
      </c>
      <c r="N9881" s="113"/>
    </row>
    <row r="9882" spans="2:14">
      <c r="B9882" s="105"/>
      <c r="C9882" s="106"/>
      <c r="D9882" s="107"/>
      <c r="E9882" s="65"/>
      <c r="F9882" s="64"/>
      <c r="G9882" s="64"/>
      <c r="H9882" s="64"/>
      <c r="I9882" s="70"/>
      <c r="J9882" s="70"/>
      <c r="K9882" s="110" t="str">
        <f>IF(H9882="","",IF($C$29="간이법","",FPR(H9882,I9882,J9882)))</f>
        <v/>
      </c>
      <c r="L9882" s="111" t="str">
        <f>IF(H9882="","",IF($C$29="상세법",FPV(H9882,K9882),IF(H9882="EI",4,IF(H9882="EO",5.2,IF(H9882="EQ",3.9,IF(H9882="ILF",7.5,IF(H9882="EIF",5.4)))))))</f>
        <v/>
      </c>
      <c r="M9882" s="112" t="str">
        <f t="shared" si="157"/>
        <v/>
      </c>
      <c r="N9882" s="113"/>
    </row>
    <row r="9883" spans="2:14">
      <c r="B9883" s="105"/>
      <c r="C9883" s="106"/>
      <c r="D9883" s="107"/>
      <c r="E9883" s="65"/>
      <c r="F9883" s="64"/>
      <c r="G9883" s="64"/>
      <c r="H9883" s="64"/>
      <c r="I9883" s="70"/>
      <c r="J9883" s="70"/>
      <c r="K9883" s="110" t="str">
        <f>IF(H9883="","",IF($C$29="간이법","",FPR(H9883,I9883,J9883)))</f>
        <v/>
      </c>
      <c r="L9883" s="111" t="str">
        <f>IF(H9883="","",IF($C$29="상세법",FPV(H9883,K9883),IF(H9883="EI",4,IF(H9883="EO",5.2,IF(H9883="EQ",3.9,IF(H9883="ILF",7.5,IF(H9883="EIF",5.4)))))))</f>
        <v/>
      </c>
      <c r="M9883" s="112" t="str">
        <f t="shared" si="157"/>
        <v/>
      </c>
      <c r="N9883" s="113"/>
    </row>
    <row r="9884" spans="2:14">
      <c r="B9884" s="105"/>
      <c r="C9884" s="106"/>
      <c r="D9884" s="107"/>
      <c r="E9884" s="65"/>
      <c r="F9884" s="64"/>
      <c r="G9884" s="64"/>
      <c r="H9884" s="64"/>
      <c r="I9884" s="70"/>
      <c r="J9884" s="70"/>
      <c r="K9884" s="110" t="str">
        <f>IF(H9884="","",IF($C$29="간이법","",FPR(H9884,I9884,J9884)))</f>
        <v/>
      </c>
      <c r="L9884" s="111" t="str">
        <f>IF(H9884="","",IF($C$29="상세법",FPV(H9884,K9884),IF(H9884="EI",4,IF(H9884="EO",5.2,IF(H9884="EQ",3.9,IF(H9884="ILF",7.5,IF(H9884="EIF",5.4)))))))</f>
        <v/>
      </c>
      <c r="M9884" s="112" t="str">
        <f t="shared" si="157"/>
        <v/>
      </c>
      <c r="N9884" s="113"/>
    </row>
    <row r="9885" spans="2:14">
      <c r="B9885" s="105"/>
      <c r="C9885" s="106"/>
      <c r="D9885" s="107"/>
      <c r="E9885" s="65"/>
      <c r="F9885" s="64"/>
      <c r="G9885" s="64"/>
      <c r="H9885" s="64"/>
      <c r="I9885" s="70"/>
      <c r="J9885" s="70"/>
      <c r="K9885" s="110" t="str">
        <f>IF(H9885="","",IF($C$29="간이법","",FPR(H9885,I9885,J9885)))</f>
        <v/>
      </c>
      <c r="L9885" s="111" t="str">
        <f>IF(H9885="","",IF($C$29="상세법",FPV(H9885,K9885),IF(H9885="EI",4,IF(H9885="EO",5.2,IF(H9885="EQ",3.9,IF(H9885="ILF",7.5,IF(H9885="EIF",5.4)))))))</f>
        <v/>
      </c>
      <c r="M9885" s="112" t="str">
        <f t="shared" si="157"/>
        <v/>
      </c>
      <c r="N9885" s="113"/>
    </row>
    <row r="9886" spans="2:14">
      <c r="B9886" s="105"/>
      <c r="C9886" s="106"/>
      <c r="D9886" s="107"/>
      <c r="E9886" s="65"/>
      <c r="F9886" s="64"/>
      <c r="G9886" s="64"/>
      <c r="H9886" s="64"/>
      <c r="I9886" s="70"/>
      <c r="J9886" s="70"/>
      <c r="K9886" s="110" t="str">
        <f>IF(H9886="","",IF($C$29="간이법","",FPR(H9886,I9886,J9886)))</f>
        <v/>
      </c>
      <c r="L9886" s="111" t="str">
        <f>IF(H9886="","",IF($C$29="상세법",FPV(H9886,K9886),IF(H9886="EI",4,IF(H9886="EO",5.2,IF(H9886="EQ",3.9,IF(H9886="ILF",7.5,IF(H9886="EIF",5.4)))))))</f>
        <v/>
      </c>
      <c r="M9886" s="112" t="str">
        <f t="shared" si="157"/>
        <v/>
      </c>
      <c r="N9886" s="113"/>
    </row>
    <row r="9887" spans="2:14">
      <c r="B9887" s="105"/>
      <c r="C9887" s="106"/>
      <c r="D9887" s="107"/>
      <c r="E9887" s="65"/>
      <c r="F9887" s="64"/>
      <c r="G9887" s="64"/>
      <c r="H9887" s="64"/>
      <c r="I9887" s="70"/>
      <c r="J9887" s="70"/>
      <c r="K9887" s="110" t="str">
        <f>IF(H9887="","",IF($C$29="간이법","",FPR(H9887,I9887,J9887)))</f>
        <v/>
      </c>
      <c r="L9887" s="111" t="str">
        <f>IF(H9887="","",IF($C$29="상세법",FPV(H9887,K9887),IF(H9887="EI",4,IF(H9887="EO",5.2,IF(H9887="EQ",3.9,IF(H9887="ILF",7.5,IF(H9887="EIF",5.4)))))))</f>
        <v/>
      </c>
      <c r="M9887" s="112" t="str">
        <f t="shared" si="157"/>
        <v/>
      </c>
      <c r="N9887" s="113"/>
    </row>
    <row r="9888" spans="2:14">
      <c r="B9888" s="105"/>
      <c r="C9888" s="106"/>
      <c r="D9888" s="107"/>
      <c r="E9888" s="65"/>
      <c r="F9888" s="64"/>
      <c r="G9888" s="64"/>
      <c r="H9888" s="64"/>
      <c r="I9888" s="70"/>
      <c r="J9888" s="70"/>
      <c r="K9888" s="110" t="str">
        <f>IF(H9888="","",IF($C$29="간이법","",FPR(H9888,I9888,J9888)))</f>
        <v/>
      </c>
      <c r="L9888" s="111" t="str">
        <f>IF(H9888="","",IF($C$29="상세법",FPV(H9888,K9888),IF(H9888="EI",4,IF(H9888="EO",5.2,IF(H9888="EQ",3.9,IF(H9888="ILF",7.5,IF(H9888="EIF",5.4)))))))</f>
        <v/>
      </c>
      <c r="M9888" s="112" t="str">
        <f t="shared" si="157"/>
        <v/>
      </c>
      <c r="N9888" s="113"/>
    </row>
    <row r="9889" spans="2:14">
      <c r="B9889" s="105"/>
      <c r="C9889" s="106"/>
      <c r="D9889" s="107"/>
      <c r="E9889" s="65"/>
      <c r="F9889" s="64"/>
      <c r="G9889" s="64"/>
      <c r="H9889" s="64"/>
      <c r="I9889" s="70"/>
      <c r="J9889" s="70"/>
      <c r="K9889" s="110" t="str">
        <f>IF(H9889="","",IF($C$29="간이법","",FPR(H9889,I9889,J9889)))</f>
        <v/>
      </c>
      <c r="L9889" s="111" t="str">
        <f>IF(H9889="","",IF($C$29="상세법",FPV(H9889,K9889),IF(H9889="EI",4,IF(H9889="EO",5.2,IF(H9889="EQ",3.9,IF(H9889="ILF",7.5,IF(H9889="EIF",5.4)))))))</f>
        <v/>
      </c>
      <c r="M9889" s="112" t="str">
        <f t="shared" si="157"/>
        <v/>
      </c>
      <c r="N9889" s="113"/>
    </row>
    <row r="9890" spans="2:14">
      <c r="B9890" s="105"/>
      <c r="C9890" s="106"/>
      <c r="D9890" s="107"/>
      <c r="E9890" s="65"/>
      <c r="F9890" s="64"/>
      <c r="G9890" s="64"/>
      <c r="H9890" s="64"/>
      <c r="I9890" s="70"/>
      <c r="J9890" s="70"/>
      <c r="K9890" s="110" t="str">
        <f>IF(H9890="","",IF($C$29="간이법","",FPR(H9890,I9890,J9890)))</f>
        <v/>
      </c>
      <c r="L9890" s="111" t="str">
        <f>IF(H9890="","",IF($C$29="상세법",FPV(H9890,K9890),IF(H9890="EI",4,IF(H9890="EO",5.2,IF(H9890="EQ",3.9,IF(H9890="ILF",7.5,IF(H9890="EIF",5.4)))))))</f>
        <v/>
      </c>
      <c r="M9890" s="112" t="str">
        <f t="shared" si="157"/>
        <v/>
      </c>
      <c r="N9890" s="113"/>
    </row>
    <row r="9891" spans="2:14">
      <c r="B9891" s="105"/>
      <c r="C9891" s="106"/>
      <c r="D9891" s="107"/>
      <c r="E9891" s="65"/>
      <c r="F9891" s="64"/>
      <c r="G9891" s="64"/>
      <c r="H9891" s="64"/>
      <c r="I9891" s="70"/>
      <c r="J9891" s="70"/>
      <c r="K9891" s="110" t="str">
        <f>IF(H9891="","",IF($C$29="간이법","",FPR(H9891,I9891,J9891)))</f>
        <v/>
      </c>
      <c r="L9891" s="111" t="str">
        <f>IF(H9891="","",IF($C$29="상세법",FPV(H9891,K9891),IF(H9891="EI",4,IF(H9891="EO",5.2,IF(H9891="EQ",3.9,IF(H9891="ILF",7.5,IF(H9891="EIF",5.4)))))))</f>
        <v/>
      </c>
      <c r="M9891" s="112" t="str">
        <f t="shared" si="157"/>
        <v/>
      </c>
      <c r="N9891" s="113"/>
    </row>
    <row r="9892" spans="2:14">
      <c r="B9892" s="105"/>
      <c r="C9892" s="106"/>
      <c r="D9892" s="107"/>
      <c r="E9892" s="65"/>
      <c r="F9892" s="64"/>
      <c r="G9892" s="64"/>
      <c r="H9892" s="64"/>
      <c r="I9892" s="70"/>
      <c r="J9892" s="70"/>
      <c r="K9892" s="110" t="str">
        <f>IF(H9892="","",IF($C$29="간이법","",FPR(H9892,I9892,J9892)))</f>
        <v/>
      </c>
      <c r="L9892" s="111" t="str">
        <f>IF(H9892="","",IF($C$29="상세법",FPV(H9892,K9892),IF(H9892="EI",4,IF(H9892="EO",5.2,IF(H9892="EQ",3.9,IF(H9892="ILF",7.5,IF(H9892="EIF",5.4)))))))</f>
        <v/>
      </c>
      <c r="M9892" s="112" t="str">
        <f t="shared" si="157"/>
        <v/>
      </c>
      <c r="N9892" s="113"/>
    </row>
    <row r="9893" spans="2:14">
      <c r="B9893" s="105"/>
      <c r="C9893" s="106"/>
      <c r="D9893" s="107"/>
      <c r="E9893" s="65"/>
      <c r="F9893" s="64"/>
      <c r="G9893" s="64"/>
      <c r="H9893" s="64"/>
      <c r="I9893" s="70"/>
      <c r="J9893" s="70"/>
      <c r="K9893" s="110" t="str">
        <f>IF(H9893="","",IF($C$29="간이법","",FPR(H9893,I9893,J9893)))</f>
        <v/>
      </c>
      <c r="L9893" s="111" t="str">
        <f>IF(H9893="","",IF($C$29="상세법",FPV(H9893,K9893),IF(H9893="EI",4,IF(H9893="EO",5.2,IF(H9893="EQ",3.9,IF(H9893="ILF",7.5,IF(H9893="EIF",5.4)))))))</f>
        <v/>
      </c>
      <c r="M9893" s="112" t="str">
        <f t="shared" si="157"/>
        <v/>
      </c>
      <c r="N9893" s="113"/>
    </row>
    <row r="9894" spans="2:14">
      <c r="B9894" s="105"/>
      <c r="C9894" s="106"/>
      <c r="D9894" s="107"/>
      <c r="E9894" s="65"/>
      <c r="F9894" s="64"/>
      <c r="G9894" s="64"/>
      <c r="H9894" s="64"/>
      <c r="I9894" s="70"/>
      <c r="J9894" s="70"/>
      <c r="K9894" s="110" t="str">
        <f>IF(H9894="","",IF($C$29="간이법","",FPR(H9894,I9894,J9894)))</f>
        <v/>
      </c>
      <c r="L9894" s="111" t="str">
        <f>IF(H9894="","",IF($C$29="상세법",FPV(H9894,K9894),IF(H9894="EI",4,IF(H9894="EO",5.2,IF(H9894="EQ",3.9,IF(H9894="ILF",7.5,IF(H9894="EIF",5.4)))))))</f>
        <v/>
      </c>
      <c r="M9894" s="112" t="str">
        <f t="shared" si="157"/>
        <v/>
      </c>
      <c r="N9894" s="113"/>
    </row>
    <row r="9895" spans="2:14">
      <c r="B9895" s="105"/>
      <c r="C9895" s="106"/>
      <c r="D9895" s="107"/>
      <c r="E9895" s="65"/>
      <c r="F9895" s="64"/>
      <c r="G9895" s="64"/>
      <c r="H9895" s="64"/>
      <c r="I9895" s="70"/>
      <c r="J9895" s="70"/>
      <c r="K9895" s="110" t="str">
        <f>IF(H9895="","",IF($C$29="간이법","",FPR(H9895,I9895,J9895)))</f>
        <v/>
      </c>
      <c r="L9895" s="111" t="str">
        <f>IF(H9895="","",IF($C$29="상세법",FPV(H9895,K9895),IF(H9895="EI",4,IF(H9895="EO",5.2,IF(H9895="EQ",3.9,IF(H9895="ILF",7.5,IF(H9895="EIF",5.4)))))))</f>
        <v/>
      </c>
      <c r="M9895" s="112" t="str">
        <f t="shared" si="157"/>
        <v/>
      </c>
      <c r="N9895" s="113"/>
    </row>
    <row r="9896" spans="2:14">
      <c r="B9896" s="105"/>
      <c r="C9896" s="106"/>
      <c r="D9896" s="107"/>
      <c r="E9896" s="65"/>
      <c r="F9896" s="64"/>
      <c r="G9896" s="64"/>
      <c r="H9896" s="64"/>
      <c r="I9896" s="70"/>
      <c r="J9896" s="70"/>
      <c r="K9896" s="110" t="str">
        <f>IF(H9896="","",IF($C$29="간이법","",FPR(H9896,I9896,J9896)))</f>
        <v/>
      </c>
      <c r="L9896" s="111" t="str">
        <f>IF(H9896="","",IF($C$29="상세법",FPV(H9896,K9896),IF(H9896="EI",4,IF(H9896="EO",5.2,IF(H9896="EQ",3.9,IF(H9896="ILF",7.5,IF(H9896="EIF",5.4)))))))</f>
        <v/>
      </c>
      <c r="M9896" s="112" t="str">
        <f t="shared" si="157"/>
        <v/>
      </c>
      <c r="N9896" s="113"/>
    </row>
    <row r="9897" spans="2:14">
      <c r="B9897" s="105"/>
      <c r="C9897" s="106"/>
      <c r="D9897" s="107"/>
      <c r="E9897" s="65"/>
      <c r="F9897" s="64"/>
      <c r="G9897" s="64"/>
      <c r="H9897" s="64"/>
      <c r="I9897" s="70"/>
      <c r="J9897" s="70"/>
      <c r="K9897" s="110" t="str">
        <f>IF(H9897="","",IF($C$29="간이법","",FPR(H9897,I9897,J9897)))</f>
        <v/>
      </c>
      <c r="L9897" s="111" t="str">
        <f>IF(H9897="","",IF($C$29="상세법",FPV(H9897,K9897),IF(H9897="EI",4,IF(H9897="EO",5.2,IF(H9897="EQ",3.9,IF(H9897="ILF",7.5,IF(H9897="EIF",5.4)))))))</f>
        <v/>
      </c>
      <c r="M9897" s="112" t="str">
        <f t="shared" si="157"/>
        <v/>
      </c>
      <c r="N9897" s="113"/>
    </row>
    <row r="9898" spans="2:14">
      <c r="B9898" s="105"/>
      <c r="C9898" s="106"/>
      <c r="D9898" s="107"/>
      <c r="E9898" s="65"/>
      <c r="F9898" s="64"/>
      <c r="G9898" s="64"/>
      <c r="H9898" s="64"/>
      <c r="I9898" s="70"/>
      <c r="J9898" s="70"/>
      <c r="K9898" s="110" t="str">
        <f>IF(H9898="","",IF($C$29="간이법","",FPR(H9898,I9898,J9898)))</f>
        <v/>
      </c>
      <c r="L9898" s="111" t="str">
        <f>IF(H9898="","",IF($C$29="상세법",FPV(H9898,K9898),IF(H9898="EI",4,IF(H9898="EO",5.2,IF(H9898="EQ",3.9,IF(H9898="ILF",7.5,IF(H9898="EIF",5.4)))))))</f>
        <v/>
      </c>
      <c r="M9898" s="112" t="str">
        <f t="shared" si="157"/>
        <v/>
      </c>
      <c r="N9898" s="113"/>
    </row>
    <row r="9899" spans="2:14">
      <c r="B9899" s="105"/>
      <c r="C9899" s="106"/>
      <c r="D9899" s="107"/>
      <c r="E9899" s="65"/>
      <c r="F9899" s="64"/>
      <c r="G9899" s="64"/>
      <c r="H9899" s="64"/>
      <c r="I9899" s="70"/>
      <c r="J9899" s="70"/>
      <c r="K9899" s="110" t="str">
        <f>IF(H9899="","",IF($C$29="간이법","",FPR(H9899,I9899,J9899)))</f>
        <v/>
      </c>
      <c r="L9899" s="111" t="str">
        <f>IF(H9899="","",IF($C$29="상세법",FPV(H9899,K9899),IF(H9899="EI",4,IF(H9899="EO",5.2,IF(H9899="EQ",3.9,IF(H9899="ILF",7.5,IF(H9899="EIF",5.4)))))))</f>
        <v/>
      </c>
      <c r="M9899" s="112" t="str">
        <f t="shared" si="157"/>
        <v/>
      </c>
      <c r="N9899" s="113"/>
    </row>
    <row r="9900" spans="2:14">
      <c r="B9900" s="105"/>
      <c r="C9900" s="106"/>
      <c r="D9900" s="107"/>
      <c r="E9900" s="65"/>
      <c r="F9900" s="64"/>
      <c r="G9900" s="64"/>
      <c r="H9900" s="64"/>
      <c r="I9900" s="70"/>
      <c r="J9900" s="70"/>
      <c r="K9900" s="110" t="str">
        <f>IF(H9900="","",IF($C$29="간이법","",FPR(H9900,I9900,J9900)))</f>
        <v/>
      </c>
      <c r="L9900" s="111" t="str">
        <f>IF(H9900="","",IF($C$29="상세법",FPV(H9900,K9900),IF(H9900="EI",4,IF(H9900="EO",5.2,IF(H9900="EQ",3.9,IF(H9900="ILF",7.5,IF(H9900="EIF",5.4)))))))</f>
        <v/>
      </c>
      <c r="M9900" s="112" t="str">
        <f t="shared" si="157"/>
        <v/>
      </c>
      <c r="N9900" s="113"/>
    </row>
    <row r="9901" spans="2:14">
      <c r="B9901" s="105"/>
      <c r="C9901" s="106"/>
      <c r="D9901" s="107"/>
      <c r="E9901" s="65"/>
      <c r="F9901" s="64"/>
      <c r="G9901" s="64"/>
      <c r="H9901" s="64"/>
      <c r="I9901" s="70"/>
      <c r="J9901" s="70"/>
      <c r="K9901" s="110" t="str">
        <f>IF(H9901="","",IF($C$29="간이법","",FPR(H9901,I9901,J9901)))</f>
        <v/>
      </c>
      <c r="L9901" s="111" t="str">
        <f>IF(H9901="","",IF($C$29="상세법",FPV(H9901,K9901),IF(H9901="EI",4,IF(H9901="EO",5.2,IF(H9901="EQ",3.9,IF(H9901="ILF",7.5,IF(H9901="EIF",5.4)))))))</f>
        <v/>
      </c>
      <c r="M9901" s="112" t="str">
        <f t="shared" si="157"/>
        <v/>
      </c>
      <c r="N9901" s="113"/>
    </row>
    <row r="9902" spans="2:14">
      <c r="B9902" s="105"/>
      <c r="C9902" s="106"/>
      <c r="D9902" s="107"/>
      <c r="E9902" s="65"/>
      <c r="F9902" s="64"/>
      <c r="G9902" s="64"/>
      <c r="H9902" s="64"/>
      <c r="I9902" s="70"/>
      <c r="J9902" s="70"/>
      <c r="K9902" s="110" t="str">
        <f>IF(H9902="","",IF($C$29="간이법","",FPR(H9902,I9902,J9902)))</f>
        <v/>
      </c>
      <c r="L9902" s="111" t="str">
        <f>IF(H9902="","",IF($C$29="상세법",FPV(H9902,K9902),IF(H9902="EI",4,IF(H9902="EO",5.2,IF(H9902="EQ",3.9,IF(H9902="ILF",7.5,IF(H9902="EIF",5.4)))))))</f>
        <v/>
      </c>
      <c r="M9902" s="112" t="str">
        <f t="shared" si="157"/>
        <v/>
      </c>
      <c r="N9902" s="113"/>
    </row>
    <row r="9903" spans="2:14">
      <c r="B9903" s="105"/>
      <c r="C9903" s="106"/>
      <c r="D9903" s="107"/>
      <c r="E9903" s="65"/>
      <c r="F9903" s="64"/>
      <c r="G9903" s="64"/>
      <c r="H9903" s="64"/>
      <c r="I9903" s="70"/>
      <c r="J9903" s="70"/>
      <c r="K9903" s="110" t="str">
        <f>IF(H9903="","",IF($C$29="간이법","",FPR(H9903,I9903,J9903)))</f>
        <v/>
      </c>
      <c r="L9903" s="111" t="str">
        <f>IF(H9903="","",IF($C$29="상세법",FPV(H9903,K9903),IF(H9903="EI",4,IF(H9903="EO",5.2,IF(H9903="EQ",3.9,IF(H9903="ILF",7.5,IF(H9903="EIF",5.4)))))))</f>
        <v/>
      </c>
      <c r="M9903" s="112" t="str">
        <f t="shared" si="157"/>
        <v/>
      </c>
      <c r="N9903" s="113"/>
    </row>
    <row r="9904" spans="2:14">
      <c r="B9904" s="105"/>
      <c r="C9904" s="106"/>
      <c r="D9904" s="107"/>
      <c r="E9904" s="65"/>
      <c r="F9904" s="64"/>
      <c r="G9904" s="64"/>
      <c r="H9904" s="64"/>
      <c r="I9904" s="70"/>
      <c r="J9904" s="70"/>
      <c r="K9904" s="110" t="str">
        <f>IF(H9904="","",IF($C$29="간이법","",FPR(H9904,I9904,J9904)))</f>
        <v/>
      </c>
      <c r="L9904" s="111" t="str">
        <f>IF(H9904="","",IF($C$29="상세법",FPV(H9904,K9904),IF(H9904="EI",4,IF(H9904="EO",5.2,IF(H9904="EQ",3.9,IF(H9904="ILF",7.5,IF(H9904="EIF",5.4)))))))</f>
        <v/>
      </c>
      <c r="M9904" s="112" t="str">
        <f t="shared" si="157"/>
        <v/>
      </c>
      <c r="N9904" s="113"/>
    </row>
    <row r="9905" spans="2:14">
      <c r="B9905" s="105"/>
      <c r="C9905" s="106"/>
      <c r="D9905" s="107"/>
      <c r="E9905" s="65"/>
      <c r="F9905" s="64"/>
      <c r="G9905" s="64"/>
      <c r="H9905" s="64"/>
      <c r="I9905" s="70"/>
      <c r="J9905" s="70"/>
      <c r="K9905" s="110" t="str">
        <f>IF(H9905="","",IF($C$29="간이법","",FPR(H9905,I9905,J9905)))</f>
        <v/>
      </c>
      <c r="L9905" s="111" t="str">
        <f>IF(H9905="","",IF($C$29="상세법",FPV(H9905,K9905),IF(H9905="EI",4,IF(H9905="EO",5.2,IF(H9905="EQ",3.9,IF(H9905="ILF",7.5,IF(H9905="EIF",5.4)))))))</f>
        <v/>
      </c>
      <c r="M9905" s="112" t="str">
        <f t="shared" si="157"/>
        <v/>
      </c>
      <c r="N9905" s="113"/>
    </row>
    <row r="9906" spans="2:14">
      <c r="B9906" s="105"/>
      <c r="C9906" s="106"/>
      <c r="D9906" s="107"/>
      <c r="E9906" s="65"/>
      <c r="F9906" s="64"/>
      <c r="G9906" s="64"/>
      <c r="H9906" s="64"/>
      <c r="I9906" s="70"/>
      <c r="J9906" s="70"/>
      <c r="K9906" s="110" t="str">
        <f>IF(H9906="","",IF($C$29="간이법","",FPR(H9906,I9906,J9906)))</f>
        <v/>
      </c>
      <c r="L9906" s="111" t="str">
        <f>IF(H9906="","",IF($C$29="상세법",FPV(H9906,K9906),IF(H9906="EI",4,IF(H9906="EO",5.2,IF(H9906="EQ",3.9,IF(H9906="ILF",7.5,IF(H9906="EIF",5.4)))))))</f>
        <v/>
      </c>
      <c r="M9906" s="112" t="str">
        <f t="shared" si="157"/>
        <v/>
      </c>
      <c r="N9906" s="113"/>
    </row>
    <row r="9907" spans="2:14">
      <c r="B9907" s="105"/>
      <c r="C9907" s="106"/>
      <c r="D9907" s="107"/>
      <c r="E9907" s="65"/>
      <c r="F9907" s="64"/>
      <c r="G9907" s="64"/>
      <c r="H9907" s="64"/>
      <c r="I9907" s="70"/>
      <c r="J9907" s="70"/>
      <c r="K9907" s="110" t="str">
        <f>IF(H9907="","",IF($C$29="간이법","",FPR(H9907,I9907,J9907)))</f>
        <v/>
      </c>
      <c r="L9907" s="111" t="str">
        <f>IF(H9907="","",IF($C$29="상세법",FPV(H9907,K9907),IF(H9907="EI",4,IF(H9907="EO",5.2,IF(H9907="EQ",3.9,IF(H9907="ILF",7.5,IF(H9907="EIF",5.4)))))))</f>
        <v/>
      </c>
      <c r="M9907" s="112" t="str">
        <f t="shared" si="157"/>
        <v/>
      </c>
      <c r="N9907" s="113"/>
    </row>
    <row r="9908" spans="2:14">
      <c r="B9908" s="105"/>
      <c r="C9908" s="106"/>
      <c r="D9908" s="107"/>
      <c r="E9908" s="65"/>
      <c r="F9908" s="64"/>
      <c r="G9908" s="64"/>
      <c r="H9908" s="64"/>
      <c r="I9908" s="70"/>
      <c r="J9908" s="70"/>
      <c r="K9908" s="110" t="str">
        <f>IF(H9908="","",IF($C$29="간이법","",FPR(H9908,I9908,J9908)))</f>
        <v/>
      </c>
      <c r="L9908" s="111" t="str">
        <f>IF(H9908="","",IF($C$29="상세법",FPV(H9908,K9908),IF(H9908="EI",4,IF(H9908="EO",5.2,IF(H9908="EQ",3.9,IF(H9908="ILF",7.5,IF(H9908="EIF",5.4)))))))</f>
        <v/>
      </c>
      <c r="M9908" s="112" t="str">
        <f t="shared" si="157"/>
        <v/>
      </c>
      <c r="N9908" s="113"/>
    </row>
    <row r="9909" spans="2:14">
      <c r="B9909" s="105"/>
      <c r="C9909" s="106"/>
      <c r="D9909" s="107"/>
      <c r="E9909" s="65"/>
      <c r="F9909" s="64"/>
      <c r="G9909" s="64"/>
      <c r="H9909" s="64"/>
      <c r="I9909" s="70"/>
      <c r="J9909" s="70"/>
      <c r="K9909" s="110" t="str">
        <f>IF(H9909="","",IF($C$29="간이법","",FPR(H9909,I9909,J9909)))</f>
        <v/>
      </c>
      <c r="L9909" s="111" t="str">
        <f>IF(H9909="","",IF($C$29="상세법",FPV(H9909,K9909),IF(H9909="EI",4,IF(H9909="EO",5.2,IF(H9909="EQ",3.9,IF(H9909="ILF",7.5,IF(H9909="EIF",5.4)))))))</f>
        <v/>
      </c>
      <c r="M9909" s="112" t="str">
        <f t="shared" si="157"/>
        <v/>
      </c>
      <c r="N9909" s="113"/>
    </row>
    <row r="9910" spans="2:14">
      <c r="B9910" s="105"/>
      <c r="C9910" s="106"/>
      <c r="D9910" s="107"/>
      <c r="E9910" s="65"/>
      <c r="F9910" s="64"/>
      <c r="G9910" s="64"/>
      <c r="H9910" s="64"/>
      <c r="I9910" s="70"/>
      <c r="J9910" s="70"/>
      <c r="K9910" s="110" t="str">
        <f>IF(H9910="","",IF($C$29="간이법","",FPR(H9910,I9910,J9910)))</f>
        <v/>
      </c>
      <c r="L9910" s="111" t="str">
        <f>IF(H9910="","",IF($C$29="상세법",FPV(H9910,K9910),IF(H9910="EI",4,IF(H9910="EO",5.2,IF(H9910="EQ",3.9,IF(H9910="ILF",7.5,IF(H9910="EIF",5.4)))))))</f>
        <v/>
      </c>
      <c r="M9910" s="112" t="str">
        <f t="shared" si="157"/>
        <v/>
      </c>
      <c r="N9910" s="113"/>
    </row>
    <row r="9911" spans="2:14">
      <c r="B9911" s="105"/>
      <c r="C9911" s="106"/>
      <c r="D9911" s="107"/>
      <c r="E9911" s="65"/>
      <c r="F9911" s="64"/>
      <c r="G9911" s="64"/>
      <c r="H9911" s="64"/>
      <c r="I9911" s="70"/>
      <c r="J9911" s="70"/>
      <c r="K9911" s="110" t="str">
        <f>IF(H9911="","",IF($C$29="간이법","",FPR(H9911,I9911,J9911)))</f>
        <v/>
      </c>
      <c r="L9911" s="111" t="str">
        <f>IF(H9911="","",IF($C$29="상세법",FPV(H9911,K9911),IF(H9911="EI",4,IF(H9911="EO",5.2,IF(H9911="EQ",3.9,IF(H9911="ILF",7.5,IF(H9911="EIF",5.4)))))))</f>
        <v/>
      </c>
      <c r="M9911" s="112" t="str">
        <f t="shared" si="157"/>
        <v/>
      </c>
      <c r="N9911" s="113"/>
    </row>
    <row r="9912" spans="2:14">
      <c r="B9912" s="105"/>
      <c r="C9912" s="106"/>
      <c r="D9912" s="107"/>
      <c r="E9912" s="65"/>
      <c r="F9912" s="64"/>
      <c r="G9912" s="64"/>
      <c r="H9912" s="64"/>
      <c r="I9912" s="70"/>
      <c r="J9912" s="70"/>
      <c r="K9912" s="110" t="str">
        <f>IF(H9912="","",IF($C$29="간이법","",FPR(H9912,I9912,J9912)))</f>
        <v/>
      </c>
      <c r="L9912" s="111" t="str">
        <f>IF(H9912="","",IF($C$29="상세법",FPV(H9912,K9912),IF(H9912="EI",4,IF(H9912="EO",5.2,IF(H9912="EQ",3.9,IF(H9912="ILF",7.5,IF(H9912="EIF",5.4)))))))</f>
        <v/>
      </c>
      <c r="M9912" s="112" t="str">
        <f t="shared" si="157"/>
        <v/>
      </c>
      <c r="N9912" s="113"/>
    </row>
    <row r="9913" spans="2:14">
      <c r="B9913" s="105"/>
      <c r="C9913" s="106"/>
      <c r="D9913" s="107"/>
      <c r="E9913" s="65"/>
      <c r="F9913" s="64"/>
      <c r="G9913" s="64"/>
      <c r="H9913" s="64"/>
      <c r="I9913" s="70"/>
      <c r="J9913" s="70"/>
      <c r="K9913" s="110" t="str">
        <f>IF(H9913="","",IF($C$29="간이법","",FPR(H9913,I9913,J9913)))</f>
        <v/>
      </c>
      <c r="L9913" s="111" t="str">
        <f>IF(H9913="","",IF($C$29="상세법",FPV(H9913,K9913),IF(H9913="EI",4,IF(H9913="EO",5.2,IF(H9913="EQ",3.9,IF(H9913="ILF",7.5,IF(H9913="EIF",5.4)))))))</f>
        <v/>
      </c>
      <c r="M9913" s="112" t="str">
        <f t="shared" ref="M9913:M9976" si="158">IF(L9913="","",L9913*IF(G9913="상",0.7,IF(G9913="중",0.5,IF(G9913="하",0.2,1))))</f>
        <v/>
      </c>
      <c r="N9913" s="113"/>
    </row>
    <row r="9914" spans="2:14">
      <c r="B9914" s="105"/>
      <c r="C9914" s="106"/>
      <c r="D9914" s="107"/>
      <c r="E9914" s="65"/>
      <c r="F9914" s="64"/>
      <c r="G9914" s="64"/>
      <c r="H9914" s="64"/>
      <c r="I9914" s="70"/>
      <c r="J9914" s="70"/>
      <c r="K9914" s="110" t="str">
        <f>IF(H9914="","",IF($C$29="간이법","",FPR(H9914,I9914,J9914)))</f>
        <v/>
      </c>
      <c r="L9914" s="111" t="str">
        <f>IF(H9914="","",IF($C$29="상세법",FPV(H9914,K9914),IF(H9914="EI",4,IF(H9914="EO",5.2,IF(H9914="EQ",3.9,IF(H9914="ILF",7.5,IF(H9914="EIF",5.4)))))))</f>
        <v/>
      </c>
      <c r="M9914" s="112" t="str">
        <f t="shared" si="158"/>
        <v/>
      </c>
      <c r="N9914" s="113"/>
    </row>
    <row r="9915" spans="2:14">
      <c r="B9915" s="105"/>
      <c r="C9915" s="106"/>
      <c r="D9915" s="107"/>
      <c r="E9915" s="65"/>
      <c r="F9915" s="64"/>
      <c r="G9915" s="64"/>
      <c r="H9915" s="64"/>
      <c r="I9915" s="70"/>
      <c r="J9915" s="70"/>
      <c r="K9915" s="110" t="str">
        <f>IF(H9915="","",IF($C$29="간이법","",FPR(H9915,I9915,J9915)))</f>
        <v/>
      </c>
      <c r="L9915" s="111" t="str">
        <f>IF(H9915="","",IF($C$29="상세법",FPV(H9915,K9915),IF(H9915="EI",4,IF(H9915="EO",5.2,IF(H9915="EQ",3.9,IF(H9915="ILF",7.5,IF(H9915="EIF",5.4)))))))</f>
        <v/>
      </c>
      <c r="M9915" s="112" t="str">
        <f t="shared" si="158"/>
        <v/>
      </c>
      <c r="N9915" s="113"/>
    </row>
    <row r="9916" spans="2:14">
      <c r="B9916" s="105"/>
      <c r="C9916" s="106"/>
      <c r="D9916" s="107"/>
      <c r="E9916" s="65"/>
      <c r="F9916" s="64"/>
      <c r="G9916" s="64"/>
      <c r="H9916" s="64"/>
      <c r="I9916" s="70"/>
      <c r="J9916" s="70"/>
      <c r="K9916" s="110" t="str">
        <f>IF(H9916="","",IF($C$29="간이법","",FPR(H9916,I9916,J9916)))</f>
        <v/>
      </c>
      <c r="L9916" s="111" t="str">
        <f>IF(H9916="","",IF($C$29="상세법",FPV(H9916,K9916),IF(H9916="EI",4,IF(H9916="EO",5.2,IF(H9916="EQ",3.9,IF(H9916="ILF",7.5,IF(H9916="EIF",5.4)))))))</f>
        <v/>
      </c>
      <c r="M9916" s="112" t="str">
        <f t="shared" si="158"/>
        <v/>
      </c>
      <c r="N9916" s="113"/>
    </row>
    <row r="9917" spans="2:14">
      <c r="B9917" s="105"/>
      <c r="C9917" s="106"/>
      <c r="D9917" s="107"/>
      <c r="E9917" s="65"/>
      <c r="F9917" s="64"/>
      <c r="G9917" s="64"/>
      <c r="H9917" s="64"/>
      <c r="I9917" s="70"/>
      <c r="J9917" s="70"/>
      <c r="K9917" s="110" t="str">
        <f>IF(H9917="","",IF($C$29="간이법","",FPR(H9917,I9917,J9917)))</f>
        <v/>
      </c>
      <c r="L9917" s="111" t="str">
        <f>IF(H9917="","",IF($C$29="상세법",FPV(H9917,K9917),IF(H9917="EI",4,IF(H9917="EO",5.2,IF(H9917="EQ",3.9,IF(H9917="ILF",7.5,IF(H9917="EIF",5.4)))))))</f>
        <v/>
      </c>
      <c r="M9917" s="112" t="str">
        <f t="shared" si="158"/>
        <v/>
      </c>
      <c r="N9917" s="113"/>
    </row>
    <row r="9918" spans="2:14">
      <c r="B9918" s="105"/>
      <c r="C9918" s="106"/>
      <c r="D9918" s="107"/>
      <c r="E9918" s="65"/>
      <c r="F9918" s="64"/>
      <c r="G9918" s="64"/>
      <c r="H9918" s="64"/>
      <c r="I9918" s="70"/>
      <c r="J9918" s="70"/>
      <c r="K9918" s="110" t="str">
        <f>IF(H9918="","",IF($C$29="간이법","",FPR(H9918,I9918,J9918)))</f>
        <v/>
      </c>
      <c r="L9918" s="111" t="str">
        <f>IF(H9918="","",IF($C$29="상세법",FPV(H9918,K9918),IF(H9918="EI",4,IF(H9918="EO",5.2,IF(H9918="EQ",3.9,IF(H9918="ILF",7.5,IF(H9918="EIF",5.4)))))))</f>
        <v/>
      </c>
      <c r="M9918" s="112" t="str">
        <f t="shared" si="158"/>
        <v/>
      </c>
      <c r="N9918" s="113"/>
    </row>
    <row r="9919" spans="2:14">
      <c r="B9919" s="105"/>
      <c r="C9919" s="106"/>
      <c r="D9919" s="107"/>
      <c r="E9919" s="65"/>
      <c r="F9919" s="64"/>
      <c r="G9919" s="64"/>
      <c r="H9919" s="64"/>
      <c r="I9919" s="70"/>
      <c r="J9919" s="70"/>
      <c r="K9919" s="110" t="str">
        <f>IF(H9919="","",IF($C$29="간이법","",FPR(H9919,I9919,J9919)))</f>
        <v/>
      </c>
      <c r="L9919" s="111" t="str">
        <f>IF(H9919="","",IF($C$29="상세법",FPV(H9919,K9919),IF(H9919="EI",4,IF(H9919="EO",5.2,IF(H9919="EQ",3.9,IF(H9919="ILF",7.5,IF(H9919="EIF",5.4)))))))</f>
        <v/>
      </c>
      <c r="M9919" s="112" t="str">
        <f t="shared" si="158"/>
        <v/>
      </c>
      <c r="N9919" s="113"/>
    </row>
    <row r="9920" spans="2:14">
      <c r="B9920" s="105"/>
      <c r="C9920" s="106"/>
      <c r="D9920" s="107"/>
      <c r="E9920" s="65"/>
      <c r="F9920" s="64"/>
      <c r="G9920" s="64"/>
      <c r="H9920" s="64"/>
      <c r="I9920" s="70"/>
      <c r="J9920" s="70"/>
      <c r="K9920" s="110" t="str">
        <f>IF(H9920="","",IF($C$29="간이법","",FPR(H9920,I9920,J9920)))</f>
        <v/>
      </c>
      <c r="L9920" s="111" t="str">
        <f>IF(H9920="","",IF($C$29="상세법",FPV(H9920,K9920),IF(H9920="EI",4,IF(H9920="EO",5.2,IF(H9920="EQ",3.9,IF(H9920="ILF",7.5,IF(H9920="EIF",5.4)))))))</f>
        <v/>
      </c>
      <c r="M9920" s="112" t="str">
        <f t="shared" si="158"/>
        <v/>
      </c>
      <c r="N9920" s="113"/>
    </row>
    <row r="9921" spans="2:14">
      <c r="B9921" s="105"/>
      <c r="C9921" s="106"/>
      <c r="D9921" s="107"/>
      <c r="E9921" s="65"/>
      <c r="F9921" s="64"/>
      <c r="G9921" s="64"/>
      <c r="H9921" s="64"/>
      <c r="I9921" s="70"/>
      <c r="J9921" s="70"/>
      <c r="K9921" s="110" t="str">
        <f>IF(H9921="","",IF($C$29="간이법","",FPR(H9921,I9921,J9921)))</f>
        <v/>
      </c>
      <c r="L9921" s="111" t="str">
        <f>IF(H9921="","",IF($C$29="상세법",FPV(H9921,K9921),IF(H9921="EI",4,IF(H9921="EO",5.2,IF(H9921="EQ",3.9,IF(H9921="ILF",7.5,IF(H9921="EIF",5.4)))))))</f>
        <v/>
      </c>
      <c r="M9921" s="112" t="str">
        <f t="shared" si="158"/>
        <v/>
      </c>
      <c r="N9921" s="113"/>
    </row>
    <row r="9922" spans="2:14">
      <c r="B9922" s="105"/>
      <c r="C9922" s="106"/>
      <c r="D9922" s="107"/>
      <c r="E9922" s="65"/>
      <c r="F9922" s="64"/>
      <c r="G9922" s="64"/>
      <c r="H9922" s="64"/>
      <c r="I9922" s="70"/>
      <c r="J9922" s="70"/>
      <c r="K9922" s="110" t="str">
        <f>IF(H9922="","",IF($C$29="간이법","",FPR(H9922,I9922,J9922)))</f>
        <v/>
      </c>
      <c r="L9922" s="111" t="str">
        <f>IF(H9922="","",IF($C$29="상세법",FPV(H9922,K9922),IF(H9922="EI",4,IF(H9922="EO",5.2,IF(H9922="EQ",3.9,IF(H9922="ILF",7.5,IF(H9922="EIF",5.4)))))))</f>
        <v/>
      </c>
      <c r="M9922" s="112" t="str">
        <f t="shared" si="158"/>
        <v/>
      </c>
      <c r="N9922" s="113"/>
    </row>
    <row r="9923" spans="2:14">
      <c r="B9923" s="105"/>
      <c r="C9923" s="106"/>
      <c r="D9923" s="107"/>
      <c r="E9923" s="65"/>
      <c r="F9923" s="64"/>
      <c r="G9923" s="64"/>
      <c r="H9923" s="64"/>
      <c r="I9923" s="70"/>
      <c r="J9923" s="70"/>
      <c r="K9923" s="110" t="str">
        <f>IF(H9923="","",IF($C$29="간이법","",FPR(H9923,I9923,J9923)))</f>
        <v/>
      </c>
      <c r="L9923" s="111" t="str">
        <f>IF(H9923="","",IF($C$29="상세법",FPV(H9923,K9923),IF(H9923="EI",4,IF(H9923="EO",5.2,IF(H9923="EQ",3.9,IF(H9923="ILF",7.5,IF(H9923="EIF",5.4)))))))</f>
        <v/>
      </c>
      <c r="M9923" s="112" t="str">
        <f t="shared" si="158"/>
        <v/>
      </c>
      <c r="N9923" s="113"/>
    </row>
    <row r="9924" spans="2:14">
      <c r="B9924" s="105"/>
      <c r="C9924" s="106"/>
      <c r="D9924" s="107"/>
      <c r="E9924" s="65"/>
      <c r="F9924" s="64"/>
      <c r="G9924" s="64"/>
      <c r="H9924" s="64"/>
      <c r="I9924" s="70"/>
      <c r="J9924" s="70"/>
      <c r="K9924" s="110" t="str">
        <f>IF(H9924="","",IF($C$29="간이법","",FPR(H9924,I9924,J9924)))</f>
        <v/>
      </c>
      <c r="L9924" s="111" t="str">
        <f>IF(H9924="","",IF($C$29="상세법",FPV(H9924,K9924),IF(H9924="EI",4,IF(H9924="EO",5.2,IF(H9924="EQ",3.9,IF(H9924="ILF",7.5,IF(H9924="EIF",5.4)))))))</f>
        <v/>
      </c>
      <c r="M9924" s="112" t="str">
        <f t="shared" si="158"/>
        <v/>
      </c>
      <c r="N9924" s="113"/>
    </row>
    <row r="9925" spans="2:14">
      <c r="B9925" s="105"/>
      <c r="C9925" s="106"/>
      <c r="D9925" s="107"/>
      <c r="E9925" s="65"/>
      <c r="F9925" s="64"/>
      <c r="G9925" s="64"/>
      <c r="H9925" s="64"/>
      <c r="I9925" s="70"/>
      <c r="J9925" s="70"/>
      <c r="K9925" s="110" t="str">
        <f>IF(H9925="","",IF($C$29="간이법","",FPR(H9925,I9925,J9925)))</f>
        <v/>
      </c>
      <c r="L9925" s="111" t="str">
        <f>IF(H9925="","",IF($C$29="상세법",FPV(H9925,K9925),IF(H9925="EI",4,IF(H9925="EO",5.2,IF(H9925="EQ",3.9,IF(H9925="ILF",7.5,IF(H9925="EIF",5.4)))))))</f>
        <v/>
      </c>
      <c r="M9925" s="112" t="str">
        <f t="shared" si="158"/>
        <v/>
      </c>
      <c r="N9925" s="113"/>
    </row>
    <row r="9926" spans="2:14">
      <c r="B9926" s="105"/>
      <c r="C9926" s="106"/>
      <c r="D9926" s="107"/>
      <c r="E9926" s="65"/>
      <c r="F9926" s="64"/>
      <c r="G9926" s="64"/>
      <c r="H9926" s="64"/>
      <c r="I9926" s="70"/>
      <c r="J9926" s="70"/>
      <c r="K9926" s="110" t="str">
        <f>IF(H9926="","",IF($C$29="간이법","",FPR(H9926,I9926,J9926)))</f>
        <v/>
      </c>
      <c r="L9926" s="111" t="str">
        <f>IF(H9926="","",IF($C$29="상세법",FPV(H9926,K9926),IF(H9926="EI",4,IF(H9926="EO",5.2,IF(H9926="EQ",3.9,IF(H9926="ILF",7.5,IF(H9926="EIF",5.4)))))))</f>
        <v/>
      </c>
      <c r="M9926" s="112" t="str">
        <f t="shared" si="158"/>
        <v/>
      </c>
      <c r="N9926" s="113"/>
    </row>
    <row r="9927" spans="2:14">
      <c r="B9927" s="105"/>
      <c r="C9927" s="106"/>
      <c r="D9927" s="107"/>
      <c r="E9927" s="65"/>
      <c r="F9927" s="64"/>
      <c r="G9927" s="64"/>
      <c r="H9927" s="64"/>
      <c r="I9927" s="70"/>
      <c r="J9927" s="70"/>
      <c r="K9927" s="110" t="str">
        <f>IF(H9927="","",IF($C$29="간이법","",FPR(H9927,I9927,J9927)))</f>
        <v/>
      </c>
      <c r="L9927" s="111" t="str">
        <f>IF(H9927="","",IF($C$29="상세법",FPV(H9927,K9927),IF(H9927="EI",4,IF(H9927="EO",5.2,IF(H9927="EQ",3.9,IF(H9927="ILF",7.5,IF(H9927="EIF",5.4)))))))</f>
        <v/>
      </c>
      <c r="M9927" s="112" t="str">
        <f t="shared" si="158"/>
        <v/>
      </c>
      <c r="N9927" s="113"/>
    </row>
    <row r="9928" spans="2:14">
      <c r="B9928" s="105"/>
      <c r="C9928" s="106"/>
      <c r="D9928" s="107"/>
      <c r="E9928" s="65"/>
      <c r="F9928" s="64"/>
      <c r="G9928" s="64"/>
      <c r="H9928" s="64"/>
      <c r="I9928" s="70"/>
      <c r="J9928" s="70"/>
      <c r="K9928" s="110" t="str">
        <f>IF(H9928="","",IF($C$29="간이법","",FPR(H9928,I9928,J9928)))</f>
        <v/>
      </c>
      <c r="L9928" s="111" t="str">
        <f>IF(H9928="","",IF($C$29="상세법",FPV(H9928,K9928),IF(H9928="EI",4,IF(H9928="EO",5.2,IF(H9928="EQ",3.9,IF(H9928="ILF",7.5,IF(H9928="EIF",5.4)))))))</f>
        <v/>
      </c>
      <c r="M9928" s="112" t="str">
        <f t="shared" si="158"/>
        <v/>
      </c>
      <c r="N9928" s="113"/>
    </row>
    <row r="9929" spans="2:14">
      <c r="B9929" s="105"/>
      <c r="C9929" s="106"/>
      <c r="D9929" s="107"/>
      <c r="E9929" s="65"/>
      <c r="F9929" s="64"/>
      <c r="G9929" s="64"/>
      <c r="H9929" s="64"/>
      <c r="I9929" s="70"/>
      <c r="J9929" s="70"/>
      <c r="K9929" s="110" t="str">
        <f>IF(H9929="","",IF($C$29="간이법","",FPR(H9929,I9929,J9929)))</f>
        <v/>
      </c>
      <c r="L9929" s="111" t="str">
        <f>IF(H9929="","",IF($C$29="상세법",FPV(H9929,K9929),IF(H9929="EI",4,IF(H9929="EO",5.2,IF(H9929="EQ",3.9,IF(H9929="ILF",7.5,IF(H9929="EIF",5.4)))))))</f>
        <v/>
      </c>
      <c r="M9929" s="112" t="str">
        <f t="shared" si="158"/>
        <v/>
      </c>
      <c r="N9929" s="113"/>
    </row>
    <row r="9930" spans="2:14">
      <c r="B9930" s="105"/>
      <c r="C9930" s="106"/>
      <c r="D9930" s="107"/>
      <c r="E9930" s="65"/>
      <c r="F9930" s="64"/>
      <c r="G9930" s="64"/>
      <c r="H9930" s="64"/>
      <c r="I9930" s="70"/>
      <c r="J9930" s="70"/>
      <c r="K9930" s="110" t="str">
        <f>IF(H9930="","",IF($C$29="간이법","",FPR(H9930,I9930,J9930)))</f>
        <v/>
      </c>
      <c r="L9930" s="111" t="str">
        <f>IF(H9930="","",IF($C$29="상세법",FPV(H9930,K9930),IF(H9930="EI",4,IF(H9930="EO",5.2,IF(H9930="EQ",3.9,IF(H9930="ILF",7.5,IF(H9930="EIF",5.4)))))))</f>
        <v/>
      </c>
      <c r="M9930" s="112" t="str">
        <f t="shared" si="158"/>
        <v/>
      </c>
      <c r="N9930" s="113"/>
    </row>
    <row r="9931" spans="2:14">
      <c r="B9931" s="105"/>
      <c r="C9931" s="106"/>
      <c r="D9931" s="107"/>
      <c r="E9931" s="65"/>
      <c r="F9931" s="64"/>
      <c r="G9931" s="64"/>
      <c r="H9931" s="64"/>
      <c r="I9931" s="70"/>
      <c r="J9931" s="70"/>
      <c r="K9931" s="110" t="str">
        <f>IF(H9931="","",IF($C$29="간이법","",FPR(H9931,I9931,J9931)))</f>
        <v/>
      </c>
      <c r="L9931" s="111" t="str">
        <f>IF(H9931="","",IF($C$29="상세법",FPV(H9931,K9931),IF(H9931="EI",4,IF(H9931="EO",5.2,IF(H9931="EQ",3.9,IF(H9931="ILF",7.5,IF(H9931="EIF",5.4)))))))</f>
        <v/>
      </c>
      <c r="M9931" s="112" t="str">
        <f t="shared" si="158"/>
        <v/>
      </c>
      <c r="N9931" s="113"/>
    </row>
    <row r="9932" spans="2:14">
      <c r="B9932" s="105"/>
      <c r="C9932" s="106"/>
      <c r="D9932" s="107"/>
      <c r="E9932" s="65"/>
      <c r="F9932" s="64"/>
      <c r="G9932" s="64"/>
      <c r="H9932" s="64"/>
      <c r="I9932" s="70"/>
      <c r="J9932" s="70"/>
      <c r="K9932" s="110" t="str">
        <f>IF(H9932="","",IF($C$29="간이법","",FPR(H9932,I9932,J9932)))</f>
        <v/>
      </c>
      <c r="L9932" s="111" t="str">
        <f>IF(H9932="","",IF($C$29="상세법",FPV(H9932,K9932),IF(H9932="EI",4,IF(H9932="EO",5.2,IF(H9932="EQ",3.9,IF(H9932="ILF",7.5,IF(H9932="EIF",5.4)))))))</f>
        <v/>
      </c>
      <c r="M9932" s="112" t="str">
        <f t="shared" si="158"/>
        <v/>
      </c>
      <c r="N9932" s="113"/>
    </row>
    <row r="9933" spans="2:14">
      <c r="B9933" s="105"/>
      <c r="C9933" s="106"/>
      <c r="D9933" s="107"/>
      <c r="E9933" s="65"/>
      <c r="F9933" s="64"/>
      <c r="G9933" s="64"/>
      <c r="H9933" s="64"/>
      <c r="I9933" s="70"/>
      <c r="J9933" s="70"/>
      <c r="K9933" s="110" t="str">
        <f>IF(H9933="","",IF($C$29="간이법","",FPR(H9933,I9933,J9933)))</f>
        <v/>
      </c>
      <c r="L9933" s="111" t="str">
        <f>IF(H9933="","",IF($C$29="상세법",FPV(H9933,K9933),IF(H9933="EI",4,IF(H9933="EO",5.2,IF(H9933="EQ",3.9,IF(H9933="ILF",7.5,IF(H9933="EIF",5.4)))))))</f>
        <v/>
      </c>
      <c r="M9933" s="112" t="str">
        <f t="shared" si="158"/>
        <v/>
      </c>
      <c r="N9933" s="113"/>
    </row>
    <row r="9934" spans="2:14">
      <c r="B9934" s="105"/>
      <c r="C9934" s="106"/>
      <c r="D9934" s="107"/>
      <c r="E9934" s="65"/>
      <c r="F9934" s="64"/>
      <c r="G9934" s="64"/>
      <c r="H9934" s="64"/>
      <c r="I9934" s="70"/>
      <c r="J9934" s="70"/>
      <c r="K9934" s="110" t="str">
        <f>IF(H9934="","",IF($C$29="간이법","",FPR(H9934,I9934,J9934)))</f>
        <v/>
      </c>
      <c r="L9934" s="111" t="str">
        <f>IF(H9934="","",IF($C$29="상세법",FPV(H9934,K9934),IF(H9934="EI",4,IF(H9934="EO",5.2,IF(H9934="EQ",3.9,IF(H9934="ILF",7.5,IF(H9934="EIF",5.4)))))))</f>
        <v/>
      </c>
      <c r="M9934" s="112" t="str">
        <f t="shared" si="158"/>
        <v/>
      </c>
      <c r="N9934" s="113"/>
    </row>
    <row r="9935" spans="2:14">
      <c r="B9935" s="105"/>
      <c r="C9935" s="106"/>
      <c r="D9935" s="107"/>
      <c r="E9935" s="65"/>
      <c r="F9935" s="64"/>
      <c r="G9935" s="64"/>
      <c r="H9935" s="64"/>
      <c r="I9935" s="70"/>
      <c r="J9935" s="70"/>
      <c r="K9935" s="110" t="str">
        <f>IF(H9935="","",IF($C$29="간이법","",FPR(H9935,I9935,J9935)))</f>
        <v/>
      </c>
      <c r="L9935" s="111" t="str">
        <f>IF(H9935="","",IF($C$29="상세법",FPV(H9935,K9935),IF(H9935="EI",4,IF(H9935="EO",5.2,IF(H9935="EQ",3.9,IF(H9935="ILF",7.5,IF(H9935="EIF",5.4)))))))</f>
        <v/>
      </c>
      <c r="M9935" s="112" t="str">
        <f t="shared" si="158"/>
        <v/>
      </c>
      <c r="N9935" s="113"/>
    </row>
    <row r="9936" spans="2:14">
      <c r="B9936" s="105"/>
      <c r="C9936" s="106"/>
      <c r="D9936" s="107"/>
      <c r="E9936" s="65"/>
      <c r="F9936" s="64"/>
      <c r="G9936" s="64"/>
      <c r="H9936" s="64"/>
      <c r="I9936" s="70"/>
      <c r="J9936" s="70"/>
      <c r="K9936" s="110" t="str">
        <f>IF(H9936="","",IF($C$29="간이법","",FPR(H9936,I9936,J9936)))</f>
        <v/>
      </c>
      <c r="L9936" s="111" t="str">
        <f>IF(H9936="","",IF($C$29="상세법",FPV(H9936,K9936),IF(H9936="EI",4,IF(H9936="EO",5.2,IF(H9936="EQ",3.9,IF(H9936="ILF",7.5,IF(H9936="EIF",5.4)))))))</f>
        <v/>
      </c>
      <c r="M9936" s="112" t="str">
        <f t="shared" si="158"/>
        <v/>
      </c>
      <c r="N9936" s="113"/>
    </row>
    <row r="9937" spans="2:14">
      <c r="B9937" s="105"/>
      <c r="C9937" s="106"/>
      <c r="D9937" s="107"/>
      <c r="E9937" s="65"/>
      <c r="F9937" s="64"/>
      <c r="G9937" s="64"/>
      <c r="H9937" s="64"/>
      <c r="I9937" s="70"/>
      <c r="J9937" s="70"/>
      <c r="K9937" s="110" t="str">
        <f>IF(H9937="","",IF($C$29="간이법","",FPR(H9937,I9937,J9937)))</f>
        <v/>
      </c>
      <c r="L9937" s="111" t="str">
        <f>IF(H9937="","",IF($C$29="상세법",FPV(H9937,K9937),IF(H9937="EI",4,IF(H9937="EO",5.2,IF(H9937="EQ",3.9,IF(H9937="ILF",7.5,IF(H9937="EIF",5.4)))))))</f>
        <v/>
      </c>
      <c r="M9937" s="112" t="str">
        <f t="shared" si="158"/>
        <v/>
      </c>
      <c r="N9937" s="113"/>
    </row>
    <row r="9938" spans="2:14">
      <c r="B9938" s="105"/>
      <c r="C9938" s="106"/>
      <c r="D9938" s="107"/>
      <c r="E9938" s="65"/>
      <c r="F9938" s="64"/>
      <c r="G9938" s="64"/>
      <c r="H9938" s="64"/>
      <c r="I9938" s="70"/>
      <c r="J9938" s="70"/>
      <c r="K9938" s="110" t="str">
        <f>IF(H9938="","",IF($C$29="간이법","",FPR(H9938,I9938,J9938)))</f>
        <v/>
      </c>
      <c r="L9938" s="111" t="str">
        <f>IF(H9938="","",IF($C$29="상세법",FPV(H9938,K9938),IF(H9938="EI",4,IF(H9938="EO",5.2,IF(H9938="EQ",3.9,IF(H9938="ILF",7.5,IF(H9938="EIF",5.4)))))))</f>
        <v/>
      </c>
      <c r="M9938" s="112" t="str">
        <f t="shared" si="158"/>
        <v/>
      </c>
      <c r="N9938" s="113"/>
    </row>
    <row r="9939" spans="2:14">
      <c r="B9939" s="105"/>
      <c r="C9939" s="106"/>
      <c r="D9939" s="107"/>
      <c r="E9939" s="65"/>
      <c r="F9939" s="64"/>
      <c r="G9939" s="64"/>
      <c r="H9939" s="64"/>
      <c r="I9939" s="70"/>
      <c r="J9939" s="70"/>
      <c r="K9939" s="110" t="str">
        <f>IF(H9939="","",IF($C$29="간이법","",FPR(H9939,I9939,J9939)))</f>
        <v/>
      </c>
      <c r="L9939" s="111" t="str">
        <f>IF(H9939="","",IF($C$29="상세법",FPV(H9939,K9939),IF(H9939="EI",4,IF(H9939="EO",5.2,IF(H9939="EQ",3.9,IF(H9939="ILF",7.5,IF(H9939="EIF",5.4)))))))</f>
        <v/>
      </c>
      <c r="M9939" s="112" t="str">
        <f t="shared" si="158"/>
        <v/>
      </c>
      <c r="N9939" s="113"/>
    </row>
    <row r="9940" spans="2:14">
      <c r="B9940" s="105"/>
      <c r="C9940" s="106"/>
      <c r="D9940" s="107"/>
      <c r="E9940" s="65"/>
      <c r="F9940" s="64"/>
      <c r="G9940" s="64"/>
      <c r="H9940" s="64"/>
      <c r="I9940" s="70"/>
      <c r="J9940" s="70"/>
      <c r="K9940" s="110" t="str">
        <f>IF(H9940="","",IF($C$29="간이법","",FPR(H9940,I9940,J9940)))</f>
        <v/>
      </c>
      <c r="L9940" s="111" t="str">
        <f>IF(H9940="","",IF($C$29="상세법",FPV(H9940,K9940),IF(H9940="EI",4,IF(H9940="EO",5.2,IF(H9940="EQ",3.9,IF(H9940="ILF",7.5,IF(H9940="EIF",5.4)))))))</f>
        <v/>
      </c>
      <c r="M9940" s="112" t="str">
        <f t="shared" si="158"/>
        <v/>
      </c>
      <c r="N9940" s="113"/>
    </row>
    <row r="9941" spans="2:14">
      <c r="B9941" s="105"/>
      <c r="C9941" s="106"/>
      <c r="D9941" s="107"/>
      <c r="E9941" s="65"/>
      <c r="F9941" s="64"/>
      <c r="G9941" s="64"/>
      <c r="H9941" s="64"/>
      <c r="I9941" s="70"/>
      <c r="J9941" s="70"/>
      <c r="K9941" s="110" t="str">
        <f>IF(H9941="","",IF($C$29="간이법","",FPR(H9941,I9941,J9941)))</f>
        <v/>
      </c>
      <c r="L9941" s="111" t="str">
        <f>IF(H9941="","",IF($C$29="상세법",FPV(H9941,K9941),IF(H9941="EI",4,IF(H9941="EO",5.2,IF(H9941="EQ",3.9,IF(H9941="ILF",7.5,IF(H9941="EIF",5.4)))))))</f>
        <v/>
      </c>
      <c r="M9941" s="112" t="str">
        <f t="shared" si="158"/>
        <v/>
      </c>
      <c r="N9941" s="113"/>
    </row>
    <row r="9942" spans="2:14">
      <c r="B9942" s="105"/>
      <c r="C9942" s="106"/>
      <c r="D9942" s="107"/>
      <c r="E9942" s="65"/>
      <c r="F9942" s="64"/>
      <c r="G9942" s="64"/>
      <c r="H9942" s="64"/>
      <c r="I9942" s="70"/>
      <c r="J9942" s="70"/>
      <c r="K9942" s="110" t="str">
        <f>IF(H9942="","",IF($C$29="간이법","",FPR(H9942,I9942,J9942)))</f>
        <v/>
      </c>
      <c r="L9942" s="111" t="str">
        <f>IF(H9942="","",IF($C$29="상세법",FPV(H9942,K9942),IF(H9942="EI",4,IF(H9942="EO",5.2,IF(H9942="EQ",3.9,IF(H9942="ILF",7.5,IF(H9942="EIF",5.4)))))))</f>
        <v/>
      </c>
      <c r="M9942" s="112" t="str">
        <f t="shared" si="158"/>
        <v/>
      </c>
      <c r="N9942" s="113"/>
    </row>
    <row r="9943" spans="2:14">
      <c r="B9943" s="105"/>
      <c r="C9943" s="106"/>
      <c r="D9943" s="107"/>
      <c r="E9943" s="65"/>
      <c r="F9943" s="64"/>
      <c r="G9943" s="64"/>
      <c r="H9943" s="64"/>
      <c r="I9943" s="70"/>
      <c r="J9943" s="70"/>
      <c r="K9943" s="110" t="str">
        <f>IF(H9943="","",IF($C$29="간이법","",FPR(H9943,I9943,J9943)))</f>
        <v/>
      </c>
      <c r="L9943" s="111" t="str">
        <f>IF(H9943="","",IF($C$29="상세법",FPV(H9943,K9943),IF(H9943="EI",4,IF(H9943="EO",5.2,IF(H9943="EQ",3.9,IF(H9943="ILF",7.5,IF(H9943="EIF",5.4)))))))</f>
        <v/>
      </c>
      <c r="M9943" s="112" t="str">
        <f t="shared" si="158"/>
        <v/>
      </c>
      <c r="N9943" s="113"/>
    </row>
    <row r="9944" spans="2:14">
      <c r="B9944" s="105"/>
      <c r="C9944" s="106"/>
      <c r="D9944" s="107"/>
      <c r="E9944" s="65"/>
      <c r="F9944" s="64"/>
      <c r="G9944" s="64"/>
      <c r="H9944" s="64"/>
      <c r="I9944" s="70"/>
      <c r="J9944" s="70"/>
      <c r="K9944" s="110" t="str">
        <f>IF(H9944="","",IF($C$29="간이법","",FPR(H9944,I9944,J9944)))</f>
        <v/>
      </c>
      <c r="L9944" s="111" t="str">
        <f>IF(H9944="","",IF($C$29="상세법",FPV(H9944,K9944),IF(H9944="EI",4,IF(H9944="EO",5.2,IF(H9944="EQ",3.9,IF(H9944="ILF",7.5,IF(H9944="EIF",5.4)))))))</f>
        <v/>
      </c>
      <c r="M9944" s="112" t="str">
        <f t="shared" si="158"/>
        <v/>
      </c>
      <c r="N9944" s="113"/>
    </row>
    <row r="9945" spans="2:14">
      <c r="B9945" s="105"/>
      <c r="C9945" s="106"/>
      <c r="D9945" s="107"/>
      <c r="E9945" s="65"/>
      <c r="F9945" s="64"/>
      <c r="G9945" s="64"/>
      <c r="H9945" s="64"/>
      <c r="I9945" s="70"/>
      <c r="J9945" s="70"/>
      <c r="K9945" s="110" t="str">
        <f>IF(H9945="","",IF($C$29="간이법","",FPR(H9945,I9945,J9945)))</f>
        <v/>
      </c>
      <c r="L9945" s="111" t="str">
        <f>IF(H9945="","",IF($C$29="상세법",FPV(H9945,K9945),IF(H9945="EI",4,IF(H9945="EO",5.2,IF(H9945="EQ",3.9,IF(H9945="ILF",7.5,IF(H9945="EIF",5.4)))))))</f>
        <v/>
      </c>
      <c r="M9945" s="112" t="str">
        <f t="shared" si="158"/>
        <v/>
      </c>
      <c r="N9945" s="113"/>
    </row>
    <row r="9946" spans="2:14">
      <c r="B9946" s="105"/>
      <c r="C9946" s="106"/>
      <c r="D9946" s="107"/>
      <c r="E9946" s="65"/>
      <c r="F9946" s="64"/>
      <c r="G9946" s="64"/>
      <c r="H9946" s="64"/>
      <c r="I9946" s="70"/>
      <c r="J9946" s="70"/>
      <c r="K9946" s="110" t="str">
        <f>IF(H9946="","",IF($C$29="간이법","",FPR(H9946,I9946,J9946)))</f>
        <v/>
      </c>
      <c r="L9946" s="111" t="str">
        <f>IF(H9946="","",IF($C$29="상세법",FPV(H9946,K9946),IF(H9946="EI",4,IF(H9946="EO",5.2,IF(H9946="EQ",3.9,IF(H9946="ILF",7.5,IF(H9946="EIF",5.4)))))))</f>
        <v/>
      </c>
      <c r="M9946" s="112" t="str">
        <f t="shared" si="158"/>
        <v/>
      </c>
      <c r="N9946" s="113"/>
    </row>
    <row r="9947" spans="2:14">
      <c r="B9947" s="105"/>
      <c r="C9947" s="106"/>
      <c r="D9947" s="107"/>
      <c r="E9947" s="65"/>
      <c r="F9947" s="64"/>
      <c r="G9947" s="64"/>
      <c r="H9947" s="64"/>
      <c r="I9947" s="70"/>
      <c r="J9947" s="70"/>
      <c r="K9947" s="110" t="str">
        <f>IF(H9947="","",IF($C$29="간이법","",FPR(H9947,I9947,J9947)))</f>
        <v/>
      </c>
      <c r="L9947" s="111" t="str">
        <f>IF(H9947="","",IF($C$29="상세법",FPV(H9947,K9947),IF(H9947="EI",4,IF(H9947="EO",5.2,IF(H9947="EQ",3.9,IF(H9947="ILF",7.5,IF(H9947="EIF",5.4)))))))</f>
        <v/>
      </c>
      <c r="M9947" s="112" t="str">
        <f t="shared" si="158"/>
        <v/>
      </c>
      <c r="N9947" s="113"/>
    </row>
    <row r="9948" spans="2:14">
      <c r="B9948" s="105"/>
      <c r="C9948" s="106"/>
      <c r="D9948" s="107"/>
      <c r="E9948" s="65"/>
      <c r="F9948" s="64"/>
      <c r="G9948" s="64"/>
      <c r="H9948" s="64"/>
      <c r="I9948" s="70"/>
      <c r="J9948" s="70"/>
      <c r="K9948" s="110" t="str">
        <f>IF(H9948="","",IF($C$29="간이법","",FPR(H9948,I9948,J9948)))</f>
        <v/>
      </c>
      <c r="L9948" s="111" t="str">
        <f>IF(H9948="","",IF($C$29="상세법",FPV(H9948,K9948),IF(H9948="EI",4,IF(H9948="EO",5.2,IF(H9948="EQ",3.9,IF(H9948="ILF",7.5,IF(H9948="EIF",5.4)))))))</f>
        <v/>
      </c>
      <c r="M9948" s="112" t="str">
        <f t="shared" si="158"/>
        <v/>
      </c>
      <c r="N9948" s="113"/>
    </row>
    <row r="9949" spans="2:14">
      <c r="B9949" s="105"/>
      <c r="C9949" s="106"/>
      <c r="D9949" s="107"/>
      <c r="E9949" s="65"/>
      <c r="F9949" s="64"/>
      <c r="G9949" s="64"/>
      <c r="H9949" s="64"/>
      <c r="I9949" s="70"/>
      <c r="J9949" s="70"/>
      <c r="K9949" s="110" t="str">
        <f>IF(H9949="","",IF($C$29="간이법","",FPR(H9949,I9949,J9949)))</f>
        <v/>
      </c>
      <c r="L9949" s="111" t="str">
        <f>IF(H9949="","",IF($C$29="상세법",FPV(H9949,K9949),IF(H9949="EI",4,IF(H9949="EO",5.2,IF(H9949="EQ",3.9,IF(H9949="ILF",7.5,IF(H9949="EIF",5.4)))))))</f>
        <v/>
      </c>
      <c r="M9949" s="112" t="str">
        <f t="shared" si="158"/>
        <v/>
      </c>
      <c r="N9949" s="113"/>
    </row>
    <row r="9950" spans="2:14">
      <c r="B9950" s="105"/>
      <c r="C9950" s="106"/>
      <c r="D9950" s="107"/>
      <c r="E9950" s="65"/>
      <c r="F9950" s="64"/>
      <c r="G9950" s="64"/>
      <c r="H9950" s="64"/>
      <c r="I9950" s="70"/>
      <c r="J9950" s="70"/>
      <c r="K9950" s="110" t="str">
        <f>IF(H9950="","",IF($C$29="간이법","",FPR(H9950,I9950,J9950)))</f>
        <v/>
      </c>
      <c r="L9950" s="111" t="str">
        <f>IF(H9950="","",IF($C$29="상세법",FPV(H9950,K9950),IF(H9950="EI",4,IF(H9950="EO",5.2,IF(H9950="EQ",3.9,IF(H9950="ILF",7.5,IF(H9950="EIF",5.4)))))))</f>
        <v/>
      </c>
      <c r="M9950" s="112" t="str">
        <f t="shared" si="158"/>
        <v/>
      </c>
      <c r="N9950" s="113"/>
    </row>
    <row r="9951" spans="2:14">
      <c r="B9951" s="105"/>
      <c r="C9951" s="106"/>
      <c r="D9951" s="107"/>
      <c r="E9951" s="65"/>
      <c r="F9951" s="64"/>
      <c r="G9951" s="64"/>
      <c r="H9951" s="64"/>
      <c r="I9951" s="70"/>
      <c r="J9951" s="70"/>
      <c r="K9951" s="110" t="str">
        <f>IF(H9951="","",IF($C$29="간이법","",FPR(H9951,I9951,J9951)))</f>
        <v/>
      </c>
      <c r="L9951" s="111" t="str">
        <f>IF(H9951="","",IF($C$29="상세법",FPV(H9951,K9951),IF(H9951="EI",4,IF(H9951="EO",5.2,IF(H9951="EQ",3.9,IF(H9951="ILF",7.5,IF(H9951="EIF",5.4)))))))</f>
        <v/>
      </c>
      <c r="M9951" s="112" t="str">
        <f t="shared" si="158"/>
        <v/>
      </c>
      <c r="N9951" s="113"/>
    </row>
    <row r="9952" spans="2:14">
      <c r="B9952" s="105"/>
      <c r="C9952" s="106"/>
      <c r="D9952" s="107"/>
      <c r="E9952" s="65"/>
      <c r="F9952" s="64"/>
      <c r="G9952" s="64"/>
      <c r="H9952" s="64"/>
      <c r="I9952" s="70"/>
      <c r="J9952" s="70"/>
      <c r="K9952" s="110" t="str">
        <f>IF(H9952="","",IF($C$29="간이법","",FPR(H9952,I9952,J9952)))</f>
        <v/>
      </c>
      <c r="L9952" s="111" t="str">
        <f>IF(H9952="","",IF($C$29="상세법",FPV(H9952,K9952),IF(H9952="EI",4,IF(H9952="EO",5.2,IF(H9952="EQ",3.9,IF(H9952="ILF",7.5,IF(H9952="EIF",5.4)))))))</f>
        <v/>
      </c>
      <c r="M9952" s="112" t="str">
        <f t="shared" si="158"/>
        <v/>
      </c>
      <c r="N9952" s="113"/>
    </row>
    <row r="9953" spans="2:14">
      <c r="B9953" s="105"/>
      <c r="C9953" s="106"/>
      <c r="D9953" s="107"/>
      <c r="E9953" s="65"/>
      <c r="F9953" s="64"/>
      <c r="G9953" s="64"/>
      <c r="H9953" s="64"/>
      <c r="I9953" s="70"/>
      <c r="J9953" s="70"/>
      <c r="K9953" s="110" t="str">
        <f>IF(H9953="","",IF($C$29="간이법","",FPR(H9953,I9953,J9953)))</f>
        <v/>
      </c>
      <c r="L9953" s="111" t="str">
        <f>IF(H9953="","",IF($C$29="상세법",FPV(H9953,K9953),IF(H9953="EI",4,IF(H9953="EO",5.2,IF(H9953="EQ",3.9,IF(H9953="ILF",7.5,IF(H9953="EIF",5.4)))))))</f>
        <v/>
      </c>
      <c r="M9953" s="112" t="str">
        <f t="shared" si="158"/>
        <v/>
      </c>
      <c r="N9953" s="113"/>
    </row>
    <row r="9954" spans="2:14">
      <c r="B9954" s="105"/>
      <c r="C9954" s="106"/>
      <c r="D9954" s="107"/>
      <c r="E9954" s="65"/>
      <c r="F9954" s="64"/>
      <c r="G9954" s="64"/>
      <c r="H9954" s="64"/>
      <c r="I9954" s="70"/>
      <c r="J9954" s="70"/>
      <c r="K9954" s="110" t="str">
        <f>IF(H9954="","",IF($C$29="간이법","",FPR(H9954,I9954,J9954)))</f>
        <v/>
      </c>
      <c r="L9954" s="111" t="str">
        <f>IF(H9954="","",IF($C$29="상세법",FPV(H9954,K9954),IF(H9954="EI",4,IF(H9954="EO",5.2,IF(H9954="EQ",3.9,IF(H9954="ILF",7.5,IF(H9954="EIF",5.4)))))))</f>
        <v/>
      </c>
      <c r="M9954" s="112" t="str">
        <f t="shared" si="158"/>
        <v/>
      </c>
      <c r="N9954" s="113"/>
    </row>
    <row r="9955" spans="2:14">
      <c r="B9955" s="105"/>
      <c r="C9955" s="106"/>
      <c r="D9955" s="107"/>
      <c r="E9955" s="65"/>
      <c r="F9955" s="64"/>
      <c r="G9955" s="64"/>
      <c r="H9955" s="64"/>
      <c r="I9955" s="70"/>
      <c r="J9955" s="70"/>
      <c r="K9955" s="110" t="str">
        <f>IF(H9955="","",IF($C$29="간이법","",FPR(H9955,I9955,J9955)))</f>
        <v/>
      </c>
      <c r="L9955" s="111" t="str">
        <f>IF(H9955="","",IF($C$29="상세법",FPV(H9955,K9955),IF(H9955="EI",4,IF(H9955="EO",5.2,IF(H9955="EQ",3.9,IF(H9955="ILF",7.5,IF(H9955="EIF",5.4)))))))</f>
        <v/>
      </c>
      <c r="M9955" s="112" t="str">
        <f t="shared" si="158"/>
        <v/>
      </c>
      <c r="N9955" s="113"/>
    </row>
    <row r="9956" spans="2:14">
      <c r="B9956" s="105"/>
      <c r="C9956" s="106"/>
      <c r="D9956" s="107"/>
      <c r="E9956" s="65"/>
      <c r="F9956" s="64"/>
      <c r="G9956" s="64"/>
      <c r="H9956" s="64"/>
      <c r="I9956" s="70"/>
      <c r="J9956" s="70"/>
      <c r="K9956" s="110" t="str">
        <f>IF(H9956="","",IF($C$29="간이법","",FPR(H9956,I9956,J9956)))</f>
        <v/>
      </c>
      <c r="L9956" s="111" t="str">
        <f>IF(H9956="","",IF($C$29="상세법",FPV(H9956,K9956),IF(H9956="EI",4,IF(H9956="EO",5.2,IF(H9956="EQ",3.9,IF(H9956="ILF",7.5,IF(H9956="EIF",5.4)))))))</f>
        <v/>
      </c>
      <c r="M9956" s="112" t="str">
        <f t="shared" si="158"/>
        <v/>
      </c>
      <c r="N9956" s="113"/>
    </row>
    <row r="9957" spans="2:14">
      <c r="B9957" s="105"/>
      <c r="C9957" s="106"/>
      <c r="D9957" s="107"/>
      <c r="E9957" s="65"/>
      <c r="F9957" s="64"/>
      <c r="G9957" s="64"/>
      <c r="H9957" s="64"/>
      <c r="I9957" s="70"/>
      <c r="J9957" s="70"/>
      <c r="K9957" s="110" t="str">
        <f>IF(H9957="","",IF($C$29="간이법","",FPR(H9957,I9957,J9957)))</f>
        <v/>
      </c>
      <c r="L9957" s="111" t="str">
        <f>IF(H9957="","",IF($C$29="상세법",FPV(H9957,K9957),IF(H9957="EI",4,IF(H9957="EO",5.2,IF(H9957="EQ",3.9,IF(H9957="ILF",7.5,IF(H9957="EIF",5.4)))))))</f>
        <v/>
      </c>
      <c r="M9957" s="112" t="str">
        <f t="shared" si="158"/>
        <v/>
      </c>
      <c r="N9957" s="113"/>
    </row>
    <row r="9958" spans="2:14">
      <c r="B9958" s="105"/>
      <c r="C9958" s="106"/>
      <c r="D9958" s="107"/>
      <c r="E9958" s="65"/>
      <c r="F9958" s="64"/>
      <c r="G9958" s="64"/>
      <c r="H9958" s="64"/>
      <c r="I9958" s="70"/>
      <c r="J9958" s="70"/>
      <c r="K9958" s="110" t="str">
        <f>IF(H9958="","",IF($C$29="간이법","",FPR(H9958,I9958,J9958)))</f>
        <v/>
      </c>
      <c r="L9958" s="111" t="str">
        <f>IF(H9958="","",IF($C$29="상세법",FPV(H9958,K9958),IF(H9958="EI",4,IF(H9958="EO",5.2,IF(H9958="EQ",3.9,IF(H9958="ILF",7.5,IF(H9958="EIF",5.4)))))))</f>
        <v/>
      </c>
      <c r="M9958" s="112" t="str">
        <f t="shared" si="158"/>
        <v/>
      </c>
      <c r="N9958" s="113"/>
    </row>
    <row r="9959" spans="2:14">
      <c r="B9959" s="105"/>
      <c r="C9959" s="106"/>
      <c r="D9959" s="107"/>
      <c r="E9959" s="65"/>
      <c r="F9959" s="64"/>
      <c r="G9959" s="64"/>
      <c r="H9959" s="64"/>
      <c r="I9959" s="70"/>
      <c r="J9959" s="70"/>
      <c r="K9959" s="110" t="str">
        <f>IF(H9959="","",IF($C$29="간이법","",FPR(H9959,I9959,J9959)))</f>
        <v/>
      </c>
      <c r="L9959" s="111" t="str">
        <f>IF(H9959="","",IF($C$29="상세법",FPV(H9959,K9959),IF(H9959="EI",4,IF(H9959="EO",5.2,IF(H9959="EQ",3.9,IF(H9959="ILF",7.5,IF(H9959="EIF",5.4)))))))</f>
        <v/>
      </c>
      <c r="M9959" s="112" t="str">
        <f t="shared" si="158"/>
        <v/>
      </c>
      <c r="N9959" s="113"/>
    </row>
    <row r="9960" spans="2:14">
      <c r="B9960" s="105"/>
      <c r="C9960" s="106"/>
      <c r="D9960" s="107"/>
      <c r="E9960" s="65"/>
      <c r="F9960" s="64"/>
      <c r="G9960" s="64"/>
      <c r="H9960" s="64"/>
      <c r="I9960" s="70"/>
      <c r="J9960" s="70"/>
      <c r="K9960" s="110" t="str">
        <f>IF(H9960="","",IF($C$29="간이법","",FPR(H9960,I9960,J9960)))</f>
        <v/>
      </c>
      <c r="L9960" s="111" t="str">
        <f>IF(H9960="","",IF($C$29="상세법",FPV(H9960,K9960),IF(H9960="EI",4,IF(H9960="EO",5.2,IF(H9960="EQ",3.9,IF(H9960="ILF",7.5,IF(H9960="EIF",5.4)))))))</f>
        <v/>
      </c>
      <c r="M9960" s="112" t="str">
        <f t="shared" si="158"/>
        <v/>
      </c>
      <c r="N9960" s="113"/>
    </row>
    <row r="9961" spans="2:14">
      <c r="B9961" s="105"/>
      <c r="C9961" s="106"/>
      <c r="D9961" s="107"/>
      <c r="E9961" s="65"/>
      <c r="F9961" s="64"/>
      <c r="G9961" s="64"/>
      <c r="H9961" s="64"/>
      <c r="I9961" s="70"/>
      <c r="J9961" s="70"/>
      <c r="K9961" s="110" t="str">
        <f>IF(H9961="","",IF($C$29="간이법","",FPR(H9961,I9961,J9961)))</f>
        <v/>
      </c>
      <c r="L9961" s="111" t="str">
        <f>IF(H9961="","",IF($C$29="상세법",FPV(H9961,K9961),IF(H9961="EI",4,IF(H9961="EO",5.2,IF(H9961="EQ",3.9,IF(H9961="ILF",7.5,IF(H9961="EIF",5.4)))))))</f>
        <v/>
      </c>
      <c r="M9961" s="112" t="str">
        <f t="shared" si="158"/>
        <v/>
      </c>
      <c r="N9961" s="113"/>
    </row>
    <row r="9962" spans="2:14">
      <c r="B9962" s="105"/>
      <c r="C9962" s="106"/>
      <c r="D9962" s="107"/>
      <c r="E9962" s="65"/>
      <c r="F9962" s="64"/>
      <c r="G9962" s="64"/>
      <c r="H9962" s="64"/>
      <c r="I9962" s="70"/>
      <c r="J9962" s="70"/>
      <c r="K9962" s="110" t="str">
        <f>IF(H9962="","",IF($C$29="간이법","",FPR(H9962,I9962,J9962)))</f>
        <v/>
      </c>
      <c r="L9962" s="111" t="str">
        <f>IF(H9962="","",IF($C$29="상세법",FPV(H9962,K9962),IF(H9962="EI",4,IF(H9962="EO",5.2,IF(H9962="EQ",3.9,IF(H9962="ILF",7.5,IF(H9962="EIF",5.4)))))))</f>
        <v/>
      </c>
      <c r="M9962" s="112" t="str">
        <f t="shared" si="158"/>
        <v/>
      </c>
      <c r="N9962" s="113"/>
    </row>
    <row r="9963" spans="2:14">
      <c r="B9963" s="105"/>
      <c r="C9963" s="106"/>
      <c r="D9963" s="107"/>
      <c r="E9963" s="65"/>
      <c r="F9963" s="64"/>
      <c r="G9963" s="64"/>
      <c r="H9963" s="64"/>
      <c r="I9963" s="70"/>
      <c r="J9963" s="70"/>
      <c r="K9963" s="110" t="str">
        <f>IF(H9963="","",IF($C$29="간이법","",FPR(H9963,I9963,J9963)))</f>
        <v/>
      </c>
      <c r="L9963" s="111" t="str">
        <f>IF(H9963="","",IF($C$29="상세법",FPV(H9963,K9963),IF(H9963="EI",4,IF(H9963="EO",5.2,IF(H9963="EQ",3.9,IF(H9963="ILF",7.5,IF(H9963="EIF",5.4)))))))</f>
        <v/>
      </c>
      <c r="M9963" s="112" t="str">
        <f t="shared" si="158"/>
        <v/>
      </c>
      <c r="N9963" s="113"/>
    </row>
    <row r="9964" spans="2:14">
      <c r="B9964" s="105"/>
      <c r="C9964" s="106"/>
      <c r="D9964" s="107"/>
      <c r="E9964" s="65"/>
      <c r="F9964" s="64"/>
      <c r="G9964" s="64"/>
      <c r="H9964" s="64"/>
      <c r="I9964" s="70"/>
      <c r="J9964" s="70"/>
      <c r="K9964" s="110" t="str">
        <f>IF(H9964="","",IF($C$29="간이법","",FPR(H9964,I9964,J9964)))</f>
        <v/>
      </c>
      <c r="L9964" s="111" t="str">
        <f>IF(H9964="","",IF($C$29="상세법",FPV(H9964,K9964),IF(H9964="EI",4,IF(H9964="EO",5.2,IF(H9964="EQ",3.9,IF(H9964="ILF",7.5,IF(H9964="EIF",5.4)))))))</f>
        <v/>
      </c>
      <c r="M9964" s="112" t="str">
        <f t="shared" si="158"/>
        <v/>
      </c>
      <c r="N9964" s="113"/>
    </row>
    <row r="9965" spans="2:14">
      <c r="B9965" s="105"/>
      <c r="C9965" s="106"/>
      <c r="D9965" s="107"/>
      <c r="E9965" s="65"/>
      <c r="F9965" s="64"/>
      <c r="G9965" s="64"/>
      <c r="H9965" s="64"/>
      <c r="I9965" s="70"/>
      <c r="J9965" s="70"/>
      <c r="K9965" s="110" t="str">
        <f>IF(H9965="","",IF($C$29="간이법","",FPR(H9965,I9965,J9965)))</f>
        <v/>
      </c>
      <c r="L9965" s="111" t="str">
        <f>IF(H9965="","",IF($C$29="상세법",FPV(H9965,K9965),IF(H9965="EI",4,IF(H9965="EO",5.2,IF(H9965="EQ",3.9,IF(H9965="ILF",7.5,IF(H9965="EIF",5.4)))))))</f>
        <v/>
      </c>
      <c r="M9965" s="112" t="str">
        <f t="shared" si="158"/>
        <v/>
      </c>
      <c r="N9965" s="113"/>
    </row>
    <row r="9966" spans="2:14">
      <c r="B9966" s="105"/>
      <c r="C9966" s="106"/>
      <c r="D9966" s="107"/>
      <c r="E9966" s="65"/>
      <c r="F9966" s="64"/>
      <c r="G9966" s="64"/>
      <c r="H9966" s="64"/>
      <c r="I9966" s="70"/>
      <c r="J9966" s="70"/>
      <c r="K9966" s="110" t="str">
        <f>IF(H9966="","",IF($C$29="간이법","",FPR(H9966,I9966,J9966)))</f>
        <v/>
      </c>
      <c r="L9966" s="111" t="str">
        <f>IF(H9966="","",IF($C$29="상세법",FPV(H9966,K9966),IF(H9966="EI",4,IF(H9966="EO",5.2,IF(H9966="EQ",3.9,IF(H9966="ILF",7.5,IF(H9966="EIF",5.4)))))))</f>
        <v/>
      </c>
      <c r="M9966" s="112" t="str">
        <f t="shared" si="158"/>
        <v/>
      </c>
      <c r="N9966" s="113"/>
    </row>
    <row r="9967" spans="2:14">
      <c r="B9967" s="105"/>
      <c r="C9967" s="106"/>
      <c r="D9967" s="107"/>
      <c r="E9967" s="65"/>
      <c r="F9967" s="64"/>
      <c r="G9967" s="64"/>
      <c r="H9967" s="64"/>
      <c r="I9967" s="70"/>
      <c r="J9967" s="70"/>
      <c r="K9967" s="110" t="str">
        <f>IF(H9967="","",IF($C$29="간이법","",FPR(H9967,I9967,J9967)))</f>
        <v/>
      </c>
      <c r="L9967" s="111" t="str">
        <f>IF(H9967="","",IF($C$29="상세법",FPV(H9967,K9967),IF(H9967="EI",4,IF(H9967="EO",5.2,IF(H9967="EQ",3.9,IF(H9967="ILF",7.5,IF(H9967="EIF",5.4)))))))</f>
        <v/>
      </c>
      <c r="M9967" s="112" t="str">
        <f t="shared" si="158"/>
        <v/>
      </c>
      <c r="N9967" s="113"/>
    </row>
    <row r="9968" spans="2:14">
      <c r="B9968" s="105"/>
      <c r="C9968" s="106"/>
      <c r="D9968" s="107"/>
      <c r="E9968" s="65"/>
      <c r="F9968" s="64"/>
      <c r="G9968" s="64"/>
      <c r="H9968" s="64"/>
      <c r="I9968" s="70"/>
      <c r="J9968" s="70"/>
      <c r="K9968" s="110" t="str">
        <f>IF(H9968="","",IF($C$29="간이법","",FPR(H9968,I9968,J9968)))</f>
        <v/>
      </c>
      <c r="L9968" s="111" t="str">
        <f>IF(H9968="","",IF($C$29="상세법",FPV(H9968,K9968),IF(H9968="EI",4,IF(H9968="EO",5.2,IF(H9968="EQ",3.9,IF(H9968="ILF",7.5,IF(H9968="EIF",5.4)))))))</f>
        <v/>
      </c>
      <c r="M9968" s="112" t="str">
        <f t="shared" si="158"/>
        <v/>
      </c>
      <c r="N9968" s="113"/>
    </row>
    <row r="9969" spans="2:14">
      <c r="B9969" s="105"/>
      <c r="C9969" s="106"/>
      <c r="D9969" s="107"/>
      <c r="E9969" s="65"/>
      <c r="F9969" s="64"/>
      <c r="G9969" s="64"/>
      <c r="H9969" s="64"/>
      <c r="I9969" s="70"/>
      <c r="J9969" s="70"/>
      <c r="K9969" s="110" t="str">
        <f>IF(H9969="","",IF($C$29="간이법","",FPR(H9969,I9969,J9969)))</f>
        <v/>
      </c>
      <c r="L9969" s="111" t="str">
        <f>IF(H9969="","",IF($C$29="상세법",FPV(H9969,K9969),IF(H9969="EI",4,IF(H9969="EO",5.2,IF(H9969="EQ",3.9,IF(H9969="ILF",7.5,IF(H9969="EIF",5.4)))))))</f>
        <v/>
      </c>
      <c r="M9969" s="112" t="str">
        <f t="shared" si="158"/>
        <v/>
      </c>
      <c r="N9969" s="113"/>
    </row>
    <row r="9970" spans="2:14">
      <c r="B9970" s="105"/>
      <c r="C9970" s="106"/>
      <c r="D9970" s="107"/>
      <c r="E9970" s="65"/>
      <c r="F9970" s="64"/>
      <c r="G9970" s="64"/>
      <c r="H9970" s="64"/>
      <c r="I9970" s="70"/>
      <c r="J9970" s="70"/>
      <c r="K9970" s="110" t="str">
        <f>IF(H9970="","",IF($C$29="간이법","",FPR(H9970,I9970,J9970)))</f>
        <v/>
      </c>
      <c r="L9970" s="111" t="str">
        <f>IF(H9970="","",IF($C$29="상세법",FPV(H9970,K9970),IF(H9970="EI",4,IF(H9970="EO",5.2,IF(H9970="EQ",3.9,IF(H9970="ILF",7.5,IF(H9970="EIF",5.4)))))))</f>
        <v/>
      </c>
      <c r="M9970" s="112" t="str">
        <f t="shared" si="158"/>
        <v/>
      </c>
      <c r="N9970" s="113"/>
    </row>
    <row r="9971" spans="2:14">
      <c r="B9971" s="105"/>
      <c r="C9971" s="106"/>
      <c r="D9971" s="107"/>
      <c r="E9971" s="65"/>
      <c r="F9971" s="64"/>
      <c r="G9971" s="64"/>
      <c r="H9971" s="64"/>
      <c r="I9971" s="70"/>
      <c r="J9971" s="70"/>
      <c r="K9971" s="110" t="str">
        <f>IF(H9971="","",IF($C$29="간이법","",FPR(H9971,I9971,J9971)))</f>
        <v/>
      </c>
      <c r="L9971" s="111" t="str">
        <f>IF(H9971="","",IF($C$29="상세법",FPV(H9971,K9971),IF(H9971="EI",4,IF(H9971="EO",5.2,IF(H9971="EQ",3.9,IF(H9971="ILF",7.5,IF(H9971="EIF",5.4)))))))</f>
        <v/>
      </c>
      <c r="M9971" s="112" t="str">
        <f t="shared" si="158"/>
        <v/>
      </c>
      <c r="N9971" s="113"/>
    </row>
    <row r="9972" spans="2:14">
      <c r="B9972" s="105"/>
      <c r="C9972" s="106"/>
      <c r="D9972" s="107"/>
      <c r="E9972" s="65"/>
      <c r="F9972" s="64"/>
      <c r="G9972" s="64"/>
      <c r="H9972" s="64"/>
      <c r="I9972" s="70"/>
      <c r="J9972" s="70"/>
      <c r="K9972" s="110" t="str">
        <f>IF(H9972="","",IF($C$29="간이법","",FPR(H9972,I9972,J9972)))</f>
        <v/>
      </c>
      <c r="L9972" s="111" t="str">
        <f>IF(H9972="","",IF($C$29="상세법",FPV(H9972,K9972),IF(H9972="EI",4,IF(H9972="EO",5.2,IF(H9972="EQ",3.9,IF(H9972="ILF",7.5,IF(H9972="EIF",5.4)))))))</f>
        <v/>
      </c>
      <c r="M9972" s="112" t="str">
        <f t="shared" si="158"/>
        <v/>
      </c>
      <c r="N9972" s="113"/>
    </row>
    <row r="9973" spans="2:14">
      <c r="B9973" s="105"/>
      <c r="C9973" s="106"/>
      <c r="D9973" s="107"/>
      <c r="E9973" s="65"/>
      <c r="F9973" s="64"/>
      <c r="G9973" s="64"/>
      <c r="H9973" s="64"/>
      <c r="I9973" s="70"/>
      <c r="J9973" s="70"/>
      <c r="K9973" s="110" t="str">
        <f>IF(H9973="","",IF($C$29="간이법","",FPR(H9973,I9973,J9973)))</f>
        <v/>
      </c>
      <c r="L9973" s="111" t="str">
        <f>IF(H9973="","",IF($C$29="상세법",FPV(H9973,K9973),IF(H9973="EI",4,IF(H9973="EO",5.2,IF(H9973="EQ",3.9,IF(H9973="ILF",7.5,IF(H9973="EIF",5.4)))))))</f>
        <v/>
      </c>
      <c r="M9973" s="112" t="str">
        <f t="shared" si="158"/>
        <v/>
      </c>
      <c r="N9973" s="113"/>
    </row>
    <row r="9974" spans="2:14">
      <c r="B9974" s="105"/>
      <c r="C9974" s="106"/>
      <c r="D9974" s="107"/>
      <c r="E9974" s="65"/>
      <c r="F9974" s="64"/>
      <c r="G9974" s="64"/>
      <c r="H9974" s="64"/>
      <c r="I9974" s="70"/>
      <c r="J9974" s="70"/>
      <c r="K9974" s="110" t="str">
        <f>IF(H9974="","",IF($C$29="간이법","",FPR(H9974,I9974,J9974)))</f>
        <v/>
      </c>
      <c r="L9974" s="111" t="str">
        <f>IF(H9974="","",IF($C$29="상세법",FPV(H9974,K9974),IF(H9974="EI",4,IF(H9974="EO",5.2,IF(H9974="EQ",3.9,IF(H9974="ILF",7.5,IF(H9974="EIF",5.4)))))))</f>
        <v/>
      </c>
      <c r="M9974" s="112" t="str">
        <f t="shared" si="158"/>
        <v/>
      </c>
      <c r="N9974" s="113"/>
    </row>
    <row r="9975" spans="2:14">
      <c r="B9975" s="105"/>
      <c r="C9975" s="106"/>
      <c r="D9975" s="107"/>
      <c r="E9975" s="65"/>
      <c r="F9975" s="64"/>
      <c r="G9975" s="64"/>
      <c r="H9975" s="64"/>
      <c r="I9975" s="70"/>
      <c r="J9975" s="70"/>
      <c r="K9975" s="110" t="str">
        <f>IF(H9975="","",IF($C$29="간이법","",FPR(H9975,I9975,J9975)))</f>
        <v/>
      </c>
      <c r="L9975" s="111" t="str">
        <f>IF(H9975="","",IF($C$29="상세법",FPV(H9975,K9975),IF(H9975="EI",4,IF(H9975="EO",5.2,IF(H9975="EQ",3.9,IF(H9975="ILF",7.5,IF(H9975="EIF",5.4)))))))</f>
        <v/>
      </c>
      <c r="M9975" s="112" t="str">
        <f t="shared" si="158"/>
        <v/>
      </c>
      <c r="N9975" s="113"/>
    </row>
    <row r="9976" spans="2:14">
      <c r="B9976" s="105"/>
      <c r="C9976" s="106"/>
      <c r="D9976" s="107"/>
      <c r="E9976" s="65"/>
      <c r="F9976" s="64"/>
      <c r="G9976" s="64"/>
      <c r="H9976" s="64"/>
      <c r="I9976" s="70"/>
      <c r="J9976" s="70"/>
      <c r="K9976" s="110" t="str">
        <f>IF(H9976="","",IF($C$29="간이법","",FPR(H9976,I9976,J9976)))</f>
        <v/>
      </c>
      <c r="L9976" s="111" t="str">
        <f>IF(H9976="","",IF($C$29="상세법",FPV(H9976,K9976),IF(H9976="EI",4,IF(H9976="EO",5.2,IF(H9976="EQ",3.9,IF(H9976="ILF",7.5,IF(H9976="EIF",5.4)))))))</f>
        <v/>
      </c>
      <c r="M9976" s="112" t="str">
        <f t="shared" si="158"/>
        <v/>
      </c>
      <c r="N9976" s="113"/>
    </row>
    <row r="9977" spans="2:14">
      <c r="B9977" s="105"/>
      <c r="C9977" s="106"/>
      <c r="D9977" s="107"/>
      <c r="E9977" s="65"/>
      <c r="F9977" s="64"/>
      <c r="G9977" s="64"/>
      <c r="H9977" s="64"/>
      <c r="I9977" s="70"/>
      <c r="J9977" s="70"/>
      <c r="K9977" s="110" t="str">
        <f>IF(H9977="","",IF($C$29="간이법","",FPR(H9977,I9977,J9977)))</f>
        <v/>
      </c>
      <c r="L9977" s="111" t="str">
        <f>IF(H9977="","",IF($C$29="상세법",FPV(H9977,K9977),IF(H9977="EI",4,IF(H9977="EO",5.2,IF(H9977="EQ",3.9,IF(H9977="ILF",7.5,IF(H9977="EIF",5.4)))))))</f>
        <v/>
      </c>
      <c r="M9977" s="112" t="str">
        <f t="shared" ref="M9977:M10000" si="159">IF(L9977="","",L9977*IF(G9977="상",0.7,IF(G9977="중",0.5,IF(G9977="하",0.2,1))))</f>
        <v/>
      </c>
      <c r="N9977" s="113"/>
    </row>
    <row r="9978" spans="2:14">
      <c r="B9978" s="105"/>
      <c r="C9978" s="106"/>
      <c r="D9978" s="107"/>
      <c r="E9978" s="65"/>
      <c r="F9978" s="64"/>
      <c r="G9978" s="64"/>
      <c r="H9978" s="64"/>
      <c r="I9978" s="70"/>
      <c r="J9978" s="70"/>
      <c r="K9978" s="110" t="str">
        <f>IF(H9978="","",IF($C$29="간이법","",FPR(H9978,I9978,J9978)))</f>
        <v/>
      </c>
      <c r="L9978" s="111" t="str">
        <f>IF(H9978="","",IF($C$29="상세법",FPV(H9978,K9978),IF(H9978="EI",4,IF(H9978="EO",5.2,IF(H9978="EQ",3.9,IF(H9978="ILF",7.5,IF(H9978="EIF",5.4)))))))</f>
        <v/>
      </c>
      <c r="M9978" s="112" t="str">
        <f t="shared" si="159"/>
        <v/>
      </c>
      <c r="N9978" s="113"/>
    </row>
    <row r="9979" spans="2:14">
      <c r="B9979" s="105"/>
      <c r="C9979" s="106"/>
      <c r="D9979" s="107"/>
      <c r="E9979" s="65"/>
      <c r="F9979" s="64"/>
      <c r="G9979" s="64"/>
      <c r="H9979" s="64"/>
      <c r="I9979" s="70"/>
      <c r="J9979" s="70"/>
      <c r="K9979" s="110" t="str">
        <f>IF(H9979="","",IF($C$29="간이법","",FPR(H9979,I9979,J9979)))</f>
        <v/>
      </c>
      <c r="L9979" s="111" t="str">
        <f>IF(H9979="","",IF($C$29="상세법",FPV(H9979,K9979),IF(H9979="EI",4,IF(H9979="EO",5.2,IF(H9979="EQ",3.9,IF(H9979="ILF",7.5,IF(H9979="EIF",5.4)))))))</f>
        <v/>
      </c>
      <c r="M9979" s="112" t="str">
        <f t="shared" si="159"/>
        <v/>
      </c>
      <c r="N9979" s="113"/>
    </row>
    <row r="9980" spans="2:14">
      <c r="B9980" s="105"/>
      <c r="C9980" s="106"/>
      <c r="D9980" s="107"/>
      <c r="E9980" s="65"/>
      <c r="F9980" s="64"/>
      <c r="G9980" s="64"/>
      <c r="H9980" s="64"/>
      <c r="I9980" s="70"/>
      <c r="J9980" s="70"/>
      <c r="K9980" s="110" t="str">
        <f>IF(H9980="","",IF($C$29="간이법","",FPR(H9980,I9980,J9980)))</f>
        <v/>
      </c>
      <c r="L9980" s="111" t="str">
        <f>IF(H9980="","",IF($C$29="상세법",FPV(H9980,K9980),IF(H9980="EI",4,IF(H9980="EO",5.2,IF(H9980="EQ",3.9,IF(H9980="ILF",7.5,IF(H9980="EIF",5.4)))))))</f>
        <v/>
      </c>
      <c r="M9980" s="112" t="str">
        <f t="shared" si="159"/>
        <v/>
      </c>
      <c r="N9980" s="113"/>
    </row>
    <row r="9981" spans="2:14">
      <c r="B9981" s="105"/>
      <c r="C9981" s="106"/>
      <c r="D9981" s="107"/>
      <c r="E9981" s="65"/>
      <c r="F9981" s="64"/>
      <c r="G9981" s="64"/>
      <c r="H9981" s="64"/>
      <c r="I9981" s="70"/>
      <c r="J9981" s="70"/>
      <c r="K9981" s="110" t="str">
        <f>IF(H9981="","",IF($C$29="간이법","",FPR(H9981,I9981,J9981)))</f>
        <v/>
      </c>
      <c r="L9981" s="111" t="str">
        <f>IF(H9981="","",IF($C$29="상세법",FPV(H9981,K9981),IF(H9981="EI",4,IF(H9981="EO",5.2,IF(H9981="EQ",3.9,IF(H9981="ILF",7.5,IF(H9981="EIF",5.4)))))))</f>
        <v/>
      </c>
      <c r="M9981" s="112" t="str">
        <f t="shared" si="159"/>
        <v/>
      </c>
      <c r="N9981" s="113"/>
    </row>
    <row r="9982" spans="2:14">
      <c r="B9982" s="105"/>
      <c r="C9982" s="106"/>
      <c r="D9982" s="107"/>
      <c r="E9982" s="65"/>
      <c r="F9982" s="64"/>
      <c r="G9982" s="64"/>
      <c r="H9982" s="64"/>
      <c r="I9982" s="70"/>
      <c r="J9982" s="70"/>
      <c r="K9982" s="110" t="str">
        <f>IF(H9982="","",IF($C$29="간이법","",FPR(H9982,I9982,J9982)))</f>
        <v/>
      </c>
      <c r="L9982" s="111" t="str">
        <f>IF(H9982="","",IF($C$29="상세법",FPV(H9982,K9982),IF(H9982="EI",4,IF(H9982="EO",5.2,IF(H9982="EQ",3.9,IF(H9982="ILF",7.5,IF(H9982="EIF",5.4)))))))</f>
        <v/>
      </c>
      <c r="M9982" s="112" t="str">
        <f t="shared" si="159"/>
        <v/>
      </c>
      <c r="N9982" s="113"/>
    </row>
    <row r="9983" spans="2:14">
      <c r="B9983" s="105"/>
      <c r="C9983" s="106"/>
      <c r="D9983" s="107"/>
      <c r="E9983" s="65"/>
      <c r="F9983" s="64"/>
      <c r="G9983" s="64"/>
      <c r="H9983" s="64"/>
      <c r="I9983" s="70"/>
      <c r="J9983" s="70"/>
      <c r="K9983" s="110" t="str">
        <f>IF(H9983="","",IF($C$29="간이법","",FPR(H9983,I9983,J9983)))</f>
        <v/>
      </c>
      <c r="L9983" s="111" t="str">
        <f>IF(H9983="","",IF($C$29="상세법",FPV(H9983,K9983),IF(H9983="EI",4,IF(H9983="EO",5.2,IF(H9983="EQ",3.9,IF(H9983="ILF",7.5,IF(H9983="EIF",5.4)))))))</f>
        <v/>
      </c>
      <c r="M9983" s="112" t="str">
        <f t="shared" si="159"/>
        <v/>
      </c>
      <c r="N9983" s="113"/>
    </row>
    <row r="9984" spans="2:14">
      <c r="B9984" s="105"/>
      <c r="C9984" s="106"/>
      <c r="D9984" s="107"/>
      <c r="E9984" s="65"/>
      <c r="F9984" s="64"/>
      <c r="G9984" s="64"/>
      <c r="H9984" s="64"/>
      <c r="I9984" s="70"/>
      <c r="J9984" s="70"/>
      <c r="K9984" s="110" t="str">
        <f>IF(H9984="","",IF($C$29="간이법","",FPR(H9984,I9984,J9984)))</f>
        <v/>
      </c>
      <c r="L9984" s="111" t="str">
        <f>IF(H9984="","",IF($C$29="상세법",FPV(H9984,K9984),IF(H9984="EI",4,IF(H9984="EO",5.2,IF(H9984="EQ",3.9,IF(H9984="ILF",7.5,IF(H9984="EIF",5.4)))))))</f>
        <v/>
      </c>
      <c r="M9984" s="112" t="str">
        <f t="shared" si="159"/>
        <v/>
      </c>
      <c r="N9984" s="113"/>
    </row>
    <row r="9985" spans="2:14">
      <c r="B9985" s="105"/>
      <c r="C9985" s="106"/>
      <c r="D9985" s="107"/>
      <c r="E9985" s="65"/>
      <c r="F9985" s="64"/>
      <c r="G9985" s="64"/>
      <c r="H9985" s="64"/>
      <c r="I9985" s="70"/>
      <c r="J9985" s="70"/>
      <c r="K9985" s="110" t="str">
        <f>IF(H9985="","",IF($C$29="간이법","",FPR(H9985,I9985,J9985)))</f>
        <v/>
      </c>
      <c r="L9985" s="111" t="str">
        <f>IF(H9985="","",IF($C$29="상세법",FPV(H9985,K9985),IF(H9985="EI",4,IF(H9985="EO",5.2,IF(H9985="EQ",3.9,IF(H9985="ILF",7.5,IF(H9985="EIF",5.4)))))))</f>
        <v/>
      </c>
      <c r="M9985" s="112" t="str">
        <f t="shared" si="159"/>
        <v/>
      </c>
      <c r="N9985" s="113"/>
    </row>
    <row r="9986" spans="2:14">
      <c r="B9986" s="105"/>
      <c r="C9986" s="106"/>
      <c r="D9986" s="107"/>
      <c r="E9986" s="65"/>
      <c r="F9986" s="64"/>
      <c r="G9986" s="64"/>
      <c r="H9986" s="64"/>
      <c r="I9986" s="70"/>
      <c r="J9986" s="70"/>
      <c r="K9986" s="110" t="str">
        <f>IF(H9986="","",IF($C$29="간이법","",FPR(H9986,I9986,J9986)))</f>
        <v/>
      </c>
      <c r="L9986" s="111" t="str">
        <f>IF(H9986="","",IF($C$29="상세법",FPV(H9986,K9986),IF(H9986="EI",4,IF(H9986="EO",5.2,IF(H9986="EQ",3.9,IF(H9986="ILF",7.5,IF(H9986="EIF",5.4)))))))</f>
        <v/>
      </c>
      <c r="M9986" s="112" t="str">
        <f t="shared" si="159"/>
        <v/>
      </c>
      <c r="N9986" s="113"/>
    </row>
    <row r="9987" spans="2:14">
      <c r="B9987" s="105"/>
      <c r="C9987" s="106"/>
      <c r="D9987" s="107"/>
      <c r="E9987" s="65"/>
      <c r="F9987" s="64"/>
      <c r="G9987" s="64"/>
      <c r="H9987" s="64"/>
      <c r="I9987" s="70"/>
      <c r="J9987" s="70"/>
      <c r="K9987" s="110" t="str">
        <f>IF(H9987="","",IF($C$29="간이법","",FPR(H9987,I9987,J9987)))</f>
        <v/>
      </c>
      <c r="L9987" s="111" t="str">
        <f>IF(H9987="","",IF($C$29="상세법",FPV(H9987,K9987),IF(H9987="EI",4,IF(H9987="EO",5.2,IF(H9987="EQ",3.9,IF(H9987="ILF",7.5,IF(H9987="EIF",5.4)))))))</f>
        <v/>
      </c>
      <c r="M9987" s="112" t="str">
        <f t="shared" si="159"/>
        <v/>
      </c>
      <c r="N9987" s="113"/>
    </row>
    <row r="9988" spans="2:14">
      <c r="B9988" s="105"/>
      <c r="C9988" s="106"/>
      <c r="D9988" s="107"/>
      <c r="E9988" s="65"/>
      <c r="F9988" s="64"/>
      <c r="G9988" s="64"/>
      <c r="H9988" s="64"/>
      <c r="I9988" s="70"/>
      <c r="J9988" s="70"/>
      <c r="K9988" s="110" t="str">
        <f>IF(H9988="","",IF($C$29="간이법","",FPR(H9988,I9988,J9988)))</f>
        <v/>
      </c>
      <c r="L9988" s="111" t="str">
        <f>IF(H9988="","",IF($C$29="상세법",FPV(H9988,K9988),IF(H9988="EI",4,IF(H9988="EO",5.2,IF(H9988="EQ",3.9,IF(H9988="ILF",7.5,IF(H9988="EIF",5.4)))))))</f>
        <v/>
      </c>
      <c r="M9988" s="112" t="str">
        <f t="shared" si="159"/>
        <v/>
      </c>
      <c r="N9988" s="113"/>
    </row>
    <row r="9989" spans="2:14">
      <c r="B9989" s="105"/>
      <c r="C9989" s="106"/>
      <c r="D9989" s="107"/>
      <c r="E9989" s="65"/>
      <c r="F9989" s="64"/>
      <c r="G9989" s="64"/>
      <c r="H9989" s="64"/>
      <c r="I9989" s="70"/>
      <c r="J9989" s="70"/>
      <c r="K9989" s="110" t="str">
        <f>IF(H9989="","",IF($C$29="간이법","",FPR(H9989,I9989,J9989)))</f>
        <v/>
      </c>
      <c r="L9989" s="111" t="str">
        <f>IF(H9989="","",IF($C$29="상세법",FPV(H9989,K9989),IF(H9989="EI",4,IF(H9989="EO",5.2,IF(H9989="EQ",3.9,IF(H9989="ILF",7.5,IF(H9989="EIF",5.4)))))))</f>
        <v/>
      </c>
      <c r="M9989" s="112" t="str">
        <f t="shared" si="159"/>
        <v/>
      </c>
      <c r="N9989" s="113"/>
    </row>
    <row r="9990" spans="2:14">
      <c r="B9990" s="105"/>
      <c r="C9990" s="106"/>
      <c r="D9990" s="107"/>
      <c r="E9990" s="65"/>
      <c r="F9990" s="64"/>
      <c r="G9990" s="64"/>
      <c r="H9990" s="64"/>
      <c r="I9990" s="70"/>
      <c r="J9990" s="70"/>
      <c r="K9990" s="110" t="str">
        <f>IF(H9990="","",IF($C$29="간이법","",FPR(H9990,I9990,J9990)))</f>
        <v/>
      </c>
      <c r="L9990" s="111" t="str">
        <f>IF(H9990="","",IF($C$29="상세법",FPV(H9990,K9990),IF(H9990="EI",4,IF(H9990="EO",5.2,IF(H9990="EQ",3.9,IF(H9990="ILF",7.5,IF(H9990="EIF",5.4)))))))</f>
        <v/>
      </c>
      <c r="M9990" s="112" t="str">
        <f t="shared" si="159"/>
        <v/>
      </c>
      <c r="N9990" s="113"/>
    </row>
    <row r="9991" spans="2:14">
      <c r="B9991" s="105"/>
      <c r="C9991" s="106"/>
      <c r="D9991" s="107"/>
      <c r="E9991" s="65"/>
      <c r="F9991" s="64"/>
      <c r="G9991" s="64"/>
      <c r="H9991" s="64"/>
      <c r="I9991" s="70"/>
      <c r="J9991" s="70"/>
      <c r="K9991" s="110" t="str">
        <f>IF(H9991="","",IF($C$29="간이법","",FPR(H9991,I9991,J9991)))</f>
        <v/>
      </c>
      <c r="L9991" s="111" t="str">
        <f>IF(H9991="","",IF($C$29="상세법",FPV(H9991,K9991),IF(H9991="EI",4,IF(H9991="EO",5.2,IF(H9991="EQ",3.9,IF(H9991="ILF",7.5,IF(H9991="EIF",5.4)))))))</f>
        <v/>
      </c>
      <c r="M9991" s="112" t="str">
        <f t="shared" si="159"/>
        <v/>
      </c>
      <c r="N9991" s="113"/>
    </row>
    <row r="9992" spans="2:14">
      <c r="B9992" s="105"/>
      <c r="C9992" s="106"/>
      <c r="D9992" s="107"/>
      <c r="E9992" s="65"/>
      <c r="F9992" s="64"/>
      <c r="G9992" s="64"/>
      <c r="H9992" s="64"/>
      <c r="I9992" s="70"/>
      <c r="J9992" s="70"/>
      <c r="K9992" s="110" t="str">
        <f>IF(H9992="","",IF($C$29="간이법","",FPR(H9992,I9992,J9992)))</f>
        <v/>
      </c>
      <c r="L9992" s="111" t="str">
        <f>IF(H9992="","",IF($C$29="상세법",FPV(H9992,K9992),IF(H9992="EI",4,IF(H9992="EO",5.2,IF(H9992="EQ",3.9,IF(H9992="ILF",7.5,IF(H9992="EIF",5.4)))))))</f>
        <v/>
      </c>
      <c r="M9992" s="112" t="str">
        <f t="shared" si="159"/>
        <v/>
      </c>
      <c r="N9992" s="113"/>
    </row>
    <row r="9993" spans="2:14">
      <c r="B9993" s="105"/>
      <c r="C9993" s="106"/>
      <c r="D9993" s="107"/>
      <c r="E9993" s="65"/>
      <c r="F9993" s="64"/>
      <c r="G9993" s="64"/>
      <c r="H9993" s="64"/>
      <c r="I9993" s="70"/>
      <c r="J9993" s="70"/>
      <c r="K9993" s="110" t="str">
        <f>IF(H9993="","",IF($C$29="간이법","",FPR(H9993,I9993,J9993)))</f>
        <v/>
      </c>
      <c r="L9993" s="111" t="str">
        <f>IF(H9993="","",IF($C$29="상세법",FPV(H9993,K9993),IF(H9993="EI",4,IF(H9993="EO",5.2,IF(H9993="EQ",3.9,IF(H9993="ILF",7.5,IF(H9993="EIF",5.4)))))))</f>
        <v/>
      </c>
      <c r="M9993" s="112" t="str">
        <f t="shared" si="159"/>
        <v/>
      </c>
      <c r="N9993" s="113"/>
    </row>
    <row r="9994" spans="2:14">
      <c r="B9994" s="105"/>
      <c r="C9994" s="106"/>
      <c r="D9994" s="107"/>
      <c r="E9994" s="65"/>
      <c r="F9994" s="64"/>
      <c r="G9994" s="64"/>
      <c r="H9994" s="64"/>
      <c r="I9994" s="70"/>
      <c r="J9994" s="70"/>
      <c r="K9994" s="110" t="str">
        <f>IF(H9994="","",IF($C$29="간이법","",FPR(H9994,I9994,J9994)))</f>
        <v/>
      </c>
      <c r="L9994" s="111" t="str">
        <f>IF(H9994="","",IF($C$29="상세법",FPV(H9994,K9994),IF(H9994="EI",4,IF(H9994="EO",5.2,IF(H9994="EQ",3.9,IF(H9994="ILF",7.5,IF(H9994="EIF",5.4)))))))</f>
        <v/>
      </c>
      <c r="M9994" s="112" t="str">
        <f t="shared" si="159"/>
        <v/>
      </c>
      <c r="N9994" s="113"/>
    </row>
    <row r="9995" spans="2:14">
      <c r="B9995" s="105"/>
      <c r="C9995" s="106"/>
      <c r="D9995" s="107"/>
      <c r="E9995" s="65"/>
      <c r="F9995" s="64"/>
      <c r="G9995" s="64"/>
      <c r="H9995" s="64"/>
      <c r="I9995" s="70"/>
      <c r="J9995" s="70"/>
      <c r="K9995" s="110" t="str">
        <f>IF(H9995="","",IF($C$29="간이법","",FPR(H9995,I9995,J9995)))</f>
        <v/>
      </c>
      <c r="L9995" s="111" t="str">
        <f>IF(H9995="","",IF($C$29="상세법",FPV(H9995,K9995),IF(H9995="EI",4,IF(H9995="EO",5.2,IF(H9995="EQ",3.9,IF(H9995="ILF",7.5,IF(H9995="EIF",5.4)))))))</f>
        <v/>
      </c>
      <c r="M9995" s="112" t="str">
        <f t="shared" si="159"/>
        <v/>
      </c>
      <c r="N9995" s="113"/>
    </row>
    <row r="9996" spans="2:14">
      <c r="B9996" s="105"/>
      <c r="C9996" s="106"/>
      <c r="D9996" s="107"/>
      <c r="E9996" s="65"/>
      <c r="F9996" s="64"/>
      <c r="G9996" s="64"/>
      <c r="H9996" s="64"/>
      <c r="I9996" s="70"/>
      <c r="J9996" s="70"/>
      <c r="K9996" s="110" t="str">
        <f>IF(H9996="","",IF($C$29="간이법","",FPR(H9996,I9996,J9996)))</f>
        <v/>
      </c>
      <c r="L9996" s="111" t="str">
        <f>IF(H9996="","",IF($C$29="상세법",FPV(H9996,K9996),IF(H9996="EI",4,IF(H9996="EO",5.2,IF(H9996="EQ",3.9,IF(H9996="ILF",7.5,IF(H9996="EIF",5.4)))))))</f>
        <v/>
      </c>
      <c r="M9996" s="112" t="str">
        <f t="shared" si="159"/>
        <v/>
      </c>
      <c r="N9996" s="113"/>
    </row>
    <row r="9997" spans="2:14">
      <c r="B9997" s="105"/>
      <c r="C9997" s="106"/>
      <c r="D9997" s="107"/>
      <c r="E9997" s="65"/>
      <c r="F9997" s="64"/>
      <c r="G9997" s="64"/>
      <c r="H9997" s="64"/>
      <c r="I9997" s="70"/>
      <c r="J9997" s="70"/>
      <c r="K9997" s="110" t="str">
        <f>IF(H9997="","",IF($C$29="간이법","",FPR(H9997,I9997,J9997)))</f>
        <v/>
      </c>
      <c r="L9997" s="111" t="str">
        <f>IF(H9997="","",IF($C$29="상세법",FPV(H9997,K9997),IF(H9997="EI",4,IF(H9997="EO",5.2,IF(H9997="EQ",3.9,IF(H9997="ILF",7.5,IF(H9997="EIF",5.4)))))))</f>
        <v/>
      </c>
      <c r="M9997" s="112" t="str">
        <f t="shared" si="159"/>
        <v/>
      </c>
      <c r="N9997" s="113"/>
    </row>
    <row r="9998" spans="2:14">
      <c r="B9998" s="105"/>
      <c r="C9998" s="106"/>
      <c r="D9998" s="107"/>
      <c r="E9998" s="65"/>
      <c r="F9998" s="64"/>
      <c r="G9998" s="64"/>
      <c r="H9998" s="64"/>
      <c r="I9998" s="70"/>
      <c r="J9998" s="70"/>
      <c r="K9998" s="110" t="str">
        <f>IF(H9998="","",IF($C$29="간이법","",FPR(H9998,I9998,J9998)))</f>
        <v/>
      </c>
      <c r="L9998" s="111" t="str">
        <f>IF(H9998="","",IF($C$29="상세법",FPV(H9998,K9998),IF(H9998="EI",4,IF(H9998="EO",5.2,IF(H9998="EQ",3.9,IF(H9998="ILF",7.5,IF(H9998="EIF",5.4)))))))</f>
        <v/>
      </c>
      <c r="M9998" s="112" t="str">
        <f t="shared" si="159"/>
        <v/>
      </c>
      <c r="N9998" s="113"/>
    </row>
    <row r="9999" spans="2:14">
      <c r="B9999" s="105"/>
      <c r="C9999" s="106"/>
      <c r="D9999" s="107"/>
      <c r="E9999" s="65"/>
      <c r="F9999" s="64"/>
      <c r="G9999" s="64"/>
      <c r="H9999" s="64"/>
      <c r="I9999" s="70"/>
      <c r="J9999" s="70"/>
      <c r="K9999" s="110" t="str">
        <f>IF(H9999="","",IF($C$29="간이법","",FPR(H9999,I9999,J9999)))</f>
        <v/>
      </c>
      <c r="L9999" s="111" t="str">
        <f>IF(H9999="","",IF($C$29="상세법",FPV(H9999,K9999),IF(H9999="EI",4,IF(H9999="EO",5.2,IF(H9999="EQ",3.9,IF(H9999="ILF",7.5,IF(H9999="EIF",5.4)))))))</f>
        <v/>
      </c>
      <c r="M9999" s="112" t="str">
        <f t="shared" si="159"/>
        <v/>
      </c>
      <c r="N9999" s="113"/>
    </row>
    <row r="10000" spans="2:14">
      <c r="B10000" s="105"/>
      <c r="C10000" s="106"/>
      <c r="D10000" s="107"/>
      <c r="E10000" s="65"/>
      <c r="F10000" s="64"/>
      <c r="G10000" s="64"/>
      <c r="H10000" s="64"/>
      <c r="I10000" s="70"/>
      <c r="J10000" s="70"/>
      <c r="K10000" s="110" t="str">
        <f>IF(H10000="","",IF($C$29="간이법","",FPR(H10000,I10000,J10000)))</f>
        <v/>
      </c>
      <c r="L10000" s="111" t="str">
        <f>IF(H10000="","",IF($C$29="상세법",FPV(H10000,K10000),IF(H10000="EI",4,IF(H10000="EO",5.2,IF(H10000="EQ",3.9,IF(H10000="ILF",7.5,IF(H10000="EIF",5.4)))))))</f>
        <v/>
      </c>
      <c r="M10000" s="112" t="str">
        <f t="shared" si="159"/>
        <v/>
      </c>
      <c r="N10000" s="113"/>
    </row>
  </sheetData>
  <sheetProtection sheet="1" objects="1" scenarios="1" selectLockedCells="1"/>
  <protectedRanges>
    <protectedRange sqref="B41:F44 I40:J44 B40:E40 F49:F50 F55 B57:F59 I57:J59 I62:J62 B62:E62 I65:J65 B65:E65 I68:J68 B68:E68 I71:J71 B71:E71 I74:J74 B74:E74 I77:J77 B77:E77 I80:J80 B80:E80 I83:J83 B83:E83 I86:J86 B86:E86 I89:J89 B89:E89 I92:J92 B92:E92 I95:J95 B95:E95 I98:J98 B98:E98 I101:J101 B101:E101 I104:J104 B104:E104 I107:J107 B107:E107 I110:J110 B110:E110 I113:J113 B113:E113 I116:J116 B116:E116 I119:J119 B119:E119" name="범위1_2_2_2"/>
    <protectedRange sqref="B37:F37 F45:F48 I37:J39 B36:K36 B38:E39 F38:F40 F51:F54 F56 G37:H59 I60:J61 B60:E61 I63:J64 B63:E64 I66:J67 B66:E67 I69:J70 B69:E70 I72:J73 B72:E73 I75:J76 B75:E76 I78:J79 B78:E79 I81:J82 B81:E82 H120:H10000 I84:J85 B84:E85 I87:J88 B87:E88 I90:J91 B90:E91 I93:J94 B93:E94 I96:J97 B96:E97 I99:J100 B99:E100 I102:J103 B102:E103 I105:J106 B105:E106 I108:J109 B108:E109 I111:J112 B111:E112 I114:J115 B114:E115 I117:J118 B117:E118 K37:K10000 F60:H119" name="범위1_3_1_3_1_3"/>
  </protectedRanges>
  <mergeCells count="25">
    <mergeCell ref="B2:L2"/>
    <mergeCell ref="N34:N35"/>
    <mergeCell ref="H34:J34"/>
    <mergeCell ref="B34:E34"/>
    <mergeCell ref="B18:L18"/>
    <mergeCell ref="B21:L21"/>
    <mergeCell ref="B22:L22"/>
    <mergeCell ref="B23:L23"/>
    <mergeCell ref="B24:L24"/>
    <mergeCell ref="B3:L3"/>
    <mergeCell ref="B10:L10"/>
    <mergeCell ref="B11:L11"/>
    <mergeCell ref="B12:L12"/>
    <mergeCell ref="F34:G34"/>
    <mergeCell ref="B19:L19"/>
    <mergeCell ref="B20:L20"/>
    <mergeCell ref="B25:L25"/>
    <mergeCell ref="B26:L26"/>
    <mergeCell ref="K34:M34"/>
    <mergeCell ref="B27:L27"/>
    <mergeCell ref="B13:L13"/>
    <mergeCell ref="B14:L14"/>
    <mergeCell ref="B15:L15"/>
    <mergeCell ref="B16:L16"/>
    <mergeCell ref="B17:L17"/>
  </mergeCells>
  <phoneticPr fontId="5" type="noConversion"/>
  <conditionalFormatting sqref="B37:F37 H37:J39 B36:J36 B38:E39 F38:F40 F45:F48 F51:F54 N36:N10000 G37:H54 K36:L54 F120:G10000 K120:L10000">
    <cfRule type="expression" dxfId="143" priority="271" stopIfTrue="1">
      <formula>#REF!=1</formula>
    </cfRule>
    <cfRule type="expression" dxfId="142" priority="272" stopIfTrue="1">
      <formula>#REF!=1</formula>
    </cfRule>
    <cfRule type="expression" dxfId="141" priority="273" stopIfTrue="1">
      <formula>#REF!=1</formula>
    </cfRule>
  </conditionalFormatting>
  <conditionalFormatting sqref="B41:F44 H40:J44 B40:E40 F49:F50 N36:N10000 L36:L54 L120:L10000">
    <cfRule type="expression" dxfId="140" priority="232" stopIfTrue="1">
      <formula>#REF!=1</formula>
    </cfRule>
    <cfRule type="expression" dxfId="139" priority="233" stopIfTrue="1">
      <formula>#REF!=1</formula>
    </cfRule>
    <cfRule type="expression" dxfId="138" priority="234" stopIfTrue="1">
      <formula>#REF!=1</formula>
    </cfRule>
  </conditionalFormatting>
  <conditionalFormatting sqref="H10000">
    <cfRule type="expression" dxfId="137" priority="160" stopIfTrue="1">
      <formula>#REF!=1</formula>
    </cfRule>
    <cfRule type="expression" dxfId="136" priority="161" stopIfTrue="1">
      <formula>#REF!=1</formula>
    </cfRule>
    <cfRule type="expression" dxfId="135" priority="162" stopIfTrue="1">
      <formula>#REF!=1</formula>
    </cfRule>
  </conditionalFormatting>
  <conditionalFormatting sqref="H120:H10000">
    <cfRule type="expression" dxfId="134" priority="157" stopIfTrue="1">
      <formula>#REF!=1</formula>
    </cfRule>
    <cfRule type="expression" dxfId="133" priority="158" stopIfTrue="1">
      <formula>#REF!=1</formula>
    </cfRule>
    <cfRule type="expression" dxfId="132" priority="159" stopIfTrue="1">
      <formula>#REF!=1</formula>
    </cfRule>
  </conditionalFormatting>
  <conditionalFormatting sqref="F56 G55:H56 K55:L56">
    <cfRule type="expression" dxfId="131" priority="154" stopIfTrue="1">
      <formula>#REF!=1</formula>
    </cfRule>
    <cfRule type="expression" dxfId="130" priority="155" stopIfTrue="1">
      <formula>#REF!=1</formula>
    </cfRule>
    <cfRule type="expression" dxfId="129" priority="156" stopIfTrue="1">
      <formula>#REF!=1</formula>
    </cfRule>
  </conditionalFormatting>
  <conditionalFormatting sqref="F55 L55:L56">
    <cfRule type="expression" dxfId="128" priority="151" stopIfTrue="1">
      <formula>#REF!=1</formula>
    </cfRule>
    <cfRule type="expression" dxfId="127" priority="152" stopIfTrue="1">
      <formula>#REF!=1</formula>
    </cfRule>
    <cfRule type="expression" dxfId="126" priority="153" stopIfTrue="1">
      <formula>#REF!=1</formula>
    </cfRule>
  </conditionalFormatting>
  <conditionalFormatting sqref="G57:H59 K57:L59">
    <cfRule type="expression" dxfId="125" priority="148" stopIfTrue="1">
      <formula>#REF!=1</formula>
    </cfRule>
    <cfRule type="expression" dxfId="124" priority="149" stopIfTrue="1">
      <formula>#REF!=1</formula>
    </cfRule>
    <cfRule type="expression" dxfId="123" priority="150" stopIfTrue="1">
      <formula>#REF!=1</formula>
    </cfRule>
  </conditionalFormatting>
  <conditionalFormatting sqref="B57:F59 H57:J59 L57:L59">
    <cfRule type="expression" dxfId="122" priority="145" stopIfTrue="1">
      <formula>#REF!=1</formula>
    </cfRule>
    <cfRule type="expression" dxfId="121" priority="146" stopIfTrue="1">
      <formula>#REF!=1</formula>
    </cfRule>
    <cfRule type="expression" dxfId="120" priority="147" stopIfTrue="1">
      <formula>#REF!=1</formula>
    </cfRule>
  </conditionalFormatting>
  <conditionalFormatting sqref="H60:J61 B60:E61 H62 F60:G62 K60:L62">
    <cfRule type="expression" dxfId="119" priority="142" stopIfTrue="1">
      <formula>#REF!=1</formula>
    </cfRule>
    <cfRule type="expression" dxfId="118" priority="143" stopIfTrue="1">
      <formula>#REF!=1</formula>
    </cfRule>
    <cfRule type="expression" dxfId="117" priority="144" stopIfTrue="1">
      <formula>#REF!=1</formula>
    </cfRule>
  </conditionalFormatting>
  <conditionalFormatting sqref="H62:J62 B62:E62 L60:L62">
    <cfRule type="expression" dxfId="116" priority="139" stopIfTrue="1">
      <formula>#REF!=1</formula>
    </cfRule>
    <cfRule type="expression" dxfId="115" priority="140" stopIfTrue="1">
      <formula>#REF!=1</formula>
    </cfRule>
    <cfRule type="expression" dxfId="114" priority="141" stopIfTrue="1">
      <formula>#REF!=1</formula>
    </cfRule>
  </conditionalFormatting>
  <conditionalFormatting sqref="H63:J64 B63:E64 H65 F63:G65 K63:L65">
    <cfRule type="expression" dxfId="113" priority="136" stopIfTrue="1">
      <formula>#REF!=1</formula>
    </cfRule>
    <cfRule type="expression" dxfId="112" priority="137" stopIfTrue="1">
      <formula>#REF!=1</formula>
    </cfRule>
    <cfRule type="expression" dxfId="111" priority="138" stopIfTrue="1">
      <formula>#REF!=1</formula>
    </cfRule>
  </conditionalFormatting>
  <conditionalFormatting sqref="H65:J65 B65:E65 L63:L65">
    <cfRule type="expression" dxfId="110" priority="133" stopIfTrue="1">
      <formula>#REF!=1</formula>
    </cfRule>
    <cfRule type="expression" dxfId="109" priority="134" stopIfTrue="1">
      <formula>#REF!=1</formula>
    </cfRule>
    <cfRule type="expression" dxfId="108" priority="135" stopIfTrue="1">
      <formula>#REF!=1</formula>
    </cfRule>
  </conditionalFormatting>
  <conditionalFormatting sqref="H66:J67 B66:E67 H68 F66:G68 K66:L68">
    <cfRule type="expression" dxfId="107" priority="130" stopIfTrue="1">
      <formula>#REF!=1</formula>
    </cfRule>
    <cfRule type="expression" dxfId="106" priority="131" stopIfTrue="1">
      <formula>#REF!=1</formula>
    </cfRule>
    <cfRule type="expression" dxfId="105" priority="132" stopIfTrue="1">
      <formula>#REF!=1</formula>
    </cfRule>
  </conditionalFormatting>
  <conditionalFormatting sqref="H68:J68 B68:E68 L66:L68">
    <cfRule type="expression" dxfId="104" priority="127" stopIfTrue="1">
      <formula>#REF!=1</formula>
    </cfRule>
    <cfRule type="expression" dxfId="103" priority="128" stopIfTrue="1">
      <formula>#REF!=1</formula>
    </cfRule>
    <cfRule type="expression" dxfId="102" priority="129" stopIfTrue="1">
      <formula>#REF!=1</formula>
    </cfRule>
  </conditionalFormatting>
  <conditionalFormatting sqref="H69:J70 B69:E70 H71 K69:L71 F69:G71 F72:F78">
    <cfRule type="expression" dxfId="101" priority="124" stopIfTrue="1">
      <formula>#REF!=1</formula>
    </cfRule>
    <cfRule type="expression" dxfId="100" priority="125" stopIfTrue="1">
      <formula>#REF!=1</formula>
    </cfRule>
    <cfRule type="expression" dxfId="99" priority="126" stopIfTrue="1">
      <formula>#REF!=1</formula>
    </cfRule>
  </conditionalFormatting>
  <conditionalFormatting sqref="H71:J71 B71:E71 L69:L71">
    <cfRule type="expression" dxfId="98" priority="121" stopIfTrue="1">
      <formula>#REF!=1</formula>
    </cfRule>
    <cfRule type="expression" dxfId="97" priority="122" stopIfTrue="1">
      <formula>#REF!=1</formula>
    </cfRule>
    <cfRule type="expression" dxfId="96" priority="123" stopIfTrue="1">
      <formula>#REF!=1</formula>
    </cfRule>
  </conditionalFormatting>
  <conditionalFormatting sqref="B72:E73 G74:H74 K72:L74 G72:J73">
    <cfRule type="expression" dxfId="95" priority="118" stopIfTrue="1">
      <formula>#REF!=1</formula>
    </cfRule>
    <cfRule type="expression" dxfId="94" priority="119" stopIfTrue="1">
      <formula>#REF!=1</formula>
    </cfRule>
    <cfRule type="expression" dxfId="93" priority="120" stopIfTrue="1">
      <formula>#REF!=1</formula>
    </cfRule>
  </conditionalFormatting>
  <conditionalFormatting sqref="H74:J74 B74:E74 L72:L74">
    <cfRule type="expression" dxfId="92" priority="115" stopIfTrue="1">
      <formula>#REF!=1</formula>
    </cfRule>
    <cfRule type="expression" dxfId="91" priority="116" stopIfTrue="1">
      <formula>#REF!=1</formula>
    </cfRule>
    <cfRule type="expression" dxfId="90" priority="117" stopIfTrue="1">
      <formula>#REF!=1</formula>
    </cfRule>
  </conditionalFormatting>
  <conditionalFormatting sqref="B75:E76 G77:H77 K75:L77 G75:J76">
    <cfRule type="expression" dxfId="89" priority="112" stopIfTrue="1">
      <formula>#REF!=1</formula>
    </cfRule>
    <cfRule type="expression" dxfId="88" priority="113" stopIfTrue="1">
      <formula>#REF!=1</formula>
    </cfRule>
    <cfRule type="expression" dxfId="87" priority="114" stopIfTrue="1">
      <formula>#REF!=1</formula>
    </cfRule>
  </conditionalFormatting>
  <conditionalFormatting sqref="H77:J77 B77:E77 L75:L77">
    <cfRule type="expression" dxfId="86" priority="109" stopIfTrue="1">
      <formula>#REF!=1</formula>
    </cfRule>
    <cfRule type="expression" dxfId="85" priority="110" stopIfTrue="1">
      <formula>#REF!=1</formula>
    </cfRule>
    <cfRule type="expression" dxfId="84" priority="111" stopIfTrue="1">
      <formula>#REF!=1</formula>
    </cfRule>
  </conditionalFormatting>
  <conditionalFormatting sqref="H78:J79 B78:E79 H80 K78:L80 G78 F79:G80 F81:F101">
    <cfRule type="expression" dxfId="83" priority="106" stopIfTrue="1">
      <formula>#REF!=1</formula>
    </cfRule>
    <cfRule type="expression" dxfId="82" priority="107" stopIfTrue="1">
      <formula>#REF!=1</formula>
    </cfRule>
    <cfRule type="expression" dxfId="81" priority="108" stopIfTrue="1">
      <formula>#REF!=1</formula>
    </cfRule>
  </conditionalFormatting>
  <conditionalFormatting sqref="H80:J80 B80:E80 L78:L80">
    <cfRule type="expression" dxfId="80" priority="103" stopIfTrue="1">
      <formula>#REF!=1</formula>
    </cfRule>
    <cfRule type="expression" dxfId="79" priority="104" stopIfTrue="1">
      <formula>#REF!=1</formula>
    </cfRule>
    <cfRule type="expression" dxfId="78" priority="105" stopIfTrue="1">
      <formula>#REF!=1</formula>
    </cfRule>
  </conditionalFormatting>
  <conditionalFormatting sqref="B81:E82 G83:H83 K81:L83 G81:J82">
    <cfRule type="expression" dxfId="77" priority="100" stopIfTrue="1">
      <formula>#REF!=1</formula>
    </cfRule>
    <cfRule type="expression" dxfId="76" priority="101" stopIfTrue="1">
      <formula>#REF!=1</formula>
    </cfRule>
    <cfRule type="expression" dxfId="75" priority="102" stopIfTrue="1">
      <formula>#REF!=1</formula>
    </cfRule>
  </conditionalFormatting>
  <conditionalFormatting sqref="H83:J83 B83:E83 L81:L83">
    <cfRule type="expression" dxfId="74" priority="97" stopIfTrue="1">
      <formula>#REF!=1</formula>
    </cfRule>
    <cfRule type="expression" dxfId="73" priority="98" stopIfTrue="1">
      <formula>#REF!=1</formula>
    </cfRule>
    <cfRule type="expression" dxfId="72" priority="99" stopIfTrue="1">
      <formula>#REF!=1</formula>
    </cfRule>
  </conditionalFormatting>
  <conditionalFormatting sqref="B84:E85 G86:H86 K84:L86 G84:J85">
    <cfRule type="expression" dxfId="71" priority="70" stopIfTrue="1">
      <formula>#REF!=1</formula>
    </cfRule>
    <cfRule type="expression" dxfId="70" priority="71" stopIfTrue="1">
      <formula>#REF!=1</formula>
    </cfRule>
    <cfRule type="expression" dxfId="69" priority="72" stopIfTrue="1">
      <formula>#REF!=1</formula>
    </cfRule>
  </conditionalFormatting>
  <conditionalFormatting sqref="H86:J86 B86:E86 L84:L86">
    <cfRule type="expression" dxfId="68" priority="67" stopIfTrue="1">
      <formula>#REF!=1</formula>
    </cfRule>
    <cfRule type="expression" dxfId="67" priority="68" stopIfTrue="1">
      <formula>#REF!=1</formula>
    </cfRule>
    <cfRule type="expression" dxfId="66" priority="69" stopIfTrue="1">
      <formula>#REF!=1</formula>
    </cfRule>
  </conditionalFormatting>
  <conditionalFormatting sqref="B87:E88 G89:H89 K87:L89 G87:J88">
    <cfRule type="expression" dxfId="65" priority="64" stopIfTrue="1">
      <formula>#REF!=1</formula>
    </cfRule>
    <cfRule type="expression" dxfId="64" priority="65" stopIfTrue="1">
      <formula>#REF!=1</formula>
    </cfRule>
    <cfRule type="expression" dxfId="63" priority="66" stopIfTrue="1">
      <formula>#REF!=1</formula>
    </cfRule>
  </conditionalFormatting>
  <conditionalFormatting sqref="H89:J89 B89:E89 L87:L89">
    <cfRule type="expression" dxfId="62" priority="61" stopIfTrue="1">
      <formula>#REF!=1</formula>
    </cfRule>
    <cfRule type="expression" dxfId="61" priority="62" stopIfTrue="1">
      <formula>#REF!=1</formula>
    </cfRule>
    <cfRule type="expression" dxfId="60" priority="63" stopIfTrue="1">
      <formula>#REF!=1</formula>
    </cfRule>
  </conditionalFormatting>
  <conditionalFormatting sqref="B90:E91 G92:H92 K90:L92 G90:J91">
    <cfRule type="expression" dxfId="59" priority="58" stopIfTrue="1">
      <formula>#REF!=1</formula>
    </cfRule>
    <cfRule type="expression" dxfId="58" priority="59" stopIfTrue="1">
      <formula>#REF!=1</formula>
    </cfRule>
    <cfRule type="expression" dxfId="57" priority="60" stopIfTrue="1">
      <formula>#REF!=1</formula>
    </cfRule>
  </conditionalFormatting>
  <conditionalFormatting sqref="H92:J92 B92:E92 L90:L92">
    <cfRule type="expression" dxfId="56" priority="55" stopIfTrue="1">
      <formula>#REF!=1</formula>
    </cfRule>
    <cfRule type="expression" dxfId="55" priority="56" stopIfTrue="1">
      <formula>#REF!=1</formula>
    </cfRule>
    <cfRule type="expression" dxfId="54" priority="57" stopIfTrue="1">
      <formula>#REF!=1</formula>
    </cfRule>
  </conditionalFormatting>
  <conditionalFormatting sqref="B93:E94 K93:L95 G95:H95 G93:J94">
    <cfRule type="expression" dxfId="53" priority="52" stopIfTrue="1">
      <formula>#REF!=1</formula>
    </cfRule>
    <cfRule type="expression" dxfId="52" priority="53" stopIfTrue="1">
      <formula>#REF!=1</formula>
    </cfRule>
    <cfRule type="expression" dxfId="51" priority="54" stopIfTrue="1">
      <formula>#REF!=1</formula>
    </cfRule>
  </conditionalFormatting>
  <conditionalFormatting sqref="H95:J95 B95:E95 L93:L95">
    <cfRule type="expression" dxfId="50" priority="49" stopIfTrue="1">
      <formula>#REF!=1</formula>
    </cfRule>
    <cfRule type="expression" dxfId="49" priority="50" stopIfTrue="1">
      <formula>#REF!=1</formula>
    </cfRule>
    <cfRule type="expression" dxfId="48" priority="51" stopIfTrue="1">
      <formula>#REF!=1</formula>
    </cfRule>
  </conditionalFormatting>
  <conditionalFormatting sqref="B96:E97 G98:H98 K96:L98 G96:J97">
    <cfRule type="expression" dxfId="47" priority="46" stopIfTrue="1">
      <formula>#REF!=1</formula>
    </cfRule>
    <cfRule type="expression" dxfId="46" priority="47" stopIfTrue="1">
      <formula>#REF!=1</formula>
    </cfRule>
    <cfRule type="expression" dxfId="45" priority="48" stopIfTrue="1">
      <formula>#REF!=1</formula>
    </cfRule>
  </conditionalFormatting>
  <conditionalFormatting sqref="H98:J98 B98:E98 L96:L98">
    <cfRule type="expression" dxfId="44" priority="43" stopIfTrue="1">
      <formula>#REF!=1</formula>
    </cfRule>
    <cfRule type="expression" dxfId="43" priority="44" stopIfTrue="1">
      <formula>#REF!=1</formula>
    </cfRule>
    <cfRule type="expression" dxfId="42" priority="45" stopIfTrue="1">
      <formula>#REF!=1</formula>
    </cfRule>
  </conditionalFormatting>
  <conditionalFormatting sqref="B99:E100 K99:L101 G101:H101 G99:J100 F102:F113">
    <cfRule type="expression" dxfId="41" priority="40" stopIfTrue="1">
      <formula>#REF!=1</formula>
    </cfRule>
    <cfRule type="expression" dxfId="40" priority="41" stopIfTrue="1">
      <formula>#REF!=1</formula>
    </cfRule>
    <cfRule type="expression" dxfId="39" priority="42" stopIfTrue="1">
      <formula>#REF!=1</formula>
    </cfRule>
  </conditionalFormatting>
  <conditionalFormatting sqref="H101:J101 B101:E101 L99:L101">
    <cfRule type="expression" dxfId="38" priority="37" stopIfTrue="1">
      <formula>#REF!=1</formula>
    </cfRule>
    <cfRule type="expression" dxfId="37" priority="38" stopIfTrue="1">
      <formula>#REF!=1</formula>
    </cfRule>
    <cfRule type="expression" dxfId="36" priority="39" stopIfTrue="1">
      <formula>#REF!=1</formula>
    </cfRule>
  </conditionalFormatting>
  <conditionalFormatting sqref="B102:E103 G104:H104 K102:L104 G102:J103">
    <cfRule type="expression" dxfId="35" priority="34" stopIfTrue="1">
      <formula>#REF!=1</formula>
    </cfRule>
    <cfRule type="expression" dxfId="34" priority="35" stopIfTrue="1">
      <formula>#REF!=1</formula>
    </cfRule>
    <cfRule type="expression" dxfId="33" priority="36" stopIfTrue="1">
      <formula>#REF!=1</formula>
    </cfRule>
  </conditionalFormatting>
  <conditionalFormatting sqref="H104:J104 B104:E104 L102:L104">
    <cfRule type="expression" dxfId="32" priority="31" stopIfTrue="1">
      <formula>#REF!=1</formula>
    </cfRule>
    <cfRule type="expression" dxfId="31" priority="32" stopIfTrue="1">
      <formula>#REF!=1</formula>
    </cfRule>
    <cfRule type="expression" dxfId="30" priority="33" stopIfTrue="1">
      <formula>#REF!=1</formula>
    </cfRule>
  </conditionalFormatting>
  <conditionalFormatting sqref="B105:E106 G107:H107 K105:L107 G105:J106">
    <cfRule type="expression" dxfId="29" priority="28" stopIfTrue="1">
      <formula>#REF!=1</formula>
    </cfRule>
    <cfRule type="expression" dxfId="28" priority="29" stopIfTrue="1">
      <formula>#REF!=1</formula>
    </cfRule>
    <cfRule type="expression" dxfId="27" priority="30" stopIfTrue="1">
      <formula>#REF!=1</formula>
    </cfRule>
  </conditionalFormatting>
  <conditionalFormatting sqref="H107:J107 B107:E107 L105:L107">
    <cfRule type="expression" dxfId="26" priority="25" stopIfTrue="1">
      <formula>#REF!=1</formula>
    </cfRule>
    <cfRule type="expression" dxfId="25" priority="26" stopIfTrue="1">
      <formula>#REF!=1</formula>
    </cfRule>
    <cfRule type="expression" dxfId="24" priority="27" stopIfTrue="1">
      <formula>#REF!=1</formula>
    </cfRule>
  </conditionalFormatting>
  <conditionalFormatting sqref="B108:E109 G110:H110 K108:L110 G108:J109">
    <cfRule type="expression" dxfId="23" priority="22" stopIfTrue="1">
      <formula>#REF!=1</formula>
    </cfRule>
    <cfRule type="expression" dxfId="22" priority="23" stopIfTrue="1">
      <formula>#REF!=1</formula>
    </cfRule>
    <cfRule type="expression" dxfId="21" priority="24" stopIfTrue="1">
      <formula>#REF!=1</formula>
    </cfRule>
  </conditionalFormatting>
  <conditionalFormatting sqref="H110:J110 B110:E110 L108:L110">
    <cfRule type="expression" dxfId="20" priority="19" stopIfTrue="1">
      <formula>#REF!=1</formula>
    </cfRule>
    <cfRule type="expression" dxfId="19" priority="20" stopIfTrue="1">
      <formula>#REF!=1</formula>
    </cfRule>
    <cfRule type="expression" dxfId="18" priority="21" stopIfTrue="1">
      <formula>#REF!=1</formula>
    </cfRule>
  </conditionalFormatting>
  <conditionalFormatting sqref="B111:E112 G113:H113 K111:L113 G111:J112">
    <cfRule type="expression" dxfId="17" priority="16" stopIfTrue="1">
      <formula>#REF!=1</formula>
    </cfRule>
    <cfRule type="expression" dxfId="16" priority="17" stopIfTrue="1">
      <formula>#REF!=1</formula>
    </cfRule>
    <cfRule type="expression" dxfId="15" priority="18" stopIfTrue="1">
      <formula>#REF!=1</formula>
    </cfRule>
  </conditionalFormatting>
  <conditionalFormatting sqref="H113:J113 B113:E113 L111:L113">
    <cfRule type="expression" dxfId="14" priority="13" stopIfTrue="1">
      <formula>#REF!=1</formula>
    </cfRule>
    <cfRule type="expression" dxfId="13" priority="14" stopIfTrue="1">
      <formula>#REF!=1</formula>
    </cfRule>
    <cfRule type="expression" dxfId="12" priority="15" stopIfTrue="1">
      <formula>#REF!=1</formula>
    </cfRule>
  </conditionalFormatting>
  <conditionalFormatting sqref="H114:J115 B114:E115 H116 K114:L116 F114:G116 F117:F119">
    <cfRule type="expression" dxfId="11" priority="10" stopIfTrue="1">
      <formula>#REF!=1</formula>
    </cfRule>
    <cfRule type="expression" dxfId="10" priority="11" stopIfTrue="1">
      <formula>#REF!=1</formula>
    </cfRule>
    <cfRule type="expression" dxfId="9" priority="12" stopIfTrue="1">
      <formula>#REF!=1</formula>
    </cfRule>
  </conditionalFormatting>
  <conditionalFormatting sqref="H116:J116 B116:E116 L114:L116">
    <cfRule type="expression" dxfId="8" priority="7" stopIfTrue="1">
      <formula>#REF!=1</formula>
    </cfRule>
    <cfRule type="expression" dxfId="7" priority="8" stopIfTrue="1">
      <formula>#REF!=1</formula>
    </cfRule>
    <cfRule type="expression" dxfId="6" priority="9" stopIfTrue="1">
      <formula>#REF!=1</formula>
    </cfRule>
  </conditionalFormatting>
  <conditionalFormatting sqref="B117:E118 G119:H119 K117:L119 G117:J118">
    <cfRule type="expression" dxfId="5" priority="4" stopIfTrue="1">
      <formula>#REF!=1</formula>
    </cfRule>
    <cfRule type="expression" dxfId="4" priority="5" stopIfTrue="1">
      <formula>#REF!=1</formula>
    </cfRule>
    <cfRule type="expression" dxfId="3" priority="6" stopIfTrue="1">
      <formula>#REF!=1</formula>
    </cfRule>
  </conditionalFormatting>
  <conditionalFormatting sqref="H119:J119 B119:E119 L117:L119">
    <cfRule type="expression" dxfId="2" priority="1" stopIfTrue="1">
      <formula>#REF!=1</formula>
    </cfRule>
    <cfRule type="expression" dxfId="1" priority="2" stopIfTrue="1">
      <formula>#REF!=1</formula>
    </cfRule>
    <cfRule type="expression" dxfId="0" priority="3" stopIfTrue="1">
      <formula>#REF!=1</formula>
    </cfRule>
  </conditionalFormatting>
  <dataValidations count="4">
    <dataValidation type="list" allowBlank="1" showInputMessage="1" showErrorMessage="1" sqref="G36:G10000">
      <formula1>INDIRECT(F36)</formula1>
    </dataValidation>
    <dataValidation type="list" allowBlank="1" showInputMessage="1" showErrorMessage="1" errorTitle="기능점수산정방법 선택" error="간이법 또는 상세법을 선택하세요." sqref="C29">
      <formula1>"간이법,상세법"</formula1>
    </dataValidation>
    <dataValidation type="list" allowBlank="1" showInputMessage="1" showErrorMessage="1" sqref="F36:F10000">
      <formula1>개발유형</formula1>
    </dataValidation>
    <dataValidation type="list" allowBlank="1" showInputMessage="1" showErrorMessage="1" sqref="H36:H10000">
      <formula1>"ILF,EIF,EI,EO,EQ"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scale="8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26"/>
  <sheetViews>
    <sheetView showGridLines="0" zoomScaleNormal="100" zoomScaleSheetLayoutView="100" workbookViewId="0">
      <selection activeCell="E13" sqref="E13"/>
    </sheetView>
  </sheetViews>
  <sheetFormatPr defaultRowHeight="13.5"/>
  <cols>
    <col min="1" max="1" width="2" customWidth="1"/>
    <col min="2" max="2" width="21.125" customWidth="1"/>
    <col min="3" max="3" width="14" customWidth="1"/>
    <col min="4" max="4" width="11.875" customWidth="1"/>
    <col min="5" max="5" width="10.875" customWidth="1"/>
    <col min="6" max="6" width="10.75" customWidth="1"/>
    <col min="7" max="7" width="8.625" customWidth="1"/>
    <col min="8" max="8" width="10.625" customWidth="1"/>
  </cols>
  <sheetData>
    <row r="1" spans="2:23" ht="20.25">
      <c r="B1" s="166" t="s">
        <v>93</v>
      </c>
      <c r="C1" s="167"/>
      <c r="D1" s="167"/>
      <c r="E1" s="167"/>
      <c r="F1" s="167"/>
      <c r="G1" s="167"/>
      <c r="H1" s="167"/>
      <c r="I1" s="167"/>
      <c r="J1" s="168"/>
    </row>
    <row r="2" spans="2:23" ht="20.25">
      <c r="B2" s="27"/>
      <c r="C2" s="28"/>
      <c r="D2" s="28"/>
      <c r="E2" s="28"/>
      <c r="F2" s="28"/>
      <c r="G2" s="28"/>
      <c r="H2" s="119"/>
      <c r="I2" s="28"/>
      <c r="J2" s="120"/>
    </row>
    <row r="3" spans="2:23" s="72" customFormat="1">
      <c r="B3" s="73" t="s">
        <v>45</v>
      </c>
      <c r="C3" s="74"/>
      <c r="D3" s="75"/>
      <c r="E3" s="75"/>
      <c r="F3" s="75"/>
      <c r="G3" s="75"/>
      <c r="H3" s="75"/>
      <c r="I3" s="75"/>
      <c r="J3" s="76"/>
      <c r="K3"/>
      <c r="T3" s="77"/>
      <c r="U3" s="77"/>
      <c r="V3" s="78"/>
      <c r="W3" s="78"/>
    </row>
    <row r="4" spans="2:23" s="72" customFormat="1" ht="16.5">
      <c r="B4" s="161" t="s">
        <v>46</v>
      </c>
      <c r="C4" s="162"/>
      <c r="D4" s="163"/>
      <c r="E4" s="79" t="s">
        <v>8</v>
      </c>
      <c r="F4" s="79" t="s">
        <v>9</v>
      </c>
      <c r="G4" s="79" t="s">
        <v>10</v>
      </c>
      <c r="H4" s="79" t="s">
        <v>47</v>
      </c>
      <c r="I4" s="79" t="s">
        <v>48</v>
      </c>
      <c r="J4" s="82" t="s">
        <v>11</v>
      </c>
      <c r="K4"/>
      <c r="T4" s="77"/>
      <c r="U4" s="77"/>
      <c r="V4" s="78"/>
      <c r="W4" s="78"/>
    </row>
    <row r="5" spans="2:23" s="72" customFormat="1" ht="16.5">
      <c r="B5" s="159" t="s">
        <v>49</v>
      </c>
      <c r="C5" s="164" t="s">
        <v>85</v>
      </c>
      <c r="D5" s="165"/>
      <c r="E5" s="114">
        <f>COUNTIFS(FP산정!$F$36:$F$10000,"신규",FP산정!$H$36:$H$10000,FP집계!E$4)</f>
        <v>3</v>
      </c>
      <c r="F5" s="80">
        <f>COUNTIFS(FP산정!$F$36:$F$10000,"신규",FP산정!$H$36:$H$10000,FP집계!F$4)</f>
        <v>0</v>
      </c>
      <c r="G5" s="80">
        <f>COUNTIFS(FP산정!$F$36:$F$10000,"신규",FP산정!$H$36:$H$10000,FP집계!G$4)</f>
        <v>10</v>
      </c>
      <c r="H5" s="80">
        <f>COUNTIFS(FP산정!$F$36:$F$10000,"신규",FP산정!$H$36:$H$10000,FP집계!H$4)</f>
        <v>1</v>
      </c>
      <c r="I5" s="80">
        <f>COUNTIFS(FP산정!$F$36:$F$10000,"신규",FP산정!$H$36:$H$10000,FP집계!I$4)</f>
        <v>13</v>
      </c>
      <c r="J5" s="83">
        <f t="shared" ref="J5:J18" si="0">SUM(E5:I5)</f>
        <v>27</v>
      </c>
      <c r="K5"/>
      <c r="T5" s="77"/>
      <c r="U5" s="77"/>
      <c r="V5" s="78"/>
      <c r="W5" s="78"/>
    </row>
    <row r="6" spans="2:23" s="72" customFormat="1" ht="16.5">
      <c r="B6" s="160"/>
      <c r="C6" s="164" t="s">
        <v>51</v>
      </c>
      <c r="D6" s="165"/>
      <c r="E6" s="114">
        <f>COUNTIFS(FP산정!$F$36:$F$10000,"수정",FP산정!$H$36:$H$10000,FP집계!E$4)</f>
        <v>4</v>
      </c>
      <c r="F6" s="80">
        <f>COUNTIFS(FP산정!$F$36:$F$10000,"수정",FP산정!$H$36:$H$10000,FP집계!F$4)</f>
        <v>0</v>
      </c>
      <c r="G6" s="80">
        <f>COUNTIFS(FP산정!$F$36:$F$10000,"수정",FP산정!$H$36:$H$10000,FP집계!G$4)</f>
        <v>20</v>
      </c>
      <c r="H6" s="80">
        <f>COUNTIFS(FP산정!$F$36:$F$10000,"수정",FP산정!$H$36:$H$10000,FP집계!H$4)</f>
        <v>1</v>
      </c>
      <c r="I6" s="80">
        <f>COUNTIFS(FP산정!$F$36:$F$10000,"수정",FP산정!$H$36:$H$10000,FP집계!I$4)</f>
        <v>22</v>
      </c>
      <c r="J6" s="83">
        <f t="shared" si="0"/>
        <v>47</v>
      </c>
      <c r="K6"/>
      <c r="T6" s="77"/>
      <c r="U6" s="77"/>
      <c r="V6" s="78"/>
      <c r="W6" s="78"/>
    </row>
    <row r="7" spans="2:23" s="72" customFormat="1" ht="16.5">
      <c r="B7" s="160"/>
      <c r="C7" s="164" t="s">
        <v>52</v>
      </c>
      <c r="D7" s="165"/>
      <c r="E7" s="114">
        <f>COUNTIFS(FP산정!$F$36:$F$10000,"삭제",FP산정!$H$36:$H$10000,FP집계!E$4)</f>
        <v>0</v>
      </c>
      <c r="F7" s="80">
        <f>COUNTIFS(FP산정!$F$36:$F$10000,"삭제",FP산정!$H$36:$H$10000,FP집계!F$4)</f>
        <v>0</v>
      </c>
      <c r="G7" s="80">
        <f>COUNTIFS(FP산정!$F$36:$F$10000,"삭제",FP산정!$H$36:$H$10000,FP집계!G$4)</f>
        <v>14</v>
      </c>
      <c r="H7" s="80">
        <f>COUNTIFS(FP산정!$F$36:$F$10000,"삭제",FP산정!$H$36:$H$10000,FP집계!H$4)</f>
        <v>0</v>
      </c>
      <c r="I7" s="80">
        <f>COUNTIFS(FP산정!$F$36:$F$10000,"삭제",FP산정!$H$36:$H$10000,FP집계!I$4)</f>
        <v>18</v>
      </c>
      <c r="J7" s="83">
        <f t="shared" si="0"/>
        <v>32</v>
      </c>
      <c r="K7"/>
      <c r="T7" s="77"/>
      <c r="U7" s="77"/>
      <c r="V7" s="78"/>
      <c r="W7" s="78"/>
    </row>
    <row r="8" spans="2:23" s="72" customFormat="1" ht="16.5">
      <c r="B8" s="152"/>
      <c r="C8" s="149" t="s">
        <v>53</v>
      </c>
      <c r="D8" s="150"/>
      <c r="E8" s="80">
        <f>COUNTIFS(FP산정!$F$36:$F$10000,"유지",FP산정!$H$36:$H$10000,FP집계!E$4)</f>
        <v>90</v>
      </c>
      <c r="F8" s="80">
        <f>COUNTIFS(FP산정!$F$36:$F$10000,"유지",FP산정!$H$36:$H$10000,FP집계!F$4)</f>
        <v>0</v>
      </c>
      <c r="G8" s="80">
        <f>COUNTIFS(FP산정!$F$36:$F$10000,"유지",FP산정!$H$36:$H$10000,FP집계!G$4)</f>
        <v>100</v>
      </c>
      <c r="H8" s="80">
        <f>COUNTIFS(FP산정!$F$36:$F$10000,"유지",FP산정!$H$36:$H$10000,FP집계!H$4)</f>
        <v>59</v>
      </c>
      <c r="I8" s="80">
        <f>COUNTIFS(FP산정!$F$36:$F$10000,"유지",FP산정!$H$36:$H$10000,FP집계!I$4)</f>
        <v>170</v>
      </c>
      <c r="J8" s="83">
        <f t="shared" ref="J8" si="1">SUM(E8:I8)</f>
        <v>419</v>
      </c>
      <c r="K8"/>
      <c r="T8" s="77"/>
      <c r="U8" s="77"/>
      <c r="V8" s="78"/>
      <c r="W8" s="78"/>
    </row>
    <row r="9" spans="2:23" s="72" customFormat="1" ht="16.5">
      <c r="B9" s="153"/>
      <c r="C9" s="154" t="s">
        <v>84</v>
      </c>
      <c r="D9" s="155"/>
      <c r="E9" s="80">
        <f>SUM(E5:E8)</f>
        <v>97</v>
      </c>
      <c r="F9" s="80">
        <f t="shared" ref="F9:J9" si="2">SUM(F5:F8)</f>
        <v>0</v>
      </c>
      <c r="G9" s="80">
        <f t="shared" si="2"/>
        <v>144</v>
      </c>
      <c r="H9" s="80">
        <f t="shared" si="2"/>
        <v>61</v>
      </c>
      <c r="I9" s="80">
        <f t="shared" si="2"/>
        <v>223</v>
      </c>
      <c r="J9" s="83">
        <f t="shared" si="2"/>
        <v>525</v>
      </c>
      <c r="K9"/>
      <c r="T9" s="77"/>
      <c r="U9" s="77"/>
      <c r="V9" s="78"/>
      <c r="W9" s="78"/>
    </row>
    <row r="10" spans="2:23" s="72" customFormat="1" ht="16.5">
      <c r="B10" s="151" t="s">
        <v>54</v>
      </c>
      <c r="C10" s="154" t="s">
        <v>50</v>
      </c>
      <c r="D10" s="155"/>
      <c r="E10" s="81">
        <f>SUMIFS(FP산정!$L$36:$L$10000,FP산정!$F$36:$F$10000,"신규",FP산정!$H$36:$H$10000,FP집계!E$4)</f>
        <v>21</v>
      </c>
      <c r="F10" s="81">
        <f>SUMIFS(FP산정!$L$36:$L$10000,FP산정!$F$36:$F$10000,"신규",FP산정!$H$36:$H$10000,FP집계!F$4)</f>
        <v>0</v>
      </c>
      <c r="G10" s="81">
        <f>SUMIFS(FP산정!$L$36:$L$10000,FP산정!$F$36:$F$10000,"신규",FP산정!$H$36:$H$10000,FP집계!G$4)</f>
        <v>39</v>
      </c>
      <c r="H10" s="81">
        <f>SUMIFS(FP산정!$L$36:$L$10000,FP산정!$F$36:$F$10000,"신규",FP산정!$H$36:$H$10000,FP집계!H$4)</f>
        <v>7</v>
      </c>
      <c r="I10" s="81">
        <f>SUMIFS(FP산정!$L$36:$L$10000,FP산정!$F$36:$F$10000,"신규",FP산정!$H$36:$H$10000,FP집계!I$4)</f>
        <v>41</v>
      </c>
      <c r="J10" s="83">
        <f t="shared" si="0"/>
        <v>108</v>
      </c>
      <c r="K10"/>
      <c r="T10" s="77"/>
      <c r="U10" s="77"/>
      <c r="V10" s="78"/>
      <c r="W10" s="78"/>
    </row>
    <row r="11" spans="2:23" s="72" customFormat="1" ht="16.5" customHeight="1">
      <c r="B11" s="152"/>
      <c r="C11" s="156" t="s">
        <v>88</v>
      </c>
      <c r="D11" s="115" t="s">
        <v>55</v>
      </c>
      <c r="E11" s="81">
        <f>SUMIFS(FP산정!$L$36:$L$10000,FP산정!$F$36:$F$10000,"수정",FP산정!$H$36:$H$10000,FP집계!E$4)</f>
        <v>28</v>
      </c>
      <c r="F11" s="81">
        <f>SUMIFS(FP산정!$L$36:$L$10000,FP산정!$F$36:$F$10000,"수정",FP산정!$H$36:$H$10000,FP집계!F$4)</f>
        <v>0</v>
      </c>
      <c r="G11" s="81">
        <f>SUMIFS(FP산정!$L$36:$L$10000,FP산정!$F$36:$F$10000,"수정",FP산정!$H$36:$H$10000,FP집계!G$4)</f>
        <v>106</v>
      </c>
      <c r="H11" s="81">
        <f>SUMIFS(FP산정!$L$36:$L$10000,FP산정!$F$36:$F$10000,"수정",FP산정!$H$36:$H$10000,FP집계!H$4)</f>
        <v>5</v>
      </c>
      <c r="I11" s="81">
        <f>SUMIFS(FP산정!$L$36:$L$10000,FP산정!$F$36:$F$10000,"수정",FP산정!$H$36:$H$10000,FP집계!I$4)</f>
        <v>84</v>
      </c>
      <c r="J11" s="83">
        <f t="shared" si="0"/>
        <v>223</v>
      </c>
      <c r="K11"/>
      <c r="T11" s="77"/>
      <c r="U11" s="77"/>
      <c r="V11" s="78"/>
      <c r="W11" s="78"/>
    </row>
    <row r="12" spans="2:23" s="72" customFormat="1" ht="16.5" customHeight="1">
      <c r="B12" s="152"/>
      <c r="C12" s="157"/>
      <c r="D12" s="115" t="s">
        <v>56</v>
      </c>
      <c r="E12" s="81">
        <f>SUMIFS(FP산정!$L$36:$L$10000,FP산정!$F$36:$F$10000,"삭제",FP산정!$H$36:$H$10000,FP집계!E$4)</f>
        <v>0</v>
      </c>
      <c r="F12" s="81">
        <f>SUMIFS(FP산정!$L$36:$L$10000,FP산정!$F$36:$F$10000,"삭제",FP산정!$H$36:$H$10000,FP집계!F$4)</f>
        <v>0</v>
      </c>
      <c r="G12" s="81">
        <f>SUMIFS(FP산정!$L$36:$L$10000,FP산정!$F$36:$F$10000,"삭제",FP산정!$H$36:$H$10000,FP집계!G$4)</f>
        <v>43</v>
      </c>
      <c r="H12" s="81">
        <f>SUMIFS(FP산정!$L$36:$L$10000,FP산정!$F$36:$F$10000,"삭제",FP산정!$H$36:$H$10000,FP집계!H$4)</f>
        <v>0</v>
      </c>
      <c r="I12" s="81">
        <f>SUMIFS(FP산정!$L$36:$L$10000,FP산정!$F$36:$F$10000,"삭제",FP산정!$H$36:$H$10000,FP집계!I$4)</f>
        <v>65</v>
      </c>
      <c r="J12" s="83">
        <f t="shared" si="0"/>
        <v>108</v>
      </c>
      <c r="K12"/>
      <c r="T12" s="78"/>
      <c r="U12" s="78"/>
      <c r="V12" s="78"/>
      <c r="W12" s="78"/>
    </row>
    <row r="13" spans="2:23" s="72" customFormat="1" ht="16.5" customHeight="1">
      <c r="B13" s="152"/>
      <c r="C13" s="158"/>
      <c r="D13" s="115" t="s">
        <v>57</v>
      </c>
      <c r="E13" s="80">
        <f>SUM(E11:E12)</f>
        <v>28</v>
      </c>
      <c r="F13" s="80">
        <f t="shared" ref="F13:I13" si="3">SUM(F11:F12)</f>
        <v>0</v>
      </c>
      <c r="G13" s="80">
        <f t="shared" si="3"/>
        <v>149</v>
      </c>
      <c r="H13" s="80">
        <f t="shared" si="3"/>
        <v>5</v>
      </c>
      <c r="I13" s="80">
        <f t="shared" si="3"/>
        <v>149</v>
      </c>
      <c r="J13" s="83">
        <f>SUM(E13:I13)</f>
        <v>331</v>
      </c>
      <c r="K13"/>
    </row>
    <row r="14" spans="2:23" s="72" customFormat="1" ht="16.5" customHeight="1">
      <c r="B14" s="152"/>
      <c r="C14" s="156" t="s">
        <v>86</v>
      </c>
      <c r="D14" s="115" t="s">
        <v>55</v>
      </c>
      <c r="E14" s="81">
        <f>SUMIFS(FP산정!$M$36:$M$10000,FP산정!$F$36:$F$10000,"수정",FP산정!$H$36:$H$10000,FP집계!E$4)</f>
        <v>5.6000000000000005</v>
      </c>
      <c r="F14" s="81">
        <f>SUMIFS(FP산정!$M$36:$M$10000,FP산정!$F$36:$F$10000,"수정",FP산정!$H$36:$H$10000,FP집계!F$4)</f>
        <v>0</v>
      </c>
      <c r="G14" s="81">
        <f>SUMIFS(FP산정!$M$36:$M$10000,FP산정!$F$36:$F$10000,"수정",FP산정!$H$36:$H$10000,FP집계!G$4)</f>
        <v>53.500000000000014</v>
      </c>
      <c r="H14" s="81">
        <f>SUMIFS(FP산정!$M$36:$M$10000,FP산정!$F$36:$F$10000,"수정",FP산정!$H$36:$H$10000,FP집계!H$4)</f>
        <v>1</v>
      </c>
      <c r="I14" s="81">
        <f>SUMIFS(FP산정!$M$36:$M$10000,FP산정!$F$36:$F$10000,"수정",FP산정!$H$36:$H$10000,FP집계!I$4)</f>
        <v>36.900000000000006</v>
      </c>
      <c r="J14" s="83">
        <f t="shared" si="0"/>
        <v>97.000000000000028</v>
      </c>
      <c r="K14"/>
    </row>
    <row r="15" spans="2:23" s="72" customFormat="1" ht="16.5">
      <c r="B15" s="152"/>
      <c r="C15" s="157"/>
      <c r="D15" s="115" t="s">
        <v>56</v>
      </c>
      <c r="E15" s="81">
        <f>SUMIFS(FP산정!$M$36:$M$10000,FP산정!$F$36:$F$10000,"삭제",FP산정!$H$36:$H$10000,FP집계!E$4)</f>
        <v>0</v>
      </c>
      <c r="F15" s="81">
        <f>SUMIFS(FP산정!$M$36:$M$10000,FP산정!$F$36:$F$10000,"삭제",FP산정!$H$36:$H$10000,FP집계!F$4)</f>
        <v>0</v>
      </c>
      <c r="G15" s="81">
        <f>SUMIFS(FP산정!$M$36:$M$10000,FP산정!$F$36:$F$10000,"삭제",FP산정!$H$36:$H$10000,FP집계!G$4)</f>
        <v>43</v>
      </c>
      <c r="H15" s="81">
        <f>SUMIFS(FP산정!$M$36:$M$10000,FP산정!$F$36:$F$10000,"삭제",FP산정!$H$36:$H$10000,FP집계!H$4)</f>
        <v>0</v>
      </c>
      <c r="I15" s="81">
        <f>SUMIFS(FP산정!$M$36:$M$10000,FP산정!$F$36:$F$10000,"삭제",FP산정!$H$36:$H$10000,FP집계!I$4)</f>
        <v>65</v>
      </c>
      <c r="J15" s="83">
        <f t="shared" si="0"/>
        <v>108</v>
      </c>
      <c r="K15"/>
    </row>
    <row r="16" spans="2:23" s="72" customFormat="1" ht="16.5">
      <c r="B16" s="152"/>
      <c r="C16" s="158"/>
      <c r="D16" s="115" t="s">
        <v>57</v>
      </c>
      <c r="E16" s="80">
        <f>SUM(E14:E15)</f>
        <v>5.6000000000000005</v>
      </c>
      <c r="F16" s="80">
        <f t="shared" ref="F16:I16" si="4">SUM(F14:F15)</f>
        <v>0</v>
      </c>
      <c r="G16" s="80">
        <f t="shared" si="4"/>
        <v>96.500000000000014</v>
      </c>
      <c r="H16" s="80">
        <f t="shared" si="4"/>
        <v>1</v>
      </c>
      <c r="I16" s="80">
        <f t="shared" si="4"/>
        <v>101.9</v>
      </c>
      <c r="J16" s="83">
        <f>SUM(E16:I16)</f>
        <v>205</v>
      </c>
      <c r="K16"/>
    </row>
    <row r="17" spans="2:11" s="72" customFormat="1" ht="16.5">
      <c r="B17" s="153"/>
      <c r="C17" s="154" t="s">
        <v>53</v>
      </c>
      <c r="D17" s="155"/>
      <c r="E17" s="81">
        <f>SUMIFS(FP산정!$L$36:$L$10000,FP산정!$F$36:$F$10000,"유지",FP산정!$H$36:$H$10000,FP집계!E$4)</f>
        <v>633</v>
      </c>
      <c r="F17" s="81">
        <f>SUMIFS(FP산정!$L$36:$L$10000,FP산정!$F$36:$F$10000,"유지",FP산정!$H$36:$H$10000,FP집계!F$4)</f>
        <v>0</v>
      </c>
      <c r="G17" s="81">
        <f>SUMIFS(FP산정!$L$36:$L$10000,FP산정!$F$36:$F$10000,"유지",FP산정!$H$36:$H$10000,FP집계!G$4)</f>
        <v>345</v>
      </c>
      <c r="H17" s="81">
        <f>SUMIFS(FP산정!$L$36:$L$10000,FP산정!$F$36:$F$10000,"유지",FP산정!$H$36:$H$10000,FP집계!H$4)</f>
        <v>278</v>
      </c>
      <c r="I17" s="81">
        <f>SUMIFS(FP산정!$L$36:$L$10000,FP산정!$F$36:$F$10000,"유지",FP산정!$H$36:$H$10000,FP집계!I$4)</f>
        <v>606</v>
      </c>
      <c r="J17" s="83">
        <f t="shared" ref="J17" si="5">SUM(E17:I17)</f>
        <v>1862</v>
      </c>
      <c r="K17"/>
    </row>
    <row r="18" spans="2:11" s="72" customFormat="1" ht="23.25" customHeight="1">
      <c r="B18" s="143" t="s">
        <v>91</v>
      </c>
      <c r="C18" s="144"/>
      <c r="D18" s="145"/>
      <c r="E18" s="85">
        <f>SUM(E16,E10)</f>
        <v>26.6</v>
      </c>
      <c r="F18" s="85">
        <f>SUM(F16,F10)</f>
        <v>0</v>
      </c>
      <c r="G18" s="85">
        <f>SUM(G16,G10)</f>
        <v>135.5</v>
      </c>
      <c r="H18" s="85">
        <f>SUM(H16,H10)</f>
        <v>8</v>
      </c>
      <c r="I18" s="85">
        <f>SUM(I16,I10)</f>
        <v>142.9</v>
      </c>
      <c r="J18" s="83">
        <f t="shared" si="0"/>
        <v>313</v>
      </c>
      <c r="K18"/>
    </row>
    <row r="19" spans="2:11" s="72" customFormat="1" ht="36.75" customHeight="1">
      <c r="B19" s="146" t="s">
        <v>92</v>
      </c>
      <c r="C19" s="147"/>
      <c r="D19" s="148"/>
      <c r="E19" s="121">
        <f>SUM(E13,E10,E17)</f>
        <v>682</v>
      </c>
      <c r="F19" s="121">
        <f t="shared" ref="F19:I19" si="6">SUM(F13,F10,F17)</f>
        <v>0</v>
      </c>
      <c r="G19" s="121">
        <f t="shared" si="6"/>
        <v>533</v>
      </c>
      <c r="H19" s="121">
        <f t="shared" si="6"/>
        <v>290</v>
      </c>
      <c r="I19" s="121">
        <f t="shared" si="6"/>
        <v>796</v>
      </c>
      <c r="J19" s="84">
        <f t="shared" ref="J19" si="7">SUM(E19:I19)</f>
        <v>2301</v>
      </c>
      <c r="K19"/>
    </row>
    <row r="20" spans="2:11" ht="14.25" thickBot="1">
      <c r="B20" s="29"/>
      <c r="C20" s="30"/>
      <c r="D20" s="30"/>
      <c r="E20" s="30"/>
      <c r="F20" s="30"/>
      <c r="G20" s="30"/>
      <c r="H20" s="30"/>
      <c r="I20" s="30"/>
      <c r="J20" s="31"/>
    </row>
    <row r="21" spans="2:11" ht="7.5" customHeight="1"/>
    <row r="22" spans="2:11" ht="16.5">
      <c r="D22" s="103" t="s">
        <v>62</v>
      </c>
      <c r="E22" s="102" t="s">
        <v>8</v>
      </c>
      <c r="F22" s="102" t="s">
        <v>9</v>
      </c>
      <c r="G22" s="102" t="s">
        <v>10</v>
      </c>
      <c r="H22" s="102" t="s">
        <v>43</v>
      </c>
      <c r="I22" s="102" t="s">
        <v>44</v>
      </c>
      <c r="J22" s="104" t="s">
        <v>67</v>
      </c>
    </row>
    <row r="23" spans="2:11" ht="16.5">
      <c r="D23" s="99" t="s">
        <v>63</v>
      </c>
      <c r="E23" s="100">
        <f>COUNTIFS(FP산정!$F$36:$F$10000,"수정",FP산정!$H$36:$H$10000,FP집계!E4,FP산정!$G$36:$G$10000,"상")</f>
        <v>0</v>
      </c>
      <c r="F23" s="100">
        <f>COUNTIFS(FP산정!$F$36:$F$10000,"수정",FP산정!$H$36:$H$10000,FP집계!F4,FP산정!$G$36:$G$10000,"상")</f>
        <v>0</v>
      </c>
      <c r="G23" s="100">
        <f>COUNTIFS(FP산정!$F$36:$F$10000,"수정",FP산정!$H$36:$H$10000,FP집계!G4,FP산정!$G$36:$G$10000,"상")</f>
        <v>7</v>
      </c>
      <c r="H23" s="100">
        <f>COUNTIFS(FP산정!$F$36:$F$10000,"수정",FP산정!$H$36:$H$10000,FP집계!H4,FP산정!$G$36:$G$10000,"상")</f>
        <v>0</v>
      </c>
      <c r="I23" s="100">
        <f>COUNTIFS(FP산정!$F$36:$F$10000,"수정",FP산정!$H$36:$H$10000,FP집계!I4,FP산정!$G$36:$G$10000,"상")</f>
        <v>1</v>
      </c>
      <c r="J23" s="101">
        <f>SUM(E23:I23)</f>
        <v>8</v>
      </c>
    </row>
    <row r="24" spans="2:11" ht="16.5">
      <c r="D24" s="94" t="s">
        <v>64</v>
      </c>
      <c r="E24" s="93">
        <f>COUNTIFS(FP산정!$F$36:$F$10000,"수정",FP산정!$H$36:$H$10000,FP집계!E4,FP산정!$G$36:$G$10000,"중")</f>
        <v>0</v>
      </c>
      <c r="F24" s="93">
        <f>COUNTIFS(FP산정!$F$36:$F$10000,"수정",FP산정!$H$36:$H$10000,FP집계!F4,FP산정!$G$36:$G$10000,"중")</f>
        <v>0</v>
      </c>
      <c r="G24" s="93">
        <f>COUNTIFS(FP산정!$F$36:$F$10000,"수정",FP산정!$H$36:$H$10000,FP집계!G4,FP산정!$G$36:$G$10000,"중")</f>
        <v>9</v>
      </c>
      <c r="H24" s="93">
        <f>COUNTIFS(FP산정!$F$36:$F$10000,"수정",FP산정!$H$36:$H$10000,FP집계!H4,FP산정!$G$36:$G$10000,"중")</f>
        <v>0</v>
      </c>
      <c r="I24" s="93">
        <f>COUNTIFS(FP산정!$F$36:$F$10000,"수정",FP산정!$H$36:$H$10000,FP집계!I4,FP산정!$G$36:$G$10000,"중")</f>
        <v>16</v>
      </c>
      <c r="J24" s="95">
        <f t="shared" ref="J24:J26" si="8">SUM(E24:I24)</f>
        <v>25</v>
      </c>
    </row>
    <row r="25" spans="2:11" ht="16.5">
      <c r="D25" s="94" t="s">
        <v>65</v>
      </c>
      <c r="E25" s="93">
        <f>COUNTIFS(FP산정!$F$36:$F$10000,"수정",FP산정!$H$36:$H$10000,FP집계!E4,FP산정!$G$36:$G$10000,"하")</f>
        <v>4</v>
      </c>
      <c r="F25" s="93">
        <f>COUNTIFS(FP산정!$F$36:$F$10000,"수정",FP산정!$H$36:$H$10000,FP집계!F4,FP산정!$G$36:$G$10000,"하")</f>
        <v>0</v>
      </c>
      <c r="G25" s="93">
        <f>COUNTIFS(FP산정!$F$36:$F$10000,"수정",FP산정!$H$36:$H$10000,FP집계!G4,FP산정!$G$36:$G$10000,"하")</f>
        <v>4</v>
      </c>
      <c r="H25" s="93">
        <f>COUNTIFS(FP산정!$F$36:$F$10000,"수정",FP산정!$H$36:$H$10000,FP집계!H4,FP산정!$G$36:$G$10000,"하")</f>
        <v>1</v>
      </c>
      <c r="I25" s="93">
        <f>COUNTIFS(FP산정!$F$36:$F$10000,"수정",FP산정!$H$36:$H$10000,FP집계!I4,FP산정!$G$36:$G$10000,"하")</f>
        <v>5</v>
      </c>
      <c r="J25" s="95">
        <f t="shared" si="8"/>
        <v>14</v>
      </c>
    </row>
    <row r="26" spans="2:11" ht="16.5">
      <c r="D26" s="96" t="s">
        <v>66</v>
      </c>
      <c r="E26" s="97">
        <f>SUM(E23:E25)</f>
        <v>4</v>
      </c>
      <c r="F26" s="97">
        <f t="shared" ref="F26:I26" si="9">SUM(F23:F25)</f>
        <v>0</v>
      </c>
      <c r="G26" s="97">
        <f t="shared" si="9"/>
        <v>20</v>
      </c>
      <c r="H26" s="97">
        <f t="shared" si="9"/>
        <v>1</v>
      </c>
      <c r="I26" s="97">
        <f t="shared" si="9"/>
        <v>22</v>
      </c>
      <c r="J26" s="98">
        <f t="shared" si="8"/>
        <v>47</v>
      </c>
    </row>
  </sheetData>
  <mergeCells count="15">
    <mergeCell ref="B4:D4"/>
    <mergeCell ref="C5:D5"/>
    <mergeCell ref="B1:J1"/>
    <mergeCell ref="C6:D6"/>
    <mergeCell ref="C7:D7"/>
    <mergeCell ref="B18:D18"/>
    <mergeCell ref="B19:D19"/>
    <mergeCell ref="C8:D8"/>
    <mergeCell ref="B10:B17"/>
    <mergeCell ref="C10:D10"/>
    <mergeCell ref="C11:C13"/>
    <mergeCell ref="C14:C16"/>
    <mergeCell ref="C17:D17"/>
    <mergeCell ref="B5:B9"/>
    <mergeCell ref="C9:D9"/>
  </mergeCells>
  <phoneticPr fontId="1" type="noConversion"/>
  <pageMargins left="0.7" right="0.7" top="0.75" bottom="0.75" header="0.3" footer="0.3"/>
  <pageSetup paperSize="9" scale="8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10</vt:i4>
      </vt:variant>
    </vt:vector>
  </HeadingPairs>
  <TitlesOfParts>
    <vt:vector size="14" baseType="lpstr">
      <vt:lpstr>표지 </vt:lpstr>
      <vt:lpstr>개정이력</vt:lpstr>
      <vt:lpstr>FP산정</vt:lpstr>
      <vt:lpstr>FP집계</vt:lpstr>
      <vt:lpstr>☞_기능점수__산정방법_선택</vt:lpstr>
      <vt:lpstr>FP산정!Print_Area</vt:lpstr>
      <vt:lpstr>FP집계!Print_Area</vt:lpstr>
      <vt:lpstr>'표지 '!Print_Area</vt:lpstr>
      <vt:lpstr>FP산정!Print_Titles</vt:lpstr>
      <vt:lpstr>개발유형</vt:lpstr>
      <vt:lpstr>삭제</vt:lpstr>
      <vt:lpstr>수정</vt:lpstr>
      <vt:lpstr>신규</vt:lpstr>
      <vt:lpstr>유지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사업대가 비용산정 템플릿</dc:title>
  <dc:creator>엠앤엠솔루션(주) 김종성</dc:creator>
  <cp:lastModifiedBy>worryscg</cp:lastModifiedBy>
  <cp:lastPrinted>2012-09-21T02:23:25Z</cp:lastPrinted>
  <dcterms:created xsi:type="dcterms:W3CDTF">2010-06-22T02:05:17Z</dcterms:created>
  <dcterms:modified xsi:type="dcterms:W3CDTF">2019-03-05T08:14:28Z</dcterms:modified>
</cp:coreProperties>
</file>